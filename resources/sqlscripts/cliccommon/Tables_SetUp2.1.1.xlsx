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mc:AlternateContent xmlns:mc="http://schemas.openxmlformats.org/markup-compatibility/2006">
    <mc:Choice Requires="x15">
      <x15ac:absPath xmlns:x15ac="http://schemas.microsoft.com/office/spreadsheetml/2010/11/ac" url="/Users/ninasilva/git/GUUDID_CKI2_ClicCommon/resources/sqlscripts/cliccommon/"/>
    </mc:Choice>
  </mc:AlternateContent>
  <xr:revisionPtr revIDLastSave="0" documentId="13_ncr:1_{A047F933-7B11-FE49-BF79-0EB79AEA68CF}" xr6:coauthVersionLast="47" xr6:coauthVersionMax="47" xr10:uidLastSave="{00000000-0000-0000-0000-000000000000}"/>
  <bookViews>
    <workbookView xWindow="0" yWindow="500" windowWidth="38400" windowHeight="21100" activeTab="7" xr2:uid="{00000000-000D-0000-FFFF-FFFF00000000}"/>
  </bookViews>
  <sheets>
    <sheet name="Master Roles" sheetId="2" r:id="rId1"/>
    <sheet name="User Roles" sheetId="1" r:id="rId2"/>
    <sheet name="CK Master Tables" sheetId="17" r:id="rId3"/>
    <sheet name="Menu_EX_CK2" sheetId="12" r:id="rId4"/>
    <sheet name="Menu_EX" sheetId="3" state="hidden" r:id="rId5"/>
    <sheet name="Perm_EX_CK2" sheetId="13" r:id="rId6"/>
    <sheet name="PermEx" sheetId="4" state="hidden" r:id="rId7"/>
    <sheet name="GrantRole_EX_CK2" sheetId="14" r:id="rId8"/>
    <sheet name="GrantRoleEx" sheetId="5" state="hidden" r:id="rId9"/>
    <sheet name="GrantAccn_EX_CK2" sheetId="19" r:id="rId10"/>
    <sheet name="GrantUser_EX_CK2" sheetId="20" r:id="rId11"/>
    <sheet name="AccnExt_Conf" sheetId="21" r:id="rId12"/>
    <sheet name="MstEntityType" sheetId="7" r:id="rId13"/>
    <sheet name="MstFormType" sheetId="8" r:id="rId14"/>
    <sheet name="MstFormAction" sheetId="18" r:id="rId15"/>
    <sheet name="FormControl" sheetId="6" r:id="rId16"/>
    <sheet name="Workflow" sheetId="10" r:id="rId17"/>
    <sheet name="MultiSelect_Action" sheetId="15" r:id="rId18"/>
    <sheet name="Guides" sheetId="9" r:id="rId19"/>
    <sheet name="Notification Templates" sheetId="16" r:id="rId20"/>
  </sheets>
  <definedNames>
    <definedName name="_xlnm._FilterDatabase" localSheetId="15" hidden="1">FormControl!$A$1:$P$94</definedName>
    <definedName name="_xlnm._FilterDatabase" localSheetId="7" hidden="1">GrantRole_EX_CK2!$A$1:$F$88</definedName>
    <definedName name="_xlnm._FilterDatabase" localSheetId="3" hidden="1">Menu_EX_CK2!$A$1:$O$83</definedName>
    <definedName name="_xlnm._FilterDatabase" localSheetId="5" hidden="1">Perm_EX_CK2!$A$1:$R$75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8" i="14" l="1"/>
  <c r="D98" i="14"/>
  <c r="I82" i="13"/>
  <c r="N90" i="12"/>
  <c r="M90" i="12"/>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O213" i="6"/>
  <c r="M213" i="6"/>
  <c r="N213" i="6" s="1"/>
  <c r="O212" i="6"/>
  <c r="N212" i="6"/>
  <c r="M212" i="6"/>
  <c r="O211" i="6"/>
  <c r="N211" i="6"/>
  <c r="M211" i="6"/>
  <c r="O210" i="6"/>
  <c r="N210" i="6"/>
  <c r="M210" i="6"/>
  <c r="O209" i="6"/>
  <c r="N209" i="6"/>
  <c r="M209" i="6"/>
  <c r="O208" i="6"/>
  <c r="N208" i="6"/>
  <c r="M208" i="6"/>
  <c r="O207" i="6"/>
  <c r="N207" i="6"/>
  <c r="M207" i="6"/>
  <c r="O206" i="6"/>
  <c r="N206" i="6"/>
  <c r="M206" i="6"/>
  <c r="O205" i="6"/>
  <c r="N205" i="6"/>
  <c r="M205" i="6"/>
  <c r="O204" i="6"/>
  <c r="N204" i="6"/>
  <c r="M204" i="6"/>
  <c r="O203" i="6"/>
  <c r="N203" i="6"/>
  <c r="M203" i="6"/>
  <c r="O202" i="6"/>
  <c r="N202" i="6"/>
  <c r="M202" i="6"/>
  <c r="O201" i="6"/>
  <c r="N201" i="6"/>
  <c r="M201" i="6"/>
  <c r="O200" i="6"/>
  <c r="N200" i="6"/>
  <c r="M200" i="6"/>
  <c r="O199" i="6"/>
  <c r="N199" i="6"/>
  <c r="M199" i="6"/>
  <c r="O198" i="6"/>
  <c r="N198" i="6"/>
  <c r="M198" i="6"/>
  <c r="O197" i="6"/>
  <c r="N197" i="6"/>
  <c r="M197" i="6"/>
  <c r="O196" i="6"/>
  <c r="N196" i="6"/>
  <c r="M196" i="6"/>
  <c r="O195" i="6"/>
  <c r="N195" i="6"/>
  <c r="M195" i="6"/>
  <c r="O194" i="6"/>
  <c r="N194" i="6"/>
  <c r="M194" i="6"/>
  <c r="O193" i="6"/>
  <c r="N193" i="6"/>
  <c r="M193" i="6"/>
  <c r="O192" i="6"/>
  <c r="N192" i="6"/>
  <c r="M192" i="6"/>
  <c r="O191" i="6"/>
  <c r="N191" i="6"/>
  <c r="M191" i="6"/>
  <c r="O190" i="6"/>
  <c r="N190" i="6"/>
  <c r="M190" i="6"/>
  <c r="O189" i="6"/>
  <c r="N189" i="6"/>
  <c r="M189" i="6"/>
  <c r="O188" i="6"/>
  <c r="N188" i="6"/>
  <c r="M188" i="6"/>
  <c r="O187" i="6"/>
  <c r="N187" i="6"/>
  <c r="M187" i="6"/>
  <c r="O186" i="6"/>
  <c r="N186" i="6"/>
  <c r="M186" i="6"/>
  <c r="O3" i="6"/>
  <c r="O4" i="6"/>
  <c r="O5" i="6"/>
  <c r="O6" i="6"/>
  <c r="O7" i="6"/>
  <c r="O8" i="6"/>
  <c r="O9" i="6"/>
  <c r="O10" i="6"/>
  <c r="O11" i="6"/>
  <c r="O12" i="6"/>
  <c r="O13" i="6"/>
  <c r="O14" i="6"/>
  <c r="O15" i="6"/>
  <c r="P15" i="6" s="1"/>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2"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 i="6"/>
  <c r="M19" i="6"/>
  <c r="M20" i="6"/>
  <c r="M21" i="6"/>
  <c r="N21" i="6" s="1"/>
  <c r="M22" i="6"/>
  <c r="N22" i="6" s="1"/>
  <c r="M23" i="6"/>
  <c r="N23" i="6" s="1"/>
  <c r="M24" i="6"/>
  <c r="M25" i="6"/>
  <c r="N25" i="6" s="1"/>
  <c r="M26" i="6"/>
  <c r="M27" i="6"/>
  <c r="M28" i="6"/>
  <c r="M29" i="6"/>
  <c r="N29" i="6" s="1"/>
  <c r="M30" i="6"/>
  <c r="N30" i="6" s="1"/>
  <c r="M31" i="6"/>
  <c r="N31" i="6" s="1"/>
  <c r="M32" i="6"/>
  <c r="M33" i="6"/>
  <c r="N33" i="6" s="1"/>
  <c r="M34" i="6"/>
  <c r="M35" i="6"/>
  <c r="M36" i="6"/>
  <c r="M37" i="6"/>
  <c r="N37" i="6" s="1"/>
  <c r="M38" i="6"/>
  <c r="N38" i="6" s="1"/>
  <c r="M39" i="6"/>
  <c r="M40" i="6"/>
  <c r="M41" i="6"/>
  <c r="N41" i="6" s="1"/>
  <c r="M42" i="6"/>
  <c r="M43" i="6"/>
  <c r="M44" i="6"/>
  <c r="M45" i="6"/>
  <c r="N45" i="6" s="1"/>
  <c r="M46" i="6"/>
  <c r="N46" i="6" s="1"/>
  <c r="M47" i="6"/>
  <c r="N47" i="6" s="1"/>
  <c r="M48" i="6"/>
  <c r="M49" i="6"/>
  <c r="N49" i="6" s="1"/>
  <c r="M50" i="6"/>
  <c r="M51" i="6"/>
  <c r="M52" i="6"/>
  <c r="M53" i="6"/>
  <c r="N53" i="6" s="1"/>
  <c r="M54" i="6"/>
  <c r="N54" i="6" s="1"/>
  <c r="M55" i="6"/>
  <c r="N55" i="6" s="1"/>
  <c r="M56" i="6"/>
  <c r="M57" i="6"/>
  <c r="N57" i="6" s="1"/>
  <c r="M58" i="6"/>
  <c r="M59" i="6"/>
  <c r="M60" i="6"/>
  <c r="M61" i="6"/>
  <c r="N61" i="6" s="1"/>
  <c r="M62" i="6"/>
  <c r="N62" i="6" s="1"/>
  <c r="M63" i="6"/>
  <c r="N63" i="6" s="1"/>
  <c r="M64" i="6"/>
  <c r="M65" i="6"/>
  <c r="N65" i="6" s="1"/>
  <c r="M66" i="6"/>
  <c r="M67" i="6"/>
  <c r="M68" i="6"/>
  <c r="M69" i="6"/>
  <c r="N69" i="6" s="1"/>
  <c r="M70" i="6"/>
  <c r="N70" i="6" s="1"/>
  <c r="M71" i="6"/>
  <c r="N71" i="6" s="1"/>
  <c r="M72" i="6"/>
  <c r="M73" i="6"/>
  <c r="N73" i="6" s="1"/>
  <c r="M74" i="6"/>
  <c r="M75" i="6"/>
  <c r="M76" i="6"/>
  <c r="M77" i="6"/>
  <c r="N77" i="6" s="1"/>
  <c r="M78" i="6"/>
  <c r="N78" i="6" s="1"/>
  <c r="M79" i="6"/>
  <c r="M80" i="6"/>
  <c r="M81" i="6"/>
  <c r="N81" i="6" s="1"/>
  <c r="M82" i="6"/>
  <c r="M83" i="6"/>
  <c r="M84" i="6"/>
  <c r="M85" i="6"/>
  <c r="N85" i="6" s="1"/>
  <c r="M86" i="6"/>
  <c r="M87" i="6"/>
  <c r="N87" i="6" s="1"/>
  <c r="M88" i="6"/>
  <c r="M89" i="6"/>
  <c r="N89" i="6" s="1"/>
  <c r="M90" i="6"/>
  <c r="M91" i="6"/>
  <c r="M92" i="6"/>
  <c r="M93" i="6"/>
  <c r="N93" i="6" s="1"/>
  <c r="M94" i="6"/>
  <c r="N94" i="6" s="1"/>
  <c r="M95" i="6"/>
  <c r="N95" i="6" s="1"/>
  <c r="M96" i="6"/>
  <c r="M97" i="6"/>
  <c r="N97" i="6" s="1"/>
  <c r="M98" i="6"/>
  <c r="M99" i="6"/>
  <c r="M100" i="6"/>
  <c r="M101" i="6"/>
  <c r="N101" i="6" s="1"/>
  <c r="M102" i="6"/>
  <c r="N102" i="6" s="1"/>
  <c r="M103" i="6"/>
  <c r="N103" i="6" s="1"/>
  <c r="M104" i="6"/>
  <c r="M105" i="6"/>
  <c r="N105" i="6" s="1"/>
  <c r="M106" i="6"/>
  <c r="M107" i="6"/>
  <c r="M108" i="6"/>
  <c r="M109" i="6"/>
  <c r="N109" i="6" s="1"/>
  <c r="M110" i="6"/>
  <c r="N110" i="6" s="1"/>
  <c r="M111" i="6"/>
  <c r="N111" i="6" s="1"/>
  <c r="M112" i="6"/>
  <c r="M113" i="6"/>
  <c r="N113" i="6" s="1"/>
  <c r="M114" i="6"/>
  <c r="M115" i="6"/>
  <c r="M116" i="6"/>
  <c r="M117" i="6"/>
  <c r="N117" i="6" s="1"/>
  <c r="M118" i="6"/>
  <c r="N118" i="6" s="1"/>
  <c r="M119" i="6"/>
  <c r="N119" i="6" s="1"/>
  <c r="M120" i="6"/>
  <c r="M121" i="6"/>
  <c r="N121" i="6" s="1"/>
  <c r="M122" i="6"/>
  <c r="M123" i="6"/>
  <c r="M124" i="6"/>
  <c r="M125" i="6"/>
  <c r="N125" i="6" s="1"/>
  <c r="M126" i="6"/>
  <c r="N126" i="6" s="1"/>
  <c r="M127" i="6"/>
  <c r="N127" i="6" s="1"/>
  <c r="M128" i="6"/>
  <c r="M129" i="6"/>
  <c r="N129" i="6" s="1"/>
  <c r="M130" i="6"/>
  <c r="M131" i="6"/>
  <c r="M132" i="6"/>
  <c r="M133" i="6"/>
  <c r="N133" i="6" s="1"/>
  <c r="M134" i="6"/>
  <c r="N134" i="6" s="1"/>
  <c r="M135" i="6"/>
  <c r="M136" i="6"/>
  <c r="M137" i="6"/>
  <c r="N137" i="6" s="1"/>
  <c r="M138" i="6"/>
  <c r="M139" i="6"/>
  <c r="M140" i="6"/>
  <c r="M141" i="6"/>
  <c r="N141" i="6" s="1"/>
  <c r="M142" i="6"/>
  <c r="M143" i="6"/>
  <c r="N143" i="6" s="1"/>
  <c r="M144" i="6"/>
  <c r="M145" i="6"/>
  <c r="N145" i="6" s="1"/>
  <c r="M146" i="6"/>
  <c r="M147" i="6"/>
  <c r="M148" i="6"/>
  <c r="M149" i="6"/>
  <c r="N149" i="6" s="1"/>
  <c r="M150" i="6"/>
  <c r="N150" i="6" s="1"/>
  <c r="M151" i="6"/>
  <c r="N151" i="6" s="1"/>
  <c r="M152" i="6"/>
  <c r="M153" i="6"/>
  <c r="N153" i="6" s="1"/>
  <c r="M154" i="6"/>
  <c r="M155" i="6"/>
  <c r="M156" i="6"/>
  <c r="M157" i="6"/>
  <c r="N157" i="6" s="1"/>
  <c r="M158" i="6"/>
  <c r="M159" i="6"/>
  <c r="N159" i="6" s="1"/>
  <c r="M160" i="6"/>
  <c r="M161" i="6"/>
  <c r="N161" i="6" s="1"/>
  <c r="M162" i="6"/>
  <c r="M163" i="6"/>
  <c r="M164" i="6"/>
  <c r="M165" i="6"/>
  <c r="N165" i="6" s="1"/>
  <c r="M166" i="6"/>
  <c r="N166" i="6" s="1"/>
  <c r="M167" i="6"/>
  <c r="N167" i="6" s="1"/>
  <c r="M168" i="6"/>
  <c r="M169" i="6"/>
  <c r="N169" i="6" s="1"/>
  <c r="M170" i="6"/>
  <c r="M171" i="6"/>
  <c r="M172" i="6"/>
  <c r="M173" i="6"/>
  <c r="N173" i="6" s="1"/>
  <c r="M174" i="6"/>
  <c r="N174" i="6" s="1"/>
  <c r="M175" i="6"/>
  <c r="N175" i="6" s="1"/>
  <c r="M176" i="6"/>
  <c r="M177" i="6"/>
  <c r="N177" i="6" s="1"/>
  <c r="M178" i="6"/>
  <c r="M179" i="6"/>
  <c r="M180" i="6"/>
  <c r="M181" i="6"/>
  <c r="N181" i="6" s="1"/>
  <c r="M182" i="6"/>
  <c r="M183" i="6"/>
  <c r="N183" i="6" s="1"/>
  <c r="M184" i="6"/>
  <c r="M185" i="6"/>
  <c r="N185" i="6" s="1"/>
  <c r="N19" i="6"/>
  <c r="N20" i="6"/>
  <c r="N24" i="6"/>
  <c r="N26" i="6"/>
  <c r="N27" i="6"/>
  <c r="N28" i="6"/>
  <c r="N32" i="6"/>
  <c r="N34" i="6"/>
  <c r="N35" i="6"/>
  <c r="N36" i="6"/>
  <c r="N40" i="6"/>
  <c r="N42" i="6"/>
  <c r="N43" i="6"/>
  <c r="N44" i="6"/>
  <c r="N48" i="6"/>
  <c r="N50" i="6"/>
  <c r="N51" i="6"/>
  <c r="N52" i="6"/>
  <c r="N56" i="6"/>
  <c r="N58" i="6"/>
  <c r="N59" i="6"/>
  <c r="N60" i="6"/>
  <c r="N64" i="6"/>
  <c r="N66" i="6"/>
  <c r="N67" i="6"/>
  <c r="N68" i="6"/>
  <c r="N72" i="6"/>
  <c r="N74" i="6"/>
  <c r="N75" i="6"/>
  <c r="N76" i="6"/>
  <c r="N80" i="6"/>
  <c r="N82" i="6"/>
  <c r="N83" i="6"/>
  <c r="N84" i="6"/>
  <c r="N88" i="6"/>
  <c r="N90" i="6"/>
  <c r="N91" i="6"/>
  <c r="N92" i="6"/>
  <c r="N96" i="6"/>
  <c r="N98" i="6"/>
  <c r="N99" i="6"/>
  <c r="N100" i="6"/>
  <c r="N104" i="6"/>
  <c r="N106" i="6"/>
  <c r="N107" i="6"/>
  <c r="N108" i="6"/>
  <c r="N112" i="6"/>
  <c r="N114" i="6"/>
  <c r="N115" i="6"/>
  <c r="N116" i="6"/>
  <c r="N120" i="6"/>
  <c r="N122" i="6"/>
  <c r="N123" i="6"/>
  <c r="N124" i="6"/>
  <c r="N128" i="6"/>
  <c r="N130" i="6"/>
  <c r="N131" i="6"/>
  <c r="N132" i="6"/>
  <c r="N136" i="6"/>
  <c r="N138" i="6"/>
  <c r="N139" i="6"/>
  <c r="N140" i="6"/>
  <c r="N144" i="6"/>
  <c r="N146" i="6"/>
  <c r="N147" i="6"/>
  <c r="N148" i="6"/>
  <c r="N152" i="6"/>
  <c r="N154" i="6"/>
  <c r="N155" i="6"/>
  <c r="N156" i="6"/>
  <c r="N160" i="6"/>
  <c r="N162" i="6"/>
  <c r="N163" i="6"/>
  <c r="N164" i="6"/>
  <c r="N168" i="6"/>
  <c r="N170" i="6"/>
  <c r="N171" i="6"/>
  <c r="N172" i="6"/>
  <c r="N176" i="6"/>
  <c r="N178" i="6"/>
  <c r="N179" i="6"/>
  <c r="N180" i="6"/>
  <c r="N184" i="6"/>
  <c r="M18" i="6"/>
  <c r="N18" i="6"/>
  <c r="F97" i="14"/>
  <c r="I3" i="13"/>
  <c r="D11" i="14" s="1"/>
  <c r="I4" i="13"/>
  <c r="D2" i="14" s="1"/>
  <c r="I5" i="13"/>
  <c r="D3" i="14" s="1"/>
  <c r="I6" i="13"/>
  <c r="D4" i="14" s="1"/>
  <c r="I7" i="13"/>
  <c r="D5" i="14" s="1"/>
  <c r="I8" i="13"/>
  <c r="M8" i="13" s="1"/>
  <c r="I9" i="13"/>
  <c r="D6" i="14" s="1"/>
  <c r="I10" i="13"/>
  <c r="D15" i="14" s="1"/>
  <c r="I11" i="13"/>
  <c r="D16" i="14" s="1"/>
  <c r="I12" i="13"/>
  <c r="D17" i="14" s="1"/>
  <c r="I13" i="13"/>
  <c r="D18" i="14" s="1"/>
  <c r="I14" i="13"/>
  <c r="D19" i="14" s="1"/>
  <c r="I15" i="13"/>
  <c r="D20" i="14" s="1"/>
  <c r="I16" i="13"/>
  <c r="D21" i="14" s="1"/>
  <c r="I17" i="13"/>
  <c r="D22" i="14" s="1"/>
  <c r="I18" i="13"/>
  <c r="D23" i="14" s="1"/>
  <c r="I19" i="13"/>
  <c r="D24" i="14" s="1"/>
  <c r="I20" i="13"/>
  <c r="D25" i="14" s="1"/>
  <c r="I21" i="13"/>
  <c r="D26" i="14" s="1"/>
  <c r="I22" i="13"/>
  <c r="D27" i="14" s="1"/>
  <c r="I23" i="13"/>
  <c r="D28" i="14" s="1"/>
  <c r="I24" i="13"/>
  <c r="M24" i="13" s="1"/>
  <c r="I25" i="13"/>
  <c r="D30" i="14" s="1"/>
  <c r="I26" i="13"/>
  <c r="D13" i="14" s="1"/>
  <c r="I27" i="13"/>
  <c r="D12" i="14" s="1"/>
  <c r="I28" i="13"/>
  <c r="D14" i="14" s="1"/>
  <c r="I29" i="13"/>
  <c r="D53" i="14" s="1"/>
  <c r="I30" i="13"/>
  <c r="D32" i="14" s="1"/>
  <c r="I31" i="13"/>
  <c r="D33" i="14" s="1"/>
  <c r="I32" i="13"/>
  <c r="D34" i="14" s="1"/>
  <c r="I33" i="13"/>
  <c r="D35" i="14" s="1"/>
  <c r="I34" i="13"/>
  <c r="D36" i="14" s="1"/>
  <c r="I35" i="13"/>
  <c r="D37" i="14" s="1"/>
  <c r="I36" i="13"/>
  <c r="D38" i="14" s="1"/>
  <c r="I37" i="13"/>
  <c r="D43" i="14" s="1"/>
  <c r="I38" i="13"/>
  <c r="D44" i="14" s="1"/>
  <c r="I39" i="13"/>
  <c r="D45" i="14" s="1"/>
  <c r="I40" i="13"/>
  <c r="D46" i="14" s="1"/>
  <c r="I41" i="13"/>
  <c r="M41" i="13" s="1"/>
  <c r="N41" i="13" s="1"/>
  <c r="Q41" i="13" s="1" a="1"/>
  <c r="Q41" i="13" s="1"/>
  <c r="R41" i="13" s="1"/>
  <c r="I42" i="13"/>
  <c r="D51" i="14" s="1"/>
  <c r="I43" i="13"/>
  <c r="D52" i="14" s="1"/>
  <c r="I44" i="13"/>
  <c r="D54" i="14" s="1"/>
  <c r="I45" i="13"/>
  <c r="D49" i="14" s="1"/>
  <c r="I46" i="13"/>
  <c r="D50" i="14" s="1"/>
  <c r="I47" i="13"/>
  <c r="D57" i="14" s="1"/>
  <c r="I48" i="13"/>
  <c r="D62" i="14" s="1"/>
  <c r="I49" i="13"/>
  <c r="D63" i="14" s="1"/>
  <c r="I50" i="13"/>
  <c r="D69" i="14" s="1"/>
  <c r="I51" i="13"/>
  <c r="D70" i="14" s="1"/>
  <c r="I52" i="13"/>
  <c r="D71" i="14" s="1"/>
  <c r="I53" i="13"/>
  <c r="D72" i="14" s="1"/>
  <c r="I54" i="13"/>
  <c r="D74" i="14" s="1"/>
  <c r="I55" i="13"/>
  <c r="D73" i="14" s="1"/>
  <c r="I56" i="13"/>
  <c r="D75" i="14" s="1"/>
  <c r="I57" i="13"/>
  <c r="D76" i="14" s="1"/>
  <c r="I58" i="13"/>
  <c r="D77" i="14" s="1"/>
  <c r="I59" i="13"/>
  <c r="M59" i="13" s="1"/>
  <c r="N59" i="13" s="1"/>
  <c r="I60" i="13"/>
  <c r="M60" i="13" s="1"/>
  <c r="N60" i="13" s="1"/>
  <c r="I61" i="13"/>
  <c r="D58" i="14" s="1"/>
  <c r="I62" i="13"/>
  <c r="D61" i="14" s="1"/>
  <c r="I63" i="13"/>
  <c r="D83" i="14" s="1"/>
  <c r="I64" i="13"/>
  <c r="D59" i="14" s="1"/>
  <c r="I65" i="13"/>
  <c r="D60" i="14" s="1"/>
  <c r="I66" i="13"/>
  <c r="D78" i="14" s="1"/>
  <c r="I67" i="13"/>
  <c r="D79" i="14" s="1"/>
  <c r="I68" i="13"/>
  <c r="D80" i="14" s="1"/>
  <c r="I69" i="13"/>
  <c r="M69" i="13" s="1"/>
  <c r="I70" i="13"/>
  <c r="I71" i="13"/>
  <c r="D84" i="14" s="1"/>
  <c r="I72" i="13"/>
  <c r="D87" i="14" s="1"/>
  <c r="I73" i="13"/>
  <c r="M73" i="13" s="1"/>
  <c r="I74" i="13"/>
  <c r="M74" i="13" s="1"/>
  <c r="N74" i="13" s="1"/>
  <c r="I75" i="13"/>
  <c r="D86" i="14" s="1"/>
  <c r="I76" i="13"/>
  <c r="D91" i="14" s="1"/>
  <c r="I77" i="13"/>
  <c r="D92" i="14" s="1"/>
  <c r="I78" i="13"/>
  <c r="D93" i="14" s="1"/>
  <c r="I79" i="13"/>
  <c r="D94" i="14" s="1"/>
  <c r="I80" i="13"/>
  <c r="D95" i="14" s="1"/>
  <c r="I81" i="13"/>
  <c r="D96" i="14" s="1"/>
  <c r="I2" i="13"/>
  <c r="D9" i="14" s="1"/>
  <c r="M84" i="10"/>
  <c r="M86" i="10"/>
  <c r="M87" i="10"/>
  <c r="M89" i="10"/>
  <c r="M90" i="10"/>
  <c r="M92" i="10"/>
  <c r="M93" i="10"/>
  <c r="L95" i="10"/>
  <c r="M95" i="10" s="1"/>
  <c r="K95" i="10"/>
  <c r="L94" i="10"/>
  <c r="M94" i="10" s="1"/>
  <c r="K94" i="10"/>
  <c r="L93" i="10"/>
  <c r="K93" i="10"/>
  <c r="L92" i="10"/>
  <c r="K92" i="10"/>
  <c r="L91" i="10"/>
  <c r="M91" i="10" s="1"/>
  <c r="K91" i="10"/>
  <c r="L90" i="10"/>
  <c r="K90" i="10"/>
  <c r="L89" i="10"/>
  <c r="K89" i="10"/>
  <c r="L88" i="10"/>
  <c r="M88" i="10" s="1"/>
  <c r="K88" i="10"/>
  <c r="L87" i="10"/>
  <c r="K87" i="10"/>
  <c r="L86" i="10"/>
  <c r="K86" i="10"/>
  <c r="L85" i="10"/>
  <c r="M85" i="10" s="1"/>
  <c r="K85" i="10"/>
  <c r="L84" i="10"/>
  <c r="K84" i="10"/>
  <c r="L83" i="10"/>
  <c r="K83" i="10"/>
  <c r="I44" i="1"/>
  <c r="I43" i="1"/>
  <c r="I42" i="1"/>
  <c r="I41" i="1"/>
  <c r="E29" i="2"/>
  <c r="E28" i="2"/>
  <c r="E27" i="2"/>
  <c r="E26" i="2"/>
  <c r="F96" i="14"/>
  <c r="F95" i="14"/>
  <c r="N89" i="12"/>
  <c r="M89" i="12"/>
  <c r="F92" i="14"/>
  <c r="F93" i="14"/>
  <c r="F94" i="14"/>
  <c r="M6" i="13"/>
  <c r="N6" i="13" s="1"/>
  <c r="N87" i="12"/>
  <c r="O87" i="12" s="1"/>
  <c r="N88" i="12"/>
  <c r="M87" i="12"/>
  <c r="M88" i="12"/>
  <c r="N86" i="12"/>
  <c r="M86" i="12"/>
  <c r="N85" i="12"/>
  <c r="M85" i="12"/>
  <c r="O85" i="12" s="1"/>
  <c r="K59" i="16"/>
  <c r="J59" i="16"/>
  <c r="F91" i="14"/>
  <c r="F90" i="14"/>
  <c r="N84" i="12"/>
  <c r="M84" i="12"/>
  <c r="I87" i="9"/>
  <c r="H87" i="9"/>
  <c r="I86" i="9"/>
  <c r="H86" i="9"/>
  <c r="I85" i="9"/>
  <c r="H85" i="9"/>
  <c r="I84" i="9"/>
  <c r="H84" i="9"/>
  <c r="I83" i="9"/>
  <c r="H83" i="9"/>
  <c r="I81" i="9"/>
  <c r="H81" i="9"/>
  <c r="I82" i="9"/>
  <c r="H82" i="9"/>
  <c r="I80" i="9"/>
  <c r="H80" i="9"/>
  <c r="I79" i="9"/>
  <c r="H79" i="9"/>
  <c r="I78" i="9"/>
  <c r="H78" i="9"/>
  <c r="I77" i="9"/>
  <c r="H77" i="9"/>
  <c r="I76" i="9"/>
  <c r="H76" i="9"/>
  <c r="I75" i="9"/>
  <c r="H75" i="9"/>
  <c r="I74" i="9"/>
  <c r="J74" i="9" s="1"/>
  <c r="H74" i="9"/>
  <c r="I73" i="9"/>
  <c r="H73" i="9"/>
  <c r="I72" i="9"/>
  <c r="H72" i="9"/>
  <c r="I71" i="9"/>
  <c r="H71" i="9"/>
  <c r="I70" i="9"/>
  <c r="H70" i="9"/>
  <c r="I69" i="9"/>
  <c r="H69" i="9"/>
  <c r="I68" i="9"/>
  <c r="H68" i="9"/>
  <c r="I67" i="9"/>
  <c r="H67" i="9"/>
  <c r="I66" i="9"/>
  <c r="H66" i="9"/>
  <c r="I65" i="9"/>
  <c r="H65" i="9"/>
  <c r="I64" i="9"/>
  <c r="H64" i="9"/>
  <c r="I63" i="9"/>
  <c r="H63" i="9"/>
  <c r="I62" i="9"/>
  <c r="H62" i="9"/>
  <c r="I61" i="9"/>
  <c r="H61" i="9"/>
  <c r="I60" i="9"/>
  <c r="H60" i="9"/>
  <c r="I59" i="9"/>
  <c r="H59" i="9"/>
  <c r="I29" i="9"/>
  <c r="I30" i="9"/>
  <c r="I31" i="9"/>
  <c r="I32" i="9"/>
  <c r="I33" i="9"/>
  <c r="J33" i="9" s="1"/>
  <c r="I34" i="9"/>
  <c r="I35" i="9"/>
  <c r="I36" i="9"/>
  <c r="I37" i="9"/>
  <c r="I38" i="9"/>
  <c r="I39" i="9"/>
  <c r="I40" i="9"/>
  <c r="I41" i="9"/>
  <c r="J41" i="9" s="1"/>
  <c r="I42" i="9"/>
  <c r="I43" i="9"/>
  <c r="I44" i="9"/>
  <c r="I45" i="9"/>
  <c r="I46" i="9"/>
  <c r="I47" i="9"/>
  <c r="I48" i="9"/>
  <c r="I49" i="9"/>
  <c r="J49" i="9" s="1"/>
  <c r="I50" i="9"/>
  <c r="I51" i="9"/>
  <c r="J51" i="9" s="1"/>
  <c r="I52" i="9"/>
  <c r="I53" i="9"/>
  <c r="I54" i="9"/>
  <c r="I55" i="9"/>
  <c r="I56" i="9"/>
  <c r="I57" i="9"/>
  <c r="J57" i="9" s="1"/>
  <c r="I58" i="9"/>
  <c r="I28" i="9"/>
  <c r="H29" i="9"/>
  <c r="H30" i="9"/>
  <c r="J30" i="9" s="1"/>
  <c r="H31" i="9"/>
  <c r="J31" i="9" s="1"/>
  <c r="H32" i="9"/>
  <c r="H33" i="9"/>
  <c r="H34" i="9"/>
  <c r="H35" i="9"/>
  <c r="J35" i="9" s="1"/>
  <c r="H36" i="9"/>
  <c r="H37" i="9"/>
  <c r="H38" i="9"/>
  <c r="H39" i="9"/>
  <c r="J39" i="9" s="1"/>
  <c r="H40" i="9"/>
  <c r="H41" i="9"/>
  <c r="H42" i="9"/>
  <c r="H43" i="9"/>
  <c r="J43" i="9" s="1"/>
  <c r="H44" i="9"/>
  <c r="H45" i="9"/>
  <c r="H46" i="9"/>
  <c r="H47" i="9"/>
  <c r="J47" i="9" s="1"/>
  <c r="H48" i="9"/>
  <c r="H49" i="9"/>
  <c r="H50" i="9"/>
  <c r="H51" i="9"/>
  <c r="H52" i="9"/>
  <c r="H53" i="9"/>
  <c r="H54" i="9"/>
  <c r="H55" i="9"/>
  <c r="J55" i="9" s="1"/>
  <c r="H56" i="9"/>
  <c r="H57" i="9"/>
  <c r="H58" i="9"/>
  <c r="H28" i="9"/>
  <c r="I27" i="9"/>
  <c r="H27" i="9"/>
  <c r="I26" i="9"/>
  <c r="H26" i="9"/>
  <c r="I25" i="9"/>
  <c r="H25" i="9"/>
  <c r="N80" i="12"/>
  <c r="M80" i="12"/>
  <c r="N79" i="12"/>
  <c r="M79" i="12"/>
  <c r="F89" i="14"/>
  <c r="F86" i="14"/>
  <c r="F88" i="14"/>
  <c r="F87" i="14"/>
  <c r="N83" i="12"/>
  <c r="M83" i="12"/>
  <c r="O83" i="12" s="1"/>
  <c r="N82" i="12"/>
  <c r="O82" i="12" s="1"/>
  <c r="M82" i="12"/>
  <c r="N17" i="12"/>
  <c r="O17" i="12" s="1"/>
  <c r="M17" i="12"/>
  <c r="N13" i="12"/>
  <c r="M13" i="12"/>
  <c r="I40" i="1"/>
  <c r="H6" i="21"/>
  <c r="H5" i="21"/>
  <c r="H4" i="21"/>
  <c r="H3" i="21"/>
  <c r="H2" i="21"/>
  <c r="F32" i="14"/>
  <c r="G4" i="19"/>
  <c r="G2" i="20"/>
  <c r="G3" i="19"/>
  <c r="G2" i="19"/>
  <c r="K58" i="16"/>
  <c r="J58" i="16"/>
  <c r="K57" i="16"/>
  <c r="J57" i="16"/>
  <c r="K56" i="16"/>
  <c r="J56" i="16"/>
  <c r="K55" i="16"/>
  <c r="J55" i="16"/>
  <c r="L55" i="16" s="1"/>
  <c r="K54" i="16"/>
  <c r="J54" i="16"/>
  <c r="L54" i="16" s="1"/>
  <c r="K53" i="16"/>
  <c r="J53" i="16"/>
  <c r="K52" i="16"/>
  <c r="J52" i="16"/>
  <c r="K51" i="16"/>
  <c r="J51" i="16"/>
  <c r="K50" i="16"/>
  <c r="J50" i="16"/>
  <c r="L50" i="16" s="1"/>
  <c r="K49" i="16"/>
  <c r="J49" i="16"/>
  <c r="K48" i="16"/>
  <c r="J48" i="16"/>
  <c r="K47" i="16"/>
  <c r="L47" i="16" s="1"/>
  <c r="J47" i="16"/>
  <c r="K46" i="16"/>
  <c r="J46" i="16"/>
  <c r="K45" i="16"/>
  <c r="J45" i="16"/>
  <c r="L45" i="16" s="1"/>
  <c r="K44" i="16"/>
  <c r="J44" i="16"/>
  <c r="L43" i="16"/>
  <c r="K43" i="16"/>
  <c r="J43" i="16"/>
  <c r="L42" i="16"/>
  <c r="K42" i="16"/>
  <c r="J42" i="16"/>
  <c r="K41" i="16"/>
  <c r="J41" i="16"/>
  <c r="K40" i="16"/>
  <c r="J40" i="16"/>
  <c r="K39" i="16"/>
  <c r="J39" i="16"/>
  <c r="K38" i="16"/>
  <c r="J38" i="16"/>
  <c r="L38" i="16" s="1"/>
  <c r="K37" i="16"/>
  <c r="J37" i="16"/>
  <c r="L37" i="16" s="1"/>
  <c r="K36" i="16"/>
  <c r="J36" i="16"/>
  <c r="L36" i="16" s="1"/>
  <c r="L35" i="16"/>
  <c r="K35" i="16"/>
  <c r="J35" i="16"/>
  <c r="L34" i="16"/>
  <c r="K34" i="16"/>
  <c r="J34" i="16"/>
  <c r="K33" i="16"/>
  <c r="J33" i="16"/>
  <c r="L33" i="16" s="1"/>
  <c r="K32" i="16"/>
  <c r="J32" i="16"/>
  <c r="K31" i="16"/>
  <c r="J31" i="16"/>
  <c r="K30" i="16"/>
  <c r="J30" i="16"/>
  <c r="L30" i="16" s="1"/>
  <c r="K29" i="16"/>
  <c r="J29" i="16"/>
  <c r="L29" i="16" s="1"/>
  <c r="K28" i="16"/>
  <c r="J28" i="16"/>
  <c r="L28" i="16" s="1"/>
  <c r="K27" i="16"/>
  <c r="J27" i="16"/>
  <c r="L27" i="16" s="1"/>
  <c r="K26" i="16"/>
  <c r="J26" i="16"/>
  <c r="L26" i="16" s="1"/>
  <c r="K25" i="16"/>
  <c r="J25" i="16"/>
  <c r="L25" i="16" s="1"/>
  <c r="K24" i="16"/>
  <c r="J24" i="16"/>
  <c r="K23" i="16"/>
  <c r="L23" i="16" s="1"/>
  <c r="J23" i="16"/>
  <c r="K22" i="16"/>
  <c r="L22" i="16" s="1"/>
  <c r="J22" i="16"/>
  <c r="K21" i="16"/>
  <c r="J21" i="16"/>
  <c r="L21" i="16" s="1"/>
  <c r="K20" i="16"/>
  <c r="J20" i="16"/>
  <c r="L20" i="16" s="1"/>
  <c r="K19" i="16"/>
  <c r="J19" i="16"/>
  <c r="L19" i="16" s="1"/>
  <c r="K18" i="16"/>
  <c r="J18" i="16"/>
  <c r="L18" i="16" s="1"/>
  <c r="K17" i="16"/>
  <c r="J17" i="16"/>
  <c r="L17" i="16" s="1"/>
  <c r="K16" i="16"/>
  <c r="J16" i="16"/>
  <c r="L16" i="16" s="1"/>
  <c r="K15" i="16"/>
  <c r="L15" i="16" s="1"/>
  <c r="J15" i="16"/>
  <c r="K14" i="16"/>
  <c r="L14" i="16" s="1"/>
  <c r="J14" i="16"/>
  <c r="K13" i="16"/>
  <c r="J13" i="16"/>
  <c r="K12" i="16"/>
  <c r="J12" i="16"/>
  <c r="L12" i="16" s="1"/>
  <c r="K11" i="16"/>
  <c r="J11" i="16"/>
  <c r="L11" i="16" s="1"/>
  <c r="K10" i="16"/>
  <c r="L10" i="16" s="1"/>
  <c r="J10" i="16"/>
  <c r="K9" i="16"/>
  <c r="J9" i="16"/>
  <c r="L9" i="16" s="1"/>
  <c r="K8" i="16"/>
  <c r="J8" i="16"/>
  <c r="L8" i="16" s="1"/>
  <c r="K7" i="16"/>
  <c r="L7" i="16" s="1"/>
  <c r="J7" i="16"/>
  <c r="L6" i="16"/>
  <c r="K6" i="16"/>
  <c r="J6" i="16"/>
  <c r="K5" i="16"/>
  <c r="J5" i="16"/>
  <c r="K4" i="16"/>
  <c r="J4" i="16"/>
  <c r="L4" i="16" s="1"/>
  <c r="K3" i="16"/>
  <c r="L3" i="16" s="1"/>
  <c r="J3" i="16"/>
  <c r="K2" i="16"/>
  <c r="L2" i="16" s="1"/>
  <c r="J2" i="16"/>
  <c r="I24" i="9"/>
  <c r="H24" i="9"/>
  <c r="I23" i="9"/>
  <c r="H23" i="9"/>
  <c r="I22" i="9"/>
  <c r="H22" i="9"/>
  <c r="I21" i="9"/>
  <c r="H21" i="9"/>
  <c r="I20" i="9"/>
  <c r="H20" i="9"/>
  <c r="I19" i="9"/>
  <c r="H19" i="9"/>
  <c r="I18" i="9"/>
  <c r="H18" i="9"/>
  <c r="I17" i="9"/>
  <c r="H17" i="9"/>
  <c r="I16" i="9"/>
  <c r="H16" i="9"/>
  <c r="I15" i="9"/>
  <c r="H15" i="9"/>
  <c r="I14" i="9"/>
  <c r="H14" i="9"/>
  <c r="I13" i="9"/>
  <c r="H13" i="9"/>
  <c r="I12" i="9"/>
  <c r="H12" i="9"/>
  <c r="I11" i="9"/>
  <c r="H11" i="9"/>
  <c r="I10" i="9"/>
  <c r="H10" i="9"/>
  <c r="I9" i="9"/>
  <c r="H9" i="9"/>
  <c r="I8" i="9"/>
  <c r="H8" i="9"/>
  <c r="I7" i="9"/>
  <c r="H7" i="9"/>
  <c r="I6" i="9"/>
  <c r="H6" i="9"/>
  <c r="I5" i="9"/>
  <c r="H5" i="9"/>
  <c r="I4" i="9"/>
  <c r="H4" i="9"/>
  <c r="I3" i="9"/>
  <c r="H3" i="9"/>
  <c r="I2" i="9"/>
  <c r="H2" i="9"/>
  <c r="J13" i="15"/>
  <c r="I13" i="15"/>
  <c r="H13" i="15"/>
  <c r="I12" i="15"/>
  <c r="H12" i="15"/>
  <c r="J12" i="15" s="1"/>
  <c r="I11" i="15"/>
  <c r="H11" i="15"/>
  <c r="J11" i="15" s="1"/>
  <c r="I10" i="15"/>
  <c r="H10" i="15"/>
  <c r="J10" i="15" s="1"/>
  <c r="J9" i="15"/>
  <c r="I9" i="15"/>
  <c r="H9" i="15"/>
  <c r="I8" i="15"/>
  <c r="H8" i="15"/>
  <c r="J8" i="15" s="1"/>
  <c r="I7" i="15"/>
  <c r="H7" i="15"/>
  <c r="J7" i="15" s="1"/>
  <c r="J6" i="15"/>
  <c r="I6" i="15"/>
  <c r="H6" i="15"/>
  <c r="J5" i="15"/>
  <c r="I5" i="15"/>
  <c r="H5" i="15"/>
  <c r="I4" i="15"/>
  <c r="H4" i="15"/>
  <c r="J4" i="15" s="1"/>
  <c r="I3" i="15"/>
  <c r="H3" i="15"/>
  <c r="J3" i="15" s="1"/>
  <c r="I2" i="15"/>
  <c r="H2" i="15"/>
  <c r="J2" i="15" s="1"/>
  <c r="M82" i="10"/>
  <c r="L82" i="10"/>
  <c r="K82" i="10"/>
  <c r="L81" i="10"/>
  <c r="K81" i="10"/>
  <c r="M81" i="10" s="1"/>
  <c r="L80" i="10"/>
  <c r="K80" i="10"/>
  <c r="M80" i="10" s="1"/>
  <c r="M79" i="10"/>
  <c r="L79" i="10"/>
  <c r="K79" i="10"/>
  <c r="M78" i="10"/>
  <c r="L78" i="10"/>
  <c r="K78" i="10"/>
  <c r="L77" i="10"/>
  <c r="K77" i="10"/>
  <c r="M77" i="10" s="1"/>
  <c r="L76" i="10"/>
  <c r="K76" i="10"/>
  <c r="M76" i="10" s="1"/>
  <c r="L75" i="10"/>
  <c r="K75" i="10"/>
  <c r="M75" i="10" s="1"/>
  <c r="M74" i="10"/>
  <c r="L74" i="10"/>
  <c r="K74" i="10"/>
  <c r="L73" i="10"/>
  <c r="K73" i="10"/>
  <c r="M73" i="10" s="1"/>
  <c r="L72" i="10"/>
  <c r="K72" i="10"/>
  <c r="M72" i="10" s="1"/>
  <c r="M71" i="10"/>
  <c r="L71" i="10"/>
  <c r="K71" i="10"/>
  <c r="M70" i="10"/>
  <c r="L70" i="10"/>
  <c r="K70" i="10"/>
  <c r="L69" i="10"/>
  <c r="K69" i="10"/>
  <c r="M69" i="10" s="1"/>
  <c r="L68" i="10"/>
  <c r="K68" i="10"/>
  <c r="M68" i="10" s="1"/>
  <c r="L67" i="10"/>
  <c r="K67" i="10"/>
  <c r="M67" i="10" s="1"/>
  <c r="M66" i="10"/>
  <c r="L66" i="10"/>
  <c r="K66" i="10"/>
  <c r="L65" i="10"/>
  <c r="K65" i="10"/>
  <c r="M65" i="10" s="1"/>
  <c r="L64" i="10"/>
  <c r="K64" i="10"/>
  <c r="M64" i="10" s="1"/>
  <c r="M63" i="10"/>
  <c r="L63" i="10"/>
  <c r="K63" i="10"/>
  <c r="M62" i="10"/>
  <c r="L62" i="10"/>
  <c r="K62" i="10"/>
  <c r="L61" i="10"/>
  <c r="K61" i="10"/>
  <c r="M61" i="10" s="1"/>
  <c r="L60" i="10"/>
  <c r="K60" i="10"/>
  <c r="M60" i="10" s="1"/>
  <c r="L59" i="10"/>
  <c r="K59" i="10"/>
  <c r="M59" i="10" s="1"/>
  <c r="M58" i="10"/>
  <c r="L58" i="10"/>
  <c r="K58" i="10"/>
  <c r="L57" i="10"/>
  <c r="K57" i="10"/>
  <c r="M57" i="10" s="1"/>
  <c r="L56" i="10"/>
  <c r="K56" i="10"/>
  <c r="M56" i="10" s="1"/>
  <c r="M55" i="10"/>
  <c r="L55" i="10"/>
  <c r="K55" i="10"/>
  <c r="M54" i="10"/>
  <c r="L54" i="10"/>
  <c r="K54" i="10"/>
  <c r="L53" i="10"/>
  <c r="K53" i="10"/>
  <c r="M53" i="10" s="1"/>
  <c r="L52" i="10"/>
  <c r="K52" i="10"/>
  <c r="M52" i="10" s="1"/>
  <c r="L51" i="10"/>
  <c r="K51" i="10"/>
  <c r="M51" i="10" s="1"/>
  <c r="M50" i="10"/>
  <c r="L50" i="10"/>
  <c r="K50" i="10"/>
  <c r="L49" i="10"/>
  <c r="K49" i="10"/>
  <c r="M49" i="10" s="1"/>
  <c r="L48" i="10"/>
  <c r="K48" i="10"/>
  <c r="M48" i="10" s="1"/>
  <c r="M47" i="10"/>
  <c r="L47" i="10"/>
  <c r="K47" i="10"/>
  <c r="M46" i="10"/>
  <c r="L46" i="10"/>
  <c r="K46" i="10"/>
  <c r="L45" i="10"/>
  <c r="K45" i="10"/>
  <c r="M45" i="10" s="1"/>
  <c r="L44" i="10"/>
  <c r="K44" i="10"/>
  <c r="M44" i="10" s="1"/>
  <c r="L43" i="10"/>
  <c r="M43" i="10" s="1"/>
  <c r="K43" i="10"/>
  <c r="M42" i="10"/>
  <c r="L42" i="10"/>
  <c r="K42" i="10"/>
  <c r="L41" i="10"/>
  <c r="K41" i="10"/>
  <c r="M41" i="10" s="1"/>
  <c r="L40" i="10"/>
  <c r="K40" i="10"/>
  <c r="M40" i="10" s="1"/>
  <c r="M39" i="10"/>
  <c r="L39" i="10"/>
  <c r="K39" i="10"/>
  <c r="M38" i="10"/>
  <c r="L38" i="10"/>
  <c r="K38" i="10"/>
  <c r="L37" i="10"/>
  <c r="K37" i="10"/>
  <c r="M37" i="10" s="1"/>
  <c r="L36" i="10"/>
  <c r="K36" i="10"/>
  <c r="M36" i="10" s="1"/>
  <c r="L35" i="10"/>
  <c r="M35" i="10" s="1"/>
  <c r="K35" i="10"/>
  <c r="M34" i="10"/>
  <c r="L34" i="10"/>
  <c r="K34" i="10"/>
  <c r="L33" i="10"/>
  <c r="K33" i="10"/>
  <c r="M33" i="10" s="1"/>
  <c r="L32" i="10"/>
  <c r="K32" i="10"/>
  <c r="M32" i="10" s="1"/>
  <c r="M31" i="10"/>
  <c r="L31" i="10"/>
  <c r="K31" i="10"/>
  <c r="M30" i="10"/>
  <c r="L30" i="10"/>
  <c r="K30" i="10"/>
  <c r="L29" i="10"/>
  <c r="K29" i="10"/>
  <c r="M29" i="10" s="1"/>
  <c r="L28" i="10"/>
  <c r="K28" i="10"/>
  <c r="M28" i="10" s="1"/>
  <c r="L27" i="10"/>
  <c r="M27" i="10" s="1"/>
  <c r="K27" i="10"/>
  <c r="M26" i="10"/>
  <c r="L26" i="10"/>
  <c r="K26" i="10"/>
  <c r="L25" i="10"/>
  <c r="K25" i="10"/>
  <c r="M25" i="10" s="1"/>
  <c r="L24" i="10"/>
  <c r="K24" i="10"/>
  <c r="M24" i="10" s="1"/>
  <c r="M23" i="10"/>
  <c r="L23" i="10"/>
  <c r="K23" i="10"/>
  <c r="M22" i="10"/>
  <c r="L22" i="10"/>
  <c r="K22" i="10"/>
  <c r="L21" i="10"/>
  <c r="K21" i="10"/>
  <c r="M21" i="10" s="1"/>
  <c r="L20" i="10"/>
  <c r="K20" i="10"/>
  <c r="M20" i="10" s="1"/>
  <c r="L19" i="10"/>
  <c r="M19" i="10" s="1"/>
  <c r="K19" i="10"/>
  <c r="M18" i="10"/>
  <c r="L18" i="10"/>
  <c r="K18" i="10"/>
  <c r="L17" i="10"/>
  <c r="K17" i="10"/>
  <c r="M17" i="10" s="1"/>
  <c r="L16" i="10"/>
  <c r="K16" i="10"/>
  <c r="M16" i="10" s="1"/>
  <c r="M15" i="10"/>
  <c r="L15" i="10"/>
  <c r="K15" i="10"/>
  <c r="M14" i="10"/>
  <c r="L14" i="10"/>
  <c r="K14" i="10"/>
  <c r="L13" i="10"/>
  <c r="K13" i="10"/>
  <c r="M13" i="10" s="1"/>
  <c r="L12" i="10"/>
  <c r="K12" i="10"/>
  <c r="M12" i="10" s="1"/>
  <c r="L11" i="10"/>
  <c r="M11" i="10" s="1"/>
  <c r="K11" i="10"/>
  <c r="M10" i="10"/>
  <c r="L10" i="10"/>
  <c r="K10" i="10"/>
  <c r="L9" i="10"/>
  <c r="K9" i="10"/>
  <c r="M9" i="10" s="1"/>
  <c r="L8" i="10"/>
  <c r="K8" i="10"/>
  <c r="M8" i="10" s="1"/>
  <c r="M7" i="10"/>
  <c r="L7" i="10"/>
  <c r="K7" i="10"/>
  <c r="M6" i="10"/>
  <c r="L6" i="10"/>
  <c r="K6" i="10"/>
  <c r="L5" i="10"/>
  <c r="K5" i="10"/>
  <c r="M5" i="10" s="1"/>
  <c r="L4" i="10"/>
  <c r="K4" i="10"/>
  <c r="M4" i="10" s="1"/>
  <c r="L3" i="10"/>
  <c r="M3" i="10" s="1"/>
  <c r="K3" i="10"/>
  <c r="M2" i="10"/>
  <c r="L2" i="10"/>
  <c r="K2" i="10"/>
  <c r="M17" i="6"/>
  <c r="P17" i="6" s="1"/>
  <c r="M16" i="6"/>
  <c r="M15" i="6"/>
  <c r="M14" i="6"/>
  <c r="M13" i="6"/>
  <c r="M12" i="6"/>
  <c r="M11" i="6"/>
  <c r="P10" i="6"/>
  <c r="M10" i="6"/>
  <c r="M9" i="6"/>
  <c r="M8" i="6"/>
  <c r="P8" i="6" s="1"/>
  <c r="M7" i="6"/>
  <c r="M6" i="6"/>
  <c r="M5" i="6"/>
  <c r="M4" i="6"/>
  <c r="P4" i="6" s="1"/>
  <c r="P3" i="6"/>
  <c r="M3" i="6"/>
  <c r="M2" i="6"/>
  <c r="P2" i="6" s="1"/>
  <c r="G36" i="18"/>
  <c r="F36" i="18"/>
  <c r="H36" i="18" s="1"/>
  <c r="G35" i="18"/>
  <c r="F35" i="18"/>
  <c r="H35" i="18" s="1"/>
  <c r="H34" i="18"/>
  <c r="G34" i="18"/>
  <c r="F34" i="18"/>
  <c r="H33" i="18"/>
  <c r="G33" i="18"/>
  <c r="F33" i="18"/>
  <c r="G32" i="18"/>
  <c r="F32" i="18"/>
  <c r="H32" i="18" s="1"/>
  <c r="G31" i="18"/>
  <c r="F31" i="18"/>
  <c r="H31" i="18" s="1"/>
  <c r="G30" i="18"/>
  <c r="H30" i="18" s="1"/>
  <c r="F30" i="18"/>
  <c r="H29" i="18"/>
  <c r="G29" i="18"/>
  <c r="F29" i="18"/>
  <c r="G28" i="18"/>
  <c r="F28" i="18"/>
  <c r="H28" i="18" s="1"/>
  <c r="G27" i="18"/>
  <c r="F27" i="18"/>
  <c r="H27" i="18" s="1"/>
  <c r="H26" i="18"/>
  <c r="G26" i="18"/>
  <c r="F26" i="18"/>
  <c r="H25" i="18"/>
  <c r="G25" i="18"/>
  <c r="F25" i="18"/>
  <c r="G24" i="18"/>
  <c r="F24" i="18"/>
  <c r="H24" i="18" s="1"/>
  <c r="G23" i="18"/>
  <c r="F23" i="18"/>
  <c r="H23" i="18" s="1"/>
  <c r="G22" i="18"/>
  <c r="H22" i="18" s="1"/>
  <c r="F22" i="18"/>
  <c r="H21" i="18"/>
  <c r="G21" i="18"/>
  <c r="F21" i="18"/>
  <c r="G20" i="18"/>
  <c r="F20" i="18"/>
  <c r="H20" i="18" s="1"/>
  <c r="G19" i="18"/>
  <c r="F19" i="18"/>
  <c r="H19" i="18" s="1"/>
  <c r="H18" i="18"/>
  <c r="G18" i="18"/>
  <c r="F18" i="18"/>
  <c r="H17" i="18"/>
  <c r="G17" i="18"/>
  <c r="F17" i="18"/>
  <c r="G16" i="18"/>
  <c r="F16" i="18"/>
  <c r="H16" i="18" s="1"/>
  <c r="G15" i="18"/>
  <c r="F15" i="18"/>
  <c r="H15" i="18" s="1"/>
  <c r="G14" i="18"/>
  <c r="H14" i="18" s="1"/>
  <c r="F14" i="18"/>
  <c r="H13" i="18"/>
  <c r="G13" i="18"/>
  <c r="F13" i="18"/>
  <c r="G12" i="18"/>
  <c r="F12" i="18"/>
  <c r="H12" i="18" s="1"/>
  <c r="G11" i="18"/>
  <c r="F11" i="18"/>
  <c r="H11" i="18" s="1"/>
  <c r="H10" i="18"/>
  <c r="G10" i="18"/>
  <c r="F10" i="18"/>
  <c r="H9" i="18"/>
  <c r="G9" i="18"/>
  <c r="F9" i="18"/>
  <c r="G8" i="18"/>
  <c r="F8" i="18"/>
  <c r="H8" i="18" s="1"/>
  <c r="G7" i="18"/>
  <c r="F7" i="18"/>
  <c r="H7" i="18" s="1"/>
  <c r="G6" i="18"/>
  <c r="H6" i="18" s="1"/>
  <c r="F6" i="18"/>
  <c r="H5" i="18"/>
  <c r="G5" i="18"/>
  <c r="F5" i="18"/>
  <c r="G4" i="18"/>
  <c r="F4" i="18"/>
  <c r="H4" i="18" s="1"/>
  <c r="G3" i="18"/>
  <c r="F3" i="18"/>
  <c r="H3" i="18" s="1"/>
  <c r="H2" i="18"/>
  <c r="G2" i="18"/>
  <c r="F2" i="18"/>
  <c r="F48" i="5"/>
  <c r="D48" i="5"/>
  <c r="F47" i="5"/>
  <c r="D47" i="5"/>
  <c r="F46" i="5"/>
  <c r="D46" i="5"/>
  <c r="F45" i="5"/>
  <c r="D45" i="5"/>
  <c r="F44" i="5"/>
  <c r="D44" i="5"/>
  <c r="F43" i="5"/>
  <c r="D43" i="5"/>
  <c r="F42" i="5"/>
  <c r="D42" i="5"/>
  <c r="F41" i="5"/>
  <c r="D41" i="5"/>
  <c r="F40" i="5"/>
  <c r="D40" i="5"/>
  <c r="F39" i="5"/>
  <c r="D39" i="5"/>
  <c r="F38" i="5"/>
  <c r="D38" i="5"/>
  <c r="F37" i="5"/>
  <c r="D37" i="5"/>
  <c r="F36" i="5"/>
  <c r="D36" i="5"/>
  <c r="F34" i="5"/>
  <c r="D34" i="5"/>
  <c r="F33" i="5"/>
  <c r="D33" i="5"/>
  <c r="F32" i="5"/>
  <c r="D32" i="5"/>
  <c r="F31" i="5"/>
  <c r="D31" i="5"/>
  <c r="F30" i="5"/>
  <c r="D30" i="5"/>
  <c r="F29" i="5"/>
  <c r="D29" i="5"/>
  <c r="F28" i="5"/>
  <c r="D28" i="5"/>
  <c r="F27" i="5"/>
  <c r="D27" i="5"/>
  <c r="F26" i="5"/>
  <c r="D26" i="5"/>
  <c r="F25" i="5"/>
  <c r="D25" i="5"/>
  <c r="F24" i="5"/>
  <c r="D24" i="5"/>
  <c r="F23" i="5"/>
  <c r="D23" i="5"/>
  <c r="F22" i="5"/>
  <c r="D22" i="5"/>
  <c r="F21" i="5"/>
  <c r="D21" i="5"/>
  <c r="F20" i="5"/>
  <c r="D20" i="5"/>
  <c r="F19" i="5"/>
  <c r="D19" i="5"/>
  <c r="F18" i="5"/>
  <c r="D18" i="5"/>
  <c r="F17" i="5"/>
  <c r="D17" i="5"/>
  <c r="F16" i="5"/>
  <c r="D16" i="5"/>
  <c r="F15" i="5"/>
  <c r="D15" i="5"/>
  <c r="F14" i="5"/>
  <c r="D14" i="5"/>
  <c r="F13" i="5"/>
  <c r="D13" i="5"/>
  <c r="F12" i="5"/>
  <c r="D12" i="5"/>
  <c r="F11" i="5"/>
  <c r="D11" i="5"/>
  <c r="F10" i="5"/>
  <c r="D10" i="5"/>
  <c r="F9" i="5"/>
  <c r="D9" i="5"/>
  <c r="F8" i="5"/>
  <c r="D8" i="5"/>
  <c r="F7" i="5"/>
  <c r="D7" i="5"/>
  <c r="F6" i="5"/>
  <c r="D6" i="5"/>
  <c r="F5" i="5"/>
  <c r="D5" i="5"/>
  <c r="F4" i="5"/>
  <c r="D4" i="5"/>
  <c r="F3" i="5"/>
  <c r="D3" i="5"/>
  <c r="F2" i="5"/>
  <c r="D2" i="5"/>
  <c r="F85"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F5" i="14"/>
  <c r="F4" i="14"/>
  <c r="F3" i="14"/>
  <c r="F2" i="14"/>
  <c r="Q38" i="4" a="1"/>
  <c r="Q38" i="4" s="1"/>
  <c r="R38" i="4" s="1"/>
  <c r="Q37" i="4" a="1"/>
  <c r="Q37" i="4" s="1"/>
  <c r="R37" i="4" s="1"/>
  <c r="Q36" i="4" a="1"/>
  <c r="Q36" i="4" s="1"/>
  <c r="R36" i="4" s="1"/>
  <c r="Q35" i="4" a="1"/>
  <c r="Q35" i="4" s="1"/>
  <c r="R35" i="4" s="1"/>
  <c r="Q34" i="4" a="1"/>
  <c r="Q34" i="4" s="1"/>
  <c r="R34" i="4" s="1"/>
  <c r="Q33" i="4" a="1"/>
  <c r="Q33" i="4" s="1"/>
  <c r="R33" i="4" s="1"/>
  <c r="Q32" i="4" a="1"/>
  <c r="Q32" i="4" s="1"/>
  <c r="R32" i="4" s="1"/>
  <c r="Q31" i="4" a="1"/>
  <c r="Q31" i="4" s="1"/>
  <c r="R31" i="4" s="1"/>
  <c r="Q30" i="4" a="1"/>
  <c r="Q30" i="4" s="1"/>
  <c r="R30" i="4" s="1"/>
  <c r="Q25" i="4" a="1"/>
  <c r="Q25" i="4" s="1"/>
  <c r="R25" i="4" s="1"/>
  <c r="Q24" i="4" a="1"/>
  <c r="Q24" i="4" s="1"/>
  <c r="R24" i="4" s="1"/>
  <c r="Q23" i="4" a="1"/>
  <c r="Q23" i="4" s="1"/>
  <c r="R23" i="4" s="1"/>
  <c r="Q22" i="4" a="1"/>
  <c r="Q22" i="4" s="1"/>
  <c r="R22" i="4" s="1"/>
  <c r="Q21" i="4" a="1"/>
  <c r="Q21" i="4" s="1"/>
  <c r="R21" i="4" s="1"/>
  <c r="Q20" i="4" a="1"/>
  <c r="Q20" i="4" s="1"/>
  <c r="R20" i="4" s="1"/>
  <c r="Q19" i="4" a="1"/>
  <c r="Q19" i="4" s="1"/>
  <c r="R19" i="4" s="1"/>
  <c r="Q18" i="4" a="1"/>
  <c r="Q18" i="4" s="1"/>
  <c r="R18" i="4" s="1"/>
  <c r="Q17" i="4" a="1"/>
  <c r="Q17" i="4" s="1"/>
  <c r="R17" i="4" s="1"/>
  <c r="Q16" i="4" a="1"/>
  <c r="Q16" i="4" s="1"/>
  <c r="R16" i="4" s="1"/>
  <c r="Q15" i="4" a="1"/>
  <c r="Q15" i="4" s="1"/>
  <c r="R15" i="4" s="1"/>
  <c r="Q14" i="4" a="1"/>
  <c r="Q14" i="4" s="1"/>
  <c r="R14" i="4" s="1"/>
  <c r="Q13" i="4" a="1"/>
  <c r="Q13" i="4" s="1"/>
  <c r="R13" i="4" s="1"/>
  <c r="Q12" i="4" a="1"/>
  <c r="Q12" i="4" s="1"/>
  <c r="R12" i="4" s="1"/>
  <c r="Q11" i="4" a="1"/>
  <c r="Q11" i="4" s="1"/>
  <c r="R11" i="4" s="1"/>
  <c r="Q10" i="4" a="1"/>
  <c r="Q10" i="4" s="1"/>
  <c r="R10" i="4" s="1"/>
  <c r="Q9" i="4" a="1"/>
  <c r="Q9" i="4" s="1"/>
  <c r="R9" i="4" s="1"/>
  <c r="Q8" i="4" a="1"/>
  <c r="Q8" i="4" s="1"/>
  <c r="R8" i="4" s="1"/>
  <c r="Q7" i="4" a="1"/>
  <c r="Q7" i="4" s="1"/>
  <c r="R7" i="4" s="1"/>
  <c r="Q6" i="4" a="1"/>
  <c r="Q6" i="4" s="1"/>
  <c r="R6" i="4" s="1"/>
  <c r="Q5" i="4" a="1"/>
  <c r="Q5" i="4" s="1"/>
  <c r="R5" i="4" s="1"/>
  <c r="Q4" i="4" a="1"/>
  <c r="Q4" i="4" s="1"/>
  <c r="R4" i="4" s="1"/>
  <c r="Q3" i="4" a="1"/>
  <c r="Q3" i="4" s="1"/>
  <c r="R3" i="4" s="1"/>
  <c r="Q2" i="4" a="1"/>
  <c r="Q2" i="4" s="1"/>
  <c r="R2" i="4" s="1"/>
  <c r="M27" i="13"/>
  <c r="N27" i="13" s="1"/>
  <c r="M20" i="13"/>
  <c r="N20" i="13" s="1"/>
  <c r="M14" i="13"/>
  <c r="M10" i="13"/>
  <c r="N10" i="13" s="1"/>
  <c r="N35" i="3"/>
  <c r="M35" i="3"/>
  <c r="L35" i="3"/>
  <c r="M34" i="3"/>
  <c r="N34" i="3" s="1"/>
  <c r="L34" i="3"/>
  <c r="M33" i="3"/>
  <c r="L33" i="3"/>
  <c r="N33" i="3" s="1"/>
  <c r="N32" i="3"/>
  <c r="M32" i="3"/>
  <c r="L32" i="3"/>
  <c r="N31" i="3"/>
  <c r="M31" i="3"/>
  <c r="L31" i="3"/>
  <c r="M30" i="3"/>
  <c r="L30" i="3"/>
  <c r="N30" i="3" s="1"/>
  <c r="M29" i="3"/>
  <c r="L29" i="3"/>
  <c r="N29" i="3" s="1"/>
  <c r="M28" i="3"/>
  <c r="L28" i="3"/>
  <c r="N28" i="3" s="1"/>
  <c r="N27" i="3"/>
  <c r="M27" i="3"/>
  <c r="L27" i="3"/>
  <c r="M25" i="3"/>
  <c r="N25" i="3" s="1"/>
  <c r="L25" i="3"/>
  <c r="M24" i="3"/>
  <c r="L24" i="3"/>
  <c r="N24" i="3" s="1"/>
  <c r="N23" i="3"/>
  <c r="M23" i="3"/>
  <c r="L23" i="3"/>
  <c r="N22" i="3"/>
  <c r="M22" i="3"/>
  <c r="L22" i="3"/>
  <c r="M21" i="3"/>
  <c r="L21" i="3"/>
  <c r="N21" i="3" s="1"/>
  <c r="M20" i="3"/>
  <c r="L20" i="3"/>
  <c r="N20" i="3" s="1"/>
  <c r="M19" i="3"/>
  <c r="L19" i="3"/>
  <c r="N19" i="3" s="1"/>
  <c r="N18" i="3"/>
  <c r="M18" i="3"/>
  <c r="L18" i="3"/>
  <c r="M17" i="3"/>
  <c r="N17" i="3" s="1"/>
  <c r="L17" i="3"/>
  <c r="M16" i="3"/>
  <c r="L16" i="3"/>
  <c r="N16" i="3" s="1"/>
  <c r="N15" i="3"/>
  <c r="M15" i="3"/>
  <c r="L15" i="3"/>
  <c r="N14" i="3"/>
  <c r="M14" i="3"/>
  <c r="L14" i="3"/>
  <c r="M13" i="3"/>
  <c r="L13" i="3"/>
  <c r="N13" i="3" s="1"/>
  <c r="M12" i="3"/>
  <c r="L12" i="3"/>
  <c r="N12" i="3" s="1"/>
  <c r="M11" i="3"/>
  <c r="L11" i="3"/>
  <c r="N11" i="3" s="1"/>
  <c r="N10" i="3"/>
  <c r="M10" i="3"/>
  <c r="L10" i="3"/>
  <c r="M9" i="3"/>
  <c r="N9" i="3" s="1"/>
  <c r="L9" i="3"/>
  <c r="M8" i="3"/>
  <c r="L8" i="3"/>
  <c r="N8" i="3" s="1"/>
  <c r="N7" i="3"/>
  <c r="M7" i="3"/>
  <c r="L7" i="3"/>
  <c r="N6" i="3"/>
  <c r="M6" i="3"/>
  <c r="L6" i="3"/>
  <c r="M5" i="3"/>
  <c r="L5" i="3"/>
  <c r="N5" i="3" s="1"/>
  <c r="M4" i="3"/>
  <c r="L4" i="3"/>
  <c r="N4" i="3" s="1"/>
  <c r="M3" i="3"/>
  <c r="L3" i="3"/>
  <c r="N3" i="3" s="1"/>
  <c r="N2" i="3"/>
  <c r="M2" i="3"/>
  <c r="L2" i="3"/>
  <c r="N81" i="12"/>
  <c r="M81" i="12"/>
  <c r="O81" i="12" s="1"/>
  <c r="N78" i="12"/>
  <c r="O78" i="12" s="1"/>
  <c r="M78" i="12"/>
  <c r="N77" i="12"/>
  <c r="M77" i="12"/>
  <c r="O77" i="12" s="1"/>
  <c r="N76" i="12"/>
  <c r="M76" i="12"/>
  <c r="O76" i="12" s="1"/>
  <c r="N75" i="12"/>
  <c r="M75" i="12"/>
  <c r="O75" i="12" s="1"/>
  <c r="N74" i="12"/>
  <c r="O74" i="12" s="1"/>
  <c r="M74" i="12"/>
  <c r="N73" i="12"/>
  <c r="M73" i="12"/>
  <c r="O73" i="12" s="1"/>
  <c r="N72" i="12"/>
  <c r="M72" i="12"/>
  <c r="O72" i="12" s="1"/>
  <c r="N71" i="12"/>
  <c r="M71" i="12"/>
  <c r="O71" i="12" s="1"/>
  <c r="N70" i="12"/>
  <c r="O70" i="12" s="1"/>
  <c r="M70" i="12"/>
  <c r="N69" i="12"/>
  <c r="M69" i="12"/>
  <c r="O69" i="12" s="1"/>
  <c r="N68" i="12"/>
  <c r="M68" i="12"/>
  <c r="O68" i="12" s="1"/>
  <c r="N67" i="12"/>
  <c r="M67" i="12"/>
  <c r="O67" i="12" s="1"/>
  <c r="N66" i="12"/>
  <c r="O66" i="12" s="1"/>
  <c r="M66" i="12"/>
  <c r="N65" i="12"/>
  <c r="M65" i="12"/>
  <c r="O65" i="12" s="1"/>
  <c r="N64" i="12"/>
  <c r="M64" i="12"/>
  <c r="O64" i="12" s="1"/>
  <c r="N63" i="12"/>
  <c r="M63" i="12"/>
  <c r="N62" i="12"/>
  <c r="O62" i="12" s="1"/>
  <c r="M62" i="12"/>
  <c r="N61" i="12"/>
  <c r="M61" i="12"/>
  <c r="O61" i="12" s="1"/>
  <c r="N60" i="12"/>
  <c r="M60" i="12"/>
  <c r="O60" i="12" s="1"/>
  <c r="N59" i="12"/>
  <c r="M59" i="12"/>
  <c r="N58" i="12"/>
  <c r="O58" i="12" s="1"/>
  <c r="M58" i="12"/>
  <c r="N57" i="12"/>
  <c r="M57" i="12"/>
  <c r="O57" i="12" s="1"/>
  <c r="N56" i="12"/>
  <c r="M56" i="12"/>
  <c r="O56" i="12" s="1"/>
  <c r="N55" i="12"/>
  <c r="M55" i="12"/>
  <c r="N54" i="12"/>
  <c r="O54" i="12" s="1"/>
  <c r="M54" i="12"/>
  <c r="N53" i="12"/>
  <c r="M53" i="12"/>
  <c r="O53" i="12" s="1"/>
  <c r="N52" i="12"/>
  <c r="M52" i="12"/>
  <c r="O52" i="12" s="1"/>
  <c r="N51" i="12"/>
  <c r="M51" i="12"/>
  <c r="N50" i="12"/>
  <c r="M50" i="12"/>
  <c r="N49" i="12"/>
  <c r="M49" i="12"/>
  <c r="O49" i="12" s="1"/>
  <c r="N48" i="12"/>
  <c r="M48" i="12"/>
  <c r="O48" i="12" s="1"/>
  <c r="N47" i="12"/>
  <c r="M47" i="12"/>
  <c r="N46" i="12"/>
  <c r="O46" i="12" s="1"/>
  <c r="M46" i="12"/>
  <c r="N45" i="12"/>
  <c r="M45" i="12"/>
  <c r="O45" i="12" s="1"/>
  <c r="N44" i="12"/>
  <c r="M44" i="12"/>
  <c r="O44" i="12" s="1"/>
  <c r="N43" i="12"/>
  <c r="M43" i="12"/>
  <c r="N42" i="12"/>
  <c r="M42" i="12"/>
  <c r="N41" i="12"/>
  <c r="M41" i="12"/>
  <c r="O41" i="12" s="1"/>
  <c r="N40" i="12"/>
  <c r="M40" i="12"/>
  <c r="O40" i="12" s="1"/>
  <c r="N39" i="12"/>
  <c r="M39" i="12"/>
  <c r="N38" i="12"/>
  <c r="O38" i="12" s="1"/>
  <c r="M38" i="12"/>
  <c r="N37" i="12"/>
  <c r="M37" i="12"/>
  <c r="O37" i="12" s="1"/>
  <c r="N36" i="12"/>
  <c r="M36" i="12"/>
  <c r="O36" i="12" s="1"/>
  <c r="N35" i="12"/>
  <c r="M35" i="12"/>
  <c r="N34" i="12"/>
  <c r="M34" i="12"/>
  <c r="N33" i="12"/>
  <c r="M33" i="12"/>
  <c r="O33" i="12" s="1"/>
  <c r="N32" i="12"/>
  <c r="M32" i="12"/>
  <c r="O32" i="12" s="1"/>
  <c r="N31" i="12"/>
  <c r="M31" i="12"/>
  <c r="N30" i="12"/>
  <c r="O30" i="12" s="1"/>
  <c r="M30" i="12"/>
  <c r="N29" i="12"/>
  <c r="M29" i="12"/>
  <c r="O29" i="12" s="1"/>
  <c r="N28" i="12"/>
  <c r="M28" i="12"/>
  <c r="O28" i="12" s="1"/>
  <c r="N27" i="12"/>
  <c r="M27" i="12"/>
  <c r="N26" i="12"/>
  <c r="M26" i="12"/>
  <c r="N25" i="12"/>
  <c r="M25" i="12"/>
  <c r="O25" i="12" s="1"/>
  <c r="N24" i="12"/>
  <c r="M24" i="12"/>
  <c r="O24" i="12" s="1"/>
  <c r="N23" i="12"/>
  <c r="M23" i="12"/>
  <c r="N22" i="12"/>
  <c r="O22" i="12" s="1"/>
  <c r="M22" i="12"/>
  <c r="N21" i="12"/>
  <c r="M21" i="12"/>
  <c r="O21" i="12" s="1"/>
  <c r="N20" i="12"/>
  <c r="M20" i="12"/>
  <c r="O20" i="12" s="1"/>
  <c r="N19" i="12"/>
  <c r="M19" i="12"/>
  <c r="N18" i="12"/>
  <c r="M18" i="12"/>
  <c r="N16" i="12"/>
  <c r="M16" i="12"/>
  <c r="O16" i="12" s="1"/>
  <c r="N15" i="12"/>
  <c r="M15" i="12"/>
  <c r="O15" i="12" s="1"/>
  <c r="N14" i="12"/>
  <c r="M14" i="12"/>
  <c r="N12" i="12"/>
  <c r="M12" i="12"/>
  <c r="O12" i="12" s="1"/>
  <c r="N11" i="12"/>
  <c r="M11" i="12"/>
  <c r="O11" i="12" s="1"/>
  <c r="N10" i="12"/>
  <c r="M10" i="12"/>
  <c r="O10" i="12" s="1"/>
  <c r="N9" i="12"/>
  <c r="M9" i="12"/>
  <c r="N8" i="12"/>
  <c r="M8" i="12"/>
  <c r="N7" i="12"/>
  <c r="M7" i="12"/>
  <c r="O7" i="12" s="1"/>
  <c r="N6" i="12"/>
  <c r="M6" i="12"/>
  <c r="O6" i="12" s="1"/>
  <c r="N5" i="12"/>
  <c r="M5" i="12"/>
  <c r="N4" i="12"/>
  <c r="M4" i="12"/>
  <c r="O4" i="12" s="1"/>
  <c r="N3" i="12"/>
  <c r="M3" i="12"/>
  <c r="O3" i="12" s="1"/>
  <c r="N2" i="12"/>
  <c r="M2" i="12"/>
  <c r="H7" i="17"/>
  <c r="G7" i="17"/>
  <c r="F7" i="17"/>
  <c r="H6" i="17"/>
  <c r="G6" i="17"/>
  <c r="F6" i="17"/>
  <c r="H5" i="17"/>
  <c r="G5" i="17"/>
  <c r="F5" i="17"/>
  <c r="H4" i="17"/>
  <c r="G4" i="17"/>
  <c r="F4" i="17" s="1"/>
  <c r="H3" i="17"/>
  <c r="G3" i="17"/>
  <c r="F3" i="17" s="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E25" i="2"/>
  <c r="E24" i="2"/>
  <c r="E23" i="2"/>
  <c r="E22" i="2"/>
  <c r="E21" i="2"/>
  <c r="E20" i="2"/>
  <c r="E18" i="2"/>
  <c r="E17" i="2"/>
  <c r="E16" i="2"/>
  <c r="E15" i="2"/>
  <c r="E14" i="2"/>
  <c r="E13" i="2"/>
  <c r="E12" i="2"/>
  <c r="E11" i="2"/>
  <c r="E10" i="2"/>
  <c r="E9" i="2"/>
  <c r="E8" i="2"/>
  <c r="E6" i="2"/>
  <c r="E5" i="2"/>
  <c r="E4" i="2"/>
  <c r="E3" i="2"/>
  <c r="E2" i="2"/>
  <c r="M82" i="13" l="1"/>
  <c r="N82" i="13" s="1"/>
  <c r="M19" i="13"/>
  <c r="N19" i="13" s="1"/>
  <c r="M11" i="13"/>
  <c r="N11" i="13" s="1"/>
  <c r="M67" i="13"/>
  <c r="N67" i="13" s="1"/>
  <c r="M53" i="13"/>
  <c r="N53" i="13" s="1"/>
  <c r="Q53" i="13" s="1" a="1"/>
  <c r="Q53" i="13" s="1"/>
  <c r="R53" i="13" s="1"/>
  <c r="O90" i="12"/>
  <c r="M36" i="13"/>
  <c r="N36" i="13" s="1"/>
  <c r="D97" i="14"/>
  <c r="P186" i="6"/>
  <c r="N182" i="6"/>
  <c r="N158" i="6"/>
  <c r="N142" i="6"/>
  <c r="N86" i="6"/>
  <c r="N135" i="6"/>
  <c r="N79" i="6"/>
  <c r="N39" i="6"/>
  <c r="P6" i="6"/>
  <c r="P14" i="6"/>
  <c r="P7" i="6"/>
  <c r="P16" i="6"/>
  <c r="P5" i="6"/>
  <c r="P13" i="6"/>
  <c r="P9" i="6"/>
  <c r="P11" i="6"/>
  <c r="P12" i="6"/>
  <c r="M16" i="13"/>
  <c r="N16" i="13" s="1"/>
  <c r="O79" i="12"/>
  <c r="O88" i="12"/>
  <c r="O8" i="12"/>
  <c r="O18" i="12"/>
  <c r="O26" i="12"/>
  <c r="O34" i="12"/>
  <c r="O42" i="12"/>
  <c r="O50" i="12"/>
  <c r="O5" i="12"/>
  <c r="O9" i="12"/>
  <c r="O14" i="12"/>
  <c r="O19" i="12"/>
  <c r="O23" i="12"/>
  <c r="O27" i="12"/>
  <c r="O31" i="12"/>
  <c r="O35" i="12"/>
  <c r="O39" i="12"/>
  <c r="O43" i="12"/>
  <c r="O47" i="12"/>
  <c r="O51" i="12"/>
  <c r="O55" i="12"/>
  <c r="O59" i="12"/>
  <c r="O63" i="12"/>
  <c r="O80" i="12"/>
  <c r="M45" i="13"/>
  <c r="N45" i="13" s="1"/>
  <c r="Q45" i="13" s="1" a="1"/>
  <c r="Q45" i="13" s="1"/>
  <c r="R45" i="13" s="1"/>
  <c r="O13" i="12"/>
  <c r="M68" i="13"/>
  <c r="N68" i="13" s="1"/>
  <c r="M43" i="13"/>
  <c r="N43" i="13" s="1"/>
  <c r="M38" i="13"/>
  <c r="N38" i="13" s="1"/>
  <c r="Q38" i="13" s="1" a="1"/>
  <c r="Q38" i="13" s="1"/>
  <c r="R38" i="13" s="1"/>
  <c r="D48" i="14"/>
  <c r="M49" i="13"/>
  <c r="N49" i="13" s="1"/>
  <c r="Q49" i="13" s="1" a="1"/>
  <c r="Q49" i="13" s="1"/>
  <c r="R49" i="13" s="1"/>
  <c r="D39" i="14"/>
  <c r="M2" i="13"/>
  <c r="N2" i="13" s="1"/>
  <c r="D64" i="14"/>
  <c r="D31" i="14"/>
  <c r="D88" i="14"/>
  <c r="D56" i="14"/>
  <c r="D55" i="14"/>
  <c r="M79" i="13"/>
  <c r="N79" i="13" s="1"/>
  <c r="M34" i="13"/>
  <c r="N34" i="13" s="1"/>
  <c r="M65" i="13"/>
  <c r="N65" i="13" s="1"/>
  <c r="Q65" i="13" s="1" a="1"/>
  <c r="Q65" i="13" s="1"/>
  <c r="R65" i="13" s="1"/>
  <c r="M78" i="13"/>
  <c r="N78" i="13" s="1"/>
  <c r="Q78" i="13" s="1" a="1"/>
  <c r="Q78" i="13" s="1"/>
  <c r="R78" i="13" s="1"/>
  <c r="D47" i="14"/>
  <c r="M77" i="13"/>
  <c r="N77" i="13" s="1"/>
  <c r="D40" i="14"/>
  <c r="M47" i="13"/>
  <c r="N47" i="13" s="1"/>
  <c r="D90" i="14"/>
  <c r="D82" i="14"/>
  <c r="D66" i="14"/>
  <c r="D42" i="14"/>
  <c r="D10" i="14"/>
  <c r="D89" i="14"/>
  <c r="D81" i="14"/>
  <c r="D65" i="14"/>
  <c r="D41" i="14"/>
  <c r="D8" i="14"/>
  <c r="D7" i="14"/>
  <c r="M7" i="13"/>
  <c r="N7" i="13" s="1"/>
  <c r="D85" i="14"/>
  <c r="D29" i="14"/>
  <c r="M64" i="13"/>
  <c r="N64" i="13" s="1"/>
  <c r="D68" i="14"/>
  <c r="D67" i="14"/>
  <c r="M56" i="13"/>
  <c r="N56" i="13" s="1"/>
  <c r="M51" i="13"/>
  <c r="N51" i="13" s="1"/>
  <c r="M52" i="13"/>
  <c r="N52" i="13" s="1"/>
  <c r="E3" i="19"/>
  <c r="M72" i="13"/>
  <c r="N72" i="13" s="1"/>
  <c r="O86" i="12"/>
  <c r="M15" i="13"/>
  <c r="N15" i="13" s="1"/>
  <c r="M54" i="13"/>
  <c r="N54" i="13" s="1"/>
  <c r="M50" i="13"/>
  <c r="N50" i="13" s="1"/>
  <c r="M83" i="10"/>
  <c r="N24" i="13"/>
  <c r="Q24" i="13" s="1" a="1"/>
  <c r="Q24" i="13" s="1"/>
  <c r="R24" i="13" s="1"/>
  <c r="M61" i="13"/>
  <c r="N61" i="13" s="1"/>
  <c r="Q61" i="13" s="1" a="1"/>
  <c r="Q61" i="13" s="1"/>
  <c r="R61" i="13" s="1"/>
  <c r="M81" i="13"/>
  <c r="N81" i="13" s="1"/>
  <c r="Q77" i="13" a="1"/>
  <c r="Q77" i="13" s="1"/>
  <c r="R77" i="13" s="1"/>
  <c r="M80" i="13"/>
  <c r="N80" i="13" s="1"/>
  <c r="O89" i="12"/>
  <c r="M31" i="13"/>
  <c r="N31" i="13" s="1"/>
  <c r="M12" i="13"/>
  <c r="N12" i="13" s="1"/>
  <c r="Q12" i="13" s="1" a="1"/>
  <c r="Q12" i="13" s="1"/>
  <c r="R12" i="13" s="1"/>
  <c r="M39" i="13"/>
  <c r="N39" i="13" s="1"/>
  <c r="M55" i="13"/>
  <c r="N55" i="13" s="1"/>
  <c r="L39" i="16"/>
  <c r="L46" i="16"/>
  <c r="L13" i="16"/>
  <c r="L40" i="16"/>
  <c r="L51" i="16"/>
  <c r="L24" i="16"/>
  <c r="L41" i="16"/>
  <c r="L44" i="16"/>
  <c r="L48" i="16"/>
  <c r="L52" i="16"/>
  <c r="L56" i="16"/>
  <c r="L49" i="16"/>
  <c r="L53" i="16"/>
  <c r="L31" i="16"/>
  <c r="L5" i="16"/>
  <c r="L32" i="16"/>
  <c r="L57" i="16"/>
  <c r="L59" i="16"/>
  <c r="M76" i="13"/>
  <c r="N76" i="13" s="1"/>
  <c r="O84" i="12"/>
  <c r="J87" i="9"/>
  <c r="J53" i="9"/>
  <c r="J45" i="9"/>
  <c r="J37" i="9"/>
  <c r="J29" i="9"/>
  <c r="J67" i="9"/>
  <c r="J38" i="9"/>
  <c r="J52" i="9"/>
  <c r="J44" i="9"/>
  <c r="J36" i="9"/>
  <c r="J54" i="9"/>
  <c r="J46" i="9"/>
  <c r="J58" i="9"/>
  <c r="J50" i="9"/>
  <c r="J42" i="9"/>
  <c r="J34" i="9"/>
  <c r="J73" i="9"/>
  <c r="J2" i="9"/>
  <c r="J6" i="9"/>
  <c r="J56" i="9"/>
  <c r="J48" i="9"/>
  <c r="J40" i="9"/>
  <c r="J32" i="9"/>
  <c r="J86" i="9"/>
  <c r="J85" i="9"/>
  <c r="J84" i="9"/>
  <c r="J83" i="9"/>
  <c r="J81" i="9"/>
  <c r="J76" i="9"/>
  <c r="J82" i="9"/>
  <c r="J5" i="9"/>
  <c r="J18" i="9"/>
  <c r="J80" i="9"/>
  <c r="J79" i="9"/>
  <c r="J77" i="9"/>
  <c r="J78" i="9"/>
  <c r="J75" i="9"/>
  <c r="J72" i="9"/>
  <c r="J71" i="9"/>
  <c r="J70" i="9"/>
  <c r="J69" i="9"/>
  <c r="J68" i="9"/>
  <c r="J66" i="9"/>
  <c r="J65" i="9"/>
  <c r="J64" i="9"/>
  <c r="J63" i="9"/>
  <c r="J62" i="9"/>
  <c r="J61" i="9"/>
  <c r="J60" i="9"/>
  <c r="J59" i="9"/>
  <c r="J28" i="9"/>
  <c r="J10" i="9"/>
  <c r="J9" i="9"/>
  <c r="J13" i="9"/>
  <c r="J17" i="9"/>
  <c r="J4" i="9"/>
  <c r="J8" i="9"/>
  <c r="J12" i="9"/>
  <c r="J16" i="9"/>
  <c r="J3" i="9"/>
  <c r="J7" i="9"/>
  <c r="J11" i="9"/>
  <c r="J19" i="9"/>
  <c r="J23" i="9"/>
  <c r="J20" i="9"/>
  <c r="J24" i="9"/>
  <c r="J21" i="9"/>
  <c r="J14" i="9"/>
  <c r="J22" i="9"/>
  <c r="J15" i="9"/>
  <c r="J27" i="9"/>
  <c r="J26" i="9"/>
  <c r="J25" i="9"/>
  <c r="M5" i="13"/>
  <c r="N5" i="13" s="1"/>
  <c r="Q5" i="13" s="1" a="1"/>
  <c r="Q5" i="13" s="1"/>
  <c r="R5" i="13" s="1"/>
  <c r="M37" i="13"/>
  <c r="N37" i="13" s="1"/>
  <c r="Q37" i="13" s="1" a="1"/>
  <c r="Q37" i="13" s="1"/>
  <c r="R37" i="13" s="1"/>
  <c r="M9" i="13"/>
  <c r="N9" i="13" s="1"/>
  <c r="Q9" i="13" s="1" a="1"/>
  <c r="Q9" i="13" s="1"/>
  <c r="R9" i="13" s="1"/>
  <c r="M32" i="13"/>
  <c r="N32" i="13" s="1"/>
  <c r="M33" i="13"/>
  <c r="N33" i="13" s="1"/>
  <c r="Q33" i="13" s="1" a="1"/>
  <c r="Q33" i="13" s="1"/>
  <c r="R33" i="13" s="1"/>
  <c r="M48" i="13"/>
  <c r="N48" i="13" s="1"/>
  <c r="M75" i="13"/>
  <c r="N75" i="13" s="1"/>
  <c r="N73" i="13"/>
  <c r="Q73" i="13" s="1" a="1"/>
  <c r="Q73" i="13" s="1"/>
  <c r="R73" i="13" s="1"/>
  <c r="Q74" i="13" a="1"/>
  <c r="Q74" i="13" s="1"/>
  <c r="R74" i="13" s="1"/>
  <c r="M18" i="13"/>
  <c r="N18" i="13" s="1"/>
  <c r="M23" i="13"/>
  <c r="N23" i="13" s="1"/>
  <c r="M28" i="13"/>
  <c r="N28" i="13" s="1"/>
  <c r="M57" i="13"/>
  <c r="N57" i="13" s="1"/>
  <c r="Q57" i="13" s="1" a="1"/>
  <c r="Q57" i="13" s="1"/>
  <c r="R57" i="13" s="1"/>
  <c r="M62" i="13"/>
  <c r="N62" i="13" s="1"/>
  <c r="E2" i="20"/>
  <c r="O2" i="12"/>
  <c r="M46" i="13"/>
  <c r="N46" i="13" s="1"/>
  <c r="M58" i="13"/>
  <c r="N58" i="13" s="1"/>
  <c r="M63" i="13"/>
  <c r="N63" i="13" s="1"/>
  <c r="M42" i="13"/>
  <c r="N42" i="13" s="1"/>
  <c r="M22" i="13"/>
  <c r="N22" i="13" s="1"/>
  <c r="N69" i="13"/>
  <c r="Q69" i="13" s="1" a="1"/>
  <c r="Q69" i="13" s="1"/>
  <c r="R69" i="13" s="1"/>
  <c r="M13" i="13"/>
  <c r="N13" i="13" s="1"/>
  <c r="Q13" i="13" s="1" a="1"/>
  <c r="Q13" i="13" s="1"/>
  <c r="R13" i="13" s="1"/>
  <c r="M17" i="13"/>
  <c r="N17" i="13" s="1"/>
  <c r="Q17" i="13" s="1" a="1"/>
  <c r="Q17" i="13" s="1"/>
  <c r="R17" i="13" s="1"/>
  <c r="M21" i="13"/>
  <c r="N21" i="13" s="1"/>
  <c r="Q21" i="13" s="1" a="1"/>
  <c r="Q21" i="13" s="1"/>
  <c r="R21" i="13" s="1"/>
  <c r="M66" i="13"/>
  <c r="N66" i="13" s="1"/>
  <c r="M3" i="13"/>
  <c r="N3" i="13" s="1"/>
  <c r="M25" i="13"/>
  <c r="N25" i="13" s="1"/>
  <c r="Q25" i="13" s="1" a="1"/>
  <c r="Q25" i="13" s="1"/>
  <c r="R25" i="13" s="1"/>
  <c r="M29" i="13"/>
  <c r="N29" i="13" s="1"/>
  <c r="Q29" i="13" s="1" a="1"/>
  <c r="Q29" i="13" s="1"/>
  <c r="R29" i="13" s="1"/>
  <c r="M40" i="13"/>
  <c r="N40" i="13" s="1"/>
  <c r="M44" i="13"/>
  <c r="N44" i="13" s="1"/>
  <c r="M70" i="13"/>
  <c r="N70" i="13" s="1"/>
  <c r="E4" i="19"/>
  <c r="M26" i="13"/>
  <c r="N26" i="13" s="1"/>
  <c r="M30" i="13"/>
  <c r="N30" i="13" s="1"/>
  <c r="M71" i="13"/>
  <c r="N71" i="13" s="1"/>
  <c r="Q11" i="13" a="1"/>
  <c r="Q11" i="13" s="1"/>
  <c r="R11" i="13" s="1"/>
  <c r="E2" i="19"/>
  <c r="M35" i="13"/>
  <c r="N35" i="13" s="1"/>
  <c r="L58" i="16"/>
  <c r="N8" i="13"/>
  <c r="Q8" i="13" s="1" a="1"/>
  <c r="Q8" i="13" s="1"/>
  <c r="R8" i="13" s="1"/>
  <c r="N14" i="13"/>
  <c r="Q14" i="13" s="1" a="1"/>
  <c r="Q14" i="13" s="1"/>
  <c r="R14" i="13" s="1"/>
  <c r="Q6" i="13" a="1"/>
  <c r="Q6" i="13" s="1"/>
  <c r="R6" i="13" s="1"/>
  <c r="Q10" i="13" a="1"/>
  <c r="Q10" i="13" s="1"/>
  <c r="R10" i="13" s="1"/>
  <c r="M4" i="13"/>
  <c r="Q20" i="13" a="1"/>
  <c r="Q20" i="13" s="1"/>
  <c r="R20" i="13" s="1"/>
  <c r="Q60" i="13" a="1"/>
  <c r="Q60" i="13" s="1"/>
  <c r="R60" i="13" s="1"/>
  <c r="Q34" i="13" a="1"/>
  <c r="Q34" i="13" s="1"/>
  <c r="R34" i="13" s="1"/>
  <c r="Q16" i="13" a="1"/>
  <c r="Q16" i="13" s="1"/>
  <c r="R16" i="13" s="1"/>
  <c r="Q19" i="13" a="1"/>
  <c r="Q19" i="13" s="1"/>
  <c r="R19" i="13" s="1"/>
  <c r="Q27" i="13" a="1"/>
  <c r="Q27" i="13" s="1"/>
  <c r="R27" i="13" s="1"/>
  <c r="Q59" i="13" a="1"/>
  <c r="Q59" i="13" s="1"/>
  <c r="R59" i="13" s="1"/>
  <c r="Q67" i="13" a="1"/>
  <c r="Q67" i="13" s="1"/>
  <c r="R67" i="13" s="1"/>
  <c r="Q82" i="13" l="1" a="1"/>
  <c r="Q82" i="13" s="1"/>
  <c r="R82" i="13" s="1"/>
  <c r="Q68" i="13" a="1"/>
  <c r="Q68" i="13" s="1"/>
  <c r="R68" i="13" s="1"/>
  <c r="Q36" i="13" a="1"/>
  <c r="Q36" i="13" s="1"/>
  <c r="R36" i="13" s="1"/>
  <c r="Q56" i="13" a="1"/>
  <c r="Q56" i="13" s="1"/>
  <c r="R56" i="13" s="1"/>
  <c r="Q2" i="13" a="1"/>
  <c r="Q2" i="13" s="1"/>
  <c r="R2" i="13" s="1"/>
  <c r="Q79" i="13" a="1"/>
  <c r="Q79" i="13" s="1"/>
  <c r="R79" i="13" s="1"/>
  <c r="Q43" i="13" a="1"/>
  <c r="Q43" i="13" s="1"/>
  <c r="R43" i="13" s="1"/>
  <c r="Q15" i="13" a="1"/>
  <c r="Q15" i="13" s="1"/>
  <c r="R15" i="13" s="1"/>
  <c r="Q7" i="13" a="1"/>
  <c r="Q7" i="13" s="1"/>
  <c r="R7" i="13" s="1"/>
  <c r="Q51" i="13" a="1"/>
  <c r="Q51" i="13" s="1"/>
  <c r="R51" i="13" s="1"/>
  <c r="Q52" i="13" a="1"/>
  <c r="Q52" i="13" s="1"/>
  <c r="R52" i="13" s="1"/>
  <c r="Q47" i="13" a="1"/>
  <c r="Q47" i="13" s="1"/>
  <c r="R47" i="13" s="1"/>
  <c r="Q64" i="13" a="1"/>
  <c r="Q64" i="13" s="1"/>
  <c r="R64" i="13" s="1"/>
  <c r="Q54" i="13" a="1"/>
  <c r="Q54" i="13" s="1"/>
  <c r="R54" i="13" s="1"/>
  <c r="Q31" i="13" a="1"/>
  <c r="Q31" i="13" s="1"/>
  <c r="R31" i="13" s="1"/>
  <c r="Q72" i="13" a="1"/>
  <c r="Q72" i="13" s="1"/>
  <c r="R72" i="13" s="1"/>
  <c r="Q50" i="13" a="1"/>
  <c r="Q50" i="13" s="1"/>
  <c r="R50" i="13" s="1"/>
  <c r="Q39" i="13" a="1"/>
  <c r="Q39" i="13" s="1"/>
  <c r="R39" i="13" s="1"/>
  <c r="Q81" i="13" a="1"/>
  <c r="Q81" i="13" s="1"/>
  <c r="R81" i="13" s="1"/>
  <c r="Q80" i="13" a="1"/>
  <c r="Q80" i="13" s="1"/>
  <c r="R80" i="13" s="1"/>
  <c r="Q40" i="13" a="1"/>
  <c r="Q40" i="13" s="1"/>
  <c r="R40" i="13" s="1"/>
  <c r="Q55" i="13" a="1"/>
  <c r="Q55" i="13" s="1"/>
  <c r="R55" i="13" s="1"/>
  <c r="Q48" i="13" a="1"/>
  <c r="Q48" i="13" s="1"/>
  <c r="R48" i="13" s="1"/>
  <c r="Q28" i="13" a="1"/>
  <c r="Q28" i="13" s="1"/>
  <c r="R28" i="13" s="1"/>
  <c r="Q76" i="13" a="1"/>
  <c r="Q76" i="13" s="1"/>
  <c r="R76" i="13" s="1"/>
  <c r="Q62" i="13" a="1"/>
  <c r="Q62" i="13" s="1"/>
  <c r="R62" i="13" s="1"/>
  <c r="Q44" i="13" a="1"/>
  <c r="Q44" i="13" s="1"/>
  <c r="R44" i="13" s="1"/>
  <c r="Q23" i="13" a="1"/>
  <c r="Q23" i="13" s="1"/>
  <c r="R23" i="13" s="1"/>
  <c r="Q42" i="13" a="1"/>
  <c r="Q42" i="13" s="1"/>
  <c r="R42" i="13" s="1"/>
  <c r="Q58" i="13" a="1"/>
  <c r="Q58" i="13" s="1"/>
  <c r="R58" i="13" s="1"/>
  <c r="Q18" i="13" a="1"/>
  <c r="Q18" i="13" s="1"/>
  <c r="R18" i="13" s="1"/>
  <c r="Q66" i="13" a="1"/>
  <c r="Q66" i="13" s="1"/>
  <c r="R66" i="13" s="1"/>
  <c r="Q32" i="13" a="1"/>
  <c r="Q32" i="13" s="1"/>
  <c r="R32" i="13" s="1"/>
  <c r="Q63" i="13" a="1"/>
  <c r="Q63" i="13" s="1"/>
  <c r="R63" i="13" s="1"/>
  <c r="Q22" i="13" a="1"/>
  <c r="Q22" i="13" s="1"/>
  <c r="R22" i="13" s="1"/>
  <c r="Q35" i="13" a="1"/>
  <c r="Q35" i="13" s="1"/>
  <c r="R35" i="13" s="1"/>
  <c r="Q30" i="13" a="1"/>
  <c r="Q30" i="13" s="1"/>
  <c r="R30" i="13" s="1"/>
  <c r="Q75" i="13" a="1"/>
  <c r="Q75" i="13" s="1"/>
  <c r="R75" i="13" s="1"/>
  <c r="Q46" i="13" a="1"/>
  <c r="Q46" i="13" s="1"/>
  <c r="R46" i="13" s="1"/>
  <c r="Q3" i="13" a="1"/>
  <c r="Q3" i="13" s="1"/>
  <c r="R3" i="13" s="1"/>
  <c r="Q71" i="13" a="1"/>
  <c r="Q71" i="13" s="1"/>
  <c r="R71" i="13" s="1"/>
  <c r="Q26" i="13" a="1"/>
  <c r="Q26" i="13" s="1"/>
  <c r="R26" i="13" s="1"/>
  <c r="Q70" i="13" a="1"/>
  <c r="Q70" i="13" s="1"/>
  <c r="R70" i="13" s="1"/>
  <c r="N4" i="13"/>
  <c r="Q4" i="13" s="1" a="1"/>
  <c r="Q4" i="13" s="1"/>
  <c r="R4"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1" authorId="0" shapeId="0" xr:uid="{00000000-0006-0000-0C00-000001000000}">
      <text>
        <r>
          <rPr>
            <b/>
            <sz val="10"/>
            <color rgb="FF000000"/>
            <rFont val="Tahoma"/>
            <family val="2"/>
          </rPr>
          <t>T_CK_MST_ENTITY_TYPE</t>
        </r>
      </text>
    </comment>
    <comment ref="F1" authorId="0" shapeId="0" xr:uid="{00000000-0006-0000-0C00-000002000000}">
      <text>
        <r>
          <rPr>
            <b/>
            <sz val="10"/>
            <color rgb="FF000000"/>
            <rFont val="Tahoma"/>
            <family val="2"/>
          </rPr>
          <t>T_CK_MST_ENTITY_STATE</t>
        </r>
      </text>
    </comment>
    <comment ref="G1" authorId="0" shapeId="0" xr:uid="{00000000-0006-0000-0C00-000003000000}">
      <text>
        <r>
          <rPr>
            <b/>
            <sz val="10"/>
            <color rgb="FF000000"/>
            <rFont val="Tahoma"/>
            <family val="2"/>
          </rPr>
          <t>T_CK_MST_FORM_TYPE</t>
        </r>
      </text>
    </comment>
    <comment ref="H1" authorId="0" shapeId="0" xr:uid="{00000000-0006-0000-0C00-000004000000}">
      <text>
        <r>
          <rPr>
            <b/>
            <sz val="10"/>
            <color rgb="FF000000"/>
            <rFont val="Tahoma"/>
            <family val="2"/>
          </rPr>
          <t>T_CK_MST_FORM_ACTION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<sst xmlns="http://schemas.openxmlformats.org/spreadsheetml/2006/main" count="8189" uniqueCount="1203">
  <si>
    <t>APPSCODE</t>
  </si>
  <si>
    <t>ROLE_ID</t>
  </si>
  <si>
    <t>STATUS</t>
  </si>
  <si>
    <t>DESC</t>
  </si>
  <si>
    <t>SQL</t>
  </si>
  <si>
    <t>CK</t>
  </si>
  <si>
    <t>ADMIN</t>
  </si>
  <si>
    <t>A</t>
  </si>
  <si>
    <t>ACCOUNT ADMIN</t>
  </si>
  <si>
    <t>OFFICER</t>
  </si>
  <si>
    <t>OPERATIONS</t>
  </si>
  <si>
    <t>FINANCE</t>
  </si>
  <si>
    <t>SYS_SUPER_ADMIN</t>
  </si>
  <si>
    <t>SYSTEM SUPER ADMIN</t>
  </si>
  <si>
    <t>CKT</t>
  </si>
  <si>
    <t>FF_FINANCE</t>
  </si>
  <si>
    <t>OP_ADMIN</t>
  </si>
  <si>
    <t>OPERATIONS ADMIN</t>
  </si>
  <si>
    <t>SP_OP_ADMIN</t>
  </si>
  <si>
    <t>SP_L1</t>
  </si>
  <si>
    <t>LEVEL 1 SUPPORT</t>
  </si>
  <si>
    <t>SP_COM</t>
  </si>
  <si>
    <t>COMMERCIAL</t>
  </si>
  <si>
    <t>SP_BZ_HD</t>
  </si>
  <si>
    <t>BUSINESS HEAD</t>
  </si>
  <si>
    <t>SP_FIN_HD</t>
  </si>
  <si>
    <t>FINANCE HEAD</t>
  </si>
  <si>
    <t>SP_FIN_ADMIN</t>
  </si>
  <si>
    <t>FINANCE ADMIN</t>
  </si>
  <si>
    <t>DRIVER</t>
  </si>
  <si>
    <t>CKDO</t>
  </si>
  <si>
    <t>OFFICER_FINANCE</t>
  </si>
  <si>
    <t xml:space="preserve">NOTE: </t>
  </si>
  <si>
    <t>SP_FIN_ADMIN WILL REPLACE FINANCE_VERIFIER AND FINANCE_ADMIN</t>
  </si>
  <si>
    <t>SP_FIN_HD WILL REPLACE FINANCE_APPROVER</t>
  </si>
  <si>
    <t>User ID</t>
  </si>
  <si>
    <t>USR_ACCNID</t>
  </si>
  <si>
    <t>ACCOUNT TYPE</t>
  </si>
  <si>
    <t>ROLE ID</t>
  </si>
  <si>
    <t>IS ADMIN</t>
  </si>
  <si>
    <t>TEMP ROLE</t>
  </si>
  <si>
    <t>ALKNAR_U001</t>
  </si>
  <si>
    <t>ALKNAR</t>
  </si>
  <si>
    <t>ACC_TYPE_CO</t>
  </si>
  <si>
    <t>N</t>
  </si>
  <si>
    <t>ALKNAR_U002</t>
  </si>
  <si>
    <t>ALKNAR_U003</t>
  </si>
  <si>
    <t>ALMGA_U001</t>
  </si>
  <si>
    <t>ALMGA</t>
  </si>
  <si>
    <t>ALMGA_U002</t>
  </si>
  <si>
    <t>ALMGA_U003</t>
  </si>
  <si>
    <t>ASPIND_U001</t>
  </si>
  <si>
    <t>ASPIND</t>
  </si>
  <si>
    <t>ASPIND_U002</t>
  </si>
  <si>
    <t>ASPIND_U003</t>
  </si>
  <si>
    <t>COMLG_U001</t>
  </si>
  <si>
    <t>COMLG</t>
  </si>
  <si>
    <t>ACC_TYPE_FF</t>
  </si>
  <si>
    <t>COMLG_U002</t>
  </si>
  <si>
    <t>COMLG_U003</t>
  </si>
  <si>
    <t>DUNLS_U001</t>
  </si>
  <si>
    <t>DUNLS</t>
  </si>
  <si>
    <t>DUNLS_U002</t>
  </si>
  <si>
    <t>DUNLS_U003</t>
  </si>
  <si>
    <t>FREXID_U001</t>
  </si>
  <si>
    <t>FREXID</t>
  </si>
  <si>
    <t>FREXID_U002</t>
  </si>
  <si>
    <t>FREXID_U003</t>
  </si>
  <si>
    <t>GNOCIN_U001</t>
  </si>
  <si>
    <t>GNOCIN</t>
  </si>
  <si>
    <t>GNOCIN_U002</t>
  </si>
  <si>
    <t>GNOCIN_U003</t>
  </si>
  <si>
    <t>MSC_U001</t>
  </si>
  <si>
    <t>MSC</t>
  </si>
  <si>
    <t>ACC_TYPE_SL</t>
  </si>
  <si>
    <t>MSC_U002</t>
  </si>
  <si>
    <t>MSC_U003</t>
  </si>
  <si>
    <t>MSC_U004</t>
  </si>
  <si>
    <t>MSC_U005</t>
  </si>
  <si>
    <t>SUMTID_U001</t>
  </si>
  <si>
    <t>SUMTID</t>
  </si>
  <si>
    <t>SUMTID_U002</t>
  </si>
  <si>
    <t>SUMTID_U003</t>
  </si>
  <si>
    <t>TTIDR_U001</t>
  </si>
  <si>
    <t>TTIDR</t>
  </si>
  <si>
    <t>TTIDR_U002</t>
  </si>
  <si>
    <t>TTIDR_U003</t>
  </si>
  <si>
    <t>YINDF_U001</t>
  </si>
  <si>
    <t>YINDF</t>
  </si>
  <si>
    <t>YINDF_U002</t>
  </si>
  <si>
    <t>YINDF_U003</t>
  </si>
  <si>
    <t>GLI_U001</t>
  </si>
  <si>
    <t>GLI</t>
  </si>
  <si>
    <t>ACC_TYPE_SP</t>
  </si>
  <si>
    <t>FINANCE_ADMIN</t>
  </si>
  <si>
    <t>GLI_L1</t>
  </si>
  <si>
    <t>CREDIT UPDATE STATE</t>
  </si>
  <si>
    <t>ID</t>
  </si>
  <si>
    <t>NAME</t>
  </si>
  <si>
    <t>DESC OTH</t>
  </si>
  <si>
    <t>NEW</t>
  </si>
  <si>
    <t>SUB</t>
  </si>
  <si>
    <t>SUBMITTED</t>
  </si>
  <si>
    <t>DEL</t>
  </si>
  <si>
    <t>DELETED</t>
  </si>
  <si>
    <t>APP</t>
  </si>
  <si>
    <t>APPROVED</t>
  </si>
  <si>
    <t>REJ</t>
  </si>
  <si>
    <t>REJECTED</t>
  </si>
  <si>
    <t>MENU_ID</t>
  </si>
  <si>
    <t>MENU_APPS_CODE</t>
  </si>
  <si>
    <t>REMARKS</t>
  </si>
  <si>
    <t>MENU_GROUP_LABEL</t>
  </si>
  <si>
    <t>MENU_GROUP_LABEL_OTH</t>
  </si>
  <si>
    <t>MENU_NAME</t>
  </si>
  <si>
    <t>MENU_NAME_OTH</t>
  </si>
  <si>
    <t>MENU_SEQ</t>
  </si>
  <si>
    <t>MENU_PATH</t>
  </si>
  <si>
    <t>MENU_ICON</t>
  </si>
  <si>
    <t>MENU_PARENT</t>
  </si>
  <si>
    <t>MENU_STATUS</t>
  </si>
  <si>
    <t>CK_MH_080000</t>
  </si>
  <si>
    <t>Help</t>
  </si>
  <si>
    <t>/help</t>
  </si>
  <si>
    <t>help</t>
  </si>
  <si>
    <t>NULL</t>
  </si>
  <si>
    <t>CKT_MS_010000</t>
  </si>
  <si>
    <t>Services</t>
  </si>
  <si>
    <t>/</t>
  </si>
  <si>
    <t>grid_view</t>
  </si>
  <si>
    <t>CKT_MA_030000</t>
  </si>
  <si>
    <t>Administrations</t>
  </si>
  <si>
    <t>admin_panel_settings</t>
  </si>
  <si>
    <t>CKT_MA_030100</t>
  </si>
  <si>
    <t>Manage Trucks</t>
  </si>
  <si>
    <t>/administrations/truck-management/list</t>
  </si>
  <si>
    <t>CKT_MA_030200</t>
  </si>
  <si>
    <t>Manage Drivers</t>
  </si>
  <si>
    <t>/administrations/driver-management/list</t>
  </si>
  <si>
    <t>CKT_MA_030300</t>
  </si>
  <si>
    <t>Manage Locations</t>
  </si>
  <si>
    <t>/administrations/location-management/list</t>
  </si>
  <si>
    <t>CKT_MA_030400</t>
  </si>
  <si>
    <t>Manage Rentals</t>
  </si>
  <si>
    <t>/administrations/rental-management/list</t>
  </si>
  <si>
    <t>CKT_MA_030500</t>
  </si>
  <si>
    <t>Manage Rate Table</t>
  </si>
  <si>
    <t>/administrations/rateTable-management/list</t>
  </si>
  <si>
    <t>CKT_MA_030600</t>
  </si>
  <si>
    <t>Live Monitoring</t>
  </si>
  <si>
    <t>/administrations/live-monitoring</t>
  </si>
  <si>
    <t>CKT_MA_030700</t>
  </si>
  <si>
    <t>Historical Monitoring</t>
  </si>
  <si>
    <t>/administrations/historical-monitoring</t>
  </si>
  <si>
    <t>CKT_MA_030800</t>
  </si>
  <si>
    <t>Truck Performance</t>
  </si>
  <si>
    <t>/administrations/trackTrackEnterExit/list</t>
  </si>
  <si>
    <t>CKT_AA_050000</t>
  </si>
  <si>
    <t>Account Administration</t>
  </si>
  <si>
    <t>manage_accounts</t>
  </si>
  <si>
    <t>CKT_AA_050100</t>
  </si>
  <si>
    <t>Account Profile</t>
  </si>
  <si>
    <t>/account/profile</t>
  </si>
  <si>
    <t>CKT_AA_050200</t>
  </si>
  <si>
    <t>Manage Users</t>
  </si>
  <si>
    <t>/account/users</t>
  </si>
  <si>
    <t>CKT_MH_090000</t>
  </si>
  <si>
    <t>CKT_FA_060000</t>
  </si>
  <si>
    <t>SP Finance Admin</t>
  </si>
  <si>
    <t>Finance Administration</t>
  </si>
  <si>
    <t>account_balance</t>
  </si>
  <si>
    <t>CKT_FA_060100</t>
  </si>
  <si>
    <t>Sage Excel Report</t>
  </si>
  <si>
    <t>/manage/sage/excel</t>
  </si>
  <si>
    <t>CKT_FA_060200</t>
  </si>
  <si>
    <t>Manage Sage Tax No.</t>
  </si>
  <si>
    <t>/manage/sage/tax</t>
  </si>
  <si>
    <t>CKT_FN_070000</t>
  </si>
  <si>
    <t>SP Finance</t>
  </si>
  <si>
    <t>Finance</t>
  </si>
  <si>
    <t>CKT_FN_070100</t>
  </si>
  <si>
    <t>Rate Table Management</t>
  </si>
  <si>
    <t>/manage/ratetable</t>
  </si>
  <si>
    <t>CKT_FN_070200</t>
  </si>
  <si>
    <t>Contract Requests</t>
  </si>
  <si>
    <t>/opadmin/contractrequest/list</t>
  </si>
  <si>
    <t>CKT_FN_070300</t>
  </si>
  <si>
    <t>Accounts Management</t>
  </si>
  <si>
    <t>/manageAccounts/all/list</t>
  </si>
  <si>
    <t>CKT_CS_070000</t>
  </si>
  <si>
    <t>SP Customer Service</t>
  </si>
  <si>
    <t>Customer Service</t>
  </si>
  <si>
    <t>support_agent</t>
  </si>
  <si>
    <t>CKT_CS_070100</t>
  </si>
  <si>
    <t>CKT_CS_070200</t>
  </si>
  <si>
    <t>Documents Verification</t>
  </si>
  <si>
    <t>/opadmin/docverification</t>
  </si>
  <si>
    <t>CKT_CS_070300</t>
  </si>
  <si>
    <t>CKT_OA_080000</t>
  </si>
  <si>
    <t>SP Operations Admin</t>
  </si>
  <si>
    <t>Operations Administration</t>
  </si>
  <si>
    <t>CKT_OA_080100</t>
  </si>
  <si>
    <t>Account Suspension/Resumption</t>
  </si>
  <si>
    <t>/opadmin/accounts/co/list</t>
  </si>
  <si>
    <t>CKT_OA_080200</t>
  </si>
  <si>
    <t>Bank Account</t>
  </si>
  <si>
    <t>/opadmin/bankaccounts</t>
  </si>
  <si>
    <t>CKT_OA_080300</t>
  </si>
  <si>
    <t>Static Virtual Account</t>
  </si>
  <si>
    <t>/opadmin/staticva</t>
  </si>
  <si>
    <t>CKT_OA_080400</t>
  </si>
  <si>
    <t>Tracking Device</t>
  </si>
  <si>
    <t>/opadmin/trackingdevices</t>
  </si>
  <si>
    <t>CKT_OA_080500</t>
  </si>
  <si>
    <t>SAGE Integration</t>
  </si>
  <si>
    <t>/opadmin/sageintegrations</t>
  </si>
  <si>
    <t>CKT_OA_080600</t>
  </si>
  <si>
    <t>User Management</t>
  </si>
  <si>
    <t>/opadmin/users</t>
  </si>
  <si>
    <t>CKT_OA_080700</t>
  </si>
  <si>
    <t>Outbound Payments</t>
  </si>
  <si>
    <t>/opadmin/outboundpayments</t>
  </si>
  <si>
    <t>CKT_OA_080800</t>
  </si>
  <si>
    <t>Inbound Payments</t>
  </si>
  <si>
    <t>/opadmin/inboundpayments</t>
  </si>
  <si>
    <t>CKT_OA_080900</t>
  </si>
  <si>
    <t>Contract Management</t>
  </si>
  <si>
    <t>/opadmin/contracts</t>
  </si>
  <si>
    <t>CKT_OA_081000</t>
  </si>
  <si>
    <t>CKT_OA_081100</t>
  </si>
  <si>
    <t>Credit Limit</t>
  </si>
  <si>
    <t>/opadmin/creditlimit</t>
  </si>
  <si>
    <t>CKT_OA_081200</t>
  </si>
  <si>
    <t>Job Termination</t>
  </si>
  <si>
    <t>/opadmin/order-termination/list</t>
  </si>
  <si>
    <t>CKT_RP_080000</t>
  </si>
  <si>
    <t>Reports</t>
  </si>
  <si>
    <t>/reports/list</t>
  </si>
  <si>
    <t>summarize</t>
  </si>
  <si>
    <t>CKDO_MA_030000</t>
  </si>
  <si>
    <t>group</t>
  </si>
  <si>
    <t>CKDO_MA_030100</t>
  </si>
  <si>
    <t>/accountProfile</t>
  </si>
  <si>
    <t>CKDO_MA_030200</t>
  </si>
  <si>
    <t>Users</t>
  </si>
  <si>
    <t>/accountUsers</t>
  </si>
  <si>
    <t>CKDO_MA_030300</t>
  </si>
  <si>
    <t>Authorisations</t>
  </si>
  <si>
    <t>/accountAuthorisations</t>
  </si>
  <si>
    <t>CKDO_MP_020000</t>
  </si>
  <si>
    <t>DO Payments</t>
  </si>
  <si>
    <t>payment</t>
  </si>
  <si>
    <t>CKDO_MP_020100</t>
  </si>
  <si>
    <t>Payments</t>
  </si>
  <si>
    <t>/payments/active/list</t>
  </si>
  <si>
    <t>CKDO_MP_020300</t>
  </si>
  <si>
    <t>Transactions</t>
  </si>
  <si>
    <t>/payments/transactions/list</t>
  </si>
  <si>
    <t>CKDO_MP_040000</t>
  </si>
  <si>
    <t>/applications/payments/do/sl</t>
  </si>
  <si>
    <t>CKDO_MP_070000</t>
  </si>
  <si>
    <t>/applications/payments/viewPaymentHistory</t>
  </si>
  <si>
    <t>receipt</t>
  </si>
  <si>
    <t>CKDO_MSA_060000</t>
  </si>
  <si>
    <t>System Administrations</t>
  </si>
  <si>
    <t>settings</t>
  </si>
  <si>
    <t>CKDO_MSA_060100</t>
  </si>
  <si>
    <t>Announcement Setup</t>
  </si>
  <si>
    <t>/configuration/announcement/list</t>
  </si>
  <si>
    <t>CKDO_MSA_060200</t>
  </si>
  <si>
    <t>Notification Preferences</t>
  </si>
  <si>
    <t>/configuration/notification/preferences/list</t>
  </si>
  <si>
    <t>CKDO_MSA_060300</t>
  </si>
  <si>
    <t>System Parameters</t>
  </si>
  <si>
    <t>/administrations/sysparam/list</t>
  </si>
  <si>
    <t>CKDO_MSA_060400</t>
  </si>
  <si>
    <t>Audit Logs</t>
  </si>
  <si>
    <t>/administrations/audit/list</t>
  </si>
  <si>
    <t>CKDO_MSA_060500</t>
  </si>
  <si>
    <t>Exceptions</t>
  </si>
  <si>
    <t>/administrations/exception/list</t>
  </si>
  <si>
    <t>CKDO_MSA_060600</t>
  </si>
  <si>
    <t>Manage All Users</t>
  </si>
  <si>
    <t>/manageUsers/users/all/list</t>
  </si>
  <si>
    <t>CKDO_MSA_060700</t>
  </si>
  <si>
    <t>Manage All Accounts</t>
  </si>
  <si>
    <t>CKDO_MS_010000</t>
  </si>
  <si>
    <t>DO Claim</t>
  </si>
  <si>
    <t>CKDO_MS_020000</t>
  </si>
  <si>
    <t>Documents</t>
  </si>
  <si>
    <t>content_copy</t>
  </si>
  <si>
    <t>CKDO_MT_050000</t>
  </si>
  <si>
    <t>Master Table</t>
  </si>
  <si>
    <t>table_view</t>
  </si>
  <si>
    <t>CKDO_MT_050100</t>
  </si>
  <si>
    <t>Announcement Type</t>
  </si>
  <si>
    <t>/configuration/announcementType/list</t>
  </si>
  <si>
    <t>CKDO_MT_050200</t>
  </si>
  <si>
    <t>Country Codes</t>
  </si>
  <si>
    <t>/master/country/list</t>
  </si>
  <si>
    <t>CKDO_MT_050300</t>
  </si>
  <si>
    <t>Currency Code</t>
  </si>
  <si>
    <t>/master/currency/list</t>
  </si>
  <si>
    <t>CKDO_MT_050400</t>
  </si>
  <si>
    <t>Harmonized System Codes</t>
  </si>
  <si>
    <t>/master/hsCode/list</t>
  </si>
  <si>
    <t>CKDO_MT_050500</t>
  </si>
  <si>
    <t>Notification Templates</t>
  </si>
  <si>
    <t>/notification/templates/list</t>
  </si>
  <si>
    <t>CKDO_MT_050600</t>
  </si>
  <si>
    <t>Port Codes</t>
  </si>
  <si>
    <t>/master/port/list</t>
  </si>
  <si>
    <t>CKDO_MT_050700</t>
  </si>
  <si>
    <t>Port Terminal</t>
  </si>
  <si>
    <t>/master/portTerminal/list</t>
  </si>
  <si>
    <t>CKDO_MT_050800</t>
  </si>
  <si>
    <t>UOM Codes</t>
  </si>
  <si>
    <t>/master/uom/list</t>
  </si>
  <si>
    <t>CKDO_MH_080000</t>
  </si>
  <si>
    <t>CKDO_MS_030000</t>
  </si>
  <si>
    <t>DO Extension Payment</t>
  </si>
  <si>
    <t>/applications/invoices/ext</t>
  </si>
  <si>
    <t>CKDO_MS_040000</t>
  </si>
  <si>
    <t>Platform Fee</t>
  </si>
  <si>
    <t>/applications/platformfee/list</t>
  </si>
  <si>
    <t>CKDO_MS_050000</t>
  </si>
  <si>
    <t>Exchange Rate</t>
  </si>
  <si>
    <t>/applications/exchangerate/list</t>
  </si>
  <si>
    <t>CKDO_MS_060000</t>
  </si>
  <si>
    <t>Report</t>
  </si>
  <si>
    <t>CKDO_MS_060100</t>
  </si>
  <si>
    <t>/applications/report/do</t>
  </si>
  <si>
    <t>CKDO_MS_060200</t>
  </si>
  <si>
    <t>DO Extension</t>
  </si>
  <si>
    <t>/applications/report/ext</t>
  </si>
  <si>
    <t>CKDO_MS_070000</t>
  </si>
  <si>
    <t>COREOR</t>
  </si>
  <si>
    <t>/applications/coreor/list</t>
  </si>
  <si>
    <t>CK_MS_010000</t>
  </si>
  <si>
    <t>CK_MP_020000</t>
  </si>
  <si>
    <t>/payments</t>
  </si>
  <si>
    <t>CK_MA_030000</t>
  </si>
  <si>
    <t>CK_MA_030100</t>
  </si>
  <si>
    <t>CK_MA_030200</t>
  </si>
  <si>
    <t>CK_MA_030300</t>
  </si>
  <si>
    <t>CK_MH_040000</t>
  </si>
  <si>
    <t>CK_MT_050000</t>
  </si>
  <si>
    <t>CK_MT_050100</t>
  </si>
  <si>
    <t>CK_MT_050200</t>
  </si>
  <si>
    <t>CK_MT_050300</t>
  </si>
  <si>
    <t>CK_MT_050400</t>
  </si>
  <si>
    <t>CK_MT_050500</t>
  </si>
  <si>
    <t>CK_MT_050600</t>
  </si>
  <si>
    <t>CK_MT_050700</t>
  </si>
  <si>
    <t>CK_MT_050800</t>
  </si>
  <si>
    <t>CK_MSA_060000</t>
  </si>
  <si>
    <t>CK_MSA_060100</t>
  </si>
  <si>
    <t>CK_MSA_060200</t>
  </si>
  <si>
    <t>CK_MSA_060300</t>
  </si>
  <si>
    <t>CK_MSA_060400</t>
  </si>
  <si>
    <t>CK_MSA_060500</t>
  </si>
  <si>
    <t>CK_MSA_060600</t>
  </si>
  <si>
    <t>CK_MSA_060700</t>
  </si>
  <si>
    <t>/administrations/contract-management/list</t>
  </si>
  <si>
    <t>CKT_MA_040000</t>
  </si>
  <si>
    <t>Manage Contracts</t>
  </si>
  <si>
    <t>CKT_MH_080000</t>
  </si>
  <si>
    <t>PERM_ID</t>
  </si>
  <si>
    <t>PERM_GROUP</t>
  </si>
  <si>
    <t>PERM_APPS</t>
  </si>
  <si>
    <t>PERM_MODULE</t>
  </si>
  <si>
    <t>PERM_TYPE</t>
  </si>
  <si>
    <t>PERM_SERVICE</t>
  </si>
  <si>
    <t>PERM_SERVICE_URI</t>
  </si>
  <si>
    <t>PERM_MENU</t>
  </si>
  <si>
    <t>PERM_MENU_NAME</t>
  </si>
  <si>
    <t>PERM_DOC_TYPE</t>
  </si>
  <si>
    <t>PERM_DOC_CODE</t>
  </si>
  <si>
    <t>PERM_ACTION</t>
  </si>
  <si>
    <t>PERM_DESC</t>
  </si>
  <si>
    <t>PERM_DESC_OTH</t>
  </si>
  <si>
    <t>PERM_ACCESS</t>
  </si>
  <si>
    <t>PM000</t>
  </si>
  <si>
    <t>Y</t>
  </si>
  <si>
    <t>M</t>
  </si>
  <si>
    <t>R</t>
  </si>
  <si>
    <t>INSERT INTO `T_CORE_PERM_EX` (`PERM_ID`, `PERM_GROUP`, `PERM_APPS`, `PERM_MODULE`, `PERM_TYPE`, `PERM_SERVICE`, `PERM_SERVICE_URI`, `PERM_MENU`,`PERM_MENU_NAME`,`PERM_DESC`, `PERM_DESC_OTH`, `PERM_ACCESS`, `PERM_DT_ACTIVE`, `PERM_DT_DEACTIVE`, `PERM_STATUS`, `PERM_DT_CREATE`, `PERM_UID_CREATE`,`PERM_DT_LUPD`, `PERM_UID_LUPD`)</t>
  </si>
  <si>
    <t>PM001</t>
  </si>
  <si>
    <t>PM002</t>
  </si>
  <si>
    <t>PM003</t>
  </si>
  <si>
    <t>PM004</t>
  </si>
  <si>
    <t>PM005</t>
  </si>
  <si>
    <t>PM006</t>
  </si>
  <si>
    <t>PM007</t>
  </si>
  <si>
    <t>PM008</t>
  </si>
  <si>
    <t>PM009</t>
  </si>
  <si>
    <t>PM010</t>
  </si>
  <si>
    <t>PM011</t>
  </si>
  <si>
    <t>PM012</t>
  </si>
  <si>
    <t>PM013</t>
  </si>
  <si>
    <t>PM014</t>
  </si>
  <si>
    <t>PM015</t>
  </si>
  <si>
    <t>PM016</t>
  </si>
  <si>
    <t>PM017</t>
  </si>
  <si>
    <t>PM018</t>
  </si>
  <si>
    <t>PM019</t>
  </si>
  <si>
    <t>PM020</t>
  </si>
  <si>
    <t>PM021</t>
  </si>
  <si>
    <t>PM022</t>
  </si>
  <si>
    <t>PM023</t>
  </si>
  <si>
    <t>PM024</t>
  </si>
  <si>
    <t>PM025</t>
  </si>
  <si>
    <t>PM026</t>
  </si>
  <si>
    <t>PM027</t>
  </si>
  <si>
    <t>PM028</t>
  </si>
  <si>
    <t>PM029</t>
  </si>
  <si>
    <t>PM030</t>
  </si>
  <si>
    <t>PM031</t>
  </si>
  <si>
    <t>PM032</t>
  </si>
  <si>
    <t>PM033</t>
  </si>
  <si>
    <t>PM034</t>
  </si>
  <si>
    <t>PM035</t>
  </si>
  <si>
    <t>PM036</t>
  </si>
  <si>
    <t>PM037</t>
  </si>
  <si>
    <t>PM038</t>
  </si>
  <si>
    <t>PM039</t>
  </si>
  <si>
    <t>PM040</t>
  </si>
  <si>
    <t>PM041</t>
  </si>
  <si>
    <t>PM042</t>
  </si>
  <si>
    <t>PM043</t>
  </si>
  <si>
    <t>PM044</t>
  </si>
  <si>
    <t>PM045</t>
  </si>
  <si>
    <t>PM046</t>
  </si>
  <si>
    <t>PM047</t>
  </si>
  <si>
    <t>PM048</t>
  </si>
  <si>
    <t>PM049</t>
  </si>
  <si>
    <t>PM050</t>
  </si>
  <si>
    <t>PM051</t>
  </si>
  <si>
    <t>PM052</t>
  </si>
  <si>
    <t>PM053</t>
  </si>
  <si>
    <t>PM054</t>
  </si>
  <si>
    <t>PM055</t>
  </si>
  <si>
    <t>PM056</t>
  </si>
  <si>
    <t>PM057</t>
  </si>
  <si>
    <t>PM058</t>
  </si>
  <si>
    <t>PM059</t>
  </si>
  <si>
    <t>PM060</t>
  </si>
  <si>
    <t>PM061</t>
  </si>
  <si>
    <t>PM062</t>
  </si>
  <si>
    <t>PM063</t>
  </si>
  <si>
    <t>PM064</t>
  </si>
  <si>
    <t>PM065</t>
  </si>
  <si>
    <t>PM066</t>
  </si>
  <si>
    <t>PM067</t>
  </si>
  <si>
    <t>PM068</t>
  </si>
  <si>
    <t>PM069</t>
  </si>
  <si>
    <t>GNTRLEX_APPS_CODE</t>
  </si>
  <si>
    <t>GNTRLEX_ROLE_ID</t>
  </si>
  <si>
    <t>GNTRLEX_PERM_ID</t>
  </si>
  <si>
    <t>MENU NAME</t>
  </si>
  <si>
    <t>GNTRLEX_STATUS</t>
  </si>
  <si>
    <t>ENTY_ID</t>
  </si>
  <si>
    <t>ENTY_NAME</t>
  </si>
  <si>
    <t>ENTY_DESC</t>
  </si>
  <si>
    <t>ENTY_DESC_OTH</t>
  </si>
  <si>
    <t>ENTY_STATUS</t>
  </si>
  <si>
    <t>JOB_DOI_CO</t>
  </si>
  <si>
    <t>DO Import Job For CO</t>
  </si>
  <si>
    <t>JOB_DOI_FF</t>
  </si>
  <si>
    <t>DO Import Job For FF</t>
  </si>
  <si>
    <t>TASK_DOI_FF</t>
  </si>
  <si>
    <t>DO Import Task for CO FF</t>
  </si>
  <si>
    <t>ACCN_REGISTRATION</t>
  </si>
  <si>
    <t>Account Registration</t>
  </si>
  <si>
    <t>ACCN_RESUMPTION</t>
  </si>
  <si>
    <t>Account Resumption</t>
  </si>
  <si>
    <t>ACCN_SUSPENSION</t>
  </si>
  <si>
    <t>Account Suspension</t>
  </si>
  <si>
    <t>ACCN_TERMINATION</t>
  </si>
  <si>
    <t>Account Termination</t>
  </si>
  <si>
    <t>CONTRACT_REQUEST</t>
  </si>
  <si>
    <t>CONTRACT Update Request</t>
  </si>
  <si>
    <t>CREDIT_LIMIT</t>
  </si>
  <si>
    <t>JOB_TERMINATION</t>
  </si>
  <si>
    <t>JOB Termination</t>
  </si>
  <si>
    <t>JOB_TRUCK</t>
  </si>
  <si>
    <t>TRUCK Import Job</t>
  </si>
  <si>
    <t>JOB_TRUCK_OUT_PAY</t>
  </si>
  <si>
    <t>TRUCK Job Payment</t>
  </si>
  <si>
    <t>TRIP_RATE_TABLE</t>
  </si>
  <si>
    <t>TRUCK Trip Rate Table</t>
  </si>
  <si>
    <t>JOB_TRUCK_MOBILE</t>
  </si>
  <si>
    <t>TRUCK Job Mobile</t>
  </si>
  <si>
    <t>FMTYP_ID</t>
  </si>
  <si>
    <t>FMTYP_NAME</t>
  </si>
  <si>
    <t>FMTYP_DESC</t>
  </si>
  <si>
    <t>FMTYP_DESC_OTH</t>
  </si>
  <si>
    <t>FMTYP_STATUS</t>
  </si>
  <si>
    <t>EDIT</t>
  </si>
  <si>
    <t>Editable Form</t>
  </si>
  <si>
    <t>RETURN</t>
  </si>
  <si>
    <t>Return Form</t>
  </si>
  <si>
    <t>VIEW</t>
  </si>
  <si>
    <t>View Only Form</t>
  </si>
  <si>
    <t>FMACT_ID</t>
  </si>
  <si>
    <t>FMACT_NAME</t>
  </si>
  <si>
    <t>FMACT_DESC</t>
  </si>
  <si>
    <t>FMACT_DESC_OTH</t>
  </si>
  <si>
    <t>FMACT_STATUS</t>
  </si>
  <si>
    <t>SQL SCRIPT</t>
  </si>
  <si>
    <t>ACCEPT</t>
  </si>
  <si>
    <t>Form Accept</t>
  </si>
  <si>
    <t xml:space="preserve"> Form Accept</t>
  </si>
  <si>
    <t>ACKNOWLEDGE_BILL</t>
  </si>
  <si>
    <t>Acknowledge Job Billing</t>
  </si>
  <si>
    <t>ACTIVATE</t>
  </si>
  <si>
    <t>Form Activate</t>
  </si>
  <si>
    <t>APPROVE</t>
  </si>
  <si>
    <t>Form Approve</t>
  </si>
  <si>
    <t>APPROVE_BILL</t>
  </si>
  <si>
    <t>Approve Job Billing</t>
  </si>
  <si>
    <t>ASSIGN</t>
  </si>
  <si>
    <t>Form Assign</t>
  </si>
  <si>
    <t>BILLJOB</t>
  </si>
  <si>
    <t>Bill Job</t>
  </si>
  <si>
    <t>CANCEL</t>
  </si>
  <si>
    <t>Form Cancel</t>
  </si>
  <si>
    <t>CLONE</t>
  </si>
  <si>
    <t>Form Clone</t>
  </si>
  <si>
    <t>DEACTIVATE</t>
  </si>
  <si>
    <t>Form Deactivate</t>
  </si>
  <si>
    <t>DELETE</t>
  </si>
  <si>
    <t>Form Delete</t>
  </si>
  <si>
    <t>EXIT</t>
  </si>
  <si>
    <t>Form Exit</t>
  </si>
  <si>
    <t>Form New</t>
  </si>
  <si>
    <t>PAUSE</t>
  </si>
  <si>
    <t>Form Pause</t>
  </si>
  <si>
    <t>PAY</t>
  </si>
  <si>
    <t>Form Pay</t>
  </si>
  <si>
    <t>QUERY</t>
  </si>
  <si>
    <t>Form Query</t>
  </si>
  <si>
    <t>REJECT</t>
  </si>
  <si>
    <t>Form Reject</t>
  </si>
  <si>
    <t>REJECT_BILL</t>
  </si>
  <si>
    <t>Reject Job Billing</t>
  </si>
  <si>
    <t>RESUMPTION</t>
  </si>
  <si>
    <t>Form Unsuspend</t>
  </si>
  <si>
    <t>REVERIFY</t>
  </si>
  <si>
    <t>Form Reverify</t>
  </si>
  <si>
    <t>SAVE</t>
  </si>
  <si>
    <t>Form Save</t>
  </si>
  <si>
    <t>START</t>
  </si>
  <si>
    <t>Form Start</t>
  </si>
  <si>
    <t>STOP</t>
  </si>
  <si>
    <t>Form Stop</t>
  </si>
  <si>
    <t>SUBMIT</t>
  </si>
  <si>
    <t>Form Submit</t>
  </si>
  <si>
    <t>SUSPEND</t>
  </si>
  <si>
    <t>Form Suspend</t>
  </si>
  <si>
    <t>TERMINATE</t>
  </si>
  <si>
    <t>Form Terminate</t>
  </si>
  <si>
    <t>Form Verify</t>
  </si>
  <si>
    <t>VERIFY</t>
  </si>
  <si>
    <t>VERIFY_BILL</t>
  </si>
  <si>
    <t>Verify Job Billing</t>
  </si>
  <si>
    <t>WITHDRAW</t>
  </si>
  <si>
    <t>Form Withdraw</t>
  </si>
  <si>
    <t>MCARGO</t>
  </si>
  <si>
    <t>Mobile Form to View Cargo Details</t>
  </si>
  <si>
    <t>MDELIVER</t>
  </si>
  <si>
    <t>Mobile Form to Start Delivering Cargo</t>
  </si>
  <si>
    <t>MDROPOFF</t>
  </si>
  <si>
    <t>Mobile Form to DropOff Cargo</t>
  </si>
  <si>
    <t>MPICKUP</t>
  </si>
  <si>
    <t>Mobile Form to Pickup Cargo</t>
  </si>
  <si>
    <t>MREDO</t>
  </si>
  <si>
    <t>Mobile Form to Redo Pickup Cargo</t>
  </si>
  <si>
    <t>MREMARKS</t>
  </si>
  <si>
    <t>Mobile Form to Show Remarks/Special Instructions</t>
  </si>
  <si>
    <t>CTRL_ID</t>
  </si>
  <si>
    <t>CTRL_ACCN_TYPE</t>
  </si>
  <si>
    <t>CTRL_ACCN</t>
  </si>
  <si>
    <t>CTRL_USR_ROLE</t>
  </si>
  <si>
    <t>CTRL_ENTITY_TYPE</t>
  </si>
  <si>
    <t>CTRL_ENTITY_STATE</t>
  </si>
  <si>
    <t>CTRL_FORM_TYPE</t>
  </si>
  <si>
    <t>CTRL_FORM_ACTION</t>
  </si>
  <si>
    <t>CTRL_FORM_ACTION_MENU</t>
  </si>
  <si>
    <t>CTRL_STATUS</t>
  </si>
  <si>
    <t>DRF</t>
  </si>
  <si>
    <t>CON</t>
  </si>
  <si>
    <t>can use SUBMIT</t>
  </si>
  <si>
    <t>PAID</t>
  </si>
  <si>
    <t>PMV</t>
  </si>
  <si>
    <t>COM</t>
  </si>
  <si>
    <t>PAYMENT VERIFIED</t>
  </si>
  <si>
    <t>PROG</t>
  </si>
  <si>
    <t>ACC_TYPE_TO</t>
  </si>
  <si>
    <t>ACP</t>
  </si>
  <si>
    <t>ASG</t>
  </si>
  <si>
    <t>ONGOING</t>
  </si>
  <si>
    <t>BILLED</t>
  </si>
  <si>
    <t>VER_BILL</t>
  </si>
  <si>
    <t>ACK_BILL</t>
  </si>
  <si>
    <t>APP_BILL</t>
  </si>
  <si>
    <t>DLV</t>
  </si>
  <si>
    <t>FAIL</t>
  </si>
  <si>
    <t>VER</t>
  </si>
  <si>
    <t>SUS</t>
  </si>
  <si>
    <t>TERMINATED</t>
  </si>
  <si>
    <t>ROLE</t>
  </si>
  <si>
    <t>SERVICE TYPE</t>
  </si>
  <si>
    <t>ACTION</t>
  </si>
  <si>
    <t>FROM STATE</t>
  </si>
  <si>
    <t>TO STATE</t>
  </si>
  <si>
    <t>URI</t>
  </si>
  <si>
    <t>JOB_1</t>
  </si>
  <si>
    <t>CLICTRUCK</t>
  </si>
  <si>
    <t>JOB_2</t>
  </si>
  <si>
    <t>JOB_3</t>
  </si>
  <si>
    <t>CAN</t>
  </si>
  <si>
    <t>JOB_4</t>
  </si>
  <si>
    <t>JOB_5</t>
  </si>
  <si>
    <t>JOB_6</t>
  </si>
  <si>
    <t>JOB_7</t>
  </si>
  <si>
    <t>JOB_8</t>
  </si>
  <si>
    <t>JOB_9</t>
  </si>
  <si>
    <t>JOB_10</t>
  </si>
  <si>
    <t>JOB_11</t>
  </si>
  <si>
    <t>JOB_12</t>
  </si>
  <si>
    <t>JOB_13</t>
  </si>
  <si>
    <t>JOB_14</t>
  </si>
  <si>
    <t>JOB_15</t>
  </si>
  <si>
    <t>JOB_16</t>
  </si>
  <si>
    <t>JOB_17</t>
  </si>
  <si>
    <t>JOB_18</t>
  </si>
  <si>
    <t>JOB_19</t>
  </si>
  <si>
    <t>JOB_20</t>
  </si>
  <si>
    <t>JOB_21</t>
  </si>
  <si>
    <t>JOB_22</t>
  </si>
  <si>
    <t>JOB_23</t>
  </si>
  <si>
    <t>JOB_24</t>
  </si>
  <si>
    <t>JOB_25</t>
  </si>
  <si>
    <t>JOB_26</t>
  </si>
  <si>
    <t>JOB_27</t>
  </si>
  <si>
    <t>RT_1</t>
  </si>
  <si>
    <t>RT_2</t>
  </si>
  <si>
    <t>RT_3</t>
  </si>
  <si>
    <t>INACTIVE</t>
  </si>
  <si>
    <t>RT_4</t>
  </si>
  <si>
    <t>RT_5</t>
  </si>
  <si>
    <t>RT_6</t>
  </si>
  <si>
    <t>RT_7</t>
  </si>
  <si>
    <t>RT_8</t>
  </si>
  <si>
    <t>CLU_1</t>
  </si>
  <si>
    <t>CLU_2</t>
  </si>
  <si>
    <t>CLU_3</t>
  </si>
  <si>
    <t>CLU_4</t>
  </si>
  <si>
    <t>CLU_5</t>
  </si>
  <si>
    <t>OT_1</t>
  </si>
  <si>
    <t>OT_2</t>
  </si>
  <si>
    <t>OT_3</t>
  </si>
  <si>
    <t>OT_4</t>
  </si>
  <si>
    <t>ACNREG_1</t>
  </si>
  <si>
    <t>ACNREG_2</t>
  </si>
  <si>
    <t>ACNREG_3</t>
  </si>
  <si>
    <t>ACNREG_4</t>
  </si>
  <si>
    <t>ACNSUS_1</t>
  </si>
  <si>
    <t>ACNSUS_2</t>
  </si>
  <si>
    <t>ACNSUS_3</t>
  </si>
  <si>
    <t>ACNTER_1</t>
  </si>
  <si>
    <t>ACNTER_2</t>
  </si>
  <si>
    <t>ACNTER_3</t>
  </si>
  <si>
    <t>NEWCTRCT_1</t>
  </si>
  <si>
    <t>NEWCTRCT_2</t>
  </si>
  <si>
    <t>NEWCTRCT_3</t>
  </si>
  <si>
    <t>NEWCTRCT_4</t>
  </si>
  <si>
    <t>UPCTRCT_1</t>
  </si>
  <si>
    <t>UPCTRCT_2</t>
  </si>
  <si>
    <t>UPCTRCT_3</t>
  </si>
  <si>
    <t>UPCTRCT_4</t>
  </si>
  <si>
    <t>RNCTRCT_1</t>
  </si>
  <si>
    <t>RNCTRCT_2</t>
  </si>
  <si>
    <t>RNCTRCT_3</t>
  </si>
  <si>
    <t>RNCTRCT_4</t>
  </si>
  <si>
    <t>CRU_1</t>
  </si>
  <si>
    <t>CRU_2</t>
  </si>
  <si>
    <t>CRU_3</t>
  </si>
  <si>
    <t>CRU_5</t>
  </si>
  <si>
    <t>ACNRESUMPT_1</t>
  </si>
  <si>
    <t>ACNRESUMPT_2</t>
  </si>
  <si>
    <t>ACNRESUMPT_3</t>
  </si>
  <si>
    <t>MJOB_1</t>
  </si>
  <si>
    <t>MJOB_2</t>
  </si>
  <si>
    <t>PAUSED</t>
  </si>
  <si>
    <t>MJOB_3</t>
  </si>
  <si>
    <t>MJOB_4</t>
  </si>
  <si>
    <t>MOBILETRIP_1</t>
  </si>
  <si>
    <t>M_ACTIVE</t>
  </si>
  <si>
    <t>M_PICKED_UP</t>
  </si>
  <si>
    <t>MOBILETRIP_2</t>
  </si>
  <si>
    <t>M_DELIVERED</t>
  </si>
  <si>
    <t>MOBILETRIP_3</t>
  </si>
  <si>
    <t>MOBILETRIP_4</t>
  </si>
  <si>
    <t>SAM_ID</t>
  </si>
  <si>
    <t>SAM_APPS_CODE</t>
  </si>
  <si>
    <t>SAM_ACCN_TYPE</t>
  </si>
  <si>
    <t>SAM_ROLE</t>
  </si>
  <si>
    <t>SAM_SCV_TYPE</t>
  </si>
  <si>
    <t>SAM_STATE</t>
  </si>
  <si>
    <t>APPROVE_BILL | VERIFY_BILL | BILLJOB | STOP | START | ASSIGN | ACCEPT | REJECT | WITHDRAW | SUBMIT | DELETE</t>
  </si>
  <si>
    <t>00000000011</t>
  </si>
  <si>
    <t>00000000100</t>
  </si>
  <si>
    <t>00000011000</t>
  </si>
  <si>
    <t>00000000000</t>
  </si>
  <si>
    <t>00000100000</t>
  </si>
  <si>
    <t>00001000000</t>
  </si>
  <si>
    <t>00010000000</t>
  </si>
  <si>
    <t>00100000000</t>
  </si>
  <si>
    <t>01000000000</t>
  </si>
  <si>
    <t>10000000000</t>
  </si>
  <si>
    <t>FINANCE_VERIFIER</t>
  </si>
  <si>
    <t>FINANCE_APPROVER</t>
  </si>
  <si>
    <t>CMGU_ID</t>
  </si>
  <si>
    <t>CMGU_APPS_CODE</t>
  </si>
  <si>
    <t>CMGU_SERVICE_TYPE</t>
  </si>
  <si>
    <t>CMGU_COMPONENT_ID</t>
  </si>
  <si>
    <t>CMGU_GUIDE</t>
  </si>
  <si>
    <t>CMGU_GUIDE_OTH</t>
  </si>
  <si>
    <t>CMGU_STATUS</t>
  </si>
  <si>
    <t>CLICDO</t>
  </si>
  <si>
    <t>clicdo.doi.co.jobs.list</t>
  </si>
  <si>
    <t>When a job is submitted, it is locked and its fields cannot be edited. If there are errors associated with the submitted job, it has to be cancelled before it is picked up for processing by the authorized party (aka Freight Forwarder)</t>
  </si>
  <si>
    <t>clicdo.doi.co.jobs.list.table</t>
  </si>
  <si>
    <t>clicdo.doi.co.jobs.tabs.details</t>
  </si>
  <si>
    <t>Update all the information to ensure correct information about the job is captured. Click Save to save the updated job or click Submit to submit the job to the Authorized Party.</t>
  </si>
  <si>
    <t>clicdo.doi.co.jobs.tabs.authorisation</t>
  </si>
  <si>
    <t>Document will be reviewed by shipping line. If there are concerns, the owner of the job will be contacted via email for clarifications. Only after the documents and payment are verified will your Authorized Party be able to download the invoice and start the DO claim process.</t>
  </si>
  <si>
    <t>clicdo.doi.co.jobs.tabs.authorisation.table</t>
  </si>
  <si>
    <t>Except Bill of Lading, the authorisation document is generated and digital stamped. Click on Download to view the document in PDF format.</t>
  </si>
  <si>
    <t>clicdo.doi.co.jobs.tabs.audit</t>
  </si>
  <si>
    <t>The audited even associated with the job is presented here. Filtering is supported to sniff out audit records by criteria(s).</t>
  </si>
  <si>
    <t>clicdo.doi.ff.bl.list</t>
  </si>
  <si>
    <t>clicdo.doi.ff.bl.list.table</t>
  </si>
  <si>
    <t>Each job recordi n the list corresponds to a Bill of Lading (BL) document submitted by the Authorizer Party (aka Cargo Owners) for DO claiming. Click on eye icon to view the BL in PDF and then cancel icon to reject the BL.</t>
  </si>
  <si>
    <t>clicdo.doi.ff.claim.jobs.list</t>
  </si>
  <si>
    <t>To view any of your jobs without editing, click on the EYE button. To edit any draft jobs, click on the PENCIL button. To delete any draft jobs, click on the TRASH BIN button.</t>
  </si>
  <si>
    <t>clicdo.doi.ff.claim.jobs.list.table</t>
  </si>
  <si>
    <t>Active DO claim jobs that you are processing</t>
  </si>
  <si>
    <t>clicdo.doi.ff.claim.jobs.tabs.details</t>
  </si>
  <si>
    <t>Please update all the information to ensure correct information about the job is captured. Please notethat once the job has been confirmed, BLs cannot be edited or removed from the list.</t>
  </si>
  <si>
    <t>clicdo.doi.ff.claim.jobs.tabs.detaills.table</t>
  </si>
  <si>
    <t>Click on the eye icon to view the BL document. Click on the trash bin to remove BL from the list.</t>
  </si>
  <si>
    <t>clicdo.doi.ff.claim.jobs.tabs.attachments</t>
  </si>
  <si>
    <t>Documents associated with all the BL are captured in the list.</t>
  </si>
  <si>
    <t>clicdo.doi.ff.claim.jobs.tabs.attachments.table</t>
  </si>
  <si>
    <t>Click on the Download icon to download the respective documents. Power of Authority, Letter of Assignment  and Container Loan Application documents are automatically generated by the system.</t>
  </si>
  <si>
    <t>clicdo.doi.ff.claim.jobs.tabs.task.details</t>
  </si>
  <si>
    <t>Once the list of DOs are confirmed clicked on the Submit button to retrieve the DO documents from the shipping line.</t>
  </si>
  <si>
    <t>clicdo.doi.ff.claim.jobs.tabs.task.details.table.main</t>
  </si>
  <si>
    <t>Click on the Eye icon to view the task details on the section below. Click the Pencil icon to edit the task and Trash Bin to remove the task.</t>
  </si>
  <si>
    <t>clicdo.doi.ff.claim.jobs.tabs.task.details.table.sub</t>
  </si>
  <si>
    <t>Click on the Trash Bin to remove DO from the task that are in NEW status. Click on Eye icon to view the DO details.</t>
  </si>
  <si>
    <t>clicdo.doi.ff.claim.jobs.tabs.query</t>
  </si>
  <si>
    <t>Ensure that there are no outstanding queries by the Shipping Line. Document can be manually and temporarily added when there is an outstanding query.</t>
  </si>
  <si>
    <t>clicdo.doi.ff.claim.jobs.tabs.query.table</t>
  </si>
  <si>
    <t>Click on the Response icon to response to the query after you have made the necessary changes requested by the Shipping Line. Click on the Eye icon to view the query made by the Shipping Line and the response to the query.</t>
  </si>
  <si>
    <t>clicdo.doi.ff.claim.jobs.tabs.audit</t>
  </si>
  <si>
    <t>clicdo.doi.sl.claim.jobs.list</t>
  </si>
  <si>
    <t>To view any of your jobs without editing, click on the Eye button. To edit any draft jobs, click on the Pencil button. To delete any draf jobs, click on the Trash Bin button.</t>
  </si>
  <si>
    <t>clicdo.doi.sl.claim.jobs.list.table</t>
  </si>
  <si>
    <t>Click on the Document icon to perform document verification. Click on the Money icon to perform payment verification.</t>
  </si>
  <si>
    <t>clicdo.doi.sl.claim.jobs.tab.docverify.details</t>
  </si>
  <si>
    <t>The charges amount will be shown once the job is submitted and verified. The proforma invoices are also available for download when the job details and documents are verified. Once payment is made, DO claim tasks ca be started to claim the DO under the BLs.</t>
  </si>
  <si>
    <t>TEMPLATE ID</t>
  </si>
  <si>
    <t>CHANNEL TYPE</t>
  </si>
  <si>
    <t>CONTENT TYPE</t>
  </si>
  <si>
    <t>SUBJECT</t>
  </si>
  <si>
    <t>CONTENT</t>
  </si>
  <si>
    <t>SEQ</t>
  </si>
  <si>
    <t>CKT_NTL_0001</t>
  </si>
  <si>
    <t>CHN_TYPE_EMAIL</t>
  </si>
  <si>
    <t>CNT_TYPE_HTML</t>
  </si>
  <si>
    <t>Job Accepted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</si>
  <si>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</si>
  <si>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Accepted</t>
  </si>
  <si>
    <t>CKT_NTL_0002</t>
  </si>
  <si>
    <t>Job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</si>
  <si>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</si>
  <si>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Rejected</t>
  </si>
  <si>
    <t>CKT_NTL_0003</t>
  </si>
  <si>
    <t>Job Delivered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</si>
  <si>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</si>
  <si>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Delivered</t>
  </si>
  <si>
    <t>CKT_NTL_0004</t>
  </si>
  <si>
    <t>Invoice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</si>
  <si>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</si>
  <si>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TO bill the job.</t>
  </si>
  <si>
    <t>CKT_NTL_0005</t>
  </si>
  <si>
    <t>Invoice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</si>
  <si>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</si>
  <si>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Finance when the Billed Job is verified by Cargo Owner</t>
  </si>
  <si>
    <t>CKT_NTL_0006</t>
  </si>
  <si>
    <t>Job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</si>
  <si>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</si>
  <si>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when job is submitted.</t>
  </si>
  <si>
    <t>CKT_NTL_0007</t>
  </si>
  <si>
    <t>Invoice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</si>
  <si>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</si>
  <si>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Approved by GLI</t>
  </si>
  <si>
    <t>CKT_NTL_0008</t>
  </si>
  <si>
    <t>Invoice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</si>
  <si>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</si>
  <si>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Rejected by CO or GLI</t>
  </si>
  <si>
    <t>CKT_NTL_0009</t>
  </si>
  <si>
    <t>Payment Completed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</si>
  <si>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</si>
  <si>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GLI has completed the payment.</t>
  </si>
  <si>
    <t>CKT_NTL_0010</t>
  </si>
  <si>
    <t>Notification to GLI F1 when TO invoice is approved by CO</t>
  </si>
  <si>
    <t>CKT_NTL_0011</t>
  </si>
  <si>
    <t>Payment Created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</si>
  <si>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</si>
  <si>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GLI F2 when F1 created the Payment Transaction from approved Billling</t>
  </si>
  <si>
    <t>CKT_NTL_0012</t>
  </si>
  <si>
    <t>Payment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</si>
  <si>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</si>
  <si>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GLI F3 when F2 verified the Payment Transaction</t>
  </si>
  <si>
    <t>CKT_NTL_0013</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</si>
  <si>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</si>
  <si>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Commercial, GLI F1 when the outbound payment has been completed</t>
  </si>
  <si>
    <t>CKT_NTL_0014</t>
  </si>
  <si>
    <t>Payment Failed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</si>
  <si>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</si>
  <si>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Commerical, GLI F1, L1-Support when the outbound payment has failed</t>
  </si>
  <si>
    <t>CK_NTL_0001</t>
  </si>
  <si>
    <t>Forgot Password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</si>
  <si>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t>
  </si>
  <si>
    <t>Notification from Forgot Password link in Login Page</t>
  </si>
  <si>
    <t>CK_NTL_0002</t>
  </si>
  <si>
    <t>Password Reset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</si>
  <si>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t>
  </si>
  <si>
    <t>Reset password from Manage User</t>
  </si>
  <si>
    <t>CK_NTL_0003</t>
  </si>
  <si>
    <t>New User Created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</si>
  <si>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t>
  </si>
  <si>
    <t>Notification for New User Created</t>
  </si>
  <si>
    <t>CKT_NTL_0015</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</si>
  <si>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</si>
  <si>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Acknowledged (Approved) by CO</t>
  </si>
  <si>
    <t>CKT_NTL_0016</t>
  </si>
  <si>
    <t>Account Registration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</si>
  <si>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</si>
  <si>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registration request</t>
  </si>
  <si>
    <t>CKT_NTL_0017</t>
  </si>
  <si>
    <t>Account Registration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</si>
  <si>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</si>
  <si>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registration approval</t>
  </si>
  <si>
    <t>CKT_NTL_0018</t>
  </si>
  <si>
    <t>Account Registration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</si>
  <si>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</si>
  <si>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registration rejection</t>
  </si>
  <si>
    <t>CKT_NTL_0019</t>
  </si>
  <si>
    <t>Account Suspension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</si>
  <si>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</si>
  <si>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suspension request</t>
  </si>
  <si>
    <t>CKT_NTL_0020</t>
  </si>
  <si>
    <t>Account Suspension Approved</t>
  </si>
  <si>
    <t>Notification to SP L1(s) for account suspension approval</t>
  </si>
  <si>
    <t>CKT_NTL_0021</t>
  </si>
  <si>
    <t>Account Suspension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</si>
  <si>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</si>
  <si>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suspension rejection</t>
  </si>
  <si>
    <t>CKT_NTL_0022</t>
  </si>
  <si>
    <t>Account Termination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</si>
  <si>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</si>
  <si>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termination request</t>
  </si>
  <si>
    <t>CKT_NTL_0023</t>
  </si>
  <si>
    <t>Account Termination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</si>
  <si>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t>
  </si>
  <si>
    <t>Notification to SP L1(s) for account termination approval</t>
  </si>
  <si>
    <t>CKT_NTL_0024</t>
  </si>
  <si>
    <t>Account Termination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</si>
  <si>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</si>
  <si>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termination rejection</t>
  </si>
  <si>
    <t>CKT_NTL_0025</t>
  </si>
  <si>
    <t>Contract Expiry Reminder</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</si>
  <si>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t>
  </si>
  <si>
    <t>Notification for contract expiry reminder</t>
  </si>
  <si>
    <t>CKT_NTL_0026</t>
  </si>
  <si>
    <t>Account Resumption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</si>
  <si>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</si>
  <si>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resumption request</t>
  </si>
  <si>
    <t>CKT_NTL_0027</t>
  </si>
  <si>
    <t>Account Resumption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</si>
  <si>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</si>
  <si>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CKT_NTL_0028</t>
  </si>
  <si>
    <t>Account Resumption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</si>
  <si>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</si>
  <si>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CKT_NTL_0029</t>
  </si>
  <si>
    <t>Contract Update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</si>
  <si>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</si>
  <si>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contract update</t>
  </si>
  <si>
    <t>CKT_NTL_0030</t>
  </si>
  <si>
    <t>Contract Update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</si>
  <si>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</si>
  <si>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update approval</t>
  </si>
  <si>
    <t>CKT_NTL_0031</t>
  </si>
  <si>
    <t>Contract Update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</si>
  <si>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</si>
  <si>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update rejection</t>
  </si>
  <si>
    <t>CKT_NTL_0032</t>
  </si>
  <si>
    <t>Contract Renewal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</si>
  <si>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</si>
  <si>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contract renewal</t>
  </si>
  <si>
    <t>CKT_NTL_0033</t>
  </si>
  <si>
    <t>Contract Renewal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</si>
  <si>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</si>
  <si>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renewal approval</t>
  </si>
  <si>
    <t>CKT_NTL_0034</t>
  </si>
  <si>
    <t>Contract Renewal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</si>
  <si>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</si>
  <si>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renewal rejection</t>
  </si>
  <si>
    <t>CKT_NTL_0035</t>
  </si>
  <si>
    <t>New Contract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</si>
  <si>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</si>
  <si>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new contract</t>
  </si>
  <si>
    <t>CKT_NTL_0036</t>
  </si>
  <si>
    <t>New Contract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</si>
  <si>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</si>
  <si>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new contract approval</t>
  </si>
  <si>
    <t>CKT_NTL_0037</t>
  </si>
  <si>
    <t>New Contract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</si>
  <si>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</si>
  <si>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new contract rejection</t>
  </si>
  <si>
    <t>CKT_NTL_0038</t>
  </si>
  <si>
    <t>New Rate Table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</si>
  <si>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</si>
  <si>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SP L1(s)  for new rate table submitted by TO</t>
  </si>
  <si>
    <t>CKT_NTL_0039</t>
  </si>
  <si>
    <t>New Rate Table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</si>
  <si>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</si>
  <si>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new rate table verified by SP L1 and for approval</t>
  </si>
  <si>
    <t>CKT_NTL_0040</t>
  </si>
  <si>
    <t>New Rate Table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</si>
  <si>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</si>
  <si>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TO when rate table is approved by Finance</t>
  </si>
  <si>
    <t>CKT_NTL_0041</t>
  </si>
  <si>
    <t>New Rate Table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</si>
  <si>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</si>
  <si>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TO when rate table is rejected from L1 or Finance</t>
  </si>
  <si>
    <t>CKT_NTL_0042</t>
  </si>
  <si>
    <t>Credit Limit Update Request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</si>
  <si>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</si>
  <si>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Finance Head(s) for credit limit update submitted by SP L1</t>
  </si>
  <si>
    <t>CKT_NTL_0043</t>
  </si>
  <si>
    <t>Credit Limit Update Request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</si>
  <si>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</si>
  <si>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 and CO when credit limit update is approved.</t>
  </si>
  <si>
    <t>CKT_NTL_0044</t>
  </si>
  <si>
    <t>Credit Limit Updated Activated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</si>
  <si>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</si>
  <si>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 and CO when credit limit update is activated vai the scheduler.</t>
  </si>
  <si>
    <t>CKT_NTL_0045</t>
  </si>
  <si>
    <t>Credit Limit Update Request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</si>
  <si>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</si>
  <si>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L1(s) when credit limit update is activated vai the scheduler.</t>
  </si>
  <si>
    <t>CKT_NTL_0046</t>
  </si>
  <si>
    <t>Job Termination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</si>
  <si>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</si>
  <si>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Finance Head(s) when job termination request is submitted for approval</t>
  </si>
  <si>
    <t>CKT_NTL_0047</t>
  </si>
  <si>
    <t>Job Termination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</si>
  <si>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</si>
  <si>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L1(s), CO, TO when job termination request is approved</t>
  </si>
  <si>
    <t>CKT_NTL_0048</t>
  </si>
  <si>
    <t>Job Termination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</si>
  <si>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</si>
  <si>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L1(s) when job termination request is rejected</t>
  </si>
  <si>
    <t>CKT_NTL_0049</t>
  </si>
  <si>
    <t>Account Suspensed Due To Contract Expiry</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</si>
  <si>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t>
  </si>
  <si>
    <t>Notification to CO when account is suspended by scheduler due to contract has expired</t>
  </si>
  <si>
    <t>CKT_NTL_0050</t>
  </si>
  <si>
    <t>Account Suspensed Due To Unpaid Invoices</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</si>
  <si>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t>
  </si>
  <si>
    <t>Notification to CO when account is suspended by scheduler due to unpaid invoices</t>
  </si>
  <si>
    <t>CKT_NTL_0051</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</si>
  <si>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</si>
  <si>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sent to CO for Invoice submitted by TO with the link to instantly approve.</t>
  </si>
  <si>
    <t>CKT_NTL_0052</t>
  </si>
  <si>
    <t>CHN_TYPE_SMS</t>
  </si>
  <si>
    <t>CNT_TYPE_TEXT</t>
  </si>
  <si>
    <t>Trucking Job started delivering</t>
  </si>
  <si>
    <t>:jobNumber is on the way to :destAddr via :vehPlateNo</t>
  </si>
  <si>
    <t>Notification via whatsapp if the truck driver starts to deliver the job</t>
  </si>
  <si>
    <t>CKT_NTL_0053</t>
  </si>
  <si>
    <t>Trucking Job arriving</t>
  </si>
  <si>
    <t>:jobNumber will be arriving in :duration to :destAddr via :vehPlateNo</t>
  </si>
  <si>
    <t>Notification via whatsapp if the truck trip duration is less than 30 minutes to the destination</t>
  </si>
  <si>
    <t>CKT_NTL_0061</t>
  </si>
  <si>
    <t>[ediDocManager SHP :subject]</t>
  </si>
  <si>
    <t>&lt;html&gt;&lt;html&gt;</t>
  </si>
  <si>
    <t>Notification to DSV for EPOD and Phone</t>
  </si>
  <si>
    <t>GRNTA_ACCN_ID</t>
  </si>
  <si>
    <t>ROLES</t>
  </si>
  <si>
    <t>BERAM</t>
  </si>
  <si>
    <t>CAE_ACCN_ID</t>
  </si>
  <si>
    <t>CAE_TYPE</t>
  </si>
  <si>
    <t>CAE_VALUE</t>
  </si>
  <si>
    <t>CAE_STATUS</t>
  </si>
  <si>
    <t>CAE_UID_CREATE</t>
  </si>
  <si>
    <t>IODSF</t>
  </si>
  <si>
    <t>DASHBOARD</t>
  </si>
  <si>
    <t>SYS</t>
  </si>
  <si>
    <t>CAE_APPS_CODE</t>
  </si>
  <si>
    <t>CAE_ROLE_ID</t>
  </si>
  <si>
    <t>[{"id":0,"dbType":"TRUCK_JOBS","transStatistic":{"NEW":0,"ONGOING":0},"accnType":"ACC_TYPE_TO"}]</t>
  </si>
  <si>
    <t>DSV</t>
  </si>
  <si>
    <t>TABS</t>
  </si>
  <si>
    <t>jobDetails,fmTrip, mmTrip,documents,driver,deliveryOrders,audit,rejectRemarks,tracking</t>
  </si>
  <si>
    <t>HIDDEN_FIELDS</t>
  </si>
  <si>
    <t>tripcharges</t>
  </si>
  <si>
    <t>GLI_SYS_ADMIN</t>
  </si>
  <si>
    <t>CKT_SA_090000</t>
  </si>
  <si>
    <t>CKT_SA_090100</t>
  </si>
  <si>
    <t>CKT_MA_030900</t>
  </si>
  <si>
    <t>Manage Chassis</t>
  </si>
  <si>
    <t>/administrations/chassis-management/list</t>
  </si>
  <si>
    <t>CKT_AA_050300</t>
  </si>
  <si>
    <t>Manage Cargo Owners</t>
  </si>
  <si>
    <t>/manageAccountsFfCo/all/list</t>
  </si>
  <si>
    <t>PM070</t>
  </si>
  <si>
    <t>PM071</t>
  </si>
  <si>
    <t>PM072</t>
  </si>
  <si>
    <t>PM038A</t>
  </si>
  <si>
    <t>CKDO_MS_060300</t>
  </si>
  <si>
    <t>DO Claim SAP</t>
  </si>
  <si>
    <t>/applications/sap/do</t>
  </si>
  <si>
    <t>CKDO_MS_060400</t>
  </si>
  <si>
    <t>DO Extension SAP</t>
  </si>
  <si>
    <t>/applications/sap/ext</t>
  </si>
  <si>
    <t>clictruck.job.audit</t>
  </si>
  <si>
    <t>The audited event associated with the job is presented here. Filtering is supported to sniff out audit records by criteria(s).</t>
  </si>
  <si>
    <t>clicdo.task-details.task-listing.table</t>
  </si>
  <si>
    <t>clicdo.task-details.doi-listing.table</t>
  </si>
  <si>
    <t>clicdo.task-details.footer.info</t>
  </si>
  <si>
    <t>clicdo.doi.ff.claim.jobs.tabs.details.new</t>
  </si>
  <si>
    <t>clicdo.doi.ff.claim.jobs.tabs.detaills.table.new</t>
  </si>
  <si>
    <t>clicdo.doi.ff.claim.jobs.tabs.details.submittted</t>
  </si>
  <si>
    <t>clicdo.doi.ff.claim.jobs.tabs.detaills.table.submitted</t>
  </si>
  <si>
    <t>clicdo.doi.ff.claim.jobs.tabs.details.paid</t>
  </si>
  <si>
    <t>clicdo.doi.ff.claim.jobs.tabs.detaills.table.paid</t>
  </si>
  <si>
    <t>clicdo.doi.ff.claim.jobs.tabs.details.verified</t>
  </si>
  <si>
    <t>clicdo.doi.ff.claim.jobs.tabs.detaills.table.verified</t>
  </si>
  <si>
    <t>clicdo.doi.ff.claim.jobs.tabs.details.completed</t>
  </si>
  <si>
    <t>clicdo.doi.ff.claim.jobs.tabs.detaills.table.completed</t>
  </si>
  <si>
    <t>clicdo.payment.active.job.listing.table</t>
  </si>
  <si>
    <t>clicdo.payment.history.listing.table</t>
  </si>
  <si>
    <t>clicdo.payment.details.table</t>
  </si>
  <si>
    <t>clicdo.doi.sl.claim.jobs.tabs.query</t>
  </si>
  <si>
    <t>clicdo.doi.sl.claim.jobs.tabs.query.table</t>
  </si>
  <si>
    <t>clicdo.doi.sl.pay.verify.list</t>
  </si>
  <si>
    <t>clicdo.doi.sl.doc.verify.list</t>
  </si>
  <si>
    <t>clicdo.job-payment.job-listing.table</t>
  </si>
  <si>
    <t>clicdo.doi.ff.claim.jobs.tabs.details.confirmed</t>
  </si>
  <si>
    <t>clicdo.doi.ff.claim.jobs.tabs.detaills.table.confirmed</t>
  </si>
  <si>
    <t>clicdo.doi.ff.extension.jobs.list</t>
  </si>
  <si>
    <t>clicdo.master.shipment.type.list</t>
  </si>
  <si>
    <t>clicdo.master.shipment.type.details</t>
  </si>
  <si>
    <t>clicdo.master.shipment.type.audit</t>
  </si>
  <si>
    <t>clicdo.mydo.jobs.list</t>
  </si>
  <si>
    <t>clicdo.mydo.tabs.details</t>
  </si>
  <si>
    <t>clicdo.mydo.tabs.invoices</t>
  </si>
  <si>
    <t>clicdo.mydo.tabs.containers</t>
  </si>
  <si>
    <t>clicdo.mydo.tabs.extensions</t>
  </si>
  <si>
    <t>clicdo.extension.jobs.list</t>
  </si>
  <si>
    <t>clicdo.extension.tabs.details</t>
  </si>
  <si>
    <t>Each job record in the list corresponds to job corresponding to a Bill of Lading (BL) document. These jobs when submitted will be picked up by the Authorized Party (aka Freight Forwarders) stated in the job for DO claiming. Click on eye icon to view the BL in PDF and the cancel icon to cancel the job.</t>
  </si>
  <si>
    <t>To view any of the Bill of Ladings, click on the DOWNLOAD button. To reject ony Bill of Ladings, click on the REJECT button.</t>
  </si>
  <si>
    <t>Click on the EYE icon to view the task details on the section below. Click the PENCIL icon to edit the task and TRASH BIN icon to remove the task.</t>
  </si>
  <si>
    <t>Click on the TRASH BIN to remove DO from the task that are in NEW status. Click on EYE icon to view the DO details.</t>
  </si>
  <si>
    <t>Once the list of DO are confirmed click on the Submit button to retrive the DO documents from the shipping line.</t>
  </si>
  <si>
    <t>The charges amount will be shown once the job is submitted and verified. The proforma invoices are also available for download when the job details and documents are verified. Once payment is made, DO claim tasks can be started to claim the DO under the BLs.</t>
  </si>
  <si>
    <t>Click on the eye icon to view the BL document. BL documents cannot be removed because the job is confirmed.</t>
  </si>
  <si>
    <t>Once payment is made, DO claim tasks can be started to claim the DO under the BLs.</t>
  </si>
  <si>
    <t>Click on the Eye icon to view the BL document. Click the Download icon to download the proforma invoice.</t>
  </si>
  <si>
    <t>Once payment is verified, DO claim tasks can be started to claim the DO under the BLs.</t>
  </si>
  <si>
    <t>Click on the eye icon to view the BL document. Click the Download icon to download the proforma invoice.</t>
  </si>
  <si>
    <t>Tasks can be started to claim the DO(s) associated with the BL in the list.</t>
  </si>
  <si>
    <t>Click on the eye icon to view the BL document. Click the download icon to download the proforma invoice.</t>
  </si>
  <si>
    <t>Select at least one job and click the Pay icon for payment. Click the Magnifier icon to view list of DO.</t>
  </si>
  <si>
    <t>Click the Eye icon to view Payment Details.</t>
  </si>
  <si>
    <t>For active payment, click the Arrow Submit icon to Pay. Click the Download icon to view the invoice.</t>
  </si>
  <si>
    <t>Create a query to inform the responder on the changes or correct documents required on what has been claimed.</t>
  </si>
  <si>
    <t>Click on the EYE icon to view the query made by the Shipping Line and the response to the query. Click on the TRASH BIN to delete the query.</t>
  </si>
  <si>
    <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t>
  </si>
  <si>
    <t>Once payment is made and verified, job status will be updated to PAYMENT VERIFIED"</t>
  </si>
  <si>
    <t>Click on the Eye icon to view the BL document.</t>
  </si>
  <si>
    <t>*To edit shipment type record click on the pencil icon, to deactivate/activate it click on the unlink icon and to view the details click on the eye icon.</t>
  </si>
  <si>
    <t>Enter the details into the fields below and click Save to save or update the record, click Inactivate to set the status of the record to inactive. To exit this page without saving, click on the Exit button.</t>
  </si>
  <si>
    <t>The updates to the shipment type record are listed in the table below. You can filter the list to determine the changes.</t>
  </si>
  <si>
    <t xml:space="preserve">The list below shows the active DOs that you are having. Containers of active DO have yet been returned to the Depo. </t>
  </si>
  <si>
    <t>DO general details are presented in the various sections below.</t>
  </si>
  <si>
    <t>The invoices associated with the DO are presented in the table below. These invoices are official invoices that are issued by the shipping line.</t>
  </si>
  <si>
    <t>The containers associated with the DO are presented in the table below.</t>
  </si>
  <si>
    <t>The Do extensions associated with the DO are presented in the table below.</t>
  </si>
  <si>
    <t>The list below shows the DO extension jobs. Once the extension jobs are paid the DO are presented in your DO listing.</t>
  </si>
  <si>
    <t>DO Extension details are presented in the various sections below. If you confirm the extension, you will be able to pay for the DO extension.</t>
  </si>
  <si>
    <t>clictruck.job.general.details</t>
  </si>
  <si>
    <t>Upload or download supporting documents of the trucking job.</t>
  </si>
  <si>
    <t>clictruck.job.supporting.docs</t>
  </si>
  <si>
    <t>clictruck.job.trip.charges</t>
  </si>
  <si>
    <t>Trucking job details such as the reference numbers, dates and party details.</t>
  </si>
  <si>
    <t>Location details, trip charges (if applicable), and cargo and truck details. For trip charges, click on Open Price to change pricing. For predefined trip charges, click Rate Table icon.</t>
  </si>
  <si>
    <t>clictruck.job.driver.truck</t>
  </si>
  <si>
    <t>Driver and truck selection to assign the trucking job to. Selecting Others will assign Driver or Truck not in the predefined list.</t>
  </si>
  <si>
    <t>clictruck.job.delivery.order</t>
  </si>
  <si>
    <t>Delivery Order details such as DO Number and the DO document to be uploaded when Starting and Stopping (Delivered) a trucking job.</t>
  </si>
  <si>
    <t>clictruck.job.tracking</t>
  </si>
  <si>
    <t>Tracks the location of the truck if GPS is attached to the vehicle.</t>
  </si>
  <si>
    <t>clictruck.job.invoice.details</t>
  </si>
  <si>
    <t>clictruck.job.remarks</t>
  </si>
  <si>
    <t>Job related remarks such as Rejection or Approval.</t>
  </si>
  <si>
    <t>Trip Charge Invoice and Re-imbursement to be uploaded or updated by the Trucking Operator for Cargo Owner to approve.</t>
  </si>
  <si>
    <t>clictruck.payment.details</t>
  </si>
  <si>
    <t>Consolidated jobs invoices in one transaction.</t>
  </si>
  <si>
    <t>clictruck.payment.audit</t>
  </si>
  <si>
    <t>The audited event associated with the payment transaction is presented here. Filtering is supported to sniff out audit records by criteria(s).</t>
  </si>
  <si>
    <t>clictruck.administration.truck.list</t>
  </si>
  <si>
    <t>Manage truck details, update existing record or add new truck.</t>
  </si>
  <si>
    <t>clictruck.administration.truck.details</t>
  </si>
  <si>
    <t>Truck details such as Chasis, Dimension and Weight can be updated. Notification can be configured for maintenance and expiry dates of insurance, licenses, etc. based on date or distance.</t>
  </si>
  <si>
    <t>clictruck.administration.truck.audit</t>
  </si>
  <si>
    <t>The audited event associated with the truck is presented here. Filtering is supported to sniff out audit records by criteria(s).</t>
  </si>
  <si>
    <t>clictruck.administration.driver.list</t>
  </si>
  <si>
    <t>Manage drivers. Update existing record or add new driver.</t>
  </si>
  <si>
    <t>clictruck.administration.driver.details</t>
  </si>
  <si>
    <t>Driver details such as Driver's License and Photo, Contact Details and Driver Mobile App User Id and Password.</t>
  </si>
  <si>
    <t>The audited event associated with the driver is presented here. Filtering is supported to sniff out audit records by criteria(s).</t>
  </si>
  <si>
    <t>clictruck.administration.driver.audit</t>
  </si>
  <si>
    <t>clictruck.administration.location.list</t>
  </si>
  <si>
    <t>clictruck.administration.location.details</t>
  </si>
  <si>
    <t>clictruck.administration.location.audit</t>
  </si>
  <si>
    <t>The audited event associated with the location is presented here. Filtering is supported to sniff out audit records by criteria(s).</t>
  </si>
  <si>
    <t>Manage locations details. Update existing record or add new location.</t>
  </si>
  <si>
    <t>Location details such as type whether it is ADDRESS or REGION. Validty details for the location pair is saved as well as the coordinates to be used when Tracking for the truck.</t>
  </si>
  <si>
    <t>clictruck.administration.ratetable.list</t>
  </si>
  <si>
    <t>clictruck.administration.ratetable.details</t>
  </si>
  <si>
    <t>clictruck.administration.ratetable.audit</t>
  </si>
  <si>
    <t>Manage rate tables. Update existing record or add new rate table.</t>
  </si>
  <si>
    <t>Rate table details such as Validity Details, Party Details and associated rates by location.</t>
  </si>
  <si>
    <t>clictruck.administration.ratetable.comments</t>
  </si>
  <si>
    <t>Rate table changes are submitted and subject for verification and approval. Remarks are listed here.</t>
  </si>
  <si>
    <t>The audited event associated with the rate table is presented here. Filtering is supported to sniff out audit records by criteria(s).</t>
  </si>
  <si>
    <t>clictruck.administration.ratetable.sp.list</t>
  </si>
  <si>
    <t>Lists of rate table update request submitted by Trucking Operator.</t>
  </si>
  <si>
    <t>clictruck.administration.ratetable.sp.details</t>
  </si>
  <si>
    <t>Rate table submitted by TO for verification or approval. Table listing displays the rate table modified or created by trucking operator.</t>
  </si>
  <si>
    <t>clictruck.administration.truck.performance.list</t>
  </si>
  <si>
    <t>Truck performance listing by job and the time it enters the destination 30 meters and 100 meters respectively.</t>
  </si>
  <si>
    <t>clictruck.administration.chassis.list</t>
  </si>
  <si>
    <t>Manage truck chasis details. Chassis options can be viewed in Manage Truck</t>
  </si>
  <si>
    <t>clictruck.account.admin.users.list</t>
  </si>
  <si>
    <t>Manage users. Update user details, Reset Password, Deactivate, and Activate user status.</t>
  </si>
  <si>
    <t>CKT_OA_081300</t>
  </si>
  <si>
    <t>/opadmin/inquiry/accn/list</t>
  </si>
  <si>
    <t>Account Inquiry Request</t>
  </si>
  <si>
    <t>PM073</t>
  </si>
  <si>
    <t>Re: Account Inquiry [:subject]</t>
  </si>
  <si>
    <t>CKT_NTL_0062</t>
  </si>
  <si>
    <t>Notification for Account Inquiry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</si>
  <si>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&lt;p&gt;&lt;br&gt;&lt;/p&gt; &lt;p&gt;Please find attached requested documents for the account. &lt;p&gt;&lt;br&gt;&lt;/p&gt;&lt;/div&gt; &lt;div id=footerContainer class=innerContainer&gt; &lt;p&gt;&lt;a style=color:inherit href=:privacyStatementLink&gt;Privacy Statement&lt;/a&gt;&lt;/p&gt; &lt;p&gt;:sp_details&lt;/p&gt; &lt;img width=50 height=31 src=https://home.clickargo.com/wp-content/uploads/2022/02/Clic-Logo_Colour-300x187.png&gt; &lt;/div&gt; &lt;/div&gt; &lt;/body&gt; &lt;/html&gt;</t>
  </si>
  <si>
    <t>CKDO_OA_020000</t>
  </si>
  <si>
    <t>CKDO_OA_020100</t>
  </si>
  <si>
    <t>PM084</t>
  </si>
  <si>
    <t>PMDO030400</t>
  </si>
  <si>
    <t>PMDO030500</t>
  </si>
  <si>
    <t>CKDO_MA_030400</t>
  </si>
  <si>
    <t>CKDO_MA_030500</t>
  </si>
  <si>
    <t>Tax</t>
  </si>
  <si>
    <t>/manage/tax</t>
  </si>
  <si>
    <t>CKDO_OA_020200</t>
  </si>
  <si>
    <t>PM085</t>
  </si>
  <si>
    <t>PM086</t>
  </si>
  <si>
    <t>ACNREG_CKDO_1</t>
  </si>
  <si>
    <t>ACNREG_CKDO_2</t>
  </si>
  <si>
    <t>ACNREG_CKDO_3</t>
  </si>
  <si>
    <t>ACNREG_CKDO_4</t>
  </si>
  <si>
    <t>ACNSUS_CKDO_1</t>
  </si>
  <si>
    <t>ACNSUS_CKDO_2</t>
  </si>
  <si>
    <t>ACNSUS_CKDO_3</t>
  </si>
  <si>
    <t>ACNTER_CKDO_1</t>
  </si>
  <si>
    <t>ACNTER_CKDO_2</t>
  </si>
  <si>
    <t>ACNTER_CKDO_3</t>
  </si>
  <si>
    <t>ACNRESUMPT_CKDO_1</t>
  </si>
  <si>
    <t>ACNRESUMPT_CKDO_2</t>
  </si>
  <si>
    <t>ACNRESUMPT_CKDO_3</t>
  </si>
  <si>
    <t>PM087</t>
  </si>
  <si>
    <t>APPS_CODE</t>
  </si>
  <si>
    <t>CKDO_OA_020300</t>
  </si>
  <si>
    <t>Users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</si>
</sst>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sz val="12"/>
      <name val="Calibri"/>
      <family val="2"/>
      <scheme val="minor"/>
    </font>
    <font>
      <sz val="12"/>
      <color rgb="FF00B050"/>
      <name val="Calibri"/>
      <family val="2"/>
      <scheme val="minor"/>
    </font>
    <font>
      <b/>
      <sz val="12"/>
      <color rgb="FF00B050"/>
      <name val="Calibri"/>
      <family val="2"/>
      <scheme val="minor"/>
    </font>
    <font>
      <b/>
      <sz val="10"/>
      <color rgb="FF000000"/>
      <name val="Tahoma"/>
      <family val="2"/>
    </font>
    <font>
      <sz val="12"/>
      <color rgb="FFFF0000"/>
      <name val="Calibri"/>
      <family val="2"/>
      <scheme val="minor"/>
    </font>
    <font>
      <sz val="8"/>
      <name val="Calibri"/>
      <family val="2"/>
      <scheme val="minor"/>
    </font>
    <font>
      <i/>
      <sz val="12"/>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
      <patternFill patternType="solid">
        <fgColor theme="4" tint="0.3999145481734672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41">
    <xf numFmtId="0" fontId="0" fillId="0" borderId="0" xfId="0"/>
    <xf numFmtId="0" fontId="10" fillId="2" borderId="0" xfId="0" applyFont="1" applyFill="1"/>
    <xf numFmtId="0" fontId="11" fillId="0" borderId="0" xfId="0" applyFont="1"/>
    <xf numFmtId="0" fontId="0" fillId="3" borderId="0" xfId="0" applyFill="1"/>
    <xf numFmtId="49" fontId="0" fillId="0" borderId="0" xfId="0" applyNumberFormat="1"/>
    <xf numFmtId="49" fontId="10" fillId="2" borderId="0" xfId="0" applyNumberFormat="1" applyFont="1" applyFill="1"/>
    <xf numFmtId="0" fontId="12" fillId="0" borderId="0" xfId="0" applyFont="1"/>
    <xf numFmtId="0" fontId="0" fillId="2" borderId="0" xfId="0" applyFill="1"/>
    <xf numFmtId="0" fontId="12" fillId="2" borderId="0" xfId="0" applyFont="1" applyFill="1"/>
    <xf numFmtId="0" fontId="13" fillId="0" borderId="0" xfId="0" applyFont="1"/>
    <xf numFmtId="0" fontId="14" fillId="0" borderId="0" xfId="0" applyFont="1"/>
    <xf numFmtId="0" fontId="0" fillId="4" borderId="0" xfId="0" applyFill="1"/>
    <xf numFmtId="22" fontId="0" fillId="0" borderId="0" xfId="0" applyNumberFormat="1"/>
    <xf numFmtId="0" fontId="15" fillId="0" borderId="0" xfId="0" applyFont="1"/>
    <xf numFmtId="0" fontId="13" fillId="4" borderId="0" xfId="0" applyFont="1" applyFill="1"/>
    <xf numFmtId="0" fontId="12" fillId="3" borderId="0" xfId="0" applyFont="1" applyFill="1"/>
    <xf numFmtId="0" fontId="13" fillId="3" borderId="0" xfId="0" applyFont="1" applyFill="1"/>
    <xf numFmtId="0" fontId="13" fillId="2" borderId="0" xfId="0" applyFont="1" applyFill="1"/>
    <xf numFmtId="0" fontId="10" fillId="3" borderId="0" xfId="0" applyFont="1" applyFill="1"/>
    <xf numFmtId="0" fontId="10" fillId="6" borderId="0" xfId="0" applyFont="1" applyFill="1"/>
    <xf numFmtId="0" fontId="10" fillId="0" borderId="0" xfId="0" applyFont="1"/>
    <xf numFmtId="0" fontId="9" fillId="0" borderId="0" xfId="0" applyFont="1"/>
    <xf numFmtId="0" fontId="8" fillId="0" borderId="0" xfId="0" applyFont="1"/>
    <xf numFmtId="0" fontId="7" fillId="0" borderId="0" xfId="0" applyFont="1"/>
    <xf numFmtId="0" fontId="7" fillId="2" borderId="0" xfId="0" applyFont="1" applyFill="1"/>
    <xf numFmtId="0" fontId="6" fillId="0" borderId="0" xfId="0" applyFont="1"/>
    <xf numFmtId="0" fontId="5" fillId="0" borderId="0" xfId="0" applyFont="1"/>
    <xf numFmtId="0" fontId="4" fillId="0" borderId="0" xfId="0" applyFont="1"/>
    <xf numFmtId="0" fontId="10" fillId="2" borderId="0" xfId="0" applyFont="1" applyFill="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xf numFmtId="0" fontId="3" fillId="0" borderId="0" xfId="0" applyFont="1"/>
    <xf numFmtId="0" fontId="0" fillId="2" borderId="0" xfId="0" applyFill="1" applyAlignment="1">
      <alignment horizontal="left" vertical="center"/>
    </xf>
    <xf numFmtId="0" fontId="2" fillId="0" borderId="0" xfId="0" applyFont="1"/>
    <xf numFmtId="0" fontId="10" fillId="5" borderId="0" xfId="0" applyFont="1" applyFill="1" applyAlignment="1">
      <alignment horizontal="center"/>
    </xf>
    <xf numFmtId="0" fontId="1" fillId="0" borderId="0" xfId="0" applyFont="1"/>
    <xf numFmtId="0" fontId="17" fillId="0" borderId="0" xfId="0" applyFont="1"/>
    <xf numFmtId="0" fontId="1" fillId="2" borderId="0" xfId="0" applyFont="1" applyFill="1"/>
    <xf numFmtId="0" fontId="19" fillId="0" borderId="0" xfId="0" applyFont="1"/>
    <xf numFmtId="0" fontId="19" fillId="4" borderId="0" xfId="0" applyFont="1" applyFill="1"/>
    <xf numFmtId="22" fontId="19"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opLeftCell="A6" workbookViewId="0">
      <selection activeCell="A29" sqref="A29"/>
    </sheetView>
  </sheetViews>
  <sheetFormatPr baseColWidth="10" defaultColWidth="11" defaultRowHeight="16" x14ac:dyDescent="0.2"/>
  <cols>
    <col min="1" max="1" width="12.83203125" customWidth="1"/>
    <col min="2" max="2" width="19.83203125" customWidth="1"/>
    <col min="4" max="4" width="15.6640625" customWidth="1"/>
  </cols>
  <sheetData>
    <row r="1" spans="1:5" x14ac:dyDescent="0.2">
      <c r="A1" t="s">
        <v>0</v>
      </c>
      <c r="B1" t="s">
        <v>1</v>
      </c>
      <c r="C1" t="s">
        <v>2</v>
      </c>
      <c r="D1" t="s">
        <v>3</v>
      </c>
      <c r="E1" t="s">
        <v>4</v>
      </c>
    </row>
    <row r="2" spans="1:5" x14ac:dyDescent="0.2">
      <c r="A2" t="s">
        <v>5</v>
      </c>
      <c r="B2" t="s">
        <v>6</v>
      </c>
      <c r="C2" t="s">
        <v>7</v>
      </c>
      <c r="D2" t="s">
        <v>8</v>
      </c>
      <c r="E2" t="str">
        <f>CONCATENATE("INSERT INTO T_CORE_ROLE(ROLE_APPSCODE, ROLE_ID, ROLE_STATUS, ROLE_DESC, ROLE_DT_CREATE, ROLE_UID_CREATE, ROLE_DT_LUPD, ROLE_UID_LUPD) VALUES ('",A2,"','",B2,"','",C2,"','",D2,"',NOW(),'SYS',NOW(),'SYS');")</f>
        <v>INSERT INTO T_CORE_ROLE(ROLE_APPSCODE, ROLE_ID, ROLE_STATUS, ROLE_DESC, ROLE_DT_CREATE, ROLE_UID_CREATE, ROLE_DT_LUPD, ROLE_UID_LUPD) VALUES ('CK','ADMIN','A','ACCOUNT ADMIN',NOW(),'SYS',NOW(),'SYS');</v>
      </c>
    </row>
    <row r="3" spans="1:5" x14ac:dyDescent="0.2">
      <c r="A3" t="s">
        <v>5</v>
      </c>
      <c r="B3" t="s">
        <v>9</v>
      </c>
      <c r="C3" t="s">
        <v>7</v>
      </c>
      <c r="D3" t="s">
        <v>9</v>
      </c>
      <c r="E3" t="str">
        <f t="shared" ref="E3:E6" si="0">CONCATENATE("INSERT INTO T_CORE_ROLE(ROLE_APPSCODE, ROLE_ID, ROLE_STATUS, ROLE_DESC, ROLE_DT_CREATE, ROLE_UID_CREATE, ROLE_DT_LUPD, ROLE_UID_LUPD) VALUES ('",A3,"','",B3,"','",C3,"','",D3,"',NOW(),'SYS',NOW(),'SYS');")</f>
        <v>INSERT INTO T_CORE_ROLE(ROLE_APPSCODE, ROLE_ID, ROLE_STATUS, ROLE_DESC, ROLE_DT_CREATE, ROLE_UID_CREATE, ROLE_DT_LUPD, ROLE_UID_LUPD) VALUES ('CK','OFFICER','A','OFFICER',NOW(),'SYS',NOW(),'SYS');</v>
      </c>
    </row>
    <row r="4" spans="1:5" x14ac:dyDescent="0.2">
      <c r="A4" t="s">
        <v>5</v>
      </c>
      <c r="B4" t="s">
        <v>10</v>
      </c>
      <c r="C4" t="s">
        <v>7</v>
      </c>
      <c r="D4" t="s">
        <v>10</v>
      </c>
      <c r="E4" t="str">
        <f t="shared" si="0"/>
        <v>INSERT INTO T_CORE_ROLE(ROLE_APPSCODE, ROLE_ID, ROLE_STATUS, ROLE_DESC, ROLE_DT_CREATE, ROLE_UID_CREATE, ROLE_DT_LUPD, ROLE_UID_LUPD) VALUES ('CK','OPERATIONS','A','OPERATIONS',NOW(),'SYS',NOW(),'SYS');</v>
      </c>
    </row>
    <row r="5" spans="1:5" x14ac:dyDescent="0.2">
      <c r="A5" t="s">
        <v>5</v>
      </c>
      <c r="B5" t="s">
        <v>11</v>
      </c>
      <c r="C5" t="s">
        <v>7</v>
      </c>
      <c r="D5" t="s">
        <v>11</v>
      </c>
      <c r="E5" t="str">
        <f t="shared" si="0"/>
        <v>INSERT INTO T_CORE_ROLE(ROLE_APPSCODE, ROLE_ID, ROLE_STATUS, ROLE_DESC, ROLE_DT_CREATE, ROLE_UID_CREATE, ROLE_DT_LUPD, ROLE_UID_LUPD) VALUES ('CK','FINANCE','A','FINANCE',NOW(),'SYS',NOW(),'SYS');</v>
      </c>
    </row>
    <row r="6" spans="1:5" x14ac:dyDescent="0.2">
      <c r="A6" t="s">
        <v>5</v>
      </c>
      <c r="B6" t="s">
        <v>12</v>
      </c>
      <c r="C6" t="s">
        <v>7</v>
      </c>
      <c r="D6" t="s">
        <v>13</v>
      </c>
      <c r="E6" t="str">
        <f t="shared" si="0"/>
        <v>INSERT INTO T_CORE_ROLE(ROLE_APPSCODE, ROLE_ID, ROLE_STATUS, ROLE_DESC, ROLE_DT_CREATE, ROLE_UID_CREATE, ROLE_DT_LUPD, ROLE_UID_LUPD) VALUES ('CK','SYS_SUPER_ADMIN','A','SYSTEM SUPER ADMIN',NOW(),'SYS',NOW(),'SYS');</v>
      </c>
    </row>
    <row r="8" spans="1:5" x14ac:dyDescent="0.2">
      <c r="A8" t="s">
        <v>14</v>
      </c>
      <c r="B8" t="s">
        <v>6</v>
      </c>
      <c r="C8" t="s">
        <v>7</v>
      </c>
      <c r="D8" t="s">
        <v>8</v>
      </c>
      <c r="E8" t="str">
        <f t="shared" ref="E8:E18" si="1">CONCATENATE("INSERT INTO T_CORE_ROLE(ROLE_APPSCODE, ROLE_ID, ROLE_STATUS, ROLE_DESC, ROLE_DT_CREATE, ROLE_UID_CREATE, ROLE_DT_LUPD, ROLE_UID_LUPD) VALUES ('",A8,"','",B8,"','",C8,"','",D8,"',NOW(),'SYS',NOW(),'SYS');")</f>
        <v>INSERT INTO T_CORE_ROLE(ROLE_APPSCODE, ROLE_ID, ROLE_STATUS, ROLE_DESC, ROLE_DT_CREATE, ROLE_UID_CREATE, ROLE_DT_LUPD, ROLE_UID_LUPD) VALUES ('CKT','ADMIN','A','ACCOUNT ADMIN',NOW(),'SYS',NOW(),'SYS');</v>
      </c>
    </row>
    <row r="9" spans="1:5" x14ac:dyDescent="0.2">
      <c r="A9" t="s">
        <v>14</v>
      </c>
      <c r="B9" t="s">
        <v>9</v>
      </c>
      <c r="C9" t="s">
        <v>7</v>
      </c>
      <c r="D9" t="s">
        <v>9</v>
      </c>
      <c r="E9" t="str">
        <f t="shared" si="1"/>
        <v>INSERT INTO T_CORE_ROLE(ROLE_APPSCODE, ROLE_ID, ROLE_STATUS, ROLE_DESC, ROLE_DT_CREATE, ROLE_UID_CREATE, ROLE_DT_LUPD, ROLE_UID_LUPD) VALUES ('CKT','OFFICER','A','OFFICER',NOW(),'SYS',NOW(),'SYS');</v>
      </c>
    </row>
    <row r="10" spans="1:5" x14ac:dyDescent="0.2">
      <c r="A10" t="s">
        <v>14</v>
      </c>
      <c r="B10" t="s">
        <v>15</v>
      </c>
      <c r="C10" t="s">
        <v>7</v>
      </c>
      <c r="D10" t="s">
        <v>11</v>
      </c>
      <c r="E10" t="str">
        <f t="shared" si="1"/>
        <v>INSERT INTO T_CORE_ROLE(ROLE_APPSCODE, ROLE_ID, ROLE_STATUS, ROLE_DESC, ROLE_DT_CREATE, ROLE_UID_CREATE, ROLE_DT_LUPD, ROLE_UID_LUPD) VALUES ('CKT','FF_FINANCE','A','FINANCE',NOW(),'SYS',NOW(),'SYS');</v>
      </c>
    </row>
    <row r="11" spans="1:5" x14ac:dyDescent="0.2">
      <c r="A11" t="s">
        <v>14</v>
      </c>
      <c r="B11" t="s">
        <v>16</v>
      </c>
      <c r="C11" t="s">
        <v>7</v>
      </c>
      <c r="D11" t="s">
        <v>17</v>
      </c>
      <c r="E11" t="str">
        <f t="shared" si="1"/>
        <v>INSERT INTO T_CORE_ROLE(ROLE_APPSCODE, ROLE_ID, ROLE_STATUS, ROLE_DESC, ROLE_DT_CREATE, ROLE_UID_CREATE, ROLE_DT_LUPD, ROLE_UID_LUPD) VALUES ('CKT','OP_ADMIN','A','OPERATIONS ADMIN',NOW(),'SYS',NOW(),'SYS');</v>
      </c>
    </row>
    <row r="12" spans="1:5" x14ac:dyDescent="0.2">
      <c r="A12" t="s">
        <v>14</v>
      </c>
      <c r="B12" t="s">
        <v>18</v>
      </c>
      <c r="C12" t="s">
        <v>7</v>
      </c>
      <c r="D12" t="s">
        <v>17</v>
      </c>
      <c r="E12" t="str">
        <f t="shared" si="1"/>
        <v>INSERT INTO T_CORE_ROLE(ROLE_APPSCODE, ROLE_ID, ROLE_STATUS, ROLE_DESC, ROLE_DT_CREATE, ROLE_UID_CREATE, ROLE_DT_LUPD, ROLE_UID_LUPD) VALUES ('CKT','SP_OP_ADMIN','A','OPERATIONS ADMIN',NOW(),'SYS',NOW(),'SYS');</v>
      </c>
    </row>
    <row r="13" spans="1:5" x14ac:dyDescent="0.2">
      <c r="A13" t="s">
        <v>14</v>
      </c>
      <c r="B13" t="s">
        <v>19</v>
      </c>
      <c r="C13" t="s">
        <v>7</v>
      </c>
      <c r="D13" t="s">
        <v>20</v>
      </c>
      <c r="E13" t="str">
        <f t="shared" si="1"/>
        <v>INSERT INTO T_CORE_ROLE(ROLE_APPSCODE, ROLE_ID, ROLE_STATUS, ROLE_DESC, ROLE_DT_CREATE, ROLE_UID_CREATE, ROLE_DT_LUPD, ROLE_UID_LUPD) VALUES ('CKT','SP_L1','A','LEVEL 1 SUPPORT',NOW(),'SYS',NOW(),'SYS');</v>
      </c>
    </row>
    <row r="14" spans="1:5" x14ac:dyDescent="0.2">
      <c r="A14" t="s">
        <v>14</v>
      </c>
      <c r="B14" t="s">
        <v>21</v>
      </c>
      <c r="C14" t="s">
        <v>7</v>
      </c>
      <c r="D14" t="s">
        <v>22</v>
      </c>
      <c r="E14" t="str">
        <f t="shared" si="1"/>
        <v>INSERT INTO T_CORE_ROLE(ROLE_APPSCODE, ROLE_ID, ROLE_STATUS, ROLE_DESC, ROLE_DT_CREATE, ROLE_UID_CREATE, ROLE_DT_LUPD, ROLE_UID_LUPD) VALUES ('CKT','SP_COM','A','COMMERCIAL',NOW(),'SYS',NOW(),'SYS');</v>
      </c>
    </row>
    <row r="15" spans="1:5" x14ac:dyDescent="0.2">
      <c r="A15" t="s">
        <v>14</v>
      </c>
      <c r="B15" t="s">
        <v>23</v>
      </c>
      <c r="C15" t="s">
        <v>7</v>
      </c>
      <c r="D15" t="s">
        <v>24</v>
      </c>
      <c r="E15" t="str">
        <f t="shared" si="1"/>
        <v>INSERT INTO T_CORE_ROLE(ROLE_APPSCODE, ROLE_ID, ROLE_STATUS, ROLE_DESC, ROLE_DT_CREATE, ROLE_UID_CREATE, ROLE_DT_LUPD, ROLE_UID_LUPD) VALUES ('CKT','SP_BZ_HD','A','BUSINESS HEAD',NOW(),'SYS',NOW(),'SYS');</v>
      </c>
    </row>
    <row r="16" spans="1:5" x14ac:dyDescent="0.2">
      <c r="A16" t="s">
        <v>14</v>
      </c>
      <c r="B16" t="s">
        <v>25</v>
      </c>
      <c r="C16" t="s">
        <v>7</v>
      </c>
      <c r="D16" t="s">
        <v>26</v>
      </c>
      <c r="E16" t="str">
        <f t="shared" si="1"/>
        <v>INSERT INTO T_CORE_ROLE(ROLE_APPSCODE, ROLE_ID, ROLE_STATUS, ROLE_DESC, ROLE_DT_CREATE, ROLE_UID_CREATE, ROLE_DT_LUPD, ROLE_UID_LUPD) VALUES ('CKT','SP_FIN_HD','A','FINANCE HEAD',NOW(),'SYS',NOW(),'SYS');</v>
      </c>
    </row>
    <row r="17" spans="1:5" x14ac:dyDescent="0.2">
      <c r="A17" t="s">
        <v>14</v>
      </c>
      <c r="B17" t="s">
        <v>27</v>
      </c>
      <c r="C17" t="s">
        <v>7</v>
      </c>
      <c r="D17" t="s">
        <v>28</v>
      </c>
      <c r="E17" t="str">
        <f t="shared" si="1"/>
        <v>INSERT INTO T_CORE_ROLE(ROLE_APPSCODE, ROLE_ID, ROLE_STATUS, ROLE_DESC, ROLE_DT_CREATE, ROLE_UID_CREATE, ROLE_DT_LUPD, ROLE_UID_LUPD) VALUES ('CKT','SP_FIN_ADMIN','A','FINANCE ADMIN',NOW(),'SYS',NOW(),'SYS');</v>
      </c>
    </row>
    <row r="18" spans="1:5" x14ac:dyDescent="0.2">
      <c r="A18" t="s">
        <v>14</v>
      </c>
      <c r="B18" t="s">
        <v>29</v>
      </c>
      <c r="C18" t="s">
        <v>7</v>
      </c>
      <c r="D18" t="s">
        <v>29</v>
      </c>
      <c r="E18" t="str">
        <f t="shared" si="1"/>
        <v>INSERT INTO T_CORE_ROLE(ROLE_APPSCODE, ROLE_ID, ROLE_STATUS, ROLE_DESC, ROLE_DT_CREATE, ROLE_UID_CREATE, ROLE_DT_LUPD, ROLE_UID_LUPD) VALUES ('CKT','DRIVER','A','DRIVER',NOW(),'SYS',NOW(),'SYS');</v>
      </c>
    </row>
    <row r="20" spans="1:5" x14ac:dyDescent="0.2">
      <c r="A20" t="s">
        <v>30</v>
      </c>
      <c r="B20" t="s">
        <v>6</v>
      </c>
      <c r="C20" t="s">
        <v>7</v>
      </c>
      <c r="D20" t="s">
        <v>8</v>
      </c>
      <c r="E20" t="str">
        <f>CONCATENATE("INSERT INTO T_CORE_ROLE(ROLE_APPSCODE, ROLE_ID, ROLE_STATUS, ROLE_DESC, ROLE_DT_CREATE, ROLE_UID_CREATE, ROLE_DT_LUPD, ROLE_UID_LUPD) VALUES ('",A20,"','",B20,"','",C20,"','",D20,"',NOW(),'SYS',NOW(),'SYS');")</f>
        <v>INSERT INTO T_CORE_ROLE(ROLE_APPSCODE, ROLE_ID, ROLE_STATUS, ROLE_DESC, ROLE_DT_CREATE, ROLE_UID_CREATE, ROLE_DT_LUPD, ROLE_UID_LUPD) VALUES ('CKDO','ADMIN','A','ACCOUNT ADMIN',NOW(),'SYS',NOW(),'SYS');</v>
      </c>
    </row>
    <row r="21" spans="1:5" x14ac:dyDescent="0.2">
      <c r="A21" t="s">
        <v>30</v>
      </c>
      <c r="B21" t="s">
        <v>9</v>
      </c>
      <c r="C21" t="s">
        <v>7</v>
      </c>
      <c r="D21" t="s">
        <v>9</v>
      </c>
      <c r="E21" t="str">
        <f t="shared" ref="E21:E24" si="2">CONCATENATE("INSERT INTO T_CORE_ROLE(ROLE_APPSCODE, ROLE_ID, ROLE_STATUS, ROLE_DESC, ROLE_DT_CREATE, ROLE_UID_CREATE, ROLE_DT_LUPD, ROLE_UID_LUPD) VALUES ('",A21,"','",B21,"','",C21,"','",D21,"',NOW(),'SYS',NOW(),'SYS');")</f>
        <v>INSERT INTO T_CORE_ROLE(ROLE_APPSCODE, ROLE_ID, ROLE_STATUS, ROLE_DESC, ROLE_DT_CREATE, ROLE_UID_CREATE, ROLE_DT_LUPD, ROLE_UID_LUPD) VALUES ('CKDO','OFFICER','A','OFFICER',NOW(),'SYS',NOW(),'SYS');</v>
      </c>
    </row>
    <row r="22" spans="1:5" x14ac:dyDescent="0.2">
      <c r="A22" t="s">
        <v>30</v>
      </c>
      <c r="B22" t="s">
        <v>10</v>
      </c>
      <c r="C22" t="s">
        <v>7</v>
      </c>
      <c r="D22" t="s">
        <v>10</v>
      </c>
      <c r="E22" t="str">
        <f t="shared" si="2"/>
        <v>INSERT INTO T_CORE_ROLE(ROLE_APPSCODE, ROLE_ID, ROLE_STATUS, ROLE_DESC, ROLE_DT_CREATE, ROLE_UID_CREATE, ROLE_DT_LUPD, ROLE_UID_LUPD) VALUES ('CKDO','OPERATIONS','A','OPERATIONS',NOW(),'SYS',NOW(),'SYS');</v>
      </c>
    </row>
    <row r="23" spans="1:5" x14ac:dyDescent="0.2">
      <c r="A23" t="s">
        <v>30</v>
      </c>
      <c r="B23" t="s">
        <v>11</v>
      </c>
      <c r="C23" t="s">
        <v>7</v>
      </c>
      <c r="D23" t="s">
        <v>11</v>
      </c>
      <c r="E23" t="str">
        <f t="shared" si="2"/>
        <v>INSERT INTO T_CORE_ROLE(ROLE_APPSCODE, ROLE_ID, ROLE_STATUS, ROLE_DESC, ROLE_DT_CREATE, ROLE_UID_CREATE, ROLE_DT_LUPD, ROLE_UID_LUPD) VALUES ('CKDO','FINANCE','A','FINANCE',NOW(),'SYS',NOW(),'SYS');</v>
      </c>
    </row>
    <row r="24" spans="1:5" x14ac:dyDescent="0.2">
      <c r="A24" t="s">
        <v>30</v>
      </c>
      <c r="B24" t="s">
        <v>12</v>
      </c>
      <c r="C24" t="s">
        <v>7</v>
      </c>
      <c r="D24" t="s">
        <v>13</v>
      </c>
      <c r="E24" t="str">
        <f t="shared" si="2"/>
        <v>INSERT INTO T_CORE_ROLE(ROLE_APPSCODE, ROLE_ID, ROLE_STATUS, ROLE_DESC, ROLE_DT_CREATE, ROLE_UID_CREATE, ROLE_DT_LUPD, ROLE_UID_LUPD) VALUES ('CKDO','SYS_SUPER_ADMIN','A','SYSTEM SUPER ADMIN',NOW(),'SYS',NOW(),'SYS');</v>
      </c>
    </row>
    <row r="25" spans="1:5" x14ac:dyDescent="0.2">
      <c r="A25" t="s">
        <v>30</v>
      </c>
      <c r="B25" t="s">
        <v>31</v>
      </c>
      <c r="C25" t="s">
        <v>7</v>
      </c>
      <c r="D25" t="s">
        <v>13</v>
      </c>
      <c r="E25" t="str">
        <f t="shared" ref="E25:E29" si="3">CONCATENATE("INSERT INTO T_CORE_ROLE(ROLE_APPSCODE, ROLE_ID, ROLE_STATUS, ROLE_DESC, ROLE_DT_CREATE, ROLE_UID_CREATE, ROLE_DT_LUPD, ROLE_UID_LUPD) VALUES ('",A25,"','",B25,"','",C25,"','",D25,"',NOW(),'SYS',NOW(),'SYS');")</f>
        <v>INSERT INTO T_CORE_ROLE(ROLE_APPSCODE, ROLE_ID, ROLE_STATUS, ROLE_DESC, ROLE_DT_CREATE, ROLE_UID_CREATE, ROLE_DT_LUPD, ROLE_UID_LUPD) VALUES ('CKDO','OFFICER_FINANCE','A','SYSTEM SUPER ADMIN',NOW(),'SYS',NOW(),'SYS');</v>
      </c>
    </row>
    <row r="26" spans="1:5" x14ac:dyDescent="0.2">
      <c r="A26" t="s">
        <v>30</v>
      </c>
      <c r="B26" t="s">
        <v>18</v>
      </c>
      <c r="C26" t="s">
        <v>7</v>
      </c>
      <c r="D26" t="s">
        <v>17</v>
      </c>
      <c r="E26" t="str">
        <f t="shared" si="3"/>
        <v>INSERT INTO T_CORE_ROLE(ROLE_APPSCODE, ROLE_ID, ROLE_STATUS, ROLE_DESC, ROLE_DT_CREATE, ROLE_UID_CREATE, ROLE_DT_LUPD, ROLE_UID_LUPD) VALUES ('CKDO','SP_OP_ADMIN','A','OPERATIONS ADMIN',NOW(),'SYS',NOW(),'SYS');</v>
      </c>
    </row>
    <row r="27" spans="1:5" x14ac:dyDescent="0.2">
      <c r="A27" t="s">
        <v>30</v>
      </c>
      <c r="B27" t="s">
        <v>19</v>
      </c>
      <c r="C27" t="s">
        <v>7</v>
      </c>
      <c r="D27" t="s">
        <v>20</v>
      </c>
      <c r="E27" t="str">
        <f t="shared" si="3"/>
        <v>INSERT INTO T_CORE_ROLE(ROLE_APPSCODE, ROLE_ID, ROLE_STATUS, ROLE_DESC, ROLE_DT_CREATE, ROLE_UID_CREATE, ROLE_DT_LUPD, ROLE_UID_LUPD) VALUES ('CKDO','SP_L1','A','LEVEL 1 SUPPORT',NOW(),'SYS',NOW(),'SYS');</v>
      </c>
    </row>
    <row r="28" spans="1:5" x14ac:dyDescent="0.2">
      <c r="A28" t="s">
        <v>30</v>
      </c>
      <c r="B28" t="s">
        <v>25</v>
      </c>
      <c r="C28" t="s">
        <v>7</v>
      </c>
      <c r="D28" t="s">
        <v>26</v>
      </c>
      <c r="E28" t="str">
        <f t="shared" si="3"/>
        <v>INSERT INTO T_CORE_ROLE(ROLE_APPSCODE, ROLE_ID, ROLE_STATUS, ROLE_DESC, ROLE_DT_CREATE, ROLE_UID_CREATE, ROLE_DT_LUPD, ROLE_UID_LUPD) VALUES ('CKDO','SP_FIN_HD','A','FINANCE HEAD',NOW(),'SYS',NOW(),'SYS');</v>
      </c>
    </row>
    <row r="29" spans="1:5" x14ac:dyDescent="0.2">
      <c r="A29" t="s">
        <v>30</v>
      </c>
      <c r="B29" t="s">
        <v>27</v>
      </c>
      <c r="C29" t="s">
        <v>7</v>
      </c>
      <c r="D29" t="s">
        <v>28</v>
      </c>
      <c r="E29" t="str">
        <f t="shared" si="3"/>
        <v>INSERT INTO T_CORE_ROLE(ROLE_APPSCODE, ROLE_ID, ROLE_STATUS, ROLE_DESC, ROLE_DT_CREATE, ROLE_UID_CREATE, ROLE_DT_LUPD, ROLE_UID_LUPD) VALUES ('CKDO','SP_FIN_ADMIN','A','FINANCE ADMIN',NOW(),'SYS',NOW(),'SYS');</v>
      </c>
    </row>
    <row r="32" spans="1:5" x14ac:dyDescent="0.2">
      <c r="A32" s="1" t="s">
        <v>32</v>
      </c>
    </row>
    <row r="33" spans="2:2" x14ac:dyDescent="0.2">
      <c r="B33" t="s">
        <v>33</v>
      </c>
    </row>
    <row r="34" spans="2:2" x14ac:dyDescent="0.2">
      <c r="B34"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topLeftCell="A32" zoomScale="115" zoomScaleNormal="115" workbookViewId="0">
      <selection activeCell="I44" sqref="I44"/>
    </sheetView>
  </sheetViews>
  <sheetFormatPr baseColWidth="10" defaultColWidth="11" defaultRowHeight="16" x14ac:dyDescent="0.2"/>
  <cols>
    <col min="1" max="1" width="22.83203125" customWidth="1"/>
    <col min="2" max="2" width="13.1640625" customWidth="1"/>
    <col min="3" max="5" width="19.83203125" customWidth="1"/>
  </cols>
  <sheetData>
    <row r="1" spans="1:9" x14ac:dyDescent="0.2">
      <c r="A1" t="s">
        <v>35</v>
      </c>
      <c r="B1" t="s">
        <v>36</v>
      </c>
      <c r="C1" t="s">
        <v>37</v>
      </c>
      <c r="D1" t="s">
        <v>0</v>
      </c>
      <c r="E1" t="s">
        <v>38</v>
      </c>
      <c r="F1" t="s">
        <v>39</v>
      </c>
      <c r="G1" t="s">
        <v>40</v>
      </c>
      <c r="H1" t="s">
        <v>2</v>
      </c>
    </row>
    <row r="2" spans="1:9" x14ac:dyDescent="0.2">
      <c r="A2" t="s">
        <v>41</v>
      </c>
      <c r="B2" t="s">
        <v>42</v>
      </c>
      <c r="C2" t="s">
        <v>43</v>
      </c>
      <c r="D2" t="s">
        <v>5</v>
      </c>
      <c r="E2" t="s">
        <v>9</v>
      </c>
      <c r="F2" t="s">
        <v>44</v>
      </c>
      <c r="G2" t="s">
        <v>44</v>
      </c>
      <c r="H2" t="s">
        <v>7</v>
      </c>
      <c r="I2" t="str">
        <f>CONCATENATE("INSERT INTO T_CORE_USR_ROLE(UROL_UID, UROL_APPSCODE, UROL_ROLEID, UROL_ADMIN_OPT, UROL_STATUS, UROL_DT_CREATE, UROL_UID_CREATE, UROL_DT_LUPD, UROL_UID_LUPD, UROL_TEMP_ROLE) VALUES('",A2,"','",D2,"','",E2,"','",F2,"','",H2,"',NOW(),'SYS', NOW(),'SYS','",G2,"');")</f>
        <v>INSERT INTO T_CORE_USR_ROLE(UROL_UID, UROL_APPSCODE, UROL_ROLEID, UROL_ADMIN_OPT, UROL_STATUS, UROL_DT_CREATE, UROL_UID_CREATE, UROL_DT_LUPD, UROL_UID_LUPD, UROL_TEMP_ROLE) VALUES('ALKNAR_U001','CK','OFFICER','N','A',NOW(),'SYS', NOW(),'SYS','N');</v>
      </c>
    </row>
    <row r="3" spans="1:9" x14ac:dyDescent="0.2">
      <c r="A3" t="s">
        <v>45</v>
      </c>
      <c r="B3" t="s">
        <v>42</v>
      </c>
      <c r="C3" t="s">
        <v>43</v>
      </c>
      <c r="D3" t="s">
        <v>5</v>
      </c>
      <c r="E3" t="s">
        <v>9</v>
      </c>
      <c r="F3" t="s">
        <v>44</v>
      </c>
      <c r="G3" t="s">
        <v>44</v>
      </c>
      <c r="H3" t="s">
        <v>7</v>
      </c>
      <c r="I3" t="str">
        <f t="shared" ref="I3:I36" si="0">CONCATENATE("INSERT INTO T_CORE_USR_ROLE(UROL_UID, UROL_APPSCODE, UROL_ROLEID, UROL_ADMIN_OPT, UROL_STATUS, UROL_DT_CREATE, UROL_UID_CREATE, UROL_DT_LUPD, UROL_UID_LUPD, UROL_TEMP_ROLE) VALUES('",A3,"','",D3,"','",E3,"','",F3,"','",H3,"',NOW(),'SYS', NOW(),'SYS','",G3,"');")</f>
        <v>INSERT INTO T_CORE_USR_ROLE(UROL_UID, UROL_APPSCODE, UROL_ROLEID, UROL_ADMIN_OPT, UROL_STATUS, UROL_DT_CREATE, UROL_UID_CREATE, UROL_DT_LUPD, UROL_UID_LUPD, UROL_TEMP_ROLE) VALUES('ALKNAR_U002','CK','OFFICER','N','A',NOW(),'SYS', NOW(),'SYS','N');</v>
      </c>
    </row>
    <row r="4" spans="1:9" x14ac:dyDescent="0.2">
      <c r="A4" t="s">
        <v>46</v>
      </c>
      <c r="B4" t="s">
        <v>42</v>
      </c>
      <c r="C4" t="s">
        <v>43</v>
      </c>
      <c r="D4" t="s">
        <v>5</v>
      </c>
      <c r="E4" t="s">
        <v>9</v>
      </c>
      <c r="F4" t="s">
        <v>44</v>
      </c>
      <c r="G4" t="s">
        <v>44</v>
      </c>
      <c r="H4" t="s">
        <v>7</v>
      </c>
      <c r="I4" t="str">
        <f t="shared" si="0"/>
        <v>INSERT INTO T_CORE_USR_ROLE(UROL_UID, UROL_APPSCODE, UROL_ROLEID, UROL_ADMIN_OPT, UROL_STATUS, UROL_DT_CREATE, UROL_UID_CREATE, UROL_DT_LUPD, UROL_UID_LUPD, UROL_TEMP_ROLE) VALUES('ALKNAR_U003','CK','OFFICER','N','A',NOW(),'SYS', NOW(),'SYS','N');</v>
      </c>
    </row>
    <row r="5" spans="1:9" x14ac:dyDescent="0.2">
      <c r="A5" t="s">
        <v>47</v>
      </c>
      <c r="B5" t="s">
        <v>48</v>
      </c>
      <c r="C5" t="s">
        <v>43</v>
      </c>
      <c r="D5" t="s">
        <v>5</v>
      </c>
      <c r="E5" t="s">
        <v>9</v>
      </c>
      <c r="F5" t="s">
        <v>44</v>
      </c>
      <c r="G5" t="s">
        <v>44</v>
      </c>
      <c r="H5" t="s">
        <v>7</v>
      </c>
      <c r="I5" t="str">
        <f t="shared" si="0"/>
        <v>INSERT INTO T_CORE_USR_ROLE(UROL_UID, UROL_APPSCODE, UROL_ROLEID, UROL_ADMIN_OPT, UROL_STATUS, UROL_DT_CREATE, UROL_UID_CREATE, UROL_DT_LUPD, UROL_UID_LUPD, UROL_TEMP_ROLE) VALUES('ALMGA_U001','CK','OFFICER','N','A',NOW(),'SYS', NOW(),'SYS','N');</v>
      </c>
    </row>
    <row r="6" spans="1:9" x14ac:dyDescent="0.2">
      <c r="A6" t="s">
        <v>49</v>
      </c>
      <c r="B6" t="s">
        <v>48</v>
      </c>
      <c r="C6" t="s">
        <v>43</v>
      </c>
      <c r="D6" t="s">
        <v>5</v>
      </c>
      <c r="E6" t="s">
        <v>9</v>
      </c>
      <c r="F6" t="s">
        <v>44</v>
      </c>
      <c r="G6" t="s">
        <v>44</v>
      </c>
      <c r="H6" t="s">
        <v>7</v>
      </c>
      <c r="I6" t="str">
        <f t="shared" si="0"/>
        <v>INSERT INTO T_CORE_USR_ROLE(UROL_UID, UROL_APPSCODE, UROL_ROLEID, UROL_ADMIN_OPT, UROL_STATUS, UROL_DT_CREATE, UROL_UID_CREATE, UROL_DT_LUPD, UROL_UID_LUPD, UROL_TEMP_ROLE) VALUES('ALMGA_U002','CK','OFFICER','N','A',NOW(),'SYS', NOW(),'SYS','N');</v>
      </c>
    </row>
    <row r="7" spans="1:9" x14ac:dyDescent="0.2">
      <c r="A7" t="s">
        <v>50</v>
      </c>
      <c r="B7" t="s">
        <v>48</v>
      </c>
      <c r="C7" t="s">
        <v>43</v>
      </c>
      <c r="D7" t="s">
        <v>5</v>
      </c>
      <c r="E7" t="s">
        <v>9</v>
      </c>
      <c r="F7" t="s">
        <v>44</v>
      </c>
      <c r="G7" t="s">
        <v>44</v>
      </c>
      <c r="H7" t="s">
        <v>7</v>
      </c>
      <c r="I7" t="str">
        <f t="shared" si="0"/>
        <v>INSERT INTO T_CORE_USR_ROLE(UROL_UID, UROL_APPSCODE, UROL_ROLEID, UROL_ADMIN_OPT, UROL_STATUS, UROL_DT_CREATE, UROL_UID_CREATE, UROL_DT_LUPD, UROL_UID_LUPD, UROL_TEMP_ROLE) VALUES('ALMGA_U003','CK','OFFICER','N','A',NOW(),'SYS', NOW(),'SYS','N');</v>
      </c>
    </row>
    <row r="8" spans="1:9" x14ac:dyDescent="0.2">
      <c r="A8" t="s">
        <v>51</v>
      </c>
      <c r="B8" t="s">
        <v>52</v>
      </c>
      <c r="C8" t="s">
        <v>43</v>
      </c>
      <c r="D8" t="s">
        <v>5</v>
      </c>
      <c r="E8" t="s">
        <v>9</v>
      </c>
      <c r="F8" t="s">
        <v>44</v>
      </c>
      <c r="G8" t="s">
        <v>44</v>
      </c>
      <c r="H8" t="s">
        <v>7</v>
      </c>
      <c r="I8" t="str">
        <f t="shared" si="0"/>
        <v>INSERT INTO T_CORE_USR_ROLE(UROL_UID, UROL_APPSCODE, UROL_ROLEID, UROL_ADMIN_OPT, UROL_STATUS, UROL_DT_CREATE, UROL_UID_CREATE, UROL_DT_LUPD, UROL_UID_LUPD, UROL_TEMP_ROLE) VALUES('ASPIND_U001','CK','OFFICER','N','A',NOW(),'SYS', NOW(),'SYS','N');</v>
      </c>
    </row>
    <row r="9" spans="1:9" x14ac:dyDescent="0.2">
      <c r="A9" t="s">
        <v>53</v>
      </c>
      <c r="B9" t="s">
        <v>52</v>
      </c>
      <c r="C9" t="s">
        <v>43</v>
      </c>
      <c r="D9" t="s">
        <v>5</v>
      </c>
      <c r="E9" t="s">
        <v>9</v>
      </c>
      <c r="F9" t="s">
        <v>44</v>
      </c>
      <c r="G9" t="s">
        <v>44</v>
      </c>
      <c r="H9" t="s">
        <v>7</v>
      </c>
      <c r="I9" t="str">
        <f t="shared" si="0"/>
        <v>INSERT INTO T_CORE_USR_ROLE(UROL_UID, UROL_APPSCODE, UROL_ROLEID, UROL_ADMIN_OPT, UROL_STATUS, UROL_DT_CREATE, UROL_UID_CREATE, UROL_DT_LUPD, UROL_UID_LUPD, UROL_TEMP_ROLE) VALUES('ASPIND_U002','CK','OFFICER','N','A',NOW(),'SYS', NOW(),'SYS','N');</v>
      </c>
    </row>
    <row r="10" spans="1:9" x14ac:dyDescent="0.2">
      <c r="A10" t="s">
        <v>54</v>
      </c>
      <c r="B10" t="s">
        <v>52</v>
      </c>
      <c r="C10" t="s">
        <v>43</v>
      </c>
      <c r="D10" t="s">
        <v>5</v>
      </c>
      <c r="E10" t="s">
        <v>9</v>
      </c>
      <c r="F10" t="s">
        <v>44</v>
      </c>
      <c r="G10" t="s">
        <v>44</v>
      </c>
      <c r="H10" t="s">
        <v>7</v>
      </c>
      <c r="I10" t="str">
        <f t="shared" si="0"/>
        <v>INSERT INTO T_CORE_USR_ROLE(UROL_UID, UROL_APPSCODE, UROL_ROLEID, UROL_ADMIN_OPT, UROL_STATUS, UROL_DT_CREATE, UROL_UID_CREATE, UROL_DT_LUPD, UROL_UID_LUPD, UROL_TEMP_ROLE) VALUES('ASPIND_U003','CK','OFFICER','N','A',NOW(),'SYS', NOW(),'SYS','N');</v>
      </c>
    </row>
    <row r="11" spans="1:9" x14ac:dyDescent="0.2">
      <c r="A11" t="s">
        <v>55</v>
      </c>
      <c r="B11" t="s">
        <v>56</v>
      </c>
      <c r="C11" t="s">
        <v>57</v>
      </c>
      <c r="D11" t="s">
        <v>5</v>
      </c>
      <c r="E11" t="s">
        <v>9</v>
      </c>
      <c r="F11" t="s">
        <v>44</v>
      </c>
      <c r="G11" t="s">
        <v>44</v>
      </c>
      <c r="H11" t="s">
        <v>7</v>
      </c>
      <c r="I11" t="str">
        <f t="shared" si="0"/>
        <v>INSERT INTO T_CORE_USR_ROLE(UROL_UID, UROL_APPSCODE, UROL_ROLEID, UROL_ADMIN_OPT, UROL_STATUS, UROL_DT_CREATE, UROL_UID_CREATE, UROL_DT_LUPD, UROL_UID_LUPD, UROL_TEMP_ROLE) VALUES('COMLG_U001','CK','OFFICER','N','A',NOW(),'SYS', NOW(),'SYS','N');</v>
      </c>
    </row>
    <row r="12" spans="1:9" x14ac:dyDescent="0.2">
      <c r="A12" t="s">
        <v>58</v>
      </c>
      <c r="B12" t="s">
        <v>56</v>
      </c>
      <c r="C12" t="s">
        <v>57</v>
      </c>
      <c r="D12" t="s">
        <v>5</v>
      </c>
      <c r="E12" t="s">
        <v>9</v>
      </c>
      <c r="F12" t="s">
        <v>44</v>
      </c>
      <c r="G12" t="s">
        <v>44</v>
      </c>
      <c r="H12" t="s">
        <v>7</v>
      </c>
      <c r="I12" t="str">
        <f t="shared" si="0"/>
        <v>INSERT INTO T_CORE_USR_ROLE(UROL_UID, UROL_APPSCODE, UROL_ROLEID, UROL_ADMIN_OPT, UROL_STATUS, UROL_DT_CREATE, UROL_UID_CREATE, UROL_DT_LUPD, UROL_UID_LUPD, UROL_TEMP_ROLE) VALUES('COMLG_U002','CK','OFFICER','N','A',NOW(),'SYS', NOW(),'SYS','N');</v>
      </c>
    </row>
    <row r="13" spans="1:9" x14ac:dyDescent="0.2">
      <c r="A13" t="s">
        <v>59</v>
      </c>
      <c r="B13" t="s">
        <v>56</v>
      </c>
      <c r="C13" t="s">
        <v>57</v>
      </c>
      <c r="D13" t="s">
        <v>5</v>
      </c>
      <c r="E13" t="s">
        <v>9</v>
      </c>
      <c r="F13" t="s">
        <v>44</v>
      </c>
      <c r="G13" t="s">
        <v>44</v>
      </c>
      <c r="H13" t="s">
        <v>7</v>
      </c>
      <c r="I13" t="str">
        <f t="shared" si="0"/>
        <v>INSERT INTO T_CORE_USR_ROLE(UROL_UID, UROL_APPSCODE, UROL_ROLEID, UROL_ADMIN_OPT, UROL_STATUS, UROL_DT_CREATE, UROL_UID_CREATE, UROL_DT_LUPD, UROL_UID_LUPD, UROL_TEMP_ROLE) VALUES('COMLG_U003','CK','OFFICER','N','A',NOW(),'SYS', NOW(),'SYS','N');</v>
      </c>
    </row>
    <row r="14" spans="1:9" x14ac:dyDescent="0.2">
      <c r="A14" t="s">
        <v>60</v>
      </c>
      <c r="B14" t="s">
        <v>61</v>
      </c>
      <c r="C14" t="s">
        <v>57</v>
      </c>
      <c r="D14" t="s">
        <v>5</v>
      </c>
      <c r="E14" t="s">
        <v>9</v>
      </c>
      <c r="F14" t="s">
        <v>44</v>
      </c>
      <c r="G14" t="s">
        <v>44</v>
      </c>
      <c r="H14" t="s">
        <v>7</v>
      </c>
      <c r="I14" t="str">
        <f t="shared" si="0"/>
        <v>INSERT INTO T_CORE_USR_ROLE(UROL_UID, UROL_APPSCODE, UROL_ROLEID, UROL_ADMIN_OPT, UROL_STATUS, UROL_DT_CREATE, UROL_UID_CREATE, UROL_DT_LUPD, UROL_UID_LUPD, UROL_TEMP_ROLE) VALUES('DUNLS_U001','CK','OFFICER','N','A',NOW(),'SYS', NOW(),'SYS','N');</v>
      </c>
    </row>
    <row r="15" spans="1:9" x14ac:dyDescent="0.2">
      <c r="A15" t="s">
        <v>62</v>
      </c>
      <c r="B15" t="s">
        <v>61</v>
      </c>
      <c r="C15" t="s">
        <v>57</v>
      </c>
      <c r="D15" t="s">
        <v>5</v>
      </c>
      <c r="E15" t="s">
        <v>9</v>
      </c>
      <c r="F15" t="s">
        <v>44</v>
      </c>
      <c r="G15" t="s">
        <v>44</v>
      </c>
      <c r="H15" t="s">
        <v>7</v>
      </c>
      <c r="I15" t="str">
        <f t="shared" si="0"/>
        <v>INSERT INTO T_CORE_USR_ROLE(UROL_UID, UROL_APPSCODE, UROL_ROLEID, UROL_ADMIN_OPT, UROL_STATUS, UROL_DT_CREATE, UROL_UID_CREATE, UROL_DT_LUPD, UROL_UID_LUPD, UROL_TEMP_ROLE) VALUES('DUNLS_U002','CK','OFFICER','N','A',NOW(),'SYS', NOW(),'SYS','N');</v>
      </c>
    </row>
    <row r="16" spans="1:9" x14ac:dyDescent="0.2">
      <c r="A16" t="s">
        <v>63</v>
      </c>
      <c r="B16" t="s">
        <v>61</v>
      </c>
      <c r="C16" t="s">
        <v>57</v>
      </c>
      <c r="D16" t="s">
        <v>5</v>
      </c>
      <c r="E16" t="s">
        <v>9</v>
      </c>
      <c r="F16" t="s">
        <v>44</v>
      </c>
      <c r="G16" t="s">
        <v>44</v>
      </c>
      <c r="H16" t="s">
        <v>7</v>
      </c>
      <c r="I16" t="str">
        <f t="shared" si="0"/>
        <v>INSERT INTO T_CORE_USR_ROLE(UROL_UID, UROL_APPSCODE, UROL_ROLEID, UROL_ADMIN_OPT, UROL_STATUS, UROL_DT_CREATE, UROL_UID_CREATE, UROL_DT_LUPD, UROL_UID_LUPD, UROL_TEMP_ROLE) VALUES('DUNLS_U003','CK','OFFICER','N','A',NOW(),'SYS', NOW(),'SYS','N');</v>
      </c>
    </row>
    <row r="17" spans="1:9" x14ac:dyDescent="0.2">
      <c r="A17" t="s">
        <v>64</v>
      </c>
      <c r="B17" t="s">
        <v>65</v>
      </c>
      <c r="C17" t="s">
        <v>57</v>
      </c>
      <c r="D17" t="s">
        <v>5</v>
      </c>
      <c r="E17" t="s">
        <v>9</v>
      </c>
      <c r="F17" t="s">
        <v>44</v>
      </c>
      <c r="G17" t="s">
        <v>44</v>
      </c>
      <c r="H17" t="s">
        <v>7</v>
      </c>
      <c r="I17" t="str">
        <f t="shared" si="0"/>
        <v>INSERT INTO T_CORE_USR_ROLE(UROL_UID, UROL_APPSCODE, UROL_ROLEID, UROL_ADMIN_OPT, UROL_STATUS, UROL_DT_CREATE, UROL_UID_CREATE, UROL_DT_LUPD, UROL_UID_LUPD, UROL_TEMP_ROLE) VALUES('FREXID_U001','CK','OFFICER','N','A',NOW(),'SYS', NOW(),'SYS','N');</v>
      </c>
    </row>
    <row r="18" spans="1:9" x14ac:dyDescent="0.2">
      <c r="A18" t="s">
        <v>66</v>
      </c>
      <c r="B18" t="s">
        <v>65</v>
      </c>
      <c r="C18" t="s">
        <v>57</v>
      </c>
      <c r="D18" t="s">
        <v>5</v>
      </c>
      <c r="E18" t="s">
        <v>9</v>
      </c>
      <c r="F18" t="s">
        <v>44</v>
      </c>
      <c r="G18" t="s">
        <v>44</v>
      </c>
      <c r="H18" t="s">
        <v>7</v>
      </c>
      <c r="I18" t="str">
        <f t="shared" si="0"/>
        <v>INSERT INTO T_CORE_USR_ROLE(UROL_UID, UROL_APPSCODE, UROL_ROLEID, UROL_ADMIN_OPT, UROL_STATUS, UROL_DT_CREATE, UROL_UID_CREATE, UROL_DT_LUPD, UROL_UID_LUPD, UROL_TEMP_ROLE) VALUES('FREXID_U002','CK','OFFICER','N','A',NOW(),'SYS', NOW(),'SYS','N');</v>
      </c>
    </row>
    <row r="19" spans="1:9" x14ac:dyDescent="0.2">
      <c r="A19" t="s">
        <v>67</v>
      </c>
      <c r="B19" t="s">
        <v>65</v>
      </c>
      <c r="C19" t="s">
        <v>57</v>
      </c>
      <c r="D19" t="s">
        <v>5</v>
      </c>
      <c r="E19" t="s">
        <v>9</v>
      </c>
      <c r="F19" t="s">
        <v>44</v>
      </c>
      <c r="G19" t="s">
        <v>44</v>
      </c>
      <c r="H19" t="s">
        <v>7</v>
      </c>
      <c r="I19" t="str">
        <f t="shared" si="0"/>
        <v>INSERT INTO T_CORE_USR_ROLE(UROL_UID, UROL_APPSCODE, UROL_ROLEID, UROL_ADMIN_OPT, UROL_STATUS, UROL_DT_CREATE, UROL_UID_CREATE, UROL_DT_LUPD, UROL_UID_LUPD, UROL_TEMP_ROLE) VALUES('FREXID_U003','CK','OFFICER','N','A',NOW(),'SYS', NOW(),'SYS','N');</v>
      </c>
    </row>
    <row r="20" spans="1:9" x14ac:dyDescent="0.2">
      <c r="A20" t="s">
        <v>68</v>
      </c>
      <c r="B20" t="s">
        <v>69</v>
      </c>
      <c r="C20" t="s">
        <v>57</v>
      </c>
      <c r="D20" t="s">
        <v>5</v>
      </c>
      <c r="E20" t="s">
        <v>9</v>
      </c>
      <c r="F20" t="s">
        <v>44</v>
      </c>
      <c r="G20" t="s">
        <v>44</v>
      </c>
      <c r="H20" t="s">
        <v>7</v>
      </c>
      <c r="I20" t="str">
        <f t="shared" si="0"/>
        <v>INSERT INTO T_CORE_USR_ROLE(UROL_UID, UROL_APPSCODE, UROL_ROLEID, UROL_ADMIN_OPT, UROL_STATUS, UROL_DT_CREATE, UROL_UID_CREATE, UROL_DT_LUPD, UROL_UID_LUPD, UROL_TEMP_ROLE) VALUES('GNOCIN_U001','CK','OFFICER','N','A',NOW(),'SYS', NOW(),'SYS','N');</v>
      </c>
    </row>
    <row r="21" spans="1:9" x14ac:dyDescent="0.2">
      <c r="A21" t="s">
        <v>70</v>
      </c>
      <c r="B21" t="s">
        <v>69</v>
      </c>
      <c r="C21" t="s">
        <v>57</v>
      </c>
      <c r="D21" t="s">
        <v>5</v>
      </c>
      <c r="E21" t="s">
        <v>9</v>
      </c>
      <c r="F21" t="s">
        <v>44</v>
      </c>
      <c r="G21" t="s">
        <v>44</v>
      </c>
      <c r="H21" t="s">
        <v>7</v>
      </c>
      <c r="I21" t="str">
        <f t="shared" si="0"/>
        <v>INSERT INTO T_CORE_USR_ROLE(UROL_UID, UROL_APPSCODE, UROL_ROLEID, UROL_ADMIN_OPT, UROL_STATUS, UROL_DT_CREATE, UROL_UID_CREATE, UROL_DT_LUPD, UROL_UID_LUPD, UROL_TEMP_ROLE) VALUES('GNOCIN_U002','CK','OFFICER','N','A',NOW(),'SYS', NOW(),'SYS','N');</v>
      </c>
    </row>
    <row r="22" spans="1:9" x14ac:dyDescent="0.2">
      <c r="A22" t="s">
        <v>71</v>
      </c>
      <c r="B22" t="s">
        <v>69</v>
      </c>
      <c r="C22" t="s">
        <v>57</v>
      </c>
      <c r="D22" t="s">
        <v>5</v>
      </c>
      <c r="E22" t="s">
        <v>9</v>
      </c>
      <c r="F22" t="s">
        <v>44</v>
      </c>
      <c r="G22" t="s">
        <v>44</v>
      </c>
      <c r="H22" t="s">
        <v>7</v>
      </c>
      <c r="I22" t="str">
        <f t="shared" si="0"/>
        <v>INSERT INTO T_CORE_USR_ROLE(UROL_UID, UROL_APPSCODE, UROL_ROLEID, UROL_ADMIN_OPT, UROL_STATUS, UROL_DT_CREATE, UROL_UID_CREATE, UROL_DT_LUPD, UROL_UID_LUPD, UROL_TEMP_ROLE) VALUES('GNOCIN_U003','CK','OFFICER','N','A',NOW(),'SYS', NOW(),'SYS','N');</v>
      </c>
    </row>
    <row r="23" spans="1:9" x14ac:dyDescent="0.2">
      <c r="A23" t="s">
        <v>72</v>
      </c>
      <c r="B23" t="s">
        <v>73</v>
      </c>
      <c r="C23" t="s">
        <v>74</v>
      </c>
      <c r="D23" t="s">
        <v>5</v>
      </c>
      <c r="E23" t="s">
        <v>10</v>
      </c>
      <c r="F23" t="s">
        <v>44</v>
      </c>
      <c r="G23" t="s">
        <v>44</v>
      </c>
      <c r="H23" t="s">
        <v>7</v>
      </c>
      <c r="I23" t="str">
        <f t="shared" si="0"/>
        <v>INSERT INTO T_CORE_USR_ROLE(UROL_UID, UROL_APPSCODE, UROL_ROLEID, UROL_ADMIN_OPT, UROL_STATUS, UROL_DT_CREATE, UROL_UID_CREATE, UROL_DT_LUPD, UROL_UID_LUPD, UROL_TEMP_ROLE) VALUES('MSC_U001','CK','OPERATIONS','N','A',NOW(),'SYS', NOW(),'SYS','N');</v>
      </c>
    </row>
    <row r="24" spans="1:9" x14ac:dyDescent="0.2">
      <c r="A24" t="s">
        <v>75</v>
      </c>
      <c r="B24" t="s">
        <v>73</v>
      </c>
      <c r="C24" t="s">
        <v>74</v>
      </c>
      <c r="D24" t="s">
        <v>5</v>
      </c>
      <c r="E24" t="s">
        <v>10</v>
      </c>
      <c r="F24" t="s">
        <v>44</v>
      </c>
      <c r="G24" t="s">
        <v>44</v>
      </c>
      <c r="H24" t="s">
        <v>7</v>
      </c>
      <c r="I24" t="str">
        <f t="shared" si="0"/>
        <v>INSERT INTO T_CORE_USR_ROLE(UROL_UID, UROL_APPSCODE, UROL_ROLEID, UROL_ADMIN_OPT, UROL_STATUS, UROL_DT_CREATE, UROL_UID_CREATE, UROL_DT_LUPD, UROL_UID_LUPD, UROL_TEMP_ROLE) VALUES('MSC_U002','CK','OPERATIONS','N','A',NOW(),'SYS', NOW(),'SYS','N');</v>
      </c>
    </row>
    <row r="25" spans="1:9" x14ac:dyDescent="0.2">
      <c r="A25" t="s">
        <v>76</v>
      </c>
      <c r="B25" t="s">
        <v>73</v>
      </c>
      <c r="C25" t="s">
        <v>74</v>
      </c>
      <c r="D25" t="s">
        <v>5</v>
      </c>
      <c r="E25" t="s">
        <v>10</v>
      </c>
      <c r="F25" t="s">
        <v>44</v>
      </c>
      <c r="G25" t="s">
        <v>44</v>
      </c>
      <c r="H25" t="s">
        <v>7</v>
      </c>
      <c r="I25" t="str">
        <f t="shared" si="0"/>
        <v>INSERT INTO T_CORE_USR_ROLE(UROL_UID, UROL_APPSCODE, UROL_ROLEID, UROL_ADMIN_OPT, UROL_STATUS, UROL_DT_CREATE, UROL_UID_CREATE, UROL_DT_LUPD, UROL_UID_LUPD, UROL_TEMP_ROLE) VALUES('MSC_U003','CK','OPERATIONS','N','A',NOW(),'SYS', NOW(),'SYS','N');</v>
      </c>
    </row>
    <row r="26" spans="1:9" x14ac:dyDescent="0.2">
      <c r="A26" t="s">
        <v>77</v>
      </c>
      <c r="B26" t="s">
        <v>73</v>
      </c>
      <c r="C26" t="s">
        <v>74</v>
      </c>
      <c r="D26" t="s">
        <v>5</v>
      </c>
      <c r="E26" t="s">
        <v>11</v>
      </c>
      <c r="F26" t="s">
        <v>44</v>
      </c>
      <c r="G26" t="s">
        <v>44</v>
      </c>
      <c r="H26" t="s">
        <v>7</v>
      </c>
      <c r="I26" t="str">
        <f t="shared" si="0"/>
        <v>INSERT INTO T_CORE_USR_ROLE(UROL_UID, UROL_APPSCODE, UROL_ROLEID, UROL_ADMIN_OPT, UROL_STATUS, UROL_DT_CREATE, UROL_UID_CREATE, UROL_DT_LUPD, UROL_UID_LUPD, UROL_TEMP_ROLE) VALUES('MSC_U004','CK','FINANCE','N','A',NOW(),'SYS', NOW(),'SYS','N');</v>
      </c>
    </row>
    <row r="27" spans="1:9" x14ac:dyDescent="0.2">
      <c r="A27" t="s">
        <v>78</v>
      </c>
      <c r="B27" t="s">
        <v>73</v>
      </c>
      <c r="C27" t="s">
        <v>74</v>
      </c>
      <c r="D27" t="s">
        <v>5</v>
      </c>
      <c r="E27" t="s">
        <v>11</v>
      </c>
      <c r="F27" t="s">
        <v>44</v>
      </c>
      <c r="G27" t="s">
        <v>44</v>
      </c>
      <c r="H27" t="s">
        <v>7</v>
      </c>
      <c r="I27" t="str">
        <f t="shared" si="0"/>
        <v>INSERT INTO T_CORE_USR_ROLE(UROL_UID, UROL_APPSCODE, UROL_ROLEID, UROL_ADMIN_OPT, UROL_STATUS, UROL_DT_CREATE, UROL_UID_CREATE, UROL_DT_LUPD, UROL_UID_LUPD, UROL_TEMP_ROLE) VALUES('MSC_U005','CK','FINANCE','N','A',NOW(),'SYS', NOW(),'SYS','N');</v>
      </c>
    </row>
    <row r="28" spans="1:9" x14ac:dyDescent="0.2">
      <c r="A28" t="s">
        <v>79</v>
      </c>
      <c r="B28" t="s">
        <v>80</v>
      </c>
      <c r="C28" t="s">
        <v>43</v>
      </c>
      <c r="D28" t="s">
        <v>5</v>
      </c>
      <c r="E28" t="s">
        <v>9</v>
      </c>
      <c r="F28" t="s">
        <v>44</v>
      </c>
      <c r="G28" t="s">
        <v>44</v>
      </c>
      <c r="H28" t="s">
        <v>7</v>
      </c>
      <c r="I28" t="str">
        <f t="shared" si="0"/>
        <v>INSERT INTO T_CORE_USR_ROLE(UROL_UID, UROL_APPSCODE, UROL_ROLEID, UROL_ADMIN_OPT, UROL_STATUS, UROL_DT_CREATE, UROL_UID_CREATE, UROL_DT_LUPD, UROL_UID_LUPD, UROL_TEMP_ROLE) VALUES('SUMTID_U001','CK','OFFICER','N','A',NOW(),'SYS', NOW(),'SYS','N');</v>
      </c>
    </row>
    <row r="29" spans="1:9" x14ac:dyDescent="0.2">
      <c r="A29" t="s">
        <v>81</v>
      </c>
      <c r="B29" t="s">
        <v>80</v>
      </c>
      <c r="C29" t="s">
        <v>43</v>
      </c>
      <c r="D29" t="s">
        <v>5</v>
      </c>
      <c r="E29" t="s">
        <v>9</v>
      </c>
      <c r="F29" t="s">
        <v>44</v>
      </c>
      <c r="G29" t="s">
        <v>44</v>
      </c>
      <c r="H29" t="s">
        <v>7</v>
      </c>
      <c r="I29" t="str">
        <f t="shared" si="0"/>
        <v>INSERT INTO T_CORE_USR_ROLE(UROL_UID, UROL_APPSCODE, UROL_ROLEID, UROL_ADMIN_OPT, UROL_STATUS, UROL_DT_CREATE, UROL_UID_CREATE, UROL_DT_LUPD, UROL_UID_LUPD, UROL_TEMP_ROLE) VALUES('SUMTID_U002','CK','OFFICER','N','A',NOW(),'SYS', NOW(),'SYS','N');</v>
      </c>
    </row>
    <row r="30" spans="1:9" x14ac:dyDescent="0.2">
      <c r="A30" t="s">
        <v>82</v>
      </c>
      <c r="B30" t="s">
        <v>80</v>
      </c>
      <c r="C30" t="s">
        <v>43</v>
      </c>
      <c r="D30" t="s">
        <v>5</v>
      </c>
      <c r="E30" t="s">
        <v>9</v>
      </c>
      <c r="F30" t="s">
        <v>44</v>
      </c>
      <c r="G30" t="s">
        <v>44</v>
      </c>
      <c r="H30" t="s">
        <v>7</v>
      </c>
      <c r="I30" t="str">
        <f t="shared" si="0"/>
        <v>INSERT INTO T_CORE_USR_ROLE(UROL_UID, UROL_APPSCODE, UROL_ROLEID, UROL_ADMIN_OPT, UROL_STATUS, UROL_DT_CREATE, UROL_UID_CREATE, UROL_DT_LUPD, UROL_UID_LUPD, UROL_TEMP_ROLE) VALUES('SUMTID_U003','CK','OFFICER','N','A',NOW(),'SYS', NOW(),'SYS','N');</v>
      </c>
    </row>
    <row r="31" spans="1:9" x14ac:dyDescent="0.2">
      <c r="A31" t="s">
        <v>83</v>
      </c>
      <c r="B31" t="s">
        <v>84</v>
      </c>
      <c r="C31" t="s">
        <v>43</v>
      </c>
      <c r="D31" t="s">
        <v>5</v>
      </c>
      <c r="E31" t="s">
        <v>9</v>
      </c>
      <c r="F31" t="s">
        <v>44</v>
      </c>
      <c r="G31" t="s">
        <v>44</v>
      </c>
      <c r="H31" t="s">
        <v>7</v>
      </c>
      <c r="I31" t="str">
        <f t="shared" si="0"/>
        <v>INSERT INTO T_CORE_USR_ROLE(UROL_UID, UROL_APPSCODE, UROL_ROLEID, UROL_ADMIN_OPT, UROL_STATUS, UROL_DT_CREATE, UROL_UID_CREATE, UROL_DT_LUPD, UROL_UID_LUPD, UROL_TEMP_ROLE) VALUES('TTIDR_U001','CK','OFFICER','N','A',NOW(),'SYS', NOW(),'SYS','N');</v>
      </c>
    </row>
    <row r="32" spans="1:9" x14ac:dyDescent="0.2">
      <c r="A32" t="s">
        <v>85</v>
      </c>
      <c r="B32" t="s">
        <v>84</v>
      </c>
      <c r="C32" t="s">
        <v>43</v>
      </c>
      <c r="D32" t="s">
        <v>5</v>
      </c>
      <c r="E32" t="s">
        <v>9</v>
      </c>
      <c r="F32" t="s">
        <v>44</v>
      </c>
      <c r="G32" t="s">
        <v>44</v>
      </c>
      <c r="H32" t="s">
        <v>7</v>
      </c>
      <c r="I32" t="str">
        <f t="shared" si="0"/>
        <v>INSERT INTO T_CORE_USR_ROLE(UROL_UID, UROL_APPSCODE, UROL_ROLEID, UROL_ADMIN_OPT, UROL_STATUS, UROL_DT_CREATE, UROL_UID_CREATE, UROL_DT_LUPD, UROL_UID_LUPD, UROL_TEMP_ROLE) VALUES('TTIDR_U002','CK','OFFICER','N','A',NOW(),'SYS', NOW(),'SYS','N');</v>
      </c>
    </row>
    <row r="33" spans="1:9" x14ac:dyDescent="0.2">
      <c r="A33" t="s">
        <v>86</v>
      </c>
      <c r="B33" t="s">
        <v>84</v>
      </c>
      <c r="C33" t="s">
        <v>43</v>
      </c>
      <c r="D33" t="s">
        <v>5</v>
      </c>
      <c r="E33" t="s">
        <v>9</v>
      </c>
      <c r="F33" t="s">
        <v>44</v>
      </c>
      <c r="G33" t="s">
        <v>44</v>
      </c>
      <c r="H33" t="s">
        <v>7</v>
      </c>
      <c r="I33" t="str">
        <f t="shared" si="0"/>
        <v>INSERT INTO T_CORE_USR_ROLE(UROL_UID, UROL_APPSCODE, UROL_ROLEID, UROL_ADMIN_OPT, UROL_STATUS, UROL_DT_CREATE, UROL_UID_CREATE, UROL_DT_LUPD, UROL_UID_LUPD, UROL_TEMP_ROLE) VALUES('TTIDR_U003','CK','OFFICER','N','A',NOW(),'SYS', NOW(),'SYS','N');</v>
      </c>
    </row>
    <row r="34" spans="1:9" x14ac:dyDescent="0.2">
      <c r="A34" t="s">
        <v>87</v>
      </c>
      <c r="B34" t="s">
        <v>88</v>
      </c>
      <c r="C34" t="s">
        <v>57</v>
      </c>
      <c r="D34" t="s">
        <v>5</v>
      </c>
      <c r="E34" t="s">
        <v>9</v>
      </c>
      <c r="F34" t="s">
        <v>44</v>
      </c>
      <c r="G34" t="s">
        <v>44</v>
      </c>
      <c r="H34" t="s">
        <v>7</v>
      </c>
      <c r="I34" t="str">
        <f t="shared" si="0"/>
        <v>INSERT INTO T_CORE_USR_ROLE(UROL_UID, UROL_APPSCODE, UROL_ROLEID, UROL_ADMIN_OPT, UROL_STATUS, UROL_DT_CREATE, UROL_UID_CREATE, UROL_DT_LUPD, UROL_UID_LUPD, UROL_TEMP_ROLE) VALUES('YINDF_U001','CK','OFFICER','N','A',NOW(),'SYS', NOW(),'SYS','N');</v>
      </c>
    </row>
    <row r="35" spans="1:9" x14ac:dyDescent="0.2">
      <c r="A35" t="s">
        <v>89</v>
      </c>
      <c r="B35" t="s">
        <v>88</v>
      </c>
      <c r="C35" t="s">
        <v>57</v>
      </c>
      <c r="D35" t="s">
        <v>5</v>
      </c>
      <c r="E35" t="s">
        <v>9</v>
      </c>
      <c r="F35" t="s">
        <v>44</v>
      </c>
      <c r="G35" t="s">
        <v>44</v>
      </c>
      <c r="H35" t="s">
        <v>7</v>
      </c>
      <c r="I35" t="str">
        <f t="shared" si="0"/>
        <v>INSERT INTO T_CORE_USR_ROLE(UROL_UID, UROL_APPSCODE, UROL_ROLEID, UROL_ADMIN_OPT, UROL_STATUS, UROL_DT_CREATE, UROL_UID_CREATE, UROL_DT_LUPD, UROL_UID_LUPD, UROL_TEMP_ROLE) VALUES('YINDF_U002','CK','OFFICER','N','A',NOW(),'SYS', NOW(),'SYS','N');</v>
      </c>
    </row>
    <row r="36" spans="1:9" x14ac:dyDescent="0.2">
      <c r="A36" t="s">
        <v>90</v>
      </c>
      <c r="B36" t="s">
        <v>88</v>
      </c>
      <c r="C36" t="s">
        <v>57</v>
      </c>
      <c r="D36" t="s">
        <v>5</v>
      </c>
      <c r="E36" t="s">
        <v>9</v>
      </c>
      <c r="F36" t="s">
        <v>44</v>
      </c>
      <c r="G36" t="s">
        <v>44</v>
      </c>
      <c r="H36" t="s">
        <v>7</v>
      </c>
      <c r="I36" t="str">
        <f t="shared" si="0"/>
        <v>INSERT INTO T_CORE_USR_ROLE(UROL_UID, UROL_APPSCODE, UROL_ROLEID, UROL_ADMIN_OPT, UROL_STATUS, UROL_DT_CREATE, UROL_UID_CREATE, UROL_DT_LUPD, UROL_UID_LUPD, UROL_TEMP_ROLE) VALUES('YINDF_U003','CK','OFFICER','N','A',NOW(),'SYS', NOW(),'SYS','N');</v>
      </c>
    </row>
    <row r="37" spans="1:9" x14ac:dyDescent="0.2">
      <c r="A37" t="s">
        <v>91</v>
      </c>
      <c r="B37" t="s">
        <v>92</v>
      </c>
      <c r="C37" t="s">
        <v>93</v>
      </c>
      <c r="D37" t="s">
        <v>14</v>
      </c>
      <c r="E37" t="s">
        <v>94</v>
      </c>
      <c r="F37" t="s">
        <v>44</v>
      </c>
      <c r="G37" t="s">
        <v>44</v>
      </c>
      <c r="H37" t="s">
        <v>7</v>
      </c>
      <c r="I37" t="str">
        <f t="shared" ref="I37" si="1">CONCATENATE("INSERT INTO T_CORE_USR_ROLE(UROL_UID, UROL_APPSCODE, UROL_ROLEID, UROL_ADMIN_OPT, UROL_STATUS, UROL_DT_CREATE, UROL_UID_CREATE, UROL_DT_LUPD, UROL_UID_LUPD, UROL_TEMP_ROLE) VALUES('",A37,"','",D37,"','",E37,"','",F37,"','",H37,"',NOW(),'SYS', NOW(),'SYS','",G37,"');")</f>
        <v>INSERT INTO T_CORE_USR_ROLE(UROL_UID, UROL_APPSCODE, UROL_ROLEID, UROL_ADMIN_OPT, UROL_STATUS, UROL_DT_CREATE, UROL_UID_CREATE, UROL_DT_LUPD, UROL_UID_LUPD, UROL_TEMP_ROLE) VALUES('GLI_U001','CKT','FINANCE_ADMIN','N','A',NOW(),'SYS', NOW(),'SYS','N');</v>
      </c>
    </row>
    <row r="38" spans="1:9" x14ac:dyDescent="0.2">
      <c r="A38" t="s">
        <v>91</v>
      </c>
      <c r="B38" t="s">
        <v>92</v>
      </c>
      <c r="C38" t="s">
        <v>93</v>
      </c>
      <c r="D38" t="s">
        <v>14</v>
      </c>
      <c r="E38" t="s">
        <v>18</v>
      </c>
      <c r="F38" t="s">
        <v>44</v>
      </c>
      <c r="G38" t="s">
        <v>44</v>
      </c>
      <c r="H38" t="s">
        <v>7</v>
      </c>
      <c r="I38" t="str">
        <f t="shared" ref="I38" si="2">CONCATENATE("INSERT INTO T_CORE_USR_ROLE(UROL_UID, UROL_APPSCODE, UROL_ROLEID, UROL_ADMIN_OPT, UROL_STATUS, UROL_DT_CREATE, UROL_UID_CREATE, UROL_DT_LUPD, UROL_UID_LUPD, UROL_TEMP_ROLE) VALUES('",A38,"','",D38,"','",E38,"','",F38,"','",H38,"',NOW(),'SYS', NOW(),'SYS','",G38,"');")</f>
        <v>INSERT INTO T_CORE_USR_ROLE(UROL_UID, UROL_APPSCODE, UROL_ROLEID, UROL_ADMIN_OPT, UROL_STATUS, UROL_DT_CREATE, UROL_UID_CREATE, UROL_DT_LUPD, UROL_UID_LUPD, UROL_TEMP_ROLE) VALUES('GLI_U001','CKT','SP_OP_ADMIN','N','A',NOW(),'SYS', NOW(),'SYS','N');</v>
      </c>
    </row>
    <row r="39" spans="1:9" x14ac:dyDescent="0.2">
      <c r="A39" t="s">
        <v>95</v>
      </c>
      <c r="B39" t="s">
        <v>92</v>
      </c>
      <c r="C39" t="s">
        <v>93</v>
      </c>
      <c r="D39" t="s">
        <v>14</v>
      </c>
      <c r="E39" t="s">
        <v>19</v>
      </c>
      <c r="F39" t="s">
        <v>44</v>
      </c>
      <c r="G39" t="s">
        <v>44</v>
      </c>
      <c r="H39" t="s">
        <v>7</v>
      </c>
    </row>
    <row r="40" spans="1:9" x14ac:dyDescent="0.2">
      <c r="A40" t="s">
        <v>1024</v>
      </c>
      <c r="B40" t="s">
        <v>92</v>
      </c>
      <c r="C40" t="s">
        <v>93</v>
      </c>
      <c r="D40" t="s">
        <v>14</v>
      </c>
      <c r="E40" t="s">
        <v>12</v>
      </c>
      <c r="F40" t="s">
        <v>44</v>
      </c>
      <c r="G40" t="s">
        <v>44</v>
      </c>
      <c r="H40" t="s">
        <v>7</v>
      </c>
      <c r="I40" t="str">
        <f t="shared" ref="I40:I43" si="3">CONCATENATE("INSERT INTO T_CORE_USR_ROLE(UROL_UID, UROL_APPSCODE, UROL_ROLEID, UROL_ADMIN_OPT, UROL_STATUS, UROL_DT_CREATE, UROL_UID_CREATE, UROL_DT_LUPD, UROL_UID_LUPD, UROL_TEMP_ROLE) VALUES('",A40,"','",D40,"','",E40,"','",F40,"','",H40,"',NOW(),'SYS', NOW(),'SYS','",G40,"');")</f>
        <v>INSERT INTO T_CORE_USR_ROLE(UROL_UID, UROL_APPSCODE, UROL_ROLEID, UROL_ADMIN_OPT, UROL_STATUS, UROL_DT_CREATE, UROL_UID_CREATE, UROL_DT_LUPD, UROL_UID_LUPD, UROL_TEMP_ROLE) VALUES('GLI_SYS_ADMIN','CKT','SYS_SUPER_ADMIN','N','A',NOW(),'SYS', NOW(),'SYS','N');</v>
      </c>
    </row>
    <row r="41" spans="1:9" x14ac:dyDescent="0.2">
      <c r="A41" t="s">
        <v>91</v>
      </c>
      <c r="B41" t="s">
        <v>92</v>
      </c>
      <c r="C41" t="s">
        <v>93</v>
      </c>
      <c r="D41" s="35" t="s">
        <v>30</v>
      </c>
      <c r="E41" t="s">
        <v>94</v>
      </c>
      <c r="F41" t="s">
        <v>44</v>
      </c>
      <c r="G41" t="s">
        <v>44</v>
      </c>
      <c r="H41" t="s">
        <v>7</v>
      </c>
      <c r="I41" t="str">
        <f t="shared" si="3"/>
        <v>INSERT INTO T_CORE_USR_ROLE(UROL_UID, UROL_APPSCODE, UROL_ROLEID, UROL_ADMIN_OPT, UROL_STATUS, UROL_DT_CREATE, UROL_UID_CREATE, UROL_DT_LUPD, UROL_UID_LUPD, UROL_TEMP_ROLE) VALUES('GLI_U001','CKDO','FINANCE_ADMIN','N','A',NOW(),'SYS', NOW(),'SYS','N');</v>
      </c>
    </row>
    <row r="42" spans="1:9" x14ac:dyDescent="0.2">
      <c r="A42" t="s">
        <v>91</v>
      </c>
      <c r="B42" t="s">
        <v>92</v>
      </c>
      <c r="C42" t="s">
        <v>93</v>
      </c>
      <c r="D42" t="s">
        <v>30</v>
      </c>
      <c r="E42" t="s">
        <v>18</v>
      </c>
      <c r="F42" t="s">
        <v>44</v>
      </c>
      <c r="G42" t="s">
        <v>44</v>
      </c>
      <c r="H42" t="s">
        <v>7</v>
      </c>
      <c r="I42" t="str">
        <f t="shared" si="3"/>
        <v>INSERT INTO T_CORE_USR_ROLE(UROL_UID, UROL_APPSCODE, UROL_ROLEID, UROL_ADMIN_OPT, UROL_STATUS, UROL_DT_CREATE, UROL_UID_CREATE, UROL_DT_LUPD, UROL_UID_LUPD, UROL_TEMP_ROLE) VALUES('GLI_U001','CKDO','SP_OP_ADMIN','N','A',NOW(),'SYS', NOW(),'SYS','N');</v>
      </c>
    </row>
    <row r="43" spans="1:9" x14ac:dyDescent="0.2">
      <c r="A43" t="s">
        <v>95</v>
      </c>
      <c r="B43" t="s">
        <v>92</v>
      </c>
      <c r="C43" t="s">
        <v>93</v>
      </c>
      <c r="D43" t="s">
        <v>30</v>
      </c>
      <c r="E43" t="s">
        <v>19</v>
      </c>
      <c r="F43" t="s">
        <v>44</v>
      </c>
      <c r="G43" t="s">
        <v>44</v>
      </c>
      <c r="H43" t="s">
        <v>7</v>
      </c>
      <c r="I43" t="str">
        <f t="shared" si="3"/>
        <v>INSERT INTO T_CORE_USR_ROLE(UROL_UID, UROL_APPSCODE, UROL_ROLEID, UROL_ADMIN_OPT, UROL_STATUS, UROL_DT_CREATE, UROL_UID_CREATE, UROL_DT_LUPD, UROL_UID_LUPD, UROL_TEMP_ROLE) VALUES('GLI_L1','CKDO','SP_L1','N','A',NOW(),'SYS', NOW(),'SYS','N');</v>
      </c>
    </row>
    <row r="44" spans="1:9" x14ac:dyDescent="0.2">
      <c r="A44" t="s">
        <v>91</v>
      </c>
      <c r="B44" t="s">
        <v>92</v>
      </c>
      <c r="C44" t="s">
        <v>93</v>
      </c>
      <c r="D44" t="s">
        <v>30</v>
      </c>
      <c r="E44" t="s">
        <v>19</v>
      </c>
      <c r="F44" t="s">
        <v>44</v>
      </c>
      <c r="G44" t="s">
        <v>44</v>
      </c>
      <c r="H44" t="s">
        <v>7</v>
      </c>
      <c r="I44" t="str">
        <f t="shared" ref="I44" si="4">CONCATENATE("INSERT INTO T_CORE_USR_ROLE(UROL_UID, UROL_APPSCODE, UROL_ROLEID, UROL_ADMIN_OPT, UROL_STATUS, UROL_DT_CREATE, UROL_UID_CREATE, UROL_DT_LUPD, UROL_UID_LUPD, UROL_TEMP_ROLE) VALUES('",A44,"','",D44,"','",E44,"','",F44,"','",H44,"',NOW(),'SYS', NOW(),'SYS','",G44,"');")</f>
        <v>INSERT INTO T_CORE_USR_ROLE(UROL_UID, UROL_APPSCODE, UROL_ROLEID, UROL_ADMIN_OPT, UROL_STATUS, UROL_DT_CREATE, UROL_UID_CREATE, UROL_DT_LUPD, UROL_UID_LUPD, UROL_TEMP_ROLE) VALUES('GLI_U001','CKDO','SP_L1','N','A',NOW(),'SYS', NOW(),'SYS','N');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election activeCell="F3" sqref="F3:F7"/>
    </sheetView>
  </sheetViews>
  <sheetFormatPr baseColWidth="10" defaultColWidth="11" defaultRowHeight="16" x14ac:dyDescent="0.2"/>
  <cols>
    <col min="6" max="6" width="48.6640625" customWidth="1"/>
  </cols>
  <sheetData>
    <row r="1" spans="1:8" x14ac:dyDescent="0.2">
      <c r="A1" s="34" t="s">
        <v>96</v>
      </c>
      <c r="B1" s="34"/>
      <c r="C1" s="34"/>
      <c r="D1" s="34"/>
      <c r="E1" s="34"/>
      <c r="F1" s="34"/>
      <c r="G1" s="34"/>
    </row>
    <row r="2" spans="1:8" x14ac:dyDescent="0.2">
      <c r="A2" s="18" t="s">
        <v>97</v>
      </c>
      <c r="B2" s="18" t="s">
        <v>98</v>
      </c>
      <c r="C2" s="18" t="s">
        <v>3</v>
      </c>
      <c r="D2" s="18" t="s">
        <v>99</v>
      </c>
      <c r="E2" s="18" t="s">
        <v>2</v>
      </c>
      <c r="F2" s="19" t="s">
        <v>4</v>
      </c>
      <c r="G2" s="20"/>
    </row>
    <row r="3" spans="1:8" x14ac:dyDescent="0.2">
      <c r="A3" t="s">
        <v>100</v>
      </c>
      <c r="B3" t="s">
        <v>100</v>
      </c>
      <c r="C3" t="s">
        <v>100</v>
      </c>
      <c r="D3" t="s">
        <v>100</v>
      </c>
      <c r="E3" t="s">
        <v>7</v>
      </c>
      <c r="F3" t="str">
        <f>CONCATENATE(G3,H3)</f>
        <v>INSERT INTO `T_CK_MST_CREDIT_UPDATE_STATE` (`ST_ID`,`ST_NAME`,`ST_DESC`,`ST_DESC_OTH`,`ST_STATUS`,`ST_DT_CREATE`,`ST_UID_CREATE`,`ST_DT_LUPD`,`ST_UID_LUPD`)  VALUES('NEW','NEW','NEW','NEW','A',NOW(),'SYS',NOW(),'SYS');</v>
      </c>
      <c r="G3" t="str">
        <f>CONCATENATE("INSERT INTO `T_CK_MST_CREDIT_UPDATE_STATE` (`ST_ID`,`ST_NAME`,`ST_DESC`,`ST_DESC_OTH`,`ST_STATUS`,`ST_DT_CREATE`,`ST_UID_CREATE`,`ST_DT_LUPD`,`ST_UID_LUPD`) ")</f>
        <v xml:space="preserve">INSERT INTO `T_CK_MST_CREDIT_UPDATE_STATE` (`ST_ID`,`ST_NAME`,`ST_DESC`,`ST_DESC_OTH`,`ST_STATUS`,`ST_DT_CREATE`,`ST_UID_CREATE`,`ST_DT_LUPD`,`ST_UID_LUPD`) </v>
      </c>
      <c r="H3" t="str">
        <f>CONCATENATE(" VALUES('",A3,"','",B3,"','",C3,"','",D3,"','",E3,"',NOW(),'SYS',NOW(),'SYS');")</f>
        <v xml:space="preserve"> VALUES('NEW','NEW','NEW','NEW','A',NOW(),'SYS',NOW(),'SYS');</v>
      </c>
    </row>
    <row r="4" spans="1:8" x14ac:dyDescent="0.2">
      <c r="A4" t="s">
        <v>101</v>
      </c>
      <c r="B4" t="s">
        <v>102</v>
      </c>
      <c r="C4" t="s">
        <v>102</v>
      </c>
      <c r="D4" t="s">
        <v>102</v>
      </c>
      <c r="E4" t="s">
        <v>7</v>
      </c>
      <c r="F4" t="str">
        <f t="shared" ref="F4:F7" si="0">CONCATENATE(G4,H4)</f>
        <v>INSERT INTO `T_CK_MST_CREDIT_UPDATE_STATE` (`ST_ID`,`ST_NAME`,`ST_DESC`,`ST_DESC_OTH`,`ST_STATUS`,`ST_DT_CREATE`,`ST_UID_CREATE`,`ST_DT_LUPD`,`ST_UID_LUPD`)  VALUES('SUB','SUBMITTED','SUBMITTED','SUBMITTED','A',NOW(),'SYS',NOW(),'SYS');</v>
      </c>
      <c r="G4" t="str">
        <f t="shared" ref="G4:G7" si="1">CONCATENATE("INSERT INTO `T_CK_MST_CREDIT_UPDATE_STATE` (`ST_ID`,`ST_NAME`,`ST_DESC`,`ST_DESC_OTH`,`ST_STATUS`,`ST_DT_CREATE`,`ST_UID_CREATE`,`ST_DT_LUPD`,`ST_UID_LUPD`) ")</f>
        <v xml:space="preserve">INSERT INTO `T_CK_MST_CREDIT_UPDATE_STATE` (`ST_ID`,`ST_NAME`,`ST_DESC`,`ST_DESC_OTH`,`ST_STATUS`,`ST_DT_CREATE`,`ST_UID_CREATE`,`ST_DT_LUPD`,`ST_UID_LUPD`) </v>
      </c>
      <c r="H4" t="str">
        <f t="shared" ref="H4:H7" si="2">CONCATENATE(" VALUES('",A4,"','",B4,"','",C4,"','",D4,"','",E4,"',NOW(),'SYS',NOW(),'SYS');")</f>
        <v xml:space="preserve"> VALUES('SUB','SUBMITTED','SUBMITTED','SUBMITTED','A',NOW(),'SYS',NOW(),'SYS');</v>
      </c>
    </row>
    <row r="5" spans="1:8" x14ac:dyDescent="0.2">
      <c r="A5" t="s">
        <v>103</v>
      </c>
      <c r="B5" t="s">
        <v>104</v>
      </c>
      <c r="C5" t="s">
        <v>104</v>
      </c>
      <c r="D5" t="s">
        <v>104</v>
      </c>
      <c r="E5" t="s">
        <v>7</v>
      </c>
      <c r="F5" t="str">
        <f t="shared" si="0"/>
        <v>INSERT INTO `T_CK_MST_CREDIT_UPDATE_STATE` (`ST_ID`,`ST_NAME`,`ST_DESC`,`ST_DESC_OTH`,`ST_STATUS`,`ST_DT_CREATE`,`ST_UID_CREATE`,`ST_DT_LUPD`,`ST_UID_LUPD`)  VALUES('DEL','DELETED','DELETED','DELETED','A',NOW(),'SYS',NOW(),'SYS');</v>
      </c>
      <c r="G5" t="str">
        <f t="shared" si="1"/>
        <v xml:space="preserve">INSERT INTO `T_CK_MST_CREDIT_UPDATE_STATE` (`ST_ID`,`ST_NAME`,`ST_DESC`,`ST_DESC_OTH`,`ST_STATUS`,`ST_DT_CREATE`,`ST_UID_CREATE`,`ST_DT_LUPD`,`ST_UID_LUPD`) </v>
      </c>
      <c r="H5" t="str">
        <f t="shared" si="2"/>
        <v xml:space="preserve"> VALUES('DEL','DELETED','DELETED','DELETED','A',NOW(),'SYS',NOW(),'SYS');</v>
      </c>
    </row>
    <row r="6" spans="1:8" x14ac:dyDescent="0.2">
      <c r="A6" t="s">
        <v>105</v>
      </c>
      <c r="B6" t="s">
        <v>106</v>
      </c>
      <c r="C6" t="s">
        <v>106</v>
      </c>
      <c r="D6" t="s">
        <v>106</v>
      </c>
      <c r="E6" t="s">
        <v>7</v>
      </c>
      <c r="F6" t="str">
        <f t="shared" si="0"/>
        <v>INSERT INTO `T_CK_MST_CREDIT_UPDATE_STATE` (`ST_ID`,`ST_NAME`,`ST_DESC`,`ST_DESC_OTH`,`ST_STATUS`,`ST_DT_CREATE`,`ST_UID_CREATE`,`ST_DT_LUPD`,`ST_UID_LUPD`)  VALUES('APP','APPROVED','APPROVED','APPROVED','A',NOW(),'SYS',NOW(),'SYS');</v>
      </c>
      <c r="G6" t="str">
        <f t="shared" si="1"/>
        <v xml:space="preserve">INSERT INTO `T_CK_MST_CREDIT_UPDATE_STATE` (`ST_ID`,`ST_NAME`,`ST_DESC`,`ST_DESC_OTH`,`ST_STATUS`,`ST_DT_CREATE`,`ST_UID_CREATE`,`ST_DT_LUPD`,`ST_UID_LUPD`) </v>
      </c>
      <c r="H6" t="str">
        <f t="shared" si="2"/>
        <v xml:space="preserve"> VALUES('APP','APPROVED','APPROVED','APPROVED','A',NOW(),'SYS',NOW(),'SYS');</v>
      </c>
    </row>
    <row r="7" spans="1:8" x14ac:dyDescent="0.2">
      <c r="A7" t="s">
        <v>107</v>
      </c>
      <c r="B7" t="s">
        <v>108</v>
      </c>
      <c r="C7" t="s">
        <v>108</v>
      </c>
      <c r="D7" t="s">
        <v>108</v>
      </c>
      <c r="E7" t="s">
        <v>7</v>
      </c>
      <c r="F7" t="str">
        <f t="shared" si="0"/>
        <v>INSERT INTO `T_CK_MST_CREDIT_UPDATE_STATE` (`ST_ID`,`ST_NAME`,`ST_DESC`,`ST_DESC_OTH`,`ST_STATUS`,`ST_DT_CREATE`,`ST_UID_CREATE`,`ST_DT_LUPD`,`ST_UID_LUPD`)  VALUES('REJ','REJECTED','REJECTED','REJECTED','A',NOW(),'SYS',NOW(),'SYS');</v>
      </c>
      <c r="G7" t="str">
        <f t="shared" si="1"/>
        <v xml:space="preserve">INSERT INTO `T_CK_MST_CREDIT_UPDATE_STATE` (`ST_ID`,`ST_NAME`,`ST_DESC`,`ST_DESC_OTH`,`ST_STATUS`,`ST_DT_CREATE`,`ST_UID_CREATE`,`ST_DT_LUPD`,`ST_UID_LUPD`) </v>
      </c>
      <c r="H7" t="str">
        <f t="shared" si="2"/>
        <v xml:space="preserve"> VALUES('REJ','REJECTED','REJECTED','REJECTED','A',NOW(),'SYS',NOW(),'SYS');</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0"/>
  <sheetViews>
    <sheetView zoomScale="119" zoomScaleNormal="119" workbookViewId="0">
      <pane ySplit="1" topLeftCell="A29" activePane="bottomLeft" state="frozen"/>
      <selection pane="bottomLeft" activeCell="A59" sqref="A59"/>
    </sheetView>
  </sheetViews>
  <sheetFormatPr baseColWidth="10" defaultColWidth="8.83203125" defaultRowHeight="16" x14ac:dyDescent="0.2"/>
  <cols>
    <col min="1" max="1" width="16.83203125" style="9" customWidth="1"/>
    <col min="2" max="2" width="17.33203125" style="9" customWidth="1"/>
    <col min="3" max="3" width="24.1640625" style="9" customWidth="1"/>
    <col min="4" max="4" width="19.83203125" style="9" customWidth="1"/>
    <col min="5" max="5" width="24.5" style="9" customWidth="1"/>
    <col min="6" max="7" width="32.1640625" style="9" customWidth="1"/>
    <col min="8" max="8" width="10.83203125" style="9" customWidth="1"/>
    <col min="9" max="9" width="28.5" style="9" customWidth="1"/>
    <col min="10" max="10" width="11.6640625" style="9" customWidth="1"/>
    <col min="11" max="11" width="16.83203125" style="9" customWidth="1"/>
    <col min="12" max="12" width="14" style="9" customWidth="1"/>
    <col min="13" max="13" width="11.1640625" style="9" customWidth="1"/>
    <col min="14" max="16384" width="8.83203125" style="9"/>
  </cols>
  <sheetData>
    <row r="1" spans="1:15" x14ac:dyDescent="0.2">
      <c r="A1" s="17" t="s">
        <v>109</v>
      </c>
      <c r="B1" s="17" t="s">
        <v>110</v>
      </c>
      <c r="C1" s="17" t="s">
        <v>111</v>
      </c>
      <c r="D1" s="17" t="s">
        <v>112</v>
      </c>
      <c r="E1" s="17" t="s">
        <v>113</v>
      </c>
      <c r="F1" s="17" t="s">
        <v>114</v>
      </c>
      <c r="G1" s="17" t="s">
        <v>115</v>
      </c>
      <c r="H1" s="17" t="s">
        <v>116</v>
      </c>
      <c r="I1" s="17" t="s">
        <v>117</v>
      </c>
      <c r="J1" s="17" t="s">
        <v>118</v>
      </c>
      <c r="K1" s="17" t="s">
        <v>119</v>
      </c>
      <c r="L1" s="17" t="s">
        <v>120</v>
      </c>
      <c r="M1" s="17" t="s">
        <v>4</v>
      </c>
      <c r="N1" s="17"/>
    </row>
    <row r="2" spans="1:15" x14ac:dyDescent="0.2">
      <c r="A2" s="9" t="s">
        <v>121</v>
      </c>
      <c r="B2" s="9" t="s">
        <v>5</v>
      </c>
      <c r="D2" s="9" t="s">
        <v>122</v>
      </c>
      <c r="E2" s="9" t="s">
        <v>122</v>
      </c>
      <c r="F2" s="9" t="s">
        <v>122</v>
      </c>
      <c r="G2" s="9" t="s">
        <v>122</v>
      </c>
      <c r="H2" s="9">
        <v>80000</v>
      </c>
      <c r="I2" s="9" t="s">
        <v>123</v>
      </c>
      <c r="J2" s="9" t="s">
        <v>124</v>
      </c>
      <c r="K2" s="9" t="s">
        <v>125</v>
      </c>
      <c r="L2" s="9" t="s">
        <v>7</v>
      </c>
      <c r="M2" s="9" t="str">
        <f t="shared" ref="M2:M73" si="0">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2" s="9" t="str">
        <f t="shared" ref="N2:N38" si="1">CONCATENATE(" VALUES('",A2,"','",B2,"','",D2,"','",E2,"','",F2,"','",G2,"',",IF(H2="NULL","NULL",CONCATENATE("'",H2,"'")),",",IF(I2="NULL","NULL",CONCATENATE("'",I2,"'")),",",IF(J2="NULL","NULL",CONCATENATE("'",J2,"'")),",",IF(K2="NULL","NULL",CONCATENATE("'",K2,"'")),",'A',NOW(),'SYS',NOW(),'SYS');")</f>
        <v xml:space="preserve"> VALUES('CK_MH_080000','CK','Help','Help','Help','Help','80000','/help','help',NULL,'A',NOW(),'SYS',NOW(),'SYS');</v>
      </c>
      <c r="O2" s="9" t="str">
        <f>CONCATENATE(M2,N2)</f>
        <v>INSERT INTO T_CORE_MENU_EX (MENU_ID, MENU_APPS_CODE, MENU_GROUP_LABEL, MENU_GROUP_LABEL_OTH, MENU_NAME, MENU_NAME_OTH, MENU_SEQ, MENU_PATH, MENU_ICON, MENU_PARENT, MENU_STATUS, MENU_DT_CREATE, MENU_UID_CREATE, MENU_DT_LUPD, MENU_UID_LUPD)  VALUES('CK_MH_080000','CK','Help','Help','Help','Help','80000','/help','help',NULL,'A',NOW(),'SYS',NOW(),'SYS');</v>
      </c>
    </row>
    <row r="3" spans="1:15" s="13" customFormat="1" x14ac:dyDescent="0.2">
      <c r="A3" s="13" t="s">
        <v>126</v>
      </c>
      <c r="B3" s="13" t="s">
        <v>14</v>
      </c>
      <c r="D3" s="13" t="s">
        <v>127</v>
      </c>
      <c r="E3" s="13" t="s">
        <v>127</v>
      </c>
      <c r="F3" s="13" t="s">
        <v>127</v>
      </c>
      <c r="G3" s="13" t="s">
        <v>127</v>
      </c>
      <c r="H3" s="13">
        <v>10000</v>
      </c>
      <c r="I3" s="13" t="s">
        <v>128</v>
      </c>
      <c r="J3" s="13" t="s">
        <v>129</v>
      </c>
      <c r="K3" s="13" t="s">
        <v>125</v>
      </c>
      <c r="L3" s="13" t="s">
        <v>7</v>
      </c>
      <c r="M3" s="13" t="str">
        <f t="shared" ref="M3:M60" si="2">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3" s="13" t="str">
        <f t="shared" si="1"/>
        <v xml:space="preserve"> VALUES('CKT_MS_010000','CKT','Services','Services','Services','Services','10000','/','grid_view',NULL,'A',NOW(),'SYS',NOW(),'SYS');</v>
      </c>
      <c r="O3" s="9" t="str">
        <f t="shared" ref="O3:O66" si="3">CONCATENATE(M3,N3)</f>
        <v>INSERT INTO T_CORE_MENU_EX (MENU_ID, MENU_APPS_CODE, MENU_GROUP_LABEL, MENU_GROUP_LABEL_OTH, MENU_NAME, MENU_NAME_OTH, MENU_SEQ, MENU_PATH, MENU_ICON, MENU_PARENT, MENU_STATUS, MENU_DT_CREATE, MENU_UID_CREATE, MENU_DT_LUPD, MENU_UID_LUPD)  VALUES('CKT_MS_010000','CKT','Services','Services','Services','Services','10000','/','grid_view',NULL,'A',NOW(),'SYS',NOW(),'SYS');</v>
      </c>
    </row>
    <row r="4" spans="1:15" s="13" customFormat="1" x14ac:dyDescent="0.2">
      <c r="A4" s="13" t="s">
        <v>130</v>
      </c>
      <c r="B4" s="13" t="s">
        <v>14</v>
      </c>
      <c r="D4" s="13" t="s">
        <v>131</v>
      </c>
      <c r="E4" s="13" t="s">
        <v>131</v>
      </c>
      <c r="F4" s="13" t="s">
        <v>131</v>
      </c>
      <c r="G4" s="13" t="s">
        <v>131</v>
      </c>
      <c r="H4" s="13">
        <v>30000</v>
      </c>
      <c r="I4" s="13" t="s">
        <v>125</v>
      </c>
      <c r="J4" s="13" t="s">
        <v>132</v>
      </c>
      <c r="K4" s="13" t="s">
        <v>125</v>
      </c>
      <c r="L4" s="13" t="s">
        <v>7</v>
      </c>
      <c r="M4" s="13" t="str">
        <f t="shared" si="2"/>
        <v xml:space="preserve">INSERT INTO T_CORE_MENU_EX (MENU_ID, MENU_APPS_CODE, MENU_GROUP_LABEL, MENU_GROUP_LABEL_OTH, MENU_NAME, MENU_NAME_OTH, MENU_SEQ, MENU_PATH, MENU_ICON, MENU_PARENT, MENU_STATUS, MENU_DT_CREATE, MENU_UID_CREATE, MENU_DT_LUPD, MENU_UID_LUPD) </v>
      </c>
      <c r="N4" s="13" t="str">
        <f t="shared" si="1"/>
        <v xml:space="preserve"> VALUES('CKT_MA_030000','CKT','Administrations','Administrations','Administrations','Administrations','30000',NULL,'admin_panel_settings',NULL,'A',NOW(),'SYS',NOW(),'SYS');</v>
      </c>
      <c r="O4" s="9" t="str">
        <f t="shared" si="3"/>
        <v>INSERT INTO T_CORE_MENU_EX (MENU_ID, MENU_APPS_CODE, MENU_GROUP_LABEL, MENU_GROUP_LABEL_OTH, MENU_NAME, MENU_NAME_OTH, MENU_SEQ, MENU_PATH, MENU_ICON, MENU_PARENT, MENU_STATUS, MENU_DT_CREATE, MENU_UID_CREATE, MENU_DT_LUPD, MENU_UID_LUPD)  VALUES('CKT_MA_030000','CKT','Administrations','Administrations','Administrations','Administrations','30000',NULL,'admin_panel_settings',NULL,'A',NOW(),'SYS',NOW(),'SYS');</v>
      </c>
    </row>
    <row r="5" spans="1:15" x14ac:dyDescent="0.2">
      <c r="A5" s="9" t="s">
        <v>133</v>
      </c>
      <c r="B5" s="9" t="s">
        <v>14</v>
      </c>
      <c r="F5" s="9" t="s">
        <v>134</v>
      </c>
      <c r="G5" s="9" t="s">
        <v>134</v>
      </c>
      <c r="H5" s="9">
        <v>30100</v>
      </c>
      <c r="I5" s="9" t="s">
        <v>135</v>
      </c>
      <c r="J5" s="9" t="s">
        <v>125</v>
      </c>
      <c r="K5" s="9" t="s">
        <v>130</v>
      </c>
      <c r="L5" s="9" t="s">
        <v>7</v>
      </c>
      <c r="M5" s="9" t="str">
        <f t="shared" si="2"/>
        <v xml:space="preserve">INSERT INTO T_CORE_MENU_EX (MENU_ID, MENU_APPS_CODE, MENU_GROUP_LABEL, MENU_GROUP_LABEL_OTH, MENU_NAME, MENU_NAME_OTH, MENU_SEQ, MENU_PATH, MENU_ICON, MENU_PARENT, MENU_STATUS, MENU_DT_CREATE, MENU_UID_CREATE, MENU_DT_LUPD, MENU_UID_LUPD) </v>
      </c>
      <c r="N5" s="9" t="str">
        <f t="shared" si="1"/>
        <v xml:space="preserve"> VALUES('CKT_MA_030100','CKT','','','Manage Trucks','Manage Trucks','30100','/administrations/truck-management/list',NULL,'CKT_MA_030000','A',NOW(),'SYS',NOW(),'SYS');</v>
      </c>
      <c r="O5" s="9" t="str">
        <f t="shared" si="3"/>
        <v>INSERT INTO T_CORE_MENU_EX (MENU_ID, MENU_APPS_CODE, MENU_GROUP_LABEL, MENU_GROUP_LABEL_OTH, MENU_NAME, MENU_NAME_OTH, MENU_SEQ, MENU_PATH, MENU_ICON, MENU_PARENT, MENU_STATUS, MENU_DT_CREATE, MENU_UID_CREATE, MENU_DT_LUPD, MENU_UID_LUPD)  VALUES('CKT_MA_030100','CKT','','','Manage Trucks','Manage Trucks','30100','/administrations/truck-management/list',NULL,'CKT_MA_030000','A',NOW(),'SYS',NOW(),'SYS');</v>
      </c>
    </row>
    <row r="6" spans="1:15" x14ac:dyDescent="0.2">
      <c r="A6" s="9" t="s">
        <v>136</v>
      </c>
      <c r="B6" s="9" t="s">
        <v>14</v>
      </c>
      <c r="F6" s="9" t="s">
        <v>137</v>
      </c>
      <c r="G6" s="9" t="s">
        <v>137</v>
      </c>
      <c r="H6" s="9">
        <v>30200</v>
      </c>
      <c r="I6" s="9" t="s">
        <v>138</v>
      </c>
      <c r="J6" s="9" t="s">
        <v>125</v>
      </c>
      <c r="K6" s="9" t="s">
        <v>130</v>
      </c>
      <c r="L6" s="9" t="s">
        <v>7</v>
      </c>
      <c r="M6" s="9" t="str">
        <f t="shared" si="2"/>
        <v xml:space="preserve">INSERT INTO T_CORE_MENU_EX (MENU_ID, MENU_APPS_CODE, MENU_GROUP_LABEL, MENU_GROUP_LABEL_OTH, MENU_NAME, MENU_NAME_OTH, MENU_SEQ, MENU_PATH, MENU_ICON, MENU_PARENT, MENU_STATUS, MENU_DT_CREATE, MENU_UID_CREATE, MENU_DT_LUPD, MENU_UID_LUPD) </v>
      </c>
      <c r="N6" s="9" t="str">
        <f t="shared" si="1"/>
        <v xml:space="preserve"> VALUES('CKT_MA_030200','CKT','','','Manage Drivers','Manage Drivers','30200','/administrations/driver-management/list',NULL,'CKT_MA_030000','A',NOW(),'SYS',NOW(),'SYS');</v>
      </c>
      <c r="O6" s="9" t="str">
        <f t="shared" si="3"/>
        <v>INSERT INTO T_CORE_MENU_EX (MENU_ID, MENU_APPS_CODE, MENU_GROUP_LABEL, MENU_GROUP_LABEL_OTH, MENU_NAME, MENU_NAME_OTH, MENU_SEQ, MENU_PATH, MENU_ICON, MENU_PARENT, MENU_STATUS, MENU_DT_CREATE, MENU_UID_CREATE, MENU_DT_LUPD, MENU_UID_LUPD)  VALUES('CKT_MA_030200','CKT','','','Manage Drivers','Manage Drivers','30200','/administrations/driver-management/list',NULL,'CKT_MA_030000','A',NOW(),'SYS',NOW(),'SYS');</v>
      </c>
    </row>
    <row r="7" spans="1:15" x14ac:dyDescent="0.2">
      <c r="A7" s="9" t="s">
        <v>139</v>
      </c>
      <c r="B7" s="9" t="s">
        <v>14</v>
      </c>
      <c r="F7" s="9" t="s">
        <v>140</v>
      </c>
      <c r="G7" s="9" t="s">
        <v>140</v>
      </c>
      <c r="H7" s="9">
        <v>30300</v>
      </c>
      <c r="I7" s="9" t="s">
        <v>141</v>
      </c>
      <c r="J7" s="9" t="s">
        <v>125</v>
      </c>
      <c r="K7" s="9" t="s">
        <v>130</v>
      </c>
      <c r="L7" s="9" t="s">
        <v>7</v>
      </c>
      <c r="M7" s="9" t="str">
        <f t="shared" si="2"/>
        <v xml:space="preserve">INSERT INTO T_CORE_MENU_EX (MENU_ID, MENU_APPS_CODE, MENU_GROUP_LABEL, MENU_GROUP_LABEL_OTH, MENU_NAME, MENU_NAME_OTH, MENU_SEQ, MENU_PATH, MENU_ICON, MENU_PARENT, MENU_STATUS, MENU_DT_CREATE, MENU_UID_CREATE, MENU_DT_LUPD, MENU_UID_LUPD) </v>
      </c>
      <c r="N7" s="9" t="str">
        <f t="shared" si="1"/>
        <v xml:space="preserve"> VALUES('CKT_MA_030300','CKT','','','Manage Locations','Manage Locations','30300','/administrations/location-management/list',NULL,'CKT_MA_030000','A',NOW(),'SYS',NOW(),'SYS');</v>
      </c>
      <c r="O7" s="9" t="str">
        <f t="shared" si="3"/>
        <v>INSERT INTO T_CORE_MENU_EX (MENU_ID, MENU_APPS_CODE, MENU_GROUP_LABEL, MENU_GROUP_LABEL_OTH, MENU_NAME, MENU_NAME_OTH, MENU_SEQ, MENU_PATH, MENU_ICON, MENU_PARENT, MENU_STATUS, MENU_DT_CREATE, MENU_UID_CREATE, MENU_DT_LUPD, MENU_UID_LUPD)  VALUES('CKT_MA_030300','CKT','','','Manage Locations','Manage Locations','30300','/administrations/location-management/list',NULL,'CKT_MA_030000','A',NOW(),'SYS',NOW(),'SYS');</v>
      </c>
    </row>
    <row r="8" spans="1:15" x14ac:dyDescent="0.2">
      <c r="A8" s="9" t="s">
        <v>142</v>
      </c>
      <c r="B8" s="9" t="s">
        <v>14</v>
      </c>
      <c r="F8" s="9" t="s">
        <v>143</v>
      </c>
      <c r="G8" s="9" t="s">
        <v>143</v>
      </c>
      <c r="H8" s="9">
        <v>30400</v>
      </c>
      <c r="I8" s="9" t="s">
        <v>144</v>
      </c>
      <c r="J8" s="9" t="s">
        <v>125</v>
      </c>
      <c r="K8" s="9" t="s">
        <v>130</v>
      </c>
      <c r="L8" s="9" t="s">
        <v>7</v>
      </c>
      <c r="M8" s="9" t="str">
        <f t="shared" si="2"/>
        <v xml:space="preserve">INSERT INTO T_CORE_MENU_EX (MENU_ID, MENU_APPS_CODE, MENU_GROUP_LABEL, MENU_GROUP_LABEL_OTH, MENU_NAME, MENU_NAME_OTH, MENU_SEQ, MENU_PATH, MENU_ICON, MENU_PARENT, MENU_STATUS, MENU_DT_CREATE, MENU_UID_CREATE, MENU_DT_LUPD, MENU_UID_LUPD) </v>
      </c>
      <c r="N8" s="9" t="str">
        <f t="shared" si="1"/>
        <v xml:space="preserve"> VALUES('CKT_MA_030400','CKT','','','Manage Rentals','Manage Rentals','30400','/administrations/rental-management/list',NULL,'CKT_MA_030000','A',NOW(),'SYS',NOW(),'SYS');</v>
      </c>
      <c r="O8" s="9" t="str">
        <f t="shared" si="3"/>
        <v>INSERT INTO T_CORE_MENU_EX (MENU_ID, MENU_APPS_CODE, MENU_GROUP_LABEL, MENU_GROUP_LABEL_OTH, MENU_NAME, MENU_NAME_OTH, MENU_SEQ, MENU_PATH, MENU_ICON, MENU_PARENT, MENU_STATUS, MENU_DT_CREATE, MENU_UID_CREATE, MENU_DT_LUPD, MENU_UID_LUPD)  VALUES('CKT_MA_030400','CKT','','','Manage Rentals','Manage Rentals','30400','/administrations/rental-management/list',NULL,'CKT_MA_030000','A',NOW(),'SYS',NOW(),'SYS');</v>
      </c>
    </row>
    <row r="9" spans="1:15" x14ac:dyDescent="0.2">
      <c r="A9" s="9" t="s">
        <v>145</v>
      </c>
      <c r="B9" s="9" t="s">
        <v>14</v>
      </c>
      <c r="F9" s="9" t="s">
        <v>146</v>
      </c>
      <c r="G9" s="9" t="s">
        <v>146</v>
      </c>
      <c r="H9" s="9">
        <v>30500</v>
      </c>
      <c r="I9" s="9" t="s">
        <v>147</v>
      </c>
      <c r="J9" s="9" t="s">
        <v>125</v>
      </c>
      <c r="K9" s="9" t="s">
        <v>130</v>
      </c>
      <c r="L9" s="9" t="s">
        <v>7</v>
      </c>
      <c r="M9" s="9" t="str">
        <f t="shared" si="2"/>
        <v xml:space="preserve">INSERT INTO T_CORE_MENU_EX (MENU_ID, MENU_APPS_CODE, MENU_GROUP_LABEL, MENU_GROUP_LABEL_OTH, MENU_NAME, MENU_NAME_OTH, MENU_SEQ, MENU_PATH, MENU_ICON, MENU_PARENT, MENU_STATUS, MENU_DT_CREATE, MENU_UID_CREATE, MENU_DT_LUPD, MENU_UID_LUPD) </v>
      </c>
      <c r="N9" s="9" t="str">
        <f t="shared" si="1"/>
        <v xml:space="preserve"> VALUES('CKT_MA_030500','CKT','','','Manage Rate Table','Manage Rate Table','30500','/administrations/rateTable-management/list',NULL,'CKT_MA_030000','A',NOW(),'SYS',NOW(),'SYS');</v>
      </c>
      <c r="O9" s="9" t="str">
        <f t="shared" si="3"/>
        <v>INSERT INTO T_CORE_MENU_EX (MENU_ID, MENU_APPS_CODE, MENU_GROUP_LABEL, MENU_GROUP_LABEL_OTH, MENU_NAME, MENU_NAME_OTH, MENU_SEQ, MENU_PATH, MENU_ICON, MENU_PARENT, MENU_STATUS, MENU_DT_CREATE, MENU_UID_CREATE, MENU_DT_LUPD, MENU_UID_LUPD)  VALUES('CKT_MA_030500','CKT','','','Manage Rate Table','Manage Rate Table','30500','/administrations/rateTable-management/list',NULL,'CKT_MA_030000','A',NOW(),'SYS',NOW(),'SYS');</v>
      </c>
    </row>
    <row r="10" spans="1:15" x14ac:dyDescent="0.2">
      <c r="A10" s="9" t="s">
        <v>148</v>
      </c>
      <c r="B10" s="9" t="s">
        <v>14</v>
      </c>
      <c r="F10" s="9" t="s">
        <v>149</v>
      </c>
      <c r="G10" s="9" t="s">
        <v>149</v>
      </c>
      <c r="H10" s="9">
        <v>30600</v>
      </c>
      <c r="I10" s="9" t="s">
        <v>150</v>
      </c>
      <c r="J10" s="9" t="s">
        <v>125</v>
      </c>
      <c r="K10" s="9" t="s">
        <v>130</v>
      </c>
      <c r="L10" s="9" t="s">
        <v>7</v>
      </c>
      <c r="M10" s="9" t="str">
        <f t="shared" si="2"/>
        <v xml:space="preserve">INSERT INTO T_CORE_MENU_EX (MENU_ID, MENU_APPS_CODE, MENU_GROUP_LABEL, MENU_GROUP_LABEL_OTH, MENU_NAME, MENU_NAME_OTH, MENU_SEQ, MENU_PATH, MENU_ICON, MENU_PARENT, MENU_STATUS, MENU_DT_CREATE, MENU_UID_CREATE, MENU_DT_LUPD, MENU_UID_LUPD) </v>
      </c>
      <c r="N10" s="9" t="str">
        <f t="shared" si="1"/>
        <v xml:space="preserve"> VALUES('CKT_MA_030600','CKT','','','Live Monitoring','Live Monitoring','30600','/administrations/live-monitoring',NULL,'CKT_MA_030000','A',NOW(),'SYS',NOW(),'SYS');</v>
      </c>
      <c r="O10" s="9" t="str">
        <f t="shared" si="3"/>
        <v>INSERT INTO T_CORE_MENU_EX (MENU_ID, MENU_APPS_CODE, MENU_GROUP_LABEL, MENU_GROUP_LABEL_OTH, MENU_NAME, MENU_NAME_OTH, MENU_SEQ, MENU_PATH, MENU_ICON, MENU_PARENT, MENU_STATUS, MENU_DT_CREATE, MENU_UID_CREATE, MENU_DT_LUPD, MENU_UID_LUPD)  VALUES('CKT_MA_030600','CKT','','','Live Monitoring','Live Monitoring','30600','/administrations/live-monitoring',NULL,'CKT_MA_030000','A',NOW(),'SYS',NOW(),'SYS');</v>
      </c>
    </row>
    <row r="11" spans="1:15" x14ac:dyDescent="0.2">
      <c r="A11" s="9" t="s">
        <v>151</v>
      </c>
      <c r="B11" s="9" t="s">
        <v>14</v>
      </c>
      <c r="F11" s="9" t="s">
        <v>152</v>
      </c>
      <c r="G11" s="9" t="s">
        <v>152</v>
      </c>
      <c r="H11" s="9">
        <v>30700</v>
      </c>
      <c r="I11" s="9" t="s">
        <v>153</v>
      </c>
      <c r="J11" s="9" t="s">
        <v>125</v>
      </c>
      <c r="K11" s="9" t="s">
        <v>130</v>
      </c>
      <c r="L11" s="9" t="s">
        <v>7</v>
      </c>
      <c r="M11" s="9" t="str">
        <f t="shared" si="2"/>
        <v xml:space="preserve">INSERT INTO T_CORE_MENU_EX (MENU_ID, MENU_APPS_CODE, MENU_GROUP_LABEL, MENU_GROUP_LABEL_OTH, MENU_NAME, MENU_NAME_OTH, MENU_SEQ, MENU_PATH, MENU_ICON, MENU_PARENT, MENU_STATUS, MENU_DT_CREATE, MENU_UID_CREATE, MENU_DT_LUPD, MENU_UID_LUPD) </v>
      </c>
      <c r="N11" s="9" t="str">
        <f t="shared" si="1"/>
        <v xml:space="preserve"> VALUES('CKT_MA_030700','CKT','','','Historical Monitoring','Historical Monitoring','30700','/administrations/historical-monitoring',NULL,'CKT_MA_030000','A',NOW(),'SYS',NOW(),'SYS');</v>
      </c>
      <c r="O11" s="9" t="str">
        <f t="shared" si="3"/>
        <v>INSERT INTO T_CORE_MENU_EX (MENU_ID, MENU_APPS_CODE, MENU_GROUP_LABEL, MENU_GROUP_LABEL_OTH, MENU_NAME, MENU_NAME_OTH, MENU_SEQ, MENU_PATH, MENU_ICON, MENU_PARENT, MENU_STATUS, MENU_DT_CREATE, MENU_UID_CREATE, MENU_DT_LUPD, MENU_UID_LUPD)  VALUES('CKT_MA_030700','CKT','','','Historical Monitoring','Historical Monitoring','30700','/administrations/historical-monitoring',NULL,'CKT_MA_030000','A',NOW(),'SYS',NOW(),'SYS');</v>
      </c>
    </row>
    <row r="12" spans="1:15" x14ac:dyDescent="0.2">
      <c r="A12" s="9" t="s">
        <v>154</v>
      </c>
      <c r="B12" s="9" t="s">
        <v>14</v>
      </c>
      <c r="F12" s="9" t="s">
        <v>155</v>
      </c>
      <c r="G12" s="9" t="s">
        <v>155</v>
      </c>
      <c r="H12" s="9">
        <v>30800</v>
      </c>
      <c r="I12" s="9" t="s">
        <v>156</v>
      </c>
      <c r="J12" s="9" t="s">
        <v>125</v>
      </c>
      <c r="K12" s="9" t="s">
        <v>130</v>
      </c>
      <c r="L12" s="9" t="s">
        <v>7</v>
      </c>
      <c r="M12" s="9" t="str">
        <f t="shared" si="2"/>
        <v xml:space="preserve">INSERT INTO T_CORE_MENU_EX (MENU_ID, MENU_APPS_CODE, MENU_GROUP_LABEL, MENU_GROUP_LABEL_OTH, MENU_NAME, MENU_NAME_OTH, MENU_SEQ, MENU_PATH, MENU_ICON, MENU_PARENT, MENU_STATUS, MENU_DT_CREATE, MENU_UID_CREATE, MENU_DT_LUPD, MENU_UID_LUPD) </v>
      </c>
      <c r="N12" s="9" t="str">
        <f t="shared" ref="N12:N13" si="4">CONCATENATE(" VALUES('",A12,"','",B12,"','",D12,"','",E12,"','",F12,"','",G12,"',",IF(H12="NULL","NULL",CONCATENATE("'",H12,"'")),",",IF(I12="NULL","NULL",CONCATENATE("'",I12,"'")),",",IF(J12="NULL","NULL",CONCATENATE("'",J12,"'")),",",IF(K12="NULL","NULL",CONCATENATE("'",K12,"'")),",'A',NOW(),'SYS',NOW(),'SYS');")</f>
        <v xml:space="preserve"> VALUES('CKT_MA_030800','CKT','','','Truck Performance','Truck Performance','30800','/administrations/trackTrackEnterExit/list',NULL,'CKT_MA_030000','A',NOW(),'SYS',NOW(),'SYS');</v>
      </c>
      <c r="O12" s="9" t="str">
        <f t="shared" si="3"/>
        <v>INSERT INTO T_CORE_MENU_EX (MENU_ID, MENU_APPS_CODE, MENU_GROUP_LABEL, MENU_GROUP_LABEL_OTH, MENU_NAME, MENU_NAME_OTH, MENU_SEQ, MENU_PATH, MENU_ICON, MENU_PARENT, MENU_STATUS, MENU_DT_CREATE, MENU_UID_CREATE, MENU_DT_LUPD, MENU_UID_LUPD)  VALUES('CKT_MA_030800','CKT','','','Truck Performance','Truck Performance','30800','/administrations/trackTrackEnterExit/list',NULL,'CKT_MA_030000','A',NOW(),'SYS',NOW(),'SYS');</v>
      </c>
    </row>
    <row r="13" spans="1:15" x14ac:dyDescent="0.2">
      <c r="A13" s="9" t="s">
        <v>1027</v>
      </c>
      <c r="B13" s="9" t="s">
        <v>14</v>
      </c>
      <c r="F13" s="9" t="s">
        <v>1028</v>
      </c>
      <c r="G13" s="9" t="s">
        <v>1028</v>
      </c>
      <c r="H13" s="9">
        <v>30900</v>
      </c>
      <c r="I13" s="27" t="s">
        <v>1029</v>
      </c>
      <c r="J13" s="9" t="s">
        <v>125</v>
      </c>
      <c r="K13" s="9" t="s">
        <v>130</v>
      </c>
      <c r="L13" s="9" t="s">
        <v>7</v>
      </c>
      <c r="M13" s="9" t="str">
        <f t="shared" si="2"/>
        <v xml:space="preserve">INSERT INTO T_CORE_MENU_EX (MENU_ID, MENU_APPS_CODE, MENU_GROUP_LABEL, MENU_GROUP_LABEL_OTH, MENU_NAME, MENU_NAME_OTH, MENU_SEQ, MENU_PATH, MENU_ICON, MENU_PARENT, MENU_STATUS, MENU_DT_CREATE, MENU_UID_CREATE, MENU_DT_LUPD, MENU_UID_LUPD) </v>
      </c>
      <c r="N13" s="9" t="str">
        <f t="shared" si="4"/>
        <v xml:space="preserve"> VALUES('CKT_MA_030900','CKT','','','Manage Chassis','Manage Chassis','30900','/administrations/chassis-management/list',NULL,'CKT_MA_030000','A',NOW(),'SYS',NOW(),'SYS');</v>
      </c>
      <c r="O13" s="9" t="str">
        <f t="shared" si="3"/>
        <v>INSERT INTO T_CORE_MENU_EX (MENU_ID, MENU_APPS_CODE, MENU_GROUP_LABEL, MENU_GROUP_LABEL_OTH, MENU_NAME, MENU_NAME_OTH, MENU_SEQ, MENU_PATH, MENU_ICON, MENU_PARENT, MENU_STATUS, MENU_DT_CREATE, MENU_UID_CREATE, MENU_DT_LUPD, MENU_UID_LUPD)  VALUES('CKT_MA_030900','CKT','','','Manage Chassis','Manage Chassis','30900','/administrations/chassis-management/list',NULL,'CKT_MA_030000','A',NOW(),'SYS',NOW(),'SYS');</v>
      </c>
    </row>
    <row r="14" spans="1:15" s="13" customFormat="1" x14ac:dyDescent="0.2">
      <c r="A14" s="13" t="s">
        <v>157</v>
      </c>
      <c r="B14" s="13" t="s">
        <v>14</v>
      </c>
      <c r="D14" s="13" t="s">
        <v>158</v>
      </c>
      <c r="E14" s="13" t="s">
        <v>158</v>
      </c>
      <c r="F14" s="13" t="s">
        <v>158</v>
      </c>
      <c r="G14" s="13" t="s">
        <v>158</v>
      </c>
      <c r="H14" s="13">
        <v>50000</v>
      </c>
      <c r="I14" s="13" t="s">
        <v>125</v>
      </c>
      <c r="J14" s="13" t="s">
        <v>159</v>
      </c>
      <c r="K14" s="13" t="s">
        <v>125</v>
      </c>
      <c r="L14" s="13" t="s">
        <v>7</v>
      </c>
      <c r="M14" s="13" t="str">
        <f t="shared" si="0"/>
        <v xml:space="preserve">INSERT INTO T_CORE_MENU_EX (MENU_ID, MENU_APPS_CODE, MENU_GROUP_LABEL, MENU_GROUP_LABEL_OTH, MENU_NAME, MENU_NAME_OTH, MENU_SEQ, MENU_PATH, MENU_ICON, MENU_PARENT, MENU_STATUS, MENU_DT_CREATE, MENU_UID_CREATE, MENU_DT_LUPD, MENU_UID_LUPD) </v>
      </c>
      <c r="N14" s="13" t="str">
        <f t="shared" si="1"/>
        <v xml:space="preserve"> VALUES('CKT_AA_050000','CKT','Account Administration','Account Administration','Account Administration','Account Administration','50000',NULL,'manage_accounts',NULL,'A',NOW(),'SYS',NOW(),'SYS');</v>
      </c>
      <c r="O14" s="9" t="str">
        <f t="shared" si="3"/>
        <v>INSERT INTO T_CORE_MENU_EX (MENU_ID, MENU_APPS_CODE, MENU_GROUP_LABEL, MENU_GROUP_LABEL_OTH, MENU_NAME, MENU_NAME_OTH, MENU_SEQ, MENU_PATH, MENU_ICON, MENU_PARENT, MENU_STATUS, MENU_DT_CREATE, MENU_UID_CREATE, MENU_DT_LUPD, MENU_UID_LUPD)  VALUES('CKT_AA_050000','CKT','Account Administration','Account Administration','Account Administration','Account Administration','50000',NULL,'manage_accounts',NULL,'A',NOW(),'SYS',NOW(),'SYS');</v>
      </c>
    </row>
    <row r="15" spans="1:15" x14ac:dyDescent="0.2">
      <c r="A15" s="9" t="s">
        <v>160</v>
      </c>
      <c r="B15" s="9" t="s">
        <v>14</v>
      </c>
      <c r="F15" s="9" t="s">
        <v>161</v>
      </c>
      <c r="G15" s="9" t="s">
        <v>161</v>
      </c>
      <c r="H15" s="9">
        <v>50100</v>
      </c>
      <c r="I15" s="9" t="s">
        <v>162</v>
      </c>
      <c r="J15" s="9" t="s">
        <v>125</v>
      </c>
      <c r="K15" s="9" t="s">
        <v>157</v>
      </c>
      <c r="L15" s="9" t="s">
        <v>7</v>
      </c>
      <c r="M15" s="9" t="str">
        <f t="shared" si="0"/>
        <v xml:space="preserve">INSERT INTO T_CORE_MENU_EX (MENU_ID, MENU_APPS_CODE, MENU_GROUP_LABEL, MENU_GROUP_LABEL_OTH, MENU_NAME, MENU_NAME_OTH, MENU_SEQ, MENU_PATH, MENU_ICON, MENU_PARENT, MENU_STATUS, MENU_DT_CREATE, MENU_UID_CREATE, MENU_DT_LUPD, MENU_UID_LUPD) </v>
      </c>
      <c r="N15" s="9" t="str">
        <f t="shared" si="1"/>
        <v xml:space="preserve"> VALUES('CKT_AA_050100','CKT','','','Account Profile','Account Profile','50100','/account/profile',NULL,'CKT_AA_050000','A',NOW(),'SYS',NOW(),'SYS');</v>
      </c>
      <c r="O15" s="9" t="str">
        <f t="shared" si="3"/>
        <v>INSERT INTO T_CORE_MENU_EX (MENU_ID, MENU_APPS_CODE, MENU_GROUP_LABEL, MENU_GROUP_LABEL_OTH, MENU_NAME, MENU_NAME_OTH, MENU_SEQ, MENU_PATH, MENU_ICON, MENU_PARENT, MENU_STATUS, MENU_DT_CREATE, MENU_UID_CREATE, MENU_DT_LUPD, MENU_UID_LUPD)  VALUES('CKT_AA_050100','CKT','','','Account Profile','Account Profile','50100','/account/profile',NULL,'CKT_AA_050000','A',NOW(),'SYS',NOW(),'SYS');</v>
      </c>
    </row>
    <row r="16" spans="1:15" x14ac:dyDescent="0.2">
      <c r="A16" s="9" t="s">
        <v>163</v>
      </c>
      <c r="B16" s="9" t="s">
        <v>14</v>
      </c>
      <c r="F16" s="9" t="s">
        <v>164</v>
      </c>
      <c r="G16" s="9" t="s">
        <v>164</v>
      </c>
      <c r="H16" s="9">
        <v>50200</v>
      </c>
      <c r="I16" s="9" t="s">
        <v>165</v>
      </c>
      <c r="J16" s="9" t="s">
        <v>125</v>
      </c>
      <c r="K16" s="9" t="s">
        <v>157</v>
      </c>
      <c r="L16" s="9" t="s">
        <v>7</v>
      </c>
      <c r="M16" s="9" t="str">
        <f t="shared" si="0"/>
        <v xml:space="preserve">INSERT INTO T_CORE_MENU_EX (MENU_ID, MENU_APPS_CODE, MENU_GROUP_LABEL, MENU_GROUP_LABEL_OTH, MENU_NAME, MENU_NAME_OTH, MENU_SEQ, MENU_PATH, MENU_ICON, MENU_PARENT, MENU_STATUS, MENU_DT_CREATE, MENU_UID_CREATE, MENU_DT_LUPD, MENU_UID_LUPD) </v>
      </c>
      <c r="N16" s="9" t="str">
        <f t="shared" si="1"/>
        <v xml:space="preserve"> VALUES('CKT_AA_050200','CKT','','','Manage Users','Manage Users','50200','/account/users',NULL,'CKT_AA_050000','A',NOW(),'SYS',NOW(),'SYS');</v>
      </c>
      <c r="O16" s="9" t="str">
        <f t="shared" si="3"/>
        <v>INSERT INTO T_CORE_MENU_EX (MENU_ID, MENU_APPS_CODE, MENU_GROUP_LABEL, MENU_GROUP_LABEL_OTH, MENU_NAME, MENU_NAME_OTH, MENU_SEQ, MENU_PATH, MENU_ICON, MENU_PARENT, MENU_STATUS, MENU_DT_CREATE, MENU_UID_CREATE, MENU_DT_LUPD, MENU_UID_LUPD)  VALUES('CKT_AA_050200','CKT','','','Manage Users','Manage Users','50200','/account/users',NULL,'CKT_AA_050000','A',NOW(),'SYS',NOW(),'SYS');</v>
      </c>
    </row>
    <row r="17" spans="1:15" x14ac:dyDescent="0.2">
      <c r="A17" s="9" t="s">
        <v>1030</v>
      </c>
      <c r="B17" s="9" t="s">
        <v>14</v>
      </c>
      <c r="F17" s="9" t="s">
        <v>1031</v>
      </c>
      <c r="G17" s="9" t="s">
        <v>1031</v>
      </c>
      <c r="H17" s="9">
        <v>50300</v>
      </c>
      <c r="I17" s="9" t="s">
        <v>1032</v>
      </c>
      <c r="J17" s="9" t="s">
        <v>125</v>
      </c>
      <c r="K17" s="9" t="s">
        <v>157</v>
      </c>
      <c r="L17" s="9" t="s">
        <v>7</v>
      </c>
      <c r="M17" s="9" t="str">
        <f t="shared" si="0"/>
        <v xml:space="preserve">INSERT INTO T_CORE_MENU_EX (MENU_ID, MENU_APPS_CODE, MENU_GROUP_LABEL, MENU_GROUP_LABEL_OTH, MENU_NAME, MENU_NAME_OTH, MENU_SEQ, MENU_PATH, MENU_ICON, MENU_PARENT, MENU_STATUS, MENU_DT_CREATE, MENU_UID_CREATE, MENU_DT_LUPD, MENU_UID_LUPD) </v>
      </c>
      <c r="N17" s="9" t="str">
        <f t="shared" ref="N17" si="5">CONCATENATE(" VALUES('",A17,"','",B17,"','",D17,"','",E17,"','",F17,"','",G17,"',",IF(H17="NULL","NULL", CONCATENATE("'",H17,"'")),",",IF(I17="NULL","NULL", CONCATENATE("'",I17,"'")),",",IF(J17="NULL","NULL", CONCATENATE("'",J17,"'")),",",IF(K17="NULL","NULL", CONCATENATE("'",K17,"'")),",'A',NOW(),'SYS',NOW(),'SYS');")</f>
        <v xml:space="preserve"> VALUES('CKT_AA_050300','CKT','','','Manage Cargo Owners','Manage Cargo Owners','50300','/manageAccountsFfCo/all/list',NULL,'CKT_AA_050000','A',NOW(),'SYS',NOW(),'SYS');</v>
      </c>
      <c r="O17" s="9" t="str">
        <f t="shared" si="3"/>
        <v>INSERT INTO T_CORE_MENU_EX (MENU_ID, MENU_APPS_CODE, MENU_GROUP_LABEL, MENU_GROUP_LABEL_OTH, MENU_NAME, MENU_NAME_OTH, MENU_SEQ, MENU_PATH, MENU_ICON, MENU_PARENT, MENU_STATUS, MENU_DT_CREATE, MENU_UID_CREATE, MENU_DT_LUPD, MENU_UID_LUPD)  VALUES('CKT_AA_050300','CKT','','','Manage Cargo Owners','Manage Cargo Owners','50300','/manageAccountsFfCo/all/list',NULL,'CKT_AA_050000','A',NOW(),'SYS',NOW(),'SYS');</v>
      </c>
    </row>
    <row r="18" spans="1:15" s="13" customFormat="1" x14ac:dyDescent="0.2">
      <c r="A18" s="13" t="s">
        <v>166</v>
      </c>
      <c r="B18" s="13" t="s">
        <v>14</v>
      </c>
      <c r="D18" s="13" t="s">
        <v>122</v>
      </c>
      <c r="E18" s="13" t="s">
        <v>122</v>
      </c>
      <c r="F18" s="13" t="s">
        <v>122</v>
      </c>
      <c r="G18" s="13" t="s">
        <v>122</v>
      </c>
      <c r="H18" s="13">
        <v>90000</v>
      </c>
      <c r="I18" s="13" t="s">
        <v>123</v>
      </c>
      <c r="J18" s="13" t="s">
        <v>124</v>
      </c>
      <c r="K18" s="13" t="s">
        <v>125</v>
      </c>
      <c r="L18" s="13" t="s">
        <v>7</v>
      </c>
      <c r="M18" s="13" t="str">
        <f t="shared" si="2"/>
        <v xml:space="preserve">INSERT INTO T_CORE_MENU_EX (MENU_ID, MENU_APPS_CODE, MENU_GROUP_LABEL, MENU_GROUP_LABEL_OTH, MENU_NAME, MENU_NAME_OTH, MENU_SEQ, MENU_PATH, MENU_ICON, MENU_PARENT, MENU_STATUS, MENU_DT_CREATE, MENU_UID_CREATE, MENU_DT_LUPD, MENU_UID_LUPD) </v>
      </c>
      <c r="N18" s="13" t="str">
        <f t="shared" si="1"/>
        <v xml:space="preserve"> VALUES('CKT_MH_090000','CKT','Help','Help','Help','Help','90000','/help','help',NULL,'A',NOW(),'SYS',NOW(),'SYS');</v>
      </c>
      <c r="O18" s="9" t="str">
        <f t="shared" si="3"/>
        <v>INSERT INTO T_CORE_MENU_EX (MENU_ID, MENU_APPS_CODE, MENU_GROUP_LABEL, MENU_GROUP_LABEL_OTH, MENU_NAME, MENU_NAME_OTH, MENU_SEQ, MENU_PATH, MENU_ICON, MENU_PARENT, MENU_STATUS, MENU_DT_CREATE, MENU_UID_CREATE, MENU_DT_LUPD, MENU_UID_LUPD)  VALUES('CKT_MH_090000','CKT','Help','Help','Help','Help','90000','/help','help',NULL,'A',NOW(),'SYS',NOW(),'SYS');</v>
      </c>
    </row>
    <row r="19" spans="1:15" s="13" customFormat="1" x14ac:dyDescent="0.2">
      <c r="A19" s="13" t="s">
        <v>167</v>
      </c>
      <c r="B19" s="13" t="s">
        <v>14</v>
      </c>
      <c r="C19" s="13" t="s">
        <v>168</v>
      </c>
      <c r="D19" s="13" t="s">
        <v>169</v>
      </c>
      <c r="E19" s="13" t="s">
        <v>169</v>
      </c>
      <c r="F19" s="13" t="s">
        <v>169</v>
      </c>
      <c r="G19" s="13" t="s">
        <v>169</v>
      </c>
      <c r="H19" s="13">
        <v>60000</v>
      </c>
      <c r="I19" s="13" t="s">
        <v>125</v>
      </c>
      <c r="J19" s="13" t="s">
        <v>170</v>
      </c>
      <c r="K19" s="13" t="s">
        <v>125</v>
      </c>
      <c r="L19" s="13" t="s">
        <v>7</v>
      </c>
      <c r="M19" s="13" t="str">
        <f t="shared" si="0"/>
        <v xml:space="preserve">INSERT INTO T_CORE_MENU_EX (MENU_ID, MENU_APPS_CODE, MENU_GROUP_LABEL, MENU_GROUP_LABEL_OTH, MENU_NAME, MENU_NAME_OTH, MENU_SEQ, MENU_PATH, MENU_ICON, MENU_PARENT, MENU_STATUS, MENU_DT_CREATE, MENU_UID_CREATE, MENU_DT_LUPD, MENU_UID_LUPD) </v>
      </c>
      <c r="N19" s="13" t="str">
        <f t="shared" si="1"/>
        <v xml:space="preserve"> VALUES('CKT_FA_060000','CKT','Finance Administration','Finance Administration','Finance Administration','Finance Administration','60000',NULL,'account_balance',NULL,'A',NOW(),'SYS',NOW(),'SYS');</v>
      </c>
      <c r="O19" s="9" t="str">
        <f t="shared" si="3"/>
        <v>INSERT INTO T_CORE_MENU_EX (MENU_ID, MENU_APPS_CODE, MENU_GROUP_LABEL, MENU_GROUP_LABEL_OTH, MENU_NAME, MENU_NAME_OTH, MENU_SEQ, MENU_PATH, MENU_ICON, MENU_PARENT, MENU_STATUS, MENU_DT_CREATE, MENU_UID_CREATE, MENU_DT_LUPD, MENU_UID_LUPD)  VALUES('CKT_FA_060000','CKT','Finance Administration','Finance Administration','Finance Administration','Finance Administration','60000',NULL,'account_balance',NULL,'A',NOW(),'SYS',NOW(),'SYS');</v>
      </c>
    </row>
    <row r="20" spans="1:15" x14ac:dyDescent="0.2">
      <c r="A20" s="9" t="s">
        <v>171</v>
      </c>
      <c r="B20" s="9" t="s">
        <v>14</v>
      </c>
      <c r="F20" s="9" t="s">
        <v>172</v>
      </c>
      <c r="G20" s="9" t="s">
        <v>172</v>
      </c>
      <c r="H20" s="9">
        <v>60100</v>
      </c>
      <c r="I20" s="9" t="s">
        <v>173</v>
      </c>
      <c r="J20" s="9" t="s">
        <v>125</v>
      </c>
      <c r="K20" s="9" t="s">
        <v>167</v>
      </c>
      <c r="L20" s="9" t="s">
        <v>7</v>
      </c>
      <c r="M20" s="9" t="str">
        <f t="shared" si="0"/>
        <v xml:space="preserve">INSERT INTO T_CORE_MENU_EX (MENU_ID, MENU_APPS_CODE, MENU_GROUP_LABEL, MENU_GROUP_LABEL_OTH, MENU_NAME, MENU_NAME_OTH, MENU_SEQ, MENU_PATH, MENU_ICON, MENU_PARENT, MENU_STATUS, MENU_DT_CREATE, MENU_UID_CREATE, MENU_DT_LUPD, MENU_UID_LUPD) </v>
      </c>
      <c r="N20" s="9" t="str">
        <f t="shared" si="1"/>
        <v xml:space="preserve"> VALUES('CKT_FA_060100','CKT','','','Sage Excel Report','Sage Excel Report','60100','/manage/sage/excel',NULL,'CKT_FA_060000','A',NOW(),'SYS',NOW(),'SYS');</v>
      </c>
      <c r="O20" s="9" t="str">
        <f t="shared" si="3"/>
        <v>INSERT INTO T_CORE_MENU_EX (MENU_ID, MENU_APPS_CODE, MENU_GROUP_LABEL, MENU_GROUP_LABEL_OTH, MENU_NAME, MENU_NAME_OTH, MENU_SEQ, MENU_PATH, MENU_ICON, MENU_PARENT, MENU_STATUS, MENU_DT_CREATE, MENU_UID_CREATE, MENU_DT_LUPD, MENU_UID_LUPD)  VALUES('CKT_FA_060100','CKT','','','Sage Excel Report','Sage Excel Report','60100','/manage/sage/excel',NULL,'CKT_FA_060000','A',NOW(),'SYS',NOW(),'SYS');</v>
      </c>
    </row>
    <row r="21" spans="1:15" x14ac:dyDescent="0.2">
      <c r="A21" s="9" t="s">
        <v>174</v>
      </c>
      <c r="B21" s="9" t="s">
        <v>14</v>
      </c>
      <c r="F21" s="9" t="s">
        <v>175</v>
      </c>
      <c r="G21" s="9" t="s">
        <v>175</v>
      </c>
      <c r="H21" s="9">
        <v>60200</v>
      </c>
      <c r="I21" s="9" t="s">
        <v>176</v>
      </c>
      <c r="J21" s="9" t="s">
        <v>125</v>
      </c>
      <c r="K21" s="9" t="s">
        <v>167</v>
      </c>
      <c r="L21" s="9" t="s">
        <v>7</v>
      </c>
      <c r="M21" s="9" t="str">
        <f t="shared" si="0"/>
        <v xml:space="preserve">INSERT INTO T_CORE_MENU_EX (MENU_ID, MENU_APPS_CODE, MENU_GROUP_LABEL, MENU_GROUP_LABEL_OTH, MENU_NAME, MENU_NAME_OTH, MENU_SEQ, MENU_PATH, MENU_ICON, MENU_PARENT, MENU_STATUS, MENU_DT_CREATE, MENU_UID_CREATE, MENU_DT_LUPD, MENU_UID_LUPD) </v>
      </c>
      <c r="N21" s="9" t="str">
        <f t="shared" si="1"/>
        <v xml:space="preserve"> VALUES('CKT_FA_060200','CKT','','','Manage Sage Tax No.','Manage Sage Tax No.','60200','/manage/sage/tax',NULL,'CKT_FA_060000','A',NOW(),'SYS',NOW(),'SYS');</v>
      </c>
      <c r="O21" s="9" t="str">
        <f t="shared" si="3"/>
        <v>INSERT INTO T_CORE_MENU_EX (MENU_ID, MENU_APPS_CODE, MENU_GROUP_LABEL, MENU_GROUP_LABEL_OTH, MENU_NAME, MENU_NAME_OTH, MENU_SEQ, MENU_PATH, MENU_ICON, MENU_PARENT, MENU_STATUS, MENU_DT_CREATE, MENU_UID_CREATE, MENU_DT_LUPD, MENU_UID_LUPD)  VALUES('CKT_FA_060200','CKT','','','Manage Sage Tax No.','Manage Sage Tax No.','60200','/manage/sage/tax',NULL,'CKT_FA_060000','A',NOW(),'SYS',NOW(),'SYS');</v>
      </c>
    </row>
    <row r="22" spans="1:15" s="13" customFormat="1" x14ac:dyDescent="0.2">
      <c r="A22" s="13" t="s">
        <v>177</v>
      </c>
      <c r="B22" s="13" t="s">
        <v>14</v>
      </c>
      <c r="C22" s="13" t="s">
        <v>178</v>
      </c>
      <c r="D22" s="13" t="s">
        <v>179</v>
      </c>
      <c r="E22" s="13" t="s">
        <v>179</v>
      </c>
      <c r="F22" s="13" t="s">
        <v>179</v>
      </c>
      <c r="G22" s="13" t="s">
        <v>179</v>
      </c>
      <c r="H22" s="13">
        <v>70000</v>
      </c>
      <c r="I22" s="13" t="s">
        <v>125</v>
      </c>
      <c r="J22" s="13" t="s">
        <v>170</v>
      </c>
      <c r="K22" s="13" t="s">
        <v>125</v>
      </c>
      <c r="L22" s="13" t="s">
        <v>7</v>
      </c>
      <c r="M22" s="13" t="str">
        <f t="shared" si="0"/>
        <v xml:space="preserve">INSERT INTO T_CORE_MENU_EX (MENU_ID, MENU_APPS_CODE, MENU_GROUP_LABEL, MENU_GROUP_LABEL_OTH, MENU_NAME, MENU_NAME_OTH, MENU_SEQ, MENU_PATH, MENU_ICON, MENU_PARENT, MENU_STATUS, MENU_DT_CREATE, MENU_UID_CREATE, MENU_DT_LUPD, MENU_UID_LUPD) </v>
      </c>
      <c r="N22" s="13" t="str">
        <f t="shared" si="1"/>
        <v xml:space="preserve"> VALUES('CKT_FN_070000','CKT','Finance','Finance','Finance','Finance','70000',NULL,'account_balance',NULL,'A',NOW(),'SYS',NOW(),'SYS');</v>
      </c>
      <c r="O22" s="9" t="str">
        <f t="shared" si="3"/>
        <v>INSERT INTO T_CORE_MENU_EX (MENU_ID, MENU_APPS_CODE, MENU_GROUP_LABEL, MENU_GROUP_LABEL_OTH, MENU_NAME, MENU_NAME_OTH, MENU_SEQ, MENU_PATH, MENU_ICON, MENU_PARENT, MENU_STATUS, MENU_DT_CREATE, MENU_UID_CREATE, MENU_DT_LUPD, MENU_UID_LUPD)  VALUES('CKT_FN_070000','CKT','Finance','Finance','Finance','Finance','70000',NULL,'account_balance',NULL,'A',NOW(),'SYS',NOW(),'SYS');</v>
      </c>
    </row>
    <row r="23" spans="1:15" x14ac:dyDescent="0.2">
      <c r="A23" s="9" t="s">
        <v>180</v>
      </c>
      <c r="B23" s="9" t="s">
        <v>14</v>
      </c>
      <c r="F23" s="9" t="s">
        <v>181</v>
      </c>
      <c r="G23" s="9" t="s">
        <v>181</v>
      </c>
      <c r="H23" s="9">
        <v>70100</v>
      </c>
      <c r="I23" s="9" t="s">
        <v>182</v>
      </c>
      <c r="J23" s="9" t="s">
        <v>125</v>
      </c>
      <c r="K23" s="9" t="s">
        <v>177</v>
      </c>
      <c r="L23" s="9" t="s">
        <v>7</v>
      </c>
      <c r="M23" s="9" t="str">
        <f t="shared" si="0"/>
        <v xml:space="preserve">INSERT INTO T_CORE_MENU_EX (MENU_ID, MENU_APPS_CODE, MENU_GROUP_LABEL, MENU_GROUP_LABEL_OTH, MENU_NAME, MENU_NAME_OTH, MENU_SEQ, MENU_PATH, MENU_ICON, MENU_PARENT, MENU_STATUS, MENU_DT_CREATE, MENU_UID_CREATE, MENU_DT_LUPD, MENU_UID_LUPD) </v>
      </c>
      <c r="N23" s="9" t="str">
        <f t="shared" si="1"/>
        <v xml:space="preserve"> VALUES('CKT_FN_070100','CKT','','','Rate Table Management','Rate Table Management','70100','/manage/ratetable',NULL,'CKT_FN_070000','A',NOW(),'SYS',NOW(),'SYS');</v>
      </c>
      <c r="O23" s="9" t="str">
        <f t="shared" si="3"/>
        <v>INSERT INTO T_CORE_MENU_EX (MENU_ID, MENU_APPS_CODE, MENU_GROUP_LABEL, MENU_GROUP_LABEL_OTH, MENU_NAME, MENU_NAME_OTH, MENU_SEQ, MENU_PATH, MENU_ICON, MENU_PARENT, MENU_STATUS, MENU_DT_CREATE, MENU_UID_CREATE, MENU_DT_LUPD, MENU_UID_LUPD)  VALUES('CKT_FN_070100','CKT','','','Rate Table Management','Rate Table Management','70100','/manage/ratetable',NULL,'CKT_FN_070000','A',NOW(),'SYS',NOW(),'SYS');</v>
      </c>
    </row>
    <row r="24" spans="1:15" x14ac:dyDescent="0.2">
      <c r="A24" s="9" t="s">
        <v>183</v>
      </c>
      <c r="B24" s="9" t="s">
        <v>14</v>
      </c>
      <c r="F24" s="9" t="s">
        <v>184</v>
      </c>
      <c r="G24" s="9" t="s">
        <v>184</v>
      </c>
      <c r="H24" s="9">
        <v>70200</v>
      </c>
      <c r="I24" s="9" t="s">
        <v>185</v>
      </c>
      <c r="J24" s="9" t="s">
        <v>125</v>
      </c>
      <c r="K24" s="9" t="s">
        <v>177</v>
      </c>
      <c r="L24" s="9" t="s">
        <v>7</v>
      </c>
      <c r="M24" s="9" t="str">
        <f t="shared" si="2"/>
        <v xml:space="preserve">INSERT INTO T_CORE_MENU_EX (MENU_ID, MENU_APPS_CODE, MENU_GROUP_LABEL, MENU_GROUP_LABEL_OTH, MENU_NAME, MENU_NAME_OTH, MENU_SEQ, MENU_PATH, MENU_ICON, MENU_PARENT, MENU_STATUS, MENU_DT_CREATE, MENU_UID_CREATE, MENU_DT_LUPD, MENU_UID_LUPD) </v>
      </c>
      <c r="N24" s="9" t="str">
        <f t="shared" ref="N24" si="6">CONCATENATE(" VALUES('",A24,"','",B24,"','",D24,"','",E24,"','",F24,"','",G24,"',",IF(H24="NULL","NULL",CONCATENATE("'",H24,"'")),",",IF(I24="NULL","NULL",CONCATENATE("'",I24,"'")),",",IF(J24="NULL","NULL",CONCATENATE("'",J24,"'")),",",IF(K24="NULL","NULL",CONCATENATE("'",K24,"'")),",'A',NOW(),'SYS',NOW(),'SYS');")</f>
        <v xml:space="preserve"> VALUES('CKT_FN_070200','CKT','','','Contract Requests','Contract Requests','70200','/opadmin/contractrequest/list',NULL,'CKT_FN_070000','A',NOW(),'SYS',NOW(),'SYS');</v>
      </c>
      <c r="O24" s="9" t="str">
        <f t="shared" si="3"/>
        <v>INSERT INTO T_CORE_MENU_EX (MENU_ID, MENU_APPS_CODE, MENU_GROUP_LABEL, MENU_GROUP_LABEL_OTH, MENU_NAME, MENU_NAME_OTH, MENU_SEQ, MENU_PATH, MENU_ICON, MENU_PARENT, MENU_STATUS, MENU_DT_CREATE, MENU_UID_CREATE, MENU_DT_LUPD, MENU_UID_LUPD)  VALUES('CKT_FN_070200','CKT','','','Contract Requests','Contract Requests','70200','/opadmin/contractrequest/list',NULL,'CKT_FN_070000','A',NOW(),'SYS',NOW(),'SYS');</v>
      </c>
    </row>
    <row r="25" spans="1:15" x14ac:dyDescent="0.2">
      <c r="A25" s="9" t="s">
        <v>186</v>
      </c>
      <c r="B25" s="9" t="s">
        <v>14</v>
      </c>
      <c r="F25" s="9" t="s">
        <v>187</v>
      </c>
      <c r="G25" s="9" t="s">
        <v>187</v>
      </c>
      <c r="H25" s="9">
        <v>70200</v>
      </c>
      <c r="I25" s="9" t="s">
        <v>188</v>
      </c>
      <c r="J25" s="9" t="s">
        <v>125</v>
      </c>
      <c r="K25" s="9" t="s">
        <v>177</v>
      </c>
      <c r="L25" s="9" t="s">
        <v>7</v>
      </c>
      <c r="M25" s="9" t="str">
        <f t="shared" si="2"/>
        <v xml:space="preserve">INSERT INTO T_CORE_MENU_EX (MENU_ID, MENU_APPS_CODE, MENU_GROUP_LABEL, MENU_GROUP_LABEL_OTH, MENU_NAME, MENU_NAME_OTH, MENU_SEQ, MENU_PATH, MENU_ICON, MENU_PARENT, MENU_STATUS, MENU_DT_CREATE, MENU_UID_CREATE, MENU_DT_LUPD, MENU_UID_LUPD) </v>
      </c>
      <c r="N25" s="9" t="str">
        <f t="shared" si="1"/>
        <v xml:space="preserve"> VALUES('CKT_FN_070300','CKT','','','Accounts Management','Accounts Management','70200','/manageAccounts/all/list',NULL,'CKT_FN_070000','A',NOW(),'SYS',NOW(),'SYS');</v>
      </c>
      <c r="O25" s="9" t="str">
        <f t="shared" si="3"/>
        <v>INSERT INTO T_CORE_MENU_EX (MENU_ID, MENU_APPS_CODE, MENU_GROUP_LABEL, MENU_GROUP_LABEL_OTH, MENU_NAME, MENU_NAME_OTH, MENU_SEQ, MENU_PATH, MENU_ICON, MENU_PARENT, MENU_STATUS, MENU_DT_CREATE, MENU_UID_CREATE, MENU_DT_LUPD, MENU_UID_LUPD)  VALUES('CKT_FN_070300','CKT','','','Accounts Management','Accounts Management','70200','/manageAccounts/all/list',NULL,'CKT_FN_070000','A',NOW(),'SYS',NOW(),'SYS');</v>
      </c>
    </row>
    <row r="26" spans="1:15" s="13" customFormat="1" x14ac:dyDescent="0.2">
      <c r="A26" s="13" t="s">
        <v>189</v>
      </c>
      <c r="B26" s="13" t="s">
        <v>14</v>
      </c>
      <c r="C26" s="13" t="s">
        <v>190</v>
      </c>
      <c r="D26" s="13" t="s">
        <v>191</v>
      </c>
      <c r="E26" s="13" t="s">
        <v>191</v>
      </c>
      <c r="F26" s="13" t="s">
        <v>191</v>
      </c>
      <c r="G26" s="13" t="s">
        <v>191</v>
      </c>
      <c r="H26" s="13">
        <v>70000</v>
      </c>
      <c r="J26" s="13" t="s">
        <v>192</v>
      </c>
      <c r="K26" s="13" t="s">
        <v>125</v>
      </c>
      <c r="L26" s="13" t="s">
        <v>7</v>
      </c>
      <c r="M26" s="13" t="str">
        <f t="shared" si="0"/>
        <v xml:space="preserve">INSERT INTO T_CORE_MENU_EX (MENU_ID, MENU_APPS_CODE, MENU_GROUP_LABEL, MENU_GROUP_LABEL_OTH, MENU_NAME, MENU_NAME_OTH, MENU_SEQ, MENU_PATH, MENU_ICON, MENU_PARENT, MENU_STATUS, MENU_DT_CREATE, MENU_UID_CREATE, MENU_DT_LUPD, MENU_UID_LUPD) </v>
      </c>
      <c r="N26" s="13" t="str">
        <f t="shared" si="1"/>
        <v xml:space="preserve"> VALUES('CKT_CS_070000','CKT','Customer Service','Customer Service','Customer Service','Customer Service','70000','','support_agent',NULL,'A',NOW(),'SYS',NOW(),'SYS');</v>
      </c>
      <c r="O26" s="9" t="str">
        <f t="shared" si="3"/>
        <v>INSERT INTO T_CORE_MENU_EX (MENU_ID, MENU_APPS_CODE, MENU_GROUP_LABEL, MENU_GROUP_LABEL_OTH, MENU_NAME, MENU_NAME_OTH, MENU_SEQ, MENU_PATH, MENU_ICON, MENU_PARENT, MENU_STATUS, MENU_DT_CREATE, MENU_UID_CREATE, MENU_DT_LUPD, MENU_UID_LUPD)  VALUES('CKT_CS_070000','CKT','Customer Service','Customer Service','Customer Service','Customer Service','70000','','support_agent',NULL,'A',NOW(),'SYS',NOW(),'SYS');</v>
      </c>
    </row>
    <row r="27" spans="1:15" x14ac:dyDescent="0.2">
      <c r="A27" s="9" t="s">
        <v>193</v>
      </c>
      <c r="B27" s="9" t="s">
        <v>14</v>
      </c>
      <c r="F27" s="9" t="s">
        <v>181</v>
      </c>
      <c r="G27" s="9" t="s">
        <v>181</v>
      </c>
      <c r="H27" s="9">
        <v>70100</v>
      </c>
      <c r="I27" s="9" t="s">
        <v>182</v>
      </c>
      <c r="J27" s="9" t="s">
        <v>125</v>
      </c>
      <c r="K27" s="9" t="s">
        <v>189</v>
      </c>
      <c r="L27" s="9" t="s">
        <v>7</v>
      </c>
      <c r="M27" s="9" t="str">
        <f t="shared" si="0"/>
        <v xml:space="preserve">INSERT INTO T_CORE_MENU_EX (MENU_ID, MENU_APPS_CODE, MENU_GROUP_LABEL, MENU_GROUP_LABEL_OTH, MENU_NAME, MENU_NAME_OTH, MENU_SEQ, MENU_PATH, MENU_ICON, MENU_PARENT, MENU_STATUS, MENU_DT_CREATE, MENU_UID_CREATE, MENU_DT_LUPD, MENU_UID_LUPD) </v>
      </c>
      <c r="N27" s="9" t="str">
        <f t="shared" si="1"/>
        <v xml:space="preserve"> VALUES('CKT_CS_070100','CKT','','','Rate Table Management','Rate Table Management','70100','/manage/ratetable',NULL,'CKT_CS_070000','A',NOW(),'SYS',NOW(),'SYS');</v>
      </c>
      <c r="O27" s="9" t="str">
        <f t="shared" si="3"/>
        <v>INSERT INTO T_CORE_MENU_EX (MENU_ID, MENU_APPS_CODE, MENU_GROUP_LABEL, MENU_GROUP_LABEL_OTH, MENU_NAME, MENU_NAME_OTH, MENU_SEQ, MENU_PATH, MENU_ICON, MENU_PARENT, MENU_STATUS, MENU_DT_CREATE, MENU_UID_CREATE, MENU_DT_LUPD, MENU_UID_LUPD)  VALUES('CKT_CS_070100','CKT','','','Rate Table Management','Rate Table Management','70100','/manage/ratetable',NULL,'CKT_CS_070000','A',NOW(),'SYS',NOW(),'SYS');</v>
      </c>
    </row>
    <row r="28" spans="1:15" x14ac:dyDescent="0.2">
      <c r="A28" s="9" t="s">
        <v>194</v>
      </c>
      <c r="B28" s="9" t="s">
        <v>14</v>
      </c>
      <c r="F28" s="9" t="s">
        <v>195</v>
      </c>
      <c r="G28" s="9" t="s">
        <v>195</v>
      </c>
      <c r="H28" s="9">
        <v>70200</v>
      </c>
      <c r="I28" s="9" t="s">
        <v>196</v>
      </c>
      <c r="J28" s="9" t="s">
        <v>125</v>
      </c>
      <c r="K28" s="9" t="s">
        <v>189</v>
      </c>
      <c r="L28" s="9" t="s">
        <v>7</v>
      </c>
      <c r="M28" s="9" t="str">
        <f t="shared" si="0"/>
        <v xml:space="preserve">INSERT INTO T_CORE_MENU_EX (MENU_ID, MENU_APPS_CODE, MENU_GROUP_LABEL, MENU_GROUP_LABEL_OTH, MENU_NAME, MENU_NAME_OTH, MENU_SEQ, MENU_PATH, MENU_ICON, MENU_PARENT, MENU_STATUS, MENU_DT_CREATE, MENU_UID_CREATE, MENU_DT_LUPD, MENU_UID_LUPD) </v>
      </c>
      <c r="N28" s="9" t="str">
        <f t="shared" si="1"/>
        <v xml:space="preserve"> VALUES('CKT_CS_070200','CKT','','','Documents Verification','Documents Verification','70200','/opadmin/docverification',NULL,'CKT_CS_070000','A',NOW(),'SYS',NOW(),'SYS');</v>
      </c>
      <c r="O28" s="9" t="str">
        <f t="shared" si="3"/>
        <v>INSERT INTO T_CORE_MENU_EX (MENU_ID, MENU_APPS_CODE, MENU_GROUP_LABEL, MENU_GROUP_LABEL_OTH, MENU_NAME, MENU_NAME_OTH, MENU_SEQ, MENU_PATH, MENU_ICON, MENU_PARENT, MENU_STATUS, MENU_DT_CREATE, MENU_UID_CREATE, MENU_DT_LUPD, MENU_UID_LUPD)  VALUES('CKT_CS_070200','CKT','','','Documents Verification','Documents Verification','70200','/opadmin/docverification',NULL,'CKT_CS_070000','A',NOW(),'SYS',NOW(),'SYS');</v>
      </c>
    </row>
    <row r="29" spans="1:15" x14ac:dyDescent="0.2">
      <c r="A29" s="9" t="s">
        <v>197</v>
      </c>
      <c r="B29" s="9" t="s">
        <v>14</v>
      </c>
      <c r="F29" s="9" t="s">
        <v>184</v>
      </c>
      <c r="G29" s="9" t="s">
        <v>184</v>
      </c>
      <c r="H29" s="9">
        <v>70300</v>
      </c>
      <c r="I29" s="9" t="s">
        <v>185</v>
      </c>
      <c r="J29" s="9" t="s">
        <v>125</v>
      </c>
      <c r="K29" s="9" t="s">
        <v>189</v>
      </c>
      <c r="L29" s="9" t="s">
        <v>7</v>
      </c>
      <c r="M29" s="9" t="str">
        <f t="shared" si="0"/>
        <v xml:space="preserve">INSERT INTO T_CORE_MENU_EX (MENU_ID, MENU_APPS_CODE, MENU_GROUP_LABEL, MENU_GROUP_LABEL_OTH, MENU_NAME, MENU_NAME_OTH, MENU_SEQ, MENU_PATH, MENU_ICON, MENU_PARENT, MENU_STATUS, MENU_DT_CREATE, MENU_UID_CREATE, MENU_DT_LUPD, MENU_UID_LUPD) </v>
      </c>
      <c r="N29" s="9" t="str">
        <f t="shared" ref="N29" si="7">CONCATENATE(" VALUES('",A29,"','",B29,"','",D29,"','",E29,"','",F29,"','",G29,"',",IF(H29="NULL","NULL",CONCATENATE("'",H29,"'")),",",IF(I29="NULL","NULL",CONCATENATE("'",I29,"'")),",",IF(J29="NULL","NULL",CONCATENATE("'",J29,"'")),",",IF(K29="NULL","NULL",CONCATENATE("'",K29,"'")),",'A',NOW(),'SYS',NOW(),'SYS');")</f>
        <v xml:space="preserve"> VALUES('CKT_CS_070300','CKT','','','Contract Requests','Contract Requests','70300','/opadmin/contractrequest/list',NULL,'CKT_CS_070000','A',NOW(),'SYS',NOW(),'SYS');</v>
      </c>
      <c r="O29" s="9" t="str">
        <f t="shared" si="3"/>
        <v>INSERT INTO T_CORE_MENU_EX (MENU_ID, MENU_APPS_CODE, MENU_GROUP_LABEL, MENU_GROUP_LABEL_OTH, MENU_NAME, MENU_NAME_OTH, MENU_SEQ, MENU_PATH, MENU_ICON, MENU_PARENT, MENU_STATUS, MENU_DT_CREATE, MENU_UID_CREATE, MENU_DT_LUPD, MENU_UID_LUPD)  VALUES('CKT_CS_070300','CKT','','','Contract Requests','Contract Requests','70300','/opadmin/contractrequest/list',NULL,'CKT_CS_070000','A',NOW(),'SYS',NOW(),'SYS');</v>
      </c>
    </row>
    <row r="30" spans="1:15" s="13" customFormat="1" x14ac:dyDescent="0.2">
      <c r="A30" s="13" t="s">
        <v>198</v>
      </c>
      <c r="B30" s="13" t="s">
        <v>14</v>
      </c>
      <c r="C30" s="13" t="s">
        <v>199</v>
      </c>
      <c r="D30" s="13" t="s">
        <v>200</v>
      </c>
      <c r="E30" s="13" t="s">
        <v>200</v>
      </c>
      <c r="F30" s="13" t="s">
        <v>200</v>
      </c>
      <c r="G30" s="13" t="s">
        <v>200</v>
      </c>
      <c r="H30" s="13">
        <v>80000</v>
      </c>
      <c r="J30" s="13" t="s">
        <v>132</v>
      </c>
      <c r="K30" s="13" t="s">
        <v>125</v>
      </c>
      <c r="L30" s="13" t="s">
        <v>7</v>
      </c>
      <c r="M30" s="13" t="str">
        <f t="shared" si="0"/>
        <v xml:space="preserve">INSERT INTO T_CORE_MENU_EX (MENU_ID, MENU_APPS_CODE, MENU_GROUP_LABEL, MENU_GROUP_LABEL_OTH, MENU_NAME, MENU_NAME_OTH, MENU_SEQ, MENU_PATH, MENU_ICON, MENU_PARENT, MENU_STATUS, MENU_DT_CREATE, MENU_UID_CREATE, MENU_DT_LUPD, MENU_UID_LUPD) </v>
      </c>
      <c r="N30" s="13" t="str">
        <f t="shared" si="1"/>
        <v xml:space="preserve"> VALUES('CKT_OA_080000','CKT','Operations Administration','Operations Administration','Operations Administration','Operations Administration','80000','','admin_panel_settings',NULL,'A',NOW(),'SYS',NOW(),'SYS');</v>
      </c>
      <c r="O30" s="9" t="str">
        <f t="shared" si="3"/>
        <v>INSERT INTO T_CORE_MENU_EX (MENU_ID, MENU_APPS_CODE, MENU_GROUP_LABEL, MENU_GROUP_LABEL_OTH, MENU_NAME, MENU_NAME_OTH, MENU_SEQ, MENU_PATH, MENU_ICON, MENU_PARENT, MENU_STATUS, MENU_DT_CREATE, MENU_UID_CREATE, MENU_DT_LUPD, MENU_UID_LUPD)  VALUES('CKT_OA_080000','CKT','Operations Administration','Operations Administration','Operations Administration','Operations Administration','80000','','admin_panel_settings',NULL,'A',NOW(),'SYS',NOW(),'SYS');</v>
      </c>
    </row>
    <row r="31" spans="1:15" x14ac:dyDescent="0.2">
      <c r="A31" s="9" t="s">
        <v>201</v>
      </c>
      <c r="B31" s="9" t="s">
        <v>14</v>
      </c>
      <c r="F31" s="9" t="s">
        <v>202</v>
      </c>
      <c r="G31" s="9" t="s">
        <v>202</v>
      </c>
      <c r="H31" s="9">
        <v>80100</v>
      </c>
      <c r="I31" s="9" t="s">
        <v>203</v>
      </c>
      <c r="J31" s="9" t="s">
        <v>125</v>
      </c>
      <c r="K31" s="9" t="s">
        <v>198</v>
      </c>
      <c r="L31" s="9" t="s">
        <v>7</v>
      </c>
      <c r="M31" s="9" t="str">
        <f t="shared" si="0"/>
        <v xml:space="preserve">INSERT INTO T_CORE_MENU_EX (MENU_ID, MENU_APPS_CODE, MENU_GROUP_LABEL, MENU_GROUP_LABEL_OTH, MENU_NAME, MENU_NAME_OTH, MENU_SEQ, MENU_PATH, MENU_ICON, MENU_PARENT, MENU_STATUS, MENU_DT_CREATE, MENU_UID_CREATE, MENU_DT_LUPD, MENU_UID_LUPD) </v>
      </c>
      <c r="N31" s="9" t="str">
        <f t="shared" si="1"/>
        <v xml:space="preserve"> VALUES('CKT_OA_080100','CKT','','','Account Suspension/Resumption','Account Suspension/Resumption','80100','/opadmin/accounts/co/list',NULL,'CKT_OA_080000','A',NOW(),'SYS',NOW(),'SYS');</v>
      </c>
      <c r="O31" s="9" t="str">
        <f t="shared" si="3"/>
        <v>INSERT INTO T_CORE_MENU_EX (MENU_ID, MENU_APPS_CODE, MENU_GROUP_LABEL, MENU_GROUP_LABEL_OTH, MENU_NAME, MENU_NAME_OTH, MENU_SEQ, MENU_PATH, MENU_ICON, MENU_PARENT, MENU_STATUS, MENU_DT_CREATE, MENU_UID_CREATE, MENU_DT_LUPD, MENU_UID_LUPD)  VALUES('CKT_OA_080100','CKT','','','Account Suspension/Resumption','Account Suspension/Resumption','80100','/opadmin/accounts/co/list',NULL,'CKT_OA_080000','A',NOW(),'SYS',NOW(),'SYS');</v>
      </c>
    </row>
    <row r="32" spans="1:15" x14ac:dyDescent="0.2">
      <c r="A32" s="9" t="s">
        <v>204</v>
      </c>
      <c r="B32" s="9" t="s">
        <v>14</v>
      </c>
      <c r="F32" s="9" t="s">
        <v>205</v>
      </c>
      <c r="G32" s="9" t="s">
        <v>205</v>
      </c>
      <c r="H32" s="9">
        <v>80200</v>
      </c>
      <c r="I32" s="9" t="s">
        <v>206</v>
      </c>
      <c r="J32" s="9" t="s">
        <v>125</v>
      </c>
      <c r="K32" s="9" t="s">
        <v>198</v>
      </c>
      <c r="L32" s="9" t="s">
        <v>7</v>
      </c>
      <c r="M32" s="9" t="str">
        <f t="shared" si="0"/>
        <v xml:space="preserve">INSERT INTO T_CORE_MENU_EX (MENU_ID, MENU_APPS_CODE, MENU_GROUP_LABEL, MENU_GROUP_LABEL_OTH, MENU_NAME, MENU_NAME_OTH, MENU_SEQ, MENU_PATH, MENU_ICON, MENU_PARENT, MENU_STATUS, MENU_DT_CREATE, MENU_UID_CREATE, MENU_DT_LUPD, MENU_UID_LUPD) </v>
      </c>
      <c r="N32" s="9" t="str">
        <f t="shared" si="1"/>
        <v xml:space="preserve"> VALUES('CKT_OA_080200','CKT','','','Bank Account','Bank Account','80200','/opadmin/bankaccounts',NULL,'CKT_OA_080000','A',NOW(),'SYS',NOW(),'SYS');</v>
      </c>
      <c r="O32" s="9" t="str">
        <f t="shared" si="3"/>
        <v>INSERT INTO T_CORE_MENU_EX (MENU_ID, MENU_APPS_CODE, MENU_GROUP_LABEL, MENU_GROUP_LABEL_OTH, MENU_NAME, MENU_NAME_OTH, MENU_SEQ, MENU_PATH, MENU_ICON, MENU_PARENT, MENU_STATUS, MENU_DT_CREATE, MENU_UID_CREATE, MENU_DT_LUPD, MENU_UID_LUPD)  VALUES('CKT_OA_080200','CKT','','','Bank Account','Bank Account','80200','/opadmin/bankaccounts',NULL,'CKT_OA_080000','A',NOW(),'SYS',NOW(),'SYS');</v>
      </c>
    </row>
    <row r="33" spans="1:15" x14ac:dyDescent="0.2">
      <c r="A33" s="9" t="s">
        <v>207</v>
      </c>
      <c r="B33" s="9" t="s">
        <v>14</v>
      </c>
      <c r="F33" s="9" t="s">
        <v>208</v>
      </c>
      <c r="G33" s="9" t="s">
        <v>208</v>
      </c>
      <c r="H33" s="9">
        <v>80300</v>
      </c>
      <c r="I33" s="9" t="s">
        <v>209</v>
      </c>
      <c r="J33" s="9" t="s">
        <v>125</v>
      </c>
      <c r="K33" s="9" t="s">
        <v>198</v>
      </c>
      <c r="L33" s="9" t="s">
        <v>7</v>
      </c>
      <c r="M33" s="9" t="str">
        <f t="shared" si="0"/>
        <v xml:space="preserve">INSERT INTO T_CORE_MENU_EX (MENU_ID, MENU_APPS_CODE, MENU_GROUP_LABEL, MENU_GROUP_LABEL_OTH, MENU_NAME, MENU_NAME_OTH, MENU_SEQ, MENU_PATH, MENU_ICON, MENU_PARENT, MENU_STATUS, MENU_DT_CREATE, MENU_UID_CREATE, MENU_DT_LUPD, MENU_UID_LUPD) </v>
      </c>
      <c r="N33" s="9" t="str">
        <f t="shared" si="1"/>
        <v xml:space="preserve"> VALUES('CKT_OA_080300','CKT','','','Static Virtual Account','Static Virtual Account','80300','/opadmin/staticva',NULL,'CKT_OA_080000','A',NOW(),'SYS',NOW(),'SYS');</v>
      </c>
      <c r="O33" s="9" t="str">
        <f t="shared" si="3"/>
        <v>INSERT INTO T_CORE_MENU_EX (MENU_ID, MENU_APPS_CODE, MENU_GROUP_LABEL, MENU_GROUP_LABEL_OTH, MENU_NAME, MENU_NAME_OTH, MENU_SEQ, MENU_PATH, MENU_ICON, MENU_PARENT, MENU_STATUS, MENU_DT_CREATE, MENU_UID_CREATE, MENU_DT_LUPD, MENU_UID_LUPD)  VALUES('CKT_OA_080300','CKT','','','Static Virtual Account','Static Virtual Account','80300','/opadmin/staticva',NULL,'CKT_OA_080000','A',NOW(),'SYS',NOW(),'SYS');</v>
      </c>
    </row>
    <row r="34" spans="1:15" x14ac:dyDescent="0.2">
      <c r="A34" s="9" t="s">
        <v>210</v>
      </c>
      <c r="B34" s="9" t="s">
        <v>14</v>
      </c>
      <c r="F34" s="9" t="s">
        <v>211</v>
      </c>
      <c r="G34" s="9" t="s">
        <v>211</v>
      </c>
      <c r="H34" s="9">
        <v>80400</v>
      </c>
      <c r="I34" s="9" t="s">
        <v>212</v>
      </c>
      <c r="J34" s="9" t="s">
        <v>125</v>
      </c>
      <c r="K34" s="9" t="s">
        <v>198</v>
      </c>
      <c r="L34" s="9" t="s">
        <v>7</v>
      </c>
      <c r="M34" s="9" t="str">
        <f t="shared" si="0"/>
        <v xml:space="preserve">INSERT INTO T_CORE_MENU_EX (MENU_ID, MENU_APPS_CODE, MENU_GROUP_LABEL, MENU_GROUP_LABEL_OTH, MENU_NAME, MENU_NAME_OTH, MENU_SEQ, MENU_PATH, MENU_ICON, MENU_PARENT, MENU_STATUS, MENU_DT_CREATE, MENU_UID_CREATE, MENU_DT_LUPD, MENU_UID_LUPD) </v>
      </c>
      <c r="N34" s="9" t="str">
        <f t="shared" si="1"/>
        <v xml:space="preserve"> VALUES('CKT_OA_080400','CKT','','','Tracking Device','Tracking Device','80400','/opadmin/trackingdevices',NULL,'CKT_OA_080000','A',NOW(),'SYS',NOW(),'SYS');</v>
      </c>
      <c r="O34" s="9" t="str">
        <f t="shared" si="3"/>
        <v>INSERT INTO T_CORE_MENU_EX (MENU_ID, MENU_APPS_CODE, MENU_GROUP_LABEL, MENU_GROUP_LABEL_OTH, MENU_NAME, MENU_NAME_OTH, MENU_SEQ, MENU_PATH, MENU_ICON, MENU_PARENT, MENU_STATUS, MENU_DT_CREATE, MENU_UID_CREATE, MENU_DT_LUPD, MENU_UID_LUPD)  VALUES('CKT_OA_080400','CKT','','','Tracking Device','Tracking Device','80400','/opadmin/trackingdevices',NULL,'CKT_OA_080000','A',NOW(),'SYS',NOW(),'SYS');</v>
      </c>
    </row>
    <row r="35" spans="1:15" x14ac:dyDescent="0.2">
      <c r="A35" s="9" t="s">
        <v>213</v>
      </c>
      <c r="B35" s="9" t="s">
        <v>14</v>
      </c>
      <c r="F35" s="9" t="s">
        <v>214</v>
      </c>
      <c r="G35" s="9" t="s">
        <v>214</v>
      </c>
      <c r="H35" s="9">
        <v>80500</v>
      </c>
      <c r="I35" s="9" t="s">
        <v>215</v>
      </c>
      <c r="J35" s="9" t="s">
        <v>125</v>
      </c>
      <c r="K35" s="9" t="s">
        <v>198</v>
      </c>
      <c r="L35" s="9" t="s">
        <v>7</v>
      </c>
      <c r="M35" s="9" t="str">
        <f t="shared" si="0"/>
        <v xml:space="preserve">INSERT INTO T_CORE_MENU_EX (MENU_ID, MENU_APPS_CODE, MENU_GROUP_LABEL, MENU_GROUP_LABEL_OTH, MENU_NAME, MENU_NAME_OTH, MENU_SEQ, MENU_PATH, MENU_ICON, MENU_PARENT, MENU_STATUS, MENU_DT_CREATE, MENU_UID_CREATE, MENU_DT_LUPD, MENU_UID_LUPD) </v>
      </c>
      <c r="N35" s="9" t="str">
        <f t="shared" si="1"/>
        <v xml:space="preserve"> VALUES('CKT_OA_080500','CKT','','','SAGE Integration','SAGE Integration','80500','/opadmin/sageintegrations',NULL,'CKT_OA_080000','A',NOW(),'SYS',NOW(),'SYS');</v>
      </c>
      <c r="O35" s="9" t="str">
        <f t="shared" si="3"/>
        <v>INSERT INTO T_CORE_MENU_EX (MENU_ID, MENU_APPS_CODE, MENU_GROUP_LABEL, MENU_GROUP_LABEL_OTH, MENU_NAME, MENU_NAME_OTH, MENU_SEQ, MENU_PATH, MENU_ICON, MENU_PARENT, MENU_STATUS, MENU_DT_CREATE, MENU_UID_CREATE, MENU_DT_LUPD, MENU_UID_LUPD)  VALUES('CKT_OA_080500','CKT','','','SAGE Integration','SAGE Integration','80500','/opadmin/sageintegrations',NULL,'CKT_OA_080000','A',NOW(),'SYS',NOW(),'SYS');</v>
      </c>
    </row>
    <row r="36" spans="1:15" x14ac:dyDescent="0.2">
      <c r="A36" s="9" t="s">
        <v>216</v>
      </c>
      <c r="B36" s="9" t="s">
        <v>14</v>
      </c>
      <c r="F36" s="9" t="s">
        <v>217</v>
      </c>
      <c r="G36" s="9" t="s">
        <v>217</v>
      </c>
      <c r="H36" s="9">
        <v>80600</v>
      </c>
      <c r="I36" s="9" t="s">
        <v>218</v>
      </c>
      <c r="J36" s="9" t="s">
        <v>125</v>
      </c>
      <c r="K36" s="9" t="s">
        <v>198</v>
      </c>
      <c r="L36" s="9" t="s">
        <v>7</v>
      </c>
      <c r="M36" s="9" t="str">
        <f t="shared" si="0"/>
        <v xml:space="preserve">INSERT INTO T_CORE_MENU_EX (MENU_ID, MENU_APPS_CODE, MENU_GROUP_LABEL, MENU_GROUP_LABEL_OTH, MENU_NAME, MENU_NAME_OTH, MENU_SEQ, MENU_PATH, MENU_ICON, MENU_PARENT, MENU_STATUS, MENU_DT_CREATE, MENU_UID_CREATE, MENU_DT_LUPD, MENU_UID_LUPD) </v>
      </c>
      <c r="N36" s="9" t="str">
        <f t="shared" si="1"/>
        <v xml:space="preserve"> VALUES('CKT_OA_080600','CKT','','','User Management','User Management','80600','/opadmin/users',NULL,'CKT_OA_080000','A',NOW(),'SYS',NOW(),'SYS');</v>
      </c>
      <c r="O36" s="9" t="str">
        <f t="shared" si="3"/>
        <v>INSERT INTO T_CORE_MENU_EX (MENU_ID, MENU_APPS_CODE, MENU_GROUP_LABEL, MENU_GROUP_LABEL_OTH, MENU_NAME, MENU_NAME_OTH, MENU_SEQ, MENU_PATH, MENU_ICON, MENU_PARENT, MENU_STATUS, MENU_DT_CREATE, MENU_UID_CREATE, MENU_DT_LUPD, MENU_UID_LUPD)  VALUES('CKT_OA_080600','CKT','','','User Management','User Management','80600','/opadmin/users',NULL,'CKT_OA_080000','A',NOW(),'SYS',NOW(),'SYS');</v>
      </c>
    </row>
    <row r="37" spans="1:15" x14ac:dyDescent="0.2">
      <c r="A37" s="9" t="s">
        <v>219</v>
      </c>
      <c r="B37" s="9" t="s">
        <v>14</v>
      </c>
      <c r="F37" s="9" t="s">
        <v>220</v>
      </c>
      <c r="G37" s="9" t="s">
        <v>220</v>
      </c>
      <c r="H37" s="9">
        <v>80700</v>
      </c>
      <c r="I37" s="9" t="s">
        <v>221</v>
      </c>
      <c r="J37" s="9" t="s">
        <v>125</v>
      </c>
      <c r="K37" s="9" t="s">
        <v>198</v>
      </c>
      <c r="L37" s="9" t="s">
        <v>7</v>
      </c>
      <c r="M37" s="9" t="str">
        <f t="shared" si="0"/>
        <v xml:space="preserve">INSERT INTO T_CORE_MENU_EX (MENU_ID, MENU_APPS_CODE, MENU_GROUP_LABEL, MENU_GROUP_LABEL_OTH, MENU_NAME, MENU_NAME_OTH, MENU_SEQ, MENU_PATH, MENU_ICON, MENU_PARENT, MENU_STATUS, MENU_DT_CREATE, MENU_UID_CREATE, MENU_DT_LUPD, MENU_UID_LUPD) </v>
      </c>
      <c r="N37" s="9" t="str">
        <f t="shared" si="1"/>
        <v xml:space="preserve"> VALUES('CKT_OA_080700','CKT','','','Outbound Payments','Outbound Payments','80700','/opadmin/outboundpayments',NULL,'CKT_OA_080000','A',NOW(),'SYS',NOW(),'SYS');</v>
      </c>
      <c r="O37" s="9" t="str">
        <f t="shared" si="3"/>
        <v>INSERT INTO T_CORE_MENU_EX (MENU_ID, MENU_APPS_CODE, MENU_GROUP_LABEL, MENU_GROUP_LABEL_OTH, MENU_NAME, MENU_NAME_OTH, MENU_SEQ, MENU_PATH, MENU_ICON, MENU_PARENT, MENU_STATUS, MENU_DT_CREATE, MENU_UID_CREATE, MENU_DT_LUPD, MENU_UID_LUPD)  VALUES('CKT_OA_080700','CKT','','','Outbound Payments','Outbound Payments','80700','/opadmin/outboundpayments',NULL,'CKT_OA_080000','A',NOW(),'SYS',NOW(),'SYS');</v>
      </c>
    </row>
    <row r="38" spans="1:15" x14ac:dyDescent="0.2">
      <c r="A38" s="9" t="s">
        <v>222</v>
      </c>
      <c r="B38" s="9" t="s">
        <v>14</v>
      </c>
      <c r="F38" s="9" t="s">
        <v>223</v>
      </c>
      <c r="G38" s="9" t="s">
        <v>223</v>
      </c>
      <c r="H38" s="9">
        <v>80800</v>
      </c>
      <c r="I38" s="9" t="s">
        <v>224</v>
      </c>
      <c r="J38" s="9" t="s">
        <v>125</v>
      </c>
      <c r="K38" s="9" t="s">
        <v>198</v>
      </c>
      <c r="L38" s="9" t="s">
        <v>7</v>
      </c>
      <c r="M38" s="9" t="str">
        <f t="shared" si="0"/>
        <v xml:space="preserve">INSERT INTO T_CORE_MENU_EX (MENU_ID, MENU_APPS_CODE, MENU_GROUP_LABEL, MENU_GROUP_LABEL_OTH, MENU_NAME, MENU_NAME_OTH, MENU_SEQ, MENU_PATH, MENU_ICON, MENU_PARENT, MENU_STATUS, MENU_DT_CREATE, MENU_UID_CREATE, MENU_DT_LUPD, MENU_UID_LUPD) </v>
      </c>
      <c r="N38" s="9" t="str">
        <f t="shared" si="1"/>
        <v xml:space="preserve"> VALUES('CKT_OA_080800','CKT','','','Inbound Payments','Inbound Payments','80800','/opadmin/inboundpayments',NULL,'CKT_OA_080000','A',NOW(),'SYS',NOW(),'SYS');</v>
      </c>
      <c r="O38" s="9" t="str">
        <f t="shared" si="3"/>
        <v>INSERT INTO T_CORE_MENU_EX (MENU_ID, MENU_APPS_CODE, MENU_GROUP_LABEL, MENU_GROUP_LABEL_OTH, MENU_NAME, MENU_NAME_OTH, MENU_SEQ, MENU_PATH, MENU_ICON, MENU_PARENT, MENU_STATUS, MENU_DT_CREATE, MENU_UID_CREATE, MENU_DT_LUPD, MENU_UID_LUPD)  VALUES('CKT_OA_080800','CKT','','','Inbound Payments','Inbound Payments','80800','/opadmin/inboundpayments',NULL,'CKT_OA_080000','A',NOW(),'SYS',NOW(),'SYS');</v>
      </c>
    </row>
    <row r="39" spans="1:15" x14ac:dyDescent="0.2">
      <c r="A39" s="9" t="s">
        <v>225</v>
      </c>
      <c r="B39" s="9" t="s">
        <v>14</v>
      </c>
      <c r="F39" s="9" t="s">
        <v>226</v>
      </c>
      <c r="G39" s="9" t="s">
        <v>226</v>
      </c>
      <c r="H39" s="9">
        <v>80900</v>
      </c>
      <c r="I39" s="9" t="s">
        <v>227</v>
      </c>
      <c r="J39" s="9" t="s">
        <v>125</v>
      </c>
      <c r="K39" s="9" t="s">
        <v>198</v>
      </c>
      <c r="L39" s="9" t="s">
        <v>7</v>
      </c>
      <c r="M39" s="9" t="str">
        <f t="shared" si="0"/>
        <v xml:space="preserve">INSERT INTO T_CORE_MENU_EX (MENU_ID, MENU_APPS_CODE, MENU_GROUP_LABEL, MENU_GROUP_LABEL_OTH, MENU_NAME, MENU_NAME_OTH, MENU_SEQ, MENU_PATH, MENU_ICON, MENU_PARENT, MENU_STATUS, MENU_DT_CREATE, MENU_UID_CREATE, MENU_DT_LUPD, MENU_UID_LUPD) </v>
      </c>
      <c r="N39" s="9" t="str">
        <f t="shared" ref="N39:N81" si="8">CONCATENATE(" VALUES('",A39,"','",B39,"','",D39,"','",E39,"','",F39,"','",G39,"',",IF(H39="NULL","NULL",CONCATENATE("'",H39,"'")),",",IF(I39="NULL","NULL",CONCATENATE("'",I39,"'")),",",IF(J39="NULL","NULL",CONCATENATE("'",J39,"'")),",",IF(K39="NULL","NULL",CONCATENATE("'",K39,"'")),",'A',NOW(),'SYS',NOW(),'SYS');")</f>
        <v xml:space="preserve"> VALUES('CKT_OA_080900','CKT','','','Contract Management','Contract Management','80900','/opadmin/contracts',NULL,'CKT_OA_080000','A',NOW(),'SYS',NOW(),'SYS');</v>
      </c>
      <c r="O39" s="9" t="str">
        <f t="shared" si="3"/>
        <v>INSERT INTO T_CORE_MENU_EX (MENU_ID, MENU_APPS_CODE, MENU_GROUP_LABEL, MENU_GROUP_LABEL_OTH, MENU_NAME, MENU_NAME_OTH, MENU_SEQ, MENU_PATH, MENU_ICON, MENU_PARENT, MENU_STATUS, MENU_DT_CREATE, MENU_UID_CREATE, MENU_DT_LUPD, MENU_UID_LUPD)  VALUES('CKT_OA_080900','CKT','','','Contract Management','Contract Management','80900','/opadmin/contracts',NULL,'CKT_OA_080000','A',NOW(),'SYS',NOW(),'SYS');</v>
      </c>
    </row>
    <row r="40" spans="1:15" x14ac:dyDescent="0.2">
      <c r="A40" s="9" t="s">
        <v>228</v>
      </c>
      <c r="B40" s="9" t="s">
        <v>14</v>
      </c>
      <c r="F40" s="9" t="s">
        <v>187</v>
      </c>
      <c r="G40" s="9" t="s">
        <v>187</v>
      </c>
      <c r="H40" s="9">
        <v>81000</v>
      </c>
      <c r="I40" s="9" t="s">
        <v>188</v>
      </c>
      <c r="J40" s="9" t="s">
        <v>125</v>
      </c>
      <c r="K40" s="9" t="s">
        <v>198</v>
      </c>
      <c r="L40" s="9" t="s">
        <v>7</v>
      </c>
      <c r="M40" s="9" t="str">
        <f t="shared" si="0"/>
        <v xml:space="preserve">INSERT INTO T_CORE_MENU_EX (MENU_ID, MENU_APPS_CODE, MENU_GROUP_LABEL, MENU_GROUP_LABEL_OTH, MENU_NAME, MENU_NAME_OTH, MENU_SEQ, MENU_PATH, MENU_ICON, MENU_PARENT, MENU_STATUS, MENU_DT_CREATE, MENU_UID_CREATE, MENU_DT_LUPD, MENU_UID_LUPD) </v>
      </c>
      <c r="N40" s="9" t="str">
        <f t="shared" ref="N40" si="9">CONCATENATE(" VALUES('",A40,"','",B40,"','",D40,"','",E40,"','",F40,"','",G40,"',",IF(H40="NULL","NULL",CONCATENATE("'",H40,"'")),",",IF(I40="NULL","NULL",CONCATENATE("'",I40,"'")),",",IF(J40="NULL","NULL",CONCATENATE("'",J40,"'")),",",IF(K40="NULL","NULL",CONCATENATE("'",K40,"'")),",'A',NOW(),'SYS',NOW(),'SYS');")</f>
        <v xml:space="preserve"> VALUES('CKT_OA_081000','CKT','','','Accounts Management','Accounts Management','81000','/manageAccounts/all/list',NULL,'CKT_OA_080000','A',NOW(),'SYS',NOW(),'SYS');</v>
      </c>
      <c r="O40" s="9" t="str">
        <f t="shared" si="3"/>
        <v>INSERT INTO T_CORE_MENU_EX (MENU_ID, MENU_APPS_CODE, MENU_GROUP_LABEL, MENU_GROUP_LABEL_OTH, MENU_NAME, MENU_NAME_OTH, MENU_SEQ, MENU_PATH, MENU_ICON, MENU_PARENT, MENU_STATUS, MENU_DT_CREATE, MENU_UID_CREATE, MENU_DT_LUPD, MENU_UID_LUPD)  VALUES('CKT_OA_081000','CKT','','','Accounts Management','Accounts Management','81000','/manageAccounts/all/list',NULL,'CKT_OA_080000','A',NOW(),'SYS',NOW(),'SYS');</v>
      </c>
    </row>
    <row r="41" spans="1:15" x14ac:dyDescent="0.2">
      <c r="A41" s="9" t="s">
        <v>229</v>
      </c>
      <c r="B41" s="9" t="s">
        <v>14</v>
      </c>
      <c r="F41" s="9" t="s">
        <v>230</v>
      </c>
      <c r="G41" s="9" t="s">
        <v>230</v>
      </c>
      <c r="H41" s="9">
        <v>81100</v>
      </c>
      <c r="I41" s="9" t="s">
        <v>231</v>
      </c>
      <c r="J41" s="9" t="s">
        <v>125</v>
      </c>
      <c r="K41" s="9" t="s">
        <v>198</v>
      </c>
      <c r="L41" s="9" t="s">
        <v>7</v>
      </c>
      <c r="M41" s="9" t="str">
        <f t="shared" si="0"/>
        <v xml:space="preserve">INSERT INTO T_CORE_MENU_EX (MENU_ID, MENU_APPS_CODE, MENU_GROUP_LABEL, MENU_GROUP_LABEL_OTH, MENU_NAME, MENU_NAME_OTH, MENU_SEQ, MENU_PATH, MENU_ICON, MENU_PARENT, MENU_STATUS, MENU_DT_CREATE, MENU_UID_CREATE, MENU_DT_LUPD, MENU_UID_LUPD) </v>
      </c>
      <c r="N41" s="9" t="str">
        <f t="shared" ref="N41" si="10">CONCATENATE(" VALUES('",A41,"','",B41,"','",D41,"','",E41,"','",F41,"','",G41,"',",IF(H41="NULL","NULL",CONCATENATE("'",H41,"'")),",",IF(I41="NULL","NULL",CONCATENATE("'",I41,"'")),",",IF(J41="NULL","NULL",CONCATENATE("'",J41,"'")),",",IF(K41="NULL","NULL",CONCATENATE("'",K41,"'")),",'A',NOW(),'SYS',NOW(),'SYS');")</f>
        <v xml:space="preserve"> VALUES('CKT_OA_081100','CKT','','','Credit Limit','Credit Limit','81100','/opadmin/creditlimit',NULL,'CKT_OA_080000','A',NOW(),'SYS',NOW(),'SYS');</v>
      </c>
      <c r="O41" s="9" t="str">
        <f t="shared" si="3"/>
        <v>INSERT INTO T_CORE_MENU_EX (MENU_ID, MENU_APPS_CODE, MENU_GROUP_LABEL, MENU_GROUP_LABEL_OTH, MENU_NAME, MENU_NAME_OTH, MENU_SEQ, MENU_PATH, MENU_ICON, MENU_PARENT, MENU_STATUS, MENU_DT_CREATE, MENU_UID_CREATE, MENU_DT_LUPD, MENU_UID_LUPD)  VALUES('CKT_OA_081100','CKT','','','Credit Limit','Credit Limit','81100','/opadmin/creditlimit',NULL,'CKT_OA_080000','A',NOW(),'SYS',NOW(),'SYS');</v>
      </c>
    </row>
    <row r="42" spans="1:15" x14ac:dyDescent="0.2">
      <c r="A42" s="9" t="s">
        <v>232</v>
      </c>
      <c r="B42" s="9" t="s">
        <v>14</v>
      </c>
      <c r="F42" s="9" t="s">
        <v>233</v>
      </c>
      <c r="G42" s="9" t="s">
        <v>233</v>
      </c>
      <c r="H42" s="9">
        <v>81200</v>
      </c>
      <c r="I42" s="9" t="s">
        <v>234</v>
      </c>
      <c r="J42" s="9" t="s">
        <v>125</v>
      </c>
      <c r="K42" s="9" t="s">
        <v>198</v>
      </c>
      <c r="L42" s="9" t="s">
        <v>7</v>
      </c>
      <c r="M42" s="9" t="str">
        <f t="shared" si="0"/>
        <v xml:space="preserve">INSERT INTO T_CORE_MENU_EX (MENU_ID, MENU_APPS_CODE, MENU_GROUP_LABEL, MENU_GROUP_LABEL_OTH, MENU_NAME, MENU_NAME_OTH, MENU_SEQ, MENU_PATH, MENU_ICON, MENU_PARENT, MENU_STATUS, MENU_DT_CREATE, MENU_UID_CREATE, MENU_DT_LUPD, MENU_UID_LUPD) </v>
      </c>
      <c r="N42" s="9" t="str">
        <f t="shared" ref="N42" si="11">CONCATENATE(" VALUES('",A42,"','",B42,"','",D42,"','",E42,"','",F42,"','",G42,"',",IF(H42="NULL","NULL",CONCATENATE("'",H42,"'")),",",IF(I42="NULL","NULL",CONCATENATE("'",I42,"'")),",",IF(J42="NULL","NULL",CONCATENATE("'",J42,"'")),",",IF(K42="NULL","NULL",CONCATENATE("'",K42,"'")),",'A',NOW(),'SYS',NOW(),'SYS');")</f>
        <v xml:space="preserve"> VALUES('CKT_OA_081200','CKT','','','Job Termination','Job Termination','81200','/opadmin/order-termination/list',NULL,'CKT_OA_080000','A',NOW(),'SYS',NOW(),'SYS');</v>
      </c>
      <c r="O42" s="9" t="str">
        <f t="shared" si="3"/>
        <v>INSERT INTO T_CORE_MENU_EX (MENU_ID, MENU_APPS_CODE, MENU_GROUP_LABEL, MENU_GROUP_LABEL_OTH, MENU_NAME, MENU_NAME_OTH, MENU_SEQ, MENU_PATH, MENU_ICON, MENU_PARENT, MENU_STATUS, MENU_DT_CREATE, MENU_UID_CREATE, MENU_DT_LUPD, MENU_UID_LUPD)  VALUES('CKT_OA_081200','CKT','','','Job Termination','Job Termination','81200','/opadmin/order-termination/list',NULL,'CKT_OA_080000','A',NOW(),'SYS',NOW(),'SYS');</v>
      </c>
    </row>
    <row r="43" spans="1:15" s="10" customFormat="1" x14ac:dyDescent="0.2">
      <c r="A43" s="10" t="s">
        <v>235</v>
      </c>
      <c r="B43" s="10" t="s">
        <v>14</v>
      </c>
      <c r="D43" s="10" t="s">
        <v>236</v>
      </c>
      <c r="E43" s="10" t="s">
        <v>236</v>
      </c>
      <c r="F43" s="10" t="s">
        <v>236</v>
      </c>
      <c r="G43" s="10" t="s">
        <v>236</v>
      </c>
      <c r="H43" s="10">
        <v>80000</v>
      </c>
      <c r="I43" s="10" t="s">
        <v>237</v>
      </c>
      <c r="J43" s="10" t="s">
        <v>238</v>
      </c>
      <c r="K43" s="10" t="s">
        <v>125</v>
      </c>
      <c r="L43" s="10" t="s">
        <v>7</v>
      </c>
      <c r="M43" s="10" t="str">
        <f t="shared" si="0"/>
        <v xml:space="preserve">INSERT INTO T_CORE_MENU_EX (MENU_ID, MENU_APPS_CODE, MENU_GROUP_LABEL, MENU_GROUP_LABEL_OTH, MENU_NAME, MENU_NAME_OTH, MENU_SEQ, MENU_PATH, MENU_ICON, MENU_PARENT, MENU_STATUS, MENU_DT_CREATE, MENU_UID_CREATE, MENU_DT_LUPD, MENU_UID_LUPD) </v>
      </c>
      <c r="N43" s="10" t="str">
        <f t="shared" si="8"/>
        <v xml:space="preserve"> VALUES('CKT_RP_080000','CKT','Reports','Reports','Reports','Reports','80000','/reports/list','summarize',NULL,'A',NOW(),'SYS',NOW(),'SYS');</v>
      </c>
      <c r="O43" s="9" t="str">
        <f t="shared" si="3"/>
        <v>INSERT INTO T_CORE_MENU_EX (MENU_ID, MENU_APPS_CODE, MENU_GROUP_LABEL, MENU_GROUP_LABEL_OTH, MENU_NAME, MENU_NAME_OTH, MENU_SEQ, MENU_PATH, MENU_ICON, MENU_PARENT, MENU_STATUS, MENU_DT_CREATE, MENU_UID_CREATE, MENU_DT_LUPD, MENU_UID_LUPD)  VALUES('CKT_RP_080000','CKT','Reports','Reports','Reports','Reports','80000','/reports/list','summarize',NULL,'A',NOW(),'SYS',NOW(),'SYS');</v>
      </c>
    </row>
    <row r="44" spans="1:15" x14ac:dyDescent="0.2">
      <c r="A44" s="9" t="s">
        <v>239</v>
      </c>
      <c r="B44" s="9" t="s">
        <v>30</v>
      </c>
      <c r="D44" s="9" t="s">
        <v>131</v>
      </c>
      <c r="E44" s="9" t="s">
        <v>131</v>
      </c>
      <c r="F44" s="9" t="s">
        <v>131</v>
      </c>
      <c r="G44" s="9" t="s">
        <v>131</v>
      </c>
      <c r="H44" s="9">
        <v>30000</v>
      </c>
      <c r="I44" s="9" t="s">
        <v>125</v>
      </c>
      <c r="J44" s="9" t="s">
        <v>240</v>
      </c>
      <c r="K44" s="9" t="s">
        <v>125</v>
      </c>
      <c r="L44" s="9" t="s">
        <v>7</v>
      </c>
      <c r="M44" s="9" t="str">
        <f t="shared" si="2"/>
        <v xml:space="preserve">INSERT INTO T_CORE_MENU_EX (MENU_ID, MENU_APPS_CODE, MENU_GROUP_LABEL, MENU_GROUP_LABEL_OTH, MENU_NAME, MENU_NAME_OTH, MENU_SEQ, MENU_PATH, MENU_ICON, MENU_PARENT, MENU_STATUS, MENU_DT_CREATE, MENU_UID_CREATE, MENU_DT_LUPD, MENU_UID_LUPD) </v>
      </c>
      <c r="N44" s="9" t="str">
        <f t="shared" si="8"/>
        <v xml:space="preserve"> VALUES('CKDO_MA_030000','CKDO','Administrations','Administrations','Administrations','Administrations','30000',NULL,'group',NULL,'A',NOW(),'SYS',NOW(),'SYS');</v>
      </c>
      <c r="O44" s="9" t="str">
        <f t="shared" si="3"/>
        <v>INSERT INTO T_CORE_MENU_EX (MENU_ID, MENU_APPS_CODE, MENU_GROUP_LABEL, MENU_GROUP_LABEL_OTH, MENU_NAME, MENU_NAME_OTH, MENU_SEQ, MENU_PATH, MENU_ICON, MENU_PARENT, MENU_STATUS, MENU_DT_CREATE, MENU_UID_CREATE, MENU_DT_LUPD, MENU_UID_LUPD)  VALUES('CKDO_MA_030000','CKDO','Administrations','Administrations','Administrations','Administrations','30000',NULL,'group',NULL,'A',NOW(),'SYS',NOW(),'SYS');</v>
      </c>
    </row>
    <row r="45" spans="1:15" x14ac:dyDescent="0.2">
      <c r="A45" s="9" t="s">
        <v>241</v>
      </c>
      <c r="B45" s="9" t="s">
        <v>30</v>
      </c>
      <c r="F45" s="9" t="s">
        <v>161</v>
      </c>
      <c r="G45" s="9" t="s">
        <v>161</v>
      </c>
      <c r="H45" s="9">
        <v>30100</v>
      </c>
      <c r="I45" s="9" t="s">
        <v>242</v>
      </c>
      <c r="J45" s="9" t="s">
        <v>125</v>
      </c>
      <c r="K45" s="9" t="s">
        <v>239</v>
      </c>
      <c r="L45" s="9" t="s">
        <v>7</v>
      </c>
      <c r="M45" s="9" t="str">
        <f t="shared" si="2"/>
        <v xml:space="preserve">INSERT INTO T_CORE_MENU_EX (MENU_ID, MENU_APPS_CODE, MENU_GROUP_LABEL, MENU_GROUP_LABEL_OTH, MENU_NAME, MENU_NAME_OTH, MENU_SEQ, MENU_PATH, MENU_ICON, MENU_PARENT, MENU_STATUS, MENU_DT_CREATE, MENU_UID_CREATE, MENU_DT_LUPD, MENU_UID_LUPD) </v>
      </c>
      <c r="N45" s="9" t="str">
        <f t="shared" si="8"/>
        <v xml:space="preserve"> VALUES('CKDO_MA_030100','CKDO','','','Account Profile','Account Profile','30100','/accountProfile',NULL,'CKDO_MA_030000','A',NOW(),'SYS',NOW(),'SYS');</v>
      </c>
      <c r="O45" s="9" t="str">
        <f t="shared" si="3"/>
        <v>INSERT INTO T_CORE_MENU_EX (MENU_ID, MENU_APPS_CODE, MENU_GROUP_LABEL, MENU_GROUP_LABEL_OTH, MENU_NAME, MENU_NAME_OTH, MENU_SEQ, MENU_PATH, MENU_ICON, MENU_PARENT, MENU_STATUS, MENU_DT_CREATE, MENU_UID_CREATE, MENU_DT_LUPD, MENU_UID_LUPD)  VALUES('CKDO_MA_030100','CKDO','','','Account Profile','Account Profile','30100','/accountProfile',NULL,'CKDO_MA_030000','A',NOW(),'SYS',NOW(),'SYS');</v>
      </c>
    </row>
    <row r="46" spans="1:15" x14ac:dyDescent="0.2">
      <c r="A46" s="9" t="s">
        <v>243</v>
      </c>
      <c r="B46" s="9" t="s">
        <v>30</v>
      </c>
      <c r="F46" s="9" t="s">
        <v>244</v>
      </c>
      <c r="G46" s="9" t="s">
        <v>244</v>
      </c>
      <c r="H46" s="9">
        <v>30200</v>
      </c>
      <c r="I46" s="9" t="s">
        <v>245</v>
      </c>
      <c r="J46" s="9" t="s">
        <v>125</v>
      </c>
      <c r="K46" s="9" t="s">
        <v>239</v>
      </c>
      <c r="L46" s="9" t="s">
        <v>7</v>
      </c>
      <c r="M46" s="9" t="str">
        <f t="shared" si="2"/>
        <v xml:space="preserve">INSERT INTO T_CORE_MENU_EX (MENU_ID, MENU_APPS_CODE, MENU_GROUP_LABEL, MENU_GROUP_LABEL_OTH, MENU_NAME, MENU_NAME_OTH, MENU_SEQ, MENU_PATH, MENU_ICON, MENU_PARENT, MENU_STATUS, MENU_DT_CREATE, MENU_UID_CREATE, MENU_DT_LUPD, MENU_UID_LUPD) </v>
      </c>
      <c r="N46" s="9" t="str">
        <f t="shared" si="8"/>
        <v xml:space="preserve"> VALUES('CKDO_MA_030200','CKDO','','','Users','Users','30200','/accountUsers',NULL,'CKDO_MA_030000','A',NOW(),'SYS',NOW(),'SYS');</v>
      </c>
      <c r="O46" s="9" t="str">
        <f t="shared" si="3"/>
        <v>INSERT INTO T_CORE_MENU_EX (MENU_ID, MENU_APPS_CODE, MENU_GROUP_LABEL, MENU_GROUP_LABEL_OTH, MENU_NAME, MENU_NAME_OTH, MENU_SEQ, MENU_PATH, MENU_ICON, MENU_PARENT, MENU_STATUS, MENU_DT_CREATE, MENU_UID_CREATE, MENU_DT_LUPD, MENU_UID_LUPD)  VALUES('CKDO_MA_030200','CKDO','','','Users','Users','30200','/accountUsers',NULL,'CKDO_MA_030000','A',NOW(),'SYS',NOW(),'SYS');</v>
      </c>
    </row>
    <row r="47" spans="1:15" x14ac:dyDescent="0.2">
      <c r="A47" s="9" t="s">
        <v>246</v>
      </c>
      <c r="B47" s="9" t="s">
        <v>30</v>
      </c>
      <c r="F47" s="9" t="s">
        <v>247</v>
      </c>
      <c r="G47" s="9" t="s">
        <v>247</v>
      </c>
      <c r="H47" s="9">
        <v>30400</v>
      </c>
      <c r="I47" s="9" t="s">
        <v>248</v>
      </c>
      <c r="J47" s="9" t="s">
        <v>125</v>
      </c>
      <c r="K47" s="9" t="s">
        <v>239</v>
      </c>
      <c r="L47" s="9" t="s">
        <v>7</v>
      </c>
      <c r="M47" s="9" t="str">
        <f t="shared" si="2"/>
        <v xml:space="preserve">INSERT INTO T_CORE_MENU_EX (MENU_ID, MENU_APPS_CODE, MENU_GROUP_LABEL, MENU_GROUP_LABEL_OTH, MENU_NAME, MENU_NAME_OTH, MENU_SEQ, MENU_PATH, MENU_ICON, MENU_PARENT, MENU_STATUS, MENU_DT_CREATE, MENU_UID_CREATE, MENU_DT_LUPD, MENU_UID_LUPD) </v>
      </c>
      <c r="N47" s="9" t="str">
        <f t="shared" si="8"/>
        <v xml:space="preserve"> VALUES('CKDO_MA_030300','CKDO','','','Authorisations','Authorisations','30400','/accountAuthorisations',NULL,'CKDO_MA_030000','A',NOW(),'SYS',NOW(),'SYS');</v>
      </c>
      <c r="O47" s="9" t="str">
        <f t="shared" si="3"/>
        <v>INSERT INTO T_CORE_MENU_EX (MENU_ID, MENU_APPS_CODE, MENU_GROUP_LABEL, MENU_GROUP_LABEL_OTH, MENU_NAME, MENU_NAME_OTH, MENU_SEQ, MENU_PATH, MENU_ICON, MENU_PARENT, MENU_STATUS, MENU_DT_CREATE, MENU_UID_CREATE, MENU_DT_LUPD, MENU_UID_LUPD)  VALUES('CKDO_MA_030300','CKDO','','','Authorisations','Authorisations','30400','/accountAuthorisations',NULL,'CKDO_MA_030000','A',NOW(),'SYS',NOW(),'SYS');</v>
      </c>
    </row>
    <row r="48" spans="1:15" x14ac:dyDescent="0.2">
      <c r="A48" s="9" t="s">
        <v>249</v>
      </c>
      <c r="B48" s="9" t="s">
        <v>30</v>
      </c>
      <c r="D48" s="9" t="s">
        <v>250</v>
      </c>
      <c r="E48" s="9" t="s">
        <v>250</v>
      </c>
      <c r="F48" s="9" t="s">
        <v>250</v>
      </c>
      <c r="G48" s="9" t="s">
        <v>250</v>
      </c>
      <c r="H48" s="9">
        <v>20000</v>
      </c>
      <c r="I48" s="9" t="s">
        <v>125</v>
      </c>
      <c r="J48" s="9" t="s">
        <v>251</v>
      </c>
      <c r="K48" s="9" t="s">
        <v>125</v>
      </c>
      <c r="L48" s="9" t="s">
        <v>7</v>
      </c>
      <c r="M48" s="9" t="str">
        <f t="shared" si="2"/>
        <v xml:space="preserve">INSERT INTO T_CORE_MENU_EX (MENU_ID, MENU_APPS_CODE, MENU_GROUP_LABEL, MENU_GROUP_LABEL_OTH, MENU_NAME, MENU_NAME_OTH, MENU_SEQ, MENU_PATH, MENU_ICON, MENU_PARENT, MENU_STATUS, MENU_DT_CREATE, MENU_UID_CREATE, MENU_DT_LUPD, MENU_UID_LUPD) </v>
      </c>
      <c r="N48" s="9" t="str">
        <f t="shared" si="8"/>
        <v xml:space="preserve"> VALUES('CKDO_MP_020000','CKDO','DO Payments','DO Payments','DO Payments','DO Payments','20000',NULL,'payment',NULL,'A',NOW(),'SYS',NOW(),'SYS');</v>
      </c>
      <c r="O48" s="9" t="str">
        <f t="shared" si="3"/>
        <v>INSERT INTO T_CORE_MENU_EX (MENU_ID, MENU_APPS_CODE, MENU_GROUP_LABEL, MENU_GROUP_LABEL_OTH, MENU_NAME, MENU_NAME_OTH, MENU_SEQ, MENU_PATH, MENU_ICON, MENU_PARENT, MENU_STATUS, MENU_DT_CREATE, MENU_UID_CREATE, MENU_DT_LUPD, MENU_UID_LUPD)  VALUES('CKDO_MP_020000','CKDO','DO Payments','DO Payments','DO Payments','DO Payments','20000',NULL,'payment',NULL,'A',NOW(),'SYS',NOW(),'SYS');</v>
      </c>
    </row>
    <row r="49" spans="1:15" s="16" customFormat="1" x14ac:dyDescent="0.2">
      <c r="A49" s="9" t="s">
        <v>252</v>
      </c>
      <c r="B49" s="9" t="s">
        <v>30</v>
      </c>
      <c r="C49" s="9"/>
      <c r="D49" s="9" t="s">
        <v>253</v>
      </c>
      <c r="E49" s="9" t="s">
        <v>253</v>
      </c>
      <c r="F49" s="9" t="s">
        <v>253</v>
      </c>
      <c r="G49" s="9" t="s">
        <v>253</v>
      </c>
      <c r="H49" s="9">
        <v>20100</v>
      </c>
      <c r="I49" s="9" t="s">
        <v>254</v>
      </c>
      <c r="J49" s="9" t="s">
        <v>125</v>
      </c>
      <c r="K49" s="9" t="s">
        <v>249</v>
      </c>
      <c r="L49" s="9" t="s">
        <v>7</v>
      </c>
      <c r="M49" s="9" t="str">
        <f t="shared" si="2"/>
        <v xml:space="preserve">INSERT INTO T_CORE_MENU_EX (MENU_ID, MENU_APPS_CODE, MENU_GROUP_LABEL, MENU_GROUP_LABEL_OTH, MENU_NAME, MENU_NAME_OTH, MENU_SEQ, MENU_PATH, MENU_ICON, MENU_PARENT, MENU_STATUS, MENU_DT_CREATE, MENU_UID_CREATE, MENU_DT_LUPD, MENU_UID_LUPD) </v>
      </c>
      <c r="N49" s="9" t="str">
        <f t="shared" si="8"/>
        <v xml:space="preserve"> VALUES('CKDO_MP_020100','CKDO','Payments','Payments','Payments','Payments','20100','/payments/active/list',NULL,'CKDO_MP_020000','A',NOW(),'SYS',NOW(),'SYS');</v>
      </c>
      <c r="O49" s="9" t="str">
        <f t="shared" si="3"/>
        <v>INSERT INTO T_CORE_MENU_EX (MENU_ID, MENU_APPS_CODE, MENU_GROUP_LABEL, MENU_GROUP_LABEL_OTH, MENU_NAME, MENU_NAME_OTH, MENU_SEQ, MENU_PATH, MENU_ICON, MENU_PARENT, MENU_STATUS, MENU_DT_CREATE, MENU_UID_CREATE, MENU_DT_LUPD, MENU_UID_LUPD)  VALUES('CKDO_MP_020100','CKDO','Payments','Payments','Payments','Payments','20100','/payments/active/list',NULL,'CKDO_MP_020000','A',NOW(),'SYS',NOW(),'SYS');</v>
      </c>
    </row>
    <row r="50" spans="1:15" x14ac:dyDescent="0.2">
      <c r="A50" s="9" t="s">
        <v>255</v>
      </c>
      <c r="B50" s="9" t="s">
        <v>30</v>
      </c>
      <c r="D50" s="9" t="s">
        <v>256</v>
      </c>
      <c r="E50" s="9" t="s">
        <v>256</v>
      </c>
      <c r="F50" s="9" t="s">
        <v>256</v>
      </c>
      <c r="G50" s="9" t="s">
        <v>256</v>
      </c>
      <c r="H50" s="9">
        <v>20300</v>
      </c>
      <c r="I50" s="9" t="s">
        <v>257</v>
      </c>
      <c r="J50" s="9" t="s">
        <v>125</v>
      </c>
      <c r="K50" s="9" t="s">
        <v>249</v>
      </c>
      <c r="L50" s="9" t="s">
        <v>7</v>
      </c>
      <c r="M50" s="9" t="str">
        <f t="shared" si="2"/>
        <v xml:space="preserve">INSERT INTO T_CORE_MENU_EX (MENU_ID, MENU_APPS_CODE, MENU_GROUP_LABEL, MENU_GROUP_LABEL_OTH, MENU_NAME, MENU_NAME_OTH, MENU_SEQ, MENU_PATH, MENU_ICON, MENU_PARENT, MENU_STATUS, MENU_DT_CREATE, MENU_UID_CREATE, MENU_DT_LUPD, MENU_UID_LUPD) </v>
      </c>
      <c r="N50" s="9" t="str">
        <f t="shared" si="8"/>
        <v xml:space="preserve"> VALUES('CKDO_MP_020300','CKDO','Transactions','Transactions','Transactions','Transactions','20300','/payments/transactions/list',NULL,'CKDO_MP_020000','A',NOW(),'SYS',NOW(),'SYS');</v>
      </c>
      <c r="O50" s="9" t="str">
        <f t="shared" si="3"/>
        <v>INSERT INTO T_CORE_MENU_EX (MENU_ID, MENU_APPS_CODE, MENU_GROUP_LABEL, MENU_GROUP_LABEL_OTH, MENU_NAME, MENU_NAME_OTH, MENU_SEQ, MENU_PATH, MENU_ICON, MENU_PARENT, MENU_STATUS, MENU_DT_CREATE, MENU_UID_CREATE, MENU_DT_LUPD, MENU_UID_LUPD)  VALUES('CKDO_MP_020300','CKDO','Transactions','Transactions','Transactions','Transactions','20300','/payments/transactions/list',NULL,'CKDO_MP_020000','A',NOW(),'SYS',NOW(),'SYS');</v>
      </c>
    </row>
    <row r="51" spans="1:15" x14ac:dyDescent="0.2">
      <c r="A51" s="9" t="s">
        <v>258</v>
      </c>
      <c r="B51" s="9" t="s">
        <v>30</v>
      </c>
      <c r="D51" s="9" t="s">
        <v>253</v>
      </c>
      <c r="E51" s="9" t="s">
        <v>253</v>
      </c>
      <c r="F51" s="9" t="s">
        <v>253</v>
      </c>
      <c r="G51" s="9" t="s">
        <v>253</v>
      </c>
      <c r="H51" s="9">
        <v>40000</v>
      </c>
      <c r="I51" s="9" t="s">
        <v>259</v>
      </c>
      <c r="J51" s="9" t="s">
        <v>251</v>
      </c>
      <c r="K51" s="9" t="s">
        <v>125</v>
      </c>
      <c r="L51" s="9" t="s">
        <v>7</v>
      </c>
      <c r="M51" s="9" t="str">
        <f t="shared" si="2"/>
        <v xml:space="preserve">INSERT INTO T_CORE_MENU_EX (MENU_ID, MENU_APPS_CODE, MENU_GROUP_LABEL, MENU_GROUP_LABEL_OTH, MENU_NAME, MENU_NAME_OTH, MENU_SEQ, MENU_PATH, MENU_ICON, MENU_PARENT, MENU_STATUS, MENU_DT_CREATE, MENU_UID_CREATE, MENU_DT_LUPD, MENU_UID_LUPD) </v>
      </c>
      <c r="N51" s="9" t="str">
        <f t="shared" si="8"/>
        <v xml:space="preserve"> VALUES('CKDO_MP_040000','CKDO','Payments','Payments','Payments','Payments','40000','/applications/payments/do/sl','payment',NULL,'A',NOW(),'SYS',NOW(),'SYS');</v>
      </c>
      <c r="O51" s="9" t="str">
        <f t="shared" si="3"/>
        <v>INSERT INTO T_CORE_MENU_EX (MENU_ID, MENU_APPS_CODE, MENU_GROUP_LABEL, MENU_GROUP_LABEL_OTH, MENU_NAME, MENU_NAME_OTH, MENU_SEQ, MENU_PATH, MENU_ICON, MENU_PARENT, MENU_STATUS, MENU_DT_CREATE, MENU_UID_CREATE, MENU_DT_LUPD, MENU_UID_LUPD)  VALUES('CKDO_MP_040000','CKDO','Payments','Payments','Payments','Payments','40000','/applications/payments/do/sl','payment',NULL,'A',NOW(),'SYS',NOW(),'SYS');</v>
      </c>
    </row>
    <row r="52" spans="1:15" x14ac:dyDescent="0.2">
      <c r="A52" s="9" t="s">
        <v>260</v>
      </c>
      <c r="B52" s="9" t="s">
        <v>30</v>
      </c>
      <c r="D52" s="9" t="s">
        <v>253</v>
      </c>
      <c r="E52" s="9" t="s">
        <v>253</v>
      </c>
      <c r="F52" s="9" t="s">
        <v>253</v>
      </c>
      <c r="G52" s="9" t="s">
        <v>253</v>
      </c>
      <c r="H52" s="9">
        <v>70000</v>
      </c>
      <c r="I52" s="9" t="s">
        <v>261</v>
      </c>
      <c r="J52" s="9" t="s">
        <v>262</v>
      </c>
      <c r="K52" s="9" t="s">
        <v>125</v>
      </c>
      <c r="L52" s="9" t="s">
        <v>7</v>
      </c>
      <c r="M52" s="9" t="str">
        <f t="shared" si="2"/>
        <v xml:space="preserve">INSERT INTO T_CORE_MENU_EX (MENU_ID, MENU_APPS_CODE, MENU_GROUP_LABEL, MENU_GROUP_LABEL_OTH, MENU_NAME, MENU_NAME_OTH, MENU_SEQ, MENU_PATH, MENU_ICON, MENU_PARENT, MENU_STATUS, MENU_DT_CREATE, MENU_UID_CREATE, MENU_DT_LUPD, MENU_UID_LUPD) </v>
      </c>
      <c r="N52" s="9" t="str">
        <f t="shared" si="8"/>
        <v xml:space="preserve"> VALUES('CKDO_MP_070000','CKDO','Payments','Payments','Payments','Payments','70000','/applications/payments/viewPaymentHistory','receipt',NULL,'A',NOW(),'SYS',NOW(),'SYS');</v>
      </c>
      <c r="O52" s="9" t="str">
        <f t="shared" si="3"/>
        <v>INSERT INTO T_CORE_MENU_EX (MENU_ID, MENU_APPS_CODE, MENU_GROUP_LABEL, MENU_GROUP_LABEL_OTH, MENU_NAME, MENU_NAME_OTH, MENU_SEQ, MENU_PATH, MENU_ICON, MENU_PARENT, MENU_STATUS, MENU_DT_CREATE, MENU_UID_CREATE, MENU_DT_LUPD, MENU_UID_LUPD)  VALUES('CKDO_MP_070000','CKDO','Payments','Payments','Payments','Payments','70000','/applications/payments/viewPaymentHistory','receipt',NULL,'A',NOW(),'SYS',NOW(),'SYS');</v>
      </c>
    </row>
    <row r="53" spans="1:15" x14ac:dyDescent="0.2">
      <c r="A53" s="9" t="s">
        <v>263</v>
      </c>
      <c r="B53" s="9" t="s">
        <v>30</v>
      </c>
      <c r="D53" s="9" t="s">
        <v>264</v>
      </c>
      <c r="E53" s="9" t="s">
        <v>264</v>
      </c>
      <c r="F53" s="9" t="s">
        <v>264</v>
      </c>
      <c r="G53" s="9" t="s">
        <v>264</v>
      </c>
      <c r="H53" s="9">
        <v>60000</v>
      </c>
      <c r="I53" s="9" t="s">
        <v>125</v>
      </c>
      <c r="J53" s="9" t="s">
        <v>265</v>
      </c>
      <c r="K53" s="9" t="s">
        <v>125</v>
      </c>
      <c r="L53" s="9" t="s">
        <v>7</v>
      </c>
      <c r="M53" s="9" t="str">
        <f t="shared" si="2"/>
        <v xml:space="preserve">INSERT INTO T_CORE_MENU_EX (MENU_ID, MENU_APPS_CODE, MENU_GROUP_LABEL, MENU_GROUP_LABEL_OTH, MENU_NAME, MENU_NAME_OTH, MENU_SEQ, MENU_PATH, MENU_ICON, MENU_PARENT, MENU_STATUS, MENU_DT_CREATE, MENU_UID_CREATE, MENU_DT_LUPD, MENU_UID_LUPD) </v>
      </c>
      <c r="N53" s="9" t="str">
        <f t="shared" si="8"/>
        <v xml:space="preserve"> VALUES('CKDO_MSA_060000','CKDO','System Administrations','System Administrations','System Administrations','System Administrations','60000',NULL,'settings',NULL,'A',NOW(),'SYS',NOW(),'SYS');</v>
      </c>
      <c r="O53" s="9" t="str">
        <f t="shared" si="3"/>
        <v>INSERT INTO T_CORE_MENU_EX (MENU_ID, MENU_APPS_CODE, MENU_GROUP_LABEL, MENU_GROUP_LABEL_OTH, MENU_NAME, MENU_NAME_OTH, MENU_SEQ, MENU_PATH, MENU_ICON, MENU_PARENT, MENU_STATUS, MENU_DT_CREATE, MENU_UID_CREATE, MENU_DT_LUPD, MENU_UID_LUPD)  VALUES('CKDO_MSA_060000','CKDO','System Administrations','System Administrations','System Administrations','System Administrations','60000',NULL,'settings',NULL,'A',NOW(),'SYS',NOW(),'SYS');</v>
      </c>
    </row>
    <row r="54" spans="1:15" x14ac:dyDescent="0.2">
      <c r="A54" s="9" t="s">
        <v>266</v>
      </c>
      <c r="B54" s="9" t="s">
        <v>30</v>
      </c>
      <c r="F54" s="9" t="s">
        <v>267</v>
      </c>
      <c r="G54" s="9" t="s">
        <v>267</v>
      </c>
      <c r="H54" s="9">
        <v>60100</v>
      </c>
      <c r="I54" s="9" t="s">
        <v>268</v>
      </c>
      <c r="J54" s="9" t="s">
        <v>125</v>
      </c>
      <c r="K54" s="9" t="s">
        <v>263</v>
      </c>
      <c r="L54" s="9" t="s">
        <v>7</v>
      </c>
      <c r="M54" s="9" t="str">
        <f t="shared" si="2"/>
        <v xml:space="preserve">INSERT INTO T_CORE_MENU_EX (MENU_ID, MENU_APPS_CODE, MENU_GROUP_LABEL, MENU_GROUP_LABEL_OTH, MENU_NAME, MENU_NAME_OTH, MENU_SEQ, MENU_PATH, MENU_ICON, MENU_PARENT, MENU_STATUS, MENU_DT_CREATE, MENU_UID_CREATE, MENU_DT_LUPD, MENU_UID_LUPD) </v>
      </c>
      <c r="N54" s="9" t="str">
        <f t="shared" si="8"/>
        <v xml:space="preserve"> VALUES('CKDO_MSA_060100','CKDO','','','Announcement Setup','Announcement Setup','60100','/configuration/announcement/list',NULL,'CKDO_MSA_060000','A',NOW(),'SYS',NOW(),'SYS');</v>
      </c>
      <c r="O54" s="9" t="str">
        <f t="shared" si="3"/>
        <v>INSERT INTO T_CORE_MENU_EX (MENU_ID, MENU_APPS_CODE, MENU_GROUP_LABEL, MENU_GROUP_LABEL_OTH, MENU_NAME, MENU_NAME_OTH, MENU_SEQ, MENU_PATH, MENU_ICON, MENU_PARENT, MENU_STATUS, MENU_DT_CREATE, MENU_UID_CREATE, MENU_DT_LUPD, MENU_UID_LUPD)  VALUES('CKDO_MSA_060100','CKDO','','','Announcement Setup','Announcement Setup','60100','/configuration/announcement/list',NULL,'CKDO_MSA_060000','A',NOW(),'SYS',NOW(),'SYS');</v>
      </c>
    </row>
    <row r="55" spans="1:15" x14ac:dyDescent="0.2">
      <c r="A55" s="9" t="s">
        <v>269</v>
      </c>
      <c r="B55" s="9" t="s">
        <v>30</v>
      </c>
      <c r="F55" s="9" t="s">
        <v>270</v>
      </c>
      <c r="G55" s="9" t="s">
        <v>270</v>
      </c>
      <c r="H55" s="9">
        <v>60200</v>
      </c>
      <c r="I55" s="9" t="s">
        <v>271</v>
      </c>
      <c r="J55" s="9" t="s">
        <v>125</v>
      </c>
      <c r="K55" s="9" t="s">
        <v>263</v>
      </c>
      <c r="L55" s="9" t="s">
        <v>7</v>
      </c>
      <c r="M55" s="9" t="str">
        <f t="shared" si="2"/>
        <v xml:space="preserve">INSERT INTO T_CORE_MENU_EX (MENU_ID, MENU_APPS_CODE, MENU_GROUP_LABEL, MENU_GROUP_LABEL_OTH, MENU_NAME, MENU_NAME_OTH, MENU_SEQ, MENU_PATH, MENU_ICON, MENU_PARENT, MENU_STATUS, MENU_DT_CREATE, MENU_UID_CREATE, MENU_DT_LUPD, MENU_UID_LUPD) </v>
      </c>
      <c r="N55" s="9" t="str">
        <f t="shared" si="8"/>
        <v xml:space="preserve"> VALUES('CKDO_MSA_060200','CKDO','','','Notification Preferences','Notification Preferences','60200','/configuration/notification/preferences/list',NULL,'CKDO_MSA_060000','A',NOW(),'SYS',NOW(),'SYS');</v>
      </c>
      <c r="O55" s="9" t="str">
        <f t="shared" si="3"/>
        <v>INSERT INTO T_CORE_MENU_EX (MENU_ID, MENU_APPS_CODE, MENU_GROUP_LABEL, MENU_GROUP_LABEL_OTH, MENU_NAME, MENU_NAME_OTH, MENU_SEQ, MENU_PATH, MENU_ICON, MENU_PARENT, MENU_STATUS, MENU_DT_CREATE, MENU_UID_CREATE, MENU_DT_LUPD, MENU_UID_LUPD)  VALUES('CKDO_MSA_060200','CKDO','','','Notification Preferences','Notification Preferences','60200','/configuration/notification/preferences/list',NULL,'CKDO_MSA_060000','A',NOW(),'SYS',NOW(),'SYS');</v>
      </c>
    </row>
    <row r="56" spans="1:15" x14ac:dyDescent="0.2">
      <c r="A56" s="9" t="s">
        <v>272</v>
      </c>
      <c r="B56" s="9" t="s">
        <v>30</v>
      </c>
      <c r="F56" s="9" t="s">
        <v>273</v>
      </c>
      <c r="G56" s="9" t="s">
        <v>273</v>
      </c>
      <c r="H56" s="9">
        <v>60300</v>
      </c>
      <c r="I56" s="9" t="s">
        <v>274</v>
      </c>
      <c r="J56" s="9" t="s">
        <v>125</v>
      </c>
      <c r="K56" s="9" t="s">
        <v>263</v>
      </c>
      <c r="L56" s="9" t="s">
        <v>7</v>
      </c>
      <c r="M56" s="9" t="str">
        <f t="shared" si="2"/>
        <v xml:space="preserve">INSERT INTO T_CORE_MENU_EX (MENU_ID, MENU_APPS_CODE, MENU_GROUP_LABEL, MENU_GROUP_LABEL_OTH, MENU_NAME, MENU_NAME_OTH, MENU_SEQ, MENU_PATH, MENU_ICON, MENU_PARENT, MENU_STATUS, MENU_DT_CREATE, MENU_UID_CREATE, MENU_DT_LUPD, MENU_UID_LUPD) </v>
      </c>
      <c r="N56" s="9" t="str">
        <f t="shared" si="8"/>
        <v xml:space="preserve"> VALUES('CKDO_MSA_060300','CKDO','','','System Parameters','System Parameters','60300','/administrations/sysparam/list',NULL,'CKDO_MSA_060000','A',NOW(),'SYS',NOW(),'SYS');</v>
      </c>
      <c r="O56" s="9" t="str">
        <f t="shared" si="3"/>
        <v>INSERT INTO T_CORE_MENU_EX (MENU_ID, MENU_APPS_CODE, MENU_GROUP_LABEL, MENU_GROUP_LABEL_OTH, MENU_NAME, MENU_NAME_OTH, MENU_SEQ, MENU_PATH, MENU_ICON, MENU_PARENT, MENU_STATUS, MENU_DT_CREATE, MENU_UID_CREATE, MENU_DT_LUPD, MENU_UID_LUPD)  VALUES('CKDO_MSA_060300','CKDO','','','System Parameters','System Parameters','60300','/administrations/sysparam/list',NULL,'CKDO_MSA_060000','A',NOW(),'SYS',NOW(),'SYS');</v>
      </c>
    </row>
    <row r="57" spans="1:15" x14ac:dyDescent="0.2">
      <c r="A57" s="9" t="s">
        <v>275</v>
      </c>
      <c r="B57" s="9" t="s">
        <v>30</v>
      </c>
      <c r="F57" s="9" t="s">
        <v>276</v>
      </c>
      <c r="G57" s="9" t="s">
        <v>276</v>
      </c>
      <c r="H57" s="9">
        <v>60400</v>
      </c>
      <c r="I57" s="9" t="s">
        <v>277</v>
      </c>
      <c r="J57" s="9" t="s">
        <v>125</v>
      </c>
      <c r="K57" s="9" t="s">
        <v>263</v>
      </c>
      <c r="L57" s="9" t="s">
        <v>7</v>
      </c>
      <c r="M57" s="9" t="str">
        <f t="shared" si="2"/>
        <v xml:space="preserve">INSERT INTO T_CORE_MENU_EX (MENU_ID, MENU_APPS_CODE, MENU_GROUP_LABEL, MENU_GROUP_LABEL_OTH, MENU_NAME, MENU_NAME_OTH, MENU_SEQ, MENU_PATH, MENU_ICON, MENU_PARENT, MENU_STATUS, MENU_DT_CREATE, MENU_UID_CREATE, MENU_DT_LUPD, MENU_UID_LUPD) </v>
      </c>
      <c r="N57" s="9" t="str">
        <f t="shared" si="8"/>
        <v xml:space="preserve"> VALUES('CKDO_MSA_060400','CKDO','','','Audit Logs','Audit Logs','60400','/administrations/audit/list',NULL,'CKDO_MSA_060000','A',NOW(),'SYS',NOW(),'SYS');</v>
      </c>
      <c r="O57" s="9" t="str">
        <f t="shared" si="3"/>
        <v>INSERT INTO T_CORE_MENU_EX (MENU_ID, MENU_APPS_CODE, MENU_GROUP_LABEL, MENU_GROUP_LABEL_OTH, MENU_NAME, MENU_NAME_OTH, MENU_SEQ, MENU_PATH, MENU_ICON, MENU_PARENT, MENU_STATUS, MENU_DT_CREATE, MENU_UID_CREATE, MENU_DT_LUPD, MENU_UID_LUPD)  VALUES('CKDO_MSA_060400','CKDO','','','Audit Logs','Audit Logs','60400','/administrations/audit/list',NULL,'CKDO_MSA_060000','A',NOW(),'SYS',NOW(),'SYS');</v>
      </c>
    </row>
    <row r="58" spans="1:15" x14ac:dyDescent="0.2">
      <c r="A58" s="9" t="s">
        <v>278</v>
      </c>
      <c r="B58" s="9" t="s">
        <v>30</v>
      </c>
      <c r="F58" s="9" t="s">
        <v>279</v>
      </c>
      <c r="G58" s="9" t="s">
        <v>279</v>
      </c>
      <c r="H58" s="9">
        <v>60500</v>
      </c>
      <c r="I58" s="9" t="s">
        <v>280</v>
      </c>
      <c r="J58" s="9" t="s">
        <v>125</v>
      </c>
      <c r="K58" s="9" t="s">
        <v>263</v>
      </c>
      <c r="L58" s="9" t="s">
        <v>7</v>
      </c>
      <c r="M58" s="9" t="str">
        <f t="shared" si="2"/>
        <v xml:space="preserve">INSERT INTO T_CORE_MENU_EX (MENU_ID, MENU_APPS_CODE, MENU_GROUP_LABEL, MENU_GROUP_LABEL_OTH, MENU_NAME, MENU_NAME_OTH, MENU_SEQ, MENU_PATH, MENU_ICON, MENU_PARENT, MENU_STATUS, MENU_DT_CREATE, MENU_UID_CREATE, MENU_DT_LUPD, MENU_UID_LUPD) </v>
      </c>
      <c r="N58" s="9" t="str">
        <f t="shared" si="8"/>
        <v xml:space="preserve"> VALUES('CKDO_MSA_060500','CKDO','','','Exceptions','Exceptions','60500','/administrations/exception/list',NULL,'CKDO_MSA_060000','A',NOW(),'SYS',NOW(),'SYS');</v>
      </c>
      <c r="O58" s="9" t="str">
        <f t="shared" si="3"/>
        <v>INSERT INTO T_CORE_MENU_EX (MENU_ID, MENU_APPS_CODE, MENU_GROUP_LABEL, MENU_GROUP_LABEL_OTH, MENU_NAME, MENU_NAME_OTH, MENU_SEQ, MENU_PATH, MENU_ICON, MENU_PARENT, MENU_STATUS, MENU_DT_CREATE, MENU_UID_CREATE, MENU_DT_LUPD, MENU_UID_LUPD)  VALUES('CKDO_MSA_060500','CKDO','','','Exceptions','Exceptions','60500','/administrations/exception/list',NULL,'CKDO_MSA_060000','A',NOW(),'SYS',NOW(),'SYS');</v>
      </c>
    </row>
    <row r="59" spans="1:15" s="38" customFormat="1" x14ac:dyDescent="0.2">
      <c r="A59" s="38" t="s">
        <v>281</v>
      </c>
      <c r="B59" s="38" t="s">
        <v>30</v>
      </c>
      <c r="F59" s="38" t="s">
        <v>282</v>
      </c>
      <c r="G59" s="38" t="s">
        <v>282</v>
      </c>
      <c r="H59" s="38">
        <v>60600</v>
      </c>
      <c r="I59" s="38" t="s">
        <v>283</v>
      </c>
      <c r="J59" s="38" t="s">
        <v>125</v>
      </c>
      <c r="K59" s="38" t="s">
        <v>263</v>
      </c>
      <c r="M59" s="38" t="str">
        <f t="shared" si="2"/>
        <v xml:space="preserve">INSERT INTO T_CORE_MENU_EX (MENU_ID, MENU_APPS_CODE, MENU_GROUP_LABEL, MENU_GROUP_LABEL_OTH, MENU_NAME, MENU_NAME_OTH, MENU_SEQ, MENU_PATH, MENU_ICON, MENU_PARENT, MENU_STATUS, MENU_DT_CREATE, MENU_UID_CREATE, MENU_DT_LUPD, MENU_UID_LUPD) </v>
      </c>
      <c r="N59" s="38" t="str">
        <f t="shared" si="8"/>
        <v xml:space="preserve"> VALUES('CKDO_MSA_060600','CKDO','','','Manage All Users','Manage All Users','60600','/manageUsers/users/all/list',NULL,'CKDO_MSA_060000','A',NOW(),'SYS',NOW(),'SYS');</v>
      </c>
      <c r="O59" s="38" t="str">
        <f t="shared" si="3"/>
        <v>INSERT INTO T_CORE_MENU_EX (MENU_ID, MENU_APPS_CODE, MENU_GROUP_LABEL, MENU_GROUP_LABEL_OTH, MENU_NAME, MENU_NAME_OTH, MENU_SEQ, MENU_PATH, MENU_ICON, MENU_PARENT, MENU_STATUS, MENU_DT_CREATE, MENU_UID_CREATE, MENU_DT_LUPD, MENU_UID_LUPD)  VALUES('CKDO_MSA_060600','CKDO','','','Manage All Users','Manage All Users','60600','/manageUsers/users/all/list',NULL,'CKDO_MSA_060000','A',NOW(),'SYS',NOW(),'SYS');</v>
      </c>
    </row>
    <row r="60" spans="1:15" s="38" customFormat="1" x14ac:dyDescent="0.2">
      <c r="A60" s="38" t="s">
        <v>284</v>
      </c>
      <c r="B60" s="38" t="s">
        <v>30</v>
      </c>
      <c r="F60" s="38" t="s">
        <v>285</v>
      </c>
      <c r="G60" s="38" t="s">
        <v>285</v>
      </c>
      <c r="H60" s="38">
        <v>60700</v>
      </c>
      <c r="I60" s="38" t="s">
        <v>188</v>
      </c>
      <c r="J60" s="38" t="s">
        <v>125</v>
      </c>
      <c r="K60" s="38" t="s">
        <v>263</v>
      </c>
      <c r="L60" s="38" t="s">
        <v>7</v>
      </c>
      <c r="M60" s="38" t="str">
        <f t="shared" si="2"/>
        <v xml:space="preserve">INSERT INTO T_CORE_MENU_EX (MENU_ID, MENU_APPS_CODE, MENU_GROUP_LABEL, MENU_GROUP_LABEL_OTH, MENU_NAME, MENU_NAME_OTH, MENU_SEQ, MENU_PATH, MENU_ICON, MENU_PARENT, MENU_STATUS, MENU_DT_CREATE, MENU_UID_CREATE, MENU_DT_LUPD, MENU_UID_LUPD) </v>
      </c>
      <c r="N60" s="38" t="str">
        <f t="shared" si="8"/>
        <v xml:space="preserve"> VALUES('CKDO_MSA_060700','CKDO','','','Manage All Accounts','Manage All Accounts','60700','/manageAccounts/all/list',NULL,'CKDO_MSA_060000','A',NOW(),'SYS',NOW(),'SYS');</v>
      </c>
      <c r="O60" s="38" t="str">
        <f t="shared" si="3"/>
        <v>INSERT INTO T_CORE_MENU_EX (MENU_ID, MENU_APPS_CODE, MENU_GROUP_LABEL, MENU_GROUP_LABEL_OTH, MENU_NAME, MENU_NAME_OTH, MENU_SEQ, MENU_PATH, MENU_ICON, MENU_PARENT, MENU_STATUS, MENU_DT_CREATE, MENU_UID_CREATE, MENU_DT_LUPD, MENU_UID_LUPD)  VALUES('CKDO_MSA_060700','CKDO','','','Manage All Accounts','Manage All Accounts','60700','/manageAccounts/all/list',NULL,'CKDO_MSA_060000','A',NOW(),'SYS',NOW(),'SYS');</v>
      </c>
    </row>
    <row r="61" spans="1:15" x14ac:dyDescent="0.2">
      <c r="A61" s="9" t="s">
        <v>286</v>
      </c>
      <c r="B61" s="9" t="s">
        <v>30</v>
      </c>
      <c r="D61" s="9" t="s">
        <v>287</v>
      </c>
      <c r="E61" s="9" t="s">
        <v>287</v>
      </c>
      <c r="F61" s="9" t="s">
        <v>287</v>
      </c>
      <c r="G61" s="9" t="s">
        <v>287</v>
      </c>
      <c r="H61" s="9">
        <v>10000</v>
      </c>
      <c r="I61" s="9" t="s">
        <v>128</v>
      </c>
      <c r="J61" s="9" t="s">
        <v>129</v>
      </c>
      <c r="K61" s="9" t="s">
        <v>125</v>
      </c>
      <c r="L61" s="9" t="s">
        <v>7</v>
      </c>
      <c r="M61" s="9" t="str">
        <f t="shared" ref="M61:M69" si="12">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61" s="9" t="str">
        <f t="shared" si="8"/>
        <v xml:space="preserve"> VALUES('CKDO_MS_010000','CKDO','DO Claim','DO Claim','DO Claim','DO Claim','10000','/','grid_view',NULL,'A',NOW(),'SYS',NOW(),'SYS');</v>
      </c>
      <c r="O61" s="9" t="str">
        <f t="shared" si="3"/>
        <v>INSERT INTO T_CORE_MENU_EX (MENU_ID, MENU_APPS_CODE, MENU_GROUP_LABEL, MENU_GROUP_LABEL_OTH, MENU_NAME, MENU_NAME_OTH, MENU_SEQ, MENU_PATH, MENU_ICON, MENU_PARENT, MENU_STATUS, MENU_DT_CREATE, MENU_UID_CREATE, MENU_DT_LUPD, MENU_UID_LUPD)  VALUES('CKDO_MS_010000','CKDO','DO Claim','DO Claim','DO Claim','DO Claim','10000','/','grid_view',NULL,'A',NOW(),'SYS',NOW(),'SYS');</v>
      </c>
    </row>
    <row r="62" spans="1:15" x14ac:dyDescent="0.2">
      <c r="A62" s="9" t="s">
        <v>288</v>
      </c>
      <c r="B62" s="9" t="s">
        <v>30</v>
      </c>
      <c r="D62" s="9" t="s">
        <v>289</v>
      </c>
      <c r="E62" s="9" t="s">
        <v>289</v>
      </c>
      <c r="F62" s="9" t="s">
        <v>289</v>
      </c>
      <c r="G62" s="9" t="s">
        <v>289</v>
      </c>
      <c r="H62" s="9">
        <v>20000</v>
      </c>
      <c r="I62" s="9" t="s">
        <v>128</v>
      </c>
      <c r="J62" s="9" t="s">
        <v>290</v>
      </c>
      <c r="K62" s="9" t="s">
        <v>125</v>
      </c>
      <c r="L62" s="9" t="s">
        <v>7</v>
      </c>
      <c r="M62" s="9" t="str">
        <f t="shared" si="12"/>
        <v xml:space="preserve">INSERT INTO T_CORE_MENU_EX (MENU_ID, MENU_APPS_CODE, MENU_GROUP_LABEL, MENU_GROUP_LABEL_OTH, MENU_NAME, MENU_NAME_OTH, MENU_SEQ, MENU_PATH, MENU_ICON, MENU_PARENT, MENU_STATUS, MENU_DT_CREATE, MENU_UID_CREATE, MENU_DT_LUPD, MENU_UID_LUPD) </v>
      </c>
      <c r="N62" s="9" t="str">
        <f t="shared" si="8"/>
        <v xml:space="preserve"> VALUES('CKDO_MS_020000','CKDO','Documents','Documents','Documents','Documents','20000','/','content_copy',NULL,'A',NOW(),'SYS',NOW(),'SYS');</v>
      </c>
      <c r="O62" s="9" t="str">
        <f t="shared" si="3"/>
        <v>INSERT INTO T_CORE_MENU_EX (MENU_ID, MENU_APPS_CODE, MENU_GROUP_LABEL, MENU_GROUP_LABEL_OTH, MENU_NAME, MENU_NAME_OTH, MENU_SEQ, MENU_PATH, MENU_ICON, MENU_PARENT, MENU_STATUS, MENU_DT_CREATE, MENU_UID_CREATE, MENU_DT_LUPD, MENU_UID_LUPD)  VALUES('CKDO_MS_020000','CKDO','Documents','Documents','Documents','Documents','20000','/','content_copy',NULL,'A',NOW(),'SYS',NOW(),'SYS');</v>
      </c>
    </row>
    <row r="63" spans="1:15" x14ac:dyDescent="0.2">
      <c r="A63" s="9" t="s">
        <v>291</v>
      </c>
      <c r="B63" s="9" t="s">
        <v>30</v>
      </c>
      <c r="D63" s="9" t="s">
        <v>292</v>
      </c>
      <c r="E63" s="9" t="s">
        <v>292</v>
      </c>
      <c r="F63" s="9" t="s">
        <v>292</v>
      </c>
      <c r="G63" s="9" t="s">
        <v>292</v>
      </c>
      <c r="H63" s="9">
        <v>50000</v>
      </c>
      <c r="I63" s="9" t="s">
        <v>125</v>
      </c>
      <c r="J63" s="9" t="s">
        <v>293</v>
      </c>
      <c r="K63" s="9" t="s">
        <v>125</v>
      </c>
      <c r="L63" s="9" t="s">
        <v>7</v>
      </c>
      <c r="M63" s="9" t="str">
        <f t="shared" si="12"/>
        <v xml:space="preserve">INSERT INTO T_CORE_MENU_EX (MENU_ID, MENU_APPS_CODE, MENU_GROUP_LABEL, MENU_GROUP_LABEL_OTH, MENU_NAME, MENU_NAME_OTH, MENU_SEQ, MENU_PATH, MENU_ICON, MENU_PARENT, MENU_STATUS, MENU_DT_CREATE, MENU_UID_CREATE, MENU_DT_LUPD, MENU_UID_LUPD) </v>
      </c>
      <c r="N63" s="9" t="str">
        <f t="shared" si="8"/>
        <v xml:space="preserve"> VALUES('CKDO_MT_050000','CKDO','Master Table','Master Table','Master Table','Master Table','50000',NULL,'table_view',NULL,'A',NOW(),'SYS',NOW(),'SYS');</v>
      </c>
      <c r="O63" s="9" t="str">
        <f t="shared" si="3"/>
        <v>INSERT INTO T_CORE_MENU_EX (MENU_ID, MENU_APPS_CODE, MENU_GROUP_LABEL, MENU_GROUP_LABEL_OTH, MENU_NAME, MENU_NAME_OTH, MENU_SEQ, MENU_PATH, MENU_ICON, MENU_PARENT, MENU_STATUS, MENU_DT_CREATE, MENU_UID_CREATE, MENU_DT_LUPD, MENU_UID_LUPD)  VALUES('CKDO_MT_050000','CKDO','Master Table','Master Table','Master Table','Master Table','50000',NULL,'table_view',NULL,'A',NOW(),'SYS',NOW(),'SYS');</v>
      </c>
    </row>
    <row r="64" spans="1:15" x14ac:dyDescent="0.2">
      <c r="A64" s="9" t="s">
        <v>294</v>
      </c>
      <c r="B64" s="9" t="s">
        <v>30</v>
      </c>
      <c r="F64" s="9" t="s">
        <v>295</v>
      </c>
      <c r="G64" s="9" t="s">
        <v>295</v>
      </c>
      <c r="H64" s="9">
        <v>50100</v>
      </c>
      <c r="I64" s="9" t="s">
        <v>296</v>
      </c>
      <c r="J64" s="9" t="s">
        <v>125</v>
      </c>
      <c r="K64" s="9" t="s">
        <v>291</v>
      </c>
      <c r="L64" s="9" t="s">
        <v>7</v>
      </c>
      <c r="M64" s="9" t="str">
        <f t="shared" si="12"/>
        <v xml:space="preserve">INSERT INTO T_CORE_MENU_EX (MENU_ID, MENU_APPS_CODE, MENU_GROUP_LABEL, MENU_GROUP_LABEL_OTH, MENU_NAME, MENU_NAME_OTH, MENU_SEQ, MENU_PATH, MENU_ICON, MENU_PARENT, MENU_STATUS, MENU_DT_CREATE, MENU_UID_CREATE, MENU_DT_LUPD, MENU_UID_LUPD) </v>
      </c>
      <c r="N64" s="9" t="str">
        <f t="shared" si="8"/>
        <v xml:space="preserve"> VALUES('CKDO_MT_050100','CKDO','','','Announcement Type','Announcement Type','50100','/configuration/announcementType/list',NULL,'CKDO_MT_050000','A',NOW(),'SYS',NOW(),'SYS');</v>
      </c>
      <c r="O64" s="9" t="str">
        <f t="shared" si="3"/>
        <v>INSERT INTO T_CORE_MENU_EX (MENU_ID, MENU_APPS_CODE, MENU_GROUP_LABEL, MENU_GROUP_LABEL_OTH, MENU_NAME, MENU_NAME_OTH, MENU_SEQ, MENU_PATH, MENU_ICON, MENU_PARENT, MENU_STATUS, MENU_DT_CREATE, MENU_UID_CREATE, MENU_DT_LUPD, MENU_UID_LUPD)  VALUES('CKDO_MT_050100','CKDO','','','Announcement Type','Announcement Type','50100','/configuration/announcementType/list',NULL,'CKDO_MT_050000','A',NOW(),'SYS',NOW(),'SYS');</v>
      </c>
    </row>
    <row r="65" spans="1:15" x14ac:dyDescent="0.2">
      <c r="A65" s="9" t="s">
        <v>297</v>
      </c>
      <c r="B65" s="9" t="s">
        <v>30</v>
      </c>
      <c r="F65" s="9" t="s">
        <v>298</v>
      </c>
      <c r="G65" s="9" t="s">
        <v>298</v>
      </c>
      <c r="H65" s="9">
        <v>50200</v>
      </c>
      <c r="I65" s="9" t="s">
        <v>299</v>
      </c>
      <c r="J65" s="9" t="s">
        <v>125</v>
      </c>
      <c r="K65" s="9" t="s">
        <v>291</v>
      </c>
      <c r="L65" s="9" t="s">
        <v>7</v>
      </c>
      <c r="M65" s="9" t="str">
        <f t="shared" si="12"/>
        <v xml:space="preserve">INSERT INTO T_CORE_MENU_EX (MENU_ID, MENU_APPS_CODE, MENU_GROUP_LABEL, MENU_GROUP_LABEL_OTH, MENU_NAME, MENU_NAME_OTH, MENU_SEQ, MENU_PATH, MENU_ICON, MENU_PARENT, MENU_STATUS, MENU_DT_CREATE, MENU_UID_CREATE, MENU_DT_LUPD, MENU_UID_LUPD) </v>
      </c>
      <c r="N65" s="9" t="str">
        <f t="shared" si="8"/>
        <v xml:space="preserve"> VALUES('CKDO_MT_050200','CKDO','','','Country Codes','Country Codes','50200','/master/country/list',NULL,'CKDO_MT_050000','A',NOW(),'SYS',NOW(),'SYS');</v>
      </c>
      <c r="O65" s="9" t="str">
        <f t="shared" si="3"/>
        <v>INSERT INTO T_CORE_MENU_EX (MENU_ID, MENU_APPS_CODE, MENU_GROUP_LABEL, MENU_GROUP_LABEL_OTH, MENU_NAME, MENU_NAME_OTH, MENU_SEQ, MENU_PATH, MENU_ICON, MENU_PARENT, MENU_STATUS, MENU_DT_CREATE, MENU_UID_CREATE, MENU_DT_LUPD, MENU_UID_LUPD)  VALUES('CKDO_MT_050200','CKDO','','','Country Codes','Country Codes','50200','/master/country/list',NULL,'CKDO_MT_050000','A',NOW(),'SYS',NOW(),'SYS');</v>
      </c>
    </row>
    <row r="66" spans="1:15" x14ac:dyDescent="0.2">
      <c r="A66" s="9" t="s">
        <v>300</v>
      </c>
      <c r="B66" s="9" t="s">
        <v>30</v>
      </c>
      <c r="F66" s="9" t="s">
        <v>301</v>
      </c>
      <c r="G66" s="9" t="s">
        <v>301</v>
      </c>
      <c r="H66" s="9">
        <v>50300</v>
      </c>
      <c r="I66" s="9" t="s">
        <v>302</v>
      </c>
      <c r="J66" s="9" t="s">
        <v>125</v>
      </c>
      <c r="K66" s="9" t="s">
        <v>291</v>
      </c>
      <c r="L66" s="9" t="s">
        <v>7</v>
      </c>
      <c r="M66" s="9" t="str">
        <f t="shared" si="12"/>
        <v xml:space="preserve">INSERT INTO T_CORE_MENU_EX (MENU_ID, MENU_APPS_CODE, MENU_GROUP_LABEL, MENU_GROUP_LABEL_OTH, MENU_NAME, MENU_NAME_OTH, MENU_SEQ, MENU_PATH, MENU_ICON, MENU_PARENT, MENU_STATUS, MENU_DT_CREATE, MENU_UID_CREATE, MENU_DT_LUPD, MENU_UID_LUPD) </v>
      </c>
      <c r="N66" s="9" t="str">
        <f t="shared" si="8"/>
        <v xml:space="preserve"> VALUES('CKDO_MT_050300','CKDO','','','Currency Code','Currency Code','50300','/master/currency/list',NULL,'CKDO_MT_050000','A',NOW(),'SYS',NOW(),'SYS');</v>
      </c>
      <c r="O66" s="9" t="str">
        <f t="shared" si="3"/>
        <v>INSERT INTO T_CORE_MENU_EX (MENU_ID, MENU_APPS_CODE, MENU_GROUP_LABEL, MENU_GROUP_LABEL_OTH, MENU_NAME, MENU_NAME_OTH, MENU_SEQ, MENU_PATH, MENU_ICON, MENU_PARENT, MENU_STATUS, MENU_DT_CREATE, MENU_UID_CREATE, MENU_DT_LUPD, MENU_UID_LUPD)  VALUES('CKDO_MT_050300','CKDO','','','Currency Code','Currency Code','50300','/master/currency/list',NULL,'CKDO_MT_050000','A',NOW(),'SYS',NOW(),'SYS');</v>
      </c>
    </row>
    <row r="67" spans="1:15" x14ac:dyDescent="0.2">
      <c r="A67" s="9" t="s">
        <v>303</v>
      </c>
      <c r="B67" s="9" t="s">
        <v>30</v>
      </c>
      <c r="F67" s="9" t="s">
        <v>304</v>
      </c>
      <c r="G67" s="9" t="s">
        <v>304</v>
      </c>
      <c r="H67" s="9">
        <v>50400</v>
      </c>
      <c r="I67" s="9" t="s">
        <v>305</v>
      </c>
      <c r="J67" s="9" t="s">
        <v>125</v>
      </c>
      <c r="K67" s="9" t="s">
        <v>291</v>
      </c>
      <c r="L67" s="9" t="s">
        <v>7</v>
      </c>
      <c r="M67" s="9" t="str">
        <f t="shared" si="12"/>
        <v xml:space="preserve">INSERT INTO T_CORE_MENU_EX (MENU_ID, MENU_APPS_CODE, MENU_GROUP_LABEL, MENU_GROUP_LABEL_OTH, MENU_NAME, MENU_NAME_OTH, MENU_SEQ, MENU_PATH, MENU_ICON, MENU_PARENT, MENU_STATUS, MENU_DT_CREATE, MENU_UID_CREATE, MENU_DT_LUPD, MENU_UID_LUPD) </v>
      </c>
      <c r="N67" s="9" t="str">
        <f t="shared" si="8"/>
        <v xml:space="preserve"> VALUES('CKDO_MT_050400','CKDO','','','Harmonized System Codes','Harmonized System Codes','50400','/master/hsCode/list',NULL,'CKDO_MT_050000','A',NOW(),'SYS',NOW(),'SYS');</v>
      </c>
      <c r="O67" s="9" t="str">
        <f t="shared" ref="O67:O90" si="13">CONCATENATE(M67,N67)</f>
        <v>INSERT INTO T_CORE_MENU_EX (MENU_ID, MENU_APPS_CODE, MENU_GROUP_LABEL, MENU_GROUP_LABEL_OTH, MENU_NAME, MENU_NAME_OTH, MENU_SEQ, MENU_PATH, MENU_ICON, MENU_PARENT, MENU_STATUS, MENU_DT_CREATE, MENU_UID_CREATE, MENU_DT_LUPD, MENU_UID_LUPD)  VALUES('CKDO_MT_050400','CKDO','','','Harmonized System Codes','Harmonized System Codes','50400','/master/hsCode/list',NULL,'CKDO_MT_050000','A',NOW(),'SYS',NOW(),'SYS');</v>
      </c>
    </row>
    <row r="68" spans="1:15" x14ac:dyDescent="0.2">
      <c r="A68" s="9" t="s">
        <v>306</v>
      </c>
      <c r="B68" s="9" t="s">
        <v>30</v>
      </c>
      <c r="F68" s="9" t="s">
        <v>307</v>
      </c>
      <c r="G68" s="9" t="s">
        <v>307</v>
      </c>
      <c r="H68" s="9">
        <v>50500</v>
      </c>
      <c r="I68" s="9" t="s">
        <v>308</v>
      </c>
      <c r="J68" s="9" t="s">
        <v>125</v>
      </c>
      <c r="K68" s="9" t="s">
        <v>291</v>
      </c>
      <c r="L68" s="9" t="s">
        <v>7</v>
      </c>
      <c r="M68" s="9" t="str">
        <f t="shared" si="12"/>
        <v xml:space="preserve">INSERT INTO T_CORE_MENU_EX (MENU_ID, MENU_APPS_CODE, MENU_GROUP_LABEL, MENU_GROUP_LABEL_OTH, MENU_NAME, MENU_NAME_OTH, MENU_SEQ, MENU_PATH, MENU_ICON, MENU_PARENT, MENU_STATUS, MENU_DT_CREATE, MENU_UID_CREATE, MENU_DT_LUPD, MENU_UID_LUPD) </v>
      </c>
      <c r="N68" s="9" t="str">
        <f t="shared" si="8"/>
        <v xml:space="preserve"> VALUES('CKDO_MT_050500','CKDO','','','Notification Templates','Notification Templates','50500','/notification/templates/list',NULL,'CKDO_MT_050000','A',NOW(),'SYS',NOW(),'SYS');</v>
      </c>
      <c r="O68" s="9" t="str">
        <f t="shared" si="13"/>
        <v>INSERT INTO T_CORE_MENU_EX (MENU_ID, MENU_APPS_CODE, MENU_GROUP_LABEL, MENU_GROUP_LABEL_OTH, MENU_NAME, MENU_NAME_OTH, MENU_SEQ, MENU_PATH, MENU_ICON, MENU_PARENT, MENU_STATUS, MENU_DT_CREATE, MENU_UID_CREATE, MENU_DT_LUPD, MENU_UID_LUPD)  VALUES('CKDO_MT_050500','CKDO','','','Notification Templates','Notification Templates','50500','/notification/templates/list',NULL,'CKDO_MT_050000','A',NOW(),'SYS',NOW(),'SYS');</v>
      </c>
    </row>
    <row r="69" spans="1:15" x14ac:dyDescent="0.2">
      <c r="A69" s="9" t="s">
        <v>309</v>
      </c>
      <c r="B69" s="9" t="s">
        <v>30</v>
      </c>
      <c r="F69" s="9" t="s">
        <v>310</v>
      </c>
      <c r="G69" s="9" t="s">
        <v>310</v>
      </c>
      <c r="H69" s="9">
        <v>50600</v>
      </c>
      <c r="I69" s="9" t="s">
        <v>311</v>
      </c>
      <c r="J69" s="9" t="s">
        <v>125</v>
      </c>
      <c r="K69" s="9" t="s">
        <v>291</v>
      </c>
      <c r="M69" s="9" t="str">
        <f t="shared" si="12"/>
        <v xml:space="preserve">INSERT INTO T_CORE_MENU_EX (MENU_ID, MENU_APPS_CODE, MENU_GROUP_LABEL, MENU_GROUP_LABEL_OTH, MENU_NAME, MENU_NAME_OTH, MENU_SEQ, MENU_PATH, MENU_ICON, MENU_PARENT, MENU_STATUS, MENU_DT_CREATE, MENU_UID_CREATE, MENU_DT_LUPD, MENU_UID_LUPD) </v>
      </c>
      <c r="N69" s="9" t="str">
        <f t="shared" si="8"/>
        <v xml:space="preserve"> VALUES('CKDO_MT_050600','CKDO','','','Port Codes','Port Codes','50600','/master/port/list',NULL,'CKDO_MT_050000','A',NOW(),'SYS',NOW(),'SYS');</v>
      </c>
      <c r="O69" s="9" t="str">
        <f t="shared" si="13"/>
        <v>INSERT INTO T_CORE_MENU_EX (MENU_ID, MENU_APPS_CODE, MENU_GROUP_LABEL, MENU_GROUP_LABEL_OTH, MENU_NAME, MENU_NAME_OTH, MENU_SEQ, MENU_PATH, MENU_ICON, MENU_PARENT, MENU_STATUS, MENU_DT_CREATE, MENU_UID_CREATE, MENU_DT_LUPD, MENU_UID_LUPD)  VALUES('CKDO_MT_050600','CKDO','','','Port Codes','Port Codes','50600','/master/port/list',NULL,'CKDO_MT_050000','A',NOW(),'SYS',NOW(),'SYS');</v>
      </c>
    </row>
    <row r="70" spans="1:15" x14ac:dyDescent="0.2">
      <c r="A70" s="9" t="s">
        <v>312</v>
      </c>
      <c r="B70" s="9" t="s">
        <v>30</v>
      </c>
      <c r="F70" s="9" t="s">
        <v>313</v>
      </c>
      <c r="G70" s="9" t="s">
        <v>313</v>
      </c>
      <c r="H70" s="9">
        <v>50700</v>
      </c>
      <c r="I70" s="9" t="s">
        <v>314</v>
      </c>
      <c r="J70" s="9" t="s">
        <v>125</v>
      </c>
      <c r="K70" s="9" t="s">
        <v>291</v>
      </c>
      <c r="M70" s="9" t="str">
        <f t="shared" si="0"/>
        <v xml:space="preserve">INSERT INTO T_CORE_MENU_EX (MENU_ID, MENU_APPS_CODE, MENU_GROUP_LABEL, MENU_GROUP_LABEL_OTH, MENU_NAME, MENU_NAME_OTH, MENU_SEQ, MENU_PATH, MENU_ICON, MENU_PARENT, MENU_STATUS, MENU_DT_CREATE, MENU_UID_CREATE, MENU_DT_LUPD, MENU_UID_LUPD) </v>
      </c>
      <c r="N70" s="9" t="str">
        <f t="shared" si="8"/>
        <v xml:space="preserve"> VALUES('CKDO_MT_050700','CKDO','','','Port Terminal','Port Terminal','50700','/master/portTerminal/list',NULL,'CKDO_MT_050000','A',NOW(),'SYS',NOW(),'SYS');</v>
      </c>
      <c r="O70" s="9" t="str">
        <f t="shared" si="13"/>
        <v>INSERT INTO T_CORE_MENU_EX (MENU_ID, MENU_APPS_CODE, MENU_GROUP_LABEL, MENU_GROUP_LABEL_OTH, MENU_NAME, MENU_NAME_OTH, MENU_SEQ, MENU_PATH, MENU_ICON, MENU_PARENT, MENU_STATUS, MENU_DT_CREATE, MENU_UID_CREATE, MENU_DT_LUPD, MENU_UID_LUPD)  VALUES('CKDO_MT_050700','CKDO','','','Port Terminal','Port Terminal','50700','/master/portTerminal/list',NULL,'CKDO_MT_050000','A',NOW(),'SYS',NOW(),'SYS');</v>
      </c>
    </row>
    <row r="71" spans="1:15" x14ac:dyDescent="0.2">
      <c r="A71" s="9" t="s">
        <v>315</v>
      </c>
      <c r="B71" s="9" t="s">
        <v>30</v>
      </c>
      <c r="F71" s="9" t="s">
        <v>316</v>
      </c>
      <c r="G71" s="9" t="s">
        <v>316</v>
      </c>
      <c r="H71" s="9">
        <v>50800</v>
      </c>
      <c r="I71" s="9" t="s">
        <v>317</v>
      </c>
      <c r="J71" s="9" t="s">
        <v>125</v>
      </c>
      <c r="K71" s="9" t="s">
        <v>291</v>
      </c>
      <c r="M71" s="9" t="str">
        <f t="shared" si="0"/>
        <v xml:space="preserve">INSERT INTO T_CORE_MENU_EX (MENU_ID, MENU_APPS_CODE, MENU_GROUP_LABEL, MENU_GROUP_LABEL_OTH, MENU_NAME, MENU_NAME_OTH, MENU_SEQ, MENU_PATH, MENU_ICON, MENU_PARENT, MENU_STATUS, MENU_DT_CREATE, MENU_UID_CREATE, MENU_DT_LUPD, MENU_UID_LUPD) </v>
      </c>
      <c r="N71" s="9" t="str">
        <f t="shared" si="8"/>
        <v xml:space="preserve"> VALUES('CKDO_MT_050800','CKDO','','','UOM Codes','UOM Codes','50800','/master/uom/list',NULL,'CKDO_MT_050000','A',NOW(),'SYS',NOW(),'SYS');</v>
      </c>
      <c r="O71" s="9" t="str">
        <f t="shared" si="13"/>
        <v>INSERT INTO T_CORE_MENU_EX (MENU_ID, MENU_APPS_CODE, MENU_GROUP_LABEL, MENU_GROUP_LABEL_OTH, MENU_NAME, MENU_NAME_OTH, MENU_SEQ, MENU_PATH, MENU_ICON, MENU_PARENT, MENU_STATUS, MENU_DT_CREATE, MENU_UID_CREATE, MENU_DT_LUPD, MENU_UID_LUPD)  VALUES('CKDO_MT_050800','CKDO','','','UOM Codes','UOM Codes','50800','/master/uom/list',NULL,'CKDO_MT_050000','A',NOW(),'SYS',NOW(),'SYS');</v>
      </c>
    </row>
    <row r="72" spans="1:15" x14ac:dyDescent="0.2">
      <c r="A72" s="9" t="s">
        <v>318</v>
      </c>
      <c r="B72" s="9" t="s">
        <v>30</v>
      </c>
      <c r="D72" s="9" t="s">
        <v>122</v>
      </c>
      <c r="E72" s="9" t="s">
        <v>122</v>
      </c>
      <c r="F72" s="9" t="s">
        <v>122</v>
      </c>
      <c r="G72" s="9" t="s">
        <v>122</v>
      </c>
      <c r="H72" s="9">
        <v>80000</v>
      </c>
      <c r="I72" s="9" t="s">
        <v>123</v>
      </c>
      <c r="J72" s="9" t="s">
        <v>124</v>
      </c>
      <c r="K72" s="9" t="s">
        <v>125</v>
      </c>
      <c r="L72" s="9" t="s">
        <v>7</v>
      </c>
      <c r="M72" s="9" t="str">
        <f t="shared" si="0"/>
        <v xml:space="preserve">INSERT INTO T_CORE_MENU_EX (MENU_ID, MENU_APPS_CODE, MENU_GROUP_LABEL, MENU_GROUP_LABEL_OTH, MENU_NAME, MENU_NAME_OTH, MENU_SEQ, MENU_PATH, MENU_ICON, MENU_PARENT, MENU_STATUS, MENU_DT_CREATE, MENU_UID_CREATE, MENU_DT_LUPD, MENU_UID_LUPD) </v>
      </c>
      <c r="N72" s="9" t="str">
        <f t="shared" si="8"/>
        <v xml:space="preserve"> VALUES('CKDO_MH_080000','CKDO','Help','Help','Help','Help','80000','/help','help',NULL,'A',NOW(),'SYS',NOW(),'SYS');</v>
      </c>
      <c r="O72" s="9" t="str">
        <f t="shared" si="13"/>
        <v>INSERT INTO T_CORE_MENU_EX (MENU_ID, MENU_APPS_CODE, MENU_GROUP_LABEL, MENU_GROUP_LABEL_OTH, MENU_NAME, MENU_NAME_OTH, MENU_SEQ, MENU_PATH, MENU_ICON, MENU_PARENT, MENU_STATUS, MENU_DT_CREATE, MENU_UID_CREATE, MENU_DT_LUPD, MENU_UID_LUPD)  VALUES('CKDO_MH_080000','CKDO','Help','Help','Help','Help','80000','/help','help',NULL,'A',NOW(),'SYS',NOW(),'SYS');</v>
      </c>
    </row>
    <row r="73" spans="1:15" x14ac:dyDescent="0.2">
      <c r="A73" s="9" t="s">
        <v>319</v>
      </c>
      <c r="B73" s="9" t="s">
        <v>30</v>
      </c>
      <c r="D73" s="9" t="s">
        <v>320</v>
      </c>
      <c r="E73" s="9" t="s">
        <v>320</v>
      </c>
      <c r="F73" s="9" t="s">
        <v>320</v>
      </c>
      <c r="G73" s="9" t="s">
        <v>320</v>
      </c>
      <c r="H73" s="9">
        <v>30000</v>
      </c>
      <c r="I73" s="9" t="s">
        <v>321</v>
      </c>
      <c r="J73" s="9" t="s">
        <v>262</v>
      </c>
      <c r="K73" s="9" t="s">
        <v>125</v>
      </c>
      <c r="L73" s="9" t="s">
        <v>7</v>
      </c>
      <c r="M73" s="9" t="str">
        <f t="shared" si="0"/>
        <v xml:space="preserve">INSERT INTO T_CORE_MENU_EX (MENU_ID, MENU_APPS_CODE, MENU_GROUP_LABEL, MENU_GROUP_LABEL_OTH, MENU_NAME, MENU_NAME_OTH, MENU_SEQ, MENU_PATH, MENU_ICON, MENU_PARENT, MENU_STATUS, MENU_DT_CREATE, MENU_UID_CREATE, MENU_DT_LUPD, MENU_UID_LUPD) </v>
      </c>
      <c r="N73" s="9" t="str">
        <f t="shared" si="8"/>
        <v xml:space="preserve"> VALUES('CKDO_MS_030000','CKDO','DO Extension Payment','DO Extension Payment','DO Extension Payment','DO Extension Payment','30000','/applications/invoices/ext','receipt',NULL,'A',NOW(),'SYS',NOW(),'SYS');</v>
      </c>
      <c r="O73" s="9" t="str">
        <f t="shared" si="13"/>
        <v>INSERT INTO T_CORE_MENU_EX (MENU_ID, MENU_APPS_CODE, MENU_GROUP_LABEL, MENU_GROUP_LABEL_OTH, MENU_NAME, MENU_NAME_OTH, MENU_SEQ, MENU_PATH, MENU_ICON, MENU_PARENT, MENU_STATUS, MENU_DT_CREATE, MENU_UID_CREATE, MENU_DT_LUPD, MENU_UID_LUPD)  VALUES('CKDO_MS_030000','CKDO','DO Extension Payment','DO Extension Payment','DO Extension Payment','DO Extension Payment','30000','/applications/invoices/ext','receipt',NULL,'A',NOW(),'SYS',NOW(),'SYS');</v>
      </c>
    </row>
    <row r="74" spans="1:15" x14ac:dyDescent="0.2">
      <c r="A74" s="9" t="s">
        <v>322</v>
      </c>
      <c r="B74" s="9" t="s">
        <v>30</v>
      </c>
      <c r="D74" s="9" t="s">
        <v>323</v>
      </c>
      <c r="E74" s="9" t="s">
        <v>323</v>
      </c>
      <c r="F74" s="9" t="s">
        <v>323</v>
      </c>
      <c r="G74" s="9" t="s">
        <v>323</v>
      </c>
      <c r="H74" s="9">
        <v>40000</v>
      </c>
      <c r="I74" s="9" t="s">
        <v>324</v>
      </c>
      <c r="J74" s="9" t="s">
        <v>251</v>
      </c>
      <c r="K74" s="9" t="s">
        <v>125</v>
      </c>
      <c r="L74" s="9" t="s">
        <v>7</v>
      </c>
      <c r="M74" s="9" t="str">
        <f t="shared" ref="M74:M90" si="14">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74" s="9" t="str">
        <f t="shared" si="8"/>
        <v xml:space="preserve"> VALUES('CKDO_MS_040000','CKDO','Platform Fee','Platform Fee','Platform Fee','Platform Fee','40000','/applications/platformfee/list','payment',NULL,'A',NOW(),'SYS',NOW(),'SYS');</v>
      </c>
      <c r="O74" s="9" t="str">
        <f t="shared" si="13"/>
        <v>INSERT INTO T_CORE_MENU_EX (MENU_ID, MENU_APPS_CODE, MENU_GROUP_LABEL, MENU_GROUP_LABEL_OTH, MENU_NAME, MENU_NAME_OTH, MENU_SEQ, MENU_PATH, MENU_ICON, MENU_PARENT, MENU_STATUS, MENU_DT_CREATE, MENU_UID_CREATE, MENU_DT_LUPD, MENU_UID_LUPD)  VALUES('CKDO_MS_040000','CKDO','Platform Fee','Platform Fee','Platform Fee','Platform Fee','40000','/applications/platformfee/list','payment',NULL,'A',NOW(),'SYS',NOW(),'SYS');</v>
      </c>
    </row>
    <row r="75" spans="1:15" x14ac:dyDescent="0.2">
      <c r="A75" s="9" t="s">
        <v>325</v>
      </c>
      <c r="B75" s="9" t="s">
        <v>30</v>
      </c>
      <c r="D75" s="9" t="s">
        <v>326</v>
      </c>
      <c r="E75" s="9" t="s">
        <v>326</v>
      </c>
      <c r="F75" s="9" t="s">
        <v>326</v>
      </c>
      <c r="G75" s="9" t="s">
        <v>326</v>
      </c>
      <c r="H75" s="9">
        <v>50000</v>
      </c>
      <c r="I75" s="9" t="s">
        <v>327</v>
      </c>
      <c r="J75" s="9" t="s">
        <v>265</v>
      </c>
      <c r="K75" s="9" t="s">
        <v>125</v>
      </c>
      <c r="L75" s="9" t="s">
        <v>7</v>
      </c>
      <c r="M75" s="9" t="str">
        <f t="shared" si="14"/>
        <v xml:space="preserve">INSERT INTO T_CORE_MENU_EX (MENU_ID, MENU_APPS_CODE, MENU_GROUP_LABEL, MENU_GROUP_LABEL_OTH, MENU_NAME, MENU_NAME_OTH, MENU_SEQ, MENU_PATH, MENU_ICON, MENU_PARENT, MENU_STATUS, MENU_DT_CREATE, MENU_UID_CREATE, MENU_DT_LUPD, MENU_UID_LUPD) </v>
      </c>
      <c r="N75" s="9" t="str">
        <f t="shared" si="8"/>
        <v xml:space="preserve"> VALUES('CKDO_MS_050000','CKDO','Exchange Rate','Exchange Rate','Exchange Rate','Exchange Rate','50000','/applications/exchangerate/list','settings',NULL,'A',NOW(),'SYS',NOW(),'SYS');</v>
      </c>
      <c r="O75" s="9" t="str">
        <f t="shared" si="13"/>
        <v>INSERT INTO T_CORE_MENU_EX (MENU_ID, MENU_APPS_CODE, MENU_GROUP_LABEL, MENU_GROUP_LABEL_OTH, MENU_NAME, MENU_NAME_OTH, MENU_SEQ, MENU_PATH, MENU_ICON, MENU_PARENT, MENU_STATUS, MENU_DT_CREATE, MENU_UID_CREATE, MENU_DT_LUPD, MENU_UID_LUPD)  VALUES('CKDO_MS_050000','CKDO','Exchange Rate','Exchange Rate','Exchange Rate','Exchange Rate','50000','/applications/exchangerate/list','settings',NULL,'A',NOW(),'SYS',NOW(),'SYS');</v>
      </c>
    </row>
    <row r="76" spans="1:15" x14ac:dyDescent="0.2">
      <c r="A76" s="9" t="s">
        <v>328</v>
      </c>
      <c r="B76" s="9" t="s">
        <v>30</v>
      </c>
      <c r="D76" s="9" t="s">
        <v>329</v>
      </c>
      <c r="E76" s="9" t="s">
        <v>329</v>
      </c>
      <c r="F76" s="9" t="s">
        <v>329</v>
      </c>
      <c r="G76" s="9" t="s">
        <v>329</v>
      </c>
      <c r="H76" s="9">
        <v>60000</v>
      </c>
      <c r="I76" s="9" t="s">
        <v>290</v>
      </c>
      <c r="K76" s="9" t="s">
        <v>125</v>
      </c>
      <c r="L76" s="9" t="s">
        <v>7</v>
      </c>
      <c r="M76" s="9" t="str">
        <f t="shared" si="14"/>
        <v xml:space="preserve">INSERT INTO T_CORE_MENU_EX (MENU_ID, MENU_APPS_CODE, MENU_GROUP_LABEL, MENU_GROUP_LABEL_OTH, MENU_NAME, MENU_NAME_OTH, MENU_SEQ, MENU_PATH, MENU_ICON, MENU_PARENT, MENU_STATUS, MENU_DT_CREATE, MENU_UID_CREATE, MENU_DT_LUPD, MENU_UID_LUPD) </v>
      </c>
      <c r="N76" s="9" t="str">
        <f t="shared" si="8"/>
        <v xml:space="preserve"> VALUES('CKDO_MS_060000','CKDO','Report','Report','Report','Report','60000','content_copy','',NULL,'A',NOW(),'SYS',NOW(),'SYS');</v>
      </c>
      <c r="O76" s="9" t="str">
        <f t="shared" si="13"/>
        <v>INSERT INTO T_CORE_MENU_EX (MENU_ID, MENU_APPS_CODE, MENU_GROUP_LABEL, MENU_GROUP_LABEL_OTH, MENU_NAME, MENU_NAME_OTH, MENU_SEQ, MENU_PATH, MENU_ICON, MENU_PARENT, MENU_STATUS, MENU_DT_CREATE, MENU_UID_CREATE, MENU_DT_LUPD, MENU_UID_LUPD)  VALUES('CKDO_MS_060000','CKDO','Report','Report','Report','Report','60000','content_copy','',NULL,'A',NOW(),'SYS',NOW(),'SYS');</v>
      </c>
    </row>
    <row r="77" spans="1:15" x14ac:dyDescent="0.2">
      <c r="A77" s="9" t="s">
        <v>330</v>
      </c>
      <c r="B77" s="9" t="s">
        <v>30</v>
      </c>
      <c r="D77" s="9" t="s">
        <v>287</v>
      </c>
      <c r="E77" s="9" t="s">
        <v>287</v>
      </c>
      <c r="F77" s="9" t="s">
        <v>287</v>
      </c>
      <c r="G77" s="9" t="s">
        <v>287</v>
      </c>
      <c r="H77" s="9">
        <v>60100</v>
      </c>
      <c r="I77" s="9" t="s">
        <v>331</v>
      </c>
      <c r="K77" s="9" t="s">
        <v>328</v>
      </c>
      <c r="L77" s="9" t="s">
        <v>7</v>
      </c>
      <c r="M77" s="9" t="str">
        <f t="shared" si="14"/>
        <v xml:space="preserve">INSERT INTO T_CORE_MENU_EX (MENU_ID, MENU_APPS_CODE, MENU_GROUP_LABEL, MENU_GROUP_LABEL_OTH, MENU_NAME, MENU_NAME_OTH, MENU_SEQ, MENU_PATH, MENU_ICON, MENU_PARENT, MENU_STATUS, MENU_DT_CREATE, MENU_UID_CREATE, MENU_DT_LUPD, MENU_UID_LUPD) </v>
      </c>
      <c r="N77" s="9" t="str">
        <f t="shared" si="8"/>
        <v xml:space="preserve"> VALUES('CKDO_MS_060100','CKDO','DO Claim','DO Claim','DO Claim','DO Claim','60100','/applications/report/do','','CKDO_MS_060000','A',NOW(),'SYS',NOW(),'SYS');</v>
      </c>
      <c r="O77" s="9" t="str">
        <f t="shared" si="13"/>
        <v>INSERT INTO T_CORE_MENU_EX (MENU_ID, MENU_APPS_CODE, MENU_GROUP_LABEL, MENU_GROUP_LABEL_OTH, MENU_NAME, MENU_NAME_OTH, MENU_SEQ, MENU_PATH, MENU_ICON, MENU_PARENT, MENU_STATUS, MENU_DT_CREATE, MENU_UID_CREATE, MENU_DT_LUPD, MENU_UID_LUPD)  VALUES('CKDO_MS_060100','CKDO','DO Claim','DO Claim','DO Claim','DO Claim','60100','/applications/report/do','','CKDO_MS_060000','A',NOW(),'SYS',NOW(),'SYS');</v>
      </c>
    </row>
    <row r="78" spans="1:15" x14ac:dyDescent="0.2">
      <c r="A78" s="9" t="s">
        <v>332</v>
      </c>
      <c r="B78" s="9" t="s">
        <v>30</v>
      </c>
      <c r="D78" s="9" t="s">
        <v>333</v>
      </c>
      <c r="E78" s="9" t="s">
        <v>333</v>
      </c>
      <c r="F78" s="9" t="s">
        <v>333</v>
      </c>
      <c r="G78" s="9" t="s">
        <v>333</v>
      </c>
      <c r="H78" s="9">
        <v>60200</v>
      </c>
      <c r="I78" s="9" t="s">
        <v>334</v>
      </c>
      <c r="K78" s="9" t="s">
        <v>328</v>
      </c>
      <c r="L78" s="9" t="s">
        <v>7</v>
      </c>
      <c r="M78" s="9" t="str">
        <f t="shared" si="14"/>
        <v xml:space="preserve">INSERT INTO T_CORE_MENU_EX (MENU_ID, MENU_APPS_CODE, MENU_GROUP_LABEL, MENU_GROUP_LABEL_OTH, MENU_NAME, MENU_NAME_OTH, MENU_SEQ, MENU_PATH, MENU_ICON, MENU_PARENT, MENU_STATUS, MENU_DT_CREATE, MENU_UID_CREATE, MENU_DT_LUPD, MENU_UID_LUPD) </v>
      </c>
      <c r="N78" s="9" t="str">
        <f t="shared" si="8"/>
        <v xml:space="preserve"> VALUES('CKDO_MS_060200','CKDO','DO Extension','DO Extension','DO Extension','DO Extension','60200','/applications/report/ext','','CKDO_MS_060000','A',NOW(),'SYS',NOW(),'SYS');</v>
      </c>
      <c r="O78" s="9" t="str">
        <f t="shared" si="13"/>
        <v>INSERT INTO T_CORE_MENU_EX (MENU_ID, MENU_APPS_CODE, MENU_GROUP_LABEL, MENU_GROUP_LABEL_OTH, MENU_NAME, MENU_NAME_OTH, MENU_SEQ, MENU_PATH, MENU_ICON, MENU_PARENT, MENU_STATUS, MENU_DT_CREATE, MENU_UID_CREATE, MENU_DT_LUPD, MENU_UID_LUPD)  VALUES('CKDO_MS_060200','CKDO','DO Extension','DO Extension','DO Extension','DO Extension','60200','/applications/report/ext','','CKDO_MS_060000','A',NOW(),'SYS',NOW(),'SYS');</v>
      </c>
    </row>
    <row r="79" spans="1:15" x14ac:dyDescent="0.2">
      <c r="A79" s="9" t="s">
        <v>1037</v>
      </c>
      <c r="B79" s="9" t="s">
        <v>30</v>
      </c>
      <c r="D79" s="9" t="s">
        <v>1038</v>
      </c>
      <c r="E79" s="9" t="s">
        <v>1038</v>
      </c>
      <c r="F79" s="9" t="s">
        <v>1038</v>
      </c>
      <c r="G79" s="9" t="s">
        <v>1038</v>
      </c>
      <c r="H79" s="9">
        <v>60300</v>
      </c>
      <c r="I79" s="9" t="s">
        <v>1039</v>
      </c>
      <c r="K79" s="9" t="s">
        <v>328</v>
      </c>
      <c r="L79" s="9" t="s">
        <v>7</v>
      </c>
      <c r="M79" s="9" t="str">
        <f t="shared" si="14"/>
        <v xml:space="preserve">INSERT INTO T_CORE_MENU_EX (MENU_ID, MENU_APPS_CODE, MENU_GROUP_LABEL, MENU_GROUP_LABEL_OTH, MENU_NAME, MENU_NAME_OTH, MENU_SEQ, MENU_PATH, MENU_ICON, MENU_PARENT, MENU_STATUS, MENU_DT_CREATE, MENU_UID_CREATE, MENU_DT_LUPD, MENU_UID_LUPD) </v>
      </c>
      <c r="N79" s="9" t="str">
        <f t="shared" si="8"/>
        <v xml:space="preserve"> VALUES('CKDO_MS_060300','CKDO','DO Claim SAP','DO Claim SAP','DO Claim SAP','DO Claim SAP','60300','/applications/sap/do','','CKDO_MS_060000','A',NOW(),'SYS',NOW(),'SYS');</v>
      </c>
      <c r="O79" s="9" t="str">
        <f t="shared" si="13"/>
        <v>INSERT INTO T_CORE_MENU_EX (MENU_ID, MENU_APPS_CODE, MENU_GROUP_LABEL, MENU_GROUP_LABEL_OTH, MENU_NAME, MENU_NAME_OTH, MENU_SEQ, MENU_PATH, MENU_ICON, MENU_PARENT, MENU_STATUS, MENU_DT_CREATE, MENU_UID_CREATE, MENU_DT_LUPD, MENU_UID_LUPD)  VALUES('CKDO_MS_060300','CKDO','DO Claim SAP','DO Claim SAP','DO Claim SAP','DO Claim SAP','60300','/applications/sap/do','','CKDO_MS_060000','A',NOW(),'SYS',NOW(),'SYS');</v>
      </c>
    </row>
    <row r="80" spans="1:15" x14ac:dyDescent="0.2">
      <c r="A80" s="9" t="s">
        <v>1040</v>
      </c>
      <c r="B80" s="9" t="s">
        <v>30</v>
      </c>
      <c r="D80" s="9" t="s">
        <v>1041</v>
      </c>
      <c r="E80" s="9" t="s">
        <v>1041</v>
      </c>
      <c r="F80" s="9" t="s">
        <v>1041</v>
      </c>
      <c r="G80" s="9" t="s">
        <v>1041</v>
      </c>
      <c r="H80" s="9">
        <v>60400</v>
      </c>
      <c r="I80" s="9" t="s">
        <v>1042</v>
      </c>
      <c r="K80" s="9" t="s">
        <v>328</v>
      </c>
      <c r="L80" s="9" t="s">
        <v>7</v>
      </c>
      <c r="M80" s="9" t="str">
        <f t="shared" si="14"/>
        <v xml:space="preserve">INSERT INTO T_CORE_MENU_EX (MENU_ID, MENU_APPS_CODE, MENU_GROUP_LABEL, MENU_GROUP_LABEL_OTH, MENU_NAME, MENU_NAME_OTH, MENU_SEQ, MENU_PATH, MENU_ICON, MENU_PARENT, MENU_STATUS, MENU_DT_CREATE, MENU_UID_CREATE, MENU_DT_LUPD, MENU_UID_LUPD) </v>
      </c>
      <c r="N80" s="9" t="str">
        <f t="shared" ref="N80" si="15">CONCATENATE(" VALUES('",A80,"','",B80,"','",D80,"','",E80,"','",F80,"','",G80,"',",IF(H80="NULL","NULL",CONCATENATE("'",H80,"'")),",",IF(I80="NULL","NULL",CONCATENATE("'",I80,"'")),",",IF(J80="NULL","NULL",CONCATENATE("'",J80,"'")),",",IF(K80="NULL","NULL",CONCATENATE("'",K80,"'")),",'A',NOW(),'SYS',NOW(),'SYS');")</f>
        <v xml:space="preserve"> VALUES('CKDO_MS_060400','CKDO','DO Extension SAP','DO Extension SAP','DO Extension SAP','DO Extension SAP','60400','/applications/sap/ext','','CKDO_MS_060000','A',NOW(),'SYS',NOW(),'SYS');</v>
      </c>
      <c r="O80" s="9" t="str">
        <f t="shared" si="13"/>
        <v>INSERT INTO T_CORE_MENU_EX (MENU_ID, MENU_APPS_CODE, MENU_GROUP_LABEL, MENU_GROUP_LABEL_OTH, MENU_NAME, MENU_NAME_OTH, MENU_SEQ, MENU_PATH, MENU_ICON, MENU_PARENT, MENU_STATUS, MENU_DT_CREATE, MENU_UID_CREATE, MENU_DT_LUPD, MENU_UID_LUPD)  VALUES('CKDO_MS_060400','CKDO','DO Extension SAP','DO Extension SAP','DO Extension SAP','DO Extension SAP','60400','/applications/sap/ext','','CKDO_MS_060000','A',NOW(),'SYS',NOW(),'SYS');</v>
      </c>
    </row>
    <row r="81" spans="1:15" x14ac:dyDescent="0.2">
      <c r="A81" s="9" t="s">
        <v>335</v>
      </c>
      <c r="B81" s="9" t="s">
        <v>30</v>
      </c>
      <c r="D81" s="9" t="s">
        <v>336</v>
      </c>
      <c r="E81" s="9" t="s">
        <v>336</v>
      </c>
      <c r="F81" s="9" t="s">
        <v>336</v>
      </c>
      <c r="G81" s="9" t="s">
        <v>336</v>
      </c>
      <c r="H81" s="9">
        <v>70000</v>
      </c>
      <c r="I81" s="9" t="s">
        <v>337</v>
      </c>
      <c r="J81" s="9" t="s">
        <v>293</v>
      </c>
      <c r="K81" s="9" t="s">
        <v>125</v>
      </c>
      <c r="L81" s="9" t="s">
        <v>7</v>
      </c>
      <c r="M81" s="9" t="str">
        <f t="shared" si="14"/>
        <v xml:space="preserve">INSERT INTO T_CORE_MENU_EX (MENU_ID, MENU_APPS_CODE, MENU_GROUP_LABEL, MENU_GROUP_LABEL_OTH, MENU_NAME, MENU_NAME_OTH, MENU_SEQ, MENU_PATH, MENU_ICON, MENU_PARENT, MENU_STATUS, MENU_DT_CREATE, MENU_UID_CREATE, MENU_DT_LUPD, MENU_UID_LUPD) </v>
      </c>
      <c r="N81" s="9" t="str">
        <f t="shared" si="8"/>
        <v xml:space="preserve"> VALUES('CKDO_MS_070000','CKDO','COREOR','COREOR','COREOR','COREOR','70000','/applications/coreor/list','table_view',NULL,'A',NOW(),'SYS',NOW(),'SYS');</v>
      </c>
      <c r="O81" s="9" t="str">
        <f t="shared" si="13"/>
        <v>INSERT INTO T_CORE_MENU_EX (MENU_ID, MENU_APPS_CODE, MENU_GROUP_LABEL, MENU_GROUP_LABEL_OTH, MENU_NAME, MENU_NAME_OTH, MENU_SEQ, MENU_PATH, MENU_ICON, MENU_PARENT, MENU_STATUS, MENU_DT_CREATE, MENU_UID_CREATE, MENU_DT_LUPD, MENU_UID_LUPD)  VALUES('CKDO_MS_070000','CKDO','COREOR','COREOR','COREOR','COREOR','70000','/applications/coreor/list','table_view',NULL,'A',NOW(),'SYS',NOW(),'SYS');</v>
      </c>
    </row>
    <row r="82" spans="1:15" s="10" customFormat="1" x14ac:dyDescent="0.2">
      <c r="A82" s="10" t="s">
        <v>1025</v>
      </c>
      <c r="B82" s="10" t="s">
        <v>14</v>
      </c>
      <c r="D82" s="10" t="s">
        <v>264</v>
      </c>
      <c r="E82" s="10" t="s">
        <v>264</v>
      </c>
      <c r="F82" s="10" t="s">
        <v>264</v>
      </c>
      <c r="G82" s="10" t="s">
        <v>264</v>
      </c>
      <c r="H82" s="10">
        <v>90000</v>
      </c>
      <c r="I82" s="10" t="s">
        <v>237</v>
      </c>
      <c r="J82" s="9" t="s">
        <v>265</v>
      </c>
      <c r="K82" s="10" t="s">
        <v>125</v>
      </c>
      <c r="L82" s="10" t="s">
        <v>7</v>
      </c>
      <c r="M82" s="10" t="str">
        <f t="shared" si="14"/>
        <v xml:space="preserve">INSERT INTO T_CORE_MENU_EX (MENU_ID, MENU_APPS_CODE, MENU_GROUP_LABEL, MENU_GROUP_LABEL_OTH, MENU_NAME, MENU_NAME_OTH, MENU_SEQ, MENU_PATH, MENU_ICON, MENU_PARENT, MENU_STATUS, MENU_DT_CREATE, MENU_UID_CREATE, MENU_DT_LUPD, MENU_UID_LUPD) </v>
      </c>
      <c r="N82" s="10" t="str">
        <f t="shared" ref="N82:N83" si="16">CONCATENATE(" VALUES('",A82,"','",B82,"','",D82,"','",E82,"','",F82,"','",G82,"',",IF(H82="NULL","NULL", CONCATENATE("'",H82,"'")),",",IF(I82="NULL","NULL", CONCATENATE("'",I82,"'")),",",IF(J82="NULL","NULL", CONCATENATE("'",J82,"'")),",",IF(K82="NULL","NULL", CONCATENATE("'",K82,"'")),",'A',NOW(),'SYS',NOW(),'SYS');")</f>
        <v xml:space="preserve"> VALUES('CKT_SA_090000','CKT','System Administrations','System Administrations','System Administrations','System Administrations','90000','/reports/list','settings',NULL,'A',NOW(),'SYS',NOW(),'SYS');</v>
      </c>
      <c r="O82" s="9" t="str">
        <f t="shared" si="13"/>
        <v>INSERT INTO T_CORE_MENU_EX (MENU_ID, MENU_APPS_CODE, MENU_GROUP_LABEL, MENU_GROUP_LABEL_OTH, MENU_NAME, MENU_NAME_OTH, MENU_SEQ, MENU_PATH, MENU_ICON, MENU_PARENT, MENU_STATUS, MENU_DT_CREATE, MENU_UID_CREATE, MENU_DT_LUPD, MENU_UID_LUPD)  VALUES('CKT_SA_090000','CKT','System Administrations','System Administrations','System Administrations','System Administrations','90000','/reports/list','settings',NULL,'A',NOW(),'SYS',NOW(),'SYS');</v>
      </c>
    </row>
    <row r="83" spans="1:15" x14ac:dyDescent="0.2">
      <c r="A83" s="9" t="s">
        <v>1026</v>
      </c>
      <c r="B83" s="10" t="s">
        <v>14</v>
      </c>
      <c r="F83" s="9" t="s">
        <v>273</v>
      </c>
      <c r="G83" s="9" t="s">
        <v>273</v>
      </c>
      <c r="H83" s="10">
        <v>90100</v>
      </c>
      <c r="I83" s="9" t="s">
        <v>274</v>
      </c>
      <c r="J83" s="9" t="s">
        <v>125</v>
      </c>
      <c r="K83" s="9" t="s">
        <v>1025</v>
      </c>
      <c r="L83" s="9" t="s">
        <v>7</v>
      </c>
      <c r="M83" s="9" t="str">
        <f t="shared" si="14"/>
        <v xml:space="preserve">INSERT INTO T_CORE_MENU_EX (MENU_ID, MENU_APPS_CODE, MENU_GROUP_LABEL, MENU_GROUP_LABEL_OTH, MENU_NAME, MENU_NAME_OTH, MENU_SEQ, MENU_PATH, MENU_ICON, MENU_PARENT, MENU_STATUS, MENU_DT_CREATE, MENU_UID_CREATE, MENU_DT_LUPD, MENU_UID_LUPD) </v>
      </c>
      <c r="N83" s="9" t="str">
        <f t="shared" si="16"/>
        <v xml:space="preserve"> VALUES('CKT_SA_090100','CKT','','','System Parameters','System Parameters','90100','/administrations/sysparam/list',NULL,'CKT_SA_090000','A',NOW(),'SYS',NOW(),'SYS');</v>
      </c>
      <c r="O83" s="9" t="str">
        <f t="shared" si="13"/>
        <v>INSERT INTO T_CORE_MENU_EX (MENU_ID, MENU_APPS_CODE, MENU_GROUP_LABEL, MENU_GROUP_LABEL_OTH, MENU_NAME, MENU_NAME_OTH, MENU_SEQ, MENU_PATH, MENU_ICON, MENU_PARENT, MENU_STATUS, MENU_DT_CREATE, MENU_UID_CREATE, MENU_DT_LUPD, MENU_UID_LUPD)  VALUES('CKT_SA_090100','CKT','','','System Parameters','System Parameters','90100','/administrations/sysparam/list',NULL,'CKT_SA_090000','A',NOW(),'SYS',NOW(),'SYS');</v>
      </c>
    </row>
    <row r="84" spans="1:15" x14ac:dyDescent="0.2">
      <c r="A84" s="9" t="s">
        <v>1166</v>
      </c>
      <c r="B84" s="9" t="s">
        <v>14</v>
      </c>
      <c r="F84" s="9" t="s">
        <v>1168</v>
      </c>
      <c r="G84" s="9" t="s">
        <v>1168</v>
      </c>
      <c r="H84" s="9">
        <v>81300</v>
      </c>
      <c r="I84" s="9" t="s">
        <v>1167</v>
      </c>
      <c r="J84" s="9" t="s">
        <v>125</v>
      </c>
      <c r="K84" s="9" t="s">
        <v>198</v>
      </c>
      <c r="L84" s="9" t="s">
        <v>7</v>
      </c>
      <c r="M84" s="9" t="str">
        <f t="shared" si="14"/>
        <v xml:space="preserve">INSERT INTO T_CORE_MENU_EX (MENU_ID, MENU_APPS_CODE, MENU_GROUP_LABEL, MENU_GROUP_LABEL_OTH, MENU_NAME, MENU_NAME_OTH, MENU_SEQ, MENU_PATH, MENU_ICON, MENU_PARENT, MENU_STATUS, MENU_DT_CREATE, MENU_UID_CREATE, MENU_DT_LUPD, MENU_UID_LUPD) </v>
      </c>
      <c r="N84" s="9" t="str">
        <f t="shared" ref="N84:N90" si="17">CONCATENATE(" VALUES('",A84,"','",B84,"','",D84,"','",E84,"','",F84,"','",G84,"',",IF(H84="NULL","NULL",CONCATENATE("'",H84,"'")),",",IF(I84="NULL","NULL",CONCATENATE("'",I84,"'")),",",IF(J84="NULL","NULL",CONCATENATE("'",J84,"'")),",",IF(K84="NULL","NULL",CONCATENATE("'",K84,"'")),",'A',NOW(),'SYS',NOW(),'SYS');")</f>
        <v xml:space="preserve"> VALUES('CKT_OA_081300','CKT','','','Account Inquiry Request','Account Inquiry Request','81300','/opadmin/inquiry/accn/list',NULL,'CKT_OA_080000','A',NOW(),'SYS',NOW(),'SYS');</v>
      </c>
      <c r="O84" s="9" t="str">
        <f t="shared" si="13"/>
        <v>INSERT INTO T_CORE_MENU_EX (MENU_ID, MENU_APPS_CODE, MENU_GROUP_LABEL, MENU_GROUP_LABEL_OTH, MENU_NAME, MENU_NAME_OTH, MENU_SEQ, MENU_PATH, MENU_ICON, MENU_PARENT, MENU_STATUS, MENU_DT_CREATE, MENU_UID_CREATE, MENU_DT_LUPD, MENU_UID_LUPD)  VALUES('CKT_OA_081300','CKT','','','Account Inquiry Request','Account Inquiry Request','81300','/opadmin/inquiry/accn/list',NULL,'CKT_OA_080000','A',NOW(),'SYS',NOW(),'SYS');</v>
      </c>
    </row>
    <row r="85" spans="1:15" s="13" customFormat="1" x14ac:dyDescent="0.2">
      <c r="A85" s="13" t="s">
        <v>1174</v>
      </c>
      <c r="B85" s="13" t="s">
        <v>30</v>
      </c>
      <c r="D85" s="13" t="s">
        <v>200</v>
      </c>
      <c r="E85" s="13" t="s">
        <v>200</v>
      </c>
      <c r="F85" s="13" t="s">
        <v>200</v>
      </c>
      <c r="G85" s="13" t="s">
        <v>200</v>
      </c>
      <c r="H85" s="13">
        <v>20000</v>
      </c>
      <c r="J85" s="13" t="s">
        <v>132</v>
      </c>
      <c r="L85" s="13" t="s">
        <v>7</v>
      </c>
      <c r="M85" s="13" t="str">
        <f t="shared" si="14"/>
        <v xml:space="preserve">INSERT INTO T_CORE_MENU_EX (MENU_ID, MENU_APPS_CODE, MENU_GROUP_LABEL, MENU_GROUP_LABEL_OTH, MENU_NAME, MENU_NAME_OTH, MENU_SEQ, MENU_PATH, MENU_ICON, MENU_PARENT, MENU_STATUS, MENU_DT_CREATE, MENU_UID_CREATE, MENU_DT_LUPD, MENU_UID_LUPD) </v>
      </c>
      <c r="N85" s="13" t="str">
        <f t="shared" si="17"/>
        <v xml:space="preserve"> VALUES('CKDO_OA_020000','CKDO','Operations Administration','Operations Administration','Operations Administration','Operations Administration','20000','','admin_panel_settings','','A',NOW(),'SYS',NOW(),'SYS');</v>
      </c>
      <c r="O85" s="13" t="str">
        <f t="shared" si="13"/>
        <v>INSERT INTO T_CORE_MENU_EX (MENU_ID, MENU_APPS_CODE, MENU_GROUP_LABEL, MENU_GROUP_LABEL_OTH, MENU_NAME, MENU_NAME_OTH, MENU_SEQ, MENU_PATH, MENU_ICON, MENU_PARENT, MENU_STATUS, MENU_DT_CREATE, MENU_UID_CREATE, MENU_DT_LUPD, MENU_UID_LUPD)  VALUES('CKDO_OA_020000','CKDO','Operations Administration','Operations Administration','Operations Administration','Operations Administration','20000','','admin_panel_settings','','A',NOW(),'SYS',NOW(),'SYS');</v>
      </c>
    </row>
    <row r="86" spans="1:15" x14ac:dyDescent="0.2">
      <c r="A86" s="9" t="s">
        <v>1175</v>
      </c>
      <c r="B86" s="9" t="s">
        <v>30</v>
      </c>
      <c r="F86" s="9" t="s">
        <v>208</v>
      </c>
      <c r="G86" s="9" t="s">
        <v>208</v>
      </c>
      <c r="H86" s="9">
        <v>20100</v>
      </c>
      <c r="I86" s="9" t="s">
        <v>209</v>
      </c>
      <c r="J86" s="9" t="s">
        <v>125</v>
      </c>
      <c r="K86" s="9" t="s">
        <v>1174</v>
      </c>
      <c r="L86" s="9" t="s">
        <v>7</v>
      </c>
      <c r="M86" s="9" t="str">
        <f t="shared" si="14"/>
        <v xml:space="preserve">INSERT INTO T_CORE_MENU_EX (MENU_ID, MENU_APPS_CODE, MENU_GROUP_LABEL, MENU_GROUP_LABEL_OTH, MENU_NAME, MENU_NAME_OTH, MENU_SEQ, MENU_PATH, MENU_ICON, MENU_PARENT, MENU_STATUS, MENU_DT_CREATE, MENU_UID_CREATE, MENU_DT_LUPD, MENU_UID_LUPD) </v>
      </c>
      <c r="N86" s="9" t="str">
        <f t="shared" si="17"/>
        <v xml:space="preserve"> VALUES('CKDO_OA_020100','CKDO','','','Static Virtual Account','Static Virtual Account','20100','/opadmin/staticva',NULL,'CKDO_OA_020000','A',NOW(),'SYS',NOW(),'SYS');</v>
      </c>
      <c r="O86" s="9" t="str">
        <f t="shared" si="13"/>
        <v>INSERT INTO T_CORE_MENU_EX (MENU_ID, MENU_APPS_CODE, MENU_GROUP_LABEL, MENU_GROUP_LABEL_OTH, MENU_NAME, MENU_NAME_OTH, MENU_SEQ, MENU_PATH, MENU_ICON, MENU_PARENT, MENU_STATUS, MENU_DT_CREATE, MENU_UID_CREATE, MENU_DT_LUPD, MENU_UID_LUPD)  VALUES('CKDO_OA_020100','CKDO','','','Static Virtual Account','Static Virtual Account','20100','/opadmin/staticva',NULL,'CKDO_OA_020000','A',NOW(),'SYS',NOW(),'SYS');</v>
      </c>
    </row>
    <row r="87" spans="1:15" x14ac:dyDescent="0.2">
      <c r="A87" s="9" t="s">
        <v>1179</v>
      </c>
      <c r="B87" s="9" t="s">
        <v>30</v>
      </c>
      <c r="D87" s="9" t="s">
        <v>1181</v>
      </c>
      <c r="E87" s="9" t="s">
        <v>1181</v>
      </c>
      <c r="F87" s="9" t="s">
        <v>1181</v>
      </c>
      <c r="G87" s="9" t="s">
        <v>1181</v>
      </c>
      <c r="H87" s="9">
        <v>30400</v>
      </c>
      <c r="I87" s="9" t="s">
        <v>1182</v>
      </c>
      <c r="J87" s="9" t="s">
        <v>125</v>
      </c>
      <c r="K87" s="9" t="s">
        <v>239</v>
      </c>
      <c r="L87" s="9" t="s">
        <v>7</v>
      </c>
      <c r="M87" s="9" t="str">
        <f t="shared" si="14"/>
        <v xml:space="preserve">INSERT INTO T_CORE_MENU_EX (MENU_ID, MENU_APPS_CODE, MENU_GROUP_LABEL, MENU_GROUP_LABEL_OTH, MENU_NAME, MENU_NAME_OTH, MENU_SEQ, MENU_PATH, MENU_ICON, MENU_PARENT, MENU_STATUS, MENU_DT_CREATE, MENU_UID_CREATE, MENU_DT_LUPD, MENU_UID_LUPD) </v>
      </c>
      <c r="N87" s="9" t="str">
        <f t="shared" si="17"/>
        <v xml:space="preserve"> VALUES('CKDO_MA_030400','CKDO','Tax','Tax','Tax','Tax','30400','/manage/tax',NULL,'CKDO_MA_030000','A',NOW(),'SYS',NOW(),'SYS');</v>
      </c>
      <c r="O87" s="9" t="str">
        <f t="shared" si="13"/>
        <v>INSERT INTO T_CORE_MENU_EX (MENU_ID, MENU_APPS_CODE, MENU_GROUP_LABEL, MENU_GROUP_LABEL_OTH, MENU_NAME, MENU_NAME_OTH, MENU_SEQ, MENU_PATH, MENU_ICON, MENU_PARENT, MENU_STATUS, MENU_DT_CREATE, MENU_UID_CREATE, MENU_DT_LUPD, MENU_UID_LUPD)  VALUES('CKDO_MA_030400','CKDO','Tax','Tax','Tax','Tax','30400','/manage/tax',NULL,'CKDO_MA_030000','A',NOW(),'SYS',NOW(),'SYS');</v>
      </c>
    </row>
    <row r="88" spans="1:15" x14ac:dyDescent="0.2">
      <c r="A88" s="9" t="s">
        <v>1180</v>
      </c>
      <c r="B88" s="9" t="s">
        <v>30</v>
      </c>
      <c r="D88" s="9" t="s">
        <v>214</v>
      </c>
      <c r="E88" s="9" t="s">
        <v>214</v>
      </c>
      <c r="F88" s="9" t="s">
        <v>214</v>
      </c>
      <c r="G88" s="9" t="s">
        <v>214</v>
      </c>
      <c r="H88" s="9">
        <v>30500</v>
      </c>
      <c r="I88" s="9" t="s">
        <v>215</v>
      </c>
      <c r="J88" s="9" t="s">
        <v>125</v>
      </c>
      <c r="K88" s="9" t="s">
        <v>239</v>
      </c>
      <c r="L88" s="9" t="s">
        <v>7</v>
      </c>
      <c r="M88" s="9" t="str">
        <f t="shared" si="14"/>
        <v xml:space="preserve">INSERT INTO T_CORE_MENU_EX (MENU_ID, MENU_APPS_CODE, MENU_GROUP_LABEL, MENU_GROUP_LABEL_OTH, MENU_NAME, MENU_NAME_OTH, MENU_SEQ, MENU_PATH, MENU_ICON, MENU_PARENT, MENU_STATUS, MENU_DT_CREATE, MENU_UID_CREATE, MENU_DT_LUPD, MENU_UID_LUPD) </v>
      </c>
      <c r="N88" s="9" t="str">
        <f t="shared" si="17"/>
        <v xml:space="preserve"> VALUES('CKDO_MA_030500','CKDO','SAGE Integration','SAGE Integration','SAGE Integration','SAGE Integration','30500','/opadmin/sageintegrations',NULL,'CKDO_MA_030000','A',NOW(),'SYS',NOW(),'SYS');</v>
      </c>
      <c r="O88" s="9" t="str">
        <f t="shared" si="13"/>
        <v>INSERT INTO T_CORE_MENU_EX (MENU_ID, MENU_APPS_CODE, MENU_GROUP_LABEL, MENU_GROUP_LABEL_OTH, MENU_NAME, MENU_NAME_OTH, MENU_SEQ, MENU_PATH, MENU_ICON, MENU_PARENT, MENU_STATUS, MENU_DT_CREATE, MENU_UID_CREATE, MENU_DT_LUPD, MENU_UID_LUPD)  VALUES('CKDO_MA_030500','CKDO','SAGE Integration','SAGE Integration','SAGE Integration','SAGE Integration','30500','/opadmin/sageintegrations',NULL,'CKDO_MA_030000','A',NOW(),'SYS',NOW(),'SYS');</v>
      </c>
    </row>
    <row r="89" spans="1:15" x14ac:dyDescent="0.2">
      <c r="A89" s="9" t="s">
        <v>1183</v>
      </c>
      <c r="B89" s="9" t="s">
        <v>30</v>
      </c>
      <c r="F89" s="9" t="s">
        <v>187</v>
      </c>
      <c r="G89" s="9" t="s">
        <v>187</v>
      </c>
      <c r="H89" s="9">
        <v>20200</v>
      </c>
      <c r="I89" s="9" t="s">
        <v>188</v>
      </c>
      <c r="J89" s="9" t="s">
        <v>125</v>
      </c>
      <c r="K89" s="13" t="s">
        <v>1174</v>
      </c>
      <c r="L89" s="9" t="s">
        <v>7</v>
      </c>
      <c r="M89" s="9" t="str">
        <f t="shared" si="14"/>
        <v xml:space="preserve">INSERT INTO T_CORE_MENU_EX (MENU_ID, MENU_APPS_CODE, MENU_GROUP_LABEL, MENU_GROUP_LABEL_OTH, MENU_NAME, MENU_NAME_OTH, MENU_SEQ, MENU_PATH, MENU_ICON, MENU_PARENT, MENU_STATUS, MENU_DT_CREATE, MENU_UID_CREATE, MENU_DT_LUPD, MENU_UID_LUPD) </v>
      </c>
      <c r="N89" s="9" t="str">
        <f t="shared" si="17"/>
        <v xml:space="preserve"> VALUES('CKDO_OA_020200','CKDO','','','Accounts Management','Accounts Management','20200','/manageAccounts/all/list',NULL,'CKDO_OA_020000','A',NOW(),'SYS',NOW(),'SYS');</v>
      </c>
      <c r="O89" s="9" t="str">
        <f t="shared" si="13"/>
        <v>INSERT INTO T_CORE_MENU_EX (MENU_ID, MENU_APPS_CODE, MENU_GROUP_LABEL, MENU_GROUP_LABEL_OTH, MENU_NAME, MENU_NAME_OTH, MENU_SEQ, MENU_PATH, MENU_ICON, MENU_PARENT, MENU_STATUS, MENU_DT_CREATE, MENU_UID_CREATE, MENU_DT_LUPD, MENU_UID_LUPD)  VALUES('CKDO_OA_020200','CKDO','','','Accounts Management','Accounts Management','20200','/manageAccounts/all/list',NULL,'CKDO_OA_020000','A',NOW(),'SYS',NOW(),'SYS');</v>
      </c>
    </row>
    <row r="90" spans="1:15" x14ac:dyDescent="0.2">
      <c r="A90" s="9" t="s">
        <v>1201</v>
      </c>
      <c r="B90" s="9" t="s">
        <v>30</v>
      </c>
      <c r="F90" s="9" t="s">
        <v>1202</v>
      </c>
      <c r="G90" s="9" t="s">
        <v>1202</v>
      </c>
      <c r="H90" s="9">
        <v>20300</v>
      </c>
      <c r="I90" s="9" t="s">
        <v>283</v>
      </c>
      <c r="J90" s="9" t="s">
        <v>125</v>
      </c>
      <c r="K90" s="13" t="s">
        <v>1174</v>
      </c>
      <c r="L90" s="9" t="s">
        <v>7</v>
      </c>
      <c r="M90" s="9" t="str">
        <f t="shared" si="14"/>
        <v xml:space="preserve">INSERT INTO T_CORE_MENU_EX (MENU_ID, MENU_APPS_CODE, MENU_GROUP_LABEL, MENU_GROUP_LABEL_OTH, MENU_NAME, MENU_NAME_OTH, MENU_SEQ, MENU_PATH, MENU_ICON, MENU_PARENT, MENU_STATUS, MENU_DT_CREATE, MENU_UID_CREATE, MENU_DT_LUPD, MENU_UID_LUPD) </v>
      </c>
      <c r="N90" s="9" t="str">
        <f t="shared" si="17"/>
        <v xml:space="preserve"> VALUES('CKDO_OA_020300','CKDO','','','Users Management','Users Management','20300','/manageUsers/users/all/list',NULL,'CKDO_OA_020000','A',NOW(),'SYS',NOW(),'SYS');</v>
      </c>
      <c r="O90" s="9" t="str">
        <f t="shared" si="13"/>
        <v>INSERT INTO T_CORE_MENU_EX (MENU_ID, MENU_APPS_CODE, MENU_GROUP_LABEL, MENU_GROUP_LABEL_OTH, MENU_NAME, MENU_NAME_OTH, MENU_SEQ, MENU_PATH, MENU_ICON, MENU_PARENT, MENU_STATUS, MENU_DT_CREATE, MENU_UID_CREATE, MENU_DT_LUPD, MENU_UID_LUPD)  VALUES('CKDO_OA_020300','CKDO','','','Users Management','Users Management','20300','/manageUsers/users/all/list',NULL,'CKDO_OA_020000','A',NOW(),'SYS',NOW(),'SYS');</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5"/>
  <sheetViews>
    <sheetView zoomScale="125" zoomScaleNormal="125" workbookViewId="0">
      <selection sqref="A1:XFD1048576"/>
    </sheetView>
  </sheetViews>
  <sheetFormatPr baseColWidth="10" defaultColWidth="8.83203125" defaultRowHeight="16" x14ac:dyDescent="0.2"/>
  <cols>
    <col min="1" max="1" width="16.83203125" customWidth="1"/>
    <col min="2" max="2" width="17.33203125" customWidth="1"/>
    <col min="3" max="3" width="19.83203125" customWidth="1"/>
    <col min="4" max="4" width="24.5" customWidth="1"/>
    <col min="5" max="6" width="32.1640625" customWidth="1"/>
    <col min="7" max="7" width="10.83203125" customWidth="1"/>
    <col min="8" max="8" width="28.5" customWidth="1"/>
    <col min="9" max="9" width="11.6640625" customWidth="1"/>
    <col min="10" max="10" width="16.83203125" customWidth="1"/>
    <col min="11" max="11" width="14" customWidth="1"/>
    <col min="12" max="12" width="11.1640625" customWidth="1"/>
  </cols>
  <sheetData>
    <row r="1" spans="1:15" x14ac:dyDescent="0.2">
      <c r="A1" s="7" t="s">
        <v>109</v>
      </c>
      <c r="B1" s="7" t="s">
        <v>110</v>
      </c>
      <c r="C1" s="7" t="s">
        <v>112</v>
      </c>
      <c r="D1" s="7" t="s">
        <v>113</v>
      </c>
      <c r="E1" s="7" t="s">
        <v>114</v>
      </c>
      <c r="F1" s="7" t="s">
        <v>115</v>
      </c>
      <c r="G1" s="7" t="s">
        <v>116</v>
      </c>
      <c r="H1" s="7" t="s">
        <v>117</v>
      </c>
      <c r="I1" s="7" t="s">
        <v>118</v>
      </c>
      <c r="J1" s="7" t="s">
        <v>119</v>
      </c>
      <c r="K1" s="7" t="s">
        <v>120</v>
      </c>
      <c r="L1" s="7" t="s">
        <v>4</v>
      </c>
      <c r="M1" s="7"/>
    </row>
    <row r="2" spans="1:15" x14ac:dyDescent="0.2">
      <c r="A2" t="s">
        <v>338</v>
      </c>
      <c r="B2" t="s">
        <v>5</v>
      </c>
      <c r="C2" t="s">
        <v>127</v>
      </c>
      <c r="D2" t="s">
        <v>127</v>
      </c>
      <c r="E2" t="s">
        <v>127</v>
      </c>
      <c r="F2" t="s">
        <v>127</v>
      </c>
      <c r="G2">
        <v>10000</v>
      </c>
      <c r="H2" s="6" t="s">
        <v>128</v>
      </c>
      <c r="I2" t="s">
        <v>125</v>
      </c>
      <c r="J2" t="s">
        <v>125</v>
      </c>
      <c r="K2" t="s">
        <v>7</v>
      </c>
      <c r="L2" t="str">
        <f>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 t="str">
        <f>CONCATENATE(" VALUES('",A2,"','",B2,"','",C2,"','",D2,"','",E2,"','",F2,"',",IF(G2="NULL","NULL",CONCATENATE("'",G2,"'")),",",IF(H2="NULL","NULL",CONCATENATE("'",H2,"'")),",",IF(I2="NULL","NULL",CONCATENATE("'",I2,"'")),",",IF(J2="NULL","NULL",CONCATENATE("'",J2,"'")),",'A',NOW(),'SYS',NOW(),'SYS');")</f>
        <v xml:space="preserve"> VALUES('CK_MS_010000','CK','Services','Services','Services','Services','10000','/',NULL,NULL,'A',NOW(),'SYS',NOW(),'SYS');</v>
      </c>
      <c r="N2" t="str">
        <f>CONCATENATE(L2,M2)</f>
        <v>INSERT INTO T_CORE_MENU_EX (MENU_ID, MENU_APPS_CODE, MENU_GROUP_LABEL, MENU_GROUP_LABEL_OTH, MENU_NAME, MENU_NAME_OTH, MENU_SEQ, MENU_PATH, MENU_ICON, MENU_PARENT, MENU_STATUS, MENU_DT_CREATE, MENU_UID_CREATE, MENU_DT_LUPD, MENU_UID_LUPD)  VALUES('CK_MS_010000','CK','Services','Services','Services','Services','10000','/',NULL,NULL,'A',NOW(),'SYS',NOW(),'SYS');</v>
      </c>
    </row>
    <row r="3" spans="1:15" x14ac:dyDescent="0.2">
      <c r="A3" t="s">
        <v>339</v>
      </c>
      <c r="B3" t="s">
        <v>5</v>
      </c>
      <c r="C3" t="s">
        <v>253</v>
      </c>
      <c r="D3" t="s">
        <v>253</v>
      </c>
      <c r="E3" t="s">
        <v>253</v>
      </c>
      <c r="F3" t="s">
        <v>253</v>
      </c>
      <c r="G3">
        <v>20000</v>
      </c>
      <c r="H3" s="6" t="s">
        <v>340</v>
      </c>
      <c r="I3" t="s">
        <v>125</v>
      </c>
      <c r="J3" t="s">
        <v>125</v>
      </c>
      <c r="K3" t="s">
        <v>7</v>
      </c>
      <c r="L3" t="str">
        <f t="shared" ref="L3:L25" si="0">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3" t="str">
        <f t="shared" ref="M3:M25" si="1">CONCATENATE(" VALUES('",A3,"','",B3,"','",C3,"','",D3,"','",E3,"','",F3,"',",IF(G3="NULL","NULL",CONCATENATE("'",G3,"'")),",",IF(H3="NULL","NULL",CONCATENATE("'",H3,"'")),",",IF(I3="NULL","NULL",CONCATENATE("'",I3,"'")),",",IF(J3="NULL","NULL",CONCATENATE("'",J3,"'")),",'A',NOW(),'SYS',NOW(),'SYS');")</f>
        <v xml:space="preserve"> VALUES('CK_MP_020000','CK','Payments','Payments','Payments','Payments','20000','/payments',NULL,NULL,'A',NOW(),'SYS',NOW(),'SYS');</v>
      </c>
      <c r="N3" t="str">
        <f t="shared" ref="N3:N25" si="2">CONCATENATE(L3,M3)</f>
        <v>INSERT INTO T_CORE_MENU_EX (MENU_ID, MENU_APPS_CODE, MENU_GROUP_LABEL, MENU_GROUP_LABEL_OTH, MENU_NAME, MENU_NAME_OTH, MENU_SEQ, MENU_PATH, MENU_ICON, MENU_PARENT, MENU_STATUS, MENU_DT_CREATE, MENU_UID_CREATE, MENU_DT_LUPD, MENU_UID_LUPD)  VALUES('CK_MP_020000','CK','Payments','Payments','Payments','Payments','20000','/payments',NULL,NULL,'A',NOW(),'SYS',NOW(),'SYS');</v>
      </c>
    </row>
    <row r="4" spans="1:15" x14ac:dyDescent="0.2">
      <c r="A4" t="s">
        <v>341</v>
      </c>
      <c r="B4" t="s">
        <v>5</v>
      </c>
      <c r="C4" t="s">
        <v>131</v>
      </c>
      <c r="D4" t="s">
        <v>131</v>
      </c>
      <c r="E4" t="s">
        <v>131</v>
      </c>
      <c r="F4" t="s">
        <v>131</v>
      </c>
      <c r="G4">
        <v>30000</v>
      </c>
      <c r="H4" s="6" t="s">
        <v>125</v>
      </c>
      <c r="I4" t="s">
        <v>240</v>
      </c>
      <c r="J4" t="s">
        <v>125</v>
      </c>
      <c r="K4" t="s">
        <v>7</v>
      </c>
      <c r="L4" t="str">
        <f t="shared" si="0"/>
        <v xml:space="preserve">INSERT INTO T_CORE_MENU_EX (MENU_ID, MENU_APPS_CODE, MENU_GROUP_LABEL, MENU_GROUP_LABEL_OTH, MENU_NAME, MENU_NAME_OTH, MENU_SEQ, MENU_PATH, MENU_ICON, MENU_PARENT, MENU_STATUS, MENU_DT_CREATE, MENU_UID_CREATE, MENU_DT_LUPD, MENU_UID_LUPD) </v>
      </c>
      <c r="M4" t="str">
        <f t="shared" si="1"/>
        <v xml:space="preserve"> VALUES('CK_MA_030000','CK','Administrations','Administrations','Administrations','Administrations','30000',NULL,'group',NULL,'A',NOW(),'SYS',NOW(),'SYS');</v>
      </c>
      <c r="N4" t="str">
        <f t="shared" si="2"/>
        <v>INSERT INTO T_CORE_MENU_EX (MENU_ID, MENU_APPS_CODE, MENU_GROUP_LABEL, MENU_GROUP_LABEL_OTH, MENU_NAME, MENU_NAME_OTH, MENU_SEQ, MENU_PATH, MENU_ICON, MENU_PARENT, MENU_STATUS, MENU_DT_CREATE, MENU_UID_CREATE, MENU_DT_LUPD, MENU_UID_LUPD)  VALUES('CK_MA_030000','CK','Administrations','Administrations','Administrations','Administrations','30000',NULL,'group',NULL,'A',NOW(),'SYS',NOW(),'SYS');</v>
      </c>
    </row>
    <row r="5" spans="1:15" x14ac:dyDescent="0.2">
      <c r="A5" t="s">
        <v>342</v>
      </c>
      <c r="B5" t="s">
        <v>5</v>
      </c>
      <c r="E5" t="s">
        <v>161</v>
      </c>
      <c r="F5" t="s">
        <v>161</v>
      </c>
      <c r="G5">
        <v>30100</v>
      </c>
      <c r="H5" s="6" t="s">
        <v>242</v>
      </c>
      <c r="I5" t="s">
        <v>125</v>
      </c>
      <c r="J5" t="s">
        <v>341</v>
      </c>
      <c r="K5" t="s">
        <v>7</v>
      </c>
      <c r="L5" t="str">
        <f t="shared" si="0"/>
        <v xml:space="preserve">INSERT INTO T_CORE_MENU_EX (MENU_ID, MENU_APPS_CODE, MENU_GROUP_LABEL, MENU_GROUP_LABEL_OTH, MENU_NAME, MENU_NAME_OTH, MENU_SEQ, MENU_PATH, MENU_ICON, MENU_PARENT, MENU_STATUS, MENU_DT_CREATE, MENU_UID_CREATE, MENU_DT_LUPD, MENU_UID_LUPD) </v>
      </c>
      <c r="M5" t="str">
        <f t="shared" si="1"/>
        <v xml:space="preserve"> VALUES('CK_MA_030100','CK','','','Account Profile','Account Profile','30100','/accountProfile',NULL,'CK_MA_030000','A',NOW(),'SYS',NOW(),'SYS');</v>
      </c>
      <c r="N5" t="str">
        <f t="shared" si="2"/>
        <v>INSERT INTO T_CORE_MENU_EX (MENU_ID, MENU_APPS_CODE, MENU_GROUP_LABEL, MENU_GROUP_LABEL_OTH, MENU_NAME, MENU_NAME_OTH, MENU_SEQ, MENU_PATH, MENU_ICON, MENU_PARENT, MENU_STATUS, MENU_DT_CREATE, MENU_UID_CREATE, MENU_DT_LUPD, MENU_UID_LUPD)  VALUES('CK_MA_030100','CK','','','Account Profile','Account Profile','30100','/accountProfile',NULL,'CK_MA_030000','A',NOW(),'SYS',NOW(),'SYS');</v>
      </c>
    </row>
    <row r="6" spans="1:15" x14ac:dyDescent="0.2">
      <c r="A6" t="s">
        <v>343</v>
      </c>
      <c r="B6" t="s">
        <v>5</v>
      </c>
      <c r="E6" t="s">
        <v>244</v>
      </c>
      <c r="F6" t="s">
        <v>244</v>
      </c>
      <c r="G6">
        <v>30200</v>
      </c>
      <c r="H6" t="s">
        <v>245</v>
      </c>
      <c r="I6" t="s">
        <v>125</v>
      </c>
      <c r="J6" t="s">
        <v>341</v>
      </c>
      <c r="K6" t="s">
        <v>7</v>
      </c>
      <c r="L6" t="str">
        <f t="shared" si="0"/>
        <v xml:space="preserve">INSERT INTO T_CORE_MENU_EX (MENU_ID, MENU_APPS_CODE, MENU_GROUP_LABEL, MENU_GROUP_LABEL_OTH, MENU_NAME, MENU_NAME_OTH, MENU_SEQ, MENU_PATH, MENU_ICON, MENU_PARENT, MENU_STATUS, MENU_DT_CREATE, MENU_UID_CREATE, MENU_DT_LUPD, MENU_UID_LUPD) </v>
      </c>
      <c r="M6" t="str">
        <f t="shared" si="1"/>
        <v xml:space="preserve"> VALUES('CK_MA_030200','CK','','','Users','Users','30200','/accountUsers',NULL,'CK_MA_030000','A',NOW(),'SYS',NOW(),'SYS');</v>
      </c>
      <c r="N6" t="str">
        <f t="shared" si="2"/>
        <v>INSERT INTO T_CORE_MENU_EX (MENU_ID, MENU_APPS_CODE, MENU_GROUP_LABEL, MENU_GROUP_LABEL_OTH, MENU_NAME, MENU_NAME_OTH, MENU_SEQ, MENU_PATH, MENU_ICON, MENU_PARENT, MENU_STATUS, MENU_DT_CREATE, MENU_UID_CREATE, MENU_DT_LUPD, MENU_UID_LUPD)  VALUES('CK_MA_030200','CK','','','Users','Users','30200','/accountUsers',NULL,'CK_MA_030000','A',NOW(),'SYS',NOW(),'SYS');</v>
      </c>
    </row>
    <row r="7" spans="1:15" x14ac:dyDescent="0.2">
      <c r="A7" t="s">
        <v>344</v>
      </c>
      <c r="B7" t="s">
        <v>5</v>
      </c>
      <c r="E7" t="s">
        <v>247</v>
      </c>
      <c r="F7" t="s">
        <v>247</v>
      </c>
      <c r="G7">
        <v>30400</v>
      </c>
      <c r="H7" t="s">
        <v>248</v>
      </c>
      <c r="I7" t="s">
        <v>125</v>
      </c>
      <c r="J7" t="s">
        <v>341</v>
      </c>
      <c r="K7" t="s">
        <v>7</v>
      </c>
      <c r="L7" t="str">
        <f t="shared" si="0"/>
        <v xml:space="preserve">INSERT INTO T_CORE_MENU_EX (MENU_ID, MENU_APPS_CODE, MENU_GROUP_LABEL, MENU_GROUP_LABEL_OTH, MENU_NAME, MENU_NAME_OTH, MENU_SEQ, MENU_PATH, MENU_ICON, MENU_PARENT, MENU_STATUS, MENU_DT_CREATE, MENU_UID_CREATE, MENU_DT_LUPD, MENU_UID_LUPD) </v>
      </c>
      <c r="M7" t="str">
        <f t="shared" si="1"/>
        <v xml:space="preserve"> VALUES('CK_MA_030300','CK','','','Authorisations','Authorisations','30400','/accountAuthorisations',NULL,'CK_MA_030000','A',NOW(),'SYS',NOW(),'SYS');</v>
      </c>
      <c r="N7" t="str">
        <f t="shared" si="2"/>
        <v>INSERT INTO T_CORE_MENU_EX (MENU_ID, MENU_APPS_CODE, MENU_GROUP_LABEL, MENU_GROUP_LABEL_OTH, MENU_NAME, MENU_NAME_OTH, MENU_SEQ, MENU_PATH, MENU_ICON, MENU_PARENT, MENU_STATUS, MENU_DT_CREATE, MENU_UID_CREATE, MENU_DT_LUPD, MENU_UID_LUPD)  VALUES('CK_MA_030300','CK','','','Authorisations','Authorisations','30400','/accountAuthorisations',NULL,'CK_MA_030000','A',NOW(),'SYS',NOW(),'SYS');</v>
      </c>
    </row>
    <row r="8" spans="1:15" x14ac:dyDescent="0.2">
      <c r="A8" t="s">
        <v>345</v>
      </c>
      <c r="B8" t="s">
        <v>5</v>
      </c>
      <c r="C8" t="s">
        <v>122</v>
      </c>
      <c r="D8" t="s">
        <v>122</v>
      </c>
      <c r="E8" t="s">
        <v>122</v>
      </c>
      <c r="F8" t="s">
        <v>122</v>
      </c>
      <c r="G8">
        <v>40000</v>
      </c>
      <c r="H8" t="s">
        <v>123</v>
      </c>
      <c r="I8" t="s">
        <v>125</v>
      </c>
      <c r="J8" t="s">
        <v>125</v>
      </c>
      <c r="K8" t="s">
        <v>7</v>
      </c>
      <c r="L8" t="str">
        <f t="shared" si="0"/>
        <v xml:space="preserve">INSERT INTO T_CORE_MENU_EX (MENU_ID, MENU_APPS_CODE, MENU_GROUP_LABEL, MENU_GROUP_LABEL_OTH, MENU_NAME, MENU_NAME_OTH, MENU_SEQ, MENU_PATH, MENU_ICON, MENU_PARENT, MENU_STATUS, MENU_DT_CREATE, MENU_UID_CREATE, MENU_DT_LUPD, MENU_UID_LUPD) </v>
      </c>
      <c r="M8" t="str">
        <f t="shared" si="1"/>
        <v xml:space="preserve"> VALUES('CK_MH_040000','CK','Help','Help','Help','Help','40000','/help',NULL,NULL,'A',NOW(),'SYS',NOW(),'SYS');</v>
      </c>
      <c r="N8" t="str">
        <f t="shared" si="2"/>
        <v>INSERT INTO T_CORE_MENU_EX (MENU_ID, MENU_APPS_CODE, MENU_GROUP_LABEL, MENU_GROUP_LABEL_OTH, MENU_NAME, MENU_NAME_OTH, MENU_SEQ, MENU_PATH, MENU_ICON, MENU_PARENT, MENU_STATUS, MENU_DT_CREATE, MENU_UID_CREATE, MENU_DT_LUPD, MENU_UID_LUPD)  VALUES('CK_MH_040000','CK','Help','Help','Help','Help','40000','/help',NULL,NULL,'A',NOW(),'SYS',NOW(),'SYS');</v>
      </c>
    </row>
    <row r="9" spans="1:15" x14ac:dyDescent="0.2">
      <c r="A9" s="6" t="s">
        <v>346</v>
      </c>
      <c r="B9" t="s">
        <v>5</v>
      </c>
      <c r="C9" s="6" t="s">
        <v>292</v>
      </c>
      <c r="D9" s="6" t="s">
        <v>292</v>
      </c>
      <c r="E9" s="6" t="s">
        <v>292</v>
      </c>
      <c r="F9" s="6" t="s">
        <v>292</v>
      </c>
      <c r="G9" s="6">
        <v>50000</v>
      </c>
      <c r="H9" s="6" t="s">
        <v>125</v>
      </c>
      <c r="I9" s="6" t="s">
        <v>293</v>
      </c>
      <c r="J9" s="6" t="s">
        <v>125</v>
      </c>
      <c r="K9" s="6" t="s">
        <v>7</v>
      </c>
      <c r="L9" t="str">
        <f t="shared" si="0"/>
        <v xml:space="preserve">INSERT INTO T_CORE_MENU_EX (MENU_ID, MENU_APPS_CODE, MENU_GROUP_LABEL, MENU_GROUP_LABEL_OTH, MENU_NAME, MENU_NAME_OTH, MENU_SEQ, MENU_PATH, MENU_ICON, MENU_PARENT, MENU_STATUS, MENU_DT_CREATE, MENU_UID_CREATE, MENU_DT_LUPD, MENU_UID_LUPD) </v>
      </c>
      <c r="M9" t="str">
        <f t="shared" si="1"/>
        <v xml:space="preserve"> VALUES('CK_MT_050000','CK','Master Table','Master Table','Master Table','Master Table','50000',NULL,'table_view',NULL,'A',NOW(),'SYS',NOW(),'SYS');</v>
      </c>
      <c r="N9" t="str">
        <f t="shared" si="2"/>
        <v>INSERT INTO T_CORE_MENU_EX (MENU_ID, MENU_APPS_CODE, MENU_GROUP_LABEL, MENU_GROUP_LABEL_OTH, MENU_NAME, MENU_NAME_OTH, MENU_SEQ, MENU_PATH, MENU_ICON, MENU_PARENT, MENU_STATUS, MENU_DT_CREATE, MENU_UID_CREATE, MENU_DT_LUPD, MENU_UID_LUPD)  VALUES('CK_MT_050000','CK','Master Table','Master Table','Master Table','Master Table','50000',NULL,'table_view',NULL,'A',NOW(),'SYS',NOW(),'SYS');</v>
      </c>
      <c r="O9" s="6"/>
    </row>
    <row r="10" spans="1:15" x14ac:dyDescent="0.2">
      <c r="A10" s="6" t="s">
        <v>347</v>
      </c>
      <c r="B10" t="s">
        <v>5</v>
      </c>
      <c r="C10" s="6"/>
      <c r="D10" s="6"/>
      <c r="E10" s="6" t="s">
        <v>295</v>
      </c>
      <c r="F10" s="6" t="s">
        <v>295</v>
      </c>
      <c r="G10" s="6">
        <v>50100</v>
      </c>
      <c r="H10" s="6" t="s">
        <v>296</v>
      </c>
      <c r="I10" s="6" t="s">
        <v>125</v>
      </c>
      <c r="J10" s="6" t="s">
        <v>346</v>
      </c>
      <c r="K10" s="6" t="s">
        <v>7</v>
      </c>
      <c r="L10" t="str">
        <f t="shared" si="0"/>
        <v xml:space="preserve">INSERT INTO T_CORE_MENU_EX (MENU_ID, MENU_APPS_CODE, MENU_GROUP_LABEL, MENU_GROUP_LABEL_OTH, MENU_NAME, MENU_NAME_OTH, MENU_SEQ, MENU_PATH, MENU_ICON, MENU_PARENT, MENU_STATUS, MENU_DT_CREATE, MENU_UID_CREATE, MENU_DT_LUPD, MENU_UID_LUPD) </v>
      </c>
      <c r="M10" t="str">
        <f t="shared" si="1"/>
        <v xml:space="preserve"> VALUES('CK_MT_050100','CK','','','Announcement Type','Announcement Type','50100','/configuration/announcementType/list',NULL,'CK_MT_050000','A',NOW(),'SYS',NOW(),'SYS');</v>
      </c>
      <c r="N10" t="str">
        <f t="shared" si="2"/>
        <v>INSERT INTO T_CORE_MENU_EX (MENU_ID, MENU_APPS_CODE, MENU_GROUP_LABEL, MENU_GROUP_LABEL_OTH, MENU_NAME, MENU_NAME_OTH, MENU_SEQ, MENU_PATH, MENU_ICON, MENU_PARENT, MENU_STATUS, MENU_DT_CREATE, MENU_UID_CREATE, MENU_DT_LUPD, MENU_UID_LUPD)  VALUES('CK_MT_050100','CK','','','Announcement Type','Announcement Type','50100','/configuration/announcementType/list',NULL,'CK_MT_050000','A',NOW(),'SYS',NOW(),'SYS');</v>
      </c>
      <c r="O10" s="6"/>
    </row>
    <row r="11" spans="1:15" x14ac:dyDescent="0.2">
      <c r="A11" s="6" t="s">
        <v>348</v>
      </c>
      <c r="B11" t="s">
        <v>5</v>
      </c>
      <c r="C11" s="6"/>
      <c r="D11" s="6"/>
      <c r="E11" s="6" t="s">
        <v>298</v>
      </c>
      <c r="F11" s="6" t="s">
        <v>298</v>
      </c>
      <c r="G11" s="6">
        <v>50200</v>
      </c>
      <c r="H11" s="6" t="s">
        <v>299</v>
      </c>
      <c r="I11" s="6" t="s">
        <v>125</v>
      </c>
      <c r="J11" s="6" t="s">
        <v>346</v>
      </c>
      <c r="K11" s="6" t="s">
        <v>7</v>
      </c>
      <c r="L11" t="str">
        <f t="shared" si="0"/>
        <v xml:space="preserve">INSERT INTO T_CORE_MENU_EX (MENU_ID, MENU_APPS_CODE, MENU_GROUP_LABEL, MENU_GROUP_LABEL_OTH, MENU_NAME, MENU_NAME_OTH, MENU_SEQ, MENU_PATH, MENU_ICON, MENU_PARENT, MENU_STATUS, MENU_DT_CREATE, MENU_UID_CREATE, MENU_DT_LUPD, MENU_UID_LUPD) </v>
      </c>
      <c r="M11" t="str">
        <f t="shared" si="1"/>
        <v xml:space="preserve"> VALUES('CK_MT_050200','CK','','','Country Codes','Country Codes','50200','/master/country/list',NULL,'CK_MT_050000','A',NOW(),'SYS',NOW(),'SYS');</v>
      </c>
      <c r="N11" t="str">
        <f t="shared" si="2"/>
        <v>INSERT INTO T_CORE_MENU_EX (MENU_ID, MENU_APPS_CODE, MENU_GROUP_LABEL, MENU_GROUP_LABEL_OTH, MENU_NAME, MENU_NAME_OTH, MENU_SEQ, MENU_PATH, MENU_ICON, MENU_PARENT, MENU_STATUS, MENU_DT_CREATE, MENU_UID_CREATE, MENU_DT_LUPD, MENU_UID_LUPD)  VALUES('CK_MT_050200','CK','','','Country Codes','Country Codes','50200','/master/country/list',NULL,'CK_MT_050000','A',NOW(),'SYS',NOW(),'SYS');</v>
      </c>
      <c r="O11" s="6"/>
    </row>
    <row r="12" spans="1:15" x14ac:dyDescent="0.2">
      <c r="A12" s="6" t="s">
        <v>349</v>
      </c>
      <c r="B12" t="s">
        <v>5</v>
      </c>
      <c r="C12" s="6"/>
      <c r="D12" s="6"/>
      <c r="E12" s="6" t="s">
        <v>301</v>
      </c>
      <c r="F12" s="6" t="s">
        <v>301</v>
      </c>
      <c r="G12" s="6">
        <v>50300</v>
      </c>
      <c r="H12" s="6" t="s">
        <v>302</v>
      </c>
      <c r="I12" s="6" t="s">
        <v>125</v>
      </c>
      <c r="J12" s="6" t="s">
        <v>346</v>
      </c>
      <c r="K12" s="6" t="s">
        <v>7</v>
      </c>
      <c r="L12" t="str">
        <f t="shared" si="0"/>
        <v xml:space="preserve">INSERT INTO T_CORE_MENU_EX (MENU_ID, MENU_APPS_CODE, MENU_GROUP_LABEL, MENU_GROUP_LABEL_OTH, MENU_NAME, MENU_NAME_OTH, MENU_SEQ, MENU_PATH, MENU_ICON, MENU_PARENT, MENU_STATUS, MENU_DT_CREATE, MENU_UID_CREATE, MENU_DT_LUPD, MENU_UID_LUPD) </v>
      </c>
      <c r="M12" t="str">
        <f t="shared" si="1"/>
        <v xml:space="preserve"> VALUES('CK_MT_050300','CK','','','Currency Code','Currency Code','50300','/master/currency/list',NULL,'CK_MT_050000','A',NOW(),'SYS',NOW(),'SYS');</v>
      </c>
      <c r="N12" t="str">
        <f t="shared" si="2"/>
        <v>INSERT INTO T_CORE_MENU_EX (MENU_ID, MENU_APPS_CODE, MENU_GROUP_LABEL, MENU_GROUP_LABEL_OTH, MENU_NAME, MENU_NAME_OTH, MENU_SEQ, MENU_PATH, MENU_ICON, MENU_PARENT, MENU_STATUS, MENU_DT_CREATE, MENU_UID_CREATE, MENU_DT_LUPD, MENU_UID_LUPD)  VALUES('CK_MT_050300','CK','','','Currency Code','Currency Code','50300','/master/currency/list',NULL,'CK_MT_050000','A',NOW(),'SYS',NOW(),'SYS');</v>
      </c>
      <c r="O12" s="6"/>
    </row>
    <row r="13" spans="1:15" x14ac:dyDescent="0.2">
      <c r="A13" s="6" t="s">
        <v>350</v>
      </c>
      <c r="B13" t="s">
        <v>5</v>
      </c>
      <c r="C13" s="6"/>
      <c r="D13" s="6"/>
      <c r="E13" s="6" t="s">
        <v>304</v>
      </c>
      <c r="F13" s="6" t="s">
        <v>304</v>
      </c>
      <c r="G13" s="6">
        <v>50400</v>
      </c>
      <c r="H13" s="6" t="s">
        <v>305</v>
      </c>
      <c r="I13" s="6" t="s">
        <v>125</v>
      </c>
      <c r="J13" s="6" t="s">
        <v>346</v>
      </c>
      <c r="K13" s="6" t="s">
        <v>7</v>
      </c>
      <c r="L13" t="str">
        <f t="shared" si="0"/>
        <v xml:space="preserve">INSERT INTO T_CORE_MENU_EX (MENU_ID, MENU_APPS_CODE, MENU_GROUP_LABEL, MENU_GROUP_LABEL_OTH, MENU_NAME, MENU_NAME_OTH, MENU_SEQ, MENU_PATH, MENU_ICON, MENU_PARENT, MENU_STATUS, MENU_DT_CREATE, MENU_UID_CREATE, MENU_DT_LUPD, MENU_UID_LUPD) </v>
      </c>
      <c r="M13" t="str">
        <f t="shared" si="1"/>
        <v xml:space="preserve"> VALUES('CK_MT_050400','CK','','','Harmonized System Codes','Harmonized System Codes','50400','/master/hsCode/list',NULL,'CK_MT_050000','A',NOW(),'SYS',NOW(),'SYS');</v>
      </c>
      <c r="N13" t="str">
        <f t="shared" si="2"/>
        <v>INSERT INTO T_CORE_MENU_EX (MENU_ID, MENU_APPS_CODE, MENU_GROUP_LABEL, MENU_GROUP_LABEL_OTH, MENU_NAME, MENU_NAME_OTH, MENU_SEQ, MENU_PATH, MENU_ICON, MENU_PARENT, MENU_STATUS, MENU_DT_CREATE, MENU_UID_CREATE, MENU_DT_LUPD, MENU_UID_LUPD)  VALUES('CK_MT_050400','CK','','','Harmonized System Codes','Harmonized System Codes','50400','/master/hsCode/list',NULL,'CK_MT_050000','A',NOW(),'SYS',NOW(),'SYS');</v>
      </c>
      <c r="O13" s="6"/>
    </row>
    <row r="14" spans="1:15" x14ac:dyDescent="0.2">
      <c r="A14" s="6" t="s">
        <v>351</v>
      </c>
      <c r="B14" t="s">
        <v>5</v>
      </c>
      <c r="C14" s="6"/>
      <c r="D14" s="6"/>
      <c r="E14" s="6" t="s">
        <v>307</v>
      </c>
      <c r="F14" s="6" t="s">
        <v>307</v>
      </c>
      <c r="G14" s="6">
        <v>50500</v>
      </c>
      <c r="H14" s="6" t="s">
        <v>308</v>
      </c>
      <c r="I14" s="6" t="s">
        <v>125</v>
      </c>
      <c r="J14" s="6" t="s">
        <v>346</v>
      </c>
      <c r="K14" s="6" t="s">
        <v>7</v>
      </c>
      <c r="L14" t="str">
        <f t="shared" si="0"/>
        <v xml:space="preserve">INSERT INTO T_CORE_MENU_EX (MENU_ID, MENU_APPS_CODE, MENU_GROUP_LABEL, MENU_GROUP_LABEL_OTH, MENU_NAME, MENU_NAME_OTH, MENU_SEQ, MENU_PATH, MENU_ICON, MENU_PARENT, MENU_STATUS, MENU_DT_CREATE, MENU_UID_CREATE, MENU_DT_LUPD, MENU_UID_LUPD) </v>
      </c>
      <c r="M14" t="str">
        <f t="shared" si="1"/>
        <v xml:space="preserve"> VALUES('CK_MT_050500','CK','','','Notification Templates','Notification Templates','50500','/notification/templates/list',NULL,'CK_MT_050000','A',NOW(),'SYS',NOW(),'SYS');</v>
      </c>
      <c r="N14" t="str">
        <f t="shared" si="2"/>
        <v>INSERT INTO T_CORE_MENU_EX (MENU_ID, MENU_APPS_CODE, MENU_GROUP_LABEL, MENU_GROUP_LABEL_OTH, MENU_NAME, MENU_NAME_OTH, MENU_SEQ, MENU_PATH, MENU_ICON, MENU_PARENT, MENU_STATUS, MENU_DT_CREATE, MENU_UID_CREATE, MENU_DT_LUPD, MENU_UID_LUPD)  VALUES('CK_MT_050500','CK','','','Notification Templates','Notification Templates','50500','/notification/templates/list',NULL,'CK_MT_050000','A',NOW(),'SYS',NOW(),'SYS');</v>
      </c>
      <c r="O14" s="6"/>
    </row>
    <row r="15" spans="1:15" x14ac:dyDescent="0.2">
      <c r="A15" s="6" t="s">
        <v>352</v>
      </c>
      <c r="B15" t="s">
        <v>5</v>
      </c>
      <c r="C15" s="6"/>
      <c r="D15" s="6"/>
      <c r="E15" s="6" t="s">
        <v>310</v>
      </c>
      <c r="F15" s="6" t="s">
        <v>310</v>
      </c>
      <c r="G15" s="6">
        <v>50600</v>
      </c>
      <c r="H15" s="6" t="s">
        <v>311</v>
      </c>
      <c r="I15" s="6" t="s">
        <v>125</v>
      </c>
      <c r="J15" s="6" t="s">
        <v>346</v>
      </c>
      <c r="K15" s="6" t="s">
        <v>7</v>
      </c>
      <c r="L15" t="str">
        <f t="shared" si="0"/>
        <v xml:space="preserve">INSERT INTO T_CORE_MENU_EX (MENU_ID, MENU_APPS_CODE, MENU_GROUP_LABEL, MENU_GROUP_LABEL_OTH, MENU_NAME, MENU_NAME_OTH, MENU_SEQ, MENU_PATH, MENU_ICON, MENU_PARENT, MENU_STATUS, MENU_DT_CREATE, MENU_UID_CREATE, MENU_DT_LUPD, MENU_UID_LUPD) </v>
      </c>
      <c r="M15" t="str">
        <f t="shared" si="1"/>
        <v xml:space="preserve"> VALUES('CK_MT_050600','CK','','','Port Codes','Port Codes','50600','/master/port/list',NULL,'CK_MT_050000','A',NOW(),'SYS',NOW(),'SYS');</v>
      </c>
      <c r="N15" t="str">
        <f t="shared" si="2"/>
        <v>INSERT INTO T_CORE_MENU_EX (MENU_ID, MENU_APPS_CODE, MENU_GROUP_LABEL, MENU_GROUP_LABEL_OTH, MENU_NAME, MENU_NAME_OTH, MENU_SEQ, MENU_PATH, MENU_ICON, MENU_PARENT, MENU_STATUS, MENU_DT_CREATE, MENU_UID_CREATE, MENU_DT_LUPD, MENU_UID_LUPD)  VALUES('CK_MT_050600','CK','','','Port Codes','Port Codes','50600','/master/port/list',NULL,'CK_MT_050000','A',NOW(),'SYS',NOW(),'SYS');</v>
      </c>
      <c r="O15" s="6"/>
    </row>
    <row r="16" spans="1:15" s="3" customFormat="1" x14ac:dyDescent="0.2">
      <c r="A16" s="15" t="s">
        <v>353</v>
      </c>
      <c r="B16" s="3" t="s">
        <v>5</v>
      </c>
      <c r="C16" s="15"/>
      <c r="D16" s="15"/>
      <c r="E16" s="15" t="s">
        <v>313</v>
      </c>
      <c r="F16" s="15" t="s">
        <v>313</v>
      </c>
      <c r="G16" s="15">
        <v>50700</v>
      </c>
      <c r="H16" s="15" t="s">
        <v>314</v>
      </c>
      <c r="I16" s="15" t="s">
        <v>125</v>
      </c>
      <c r="J16" s="15" t="s">
        <v>346</v>
      </c>
      <c r="K16" s="15" t="s">
        <v>7</v>
      </c>
      <c r="L16" s="3" t="str">
        <f t="shared" si="0"/>
        <v xml:space="preserve">INSERT INTO T_CORE_MENU_EX (MENU_ID, MENU_APPS_CODE, MENU_GROUP_LABEL, MENU_GROUP_LABEL_OTH, MENU_NAME, MENU_NAME_OTH, MENU_SEQ, MENU_PATH, MENU_ICON, MENU_PARENT, MENU_STATUS, MENU_DT_CREATE, MENU_UID_CREATE, MENU_DT_LUPD, MENU_UID_LUPD) </v>
      </c>
      <c r="M16" s="3" t="str">
        <f t="shared" si="1"/>
        <v xml:space="preserve"> VALUES('CK_MT_050700','CK','','','Port Terminal','Port Terminal','50700','/master/portTerminal/list',NULL,'CK_MT_050000','A',NOW(),'SYS',NOW(),'SYS');</v>
      </c>
      <c r="N16" s="3" t="str">
        <f t="shared" si="2"/>
        <v>INSERT INTO T_CORE_MENU_EX (MENU_ID, MENU_APPS_CODE, MENU_GROUP_LABEL, MENU_GROUP_LABEL_OTH, MENU_NAME, MENU_NAME_OTH, MENU_SEQ, MENU_PATH, MENU_ICON, MENU_PARENT, MENU_STATUS, MENU_DT_CREATE, MENU_UID_CREATE, MENU_DT_LUPD, MENU_UID_LUPD)  VALUES('CK_MT_050700','CK','','','Port Terminal','Port Terminal','50700','/master/portTerminal/list',NULL,'CK_MT_050000','A',NOW(),'SYS',NOW(),'SYS');</v>
      </c>
      <c r="O16" s="15"/>
    </row>
    <row r="17" spans="1:15" x14ac:dyDescent="0.2">
      <c r="A17" s="6" t="s">
        <v>354</v>
      </c>
      <c r="B17" t="s">
        <v>5</v>
      </c>
      <c r="C17" s="6"/>
      <c r="D17" s="6"/>
      <c r="E17" s="6" t="s">
        <v>316</v>
      </c>
      <c r="F17" s="6" t="s">
        <v>316</v>
      </c>
      <c r="G17" s="6">
        <v>50800</v>
      </c>
      <c r="H17" s="6" t="s">
        <v>317</v>
      </c>
      <c r="I17" s="6" t="s">
        <v>125</v>
      </c>
      <c r="J17" s="6" t="s">
        <v>346</v>
      </c>
      <c r="K17" s="6" t="s">
        <v>7</v>
      </c>
      <c r="L17" t="str">
        <f t="shared" si="0"/>
        <v xml:space="preserve">INSERT INTO T_CORE_MENU_EX (MENU_ID, MENU_APPS_CODE, MENU_GROUP_LABEL, MENU_GROUP_LABEL_OTH, MENU_NAME, MENU_NAME_OTH, MENU_SEQ, MENU_PATH, MENU_ICON, MENU_PARENT, MENU_STATUS, MENU_DT_CREATE, MENU_UID_CREATE, MENU_DT_LUPD, MENU_UID_LUPD) </v>
      </c>
      <c r="M17" t="str">
        <f t="shared" si="1"/>
        <v xml:space="preserve"> VALUES('CK_MT_050800','CK','','','UOM Codes','UOM Codes','50800','/master/uom/list',NULL,'CK_MT_050000','A',NOW(),'SYS',NOW(),'SYS');</v>
      </c>
      <c r="N17" t="str">
        <f t="shared" si="2"/>
        <v>INSERT INTO T_CORE_MENU_EX (MENU_ID, MENU_APPS_CODE, MENU_GROUP_LABEL, MENU_GROUP_LABEL_OTH, MENU_NAME, MENU_NAME_OTH, MENU_SEQ, MENU_PATH, MENU_ICON, MENU_PARENT, MENU_STATUS, MENU_DT_CREATE, MENU_UID_CREATE, MENU_DT_LUPD, MENU_UID_LUPD)  VALUES('CK_MT_050800','CK','','','UOM Codes','UOM Codes','50800','/master/uom/list',NULL,'CK_MT_050000','A',NOW(),'SYS',NOW(),'SYS');</v>
      </c>
      <c r="O17" s="6"/>
    </row>
    <row r="18" spans="1:15" x14ac:dyDescent="0.2">
      <c r="A18" s="6" t="s">
        <v>355</v>
      </c>
      <c r="B18" t="s">
        <v>5</v>
      </c>
      <c r="C18" t="s">
        <v>264</v>
      </c>
      <c r="D18" t="s">
        <v>264</v>
      </c>
      <c r="E18" t="s">
        <v>264</v>
      </c>
      <c r="F18" t="s">
        <v>264</v>
      </c>
      <c r="G18">
        <v>60000</v>
      </c>
      <c r="H18" t="s">
        <v>125</v>
      </c>
      <c r="I18" t="s">
        <v>265</v>
      </c>
      <c r="J18" t="s">
        <v>125</v>
      </c>
      <c r="K18" s="6" t="s">
        <v>7</v>
      </c>
      <c r="L18" t="str">
        <f t="shared" si="0"/>
        <v xml:space="preserve">INSERT INTO T_CORE_MENU_EX (MENU_ID, MENU_APPS_CODE, MENU_GROUP_LABEL, MENU_GROUP_LABEL_OTH, MENU_NAME, MENU_NAME_OTH, MENU_SEQ, MENU_PATH, MENU_ICON, MENU_PARENT, MENU_STATUS, MENU_DT_CREATE, MENU_UID_CREATE, MENU_DT_LUPD, MENU_UID_LUPD) </v>
      </c>
      <c r="M18" t="str">
        <f t="shared" si="1"/>
        <v xml:space="preserve"> VALUES('CK_MSA_060000','CK','System Administrations','System Administrations','System Administrations','System Administrations','60000',NULL,'settings',NULL,'A',NOW(),'SYS',NOW(),'SYS');</v>
      </c>
      <c r="N18" t="str">
        <f t="shared" si="2"/>
        <v>INSERT INTO T_CORE_MENU_EX (MENU_ID, MENU_APPS_CODE, MENU_GROUP_LABEL, MENU_GROUP_LABEL_OTH, MENU_NAME, MENU_NAME_OTH, MENU_SEQ, MENU_PATH, MENU_ICON, MENU_PARENT, MENU_STATUS, MENU_DT_CREATE, MENU_UID_CREATE, MENU_DT_LUPD, MENU_UID_LUPD)  VALUES('CK_MSA_060000','CK','System Administrations','System Administrations','System Administrations','System Administrations','60000',NULL,'settings',NULL,'A',NOW(),'SYS',NOW(),'SYS');</v>
      </c>
      <c r="O18" s="6"/>
    </row>
    <row r="19" spans="1:15" x14ac:dyDescent="0.2">
      <c r="A19" s="6" t="s">
        <v>356</v>
      </c>
      <c r="B19" t="s">
        <v>5</v>
      </c>
      <c r="E19" t="s">
        <v>267</v>
      </c>
      <c r="F19" t="s">
        <v>267</v>
      </c>
      <c r="G19">
        <v>60100</v>
      </c>
      <c r="H19" t="s">
        <v>268</v>
      </c>
      <c r="I19" t="s">
        <v>125</v>
      </c>
      <c r="J19" s="6" t="s">
        <v>356</v>
      </c>
      <c r="K19" s="6" t="s">
        <v>7</v>
      </c>
      <c r="L19" t="str">
        <f t="shared" si="0"/>
        <v xml:space="preserve">INSERT INTO T_CORE_MENU_EX (MENU_ID, MENU_APPS_CODE, MENU_GROUP_LABEL, MENU_GROUP_LABEL_OTH, MENU_NAME, MENU_NAME_OTH, MENU_SEQ, MENU_PATH, MENU_ICON, MENU_PARENT, MENU_STATUS, MENU_DT_CREATE, MENU_UID_CREATE, MENU_DT_LUPD, MENU_UID_LUPD) </v>
      </c>
      <c r="M19" t="str">
        <f t="shared" si="1"/>
        <v xml:space="preserve"> VALUES('CK_MSA_060100','CK','','','Announcement Setup','Announcement Setup','60100','/configuration/announcement/list',NULL,'CK_MSA_060100','A',NOW(),'SYS',NOW(),'SYS');</v>
      </c>
      <c r="N19" t="str">
        <f t="shared" si="2"/>
        <v>INSERT INTO T_CORE_MENU_EX (MENU_ID, MENU_APPS_CODE, MENU_GROUP_LABEL, MENU_GROUP_LABEL_OTH, MENU_NAME, MENU_NAME_OTH, MENU_SEQ, MENU_PATH, MENU_ICON, MENU_PARENT, MENU_STATUS, MENU_DT_CREATE, MENU_UID_CREATE, MENU_DT_LUPD, MENU_UID_LUPD)  VALUES('CK_MSA_060100','CK','','','Announcement Setup','Announcement Setup','60100','/configuration/announcement/list',NULL,'CK_MSA_060100','A',NOW(),'SYS',NOW(),'SYS');</v>
      </c>
      <c r="O19" s="6"/>
    </row>
    <row r="20" spans="1:15" x14ac:dyDescent="0.2">
      <c r="A20" s="6" t="s">
        <v>357</v>
      </c>
      <c r="B20" t="s">
        <v>5</v>
      </c>
      <c r="E20" t="s">
        <v>270</v>
      </c>
      <c r="F20" t="s">
        <v>270</v>
      </c>
      <c r="G20">
        <v>60200</v>
      </c>
      <c r="H20" t="s">
        <v>271</v>
      </c>
      <c r="I20" t="s">
        <v>125</v>
      </c>
      <c r="J20" s="6" t="s">
        <v>356</v>
      </c>
      <c r="K20" s="6" t="s">
        <v>7</v>
      </c>
      <c r="L20" t="str">
        <f t="shared" si="0"/>
        <v xml:space="preserve">INSERT INTO T_CORE_MENU_EX (MENU_ID, MENU_APPS_CODE, MENU_GROUP_LABEL, MENU_GROUP_LABEL_OTH, MENU_NAME, MENU_NAME_OTH, MENU_SEQ, MENU_PATH, MENU_ICON, MENU_PARENT, MENU_STATUS, MENU_DT_CREATE, MENU_UID_CREATE, MENU_DT_LUPD, MENU_UID_LUPD) </v>
      </c>
      <c r="M20" t="str">
        <f t="shared" si="1"/>
        <v xml:space="preserve"> VALUES('CK_MSA_060200','CK','','','Notification Preferences','Notification Preferences','60200','/configuration/notification/preferences/list',NULL,'CK_MSA_060100','A',NOW(),'SYS',NOW(),'SYS');</v>
      </c>
      <c r="N20" t="str">
        <f t="shared" si="2"/>
        <v>INSERT INTO T_CORE_MENU_EX (MENU_ID, MENU_APPS_CODE, MENU_GROUP_LABEL, MENU_GROUP_LABEL_OTH, MENU_NAME, MENU_NAME_OTH, MENU_SEQ, MENU_PATH, MENU_ICON, MENU_PARENT, MENU_STATUS, MENU_DT_CREATE, MENU_UID_CREATE, MENU_DT_LUPD, MENU_UID_LUPD)  VALUES('CK_MSA_060200','CK','','','Notification Preferences','Notification Preferences','60200','/configuration/notification/preferences/list',NULL,'CK_MSA_060100','A',NOW(),'SYS',NOW(),'SYS');</v>
      </c>
      <c r="O20" s="6"/>
    </row>
    <row r="21" spans="1:15" x14ac:dyDescent="0.2">
      <c r="A21" s="6" t="s">
        <v>358</v>
      </c>
      <c r="B21" t="s">
        <v>5</v>
      </c>
      <c r="E21" t="s">
        <v>273</v>
      </c>
      <c r="F21" t="s">
        <v>273</v>
      </c>
      <c r="G21">
        <v>60300</v>
      </c>
      <c r="H21" t="s">
        <v>274</v>
      </c>
      <c r="I21" t="s">
        <v>125</v>
      </c>
      <c r="J21" s="6" t="s">
        <v>356</v>
      </c>
      <c r="K21" s="6" t="s">
        <v>7</v>
      </c>
      <c r="L21" t="str">
        <f t="shared" si="0"/>
        <v xml:space="preserve">INSERT INTO T_CORE_MENU_EX (MENU_ID, MENU_APPS_CODE, MENU_GROUP_LABEL, MENU_GROUP_LABEL_OTH, MENU_NAME, MENU_NAME_OTH, MENU_SEQ, MENU_PATH, MENU_ICON, MENU_PARENT, MENU_STATUS, MENU_DT_CREATE, MENU_UID_CREATE, MENU_DT_LUPD, MENU_UID_LUPD) </v>
      </c>
      <c r="M21" t="str">
        <f t="shared" si="1"/>
        <v xml:space="preserve"> VALUES('CK_MSA_060300','CK','','','System Parameters','System Parameters','60300','/administrations/sysparam/list',NULL,'CK_MSA_060100','A',NOW(),'SYS',NOW(),'SYS');</v>
      </c>
      <c r="N21" t="str">
        <f t="shared" si="2"/>
        <v>INSERT INTO T_CORE_MENU_EX (MENU_ID, MENU_APPS_CODE, MENU_GROUP_LABEL, MENU_GROUP_LABEL_OTH, MENU_NAME, MENU_NAME_OTH, MENU_SEQ, MENU_PATH, MENU_ICON, MENU_PARENT, MENU_STATUS, MENU_DT_CREATE, MENU_UID_CREATE, MENU_DT_LUPD, MENU_UID_LUPD)  VALUES('CK_MSA_060300','CK','','','System Parameters','System Parameters','60300','/administrations/sysparam/list',NULL,'CK_MSA_060100','A',NOW(),'SYS',NOW(),'SYS');</v>
      </c>
      <c r="O21" s="6"/>
    </row>
    <row r="22" spans="1:15" x14ac:dyDescent="0.2">
      <c r="A22" s="6" t="s">
        <v>359</v>
      </c>
      <c r="B22" t="s">
        <v>5</v>
      </c>
      <c r="E22" t="s">
        <v>276</v>
      </c>
      <c r="F22" t="s">
        <v>276</v>
      </c>
      <c r="G22">
        <v>60400</v>
      </c>
      <c r="H22" t="s">
        <v>277</v>
      </c>
      <c r="I22" t="s">
        <v>125</v>
      </c>
      <c r="J22" s="6" t="s">
        <v>356</v>
      </c>
      <c r="K22" s="6" t="s">
        <v>7</v>
      </c>
      <c r="L22" t="str">
        <f t="shared" si="0"/>
        <v xml:space="preserve">INSERT INTO T_CORE_MENU_EX (MENU_ID, MENU_APPS_CODE, MENU_GROUP_LABEL, MENU_GROUP_LABEL_OTH, MENU_NAME, MENU_NAME_OTH, MENU_SEQ, MENU_PATH, MENU_ICON, MENU_PARENT, MENU_STATUS, MENU_DT_CREATE, MENU_UID_CREATE, MENU_DT_LUPD, MENU_UID_LUPD) </v>
      </c>
      <c r="M22" t="str">
        <f t="shared" si="1"/>
        <v xml:space="preserve"> VALUES('CK_MSA_060400','CK','','','Audit Logs','Audit Logs','60400','/administrations/audit/list',NULL,'CK_MSA_060100','A',NOW(),'SYS',NOW(),'SYS');</v>
      </c>
      <c r="N22" t="str">
        <f t="shared" si="2"/>
        <v>INSERT INTO T_CORE_MENU_EX (MENU_ID, MENU_APPS_CODE, MENU_GROUP_LABEL, MENU_GROUP_LABEL_OTH, MENU_NAME, MENU_NAME_OTH, MENU_SEQ, MENU_PATH, MENU_ICON, MENU_PARENT, MENU_STATUS, MENU_DT_CREATE, MENU_UID_CREATE, MENU_DT_LUPD, MENU_UID_LUPD)  VALUES('CK_MSA_060400','CK','','','Audit Logs','Audit Logs','60400','/administrations/audit/list',NULL,'CK_MSA_060100','A',NOW(),'SYS',NOW(),'SYS');</v>
      </c>
      <c r="O22" s="6"/>
    </row>
    <row r="23" spans="1:15" x14ac:dyDescent="0.2">
      <c r="A23" s="6" t="s">
        <v>360</v>
      </c>
      <c r="B23" t="s">
        <v>5</v>
      </c>
      <c r="E23" t="s">
        <v>279</v>
      </c>
      <c r="F23" t="s">
        <v>279</v>
      </c>
      <c r="G23">
        <v>60500</v>
      </c>
      <c r="H23" t="s">
        <v>280</v>
      </c>
      <c r="I23" t="s">
        <v>125</v>
      </c>
      <c r="J23" s="6" t="s">
        <v>356</v>
      </c>
      <c r="K23" s="6" t="s">
        <v>7</v>
      </c>
      <c r="L23" t="str">
        <f t="shared" si="0"/>
        <v xml:space="preserve">INSERT INTO T_CORE_MENU_EX (MENU_ID, MENU_APPS_CODE, MENU_GROUP_LABEL, MENU_GROUP_LABEL_OTH, MENU_NAME, MENU_NAME_OTH, MENU_SEQ, MENU_PATH, MENU_ICON, MENU_PARENT, MENU_STATUS, MENU_DT_CREATE, MENU_UID_CREATE, MENU_DT_LUPD, MENU_UID_LUPD) </v>
      </c>
      <c r="M23" t="str">
        <f t="shared" si="1"/>
        <v xml:space="preserve"> VALUES('CK_MSA_060500','CK','','','Exceptions','Exceptions','60500','/administrations/exception/list',NULL,'CK_MSA_060100','A',NOW(),'SYS',NOW(),'SYS');</v>
      </c>
      <c r="N23" t="str">
        <f t="shared" si="2"/>
        <v>INSERT INTO T_CORE_MENU_EX (MENU_ID, MENU_APPS_CODE, MENU_GROUP_LABEL, MENU_GROUP_LABEL_OTH, MENU_NAME, MENU_NAME_OTH, MENU_SEQ, MENU_PATH, MENU_ICON, MENU_PARENT, MENU_STATUS, MENU_DT_CREATE, MENU_UID_CREATE, MENU_DT_LUPD, MENU_UID_LUPD)  VALUES('CK_MSA_060500','CK','','','Exceptions','Exceptions','60500','/administrations/exception/list',NULL,'CK_MSA_060100','A',NOW(),'SYS',NOW(),'SYS');</v>
      </c>
      <c r="O23" s="6"/>
    </row>
    <row r="24" spans="1:15" x14ac:dyDescent="0.2">
      <c r="A24" s="6" t="s">
        <v>361</v>
      </c>
      <c r="B24" t="s">
        <v>5</v>
      </c>
      <c r="E24" t="s">
        <v>282</v>
      </c>
      <c r="F24" t="s">
        <v>282</v>
      </c>
      <c r="G24">
        <v>60600</v>
      </c>
      <c r="H24" t="s">
        <v>283</v>
      </c>
      <c r="I24" t="s">
        <v>125</v>
      </c>
      <c r="J24" s="6" t="s">
        <v>356</v>
      </c>
      <c r="K24" s="6" t="s">
        <v>7</v>
      </c>
      <c r="L24" t="str">
        <f t="shared" si="0"/>
        <v xml:space="preserve">INSERT INTO T_CORE_MENU_EX (MENU_ID, MENU_APPS_CODE, MENU_GROUP_LABEL, MENU_GROUP_LABEL_OTH, MENU_NAME, MENU_NAME_OTH, MENU_SEQ, MENU_PATH, MENU_ICON, MENU_PARENT, MENU_STATUS, MENU_DT_CREATE, MENU_UID_CREATE, MENU_DT_LUPD, MENU_UID_LUPD) </v>
      </c>
      <c r="M24" t="str">
        <f t="shared" si="1"/>
        <v xml:space="preserve"> VALUES('CK_MSA_060600','CK','','','Manage All Users','Manage All Users','60600','/manageUsers/users/all/list',NULL,'CK_MSA_060100','A',NOW(),'SYS',NOW(),'SYS');</v>
      </c>
      <c r="N24" t="str">
        <f t="shared" si="2"/>
        <v>INSERT INTO T_CORE_MENU_EX (MENU_ID, MENU_APPS_CODE, MENU_GROUP_LABEL, MENU_GROUP_LABEL_OTH, MENU_NAME, MENU_NAME_OTH, MENU_SEQ, MENU_PATH, MENU_ICON, MENU_PARENT, MENU_STATUS, MENU_DT_CREATE, MENU_UID_CREATE, MENU_DT_LUPD, MENU_UID_LUPD)  VALUES('CK_MSA_060600','CK','','','Manage All Users','Manage All Users','60600','/manageUsers/users/all/list',NULL,'CK_MSA_060100','A',NOW(),'SYS',NOW(),'SYS');</v>
      </c>
      <c r="O24" s="6"/>
    </row>
    <row r="25" spans="1:15" x14ac:dyDescent="0.2">
      <c r="A25" s="6" t="s">
        <v>362</v>
      </c>
      <c r="B25" t="s">
        <v>5</v>
      </c>
      <c r="E25" t="s">
        <v>285</v>
      </c>
      <c r="F25" t="s">
        <v>285</v>
      </c>
      <c r="G25">
        <v>60700</v>
      </c>
      <c r="H25" t="s">
        <v>188</v>
      </c>
      <c r="I25" t="s">
        <v>125</v>
      </c>
      <c r="J25" s="6" t="s">
        <v>356</v>
      </c>
      <c r="K25" s="6" t="s">
        <v>7</v>
      </c>
      <c r="L25" t="str">
        <f t="shared" si="0"/>
        <v xml:space="preserve">INSERT INTO T_CORE_MENU_EX (MENU_ID, MENU_APPS_CODE, MENU_GROUP_LABEL, MENU_GROUP_LABEL_OTH, MENU_NAME, MENU_NAME_OTH, MENU_SEQ, MENU_PATH, MENU_ICON, MENU_PARENT, MENU_STATUS, MENU_DT_CREATE, MENU_UID_CREATE, MENU_DT_LUPD, MENU_UID_LUPD) </v>
      </c>
      <c r="M25" t="str">
        <f t="shared" si="1"/>
        <v xml:space="preserve"> VALUES('CK_MSA_060700','CK','','','Manage All Accounts','Manage All Accounts','60700','/manageAccounts/all/list',NULL,'CK_MSA_060100','A',NOW(),'SYS',NOW(),'SYS');</v>
      </c>
      <c r="N25" t="str">
        <f t="shared" si="2"/>
        <v>INSERT INTO T_CORE_MENU_EX (MENU_ID, MENU_APPS_CODE, MENU_GROUP_LABEL, MENU_GROUP_LABEL_OTH, MENU_NAME, MENU_NAME_OTH, MENU_SEQ, MENU_PATH, MENU_ICON, MENU_PARENT, MENU_STATUS, MENU_DT_CREATE, MENU_UID_CREATE, MENU_DT_LUPD, MENU_UID_LUPD)  VALUES('CK_MSA_060700','CK','','','Manage All Accounts','Manage All Accounts','60700','/manageAccounts/all/list',NULL,'CK_MSA_060100','A',NOW(),'SYS',NOW(),'SYS');</v>
      </c>
      <c r="O25" s="6"/>
    </row>
    <row r="27" spans="1:15" x14ac:dyDescent="0.2">
      <c r="A27" t="s">
        <v>126</v>
      </c>
      <c r="B27" t="s">
        <v>14</v>
      </c>
      <c r="C27" t="s">
        <v>127</v>
      </c>
      <c r="D27" t="s">
        <v>127</v>
      </c>
      <c r="E27" t="s">
        <v>127</v>
      </c>
      <c r="F27" t="s">
        <v>127</v>
      </c>
      <c r="G27">
        <v>10000</v>
      </c>
      <c r="H27" s="6" t="s">
        <v>128</v>
      </c>
      <c r="I27" t="s">
        <v>125</v>
      </c>
      <c r="J27" t="s">
        <v>125</v>
      </c>
      <c r="K27" t="s">
        <v>7</v>
      </c>
      <c r="L27" t="str">
        <f>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7" t="str">
        <f>CONCATENATE(" VALUES('",A27,"','",B27,"','",C27,"','",D27,"','",E27,"','",F27,"',",IF(G27="NULL","NULL",CONCATENATE("'",G27,"'")),",",IF(H27="NULL","NULL",CONCATENATE("'",H27,"'")),",",IF(I27="NULL","NULL",CONCATENATE("'",I27,"'")),",",IF(J27="NULL","NULL",CONCATENATE("'",J27,"'")),",'A',NOW(),'SYS',NOW(),'SYS');")</f>
        <v xml:space="preserve"> VALUES('CKT_MS_010000','CKT','Services','Services','Services','Services','10000','/',NULL,NULL,'A',NOW(),'SYS',NOW(),'SYS');</v>
      </c>
      <c r="N27" t="str">
        <f>CONCATENATE(L27,M27)</f>
        <v>INSERT INTO T_CORE_MENU_EX (MENU_ID, MENU_APPS_CODE, MENU_GROUP_LABEL, MENU_GROUP_LABEL_OTH, MENU_NAME, MENU_NAME_OTH, MENU_SEQ, MENU_PATH, MENU_ICON, MENU_PARENT, MENU_STATUS, MENU_DT_CREATE, MENU_UID_CREATE, MENU_DT_LUPD, MENU_UID_LUPD)  VALUES('CKT_MS_010000','CKT','Services','Services','Services','Services','10000','/',NULL,NULL,'A',NOW(),'SYS',NOW(),'SYS');</v>
      </c>
    </row>
    <row r="28" spans="1:15" x14ac:dyDescent="0.2">
      <c r="A28" t="s">
        <v>130</v>
      </c>
      <c r="B28" t="s">
        <v>14</v>
      </c>
      <c r="C28" t="s">
        <v>131</v>
      </c>
      <c r="D28" t="s">
        <v>131</v>
      </c>
      <c r="E28" t="s">
        <v>131</v>
      </c>
      <c r="F28" t="s">
        <v>131</v>
      </c>
      <c r="G28">
        <v>30000</v>
      </c>
      <c r="H28" s="6" t="s">
        <v>125</v>
      </c>
      <c r="I28" t="s">
        <v>240</v>
      </c>
      <c r="J28" t="s">
        <v>125</v>
      </c>
      <c r="K28" t="s">
        <v>7</v>
      </c>
      <c r="L28" t="str">
        <f t="shared" ref="L28:L35" si="3">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8" t="str">
        <f t="shared" ref="M28:M29" si="4">CONCATENATE(" VALUES('",A28,"','",B28,"','",C28,"','",D28,"','",E28,"','",F28,"',",IF(G28="NULL","NULL",CONCATENATE("'",G28,"'")),",",IF(H28="NULL","NULL",CONCATENATE("'",H28,"'")),",",IF(I28="NULL","NULL",CONCATENATE("'",I28,"'")),",",IF(J28="NULL","NULL",CONCATENATE("'",J28,"'")),",'A',NOW(),'SYS',NOW(),'SYS');")</f>
        <v xml:space="preserve"> VALUES('CKT_MA_030000','CKT','Administrations','Administrations','Administrations','Administrations','30000',NULL,'group',NULL,'A',NOW(),'SYS',NOW(),'SYS');</v>
      </c>
      <c r="N28" t="str">
        <f t="shared" ref="N28:N29" si="5">CONCATENATE(L28,M28)</f>
        <v>INSERT INTO T_CORE_MENU_EX (MENU_ID, MENU_APPS_CODE, MENU_GROUP_LABEL, MENU_GROUP_LABEL_OTH, MENU_NAME, MENU_NAME_OTH, MENU_SEQ, MENU_PATH, MENU_ICON, MENU_PARENT, MENU_STATUS, MENU_DT_CREATE, MENU_UID_CREATE, MENU_DT_LUPD, MENU_UID_LUPD)  VALUES('CKT_MA_030000','CKT','Administrations','Administrations','Administrations','Administrations','30000',NULL,'group',NULL,'A',NOW(),'SYS',NOW(),'SYS');</v>
      </c>
    </row>
    <row r="29" spans="1:15" x14ac:dyDescent="0.2">
      <c r="A29" t="s">
        <v>133</v>
      </c>
      <c r="B29" t="s">
        <v>14</v>
      </c>
      <c r="E29" t="s">
        <v>134</v>
      </c>
      <c r="F29" t="s">
        <v>134</v>
      </c>
      <c r="G29">
        <v>30100</v>
      </c>
      <c r="H29" s="6" t="s">
        <v>135</v>
      </c>
      <c r="I29" t="s">
        <v>125</v>
      </c>
      <c r="J29" t="s">
        <v>130</v>
      </c>
      <c r="K29" t="s">
        <v>7</v>
      </c>
      <c r="L29" t="str">
        <f t="shared" si="3"/>
        <v xml:space="preserve">INSERT INTO T_CORE_MENU_EX (MENU_ID, MENU_APPS_CODE, MENU_GROUP_LABEL, MENU_GROUP_LABEL_OTH, MENU_NAME, MENU_NAME_OTH, MENU_SEQ, MENU_PATH, MENU_ICON, MENU_PARENT, MENU_STATUS, MENU_DT_CREATE, MENU_UID_CREATE, MENU_DT_LUPD, MENU_UID_LUPD) </v>
      </c>
      <c r="M29" t="str">
        <f t="shared" si="4"/>
        <v xml:space="preserve"> VALUES('CKT_MA_030100','CKT','','','Manage Trucks','Manage Trucks','30100','/administrations/truck-management/list',NULL,'CKT_MA_030000','A',NOW(),'SYS',NOW(),'SYS');</v>
      </c>
      <c r="N29" t="str">
        <f t="shared" si="5"/>
        <v>INSERT INTO T_CORE_MENU_EX (MENU_ID, MENU_APPS_CODE, MENU_GROUP_LABEL, MENU_GROUP_LABEL_OTH, MENU_NAME, MENU_NAME_OTH, MENU_SEQ, MENU_PATH, MENU_ICON, MENU_PARENT, MENU_STATUS, MENU_DT_CREATE, MENU_UID_CREATE, MENU_DT_LUPD, MENU_UID_LUPD)  VALUES('CKT_MA_030100','CKT','','','Manage Trucks','Manage Trucks','30100','/administrations/truck-management/list',NULL,'CKT_MA_030000','A',NOW(),'SYS',NOW(),'SYS');</v>
      </c>
    </row>
    <row r="30" spans="1:15" x14ac:dyDescent="0.2">
      <c r="A30" t="s">
        <v>136</v>
      </c>
      <c r="B30" t="s">
        <v>14</v>
      </c>
      <c r="E30" t="s">
        <v>137</v>
      </c>
      <c r="F30" t="s">
        <v>137</v>
      </c>
      <c r="G30">
        <v>30200</v>
      </c>
      <c r="H30" s="6" t="s">
        <v>138</v>
      </c>
      <c r="I30" t="s">
        <v>125</v>
      </c>
      <c r="J30" t="s">
        <v>130</v>
      </c>
      <c r="K30" t="s">
        <v>7</v>
      </c>
      <c r="L30" t="str">
        <f t="shared" si="3"/>
        <v xml:space="preserve">INSERT INTO T_CORE_MENU_EX (MENU_ID, MENU_APPS_CODE, MENU_GROUP_LABEL, MENU_GROUP_LABEL_OTH, MENU_NAME, MENU_NAME_OTH, MENU_SEQ, MENU_PATH, MENU_ICON, MENU_PARENT, MENU_STATUS, MENU_DT_CREATE, MENU_UID_CREATE, MENU_DT_LUPD, MENU_UID_LUPD) </v>
      </c>
      <c r="M30" t="str">
        <f t="shared" ref="M30" si="6">CONCATENATE(" VALUES('",A30,"','",B30,"','",C30,"','",D30,"','",E30,"','",F30,"',",IF(G30="NULL","NULL",CONCATENATE("'",G30,"'")),",",IF(H30="NULL","NULL",CONCATENATE("'",H30,"'")),",",IF(I30="NULL","NULL",CONCATENATE("'",I30,"'")),",",IF(J30="NULL","NULL",CONCATENATE("'",J30,"'")),",'A',NOW(),'SYS',NOW(),'SYS');")</f>
        <v xml:space="preserve"> VALUES('CKT_MA_030200','CKT','','','Manage Drivers','Manage Drivers','30200','/administrations/driver-management/list',NULL,'CKT_MA_030000','A',NOW(),'SYS',NOW(),'SYS');</v>
      </c>
      <c r="N30" t="str">
        <f t="shared" ref="N30" si="7">CONCATENATE(L30,M30)</f>
        <v>INSERT INTO T_CORE_MENU_EX (MENU_ID, MENU_APPS_CODE, MENU_GROUP_LABEL, MENU_GROUP_LABEL_OTH, MENU_NAME, MENU_NAME_OTH, MENU_SEQ, MENU_PATH, MENU_ICON, MENU_PARENT, MENU_STATUS, MENU_DT_CREATE, MENU_UID_CREATE, MENU_DT_LUPD, MENU_UID_LUPD)  VALUES('CKT_MA_030200','CKT','','','Manage Drivers','Manage Drivers','30200','/administrations/driver-management/list',NULL,'CKT_MA_030000','A',NOW(),'SYS',NOW(),'SYS');</v>
      </c>
    </row>
    <row r="31" spans="1:15" x14ac:dyDescent="0.2">
      <c r="A31" t="s">
        <v>139</v>
      </c>
      <c r="B31" t="s">
        <v>14</v>
      </c>
      <c r="E31" t="s">
        <v>140</v>
      </c>
      <c r="F31" t="s">
        <v>140</v>
      </c>
      <c r="G31">
        <v>30300</v>
      </c>
      <c r="H31" s="6" t="s">
        <v>141</v>
      </c>
      <c r="I31" t="s">
        <v>125</v>
      </c>
      <c r="J31" t="s">
        <v>130</v>
      </c>
      <c r="K31" t="s">
        <v>7</v>
      </c>
      <c r="L31" t="str">
        <f t="shared" si="3"/>
        <v xml:space="preserve">INSERT INTO T_CORE_MENU_EX (MENU_ID, MENU_APPS_CODE, MENU_GROUP_LABEL, MENU_GROUP_LABEL_OTH, MENU_NAME, MENU_NAME_OTH, MENU_SEQ, MENU_PATH, MENU_ICON, MENU_PARENT, MENU_STATUS, MENU_DT_CREATE, MENU_UID_CREATE, MENU_DT_LUPD, MENU_UID_LUPD) </v>
      </c>
      <c r="M31" t="str">
        <f t="shared" ref="M31" si="8">CONCATENATE(" VALUES('",A31,"','",B31,"','",C31,"','",D31,"','",E31,"','",F31,"',",IF(G31="NULL","NULL",CONCATENATE("'",G31,"'")),",",IF(H31="NULL","NULL",CONCATENATE("'",H31,"'")),",",IF(I31="NULL","NULL",CONCATENATE("'",I31,"'")),",",IF(J31="NULL","NULL",CONCATENATE("'",J31,"'")),",'A',NOW(),'SYS',NOW(),'SYS');")</f>
        <v xml:space="preserve"> VALUES('CKT_MA_030300','CKT','','','Manage Locations','Manage Locations','30300','/administrations/location-management/list',NULL,'CKT_MA_030000','A',NOW(),'SYS',NOW(),'SYS');</v>
      </c>
      <c r="N31" t="str">
        <f t="shared" ref="N31" si="9">CONCATENATE(L31,M31)</f>
        <v>INSERT INTO T_CORE_MENU_EX (MENU_ID, MENU_APPS_CODE, MENU_GROUP_LABEL, MENU_GROUP_LABEL_OTH, MENU_NAME, MENU_NAME_OTH, MENU_SEQ, MENU_PATH, MENU_ICON, MENU_PARENT, MENU_STATUS, MENU_DT_CREATE, MENU_UID_CREATE, MENU_DT_LUPD, MENU_UID_LUPD)  VALUES('CKT_MA_030300','CKT','','','Manage Locations','Manage Locations','30300','/administrations/location-management/list',NULL,'CKT_MA_030000','A',NOW(),'SYS',NOW(),'SYS');</v>
      </c>
    </row>
    <row r="32" spans="1:15" x14ac:dyDescent="0.2">
      <c r="A32" t="s">
        <v>142</v>
      </c>
      <c r="B32" t="s">
        <v>14</v>
      </c>
      <c r="E32" t="s">
        <v>143</v>
      </c>
      <c r="F32" t="s">
        <v>143</v>
      </c>
      <c r="G32">
        <v>30400</v>
      </c>
      <c r="H32" s="6" t="s">
        <v>144</v>
      </c>
      <c r="I32" t="s">
        <v>125</v>
      </c>
      <c r="J32" t="s">
        <v>130</v>
      </c>
      <c r="K32" t="s">
        <v>7</v>
      </c>
      <c r="L32" t="str">
        <f t="shared" si="3"/>
        <v xml:space="preserve">INSERT INTO T_CORE_MENU_EX (MENU_ID, MENU_APPS_CODE, MENU_GROUP_LABEL, MENU_GROUP_LABEL_OTH, MENU_NAME, MENU_NAME_OTH, MENU_SEQ, MENU_PATH, MENU_ICON, MENU_PARENT, MENU_STATUS, MENU_DT_CREATE, MENU_UID_CREATE, MENU_DT_LUPD, MENU_UID_LUPD) </v>
      </c>
      <c r="M32" t="str">
        <f t="shared" ref="M32" si="10">CONCATENATE(" VALUES('",A32,"','",B32,"','",C32,"','",D32,"','",E32,"','",F32,"',",IF(G32="NULL","NULL",CONCATENATE("'",G32,"'")),",",IF(H32="NULL","NULL",CONCATENATE("'",H32,"'")),",",IF(I32="NULL","NULL",CONCATENATE("'",I32,"'")),",",IF(J32="NULL","NULL",CONCATENATE("'",J32,"'")),",'A',NOW(),'SYS',NOW(),'SYS');")</f>
        <v xml:space="preserve"> VALUES('CKT_MA_030400','CKT','','','Manage Rentals','Manage Rentals','30400','/administrations/rental-management/list',NULL,'CKT_MA_030000','A',NOW(),'SYS',NOW(),'SYS');</v>
      </c>
      <c r="N32" t="str">
        <f t="shared" ref="N32" si="11">CONCATENATE(L32,M32)</f>
        <v>INSERT INTO T_CORE_MENU_EX (MENU_ID, MENU_APPS_CODE, MENU_GROUP_LABEL, MENU_GROUP_LABEL_OTH, MENU_NAME, MENU_NAME_OTH, MENU_SEQ, MENU_PATH, MENU_ICON, MENU_PARENT, MENU_STATUS, MENU_DT_CREATE, MENU_UID_CREATE, MENU_DT_LUPD, MENU_UID_LUPD)  VALUES('CKT_MA_030400','CKT','','','Manage Rentals','Manage Rentals','30400','/administrations/rental-management/list',NULL,'CKT_MA_030000','A',NOW(),'SYS',NOW(),'SYS');</v>
      </c>
    </row>
    <row r="33" spans="1:14" x14ac:dyDescent="0.2">
      <c r="A33" t="s">
        <v>145</v>
      </c>
      <c r="B33" t="s">
        <v>14</v>
      </c>
      <c r="E33" t="s">
        <v>146</v>
      </c>
      <c r="F33" t="s">
        <v>146</v>
      </c>
      <c r="G33">
        <v>30500</v>
      </c>
      <c r="H33" s="6" t="s">
        <v>363</v>
      </c>
      <c r="I33" t="s">
        <v>125</v>
      </c>
      <c r="J33" t="s">
        <v>130</v>
      </c>
      <c r="K33" t="s">
        <v>7</v>
      </c>
      <c r="L33" t="str">
        <f t="shared" si="3"/>
        <v xml:space="preserve">INSERT INTO T_CORE_MENU_EX (MENU_ID, MENU_APPS_CODE, MENU_GROUP_LABEL, MENU_GROUP_LABEL_OTH, MENU_NAME, MENU_NAME_OTH, MENU_SEQ, MENU_PATH, MENU_ICON, MENU_PARENT, MENU_STATUS, MENU_DT_CREATE, MENU_UID_CREATE, MENU_DT_LUPD, MENU_UID_LUPD) </v>
      </c>
      <c r="M33" t="str">
        <f t="shared" ref="M33:M34" si="12">CONCATENATE(" VALUES('",A33,"','",B33,"','",C33,"','",D33,"','",E33,"','",F33,"',",IF(G33="NULL","NULL",CONCATENATE("'",G33,"'")),",",IF(H33="NULL","NULL",CONCATENATE("'",H33,"'")),",",IF(I33="NULL","NULL",CONCATENATE("'",I33,"'")),",",IF(J33="NULL","NULL",CONCATENATE("'",J33,"'")),",'A',NOW(),'SYS',NOW(),'SYS');")</f>
        <v xml:space="preserve"> VALUES('CKT_MA_030500','CKT','','','Manage Rate Table','Manage Rate Table','30500','/administrations/contract-management/list',NULL,'CKT_MA_030000','A',NOW(),'SYS',NOW(),'SYS');</v>
      </c>
      <c r="N33" t="str">
        <f t="shared" ref="N33:N34" si="13">CONCATENATE(L33,M33)</f>
        <v>INSERT INTO T_CORE_MENU_EX (MENU_ID, MENU_APPS_CODE, MENU_GROUP_LABEL, MENU_GROUP_LABEL_OTH, MENU_NAME, MENU_NAME_OTH, MENU_SEQ, MENU_PATH, MENU_ICON, MENU_PARENT, MENU_STATUS, MENU_DT_CREATE, MENU_UID_CREATE, MENU_DT_LUPD, MENU_UID_LUPD)  VALUES('CKT_MA_030500','CKT','','','Manage Rate Table','Manage Rate Table','30500','/administrations/contract-management/list',NULL,'CKT_MA_030000','A',NOW(),'SYS',NOW(),'SYS');</v>
      </c>
    </row>
    <row r="34" spans="1:14" x14ac:dyDescent="0.2">
      <c r="A34" t="s">
        <v>364</v>
      </c>
      <c r="B34" t="s">
        <v>14</v>
      </c>
      <c r="E34" t="s">
        <v>365</v>
      </c>
      <c r="F34" t="s">
        <v>365</v>
      </c>
      <c r="G34">
        <v>40000</v>
      </c>
      <c r="H34" s="6" t="s">
        <v>363</v>
      </c>
      <c r="I34" t="s">
        <v>125</v>
      </c>
      <c r="J34" t="s">
        <v>125</v>
      </c>
      <c r="K34" t="s">
        <v>7</v>
      </c>
      <c r="L34" t="str">
        <f t="shared" si="3"/>
        <v xml:space="preserve">INSERT INTO T_CORE_MENU_EX (MENU_ID, MENU_APPS_CODE, MENU_GROUP_LABEL, MENU_GROUP_LABEL_OTH, MENU_NAME, MENU_NAME_OTH, MENU_SEQ, MENU_PATH, MENU_ICON, MENU_PARENT, MENU_STATUS, MENU_DT_CREATE, MENU_UID_CREATE, MENU_DT_LUPD, MENU_UID_LUPD) </v>
      </c>
      <c r="M34" t="str">
        <f t="shared" si="12"/>
        <v xml:space="preserve"> VALUES('CKT_MA_040000','CKT','','','Manage Contracts','Manage Contracts','40000','/administrations/contract-management/list',NULL,NULL,'A',NOW(),'SYS',NOW(),'SYS');</v>
      </c>
      <c r="N34" t="str">
        <f t="shared" si="13"/>
        <v>INSERT INTO T_CORE_MENU_EX (MENU_ID, MENU_APPS_CODE, MENU_GROUP_LABEL, MENU_GROUP_LABEL_OTH, MENU_NAME, MENU_NAME_OTH, MENU_SEQ, MENU_PATH, MENU_ICON, MENU_PARENT, MENU_STATUS, MENU_DT_CREATE, MENU_UID_CREATE, MENU_DT_LUPD, MENU_UID_LUPD)  VALUES('CKT_MA_040000','CKT','','','Manage Contracts','Manage Contracts','40000','/administrations/contract-management/list',NULL,NULL,'A',NOW(),'SYS',NOW(),'SYS');</v>
      </c>
    </row>
    <row r="35" spans="1:14" x14ac:dyDescent="0.2">
      <c r="A35" t="s">
        <v>366</v>
      </c>
      <c r="B35" t="s">
        <v>14</v>
      </c>
      <c r="C35" t="s">
        <v>122</v>
      </c>
      <c r="D35" t="s">
        <v>122</v>
      </c>
      <c r="E35" t="s">
        <v>122</v>
      </c>
      <c r="F35" t="s">
        <v>122</v>
      </c>
      <c r="G35">
        <v>80000</v>
      </c>
      <c r="H35" t="s">
        <v>123</v>
      </c>
      <c r="I35" t="s">
        <v>125</v>
      </c>
      <c r="J35" t="s">
        <v>125</v>
      </c>
      <c r="K35" t="s">
        <v>7</v>
      </c>
      <c r="L35" t="str">
        <f t="shared" si="3"/>
        <v xml:space="preserve">INSERT INTO T_CORE_MENU_EX (MENU_ID, MENU_APPS_CODE, MENU_GROUP_LABEL, MENU_GROUP_LABEL_OTH, MENU_NAME, MENU_NAME_OTH, MENU_SEQ, MENU_PATH, MENU_ICON, MENU_PARENT, MENU_STATUS, MENU_DT_CREATE, MENU_UID_CREATE, MENU_DT_LUPD, MENU_UID_LUPD) </v>
      </c>
      <c r="M35" t="str">
        <f t="shared" ref="M35" si="14">CONCATENATE(" VALUES('",A35,"','",B35,"','",C35,"','",D35,"','",E35,"','",F35,"',",IF(G35="NULL","NULL",CONCATENATE("'",G35,"'")),",",IF(H35="NULL","NULL",CONCATENATE("'",H35,"'")),",",IF(I35="NULL","NULL",CONCATENATE("'",I35,"'")),",",IF(J35="NULL","NULL",CONCATENATE("'",J35,"'")),",'A',NOW(),'SYS',NOW(),'SYS');")</f>
        <v xml:space="preserve"> VALUES('CKT_MH_080000','CKT','Help','Help','Help','Help','80000','/help',NULL,NULL,'A',NOW(),'SYS',NOW(),'SYS');</v>
      </c>
      <c r="N35" t="str">
        <f t="shared" ref="N35" si="15">CONCATENATE(L35,M35)</f>
        <v>INSERT INTO T_CORE_MENU_EX (MENU_ID, MENU_APPS_CODE, MENU_GROUP_LABEL, MENU_GROUP_LABEL_OTH, MENU_NAME, MENU_NAME_OTH, MENU_SEQ, MENU_PATH, MENU_ICON, MENU_PARENT, MENU_STATUS, MENU_DT_CREATE, MENU_UID_CREATE, MENU_DT_LUPD, MENU_UID_LUPD)  VALUES('CKT_MH_080000','CKT','Help','Help','Help','Help','80000','/help',NULL,NULL,'A',NOW(),'SYS',NOW(),'SYS');</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82"/>
  <sheetViews>
    <sheetView zoomScale="120" zoomScaleNormal="120" workbookViewId="0">
      <pane ySplit="1" topLeftCell="A3" activePane="bottomLeft" state="frozen"/>
      <selection pane="bottomLeft" activeCell="A23" sqref="A23"/>
    </sheetView>
  </sheetViews>
  <sheetFormatPr baseColWidth="10" defaultColWidth="11" defaultRowHeight="16" x14ac:dyDescent="0.2"/>
  <cols>
    <col min="1" max="1" width="8.6640625" customWidth="1"/>
    <col min="2" max="2" width="13.1640625" customWidth="1"/>
    <col min="3" max="3" width="11.1640625" customWidth="1"/>
    <col min="4" max="4" width="14.33203125" customWidth="1"/>
    <col min="5" max="5" width="11" customWidth="1"/>
    <col min="6" max="6" width="13.83203125" customWidth="1"/>
    <col min="7" max="7" width="18" customWidth="1"/>
    <col min="8" max="8" width="16.83203125" customWidth="1"/>
    <col min="9" max="9" width="23.1640625" customWidth="1"/>
    <col min="10" max="10" width="15.5" customWidth="1"/>
    <col min="11" max="11" width="16" customWidth="1"/>
    <col min="12" max="12" width="13.33203125" customWidth="1"/>
    <col min="13" max="14" width="23.1640625" customWidth="1"/>
    <col min="15" max="15" width="13.1640625" customWidth="1"/>
    <col min="16" max="17" width="16" customWidth="1"/>
    <col min="18" max="18" width="13.5" customWidth="1"/>
    <col min="19" max="19" width="16.6640625" customWidth="1"/>
    <col min="20" max="20" width="17.5" customWidth="1"/>
    <col min="21" max="21" width="14.5" customWidth="1"/>
    <col min="22" max="22" width="15.33203125" customWidth="1"/>
  </cols>
  <sheetData>
    <row r="1" spans="1:23" x14ac:dyDescent="0.2">
      <c r="A1" s="7" t="s">
        <v>367</v>
      </c>
      <c r="B1" s="7" t="s">
        <v>368</v>
      </c>
      <c r="C1" s="7" t="s">
        <v>369</v>
      </c>
      <c r="D1" s="7" t="s">
        <v>370</v>
      </c>
      <c r="E1" s="7" t="s">
        <v>371</v>
      </c>
      <c r="F1" s="7" t="s">
        <v>372</v>
      </c>
      <c r="G1" s="7" t="s">
        <v>373</v>
      </c>
      <c r="H1" s="7" t="s">
        <v>374</v>
      </c>
      <c r="I1" s="7" t="s">
        <v>375</v>
      </c>
      <c r="J1" s="7" t="s">
        <v>376</v>
      </c>
      <c r="K1" s="7" t="s">
        <v>377</v>
      </c>
      <c r="L1" s="7" t="s">
        <v>378</v>
      </c>
      <c r="M1" s="7" t="s">
        <v>379</v>
      </c>
      <c r="N1" s="7" t="s">
        <v>380</v>
      </c>
      <c r="O1" s="7" t="s">
        <v>381</v>
      </c>
      <c r="P1" s="7"/>
      <c r="Q1" s="7"/>
      <c r="R1" s="7"/>
      <c r="S1" s="7"/>
      <c r="T1" s="7"/>
      <c r="U1" s="7"/>
      <c r="V1" s="7"/>
      <c r="W1" s="7"/>
    </row>
    <row r="2" spans="1:23" x14ac:dyDescent="0.2">
      <c r="A2" t="s">
        <v>382</v>
      </c>
      <c r="B2" t="s">
        <v>383</v>
      </c>
      <c r="C2" t="s">
        <v>30</v>
      </c>
      <c r="D2" t="s">
        <v>125</v>
      </c>
      <c r="E2" t="s">
        <v>384</v>
      </c>
      <c r="F2" t="s">
        <v>125</v>
      </c>
      <c r="G2" t="s">
        <v>125</v>
      </c>
      <c r="H2" t="s">
        <v>286</v>
      </c>
      <c r="I2" t="str">
        <f>VLOOKUP(H2,Menu_EX_CK2!$A$1:$F$93,6,FALSE)</f>
        <v>DO Claim</v>
      </c>
      <c r="J2" t="s">
        <v>125</v>
      </c>
      <c r="K2" t="s">
        <v>125</v>
      </c>
      <c r="L2" t="s">
        <v>125</v>
      </c>
      <c r="M2" t="str">
        <f>I2</f>
        <v>DO Claim</v>
      </c>
      <c r="N2" t="str">
        <f>M2</f>
        <v>DO Claim</v>
      </c>
      <c r="O2" t="s">
        <v>385</v>
      </c>
      <c r="P2" s="11" t="s">
        <v>386</v>
      </c>
      <c r="Q2" s="11" t="str">
        <f t="array" ref="Q2">CONCATENATE(" VALUES ('",A2,"', '",B2,"', '",C2,"', ",IF(D2="NULL","NULL",CONCATENATE("'",D2,"'")),", '",E2,"', ",IFERROR(F2,NULL),", NULL, '",H2,"', '",I2,"', '",M2,"','",N2,"','",O2,"', '2021-04-14 11:08:00', '2999-12-31 23:59:59', 'A', '2021-04-14 11:08:00', 'SYS', '2021-04-14 11:08:00', 'SYS');")</f>
        <v xml:space="preserve"> VALUES ('PM000', 'Y', 'CKDO', NULL, 'M', NULL, NULL, 'CKDO_MS_010000', 'DO Claim', 'DO Claim','DO Claim','R', '2021-04-14 11:08:00', '2999-12-31 23:59:59', 'A', '2021-04-14 11:08:00', 'SYS', '2021-04-14 11:08:00', 'SYS');</v>
      </c>
      <c r="R2" t="str">
        <f>CONCATENATE(P2,Q2)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('PM000', 'Y', 'CKDO', NULL, 'M', NULL, NULL, 'CKDO_MS_010000', 'DO Claim', 'DO Claim','DO Claim','R', '2021-04-14 11:08:00', '2999-12-31 23:59:59', 'A', '2021-04-14 11:08:00', 'SYS', '2021-04-14 11:08:00', 'SYS');</v>
      </c>
      <c r="S2" s="12"/>
      <c r="U2" s="12"/>
    </row>
    <row r="3" spans="1:23" x14ac:dyDescent="0.2">
      <c r="A3" t="s">
        <v>387</v>
      </c>
      <c r="B3" t="s">
        <v>383</v>
      </c>
      <c r="C3" t="s">
        <v>30</v>
      </c>
      <c r="D3" t="s">
        <v>125</v>
      </c>
      <c r="E3" t="s">
        <v>384</v>
      </c>
      <c r="F3" t="s">
        <v>125</v>
      </c>
      <c r="G3" t="s">
        <v>125</v>
      </c>
      <c r="H3" t="s">
        <v>249</v>
      </c>
      <c r="I3" t="str">
        <f>VLOOKUP(H3,Menu_EX_CK2!$A$1:$F$93,6,FALSE)</f>
        <v>DO Payments</v>
      </c>
      <c r="J3" t="s">
        <v>125</v>
      </c>
      <c r="K3" t="s">
        <v>125</v>
      </c>
      <c r="L3" t="s">
        <v>125</v>
      </c>
      <c r="M3" t="str">
        <f t="shared" ref="M3:M64" si="0">I3</f>
        <v>DO Payments</v>
      </c>
      <c r="N3" t="str">
        <f t="shared" ref="N3:N64" si="1">M3</f>
        <v>DO Payments</v>
      </c>
      <c r="O3" t="s">
        <v>385</v>
      </c>
      <c r="P3" s="11" t="s">
        <v>386</v>
      </c>
      <c r="Q3" s="11" t="str">
        <f t="array" ref="Q3">CONCATENATE(" VALUES ('",A3,"', '",B3,"', '",C3,"', ",IF(D3="NULL","NULL",CONCATENATE("'",D3,"'")),", '",E3,"', ",IFERROR(F3,NULL),", NULL, '",H3,"', '",I3,"', '",M3,"','",N3,"','",O3,"', '2021-04-14 11:08:00', '2999-12-31 23:59:59', 'A', '2021-04-14 11:08:00', 'SYS', '2021-04-14 11:08:00', 'SYS');")</f>
        <v xml:space="preserve"> VALUES ('PM001', 'Y', 'CKDO', NULL, 'M', NULL, NULL, 'CKDO_MP_020000', 'DO Payments', 'DO Payments','DO Payments','R', '2021-04-14 11:08:00', '2999-12-31 23:59:59', 'A', '2021-04-14 11:08:00', 'SYS', '2021-04-14 11:08:00', 'SYS');</v>
      </c>
      <c r="R3" t="str">
        <f t="shared" ref="R3:R66" si="2">CONCATENATE(P3,Q3)</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('PM001', 'Y', 'CKDO', NULL, 'M', NULL, NULL, 'CKDO_MP_020000', 'DO Payments', 'DO Payments','DO Payments','R', '2021-04-14 11:08:00', '2999-12-31 23:59:59', 'A', '2021-04-14 11:08:00', 'SYS', '2021-04-14 11:08:00', 'SYS');</v>
      </c>
      <c r="S3" s="12"/>
      <c r="U3" s="12"/>
    </row>
    <row r="4" spans="1:23" x14ac:dyDescent="0.2">
      <c r="A4" t="s">
        <v>388</v>
      </c>
      <c r="B4" t="s">
        <v>383</v>
      </c>
      <c r="C4" t="s">
        <v>30</v>
      </c>
      <c r="D4" t="s">
        <v>125</v>
      </c>
      <c r="E4" t="s">
        <v>384</v>
      </c>
      <c r="F4" t="s">
        <v>125</v>
      </c>
      <c r="G4" t="s">
        <v>125</v>
      </c>
      <c r="H4" t="s">
        <v>239</v>
      </c>
      <c r="I4" t="str">
        <f>VLOOKUP(H4,Menu_EX_CK2!$A$1:$F$93,6,FALSE)</f>
        <v>Administrations</v>
      </c>
      <c r="J4" t="s">
        <v>125</v>
      </c>
      <c r="K4" t="s">
        <v>125</v>
      </c>
      <c r="L4" t="s">
        <v>125</v>
      </c>
      <c r="M4" t="str">
        <f t="shared" si="0"/>
        <v>Administrations</v>
      </c>
      <c r="N4" t="str">
        <f t="shared" si="1"/>
        <v>Administrations</v>
      </c>
      <c r="O4" t="s">
        <v>385</v>
      </c>
      <c r="P4" s="11" t="s">
        <v>386</v>
      </c>
      <c r="Q4" s="11" t="str">
        <f t="array" ref="Q4">CONCATENATE(" VALUES ('",A4,"', '",B4,"', '",C4,"', ",IF(D4="NULL","NULL",CONCATENATE("'",D4,"'")),", '",E4,"', ",IFERROR(F4,NULL),", NULL, '",H4,"', '",I4,"', '",M4,"','",N4,"','",O4,"', '2021-04-14 11:08:00', '2999-12-31 23:59:59', 'A', '2021-04-14 11:08:00', 'SYS', '2021-04-14 11:08:00', 'SYS');")</f>
        <v xml:space="preserve"> VALUES ('PM002', 'Y', 'CKDO', NULL, 'M', NULL, NULL, 'CKDO_MA_030000', 'Administrations', 'Administrations','Administrations','R', '2021-04-14 11:08:00', '2999-12-31 23:59:59', 'A', '2021-04-14 11:08:00', 'SYS', '2021-04-14 11:08:00', 'SYS');</v>
      </c>
      <c r="R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('PM002', 'Y', 'CKDO', NULL, 'M', NULL, NULL, 'CKDO_MA_030000', 'Administrations', 'Administrations','Administrations','R', '2021-04-14 11:08:00', '2999-12-31 23:59:59', 'A', '2021-04-14 11:08:00', 'SYS', '2021-04-14 11:08:00', 'SYS');</v>
      </c>
      <c r="S4" s="12"/>
      <c r="U4" s="12"/>
    </row>
    <row r="5" spans="1:23" x14ac:dyDescent="0.2">
      <c r="A5" t="s">
        <v>389</v>
      </c>
      <c r="B5" t="s">
        <v>44</v>
      </c>
      <c r="C5" t="s">
        <v>30</v>
      </c>
      <c r="D5" t="s">
        <v>125</v>
      </c>
      <c r="E5" t="s">
        <v>384</v>
      </c>
      <c r="F5" t="s">
        <v>125</v>
      </c>
      <c r="G5" t="s">
        <v>125</v>
      </c>
      <c r="H5" t="s">
        <v>241</v>
      </c>
      <c r="I5" t="str">
        <f>VLOOKUP(H5,Menu_EX_CK2!$A$1:$F$93,6,FALSE)</f>
        <v>Account Profile</v>
      </c>
      <c r="J5" t="s">
        <v>125</v>
      </c>
      <c r="K5" t="s">
        <v>125</v>
      </c>
      <c r="L5" t="s">
        <v>125</v>
      </c>
      <c r="M5" t="str">
        <f t="shared" si="0"/>
        <v>Account Profile</v>
      </c>
      <c r="N5" t="str">
        <f t="shared" si="1"/>
        <v>Account Profile</v>
      </c>
      <c r="O5" t="s">
        <v>385</v>
      </c>
      <c r="P5" s="11" t="s">
        <v>386</v>
      </c>
      <c r="Q5" s="11" t="str">
        <f t="array" ref="Q5">CONCATENATE(" VALUES ('",A5,"', '",B5,"', '",C5,"', ",IF(D5="NULL","NULL",CONCATENATE("'",D5,"'")),", '",E5,"', ",IFERROR(F5,NULL),", NULL, '",H5,"', '",I5,"', '",M5,"','",N5,"','",O5,"', '2021-04-14 11:08:00', '2999-12-31 23:59:59', 'A', '2021-04-14 11:08:00', 'SYS', '2021-04-14 11:08:00', 'SYS');")</f>
        <v xml:space="preserve"> VALUES ('PM003', 'N', 'CKDO', NULL, 'M', NULL, NULL, 'CKDO_MA_030100', 'Account Profile', 'Account Profile','Account Profile','R', '2021-04-14 11:08:00', '2999-12-31 23:59:59', 'A', '2021-04-14 11:08:00', 'SYS', '2021-04-14 11:08:00', 'SYS');</v>
      </c>
      <c r="R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('PM003', 'N', 'CKDO', NULL, 'M', NULL, NULL, 'CKDO_MA_030100', 'Account Profile', 'Account Profile','Account Profile','R', '2021-04-14 11:08:00', '2999-12-31 23:59:59', 'A', '2021-04-14 11:08:00', 'SYS', '2021-04-14 11:08:00', 'SYS');</v>
      </c>
      <c r="S5" s="12"/>
      <c r="U5" s="12"/>
    </row>
    <row r="6" spans="1:23" x14ac:dyDescent="0.2">
      <c r="A6" t="s">
        <v>390</v>
      </c>
      <c r="B6" t="s">
        <v>44</v>
      </c>
      <c r="C6" t="s">
        <v>30</v>
      </c>
      <c r="D6" t="s">
        <v>125</v>
      </c>
      <c r="E6" t="s">
        <v>384</v>
      </c>
      <c r="F6" t="s">
        <v>125</v>
      </c>
      <c r="G6" t="s">
        <v>125</v>
      </c>
      <c r="H6" t="s">
        <v>243</v>
      </c>
      <c r="I6" t="str">
        <f>VLOOKUP(H6,Menu_EX_CK2!$A$1:$F$93,6,FALSE)</f>
        <v>Users</v>
      </c>
      <c r="J6" t="s">
        <v>125</v>
      </c>
      <c r="K6" t="s">
        <v>125</v>
      </c>
      <c r="L6" t="s">
        <v>125</v>
      </c>
      <c r="M6" t="str">
        <f t="shared" si="0"/>
        <v>Users</v>
      </c>
      <c r="N6" t="str">
        <f t="shared" si="1"/>
        <v>Users</v>
      </c>
      <c r="O6" t="s">
        <v>385</v>
      </c>
      <c r="P6" s="11" t="s">
        <v>386</v>
      </c>
      <c r="Q6" s="11" t="str">
        <f t="array" ref="Q6">CONCATENATE(" VALUES ('",A6,"', '",B6,"', '",C6,"', ",IF(D6="NULL","NULL",CONCATENATE("'",D6,"'")),", '",E6,"', ",IFERROR(F6,NULL),", NULL, '",H6,"', '",I6,"', '",M6,"','",N6,"','",O6,"', '2021-04-14 11:08:00', '2999-12-31 23:59:59', 'A', '2021-04-14 11:08:00', 'SYS', '2021-04-14 11:08:00', 'SYS');")</f>
        <v xml:space="preserve"> VALUES ('PM004', 'N', 'CKDO', NULL, 'M', NULL, NULL, 'CKDO_MA_030200', 'Users', 'Users','Users','R', '2021-04-14 11:08:00', '2999-12-31 23:59:59', 'A', '2021-04-14 11:08:00', 'SYS', '2021-04-14 11:08:00', 'SYS');</v>
      </c>
      <c r="R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('PM004', 'N', 'CKDO', NULL, 'M', NULL, NULL, 'CKDO_MA_030200', 'Users', 'Users','Users','R', '2021-04-14 11:08:00', '2999-12-31 23:59:59', 'A', '2021-04-14 11:08:00', 'SYS', '2021-04-14 11:08:00', 'SYS');</v>
      </c>
      <c r="S6" s="12"/>
      <c r="U6" s="12"/>
    </row>
    <row r="7" spans="1:23" x14ac:dyDescent="0.2">
      <c r="A7" t="s">
        <v>391</v>
      </c>
      <c r="B7" t="s">
        <v>44</v>
      </c>
      <c r="C7" t="s">
        <v>30</v>
      </c>
      <c r="D7" t="s">
        <v>125</v>
      </c>
      <c r="E7" t="s">
        <v>384</v>
      </c>
      <c r="F7" t="s">
        <v>125</v>
      </c>
      <c r="G7" t="s">
        <v>125</v>
      </c>
      <c r="H7" t="s">
        <v>246</v>
      </c>
      <c r="I7" t="str">
        <f>VLOOKUP(H7,Menu_EX_CK2!$A$1:$F$93,6,FALSE)</f>
        <v>Authorisations</v>
      </c>
      <c r="J7" t="s">
        <v>125</v>
      </c>
      <c r="K7" t="s">
        <v>125</v>
      </c>
      <c r="L7" t="s">
        <v>125</v>
      </c>
      <c r="M7" t="str">
        <f t="shared" si="0"/>
        <v>Authorisations</v>
      </c>
      <c r="N7" t="str">
        <f t="shared" si="1"/>
        <v>Authorisations</v>
      </c>
      <c r="O7" t="s">
        <v>385</v>
      </c>
      <c r="P7" s="11" t="s">
        <v>386</v>
      </c>
      <c r="Q7" s="11" t="str">
        <f t="array" ref="Q7">CONCATENATE(" VALUES ('",A7,"', '",B7,"', '",C7,"', ",IF(D7="NULL","NULL",CONCATENATE("'",D7,"'")),", '",E7,"', ",IFERROR(F7,NULL),", NULL, '",H7,"', '",I7,"', '",M7,"','",N7,"','",O7,"', '2021-04-14 11:08:00', '2999-12-31 23:59:59', 'A', '2021-04-14 11:08:00', 'SYS', '2021-04-14 11:08:00', 'SYS');")</f>
        <v xml:space="preserve"> VALUES ('PM005', 'N', 'CKDO', NULL, 'M', NULL, NULL, 'CKDO_MA_030300', 'Authorisations', 'Authorisations','Authorisations','R', '2021-04-14 11:08:00', '2999-12-31 23:59:59', 'A', '2021-04-14 11:08:00', 'SYS', '2021-04-14 11:08:00', 'SYS');</v>
      </c>
      <c r="R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('PM005', 'N', 'CKDO', NULL, 'M', NULL, NULL, 'CKDO_MA_030300', 'Authorisations', 'Authorisations','Authorisations','R', '2021-04-14 11:08:00', '2999-12-31 23:59:59', 'A', '2021-04-14 11:08:00', 'SYS', '2021-04-14 11:08:00', 'SYS');</v>
      </c>
      <c r="S7" s="12"/>
      <c r="U7" s="12"/>
    </row>
    <row r="8" spans="1:23" x14ac:dyDescent="0.2">
      <c r="A8" t="s">
        <v>392</v>
      </c>
      <c r="B8" t="s">
        <v>383</v>
      </c>
      <c r="C8" t="s">
        <v>30</v>
      </c>
      <c r="D8" t="s">
        <v>125</v>
      </c>
      <c r="E8" t="s">
        <v>384</v>
      </c>
      <c r="F8" t="s">
        <v>125</v>
      </c>
      <c r="G8" t="s">
        <v>125</v>
      </c>
      <c r="H8" t="s">
        <v>291</v>
      </c>
      <c r="I8" t="str">
        <f>VLOOKUP(H8,Menu_EX_CK2!$A$1:$F$93,6,FALSE)</f>
        <v>Master Table</v>
      </c>
      <c r="J8" t="s">
        <v>125</v>
      </c>
      <c r="K8" t="s">
        <v>125</v>
      </c>
      <c r="L8" t="s">
        <v>125</v>
      </c>
      <c r="M8" t="str">
        <f t="shared" si="0"/>
        <v>Master Table</v>
      </c>
      <c r="N8" t="str">
        <f t="shared" si="1"/>
        <v>Master Table</v>
      </c>
      <c r="O8" t="s">
        <v>385</v>
      </c>
      <c r="P8" s="11" t="s">
        <v>386</v>
      </c>
      <c r="Q8" s="11" t="str">
        <f t="array" ref="Q8">CONCATENATE(" VALUES ('",A8,"', '",B8,"', '",C8,"', ",IF(D8="NULL","NULL",CONCATENATE("'",D8,"'")),", '",E8,"', ",IFERROR(F8,NULL),", NULL, '",H8,"', '",I8,"', '",M8,"','",N8,"','",O8,"', '2021-04-14 11:08:00', '2999-12-31 23:59:59', 'A', '2021-04-14 11:08:00', 'SYS', '2021-04-14 11:08:00', 'SYS');")</f>
        <v xml:space="preserve"> VALUES ('PM006', 'Y', 'CKDO', NULL, 'M', NULL, NULL, 'CKDO_MT_050000', 'Master Table', 'Master Table','Master Table','R', '2021-04-14 11:08:00', '2999-12-31 23:59:59', 'A', '2021-04-14 11:08:00', 'SYS', '2021-04-14 11:08:00', 'SYS');</v>
      </c>
      <c r="R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('PM006', 'Y', 'CKDO', NULL, 'M', NULL, NULL, 'CKDO_MT_050000', 'Master Table', 'Master Table','Master Table','R', '2021-04-14 11:08:00', '2999-12-31 23:59:59', 'A', '2021-04-14 11:08:00', 'SYS', '2021-04-14 11:08:00', 'SYS');</v>
      </c>
      <c r="S8" s="12"/>
      <c r="U8" s="12"/>
    </row>
    <row r="9" spans="1:23" x14ac:dyDescent="0.2">
      <c r="A9" t="s">
        <v>393</v>
      </c>
      <c r="B9" t="s">
        <v>44</v>
      </c>
      <c r="C9" t="s">
        <v>30</v>
      </c>
      <c r="D9" t="s">
        <v>125</v>
      </c>
      <c r="E9" t="s">
        <v>384</v>
      </c>
      <c r="F9" t="s">
        <v>125</v>
      </c>
      <c r="G9" t="s">
        <v>125</v>
      </c>
      <c r="H9" t="s">
        <v>294</v>
      </c>
      <c r="I9" t="str">
        <f>VLOOKUP(H9,Menu_EX_CK2!$A$1:$F$93,6,FALSE)</f>
        <v>Announcement Type</v>
      </c>
      <c r="J9" t="s">
        <v>125</v>
      </c>
      <c r="K9" t="s">
        <v>125</v>
      </c>
      <c r="L9" t="s">
        <v>125</v>
      </c>
      <c r="M9" t="str">
        <f t="shared" si="0"/>
        <v>Announcement Type</v>
      </c>
      <c r="N9" t="str">
        <f t="shared" si="1"/>
        <v>Announcement Type</v>
      </c>
      <c r="O9" t="s">
        <v>385</v>
      </c>
      <c r="P9" s="11" t="s">
        <v>386</v>
      </c>
      <c r="Q9" s="11" t="str">
        <f t="array" ref="Q9">CONCATENATE(" VALUES ('",A9,"', '",B9,"', '",C9,"', ",IF(D9="NULL","NULL",CONCATENATE("'",D9,"'")),", '",E9,"', ",IFERROR(F9,NULL),", NULL, '",H9,"', '",I9,"', '",M9,"','",N9,"','",O9,"', '2021-04-14 11:08:00', '2999-12-31 23:59:59', 'A', '2021-04-14 11:08:00', 'SYS', '2021-04-14 11:08:00', 'SYS');")</f>
        <v xml:space="preserve"> VALUES ('PM007', 'N', 'CKDO', NULL, 'M', NULL, NULL, 'CKDO_MT_050100', 'Announcement Type', 'Announcement Type','Announcement Type','R', '2021-04-14 11:08:00', '2999-12-31 23:59:59', 'A', '2021-04-14 11:08:00', 'SYS', '2021-04-14 11:08:00', 'SYS');</v>
      </c>
      <c r="R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('PM007', 'N', 'CKDO', NULL, 'M', NULL, NULL, 'CKDO_MT_050100', 'Announcement Type', 'Announcement Type','Announcement Type','R', '2021-04-14 11:08:00', '2999-12-31 23:59:59', 'A', '2021-04-14 11:08:00', 'SYS', '2021-04-14 11:08:00', 'SYS');</v>
      </c>
      <c r="S9" s="12"/>
      <c r="U9" s="12"/>
    </row>
    <row r="10" spans="1:23" x14ac:dyDescent="0.2">
      <c r="A10" t="s">
        <v>394</v>
      </c>
      <c r="B10" t="s">
        <v>44</v>
      </c>
      <c r="C10" t="s">
        <v>30</v>
      </c>
      <c r="D10" t="s">
        <v>125</v>
      </c>
      <c r="E10" t="s">
        <v>384</v>
      </c>
      <c r="F10" t="s">
        <v>125</v>
      </c>
      <c r="G10" t="s">
        <v>125</v>
      </c>
      <c r="H10" t="s">
        <v>297</v>
      </c>
      <c r="I10" t="str">
        <f>VLOOKUP(H10,Menu_EX_CK2!$A$1:$F$93,6,FALSE)</f>
        <v>Country Codes</v>
      </c>
      <c r="J10" t="s">
        <v>125</v>
      </c>
      <c r="K10" t="s">
        <v>125</v>
      </c>
      <c r="L10" t="s">
        <v>125</v>
      </c>
      <c r="M10" t="str">
        <f t="shared" si="0"/>
        <v>Country Codes</v>
      </c>
      <c r="N10" t="str">
        <f t="shared" si="1"/>
        <v>Country Codes</v>
      </c>
      <c r="O10" t="s">
        <v>385</v>
      </c>
      <c r="P10" s="11" t="s">
        <v>386</v>
      </c>
      <c r="Q10" s="11" t="str">
        <f t="array" ref="Q10">CONCATENATE(" VALUES ('",A10,"', '",B10,"', '",C10,"', ",IF(D10="NULL","NULL",CONCATENATE("'",D10,"'")),", '",E10,"', ",IFERROR(F10,NULL),", NULL, '",H10,"', '",I10,"', '",M10,"','",N10,"','",O10,"', '2021-04-14 11:08:00', '2999-12-31 23:59:59', 'A', '2021-04-14 11:08:00', 'SYS', '2021-04-14 11:08:00', 'SYS');")</f>
        <v xml:space="preserve"> VALUES ('PM008', 'N', 'CKDO', NULL, 'M', NULL, NULL, 'CKDO_MT_050200', 'Country Codes', 'Country Codes','Country Codes','R', '2021-04-14 11:08:00', '2999-12-31 23:59:59', 'A', '2021-04-14 11:08:00', 'SYS', '2021-04-14 11:08:00', 'SYS');</v>
      </c>
      <c r="R1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('PM008', 'N', 'CKDO', NULL, 'M', NULL, NULL, 'CKDO_MT_050200', 'Country Codes', 'Country Codes','Country Codes','R', '2021-04-14 11:08:00', '2999-12-31 23:59:59', 'A', '2021-04-14 11:08:00', 'SYS', '2021-04-14 11:08:00', 'SYS');</v>
      </c>
      <c r="S10" s="12"/>
      <c r="U10" s="12"/>
    </row>
    <row r="11" spans="1:23" x14ac:dyDescent="0.2">
      <c r="A11" t="s">
        <v>395</v>
      </c>
      <c r="B11" t="s">
        <v>44</v>
      </c>
      <c r="C11" t="s">
        <v>30</v>
      </c>
      <c r="D11" t="s">
        <v>125</v>
      </c>
      <c r="E11" t="s">
        <v>384</v>
      </c>
      <c r="F11" t="s">
        <v>125</v>
      </c>
      <c r="G11" t="s">
        <v>125</v>
      </c>
      <c r="H11" t="s">
        <v>300</v>
      </c>
      <c r="I11" t="str">
        <f>VLOOKUP(H11,Menu_EX_CK2!$A$1:$F$93,6,FALSE)</f>
        <v>Currency Code</v>
      </c>
      <c r="J11" t="s">
        <v>125</v>
      </c>
      <c r="K11" t="s">
        <v>125</v>
      </c>
      <c r="L11" t="s">
        <v>125</v>
      </c>
      <c r="M11" t="str">
        <f t="shared" si="0"/>
        <v>Currency Code</v>
      </c>
      <c r="N11" t="str">
        <f t="shared" si="1"/>
        <v>Currency Code</v>
      </c>
      <c r="O11" t="s">
        <v>385</v>
      </c>
      <c r="P11" s="11" t="s">
        <v>386</v>
      </c>
      <c r="Q11" s="11" t="str">
        <f t="array" ref="Q11">CONCATENATE(" VALUES ('",A11,"', '",B11,"', '",C11,"', ",IF(D11="NULL","NULL",CONCATENATE("'",D11,"'")),", '",E11,"', ",IFERROR(F11,NULL),", NULL, '",H11,"', '",I11,"', '",M11,"','",N11,"','",O11,"', '2021-04-14 11:08:00', '2999-12-31 23:59:59', 'A', '2021-04-14 11:08:00', 'SYS', '2021-04-14 11:08:00', 'SYS');")</f>
        <v xml:space="preserve"> VALUES ('PM009', 'N', 'CKDO', NULL, 'M', NULL, NULL, 'CKDO_MT_050300', 'Currency Code', 'Currency Code','Currency Code','R', '2021-04-14 11:08:00', '2999-12-31 23:59:59', 'A', '2021-04-14 11:08:00', 'SYS', '2021-04-14 11:08:00', 'SYS');</v>
      </c>
      <c r="R1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('PM009', 'N', 'CKDO', NULL, 'M', NULL, NULL, 'CKDO_MT_050300', 'Currency Code', 'Currency Code','Currency Code','R', '2021-04-14 11:08:00', '2999-12-31 23:59:59', 'A', '2021-04-14 11:08:00', 'SYS', '2021-04-14 11:08:00', 'SYS');</v>
      </c>
      <c r="S11" s="12"/>
      <c r="U11" s="12"/>
    </row>
    <row r="12" spans="1:23" x14ac:dyDescent="0.2">
      <c r="A12" t="s">
        <v>396</v>
      </c>
      <c r="B12" t="s">
        <v>44</v>
      </c>
      <c r="C12" t="s">
        <v>30</v>
      </c>
      <c r="D12" t="s">
        <v>125</v>
      </c>
      <c r="E12" t="s">
        <v>384</v>
      </c>
      <c r="F12" t="s">
        <v>125</v>
      </c>
      <c r="G12" t="s">
        <v>125</v>
      </c>
      <c r="H12" t="s">
        <v>303</v>
      </c>
      <c r="I12" t="str">
        <f>VLOOKUP(H12,Menu_EX_CK2!$A$1:$F$93,6,FALSE)</f>
        <v>Harmonized System Codes</v>
      </c>
      <c r="J12" t="s">
        <v>125</v>
      </c>
      <c r="K12" t="s">
        <v>125</v>
      </c>
      <c r="L12" t="s">
        <v>125</v>
      </c>
      <c r="M12" t="str">
        <f t="shared" si="0"/>
        <v>Harmonized System Codes</v>
      </c>
      <c r="N12" t="str">
        <f t="shared" si="1"/>
        <v>Harmonized System Codes</v>
      </c>
      <c r="O12" t="s">
        <v>385</v>
      </c>
      <c r="P12" s="11" t="s">
        <v>386</v>
      </c>
      <c r="Q12" s="11" t="str">
        <f t="array" ref="Q12">CONCATENATE(" VALUES ('",A12,"', '",B12,"', '",C12,"', ",IF(D12="NULL","NULL",CONCATENATE("'",D12,"'")),", '",E12,"', ",IFERROR(F12,NULL),", NULL, '",H12,"', '",I12,"', '",M12,"','",N12,"','",O12,"', '2021-04-14 11:08:00', '2999-12-31 23:59:59', 'A', '2021-04-14 11:08:00', 'SYS', '2021-04-14 11:08:00', 'SYS');")</f>
        <v xml:space="preserve"> VALUES ('PM010', 'N', 'CKDO', NULL, 'M', NULL, NULL, 'CKDO_MT_050400', 'Harmonized System Codes', 'Harmonized System Codes','Harmonized System Codes','R', '2021-04-14 11:08:00', '2999-12-31 23:59:59', 'A', '2021-04-14 11:08:00', 'SYS', '2021-04-14 11:08:00', 'SYS');</v>
      </c>
      <c r="R1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('PM010', 'N', 'CKDO', NULL, 'M', NULL, NULL, 'CKDO_MT_050400', 'Harmonized System Codes', 'Harmonized System Codes','Harmonized System Codes','R', '2021-04-14 11:08:00', '2999-12-31 23:59:59', 'A', '2021-04-14 11:08:00', 'SYS', '2021-04-14 11:08:00', 'SYS');</v>
      </c>
      <c r="S12" s="12"/>
      <c r="U12" s="12"/>
    </row>
    <row r="13" spans="1:23" x14ac:dyDescent="0.2">
      <c r="A13" t="s">
        <v>397</v>
      </c>
      <c r="B13" t="s">
        <v>44</v>
      </c>
      <c r="C13" t="s">
        <v>30</v>
      </c>
      <c r="D13" t="s">
        <v>125</v>
      </c>
      <c r="E13" t="s">
        <v>384</v>
      </c>
      <c r="F13" t="s">
        <v>125</v>
      </c>
      <c r="G13" t="s">
        <v>125</v>
      </c>
      <c r="H13" t="s">
        <v>306</v>
      </c>
      <c r="I13" t="str">
        <f>VLOOKUP(H13,Menu_EX_CK2!$A$1:$F$93,6,FALSE)</f>
        <v>Notification Templates</v>
      </c>
      <c r="J13" t="s">
        <v>125</v>
      </c>
      <c r="K13" t="s">
        <v>125</v>
      </c>
      <c r="L13" t="s">
        <v>125</v>
      </c>
      <c r="M13" t="str">
        <f t="shared" si="0"/>
        <v>Notification Templates</v>
      </c>
      <c r="N13" t="str">
        <f t="shared" si="1"/>
        <v>Notification Templates</v>
      </c>
      <c r="O13" t="s">
        <v>385</v>
      </c>
      <c r="P13" s="11" t="s">
        <v>386</v>
      </c>
      <c r="Q13" s="11" t="str">
        <f t="array" ref="Q13">CONCATENATE(" VALUES ('",A13,"', '",B13,"', '",C13,"', ",IF(D13="NULL","NULL",CONCATENATE("'",D13,"'")),", '",E13,"', ",IFERROR(F13,NULL),", NULL, '",H13,"', '",I13,"', '",M13,"','",N13,"','",O13,"', '2021-04-14 11:08:00', '2999-12-31 23:59:59', 'A', '2021-04-14 11:08:00', 'SYS', '2021-04-14 11:08:00', 'SYS');")</f>
        <v xml:space="preserve"> VALUES ('PM011', 'N', 'CKDO', NULL, 'M', NULL, NULL, 'CKDO_MT_050500', 'Notification Templates', 'Notification Templates','Notification Templates','R', '2021-04-14 11:08:00', '2999-12-31 23:59:59', 'A', '2021-04-14 11:08:00', 'SYS', '2021-04-14 11:08:00', 'SYS');</v>
      </c>
      <c r="R1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('PM011', 'N', 'CKDO', NULL, 'M', NULL, NULL, 'CKDO_MT_050500', 'Notification Templates', 'Notification Templates','Notification Templates','R', '2021-04-14 11:08:00', '2999-12-31 23:59:59', 'A', '2021-04-14 11:08:00', 'SYS', '2021-04-14 11:08:00', 'SYS');</v>
      </c>
      <c r="S13" s="12"/>
      <c r="U13" s="12"/>
    </row>
    <row r="14" spans="1:23" x14ac:dyDescent="0.2">
      <c r="A14" t="s">
        <v>398</v>
      </c>
      <c r="B14" t="s">
        <v>44</v>
      </c>
      <c r="C14" t="s">
        <v>30</v>
      </c>
      <c r="D14" t="s">
        <v>125</v>
      </c>
      <c r="E14" t="s">
        <v>384</v>
      </c>
      <c r="F14" t="s">
        <v>125</v>
      </c>
      <c r="G14" t="s">
        <v>125</v>
      </c>
      <c r="H14" t="s">
        <v>309</v>
      </c>
      <c r="I14" t="str">
        <f>VLOOKUP(H14,Menu_EX_CK2!$A$1:$F$93,6,FALSE)</f>
        <v>Port Codes</v>
      </c>
      <c r="J14" t="s">
        <v>125</v>
      </c>
      <c r="K14" t="s">
        <v>125</v>
      </c>
      <c r="L14" t="s">
        <v>125</v>
      </c>
      <c r="M14" t="str">
        <f t="shared" si="0"/>
        <v>Port Codes</v>
      </c>
      <c r="N14" t="str">
        <f t="shared" si="1"/>
        <v>Port Codes</v>
      </c>
      <c r="O14" t="s">
        <v>385</v>
      </c>
      <c r="P14" s="11" t="s">
        <v>386</v>
      </c>
      <c r="Q14" s="11" t="str">
        <f t="array" ref="Q14">CONCATENATE(" VALUES ('",A14,"', '",B14,"', '",C14,"', ",IF(D14="NULL","NULL",CONCATENATE("'",D14,"'")),", '",E14,"', ",IFERROR(F14,NULL),", NULL, '",H14,"', '",I14,"', '",M14,"','",N14,"','",O14,"', '2021-04-14 11:08:00', '2999-12-31 23:59:59', 'A', '2021-04-14 11:08:00', 'SYS', '2021-04-14 11:08:00', 'SYS');")</f>
        <v xml:space="preserve"> VALUES ('PM012', 'N', 'CKDO', NULL, 'M', NULL, NULL, 'CKDO_MT_050600', 'Port Codes', 'Port Codes','Port Codes','R', '2021-04-14 11:08:00', '2999-12-31 23:59:59', 'A', '2021-04-14 11:08:00', 'SYS', '2021-04-14 11:08:00', 'SYS');</v>
      </c>
      <c r="R1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('PM012', 'N', 'CKDO', NULL, 'M', NULL, NULL, 'CKDO_MT_050600', 'Port Codes', 'Port Codes','Port Codes','R', '2021-04-14 11:08:00', '2999-12-31 23:59:59', 'A', '2021-04-14 11:08:00', 'SYS', '2021-04-14 11:08:00', 'SYS');</v>
      </c>
      <c r="S14" s="12"/>
      <c r="U14" s="12"/>
    </row>
    <row r="15" spans="1:23" x14ac:dyDescent="0.2">
      <c r="A15" t="s">
        <v>399</v>
      </c>
      <c r="B15" t="s">
        <v>44</v>
      </c>
      <c r="C15" t="s">
        <v>30</v>
      </c>
      <c r="D15" t="s">
        <v>125</v>
      </c>
      <c r="E15" t="s">
        <v>384</v>
      </c>
      <c r="F15" t="s">
        <v>125</v>
      </c>
      <c r="G15" t="s">
        <v>125</v>
      </c>
      <c r="H15" t="s">
        <v>312</v>
      </c>
      <c r="I15" t="str">
        <f>VLOOKUP(H15,Menu_EX_CK2!$A$1:$F$93,6,FALSE)</f>
        <v>Port Terminal</v>
      </c>
      <c r="J15" t="s">
        <v>125</v>
      </c>
      <c r="K15" t="s">
        <v>125</v>
      </c>
      <c r="L15" t="s">
        <v>125</v>
      </c>
      <c r="M15" t="str">
        <f t="shared" si="0"/>
        <v>Port Terminal</v>
      </c>
      <c r="N15" t="str">
        <f t="shared" si="1"/>
        <v>Port Terminal</v>
      </c>
      <c r="O15" t="s">
        <v>385</v>
      </c>
      <c r="P15" s="11" t="s">
        <v>386</v>
      </c>
      <c r="Q15" s="11" t="str">
        <f t="array" ref="Q15">CONCATENATE(" VALUES ('",A15,"', '",B15,"', '",C15,"', ",IF(D15="NULL","NULL",CONCATENATE("'",D15,"'")),", '",E15,"', ",IFERROR(F15,NULL),", NULL, '",H15,"', '",I15,"', '",M15,"','",N15,"','",O15,"', '2021-04-14 11:08:00', '2999-12-31 23:59:59', 'A', '2021-04-14 11:08:00', 'SYS', '2021-04-14 11:08:00', 'SYS');")</f>
        <v xml:space="preserve"> VALUES ('PM013', 'N', 'CKDO', NULL, 'M', NULL, NULL, 'CKDO_MT_050700', 'Port Terminal', 'Port Terminal','Port Terminal','R', '2021-04-14 11:08:00', '2999-12-31 23:59:59', 'A', '2021-04-14 11:08:00', 'SYS', '2021-04-14 11:08:00', 'SYS');</v>
      </c>
      <c r="R1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('PM013', 'N', 'CKDO', NULL, 'M', NULL, NULL, 'CKDO_MT_050700', 'Port Terminal', 'Port Terminal','Port Terminal','R', '2021-04-14 11:08:00', '2999-12-31 23:59:59', 'A', '2021-04-14 11:08:00', 'SYS', '2021-04-14 11:08:00', 'SYS');</v>
      </c>
      <c r="S15" s="12"/>
      <c r="U15" s="12"/>
    </row>
    <row r="16" spans="1:23" x14ac:dyDescent="0.2">
      <c r="A16" t="s">
        <v>400</v>
      </c>
      <c r="B16" t="s">
        <v>44</v>
      </c>
      <c r="C16" t="s">
        <v>30</v>
      </c>
      <c r="D16" t="s">
        <v>125</v>
      </c>
      <c r="E16" t="s">
        <v>384</v>
      </c>
      <c r="F16" t="s">
        <v>125</v>
      </c>
      <c r="G16" t="s">
        <v>125</v>
      </c>
      <c r="H16" t="s">
        <v>315</v>
      </c>
      <c r="I16" t="str">
        <f>VLOOKUP(H16,Menu_EX_CK2!$A$1:$F$93,6,FALSE)</f>
        <v>UOM Codes</v>
      </c>
      <c r="J16" t="s">
        <v>125</v>
      </c>
      <c r="K16" t="s">
        <v>125</v>
      </c>
      <c r="L16" t="s">
        <v>125</v>
      </c>
      <c r="M16" t="str">
        <f t="shared" si="0"/>
        <v>UOM Codes</v>
      </c>
      <c r="N16" t="str">
        <f t="shared" si="1"/>
        <v>UOM Codes</v>
      </c>
      <c r="O16" t="s">
        <v>385</v>
      </c>
      <c r="P16" s="11" t="s">
        <v>386</v>
      </c>
      <c r="Q16" s="11" t="str">
        <f t="array" ref="Q16">CONCATENATE(" VALUES ('",A16,"', '",B16,"', '",C16,"', ",IF(D16="NULL","NULL",CONCATENATE("'",D16,"'")),", '",E16,"', ",IFERROR(F16,NULL),", NULL, '",H16,"', '",I16,"', '",M16,"','",N16,"','",O16,"', '2021-04-14 11:08:00', '2999-12-31 23:59:59', 'A', '2021-04-14 11:08:00', 'SYS', '2021-04-14 11:08:00', 'SYS');")</f>
        <v xml:space="preserve"> VALUES ('PM014', 'N', 'CKDO', NULL, 'M', NULL, NULL, 'CKDO_MT_050800', 'UOM Codes', 'UOM Codes','UOM Codes','R', '2021-04-14 11:08:00', '2999-12-31 23:59:59', 'A', '2021-04-14 11:08:00', 'SYS', '2021-04-14 11:08:00', 'SYS');</v>
      </c>
      <c r="R1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('PM014', 'N', 'CKDO', NULL, 'M', NULL, NULL, 'CKDO_MT_050800', 'UOM Codes', 'UOM Codes','UOM Codes','R', '2021-04-14 11:08:00', '2999-12-31 23:59:59', 'A', '2021-04-14 11:08:00', 'SYS', '2021-04-14 11:08:00', 'SYS');</v>
      </c>
      <c r="S16" s="12"/>
      <c r="U16" s="12"/>
    </row>
    <row r="17" spans="1:21" x14ac:dyDescent="0.2">
      <c r="A17" t="s">
        <v>401</v>
      </c>
      <c r="B17" t="s">
        <v>383</v>
      </c>
      <c r="C17" t="s">
        <v>30</v>
      </c>
      <c r="D17" t="s">
        <v>125</v>
      </c>
      <c r="E17" t="s">
        <v>384</v>
      </c>
      <c r="F17" t="s">
        <v>125</v>
      </c>
      <c r="G17" t="s">
        <v>125</v>
      </c>
      <c r="H17" t="s">
        <v>263</v>
      </c>
      <c r="I17" t="str">
        <f>VLOOKUP(H17,Menu_EX_CK2!$A$1:$F$93,6,FALSE)</f>
        <v>System Administrations</v>
      </c>
      <c r="J17" t="s">
        <v>125</v>
      </c>
      <c r="K17" t="s">
        <v>125</v>
      </c>
      <c r="L17" t="s">
        <v>125</v>
      </c>
      <c r="M17" t="str">
        <f t="shared" si="0"/>
        <v>System Administrations</v>
      </c>
      <c r="N17" t="str">
        <f t="shared" si="1"/>
        <v>System Administrations</v>
      </c>
      <c r="O17" t="s">
        <v>385</v>
      </c>
      <c r="P17" s="11" t="s">
        <v>386</v>
      </c>
      <c r="Q17" s="11" t="str">
        <f t="array" ref="Q17">CONCATENATE(" VALUES ('",A17,"', '",B17,"', '",C17,"', ",IF(D17="NULL","NULL",CONCATENATE("'",D17,"'")),", '",E17,"', ",IFERROR(F17,NULL),", NULL, '",H17,"', '",I17,"', '",M17,"','",N17,"','",O17,"', '2021-04-14 11:08:00', '2999-12-31 23:59:59', 'A', '2021-04-14 11:08:00', 'SYS', '2021-04-14 11:08:00', 'SYS');")</f>
        <v xml:space="preserve"> VALUES ('PM015', 'Y', 'CKDO', NULL, 'M', NULL, NULL, 'CKDO_MSA_060000', 'System Administrations', 'System Administrations','System Administrations','R', '2021-04-14 11:08:00', '2999-12-31 23:59:59', 'A', '2021-04-14 11:08:00', 'SYS', '2021-04-14 11:08:00', 'SYS');</v>
      </c>
      <c r="R1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('PM015', 'Y', 'CKDO', NULL, 'M', NULL, NULL, 'CKDO_MSA_060000', 'System Administrations', 'System Administrations','System Administrations','R', '2021-04-14 11:08:00', '2999-12-31 23:59:59', 'A', '2021-04-14 11:08:00', 'SYS', '2021-04-14 11:08:00', 'SYS');</v>
      </c>
      <c r="S17" s="12"/>
      <c r="U17" s="12"/>
    </row>
    <row r="18" spans="1:21" x14ac:dyDescent="0.2">
      <c r="A18" t="s">
        <v>402</v>
      </c>
      <c r="B18" t="s">
        <v>44</v>
      </c>
      <c r="C18" t="s">
        <v>30</v>
      </c>
      <c r="D18" t="s">
        <v>125</v>
      </c>
      <c r="E18" t="s">
        <v>384</v>
      </c>
      <c r="F18" t="s">
        <v>125</v>
      </c>
      <c r="G18" t="s">
        <v>125</v>
      </c>
      <c r="H18" t="s">
        <v>266</v>
      </c>
      <c r="I18" t="str">
        <f>VLOOKUP(H18,Menu_EX_CK2!$A$1:$F$93,6,FALSE)</f>
        <v>Announcement Setup</v>
      </c>
      <c r="J18" t="s">
        <v>125</v>
      </c>
      <c r="K18" t="s">
        <v>125</v>
      </c>
      <c r="L18" t="s">
        <v>125</v>
      </c>
      <c r="M18" t="str">
        <f t="shared" si="0"/>
        <v>Announcement Setup</v>
      </c>
      <c r="N18" t="str">
        <f t="shared" si="1"/>
        <v>Announcement Setup</v>
      </c>
      <c r="O18" t="s">
        <v>385</v>
      </c>
      <c r="P18" s="11" t="s">
        <v>386</v>
      </c>
      <c r="Q18" s="11" t="str">
        <f t="array" ref="Q18">CONCATENATE(" VALUES ('",A18,"', '",B18,"', '",C18,"', ",IF(D18="NULL","NULL",CONCATENATE("'",D18,"'")),", '",E18,"', ",IFERROR(F18,NULL),", NULL, '",H18,"', '",I18,"', '",M18,"','",N18,"','",O18,"', '2021-04-14 11:08:00', '2999-12-31 23:59:59', 'A', '2021-04-14 11:08:00', 'SYS', '2021-04-14 11:08:00', 'SYS');")</f>
        <v xml:space="preserve"> VALUES ('PM016', 'N', 'CKDO', NULL, 'M', NULL, NULL, 'CKDO_MSA_060100', 'Announcement Setup', 'Announcement Setup','Announcement Setup','R', '2021-04-14 11:08:00', '2999-12-31 23:59:59', 'A', '2021-04-14 11:08:00', 'SYS', '2021-04-14 11:08:00', 'SYS');</v>
      </c>
      <c r="R1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('PM016', 'N', 'CKDO', NULL, 'M', NULL, NULL, 'CKDO_MSA_060100', 'Announcement Setup', 'Announcement Setup','Announcement Setup','R', '2021-04-14 11:08:00', '2999-12-31 23:59:59', 'A', '2021-04-14 11:08:00', 'SYS', '2021-04-14 11:08:00', 'SYS');</v>
      </c>
      <c r="S18" s="12"/>
      <c r="U18" s="12"/>
    </row>
    <row r="19" spans="1:21" x14ac:dyDescent="0.2">
      <c r="A19" t="s">
        <v>403</v>
      </c>
      <c r="B19" t="s">
        <v>44</v>
      </c>
      <c r="C19" t="s">
        <v>30</v>
      </c>
      <c r="D19" t="s">
        <v>125</v>
      </c>
      <c r="E19" t="s">
        <v>384</v>
      </c>
      <c r="F19" t="s">
        <v>125</v>
      </c>
      <c r="G19" t="s">
        <v>125</v>
      </c>
      <c r="H19" t="s">
        <v>269</v>
      </c>
      <c r="I19" t="str">
        <f>VLOOKUP(H19,Menu_EX_CK2!$A$1:$F$93,6,FALSE)</f>
        <v>Notification Preferences</v>
      </c>
      <c r="J19" t="s">
        <v>125</v>
      </c>
      <c r="K19" t="s">
        <v>125</v>
      </c>
      <c r="L19" t="s">
        <v>125</v>
      </c>
      <c r="M19" t="str">
        <f t="shared" si="0"/>
        <v>Notification Preferences</v>
      </c>
      <c r="N19" t="str">
        <f t="shared" si="1"/>
        <v>Notification Preferences</v>
      </c>
      <c r="O19" t="s">
        <v>385</v>
      </c>
      <c r="P19" s="11" t="s">
        <v>386</v>
      </c>
      <c r="Q19" s="11" t="str">
        <f t="array" ref="Q19">CONCATENATE(" VALUES ('",A19,"', '",B19,"', '",C19,"', ",IF(D19="NULL","NULL",CONCATENATE("'",D19,"'")),", '",E19,"', ",IFERROR(F19,NULL),", NULL, '",H19,"', '",I19,"', '",M19,"','",N19,"','",O19,"', '2021-04-14 11:08:00', '2999-12-31 23:59:59', 'A', '2021-04-14 11:08:00', 'SYS', '2021-04-14 11:08:00', 'SYS');")</f>
        <v xml:space="preserve"> VALUES ('PM017', 'N', 'CKDO', NULL, 'M', NULL, NULL, 'CKDO_MSA_060200', 'Notification Preferences', 'Notification Preferences','Notification Preferences','R', '2021-04-14 11:08:00', '2999-12-31 23:59:59', 'A', '2021-04-14 11:08:00', 'SYS', '2021-04-14 11:08:00', 'SYS');</v>
      </c>
      <c r="R1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('PM017', 'N', 'CKDO', NULL, 'M', NULL, NULL, 'CKDO_MSA_060200', 'Notification Preferences', 'Notification Preferences','Notification Preferences','R', '2021-04-14 11:08:00', '2999-12-31 23:59:59', 'A', '2021-04-14 11:08:00', 'SYS', '2021-04-14 11:08:00', 'SYS');</v>
      </c>
      <c r="S19" s="12"/>
      <c r="U19" s="12"/>
    </row>
    <row r="20" spans="1:21" x14ac:dyDescent="0.2">
      <c r="A20" t="s">
        <v>404</v>
      </c>
      <c r="B20" t="s">
        <v>44</v>
      </c>
      <c r="C20" t="s">
        <v>30</v>
      </c>
      <c r="D20" t="s">
        <v>125</v>
      </c>
      <c r="E20" t="s">
        <v>384</v>
      </c>
      <c r="F20" t="s">
        <v>125</v>
      </c>
      <c r="G20" t="s">
        <v>125</v>
      </c>
      <c r="H20" t="s">
        <v>272</v>
      </c>
      <c r="I20" t="str">
        <f>VLOOKUP(H20,Menu_EX_CK2!$A$1:$F$93,6,FALSE)</f>
        <v>System Parameters</v>
      </c>
      <c r="J20" t="s">
        <v>125</v>
      </c>
      <c r="K20" t="s">
        <v>125</v>
      </c>
      <c r="L20" t="s">
        <v>125</v>
      </c>
      <c r="M20" t="str">
        <f t="shared" si="0"/>
        <v>System Parameters</v>
      </c>
      <c r="N20" t="str">
        <f t="shared" si="1"/>
        <v>System Parameters</v>
      </c>
      <c r="O20" t="s">
        <v>385</v>
      </c>
      <c r="P20" s="11" t="s">
        <v>386</v>
      </c>
      <c r="Q20" s="11" t="str">
        <f t="array" ref="Q20">CONCATENATE(" VALUES ('",A20,"', '",B20,"', '",C20,"', ",IF(D20="NULL","NULL",CONCATENATE("'",D20,"'")),", '",E20,"', ",IFERROR(F20,NULL),", NULL, '",H20,"', '",I20,"', '",M20,"','",N20,"','",O20,"', '2021-04-14 11:08:00', '2999-12-31 23:59:59', 'A', '2021-04-14 11:08:00', 'SYS', '2021-04-14 11:08:00', 'SYS');")</f>
        <v xml:space="preserve"> VALUES ('PM018', 'N', 'CKDO', NULL, 'M', NULL, NULL, 'CKDO_MSA_060300', 'System Parameters', 'System Parameters','System Parameters','R', '2021-04-14 11:08:00', '2999-12-31 23:59:59', 'A', '2021-04-14 11:08:00', 'SYS', '2021-04-14 11:08:00', 'SYS');</v>
      </c>
      <c r="R2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('PM018', 'N', 'CKDO', NULL, 'M', NULL, NULL, 'CKDO_MSA_060300', 'System Parameters', 'System Parameters','System Parameters','R', '2021-04-14 11:08:00', '2999-12-31 23:59:59', 'A', '2021-04-14 11:08:00', 'SYS', '2021-04-14 11:08:00', 'SYS');</v>
      </c>
      <c r="S20" s="12"/>
      <c r="U20" s="12"/>
    </row>
    <row r="21" spans="1:21" x14ac:dyDescent="0.2">
      <c r="A21" t="s">
        <v>405</v>
      </c>
      <c r="B21" t="s">
        <v>44</v>
      </c>
      <c r="C21" t="s">
        <v>30</v>
      </c>
      <c r="D21" t="s">
        <v>125</v>
      </c>
      <c r="E21" t="s">
        <v>384</v>
      </c>
      <c r="F21" t="s">
        <v>125</v>
      </c>
      <c r="G21" t="s">
        <v>125</v>
      </c>
      <c r="H21" t="s">
        <v>275</v>
      </c>
      <c r="I21" t="str">
        <f>VLOOKUP(H21,Menu_EX_CK2!$A$1:$F$93,6,FALSE)</f>
        <v>Audit Logs</v>
      </c>
      <c r="J21" t="s">
        <v>125</v>
      </c>
      <c r="K21" t="s">
        <v>125</v>
      </c>
      <c r="L21" t="s">
        <v>125</v>
      </c>
      <c r="M21" t="str">
        <f t="shared" si="0"/>
        <v>Audit Logs</v>
      </c>
      <c r="N21" t="str">
        <f t="shared" si="1"/>
        <v>Audit Logs</v>
      </c>
      <c r="O21" t="s">
        <v>385</v>
      </c>
      <c r="P21" s="11" t="s">
        <v>386</v>
      </c>
      <c r="Q21" s="11" t="str">
        <f t="array" ref="Q21">CONCATENATE(" VALUES ('",A21,"', '",B21,"', '",C21,"', ",IF(D21="NULL","NULL",CONCATENATE("'",D21,"'")),", '",E21,"', ",IFERROR(F21,NULL),", NULL, '",H21,"', '",I21,"', '",M21,"','",N21,"','",O21,"', '2021-04-14 11:08:00', '2999-12-31 23:59:59', 'A', '2021-04-14 11:08:00', 'SYS', '2021-04-14 11:08:00', 'SYS');")</f>
        <v xml:space="preserve"> VALUES ('PM019', 'N', 'CKDO', NULL, 'M', NULL, NULL, 'CKDO_MSA_060400', 'Audit Logs', 'Audit Logs','Audit Logs','R', '2021-04-14 11:08:00', '2999-12-31 23:59:59', 'A', '2021-04-14 11:08:00', 'SYS', '2021-04-14 11:08:00', 'SYS');</v>
      </c>
      <c r="R2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('PM019', 'N', 'CKDO', NULL, 'M', NULL, NULL, 'CKDO_MSA_060400', 'Audit Logs', 'Audit Logs','Audit Logs','R', '2021-04-14 11:08:00', '2999-12-31 23:59:59', 'A', '2021-04-14 11:08:00', 'SYS', '2021-04-14 11:08:00', 'SYS');</v>
      </c>
      <c r="S21" s="12"/>
      <c r="U21" s="12"/>
    </row>
    <row r="22" spans="1:21" x14ac:dyDescent="0.2">
      <c r="A22" t="s">
        <v>406</v>
      </c>
      <c r="B22" t="s">
        <v>44</v>
      </c>
      <c r="C22" t="s">
        <v>30</v>
      </c>
      <c r="D22" t="s">
        <v>125</v>
      </c>
      <c r="E22" t="s">
        <v>384</v>
      </c>
      <c r="F22" t="s">
        <v>125</v>
      </c>
      <c r="G22" t="s">
        <v>125</v>
      </c>
      <c r="H22" t="s">
        <v>278</v>
      </c>
      <c r="I22" t="str">
        <f>VLOOKUP(H22,Menu_EX_CK2!$A$1:$F$93,6,FALSE)</f>
        <v>Exceptions</v>
      </c>
      <c r="J22" t="s">
        <v>125</v>
      </c>
      <c r="K22" t="s">
        <v>125</v>
      </c>
      <c r="L22" t="s">
        <v>125</v>
      </c>
      <c r="M22" t="str">
        <f t="shared" si="0"/>
        <v>Exceptions</v>
      </c>
      <c r="N22" t="str">
        <f t="shared" si="1"/>
        <v>Exceptions</v>
      </c>
      <c r="O22" t="s">
        <v>385</v>
      </c>
      <c r="P22" s="11" t="s">
        <v>386</v>
      </c>
      <c r="Q22" s="11" t="str">
        <f t="array" ref="Q22">CONCATENATE(" VALUES ('",A22,"', '",B22,"', '",C22,"', ",IF(D22="NULL","NULL",CONCATENATE("'",D22,"'")),", '",E22,"', ",IFERROR(F22,NULL),", NULL, '",H22,"', '",I22,"', '",M22,"','",N22,"','",O22,"', '2021-04-14 11:08:00', '2999-12-31 23:59:59', 'A', '2021-04-14 11:08:00', 'SYS', '2021-04-14 11:08:00', 'SYS');")</f>
        <v xml:space="preserve"> VALUES ('PM020', 'N', 'CKDO', NULL, 'M', NULL, NULL, 'CKDO_MSA_060500', 'Exceptions', 'Exceptions','Exceptions','R', '2021-04-14 11:08:00', '2999-12-31 23:59:59', 'A', '2021-04-14 11:08:00', 'SYS', '2021-04-14 11:08:00', 'SYS');</v>
      </c>
      <c r="R2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('PM020', 'N', 'CKDO', NULL, 'M', NULL, NULL, 'CKDO_MSA_060500', 'Exceptions', 'Exceptions','Exceptions','R', '2021-04-14 11:08:00', '2999-12-31 23:59:59', 'A', '2021-04-14 11:08:00', 'SYS', '2021-04-14 11:08:00', 'SYS');</v>
      </c>
      <c r="S22" s="12"/>
      <c r="U22" s="12"/>
    </row>
    <row r="23" spans="1:21" s="38" customFormat="1" x14ac:dyDescent="0.2">
      <c r="A23" s="38" t="s">
        <v>407</v>
      </c>
      <c r="B23" s="38" t="s">
        <v>44</v>
      </c>
      <c r="C23" s="38" t="s">
        <v>30</v>
      </c>
      <c r="D23" s="38" t="s">
        <v>125</v>
      </c>
      <c r="E23" s="38" t="s">
        <v>384</v>
      </c>
      <c r="F23" s="38" t="s">
        <v>125</v>
      </c>
      <c r="G23" s="38" t="s">
        <v>125</v>
      </c>
      <c r="H23" s="38" t="s">
        <v>281</v>
      </c>
      <c r="I23" s="38" t="str">
        <f>VLOOKUP(H23,Menu_EX_CK2!$A$1:$F$93,6,FALSE)</f>
        <v>Manage All Users</v>
      </c>
      <c r="J23" s="38" t="s">
        <v>125</v>
      </c>
      <c r="K23" s="38" t="s">
        <v>125</v>
      </c>
      <c r="L23" s="38" t="s">
        <v>125</v>
      </c>
      <c r="M23" s="38" t="str">
        <f t="shared" si="0"/>
        <v>Manage All Users</v>
      </c>
      <c r="N23" s="38" t="str">
        <f t="shared" si="1"/>
        <v>Manage All Users</v>
      </c>
      <c r="O23" s="38" t="s">
        <v>385</v>
      </c>
      <c r="P23" s="39" t="s">
        <v>386</v>
      </c>
      <c r="Q23" s="39" t="str">
        <f t="array" ref="Q23">CONCATENATE(" VALUES ('",A23,"', '",B23,"', '",C23,"', ",IF(D23="NULL","NULL",CONCATENATE("'",D23,"'")),", '",E23,"', ",IFERROR(F23,NULL),", NULL, '",H23,"', '",I23,"', '",M23,"','",N23,"','",O23,"', '2021-04-14 11:08:00', '2999-12-31 23:59:59', 'A', '2021-04-14 11:08:00', 'SYS', '2021-04-14 11:08:00', 'SYS');")</f>
        <v xml:space="preserve"> VALUES ('PM021', 'N', 'CKDO', NULL, 'M', NULL, NULL, 'CKDO_MSA_060600', 'Manage All Users', 'Manage All Users','Manage All Users','R', '2021-04-14 11:08:00', '2999-12-31 23:59:59', 'A', '2021-04-14 11:08:00', 'SYS', '2021-04-14 11:08:00', 'SYS');</v>
      </c>
      <c r="R23" s="3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('PM021', 'N', 'CKDO', NULL, 'M', NULL, NULL, 'CKDO_MSA_060600', 'Manage All Users', 'Manage All Users','Manage All Users','R', '2021-04-14 11:08:00', '2999-12-31 23:59:59', 'A', '2021-04-14 11:08:00', 'SYS', '2021-04-14 11:08:00', 'SYS');</v>
      </c>
      <c r="S23" s="40"/>
      <c r="U23" s="40"/>
    </row>
    <row r="24" spans="1:21" s="38" customFormat="1" x14ac:dyDescent="0.2">
      <c r="A24" s="38" t="s">
        <v>408</v>
      </c>
      <c r="B24" s="38" t="s">
        <v>44</v>
      </c>
      <c r="C24" s="38" t="s">
        <v>30</v>
      </c>
      <c r="D24" s="38" t="s">
        <v>125</v>
      </c>
      <c r="E24" s="38" t="s">
        <v>384</v>
      </c>
      <c r="F24" s="38" t="s">
        <v>125</v>
      </c>
      <c r="G24" s="38" t="s">
        <v>125</v>
      </c>
      <c r="H24" s="38" t="s">
        <v>284</v>
      </c>
      <c r="I24" s="38" t="str">
        <f>VLOOKUP(H24,Menu_EX_CK2!$A$1:$F$93,6,FALSE)</f>
        <v>Manage All Accounts</v>
      </c>
      <c r="J24" s="38" t="s">
        <v>125</v>
      </c>
      <c r="K24" s="38" t="s">
        <v>125</v>
      </c>
      <c r="L24" s="38" t="s">
        <v>125</v>
      </c>
      <c r="M24" s="38" t="str">
        <f t="shared" si="0"/>
        <v>Manage All Accounts</v>
      </c>
      <c r="N24" s="38" t="str">
        <f t="shared" si="1"/>
        <v>Manage All Accounts</v>
      </c>
      <c r="O24" s="38" t="s">
        <v>385</v>
      </c>
      <c r="P24" s="39" t="s">
        <v>386</v>
      </c>
      <c r="Q24" s="39" t="str">
        <f t="array" ref="Q24">CONCATENATE(" VALUES ('",A24,"', '",B24,"', '",C24,"', ",IF(D24="NULL","NULL",CONCATENATE("'",D24,"'")),", '",E24,"', ",IFERROR(F24,NULL),", NULL, '",H24,"', '",I24,"', '",M24,"','",N24,"','",O24,"', '2021-04-14 11:08:00', '2999-12-31 23:59:59', 'A', '2021-04-14 11:08:00', 'SYS', '2021-04-14 11:08:00', 'SYS');")</f>
        <v xml:space="preserve"> VALUES ('PM022', 'N', 'CKDO', NULL, 'M', NULL, NULL, 'CKDO_MSA_060700', 'Manage All Accounts', 'Manage All Accounts','Manage All Accounts','R', '2021-04-14 11:08:00', '2999-12-31 23:59:59', 'A', '2021-04-14 11:08:00', 'SYS', '2021-04-14 11:08:00', 'SYS');</v>
      </c>
      <c r="R24" s="3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('PM022', 'N', 'CKDO', NULL, 'M', NULL, NULL, 'CKDO_MSA_060700', 'Manage All Accounts', 'Manage All Accounts','Manage All Accounts','R', '2021-04-14 11:08:00', '2999-12-31 23:59:59', 'A', '2021-04-14 11:08:00', 'SYS', '2021-04-14 11:08:00', 'SYS');</v>
      </c>
      <c r="S24" s="40"/>
      <c r="U24" s="40"/>
    </row>
    <row r="25" spans="1:21" x14ac:dyDescent="0.2">
      <c r="A25" t="s">
        <v>409</v>
      </c>
      <c r="B25" t="s">
        <v>383</v>
      </c>
      <c r="C25" t="s">
        <v>30</v>
      </c>
      <c r="D25" t="s">
        <v>125</v>
      </c>
      <c r="E25" t="s">
        <v>384</v>
      </c>
      <c r="F25" t="s">
        <v>125</v>
      </c>
      <c r="G25" t="s">
        <v>125</v>
      </c>
      <c r="H25" t="s">
        <v>288</v>
      </c>
      <c r="I25" t="str">
        <f>VLOOKUP(H25,Menu_EX_CK2!$A$1:$F$93,6,FALSE)</f>
        <v>Documents</v>
      </c>
      <c r="J25" t="s">
        <v>125</v>
      </c>
      <c r="K25" t="s">
        <v>125</v>
      </c>
      <c r="L25" t="s">
        <v>125</v>
      </c>
      <c r="M25" t="str">
        <f t="shared" si="0"/>
        <v>Documents</v>
      </c>
      <c r="N25" t="str">
        <f t="shared" si="1"/>
        <v>Documents</v>
      </c>
      <c r="O25" t="s">
        <v>385</v>
      </c>
      <c r="P25" s="11" t="s">
        <v>386</v>
      </c>
      <c r="Q25" s="11" t="str">
        <f t="array" ref="Q25">CONCATENATE(" VALUES ('",A25,"', '",B25,"', '",C25,"', ",IF(D25="NULL","NULL",CONCATENATE("'",D25,"'")),", '",E25,"', ",IFERROR(F25,NULL),", NULL, '",H25,"', '",I25,"', '",M25,"','",N25,"','",O25,"', '2021-04-14 11:08:00', '2999-12-31 23:59:59', 'A', '2021-04-14 11:08:00', 'SYS', '2021-04-14 11:08:00', 'SYS');")</f>
        <v xml:space="preserve"> VALUES ('PM023', 'Y', 'CKDO', NULL, 'M', NULL, NULL, 'CKDO_MS_020000', 'Documents', 'Documents','Documents','R', '2021-04-14 11:08:00', '2999-12-31 23:59:59', 'A', '2021-04-14 11:08:00', 'SYS', '2021-04-14 11:08:00', 'SYS');</v>
      </c>
      <c r="R2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('PM023', 'Y', 'CKDO', NULL, 'M', NULL, NULL, 'CKDO_MS_020000', 'Documents', 'Documents','Documents','R', '2021-04-14 11:08:00', '2999-12-31 23:59:59', 'A', '2021-04-14 11:08:00', 'SYS', '2021-04-14 11:08:00', 'SYS');</v>
      </c>
      <c r="S25" s="12"/>
      <c r="U25" s="12"/>
    </row>
    <row r="26" spans="1:21" x14ac:dyDescent="0.2">
      <c r="A26" t="s">
        <v>410</v>
      </c>
      <c r="B26" t="s">
        <v>383</v>
      </c>
      <c r="C26" t="s">
        <v>30</v>
      </c>
      <c r="D26" t="s">
        <v>125</v>
      </c>
      <c r="E26" t="s">
        <v>384</v>
      </c>
      <c r="F26" t="s">
        <v>125</v>
      </c>
      <c r="G26" t="s">
        <v>125</v>
      </c>
      <c r="H26" t="s">
        <v>255</v>
      </c>
      <c r="I26" t="str">
        <f>VLOOKUP(H26,Menu_EX_CK2!$A$1:$F$93,6,FALSE)</f>
        <v>Transactions</v>
      </c>
      <c r="J26" t="s">
        <v>125</v>
      </c>
      <c r="K26" t="s">
        <v>125</v>
      </c>
      <c r="L26" t="s">
        <v>125</v>
      </c>
      <c r="M26" t="str">
        <f t="shared" si="0"/>
        <v>Transactions</v>
      </c>
      <c r="N26" t="str">
        <f t="shared" si="1"/>
        <v>Transactions</v>
      </c>
      <c r="O26" t="s">
        <v>385</v>
      </c>
      <c r="P26" s="11" t="s">
        <v>386</v>
      </c>
      <c r="Q26" s="11" t="str">
        <f t="array" ref="Q26">CONCATENATE(" VALUES ('",A26,"', '",B26,"', '",C26,"', ",IF(D26="NULL","NULL",CONCATENATE("'",D26,"'")),", '",E26,"', ",IFERROR(F26,NULL),", NULL, '",H26,"', '",I26,"', '",M26,"','",N26,"','",O26,"', '2021-04-14 11:08:00', '2999-12-31 23:59:59', 'A', '2021-04-14 11:08:00', 'SYS', '2021-04-14 11:08:00', 'SYS');")</f>
        <v xml:space="preserve"> VALUES ('PM024', 'Y', 'CKDO', NULL, 'M', NULL, NULL, 'CKDO_MP_020300', 'Transactions', 'Transactions','Transactions','R', '2021-04-14 11:08:00', '2999-12-31 23:59:59', 'A', '2021-04-14 11:08:00', 'SYS', '2021-04-14 11:08:00', 'SYS');</v>
      </c>
      <c r="R2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('PM024', 'Y', 'CKDO', NULL, 'M', NULL, NULL, 'CKDO_MP_020300', 'Transactions', 'Transactions','Transactions','R', '2021-04-14 11:08:00', '2999-12-31 23:59:59', 'A', '2021-04-14 11:08:00', 'SYS', '2021-04-14 11:08:00', 'SYS');</v>
      </c>
    </row>
    <row r="27" spans="1:21" x14ac:dyDescent="0.2">
      <c r="A27" t="s">
        <v>411</v>
      </c>
      <c r="B27" t="s">
        <v>44</v>
      </c>
      <c r="C27" t="s">
        <v>30</v>
      </c>
      <c r="D27" t="s">
        <v>125</v>
      </c>
      <c r="E27" t="s">
        <v>384</v>
      </c>
      <c r="F27" t="s">
        <v>125</v>
      </c>
      <c r="G27" t="s">
        <v>125</v>
      </c>
      <c r="H27" t="s">
        <v>318</v>
      </c>
      <c r="I27" t="str">
        <f>VLOOKUP(H27,Menu_EX_CK2!$A$1:$F$93,6,FALSE)</f>
        <v>Help</v>
      </c>
      <c r="J27" t="s">
        <v>125</v>
      </c>
      <c r="K27" t="s">
        <v>125</v>
      </c>
      <c r="L27" t="s">
        <v>125</v>
      </c>
      <c r="M27" t="str">
        <f t="shared" si="0"/>
        <v>Help</v>
      </c>
      <c r="N27" t="str">
        <f t="shared" si="1"/>
        <v>Help</v>
      </c>
      <c r="O27" t="s">
        <v>385</v>
      </c>
      <c r="P27" s="11" t="s">
        <v>386</v>
      </c>
      <c r="Q27" s="11" t="str">
        <f t="array" ref="Q27">CONCATENATE(" VALUES ('",A27,"', '",B27,"', '",C27,"', ",IF(D27="NULL","NULL",CONCATENATE("'",D27,"'")),", '",E27,"', ",IFERROR(F27,NULL),", NULL, '",H27,"', '",I27,"', '",M27,"','",N27,"','",O27,"', '2021-04-14 11:08:00', '2999-12-31 23:59:59', 'A', '2021-04-14 11:08:00', 'SYS', '2021-04-14 11:08:00', 'SYS');")</f>
        <v xml:space="preserve"> VALUES ('PM025', 'N', 'CKDO', NULL, 'M', NULL, NULL, 'CKDO_MH_080000', 'Help', 'Help','Help','R', '2021-04-14 11:08:00', '2999-12-31 23:59:59', 'A', '2021-04-14 11:08:00', 'SYS', '2021-04-14 11:08:00', 'SYS');</v>
      </c>
      <c r="R2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('PM025', 'N', 'CKDO', NULL, 'M', NULL, NULL, 'CKDO_MH_080000', 'Help', 'Help','Help','R', '2021-04-14 11:08:00', '2999-12-31 23:59:59', 'A', '2021-04-14 11:08:00', 'SYS', '2021-04-14 11:08:00', 'SYS');</v>
      </c>
    </row>
    <row r="28" spans="1:21" x14ac:dyDescent="0.2">
      <c r="A28" t="s">
        <v>412</v>
      </c>
      <c r="B28" t="s">
        <v>383</v>
      </c>
      <c r="C28" t="s">
        <v>30</v>
      </c>
      <c r="D28" t="s">
        <v>125</v>
      </c>
      <c r="E28" t="s">
        <v>384</v>
      </c>
      <c r="F28" t="s">
        <v>125</v>
      </c>
      <c r="G28" t="s">
        <v>125</v>
      </c>
      <c r="H28" t="s">
        <v>258</v>
      </c>
      <c r="I28" t="str">
        <f>VLOOKUP(H28,Menu_EX_CK2!$A$1:$F$93,6,FALSE)</f>
        <v>Payments</v>
      </c>
      <c r="J28" t="s">
        <v>125</v>
      </c>
      <c r="K28" t="s">
        <v>125</v>
      </c>
      <c r="L28" t="s">
        <v>125</v>
      </c>
      <c r="M28" t="str">
        <f t="shared" si="0"/>
        <v>Payments</v>
      </c>
      <c r="N28" t="str">
        <f t="shared" si="1"/>
        <v>Payments</v>
      </c>
      <c r="O28" t="s">
        <v>385</v>
      </c>
      <c r="P28" s="11" t="s">
        <v>386</v>
      </c>
      <c r="Q28" s="11" t="str">
        <f t="array" ref="Q28">CONCATENATE(" VALUES ('",A28,"', '",B28,"', '",C28,"', ",IF(D28="NULL","NULL",CONCATENATE("'",D28,"'")),", '",E28,"', ",IFERROR(F28,NULL),", NULL, '",H28,"', '",I28,"', '",M28,"','",N28,"','",O28,"', '2021-04-14 11:08:00', '2999-12-31 23:59:59', 'A', '2021-04-14 11:08:00', 'SYS', '2021-04-14 11:08:00', 'SYS');")</f>
        <v xml:space="preserve"> VALUES ('PM026', 'Y', 'CKDO', NULL, 'M', NULL, NULL, 'CKDO_MP_040000', 'Payments', 'Payments','Payments','R', '2021-04-14 11:08:00', '2999-12-31 23:59:59', 'A', '2021-04-14 11:08:00', 'SYS', '2021-04-14 11:08:00', 'SYS');</v>
      </c>
      <c r="R2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('PM026', 'Y', 'CKDO', NULL, 'M', NULL, NULL, 'CKDO_MP_040000', 'Payments', 'Payments','Payments','R', '2021-04-14 11:08:00', '2999-12-31 23:59:59', 'A', '2021-04-14 11:08:00', 'SYS', '2021-04-14 11:08:00', 'SYS');</v>
      </c>
    </row>
    <row r="29" spans="1:21" x14ac:dyDescent="0.2">
      <c r="A29" t="s">
        <v>413</v>
      </c>
      <c r="B29" t="s">
        <v>44</v>
      </c>
      <c r="C29" t="s">
        <v>14</v>
      </c>
      <c r="D29" t="s">
        <v>125</v>
      </c>
      <c r="E29" t="s">
        <v>384</v>
      </c>
      <c r="F29" t="s">
        <v>125</v>
      </c>
      <c r="G29" t="s">
        <v>125</v>
      </c>
      <c r="H29" s="13" t="s">
        <v>126</v>
      </c>
      <c r="I29" t="str">
        <f>VLOOKUP(H29,Menu_EX_CK2!$A$1:$F$93,6,FALSE)</f>
        <v>Services</v>
      </c>
      <c r="J29" t="s">
        <v>125</v>
      </c>
      <c r="K29" t="s">
        <v>125</v>
      </c>
      <c r="L29" t="s">
        <v>125</v>
      </c>
      <c r="M29" t="str">
        <f t="shared" si="0"/>
        <v>Services</v>
      </c>
      <c r="N29" t="str">
        <f t="shared" si="1"/>
        <v>Services</v>
      </c>
      <c r="O29" t="s">
        <v>385</v>
      </c>
      <c r="P29" s="11" t="s">
        <v>386</v>
      </c>
      <c r="Q29" s="11" t="str">
        <f t="array" ref="Q29">CONCATENATE(" VALUES ('",A29,"', '",B29,"', '",C29,"', ",IF(D29="NULL","NULL",CONCATENATE("'",D29,"'")),", '",E29,"', ",IFERROR(F29,NULL),", NULL, '",H29,"', '",I29,"', '",M29,"','",N29,"','",O29,"', '2021-04-14 11:08:00', '2999-12-31 23:59:59', 'A', '2021-04-14 11:08:00', 'SYS', '2021-04-14 11:08:00', 'SYS');")</f>
        <v xml:space="preserve"> VALUES ('PM027', 'N', 'CKT', NULL, 'M', NULL, NULL, 'CKT_MS_010000', 'Services', 'Services','Services','R', '2021-04-14 11:08:00', '2999-12-31 23:59:59', 'A', '2021-04-14 11:08:00', 'SYS', '2021-04-14 11:08:00', 'SYS');</v>
      </c>
      <c r="R2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('PM027', 'N', 'CKT', NULL, 'M', NULL, NULL, 'CKT_MS_010000', 'Services', 'Services','Services','R', '2021-04-14 11:08:00', '2999-12-31 23:59:59', 'A', '2021-04-14 11:08:00', 'SYS', '2021-04-14 11:08:00', 'SYS');</v>
      </c>
    </row>
    <row r="30" spans="1:21" x14ac:dyDescent="0.2">
      <c r="A30" t="s">
        <v>414</v>
      </c>
      <c r="B30" t="s">
        <v>383</v>
      </c>
      <c r="C30" t="s">
        <v>14</v>
      </c>
      <c r="D30" t="s">
        <v>125</v>
      </c>
      <c r="E30" t="s">
        <v>384</v>
      </c>
      <c r="F30" t="s">
        <v>125</v>
      </c>
      <c r="G30" t="s">
        <v>125</v>
      </c>
      <c r="H30" s="13" t="s">
        <v>130</v>
      </c>
      <c r="I30" t="str">
        <f>VLOOKUP(H30,Menu_EX_CK2!$A$1:$F$93,6,FALSE)</f>
        <v>Administrations</v>
      </c>
      <c r="J30" t="s">
        <v>125</v>
      </c>
      <c r="K30" t="s">
        <v>125</v>
      </c>
      <c r="L30" t="s">
        <v>125</v>
      </c>
      <c r="M30" t="str">
        <f t="shared" si="0"/>
        <v>Administrations</v>
      </c>
      <c r="N30" t="str">
        <f t="shared" si="1"/>
        <v>Administrations</v>
      </c>
      <c r="O30" t="s">
        <v>385</v>
      </c>
      <c r="P30" s="11" t="s">
        <v>386</v>
      </c>
      <c r="Q30" s="11" t="str">
        <f t="array" ref="Q30">CONCATENATE(" VALUES ('",A30,"', '",B30,"', '",C30,"', ",IF(D30="NULL","NULL",CONCATENATE("'",D30,"'")),", '",E30,"', ",IFERROR(F30,NULL),", NULL, '",H30,"', '",I30,"', '",M30,"','",N30,"','",O30,"', '2021-04-14 11:08:00', '2999-12-31 23:59:59', 'A', '2021-04-14 11:08:00', 'SYS', '2021-04-14 11:08:00', 'SYS');")</f>
        <v xml:space="preserve"> VALUES ('PM028', 'Y', 'CKT', NULL, 'M', NULL, NULL, 'CKT_MA_030000', 'Administrations', 'Administrations','Administrations','R', '2021-04-14 11:08:00', '2999-12-31 23:59:59', 'A', '2021-04-14 11:08:00', 'SYS', '2021-04-14 11:08:00', 'SYS');</v>
      </c>
      <c r="R3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('PM028', 'Y', 'CKT', NULL, 'M', NULL, NULL, 'CKT_MA_030000', 'Administrations', 'Administrations','Administrations','R', '2021-04-14 11:08:00', '2999-12-31 23:59:59', 'A', '2021-04-14 11:08:00', 'SYS', '2021-04-14 11:08:00', 'SYS');</v>
      </c>
    </row>
    <row r="31" spans="1:21" x14ac:dyDescent="0.2">
      <c r="A31" t="s">
        <v>415</v>
      </c>
      <c r="B31" t="s">
        <v>44</v>
      </c>
      <c r="C31" t="s">
        <v>14</v>
      </c>
      <c r="D31" t="s">
        <v>125</v>
      </c>
      <c r="E31" t="s">
        <v>384</v>
      </c>
      <c r="F31" t="s">
        <v>125</v>
      </c>
      <c r="G31" t="s">
        <v>125</v>
      </c>
      <c r="H31" s="9" t="s">
        <v>133</v>
      </c>
      <c r="I31" t="str">
        <f>VLOOKUP(H31,Menu_EX_CK2!$A$1:$F$93,6,FALSE)</f>
        <v>Manage Trucks</v>
      </c>
      <c r="J31" t="s">
        <v>125</v>
      </c>
      <c r="K31" t="s">
        <v>125</v>
      </c>
      <c r="L31" t="s">
        <v>125</v>
      </c>
      <c r="M31" t="str">
        <f t="shared" si="0"/>
        <v>Manage Trucks</v>
      </c>
      <c r="N31" t="str">
        <f t="shared" si="1"/>
        <v>Manage Trucks</v>
      </c>
      <c r="O31" t="s">
        <v>385</v>
      </c>
      <c r="P31" s="11" t="s">
        <v>386</v>
      </c>
      <c r="Q31" s="11" t="str">
        <f t="array" ref="Q31">CONCATENATE(" VALUES ('",A31,"', '",B31,"', '",C31,"', ",IF(D31="NULL","NULL",CONCATENATE("'",D31,"'")),", '",E31,"', ",IFERROR(F31,NULL),", NULL, '",H31,"', '",I31,"', '",M31,"','",N31,"','",O31,"', '2021-04-14 11:08:00', '2999-12-31 23:59:59', 'A', '2021-04-14 11:08:00', 'SYS', '2021-04-14 11:08:00', 'SYS');")</f>
        <v xml:space="preserve"> VALUES ('PM029', 'N', 'CKT', NULL, 'M', NULL, NULL, 'CKT_MA_030100', 'Manage Trucks', 'Manage Trucks','Manage Trucks','R', '2021-04-14 11:08:00', '2999-12-31 23:59:59', 'A', '2021-04-14 11:08:00', 'SYS', '2021-04-14 11:08:00', 'SYS');</v>
      </c>
      <c r="R3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('PM029', 'N', 'CKT', NULL, 'M', NULL, NULL, 'CKT_MA_030100', 'Manage Trucks', 'Manage Trucks','Manage Trucks','R', '2021-04-14 11:08:00', '2999-12-31 23:59:59', 'A', '2021-04-14 11:08:00', 'SYS', '2021-04-14 11:08:00', 'SYS');</v>
      </c>
      <c r="S31" s="12"/>
      <c r="U31" s="12"/>
    </row>
    <row r="32" spans="1:21" x14ac:dyDescent="0.2">
      <c r="A32" t="s">
        <v>416</v>
      </c>
      <c r="B32" t="s">
        <v>44</v>
      </c>
      <c r="C32" t="s">
        <v>14</v>
      </c>
      <c r="D32" t="s">
        <v>125</v>
      </c>
      <c r="E32" t="s">
        <v>384</v>
      </c>
      <c r="F32" t="s">
        <v>125</v>
      </c>
      <c r="G32" t="s">
        <v>125</v>
      </c>
      <c r="H32" s="9" t="s">
        <v>136</v>
      </c>
      <c r="I32" t="str">
        <f>VLOOKUP(H32,Menu_EX_CK2!$A$1:$F$93,6,FALSE)</f>
        <v>Manage Drivers</v>
      </c>
      <c r="J32" t="s">
        <v>125</v>
      </c>
      <c r="K32" t="s">
        <v>125</v>
      </c>
      <c r="L32" t="s">
        <v>125</v>
      </c>
      <c r="M32" t="str">
        <f t="shared" si="0"/>
        <v>Manage Drivers</v>
      </c>
      <c r="N32" t="str">
        <f t="shared" si="1"/>
        <v>Manage Drivers</v>
      </c>
      <c r="O32" t="s">
        <v>385</v>
      </c>
      <c r="P32" s="11" t="s">
        <v>386</v>
      </c>
      <c r="Q32" s="11" t="str">
        <f t="array" ref="Q32">CONCATENATE(" VALUES ('",A32,"', '",B32,"', '",C32,"', ",IF(D32="NULL","NULL",CONCATENATE("'",D32,"'")),", '",E32,"', ",IFERROR(F32,NULL),", NULL, '",H32,"', '",I32,"', '",M32,"','",N32,"','",O32,"', '2021-04-14 11:08:00', '2999-12-31 23:59:59', 'A', '2021-04-14 11:08:00', 'SYS', '2021-04-14 11:08:00', 'SYS');")</f>
        <v xml:space="preserve"> VALUES ('PM030', 'N', 'CKT', NULL, 'M', NULL, NULL, 'CKT_MA_030200', 'Manage Drivers', 'Manage Drivers','Manage Drivers','R', '2021-04-14 11:08:00', '2999-12-31 23:59:59', 'A', '2021-04-14 11:08:00', 'SYS', '2021-04-14 11:08:00', 'SYS');</v>
      </c>
      <c r="R3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('PM030', 'N', 'CKT', NULL, 'M', NULL, NULL, 'CKT_MA_030200', 'Manage Drivers', 'Manage Drivers','Manage Drivers','R', '2021-04-14 11:08:00', '2999-12-31 23:59:59', 'A', '2021-04-14 11:08:00', 'SYS', '2021-04-14 11:08:00', 'SYS');</v>
      </c>
      <c r="S32" s="12"/>
      <c r="U32" s="12"/>
    </row>
    <row r="33" spans="1:21" x14ac:dyDescent="0.2">
      <c r="A33" t="s">
        <v>417</v>
      </c>
      <c r="B33" t="s">
        <v>44</v>
      </c>
      <c r="C33" t="s">
        <v>14</v>
      </c>
      <c r="D33" t="s">
        <v>125</v>
      </c>
      <c r="E33" t="s">
        <v>384</v>
      </c>
      <c r="F33" t="s">
        <v>125</v>
      </c>
      <c r="G33" t="s">
        <v>125</v>
      </c>
      <c r="H33" s="9" t="s">
        <v>139</v>
      </c>
      <c r="I33" t="str">
        <f>VLOOKUP(H33,Menu_EX_CK2!$A$1:$F$93,6,FALSE)</f>
        <v>Manage Locations</v>
      </c>
      <c r="J33" t="s">
        <v>125</v>
      </c>
      <c r="K33" t="s">
        <v>125</v>
      </c>
      <c r="L33" t="s">
        <v>125</v>
      </c>
      <c r="M33" t="str">
        <f t="shared" si="0"/>
        <v>Manage Locations</v>
      </c>
      <c r="N33" t="str">
        <f t="shared" si="1"/>
        <v>Manage Locations</v>
      </c>
      <c r="O33" t="s">
        <v>385</v>
      </c>
      <c r="P33" s="11" t="s">
        <v>386</v>
      </c>
      <c r="Q33" s="11" t="str">
        <f t="array" ref="Q33">CONCATENATE(" VALUES ('",A33,"', '",B33,"', '",C33,"', ",IF(D33="NULL","NULL",CONCATENATE("'",D33,"'")),", '",E33,"', ",IFERROR(F33,NULL),", NULL, '",H33,"', '",I33,"', '",M33,"','",N33,"','",O33,"', '2021-04-14 11:08:00', '2999-12-31 23:59:59', 'A', '2021-04-14 11:08:00', 'SYS', '2021-04-14 11:08:00', 'SYS');")</f>
        <v xml:space="preserve"> VALUES ('PM031', 'N', 'CKT', NULL, 'M', NULL, NULL, 'CKT_MA_030300', 'Manage Locations', 'Manage Locations','Manage Locations','R', '2021-04-14 11:08:00', '2999-12-31 23:59:59', 'A', '2021-04-14 11:08:00', 'SYS', '2021-04-14 11:08:00', 'SYS');</v>
      </c>
      <c r="R3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('PM031', 'N', 'CKT', NULL, 'M', NULL, NULL, 'CKT_MA_030300', 'Manage Locations', 'Manage Locations','Manage Locations','R', '2021-04-14 11:08:00', '2999-12-31 23:59:59', 'A', '2021-04-14 11:08:00', 'SYS', '2021-04-14 11:08:00', 'SYS');</v>
      </c>
      <c r="S33" s="12"/>
      <c r="U33" s="12"/>
    </row>
    <row r="34" spans="1:21" x14ac:dyDescent="0.2">
      <c r="A34" s="2" t="s">
        <v>418</v>
      </c>
      <c r="B34" t="s">
        <v>44</v>
      </c>
      <c r="C34" t="s">
        <v>14</v>
      </c>
      <c r="D34" t="s">
        <v>125</v>
      </c>
      <c r="E34" t="s">
        <v>384</v>
      </c>
      <c r="F34" t="s">
        <v>125</v>
      </c>
      <c r="G34" t="s">
        <v>125</v>
      </c>
      <c r="H34" s="9" t="s">
        <v>142</v>
      </c>
      <c r="I34" t="str">
        <f>VLOOKUP(H34,Menu_EX_CK2!$A$1:$F$93,6,FALSE)</f>
        <v>Manage Rentals</v>
      </c>
      <c r="J34" t="s">
        <v>125</v>
      </c>
      <c r="K34" t="s">
        <v>125</v>
      </c>
      <c r="L34" t="s">
        <v>125</v>
      </c>
      <c r="M34" t="str">
        <f t="shared" si="0"/>
        <v>Manage Rentals</v>
      </c>
      <c r="N34" t="str">
        <f t="shared" si="1"/>
        <v>Manage Rentals</v>
      </c>
      <c r="O34" t="s">
        <v>385</v>
      </c>
      <c r="P34" s="11" t="s">
        <v>386</v>
      </c>
      <c r="Q34" s="11" t="str">
        <f t="array" ref="Q34">CONCATENATE(" VALUES ('",A34,"', '",B34,"', '",C34,"', ",IF(D34="NULL","NULL",CONCATENATE("'",D34,"'")),", '",E34,"', ",IFERROR(F34,NULL),", NULL, '",H34,"', '",I34,"', '",M34,"','",N34,"','",O34,"', '2021-04-14 11:08:00', '2999-12-31 23:59:59', 'A', '2021-04-14 11:08:00', 'SYS', '2021-04-14 11:08:00', 'SYS');")</f>
        <v xml:space="preserve"> VALUES ('PM032', 'N', 'CKT', NULL, 'M', NULL, NULL, 'CKT_MA_030400', 'Manage Rentals', 'Manage Rentals','Manage Rentals','R', '2021-04-14 11:08:00', '2999-12-31 23:59:59', 'A', '2021-04-14 11:08:00', 'SYS', '2021-04-14 11:08:00', 'SYS');</v>
      </c>
      <c r="R3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('PM032', 'N', 'CKT', NULL, 'M', NULL, NULL, 'CKT_MA_030400', 'Manage Rentals', 'Manage Rentals','Manage Rentals','R', '2021-04-14 11:08:00', '2999-12-31 23:59:59', 'A', '2021-04-14 11:08:00', 'SYS', '2021-04-14 11:08:00', 'SYS');</v>
      </c>
    </row>
    <row r="35" spans="1:21" x14ac:dyDescent="0.2">
      <c r="A35" t="s">
        <v>419</v>
      </c>
      <c r="B35" t="s">
        <v>44</v>
      </c>
      <c r="C35" t="s">
        <v>14</v>
      </c>
      <c r="D35" t="s">
        <v>125</v>
      </c>
      <c r="E35" t="s">
        <v>384</v>
      </c>
      <c r="F35" t="s">
        <v>125</v>
      </c>
      <c r="G35" t="s">
        <v>125</v>
      </c>
      <c r="H35" s="9" t="s">
        <v>145</v>
      </c>
      <c r="I35" t="str">
        <f>VLOOKUP(H35,Menu_EX_CK2!$A$1:$F$93,6,FALSE)</f>
        <v>Manage Rate Table</v>
      </c>
      <c r="J35" t="s">
        <v>125</v>
      </c>
      <c r="K35" t="s">
        <v>125</v>
      </c>
      <c r="L35" t="s">
        <v>125</v>
      </c>
      <c r="M35" t="str">
        <f t="shared" si="0"/>
        <v>Manage Rate Table</v>
      </c>
      <c r="N35" t="str">
        <f t="shared" si="1"/>
        <v>Manage Rate Table</v>
      </c>
      <c r="O35" t="s">
        <v>385</v>
      </c>
      <c r="P35" s="11" t="s">
        <v>386</v>
      </c>
      <c r="Q35" s="11" t="str">
        <f t="array" ref="Q35">CONCATENATE(" VALUES ('",A35,"', '",B35,"', '",C35,"', ",IF(D35="NULL","NULL",CONCATENATE("'",D35,"'")),", '",E35,"', ",IFERROR(F35,NULL),", NULL, '",H35,"', '",I35,"', '",M35,"','",N35,"','",O35,"', '2021-04-14 11:08:00', '2999-12-31 23:59:59', 'A', '2021-04-14 11:08:00', 'SYS', '2021-04-14 11:08:00', 'SYS');")</f>
        <v xml:space="preserve"> VALUES ('PM033', 'N', 'CKT', NULL, 'M', NULL, NULL, 'CKT_MA_030500', 'Manage Rate Table', 'Manage Rate Table','Manage Rate Table','R', '2021-04-14 11:08:00', '2999-12-31 23:59:59', 'A', '2021-04-14 11:08:00', 'SYS', '2021-04-14 11:08:00', 'SYS');</v>
      </c>
      <c r="R3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('PM033', 'N', 'CKT', NULL, 'M', NULL, NULL, 'CKT_MA_030500', 'Manage Rate Table', 'Manage Rate Table','Manage Rate Table','R', '2021-04-14 11:08:00', '2999-12-31 23:59:59', 'A', '2021-04-14 11:08:00', 'SYS', '2021-04-14 11:08:00', 'SYS');</v>
      </c>
    </row>
    <row r="36" spans="1:21" x14ac:dyDescent="0.2">
      <c r="A36" t="s">
        <v>420</v>
      </c>
      <c r="B36" t="s">
        <v>44</v>
      </c>
      <c r="C36" t="s">
        <v>14</v>
      </c>
      <c r="D36" t="s">
        <v>125</v>
      </c>
      <c r="E36" t="s">
        <v>384</v>
      </c>
      <c r="F36" t="s">
        <v>125</v>
      </c>
      <c r="G36" t="s">
        <v>125</v>
      </c>
      <c r="H36" s="9" t="s">
        <v>148</v>
      </c>
      <c r="I36" t="str">
        <f>VLOOKUP(H36,Menu_EX_CK2!$A$1:$F$93,6,FALSE)</f>
        <v>Live Monitoring</v>
      </c>
      <c r="J36" t="s">
        <v>125</v>
      </c>
      <c r="K36" t="s">
        <v>125</v>
      </c>
      <c r="L36" t="s">
        <v>125</v>
      </c>
      <c r="M36" t="str">
        <f t="shared" si="0"/>
        <v>Live Monitoring</v>
      </c>
      <c r="N36" t="str">
        <f t="shared" si="1"/>
        <v>Live Monitoring</v>
      </c>
      <c r="O36" t="s">
        <v>385</v>
      </c>
      <c r="P36" s="11" t="s">
        <v>386</v>
      </c>
      <c r="Q36" s="11" t="str">
        <f t="array" ref="Q36">CONCATENATE(" VALUES ('",A36,"', '",B36,"', '",C36,"', ",IF(D36="NULL","NULL",CONCATENATE("'",D36,"'")),", '",E36,"', ",IFERROR(F36,NULL),", NULL, '",H36,"', '",I36,"', '",M36,"','",N36,"','",O36,"', '2021-04-14 11:08:00', '2999-12-31 23:59:59', 'A', '2021-04-14 11:08:00', 'SYS', '2021-04-14 11:08:00', 'SYS');")</f>
        <v xml:space="preserve"> VALUES ('PM034', 'N', 'CKT', NULL, 'M', NULL, NULL, 'CKT_MA_030600', 'Live Monitoring', 'Live Monitoring','Live Monitoring','R', '2021-04-14 11:08:00', '2999-12-31 23:59:59', 'A', '2021-04-14 11:08:00', 'SYS', '2021-04-14 11:08:00', 'SYS');</v>
      </c>
      <c r="R3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('PM034', 'N', 'CKT', NULL, 'M', NULL, NULL, 'CKT_MA_030600', 'Live Monitoring', 'Live Monitoring','Live Monitoring','R', '2021-04-14 11:08:00', '2999-12-31 23:59:59', 'A', '2021-04-14 11:08:00', 'SYS', '2021-04-14 11:08:00', 'SYS');</v>
      </c>
    </row>
    <row r="37" spans="1:21" x14ac:dyDescent="0.2">
      <c r="A37" t="s">
        <v>421</v>
      </c>
      <c r="B37" t="s">
        <v>44</v>
      </c>
      <c r="C37" t="s">
        <v>14</v>
      </c>
      <c r="D37" t="s">
        <v>125</v>
      </c>
      <c r="E37" t="s">
        <v>384</v>
      </c>
      <c r="F37" t="s">
        <v>125</v>
      </c>
      <c r="G37" t="s">
        <v>125</v>
      </c>
      <c r="H37" s="9" t="s">
        <v>151</v>
      </c>
      <c r="I37" t="str">
        <f>VLOOKUP(H37,Menu_EX_CK2!$A$1:$F$93,6,FALSE)</f>
        <v>Historical Monitoring</v>
      </c>
      <c r="J37" t="s">
        <v>125</v>
      </c>
      <c r="K37" t="s">
        <v>125</v>
      </c>
      <c r="L37" t="s">
        <v>125</v>
      </c>
      <c r="M37" t="str">
        <f t="shared" si="0"/>
        <v>Historical Monitoring</v>
      </c>
      <c r="N37" t="str">
        <f t="shared" si="1"/>
        <v>Historical Monitoring</v>
      </c>
      <c r="O37" t="s">
        <v>385</v>
      </c>
      <c r="P37" s="11" t="s">
        <v>386</v>
      </c>
      <c r="Q37" s="11" t="str">
        <f t="array" ref="Q37">CONCATENATE(" VALUES ('",A37,"', '",B37,"', '",C37,"', ",IF(D37="NULL","NULL",CONCATENATE("'",D37,"'")),", '",E37,"', ",IFERROR(F37,NULL),", NULL, '",H37,"', '",I37,"', '",M37,"','",N37,"','",O37,"', '2021-04-14 11:08:00', '2999-12-31 23:59:59', 'A', '2021-04-14 11:08:00', 'SYS', '2021-04-14 11:08:00', 'SYS');")</f>
        <v xml:space="preserve"> VALUES ('PM035', 'N', 'CKT', NULL, 'M', NULL, NULL, 'CKT_MA_030700', 'Historical Monitoring', 'Historical Monitoring','Historical Monitoring','R', '2021-04-14 11:08:00', '2999-12-31 23:59:59', 'A', '2021-04-14 11:08:00', 'SYS', '2021-04-14 11:08:00', 'SYS');</v>
      </c>
      <c r="R3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('PM035', 'N', 'CKT', NULL, 'M', NULL, NULL, 'CKT_MA_030700', 'Historical Monitoring', 'Historical Monitoring','Historical Monitoring','R', '2021-04-14 11:08:00', '2999-12-31 23:59:59', 'A', '2021-04-14 11:08:00', 'SYS', '2021-04-14 11:08:00', 'SYS');</v>
      </c>
    </row>
    <row r="38" spans="1:21" x14ac:dyDescent="0.2">
      <c r="A38" t="s">
        <v>422</v>
      </c>
      <c r="B38" t="s">
        <v>383</v>
      </c>
      <c r="C38" t="s">
        <v>14</v>
      </c>
      <c r="D38" t="s">
        <v>125</v>
      </c>
      <c r="E38" t="s">
        <v>384</v>
      </c>
      <c r="F38" t="s">
        <v>125</v>
      </c>
      <c r="G38" t="s">
        <v>125</v>
      </c>
      <c r="H38" s="13" t="s">
        <v>157</v>
      </c>
      <c r="I38" t="str">
        <f>VLOOKUP(H38,Menu_EX_CK2!$A$1:$F$93,6,FALSE)</f>
        <v>Account Administration</v>
      </c>
      <c r="J38" t="s">
        <v>125</v>
      </c>
      <c r="K38" t="s">
        <v>125</v>
      </c>
      <c r="L38" t="s">
        <v>125</v>
      </c>
      <c r="M38" t="str">
        <f t="shared" si="0"/>
        <v>Account Administration</v>
      </c>
      <c r="N38" t="str">
        <f t="shared" si="1"/>
        <v>Account Administration</v>
      </c>
      <c r="O38" t="s">
        <v>385</v>
      </c>
      <c r="P38" s="11" t="s">
        <v>386</v>
      </c>
      <c r="Q38" s="11" t="str">
        <f t="array" ref="Q38">CONCATENATE(" VALUES ('",A38,"', '",B38,"', '",C38,"', ",IF(D38="NULL","NULL",CONCATENATE("'",D38,"'")),", '",E38,"', ",IFERROR(F38,NULL),", NULL, '",H38,"', '",I38,"', '",M38,"','",N38,"','",O38,"', '2021-04-14 11:08:00', '2999-12-31 23:59:59', 'A', '2021-04-14 11:08:00', 'SYS', '2021-04-14 11:08:00', 'SYS');")</f>
        <v xml:space="preserve"> VALUES ('PM036', 'Y', 'CKT', NULL, 'M', NULL, NULL, 'CKT_AA_050000', 'Account Administration', 'Account Administration','Account Administration','R', '2021-04-14 11:08:00', '2999-12-31 23:59:59', 'A', '2021-04-14 11:08:00', 'SYS', '2021-04-14 11:08:00', 'SYS');</v>
      </c>
      <c r="R3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('PM036', 'Y', 'CKT', NULL, 'M', NULL, NULL, 'CKT_AA_050000', 'Account Administration', 'Account Administration','Account Administration','R', '2021-04-14 11:08:00', '2999-12-31 23:59:59', 'A', '2021-04-14 11:08:00', 'SYS', '2021-04-14 11:08:00', 'SYS');</v>
      </c>
    </row>
    <row r="39" spans="1:21" x14ac:dyDescent="0.2">
      <c r="A39" t="s">
        <v>423</v>
      </c>
      <c r="B39" t="s">
        <v>44</v>
      </c>
      <c r="C39" t="s">
        <v>14</v>
      </c>
      <c r="D39" t="s">
        <v>125</v>
      </c>
      <c r="E39" t="s">
        <v>384</v>
      </c>
      <c r="F39" t="s">
        <v>125</v>
      </c>
      <c r="G39" t="s">
        <v>125</v>
      </c>
      <c r="H39" s="9" t="s">
        <v>160</v>
      </c>
      <c r="I39" t="str">
        <f>VLOOKUP(H39,Menu_EX_CK2!$A$1:$F$93,6,FALSE)</f>
        <v>Account Profile</v>
      </c>
      <c r="J39" t="s">
        <v>125</v>
      </c>
      <c r="K39" t="s">
        <v>125</v>
      </c>
      <c r="L39" t="s">
        <v>125</v>
      </c>
      <c r="M39" t="str">
        <f t="shared" si="0"/>
        <v>Account Profile</v>
      </c>
      <c r="N39" t="str">
        <f t="shared" si="1"/>
        <v>Account Profile</v>
      </c>
      <c r="O39" t="s">
        <v>385</v>
      </c>
      <c r="P39" s="11" t="s">
        <v>386</v>
      </c>
      <c r="Q39" s="11" t="str">
        <f t="array" ref="Q39">CONCATENATE(" VALUES ('",A39,"', '",B39,"', '",C39,"', ",IF(D39="NULL","NULL",CONCATENATE("'",D39,"'")),", '",E39,"', ",IFERROR(F39,NULL),", NULL, '",H39,"', '",I39,"', '",M39,"','",N39,"','",O39,"', '2021-04-14 11:08:00', '2999-12-31 23:59:59', 'A', '2021-04-14 11:08:00', 'SYS', '2021-04-14 11:08:00', 'SYS');")</f>
        <v xml:space="preserve"> VALUES ('PM037', 'N', 'CKT', NULL, 'M', NULL, NULL, 'CKT_AA_050100', 'Account Profile', 'Account Profile','Account Profile','R', '2021-04-14 11:08:00', '2999-12-31 23:59:59', 'A', '2021-04-14 11:08:00', 'SYS', '2021-04-14 11:08:00', 'SYS');</v>
      </c>
      <c r="R3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('PM037', 'N', 'CKT', NULL, 'M', NULL, NULL, 'CKT_AA_050100', 'Account Profile', 'Account Profile','Account Profile','R', '2021-04-14 11:08:00', '2999-12-31 23:59:59', 'A', '2021-04-14 11:08:00', 'SYS', '2021-04-14 11:08:00', 'SYS');</v>
      </c>
    </row>
    <row r="40" spans="1:21" x14ac:dyDescent="0.2">
      <c r="A40" t="s">
        <v>424</v>
      </c>
      <c r="B40" t="s">
        <v>44</v>
      </c>
      <c r="C40" t="s">
        <v>14</v>
      </c>
      <c r="D40" t="s">
        <v>125</v>
      </c>
      <c r="E40" t="s">
        <v>384</v>
      </c>
      <c r="F40" t="s">
        <v>125</v>
      </c>
      <c r="G40" t="s">
        <v>125</v>
      </c>
      <c r="H40" s="9" t="s">
        <v>163</v>
      </c>
      <c r="I40" t="str">
        <f>VLOOKUP(H40,Menu_EX_CK2!$A$1:$F$93,6,FALSE)</f>
        <v>Manage Users</v>
      </c>
      <c r="J40" t="s">
        <v>125</v>
      </c>
      <c r="K40" t="s">
        <v>125</v>
      </c>
      <c r="L40" t="s">
        <v>125</v>
      </c>
      <c r="M40" t="str">
        <f t="shared" si="0"/>
        <v>Manage Users</v>
      </c>
      <c r="N40" t="str">
        <f t="shared" si="1"/>
        <v>Manage Users</v>
      </c>
      <c r="O40" t="s">
        <v>385</v>
      </c>
      <c r="P40" s="11" t="s">
        <v>386</v>
      </c>
      <c r="Q40" s="11" t="str">
        <f t="array" ref="Q40">CONCATENATE(" VALUES ('",A40,"', '",B40,"', '",C40,"', ",IF(D40="NULL","NULL",CONCATENATE("'",D40,"'")),", '",E40,"', ",IFERROR(F40,NULL),", NULL, '",H40,"', '",I40,"', '",M40,"','",N40,"','",O40,"', '2021-04-14 11:08:00', '2999-12-31 23:59:59', 'A', '2021-04-14 11:08:00', 'SYS', '2021-04-14 11:08:00', 'SYS');")</f>
        <v xml:space="preserve"> VALUES ('PM038', 'N', 'CKT', NULL, 'M', NULL, NULL, 'CKT_AA_050200', 'Manage Users', 'Manage Users','Manage Users','R', '2021-04-14 11:08:00', '2999-12-31 23:59:59', 'A', '2021-04-14 11:08:00', 'SYS', '2021-04-14 11:08:00', 'SYS');</v>
      </c>
      <c r="R4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('PM038', 'N', 'CKT', NULL, 'M', NULL, NULL, 'CKT_AA_050200', 'Manage Users', 'Manage Users','Manage Users','R', '2021-04-14 11:08:00', '2999-12-31 23:59:59', 'A', '2021-04-14 11:08:00', 'SYS', '2021-04-14 11:08:00', 'SYS');</v>
      </c>
    </row>
    <row r="41" spans="1:21" x14ac:dyDescent="0.2">
      <c r="A41" t="s">
        <v>425</v>
      </c>
      <c r="B41" t="s">
        <v>44</v>
      </c>
      <c r="C41" t="s">
        <v>14</v>
      </c>
      <c r="D41" t="s">
        <v>125</v>
      </c>
      <c r="E41" t="s">
        <v>384</v>
      </c>
      <c r="F41" t="s">
        <v>125</v>
      </c>
      <c r="G41" t="s">
        <v>125</v>
      </c>
      <c r="H41" s="13" t="s">
        <v>167</v>
      </c>
      <c r="I41" t="str">
        <f>VLOOKUP(H41,Menu_EX_CK2!$A$1:$F$93,6,FALSE)</f>
        <v>Finance Administration</v>
      </c>
      <c r="J41" t="s">
        <v>125</v>
      </c>
      <c r="K41" t="s">
        <v>125</v>
      </c>
      <c r="L41" t="s">
        <v>125</v>
      </c>
      <c r="M41" t="str">
        <f t="shared" si="0"/>
        <v>Finance Administration</v>
      </c>
      <c r="N41" t="str">
        <f t="shared" si="1"/>
        <v>Finance Administration</v>
      </c>
      <c r="O41" t="s">
        <v>385</v>
      </c>
      <c r="P41" s="11" t="s">
        <v>386</v>
      </c>
      <c r="Q41" s="11" t="str">
        <f t="array" ref="Q41">CONCATENATE(" VALUES ('",A41,"', '",B41,"', '",C41,"', ",IF(D41="NULL","NULL",CONCATENATE("'",D41,"'")),", '",E41,"', ",IFERROR(F41,NULL),", NULL, '",H41,"', '",I41,"', '",M41,"','",N41,"','",O41,"', '2021-04-14 11:08:00', '2999-12-31 23:59:59', 'A', '2021-04-14 11:08:00', 'SYS', '2021-04-14 11:08:00', 'SYS');")</f>
        <v xml:space="preserve"> VALUES ('PM039', 'N', 'CKT', NULL, 'M', NULL, NULL, 'CKT_FA_060000', 'Finance Administration', 'Finance Administration','Finance Administration','R', '2021-04-14 11:08:00', '2999-12-31 23:59:59', 'A', '2021-04-14 11:08:00', 'SYS', '2021-04-14 11:08:00', 'SYS');</v>
      </c>
      <c r="R4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('PM039', 'N', 'CKT', NULL, 'M', NULL, NULL, 'CKT_FA_060000', 'Finance Administration', 'Finance Administration','Finance Administration','R', '2021-04-14 11:08:00', '2999-12-31 23:59:59', 'A', '2021-04-14 11:08:00', 'SYS', '2021-04-14 11:08:00', 'SYS');</v>
      </c>
    </row>
    <row r="42" spans="1:21" x14ac:dyDescent="0.2">
      <c r="A42" t="s">
        <v>426</v>
      </c>
      <c r="B42" t="s">
        <v>44</v>
      </c>
      <c r="C42" t="s">
        <v>14</v>
      </c>
      <c r="D42" t="s">
        <v>125</v>
      </c>
      <c r="E42" t="s">
        <v>384</v>
      </c>
      <c r="F42" t="s">
        <v>125</v>
      </c>
      <c r="G42" t="s">
        <v>125</v>
      </c>
      <c r="H42" s="9" t="s">
        <v>171</v>
      </c>
      <c r="I42" t="str">
        <f>VLOOKUP(H42,Menu_EX_CK2!$A$1:$F$93,6,FALSE)</f>
        <v>Sage Excel Report</v>
      </c>
      <c r="J42" t="s">
        <v>125</v>
      </c>
      <c r="K42" t="s">
        <v>125</v>
      </c>
      <c r="L42" t="s">
        <v>125</v>
      </c>
      <c r="M42" t="str">
        <f t="shared" si="0"/>
        <v>Sage Excel Report</v>
      </c>
      <c r="N42" t="str">
        <f t="shared" si="1"/>
        <v>Sage Excel Report</v>
      </c>
      <c r="O42" t="s">
        <v>385</v>
      </c>
      <c r="P42" s="11" t="s">
        <v>386</v>
      </c>
      <c r="Q42" s="11" t="str">
        <f t="array" ref="Q42">CONCATENATE(" VALUES ('",A42,"', '",B42,"', '",C42,"', ",IF(D42="NULL","NULL",CONCATENATE("'",D42,"'")),", '",E42,"', ",IFERROR(F42,NULL),", NULL, '",H42,"', '",I42,"', '",M42,"','",N42,"','",O42,"', '2021-04-14 11:08:00', '2999-12-31 23:59:59', 'A', '2021-04-14 11:08:00', 'SYS', '2021-04-14 11:08:00', 'SYS');")</f>
        <v xml:space="preserve"> VALUES ('PM040', 'N', 'CKT', NULL, 'M', NULL, NULL, 'CKT_FA_060100', 'Sage Excel Report', 'Sage Excel Report','Sage Excel Report','R', '2021-04-14 11:08:00', '2999-12-31 23:59:59', 'A', '2021-04-14 11:08:00', 'SYS', '2021-04-14 11:08:00', 'SYS');</v>
      </c>
      <c r="R4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('PM040', 'N', 'CKT', NULL, 'M', NULL, NULL, 'CKT_FA_060100', 'Sage Excel Report', 'Sage Excel Report','Sage Excel Report','R', '2021-04-14 11:08:00', '2999-12-31 23:59:59', 'A', '2021-04-14 11:08:00', 'SYS', '2021-04-14 11:08:00', 'SYS');</v>
      </c>
    </row>
    <row r="43" spans="1:21" x14ac:dyDescent="0.2">
      <c r="A43" t="s">
        <v>427</v>
      </c>
      <c r="B43" t="s">
        <v>44</v>
      </c>
      <c r="C43" t="s">
        <v>14</v>
      </c>
      <c r="D43" t="s">
        <v>125</v>
      </c>
      <c r="E43" t="s">
        <v>384</v>
      </c>
      <c r="F43" t="s">
        <v>125</v>
      </c>
      <c r="G43" t="s">
        <v>125</v>
      </c>
      <c r="H43" s="9" t="s">
        <v>174</v>
      </c>
      <c r="I43" t="str">
        <f>VLOOKUP(H43,Menu_EX_CK2!$A$1:$F$93,6,FALSE)</f>
        <v>Manage Sage Tax No.</v>
      </c>
      <c r="J43" t="s">
        <v>125</v>
      </c>
      <c r="K43" t="s">
        <v>125</v>
      </c>
      <c r="L43" t="s">
        <v>125</v>
      </c>
      <c r="M43" t="str">
        <f t="shared" si="0"/>
        <v>Manage Sage Tax No.</v>
      </c>
      <c r="N43" t="str">
        <f t="shared" si="1"/>
        <v>Manage Sage Tax No.</v>
      </c>
      <c r="O43" t="s">
        <v>385</v>
      </c>
      <c r="P43" s="11" t="s">
        <v>386</v>
      </c>
      <c r="Q43" s="11" t="str">
        <f t="array" ref="Q43">CONCATENATE(" VALUES ('",A43,"', '",B43,"', '",C43,"', ",IF(D43="NULL","NULL",CONCATENATE("'",D43,"'")),", '",E43,"', ",IFERROR(F43,NULL),", NULL, '",H43,"', '",I43,"', '",M43,"','",N43,"','",O43,"', '2021-04-14 11:08:00', '2999-12-31 23:59:59', 'A', '2021-04-14 11:08:00', 'SYS', '2021-04-14 11:08:00', 'SYS');")</f>
        <v xml:space="preserve"> VALUES ('PM041', 'N', 'CKT', NULL, 'M', NULL, NULL, 'CKT_FA_060200', 'Manage Sage Tax No.', 'Manage Sage Tax No.','Manage Sage Tax No.','R', '2021-04-14 11:08:00', '2999-12-31 23:59:59', 'A', '2021-04-14 11:08:00', 'SYS', '2021-04-14 11:08:00', 'SYS');</v>
      </c>
      <c r="R4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('PM041', 'N', 'CKT', NULL, 'M', NULL, NULL, 'CKT_FA_060200', 'Manage Sage Tax No.', 'Manage Sage Tax No.','Manage Sage Tax No.','R', '2021-04-14 11:08:00', '2999-12-31 23:59:59', 'A', '2021-04-14 11:08:00', 'SYS', '2021-04-14 11:08:00', 'SYS');</v>
      </c>
    </row>
    <row r="44" spans="1:21" x14ac:dyDescent="0.2">
      <c r="A44" t="s">
        <v>428</v>
      </c>
      <c r="B44" t="s">
        <v>383</v>
      </c>
      <c r="C44" t="s">
        <v>14</v>
      </c>
      <c r="D44" t="s">
        <v>125</v>
      </c>
      <c r="E44" t="s">
        <v>384</v>
      </c>
      <c r="F44" t="s">
        <v>125</v>
      </c>
      <c r="G44" t="s">
        <v>125</v>
      </c>
      <c r="H44" s="13" t="s">
        <v>177</v>
      </c>
      <c r="I44" t="str">
        <f>VLOOKUP(H44,Menu_EX_CK2!$A$1:$F$93,6,FALSE)</f>
        <v>Finance</v>
      </c>
      <c r="J44" t="s">
        <v>125</v>
      </c>
      <c r="K44" t="s">
        <v>125</v>
      </c>
      <c r="L44" t="s">
        <v>125</v>
      </c>
      <c r="M44" t="str">
        <f t="shared" si="0"/>
        <v>Finance</v>
      </c>
      <c r="N44" t="str">
        <f t="shared" si="1"/>
        <v>Finance</v>
      </c>
      <c r="O44" t="s">
        <v>385</v>
      </c>
      <c r="P44" s="11" t="s">
        <v>386</v>
      </c>
      <c r="Q44" s="11" t="str">
        <f t="array" ref="Q44">CONCATENATE(" VALUES ('",A44,"', '",B44,"', '",C44,"', ",IF(D44="NULL","NULL",CONCATENATE("'",D44,"'")),", '",E44,"', ",IFERROR(F44,NULL),", NULL, '",H44,"', '",I44,"', '",M44,"','",N44,"','",O44,"', '2021-04-14 11:08:00', '2999-12-31 23:59:59', 'A', '2021-04-14 11:08:00', 'SYS', '2021-04-14 11:08:00', 'SYS');")</f>
        <v xml:space="preserve"> VALUES ('PM042', 'Y', 'CKT', NULL, 'M', NULL, NULL, 'CKT_FN_070000', 'Finance', 'Finance','Finance','R', '2021-04-14 11:08:00', '2999-12-31 23:59:59', 'A', '2021-04-14 11:08:00', 'SYS', '2021-04-14 11:08:00', 'SYS');</v>
      </c>
      <c r="R4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('PM042', 'Y', 'CKT', NULL, 'M', NULL, NULL, 'CKT_FN_070000', 'Finance', 'Finance','Finance','R', '2021-04-14 11:08:00', '2999-12-31 23:59:59', 'A', '2021-04-14 11:08:00', 'SYS', '2021-04-14 11:08:00', 'SYS');</v>
      </c>
    </row>
    <row r="45" spans="1:21" x14ac:dyDescent="0.2">
      <c r="A45" t="s">
        <v>429</v>
      </c>
      <c r="B45" t="s">
        <v>44</v>
      </c>
      <c r="C45" t="s">
        <v>14</v>
      </c>
      <c r="D45" t="s">
        <v>125</v>
      </c>
      <c r="E45" t="s">
        <v>384</v>
      </c>
      <c r="F45" t="s">
        <v>125</v>
      </c>
      <c r="G45" t="s">
        <v>125</v>
      </c>
      <c r="H45" s="9" t="s">
        <v>180</v>
      </c>
      <c r="I45" t="str">
        <f>VLOOKUP(H45,Menu_EX_CK2!$A$1:$F$93,6,FALSE)</f>
        <v>Rate Table Management</v>
      </c>
      <c r="J45" t="s">
        <v>125</v>
      </c>
      <c r="K45" t="s">
        <v>125</v>
      </c>
      <c r="L45" t="s">
        <v>125</v>
      </c>
      <c r="M45" t="str">
        <f t="shared" si="0"/>
        <v>Rate Table Management</v>
      </c>
      <c r="N45" t="str">
        <f t="shared" si="1"/>
        <v>Rate Table Management</v>
      </c>
      <c r="O45" t="s">
        <v>385</v>
      </c>
      <c r="P45" s="11" t="s">
        <v>386</v>
      </c>
      <c r="Q45" s="11" t="str">
        <f t="array" ref="Q45">CONCATENATE(" VALUES ('",A45,"', '",B45,"', '",C45,"', ",IF(D45="NULL","NULL",CONCATENATE("'",D45,"'")),", '",E45,"', ",IFERROR(F45,NULL),", NULL, '",H45,"', '",I45,"', '",M45,"','",N45,"','",O45,"', '2021-04-14 11:08:00', '2999-12-31 23:59:59', 'A', '2021-04-14 11:08:00', 'SYS', '2021-04-14 11:08:00', 'SYS');")</f>
        <v xml:space="preserve"> VALUES ('PM043', 'N', 'CKT', NULL, 'M', NULL, NULL, 'CKT_FN_070100', 'Rate Table Management', 'Rate Table Management','Rate Table Management','R', '2021-04-14 11:08:00', '2999-12-31 23:59:59', 'A', '2021-04-14 11:08:00', 'SYS', '2021-04-14 11:08:00', 'SYS');</v>
      </c>
      <c r="R4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('PM043', 'N', 'CKT', NULL, 'M', NULL, NULL, 'CKT_FN_070100', 'Rate Table Management', 'Rate Table Management','Rate Table Management','R', '2021-04-14 11:08:00', '2999-12-31 23:59:59', 'A', '2021-04-14 11:08:00', 'SYS', '2021-04-14 11:08:00', 'SYS');</v>
      </c>
    </row>
    <row r="46" spans="1:21" x14ac:dyDescent="0.2">
      <c r="A46" t="s">
        <v>430</v>
      </c>
      <c r="B46" t="s">
        <v>44</v>
      </c>
      <c r="C46" t="s">
        <v>14</v>
      </c>
      <c r="D46" t="s">
        <v>125</v>
      </c>
      <c r="E46" t="s">
        <v>384</v>
      </c>
      <c r="F46" t="s">
        <v>125</v>
      </c>
      <c r="G46" t="s">
        <v>125</v>
      </c>
      <c r="H46" s="9" t="s">
        <v>183</v>
      </c>
      <c r="I46" t="str">
        <f>VLOOKUP(H46,Menu_EX_CK2!$A$1:$F$93,6,FALSE)</f>
        <v>Contract Requests</v>
      </c>
      <c r="J46" t="s">
        <v>125</v>
      </c>
      <c r="K46" t="s">
        <v>125</v>
      </c>
      <c r="L46" t="s">
        <v>125</v>
      </c>
      <c r="M46" t="str">
        <f t="shared" si="0"/>
        <v>Contract Requests</v>
      </c>
      <c r="N46" t="str">
        <f t="shared" si="1"/>
        <v>Contract Requests</v>
      </c>
      <c r="O46" t="s">
        <v>385</v>
      </c>
      <c r="P46" s="11" t="s">
        <v>386</v>
      </c>
      <c r="Q46" s="11" t="str">
        <f t="array" ref="Q46">CONCATENATE(" VALUES ('",A46,"', '",B46,"', '",C46,"', ",IF(D46="NULL","NULL",CONCATENATE("'",D46,"'")),", '",E46,"', ",IFERROR(F46,NULL),", NULL, '",H46,"', '",I46,"', '",M46,"','",N46,"','",O46,"', '2021-04-14 11:08:00', '2999-12-31 23:59:59', 'A', '2021-04-14 11:08:00', 'SYS', '2021-04-14 11:08:00', 'SYS');")</f>
        <v xml:space="preserve"> VALUES ('PM044', 'N', 'CKT', NULL, 'M', NULL, NULL, 'CKT_FN_070200', 'Contract Requests', 'Contract Requests','Contract Requests','R', '2021-04-14 11:08:00', '2999-12-31 23:59:59', 'A', '2021-04-14 11:08:00', 'SYS', '2021-04-14 11:08:00', 'SYS');</v>
      </c>
      <c r="R4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('PM044', 'N', 'CKT', NULL, 'M', NULL, NULL, 'CKT_FN_070200', 'Contract Requests', 'Contract Requests','Contract Requests','R', '2021-04-14 11:08:00', '2999-12-31 23:59:59', 'A', '2021-04-14 11:08:00', 'SYS', '2021-04-14 11:08:00', 'SYS');</v>
      </c>
    </row>
    <row r="47" spans="1:21" x14ac:dyDescent="0.2">
      <c r="A47" t="s">
        <v>431</v>
      </c>
      <c r="B47" t="s">
        <v>44</v>
      </c>
      <c r="C47" t="s">
        <v>14</v>
      </c>
      <c r="D47" t="s">
        <v>125</v>
      </c>
      <c r="E47" t="s">
        <v>384</v>
      </c>
      <c r="F47" t="s">
        <v>125</v>
      </c>
      <c r="G47" t="s">
        <v>125</v>
      </c>
      <c r="H47" s="9" t="s">
        <v>186</v>
      </c>
      <c r="I47" t="str">
        <f>VLOOKUP(H47,Menu_EX_CK2!$A$1:$F$93,6,FALSE)</f>
        <v>Accounts Management</v>
      </c>
      <c r="J47" t="s">
        <v>125</v>
      </c>
      <c r="K47" t="s">
        <v>125</v>
      </c>
      <c r="L47" t="s">
        <v>125</v>
      </c>
      <c r="M47" t="str">
        <f t="shared" ref="M47" si="3">I47</f>
        <v>Accounts Management</v>
      </c>
      <c r="N47" t="str">
        <f t="shared" ref="N47" si="4">M47</f>
        <v>Accounts Management</v>
      </c>
      <c r="O47" t="s">
        <v>385</v>
      </c>
      <c r="P47" s="11" t="s">
        <v>386</v>
      </c>
      <c r="Q47" s="11" t="str">
        <f t="array" ref="Q47">CONCATENATE(" VALUES ('",A47,"', '",B47,"', '",C47,"', ",IF(D47="NULL","NULL",CONCATENATE("'",D47,"'")),", '",E47,"', ",IFERROR(F47,NULL),", NULL, '",H47,"', '",I47,"', '",M47,"','",N47,"','",O47,"', '2021-04-14 11:08:00', '2999-12-31 23:59:59', 'A', '2021-04-14 11:08:00', 'SYS', '2021-04-14 11:08:00', 'SYS');")</f>
        <v xml:space="preserve"> VALUES ('PM045', 'N', 'CKT', NULL, 'M', NULL, NULL, 'CKT_FN_070300', 'Accounts Management', 'Accounts Management','Accounts Management','R', '2021-04-14 11:08:00', '2999-12-31 23:59:59', 'A', '2021-04-14 11:08:00', 'SYS', '2021-04-14 11:08:00', 'SYS');</v>
      </c>
      <c r="R4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('PM045', 'N', 'CKT', NULL, 'M', NULL, NULL, 'CKT_FN_070300', 'Accounts Management', 'Accounts Management','Accounts Management','R', '2021-04-14 11:08:00', '2999-12-31 23:59:59', 'A', '2021-04-14 11:08:00', 'SYS', '2021-04-14 11:08:00', 'SYS');</v>
      </c>
    </row>
    <row r="48" spans="1:21" x14ac:dyDescent="0.2">
      <c r="A48" t="s">
        <v>432</v>
      </c>
      <c r="B48" t="s">
        <v>383</v>
      </c>
      <c r="C48" t="s">
        <v>14</v>
      </c>
      <c r="D48" t="s">
        <v>125</v>
      </c>
      <c r="E48" t="s">
        <v>384</v>
      </c>
      <c r="F48" t="s">
        <v>125</v>
      </c>
      <c r="G48" t="s">
        <v>125</v>
      </c>
      <c r="H48" s="13" t="s">
        <v>189</v>
      </c>
      <c r="I48" t="str">
        <f>VLOOKUP(H48,Menu_EX_CK2!$A$1:$F$93,6,FALSE)</f>
        <v>Customer Service</v>
      </c>
      <c r="J48" t="s">
        <v>125</v>
      </c>
      <c r="K48" t="s">
        <v>125</v>
      </c>
      <c r="L48" t="s">
        <v>125</v>
      </c>
      <c r="M48" t="str">
        <f t="shared" si="0"/>
        <v>Customer Service</v>
      </c>
      <c r="N48" t="str">
        <f t="shared" si="1"/>
        <v>Customer Service</v>
      </c>
      <c r="O48" t="s">
        <v>385</v>
      </c>
      <c r="P48" s="11" t="s">
        <v>386</v>
      </c>
      <c r="Q48" s="11" t="str">
        <f t="array" ref="Q48">CONCATENATE(" VALUES ('",A48,"', '",B48,"', '",C48,"', ",IF(D48="NULL","NULL",CONCATENATE("'",D48,"'")),", '",E48,"', ",IFERROR(F48,NULL),", NULL, '",H48,"', '",I48,"', '",M48,"','",N48,"','",O48,"', '2021-04-14 11:08:00', '2999-12-31 23:59:59', 'A', '2021-04-14 11:08:00', 'SYS', '2021-04-14 11:08:00', 'SYS');")</f>
        <v xml:space="preserve"> VALUES ('PM046', 'Y', 'CKT', NULL, 'M', NULL, NULL, 'CKT_CS_070000', 'Customer Service', 'Customer Service','Customer Service','R', '2021-04-14 11:08:00', '2999-12-31 23:59:59', 'A', '2021-04-14 11:08:00', 'SYS', '2021-04-14 11:08:00', 'SYS');</v>
      </c>
      <c r="R4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('PM046', 'Y', 'CKT', NULL, 'M', NULL, NULL, 'CKT_CS_070000', 'Customer Service', 'Customer Service','Customer Service','R', '2021-04-14 11:08:00', '2999-12-31 23:59:59', 'A', '2021-04-14 11:08:00', 'SYS', '2021-04-14 11:08:00', 'SYS');</v>
      </c>
    </row>
    <row r="49" spans="1:18" x14ac:dyDescent="0.2">
      <c r="A49" t="s">
        <v>433</v>
      </c>
      <c r="B49" t="s">
        <v>44</v>
      </c>
      <c r="C49" t="s">
        <v>14</v>
      </c>
      <c r="D49" t="s">
        <v>125</v>
      </c>
      <c r="E49" t="s">
        <v>384</v>
      </c>
      <c r="F49" t="s">
        <v>125</v>
      </c>
      <c r="G49" t="s">
        <v>125</v>
      </c>
      <c r="H49" s="9" t="s">
        <v>193</v>
      </c>
      <c r="I49" t="str">
        <f>VLOOKUP(H49,Menu_EX_CK2!$A$1:$F$93,6,FALSE)</f>
        <v>Rate Table Management</v>
      </c>
      <c r="J49" t="s">
        <v>125</v>
      </c>
      <c r="K49" t="s">
        <v>125</v>
      </c>
      <c r="L49" t="s">
        <v>125</v>
      </c>
      <c r="M49" t="str">
        <f t="shared" si="0"/>
        <v>Rate Table Management</v>
      </c>
      <c r="N49" t="str">
        <f t="shared" si="1"/>
        <v>Rate Table Management</v>
      </c>
      <c r="O49" t="s">
        <v>385</v>
      </c>
      <c r="P49" s="11" t="s">
        <v>386</v>
      </c>
      <c r="Q49" s="11" t="str">
        <f t="array" ref="Q49">CONCATENATE(" VALUES ('",A49,"', '",B49,"', '",C49,"', ",IF(D49="NULL","NULL",CONCATENATE("'",D49,"'")),", '",E49,"', ",IFERROR(F49,NULL),", NULL, '",H49,"', '",I49,"', '",M49,"','",N49,"','",O49,"', '2021-04-14 11:08:00', '2999-12-31 23:59:59', 'A', '2021-04-14 11:08:00', 'SYS', '2021-04-14 11:08:00', 'SYS');")</f>
        <v xml:space="preserve"> VALUES ('PM047', 'N', 'CKT', NULL, 'M', NULL, NULL, 'CKT_CS_070100', 'Rate Table Management', 'Rate Table Management','Rate Table Management','R', '2021-04-14 11:08:00', '2999-12-31 23:59:59', 'A', '2021-04-14 11:08:00', 'SYS', '2021-04-14 11:08:00', 'SYS');</v>
      </c>
      <c r="R4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('PM047', 'N', 'CKT', NULL, 'M', NULL, NULL, 'CKT_CS_070100', 'Rate Table Management', 'Rate Table Management','Rate Table Management','R', '2021-04-14 11:08:00', '2999-12-31 23:59:59', 'A', '2021-04-14 11:08:00', 'SYS', '2021-04-14 11:08:00', 'SYS');</v>
      </c>
    </row>
    <row r="50" spans="1:18" s="9" customFormat="1" x14ac:dyDescent="0.2">
      <c r="A50" t="s">
        <v>434</v>
      </c>
      <c r="B50" s="9" t="s">
        <v>44</v>
      </c>
      <c r="C50" s="9" t="s">
        <v>14</v>
      </c>
      <c r="D50" s="9" t="s">
        <v>125</v>
      </c>
      <c r="E50" s="9" t="s">
        <v>384</v>
      </c>
      <c r="F50" s="9" t="s">
        <v>125</v>
      </c>
      <c r="G50" s="9" t="s">
        <v>125</v>
      </c>
      <c r="H50" s="9" t="s">
        <v>194</v>
      </c>
      <c r="I50" t="str">
        <f>VLOOKUP(H50,Menu_EX_CK2!$A$1:$F$93,6,FALSE)</f>
        <v>Documents Verification</v>
      </c>
      <c r="J50" s="9" t="s">
        <v>125</v>
      </c>
      <c r="K50" s="9" t="s">
        <v>125</v>
      </c>
      <c r="L50" s="9" t="s">
        <v>125</v>
      </c>
      <c r="M50" t="str">
        <f t="shared" si="0"/>
        <v>Documents Verification</v>
      </c>
      <c r="N50" t="str">
        <f t="shared" si="1"/>
        <v>Documents Verification</v>
      </c>
      <c r="O50" s="9" t="s">
        <v>385</v>
      </c>
      <c r="P50" s="14" t="s">
        <v>386</v>
      </c>
      <c r="Q50" s="14" t="str">
        <f t="array" ref="Q50">CONCATENATE(" VALUES ('",A50,"', '",B50,"', '",C50,"', ",IF(D50="NULL","NULL",CONCATENATE("'",D50,"'")),", '",E50,"', ",IFERROR(F50,NULL),", NULL, '",H50,"', '",I50,"', '",M50,"','",N50,"','",O50,"', '2021-04-14 11:08:00', '2999-12-31 23:59:59', 'A', '2021-04-14 11:08:00', 'SYS', '2021-04-14 11:08:00', 'SYS');")</f>
        <v xml:space="preserve"> VALUES ('PM048', 'N', 'CKT', NULL, 'M', NULL, NULL, 'CKT_CS_070200', 'Documents Verification', 'Documents Verification','Documents Verification','R', '2021-04-14 11:08:00', '2999-12-31 23:59:59', 'A', '2021-04-14 11:08:00', 'SYS', '2021-04-14 11:08:00', 'SYS');</v>
      </c>
      <c r="R5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('PM048', 'N', 'CKT', NULL, 'M', NULL, NULL, 'CKT_CS_070200', 'Documents Verification', 'Documents Verification','Documents Verification','R', '2021-04-14 11:08:00', '2999-12-31 23:59:59', 'A', '2021-04-14 11:08:00', 'SYS', '2021-04-14 11:08:00', 'SYS');</v>
      </c>
    </row>
    <row r="51" spans="1:18" s="9" customFormat="1" x14ac:dyDescent="0.2">
      <c r="A51" t="s">
        <v>435</v>
      </c>
      <c r="B51" s="9" t="s">
        <v>44</v>
      </c>
      <c r="C51" s="9" t="s">
        <v>14</v>
      </c>
      <c r="D51" s="9" t="s">
        <v>125</v>
      </c>
      <c r="E51" s="9" t="s">
        <v>384</v>
      </c>
      <c r="F51" s="9" t="s">
        <v>125</v>
      </c>
      <c r="G51" s="9" t="s">
        <v>125</v>
      </c>
      <c r="H51" s="9" t="s">
        <v>197</v>
      </c>
      <c r="I51" t="str">
        <f>VLOOKUP(H51,Menu_EX_CK2!$A$1:$F$93,6,FALSE)</f>
        <v>Contract Requests</v>
      </c>
      <c r="J51" s="9" t="s">
        <v>125</v>
      </c>
      <c r="K51" s="9" t="s">
        <v>125</v>
      </c>
      <c r="L51" s="9" t="s">
        <v>125</v>
      </c>
      <c r="M51" t="str">
        <f t="shared" si="0"/>
        <v>Contract Requests</v>
      </c>
      <c r="N51" t="str">
        <f t="shared" si="1"/>
        <v>Contract Requests</v>
      </c>
      <c r="O51" s="9" t="s">
        <v>385</v>
      </c>
      <c r="P51" s="14" t="s">
        <v>386</v>
      </c>
      <c r="Q51" s="14" t="str">
        <f t="array" ref="Q51">CONCATENATE(" VALUES ('",A51,"', '",B51,"', '",C51,"', ",IF(D51="NULL","NULL",CONCATENATE("'",D51,"'")),", '",E51,"', ",IFERROR(F51,NULL),", NULL, '",H51,"', '",I51,"', '",M51,"','",N51,"','",O51,"', '2021-04-14 11:08:00', '2999-12-31 23:59:59', 'A', '2021-04-14 11:08:00', 'SYS', '2021-04-14 11:08:00', 'SYS');")</f>
        <v xml:space="preserve"> VALUES ('PM049', 'N', 'CKT', NULL, 'M', NULL, NULL, 'CKT_CS_070300', 'Contract Requests', 'Contract Requests','Contract Requests','R', '2021-04-14 11:08:00', '2999-12-31 23:59:59', 'A', '2021-04-14 11:08:00', 'SYS', '2021-04-14 11:08:00', 'SYS');</v>
      </c>
      <c r="R5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('PM049', 'N', 'CKT', NULL, 'M', NULL, NULL, 'CKT_CS_070300', 'Contract Requests', 'Contract Requests','Contract Requests','R', '2021-04-14 11:08:00', '2999-12-31 23:59:59', 'A', '2021-04-14 11:08:00', 'SYS', '2021-04-14 11:08:00', 'SYS');</v>
      </c>
    </row>
    <row r="52" spans="1:18" s="9" customFormat="1" x14ac:dyDescent="0.2">
      <c r="A52" t="s">
        <v>436</v>
      </c>
      <c r="B52" s="9" t="s">
        <v>383</v>
      </c>
      <c r="C52" s="9" t="s">
        <v>14</v>
      </c>
      <c r="D52" s="9" t="s">
        <v>125</v>
      </c>
      <c r="E52" s="9" t="s">
        <v>384</v>
      </c>
      <c r="F52" s="9" t="s">
        <v>125</v>
      </c>
      <c r="G52" s="9" t="s">
        <v>125</v>
      </c>
      <c r="H52" s="13" t="s">
        <v>198</v>
      </c>
      <c r="I52" t="str">
        <f>VLOOKUP(H52,Menu_EX_CK2!$A$1:$F$93,6,FALSE)</f>
        <v>Operations Administration</v>
      </c>
      <c r="J52" s="9" t="s">
        <v>125</v>
      </c>
      <c r="K52" s="9" t="s">
        <v>125</v>
      </c>
      <c r="L52" s="9" t="s">
        <v>125</v>
      </c>
      <c r="M52" t="str">
        <f t="shared" si="0"/>
        <v>Operations Administration</v>
      </c>
      <c r="N52" t="str">
        <f t="shared" si="1"/>
        <v>Operations Administration</v>
      </c>
      <c r="O52" s="9" t="s">
        <v>385</v>
      </c>
      <c r="P52" s="14" t="s">
        <v>386</v>
      </c>
      <c r="Q52" s="14" t="str">
        <f t="array" ref="Q52">CONCATENATE(" VALUES ('",A52,"', '",B52,"', '",C52,"', ",IF(D52="NULL","NULL",CONCATENATE("'",D52,"'")),", '",E52,"', ",IFERROR(F52,NULL),", NULL, '",H52,"', '",I52,"', '",M52,"','",N52,"','",O52,"', '2021-04-14 11:08:00', '2999-12-31 23:59:59', 'A', '2021-04-14 11:08:00', 'SYS', '2021-04-14 11:08:00', 'SYS');")</f>
        <v xml:space="preserve"> VALUES ('PM050', 'Y', 'CKT', NULL, 'M', NULL, NULL, 'CKT_OA_080000', 'Operations Administration', 'Operations Administration','Operations Administration','R', '2021-04-14 11:08:00', '2999-12-31 23:59:59', 'A', '2021-04-14 11:08:00', 'SYS', '2021-04-14 11:08:00', 'SYS');</v>
      </c>
      <c r="R5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('PM050', 'Y', 'CKT', NULL, 'M', NULL, NULL, 'CKT_OA_080000', 'Operations Administration', 'Operations Administration','Operations Administration','R', '2021-04-14 11:08:00', '2999-12-31 23:59:59', 'A', '2021-04-14 11:08:00', 'SYS', '2021-04-14 11:08:00', 'SYS');</v>
      </c>
    </row>
    <row r="53" spans="1:18" s="9" customFormat="1" x14ac:dyDescent="0.2">
      <c r="A53" s="2" t="s">
        <v>437</v>
      </c>
      <c r="B53" s="9" t="s">
        <v>44</v>
      </c>
      <c r="C53" s="9" t="s">
        <v>14</v>
      </c>
      <c r="D53" s="9" t="s">
        <v>125</v>
      </c>
      <c r="E53" s="9" t="s">
        <v>384</v>
      </c>
      <c r="F53" s="9" t="s">
        <v>125</v>
      </c>
      <c r="G53" s="9" t="s">
        <v>125</v>
      </c>
      <c r="H53" s="9" t="s">
        <v>201</v>
      </c>
      <c r="I53" t="str">
        <f>VLOOKUP(H53,Menu_EX_CK2!$A$1:$F$93,6,FALSE)</f>
        <v>Account Suspension/Resumption</v>
      </c>
      <c r="J53" s="9" t="s">
        <v>125</v>
      </c>
      <c r="K53" s="9" t="s">
        <v>125</v>
      </c>
      <c r="L53" s="9" t="s">
        <v>125</v>
      </c>
      <c r="M53" t="str">
        <f t="shared" si="0"/>
        <v>Account Suspension/Resumption</v>
      </c>
      <c r="N53" t="str">
        <f t="shared" si="1"/>
        <v>Account Suspension/Resumption</v>
      </c>
      <c r="O53" s="9" t="s">
        <v>385</v>
      </c>
      <c r="P53" s="14" t="s">
        <v>386</v>
      </c>
      <c r="Q53" s="14" t="str">
        <f t="array" ref="Q53">CONCATENATE(" VALUES ('",A53,"', '",B53,"', '",C53,"', ",IF(D53="NULL","NULL",CONCATENATE("'",D53,"'")),", '",E53,"', ",IFERROR(F53,NULL),", NULL, '",H53,"', '",I53,"', '",M53,"','",N53,"','",O53,"', '2021-04-14 11:08:00', '2999-12-31 23:59:59', 'A', '2021-04-14 11:08:00', 'SYS', '2021-04-14 11:08:00', 'SYS');")</f>
        <v xml:space="preserve"> VALUES ('PM051', 'N', 'CKT', NULL, 'M', NULL, NULL, 'CKT_OA_080100', 'Account Suspension/Resumption', 'Account Suspension/Resumption','Account Suspension/Resumption','R', '2021-04-14 11:08:00', '2999-12-31 23:59:59', 'A', '2021-04-14 11:08:00', 'SYS', '2021-04-14 11:08:00', 'SYS');</v>
      </c>
      <c r="R5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('PM051', 'N', 'CKT', NULL, 'M', NULL, NULL, 'CKT_OA_080100', 'Account Suspension/Resumption', 'Account Suspension/Resumption','Account Suspension/Resumption','R', '2021-04-14 11:08:00', '2999-12-31 23:59:59', 'A', '2021-04-14 11:08:00', 'SYS', '2021-04-14 11:08:00', 'SYS');</v>
      </c>
    </row>
    <row r="54" spans="1:18" s="9" customFormat="1" x14ac:dyDescent="0.2">
      <c r="A54" t="s">
        <v>438</v>
      </c>
      <c r="B54" s="9" t="s">
        <v>44</v>
      </c>
      <c r="C54" s="9" t="s">
        <v>14</v>
      </c>
      <c r="D54" s="9" t="s">
        <v>125</v>
      </c>
      <c r="E54" s="9" t="s">
        <v>384</v>
      </c>
      <c r="F54" s="9" t="s">
        <v>125</v>
      </c>
      <c r="G54" s="9" t="s">
        <v>125</v>
      </c>
      <c r="H54" s="9" t="s">
        <v>204</v>
      </c>
      <c r="I54" t="str">
        <f>VLOOKUP(H54,Menu_EX_CK2!$A$1:$F$93,6,FALSE)</f>
        <v>Bank Account</v>
      </c>
      <c r="J54" s="9" t="s">
        <v>125</v>
      </c>
      <c r="K54" s="9" t="s">
        <v>125</v>
      </c>
      <c r="L54" s="9" t="s">
        <v>125</v>
      </c>
      <c r="M54" t="str">
        <f t="shared" si="0"/>
        <v>Bank Account</v>
      </c>
      <c r="N54" t="str">
        <f t="shared" si="1"/>
        <v>Bank Account</v>
      </c>
      <c r="O54" s="9" t="s">
        <v>385</v>
      </c>
      <c r="P54" s="14" t="s">
        <v>386</v>
      </c>
      <c r="Q54" s="14" t="str">
        <f t="array" ref="Q54">CONCATENATE(" VALUES ('",A54,"', '",B54,"', '",C54,"', ",IF(D54="NULL","NULL",CONCATENATE("'",D54,"'")),", '",E54,"', ",IFERROR(F54,NULL),", NULL, '",H54,"', '",I54,"', '",M54,"','",N54,"','",O54,"', '2021-04-14 11:08:00', '2999-12-31 23:59:59', 'A', '2021-04-14 11:08:00', 'SYS', '2021-04-14 11:08:00', 'SYS');")</f>
        <v xml:space="preserve"> VALUES ('PM052', 'N', 'CKT', NULL, 'M', NULL, NULL, 'CKT_OA_080200', 'Bank Account', 'Bank Account','Bank Account','R', '2021-04-14 11:08:00', '2999-12-31 23:59:59', 'A', '2021-04-14 11:08:00', 'SYS', '2021-04-14 11:08:00', 'SYS');</v>
      </c>
      <c r="R5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('PM052', 'N', 'CKT', NULL, 'M', NULL, NULL, 'CKT_OA_080200', 'Bank Account', 'Bank Account','Bank Account','R', '2021-04-14 11:08:00', '2999-12-31 23:59:59', 'A', '2021-04-14 11:08:00', 'SYS', '2021-04-14 11:08:00', 'SYS');</v>
      </c>
    </row>
    <row r="55" spans="1:18" s="9" customFormat="1" x14ac:dyDescent="0.2">
      <c r="A55" t="s">
        <v>439</v>
      </c>
      <c r="B55" s="9" t="s">
        <v>44</v>
      </c>
      <c r="C55" s="9" t="s">
        <v>14</v>
      </c>
      <c r="D55" s="9" t="s">
        <v>125</v>
      </c>
      <c r="E55" s="9" t="s">
        <v>384</v>
      </c>
      <c r="F55" s="9" t="s">
        <v>125</v>
      </c>
      <c r="G55" s="9" t="s">
        <v>125</v>
      </c>
      <c r="H55" s="9" t="s">
        <v>207</v>
      </c>
      <c r="I55" t="str">
        <f>VLOOKUP(H55,Menu_EX_CK2!$A$1:$F$93,6,FALSE)</f>
        <v>Static Virtual Account</v>
      </c>
      <c r="J55" s="9" t="s">
        <v>125</v>
      </c>
      <c r="K55" s="9" t="s">
        <v>125</v>
      </c>
      <c r="L55" s="9" t="s">
        <v>125</v>
      </c>
      <c r="M55" t="str">
        <f t="shared" si="0"/>
        <v>Static Virtual Account</v>
      </c>
      <c r="N55" t="str">
        <f t="shared" si="1"/>
        <v>Static Virtual Account</v>
      </c>
      <c r="O55" s="9" t="s">
        <v>385</v>
      </c>
      <c r="P55" s="14" t="s">
        <v>386</v>
      </c>
      <c r="Q55" s="14" t="str">
        <f t="array" ref="Q55">CONCATENATE(" VALUES ('",A55,"', '",B55,"', '",C55,"', ",IF(D55="NULL","NULL",CONCATENATE("'",D55,"'")),", '",E55,"', ",IFERROR(F55,NULL),", NULL, '",H55,"', '",I55,"', '",M55,"','",N55,"','",O55,"', '2021-04-14 11:08:00', '2999-12-31 23:59:59', 'A', '2021-04-14 11:08:00', 'SYS', '2021-04-14 11:08:00', 'SYS');")</f>
        <v xml:space="preserve"> VALUES ('PM053', 'N', 'CKT', NULL, 'M', NULL, NULL, 'CKT_OA_080300', 'Static Virtual Account', 'Static Virtual Account','Static Virtual Account','R', '2021-04-14 11:08:00', '2999-12-31 23:59:59', 'A', '2021-04-14 11:08:00', 'SYS', '2021-04-14 11:08:00', 'SYS');</v>
      </c>
      <c r="R5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('PM053', 'N', 'CKT', NULL, 'M', NULL, NULL, 'CKT_OA_080300', 'Static Virtual Account', 'Static Virtual Account','Static Virtual Account','R', '2021-04-14 11:08:00', '2999-12-31 23:59:59', 'A', '2021-04-14 11:08:00', 'SYS', '2021-04-14 11:08:00', 'SYS');</v>
      </c>
    </row>
    <row r="56" spans="1:18" s="9" customFormat="1" x14ac:dyDescent="0.2">
      <c r="A56" t="s">
        <v>440</v>
      </c>
      <c r="B56" s="9" t="s">
        <v>44</v>
      </c>
      <c r="C56" s="9" t="s">
        <v>14</v>
      </c>
      <c r="D56" s="9" t="s">
        <v>125</v>
      </c>
      <c r="E56" s="9" t="s">
        <v>384</v>
      </c>
      <c r="F56" s="9" t="s">
        <v>125</v>
      </c>
      <c r="G56" s="9" t="s">
        <v>125</v>
      </c>
      <c r="H56" s="9" t="s">
        <v>210</v>
      </c>
      <c r="I56" t="str">
        <f>VLOOKUP(H56,Menu_EX_CK2!$A$1:$F$93,6,FALSE)</f>
        <v>Tracking Device</v>
      </c>
      <c r="J56" s="9" t="s">
        <v>125</v>
      </c>
      <c r="K56" s="9" t="s">
        <v>125</v>
      </c>
      <c r="L56" s="9" t="s">
        <v>125</v>
      </c>
      <c r="M56" t="str">
        <f t="shared" si="0"/>
        <v>Tracking Device</v>
      </c>
      <c r="N56" t="str">
        <f t="shared" si="1"/>
        <v>Tracking Device</v>
      </c>
      <c r="O56" s="9" t="s">
        <v>385</v>
      </c>
      <c r="P56" s="14" t="s">
        <v>386</v>
      </c>
      <c r="Q56" s="14" t="str">
        <f t="array" ref="Q56">CONCATENATE(" VALUES ('",A56,"', '",B56,"', '",C56,"', ",IF(D56="NULL","NULL",CONCATENATE("'",D56,"'")),", '",E56,"', ",IFERROR(F56,NULL),", NULL, '",H56,"', '",I56,"', '",M56,"','",N56,"','",O56,"', '2021-04-14 11:08:00', '2999-12-31 23:59:59', 'A', '2021-04-14 11:08:00', 'SYS', '2021-04-14 11:08:00', 'SYS');")</f>
        <v xml:space="preserve"> VALUES ('PM054', 'N', 'CKT', NULL, 'M', NULL, NULL, 'CKT_OA_080400', 'Tracking Device', 'Tracking Device','Tracking Device','R', '2021-04-14 11:08:00', '2999-12-31 23:59:59', 'A', '2021-04-14 11:08:00', 'SYS', '2021-04-14 11:08:00', 'SYS');</v>
      </c>
      <c r="R5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('PM054', 'N', 'CKT', NULL, 'M', NULL, NULL, 'CKT_OA_080400', 'Tracking Device', 'Tracking Device','Tracking Device','R', '2021-04-14 11:08:00', '2999-12-31 23:59:59', 'A', '2021-04-14 11:08:00', 'SYS', '2021-04-14 11:08:00', 'SYS');</v>
      </c>
    </row>
    <row r="57" spans="1:18" s="9" customFormat="1" x14ac:dyDescent="0.2">
      <c r="A57" t="s">
        <v>441</v>
      </c>
      <c r="B57" s="9" t="s">
        <v>44</v>
      </c>
      <c r="C57" s="9" t="s">
        <v>14</v>
      </c>
      <c r="D57" s="9" t="s">
        <v>125</v>
      </c>
      <c r="E57" s="9" t="s">
        <v>384</v>
      </c>
      <c r="F57" s="9" t="s">
        <v>125</v>
      </c>
      <c r="G57" s="9" t="s">
        <v>125</v>
      </c>
      <c r="H57" s="9" t="s">
        <v>213</v>
      </c>
      <c r="I57" t="str">
        <f>VLOOKUP(H57,Menu_EX_CK2!$A$1:$F$93,6,FALSE)</f>
        <v>SAGE Integration</v>
      </c>
      <c r="J57" s="9" t="s">
        <v>125</v>
      </c>
      <c r="K57" s="9" t="s">
        <v>125</v>
      </c>
      <c r="L57" s="9" t="s">
        <v>125</v>
      </c>
      <c r="M57" t="str">
        <f t="shared" si="0"/>
        <v>SAGE Integration</v>
      </c>
      <c r="N57" t="str">
        <f t="shared" si="1"/>
        <v>SAGE Integration</v>
      </c>
      <c r="O57" s="9" t="s">
        <v>385</v>
      </c>
      <c r="P57" s="14" t="s">
        <v>386</v>
      </c>
      <c r="Q57" s="14" t="str">
        <f t="array" ref="Q57">CONCATENATE(" VALUES ('",A57,"', '",B57,"', '",C57,"', ",IF(D57="NULL","NULL",CONCATENATE("'",D57,"'")),", '",E57,"', ",IFERROR(F57,NULL),", NULL, '",H57,"', '",I57,"', '",M57,"','",N57,"','",O57,"', '2021-04-14 11:08:00', '2999-12-31 23:59:59', 'A', '2021-04-14 11:08:00', 'SYS', '2021-04-14 11:08:00', 'SYS');")</f>
        <v xml:space="preserve"> VALUES ('PM055', 'N', 'CKT', NULL, 'M', NULL, NULL, 'CKT_OA_080500', 'SAGE Integration', 'SAGE Integration','SAGE Integration','R', '2021-04-14 11:08:00', '2999-12-31 23:59:59', 'A', '2021-04-14 11:08:00', 'SYS', '2021-04-14 11:08:00', 'SYS');</v>
      </c>
      <c r="R5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('PM055', 'N', 'CKT', NULL, 'M', NULL, NULL, 'CKT_OA_080500', 'SAGE Integration', 'SAGE Integration','SAGE Integration','R', '2021-04-14 11:08:00', '2999-12-31 23:59:59', 'A', '2021-04-14 11:08:00', 'SYS', '2021-04-14 11:08:00', 'SYS');</v>
      </c>
    </row>
    <row r="58" spans="1:18" s="9" customFormat="1" x14ac:dyDescent="0.2">
      <c r="A58" t="s">
        <v>442</v>
      </c>
      <c r="B58" s="9" t="s">
        <v>44</v>
      </c>
      <c r="C58" s="9" t="s">
        <v>14</v>
      </c>
      <c r="D58" s="9" t="s">
        <v>125</v>
      </c>
      <c r="E58" s="9" t="s">
        <v>384</v>
      </c>
      <c r="F58" s="9" t="s">
        <v>125</v>
      </c>
      <c r="G58" s="9" t="s">
        <v>125</v>
      </c>
      <c r="H58" s="9" t="s">
        <v>216</v>
      </c>
      <c r="I58" t="str">
        <f>VLOOKUP(H58,Menu_EX_CK2!$A$1:$F$93,6,FALSE)</f>
        <v>User Management</v>
      </c>
      <c r="J58" s="9" t="s">
        <v>125</v>
      </c>
      <c r="K58" s="9" t="s">
        <v>125</v>
      </c>
      <c r="L58" s="9" t="s">
        <v>125</v>
      </c>
      <c r="M58" t="str">
        <f t="shared" si="0"/>
        <v>User Management</v>
      </c>
      <c r="N58" t="str">
        <f t="shared" si="1"/>
        <v>User Management</v>
      </c>
      <c r="O58" s="9" t="s">
        <v>385</v>
      </c>
      <c r="P58" s="14" t="s">
        <v>386</v>
      </c>
      <c r="Q58" s="14" t="str">
        <f t="array" ref="Q58">CONCATENATE(" VALUES ('",A58,"', '",B58,"', '",C58,"', ",IF(D58="NULL","NULL",CONCATENATE("'",D58,"'")),", '",E58,"', ",IFERROR(F58,NULL),", NULL, '",H58,"', '",I58,"', '",M58,"','",N58,"','",O58,"', '2021-04-14 11:08:00', '2999-12-31 23:59:59', 'A', '2021-04-14 11:08:00', 'SYS', '2021-04-14 11:08:00', 'SYS');")</f>
        <v xml:space="preserve"> VALUES ('PM056', 'N', 'CKT', NULL, 'M', NULL, NULL, 'CKT_OA_080600', 'User Management', 'User Management','User Management','R', '2021-04-14 11:08:00', '2999-12-31 23:59:59', 'A', '2021-04-14 11:08:00', 'SYS', '2021-04-14 11:08:00', 'SYS');</v>
      </c>
      <c r="R5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('PM056', 'N', 'CKT', NULL, 'M', NULL, NULL, 'CKT_OA_080600', 'User Management', 'User Management','User Management','R', '2021-04-14 11:08:00', '2999-12-31 23:59:59', 'A', '2021-04-14 11:08:00', 'SYS', '2021-04-14 11:08:00', 'SYS');</v>
      </c>
    </row>
    <row r="59" spans="1:18" s="9" customFormat="1" x14ac:dyDescent="0.2">
      <c r="A59" t="s">
        <v>443</v>
      </c>
      <c r="B59" s="9" t="s">
        <v>44</v>
      </c>
      <c r="C59" s="9" t="s">
        <v>14</v>
      </c>
      <c r="D59" s="9" t="s">
        <v>125</v>
      </c>
      <c r="E59" s="9" t="s">
        <v>384</v>
      </c>
      <c r="F59" s="9" t="s">
        <v>125</v>
      </c>
      <c r="G59" s="9" t="s">
        <v>125</v>
      </c>
      <c r="H59" s="9" t="s">
        <v>219</v>
      </c>
      <c r="I59" t="str">
        <f>VLOOKUP(H59,Menu_EX_CK2!$A$1:$F$93,6,FALSE)</f>
        <v>Outbound Payments</v>
      </c>
      <c r="J59" s="9" t="s">
        <v>125</v>
      </c>
      <c r="K59" s="9" t="s">
        <v>125</v>
      </c>
      <c r="L59" s="9" t="s">
        <v>125</v>
      </c>
      <c r="M59" t="str">
        <f t="shared" si="0"/>
        <v>Outbound Payments</v>
      </c>
      <c r="N59" t="str">
        <f t="shared" si="1"/>
        <v>Outbound Payments</v>
      </c>
      <c r="O59" s="9" t="s">
        <v>385</v>
      </c>
      <c r="P59" s="14" t="s">
        <v>386</v>
      </c>
      <c r="Q59" s="14" t="str">
        <f t="array" ref="Q59">CONCATENATE(" VALUES ('",A59,"', '",B59,"', '",C59,"', ",IF(D59="NULL","NULL",CONCATENATE("'",D59,"'")),", '",E59,"', ",IFERROR(F59,NULL),", NULL, '",H59,"', '",I59,"', '",M59,"','",N59,"','",O59,"', '2021-04-14 11:08:00', '2999-12-31 23:59:59', 'A', '2021-04-14 11:08:00', 'SYS', '2021-04-14 11:08:00', 'SYS');")</f>
        <v xml:space="preserve"> VALUES ('PM057', 'N', 'CKT', NULL, 'M', NULL, NULL, 'CKT_OA_080700', 'Outbound Payments', 'Outbound Payments','Outbound Payments','R', '2021-04-14 11:08:00', '2999-12-31 23:59:59', 'A', '2021-04-14 11:08:00', 'SYS', '2021-04-14 11:08:00', 'SYS');</v>
      </c>
      <c r="R5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('PM057', 'N', 'CKT', NULL, 'M', NULL, NULL, 'CKT_OA_080700', 'Outbound Payments', 'Outbound Payments','Outbound Payments','R', '2021-04-14 11:08:00', '2999-12-31 23:59:59', 'A', '2021-04-14 11:08:00', 'SYS', '2021-04-14 11:08:00', 'SYS');</v>
      </c>
    </row>
    <row r="60" spans="1:18" s="9" customFormat="1" x14ac:dyDescent="0.2">
      <c r="A60" t="s">
        <v>444</v>
      </c>
      <c r="B60" s="9" t="s">
        <v>44</v>
      </c>
      <c r="C60" s="9" t="s">
        <v>14</v>
      </c>
      <c r="D60" s="9" t="s">
        <v>125</v>
      </c>
      <c r="E60" s="9" t="s">
        <v>384</v>
      </c>
      <c r="F60" s="9" t="s">
        <v>125</v>
      </c>
      <c r="G60" s="9" t="s">
        <v>125</v>
      </c>
      <c r="H60" s="9" t="s">
        <v>222</v>
      </c>
      <c r="I60" t="str">
        <f>VLOOKUP(H60,Menu_EX_CK2!$A$1:$F$93,6,FALSE)</f>
        <v>Inbound Payments</v>
      </c>
      <c r="J60" s="9" t="s">
        <v>125</v>
      </c>
      <c r="K60" s="9" t="s">
        <v>125</v>
      </c>
      <c r="L60" s="9" t="s">
        <v>125</v>
      </c>
      <c r="M60" t="str">
        <f t="shared" si="0"/>
        <v>Inbound Payments</v>
      </c>
      <c r="N60" t="str">
        <f t="shared" si="1"/>
        <v>Inbound Payments</v>
      </c>
      <c r="O60" s="9" t="s">
        <v>385</v>
      </c>
      <c r="P60" s="14" t="s">
        <v>386</v>
      </c>
      <c r="Q60" s="14" t="str">
        <f t="array" ref="Q60">CONCATENATE(" VALUES ('",A60,"', '",B60,"', '",C60,"', ",IF(D60="NULL","NULL",CONCATENATE("'",D60,"'")),", '",E60,"', ",IFERROR(F60,NULL),", NULL, '",H60,"', '",I60,"', '",M60,"','",N60,"','",O60,"', '2021-04-14 11:08:00', '2999-12-31 23:59:59', 'A', '2021-04-14 11:08:00', 'SYS', '2021-04-14 11:08:00', 'SYS');")</f>
        <v xml:space="preserve"> VALUES ('PM058', 'N', 'CKT', NULL, 'M', NULL, NULL, 'CKT_OA_080800', 'Inbound Payments', 'Inbound Payments','Inbound Payments','R', '2021-04-14 11:08:00', '2999-12-31 23:59:59', 'A', '2021-04-14 11:08:00', 'SYS', '2021-04-14 11:08:00', 'SYS');</v>
      </c>
      <c r="R6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('PM058', 'N', 'CKT', NULL, 'M', NULL, NULL, 'CKT_OA_080800', 'Inbound Payments', 'Inbound Payments','Inbound Payments','R', '2021-04-14 11:08:00', '2999-12-31 23:59:59', 'A', '2021-04-14 11:08:00', 'SYS', '2021-04-14 11:08:00', 'SYS');</v>
      </c>
    </row>
    <row r="61" spans="1:18" s="9" customFormat="1" x14ac:dyDescent="0.2">
      <c r="A61" t="s">
        <v>445</v>
      </c>
      <c r="B61" s="9" t="s">
        <v>44</v>
      </c>
      <c r="C61" s="9" t="s">
        <v>14</v>
      </c>
      <c r="D61" s="9" t="s">
        <v>125</v>
      </c>
      <c r="E61" s="9" t="s">
        <v>384</v>
      </c>
      <c r="F61" s="9" t="s">
        <v>125</v>
      </c>
      <c r="G61" s="9" t="s">
        <v>125</v>
      </c>
      <c r="H61" s="9" t="s">
        <v>225</v>
      </c>
      <c r="I61" t="str">
        <f>VLOOKUP(H61,Menu_EX_CK2!$A$1:$F$93,6,FALSE)</f>
        <v>Contract Management</v>
      </c>
      <c r="J61" s="9" t="s">
        <v>125</v>
      </c>
      <c r="K61" s="9" t="s">
        <v>125</v>
      </c>
      <c r="L61" s="9" t="s">
        <v>125</v>
      </c>
      <c r="M61" t="str">
        <f t="shared" si="0"/>
        <v>Contract Management</v>
      </c>
      <c r="N61" t="str">
        <f t="shared" si="1"/>
        <v>Contract Management</v>
      </c>
      <c r="O61" s="9" t="s">
        <v>385</v>
      </c>
      <c r="P61" s="14" t="s">
        <v>386</v>
      </c>
      <c r="Q61" s="14" t="str">
        <f t="array" ref="Q61">CONCATENATE(" VALUES ('",A61,"', '",B61,"', '",C61,"', ",IF(D61="NULL","NULL",CONCATENATE("'",D61,"'")),", '",E61,"', ",IFERROR(F61,NULL),", NULL, '",H61,"', '",I61,"', '",M61,"','",N61,"','",O61,"', '2021-04-14 11:08:00', '2999-12-31 23:59:59', 'A', '2021-04-14 11:08:00', 'SYS', '2021-04-14 11:08:00', 'SYS');")</f>
        <v xml:space="preserve"> VALUES ('PM059', 'N', 'CKT', NULL, 'M', NULL, NULL, 'CKT_OA_080900', 'Contract Management', 'Contract Management','Contract Management','R', '2021-04-14 11:08:00', '2999-12-31 23:59:59', 'A', '2021-04-14 11:08:00', 'SYS', '2021-04-14 11:08:00', 'SYS');</v>
      </c>
      <c r="R6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('PM059', 'N', 'CKT', NULL, 'M', NULL, NULL, 'CKT_OA_080900', 'Contract Management', 'Contract Management','Contract Management','R', '2021-04-14 11:08:00', '2999-12-31 23:59:59', 'A', '2021-04-14 11:08:00', 'SYS', '2021-04-14 11:08:00', 'SYS');</v>
      </c>
    </row>
    <row r="62" spans="1:18" s="9" customFormat="1" x14ac:dyDescent="0.2">
      <c r="A62" t="s">
        <v>446</v>
      </c>
      <c r="B62" s="9" t="s">
        <v>44</v>
      </c>
      <c r="C62" s="9" t="s">
        <v>14</v>
      </c>
      <c r="D62" s="9" t="s">
        <v>125</v>
      </c>
      <c r="E62" s="9" t="s">
        <v>384</v>
      </c>
      <c r="F62" s="9" t="s">
        <v>125</v>
      </c>
      <c r="G62" s="9" t="s">
        <v>125</v>
      </c>
      <c r="H62" s="9" t="s">
        <v>228</v>
      </c>
      <c r="I62" t="str">
        <f>VLOOKUP(H62,Menu_EX_CK2!$A$1:$F$93,6,FALSE)</f>
        <v>Accounts Management</v>
      </c>
      <c r="J62" s="9" t="s">
        <v>125</v>
      </c>
      <c r="K62" s="9" t="s">
        <v>125</v>
      </c>
      <c r="L62" s="9" t="s">
        <v>125</v>
      </c>
      <c r="M62" t="str">
        <f t="shared" ref="M62" si="5">I62</f>
        <v>Accounts Management</v>
      </c>
      <c r="N62" t="str">
        <f t="shared" ref="N62" si="6">M62</f>
        <v>Accounts Management</v>
      </c>
      <c r="O62" s="9" t="s">
        <v>385</v>
      </c>
      <c r="P62" s="14" t="s">
        <v>386</v>
      </c>
      <c r="Q62" s="14" t="str">
        <f t="array" ref="Q62">CONCATENATE(" VALUES ('",A62,"', '",B62,"', '",C62,"', ",IF(D62="NULL","NULL",CONCATENATE("'",D62,"'")),", '",E62,"', ",IFERROR(F62,NULL),", NULL, '",H62,"', '",I62,"', '",M62,"','",N62,"','",O62,"', '2021-04-14 11:08:00', '2999-12-31 23:59:59', 'A', '2021-04-14 11:08:00', 'SYS', '2021-04-14 11:08:00', 'SYS');")</f>
        <v xml:space="preserve"> VALUES ('PM060', 'N', 'CKT', NULL, 'M', NULL, NULL, 'CKT_OA_081000', 'Accounts Management', 'Accounts Management','Accounts Management','R', '2021-04-14 11:08:00', '2999-12-31 23:59:59', 'A', '2021-04-14 11:08:00', 'SYS', '2021-04-14 11:08:00', 'SYS');</v>
      </c>
      <c r="R6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('PM060', 'N', 'CKT', NULL, 'M', NULL, NULL, 'CKT_OA_081000', 'Accounts Management', 'Accounts Management','Accounts Management','R', '2021-04-14 11:08:00', '2999-12-31 23:59:59', 'A', '2021-04-14 11:08:00', 'SYS', '2021-04-14 11:08:00', 'SYS');</v>
      </c>
    </row>
    <row r="63" spans="1:18" s="9" customFormat="1" x14ac:dyDescent="0.2">
      <c r="A63" t="s">
        <v>447</v>
      </c>
      <c r="B63" s="9" t="s">
        <v>44</v>
      </c>
      <c r="C63" s="9" t="s">
        <v>14</v>
      </c>
      <c r="D63" s="9" t="s">
        <v>125</v>
      </c>
      <c r="E63" s="9" t="s">
        <v>384</v>
      </c>
      <c r="F63" s="9" t="s">
        <v>125</v>
      </c>
      <c r="G63" s="9" t="s">
        <v>125</v>
      </c>
      <c r="H63" s="13" t="s">
        <v>235</v>
      </c>
      <c r="I63" t="str">
        <f>VLOOKUP(H63,Menu_EX_CK2!$A$1:$F$93,6,FALSE)</f>
        <v>Reports</v>
      </c>
      <c r="J63" s="9" t="s">
        <v>125</v>
      </c>
      <c r="K63" s="9" t="s">
        <v>125</v>
      </c>
      <c r="L63" s="9" t="s">
        <v>125</v>
      </c>
      <c r="M63" t="str">
        <f t="shared" si="0"/>
        <v>Reports</v>
      </c>
      <c r="N63" t="str">
        <f t="shared" si="1"/>
        <v>Reports</v>
      </c>
      <c r="O63" s="9" t="s">
        <v>385</v>
      </c>
      <c r="P63" s="14" t="s">
        <v>386</v>
      </c>
      <c r="Q63" s="14" t="str">
        <f t="array" ref="Q63">CONCATENATE(" VALUES ('",A63,"', '",B63,"', '",C63,"', ",IF(D63="NULL","NULL",CONCATENATE("'",D63,"'")),", '",E63,"', ",IFERROR(F63,NULL),", NULL, '",H63,"', '",I63,"', '",M63,"','",N63,"','",O63,"', '2021-04-14 11:08:00', '2999-12-31 23:59:59', 'A', '2021-04-14 11:08:00', 'SYS', '2021-04-14 11:08:00', 'SYS');")</f>
        <v xml:space="preserve"> VALUES ('PM061', 'N', 'CKT', NULL, 'M', NULL, NULL, 'CKT_RP_080000', 'Reports', 'Reports','Reports','R', '2021-04-14 11:08:00', '2999-12-31 23:59:59', 'A', '2021-04-14 11:08:00', 'SYS', '2021-04-14 11:08:00', 'SYS');</v>
      </c>
      <c r="R6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('PM061', 'N', 'CKT', NULL, 'M', NULL, NULL, 'CKT_RP_080000', 'Reports', 'Reports','Reports','R', '2021-04-14 11:08:00', '2999-12-31 23:59:59', 'A', '2021-04-14 11:08:00', 'SYS', '2021-04-14 11:08:00', 'SYS');</v>
      </c>
    </row>
    <row r="64" spans="1:18" s="9" customFormat="1" x14ac:dyDescent="0.2">
      <c r="A64" t="s">
        <v>448</v>
      </c>
      <c r="B64" s="9" t="s">
        <v>44</v>
      </c>
      <c r="C64" s="9" t="s">
        <v>14</v>
      </c>
      <c r="D64" s="9" t="s">
        <v>125</v>
      </c>
      <c r="E64" s="9" t="s">
        <v>384</v>
      </c>
      <c r="F64" s="9" t="s">
        <v>125</v>
      </c>
      <c r="G64" s="9" t="s">
        <v>125</v>
      </c>
      <c r="H64" s="9" t="s">
        <v>229</v>
      </c>
      <c r="I64" t="str">
        <f>VLOOKUP(H64,Menu_EX_CK2!$A$1:$F$93,6,FALSE)</f>
        <v>Credit Limit</v>
      </c>
      <c r="J64" s="9" t="s">
        <v>125</v>
      </c>
      <c r="K64" s="9" t="s">
        <v>125</v>
      </c>
      <c r="L64" s="9" t="s">
        <v>125</v>
      </c>
      <c r="M64" t="str">
        <f t="shared" si="0"/>
        <v>Credit Limit</v>
      </c>
      <c r="N64" t="str">
        <f t="shared" si="1"/>
        <v>Credit Limit</v>
      </c>
      <c r="O64" s="9" t="s">
        <v>385</v>
      </c>
      <c r="P64" s="14" t="s">
        <v>386</v>
      </c>
      <c r="Q64" s="14" t="str">
        <f t="array" ref="Q64">CONCATENATE(" VALUES ('",A64,"', '",B64,"', '",C64,"', ",IF(D64="NULL","NULL",CONCATENATE("'",D64,"'")),", '",E64,"', ",IFERROR(F64,NULL),", NULL, '",H64,"', '",I64,"', '",M64,"','",N64,"','",O64,"', '2021-04-14 11:08:00', '2999-12-31 23:59:59', 'A', '2021-04-14 11:08:00', 'SYS', '2021-04-14 11:08:00', 'SYS');")</f>
        <v xml:space="preserve"> VALUES ('PM062', 'N', 'CKT', NULL, 'M', NULL, NULL, 'CKT_OA_081100', 'Credit Limit', 'Credit Limit','Credit Limit','R', '2021-04-14 11:08:00', '2999-12-31 23:59:59', 'A', '2021-04-14 11:08:00', 'SYS', '2021-04-14 11:08:00', 'SYS');</v>
      </c>
      <c r="R6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('PM062', 'N', 'CKT', NULL, 'M', NULL, NULL, 'CKT_OA_081100', 'Credit Limit', 'Credit Limit','Credit Limit','R', '2021-04-14 11:08:00', '2999-12-31 23:59:59', 'A', '2021-04-14 11:08:00', 'SYS', '2021-04-14 11:08:00', 'SYS');</v>
      </c>
    </row>
    <row r="65" spans="1:18" s="9" customFormat="1" x14ac:dyDescent="0.2">
      <c r="A65" t="s">
        <v>449</v>
      </c>
      <c r="B65" s="9" t="s">
        <v>44</v>
      </c>
      <c r="C65" s="9" t="s">
        <v>14</v>
      </c>
      <c r="D65" s="9" t="s">
        <v>125</v>
      </c>
      <c r="E65" s="9" t="s">
        <v>384</v>
      </c>
      <c r="F65" s="9" t="s">
        <v>125</v>
      </c>
      <c r="G65" s="9" t="s">
        <v>125</v>
      </c>
      <c r="H65" s="9" t="s">
        <v>232</v>
      </c>
      <c r="I65" t="str">
        <f>VLOOKUP(H65,Menu_EX_CK2!$A$1:$F$93,6,FALSE)</f>
        <v>Job Termination</v>
      </c>
      <c r="J65" s="9" t="s">
        <v>125</v>
      </c>
      <c r="K65" s="9" t="s">
        <v>125</v>
      </c>
      <c r="L65" s="9" t="s">
        <v>125</v>
      </c>
      <c r="M65" t="str">
        <f t="shared" ref="M65:M70" si="7">I65</f>
        <v>Job Termination</v>
      </c>
      <c r="N65" t="str">
        <f t="shared" ref="N65:N70" si="8">M65</f>
        <v>Job Termination</v>
      </c>
      <c r="O65" s="9" t="s">
        <v>385</v>
      </c>
      <c r="P65" s="14" t="s">
        <v>386</v>
      </c>
      <c r="Q65" s="14" t="str">
        <f t="array" ref="Q65">CONCATENATE(" VALUES ('",A65,"', '",B65,"', '",C65,"', ",IF(D65="NULL","NULL",CONCATENATE("'",D65,"'")),", '",E65,"', ",IFERROR(F65,NULL),", NULL, '",H65,"', '",I65,"', '",M65,"','",N65,"','",O65,"', '2021-04-14 11:08:00', '2999-12-31 23:59:59', 'A', '2021-04-14 11:08:00', 'SYS', '2021-04-14 11:08:00', 'SYS');")</f>
        <v xml:space="preserve"> VALUES ('PM063', 'N', 'CKT', NULL, 'M', NULL, NULL, 'CKT_OA_081200', 'Job Termination', 'Job Termination','Job Termination','R', '2021-04-14 11:08:00', '2999-12-31 23:59:59', 'A', '2021-04-14 11:08:00', 'SYS', '2021-04-14 11:08:00', 'SYS');</v>
      </c>
      <c r="R6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('PM063', 'N', 'CKT', NULL, 'M', NULL, NULL, 'CKT_OA_081200', 'Job Termination', 'Job Termination','Job Termination','R', '2021-04-14 11:08:00', '2999-12-31 23:59:59', 'A', '2021-04-14 11:08:00', 'SYS', '2021-04-14 11:08:00', 'SYS');</v>
      </c>
    </row>
    <row r="66" spans="1:18" x14ac:dyDescent="0.2">
      <c r="A66" t="s">
        <v>450</v>
      </c>
      <c r="B66" s="9" t="s">
        <v>383</v>
      </c>
      <c r="C66" s="9" t="s">
        <v>30</v>
      </c>
      <c r="D66" s="9" t="s">
        <v>125</v>
      </c>
      <c r="E66" s="9" t="s">
        <v>384</v>
      </c>
      <c r="F66" s="9" t="s">
        <v>125</v>
      </c>
      <c r="G66" s="9" t="s">
        <v>125</v>
      </c>
      <c r="H66" s="9" t="s">
        <v>319</v>
      </c>
      <c r="I66" t="str">
        <f>VLOOKUP(H66,Menu_EX_CK2!$A$1:$F$93,6,FALSE)</f>
        <v>DO Extension Payment</v>
      </c>
      <c r="J66" s="9" t="s">
        <v>125</v>
      </c>
      <c r="K66" s="9" t="s">
        <v>125</v>
      </c>
      <c r="L66" s="9" t="s">
        <v>125</v>
      </c>
      <c r="M66" t="str">
        <f t="shared" si="7"/>
        <v>DO Extension Payment</v>
      </c>
      <c r="N66" t="str">
        <f t="shared" si="8"/>
        <v>DO Extension Payment</v>
      </c>
      <c r="O66" s="9" t="s">
        <v>385</v>
      </c>
      <c r="P66" s="14" t="s">
        <v>386</v>
      </c>
      <c r="Q66" s="14" t="str">
        <f t="array" ref="Q66">CONCATENATE(" VALUES ('",A66,"', '",B66,"', '",C66,"', ",IF(D66="NULL","NULL",CONCATENATE("'",D66,"'")),", '",E66,"', ",IFERROR(F66,NULL),", NULL, '",H66,"', '",I66,"', '",M66,"','",N66,"','",O66,"', '2021-04-14 11:08:00', '2999-12-31 23:59:59', 'A', '2021-04-14 11:08:00', 'SYS', '2021-04-14 11:08:00', 'SYS');")</f>
        <v xml:space="preserve"> VALUES ('PM064', 'Y', 'CKDO', NULL, 'M', NULL, NULL, 'CKDO_MS_030000', 'DO Extension Payment', 'DO Extension Payment','DO Extension Payment','R', '2021-04-14 11:08:00', '2999-12-31 23:59:59', 'A', '2021-04-14 11:08:00', 'SYS', '2021-04-14 11:08:00', 'SYS');</v>
      </c>
      <c r="R6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('PM064', 'Y', 'CKDO', NULL, 'M', NULL, NULL, 'CKDO_MS_030000', 'DO Extension Payment', 'DO Extension Payment','DO Extension Payment','R', '2021-04-14 11:08:00', '2999-12-31 23:59:59', 'A', '2021-04-14 11:08:00', 'SYS', '2021-04-14 11:08:00', 'SYS');</v>
      </c>
    </row>
    <row r="67" spans="1:18" x14ac:dyDescent="0.2">
      <c r="A67" t="s">
        <v>451</v>
      </c>
      <c r="B67" s="9" t="s">
        <v>383</v>
      </c>
      <c r="C67" s="9" t="s">
        <v>30</v>
      </c>
      <c r="D67" s="9" t="s">
        <v>125</v>
      </c>
      <c r="E67" s="9" t="s">
        <v>384</v>
      </c>
      <c r="F67" s="9" t="s">
        <v>125</v>
      </c>
      <c r="G67" s="9" t="s">
        <v>125</v>
      </c>
      <c r="H67" s="9" t="s">
        <v>322</v>
      </c>
      <c r="I67" t="str">
        <f>VLOOKUP(H67,Menu_EX_CK2!$A$1:$F$93,6,FALSE)</f>
        <v>Platform Fee</v>
      </c>
      <c r="J67" s="9" t="s">
        <v>125</v>
      </c>
      <c r="K67" s="9" t="s">
        <v>125</v>
      </c>
      <c r="L67" s="9" t="s">
        <v>125</v>
      </c>
      <c r="M67" t="str">
        <f t="shared" si="7"/>
        <v>Platform Fee</v>
      </c>
      <c r="N67" t="str">
        <f t="shared" si="8"/>
        <v>Platform Fee</v>
      </c>
      <c r="O67" s="9" t="s">
        <v>385</v>
      </c>
      <c r="P67" s="14" t="s">
        <v>386</v>
      </c>
      <c r="Q67" s="14" t="str">
        <f t="array" ref="Q67">CONCATENATE(" VALUES ('",A67,"', '",B67,"', '",C67,"', ",IF(D67="NULL","NULL",CONCATENATE("'",D67,"'")),", '",E67,"', ",IFERROR(F67,NULL),", NULL, '",H67,"', '",I67,"', '",M67,"','",N67,"','",O67,"', '2021-04-14 11:08:00', '2999-12-31 23:59:59', 'A', '2021-04-14 11:08:00', 'SYS', '2021-04-14 11:08:00', 'SYS');")</f>
        <v xml:space="preserve"> VALUES ('PM065', 'Y', 'CKDO', NULL, 'M', NULL, NULL, 'CKDO_MS_040000', 'Platform Fee', 'Platform Fee','Platform Fee','R', '2021-04-14 11:08:00', '2999-12-31 23:59:59', 'A', '2021-04-14 11:08:00', 'SYS', '2021-04-14 11:08:00', 'SYS');</v>
      </c>
      <c r="R67" t="str">
        <f t="shared" ref="R67:R79" si="9">CONCATENATE(P67,Q67)</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('PM065', 'Y', 'CKDO', NULL, 'M', NULL, NULL, 'CKDO_MS_040000', 'Platform Fee', 'Platform Fee','Platform Fee','R', '2021-04-14 11:08:00', '2999-12-31 23:59:59', 'A', '2021-04-14 11:08:00', 'SYS', '2021-04-14 11:08:00', 'SYS');</v>
      </c>
    </row>
    <row r="68" spans="1:18" x14ac:dyDescent="0.2">
      <c r="A68" t="s">
        <v>452</v>
      </c>
      <c r="B68" s="9" t="s">
        <v>383</v>
      </c>
      <c r="C68" s="9" t="s">
        <v>30</v>
      </c>
      <c r="D68" s="9" t="s">
        <v>125</v>
      </c>
      <c r="E68" s="9" t="s">
        <v>384</v>
      </c>
      <c r="F68" s="9" t="s">
        <v>125</v>
      </c>
      <c r="G68" s="9" t="s">
        <v>125</v>
      </c>
      <c r="H68" s="9" t="s">
        <v>325</v>
      </c>
      <c r="I68" t="str">
        <f>VLOOKUP(H68,Menu_EX_CK2!$A$1:$F$93,6,FALSE)</f>
        <v>Exchange Rate</v>
      </c>
      <c r="J68" s="9" t="s">
        <v>125</v>
      </c>
      <c r="K68" s="9" t="s">
        <v>125</v>
      </c>
      <c r="L68" s="9" t="s">
        <v>125</v>
      </c>
      <c r="M68" t="str">
        <f t="shared" si="7"/>
        <v>Exchange Rate</v>
      </c>
      <c r="N68" t="str">
        <f t="shared" si="8"/>
        <v>Exchange Rate</v>
      </c>
      <c r="O68" s="9" t="s">
        <v>385</v>
      </c>
      <c r="P68" s="14" t="s">
        <v>386</v>
      </c>
      <c r="Q68" s="14" t="str">
        <f t="array" ref="Q68">CONCATENATE(" VALUES ('",A68,"', '",B68,"', '",C68,"', ",IF(D68="NULL","NULL",CONCATENATE("'",D68,"'")),", '",E68,"', ",IFERROR(F68,NULL),", NULL, '",H68,"', '",I68,"', '",M68,"','",N68,"','",O68,"', '2021-04-14 11:08:00', '2999-12-31 23:59:59', 'A', '2021-04-14 11:08:00', 'SYS', '2021-04-14 11:08:00', 'SYS');")</f>
        <v xml:space="preserve"> VALUES ('PM066', 'Y', 'CKDO', NULL, 'M', NULL, NULL, 'CKDO_MS_050000', 'Exchange Rate', 'Exchange Rate','Exchange Rate','R', '2021-04-14 11:08:00', '2999-12-31 23:59:59', 'A', '2021-04-14 11:08:00', 'SYS', '2021-04-14 11:08:00', 'SYS');</v>
      </c>
      <c r="R68"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('PM066', 'Y', 'CKDO', NULL, 'M', NULL, NULL, 'CKDO_MS_050000', 'Exchange Rate', 'Exchange Rate','Exchange Rate','R', '2021-04-14 11:08:00', '2999-12-31 23:59:59', 'A', '2021-04-14 11:08:00', 'SYS', '2021-04-14 11:08:00', 'SYS');</v>
      </c>
    </row>
    <row r="69" spans="1:18" x14ac:dyDescent="0.2">
      <c r="A69" t="s">
        <v>453</v>
      </c>
      <c r="B69" s="9" t="s">
        <v>383</v>
      </c>
      <c r="C69" s="9" t="s">
        <v>30</v>
      </c>
      <c r="D69" s="9" t="s">
        <v>125</v>
      </c>
      <c r="E69" s="9" t="s">
        <v>384</v>
      </c>
      <c r="F69" s="9" t="s">
        <v>125</v>
      </c>
      <c r="G69" s="9" t="s">
        <v>125</v>
      </c>
      <c r="H69" s="9" t="s">
        <v>328</v>
      </c>
      <c r="I69" t="str">
        <f>VLOOKUP(H69,Menu_EX_CK2!$A$1:$F$93,6,FALSE)</f>
        <v>Report</v>
      </c>
      <c r="J69" s="9" t="s">
        <v>125</v>
      </c>
      <c r="K69" s="9" t="s">
        <v>125</v>
      </c>
      <c r="L69" s="9" t="s">
        <v>125</v>
      </c>
      <c r="M69" t="str">
        <f t="shared" si="7"/>
        <v>Report</v>
      </c>
      <c r="N69" t="str">
        <f t="shared" si="8"/>
        <v>Report</v>
      </c>
      <c r="O69" s="9" t="s">
        <v>385</v>
      </c>
      <c r="P69" s="14" t="s">
        <v>386</v>
      </c>
      <c r="Q69" s="14" t="str">
        <f t="array" ref="Q69">CONCATENATE(" VALUES ('",A69,"', '",B69,"', '",C69,"', ",IF(D69="NULL","NULL",CONCATENATE("'",D69,"'")),", '",E69,"', ",IFERROR(F69,NULL),", NULL, '",H69,"', '",I69,"', '",M69,"','",N69,"','",O69,"', '2021-04-14 11:08:00', '2999-12-31 23:59:59', 'A', '2021-04-14 11:08:00', 'SYS', '2021-04-14 11:08:00', 'SYS');")</f>
        <v xml:space="preserve"> VALUES ('PM067', 'Y', 'CKDO', NULL, 'M', NULL, NULL, 'CKDO_MS_060000', 'Report', 'Report','Report','R', '2021-04-14 11:08:00', '2999-12-31 23:59:59', 'A', '2021-04-14 11:08:00', 'SYS', '2021-04-14 11:08:00', 'SYS');</v>
      </c>
      <c r="R69"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('PM067', 'Y', 'CKDO', NULL, 'M', NULL, NULL, 'CKDO_MS_060000', 'Report', 'Report','Report','R', '2021-04-14 11:08:00', '2999-12-31 23:59:59', 'A', '2021-04-14 11:08:00', 'SYS', '2021-04-14 11:08:00', 'SYS');</v>
      </c>
    </row>
    <row r="70" spans="1:18" x14ac:dyDescent="0.2">
      <c r="A70" t="s">
        <v>454</v>
      </c>
      <c r="B70" s="9" t="s">
        <v>383</v>
      </c>
      <c r="C70" s="9" t="s">
        <v>30</v>
      </c>
      <c r="D70" s="9" t="s">
        <v>125</v>
      </c>
      <c r="E70" s="9" t="s">
        <v>384</v>
      </c>
      <c r="F70" s="9" t="s">
        <v>125</v>
      </c>
      <c r="G70" s="9" t="s">
        <v>125</v>
      </c>
      <c r="H70" s="9" t="s">
        <v>335</v>
      </c>
      <c r="I70" t="str">
        <f>VLOOKUP(H70,Menu_EX_CK2!$A$1:$F$93,6,FALSE)</f>
        <v>COREOR</v>
      </c>
      <c r="J70" s="9" t="s">
        <v>125</v>
      </c>
      <c r="K70" s="9" t="s">
        <v>125</v>
      </c>
      <c r="L70" s="9" t="s">
        <v>125</v>
      </c>
      <c r="M70" t="str">
        <f t="shared" si="7"/>
        <v>COREOR</v>
      </c>
      <c r="N70" t="str">
        <f t="shared" si="8"/>
        <v>COREOR</v>
      </c>
      <c r="O70" s="9" t="s">
        <v>385</v>
      </c>
      <c r="P70" s="14" t="s">
        <v>386</v>
      </c>
      <c r="Q70" s="14" t="str">
        <f t="array" ref="Q70">CONCATENATE(" VALUES ('",A70,"', '",B70,"', '",C70,"', ",IF(D70="NULL","NULL",CONCATENATE("'",D70,"'")),", '",E70,"', ",IFERROR(F70,NULL),", NULL, '",H70,"', '",I70,"', '",M70,"','",N70,"','",O70,"', '2021-04-14 11:08:00', '2999-12-31 23:59:59', 'A', '2021-04-14 11:08:00', 'SYS', '2021-04-14 11:08:00', 'SYS');")</f>
        <v xml:space="preserve"> VALUES ('PM068', 'Y', 'CKDO', NULL, 'M', NULL, NULL, 'CKDO_MS_070000', 'COREOR', 'COREOR','COREOR','R', '2021-04-14 11:08:00', '2999-12-31 23:59:59', 'A', '2021-04-14 11:08:00', 'SYS', '2021-04-14 11:08:00', 'SYS');</v>
      </c>
      <c r="R70"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('PM068', 'Y', 'CKDO', NULL, 'M', NULL, NULL, 'CKDO_MS_070000', 'COREOR', 'COREOR','COREOR','R', '2021-04-14 11:08:00', '2999-12-31 23:59:59', 'A', '2021-04-14 11:08:00', 'SYS', '2021-04-14 11:08:00', 'SYS');</v>
      </c>
    </row>
    <row r="71" spans="1:18" x14ac:dyDescent="0.2">
      <c r="A71" s="2" t="s">
        <v>455</v>
      </c>
      <c r="B71" s="9" t="s">
        <v>383</v>
      </c>
      <c r="C71" s="9" t="s">
        <v>30</v>
      </c>
      <c r="D71" s="9" t="s">
        <v>125</v>
      </c>
      <c r="E71" s="9" t="s">
        <v>384</v>
      </c>
      <c r="F71" s="9" t="s">
        <v>125</v>
      </c>
      <c r="G71" s="9" t="s">
        <v>125</v>
      </c>
      <c r="H71" s="9" t="s">
        <v>154</v>
      </c>
      <c r="I71" t="str">
        <f>VLOOKUP(H71,Menu_EX_CK2!$A$1:$F$93,6,FALSE)</f>
        <v>Truck Performance</v>
      </c>
      <c r="J71" s="9" t="s">
        <v>125</v>
      </c>
      <c r="K71" s="9" t="s">
        <v>125</v>
      </c>
      <c r="L71" s="9" t="s">
        <v>125</v>
      </c>
      <c r="M71" t="str">
        <f t="shared" ref="M71:M79" si="10">I71</f>
        <v>Truck Performance</v>
      </c>
      <c r="N71" t="str">
        <f t="shared" ref="N71:N79" si="11">M71</f>
        <v>Truck Performance</v>
      </c>
      <c r="O71" s="9" t="s">
        <v>385</v>
      </c>
      <c r="P71" s="14" t="s">
        <v>386</v>
      </c>
      <c r="Q71" s="14" t="str">
        <f t="array" ref="Q71">CONCATENATE(" VALUES ('",A71,"', '",B71,"', '",C71,"', ",IF(D71="NULL","NULL",CONCATENATE("'",D71,"'")),", '",E71,"', ",IFERROR(F71,NULL),", NULL, '",H71,"', '",I71,"', '",M71,"','",N71,"','",O71,"', '2021-04-14 11:08:00', '2999-12-31 23:59:59', 'A', '2021-04-14 11:08:00', 'SYS', '2021-04-14 11:08:00', 'SYS');")</f>
        <v xml:space="preserve"> VALUES ('PM069', 'Y', 'CKDO', NULL, 'M', NULL, NULL, 'CKT_MA_030800', 'Truck Performance', 'Truck Performance','Truck Performance','R', '2021-04-14 11:08:00', '2999-12-31 23:59:59', 'A', '2021-04-14 11:08:00', 'SYS', '2021-04-14 11:08:00', 'SYS');</v>
      </c>
      <c r="R71"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('PM069', 'Y', 'CKDO', NULL, 'M', NULL, NULL, 'CKT_MA_030800', 'Truck Performance', 'Truck Performance','Truck Performance','R', '2021-04-14 11:08:00', '2999-12-31 23:59:59', 'A', '2021-04-14 11:08:00', 'SYS', '2021-04-14 11:08:00', 'SYS');</v>
      </c>
    </row>
    <row r="72" spans="1:18" x14ac:dyDescent="0.2">
      <c r="A72" s="27" t="s">
        <v>1033</v>
      </c>
      <c r="B72" s="9" t="s">
        <v>383</v>
      </c>
      <c r="C72" s="9" t="s">
        <v>30</v>
      </c>
      <c r="D72" s="9" t="s">
        <v>125</v>
      </c>
      <c r="E72" s="9" t="s">
        <v>384</v>
      </c>
      <c r="F72" s="9" t="s">
        <v>125</v>
      </c>
      <c r="G72" s="9" t="s">
        <v>125</v>
      </c>
      <c r="H72" s="9" t="s">
        <v>1027</v>
      </c>
      <c r="I72" t="str">
        <f>VLOOKUP(H72,Menu_EX_CK2!$A$1:$F$93,6,FALSE)</f>
        <v>Manage Chassis</v>
      </c>
      <c r="J72" s="9" t="s">
        <v>125</v>
      </c>
      <c r="K72" s="9" t="s">
        <v>125</v>
      </c>
      <c r="L72" s="9" t="s">
        <v>125</v>
      </c>
      <c r="M72" t="str">
        <f t="shared" si="10"/>
        <v>Manage Chassis</v>
      </c>
      <c r="N72" t="str">
        <f t="shared" si="11"/>
        <v>Manage Chassis</v>
      </c>
      <c r="O72" s="9" t="s">
        <v>385</v>
      </c>
      <c r="P72" s="14" t="s">
        <v>386</v>
      </c>
      <c r="Q72" s="14" t="str">
        <f t="array" ref="Q72">CONCATENATE(" VALUES ('",A72,"', '",B72,"', '",C72,"', ",IF(D72="NULL","NULL",CONCATENATE("'",D72,"'")),", '",E72,"', ",IFERROR(F72,NULL),", NULL, '",H72,"', '",I72,"', '",M72,"','",N72,"','",O72,"', '2021-04-14 11:08:00', '2999-12-31 23:59:59', 'A', '2021-04-14 11:08:00', 'SYS', '2021-04-14 11:08:00', 'SYS');")</f>
        <v xml:space="preserve"> VALUES ('PM070', 'Y', 'CKDO', NULL, 'M', NULL, NULL, 'CKT_MA_030900', 'Manage Chassis', 'Manage Chassis','Manage Chassis','R', '2021-04-14 11:08:00', '2999-12-31 23:59:59', 'A', '2021-04-14 11:08:00', 'SYS', '2021-04-14 11:08:00', 'SYS');</v>
      </c>
      <c r="R72"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('PM070', 'Y', 'CKDO', NULL, 'M', NULL, NULL, 'CKT_MA_030900', 'Manage Chassis', 'Manage Chassis','Manage Chassis','R', '2021-04-14 11:08:00', '2999-12-31 23:59:59', 'A', '2021-04-14 11:08:00', 'SYS', '2021-04-14 11:08:00', 'SYS');</v>
      </c>
    </row>
    <row r="73" spans="1:18" x14ac:dyDescent="0.2">
      <c r="A73" s="27" t="s">
        <v>1034</v>
      </c>
      <c r="B73" s="9" t="s">
        <v>383</v>
      </c>
      <c r="C73" s="9" t="s">
        <v>14</v>
      </c>
      <c r="D73" s="9" t="s">
        <v>125</v>
      </c>
      <c r="E73" s="9" t="s">
        <v>384</v>
      </c>
      <c r="F73" s="9" t="s">
        <v>125</v>
      </c>
      <c r="G73" s="9" t="s">
        <v>125</v>
      </c>
      <c r="H73" s="9" t="s">
        <v>1025</v>
      </c>
      <c r="I73" t="str">
        <f>VLOOKUP(H73,Menu_EX_CK2!$A$1:$F$93,6,FALSE)</f>
        <v>System Administrations</v>
      </c>
      <c r="J73" s="9" t="s">
        <v>125</v>
      </c>
      <c r="K73" s="9" t="s">
        <v>125</v>
      </c>
      <c r="L73" s="9" t="s">
        <v>125</v>
      </c>
      <c r="M73" t="str">
        <f t="shared" si="10"/>
        <v>System Administrations</v>
      </c>
      <c r="N73" t="str">
        <f t="shared" si="11"/>
        <v>System Administrations</v>
      </c>
      <c r="O73" s="9" t="s">
        <v>385</v>
      </c>
      <c r="P73" s="14" t="s">
        <v>386</v>
      </c>
      <c r="Q73" s="14" t="str">
        <f t="array" ref="Q73">CONCATENATE(" VALUES ('",A73,"', '",B73,"', '",C73,"', ",IF(D73="NULL","NULL",CONCATENATE("'",D73,"'")),", '",E73,"', ",IFERROR(F73,NULL),", NULL, '",H73,"', '",I73,"', '",M73,"','",N73,"','",O73,"', '2021-04-14 11:08:00', '2999-12-31 23:59:59', 'A', '2021-04-14 11:08:00', 'SYS', '2021-04-14 11:08:00', 'SYS');")</f>
        <v xml:space="preserve"> VALUES ('PM071', 'Y', 'CKT', NULL, 'M', NULL, NULL, 'CKT_SA_090000', 'System Administrations', 'System Administrations','System Administrations','R', '2021-04-14 11:08:00', '2999-12-31 23:59:59', 'A', '2021-04-14 11:08:00', 'SYS', '2021-04-14 11:08:00', 'SYS');</v>
      </c>
      <c r="R73"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('PM071', 'Y', 'CKT', NULL, 'M', NULL, NULL, 'CKT_SA_090000', 'System Administrations', 'System Administrations','System Administrations','R', '2021-04-14 11:08:00', '2999-12-31 23:59:59', 'A', '2021-04-14 11:08:00', 'SYS', '2021-04-14 11:08:00', 'SYS');</v>
      </c>
    </row>
    <row r="74" spans="1:18" x14ac:dyDescent="0.2">
      <c r="A74" s="27" t="s">
        <v>1035</v>
      </c>
      <c r="B74" s="9" t="s">
        <v>383</v>
      </c>
      <c r="C74" s="9" t="s">
        <v>14</v>
      </c>
      <c r="D74" s="9" t="s">
        <v>125</v>
      </c>
      <c r="E74" s="9" t="s">
        <v>384</v>
      </c>
      <c r="F74" s="9" t="s">
        <v>125</v>
      </c>
      <c r="G74" s="9" t="s">
        <v>125</v>
      </c>
      <c r="H74" s="9" t="s">
        <v>1026</v>
      </c>
      <c r="I74" t="str">
        <f>VLOOKUP(H74,Menu_EX_CK2!$A$1:$F$93,6,FALSE)</f>
        <v>System Parameters</v>
      </c>
      <c r="J74" s="9" t="s">
        <v>125</v>
      </c>
      <c r="K74" s="9" t="s">
        <v>125</v>
      </c>
      <c r="L74" s="9" t="s">
        <v>125</v>
      </c>
      <c r="M74" t="str">
        <f t="shared" si="10"/>
        <v>System Parameters</v>
      </c>
      <c r="N74" t="str">
        <f t="shared" si="11"/>
        <v>System Parameters</v>
      </c>
      <c r="O74" s="9" t="s">
        <v>385</v>
      </c>
      <c r="P74" s="14" t="s">
        <v>386</v>
      </c>
      <c r="Q74" s="14" t="str">
        <f t="array" ref="Q74">CONCATENATE(" VALUES ('",A74,"', '",B74,"', '",C74,"', ",IF(D74="NULL","NULL",CONCATENATE("'",D74,"'")),", '",E74,"', ",IFERROR(F74,NULL),", NULL, '",H74,"', '",I74,"', '",M74,"','",N74,"','",O74,"', '2021-04-14 11:08:00', '2999-12-31 23:59:59', 'A', '2021-04-14 11:08:00', 'SYS', '2021-04-14 11:08:00', 'SYS');")</f>
        <v xml:space="preserve"> VALUES ('PM072', 'Y', 'CKT', NULL, 'M', NULL, NULL, 'CKT_SA_090100', 'System Parameters', 'System Parameters','System Parameters','R', '2021-04-14 11:08:00', '2999-12-31 23:59:59', 'A', '2021-04-14 11:08:00', 'SYS', '2021-04-14 11:08:00', 'SYS');</v>
      </c>
      <c r="R74"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('PM072', 'Y', 'CKT', NULL, 'M', NULL, NULL, 'CKT_SA_090100', 'System Parameters', 'System Parameters','System Parameters','R', '2021-04-14 11:08:00', '2999-12-31 23:59:59', 'A', '2021-04-14 11:08:00', 'SYS', '2021-04-14 11:08:00', 'SYS');</v>
      </c>
    </row>
    <row r="75" spans="1:18" x14ac:dyDescent="0.2">
      <c r="A75" t="s">
        <v>1036</v>
      </c>
      <c r="B75" t="s">
        <v>44</v>
      </c>
      <c r="C75" t="s">
        <v>14</v>
      </c>
      <c r="D75" t="s">
        <v>125</v>
      </c>
      <c r="E75" t="s">
        <v>384</v>
      </c>
      <c r="F75" t="s">
        <v>125</v>
      </c>
      <c r="G75" t="s">
        <v>125</v>
      </c>
      <c r="H75" s="9" t="s">
        <v>1030</v>
      </c>
      <c r="I75" t="str">
        <f>VLOOKUP(H75,Menu_EX_CK2!$A$1:$F$93,6,FALSE)</f>
        <v>Manage Cargo Owners</v>
      </c>
      <c r="J75" t="s">
        <v>125</v>
      </c>
      <c r="K75" t="s">
        <v>125</v>
      </c>
      <c r="L75" t="s">
        <v>125</v>
      </c>
      <c r="M75" t="str">
        <f t="shared" si="10"/>
        <v>Manage Cargo Owners</v>
      </c>
      <c r="N75" t="str">
        <f t="shared" si="11"/>
        <v>Manage Cargo Owners</v>
      </c>
      <c r="O75" t="s">
        <v>385</v>
      </c>
      <c r="P75" s="11" t="s">
        <v>386</v>
      </c>
      <c r="Q75" s="11" t="str" cm="1">
        <f t="array" ref="Q75">CONCATENATE(" VALUES ('",A75,"', '",B75,"', '",C75,"', ",IF(D75="NULL","NULL", CONCATENATE("'",D75,"'")),", '",E75,"', ",IFERROR(F75,NULL),", NULL, '",H75,"', '",I75,"', '",M75,"','",N75,"','",O75,"', '2021-04-14 11:08:00', '2999-12-31 23:59:59', 'A', '2021-04-14 11:08:00', 'SYS', '2021-04-14 11:08:00', 'SYS');")</f>
        <v xml:space="preserve"> VALUES ('PM038A', 'N', 'CKT', NULL, 'M', NULL, NULL, 'CKT_AA_050300', 'Manage Cargo Owners', 'Manage Cargo Owners','Manage Cargo Owners','R', '2021-04-14 11:08:00', '2999-12-31 23:59:59', 'A', '2021-04-14 11:08:00', 'SYS', '2021-04-14 11:08:00', 'SYS');</v>
      </c>
      <c r="R75"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('PM038A', 'N', 'CKT', NULL, 'M', NULL, NULL, 'CKT_AA_050300', 'Manage Cargo Owners', 'Manage Cargo Owners','Manage Cargo Owners','R', '2021-04-14 11:08:00', '2999-12-31 23:59:59', 'A', '2021-04-14 11:08:00', 'SYS', '2021-04-14 11:08:00', 'SYS');</v>
      </c>
    </row>
    <row r="76" spans="1:18" s="9" customFormat="1" x14ac:dyDescent="0.2">
      <c r="A76" s="33" t="s">
        <v>1169</v>
      </c>
      <c r="B76" s="9" t="s">
        <v>44</v>
      </c>
      <c r="C76" s="9" t="s">
        <v>14</v>
      </c>
      <c r="D76" s="9" t="s">
        <v>125</v>
      </c>
      <c r="E76" s="9" t="s">
        <v>384</v>
      </c>
      <c r="F76" s="9" t="s">
        <v>125</v>
      </c>
      <c r="G76" s="9" t="s">
        <v>125</v>
      </c>
      <c r="H76" s="9" t="s">
        <v>1166</v>
      </c>
      <c r="I76" t="str">
        <f>VLOOKUP(H76,Menu_EX_CK2!$A$1:$F$93,6,FALSE)</f>
        <v>Account Inquiry Request</v>
      </c>
      <c r="J76" t="s">
        <v>125</v>
      </c>
      <c r="K76" s="9" t="s">
        <v>125</v>
      </c>
      <c r="L76" s="9" t="s">
        <v>125</v>
      </c>
      <c r="M76" t="str">
        <f t="shared" si="10"/>
        <v>Account Inquiry Request</v>
      </c>
      <c r="N76" t="str">
        <f t="shared" si="11"/>
        <v>Account Inquiry Request</v>
      </c>
      <c r="O76" s="9" t="s">
        <v>385</v>
      </c>
      <c r="P76" s="14" t="s">
        <v>386</v>
      </c>
      <c r="Q76" s="14" t="str">
        <f t="array" ref="Q76">CONCATENATE(" VALUES ('",A76,"', '",B76,"', '",C76,"', ",IF(D76="NULL","NULL",CONCATENATE("'",D76,"'")),", '",E76,"', ",IFERROR(F76,NULL),", NULL, '",H76,"', '",I76,"', '",M76,"','",N76,"','",O76,"', '2021-04-14 11:08:00', '2999-12-31 23:59:59', 'A', '2021-04-14 11:08:00', 'SYS', '2021-04-14 11:08:00', 'SYS');")</f>
        <v xml:space="preserve"> VALUES ('PM073', 'N', 'CKT', NULL, 'M', NULL, NULL, 'CKT_OA_081300', 'Account Inquiry Request', 'Account Inquiry Request','Account Inquiry Request','R', '2021-04-14 11:08:00', '2999-12-31 23:59:59', 'A', '2021-04-14 11:08:00', 'SYS', '2021-04-14 11:08:00', 'SYS');</v>
      </c>
      <c r="R76"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('PM073', 'N', 'CKT', NULL, 'M', NULL, NULL, 'CKT_OA_081300', 'Account Inquiry Request', 'Account Inquiry Request','Account Inquiry Request','R', '2021-04-14 11:08:00', '2999-12-31 23:59:59', 'A', '2021-04-14 11:08:00', 'SYS', '2021-04-14 11:08:00', 'SYS');</v>
      </c>
    </row>
    <row r="77" spans="1:18" x14ac:dyDescent="0.2">
      <c r="A77" t="s">
        <v>1176</v>
      </c>
      <c r="B77" t="s">
        <v>383</v>
      </c>
      <c r="C77" s="9" t="s">
        <v>30</v>
      </c>
      <c r="D77" s="9" t="s">
        <v>125</v>
      </c>
      <c r="E77" s="9" t="s">
        <v>384</v>
      </c>
      <c r="F77" s="9" t="s">
        <v>125</v>
      </c>
      <c r="G77" s="9" t="s">
        <v>125</v>
      </c>
      <c r="H77" s="9" t="s">
        <v>1174</v>
      </c>
      <c r="I77" t="str">
        <f>VLOOKUP(H77,Menu_EX_CK2!$A$1:$F$93,6,FALSE)</f>
        <v>Operations Administration</v>
      </c>
      <c r="J77" t="s">
        <v>125</v>
      </c>
      <c r="K77" s="9" t="s">
        <v>125</v>
      </c>
      <c r="L77" s="9" t="s">
        <v>125</v>
      </c>
      <c r="M77" t="str">
        <f t="shared" si="10"/>
        <v>Operations Administration</v>
      </c>
      <c r="N77" t="str">
        <f t="shared" si="11"/>
        <v>Operations Administration</v>
      </c>
      <c r="O77" s="9" t="s">
        <v>385</v>
      </c>
      <c r="P77" s="14" t="s">
        <v>386</v>
      </c>
      <c r="Q77" s="14" t="str">
        <f t="array" ref="Q77">CONCATENATE(" VALUES ('",A77,"', '",B77,"', '",C77,"', ",IF(D77="NULL","NULL",CONCATENATE("'",D77,"'")),", '",E77,"', ",IFERROR(F77,NULL),", NULL, '",H77,"', '",I77,"', '",M77,"','",N77,"','",O77,"', '2021-04-14 11:08:00', '2999-12-31 23:59:59', 'A', '2021-04-14 11:08:00', 'SYS', '2021-04-14 11:08:00', 'SYS');")</f>
        <v xml:space="preserve"> VALUES ('PM084', 'Y', 'CKDO', NULL, 'M', NULL, NULL, 'CKDO_OA_020000', 'Operations Administration', 'Operations Administration','Operations Administration','R', '2021-04-14 11:08:00', '2999-12-31 23:59:59', 'A', '2021-04-14 11:08:00', 'SYS', '2021-04-14 11:08:00', 'SYS');</v>
      </c>
      <c r="R77"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('PM084', 'Y', 'CKDO', NULL, 'M', NULL, NULL, 'CKDO_OA_020000', 'Operations Administration', 'Operations Administration','Operations Administration','R', '2021-04-14 11:08:00', '2999-12-31 23:59:59', 'A', '2021-04-14 11:08:00', 'SYS', '2021-04-14 11:08:00', 'SYS');</v>
      </c>
    </row>
    <row r="78" spans="1:18" x14ac:dyDescent="0.2">
      <c r="A78" t="s">
        <v>1177</v>
      </c>
      <c r="B78" s="35" t="s">
        <v>44</v>
      </c>
      <c r="C78" s="9" t="s">
        <v>30</v>
      </c>
      <c r="D78" s="9" t="s">
        <v>125</v>
      </c>
      <c r="E78" s="9" t="s">
        <v>384</v>
      </c>
      <c r="F78" s="9" t="s">
        <v>125</v>
      </c>
      <c r="G78" s="9" t="s">
        <v>125</v>
      </c>
      <c r="H78" t="s">
        <v>1179</v>
      </c>
      <c r="I78" t="str">
        <f>VLOOKUP(H78,Menu_EX_CK2!$A$1:$F$93,6,FALSE)</f>
        <v>Tax</v>
      </c>
      <c r="J78" t="s">
        <v>125</v>
      </c>
      <c r="K78" s="9" t="s">
        <v>125</v>
      </c>
      <c r="L78" s="9" t="s">
        <v>125</v>
      </c>
      <c r="M78" t="str">
        <f t="shared" si="10"/>
        <v>Tax</v>
      </c>
      <c r="N78" t="str">
        <f t="shared" si="11"/>
        <v>Tax</v>
      </c>
      <c r="O78" s="9" t="s">
        <v>385</v>
      </c>
      <c r="P78" s="14" t="s">
        <v>386</v>
      </c>
      <c r="Q78" s="14" t="str">
        <f t="array" ref="Q78">CONCATENATE(" VALUES ('",A78,"', '",B78,"', '",C78,"', ",IF(D78="NULL","NULL",CONCATENATE("'",D78,"'")),", '",E78,"', ",IFERROR(F78,NULL),", NULL, '",H78,"', '",I78,"', '",M78,"','",N78,"','",O78,"', '2021-04-14 11:08:00', '2999-12-31 23:59:59', 'A', '2021-04-14 11:08:00', 'SYS', '2021-04-14 11:08:00', 'SYS');")</f>
        <v xml:space="preserve"> VALUES ('PMDO030400', 'N', 'CKDO', NULL, 'M', NULL, NULL, 'CKDO_MA_030400', 'Tax', 'Tax','Tax','R', '2021-04-14 11:08:00', '2999-12-31 23:59:59', 'A', '2021-04-14 11:08:00', 'SYS', '2021-04-14 11:08:00', 'SYS');</v>
      </c>
      <c r="R78"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('PMDO030400', 'N', 'CKDO', NULL, 'M', NULL, NULL, 'CKDO_MA_030400', 'Tax', 'Tax','Tax','R', '2021-04-14 11:08:00', '2999-12-31 23:59:59', 'A', '2021-04-14 11:08:00', 'SYS', '2021-04-14 11:08:00', 'SYS');</v>
      </c>
    </row>
    <row r="79" spans="1:18" x14ac:dyDescent="0.2">
      <c r="A79" s="35" t="s">
        <v>1178</v>
      </c>
      <c r="B79" s="35" t="s">
        <v>44</v>
      </c>
      <c r="C79" s="9" t="s">
        <v>30</v>
      </c>
      <c r="D79" s="9" t="s">
        <v>125</v>
      </c>
      <c r="E79" s="9" t="s">
        <v>384</v>
      </c>
      <c r="F79" s="9" t="s">
        <v>125</v>
      </c>
      <c r="G79" s="9" t="s">
        <v>125</v>
      </c>
      <c r="H79" t="s">
        <v>1180</v>
      </c>
      <c r="I79" t="str">
        <f>VLOOKUP(H79,Menu_EX_CK2!$A$1:$F$93,6,FALSE)</f>
        <v>SAGE Integration</v>
      </c>
      <c r="J79" t="s">
        <v>125</v>
      </c>
      <c r="K79" s="9" t="s">
        <v>125</v>
      </c>
      <c r="L79" s="9" t="s">
        <v>125</v>
      </c>
      <c r="M79" t="str">
        <f t="shared" si="10"/>
        <v>SAGE Integration</v>
      </c>
      <c r="N79" t="str">
        <f t="shared" si="11"/>
        <v>SAGE Integration</v>
      </c>
      <c r="O79" s="9" t="s">
        <v>385</v>
      </c>
      <c r="P79" s="14" t="s">
        <v>386</v>
      </c>
      <c r="Q79" s="14" t="str">
        <f t="array" ref="Q79">CONCATENATE(" VALUES ('",A79,"', '",B79,"', '",C79,"', ",IF(D79="NULL","NULL",CONCATENATE("'",D79,"'")),", '",E79,"', ",IFERROR(F79,NULL),", NULL, '",H79,"', '",I79,"', '",M79,"','",N79,"','",O79,"', '2021-04-14 11:08:00', '2999-12-31 23:59:59', 'A', '2021-04-14 11:08:00', 'SYS', '2021-04-14 11:08:00', 'SYS');")</f>
        <v xml:space="preserve"> VALUES ('PMDO030500', 'N', 'CKDO', NULL, 'M', NULL, NULL, 'CKDO_MA_030500', 'SAGE Integration', 'SAGE Integration','SAGE Integration','R', '2021-04-14 11:08:00', '2999-12-31 23:59:59', 'A', '2021-04-14 11:08:00', 'SYS', '2021-04-14 11:08:00', 'SYS');</v>
      </c>
      <c r="R79"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('PMDO030500', 'N', 'CKDO', NULL, 'M', NULL, NULL, 'CKDO_MA_030500', 'SAGE Integration', 'SAGE Integration','SAGE Integration','R', '2021-04-14 11:08:00', '2999-12-31 23:59:59', 'A', '2021-04-14 11:08:00', 'SYS', '2021-04-14 11:08:00', 'SYS');</v>
      </c>
    </row>
    <row r="80" spans="1:18" x14ac:dyDescent="0.2">
      <c r="A80" s="35" t="s">
        <v>1184</v>
      </c>
      <c r="B80" t="s">
        <v>383</v>
      </c>
      <c r="C80" s="9" t="s">
        <v>30</v>
      </c>
      <c r="D80" s="9" t="s">
        <v>125</v>
      </c>
      <c r="E80" s="9" t="s">
        <v>384</v>
      </c>
      <c r="F80" s="9" t="s">
        <v>125</v>
      </c>
      <c r="G80" s="9" t="s">
        <v>125</v>
      </c>
      <c r="H80" s="9" t="s">
        <v>1175</v>
      </c>
      <c r="I80" t="str">
        <f>VLOOKUP(H80,Menu_EX_CK2!$A$1:$F$93,6,FALSE)</f>
        <v>Static Virtual Account</v>
      </c>
      <c r="J80" t="s">
        <v>125</v>
      </c>
      <c r="K80" s="9" t="s">
        <v>125</v>
      </c>
      <c r="L80" s="9" t="s">
        <v>125</v>
      </c>
      <c r="M80" t="str">
        <f t="shared" ref="M80" si="12">I80</f>
        <v>Static Virtual Account</v>
      </c>
      <c r="N80" t="str">
        <f t="shared" ref="N80" si="13">M80</f>
        <v>Static Virtual Account</v>
      </c>
      <c r="O80" s="9" t="s">
        <v>385</v>
      </c>
      <c r="P80" s="14" t="s">
        <v>386</v>
      </c>
      <c r="Q80" s="14" t="str">
        <f t="array" ref="Q80">CONCATENATE(" VALUES ('",A80,"', '",B80,"', '",C80,"', ",IF(D80="NULL","NULL",CONCATENATE("'",D80,"'")),", '",E80,"', ",IFERROR(F80,NULL),", NULL, '",H80,"', '",I80,"', '",M80,"','",N80,"','",O80,"', '2021-04-14 11:08:00', '2999-12-31 23:59:59', 'A', '2021-04-14 11:08:00', 'SYS', '2021-04-14 11:08:00', 'SYS');")</f>
        <v xml:space="preserve"> VALUES ('PM085', 'Y', 'CKDO', NULL, 'M', NULL, NULL, 'CKDO_OA_020100', 'Static Virtual Account', 'Static Virtual Account','Static Virtual Account','R', '2021-04-14 11:08:00', '2999-12-31 23:59:59', 'A', '2021-04-14 11:08:00', 'SYS', '2021-04-14 11:08:00', 'SYS');</v>
      </c>
      <c r="R80" t="str">
        <f t="shared" ref="R80" si="14">CONCATENATE(P80,Q80)</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('PM085', 'Y', 'CKDO', NULL, 'M', NULL, NULL, 'CKDO_OA_020100', 'Static Virtual Account', 'Static Virtual Account','Static Virtual Account','R', '2021-04-14 11:08:00', '2999-12-31 23:59:59', 'A', '2021-04-14 11:08:00', 'SYS', '2021-04-14 11:08:00', 'SYS');</v>
      </c>
    </row>
    <row r="81" spans="1:18" x14ac:dyDescent="0.2">
      <c r="A81" s="35" t="s">
        <v>1185</v>
      </c>
      <c r="B81" t="s">
        <v>383</v>
      </c>
      <c r="C81" s="9" t="s">
        <v>30</v>
      </c>
      <c r="D81" s="9" t="s">
        <v>125</v>
      </c>
      <c r="E81" s="9" t="s">
        <v>384</v>
      </c>
      <c r="F81" s="9" t="s">
        <v>125</v>
      </c>
      <c r="G81" s="9" t="s">
        <v>125</v>
      </c>
      <c r="H81" s="9" t="s">
        <v>1183</v>
      </c>
      <c r="I81" t="str">
        <f>VLOOKUP(H81,Menu_EX_CK2!$A$1:$F$93,6,FALSE)</f>
        <v>Accounts Management</v>
      </c>
      <c r="J81" t="s">
        <v>125</v>
      </c>
      <c r="K81" s="9" t="s">
        <v>125</v>
      </c>
      <c r="L81" s="9" t="s">
        <v>125</v>
      </c>
      <c r="M81" t="str">
        <f t="shared" ref="M81" si="15">I81</f>
        <v>Accounts Management</v>
      </c>
      <c r="N81" t="str">
        <f t="shared" ref="N81" si="16">M81</f>
        <v>Accounts Management</v>
      </c>
      <c r="O81" s="9" t="s">
        <v>385</v>
      </c>
      <c r="P81" s="14" t="s">
        <v>386</v>
      </c>
      <c r="Q81" s="14" t="str">
        <f t="array" ref="Q81">CONCATENATE(" VALUES ('",A81,"', '",B81,"', '",C81,"', ",IF(D81="NULL","NULL",CONCATENATE("'",D81,"'")),", '",E81,"', ",IFERROR(F81,NULL),", NULL, '",H81,"', '",I81,"', '",M81,"','",N81,"','",O81,"', '2021-04-14 11:08:00', '2999-12-31 23:59:59', 'A', '2021-04-14 11:08:00', 'SYS', '2021-04-14 11:08:00', 'SYS');")</f>
        <v xml:space="preserve"> VALUES ('PM086', 'Y', 'CKDO', NULL, 'M', NULL, NULL, 'CKDO_OA_020200', 'Accounts Management', 'Accounts Management','Accounts Management','R', '2021-04-14 11:08:00', '2999-12-31 23:59:59', 'A', '2021-04-14 11:08:00', 'SYS', '2021-04-14 11:08:00', 'SYS');</v>
      </c>
      <c r="R81" t="str">
        <f t="shared" ref="R81" si="17">CONCATENATE(P81,Q81)</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('PM086', 'Y', 'CKDO', NULL, 'M', NULL, NULL, 'CKDO_OA_020200', 'Accounts Management', 'Accounts Management','Accounts Management','R', '2021-04-14 11:08:00', '2999-12-31 23:59:59', 'A', '2021-04-14 11:08:00', 'SYS', '2021-04-14 11:08:00', 'SYS');</v>
      </c>
    </row>
    <row r="82" spans="1:18" x14ac:dyDescent="0.2">
      <c r="A82" s="35" t="s">
        <v>1199</v>
      </c>
      <c r="B82" t="s">
        <v>383</v>
      </c>
      <c r="C82" s="9" t="s">
        <v>30</v>
      </c>
      <c r="D82" s="9" t="s">
        <v>125</v>
      </c>
      <c r="E82" s="9" t="s">
        <v>384</v>
      </c>
      <c r="F82" s="9" t="s">
        <v>125</v>
      </c>
      <c r="G82" s="9" t="s">
        <v>125</v>
      </c>
      <c r="H82" s="9" t="s">
        <v>1201</v>
      </c>
      <c r="I82" t="str">
        <f>VLOOKUP(H82,Menu_EX_CK2!$A$1:$F$93,6,FALSE)</f>
        <v>Users Management</v>
      </c>
      <c r="J82" t="s">
        <v>125</v>
      </c>
      <c r="K82" s="9" t="s">
        <v>125</v>
      </c>
      <c r="L82" s="9" t="s">
        <v>125</v>
      </c>
      <c r="M82" t="str">
        <f t="shared" ref="M82" si="18">I82</f>
        <v>Users Management</v>
      </c>
      <c r="N82" t="str">
        <f t="shared" ref="N82" si="19">M82</f>
        <v>Users Management</v>
      </c>
      <c r="O82" s="9" t="s">
        <v>385</v>
      </c>
      <c r="P82" s="14" t="s">
        <v>386</v>
      </c>
      <c r="Q82" s="14" t="str">
        <f t="array" ref="Q82">CONCATENATE(" VALUES ('",A82,"', '",B82,"', '",C82,"', ",IF(D82="NULL","NULL",CONCATENATE("'",D82,"'")),", '",E82,"', ",IFERROR(F82,NULL),", NULL, '",H82,"', '",I82,"', '",M82,"','",N82,"','",O82,"', '2021-04-14 11:08:00', '2999-12-31 23:59:59', 'A', '2021-04-14 11:08:00', 'SYS', '2021-04-14 11:08:00', 'SYS');")</f>
        <v xml:space="preserve"> VALUES ('PM087', 'Y', 'CKDO', NULL, 'M', NULL, NULL, 'CKDO_OA_020300', 'Users Management', 'Users Management','Users Management','R', '2021-04-14 11:08:00', '2999-12-31 23:59:59', 'A', '2021-04-14 11:08:00', 'SYS', '2021-04-14 11:08:00', 'SYS');</v>
      </c>
      <c r="R82" t="str">
        <f t="shared" ref="R82" si="20">CONCATENATE(P82,Q82)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('PM087', 'Y', 'CKDO', NULL, 'M', NULL, NULL, 'CKDO_OA_020300', 'Users Management', 'Users Management','Users Management','R', '2021-04-14 11:08:00', '2999-12-31 23:59:59', 'A', '2021-04-14 11:08:00', 'SYS', '2021-04-14 11:08:00', 'SYS');</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8"/>
  <sheetViews>
    <sheetView workbookViewId="0">
      <selection activeCell="I37" sqref="I37"/>
    </sheetView>
  </sheetViews>
  <sheetFormatPr baseColWidth="10" defaultColWidth="11" defaultRowHeight="16" x14ac:dyDescent="0.2"/>
  <cols>
    <col min="1" max="1" width="8.6640625" customWidth="1"/>
    <col min="2" max="2" width="13.1640625" customWidth="1"/>
    <col min="3" max="3" width="11.1640625" customWidth="1"/>
    <col min="4" max="4" width="14.33203125" customWidth="1"/>
    <col min="5" max="5" width="11" customWidth="1"/>
    <col min="6" max="6" width="13.83203125" customWidth="1"/>
    <col min="7" max="7" width="18" customWidth="1"/>
    <col min="8" max="8" width="16.83203125" customWidth="1"/>
    <col min="9" max="9" width="23.1640625" customWidth="1"/>
    <col min="10" max="10" width="15.5" customWidth="1"/>
    <col min="11" max="11" width="16" customWidth="1"/>
    <col min="12" max="12" width="13.33203125" customWidth="1"/>
    <col min="13" max="14" width="23.1640625" customWidth="1"/>
    <col min="15" max="15" width="13.1640625" customWidth="1"/>
    <col min="16" max="17" width="16" customWidth="1"/>
    <col min="18" max="18" width="13.5" customWidth="1"/>
    <col min="19" max="19" width="16.6640625" customWidth="1"/>
    <col min="20" max="20" width="17.5" customWidth="1"/>
    <col min="21" max="21" width="14.5" customWidth="1"/>
    <col min="22" max="22" width="15.33203125" customWidth="1"/>
  </cols>
  <sheetData>
    <row r="1" spans="1:23" x14ac:dyDescent="0.2">
      <c r="A1" s="7" t="s">
        <v>367</v>
      </c>
      <c r="B1" s="7" t="s">
        <v>368</v>
      </c>
      <c r="C1" s="7" t="s">
        <v>369</v>
      </c>
      <c r="D1" s="7" t="s">
        <v>370</v>
      </c>
      <c r="E1" s="7" t="s">
        <v>371</v>
      </c>
      <c r="F1" s="7" t="s">
        <v>372</v>
      </c>
      <c r="G1" s="7" t="s">
        <v>373</v>
      </c>
      <c r="H1" s="7" t="s">
        <v>374</v>
      </c>
      <c r="I1" s="7" t="s">
        <v>375</v>
      </c>
      <c r="J1" s="7" t="s">
        <v>376</v>
      </c>
      <c r="K1" s="7" t="s">
        <v>377</v>
      </c>
      <c r="L1" s="7" t="s">
        <v>378</v>
      </c>
      <c r="M1" s="7" t="s">
        <v>379</v>
      </c>
      <c r="N1" s="7" t="s">
        <v>380</v>
      </c>
      <c r="O1" s="7" t="s">
        <v>381</v>
      </c>
      <c r="P1" s="7"/>
      <c r="Q1" s="7"/>
      <c r="R1" s="7"/>
      <c r="S1" s="7"/>
      <c r="T1" s="7"/>
      <c r="U1" s="7"/>
      <c r="V1" s="7"/>
      <c r="W1" s="7"/>
    </row>
    <row r="2" spans="1:23" x14ac:dyDescent="0.2">
      <c r="A2" t="s">
        <v>382</v>
      </c>
      <c r="B2" t="s">
        <v>383</v>
      </c>
      <c r="C2" t="s">
        <v>5</v>
      </c>
      <c r="D2" t="s">
        <v>125</v>
      </c>
      <c r="E2" t="s">
        <v>384</v>
      </c>
      <c r="F2" t="s">
        <v>125</v>
      </c>
      <c r="G2" t="s">
        <v>125</v>
      </c>
      <c r="H2" t="s">
        <v>338</v>
      </c>
      <c r="I2" t="s">
        <v>127</v>
      </c>
      <c r="J2" t="s">
        <v>125</v>
      </c>
      <c r="K2" t="s">
        <v>125</v>
      </c>
      <c r="L2" t="s">
        <v>125</v>
      </c>
      <c r="M2" t="s">
        <v>127</v>
      </c>
      <c r="N2" t="s">
        <v>127</v>
      </c>
      <c r="O2" t="s">
        <v>385</v>
      </c>
      <c r="P2" s="11" t="s">
        <v>386</v>
      </c>
      <c r="Q2" s="11" t="str">
        <f t="array" ref="Q2">CONCATENATE(" VALUES ('",A2,"', '",B2,"', '",C2,"', ",IF(D2="NULL","NULL",CONCATENATE("'",D2,"'")),", '",E2,"', ",IFERROR(F2,NULL),", NULL, '",H2,"', '",I2,"', '",M2,"','",N2,"','",O2,"', '2021-04-14 11:08:00', '2999-12-31 23:59:59', 'A', '2021-04-14 11:08:00', 'SYS', '2021-04-14 11:08:00', 'SYS');")</f>
        <v xml:space="preserve"> VALUES ('PM000', 'Y', 'CK', NULL, 'M', NULL, NULL, 'CK_MS_010000', 'Services', 'Services','Services','R', '2021-04-14 11:08:00', '2999-12-31 23:59:59', 'A', '2021-04-14 11:08:00', 'SYS', '2021-04-14 11:08:00', 'SYS');</v>
      </c>
      <c r="R2" t="str">
        <f>CONCATENATE(P2,Q2)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('PM000', 'Y', 'CK', NULL, 'M', NULL, NULL, 'CK_MS_010000', 'Services', 'Services','Services','R', '2021-04-14 11:08:00', '2999-12-31 23:59:59', 'A', '2021-04-14 11:08:00', 'SYS', '2021-04-14 11:08:00', 'SYS');</v>
      </c>
      <c r="S2" s="12"/>
      <c r="U2" s="12"/>
    </row>
    <row r="3" spans="1:23" x14ac:dyDescent="0.2">
      <c r="A3" t="s">
        <v>387</v>
      </c>
      <c r="B3" t="s">
        <v>383</v>
      </c>
      <c r="C3" t="s">
        <v>5</v>
      </c>
      <c r="D3" t="s">
        <v>125</v>
      </c>
      <c r="E3" t="s">
        <v>384</v>
      </c>
      <c r="F3" t="s">
        <v>125</v>
      </c>
      <c r="G3" t="s">
        <v>125</v>
      </c>
      <c r="H3" t="s">
        <v>339</v>
      </c>
      <c r="I3" t="s">
        <v>253</v>
      </c>
      <c r="J3" t="s">
        <v>125</v>
      </c>
      <c r="K3" t="s">
        <v>125</v>
      </c>
      <c r="L3" t="s">
        <v>125</v>
      </c>
      <c r="M3" t="s">
        <v>253</v>
      </c>
      <c r="N3" t="s">
        <v>253</v>
      </c>
      <c r="O3" t="s">
        <v>385</v>
      </c>
      <c r="P3" s="11" t="s">
        <v>386</v>
      </c>
      <c r="Q3" s="11" t="str">
        <f t="array" ref="Q3">CONCATENATE(" VALUES ('",A3,"', '",B3,"', '",C3,"', ",IF(D3="NULL","NULL",CONCATENATE("'",D3,"'")),", '",E3,"', ",IFERROR(F3,NULL),", NULL, '",H3,"', '",I3,"', '",M3,"','",N3,"','",O3,"', '2021-04-14 11:08:00', '2999-12-31 23:59:59', 'A', '2021-04-14 11:08:00', 'SYS', '2021-04-14 11:08:00', 'SYS');")</f>
        <v xml:space="preserve"> VALUES ('PM001', 'Y', 'CK', NULL, 'M', NULL, NULL, 'CK_MP_020000', 'Payments', 'Payments','Payments','R', '2021-04-14 11:08:00', '2999-12-31 23:59:59', 'A', '2021-04-14 11:08:00', 'SYS', '2021-04-14 11:08:00', 'SYS');</v>
      </c>
      <c r="R3" t="str">
        <f t="shared" ref="R3:R25" si="0">CONCATENATE(P3,Q3)</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('PM001', 'Y', 'CK', NULL, 'M', NULL, NULL, 'CK_MP_020000', 'Payments', 'Payments','Payments','R', '2021-04-14 11:08:00', '2999-12-31 23:59:59', 'A', '2021-04-14 11:08:00', 'SYS', '2021-04-14 11:08:00', 'SYS');</v>
      </c>
      <c r="S3" s="12"/>
      <c r="U3" s="12"/>
    </row>
    <row r="4" spans="1:23" x14ac:dyDescent="0.2">
      <c r="A4" t="s">
        <v>388</v>
      </c>
      <c r="B4" t="s">
        <v>383</v>
      </c>
      <c r="C4" t="s">
        <v>5</v>
      </c>
      <c r="D4" t="s">
        <v>125</v>
      </c>
      <c r="E4" t="s">
        <v>384</v>
      </c>
      <c r="F4" t="s">
        <v>125</v>
      </c>
      <c r="G4" t="s">
        <v>125</v>
      </c>
      <c r="H4" t="s">
        <v>341</v>
      </c>
      <c r="I4" t="s">
        <v>131</v>
      </c>
      <c r="J4" t="s">
        <v>125</v>
      </c>
      <c r="K4" t="s">
        <v>125</v>
      </c>
      <c r="L4" t="s">
        <v>125</v>
      </c>
      <c r="M4" t="s">
        <v>131</v>
      </c>
      <c r="N4" t="s">
        <v>131</v>
      </c>
      <c r="O4" t="s">
        <v>385</v>
      </c>
      <c r="P4" s="11" t="s">
        <v>386</v>
      </c>
      <c r="Q4" s="11" t="str">
        <f t="array" ref="Q4">CONCATENATE(" VALUES ('",A4,"', '",B4,"', '",C4,"', ",IF(D4="NULL","NULL",CONCATENATE("'",D4,"'")),", '",E4,"', ",IFERROR(F4,NULL),", NULL, '",H4,"', '",I4,"', '",M4,"','",N4,"','",O4,"', '2021-04-14 11:08:00', '2999-12-31 23:59:59', 'A', '2021-04-14 11:08:00', 'SYS', '2021-04-14 11:08:00', 'SYS');")</f>
        <v xml:space="preserve"> VALUES ('PM002', 'Y', 'CK', NULL, 'M', NULL, NULL, 'CK_MA_030000', 'Administrations', 'Administrations','Administrations','R', '2021-04-14 11:08:00', '2999-12-31 23:59:59', 'A', '2021-04-14 11:08:00', 'SYS', '2021-04-14 11:08:00', 'SYS');</v>
      </c>
      <c r="R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('PM002', 'Y', 'CK', NULL, 'M', NULL, NULL, 'CK_MA_030000', 'Administrations', 'Administrations','Administrations','R', '2021-04-14 11:08:00', '2999-12-31 23:59:59', 'A', '2021-04-14 11:08:00', 'SYS', '2021-04-14 11:08:00', 'SYS');</v>
      </c>
      <c r="S4" s="12"/>
      <c r="U4" s="12"/>
    </row>
    <row r="5" spans="1:23" x14ac:dyDescent="0.2">
      <c r="A5" t="s">
        <v>389</v>
      </c>
      <c r="B5" t="s">
        <v>44</v>
      </c>
      <c r="C5" t="s">
        <v>5</v>
      </c>
      <c r="D5" t="s">
        <v>125</v>
      </c>
      <c r="E5" t="s">
        <v>384</v>
      </c>
      <c r="F5" t="s">
        <v>125</v>
      </c>
      <c r="G5" t="s">
        <v>125</v>
      </c>
      <c r="H5" t="s">
        <v>342</v>
      </c>
      <c r="I5" t="s">
        <v>161</v>
      </c>
      <c r="J5" t="s">
        <v>125</v>
      </c>
      <c r="K5" t="s">
        <v>125</v>
      </c>
      <c r="L5" t="s">
        <v>125</v>
      </c>
      <c r="M5" t="s">
        <v>161</v>
      </c>
      <c r="N5" t="s">
        <v>161</v>
      </c>
      <c r="O5" t="s">
        <v>385</v>
      </c>
      <c r="P5" s="11" t="s">
        <v>386</v>
      </c>
      <c r="Q5" s="11" t="str">
        <f t="array" ref="Q5">CONCATENATE(" VALUES ('",A5,"', '",B5,"', '",C5,"', ",IF(D5="NULL","NULL",CONCATENATE("'",D5,"'")),", '",E5,"', ",IFERROR(F5,NULL),", NULL, '",H5,"', '",I5,"', '",M5,"','",N5,"','",O5,"', '2021-04-14 11:08:00', '2999-12-31 23:59:59', 'A', '2021-04-14 11:08:00', 'SYS', '2021-04-14 11:08:00', 'SYS');")</f>
        <v xml:space="preserve"> VALUES ('PM003', 'N', 'CK', NULL, 'M', NULL, NULL, 'CK_MA_030100', 'Account Profile', 'Account Profile','Account Profile','R', '2021-04-14 11:08:00', '2999-12-31 23:59:59', 'A', '2021-04-14 11:08:00', 'SYS', '2021-04-14 11:08:00', 'SYS');</v>
      </c>
      <c r="R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('PM003', 'N', 'CK', NULL, 'M', NULL, NULL, 'CK_MA_030100', 'Account Profile', 'Account Profile','Account Profile','R', '2021-04-14 11:08:00', '2999-12-31 23:59:59', 'A', '2021-04-14 11:08:00', 'SYS', '2021-04-14 11:08:00', 'SYS');</v>
      </c>
      <c r="S5" s="12"/>
      <c r="U5" s="12"/>
    </row>
    <row r="6" spans="1:23" x14ac:dyDescent="0.2">
      <c r="A6" t="s">
        <v>390</v>
      </c>
      <c r="B6" t="s">
        <v>44</v>
      </c>
      <c r="C6" t="s">
        <v>5</v>
      </c>
      <c r="D6" t="s">
        <v>125</v>
      </c>
      <c r="E6" t="s">
        <v>384</v>
      </c>
      <c r="F6" t="s">
        <v>125</v>
      </c>
      <c r="G6" t="s">
        <v>125</v>
      </c>
      <c r="H6" t="s">
        <v>343</v>
      </c>
      <c r="I6" t="s">
        <v>244</v>
      </c>
      <c r="J6" t="s">
        <v>125</v>
      </c>
      <c r="K6" t="s">
        <v>125</v>
      </c>
      <c r="L6" t="s">
        <v>125</v>
      </c>
      <c r="M6" t="s">
        <v>244</v>
      </c>
      <c r="N6" t="s">
        <v>244</v>
      </c>
      <c r="O6" t="s">
        <v>385</v>
      </c>
      <c r="P6" s="11" t="s">
        <v>386</v>
      </c>
      <c r="Q6" s="11" t="str">
        <f t="array" ref="Q6">CONCATENATE(" VALUES ('",A6,"', '",B6,"', '",C6,"', ",IF(D6="NULL","NULL",CONCATENATE("'",D6,"'")),", '",E6,"', ",IFERROR(F6,NULL),", NULL, '",H6,"', '",I6,"', '",M6,"','",N6,"','",O6,"', '2021-04-14 11:08:00', '2999-12-31 23:59:59', 'A', '2021-04-14 11:08:00', 'SYS', '2021-04-14 11:08:00', 'SYS');")</f>
        <v xml:space="preserve"> VALUES ('PM004', 'N', 'CK', NULL, 'M', NULL, NULL, 'CK_MA_030200', 'Users', 'Users','Users','R', '2021-04-14 11:08:00', '2999-12-31 23:59:59', 'A', '2021-04-14 11:08:00', 'SYS', '2021-04-14 11:08:00', 'SYS');</v>
      </c>
      <c r="R6"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('PM004', 'N', 'CK', NULL, 'M', NULL, NULL, 'CK_MA_030200', 'Users', 'Users','Users','R', '2021-04-14 11:08:00', '2999-12-31 23:59:59', 'A', '2021-04-14 11:08:00', 'SYS', '2021-04-14 11:08:00', 'SYS');</v>
      </c>
      <c r="S6" s="12"/>
      <c r="U6" s="12"/>
    </row>
    <row r="7" spans="1:23" x14ac:dyDescent="0.2">
      <c r="A7" t="s">
        <v>391</v>
      </c>
      <c r="B7" t="s">
        <v>44</v>
      </c>
      <c r="C7" t="s">
        <v>5</v>
      </c>
      <c r="D7" t="s">
        <v>125</v>
      </c>
      <c r="E7" t="s">
        <v>384</v>
      </c>
      <c r="F7" t="s">
        <v>125</v>
      </c>
      <c r="G7" t="s">
        <v>125</v>
      </c>
      <c r="H7" t="s">
        <v>344</v>
      </c>
      <c r="I7" t="s">
        <v>247</v>
      </c>
      <c r="J7" t="s">
        <v>125</v>
      </c>
      <c r="K7" t="s">
        <v>125</v>
      </c>
      <c r="L7" t="s">
        <v>125</v>
      </c>
      <c r="M7" t="s">
        <v>247</v>
      </c>
      <c r="N7" t="s">
        <v>247</v>
      </c>
      <c r="O7" t="s">
        <v>385</v>
      </c>
      <c r="P7" s="11" t="s">
        <v>386</v>
      </c>
      <c r="Q7" s="11" t="str">
        <f t="array" ref="Q7">CONCATENATE(" VALUES ('",A7,"', '",B7,"', '",C7,"', ",IF(D7="NULL","NULL",CONCATENATE("'",D7,"'")),", '",E7,"', ",IFERROR(F7,NULL),", NULL, '",H7,"', '",I7,"', '",M7,"','",N7,"','",O7,"', '2021-04-14 11:08:00', '2999-12-31 23:59:59', 'A', '2021-04-14 11:08:00', 'SYS', '2021-04-14 11:08:00', 'SYS');")</f>
        <v xml:space="preserve"> VALUES ('PM005', 'N', 'CK', NULL, 'M', NULL, NULL, 'CK_MA_030300', 'Authorisations', 'Authorisations','Authorisations','R', '2021-04-14 11:08:00', '2999-12-31 23:59:59', 'A', '2021-04-14 11:08:00', 'SYS', '2021-04-14 11:08:00', 'SYS');</v>
      </c>
      <c r="R7"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('PM005', 'N', 'CK', NULL, 'M', NULL, NULL, 'CK_MA_030300', 'Authorisations', 'Authorisations','Authorisations','R', '2021-04-14 11:08:00', '2999-12-31 23:59:59', 'A', '2021-04-14 11:08:00', 'SYS', '2021-04-14 11:08:00', 'SYS');</v>
      </c>
      <c r="S7" s="12"/>
      <c r="U7" s="12"/>
    </row>
    <row r="8" spans="1:23" x14ac:dyDescent="0.2">
      <c r="A8" t="s">
        <v>392</v>
      </c>
      <c r="B8" t="s">
        <v>44</v>
      </c>
      <c r="C8" t="s">
        <v>5</v>
      </c>
      <c r="D8" t="s">
        <v>125</v>
      </c>
      <c r="E8" t="s">
        <v>384</v>
      </c>
      <c r="F8" t="s">
        <v>125</v>
      </c>
      <c r="G8" t="s">
        <v>125</v>
      </c>
      <c r="H8" t="s">
        <v>345</v>
      </c>
      <c r="I8" t="s">
        <v>122</v>
      </c>
      <c r="J8" t="s">
        <v>125</v>
      </c>
      <c r="K8" t="s">
        <v>125</v>
      </c>
      <c r="L8" t="s">
        <v>125</v>
      </c>
      <c r="M8" t="s">
        <v>122</v>
      </c>
      <c r="N8" t="s">
        <v>122</v>
      </c>
      <c r="O8" t="s">
        <v>385</v>
      </c>
      <c r="P8" s="11" t="s">
        <v>386</v>
      </c>
      <c r="Q8" s="11" t="str">
        <f t="array" ref="Q8">CONCATENATE(" VALUES ('",A8,"', '",B8,"', '",C8,"', ",IF(D8="NULL","NULL",CONCATENATE("'",D8,"'")),", '",E8,"', ",IFERROR(F8,NULL),", NULL, '",H8,"', '",I8,"', '",M8,"','",N8,"','",O8,"', '2021-04-14 11:08:00', '2999-12-31 23:59:59', 'A', '2021-04-14 11:08:00', 'SYS', '2021-04-14 11:08:00', 'SYS');")</f>
        <v xml:space="preserve"> VALUES ('PM006', 'N', 'CK', NULL, 'M', NULL, NULL, 'CK_MH_040000', 'Help', 'Help','Help','R', '2021-04-14 11:08:00', '2999-12-31 23:59:59', 'A', '2021-04-14 11:08:00', 'SYS', '2021-04-14 11:08:00', 'SYS');</v>
      </c>
      <c r="R8"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('PM006', 'N', 'CK', NULL, 'M', NULL, NULL, 'CK_MH_040000', 'Help', 'Help','Help','R', '2021-04-14 11:08:00', '2999-12-31 23:59:59', 'A', '2021-04-14 11:08:00', 'SYS', '2021-04-14 11:08:00', 'SYS');</v>
      </c>
      <c r="S8" s="12"/>
      <c r="U8" s="12"/>
    </row>
    <row r="9" spans="1:23" x14ac:dyDescent="0.2">
      <c r="A9" t="s">
        <v>393</v>
      </c>
      <c r="B9" t="s">
        <v>383</v>
      </c>
      <c r="C9" t="s">
        <v>5</v>
      </c>
      <c r="D9" t="s">
        <v>125</v>
      </c>
      <c r="E9" t="s">
        <v>384</v>
      </c>
      <c r="F9" t="s">
        <v>125</v>
      </c>
      <c r="G9" t="s">
        <v>125</v>
      </c>
      <c r="H9" s="6" t="s">
        <v>346</v>
      </c>
      <c r="I9" s="6" t="s">
        <v>292</v>
      </c>
      <c r="J9" t="s">
        <v>125</v>
      </c>
      <c r="K9" t="s">
        <v>125</v>
      </c>
      <c r="L9" t="s">
        <v>125</v>
      </c>
      <c r="M9" s="6" t="s">
        <v>292</v>
      </c>
      <c r="N9" s="6" t="s">
        <v>292</v>
      </c>
      <c r="O9" t="s">
        <v>385</v>
      </c>
      <c r="P9" s="11" t="s">
        <v>386</v>
      </c>
      <c r="Q9" s="11" t="str">
        <f t="array" ref="Q9">CONCATENATE(" VALUES ('",A9,"', '",B9,"', '",C9,"', ",IF(D9="NULL","NULL",CONCATENATE("'",D9,"'")),", '",E9,"', ",IFERROR(F9,NULL),", NULL, '",H9,"', '",I9,"', '",M9,"','",N9,"','",O9,"', '2021-04-14 11:08:00', '2999-12-31 23:59:59', 'A', '2021-04-14 11:08:00', 'SYS', '2021-04-14 11:08:00', 'SYS');")</f>
        <v xml:space="preserve"> VALUES ('PM007', 'Y', 'CK', NULL, 'M', NULL, NULL, 'CK_MT_050000', 'Master Table', 'Master Table','Master Table','R', '2021-04-14 11:08:00', '2999-12-31 23:59:59', 'A', '2021-04-14 11:08:00', 'SYS', '2021-04-14 11:08:00', 'SYS');</v>
      </c>
      <c r="R9"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('PM007', 'Y', 'CK', NULL, 'M', NULL, NULL, 'CK_MT_050000', 'Master Table', 'Master Table','Master Table','R', '2021-04-14 11:08:00', '2999-12-31 23:59:59', 'A', '2021-04-14 11:08:00', 'SYS', '2021-04-14 11:08:00', 'SYS');</v>
      </c>
      <c r="S9" s="12"/>
      <c r="U9" s="12"/>
    </row>
    <row r="10" spans="1:23" x14ac:dyDescent="0.2">
      <c r="A10" t="s">
        <v>394</v>
      </c>
      <c r="B10" t="s">
        <v>44</v>
      </c>
      <c r="C10" t="s">
        <v>5</v>
      </c>
      <c r="D10" t="s">
        <v>125</v>
      </c>
      <c r="E10" t="s">
        <v>384</v>
      </c>
      <c r="F10" t="s">
        <v>125</v>
      </c>
      <c r="G10" t="s">
        <v>125</v>
      </c>
      <c r="H10" s="6" t="s">
        <v>347</v>
      </c>
      <c r="I10" s="6" t="s">
        <v>295</v>
      </c>
      <c r="J10" t="s">
        <v>125</v>
      </c>
      <c r="K10" t="s">
        <v>125</v>
      </c>
      <c r="L10" t="s">
        <v>125</v>
      </c>
      <c r="M10" s="6" t="s">
        <v>295</v>
      </c>
      <c r="N10" s="6" t="s">
        <v>295</v>
      </c>
      <c r="O10" t="s">
        <v>385</v>
      </c>
      <c r="P10" s="11" t="s">
        <v>386</v>
      </c>
      <c r="Q10" s="11" t="str">
        <f t="array" ref="Q10">CONCATENATE(" VALUES ('",A10,"', '",B10,"', '",C10,"', ",IF(D10="NULL","NULL",CONCATENATE("'",D10,"'")),", '",E10,"', ",IFERROR(F10,NULL),", NULL, '",H10,"', '",I10,"', '",M10,"','",N10,"','",O10,"', '2021-04-14 11:08:00', '2999-12-31 23:59:59', 'A', '2021-04-14 11:08:00', 'SYS', '2021-04-14 11:08:00', 'SYS');")</f>
        <v xml:space="preserve"> VALUES ('PM008', 'N', 'CK', NULL, 'M', NULL, NULL, 'CK_MT_050100', 'Announcement Type', 'Announcement Type','Announcement Type','R', '2021-04-14 11:08:00', '2999-12-31 23:59:59', 'A', '2021-04-14 11:08:00', 'SYS', '2021-04-14 11:08:00', 'SYS');</v>
      </c>
      <c r="R10"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('PM008', 'N', 'CK', NULL, 'M', NULL, NULL, 'CK_MT_050100', 'Announcement Type', 'Announcement Type','Announcement Type','R', '2021-04-14 11:08:00', '2999-12-31 23:59:59', 'A', '2021-04-14 11:08:00', 'SYS', '2021-04-14 11:08:00', 'SYS');</v>
      </c>
      <c r="S10" s="12"/>
      <c r="U10" s="12"/>
    </row>
    <row r="11" spans="1:23" x14ac:dyDescent="0.2">
      <c r="A11" t="s">
        <v>395</v>
      </c>
      <c r="B11" t="s">
        <v>44</v>
      </c>
      <c r="C11" t="s">
        <v>5</v>
      </c>
      <c r="D11" t="s">
        <v>125</v>
      </c>
      <c r="E11" t="s">
        <v>384</v>
      </c>
      <c r="F11" t="s">
        <v>125</v>
      </c>
      <c r="G11" t="s">
        <v>125</v>
      </c>
      <c r="H11" s="6" t="s">
        <v>348</v>
      </c>
      <c r="I11" s="6" t="s">
        <v>298</v>
      </c>
      <c r="J11" t="s">
        <v>125</v>
      </c>
      <c r="K11" t="s">
        <v>125</v>
      </c>
      <c r="L11" t="s">
        <v>125</v>
      </c>
      <c r="M11" s="6" t="s">
        <v>298</v>
      </c>
      <c r="N11" s="6" t="s">
        <v>298</v>
      </c>
      <c r="O11" t="s">
        <v>385</v>
      </c>
      <c r="P11" s="11" t="s">
        <v>386</v>
      </c>
      <c r="Q11" s="11" t="str">
        <f t="array" ref="Q11">CONCATENATE(" VALUES ('",A11,"', '",B11,"', '",C11,"', ",IF(D11="NULL","NULL",CONCATENATE("'",D11,"'")),", '",E11,"', ",IFERROR(F11,NULL),", NULL, '",H11,"', '",I11,"', '",M11,"','",N11,"','",O11,"', '2021-04-14 11:08:00', '2999-12-31 23:59:59', 'A', '2021-04-14 11:08:00', 'SYS', '2021-04-14 11:08:00', 'SYS');")</f>
        <v xml:space="preserve"> VALUES ('PM009', 'N', 'CK', NULL, 'M', NULL, NULL, 'CK_MT_050200', 'Country Codes', 'Country Codes','Country Codes','R', '2021-04-14 11:08:00', '2999-12-31 23:59:59', 'A', '2021-04-14 11:08:00', 'SYS', '2021-04-14 11:08:00', 'SYS');</v>
      </c>
      <c r="R11"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('PM009', 'N', 'CK', NULL, 'M', NULL, NULL, 'CK_MT_050200', 'Country Codes', 'Country Codes','Country Codes','R', '2021-04-14 11:08:00', '2999-12-31 23:59:59', 'A', '2021-04-14 11:08:00', 'SYS', '2021-04-14 11:08:00', 'SYS');</v>
      </c>
      <c r="S11" s="12"/>
      <c r="U11" s="12"/>
    </row>
    <row r="12" spans="1:23" x14ac:dyDescent="0.2">
      <c r="A12" t="s">
        <v>396</v>
      </c>
      <c r="B12" t="s">
        <v>44</v>
      </c>
      <c r="C12" t="s">
        <v>5</v>
      </c>
      <c r="D12" t="s">
        <v>125</v>
      </c>
      <c r="E12" t="s">
        <v>384</v>
      </c>
      <c r="F12" t="s">
        <v>125</v>
      </c>
      <c r="G12" t="s">
        <v>125</v>
      </c>
      <c r="H12" s="6" t="s">
        <v>349</v>
      </c>
      <c r="I12" s="6" t="s">
        <v>301</v>
      </c>
      <c r="J12" t="s">
        <v>125</v>
      </c>
      <c r="K12" t="s">
        <v>125</v>
      </c>
      <c r="L12" t="s">
        <v>125</v>
      </c>
      <c r="M12" s="6" t="s">
        <v>301</v>
      </c>
      <c r="N12" s="6" t="s">
        <v>301</v>
      </c>
      <c r="O12" t="s">
        <v>385</v>
      </c>
      <c r="P12" s="11" t="s">
        <v>386</v>
      </c>
      <c r="Q12" s="11" t="str">
        <f t="array" ref="Q12">CONCATENATE(" VALUES ('",A12,"', '",B12,"', '",C12,"', ",IF(D12="NULL","NULL",CONCATENATE("'",D12,"'")),", '",E12,"', ",IFERROR(F12,NULL),", NULL, '",H12,"', '",I12,"', '",M12,"','",N12,"','",O12,"', '2021-04-14 11:08:00', '2999-12-31 23:59:59', 'A', '2021-04-14 11:08:00', 'SYS', '2021-04-14 11:08:00', 'SYS');")</f>
        <v xml:space="preserve"> VALUES ('PM010', 'N', 'CK', NULL, 'M', NULL, NULL, 'CK_MT_050300', 'Currency Code', 'Currency Code','Currency Code','R', '2021-04-14 11:08:00', '2999-12-31 23:59:59', 'A', '2021-04-14 11:08:00', 'SYS', '2021-04-14 11:08:00', 'SYS');</v>
      </c>
      <c r="R12"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('PM010', 'N', 'CK', NULL, 'M', NULL, NULL, 'CK_MT_050300', 'Currency Code', 'Currency Code','Currency Code','R', '2021-04-14 11:08:00', '2999-12-31 23:59:59', 'A', '2021-04-14 11:08:00', 'SYS', '2021-04-14 11:08:00', 'SYS');</v>
      </c>
      <c r="S12" s="12"/>
      <c r="U12" s="12"/>
    </row>
    <row r="13" spans="1:23" x14ac:dyDescent="0.2">
      <c r="A13" t="s">
        <v>397</v>
      </c>
      <c r="B13" t="s">
        <v>44</v>
      </c>
      <c r="C13" t="s">
        <v>5</v>
      </c>
      <c r="D13" t="s">
        <v>125</v>
      </c>
      <c r="E13" t="s">
        <v>384</v>
      </c>
      <c r="F13" t="s">
        <v>125</v>
      </c>
      <c r="G13" t="s">
        <v>125</v>
      </c>
      <c r="H13" s="6" t="s">
        <v>350</v>
      </c>
      <c r="I13" s="6" t="s">
        <v>304</v>
      </c>
      <c r="J13" t="s">
        <v>125</v>
      </c>
      <c r="K13" t="s">
        <v>125</v>
      </c>
      <c r="L13" t="s">
        <v>125</v>
      </c>
      <c r="M13" s="6" t="s">
        <v>304</v>
      </c>
      <c r="N13" s="6" t="s">
        <v>304</v>
      </c>
      <c r="O13" t="s">
        <v>385</v>
      </c>
      <c r="P13" s="11" t="s">
        <v>386</v>
      </c>
      <c r="Q13" s="11" t="str">
        <f t="array" ref="Q13">CONCATENATE(" VALUES ('",A13,"', '",B13,"', '",C13,"', ",IF(D13="NULL","NULL",CONCATENATE("'",D13,"'")),", '",E13,"', ",IFERROR(F13,NULL),", NULL, '",H13,"', '",I13,"', '",M13,"','",N13,"','",O13,"', '2021-04-14 11:08:00', '2999-12-31 23:59:59', 'A', '2021-04-14 11:08:00', 'SYS', '2021-04-14 11:08:00', 'SYS');")</f>
        <v xml:space="preserve"> VALUES ('PM011', 'N', 'CK', NULL, 'M', NULL, NULL, 'CK_MT_050400', 'Harmonized System Codes', 'Harmonized System Codes','Harmonized System Codes','R', '2021-04-14 11:08:00', '2999-12-31 23:59:59', 'A', '2021-04-14 11:08:00', 'SYS', '2021-04-14 11:08:00', 'SYS');</v>
      </c>
      <c r="R13"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('PM011', 'N', 'CK', NULL, 'M', NULL, NULL, 'CK_MT_050400', 'Harmonized System Codes', 'Harmonized System Codes','Harmonized System Codes','R', '2021-04-14 11:08:00', '2999-12-31 23:59:59', 'A', '2021-04-14 11:08:00', 'SYS', '2021-04-14 11:08:00', 'SYS');</v>
      </c>
      <c r="S13" s="12"/>
      <c r="U13" s="12"/>
    </row>
    <row r="14" spans="1:23" x14ac:dyDescent="0.2">
      <c r="A14" t="s">
        <v>398</v>
      </c>
      <c r="B14" t="s">
        <v>44</v>
      </c>
      <c r="C14" t="s">
        <v>5</v>
      </c>
      <c r="D14" t="s">
        <v>125</v>
      </c>
      <c r="E14" t="s">
        <v>384</v>
      </c>
      <c r="F14" t="s">
        <v>125</v>
      </c>
      <c r="G14" t="s">
        <v>125</v>
      </c>
      <c r="H14" s="6" t="s">
        <v>351</v>
      </c>
      <c r="I14" s="6" t="s">
        <v>307</v>
      </c>
      <c r="J14" t="s">
        <v>125</v>
      </c>
      <c r="K14" t="s">
        <v>125</v>
      </c>
      <c r="L14" t="s">
        <v>125</v>
      </c>
      <c r="M14" s="6" t="s">
        <v>307</v>
      </c>
      <c r="N14" s="6" t="s">
        <v>307</v>
      </c>
      <c r="O14" t="s">
        <v>385</v>
      </c>
      <c r="P14" s="11" t="s">
        <v>386</v>
      </c>
      <c r="Q14" s="11" t="str">
        <f t="array" ref="Q14">CONCATENATE(" VALUES ('",A14,"', '",B14,"', '",C14,"', ",IF(D14="NULL","NULL",CONCATENATE("'",D14,"'")),", '",E14,"', ",IFERROR(F14,NULL),", NULL, '",H14,"', '",I14,"', '",M14,"','",N14,"','",O14,"', '2021-04-14 11:08:00', '2999-12-31 23:59:59', 'A', '2021-04-14 11:08:00', 'SYS', '2021-04-14 11:08:00', 'SYS');")</f>
        <v xml:space="preserve"> VALUES ('PM012', 'N', 'CK', NULL, 'M', NULL, NULL, 'CK_MT_050500', 'Notification Templates', 'Notification Templates','Notification Templates','R', '2021-04-14 11:08:00', '2999-12-31 23:59:59', 'A', '2021-04-14 11:08:00', 'SYS', '2021-04-14 11:08:00', 'SYS');</v>
      </c>
      <c r="R1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('PM012', 'N', 'CK', NULL, 'M', NULL, NULL, 'CK_MT_050500', 'Notification Templates', 'Notification Templates','Notification Templates','R', '2021-04-14 11:08:00', '2999-12-31 23:59:59', 'A', '2021-04-14 11:08:00', 'SYS', '2021-04-14 11:08:00', 'SYS');</v>
      </c>
      <c r="S14" s="12"/>
      <c r="U14" s="12"/>
    </row>
    <row r="15" spans="1:23" x14ac:dyDescent="0.2">
      <c r="A15" t="s">
        <v>399</v>
      </c>
      <c r="B15" t="s">
        <v>44</v>
      </c>
      <c r="C15" t="s">
        <v>5</v>
      </c>
      <c r="D15" t="s">
        <v>125</v>
      </c>
      <c r="E15" t="s">
        <v>384</v>
      </c>
      <c r="F15" t="s">
        <v>125</v>
      </c>
      <c r="G15" t="s">
        <v>125</v>
      </c>
      <c r="H15" s="6" t="s">
        <v>352</v>
      </c>
      <c r="I15" s="6" t="s">
        <v>310</v>
      </c>
      <c r="J15" t="s">
        <v>125</v>
      </c>
      <c r="K15" t="s">
        <v>125</v>
      </c>
      <c r="L15" t="s">
        <v>125</v>
      </c>
      <c r="M15" s="6" t="s">
        <v>310</v>
      </c>
      <c r="N15" s="6" t="s">
        <v>310</v>
      </c>
      <c r="O15" t="s">
        <v>385</v>
      </c>
      <c r="P15" s="11" t="s">
        <v>386</v>
      </c>
      <c r="Q15" s="11" t="str">
        <f t="array" ref="Q15">CONCATENATE(" VALUES ('",A15,"', '",B15,"', '",C15,"', ",IF(D15="NULL","NULL",CONCATENATE("'",D15,"'")),", '",E15,"', ",IFERROR(F15,NULL),", NULL, '",H15,"', '",I15,"', '",M15,"','",N15,"','",O15,"', '2021-04-14 11:08:00', '2999-12-31 23:59:59', 'A', '2021-04-14 11:08:00', 'SYS', '2021-04-14 11:08:00', 'SYS');")</f>
        <v xml:space="preserve"> VALUES ('PM013', 'N', 'CK', NULL, 'M', NULL, NULL, 'CK_MT_050600', 'Port Codes', 'Port Codes','Port Codes','R', '2021-04-14 11:08:00', '2999-12-31 23:59:59', 'A', '2021-04-14 11:08:00', 'SYS', '2021-04-14 11:08:00', 'SYS');</v>
      </c>
      <c r="R1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('PM013', 'N', 'CK', NULL, 'M', NULL, NULL, 'CK_MT_050600', 'Port Codes', 'Port Codes','Port Codes','R', '2021-04-14 11:08:00', '2999-12-31 23:59:59', 'A', '2021-04-14 11:08:00', 'SYS', '2021-04-14 11:08:00', 'SYS');</v>
      </c>
      <c r="S15" s="12"/>
      <c r="U15" s="12"/>
    </row>
    <row r="16" spans="1:23" x14ac:dyDescent="0.2">
      <c r="A16" t="s">
        <v>400</v>
      </c>
      <c r="B16" t="s">
        <v>44</v>
      </c>
      <c r="C16" t="s">
        <v>5</v>
      </c>
      <c r="D16" t="s">
        <v>125</v>
      </c>
      <c r="E16" t="s">
        <v>384</v>
      </c>
      <c r="F16" t="s">
        <v>125</v>
      </c>
      <c r="G16" t="s">
        <v>125</v>
      </c>
      <c r="H16" s="6" t="s">
        <v>353</v>
      </c>
      <c r="I16" s="6" t="s">
        <v>313</v>
      </c>
      <c r="J16" t="s">
        <v>125</v>
      </c>
      <c r="K16" t="s">
        <v>125</v>
      </c>
      <c r="L16" t="s">
        <v>125</v>
      </c>
      <c r="M16" s="6" t="s">
        <v>313</v>
      </c>
      <c r="N16" s="6" t="s">
        <v>313</v>
      </c>
      <c r="O16" t="s">
        <v>385</v>
      </c>
      <c r="P16" s="11" t="s">
        <v>386</v>
      </c>
      <c r="Q16" s="11" t="str">
        <f t="array" ref="Q16">CONCATENATE(" VALUES ('",A16,"', '",B16,"', '",C16,"', ",IF(D16="NULL","NULL",CONCATENATE("'",D16,"'")),", '",E16,"', ",IFERROR(F16,NULL),", NULL, '",H16,"', '",I16,"', '",M16,"','",N16,"','",O16,"', '2021-04-14 11:08:00', '2999-12-31 23:59:59', 'A', '2021-04-14 11:08:00', 'SYS', '2021-04-14 11:08:00', 'SYS');")</f>
        <v xml:space="preserve"> VALUES ('PM014', 'N', 'CK', NULL, 'M', NULL, NULL, 'CK_MT_050700', 'Port Terminal', 'Port Terminal','Port Terminal','R', '2021-04-14 11:08:00', '2999-12-31 23:59:59', 'A', '2021-04-14 11:08:00', 'SYS', '2021-04-14 11:08:00', 'SYS');</v>
      </c>
      <c r="R16"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('PM014', 'N', 'CK', NULL, 'M', NULL, NULL, 'CK_MT_050700', 'Port Terminal', 'Port Terminal','Port Terminal','R', '2021-04-14 11:08:00', '2999-12-31 23:59:59', 'A', '2021-04-14 11:08:00', 'SYS', '2021-04-14 11:08:00', 'SYS');</v>
      </c>
      <c r="S16" s="12"/>
      <c r="U16" s="12"/>
    </row>
    <row r="17" spans="1:21" x14ac:dyDescent="0.2">
      <c r="A17" t="s">
        <v>401</v>
      </c>
      <c r="B17" t="s">
        <v>44</v>
      </c>
      <c r="C17" t="s">
        <v>5</v>
      </c>
      <c r="D17" t="s">
        <v>125</v>
      </c>
      <c r="E17" t="s">
        <v>384</v>
      </c>
      <c r="F17" t="s">
        <v>125</v>
      </c>
      <c r="G17" t="s">
        <v>125</v>
      </c>
      <c r="H17" s="6" t="s">
        <v>354</v>
      </c>
      <c r="I17" s="6" t="s">
        <v>316</v>
      </c>
      <c r="J17" t="s">
        <v>125</v>
      </c>
      <c r="K17" t="s">
        <v>125</v>
      </c>
      <c r="L17" t="s">
        <v>125</v>
      </c>
      <c r="M17" s="6" t="s">
        <v>316</v>
      </c>
      <c r="N17" s="6" t="s">
        <v>316</v>
      </c>
      <c r="O17" t="s">
        <v>385</v>
      </c>
      <c r="P17" s="11" t="s">
        <v>386</v>
      </c>
      <c r="Q17" s="11" t="str">
        <f t="array" ref="Q17">CONCATENATE(" VALUES ('",A17,"', '",B17,"', '",C17,"', ",IF(D17="NULL","NULL",CONCATENATE("'",D17,"'")),", '",E17,"', ",IFERROR(F17,NULL),", NULL, '",H17,"', '",I17,"', '",M17,"','",N17,"','",O17,"', '2021-04-14 11:08:00', '2999-12-31 23:59:59', 'A', '2021-04-14 11:08:00', 'SYS', '2021-04-14 11:08:00', 'SYS');")</f>
        <v xml:space="preserve"> VALUES ('PM015', 'N', 'CK', NULL, 'M', NULL, NULL, 'CK_MT_050800', 'UOM Codes', 'UOM Codes','UOM Codes','R', '2021-04-14 11:08:00', '2999-12-31 23:59:59', 'A', '2021-04-14 11:08:00', 'SYS', '2021-04-14 11:08:00', 'SYS');</v>
      </c>
      <c r="R17"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('PM015', 'N', 'CK', NULL, 'M', NULL, NULL, 'CK_MT_050800', 'UOM Codes', 'UOM Codes','UOM Codes','R', '2021-04-14 11:08:00', '2999-12-31 23:59:59', 'A', '2021-04-14 11:08:00', 'SYS', '2021-04-14 11:08:00', 'SYS');</v>
      </c>
      <c r="S17" s="12"/>
      <c r="U17" s="12"/>
    </row>
    <row r="18" spans="1:21" x14ac:dyDescent="0.2">
      <c r="A18" t="s">
        <v>402</v>
      </c>
      <c r="B18" t="s">
        <v>383</v>
      </c>
      <c r="C18" t="s">
        <v>5</v>
      </c>
      <c r="D18" t="s">
        <v>125</v>
      </c>
      <c r="E18" t="s">
        <v>384</v>
      </c>
      <c r="F18" t="s">
        <v>125</v>
      </c>
      <c r="G18" t="s">
        <v>125</v>
      </c>
      <c r="H18" s="6" t="s">
        <v>355</v>
      </c>
      <c r="I18" t="s">
        <v>264</v>
      </c>
      <c r="J18" t="s">
        <v>125</v>
      </c>
      <c r="K18" t="s">
        <v>125</v>
      </c>
      <c r="L18" t="s">
        <v>125</v>
      </c>
      <c r="M18" t="s">
        <v>264</v>
      </c>
      <c r="N18" t="s">
        <v>264</v>
      </c>
      <c r="O18" t="s">
        <v>385</v>
      </c>
      <c r="P18" s="11" t="s">
        <v>386</v>
      </c>
      <c r="Q18" s="11" t="str">
        <f t="array" ref="Q18">CONCATENATE(" VALUES ('",A18,"', '",B18,"', '",C18,"', ",IF(D18="NULL","NULL",CONCATENATE("'",D18,"'")),", '",E18,"', ",IFERROR(F18,NULL),", NULL, '",H18,"', '",I18,"', '",M18,"','",N18,"','",O18,"', '2021-04-14 11:08:00', '2999-12-31 23:59:59', 'A', '2021-04-14 11:08:00', 'SYS', '2021-04-14 11:08:00', 'SYS');")</f>
        <v xml:space="preserve"> VALUES ('PM016', 'Y', 'CK', NULL, 'M', NULL, NULL, 'CK_MSA_060000', 'System Administrations', 'System Administrations','System Administrations','R', '2021-04-14 11:08:00', '2999-12-31 23:59:59', 'A', '2021-04-14 11:08:00', 'SYS', '2021-04-14 11:08:00', 'SYS');</v>
      </c>
      <c r="R18"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('PM016', 'Y', 'CK', NULL, 'M', NULL, NULL, 'CK_MSA_060000', 'System Administrations', 'System Administrations','System Administrations','R', '2021-04-14 11:08:00', '2999-12-31 23:59:59', 'A', '2021-04-14 11:08:00', 'SYS', '2021-04-14 11:08:00', 'SYS');</v>
      </c>
      <c r="S18" s="12"/>
      <c r="U18" s="12"/>
    </row>
    <row r="19" spans="1:21" x14ac:dyDescent="0.2">
      <c r="A19" t="s">
        <v>403</v>
      </c>
      <c r="B19" t="s">
        <v>44</v>
      </c>
      <c r="C19" t="s">
        <v>5</v>
      </c>
      <c r="D19" t="s">
        <v>125</v>
      </c>
      <c r="E19" t="s">
        <v>384</v>
      </c>
      <c r="F19" t="s">
        <v>125</v>
      </c>
      <c r="G19" t="s">
        <v>125</v>
      </c>
      <c r="H19" s="6" t="s">
        <v>356</v>
      </c>
      <c r="I19" t="s">
        <v>267</v>
      </c>
      <c r="J19" t="s">
        <v>125</v>
      </c>
      <c r="K19" t="s">
        <v>125</v>
      </c>
      <c r="L19" t="s">
        <v>125</v>
      </c>
      <c r="M19" t="s">
        <v>267</v>
      </c>
      <c r="N19" t="s">
        <v>267</v>
      </c>
      <c r="O19" t="s">
        <v>385</v>
      </c>
      <c r="P19" s="11" t="s">
        <v>386</v>
      </c>
      <c r="Q19" s="11" t="str">
        <f t="array" ref="Q19">CONCATENATE(" VALUES ('",A19,"', '",B19,"', '",C19,"', ",IF(D19="NULL","NULL",CONCATENATE("'",D19,"'")),", '",E19,"', ",IFERROR(F19,NULL),", NULL, '",H19,"', '",I19,"', '",M19,"','",N19,"','",O19,"', '2021-04-14 11:08:00', '2999-12-31 23:59:59', 'A', '2021-04-14 11:08:00', 'SYS', '2021-04-14 11:08:00', 'SYS');")</f>
        <v xml:space="preserve"> VALUES ('PM017', 'N', 'CK', NULL, 'M', NULL, NULL, 'CK_MSA_060100', 'Announcement Setup', 'Announcement Setup','Announcement Setup','R', '2021-04-14 11:08:00', '2999-12-31 23:59:59', 'A', '2021-04-14 11:08:00', 'SYS', '2021-04-14 11:08:00', 'SYS');</v>
      </c>
      <c r="R19"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('PM017', 'N', 'CK', NULL, 'M', NULL, NULL, 'CK_MSA_060100', 'Announcement Setup', 'Announcement Setup','Announcement Setup','R', '2021-04-14 11:08:00', '2999-12-31 23:59:59', 'A', '2021-04-14 11:08:00', 'SYS', '2021-04-14 11:08:00', 'SYS');</v>
      </c>
      <c r="S19" s="12"/>
      <c r="U19" s="12"/>
    </row>
    <row r="20" spans="1:21" x14ac:dyDescent="0.2">
      <c r="A20" t="s">
        <v>404</v>
      </c>
      <c r="B20" t="s">
        <v>44</v>
      </c>
      <c r="C20" t="s">
        <v>5</v>
      </c>
      <c r="D20" t="s">
        <v>125</v>
      </c>
      <c r="E20" t="s">
        <v>384</v>
      </c>
      <c r="F20" t="s">
        <v>125</v>
      </c>
      <c r="G20" t="s">
        <v>125</v>
      </c>
      <c r="H20" s="6" t="s">
        <v>357</v>
      </c>
      <c r="I20" t="s">
        <v>270</v>
      </c>
      <c r="J20" t="s">
        <v>125</v>
      </c>
      <c r="K20" t="s">
        <v>125</v>
      </c>
      <c r="L20" t="s">
        <v>125</v>
      </c>
      <c r="M20" t="s">
        <v>270</v>
      </c>
      <c r="N20" t="s">
        <v>270</v>
      </c>
      <c r="O20" t="s">
        <v>385</v>
      </c>
      <c r="P20" s="11" t="s">
        <v>386</v>
      </c>
      <c r="Q20" s="11" t="str">
        <f t="array" ref="Q20">CONCATENATE(" VALUES ('",A20,"', '",B20,"', '",C20,"', ",IF(D20="NULL","NULL",CONCATENATE("'",D20,"'")),", '",E20,"', ",IFERROR(F20,NULL),", NULL, '",H20,"', '",I20,"', '",M20,"','",N20,"','",O20,"', '2021-04-14 11:08:00', '2999-12-31 23:59:59', 'A', '2021-04-14 11:08:00', 'SYS', '2021-04-14 11:08:00', 'SYS');")</f>
        <v xml:space="preserve"> VALUES ('PM018', 'N', 'CK', NULL, 'M', NULL, NULL, 'CK_MSA_060200', 'Notification Preferences', 'Notification Preferences','Notification Preferences','R', '2021-04-14 11:08:00', '2999-12-31 23:59:59', 'A', '2021-04-14 11:08:00', 'SYS', '2021-04-14 11:08:00', 'SYS');</v>
      </c>
      <c r="R20"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('PM018', 'N', 'CK', NULL, 'M', NULL, NULL, 'CK_MSA_060200', 'Notification Preferences', 'Notification Preferences','Notification Preferences','R', '2021-04-14 11:08:00', '2999-12-31 23:59:59', 'A', '2021-04-14 11:08:00', 'SYS', '2021-04-14 11:08:00', 'SYS');</v>
      </c>
      <c r="S20" s="12"/>
      <c r="U20" s="12"/>
    </row>
    <row r="21" spans="1:21" x14ac:dyDescent="0.2">
      <c r="A21" t="s">
        <v>405</v>
      </c>
      <c r="B21" t="s">
        <v>44</v>
      </c>
      <c r="C21" t="s">
        <v>5</v>
      </c>
      <c r="D21" t="s">
        <v>125</v>
      </c>
      <c r="E21" t="s">
        <v>384</v>
      </c>
      <c r="F21" t="s">
        <v>125</v>
      </c>
      <c r="G21" t="s">
        <v>125</v>
      </c>
      <c r="H21" s="6" t="s">
        <v>358</v>
      </c>
      <c r="I21" t="s">
        <v>273</v>
      </c>
      <c r="J21" t="s">
        <v>125</v>
      </c>
      <c r="K21" t="s">
        <v>125</v>
      </c>
      <c r="L21" t="s">
        <v>125</v>
      </c>
      <c r="M21" t="s">
        <v>273</v>
      </c>
      <c r="N21" t="s">
        <v>273</v>
      </c>
      <c r="O21" t="s">
        <v>385</v>
      </c>
      <c r="P21" s="11" t="s">
        <v>386</v>
      </c>
      <c r="Q21" s="11" t="str">
        <f t="array" ref="Q21">CONCATENATE(" VALUES ('",A21,"', '",B21,"', '",C21,"', ",IF(D21="NULL","NULL",CONCATENATE("'",D21,"'")),", '",E21,"', ",IFERROR(F21,NULL),", NULL, '",H21,"', '",I21,"', '",M21,"','",N21,"','",O21,"', '2021-04-14 11:08:00', '2999-12-31 23:59:59', 'A', '2021-04-14 11:08:00', 'SYS', '2021-04-14 11:08:00', 'SYS');")</f>
        <v xml:space="preserve"> VALUES ('PM019', 'N', 'CK', NULL, 'M', NULL, NULL, 'CK_MSA_060300', 'System Parameters', 'System Parameters','System Parameters','R', '2021-04-14 11:08:00', '2999-12-31 23:59:59', 'A', '2021-04-14 11:08:00', 'SYS', '2021-04-14 11:08:00', 'SYS');</v>
      </c>
      <c r="R21"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('PM019', 'N', 'CK', NULL, 'M', NULL, NULL, 'CK_MSA_060300', 'System Parameters', 'System Parameters','System Parameters','R', '2021-04-14 11:08:00', '2999-12-31 23:59:59', 'A', '2021-04-14 11:08:00', 'SYS', '2021-04-14 11:08:00', 'SYS');</v>
      </c>
      <c r="S21" s="12"/>
      <c r="U21" s="12"/>
    </row>
    <row r="22" spans="1:21" x14ac:dyDescent="0.2">
      <c r="A22" t="s">
        <v>406</v>
      </c>
      <c r="B22" t="s">
        <v>44</v>
      </c>
      <c r="C22" t="s">
        <v>5</v>
      </c>
      <c r="D22" t="s">
        <v>125</v>
      </c>
      <c r="E22" t="s">
        <v>384</v>
      </c>
      <c r="F22" t="s">
        <v>125</v>
      </c>
      <c r="G22" t="s">
        <v>125</v>
      </c>
      <c r="H22" s="6" t="s">
        <v>359</v>
      </c>
      <c r="I22" t="s">
        <v>276</v>
      </c>
      <c r="J22" t="s">
        <v>125</v>
      </c>
      <c r="K22" t="s">
        <v>125</v>
      </c>
      <c r="L22" t="s">
        <v>125</v>
      </c>
      <c r="M22" t="s">
        <v>276</v>
      </c>
      <c r="N22" t="s">
        <v>276</v>
      </c>
      <c r="O22" t="s">
        <v>385</v>
      </c>
      <c r="P22" s="11" t="s">
        <v>386</v>
      </c>
      <c r="Q22" s="11" t="str">
        <f t="array" ref="Q22">CONCATENATE(" VALUES ('",A22,"', '",B22,"', '",C22,"', ",IF(D22="NULL","NULL",CONCATENATE("'",D22,"'")),", '",E22,"', ",IFERROR(F22,NULL),", NULL, '",H22,"', '",I22,"', '",M22,"','",N22,"','",O22,"', '2021-04-14 11:08:00', '2999-12-31 23:59:59', 'A', '2021-04-14 11:08:00', 'SYS', '2021-04-14 11:08:00', 'SYS');")</f>
        <v xml:space="preserve"> VALUES ('PM020', 'N', 'CK', NULL, 'M', NULL, NULL, 'CK_MSA_060400', 'Audit Logs', 'Audit Logs','Audit Logs','R', '2021-04-14 11:08:00', '2999-12-31 23:59:59', 'A', '2021-04-14 11:08:00', 'SYS', '2021-04-14 11:08:00', 'SYS');</v>
      </c>
      <c r="R22"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('PM020', 'N', 'CK', NULL, 'M', NULL, NULL, 'CK_MSA_060400', 'Audit Logs', 'Audit Logs','Audit Logs','R', '2021-04-14 11:08:00', '2999-12-31 23:59:59', 'A', '2021-04-14 11:08:00', 'SYS', '2021-04-14 11:08:00', 'SYS');</v>
      </c>
      <c r="S22" s="12"/>
      <c r="U22" s="12"/>
    </row>
    <row r="23" spans="1:21" x14ac:dyDescent="0.2">
      <c r="A23" t="s">
        <v>407</v>
      </c>
      <c r="B23" t="s">
        <v>44</v>
      </c>
      <c r="C23" t="s">
        <v>5</v>
      </c>
      <c r="D23" t="s">
        <v>125</v>
      </c>
      <c r="E23" t="s">
        <v>384</v>
      </c>
      <c r="F23" t="s">
        <v>125</v>
      </c>
      <c r="G23" t="s">
        <v>125</v>
      </c>
      <c r="H23" s="6" t="s">
        <v>360</v>
      </c>
      <c r="I23" t="s">
        <v>279</v>
      </c>
      <c r="J23" t="s">
        <v>125</v>
      </c>
      <c r="K23" t="s">
        <v>125</v>
      </c>
      <c r="L23" t="s">
        <v>125</v>
      </c>
      <c r="M23" t="s">
        <v>279</v>
      </c>
      <c r="N23" t="s">
        <v>279</v>
      </c>
      <c r="O23" t="s">
        <v>385</v>
      </c>
      <c r="P23" s="11" t="s">
        <v>386</v>
      </c>
      <c r="Q23" s="11" t="str">
        <f t="array" ref="Q23">CONCATENATE(" VALUES ('",A23,"', '",B23,"', '",C23,"', ",IF(D23="NULL","NULL",CONCATENATE("'",D23,"'")),", '",E23,"', ",IFERROR(F23,NULL),", NULL, '",H23,"', '",I23,"', '",M23,"','",N23,"','",O23,"', '2021-04-14 11:08:00', '2999-12-31 23:59:59', 'A', '2021-04-14 11:08:00', 'SYS', '2021-04-14 11:08:00', 'SYS');")</f>
        <v xml:space="preserve"> VALUES ('PM021', 'N', 'CK', NULL, 'M', NULL, NULL, 'CK_MSA_060500', 'Exceptions', 'Exceptions','Exceptions','R', '2021-04-14 11:08:00', '2999-12-31 23:59:59', 'A', '2021-04-14 11:08:00', 'SYS', '2021-04-14 11:08:00', 'SYS');</v>
      </c>
      <c r="R23"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('PM021', 'N', 'CK', NULL, 'M', NULL, NULL, 'CK_MSA_060500', 'Exceptions', 'Exceptions','Exceptions','R', '2021-04-14 11:08:00', '2999-12-31 23:59:59', 'A', '2021-04-14 11:08:00', 'SYS', '2021-04-14 11:08:00', 'SYS');</v>
      </c>
      <c r="S23" s="12"/>
      <c r="U23" s="12"/>
    </row>
    <row r="24" spans="1:21" x14ac:dyDescent="0.2">
      <c r="A24" t="s">
        <v>408</v>
      </c>
      <c r="B24" t="s">
        <v>44</v>
      </c>
      <c r="C24" t="s">
        <v>5</v>
      </c>
      <c r="D24" t="s">
        <v>125</v>
      </c>
      <c r="E24" t="s">
        <v>384</v>
      </c>
      <c r="F24" t="s">
        <v>125</v>
      </c>
      <c r="G24" t="s">
        <v>125</v>
      </c>
      <c r="H24" s="6" t="s">
        <v>361</v>
      </c>
      <c r="I24" t="s">
        <v>282</v>
      </c>
      <c r="J24" t="s">
        <v>125</v>
      </c>
      <c r="K24" t="s">
        <v>125</v>
      </c>
      <c r="L24" t="s">
        <v>125</v>
      </c>
      <c r="M24" t="s">
        <v>282</v>
      </c>
      <c r="N24" t="s">
        <v>282</v>
      </c>
      <c r="O24" t="s">
        <v>385</v>
      </c>
      <c r="P24" s="11" t="s">
        <v>386</v>
      </c>
      <c r="Q24" s="11" t="str">
        <f t="array" ref="Q24">CONCATENATE(" VALUES ('",A24,"', '",B24,"', '",C24,"', ",IF(D24="NULL","NULL",CONCATENATE("'",D24,"'")),", '",E24,"', ",IFERROR(F24,NULL),", NULL, '",H24,"', '",I24,"', '",M24,"','",N24,"','",O24,"', '2021-04-14 11:08:00', '2999-12-31 23:59:59', 'A', '2021-04-14 11:08:00', 'SYS', '2021-04-14 11:08:00', 'SYS');")</f>
        <v xml:space="preserve"> VALUES ('PM022', 'N', 'CK', NULL, 'M', NULL, NULL, 'CK_MSA_060600', 'Manage All Users', 'Manage All Users','Manage All Users','R', '2021-04-14 11:08:00', '2999-12-31 23:59:59', 'A', '2021-04-14 11:08:00', 'SYS', '2021-04-14 11:08:00', 'SYS');</v>
      </c>
      <c r="R2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('PM022', 'N', 'CK', NULL, 'M', NULL, NULL, 'CK_MSA_060600', 'Manage All Users', 'Manage All Users','Manage All Users','R', '2021-04-14 11:08:00', '2999-12-31 23:59:59', 'A', '2021-04-14 11:08:00', 'SYS', '2021-04-14 11:08:00', 'SYS');</v>
      </c>
      <c r="S24" s="12"/>
      <c r="U24" s="12"/>
    </row>
    <row r="25" spans="1:21" x14ac:dyDescent="0.2">
      <c r="A25" t="s">
        <v>409</v>
      </c>
      <c r="B25" t="s">
        <v>44</v>
      </c>
      <c r="C25" t="s">
        <v>5</v>
      </c>
      <c r="D25" t="s">
        <v>125</v>
      </c>
      <c r="E25" t="s">
        <v>384</v>
      </c>
      <c r="F25" t="s">
        <v>125</v>
      </c>
      <c r="G25" t="s">
        <v>125</v>
      </c>
      <c r="H25" s="6" t="s">
        <v>362</v>
      </c>
      <c r="I25" t="s">
        <v>285</v>
      </c>
      <c r="J25" t="s">
        <v>125</v>
      </c>
      <c r="K25" t="s">
        <v>125</v>
      </c>
      <c r="L25" t="s">
        <v>125</v>
      </c>
      <c r="M25" t="s">
        <v>285</v>
      </c>
      <c r="N25" t="s">
        <v>285</v>
      </c>
      <c r="O25" t="s">
        <v>385</v>
      </c>
      <c r="P25" s="11" t="s">
        <v>386</v>
      </c>
      <c r="Q25" s="11" t="str">
        <f t="array" ref="Q25">CONCATENATE(" VALUES ('",A25,"', '",B25,"', '",C25,"', ",IF(D25="NULL","NULL",CONCATENATE("'",D25,"'")),", '",E25,"', ",IFERROR(F25,NULL),", NULL, '",H25,"', '",I25,"', '",M25,"','",N25,"','",O25,"', '2021-04-14 11:08:00', '2999-12-31 23:59:59', 'A', '2021-04-14 11:08:00', 'SYS', '2021-04-14 11:08:00', 'SYS');")</f>
        <v xml:space="preserve"> VALUES ('PM023', 'N', 'CK', NULL, 'M', NULL, NULL, 'CK_MSA_060700', 'Manage All Accounts', 'Manage All Accounts','Manage All Accounts','R', '2021-04-14 11:08:00', '2999-12-31 23:59:59', 'A', '2021-04-14 11:08:00', 'SYS', '2021-04-14 11:08:00', 'SYS');</v>
      </c>
      <c r="R2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('PM023', 'N', 'CK', NULL, 'M', NULL, NULL, 'CK_MSA_060700', 'Manage All Accounts', 'Manage All Accounts','Manage All Accounts','R', '2021-04-14 11:08:00', '2999-12-31 23:59:59', 'A', '2021-04-14 11:08:00', 'SYS', '2021-04-14 11:08:00', 'SYS');</v>
      </c>
      <c r="S25" s="12"/>
      <c r="U25" s="12"/>
    </row>
    <row r="26" spans="1:21" x14ac:dyDescent="0.2">
      <c r="A26" t="s">
        <v>410</v>
      </c>
    </row>
    <row r="27" spans="1:21" x14ac:dyDescent="0.2">
      <c r="A27" t="s">
        <v>411</v>
      </c>
    </row>
    <row r="28" spans="1:21" x14ac:dyDescent="0.2">
      <c r="A28" t="s">
        <v>412</v>
      </c>
    </row>
    <row r="29" spans="1:21" x14ac:dyDescent="0.2">
      <c r="A29" t="s">
        <v>413</v>
      </c>
    </row>
    <row r="30" spans="1:21" x14ac:dyDescent="0.2">
      <c r="A30" t="s">
        <v>414</v>
      </c>
      <c r="B30" t="s">
        <v>44</v>
      </c>
      <c r="C30" t="s">
        <v>14</v>
      </c>
      <c r="D30" t="s">
        <v>125</v>
      </c>
      <c r="E30" t="s">
        <v>384</v>
      </c>
      <c r="F30" t="s">
        <v>125</v>
      </c>
      <c r="G30" t="s">
        <v>125</v>
      </c>
      <c r="H30" t="s">
        <v>126</v>
      </c>
      <c r="I30" t="s">
        <v>127</v>
      </c>
      <c r="J30" t="s">
        <v>125</v>
      </c>
      <c r="K30" t="s">
        <v>125</v>
      </c>
      <c r="L30" t="s">
        <v>125</v>
      </c>
      <c r="M30" t="s">
        <v>127</v>
      </c>
      <c r="N30" t="s">
        <v>127</v>
      </c>
      <c r="O30" t="s">
        <v>385</v>
      </c>
      <c r="P30" s="11" t="s">
        <v>386</v>
      </c>
      <c r="Q30" s="11" t="str">
        <f t="array" ref="Q30">CONCATENATE(" VALUES ('",A30,"', '",B30,"', '",C30,"', ",IF(D30="NULL","NULL",CONCATENATE("'",D30,"'")),", '",E30,"', ",IFERROR(F30,NULL),", NULL, '",H30,"', '",I30,"', '",M30,"','",N30,"','",O30,"', '2021-04-14 11:08:00', '2999-12-31 23:59:59', 'A', '2021-04-14 11:08:00', 'SYS', '2021-04-14 11:08:00', 'SYS');")</f>
        <v xml:space="preserve"> VALUES ('PM028', 'N', 'CKT', NULL, 'M', NULL, NULL, 'CKT_MS_010000', 'Services', 'Services','Services','R', '2021-04-14 11:08:00', '2999-12-31 23:59:59', 'A', '2021-04-14 11:08:00', 'SYS', '2021-04-14 11:08:00', 'SYS');</v>
      </c>
      <c r="R30" t="str">
        <f t="shared" ref="R30:R38" si="1">CONCATENATE(P30,Q30)</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('PM028', 'N', 'CKT', NULL, 'M', NULL, NULL, 'CKT_MS_010000', 'Services', 'Services','Services','R', '2021-04-14 11:08:00', '2999-12-31 23:59:59', 'A', '2021-04-14 11:08:00', 'SYS', '2021-04-14 11:08:00', 'SYS');</v>
      </c>
      <c r="S30" s="12"/>
      <c r="U30" s="12"/>
    </row>
    <row r="31" spans="1:21" x14ac:dyDescent="0.2">
      <c r="A31" t="s">
        <v>415</v>
      </c>
      <c r="B31" t="s">
        <v>44</v>
      </c>
      <c r="C31" t="s">
        <v>14</v>
      </c>
      <c r="D31" t="s">
        <v>125</v>
      </c>
      <c r="E31" t="s">
        <v>384</v>
      </c>
      <c r="F31" t="s">
        <v>125</v>
      </c>
      <c r="G31" t="s">
        <v>125</v>
      </c>
      <c r="H31" t="s">
        <v>130</v>
      </c>
      <c r="I31" t="s">
        <v>131</v>
      </c>
      <c r="J31" t="s">
        <v>125</v>
      </c>
      <c r="K31" t="s">
        <v>125</v>
      </c>
      <c r="L31" t="s">
        <v>125</v>
      </c>
      <c r="M31" t="s">
        <v>131</v>
      </c>
      <c r="N31" t="s">
        <v>131</v>
      </c>
      <c r="O31" t="s">
        <v>385</v>
      </c>
      <c r="P31" s="11" t="s">
        <v>386</v>
      </c>
      <c r="Q31" s="11" t="str">
        <f t="array" ref="Q31">CONCATENATE(" VALUES ('",A31,"', '",B31,"', '",C31,"', ",IF(D31="NULL","NULL",CONCATENATE("'",D31,"'")),", '",E31,"', ",IFERROR(F31,NULL),", NULL, '",H31,"', '",I31,"', '",M31,"','",N31,"','",O31,"', '2021-04-14 11:08:00', '2999-12-31 23:59:59', 'A', '2021-04-14 11:08:00', 'SYS', '2021-04-14 11:08:00', 'SYS');")</f>
        <v xml:space="preserve"> VALUES ('PM029', 'N', 'CKT', NULL, 'M', NULL, NULL, 'CKT_MA_030000', 'Administrations', 'Administrations','Administrations','R', '2021-04-14 11:08:00', '2999-12-31 23:59:59', 'A', '2021-04-14 11:08:00', 'SYS', '2021-04-14 11:08:00', 'SYS');</v>
      </c>
      <c r="R31"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('PM029', 'N', 'CKT', NULL, 'M', NULL, NULL, 'CKT_MA_030000', 'Administrations', 'Administrations','Administrations','R', '2021-04-14 11:08:00', '2999-12-31 23:59:59', 'A', '2021-04-14 11:08:00', 'SYS', '2021-04-14 11:08:00', 'SYS');</v>
      </c>
      <c r="S31" s="12"/>
      <c r="U31" s="12"/>
    </row>
    <row r="32" spans="1:21" x14ac:dyDescent="0.2">
      <c r="A32" t="s">
        <v>416</v>
      </c>
      <c r="B32" t="s">
        <v>44</v>
      </c>
      <c r="C32" t="s">
        <v>14</v>
      </c>
      <c r="D32" t="s">
        <v>125</v>
      </c>
      <c r="E32" t="s">
        <v>384</v>
      </c>
      <c r="F32" t="s">
        <v>125</v>
      </c>
      <c r="G32" t="s">
        <v>125</v>
      </c>
      <c r="H32" t="s">
        <v>133</v>
      </c>
      <c r="I32" t="s">
        <v>134</v>
      </c>
      <c r="J32" t="s">
        <v>125</v>
      </c>
      <c r="K32" t="s">
        <v>125</v>
      </c>
      <c r="L32" t="s">
        <v>125</v>
      </c>
      <c r="M32" t="s">
        <v>134</v>
      </c>
      <c r="N32" t="s">
        <v>134</v>
      </c>
      <c r="O32" t="s">
        <v>385</v>
      </c>
      <c r="P32" s="11" t="s">
        <v>386</v>
      </c>
      <c r="Q32" s="11" t="str">
        <f t="array" ref="Q32">CONCATENATE(" VALUES ('",A32,"', '",B32,"', '",C32,"', ",IF(D32="NULL","NULL",CONCATENATE("'",D32,"'")),", '",E32,"', ",IFERROR(F32,NULL),", NULL, '",H32,"', '",I32,"', '",M32,"','",N32,"','",O32,"', '2021-04-14 11:08:00', '2999-12-31 23:59:59', 'A', '2021-04-14 11:08:00', 'SYS', '2021-04-14 11:08:00', 'SYS');")</f>
        <v xml:space="preserve"> VALUES ('PM030', 'N', 'CKT', NULL, 'M', NULL, NULL, 'CKT_MA_030100', 'Manage Trucks', 'Manage Trucks','Manage Trucks','R', '2021-04-14 11:08:00', '2999-12-31 23:59:59', 'A', '2021-04-14 11:08:00', 'SYS', '2021-04-14 11:08:00', 'SYS');</v>
      </c>
      <c r="R32"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('PM030', 'N', 'CKT', NULL, 'M', NULL, NULL, 'CKT_MA_030100', 'Manage Trucks', 'Manage Trucks','Manage Trucks','R', '2021-04-14 11:08:00', '2999-12-31 23:59:59', 'A', '2021-04-14 11:08:00', 'SYS', '2021-04-14 11:08:00', 'SYS');</v>
      </c>
      <c r="S32" s="12"/>
      <c r="U32" s="12"/>
    </row>
    <row r="33" spans="1:18" x14ac:dyDescent="0.2">
      <c r="A33" t="s">
        <v>417</v>
      </c>
      <c r="B33" t="s">
        <v>44</v>
      </c>
      <c r="C33" t="s">
        <v>14</v>
      </c>
      <c r="D33" t="s">
        <v>125</v>
      </c>
      <c r="E33" t="s">
        <v>384</v>
      </c>
      <c r="F33" t="s">
        <v>125</v>
      </c>
      <c r="G33" t="s">
        <v>125</v>
      </c>
      <c r="H33" t="s">
        <v>136</v>
      </c>
      <c r="I33" t="s">
        <v>137</v>
      </c>
      <c r="J33" t="s">
        <v>125</v>
      </c>
      <c r="K33" t="s">
        <v>125</v>
      </c>
      <c r="L33" t="s">
        <v>125</v>
      </c>
      <c r="M33" t="s">
        <v>137</v>
      </c>
      <c r="N33" t="s">
        <v>137</v>
      </c>
      <c r="O33" t="s">
        <v>385</v>
      </c>
      <c r="P33" s="11" t="s">
        <v>386</v>
      </c>
      <c r="Q33" s="11" t="str">
        <f t="array" ref="Q33">CONCATENATE(" VALUES ('",A33,"', '",B33,"', '",C33,"', ",IF(D33="NULL","NULL",CONCATENATE("'",D33,"'")),", '",E33,"', ",IFERROR(F33,NULL),", NULL, '",H33,"', '",I33,"', '",M33,"','",N33,"','",O33,"', '2021-04-14 11:08:00', '2999-12-31 23:59:59', 'A', '2021-04-14 11:08:00', 'SYS', '2021-04-14 11:08:00', 'SYS');")</f>
        <v xml:space="preserve"> VALUES ('PM031', 'N', 'CKT', NULL, 'M', NULL, NULL, 'CKT_MA_030200', 'Manage Drivers', 'Manage Drivers','Manage Drivers','R', '2021-04-14 11:08:00', '2999-12-31 23:59:59', 'A', '2021-04-14 11:08:00', 'SYS', '2021-04-14 11:08:00', 'SYS');</v>
      </c>
      <c r="R33"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('PM031', 'N', 'CKT', NULL, 'M', NULL, NULL, 'CKT_MA_030200', 'Manage Drivers', 'Manage Drivers','Manage Drivers','R', '2021-04-14 11:08:00', '2999-12-31 23:59:59', 'A', '2021-04-14 11:08:00', 'SYS', '2021-04-14 11:08:00', 'SYS');</v>
      </c>
    </row>
    <row r="34" spans="1:18" x14ac:dyDescent="0.2">
      <c r="A34" t="s">
        <v>418</v>
      </c>
      <c r="B34" t="s">
        <v>44</v>
      </c>
      <c r="C34" t="s">
        <v>14</v>
      </c>
      <c r="D34" t="s">
        <v>125</v>
      </c>
      <c r="E34" t="s">
        <v>384</v>
      </c>
      <c r="F34" t="s">
        <v>125</v>
      </c>
      <c r="G34" t="s">
        <v>125</v>
      </c>
      <c r="H34" t="s">
        <v>139</v>
      </c>
      <c r="I34" t="s">
        <v>140</v>
      </c>
      <c r="J34" t="s">
        <v>125</v>
      </c>
      <c r="K34" t="s">
        <v>125</v>
      </c>
      <c r="L34" t="s">
        <v>125</v>
      </c>
      <c r="M34" t="s">
        <v>140</v>
      </c>
      <c r="N34" t="s">
        <v>140</v>
      </c>
      <c r="O34" t="s">
        <v>385</v>
      </c>
      <c r="P34" s="11" t="s">
        <v>386</v>
      </c>
      <c r="Q34" s="11" t="str">
        <f t="array" ref="Q34">CONCATENATE(" VALUES ('",A34,"', '",B34,"', '",C34,"', ",IF(D34="NULL","NULL",CONCATENATE("'",D34,"'")),", '",E34,"', ",IFERROR(F34,NULL),", NULL, '",H34,"', '",I34,"', '",M34,"','",N34,"','",O34,"', '2021-04-14 11:08:00', '2999-12-31 23:59:59', 'A', '2021-04-14 11:08:00', 'SYS', '2021-04-14 11:08:00', 'SYS');")</f>
        <v xml:space="preserve"> VALUES ('PM032', 'N', 'CKT', NULL, 'M', NULL, NULL, 'CKT_MA_030300', 'Manage Locations', 'Manage Locations','Manage Locations','R', '2021-04-14 11:08:00', '2999-12-31 23:59:59', 'A', '2021-04-14 11:08:00', 'SYS', '2021-04-14 11:08:00', 'SYS');</v>
      </c>
      <c r="R34"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('PM032', 'N', 'CKT', NULL, 'M', NULL, NULL, 'CKT_MA_030300', 'Manage Locations', 'Manage Locations','Manage Locations','R', '2021-04-14 11:08:00', '2999-12-31 23:59:59', 'A', '2021-04-14 11:08:00', 'SYS', '2021-04-14 11:08:00', 'SYS');</v>
      </c>
    </row>
    <row r="35" spans="1:18" x14ac:dyDescent="0.2">
      <c r="A35" t="s">
        <v>419</v>
      </c>
      <c r="B35" t="s">
        <v>44</v>
      </c>
      <c r="C35" t="s">
        <v>14</v>
      </c>
      <c r="D35" t="s">
        <v>125</v>
      </c>
      <c r="E35" t="s">
        <v>384</v>
      </c>
      <c r="F35" t="s">
        <v>125</v>
      </c>
      <c r="G35" t="s">
        <v>125</v>
      </c>
      <c r="H35" t="s">
        <v>142</v>
      </c>
      <c r="I35" t="s">
        <v>143</v>
      </c>
      <c r="J35" t="s">
        <v>125</v>
      </c>
      <c r="K35" t="s">
        <v>125</v>
      </c>
      <c r="L35" t="s">
        <v>125</v>
      </c>
      <c r="M35" t="s">
        <v>143</v>
      </c>
      <c r="N35" t="s">
        <v>143</v>
      </c>
      <c r="O35" t="s">
        <v>385</v>
      </c>
      <c r="P35" s="11" t="s">
        <v>386</v>
      </c>
      <c r="Q35" s="11" t="str">
        <f t="array" ref="Q35">CONCATENATE(" VALUES ('",A35,"', '",B35,"', '",C35,"', ",IF(D35="NULL","NULL",CONCATENATE("'",D35,"'")),", '",E35,"', ",IFERROR(F35,NULL),", NULL, '",H35,"', '",I35,"', '",M35,"','",N35,"','",O35,"', '2021-04-14 11:08:00', '2999-12-31 23:59:59', 'A', '2021-04-14 11:08:00', 'SYS', '2021-04-14 11:08:00', 'SYS');")</f>
        <v xml:space="preserve"> VALUES ('PM033', 'N', 'CKT', NULL, 'M', NULL, NULL, 'CKT_MA_030400', 'Manage Rentals', 'Manage Rentals','Manage Rentals','R', '2021-04-14 11:08:00', '2999-12-31 23:59:59', 'A', '2021-04-14 11:08:00', 'SYS', '2021-04-14 11:08:00', 'SYS');</v>
      </c>
      <c r="R35"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('PM033', 'N', 'CKT', NULL, 'M', NULL, NULL, 'CKT_MA_030400', 'Manage Rentals', 'Manage Rentals','Manage Rentals','R', '2021-04-14 11:08:00', '2999-12-31 23:59:59', 'A', '2021-04-14 11:08:00', 'SYS', '2021-04-14 11:08:00', 'SYS');</v>
      </c>
    </row>
    <row r="36" spans="1:18" x14ac:dyDescent="0.2">
      <c r="A36" t="s">
        <v>420</v>
      </c>
      <c r="B36" t="s">
        <v>44</v>
      </c>
      <c r="C36" t="s">
        <v>14</v>
      </c>
      <c r="D36" t="s">
        <v>125</v>
      </c>
      <c r="E36" t="s">
        <v>384</v>
      </c>
      <c r="F36" t="s">
        <v>125</v>
      </c>
      <c r="G36" t="s">
        <v>125</v>
      </c>
      <c r="H36" t="s">
        <v>364</v>
      </c>
      <c r="I36" t="s">
        <v>365</v>
      </c>
      <c r="J36" t="s">
        <v>125</v>
      </c>
      <c r="K36" t="s">
        <v>125</v>
      </c>
      <c r="L36" t="s">
        <v>125</v>
      </c>
      <c r="M36" t="s">
        <v>365</v>
      </c>
      <c r="N36" t="s">
        <v>365</v>
      </c>
      <c r="O36" t="s">
        <v>385</v>
      </c>
      <c r="P36" s="11" t="s">
        <v>386</v>
      </c>
      <c r="Q36" s="11" t="str">
        <f t="array" ref="Q36">CONCATENATE(" VALUES ('",A36,"', '",B36,"', '",C36,"', ",IF(D36="NULL","NULL",CONCATENATE("'",D36,"'")),", '",E36,"', ",IFERROR(F36,NULL),", NULL, '",H36,"', '",I36,"', '",M36,"','",N36,"','",O36,"', '2021-04-14 11:08:00', '2999-12-31 23:59:59', 'A', '2021-04-14 11:08:00', 'SYS', '2021-04-14 11:08:00', 'SYS');")</f>
        <v xml:space="preserve"> VALUES ('PM034', 'N', 'CKT', NULL, 'M', NULL, NULL, 'CKT_MA_040000', 'Manage Contracts', 'Manage Contracts','Manage Contracts','R', '2021-04-14 11:08:00', '2999-12-31 23:59:59', 'A', '2021-04-14 11:08:00', 'SYS', '2021-04-14 11:08:00', 'SYS');</v>
      </c>
      <c r="R36"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('PM034', 'N', 'CKT', NULL, 'M', NULL, NULL, 'CKT_MA_040000', 'Manage Contracts', 'Manage Contracts','Manage Contracts','R', '2021-04-14 11:08:00', '2999-12-31 23:59:59', 'A', '2021-04-14 11:08:00', 'SYS', '2021-04-14 11:08:00', 'SYS');</v>
      </c>
    </row>
    <row r="37" spans="1:18" x14ac:dyDescent="0.2">
      <c r="A37" t="s">
        <v>422</v>
      </c>
      <c r="B37" t="s">
        <v>44</v>
      </c>
      <c r="C37" t="s">
        <v>14</v>
      </c>
      <c r="D37" t="s">
        <v>125</v>
      </c>
      <c r="E37" t="s">
        <v>384</v>
      </c>
      <c r="F37" t="s">
        <v>125</v>
      </c>
      <c r="G37" t="s">
        <v>125</v>
      </c>
      <c r="H37" t="s">
        <v>145</v>
      </c>
      <c r="I37" t="s">
        <v>146</v>
      </c>
      <c r="J37" t="s">
        <v>125</v>
      </c>
      <c r="K37" t="s">
        <v>125</v>
      </c>
      <c r="L37" t="s">
        <v>125</v>
      </c>
      <c r="M37" t="s">
        <v>146</v>
      </c>
      <c r="N37" t="s">
        <v>146</v>
      </c>
      <c r="O37" t="s">
        <v>385</v>
      </c>
      <c r="P37" s="11" t="s">
        <v>386</v>
      </c>
      <c r="Q37" s="11" t="str">
        <f t="array" ref="Q37">CONCATENATE(" VALUES ('",A37,"', '",B37,"', '",C37,"', ",IF(D37="NULL","NULL",CONCATENATE("'",D37,"'")),", '",E37,"', ",IFERROR(F37,NULL),", NULL, '",H37,"', '",I37,"', '",M37,"','",N37,"','",O37,"', '2021-04-14 11:08:00', '2999-12-31 23:59:59', 'A', '2021-04-14 11:08:00', 'SYS', '2021-04-14 11:08:00', 'SYS');")</f>
        <v xml:space="preserve"> VALUES ('PM036', 'N', 'CKT', NULL, 'M', NULL, NULL, 'CKT_MA_030500', 'Manage Rate Table', 'Manage Rate Table','Manage Rate Table','R', '2021-04-14 11:08:00', '2999-12-31 23:59:59', 'A', '2021-04-14 11:08:00', 'SYS', '2021-04-14 11:08:00', 'SYS');</v>
      </c>
      <c r="R37" t="str">
        <f t="shared" ref="R37" si="2">CONCATENATE(P37,Q37)</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('PM036', 'N', 'CKT', NULL, 'M', NULL, NULL, 'CKT_MA_030500', 'Manage Rate Table', 'Manage Rate Table','Manage Rate Table','R', '2021-04-14 11:08:00', '2999-12-31 23:59:59', 'A', '2021-04-14 11:08:00', 'SYS', '2021-04-14 11:08:00', 'SYS');</v>
      </c>
    </row>
    <row r="38" spans="1:18" x14ac:dyDescent="0.2">
      <c r="A38" t="s">
        <v>421</v>
      </c>
      <c r="B38" t="s">
        <v>44</v>
      </c>
      <c r="C38" t="s">
        <v>14</v>
      </c>
      <c r="D38" t="s">
        <v>125</v>
      </c>
      <c r="E38" t="s">
        <v>384</v>
      </c>
      <c r="F38" t="s">
        <v>125</v>
      </c>
      <c r="G38" t="s">
        <v>125</v>
      </c>
      <c r="H38" t="s">
        <v>366</v>
      </c>
      <c r="I38" t="s">
        <v>122</v>
      </c>
      <c r="J38" t="s">
        <v>125</v>
      </c>
      <c r="K38" t="s">
        <v>125</v>
      </c>
      <c r="L38" t="s">
        <v>125</v>
      </c>
      <c r="M38" t="s">
        <v>122</v>
      </c>
      <c r="N38" t="s">
        <v>122</v>
      </c>
      <c r="O38" t="s">
        <v>385</v>
      </c>
      <c r="P38" s="11" t="s">
        <v>386</v>
      </c>
      <c r="Q38" s="11" t="str">
        <f t="array" ref="Q38">CONCATENATE(" VALUES ('",A38,"', '",B38,"', '",C38,"', ",IF(D38="NULL","NULL",CONCATENATE("'",D38,"'")),", '",E38,"', ",IFERROR(F38,NULL),", NULL, '",H38,"', '",I38,"', '",M38,"','",N38,"','",O38,"', '2021-04-14 11:08:00', '2999-12-31 23:59:59', 'A', '2021-04-14 11:08:00', 'SYS', '2021-04-14 11:08:00', 'SYS');")</f>
        <v xml:space="preserve"> VALUES ('PM035', 'N', 'CKT', NULL, 'M', NULL, NULL, 'CKT_MH_080000', 'Help', 'Help','Help','R', '2021-04-14 11:08:00', '2999-12-31 23:59:59', 'A', '2021-04-14 11:08:00', 'SYS', '2021-04-14 11:08:00', 'SYS');</v>
      </c>
      <c r="R38"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('PM035', 'N', 'CKT', NULL, 'M', NULL, NULL, 'CKT_MH_080000', 'Help', 'Help','Help','R', '2021-04-14 11:08:00', '2999-12-31 23:59:59', 'A', '2021-04-14 11:08:00', 'SYS', '2021-04-14 11:08:00', 'SYS');</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8"/>
  <sheetViews>
    <sheetView tabSelected="1" zoomScale="127" zoomScaleNormal="127" workbookViewId="0">
      <pane ySplit="1" topLeftCell="A9" activePane="bottomLeft" state="frozen"/>
      <selection pane="bottomLeft" activeCell="A28" sqref="A28:XFD28"/>
    </sheetView>
  </sheetViews>
  <sheetFormatPr baseColWidth="10" defaultColWidth="11" defaultRowHeight="16" x14ac:dyDescent="0.2"/>
  <cols>
    <col min="1" max="1" width="19.6640625" customWidth="1"/>
    <col min="2" max="2" width="18.33203125" customWidth="1"/>
    <col min="3" max="4" width="17.5" customWidth="1"/>
  </cols>
  <sheetData>
    <row r="1" spans="1:6" x14ac:dyDescent="0.2">
      <c r="A1" s="8" t="s">
        <v>456</v>
      </c>
      <c r="B1" s="8" t="s">
        <v>457</v>
      </c>
      <c r="C1" s="8" t="s">
        <v>458</v>
      </c>
      <c r="D1" s="8" t="s">
        <v>459</v>
      </c>
      <c r="E1" s="8" t="s">
        <v>460</v>
      </c>
      <c r="F1" s="8" t="s">
        <v>4</v>
      </c>
    </row>
    <row r="2" spans="1:6" x14ac:dyDescent="0.2">
      <c r="A2" t="s">
        <v>30</v>
      </c>
      <c r="B2" t="s">
        <v>6</v>
      </c>
      <c r="C2" t="s">
        <v>388</v>
      </c>
      <c r="D2" t="str">
        <f>VLOOKUP(C2,Perm_EX_CK2!$A$1:$I$88,9,FALSE)</f>
        <v>Administrations</v>
      </c>
      <c r="E2" t="s">
        <v>7</v>
      </c>
      <c r="F2" t="str">
        <f t="shared" ref="F2:F33" si="0">CONCATENATE("INSERT INTO `T_CORE_GRANT_ROLE_EX` (`GNTRLEX_APPS_CODE`, `GNTRLEX_ROLE_ID`, `GNTRLEX_PERM_ID`, `GNTRLEX_STATUS`, `GNTRLEX_DT_CREATE`, `GNTRLEX_UID_CREATE`) VALUES ('",A2,"', '",B2,"', '",C2,"', 'A', NOW(), 'SYS');")</f>
        <v>INSERT INTO `T_CORE_GRANT_ROLE_EX` (`GNTRLEX_APPS_CODE`, `GNTRLEX_ROLE_ID`, `GNTRLEX_PERM_ID`, `GNTRLEX_STATUS`, `GNTRLEX_DT_CREATE`, `GNTRLEX_UID_CREATE`) VALUES ('CKDO', 'ADMIN', 'PM002', 'A', NOW(), 'SYS');</v>
      </c>
    </row>
    <row r="3" spans="1:6" x14ac:dyDescent="0.2">
      <c r="A3" t="s">
        <v>30</v>
      </c>
      <c r="B3" t="s">
        <v>6</v>
      </c>
      <c r="C3" t="s">
        <v>389</v>
      </c>
      <c r="D3" t="str">
        <f>VLOOKUP(C3,Perm_EX_CK2!$A$1:$I$88,9,FALSE)</f>
        <v>Account Profile</v>
      </c>
      <c r="E3" t="s">
        <v>7</v>
      </c>
      <c r="F3" t="str">
        <f t="shared" si="0"/>
        <v>INSERT INTO `T_CORE_GRANT_ROLE_EX` (`GNTRLEX_APPS_CODE`, `GNTRLEX_ROLE_ID`, `GNTRLEX_PERM_ID`, `GNTRLEX_STATUS`, `GNTRLEX_DT_CREATE`, `GNTRLEX_UID_CREATE`) VALUES ('CKDO', 'ADMIN', 'PM003', 'A', NOW(), 'SYS');</v>
      </c>
    </row>
    <row r="4" spans="1:6" x14ac:dyDescent="0.2">
      <c r="A4" t="s">
        <v>30</v>
      </c>
      <c r="B4" t="s">
        <v>6</v>
      </c>
      <c r="C4" t="s">
        <v>390</v>
      </c>
      <c r="D4" t="str">
        <f>VLOOKUP(C4,Perm_EX_CK2!$A$1:$I$88,9,FALSE)</f>
        <v>Users</v>
      </c>
      <c r="E4" t="s">
        <v>7</v>
      </c>
      <c r="F4" t="str">
        <f t="shared" si="0"/>
        <v>INSERT INTO `T_CORE_GRANT_ROLE_EX` (`GNTRLEX_APPS_CODE`, `GNTRLEX_ROLE_ID`, `GNTRLEX_PERM_ID`, `GNTRLEX_STATUS`, `GNTRLEX_DT_CREATE`, `GNTRLEX_UID_CREATE`) VALUES ('CKDO', 'ADMIN', 'PM004', 'A', NOW(), 'SYS');</v>
      </c>
    </row>
    <row r="5" spans="1:6" x14ac:dyDescent="0.2">
      <c r="A5" t="s">
        <v>30</v>
      </c>
      <c r="B5" t="s">
        <v>6</v>
      </c>
      <c r="C5" t="s">
        <v>391</v>
      </c>
      <c r="D5" t="str">
        <f>VLOOKUP(C5,Perm_EX_CK2!$A$1:$I$88,9,FALSE)</f>
        <v>Authorisations</v>
      </c>
      <c r="E5" t="s">
        <v>7</v>
      </c>
      <c r="F5" t="str">
        <f t="shared" si="0"/>
        <v>INSERT INTO `T_CORE_GRANT_ROLE_EX` (`GNTRLEX_APPS_CODE`, `GNTRLEX_ROLE_ID`, `GNTRLEX_PERM_ID`, `GNTRLEX_STATUS`, `GNTRLEX_DT_CREATE`, `GNTRLEX_UID_CREATE`) VALUES ('CKDO', 'ADMIN', 'PM005', 'A', NOW(), 'SYS');</v>
      </c>
    </row>
    <row r="6" spans="1:6" x14ac:dyDescent="0.2">
      <c r="A6" t="s">
        <v>30</v>
      </c>
      <c r="B6" t="s">
        <v>6</v>
      </c>
      <c r="C6" t="s">
        <v>393</v>
      </c>
      <c r="D6" t="str">
        <f>VLOOKUP(C6,Perm_EX_CK2!$A$1:$I$88,9,FALSE)</f>
        <v>Announcement Type</v>
      </c>
      <c r="E6" t="s">
        <v>7</v>
      </c>
      <c r="F6" t="str">
        <f t="shared" si="0"/>
        <v>INSERT INTO `T_CORE_GRANT_ROLE_EX` (`GNTRLEX_APPS_CODE`, `GNTRLEX_ROLE_ID`, `GNTRLEX_PERM_ID`, `GNTRLEX_STATUS`, `GNTRLEX_DT_CREATE`, `GNTRLEX_UID_CREATE`) VALUES ('CKDO', 'ADMIN', 'PM007', 'A', NOW(), 'SYS');</v>
      </c>
    </row>
    <row r="7" spans="1:6" x14ac:dyDescent="0.2">
      <c r="A7" t="s">
        <v>30</v>
      </c>
      <c r="B7" t="s">
        <v>11</v>
      </c>
      <c r="C7" t="s">
        <v>412</v>
      </c>
      <c r="D7" t="str">
        <f>VLOOKUP(C7,Perm_EX_CK2!$A$1:$I$88,9,FALSE)</f>
        <v>Payments</v>
      </c>
      <c r="E7" t="s">
        <v>7</v>
      </c>
      <c r="F7" t="str">
        <f t="shared" si="0"/>
        <v>INSERT INTO `T_CORE_GRANT_ROLE_EX` (`GNTRLEX_APPS_CODE`, `GNTRLEX_ROLE_ID`, `GNTRLEX_PERM_ID`, `GNTRLEX_STATUS`, `GNTRLEX_DT_CREATE`, `GNTRLEX_UID_CREATE`) VALUES ('CKDO', 'FINANCE', 'PM026', 'A', NOW(), 'SYS');</v>
      </c>
    </row>
    <row r="8" spans="1:6" x14ac:dyDescent="0.2">
      <c r="A8" t="s">
        <v>30</v>
      </c>
      <c r="B8" t="s">
        <v>11</v>
      </c>
      <c r="C8" t="s">
        <v>413</v>
      </c>
      <c r="D8" t="str">
        <f>VLOOKUP(C8,Perm_EX_CK2!$A$1:$I$88,9,FALSE)</f>
        <v>Services</v>
      </c>
      <c r="E8" t="s">
        <v>7</v>
      </c>
      <c r="F8" t="str">
        <f t="shared" si="0"/>
        <v>INSERT INTO `T_CORE_GRANT_ROLE_EX` (`GNTRLEX_APPS_CODE`, `GNTRLEX_ROLE_ID`, `GNTRLEX_PERM_ID`, `GNTRLEX_STATUS`, `GNTRLEX_DT_CREATE`, `GNTRLEX_UID_CREATE`) VALUES ('CKDO', 'FINANCE', 'PM027', 'A', NOW(), 'SYS');</v>
      </c>
    </row>
    <row r="9" spans="1:6" x14ac:dyDescent="0.2">
      <c r="A9" t="s">
        <v>30</v>
      </c>
      <c r="B9" t="s">
        <v>9</v>
      </c>
      <c r="C9" t="s">
        <v>382</v>
      </c>
      <c r="D9" t="str">
        <f>VLOOKUP(C9,Perm_EX_CK2!$A$1:$I$88,9,FALSE)</f>
        <v>DO Claim</v>
      </c>
      <c r="E9" t="s">
        <v>7</v>
      </c>
      <c r="F9" t="str">
        <f t="shared" si="0"/>
        <v>INSERT INTO `T_CORE_GRANT_ROLE_EX` (`GNTRLEX_APPS_CODE`, `GNTRLEX_ROLE_ID`, `GNTRLEX_PERM_ID`, `GNTRLEX_STATUS`, `GNTRLEX_DT_CREATE`, `GNTRLEX_UID_CREATE`) VALUES ('CKDO', 'OFFICER', 'PM000', 'A', NOW(), 'SYS');</v>
      </c>
    </row>
    <row r="10" spans="1:6" x14ac:dyDescent="0.2">
      <c r="A10" t="s">
        <v>30</v>
      </c>
      <c r="B10" t="s">
        <v>9</v>
      </c>
      <c r="C10" t="s">
        <v>412</v>
      </c>
      <c r="D10" t="str">
        <f>VLOOKUP(C10,Perm_EX_CK2!$A$1:$I$88,9,FALSE)</f>
        <v>Payments</v>
      </c>
      <c r="E10" t="s">
        <v>7</v>
      </c>
      <c r="F10" t="str">
        <f t="shared" si="0"/>
        <v>INSERT INTO `T_CORE_GRANT_ROLE_EX` (`GNTRLEX_APPS_CODE`, `GNTRLEX_ROLE_ID`, `GNTRLEX_PERM_ID`, `GNTRLEX_STATUS`, `GNTRLEX_DT_CREATE`, `GNTRLEX_UID_CREATE`) VALUES ('CKDO', 'OFFICER', 'PM026', 'A', NOW(), 'SYS');</v>
      </c>
    </row>
    <row r="11" spans="1:6" x14ac:dyDescent="0.2">
      <c r="A11" t="s">
        <v>30</v>
      </c>
      <c r="B11" t="s">
        <v>31</v>
      </c>
      <c r="C11" t="s">
        <v>387</v>
      </c>
      <c r="D11" t="str">
        <f>VLOOKUP(C11,Perm_EX_CK2!$A$1:$I$88,9,FALSE)</f>
        <v>DO Payments</v>
      </c>
      <c r="E11" t="s">
        <v>7</v>
      </c>
      <c r="F11" t="str">
        <f t="shared" si="0"/>
        <v>INSERT INTO `T_CORE_GRANT_ROLE_EX` (`GNTRLEX_APPS_CODE`, `GNTRLEX_ROLE_ID`, `GNTRLEX_PERM_ID`, `GNTRLEX_STATUS`, `GNTRLEX_DT_CREATE`, `GNTRLEX_UID_CREATE`) VALUES ('CKDO', 'OFFICER_FINANCE', 'PM001', 'A', NOW(), 'SYS');</v>
      </c>
    </row>
    <row r="12" spans="1:6" x14ac:dyDescent="0.2">
      <c r="A12" t="s">
        <v>30</v>
      </c>
      <c r="B12" t="s">
        <v>31</v>
      </c>
      <c r="C12" t="s">
        <v>411</v>
      </c>
      <c r="D12" t="str">
        <f>VLOOKUP(C12,Perm_EX_CK2!$A$1:$I$88,9,FALSE)</f>
        <v>Help</v>
      </c>
      <c r="E12" t="s">
        <v>7</v>
      </c>
      <c r="F12" t="str">
        <f t="shared" si="0"/>
        <v>INSERT INTO `T_CORE_GRANT_ROLE_EX` (`GNTRLEX_APPS_CODE`, `GNTRLEX_ROLE_ID`, `GNTRLEX_PERM_ID`, `GNTRLEX_STATUS`, `GNTRLEX_DT_CREATE`, `GNTRLEX_UID_CREATE`) VALUES ('CKDO', 'OFFICER_FINANCE', 'PM025', 'A', NOW(), 'SYS');</v>
      </c>
    </row>
    <row r="13" spans="1:6" x14ac:dyDescent="0.2">
      <c r="A13" t="s">
        <v>30</v>
      </c>
      <c r="B13" t="s">
        <v>10</v>
      </c>
      <c r="C13" t="s">
        <v>410</v>
      </c>
      <c r="D13" t="str">
        <f>VLOOKUP(C13,Perm_EX_CK2!$A$1:$I$88,9,FALSE)</f>
        <v>Transactions</v>
      </c>
      <c r="E13" t="s">
        <v>7</v>
      </c>
      <c r="F13" t="str">
        <f t="shared" si="0"/>
        <v>INSERT INTO `T_CORE_GRANT_ROLE_EX` (`GNTRLEX_APPS_CODE`, `GNTRLEX_ROLE_ID`, `GNTRLEX_PERM_ID`, `GNTRLEX_STATUS`, `GNTRLEX_DT_CREATE`, `GNTRLEX_UID_CREATE`) VALUES ('CKDO', 'OPERATIONS', 'PM024', 'A', NOW(), 'SYS');</v>
      </c>
    </row>
    <row r="14" spans="1:6" x14ac:dyDescent="0.2">
      <c r="A14" t="s">
        <v>30</v>
      </c>
      <c r="B14" t="s">
        <v>10</v>
      </c>
      <c r="C14" t="s">
        <v>412</v>
      </c>
      <c r="D14" t="str">
        <f>VLOOKUP(C14,Perm_EX_CK2!$A$1:$I$88,9,FALSE)</f>
        <v>Payments</v>
      </c>
      <c r="E14" t="s">
        <v>7</v>
      </c>
      <c r="F14" t="str">
        <f t="shared" si="0"/>
        <v>INSERT INTO `T_CORE_GRANT_ROLE_EX` (`GNTRLEX_APPS_CODE`, `GNTRLEX_ROLE_ID`, `GNTRLEX_PERM_ID`, `GNTRLEX_STATUS`, `GNTRLEX_DT_CREATE`, `GNTRLEX_UID_CREATE`) VALUES ('CKDO', 'OPERATIONS', 'PM026', 'A', NOW(), 'SYS');</v>
      </c>
    </row>
    <row r="15" spans="1:6" x14ac:dyDescent="0.2">
      <c r="A15" t="s">
        <v>30</v>
      </c>
      <c r="B15" t="s">
        <v>12</v>
      </c>
      <c r="C15" t="s">
        <v>394</v>
      </c>
      <c r="D15" t="str">
        <f>VLOOKUP(C15,Perm_EX_CK2!$A$1:$I$88,9,FALSE)</f>
        <v>Country Codes</v>
      </c>
      <c r="E15" t="s">
        <v>7</v>
      </c>
      <c r="F15" t="str">
        <f t="shared" si="0"/>
        <v>INSERT INTO `T_CORE_GRANT_ROLE_EX` (`GNTRLEX_APPS_CODE`, `GNTRLEX_ROLE_ID`, `GNTRLEX_PERM_ID`, `GNTRLEX_STATUS`, `GNTRLEX_DT_CREATE`, `GNTRLEX_UID_CREATE`) VALUES ('CKDO', 'SYS_SUPER_ADMIN', 'PM008', 'A', NOW(), 'SYS');</v>
      </c>
    </row>
    <row r="16" spans="1:6" x14ac:dyDescent="0.2">
      <c r="A16" t="s">
        <v>30</v>
      </c>
      <c r="B16" t="s">
        <v>12</v>
      </c>
      <c r="C16" t="s">
        <v>395</v>
      </c>
      <c r="D16" t="str">
        <f>VLOOKUP(C16,Perm_EX_CK2!$A$1:$I$88,9,FALSE)</f>
        <v>Currency Code</v>
      </c>
      <c r="E16" t="s">
        <v>7</v>
      </c>
      <c r="F16" t="str">
        <f t="shared" si="0"/>
        <v>INSERT INTO `T_CORE_GRANT_ROLE_EX` (`GNTRLEX_APPS_CODE`, `GNTRLEX_ROLE_ID`, `GNTRLEX_PERM_ID`, `GNTRLEX_STATUS`, `GNTRLEX_DT_CREATE`, `GNTRLEX_UID_CREATE`) VALUES ('CKDO', 'SYS_SUPER_ADMIN', 'PM009', 'A', NOW(), 'SYS');</v>
      </c>
    </row>
    <row r="17" spans="1:6" x14ac:dyDescent="0.2">
      <c r="A17" t="s">
        <v>30</v>
      </c>
      <c r="B17" t="s">
        <v>12</v>
      </c>
      <c r="C17" t="s">
        <v>396</v>
      </c>
      <c r="D17" t="str">
        <f>VLOOKUP(C17,Perm_EX_CK2!$A$1:$I$88,9,FALSE)</f>
        <v>Harmonized System Codes</v>
      </c>
      <c r="E17" t="s">
        <v>7</v>
      </c>
      <c r="F17" t="str">
        <f t="shared" si="0"/>
        <v>INSERT INTO `T_CORE_GRANT_ROLE_EX` (`GNTRLEX_APPS_CODE`, `GNTRLEX_ROLE_ID`, `GNTRLEX_PERM_ID`, `GNTRLEX_STATUS`, `GNTRLEX_DT_CREATE`, `GNTRLEX_UID_CREATE`) VALUES ('CKDO', 'SYS_SUPER_ADMIN', 'PM010', 'A', NOW(), 'SYS');</v>
      </c>
    </row>
    <row r="18" spans="1:6" x14ac:dyDescent="0.2">
      <c r="A18" t="s">
        <v>30</v>
      </c>
      <c r="B18" t="s">
        <v>12</v>
      </c>
      <c r="C18" t="s">
        <v>397</v>
      </c>
      <c r="D18" t="str">
        <f>VLOOKUP(C18,Perm_EX_CK2!$A$1:$I$88,9,FALSE)</f>
        <v>Notification Templates</v>
      </c>
      <c r="E18" t="s">
        <v>7</v>
      </c>
      <c r="F18" t="str">
        <f t="shared" si="0"/>
        <v>INSERT INTO `T_CORE_GRANT_ROLE_EX` (`GNTRLEX_APPS_CODE`, `GNTRLEX_ROLE_ID`, `GNTRLEX_PERM_ID`, `GNTRLEX_STATUS`, `GNTRLEX_DT_CREATE`, `GNTRLEX_UID_CREATE`) VALUES ('CKDO', 'SYS_SUPER_ADMIN', 'PM011', 'A', NOW(), 'SYS');</v>
      </c>
    </row>
    <row r="19" spans="1:6" x14ac:dyDescent="0.2">
      <c r="A19" t="s">
        <v>30</v>
      </c>
      <c r="B19" t="s">
        <v>12</v>
      </c>
      <c r="C19" t="s">
        <v>398</v>
      </c>
      <c r="D19" t="str">
        <f>VLOOKUP(C19,Perm_EX_CK2!$A$1:$I$88,9,FALSE)</f>
        <v>Port Codes</v>
      </c>
      <c r="E19" t="s">
        <v>7</v>
      </c>
      <c r="F19" t="str">
        <f t="shared" si="0"/>
        <v>INSERT INTO `T_CORE_GRANT_ROLE_EX` (`GNTRLEX_APPS_CODE`, `GNTRLEX_ROLE_ID`, `GNTRLEX_PERM_ID`, `GNTRLEX_STATUS`, `GNTRLEX_DT_CREATE`, `GNTRLEX_UID_CREATE`) VALUES ('CKDO', 'SYS_SUPER_ADMIN', 'PM012', 'A', NOW(), 'SYS');</v>
      </c>
    </row>
    <row r="20" spans="1:6" x14ac:dyDescent="0.2">
      <c r="A20" t="s">
        <v>30</v>
      </c>
      <c r="B20" t="s">
        <v>12</v>
      </c>
      <c r="C20" t="s">
        <v>399</v>
      </c>
      <c r="D20" t="str">
        <f>VLOOKUP(C20,Perm_EX_CK2!$A$1:$I$88,9,FALSE)</f>
        <v>Port Terminal</v>
      </c>
      <c r="E20" t="s">
        <v>7</v>
      </c>
      <c r="F20" t="str">
        <f t="shared" si="0"/>
        <v>INSERT INTO `T_CORE_GRANT_ROLE_EX` (`GNTRLEX_APPS_CODE`, `GNTRLEX_ROLE_ID`, `GNTRLEX_PERM_ID`, `GNTRLEX_STATUS`, `GNTRLEX_DT_CREATE`, `GNTRLEX_UID_CREATE`) VALUES ('CKDO', 'SYS_SUPER_ADMIN', 'PM013', 'A', NOW(), 'SYS');</v>
      </c>
    </row>
    <row r="21" spans="1:6" x14ac:dyDescent="0.2">
      <c r="A21" t="s">
        <v>30</v>
      </c>
      <c r="B21" t="s">
        <v>12</v>
      </c>
      <c r="C21" t="s">
        <v>400</v>
      </c>
      <c r="D21" t="str">
        <f>VLOOKUP(C21,Perm_EX_CK2!$A$1:$I$88,9,FALSE)</f>
        <v>UOM Codes</v>
      </c>
      <c r="E21" t="s">
        <v>7</v>
      </c>
      <c r="F21" t="str">
        <f t="shared" si="0"/>
        <v>INSERT INTO `T_CORE_GRANT_ROLE_EX` (`GNTRLEX_APPS_CODE`, `GNTRLEX_ROLE_ID`, `GNTRLEX_PERM_ID`, `GNTRLEX_STATUS`, `GNTRLEX_DT_CREATE`, `GNTRLEX_UID_CREATE`) VALUES ('CKDO', 'SYS_SUPER_ADMIN', 'PM014', 'A', NOW(), 'SYS');</v>
      </c>
    </row>
    <row r="22" spans="1:6" x14ac:dyDescent="0.2">
      <c r="A22" t="s">
        <v>30</v>
      </c>
      <c r="B22" t="s">
        <v>12</v>
      </c>
      <c r="C22" t="s">
        <v>401</v>
      </c>
      <c r="D22" t="str">
        <f>VLOOKUP(C22,Perm_EX_CK2!$A$1:$I$88,9,FALSE)</f>
        <v>System Administrations</v>
      </c>
      <c r="E22" t="s">
        <v>7</v>
      </c>
      <c r="F22" t="str">
        <f t="shared" si="0"/>
        <v>INSERT INTO `T_CORE_GRANT_ROLE_EX` (`GNTRLEX_APPS_CODE`, `GNTRLEX_ROLE_ID`, `GNTRLEX_PERM_ID`, `GNTRLEX_STATUS`, `GNTRLEX_DT_CREATE`, `GNTRLEX_UID_CREATE`) VALUES ('CKDO', 'SYS_SUPER_ADMIN', 'PM015', 'A', NOW(), 'SYS');</v>
      </c>
    </row>
    <row r="23" spans="1:6" x14ac:dyDescent="0.2">
      <c r="A23" t="s">
        <v>30</v>
      </c>
      <c r="B23" t="s">
        <v>12</v>
      </c>
      <c r="C23" t="s">
        <v>402</v>
      </c>
      <c r="D23" t="str">
        <f>VLOOKUP(C23,Perm_EX_CK2!$A$1:$I$88,9,FALSE)</f>
        <v>Announcement Setup</v>
      </c>
      <c r="E23" t="s">
        <v>7</v>
      </c>
      <c r="F23" t="str">
        <f t="shared" si="0"/>
        <v>INSERT INTO `T_CORE_GRANT_ROLE_EX` (`GNTRLEX_APPS_CODE`, `GNTRLEX_ROLE_ID`, `GNTRLEX_PERM_ID`, `GNTRLEX_STATUS`, `GNTRLEX_DT_CREATE`, `GNTRLEX_UID_CREATE`) VALUES ('CKDO', 'SYS_SUPER_ADMIN', 'PM016', 'A', NOW(), 'SYS');</v>
      </c>
    </row>
    <row r="24" spans="1:6" x14ac:dyDescent="0.2">
      <c r="A24" t="s">
        <v>30</v>
      </c>
      <c r="B24" t="s">
        <v>12</v>
      </c>
      <c r="C24" t="s">
        <v>403</v>
      </c>
      <c r="D24" t="str">
        <f>VLOOKUP(C24,Perm_EX_CK2!$A$1:$I$88,9,FALSE)</f>
        <v>Notification Preferences</v>
      </c>
      <c r="E24" t="s">
        <v>7</v>
      </c>
      <c r="F24" t="str">
        <f t="shared" si="0"/>
        <v>INSERT INTO `T_CORE_GRANT_ROLE_EX` (`GNTRLEX_APPS_CODE`, `GNTRLEX_ROLE_ID`, `GNTRLEX_PERM_ID`, `GNTRLEX_STATUS`, `GNTRLEX_DT_CREATE`, `GNTRLEX_UID_CREATE`) VALUES ('CKDO', 'SYS_SUPER_ADMIN', 'PM017', 'A', NOW(), 'SYS');</v>
      </c>
    </row>
    <row r="25" spans="1:6" x14ac:dyDescent="0.2">
      <c r="A25" t="s">
        <v>30</v>
      </c>
      <c r="B25" t="s">
        <v>12</v>
      </c>
      <c r="C25" t="s">
        <v>404</v>
      </c>
      <c r="D25" t="str">
        <f>VLOOKUP(C25,Perm_EX_CK2!$A$1:$I$88,9,FALSE)</f>
        <v>System Parameters</v>
      </c>
      <c r="E25" t="s">
        <v>7</v>
      </c>
      <c r="F25" t="str">
        <f t="shared" si="0"/>
        <v>INSERT INTO `T_CORE_GRANT_ROLE_EX` (`GNTRLEX_APPS_CODE`, `GNTRLEX_ROLE_ID`, `GNTRLEX_PERM_ID`, `GNTRLEX_STATUS`, `GNTRLEX_DT_CREATE`, `GNTRLEX_UID_CREATE`) VALUES ('CKDO', 'SYS_SUPER_ADMIN', 'PM018', 'A', NOW(), 'SYS');</v>
      </c>
    </row>
    <row r="26" spans="1:6" x14ac:dyDescent="0.2">
      <c r="A26" t="s">
        <v>30</v>
      </c>
      <c r="B26" t="s">
        <v>12</v>
      </c>
      <c r="C26" t="s">
        <v>405</v>
      </c>
      <c r="D26" t="str">
        <f>VLOOKUP(C26,Perm_EX_CK2!$A$1:$I$88,9,FALSE)</f>
        <v>Audit Logs</v>
      </c>
      <c r="E26" t="s">
        <v>7</v>
      </c>
      <c r="F26" t="str">
        <f t="shared" si="0"/>
        <v>INSERT INTO `T_CORE_GRANT_ROLE_EX` (`GNTRLEX_APPS_CODE`, `GNTRLEX_ROLE_ID`, `GNTRLEX_PERM_ID`, `GNTRLEX_STATUS`, `GNTRLEX_DT_CREATE`, `GNTRLEX_UID_CREATE`) VALUES ('CKDO', 'SYS_SUPER_ADMIN', 'PM019', 'A', NOW(), 'SYS');</v>
      </c>
    </row>
    <row r="27" spans="1:6" x14ac:dyDescent="0.2">
      <c r="A27" t="s">
        <v>30</v>
      </c>
      <c r="B27" t="s">
        <v>12</v>
      </c>
      <c r="C27" t="s">
        <v>406</v>
      </c>
      <c r="D27" t="str">
        <f>VLOOKUP(C27,Perm_EX_CK2!$A$1:$I$88,9,FALSE)</f>
        <v>Exceptions</v>
      </c>
      <c r="E27" t="s">
        <v>7</v>
      </c>
      <c r="F27" t="str">
        <f t="shared" si="0"/>
        <v>INSERT INTO `T_CORE_GRANT_ROLE_EX` (`GNTRLEX_APPS_CODE`, `GNTRLEX_ROLE_ID`, `GNTRLEX_PERM_ID`, `GNTRLEX_STATUS`, `GNTRLEX_DT_CREATE`, `GNTRLEX_UID_CREATE`) VALUES ('CKDO', 'SYS_SUPER_ADMIN', 'PM020', 'A', NOW(), 'SYS');</v>
      </c>
    </row>
    <row r="28" spans="1:6" s="38" customFormat="1" x14ac:dyDescent="0.2">
      <c r="A28" s="38" t="s">
        <v>30</v>
      </c>
      <c r="B28" s="38" t="s">
        <v>12</v>
      </c>
      <c r="C28" s="38" t="s">
        <v>407</v>
      </c>
      <c r="D28" s="38" t="str">
        <f>VLOOKUP(C28,Perm_EX_CK2!$A$1:$I$88,9,FALSE)</f>
        <v>Manage All Users</v>
      </c>
      <c r="E28" s="38" t="s">
        <v>7</v>
      </c>
      <c r="F28" s="38" t="str">
        <f t="shared" si="0"/>
        <v>INSERT INTO `T_CORE_GRANT_ROLE_EX` (`GNTRLEX_APPS_CODE`, `GNTRLEX_ROLE_ID`, `GNTRLEX_PERM_ID`, `GNTRLEX_STATUS`, `GNTRLEX_DT_CREATE`, `GNTRLEX_UID_CREATE`) VALUES ('CKDO', 'SYS_SUPER_ADMIN', 'PM021', 'A', NOW(), 'SYS');</v>
      </c>
    </row>
    <row r="29" spans="1:6" x14ac:dyDescent="0.2">
      <c r="A29" t="s">
        <v>30</v>
      </c>
      <c r="B29" t="s">
        <v>12</v>
      </c>
      <c r="C29" t="s">
        <v>408</v>
      </c>
      <c r="D29" t="str">
        <f>VLOOKUP(C29,Perm_EX_CK2!$A$1:$I$88,9,FALSE)</f>
        <v>Manage All Accounts</v>
      </c>
      <c r="E29" t="s">
        <v>7</v>
      </c>
      <c r="F29" t="str">
        <f t="shared" si="0"/>
        <v>INSERT INTO `T_CORE_GRANT_ROLE_EX` (`GNTRLEX_APPS_CODE`, `GNTRLEX_ROLE_ID`, `GNTRLEX_PERM_ID`, `GNTRLEX_STATUS`, `GNTRLEX_DT_CREATE`, `GNTRLEX_UID_CREATE`) VALUES ('CKDO', 'SYS_SUPER_ADMIN', 'PM022', 'A', NOW(), 'SYS');</v>
      </c>
    </row>
    <row r="30" spans="1:6" x14ac:dyDescent="0.2">
      <c r="A30" t="s">
        <v>30</v>
      </c>
      <c r="B30" t="s">
        <v>12</v>
      </c>
      <c r="C30" t="s">
        <v>409</v>
      </c>
      <c r="D30" t="str">
        <f>VLOOKUP(C30,Perm_EX_CK2!$A$1:$I$88,9,FALSE)</f>
        <v>Documents</v>
      </c>
      <c r="E30" t="s">
        <v>7</v>
      </c>
      <c r="F30" t="str">
        <f t="shared" si="0"/>
        <v>INSERT INTO `T_CORE_GRANT_ROLE_EX` (`GNTRLEX_APPS_CODE`, `GNTRLEX_ROLE_ID`, `GNTRLEX_PERM_ID`, `GNTRLEX_STATUS`, `GNTRLEX_DT_CREATE`, `GNTRLEX_UID_CREATE`) VALUES ('CKDO', 'SYS_SUPER_ADMIN', 'PM023', 'A', NOW(), 'SYS');</v>
      </c>
    </row>
    <row r="31" spans="1:6" x14ac:dyDescent="0.2">
      <c r="A31" t="s">
        <v>14</v>
      </c>
      <c r="B31" t="s">
        <v>9</v>
      </c>
      <c r="C31" t="s">
        <v>413</v>
      </c>
      <c r="D31" t="str">
        <f>VLOOKUP(C31,Perm_EX_CK2!$A$1:$I$88,9,FALSE)</f>
        <v>Services</v>
      </c>
      <c r="E31" t="s">
        <v>7</v>
      </c>
      <c r="F31" t="str">
        <f t="shared" si="0"/>
        <v>INSERT INTO `T_CORE_GRANT_ROLE_EX` (`GNTRLEX_APPS_CODE`, `GNTRLEX_ROLE_ID`, `GNTRLEX_PERM_ID`, `GNTRLEX_STATUS`, `GNTRLEX_DT_CREATE`, `GNTRLEX_UID_CREATE`) VALUES ('CKT', 'OFFICER', 'PM027', 'A', NOW(), 'SYS');</v>
      </c>
    </row>
    <row r="32" spans="1:6" x14ac:dyDescent="0.2">
      <c r="A32" t="s">
        <v>14</v>
      </c>
      <c r="B32" t="s">
        <v>16</v>
      </c>
      <c r="C32" t="s">
        <v>414</v>
      </c>
      <c r="D32" t="str">
        <f>VLOOKUP(C32,Perm_EX_CK2!$A$1:$I$88,9,FALSE)</f>
        <v>Administrations</v>
      </c>
      <c r="E32" t="s">
        <v>7</v>
      </c>
      <c r="F32" t="str">
        <f t="shared" si="0"/>
        <v>INSERT INTO `T_CORE_GRANT_ROLE_EX` (`GNTRLEX_APPS_CODE`, `GNTRLEX_ROLE_ID`, `GNTRLEX_PERM_ID`, `GNTRLEX_STATUS`, `GNTRLEX_DT_CREATE`, `GNTRLEX_UID_CREATE`) VALUES ('CKT', 'OP_ADMIN', 'PM028', 'A', NOW(), 'SYS');</v>
      </c>
    </row>
    <row r="33" spans="1:6" x14ac:dyDescent="0.2">
      <c r="A33" t="s">
        <v>14</v>
      </c>
      <c r="B33" t="s">
        <v>16</v>
      </c>
      <c r="C33" t="s">
        <v>415</v>
      </c>
      <c r="D33" t="str">
        <f>VLOOKUP(C33,Perm_EX_CK2!$A$1:$I$88,9,FALSE)</f>
        <v>Manage Trucks</v>
      </c>
      <c r="E33" t="s">
        <v>7</v>
      </c>
      <c r="F33" t="str">
        <f t="shared" si="0"/>
        <v>INSERT INTO `T_CORE_GRANT_ROLE_EX` (`GNTRLEX_APPS_CODE`, `GNTRLEX_ROLE_ID`, `GNTRLEX_PERM_ID`, `GNTRLEX_STATUS`, `GNTRLEX_DT_CREATE`, `GNTRLEX_UID_CREATE`) VALUES ('CKT', 'OP_ADMIN', 'PM029', 'A', NOW(), 'SYS');</v>
      </c>
    </row>
    <row r="34" spans="1:6" x14ac:dyDescent="0.2">
      <c r="A34" t="s">
        <v>14</v>
      </c>
      <c r="B34" t="s">
        <v>16</v>
      </c>
      <c r="C34" t="s">
        <v>416</v>
      </c>
      <c r="D34" t="str">
        <f>VLOOKUP(C34,Perm_EX_CK2!$A$1:$I$88,9,FALSE)</f>
        <v>Manage Drivers</v>
      </c>
      <c r="E34" t="s">
        <v>7</v>
      </c>
      <c r="F34" t="str">
        <f t="shared" ref="F34:F65" si="1">CONCATENATE("INSERT INTO `T_CORE_GRANT_ROLE_EX` (`GNTRLEX_APPS_CODE`, `GNTRLEX_ROLE_ID`, `GNTRLEX_PERM_ID`, `GNTRLEX_STATUS`, `GNTRLEX_DT_CREATE`, `GNTRLEX_UID_CREATE`) VALUES ('",A34,"', '",B34,"', '",C34,"', 'A', NOW(), 'SYS');")</f>
        <v>INSERT INTO `T_CORE_GRANT_ROLE_EX` (`GNTRLEX_APPS_CODE`, `GNTRLEX_ROLE_ID`, `GNTRLEX_PERM_ID`, `GNTRLEX_STATUS`, `GNTRLEX_DT_CREATE`, `GNTRLEX_UID_CREATE`) VALUES ('CKT', 'OP_ADMIN', 'PM030', 'A', NOW(), 'SYS');</v>
      </c>
    </row>
    <row r="35" spans="1:6" x14ac:dyDescent="0.2">
      <c r="A35" t="s">
        <v>14</v>
      </c>
      <c r="B35" t="s">
        <v>16</v>
      </c>
      <c r="C35" t="s">
        <v>417</v>
      </c>
      <c r="D35" t="str">
        <f>VLOOKUP(C35,Perm_EX_CK2!$A$1:$I$88,9,FALSE)</f>
        <v>Manage Locations</v>
      </c>
      <c r="E35" t="s">
        <v>7</v>
      </c>
      <c r="F35" t="str">
        <f t="shared" si="1"/>
        <v>INSERT INTO `T_CORE_GRANT_ROLE_EX` (`GNTRLEX_APPS_CODE`, `GNTRLEX_ROLE_ID`, `GNTRLEX_PERM_ID`, `GNTRLEX_STATUS`, `GNTRLEX_DT_CREATE`, `GNTRLEX_UID_CREATE`) VALUES ('CKT', 'OP_ADMIN', 'PM031', 'A', NOW(), 'SYS');</v>
      </c>
    </row>
    <row r="36" spans="1:6" x14ac:dyDescent="0.2">
      <c r="A36" t="s">
        <v>14</v>
      </c>
      <c r="B36" t="s">
        <v>16</v>
      </c>
      <c r="C36" t="s">
        <v>418</v>
      </c>
      <c r="D36" t="str">
        <f>VLOOKUP(C36,Perm_EX_CK2!$A$1:$I$88,9,FALSE)</f>
        <v>Manage Rentals</v>
      </c>
      <c r="E36" t="s">
        <v>7</v>
      </c>
      <c r="F36" t="str">
        <f t="shared" si="1"/>
        <v>INSERT INTO `T_CORE_GRANT_ROLE_EX` (`GNTRLEX_APPS_CODE`, `GNTRLEX_ROLE_ID`, `GNTRLEX_PERM_ID`, `GNTRLEX_STATUS`, `GNTRLEX_DT_CREATE`, `GNTRLEX_UID_CREATE`) VALUES ('CKT', 'OP_ADMIN', 'PM032', 'A', NOW(), 'SYS');</v>
      </c>
    </row>
    <row r="37" spans="1:6" x14ac:dyDescent="0.2">
      <c r="A37" t="s">
        <v>14</v>
      </c>
      <c r="B37" t="s">
        <v>16</v>
      </c>
      <c r="C37" t="s">
        <v>419</v>
      </c>
      <c r="D37" t="str">
        <f>VLOOKUP(C37,Perm_EX_CK2!$A$1:$I$88,9,FALSE)</f>
        <v>Manage Rate Table</v>
      </c>
      <c r="E37" t="s">
        <v>7</v>
      </c>
      <c r="F37" t="str">
        <f t="shared" si="1"/>
        <v>INSERT INTO `T_CORE_GRANT_ROLE_EX` (`GNTRLEX_APPS_CODE`, `GNTRLEX_ROLE_ID`, `GNTRLEX_PERM_ID`, `GNTRLEX_STATUS`, `GNTRLEX_DT_CREATE`, `GNTRLEX_UID_CREATE`) VALUES ('CKT', 'OP_ADMIN', 'PM033', 'A', NOW(), 'SYS');</v>
      </c>
    </row>
    <row r="38" spans="1:6" x14ac:dyDescent="0.2">
      <c r="A38" t="s">
        <v>14</v>
      </c>
      <c r="B38" t="s">
        <v>16</v>
      </c>
      <c r="C38" t="s">
        <v>420</v>
      </c>
      <c r="D38" t="str">
        <f>VLOOKUP(C38,Perm_EX_CK2!$A$1:$I$88,9,FALSE)</f>
        <v>Live Monitoring</v>
      </c>
      <c r="E38" t="s">
        <v>7</v>
      </c>
      <c r="F38" t="str">
        <f t="shared" si="1"/>
        <v>INSERT INTO `T_CORE_GRANT_ROLE_EX` (`GNTRLEX_APPS_CODE`, `GNTRLEX_ROLE_ID`, `GNTRLEX_PERM_ID`, `GNTRLEX_STATUS`, `GNTRLEX_DT_CREATE`, `GNTRLEX_UID_CREATE`) VALUES ('CKT', 'OP_ADMIN', 'PM034', 'A', NOW(), 'SYS');</v>
      </c>
    </row>
    <row r="39" spans="1:6" x14ac:dyDescent="0.2">
      <c r="A39" t="s">
        <v>14</v>
      </c>
      <c r="B39" t="s">
        <v>16</v>
      </c>
      <c r="C39" t="s">
        <v>421</v>
      </c>
      <c r="D39" t="str">
        <f>VLOOKUP(C39,Perm_EX_CK2!$A$1:$I$88,9,FALSE)</f>
        <v>Historical Monitoring</v>
      </c>
      <c r="E39" t="s">
        <v>7</v>
      </c>
      <c r="F39" t="str">
        <f t="shared" si="1"/>
        <v>INSERT INTO `T_CORE_GRANT_ROLE_EX` (`GNTRLEX_APPS_CODE`, `GNTRLEX_ROLE_ID`, `GNTRLEX_PERM_ID`, `GNTRLEX_STATUS`, `GNTRLEX_DT_CREATE`, `GNTRLEX_UID_CREATE`) VALUES ('CKT', 'OP_ADMIN', 'PM035', 'A', NOW(), 'SYS');</v>
      </c>
    </row>
    <row r="40" spans="1:6" x14ac:dyDescent="0.2">
      <c r="A40" t="s">
        <v>14</v>
      </c>
      <c r="B40" t="s">
        <v>16</v>
      </c>
      <c r="C40" t="s">
        <v>422</v>
      </c>
      <c r="D40" t="str">
        <f>VLOOKUP(C40,Perm_EX_CK2!$A$1:$I$88,9,FALSE)</f>
        <v>Account Administration</v>
      </c>
      <c r="E40" t="s">
        <v>7</v>
      </c>
      <c r="F40" t="str">
        <f t="shared" si="1"/>
        <v>INSERT INTO `T_CORE_GRANT_ROLE_EX` (`GNTRLEX_APPS_CODE`, `GNTRLEX_ROLE_ID`, `GNTRLEX_PERM_ID`, `GNTRLEX_STATUS`, `GNTRLEX_DT_CREATE`, `GNTRLEX_UID_CREATE`) VALUES ('CKT', 'OP_ADMIN', 'PM036', 'A', NOW(), 'SYS');</v>
      </c>
    </row>
    <row r="41" spans="1:6" x14ac:dyDescent="0.2">
      <c r="A41" t="s">
        <v>14</v>
      </c>
      <c r="B41" t="s">
        <v>15</v>
      </c>
      <c r="C41" t="s">
        <v>420</v>
      </c>
      <c r="D41" t="str">
        <f>VLOOKUP(C41,Perm_EX_CK2!$A$1:$I$88,9,FALSE)</f>
        <v>Live Monitoring</v>
      </c>
      <c r="E41" t="s">
        <v>7</v>
      </c>
      <c r="F41" t="str">
        <f t="shared" si="1"/>
        <v>INSERT INTO `T_CORE_GRANT_ROLE_EX` (`GNTRLEX_APPS_CODE`, `GNTRLEX_ROLE_ID`, `GNTRLEX_PERM_ID`, `GNTRLEX_STATUS`, `GNTRLEX_DT_CREATE`, `GNTRLEX_UID_CREATE`) VALUES ('CKT', 'FF_FINANCE', 'PM034', 'A', NOW(), 'SYS');</v>
      </c>
    </row>
    <row r="42" spans="1:6" x14ac:dyDescent="0.2">
      <c r="A42" t="s">
        <v>14</v>
      </c>
      <c r="B42" t="s">
        <v>15</v>
      </c>
      <c r="C42" t="s">
        <v>419</v>
      </c>
      <c r="D42" t="str">
        <f>VLOOKUP(C42,Perm_EX_CK2!$A$1:$I$88,9,FALSE)</f>
        <v>Manage Rate Table</v>
      </c>
      <c r="E42" t="s">
        <v>7</v>
      </c>
      <c r="F42" t="str">
        <f t="shared" si="1"/>
        <v>INSERT INTO `T_CORE_GRANT_ROLE_EX` (`GNTRLEX_APPS_CODE`, `GNTRLEX_ROLE_ID`, `GNTRLEX_PERM_ID`, `GNTRLEX_STATUS`, `GNTRLEX_DT_CREATE`, `GNTRLEX_UID_CREATE`) VALUES ('CKT', 'FF_FINANCE', 'PM033', 'A', NOW(), 'SYS');</v>
      </c>
    </row>
    <row r="43" spans="1:6" x14ac:dyDescent="0.2">
      <c r="A43" t="s">
        <v>14</v>
      </c>
      <c r="B43" t="s">
        <v>9</v>
      </c>
      <c r="C43" t="s">
        <v>421</v>
      </c>
      <c r="D43" t="str">
        <f>VLOOKUP(C43,Perm_EX_CK2!$A$1:$I$88,9,FALSE)</f>
        <v>Historical Monitoring</v>
      </c>
      <c r="E43" t="s">
        <v>7</v>
      </c>
      <c r="F43" t="str">
        <f t="shared" si="1"/>
        <v>INSERT INTO `T_CORE_GRANT_ROLE_EX` (`GNTRLEX_APPS_CODE`, `GNTRLEX_ROLE_ID`, `GNTRLEX_PERM_ID`, `GNTRLEX_STATUS`, `GNTRLEX_DT_CREATE`, `GNTRLEX_UID_CREATE`) VALUES ('CKT', 'OFFICER', 'PM035', 'A', NOW(), 'SYS');</v>
      </c>
    </row>
    <row r="44" spans="1:6" x14ac:dyDescent="0.2">
      <c r="A44" t="s">
        <v>14</v>
      </c>
      <c r="B44" t="s">
        <v>6</v>
      </c>
      <c r="C44" t="s">
        <v>422</v>
      </c>
      <c r="D44" t="str">
        <f>VLOOKUP(C44,Perm_EX_CK2!$A$1:$I$88,9,FALSE)</f>
        <v>Account Administration</v>
      </c>
      <c r="E44" t="s">
        <v>7</v>
      </c>
      <c r="F44" t="str">
        <f t="shared" si="1"/>
        <v>INSERT INTO `T_CORE_GRANT_ROLE_EX` (`GNTRLEX_APPS_CODE`, `GNTRLEX_ROLE_ID`, `GNTRLEX_PERM_ID`, `GNTRLEX_STATUS`, `GNTRLEX_DT_CREATE`, `GNTRLEX_UID_CREATE`) VALUES ('CKT', 'ADMIN', 'PM036', 'A', NOW(), 'SYS');</v>
      </c>
    </row>
    <row r="45" spans="1:6" x14ac:dyDescent="0.2">
      <c r="A45" t="s">
        <v>14</v>
      </c>
      <c r="B45" t="s">
        <v>6</v>
      </c>
      <c r="C45" t="s">
        <v>423</v>
      </c>
      <c r="D45" t="str">
        <f>VLOOKUP(C45,Perm_EX_CK2!$A$1:$I$88,9,FALSE)</f>
        <v>Account Profile</v>
      </c>
      <c r="E45" t="s">
        <v>7</v>
      </c>
      <c r="F45" t="str">
        <f t="shared" si="1"/>
        <v>INSERT INTO `T_CORE_GRANT_ROLE_EX` (`GNTRLEX_APPS_CODE`, `GNTRLEX_ROLE_ID`, `GNTRLEX_PERM_ID`, `GNTRLEX_STATUS`, `GNTRLEX_DT_CREATE`, `GNTRLEX_UID_CREATE`) VALUES ('CKT', 'ADMIN', 'PM037', 'A', NOW(), 'SYS');</v>
      </c>
    </row>
    <row r="46" spans="1:6" x14ac:dyDescent="0.2">
      <c r="A46" t="s">
        <v>14</v>
      </c>
      <c r="B46" t="s">
        <v>6</v>
      </c>
      <c r="C46" t="s">
        <v>424</v>
      </c>
      <c r="D46" t="str">
        <f>VLOOKUP(C46,Perm_EX_CK2!$A$1:$I$88,9,FALSE)</f>
        <v>Manage Users</v>
      </c>
      <c r="E46" t="s">
        <v>7</v>
      </c>
      <c r="F46" t="str">
        <f t="shared" si="1"/>
        <v>INSERT INTO `T_CORE_GRANT_ROLE_EX` (`GNTRLEX_APPS_CODE`, `GNTRLEX_ROLE_ID`, `GNTRLEX_PERM_ID`, `GNTRLEX_STATUS`, `GNTRLEX_DT_CREATE`, `GNTRLEX_UID_CREATE`) VALUES ('CKT', 'ADMIN', 'PM038', 'A', NOW(), 'SYS');</v>
      </c>
    </row>
    <row r="47" spans="1:6" x14ac:dyDescent="0.2">
      <c r="A47" t="s">
        <v>14</v>
      </c>
      <c r="B47" t="s">
        <v>27</v>
      </c>
      <c r="C47" t="s">
        <v>413</v>
      </c>
      <c r="D47" t="str">
        <f>VLOOKUP(C47,Perm_EX_CK2!$A$1:$I$88,9,FALSE)</f>
        <v>Services</v>
      </c>
      <c r="E47" t="s">
        <v>7</v>
      </c>
      <c r="F47" t="str">
        <f t="shared" si="1"/>
        <v>INSERT INTO `T_CORE_GRANT_ROLE_EX` (`GNTRLEX_APPS_CODE`, `GNTRLEX_ROLE_ID`, `GNTRLEX_PERM_ID`, `GNTRLEX_STATUS`, `GNTRLEX_DT_CREATE`, `GNTRLEX_UID_CREATE`) VALUES ('CKT', 'SP_FIN_ADMIN', 'PM027', 'A', NOW(), 'SYS');</v>
      </c>
    </row>
    <row r="48" spans="1:6" x14ac:dyDescent="0.2">
      <c r="A48" t="s">
        <v>14</v>
      </c>
      <c r="B48" t="s">
        <v>27</v>
      </c>
      <c r="C48" t="s">
        <v>428</v>
      </c>
      <c r="D48" t="str">
        <f>VLOOKUP(C48,Perm_EX_CK2!$A$1:$I$88,9,FALSE)</f>
        <v>Finance</v>
      </c>
      <c r="E48" t="s">
        <v>7</v>
      </c>
      <c r="F48" t="str">
        <f t="shared" si="1"/>
        <v>INSERT INTO `T_CORE_GRANT_ROLE_EX` (`GNTRLEX_APPS_CODE`, `GNTRLEX_ROLE_ID`, `GNTRLEX_PERM_ID`, `GNTRLEX_STATUS`, `GNTRLEX_DT_CREATE`, `GNTRLEX_UID_CREATE`) VALUES ('CKT', 'SP_FIN_ADMIN', 'PM042', 'A', NOW(), 'SYS');</v>
      </c>
    </row>
    <row r="49" spans="1:6" x14ac:dyDescent="0.2">
      <c r="A49" t="s">
        <v>14</v>
      </c>
      <c r="B49" t="s">
        <v>27</v>
      </c>
      <c r="C49" t="s">
        <v>429</v>
      </c>
      <c r="D49" t="str">
        <f>VLOOKUP(C49,Perm_EX_CK2!$A$1:$I$88,9,FALSE)</f>
        <v>Rate Table Management</v>
      </c>
      <c r="E49" t="s">
        <v>7</v>
      </c>
      <c r="F49" t="str">
        <f t="shared" si="1"/>
        <v>INSERT INTO `T_CORE_GRANT_ROLE_EX` (`GNTRLEX_APPS_CODE`, `GNTRLEX_ROLE_ID`, `GNTRLEX_PERM_ID`, `GNTRLEX_STATUS`, `GNTRLEX_DT_CREATE`, `GNTRLEX_UID_CREATE`) VALUES ('CKT', 'SP_FIN_ADMIN', 'PM043', 'A', NOW(), 'SYS');</v>
      </c>
    </row>
    <row r="50" spans="1:6" x14ac:dyDescent="0.2">
      <c r="A50" t="s">
        <v>14</v>
      </c>
      <c r="B50" t="s">
        <v>27</v>
      </c>
      <c r="C50" t="s">
        <v>430</v>
      </c>
      <c r="D50" t="str">
        <f>VLOOKUP(C50,Perm_EX_CK2!$A$1:$I$88,9,FALSE)</f>
        <v>Contract Requests</v>
      </c>
      <c r="E50" t="s">
        <v>7</v>
      </c>
      <c r="F50" t="str">
        <f t="shared" si="1"/>
        <v>INSERT INTO `T_CORE_GRANT_ROLE_EX` (`GNTRLEX_APPS_CODE`, `GNTRLEX_ROLE_ID`, `GNTRLEX_PERM_ID`, `GNTRLEX_STATUS`, `GNTRLEX_DT_CREATE`, `GNTRLEX_UID_CREATE`) VALUES ('CKT', 'SP_FIN_ADMIN', 'PM044', 'A', NOW(), 'SYS');</v>
      </c>
    </row>
    <row r="51" spans="1:6" x14ac:dyDescent="0.2">
      <c r="A51" t="s">
        <v>14</v>
      </c>
      <c r="B51" t="s">
        <v>27</v>
      </c>
      <c r="C51" t="s">
        <v>426</v>
      </c>
      <c r="D51" t="str">
        <f>VLOOKUP(C51,Perm_EX_CK2!$A$1:$I$88,9,FALSE)</f>
        <v>Sage Excel Report</v>
      </c>
      <c r="E51" t="s">
        <v>7</v>
      </c>
      <c r="F51" t="str">
        <f t="shared" si="1"/>
        <v>INSERT INTO `T_CORE_GRANT_ROLE_EX` (`GNTRLEX_APPS_CODE`, `GNTRLEX_ROLE_ID`, `GNTRLEX_PERM_ID`, `GNTRLEX_STATUS`, `GNTRLEX_DT_CREATE`, `GNTRLEX_UID_CREATE`) VALUES ('CKT', 'SP_FIN_ADMIN', 'PM040', 'A', NOW(), 'SYS');</v>
      </c>
    </row>
    <row r="52" spans="1:6" x14ac:dyDescent="0.2">
      <c r="A52" t="s">
        <v>14</v>
      </c>
      <c r="B52" t="s">
        <v>27</v>
      </c>
      <c r="C52" t="s">
        <v>427</v>
      </c>
      <c r="D52" t="str">
        <f>VLOOKUP(C52,Perm_EX_CK2!$A$1:$I$88,9,FALSE)</f>
        <v>Manage Sage Tax No.</v>
      </c>
      <c r="E52" t="s">
        <v>7</v>
      </c>
      <c r="F52" t="str">
        <f t="shared" si="1"/>
        <v>INSERT INTO `T_CORE_GRANT_ROLE_EX` (`GNTRLEX_APPS_CODE`, `GNTRLEX_ROLE_ID`, `GNTRLEX_PERM_ID`, `GNTRLEX_STATUS`, `GNTRLEX_DT_CREATE`, `GNTRLEX_UID_CREATE`) VALUES ('CKT', 'SP_FIN_ADMIN', 'PM041', 'A', NOW(), 'SYS');</v>
      </c>
    </row>
    <row r="53" spans="1:6" x14ac:dyDescent="0.2">
      <c r="A53" t="s">
        <v>14</v>
      </c>
      <c r="B53" t="s">
        <v>25</v>
      </c>
      <c r="C53" t="s">
        <v>413</v>
      </c>
      <c r="D53" t="str">
        <f>VLOOKUP(C53,Perm_EX_CK2!$A$1:$I$88,9,FALSE)</f>
        <v>Services</v>
      </c>
      <c r="E53" t="s">
        <v>7</v>
      </c>
      <c r="F53" t="str">
        <f t="shared" si="1"/>
        <v>INSERT INTO `T_CORE_GRANT_ROLE_EX` (`GNTRLEX_APPS_CODE`, `GNTRLEX_ROLE_ID`, `GNTRLEX_PERM_ID`, `GNTRLEX_STATUS`, `GNTRLEX_DT_CREATE`, `GNTRLEX_UID_CREATE`) VALUES ('CKT', 'SP_FIN_HD', 'PM027', 'A', NOW(), 'SYS');</v>
      </c>
    </row>
    <row r="54" spans="1:6" x14ac:dyDescent="0.2">
      <c r="A54" t="s">
        <v>14</v>
      </c>
      <c r="B54" t="s">
        <v>25</v>
      </c>
      <c r="C54" t="s">
        <v>428</v>
      </c>
      <c r="D54" t="str">
        <f>VLOOKUP(C54,Perm_EX_CK2!$A$1:$I$88,9,FALSE)</f>
        <v>Finance</v>
      </c>
      <c r="E54" t="s">
        <v>7</v>
      </c>
      <c r="F54" t="str">
        <f t="shared" si="1"/>
        <v>INSERT INTO `T_CORE_GRANT_ROLE_EX` (`GNTRLEX_APPS_CODE`, `GNTRLEX_ROLE_ID`, `GNTRLEX_PERM_ID`, `GNTRLEX_STATUS`, `GNTRLEX_DT_CREATE`, `GNTRLEX_UID_CREATE`) VALUES ('CKT', 'SP_FIN_HD', 'PM042', 'A', NOW(), 'SYS');</v>
      </c>
    </row>
    <row r="55" spans="1:6" x14ac:dyDescent="0.2">
      <c r="A55" t="s">
        <v>14</v>
      </c>
      <c r="B55" t="s">
        <v>25</v>
      </c>
      <c r="C55" t="s">
        <v>429</v>
      </c>
      <c r="D55" t="str">
        <f>VLOOKUP(C55,Perm_EX_CK2!$A$1:$I$88,9,FALSE)</f>
        <v>Rate Table Management</v>
      </c>
      <c r="E55" t="s">
        <v>7</v>
      </c>
      <c r="F55" t="str">
        <f t="shared" si="1"/>
        <v>INSERT INTO `T_CORE_GRANT_ROLE_EX` (`GNTRLEX_APPS_CODE`, `GNTRLEX_ROLE_ID`, `GNTRLEX_PERM_ID`, `GNTRLEX_STATUS`, `GNTRLEX_DT_CREATE`, `GNTRLEX_UID_CREATE`) VALUES ('CKT', 'SP_FIN_HD', 'PM043', 'A', NOW(), 'SYS');</v>
      </c>
    </row>
    <row r="56" spans="1:6" x14ac:dyDescent="0.2">
      <c r="A56" t="s">
        <v>14</v>
      </c>
      <c r="B56" t="s">
        <v>25</v>
      </c>
      <c r="C56" t="s">
        <v>430</v>
      </c>
      <c r="D56" t="str">
        <f>VLOOKUP(C56,Perm_EX_CK2!$A$1:$I$88,9,FALSE)</f>
        <v>Contract Requests</v>
      </c>
      <c r="E56" t="s">
        <v>7</v>
      </c>
      <c r="F56" t="str">
        <f t="shared" si="1"/>
        <v>INSERT INTO `T_CORE_GRANT_ROLE_EX` (`GNTRLEX_APPS_CODE`, `GNTRLEX_ROLE_ID`, `GNTRLEX_PERM_ID`, `GNTRLEX_STATUS`, `GNTRLEX_DT_CREATE`, `GNTRLEX_UID_CREATE`) VALUES ('CKT', 'SP_FIN_HD', 'PM044', 'A', NOW(), 'SYS');</v>
      </c>
    </row>
    <row r="57" spans="1:6" x14ac:dyDescent="0.2">
      <c r="A57" t="s">
        <v>14</v>
      </c>
      <c r="B57" t="s">
        <v>25</v>
      </c>
      <c r="C57" t="s">
        <v>431</v>
      </c>
      <c r="D57" t="str">
        <f>VLOOKUP(C57,Perm_EX_CK2!$A$1:$I$88,9,FALSE)</f>
        <v>Accounts Management</v>
      </c>
      <c r="E57" t="s">
        <v>7</v>
      </c>
      <c r="F57" t="str">
        <f t="shared" si="1"/>
        <v>INSERT INTO `T_CORE_GRANT_ROLE_EX` (`GNTRLEX_APPS_CODE`, `GNTRLEX_ROLE_ID`, `GNTRLEX_PERM_ID`, `GNTRLEX_STATUS`, `GNTRLEX_DT_CREATE`, `GNTRLEX_UID_CREATE`) VALUES ('CKT', 'SP_FIN_HD', 'PM045', 'A', NOW(), 'SYS');</v>
      </c>
    </row>
    <row r="58" spans="1:6" x14ac:dyDescent="0.2">
      <c r="A58" t="s">
        <v>14</v>
      </c>
      <c r="B58" t="s">
        <v>25</v>
      </c>
      <c r="C58" t="s">
        <v>445</v>
      </c>
      <c r="D58" t="str">
        <f>VLOOKUP(C58,Perm_EX_CK2!$A$1:$I$88,9,FALSE)</f>
        <v>Contract Management</v>
      </c>
      <c r="E58" t="s">
        <v>7</v>
      </c>
      <c r="F58" t="str">
        <f t="shared" si="1"/>
        <v>INSERT INTO `T_CORE_GRANT_ROLE_EX` (`GNTRLEX_APPS_CODE`, `GNTRLEX_ROLE_ID`, `GNTRLEX_PERM_ID`, `GNTRLEX_STATUS`, `GNTRLEX_DT_CREATE`, `GNTRLEX_UID_CREATE`) VALUES ('CKT', 'SP_FIN_HD', 'PM059', 'A', NOW(), 'SYS');</v>
      </c>
    </row>
    <row r="59" spans="1:6" x14ac:dyDescent="0.2">
      <c r="A59" t="s">
        <v>14</v>
      </c>
      <c r="B59" t="s">
        <v>25</v>
      </c>
      <c r="C59" t="s">
        <v>448</v>
      </c>
      <c r="D59" t="str">
        <f>VLOOKUP(C59,Perm_EX_CK2!$A$1:$I$88,9,FALSE)</f>
        <v>Credit Limit</v>
      </c>
      <c r="E59" t="s">
        <v>7</v>
      </c>
      <c r="F59" t="str">
        <f t="shared" si="1"/>
        <v>INSERT INTO `T_CORE_GRANT_ROLE_EX` (`GNTRLEX_APPS_CODE`, `GNTRLEX_ROLE_ID`, `GNTRLEX_PERM_ID`, `GNTRLEX_STATUS`, `GNTRLEX_DT_CREATE`, `GNTRLEX_UID_CREATE`) VALUES ('CKT', 'SP_FIN_HD', 'PM062', 'A', NOW(), 'SYS');</v>
      </c>
    </row>
    <row r="60" spans="1:6" x14ac:dyDescent="0.2">
      <c r="A60" t="s">
        <v>14</v>
      </c>
      <c r="B60" t="s">
        <v>25</v>
      </c>
      <c r="C60" t="s">
        <v>449</v>
      </c>
      <c r="D60" t="str">
        <f>VLOOKUP(C60,Perm_EX_CK2!$A$1:$I$88,9,FALSE)</f>
        <v>Job Termination</v>
      </c>
      <c r="E60" t="s">
        <v>7</v>
      </c>
      <c r="F60" t="str">
        <f t="shared" si="1"/>
        <v>INSERT INTO `T_CORE_GRANT_ROLE_EX` (`GNTRLEX_APPS_CODE`, `GNTRLEX_ROLE_ID`, `GNTRLEX_PERM_ID`, `GNTRLEX_STATUS`, `GNTRLEX_DT_CREATE`, `GNTRLEX_UID_CREATE`) VALUES ('CKT', 'SP_FIN_HD', 'PM063', 'A', NOW(), 'SYS');</v>
      </c>
    </row>
    <row r="61" spans="1:6" x14ac:dyDescent="0.2">
      <c r="A61" t="s">
        <v>14</v>
      </c>
      <c r="B61" t="s">
        <v>19</v>
      </c>
      <c r="C61" t="s">
        <v>446</v>
      </c>
      <c r="D61" t="str">
        <f>VLOOKUP(C61,Perm_EX_CK2!$A$1:$I$88,9,FALSE)</f>
        <v>Accounts Management</v>
      </c>
      <c r="E61" t="s">
        <v>7</v>
      </c>
      <c r="F61" t="str">
        <f t="shared" si="1"/>
        <v>INSERT INTO `T_CORE_GRANT_ROLE_EX` (`GNTRLEX_APPS_CODE`, `GNTRLEX_ROLE_ID`, `GNTRLEX_PERM_ID`, `GNTRLEX_STATUS`, `GNTRLEX_DT_CREATE`, `GNTRLEX_UID_CREATE`) VALUES ('CKT', 'SP_L1', 'PM060', 'A', NOW(), 'SYS');</v>
      </c>
    </row>
    <row r="62" spans="1:6" x14ac:dyDescent="0.2">
      <c r="A62" t="s">
        <v>14</v>
      </c>
      <c r="B62" t="s">
        <v>19</v>
      </c>
      <c r="C62" t="s">
        <v>432</v>
      </c>
      <c r="D62" t="str">
        <f>VLOOKUP(C62,Perm_EX_CK2!$A$1:$I$88,9,FALSE)</f>
        <v>Customer Service</v>
      </c>
      <c r="E62" t="s">
        <v>7</v>
      </c>
      <c r="F62" t="str">
        <f t="shared" si="1"/>
        <v>INSERT INTO `T_CORE_GRANT_ROLE_EX` (`GNTRLEX_APPS_CODE`, `GNTRLEX_ROLE_ID`, `GNTRLEX_PERM_ID`, `GNTRLEX_STATUS`, `GNTRLEX_DT_CREATE`, `GNTRLEX_UID_CREATE`) VALUES ('CKT', 'SP_L1', 'PM046', 'A', NOW(), 'SYS');</v>
      </c>
    </row>
    <row r="63" spans="1:6" x14ac:dyDescent="0.2">
      <c r="A63" t="s">
        <v>14</v>
      </c>
      <c r="B63" t="s">
        <v>19</v>
      </c>
      <c r="C63" t="s">
        <v>433</v>
      </c>
      <c r="D63" t="str">
        <f>VLOOKUP(C63,Perm_EX_CK2!$A$1:$I$88,9,FALSE)</f>
        <v>Rate Table Management</v>
      </c>
      <c r="E63" t="s">
        <v>7</v>
      </c>
      <c r="F63" t="str">
        <f t="shared" si="1"/>
        <v>INSERT INTO `T_CORE_GRANT_ROLE_EX` (`GNTRLEX_APPS_CODE`, `GNTRLEX_ROLE_ID`, `GNTRLEX_PERM_ID`, `GNTRLEX_STATUS`, `GNTRLEX_DT_CREATE`, `GNTRLEX_UID_CREATE`) VALUES ('CKT', 'SP_L1', 'PM047', 'A', NOW(), 'SYS');</v>
      </c>
    </row>
    <row r="64" spans="1:6" x14ac:dyDescent="0.2">
      <c r="A64" t="s">
        <v>14</v>
      </c>
      <c r="B64" t="s">
        <v>19</v>
      </c>
      <c r="C64" t="s">
        <v>434</v>
      </c>
      <c r="D64" t="str">
        <f>VLOOKUP(C64,Perm_EX_CK2!$A$1:$I$88,9,FALSE)</f>
        <v>Documents Verification</v>
      </c>
      <c r="E64" t="s">
        <v>7</v>
      </c>
      <c r="F64" t="str">
        <f t="shared" si="1"/>
        <v>INSERT INTO `T_CORE_GRANT_ROLE_EX` (`GNTRLEX_APPS_CODE`, `GNTRLEX_ROLE_ID`, `GNTRLEX_PERM_ID`, `GNTRLEX_STATUS`, `GNTRLEX_DT_CREATE`, `GNTRLEX_UID_CREATE`) VALUES ('CKT', 'SP_L1', 'PM048', 'A', NOW(), 'SYS');</v>
      </c>
    </row>
    <row r="65" spans="1:6" x14ac:dyDescent="0.2">
      <c r="A65" t="s">
        <v>14</v>
      </c>
      <c r="B65" t="s">
        <v>19</v>
      </c>
      <c r="C65" t="s">
        <v>442</v>
      </c>
      <c r="D65" t="str">
        <f>VLOOKUP(C65,Perm_EX_CK2!$A$1:$I$88,9,FALSE)</f>
        <v>User Management</v>
      </c>
      <c r="E65" t="s">
        <v>7</v>
      </c>
      <c r="F65" t="str">
        <f t="shared" si="1"/>
        <v>INSERT INTO `T_CORE_GRANT_ROLE_EX` (`GNTRLEX_APPS_CODE`, `GNTRLEX_ROLE_ID`, `GNTRLEX_PERM_ID`, `GNTRLEX_STATUS`, `GNTRLEX_DT_CREATE`, `GNTRLEX_UID_CREATE`) VALUES ('CKT', 'SP_L1', 'PM056', 'A', NOW(), 'SYS');</v>
      </c>
    </row>
    <row r="66" spans="1:6" x14ac:dyDescent="0.2">
      <c r="A66" t="s">
        <v>14</v>
      </c>
      <c r="B66" t="s">
        <v>19</v>
      </c>
      <c r="C66" t="s">
        <v>445</v>
      </c>
      <c r="D66" t="str">
        <f>VLOOKUP(C66,Perm_EX_CK2!$A$1:$I$88,9,FALSE)</f>
        <v>Contract Management</v>
      </c>
      <c r="E66" t="s">
        <v>7</v>
      </c>
      <c r="F66" t="str">
        <f t="shared" ref="F66:F89" si="2">CONCATENATE("INSERT INTO `T_CORE_GRANT_ROLE_EX` (`GNTRLEX_APPS_CODE`, `GNTRLEX_ROLE_ID`, `GNTRLEX_PERM_ID`, `GNTRLEX_STATUS`, `GNTRLEX_DT_CREATE`, `GNTRLEX_UID_CREATE`) VALUES ('",A66,"', '",B66,"', '",C66,"', 'A', NOW(), 'SYS');")</f>
        <v>INSERT INTO `T_CORE_GRANT_ROLE_EX` (`GNTRLEX_APPS_CODE`, `GNTRLEX_ROLE_ID`, `GNTRLEX_PERM_ID`, `GNTRLEX_STATUS`, `GNTRLEX_DT_CREATE`, `GNTRLEX_UID_CREATE`) VALUES ('CKT', 'SP_L1', 'PM059', 'A', NOW(), 'SYS');</v>
      </c>
    </row>
    <row r="67" spans="1:6" x14ac:dyDescent="0.2">
      <c r="A67" t="s">
        <v>14</v>
      </c>
      <c r="B67" t="s">
        <v>19</v>
      </c>
      <c r="C67" t="s">
        <v>448</v>
      </c>
      <c r="D67" t="str">
        <f>VLOOKUP(C67,Perm_EX_CK2!$A$1:$I$88,9,FALSE)</f>
        <v>Credit Limit</v>
      </c>
      <c r="E67" t="s">
        <v>7</v>
      </c>
      <c r="F67" t="str">
        <f t="shared" si="2"/>
        <v>INSERT INTO `T_CORE_GRANT_ROLE_EX` (`GNTRLEX_APPS_CODE`, `GNTRLEX_ROLE_ID`, `GNTRLEX_PERM_ID`, `GNTRLEX_STATUS`, `GNTRLEX_DT_CREATE`, `GNTRLEX_UID_CREATE`) VALUES ('CKT', 'SP_L1', 'PM062', 'A', NOW(), 'SYS');</v>
      </c>
    </row>
    <row r="68" spans="1:6" x14ac:dyDescent="0.2">
      <c r="A68" t="s">
        <v>14</v>
      </c>
      <c r="B68" t="s">
        <v>19</v>
      </c>
      <c r="C68" t="s">
        <v>449</v>
      </c>
      <c r="D68" t="str">
        <f>VLOOKUP(C68,Perm_EX_CK2!$A$1:$I$88,9,FALSE)</f>
        <v>Job Termination</v>
      </c>
      <c r="E68" t="s">
        <v>7</v>
      </c>
      <c r="F68" t="str">
        <f t="shared" si="2"/>
        <v>INSERT INTO `T_CORE_GRANT_ROLE_EX` (`GNTRLEX_APPS_CODE`, `GNTRLEX_ROLE_ID`, `GNTRLEX_PERM_ID`, `GNTRLEX_STATUS`, `GNTRLEX_DT_CREATE`, `GNTRLEX_UID_CREATE`) VALUES ('CKT', 'SP_L1', 'PM063', 'A', NOW(), 'SYS');</v>
      </c>
    </row>
    <row r="69" spans="1:6" x14ac:dyDescent="0.2">
      <c r="A69" t="s">
        <v>14</v>
      </c>
      <c r="B69" t="s">
        <v>18</v>
      </c>
      <c r="C69" t="s">
        <v>434</v>
      </c>
      <c r="D69" t="str">
        <f>VLOOKUP(C69,Perm_EX_CK2!$A$1:$I$88,9,FALSE)</f>
        <v>Documents Verification</v>
      </c>
      <c r="E69" t="s">
        <v>7</v>
      </c>
      <c r="F69" t="str">
        <f t="shared" si="2"/>
        <v>INSERT INTO `T_CORE_GRANT_ROLE_EX` (`GNTRLEX_APPS_CODE`, `GNTRLEX_ROLE_ID`, `GNTRLEX_PERM_ID`, `GNTRLEX_STATUS`, `GNTRLEX_DT_CREATE`, `GNTRLEX_UID_CREATE`) VALUES ('CKT', 'SP_OP_ADMIN', 'PM048', 'A', NOW(), 'SYS');</v>
      </c>
    </row>
    <row r="70" spans="1:6" x14ac:dyDescent="0.2">
      <c r="A70" t="s">
        <v>14</v>
      </c>
      <c r="B70" t="s">
        <v>18</v>
      </c>
      <c r="C70" t="s">
        <v>435</v>
      </c>
      <c r="D70" t="str">
        <f>VLOOKUP(C70,Perm_EX_CK2!$A$1:$I$88,9,FALSE)</f>
        <v>Contract Requests</v>
      </c>
      <c r="E70" t="s">
        <v>7</v>
      </c>
      <c r="F70" t="str">
        <f t="shared" si="2"/>
        <v>INSERT INTO `T_CORE_GRANT_ROLE_EX` (`GNTRLEX_APPS_CODE`, `GNTRLEX_ROLE_ID`, `GNTRLEX_PERM_ID`, `GNTRLEX_STATUS`, `GNTRLEX_DT_CREATE`, `GNTRLEX_UID_CREATE`) VALUES ('CKT', 'SP_OP_ADMIN', 'PM049', 'A', NOW(), 'SYS');</v>
      </c>
    </row>
    <row r="71" spans="1:6" s="9" customFormat="1" x14ac:dyDescent="0.2">
      <c r="A71" s="9" t="s">
        <v>14</v>
      </c>
      <c r="B71" s="9" t="s">
        <v>18</v>
      </c>
      <c r="C71" s="9" t="s">
        <v>436</v>
      </c>
      <c r="D71" t="str">
        <f>VLOOKUP(C71,Perm_EX_CK2!$A$1:$I$88,9,FALSE)</f>
        <v>Operations Administration</v>
      </c>
      <c r="E71" s="9" t="s">
        <v>7</v>
      </c>
      <c r="F71" t="str">
        <f t="shared" si="2"/>
        <v>INSERT INTO `T_CORE_GRANT_ROLE_EX` (`GNTRLEX_APPS_CODE`, `GNTRLEX_ROLE_ID`, `GNTRLEX_PERM_ID`, `GNTRLEX_STATUS`, `GNTRLEX_DT_CREATE`, `GNTRLEX_UID_CREATE`) VALUES ('CKT', 'SP_OP_ADMIN', 'PM050', 'A', NOW(), 'SYS');</v>
      </c>
    </row>
    <row r="72" spans="1:6" s="9" customFormat="1" x14ac:dyDescent="0.2">
      <c r="A72" s="9" t="s">
        <v>14</v>
      </c>
      <c r="B72" s="9" t="s">
        <v>18</v>
      </c>
      <c r="C72" s="9" t="s">
        <v>437</v>
      </c>
      <c r="D72" t="str">
        <f>VLOOKUP(C72,Perm_EX_CK2!$A$1:$I$88,9,FALSE)</f>
        <v>Account Suspension/Resumption</v>
      </c>
      <c r="E72" s="9" t="s">
        <v>7</v>
      </c>
      <c r="F72" t="str">
        <f t="shared" si="2"/>
        <v>INSERT INTO `T_CORE_GRANT_ROLE_EX` (`GNTRLEX_APPS_CODE`, `GNTRLEX_ROLE_ID`, `GNTRLEX_PERM_ID`, `GNTRLEX_STATUS`, `GNTRLEX_DT_CREATE`, `GNTRLEX_UID_CREATE`) VALUES ('CKT', 'SP_OP_ADMIN', 'PM051', 'A', NOW(), 'SYS');</v>
      </c>
    </row>
    <row r="73" spans="1:6" s="9" customFormat="1" x14ac:dyDescent="0.2">
      <c r="A73" s="9" t="s">
        <v>14</v>
      </c>
      <c r="B73" s="9" t="s">
        <v>18</v>
      </c>
      <c r="C73" s="9" t="s">
        <v>439</v>
      </c>
      <c r="D73" t="str">
        <f>VLOOKUP(C73,Perm_EX_CK2!$A$1:$I$88,9,FALSE)</f>
        <v>Static Virtual Account</v>
      </c>
      <c r="E73" s="9" t="s">
        <v>7</v>
      </c>
      <c r="F73" t="str">
        <f t="shared" si="2"/>
        <v>INSERT INTO `T_CORE_GRANT_ROLE_EX` (`GNTRLEX_APPS_CODE`, `GNTRLEX_ROLE_ID`, `GNTRLEX_PERM_ID`, `GNTRLEX_STATUS`, `GNTRLEX_DT_CREATE`, `GNTRLEX_UID_CREATE`) VALUES ('CKT', 'SP_OP_ADMIN', 'PM053', 'A', NOW(), 'SYS');</v>
      </c>
    </row>
    <row r="74" spans="1:6" s="9" customFormat="1" x14ac:dyDescent="0.2">
      <c r="A74" s="9" t="s">
        <v>14</v>
      </c>
      <c r="B74" s="9" t="s">
        <v>18</v>
      </c>
      <c r="C74" s="9" t="s">
        <v>438</v>
      </c>
      <c r="D74" t="str">
        <f>VLOOKUP(C74,Perm_EX_CK2!$A$1:$I$88,9,FALSE)</f>
        <v>Bank Account</v>
      </c>
      <c r="E74" s="9" t="s">
        <v>7</v>
      </c>
      <c r="F74" t="str">
        <f t="shared" si="2"/>
        <v>INSERT INTO `T_CORE_GRANT_ROLE_EX` (`GNTRLEX_APPS_CODE`, `GNTRLEX_ROLE_ID`, `GNTRLEX_PERM_ID`, `GNTRLEX_STATUS`, `GNTRLEX_DT_CREATE`, `GNTRLEX_UID_CREATE`) VALUES ('CKT', 'SP_OP_ADMIN', 'PM052', 'A', NOW(), 'SYS');</v>
      </c>
    </row>
    <row r="75" spans="1:6" s="9" customFormat="1" x14ac:dyDescent="0.2">
      <c r="A75" s="9" t="s">
        <v>14</v>
      </c>
      <c r="B75" s="9" t="s">
        <v>18</v>
      </c>
      <c r="C75" s="9" t="s">
        <v>440</v>
      </c>
      <c r="D75" t="str">
        <f>VLOOKUP(C75,Perm_EX_CK2!$A$1:$I$88,9,FALSE)</f>
        <v>Tracking Device</v>
      </c>
      <c r="E75" s="9" t="s">
        <v>7</v>
      </c>
      <c r="F75" t="str">
        <f t="shared" si="2"/>
        <v>INSERT INTO `T_CORE_GRANT_ROLE_EX` (`GNTRLEX_APPS_CODE`, `GNTRLEX_ROLE_ID`, `GNTRLEX_PERM_ID`, `GNTRLEX_STATUS`, `GNTRLEX_DT_CREATE`, `GNTRLEX_UID_CREATE`) VALUES ('CKT', 'SP_OP_ADMIN', 'PM054', 'A', NOW(), 'SYS');</v>
      </c>
    </row>
    <row r="76" spans="1:6" s="9" customFormat="1" x14ac:dyDescent="0.2">
      <c r="A76" s="9" t="s">
        <v>14</v>
      </c>
      <c r="B76" s="9" t="s">
        <v>18</v>
      </c>
      <c r="C76" s="9" t="s">
        <v>441</v>
      </c>
      <c r="D76" t="str">
        <f>VLOOKUP(C76,Perm_EX_CK2!$A$1:$I$88,9,FALSE)</f>
        <v>SAGE Integration</v>
      </c>
      <c r="E76" s="9" t="s">
        <v>7</v>
      </c>
      <c r="F76" t="str">
        <f t="shared" si="2"/>
        <v>INSERT INTO `T_CORE_GRANT_ROLE_EX` (`GNTRLEX_APPS_CODE`, `GNTRLEX_ROLE_ID`, `GNTRLEX_PERM_ID`, `GNTRLEX_STATUS`, `GNTRLEX_DT_CREATE`, `GNTRLEX_UID_CREATE`) VALUES ('CKT', 'SP_OP_ADMIN', 'PM055', 'A', NOW(), 'SYS');</v>
      </c>
    </row>
    <row r="77" spans="1:6" s="9" customFormat="1" x14ac:dyDescent="0.2">
      <c r="A77" s="9" t="s">
        <v>14</v>
      </c>
      <c r="B77" s="9" t="s">
        <v>18</v>
      </c>
      <c r="C77" s="9" t="s">
        <v>442</v>
      </c>
      <c r="D77" t="str">
        <f>VLOOKUP(C77,Perm_EX_CK2!$A$1:$I$88,9,FALSE)</f>
        <v>User Management</v>
      </c>
      <c r="E77" s="9" t="s">
        <v>7</v>
      </c>
      <c r="F77" t="str">
        <f t="shared" si="2"/>
        <v>INSERT INTO `T_CORE_GRANT_ROLE_EX` (`GNTRLEX_APPS_CODE`, `GNTRLEX_ROLE_ID`, `GNTRLEX_PERM_ID`, `GNTRLEX_STATUS`, `GNTRLEX_DT_CREATE`, `GNTRLEX_UID_CREATE`) VALUES ('CKT', 'SP_OP_ADMIN', 'PM056', 'A', NOW(), 'SYS');</v>
      </c>
    </row>
    <row r="78" spans="1:6" s="10" customFormat="1" x14ac:dyDescent="0.2">
      <c r="A78" s="9" t="s">
        <v>30</v>
      </c>
      <c r="B78" s="9" t="s">
        <v>11</v>
      </c>
      <c r="C78" t="s">
        <v>450</v>
      </c>
      <c r="D78" t="str">
        <f>VLOOKUP(C78,Perm_EX_CK2!$A$1:$I$88,9,FALSE)</f>
        <v>DO Extension Payment</v>
      </c>
      <c r="E78" s="9" t="s">
        <v>7</v>
      </c>
      <c r="F78" t="str">
        <f t="shared" si="2"/>
        <v>INSERT INTO `T_CORE_GRANT_ROLE_EX` (`GNTRLEX_APPS_CODE`, `GNTRLEX_ROLE_ID`, `GNTRLEX_PERM_ID`, `GNTRLEX_STATUS`, `GNTRLEX_DT_CREATE`, `GNTRLEX_UID_CREATE`) VALUES ('CKDO', 'FINANCE', 'PM064', 'A', NOW(), 'SYS');</v>
      </c>
    </row>
    <row r="79" spans="1:6" s="10" customFormat="1" x14ac:dyDescent="0.2">
      <c r="A79" s="9" t="s">
        <v>30</v>
      </c>
      <c r="B79" s="9" t="s">
        <v>11</v>
      </c>
      <c r="C79" t="s">
        <v>451</v>
      </c>
      <c r="D79" t="str">
        <f>VLOOKUP(C79,Perm_EX_CK2!$A$1:$I$88,9,FALSE)</f>
        <v>Platform Fee</v>
      </c>
      <c r="E79" s="9" t="s">
        <v>7</v>
      </c>
      <c r="F79" t="str">
        <f t="shared" si="2"/>
        <v>INSERT INTO `T_CORE_GRANT_ROLE_EX` (`GNTRLEX_APPS_CODE`, `GNTRLEX_ROLE_ID`, `GNTRLEX_PERM_ID`, `GNTRLEX_STATUS`, `GNTRLEX_DT_CREATE`, `GNTRLEX_UID_CREATE`) VALUES ('CKDO', 'FINANCE', 'PM065', 'A', NOW(), 'SYS');</v>
      </c>
    </row>
    <row r="80" spans="1:6" s="10" customFormat="1" x14ac:dyDescent="0.2">
      <c r="A80" s="9" t="s">
        <v>30</v>
      </c>
      <c r="B80" s="9" t="s">
        <v>11</v>
      </c>
      <c r="C80" t="s">
        <v>452</v>
      </c>
      <c r="D80" t="str">
        <f>VLOOKUP(C80,Perm_EX_CK2!$A$1:$I$88,9,FALSE)</f>
        <v>Exchange Rate</v>
      </c>
      <c r="E80" s="9" t="s">
        <v>7</v>
      </c>
      <c r="F80" t="str">
        <f t="shared" si="2"/>
        <v>INSERT INTO `T_CORE_GRANT_ROLE_EX` (`GNTRLEX_APPS_CODE`, `GNTRLEX_ROLE_ID`, `GNTRLEX_PERM_ID`, `GNTRLEX_STATUS`, `GNTRLEX_DT_CREATE`, `GNTRLEX_UID_CREATE`) VALUES ('CKDO', 'FINANCE', 'PM066', 'A', NOW(), 'SYS');</v>
      </c>
    </row>
    <row r="81" spans="1:6" x14ac:dyDescent="0.2">
      <c r="A81" t="s">
        <v>14</v>
      </c>
      <c r="B81" t="s">
        <v>18</v>
      </c>
      <c r="C81" t="s">
        <v>447</v>
      </c>
      <c r="D81" t="str">
        <f>VLOOKUP(C81,Perm_EX_CK2!$A$1:$I$88,9,FALSE)</f>
        <v>Reports</v>
      </c>
      <c r="E81" t="s">
        <v>7</v>
      </c>
      <c r="F81" t="str">
        <f t="shared" si="2"/>
        <v>INSERT INTO `T_CORE_GRANT_ROLE_EX` (`GNTRLEX_APPS_CODE`, `GNTRLEX_ROLE_ID`, `GNTRLEX_PERM_ID`, `GNTRLEX_STATUS`, `GNTRLEX_DT_CREATE`, `GNTRLEX_UID_CREATE`) VALUES ('CKT', 'SP_OP_ADMIN', 'PM061', 'A', NOW(), 'SYS');</v>
      </c>
    </row>
    <row r="82" spans="1:6" x14ac:dyDescent="0.2">
      <c r="A82" t="s">
        <v>14</v>
      </c>
      <c r="B82" t="s">
        <v>16</v>
      </c>
      <c r="C82" t="s">
        <v>447</v>
      </c>
      <c r="D82" t="str">
        <f>VLOOKUP(C82,Perm_EX_CK2!$A$1:$I$88,9,FALSE)</f>
        <v>Reports</v>
      </c>
      <c r="E82" t="s">
        <v>7</v>
      </c>
      <c r="F82" t="str">
        <f t="shared" si="2"/>
        <v>INSERT INTO `T_CORE_GRANT_ROLE_EX` (`GNTRLEX_APPS_CODE`, `GNTRLEX_ROLE_ID`, `GNTRLEX_PERM_ID`, `GNTRLEX_STATUS`, `GNTRLEX_DT_CREATE`, `GNTRLEX_UID_CREATE`) VALUES ('CKT', 'OP_ADMIN', 'PM061', 'A', NOW(), 'SYS');</v>
      </c>
    </row>
    <row r="83" spans="1:6" x14ac:dyDescent="0.2">
      <c r="A83" t="s">
        <v>14</v>
      </c>
      <c r="B83" t="s">
        <v>27</v>
      </c>
      <c r="C83" t="s">
        <v>447</v>
      </c>
      <c r="D83" t="str">
        <f>VLOOKUP(C83,Perm_EX_CK2!$A$1:$I$88,9,FALSE)</f>
        <v>Reports</v>
      </c>
      <c r="E83" t="s">
        <v>7</v>
      </c>
      <c r="F83" t="str">
        <f t="shared" si="2"/>
        <v>INSERT INTO `T_CORE_GRANT_ROLE_EX` (`GNTRLEX_APPS_CODE`, `GNTRLEX_ROLE_ID`, `GNTRLEX_PERM_ID`, `GNTRLEX_STATUS`, `GNTRLEX_DT_CREATE`, `GNTRLEX_UID_CREATE`) VALUES ('CKT', 'SP_FIN_ADMIN', 'PM061', 'A', NOW(), 'SYS');</v>
      </c>
    </row>
    <row r="84" spans="1:6" x14ac:dyDescent="0.2">
      <c r="A84" t="s">
        <v>14</v>
      </c>
      <c r="B84" s="2" t="s">
        <v>16</v>
      </c>
      <c r="C84" s="2" t="s">
        <v>455</v>
      </c>
      <c r="D84" t="str">
        <f>VLOOKUP(C84,Perm_EX_CK2!$A$1:$I$88,9,FALSE)</f>
        <v>Truck Performance</v>
      </c>
      <c r="E84" t="s">
        <v>7</v>
      </c>
      <c r="F84" t="str">
        <f t="shared" si="2"/>
        <v>INSERT INTO `T_CORE_GRANT_ROLE_EX` (`GNTRLEX_APPS_CODE`, `GNTRLEX_ROLE_ID`, `GNTRLEX_PERM_ID`, `GNTRLEX_STATUS`, `GNTRLEX_DT_CREATE`, `GNTRLEX_UID_CREATE`) VALUES ('CKT', 'OP_ADMIN', 'PM069', 'A', NOW(), 'SYS');</v>
      </c>
    </row>
    <row r="85" spans="1:6" x14ac:dyDescent="0.2">
      <c r="A85" t="s">
        <v>14</v>
      </c>
      <c r="B85" s="2" t="s">
        <v>15</v>
      </c>
      <c r="C85" s="2" t="s">
        <v>455</v>
      </c>
      <c r="D85" t="str">
        <f>VLOOKUP(C85,Perm_EX_CK2!$A$1:$I$88,9,FALSE)</f>
        <v>Truck Performance</v>
      </c>
      <c r="E85" t="s">
        <v>7</v>
      </c>
      <c r="F85" t="str">
        <f t="shared" si="2"/>
        <v>INSERT INTO `T_CORE_GRANT_ROLE_EX` (`GNTRLEX_APPS_CODE`, `GNTRLEX_ROLE_ID`, `GNTRLEX_PERM_ID`, `GNTRLEX_STATUS`, `GNTRLEX_DT_CREATE`, `GNTRLEX_UID_CREATE`) VALUES ('CKT', 'FF_FINANCE', 'PM069', 'A', NOW(), 'SYS');</v>
      </c>
    </row>
    <row r="86" spans="1:6" x14ac:dyDescent="0.2">
      <c r="A86" t="s">
        <v>14</v>
      </c>
      <c r="B86" t="s">
        <v>6</v>
      </c>
      <c r="C86" t="s">
        <v>1036</v>
      </c>
      <c r="D86" t="str">
        <f>VLOOKUP(C86,Perm_EX_CK2!$A$1:$I$88,9,FALSE)</f>
        <v>Manage Cargo Owners</v>
      </c>
      <c r="E86" t="s">
        <v>7</v>
      </c>
      <c r="F86" t="str">
        <f t="shared" si="2"/>
        <v>INSERT INTO `T_CORE_GRANT_ROLE_EX` (`GNTRLEX_APPS_CODE`, `GNTRLEX_ROLE_ID`, `GNTRLEX_PERM_ID`, `GNTRLEX_STATUS`, `GNTRLEX_DT_CREATE`, `GNTRLEX_UID_CREATE`) VALUES ('CKT', 'ADMIN', 'PM038A', 'A', NOW(), 'SYS');</v>
      </c>
    </row>
    <row r="87" spans="1:6" x14ac:dyDescent="0.2">
      <c r="A87" t="s">
        <v>14</v>
      </c>
      <c r="B87" t="s">
        <v>16</v>
      </c>
      <c r="C87" s="27" t="s">
        <v>1033</v>
      </c>
      <c r="D87" t="str">
        <f>VLOOKUP(C87,Perm_EX_CK2!$A$1:$I$88,9,FALSE)</f>
        <v>Manage Chassis</v>
      </c>
      <c r="E87" t="s">
        <v>7</v>
      </c>
      <c r="F87" t="str">
        <f t="shared" si="2"/>
        <v>INSERT INTO `T_CORE_GRANT_ROLE_EX` (`GNTRLEX_APPS_CODE`, `GNTRLEX_ROLE_ID`, `GNTRLEX_PERM_ID`, `GNTRLEX_STATUS`, `GNTRLEX_DT_CREATE`, `GNTRLEX_UID_CREATE`) VALUES ('CKT', 'OP_ADMIN', 'PM070', 'A', NOW(), 'SYS');</v>
      </c>
    </row>
    <row r="88" spans="1:6" x14ac:dyDescent="0.2">
      <c r="A88" t="s">
        <v>14</v>
      </c>
      <c r="B88" t="s">
        <v>12</v>
      </c>
      <c r="C88" s="27" t="s">
        <v>1035</v>
      </c>
      <c r="D88" t="str">
        <f>VLOOKUP(C88,Perm_EX_CK2!$A$1:$I$88,9,FALSE)</f>
        <v>System Parameters</v>
      </c>
      <c r="E88" t="s">
        <v>7</v>
      </c>
      <c r="F88" t="str">
        <f t="shared" si="2"/>
        <v>INSERT INTO `T_CORE_GRANT_ROLE_EX` (`GNTRLEX_APPS_CODE`, `GNTRLEX_ROLE_ID`, `GNTRLEX_PERM_ID`, `GNTRLEX_STATUS`, `GNTRLEX_DT_CREATE`, `GNTRLEX_UID_CREATE`) VALUES ('CKT', 'SYS_SUPER_ADMIN', 'PM072', 'A', NOW(), 'SYS');</v>
      </c>
    </row>
    <row r="89" spans="1:6" x14ac:dyDescent="0.2">
      <c r="A89" t="s">
        <v>14</v>
      </c>
      <c r="B89" t="s">
        <v>18</v>
      </c>
      <c r="C89" t="s">
        <v>1036</v>
      </c>
      <c r="D89" t="str">
        <f>VLOOKUP(C89,Perm_EX_CK2!$A$1:$I$88,9,FALSE)</f>
        <v>Manage Cargo Owners</v>
      </c>
      <c r="E89" t="s">
        <v>7</v>
      </c>
      <c r="F89" t="str">
        <f t="shared" si="2"/>
        <v>INSERT INTO `T_CORE_GRANT_ROLE_EX` (`GNTRLEX_APPS_CODE`, `GNTRLEX_ROLE_ID`, `GNTRLEX_PERM_ID`, `GNTRLEX_STATUS`, `GNTRLEX_DT_CREATE`, `GNTRLEX_UID_CREATE`) VALUES ('CKT', 'SP_OP_ADMIN', 'PM038A', 'A', NOW(), 'SYS');</v>
      </c>
    </row>
    <row r="90" spans="1:6" x14ac:dyDescent="0.2">
      <c r="A90" t="s">
        <v>14</v>
      </c>
      <c r="B90" t="s">
        <v>18</v>
      </c>
      <c r="C90" s="33" t="s">
        <v>1169</v>
      </c>
      <c r="D90" t="str">
        <f>VLOOKUP(C90,Perm_EX_CK2!$A$1:$I$88,9,FALSE)</f>
        <v>Account Inquiry Request</v>
      </c>
      <c r="E90" t="s">
        <v>7</v>
      </c>
      <c r="F90" t="str">
        <f t="shared" ref="F90" si="3">CONCATENATE("INSERT INTO `T_CORE_GRANT_ROLE_EX` (`GNTRLEX_APPS_CODE`, `GNTRLEX_ROLE_ID`, `GNTRLEX_PERM_ID`, `GNTRLEX_STATUS`, `GNTRLEX_DT_CREATE`, `GNTRLEX_UID_CREATE`) VALUES ('",A90,"', '",B90,"', '",C90,"', 'A', NOW(), 'SYS');")</f>
        <v>INSERT INTO `T_CORE_GRANT_ROLE_EX` (`GNTRLEX_APPS_CODE`, `GNTRLEX_ROLE_ID`, `GNTRLEX_PERM_ID`, `GNTRLEX_STATUS`, `GNTRLEX_DT_CREATE`, `GNTRLEX_UID_CREATE`) VALUES ('CKT', 'SP_OP_ADMIN', 'PM073', 'A', NOW(), 'SYS');</v>
      </c>
    </row>
    <row r="91" spans="1:6" x14ac:dyDescent="0.2">
      <c r="A91" t="s">
        <v>14</v>
      </c>
      <c r="B91" t="s">
        <v>19</v>
      </c>
      <c r="C91" s="33" t="s">
        <v>1169</v>
      </c>
      <c r="D91" t="str">
        <f>VLOOKUP(C91,Perm_EX_CK2!$A$1:$I$88,9,FALSE)</f>
        <v>Account Inquiry Request</v>
      </c>
      <c r="E91" t="s">
        <v>7</v>
      </c>
      <c r="F91" t="str">
        <f t="shared" ref="F91:F94" si="4">CONCATENATE("INSERT INTO `T_CORE_GRANT_ROLE_EX` (`GNTRLEX_APPS_CODE`, `GNTRLEX_ROLE_ID`, `GNTRLEX_PERM_ID`, `GNTRLEX_STATUS`, `GNTRLEX_DT_CREATE`, `GNTRLEX_UID_CREATE`) VALUES ('",A91,"', '",B91,"', '",C91,"', 'A', NOW(), 'SYS');")</f>
        <v>INSERT INTO `T_CORE_GRANT_ROLE_EX` (`GNTRLEX_APPS_CODE`, `GNTRLEX_ROLE_ID`, `GNTRLEX_PERM_ID`, `GNTRLEX_STATUS`, `GNTRLEX_DT_CREATE`, `GNTRLEX_UID_CREATE`) VALUES ('CKT', 'SP_L1', 'PM073', 'A', NOW(), 'SYS');</v>
      </c>
    </row>
    <row r="92" spans="1:6" s="10" customFormat="1" x14ac:dyDescent="0.2">
      <c r="A92" s="9" t="s">
        <v>30</v>
      </c>
      <c r="B92" s="35" t="s">
        <v>6</v>
      </c>
      <c r="C92" s="10" t="s">
        <v>1176</v>
      </c>
      <c r="D92" t="str">
        <f>VLOOKUP(C92,Perm_EX_CK2!$A$1:$I$88,9,FALSE)</f>
        <v>Operations Administration</v>
      </c>
      <c r="E92" t="s">
        <v>7</v>
      </c>
      <c r="F92" t="str">
        <f t="shared" si="4"/>
        <v>INSERT INTO `T_CORE_GRANT_ROLE_EX` (`GNTRLEX_APPS_CODE`, `GNTRLEX_ROLE_ID`, `GNTRLEX_PERM_ID`, `GNTRLEX_STATUS`, `GNTRLEX_DT_CREATE`, `GNTRLEX_UID_CREATE`) VALUES ('CKDO', 'ADMIN', 'PM084', 'A', NOW(), 'SYS');</v>
      </c>
    </row>
    <row r="93" spans="1:6" x14ac:dyDescent="0.2">
      <c r="A93" s="9" t="s">
        <v>30</v>
      </c>
      <c r="B93" s="35" t="s">
        <v>6</v>
      </c>
      <c r="C93" t="s">
        <v>1177</v>
      </c>
      <c r="D93" t="str">
        <f>VLOOKUP(C93,Perm_EX_CK2!$A$1:$I$88,9,FALSE)</f>
        <v>Tax</v>
      </c>
      <c r="E93" t="s">
        <v>7</v>
      </c>
      <c r="F93" t="str">
        <f t="shared" si="4"/>
        <v>INSERT INTO `T_CORE_GRANT_ROLE_EX` (`GNTRLEX_APPS_CODE`, `GNTRLEX_ROLE_ID`, `GNTRLEX_PERM_ID`, `GNTRLEX_STATUS`, `GNTRLEX_DT_CREATE`, `GNTRLEX_UID_CREATE`) VALUES ('CKDO', 'ADMIN', 'PMDO030400', 'A', NOW(), 'SYS');</v>
      </c>
    </row>
    <row r="94" spans="1:6" x14ac:dyDescent="0.2">
      <c r="A94" s="9" t="s">
        <v>30</v>
      </c>
      <c r="B94" s="35" t="s">
        <v>6</v>
      </c>
      <c r="C94" s="35" t="s">
        <v>1178</v>
      </c>
      <c r="D94" t="str">
        <f>VLOOKUP(C94,Perm_EX_CK2!$A$1:$I$88,9,FALSE)</f>
        <v>SAGE Integration</v>
      </c>
      <c r="E94" t="s">
        <v>7</v>
      </c>
      <c r="F94" t="str">
        <f t="shared" si="4"/>
        <v>INSERT INTO `T_CORE_GRANT_ROLE_EX` (`GNTRLEX_APPS_CODE`, `GNTRLEX_ROLE_ID`, `GNTRLEX_PERM_ID`, `GNTRLEX_STATUS`, `GNTRLEX_DT_CREATE`, `GNTRLEX_UID_CREATE`) VALUES ('CKDO', 'ADMIN', 'PMDO030500', 'A', NOW(), 'SYS');</v>
      </c>
    </row>
    <row r="95" spans="1:6" s="10" customFormat="1" x14ac:dyDescent="0.2">
      <c r="A95" s="9" t="s">
        <v>30</v>
      </c>
      <c r="B95" s="35" t="s">
        <v>6</v>
      </c>
      <c r="C95" s="10" t="s">
        <v>1184</v>
      </c>
      <c r="D95" t="str">
        <f>VLOOKUP(C95,Perm_EX_CK2!$A$1:$I$88,9,FALSE)</f>
        <v>Static Virtual Account</v>
      </c>
      <c r="E95" t="s">
        <v>7</v>
      </c>
      <c r="F95" t="str">
        <f t="shared" ref="F95" si="5">CONCATENATE("INSERT INTO `T_CORE_GRANT_ROLE_EX` (`GNTRLEX_APPS_CODE`, `GNTRLEX_ROLE_ID`, `GNTRLEX_PERM_ID`, `GNTRLEX_STATUS`, `GNTRLEX_DT_CREATE`, `GNTRLEX_UID_CREATE`) VALUES ('",A95,"', '",B95,"', '",C95,"', 'A', NOW(), 'SYS');")</f>
        <v>INSERT INTO `T_CORE_GRANT_ROLE_EX` (`GNTRLEX_APPS_CODE`, `GNTRLEX_ROLE_ID`, `GNTRLEX_PERM_ID`, `GNTRLEX_STATUS`, `GNTRLEX_DT_CREATE`, `GNTRLEX_UID_CREATE`) VALUES ('CKDO', 'ADMIN', 'PM085', 'A', NOW(), 'SYS');</v>
      </c>
    </row>
    <row r="96" spans="1:6" s="10" customFormat="1" x14ac:dyDescent="0.2">
      <c r="A96" s="9" t="s">
        <v>30</v>
      </c>
      <c r="B96" s="35" t="s">
        <v>6</v>
      </c>
      <c r="C96" s="10" t="s">
        <v>1185</v>
      </c>
      <c r="D96" t="str">
        <f>VLOOKUP(C96,Perm_EX_CK2!$A$1:$I$88,9,FALSE)</f>
        <v>Accounts Management</v>
      </c>
      <c r="E96" t="s">
        <v>7</v>
      </c>
      <c r="F96" t="str">
        <f t="shared" ref="F96" si="6">CONCATENATE("INSERT INTO `T_CORE_GRANT_ROLE_EX` (`GNTRLEX_APPS_CODE`, `GNTRLEX_ROLE_ID`, `GNTRLEX_PERM_ID`, `GNTRLEX_STATUS`, `GNTRLEX_DT_CREATE`, `GNTRLEX_UID_CREATE`) VALUES ('",A96,"', '",B96,"', '",C96,"', 'A', NOW(), 'SYS');")</f>
        <v>INSERT INTO `T_CORE_GRANT_ROLE_EX` (`GNTRLEX_APPS_CODE`, `GNTRLEX_ROLE_ID`, `GNTRLEX_PERM_ID`, `GNTRLEX_STATUS`, `GNTRLEX_DT_CREATE`, `GNTRLEX_UID_CREATE`) VALUES ('CKDO', 'ADMIN', 'PM086', 'A', NOW(), 'SYS');</v>
      </c>
    </row>
    <row r="97" spans="1:6" s="10" customFormat="1" x14ac:dyDescent="0.2">
      <c r="A97" s="9" t="s">
        <v>30</v>
      </c>
      <c r="B97" t="s">
        <v>19</v>
      </c>
      <c r="C97" s="35" t="s">
        <v>1185</v>
      </c>
      <c r="D97" t="str">
        <f>VLOOKUP(C97,Perm_EX_CK2!$A$1:$I$88,9,FALSE)</f>
        <v>Accounts Management</v>
      </c>
      <c r="E97" t="s">
        <v>7</v>
      </c>
      <c r="F97" t="str">
        <f t="shared" ref="F97" si="7">CONCATENATE("INSERT INTO `T_CORE_GRANT_ROLE_EX` (`GNTRLEX_APPS_CODE`, `GNTRLEX_ROLE_ID`, `GNTRLEX_PERM_ID`, `GNTRLEX_STATUS`, `GNTRLEX_DT_CREATE`, `GNTRLEX_UID_CREATE`) VALUES ('",A97,"', '",B97,"', '",C97,"', 'A', NOW(), 'SYS');")</f>
        <v>INSERT INTO `T_CORE_GRANT_ROLE_EX` (`GNTRLEX_APPS_CODE`, `GNTRLEX_ROLE_ID`, `GNTRLEX_PERM_ID`, `GNTRLEX_STATUS`, `GNTRLEX_DT_CREATE`, `GNTRLEX_UID_CREATE`) VALUES ('CKDO', 'SP_L1', 'PM086', 'A', NOW(), 'SYS');</v>
      </c>
    </row>
    <row r="98" spans="1:6" s="10" customFormat="1" x14ac:dyDescent="0.2">
      <c r="A98" s="9" t="s">
        <v>30</v>
      </c>
      <c r="B98" t="s">
        <v>19</v>
      </c>
      <c r="C98" s="35" t="s">
        <v>1199</v>
      </c>
      <c r="D98" t="str">
        <f>VLOOKUP(C98,Perm_EX_CK2!$A$1:$I$88,9,FALSE)</f>
        <v>Users Management</v>
      </c>
      <c r="E98" t="s">
        <v>7</v>
      </c>
      <c r="F98" t="str">
        <f t="shared" ref="F98" si="8">CONCATENATE("INSERT INTO `T_CORE_GRANT_ROLE_EX` (`GNTRLEX_APPS_CODE`, `GNTRLEX_ROLE_ID`, `GNTRLEX_PERM_ID`, `GNTRLEX_STATUS`, `GNTRLEX_DT_CREATE`, `GNTRLEX_UID_CREATE`) VALUES ('",A98,"', '",B98,"', '",C98,"', 'A', NOW(), 'SYS');")</f>
        <v>INSERT INTO `T_CORE_GRANT_ROLE_EX` (`GNTRLEX_APPS_CODE`, `GNTRLEX_ROLE_ID`, `GNTRLEX_PERM_ID`, `GNTRLEX_STATUS`, `GNTRLEX_DT_CREATE`, `GNTRLEX_UID_CREATE`) VALUES ('CKDO', 'SP_L1', 'PM087', 'A', NOW(), 'SYS');</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topLeftCell="A16" workbookViewId="0">
      <selection activeCell="D36" sqref="D36"/>
    </sheetView>
  </sheetViews>
  <sheetFormatPr baseColWidth="10" defaultColWidth="11" defaultRowHeight="16" x14ac:dyDescent="0.2"/>
  <cols>
    <col min="1" max="1" width="19.6640625" customWidth="1"/>
    <col min="2" max="2" width="18.33203125" customWidth="1"/>
    <col min="3" max="4" width="17.5" customWidth="1"/>
  </cols>
  <sheetData>
    <row r="1" spans="1:6" x14ac:dyDescent="0.2">
      <c r="A1" s="8" t="s">
        <v>456</v>
      </c>
      <c r="B1" s="8" t="s">
        <v>457</v>
      </c>
      <c r="C1" s="8" t="s">
        <v>458</v>
      </c>
      <c r="D1" s="8" t="s">
        <v>459</v>
      </c>
      <c r="E1" s="8" t="s">
        <v>460</v>
      </c>
      <c r="F1" s="8" t="s">
        <v>4</v>
      </c>
    </row>
    <row r="2" spans="1:6" x14ac:dyDescent="0.2">
      <c r="A2" s="6" t="s">
        <v>5</v>
      </c>
      <c r="B2" s="6" t="s">
        <v>12</v>
      </c>
      <c r="C2" t="s">
        <v>394</v>
      </c>
      <c r="D2" t="str">
        <f>VLOOKUP(C2,PermEx!$A$1:$I$25,9,FALSE)</f>
        <v>Announcement Type</v>
      </c>
      <c r="E2" s="6" t="s">
        <v>7</v>
      </c>
      <c r="F2" t="str">
        <f>CONCATENATE("INSERT INTO `T_CORE_GRANT_ROLE_EX` (`GNTRLEX_APPS_CODE`, `GNTRLEX_ROLE_ID`, `GNTRLEX_PERM_ID`, `GNTRLEX_STATUS`, `GNTRLEX_DT_CREATE`, `GNTRLEX_UID_CREATE`) VALUES ('",A2,"', '",B2,"', '",C2,"', 'A', NOW(), 'SYS');")</f>
        <v>INSERT INTO `T_CORE_GRANT_ROLE_EX` (`GNTRLEX_APPS_CODE`, `GNTRLEX_ROLE_ID`, `GNTRLEX_PERM_ID`, `GNTRLEX_STATUS`, `GNTRLEX_DT_CREATE`, `GNTRLEX_UID_CREATE`) VALUES ('CK', 'SYS_SUPER_ADMIN', 'PM008', 'A', NOW(), 'SYS');</v>
      </c>
    </row>
    <row r="3" spans="1:6" x14ac:dyDescent="0.2">
      <c r="A3" s="6" t="s">
        <v>5</v>
      </c>
      <c r="B3" s="6" t="s">
        <v>12</v>
      </c>
      <c r="C3" t="s">
        <v>395</v>
      </c>
      <c r="D3" t="str">
        <f>VLOOKUP(C3,PermEx!$A$1:$I$25,9,FALSE)</f>
        <v>Country Codes</v>
      </c>
      <c r="E3" s="6" t="s">
        <v>7</v>
      </c>
      <c r="F3" t="str">
        <f t="shared" ref="F3:F34" si="0">CONCATENATE("INSERT INTO `T_CORE_GRANT_ROLE_EX` (`GNTRLEX_APPS_CODE`, `GNTRLEX_ROLE_ID`, `GNTRLEX_PERM_ID`, `GNTRLEX_STATUS`, `GNTRLEX_DT_CREATE`, `GNTRLEX_UID_CREATE`) VALUES ('",A3,"', '",B3,"', '",C3,"', 'A', NOW(), 'SYS');")</f>
        <v>INSERT INTO `T_CORE_GRANT_ROLE_EX` (`GNTRLEX_APPS_CODE`, `GNTRLEX_ROLE_ID`, `GNTRLEX_PERM_ID`, `GNTRLEX_STATUS`, `GNTRLEX_DT_CREATE`, `GNTRLEX_UID_CREATE`) VALUES ('CK', 'SYS_SUPER_ADMIN', 'PM009', 'A', NOW(), 'SYS');</v>
      </c>
    </row>
    <row r="4" spans="1:6" x14ac:dyDescent="0.2">
      <c r="A4" s="6" t="s">
        <v>5</v>
      </c>
      <c r="B4" s="6" t="s">
        <v>12</v>
      </c>
      <c r="C4" t="s">
        <v>396</v>
      </c>
      <c r="D4" t="str">
        <f>VLOOKUP(C4,PermEx!$A$1:$I$25,9,FALSE)</f>
        <v>Currency Code</v>
      </c>
      <c r="E4" s="6" t="s">
        <v>7</v>
      </c>
      <c r="F4" t="str">
        <f t="shared" si="0"/>
        <v>INSERT INTO `T_CORE_GRANT_ROLE_EX` (`GNTRLEX_APPS_CODE`, `GNTRLEX_ROLE_ID`, `GNTRLEX_PERM_ID`, `GNTRLEX_STATUS`, `GNTRLEX_DT_CREATE`, `GNTRLEX_UID_CREATE`) VALUES ('CK', 'SYS_SUPER_ADMIN', 'PM010', 'A', NOW(), 'SYS');</v>
      </c>
    </row>
    <row r="5" spans="1:6" x14ac:dyDescent="0.2">
      <c r="A5" s="6" t="s">
        <v>5</v>
      </c>
      <c r="B5" s="6" t="s">
        <v>12</v>
      </c>
      <c r="C5" t="s">
        <v>397</v>
      </c>
      <c r="D5" t="str">
        <f>VLOOKUP(C5,PermEx!$A$1:$I$25,9,FALSE)</f>
        <v>Harmonized System Codes</v>
      </c>
      <c r="E5" s="6" t="s">
        <v>7</v>
      </c>
      <c r="F5" t="str">
        <f t="shared" si="0"/>
        <v>INSERT INTO `T_CORE_GRANT_ROLE_EX` (`GNTRLEX_APPS_CODE`, `GNTRLEX_ROLE_ID`, `GNTRLEX_PERM_ID`, `GNTRLEX_STATUS`, `GNTRLEX_DT_CREATE`, `GNTRLEX_UID_CREATE`) VALUES ('CK', 'SYS_SUPER_ADMIN', 'PM011', 'A', NOW(), 'SYS');</v>
      </c>
    </row>
    <row r="6" spans="1:6" x14ac:dyDescent="0.2">
      <c r="A6" s="6" t="s">
        <v>5</v>
      </c>
      <c r="B6" s="6" t="s">
        <v>12</v>
      </c>
      <c r="C6" t="s">
        <v>398</v>
      </c>
      <c r="D6" t="str">
        <f>VLOOKUP(C6,PermEx!$A$1:$I$25,9,FALSE)</f>
        <v>Notification Templates</v>
      </c>
      <c r="E6" s="6" t="s">
        <v>7</v>
      </c>
      <c r="F6" t="str">
        <f t="shared" si="0"/>
        <v>INSERT INTO `T_CORE_GRANT_ROLE_EX` (`GNTRLEX_APPS_CODE`, `GNTRLEX_ROLE_ID`, `GNTRLEX_PERM_ID`, `GNTRLEX_STATUS`, `GNTRLEX_DT_CREATE`, `GNTRLEX_UID_CREATE`) VALUES ('CK', 'SYS_SUPER_ADMIN', 'PM012', 'A', NOW(), 'SYS');</v>
      </c>
    </row>
    <row r="7" spans="1:6" x14ac:dyDescent="0.2">
      <c r="A7" s="6" t="s">
        <v>5</v>
      </c>
      <c r="B7" s="6" t="s">
        <v>12</v>
      </c>
      <c r="C7" t="s">
        <v>399</v>
      </c>
      <c r="D7" t="str">
        <f>VLOOKUP(C7,PermEx!$A$1:$I$25,9,FALSE)</f>
        <v>Port Codes</v>
      </c>
      <c r="E7" s="6" t="s">
        <v>7</v>
      </c>
      <c r="F7" t="str">
        <f t="shared" si="0"/>
        <v>INSERT INTO `T_CORE_GRANT_ROLE_EX` (`GNTRLEX_APPS_CODE`, `GNTRLEX_ROLE_ID`, `GNTRLEX_PERM_ID`, `GNTRLEX_STATUS`, `GNTRLEX_DT_CREATE`, `GNTRLEX_UID_CREATE`) VALUES ('CK', 'SYS_SUPER_ADMIN', 'PM013', 'A', NOW(), 'SYS');</v>
      </c>
    </row>
    <row r="8" spans="1:6" x14ac:dyDescent="0.2">
      <c r="A8" s="6" t="s">
        <v>5</v>
      </c>
      <c r="B8" s="6" t="s">
        <v>12</v>
      </c>
      <c r="C8" t="s">
        <v>400</v>
      </c>
      <c r="D8" t="str">
        <f>VLOOKUP(C8,PermEx!$A$1:$I$25,9,FALSE)</f>
        <v>Port Terminal</v>
      </c>
      <c r="E8" s="6" t="s">
        <v>7</v>
      </c>
      <c r="F8" t="str">
        <f t="shared" si="0"/>
        <v>INSERT INTO `T_CORE_GRANT_ROLE_EX` (`GNTRLEX_APPS_CODE`, `GNTRLEX_ROLE_ID`, `GNTRLEX_PERM_ID`, `GNTRLEX_STATUS`, `GNTRLEX_DT_CREATE`, `GNTRLEX_UID_CREATE`) VALUES ('CK', 'SYS_SUPER_ADMIN', 'PM014', 'A', NOW(), 'SYS');</v>
      </c>
    </row>
    <row r="9" spans="1:6" x14ac:dyDescent="0.2">
      <c r="A9" s="6" t="s">
        <v>5</v>
      </c>
      <c r="B9" s="6" t="s">
        <v>12</v>
      </c>
      <c r="C9" t="s">
        <v>401</v>
      </c>
      <c r="D9" t="str">
        <f>VLOOKUP(C9,PermEx!$A$1:$I$25,9,FALSE)</f>
        <v>UOM Codes</v>
      </c>
      <c r="E9" s="6" t="s">
        <v>7</v>
      </c>
      <c r="F9" t="str">
        <f t="shared" si="0"/>
        <v>INSERT INTO `T_CORE_GRANT_ROLE_EX` (`GNTRLEX_APPS_CODE`, `GNTRLEX_ROLE_ID`, `GNTRLEX_PERM_ID`, `GNTRLEX_STATUS`, `GNTRLEX_DT_CREATE`, `GNTRLEX_UID_CREATE`) VALUES ('CK', 'SYS_SUPER_ADMIN', 'PM015', 'A', NOW(), 'SYS');</v>
      </c>
    </row>
    <row r="10" spans="1:6" x14ac:dyDescent="0.2">
      <c r="A10" s="6" t="s">
        <v>5</v>
      </c>
      <c r="B10" s="6" t="s">
        <v>12</v>
      </c>
      <c r="C10" t="s">
        <v>402</v>
      </c>
      <c r="D10" t="str">
        <f>VLOOKUP(C10,PermEx!$A$1:$I$25,9,FALSE)</f>
        <v>System Administrations</v>
      </c>
      <c r="E10" s="6" t="s">
        <v>7</v>
      </c>
      <c r="F10" t="str">
        <f t="shared" si="0"/>
        <v>INSERT INTO `T_CORE_GRANT_ROLE_EX` (`GNTRLEX_APPS_CODE`, `GNTRLEX_ROLE_ID`, `GNTRLEX_PERM_ID`, `GNTRLEX_STATUS`, `GNTRLEX_DT_CREATE`, `GNTRLEX_UID_CREATE`) VALUES ('CK', 'SYS_SUPER_ADMIN', 'PM016', 'A', NOW(), 'SYS');</v>
      </c>
    </row>
    <row r="11" spans="1:6" x14ac:dyDescent="0.2">
      <c r="A11" s="6" t="s">
        <v>5</v>
      </c>
      <c r="B11" s="6" t="s">
        <v>12</v>
      </c>
      <c r="C11" t="s">
        <v>403</v>
      </c>
      <c r="D11" t="str">
        <f>VLOOKUP(C11,PermEx!$A$1:$I$25,9,FALSE)</f>
        <v>Announcement Setup</v>
      </c>
      <c r="E11" s="6" t="s">
        <v>7</v>
      </c>
      <c r="F11" t="str">
        <f t="shared" si="0"/>
        <v>INSERT INTO `T_CORE_GRANT_ROLE_EX` (`GNTRLEX_APPS_CODE`, `GNTRLEX_ROLE_ID`, `GNTRLEX_PERM_ID`, `GNTRLEX_STATUS`, `GNTRLEX_DT_CREATE`, `GNTRLEX_UID_CREATE`) VALUES ('CK', 'SYS_SUPER_ADMIN', 'PM017', 'A', NOW(), 'SYS');</v>
      </c>
    </row>
    <row r="12" spans="1:6" x14ac:dyDescent="0.2">
      <c r="A12" s="6" t="s">
        <v>5</v>
      </c>
      <c r="B12" s="6" t="s">
        <v>12</v>
      </c>
      <c r="C12" t="s">
        <v>404</v>
      </c>
      <c r="D12" t="str">
        <f>VLOOKUP(C12,PermEx!$A$1:$I$25,9,FALSE)</f>
        <v>Notification Preferences</v>
      </c>
      <c r="E12" s="6" t="s">
        <v>7</v>
      </c>
      <c r="F12" t="str">
        <f t="shared" si="0"/>
        <v>INSERT INTO `T_CORE_GRANT_ROLE_EX` (`GNTRLEX_APPS_CODE`, `GNTRLEX_ROLE_ID`, `GNTRLEX_PERM_ID`, `GNTRLEX_STATUS`, `GNTRLEX_DT_CREATE`, `GNTRLEX_UID_CREATE`) VALUES ('CK', 'SYS_SUPER_ADMIN', 'PM018', 'A', NOW(), 'SYS');</v>
      </c>
    </row>
    <row r="13" spans="1:6" x14ac:dyDescent="0.2">
      <c r="A13" s="6" t="s">
        <v>5</v>
      </c>
      <c r="B13" s="6" t="s">
        <v>12</v>
      </c>
      <c r="C13" t="s">
        <v>405</v>
      </c>
      <c r="D13" t="str">
        <f>VLOOKUP(C13,PermEx!$A$1:$I$25,9,FALSE)</f>
        <v>System Parameters</v>
      </c>
      <c r="E13" s="6" t="s">
        <v>7</v>
      </c>
      <c r="F13" t="str">
        <f t="shared" si="0"/>
        <v>INSERT INTO `T_CORE_GRANT_ROLE_EX` (`GNTRLEX_APPS_CODE`, `GNTRLEX_ROLE_ID`, `GNTRLEX_PERM_ID`, `GNTRLEX_STATUS`, `GNTRLEX_DT_CREATE`, `GNTRLEX_UID_CREATE`) VALUES ('CK', 'SYS_SUPER_ADMIN', 'PM019', 'A', NOW(), 'SYS');</v>
      </c>
    </row>
    <row r="14" spans="1:6" x14ac:dyDescent="0.2">
      <c r="A14" s="6" t="s">
        <v>5</v>
      </c>
      <c r="B14" s="6" t="s">
        <v>12</v>
      </c>
      <c r="C14" t="s">
        <v>406</v>
      </c>
      <c r="D14" t="str">
        <f>VLOOKUP(C14,PermEx!$A$1:$I$25,9,FALSE)</f>
        <v>Audit Logs</v>
      </c>
      <c r="E14" s="6" t="s">
        <v>7</v>
      </c>
      <c r="F14" t="str">
        <f t="shared" si="0"/>
        <v>INSERT INTO `T_CORE_GRANT_ROLE_EX` (`GNTRLEX_APPS_CODE`, `GNTRLEX_ROLE_ID`, `GNTRLEX_PERM_ID`, `GNTRLEX_STATUS`, `GNTRLEX_DT_CREATE`, `GNTRLEX_UID_CREATE`) VALUES ('CK', 'SYS_SUPER_ADMIN', 'PM020', 'A', NOW(), 'SYS');</v>
      </c>
    </row>
    <row r="15" spans="1:6" x14ac:dyDescent="0.2">
      <c r="A15" s="6" t="s">
        <v>5</v>
      </c>
      <c r="B15" s="6" t="s">
        <v>12</v>
      </c>
      <c r="C15" t="s">
        <v>407</v>
      </c>
      <c r="D15" t="str">
        <f>VLOOKUP(C15,PermEx!$A$1:$I$25,9,FALSE)</f>
        <v>Exceptions</v>
      </c>
      <c r="E15" s="6" t="s">
        <v>7</v>
      </c>
      <c r="F15" t="str">
        <f t="shared" si="0"/>
        <v>INSERT INTO `T_CORE_GRANT_ROLE_EX` (`GNTRLEX_APPS_CODE`, `GNTRLEX_ROLE_ID`, `GNTRLEX_PERM_ID`, `GNTRLEX_STATUS`, `GNTRLEX_DT_CREATE`, `GNTRLEX_UID_CREATE`) VALUES ('CK', 'SYS_SUPER_ADMIN', 'PM021', 'A', NOW(), 'SYS');</v>
      </c>
    </row>
    <row r="16" spans="1:6" x14ac:dyDescent="0.2">
      <c r="A16" s="6" t="s">
        <v>5</v>
      </c>
      <c r="B16" s="6" t="s">
        <v>12</v>
      </c>
      <c r="C16" t="s">
        <v>408</v>
      </c>
      <c r="D16" t="str">
        <f>VLOOKUP(C16,PermEx!$A$1:$I$25,9,FALSE)</f>
        <v>Manage All Users</v>
      </c>
      <c r="E16" s="6" t="s">
        <v>7</v>
      </c>
      <c r="F16" t="str">
        <f t="shared" si="0"/>
        <v>INSERT INTO `T_CORE_GRANT_ROLE_EX` (`GNTRLEX_APPS_CODE`, `GNTRLEX_ROLE_ID`, `GNTRLEX_PERM_ID`, `GNTRLEX_STATUS`, `GNTRLEX_DT_CREATE`, `GNTRLEX_UID_CREATE`) VALUES ('CK', 'SYS_SUPER_ADMIN', 'PM022', 'A', NOW(), 'SYS');</v>
      </c>
    </row>
    <row r="17" spans="1:6" x14ac:dyDescent="0.2">
      <c r="A17" s="6" t="s">
        <v>5</v>
      </c>
      <c r="B17" s="6" t="s">
        <v>12</v>
      </c>
      <c r="C17" t="s">
        <v>409</v>
      </c>
      <c r="D17" t="str">
        <f>VLOOKUP(C17,PermEx!$A$1:$I$25,9,FALSE)</f>
        <v>Manage All Accounts</v>
      </c>
      <c r="E17" s="6" t="s">
        <v>7</v>
      </c>
      <c r="F17" t="str">
        <f t="shared" si="0"/>
        <v>INSERT INTO `T_CORE_GRANT_ROLE_EX` (`GNTRLEX_APPS_CODE`, `GNTRLEX_ROLE_ID`, `GNTRLEX_PERM_ID`, `GNTRLEX_STATUS`, `GNTRLEX_DT_CREATE`, `GNTRLEX_UID_CREATE`) VALUES ('CK', 'SYS_SUPER_ADMIN', 'PM023', 'A', NOW(), 'SYS');</v>
      </c>
    </row>
    <row r="18" spans="1:6" x14ac:dyDescent="0.2">
      <c r="A18" s="6" t="s">
        <v>5</v>
      </c>
      <c r="B18" s="6" t="s">
        <v>12</v>
      </c>
      <c r="C18" t="s">
        <v>392</v>
      </c>
      <c r="D18" t="str">
        <f>VLOOKUP(C18,PermEx!$A$1:$I$25,9,FALSE)</f>
        <v>Help</v>
      </c>
      <c r="E18" s="6" t="s">
        <v>7</v>
      </c>
      <c r="F18" t="str">
        <f t="shared" si="0"/>
        <v>INSERT INTO `T_CORE_GRANT_ROLE_EX` (`GNTRLEX_APPS_CODE`, `GNTRLEX_ROLE_ID`, `GNTRLEX_PERM_ID`, `GNTRLEX_STATUS`, `GNTRLEX_DT_CREATE`, `GNTRLEX_UID_CREATE`) VALUES ('CK', 'SYS_SUPER_ADMIN', 'PM006', 'A', NOW(), 'SYS');</v>
      </c>
    </row>
    <row r="19" spans="1:6" x14ac:dyDescent="0.2">
      <c r="A19" s="6" t="s">
        <v>5</v>
      </c>
      <c r="B19" s="6" t="s">
        <v>6</v>
      </c>
      <c r="C19" t="s">
        <v>388</v>
      </c>
      <c r="D19" t="str">
        <f>VLOOKUP(C19,PermEx!$A$1:$I$25,9,FALSE)</f>
        <v>Administrations</v>
      </c>
      <c r="E19" s="6" t="s">
        <v>7</v>
      </c>
      <c r="F19" t="str">
        <f t="shared" si="0"/>
        <v>INSERT INTO `T_CORE_GRANT_ROLE_EX` (`GNTRLEX_APPS_CODE`, `GNTRLEX_ROLE_ID`, `GNTRLEX_PERM_ID`, `GNTRLEX_STATUS`, `GNTRLEX_DT_CREATE`, `GNTRLEX_UID_CREATE`) VALUES ('CK', 'ADMIN', 'PM002', 'A', NOW(), 'SYS');</v>
      </c>
    </row>
    <row r="20" spans="1:6" x14ac:dyDescent="0.2">
      <c r="A20" s="6" t="s">
        <v>5</v>
      </c>
      <c r="B20" s="6" t="s">
        <v>6</v>
      </c>
      <c r="C20" t="s">
        <v>389</v>
      </c>
      <c r="D20" t="str">
        <f>VLOOKUP(C20,PermEx!$A$1:$I$25,9,FALSE)</f>
        <v>Account Profile</v>
      </c>
      <c r="E20" s="6" t="s">
        <v>7</v>
      </c>
      <c r="F20" t="str">
        <f t="shared" si="0"/>
        <v>INSERT INTO `T_CORE_GRANT_ROLE_EX` (`GNTRLEX_APPS_CODE`, `GNTRLEX_ROLE_ID`, `GNTRLEX_PERM_ID`, `GNTRLEX_STATUS`, `GNTRLEX_DT_CREATE`, `GNTRLEX_UID_CREATE`) VALUES ('CK', 'ADMIN', 'PM003', 'A', NOW(), 'SYS');</v>
      </c>
    </row>
    <row r="21" spans="1:6" x14ac:dyDescent="0.2">
      <c r="A21" s="6" t="s">
        <v>5</v>
      </c>
      <c r="B21" s="6" t="s">
        <v>6</v>
      </c>
      <c r="C21" t="s">
        <v>390</v>
      </c>
      <c r="D21" t="str">
        <f>VLOOKUP(C21,PermEx!$A$1:$I$25,9,FALSE)</f>
        <v>Users</v>
      </c>
      <c r="E21" s="6" t="s">
        <v>7</v>
      </c>
      <c r="F21" t="str">
        <f t="shared" si="0"/>
        <v>INSERT INTO `T_CORE_GRANT_ROLE_EX` (`GNTRLEX_APPS_CODE`, `GNTRLEX_ROLE_ID`, `GNTRLEX_PERM_ID`, `GNTRLEX_STATUS`, `GNTRLEX_DT_CREATE`, `GNTRLEX_UID_CREATE`) VALUES ('CK', 'ADMIN', 'PM004', 'A', NOW(), 'SYS');</v>
      </c>
    </row>
    <row r="22" spans="1:6" x14ac:dyDescent="0.2">
      <c r="A22" s="6" t="s">
        <v>5</v>
      </c>
      <c r="B22" s="6" t="s">
        <v>6</v>
      </c>
      <c r="C22" t="s">
        <v>391</v>
      </c>
      <c r="D22" t="str">
        <f>VLOOKUP(C22,PermEx!$A$1:$I$25,9,FALSE)</f>
        <v>Authorisations</v>
      </c>
      <c r="E22" s="6" t="s">
        <v>7</v>
      </c>
      <c r="F22" t="str">
        <f t="shared" si="0"/>
        <v>INSERT INTO `T_CORE_GRANT_ROLE_EX` (`GNTRLEX_APPS_CODE`, `GNTRLEX_ROLE_ID`, `GNTRLEX_PERM_ID`, `GNTRLEX_STATUS`, `GNTRLEX_DT_CREATE`, `GNTRLEX_UID_CREATE`) VALUES ('CK', 'ADMIN', 'PM005', 'A', NOW(), 'SYS');</v>
      </c>
    </row>
    <row r="23" spans="1:6" x14ac:dyDescent="0.2">
      <c r="A23" s="6" t="s">
        <v>5</v>
      </c>
      <c r="B23" s="6" t="s">
        <v>6</v>
      </c>
      <c r="C23" t="s">
        <v>392</v>
      </c>
      <c r="D23" t="str">
        <f>VLOOKUP(C23,PermEx!$A$1:$I$25,9,FALSE)</f>
        <v>Help</v>
      </c>
      <c r="E23" s="6" t="s">
        <v>7</v>
      </c>
      <c r="F23" t="str">
        <f t="shared" si="0"/>
        <v>INSERT INTO `T_CORE_GRANT_ROLE_EX` (`GNTRLEX_APPS_CODE`, `GNTRLEX_ROLE_ID`, `GNTRLEX_PERM_ID`, `GNTRLEX_STATUS`, `GNTRLEX_DT_CREATE`, `GNTRLEX_UID_CREATE`) VALUES ('CK', 'ADMIN', 'PM006', 'A', NOW(), 'SYS');</v>
      </c>
    </row>
    <row r="24" spans="1:6" x14ac:dyDescent="0.2">
      <c r="A24" s="6" t="s">
        <v>5</v>
      </c>
      <c r="B24" s="6" t="s">
        <v>6</v>
      </c>
      <c r="C24" t="s">
        <v>393</v>
      </c>
      <c r="D24" t="str">
        <f>VLOOKUP(C24,PermEx!$A$1:$I$25,9,FALSE)</f>
        <v>Master Table</v>
      </c>
      <c r="E24" s="6" t="s">
        <v>7</v>
      </c>
      <c r="F24" t="str">
        <f t="shared" si="0"/>
        <v>INSERT INTO `T_CORE_GRANT_ROLE_EX` (`GNTRLEX_APPS_CODE`, `GNTRLEX_ROLE_ID`, `GNTRLEX_PERM_ID`, `GNTRLEX_STATUS`, `GNTRLEX_DT_CREATE`, `GNTRLEX_UID_CREATE`) VALUES ('CK', 'ADMIN', 'PM007', 'A', NOW(), 'SYS');</v>
      </c>
    </row>
    <row r="25" spans="1:6" x14ac:dyDescent="0.2">
      <c r="A25" s="6" t="s">
        <v>5</v>
      </c>
      <c r="B25" t="s">
        <v>9</v>
      </c>
      <c r="C25" t="s">
        <v>382</v>
      </c>
      <c r="D25" t="str">
        <f>VLOOKUP(C25,PermEx!$A$1:$I$25,9,FALSE)</f>
        <v>Services</v>
      </c>
      <c r="E25" s="6" t="s">
        <v>7</v>
      </c>
      <c r="F25" t="str">
        <f t="shared" si="0"/>
        <v>INSERT INTO `T_CORE_GRANT_ROLE_EX` (`GNTRLEX_APPS_CODE`, `GNTRLEX_ROLE_ID`, `GNTRLEX_PERM_ID`, `GNTRLEX_STATUS`, `GNTRLEX_DT_CREATE`, `GNTRLEX_UID_CREATE`) VALUES ('CK', 'OFFICER', 'PM000', 'A', NOW(), 'SYS');</v>
      </c>
    </row>
    <row r="26" spans="1:6" x14ac:dyDescent="0.2">
      <c r="A26" s="6" t="s">
        <v>5</v>
      </c>
      <c r="B26" s="6" t="s">
        <v>11</v>
      </c>
      <c r="C26" t="s">
        <v>387</v>
      </c>
      <c r="D26" t="str">
        <f>VLOOKUP(C26,PermEx!$A$1:$I$25,9,FALSE)</f>
        <v>Payments</v>
      </c>
      <c r="E26" s="6" t="s">
        <v>7</v>
      </c>
      <c r="F26" t="str">
        <f t="shared" si="0"/>
        <v>INSERT INTO `T_CORE_GRANT_ROLE_EX` (`GNTRLEX_APPS_CODE`, `GNTRLEX_ROLE_ID`, `GNTRLEX_PERM_ID`, `GNTRLEX_STATUS`, `GNTRLEX_DT_CREATE`, `GNTRLEX_UID_CREATE`) VALUES ('CK', 'FINANCE', 'PM001', 'A', NOW(), 'SYS');</v>
      </c>
    </row>
    <row r="27" spans="1:6" x14ac:dyDescent="0.2">
      <c r="A27" s="6" t="s">
        <v>5</v>
      </c>
      <c r="B27" s="6" t="s">
        <v>9</v>
      </c>
      <c r="C27" t="s">
        <v>392</v>
      </c>
      <c r="D27" t="str">
        <f>VLOOKUP(C27,PermEx!$A$1:$I$25,9,FALSE)</f>
        <v>Help</v>
      </c>
      <c r="E27" s="6"/>
      <c r="F27" t="str">
        <f t="shared" si="0"/>
        <v>INSERT INTO `T_CORE_GRANT_ROLE_EX` (`GNTRLEX_APPS_CODE`, `GNTRLEX_ROLE_ID`, `GNTRLEX_PERM_ID`, `GNTRLEX_STATUS`, `GNTRLEX_DT_CREATE`, `GNTRLEX_UID_CREATE`) VALUES ('CK', 'OFFICER', 'PM006', 'A', NOW(), 'SYS');</v>
      </c>
    </row>
    <row r="28" spans="1:6" x14ac:dyDescent="0.2">
      <c r="A28" s="6" t="s">
        <v>5</v>
      </c>
      <c r="B28" s="6" t="s">
        <v>9</v>
      </c>
      <c r="C28" t="s">
        <v>393</v>
      </c>
      <c r="D28" t="str">
        <f>VLOOKUP(C28,PermEx!$A$1:$I$25,9,FALSE)</f>
        <v>Master Table</v>
      </c>
      <c r="E28" s="6" t="s">
        <v>7</v>
      </c>
      <c r="F28" t="str">
        <f t="shared" si="0"/>
        <v>INSERT INTO `T_CORE_GRANT_ROLE_EX` (`GNTRLEX_APPS_CODE`, `GNTRLEX_ROLE_ID`, `GNTRLEX_PERM_ID`, `GNTRLEX_STATUS`, `GNTRLEX_DT_CREATE`, `GNTRLEX_UID_CREATE`) VALUES ('CK', 'OFFICER', 'PM007', 'A', NOW(), 'SYS');</v>
      </c>
    </row>
    <row r="29" spans="1:6" x14ac:dyDescent="0.2">
      <c r="A29" s="6" t="s">
        <v>5</v>
      </c>
      <c r="B29" s="6" t="s">
        <v>31</v>
      </c>
      <c r="C29" t="s">
        <v>387</v>
      </c>
      <c r="D29" t="str">
        <f>VLOOKUP(C29,PermEx!$A$1:$I$25,9,FALSE)</f>
        <v>Payments</v>
      </c>
      <c r="E29" s="6" t="s">
        <v>7</v>
      </c>
      <c r="F29" t="str">
        <f t="shared" si="0"/>
        <v>INSERT INTO `T_CORE_GRANT_ROLE_EX` (`GNTRLEX_APPS_CODE`, `GNTRLEX_ROLE_ID`, `GNTRLEX_PERM_ID`, `GNTRLEX_STATUS`, `GNTRLEX_DT_CREATE`, `GNTRLEX_UID_CREATE`) VALUES ('CK', 'OFFICER_FINANCE', 'PM001', 'A', NOW(), 'SYS');</v>
      </c>
    </row>
    <row r="30" spans="1:6" x14ac:dyDescent="0.2">
      <c r="A30" s="6" t="s">
        <v>5</v>
      </c>
      <c r="B30" s="6" t="s">
        <v>11</v>
      </c>
      <c r="C30" t="s">
        <v>382</v>
      </c>
      <c r="D30" t="str">
        <f>VLOOKUP(C30,PermEx!$A$1:$I$25,9,FALSE)</f>
        <v>Services</v>
      </c>
      <c r="E30" s="6" t="s">
        <v>7</v>
      </c>
      <c r="F30" t="str">
        <f t="shared" si="0"/>
        <v>INSERT INTO `T_CORE_GRANT_ROLE_EX` (`GNTRLEX_APPS_CODE`, `GNTRLEX_ROLE_ID`, `GNTRLEX_PERM_ID`, `GNTRLEX_STATUS`, `GNTRLEX_DT_CREATE`, `GNTRLEX_UID_CREATE`) VALUES ('CK', 'FINANCE', 'PM000', 'A', NOW(), 'SYS');</v>
      </c>
    </row>
    <row r="31" spans="1:6" x14ac:dyDescent="0.2">
      <c r="A31" s="6" t="s">
        <v>5</v>
      </c>
      <c r="B31" s="6" t="s">
        <v>11</v>
      </c>
      <c r="C31" t="s">
        <v>392</v>
      </c>
      <c r="D31" t="str">
        <f>VLOOKUP(C31,PermEx!$A$1:$I$25,9,FALSE)</f>
        <v>Help</v>
      </c>
      <c r="E31" s="6"/>
      <c r="F31" t="str">
        <f t="shared" si="0"/>
        <v>INSERT INTO `T_CORE_GRANT_ROLE_EX` (`GNTRLEX_APPS_CODE`, `GNTRLEX_ROLE_ID`, `GNTRLEX_PERM_ID`, `GNTRLEX_STATUS`, `GNTRLEX_DT_CREATE`, `GNTRLEX_UID_CREATE`) VALUES ('CK', 'FINANCE', 'PM006', 'A', NOW(), 'SYS');</v>
      </c>
    </row>
    <row r="32" spans="1:6" x14ac:dyDescent="0.2">
      <c r="A32" s="6" t="s">
        <v>5</v>
      </c>
      <c r="B32" s="6" t="s">
        <v>10</v>
      </c>
      <c r="C32" t="s">
        <v>387</v>
      </c>
      <c r="D32" t="str">
        <f>VLOOKUP(C32,PermEx!$A$1:$I$25,9,FALSE)</f>
        <v>Payments</v>
      </c>
      <c r="E32" s="6" t="s">
        <v>7</v>
      </c>
      <c r="F32" t="str">
        <f t="shared" si="0"/>
        <v>INSERT INTO `T_CORE_GRANT_ROLE_EX` (`GNTRLEX_APPS_CODE`, `GNTRLEX_ROLE_ID`, `GNTRLEX_PERM_ID`, `GNTRLEX_STATUS`, `GNTRLEX_DT_CREATE`, `GNTRLEX_UID_CREATE`) VALUES ('CK', 'OPERATIONS', 'PM001', 'A', NOW(), 'SYS');</v>
      </c>
    </row>
    <row r="33" spans="1:6" x14ac:dyDescent="0.2">
      <c r="A33" s="6" t="s">
        <v>5</v>
      </c>
      <c r="B33" s="6" t="s">
        <v>10</v>
      </c>
      <c r="C33" t="s">
        <v>392</v>
      </c>
      <c r="D33" t="str">
        <f>VLOOKUP(C33,PermEx!$A$1:$I$25,9,FALSE)</f>
        <v>Help</v>
      </c>
      <c r="E33" s="6"/>
      <c r="F33" t="str">
        <f t="shared" si="0"/>
        <v>INSERT INTO `T_CORE_GRANT_ROLE_EX` (`GNTRLEX_APPS_CODE`, `GNTRLEX_ROLE_ID`, `GNTRLEX_PERM_ID`, `GNTRLEX_STATUS`, `GNTRLEX_DT_CREATE`, `GNTRLEX_UID_CREATE`) VALUES ('CK', 'OPERATIONS', 'PM006', 'A', NOW(), 'SYS');</v>
      </c>
    </row>
    <row r="34" spans="1:6" x14ac:dyDescent="0.2">
      <c r="A34" s="6" t="s">
        <v>5</v>
      </c>
      <c r="B34" s="6" t="s">
        <v>10</v>
      </c>
      <c r="C34" t="s">
        <v>382</v>
      </c>
      <c r="D34" t="str">
        <f>VLOOKUP(C34,PermEx!$A$1:$I$25,9,FALSE)</f>
        <v>Services</v>
      </c>
      <c r="E34" s="6" t="s">
        <v>7</v>
      </c>
      <c r="F34" t="str">
        <f t="shared" si="0"/>
        <v>INSERT INTO `T_CORE_GRANT_ROLE_EX` (`GNTRLEX_APPS_CODE`, `GNTRLEX_ROLE_ID`, `GNTRLEX_PERM_ID`, `GNTRLEX_STATUS`, `GNTRLEX_DT_CREATE`, `GNTRLEX_UID_CREATE`) VALUES ('CK', 'OPERATIONS', 'PM000', 'A', NOW(), 'SYS');</v>
      </c>
    </row>
    <row r="36" spans="1:6" x14ac:dyDescent="0.2">
      <c r="A36" s="6" t="s">
        <v>14</v>
      </c>
      <c r="B36" s="6" t="s">
        <v>9</v>
      </c>
      <c r="C36" t="s">
        <v>414</v>
      </c>
      <c r="D36" t="str">
        <f>VLOOKUP(C36,PermEx!$A$1:$I$38,9,FALSE)</f>
        <v>Services</v>
      </c>
      <c r="E36" s="6" t="s">
        <v>7</v>
      </c>
      <c r="F36" t="str">
        <f t="shared" ref="F36:F46" si="1">CONCATENATE("INSERT INTO `T_CORE_GRANT_ROLE_EX` (`GNTRLEX_APPS_CODE`, `GNTRLEX_ROLE_ID`, `GNTRLEX_PERM_ID`, `GNTRLEX_STATUS`, `GNTRLEX_DT_CREATE`, `GNTRLEX_UID_CREATE`) VALUES ('",A36,"', '",B36,"', '",C36,"', 'A', NOW(), 'SYS');")</f>
        <v>INSERT INTO `T_CORE_GRANT_ROLE_EX` (`GNTRLEX_APPS_CODE`, `GNTRLEX_ROLE_ID`, `GNTRLEX_PERM_ID`, `GNTRLEX_STATUS`, `GNTRLEX_DT_CREATE`, `GNTRLEX_UID_CREATE`) VALUES ('CKT', 'OFFICER', 'PM028', 'A', NOW(), 'SYS');</v>
      </c>
    </row>
    <row r="37" spans="1:6" x14ac:dyDescent="0.2">
      <c r="A37" s="6" t="s">
        <v>14</v>
      </c>
      <c r="B37" s="6" t="s">
        <v>6</v>
      </c>
      <c r="C37" t="s">
        <v>414</v>
      </c>
      <c r="D37" t="str">
        <f>VLOOKUP(C37,PermEx!$A$1:$I$38,9,FALSE)</f>
        <v>Services</v>
      </c>
      <c r="E37" s="6" t="s">
        <v>7</v>
      </c>
      <c r="F37" t="str">
        <f t="shared" si="1"/>
        <v>INSERT INTO `T_CORE_GRANT_ROLE_EX` (`GNTRLEX_APPS_CODE`, `GNTRLEX_ROLE_ID`, `GNTRLEX_PERM_ID`, `GNTRLEX_STATUS`, `GNTRLEX_DT_CREATE`, `GNTRLEX_UID_CREATE`) VALUES ('CKT', 'ADMIN', 'PM028', 'A', NOW(), 'SYS');</v>
      </c>
    </row>
    <row r="38" spans="1:6" x14ac:dyDescent="0.2">
      <c r="A38" s="6" t="s">
        <v>14</v>
      </c>
      <c r="B38" s="6" t="s">
        <v>6</v>
      </c>
      <c r="C38" t="s">
        <v>415</v>
      </c>
      <c r="D38" t="str">
        <f>VLOOKUP(C38,PermEx!$A$1:$I$38,9,FALSE)</f>
        <v>Administrations</v>
      </c>
      <c r="E38" s="6" t="s">
        <v>7</v>
      </c>
      <c r="F38" t="str">
        <f t="shared" si="1"/>
        <v>INSERT INTO `T_CORE_GRANT_ROLE_EX` (`GNTRLEX_APPS_CODE`, `GNTRLEX_ROLE_ID`, `GNTRLEX_PERM_ID`, `GNTRLEX_STATUS`, `GNTRLEX_DT_CREATE`, `GNTRLEX_UID_CREATE`) VALUES ('CKT', 'ADMIN', 'PM029', 'A', NOW(), 'SYS');</v>
      </c>
    </row>
    <row r="39" spans="1:6" x14ac:dyDescent="0.2">
      <c r="A39" s="6" t="s">
        <v>14</v>
      </c>
      <c r="B39" s="6" t="s">
        <v>6</v>
      </c>
      <c r="C39" t="s">
        <v>416</v>
      </c>
      <c r="D39" t="str">
        <f>VLOOKUP(C39,PermEx!$A$1:$I$38,9,FALSE)</f>
        <v>Manage Trucks</v>
      </c>
      <c r="E39" s="6" t="s">
        <v>7</v>
      </c>
      <c r="F39" t="str">
        <f t="shared" si="1"/>
        <v>INSERT INTO `T_CORE_GRANT_ROLE_EX` (`GNTRLEX_APPS_CODE`, `GNTRLEX_ROLE_ID`, `GNTRLEX_PERM_ID`, `GNTRLEX_STATUS`, `GNTRLEX_DT_CREATE`, `GNTRLEX_UID_CREATE`) VALUES ('CKT', 'ADMIN', 'PM030', 'A', NOW(), 'SYS');</v>
      </c>
    </row>
    <row r="40" spans="1:6" x14ac:dyDescent="0.2">
      <c r="A40" s="6" t="s">
        <v>14</v>
      </c>
      <c r="B40" s="6" t="s">
        <v>6</v>
      </c>
      <c r="C40" t="s">
        <v>417</v>
      </c>
      <c r="D40" t="str">
        <f>VLOOKUP(C40,PermEx!$A$1:$I$38,9,FALSE)</f>
        <v>Manage Drivers</v>
      </c>
      <c r="E40" s="6" t="s">
        <v>7</v>
      </c>
      <c r="F40" t="str">
        <f t="shared" si="1"/>
        <v>INSERT INTO `T_CORE_GRANT_ROLE_EX` (`GNTRLEX_APPS_CODE`, `GNTRLEX_ROLE_ID`, `GNTRLEX_PERM_ID`, `GNTRLEX_STATUS`, `GNTRLEX_DT_CREATE`, `GNTRLEX_UID_CREATE`) VALUES ('CKT', 'ADMIN', 'PM031', 'A', NOW(), 'SYS');</v>
      </c>
    </row>
    <row r="41" spans="1:6" x14ac:dyDescent="0.2">
      <c r="A41" s="6" t="s">
        <v>14</v>
      </c>
      <c r="B41" s="6" t="s">
        <v>6</v>
      </c>
      <c r="C41" t="s">
        <v>418</v>
      </c>
      <c r="D41" t="str">
        <f>VLOOKUP(C41,PermEx!$A$1:$I$38,9,FALSE)</f>
        <v>Manage Locations</v>
      </c>
      <c r="E41" s="6" t="s">
        <v>7</v>
      </c>
      <c r="F41" t="str">
        <f t="shared" si="1"/>
        <v>INSERT INTO `T_CORE_GRANT_ROLE_EX` (`GNTRLEX_APPS_CODE`, `GNTRLEX_ROLE_ID`, `GNTRLEX_PERM_ID`, `GNTRLEX_STATUS`, `GNTRLEX_DT_CREATE`, `GNTRLEX_UID_CREATE`) VALUES ('CKT', 'ADMIN', 'PM032', 'A', NOW(), 'SYS');</v>
      </c>
    </row>
    <row r="42" spans="1:6" x14ac:dyDescent="0.2">
      <c r="A42" s="6" t="s">
        <v>14</v>
      </c>
      <c r="B42" s="6" t="s">
        <v>6</v>
      </c>
      <c r="C42" t="s">
        <v>419</v>
      </c>
      <c r="D42" t="str">
        <f>VLOOKUP(C42,PermEx!$A$1:$I$38,9,FALSE)</f>
        <v>Manage Rentals</v>
      </c>
      <c r="E42" s="6" t="s">
        <v>7</v>
      </c>
      <c r="F42" t="str">
        <f t="shared" si="1"/>
        <v>INSERT INTO `T_CORE_GRANT_ROLE_EX` (`GNTRLEX_APPS_CODE`, `GNTRLEX_ROLE_ID`, `GNTRLEX_PERM_ID`, `GNTRLEX_STATUS`, `GNTRLEX_DT_CREATE`, `GNTRLEX_UID_CREATE`) VALUES ('CKT', 'ADMIN', 'PM033', 'A', NOW(), 'SYS');</v>
      </c>
    </row>
    <row r="43" spans="1:6" x14ac:dyDescent="0.2">
      <c r="A43" s="6" t="s">
        <v>14</v>
      </c>
      <c r="B43" s="6" t="s">
        <v>6</v>
      </c>
      <c r="C43" t="s">
        <v>420</v>
      </c>
      <c r="D43" t="str">
        <f>VLOOKUP(C43,PermEx!$A$1:$I$38,9,FALSE)</f>
        <v>Manage Contracts</v>
      </c>
      <c r="E43" s="6" t="s">
        <v>7</v>
      </c>
      <c r="F43" t="str">
        <f t="shared" si="1"/>
        <v>INSERT INTO `T_CORE_GRANT_ROLE_EX` (`GNTRLEX_APPS_CODE`, `GNTRLEX_ROLE_ID`, `GNTRLEX_PERM_ID`, `GNTRLEX_STATUS`, `GNTRLEX_DT_CREATE`, `GNTRLEX_UID_CREATE`) VALUES ('CKT', 'ADMIN', 'PM034', 'A', NOW(), 'SYS');</v>
      </c>
    </row>
    <row r="44" spans="1:6" x14ac:dyDescent="0.2">
      <c r="A44" s="6" t="s">
        <v>14</v>
      </c>
      <c r="B44" s="6" t="s">
        <v>6</v>
      </c>
      <c r="C44" t="s">
        <v>422</v>
      </c>
      <c r="D44" t="str">
        <f>VLOOKUP(C44,PermEx!$A$1:$I$38,9,FALSE)</f>
        <v>Manage Rate Table</v>
      </c>
      <c r="E44" s="6" t="s">
        <v>7</v>
      </c>
      <c r="F44" t="str">
        <f t="shared" ref="F44" si="2">CONCATENATE("INSERT INTO `T_CORE_GRANT_ROLE_EX` (`GNTRLEX_APPS_CODE`, `GNTRLEX_ROLE_ID`, `GNTRLEX_PERM_ID`, `GNTRLEX_STATUS`, `GNTRLEX_DT_CREATE`, `GNTRLEX_UID_CREATE`) VALUES ('",A44,"', '",B44,"', '",C44,"', 'A', NOW(), 'SYS');")</f>
        <v>INSERT INTO `T_CORE_GRANT_ROLE_EX` (`GNTRLEX_APPS_CODE`, `GNTRLEX_ROLE_ID`, `GNTRLEX_PERM_ID`, `GNTRLEX_STATUS`, `GNTRLEX_DT_CREATE`, `GNTRLEX_UID_CREATE`) VALUES ('CKT', 'ADMIN', 'PM036', 'A', NOW(), 'SYS');</v>
      </c>
    </row>
    <row r="45" spans="1:6" x14ac:dyDescent="0.2">
      <c r="A45" s="6" t="s">
        <v>14</v>
      </c>
      <c r="B45" s="6" t="s">
        <v>9</v>
      </c>
      <c r="C45" t="s">
        <v>421</v>
      </c>
      <c r="D45" t="str">
        <f>VLOOKUP(C45,PermEx!$A$1:$I$38,9,FALSE)</f>
        <v>Help</v>
      </c>
      <c r="E45" s="6" t="s">
        <v>7</v>
      </c>
      <c r="F45" t="str">
        <f t="shared" si="1"/>
        <v>INSERT INTO `T_CORE_GRANT_ROLE_EX` (`GNTRLEX_APPS_CODE`, `GNTRLEX_ROLE_ID`, `GNTRLEX_PERM_ID`, `GNTRLEX_STATUS`, `GNTRLEX_DT_CREATE`, `GNTRLEX_UID_CREATE`) VALUES ('CKT', 'OFFICER', 'PM035', 'A', NOW(), 'SYS');</v>
      </c>
    </row>
    <row r="46" spans="1:6" x14ac:dyDescent="0.2">
      <c r="A46" s="6" t="s">
        <v>14</v>
      </c>
      <c r="B46" s="6" t="s">
        <v>6</v>
      </c>
      <c r="C46" t="s">
        <v>421</v>
      </c>
      <c r="D46" t="str">
        <f>VLOOKUP(C46,PermEx!$A$1:$I$38,9,FALSE)</f>
        <v>Help</v>
      </c>
      <c r="E46" s="6" t="s">
        <v>7</v>
      </c>
      <c r="F46" t="str">
        <f t="shared" si="1"/>
        <v>INSERT INTO `T_CORE_GRANT_ROLE_EX` (`GNTRLEX_APPS_CODE`, `GNTRLEX_ROLE_ID`, `GNTRLEX_PERM_ID`, `GNTRLEX_STATUS`, `GNTRLEX_DT_CREATE`, `GNTRLEX_UID_CREATE`) VALUES ('CKT', 'ADMIN', 'PM035', 'A', NOW(), 'SYS');</v>
      </c>
    </row>
    <row r="47" spans="1:6" x14ac:dyDescent="0.2">
      <c r="A47" s="6" t="s">
        <v>14</v>
      </c>
      <c r="B47" s="6" t="s">
        <v>15</v>
      </c>
      <c r="C47" t="s">
        <v>414</v>
      </c>
      <c r="D47" t="str">
        <f>VLOOKUP(C47,PermEx!$A$1:$I$38,9,FALSE)</f>
        <v>Services</v>
      </c>
      <c r="E47" s="6" t="s">
        <v>7</v>
      </c>
      <c r="F47" t="str">
        <f t="shared" ref="F47:F48" si="3">CONCATENATE("INSERT INTO `T_CORE_GRANT_ROLE_EX` (`GNTRLEX_APPS_CODE`, `GNTRLEX_ROLE_ID`, `GNTRLEX_PERM_ID`, `GNTRLEX_STATUS`, `GNTRLEX_DT_CREATE`, `GNTRLEX_UID_CREATE`) VALUES ('",A47,"', '",B47,"', '",C47,"', 'A', NOW(), 'SYS');")</f>
        <v>INSERT INTO `T_CORE_GRANT_ROLE_EX` (`GNTRLEX_APPS_CODE`, `GNTRLEX_ROLE_ID`, `GNTRLEX_PERM_ID`, `GNTRLEX_STATUS`, `GNTRLEX_DT_CREATE`, `GNTRLEX_UID_CREATE`) VALUES ('CKT', 'FF_FINANCE', 'PM028', 'A', NOW(), 'SYS');</v>
      </c>
    </row>
    <row r="48" spans="1:6" x14ac:dyDescent="0.2">
      <c r="A48" s="6" t="s">
        <v>14</v>
      </c>
      <c r="B48" s="6" t="s">
        <v>15</v>
      </c>
      <c r="C48" t="s">
        <v>421</v>
      </c>
      <c r="D48" t="str">
        <f>VLOOKUP(C48,PermEx!$A$1:$I$38,9,FALSE)</f>
        <v>Help</v>
      </c>
      <c r="E48" s="6" t="s">
        <v>7</v>
      </c>
      <c r="F48" t="str">
        <f t="shared" si="3"/>
        <v>INSERT INTO `T_CORE_GRANT_ROLE_EX` (`GNTRLEX_APPS_CODE`, `GNTRLEX_ROLE_ID`, `GNTRLEX_PERM_ID`, `GNTRLEX_STATUS`, `GNTRLEX_DT_CREATE`, `GNTRLEX_UID_CREATE`) VALUES ('CKT', 'FF_FINANCE', 'PM035', 'A', NOW(), 'SYS');</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C702-C721-0648-B8B0-5FA8D54B6225}">
  <dimension ref="A1:G53"/>
  <sheetViews>
    <sheetView zoomScale="127" zoomScaleNormal="127" workbookViewId="0">
      <selection activeCell="F9" sqref="F9"/>
    </sheetView>
  </sheetViews>
  <sheetFormatPr baseColWidth="10" defaultColWidth="11" defaultRowHeight="16" x14ac:dyDescent="0.2"/>
  <cols>
    <col min="1" max="1" width="19.6640625" customWidth="1"/>
    <col min="2" max="2" width="18.33203125" customWidth="1"/>
    <col min="3" max="5" width="17.5" customWidth="1"/>
  </cols>
  <sheetData>
    <row r="1" spans="1:7" x14ac:dyDescent="0.2">
      <c r="A1" s="8" t="s">
        <v>456</v>
      </c>
      <c r="B1" s="8" t="s">
        <v>1005</v>
      </c>
      <c r="C1" s="8" t="s">
        <v>458</v>
      </c>
      <c r="D1" s="8" t="s">
        <v>1006</v>
      </c>
      <c r="E1" s="8" t="s">
        <v>459</v>
      </c>
      <c r="F1" s="8" t="s">
        <v>460</v>
      </c>
      <c r="G1" s="8" t="s">
        <v>4</v>
      </c>
    </row>
    <row r="2" spans="1:7" x14ac:dyDescent="0.2">
      <c r="A2" t="s">
        <v>14</v>
      </c>
      <c r="B2" t="s">
        <v>1007</v>
      </c>
      <c r="C2" t="s">
        <v>419</v>
      </c>
      <c r="D2" s="22" t="s">
        <v>15</v>
      </c>
      <c r="E2" t="str">
        <f>VLOOKUP(C2,Perm_EX_CK2!$A$1:$I$81,9,FALSE)</f>
        <v>Manage Rate Table</v>
      </c>
      <c r="F2" t="s">
        <v>7</v>
      </c>
      <c r="G2" t="str">
        <f>CONCATENATE("INSERT INTO T_CK_UNGRANT_ACCOUNT_EX (GRNTA_APPS_CODE, GRNTA_ACCN_ID, GRNTA_ROLE_ID,GRNTA_PERM_EX_ID, GRNTA_STATUS, GRNTA_DT_CREATE, GRNTA_UID_CREATE) VALUES ('",A2,"', '",B2,"', '",D2,"','",C2,"', 'A', NOW(), 'SYS');")</f>
        <v>INSERT INTO T_CK_UNGRANT_ACCOUNT_EX (GRNTA_APPS_CODE, GRNTA_ACCN_ID, GRNTA_ROLE_ID,GRNTA_PERM_EX_ID, GRNTA_STATUS, GRNTA_DT_CREATE, GRNTA_UID_CREATE) VALUES ('CKT', 'BERAM', 'FF_FINANCE','PM033', 'A', NOW(), 'SYS');</v>
      </c>
    </row>
    <row r="3" spans="1:7" x14ac:dyDescent="0.2">
      <c r="A3" t="s">
        <v>14</v>
      </c>
      <c r="B3" s="22" t="s">
        <v>42</v>
      </c>
      <c r="C3" t="s">
        <v>419</v>
      </c>
      <c r="D3" s="22" t="s">
        <v>15</v>
      </c>
      <c r="E3" t="str">
        <f>VLOOKUP(C3,Perm_EX_CK2!$A$1:$I$81,9,FALSE)</f>
        <v>Manage Rate Table</v>
      </c>
      <c r="F3" t="s">
        <v>7</v>
      </c>
      <c r="G3" t="str">
        <f>CONCATENATE("INSERT INTO T_CK_UNGRANT_ACCOUNT_EX (GRNTA_APPS_CODE, GRNTA_ACCN_ID, GRNTA_ROLE_ID,GRNTA_PERM_EX_ID, GRNTA_STATUS, GRNTA_DT_CREATE, GRNTA_UID_CREATE) VALUES ('",A3,"', '",B3,"', '",D3,"','",C3,"', 'A', NOW(), 'SYS');")</f>
        <v>INSERT INTO T_CK_UNGRANT_ACCOUNT_EX (GRNTA_APPS_CODE, GRNTA_ACCN_ID, GRNTA_ROLE_ID,GRNTA_PERM_EX_ID, GRNTA_STATUS, GRNTA_DT_CREATE, GRNTA_UID_CREATE) VALUES ('CKT', 'ALKNAR', 'FF_FINANCE','PM033', 'A', NOW(), 'SYS');</v>
      </c>
    </row>
    <row r="4" spans="1:7" x14ac:dyDescent="0.2">
      <c r="A4" t="s">
        <v>14</v>
      </c>
      <c r="B4" t="s">
        <v>1007</v>
      </c>
      <c r="C4" t="s">
        <v>419</v>
      </c>
      <c r="D4" t="s">
        <v>16</v>
      </c>
      <c r="E4" t="str">
        <f>VLOOKUP(C4,Perm_EX_CK2!$A$1:$I$81,9,FALSE)</f>
        <v>Manage Rate Table</v>
      </c>
      <c r="F4" t="s">
        <v>7</v>
      </c>
      <c r="G4" t="str">
        <f>CONCATENATE("INSERT INTO T_CK_UNGRANT_ACCOUNT_EX (GRNTA_APPS_CODE, GRNTA_ACCN_ID, GRNTA_ROLE_ID,GRNTA_PERM_EX_ID, GRNTA_STATUS, GRNTA_DT_CREATE, GRNTA_UID_CREATE) VALUES ('",A4,"', '",B4,"', '",D4,"','",C4,"', 'A', NOW(), 'SYS');")</f>
        <v>INSERT INTO T_CK_UNGRANT_ACCOUNT_EX (GRNTA_APPS_CODE, GRNTA_ACCN_ID, GRNTA_ROLE_ID,GRNTA_PERM_EX_ID, GRNTA_STATUS, GRNTA_DT_CREATE, GRNTA_UID_CREATE) VALUES ('CKT', 'BERAM', 'OP_ADMIN','PM033', 'A', NOW(), 'SYS');</v>
      </c>
    </row>
    <row r="20" spans="5:7" hidden="1" x14ac:dyDescent="0.2"/>
    <row r="28" spans="5:7" hidden="1" x14ac:dyDescent="0.2"/>
    <row r="32" spans="5:7" s="9" customFormat="1" x14ac:dyDescent="0.2">
      <c r="E32"/>
      <c r="G32"/>
    </row>
    <row r="33" spans="1:7" s="9" customFormat="1" hidden="1" x14ac:dyDescent="0.2">
      <c r="E33"/>
      <c r="G33"/>
    </row>
    <row r="34" spans="1:7" s="9" customFormat="1" x14ac:dyDescent="0.2">
      <c r="E34"/>
      <c r="G34"/>
    </row>
    <row r="35" spans="1:7" s="9" customFormat="1" x14ac:dyDescent="0.2">
      <c r="E35"/>
      <c r="G35"/>
    </row>
    <row r="36" spans="1:7" s="9" customFormat="1" x14ac:dyDescent="0.2">
      <c r="E36"/>
      <c r="G36"/>
    </row>
    <row r="37" spans="1:7" s="9" customFormat="1" x14ac:dyDescent="0.2">
      <c r="E37"/>
      <c r="G37"/>
    </row>
    <row r="38" spans="1:7" s="9" customFormat="1" x14ac:dyDescent="0.2">
      <c r="E38"/>
      <c r="G38"/>
    </row>
    <row r="39" spans="1:7" s="10" customFormat="1" x14ac:dyDescent="0.2">
      <c r="A39" s="9"/>
      <c r="B39" s="9"/>
      <c r="C39"/>
      <c r="D39"/>
      <c r="E39"/>
      <c r="F39" s="9"/>
      <c r="G39"/>
    </row>
    <row r="40" spans="1:7" s="10" customFormat="1" x14ac:dyDescent="0.2">
      <c r="A40" s="9"/>
      <c r="B40" s="9"/>
      <c r="C40"/>
      <c r="D40"/>
      <c r="E40"/>
      <c r="F40" s="9"/>
      <c r="G40"/>
    </row>
    <row r="41" spans="1:7" s="10" customFormat="1" x14ac:dyDescent="0.2">
      <c r="A41" s="9"/>
      <c r="B41" s="9"/>
      <c r="C41"/>
      <c r="D41"/>
      <c r="E41"/>
      <c r="F41" s="9"/>
      <c r="G41"/>
    </row>
    <row r="45" spans="1:7" x14ac:dyDescent="0.2">
      <c r="B45" s="2"/>
      <c r="C45" s="2"/>
      <c r="D45" s="2"/>
    </row>
    <row r="46" spans="1:7" x14ac:dyDescent="0.2">
      <c r="B46" s="2"/>
      <c r="C46" s="2"/>
      <c r="D46" s="2"/>
    </row>
    <row r="48" spans="1:7" s="10" customFormat="1" x14ac:dyDescent="0.2">
      <c r="B48"/>
      <c r="E48"/>
      <c r="G48"/>
    </row>
    <row r="49" spans="2:7" s="10" customFormat="1" x14ac:dyDescent="0.2">
      <c r="B49"/>
      <c r="E49"/>
      <c r="G49"/>
    </row>
    <row r="50" spans="2:7" s="10" customFormat="1" x14ac:dyDescent="0.2">
      <c r="E50"/>
      <c r="G50"/>
    </row>
    <row r="51" spans="2:7" s="10" customFormat="1" x14ac:dyDescent="0.2">
      <c r="E51"/>
      <c r="G51"/>
    </row>
    <row r="52" spans="2:7" s="10" customFormat="1" x14ac:dyDescent="0.2">
      <c r="E52"/>
      <c r="G52"/>
    </row>
    <row r="53" spans="2:7" s="10" customFormat="1" x14ac:dyDescent="0.2">
      <c r="E53"/>
      <c r="G53"/>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5841-49DB-8648-899B-FE243D56E60D}">
  <dimension ref="A1:G52"/>
  <sheetViews>
    <sheetView zoomScale="127" zoomScaleNormal="127" workbookViewId="0">
      <selection activeCell="D39" sqref="D39"/>
    </sheetView>
  </sheetViews>
  <sheetFormatPr baseColWidth="10" defaultColWidth="11" defaultRowHeight="16" x14ac:dyDescent="0.2"/>
  <cols>
    <col min="1" max="1" width="19.6640625" customWidth="1"/>
    <col min="2" max="2" width="18.33203125" customWidth="1"/>
    <col min="3" max="5" width="17.5" customWidth="1"/>
  </cols>
  <sheetData>
    <row r="1" spans="1:7" x14ac:dyDescent="0.2">
      <c r="A1" s="8" t="s">
        <v>456</v>
      </c>
      <c r="B1" s="8" t="s">
        <v>1005</v>
      </c>
      <c r="C1" s="8" t="s">
        <v>458</v>
      </c>
      <c r="D1" s="8" t="s">
        <v>1006</v>
      </c>
      <c r="E1" s="8" t="s">
        <v>459</v>
      </c>
      <c r="F1" s="8" t="s">
        <v>460</v>
      </c>
      <c r="G1" s="8" t="s">
        <v>4</v>
      </c>
    </row>
    <row r="2" spans="1:7" x14ac:dyDescent="0.2">
      <c r="A2" t="s">
        <v>14</v>
      </c>
      <c r="B2" s="22" t="s">
        <v>41</v>
      </c>
      <c r="C2" s="2" t="s">
        <v>455</v>
      </c>
      <c r="D2" s="22" t="s">
        <v>15</v>
      </c>
      <c r="E2" t="str">
        <f>VLOOKUP(C2,Perm_EX_CK2!$A$1:$I$81,9,FALSE)</f>
        <v>Truck Performance</v>
      </c>
      <c r="F2" t="s">
        <v>7</v>
      </c>
      <c r="G2" t="str">
        <f>CONCATENATE("INSERT INTO T_CK_UNGRANT_USER_EX (GRNTUE_APPS_CODE, GRNTUE_USR_ID, GRNTUE_ROLE_ID,GRNTUE_PERM_EX_ID, GRNTUE_STATUS, GRNTUE_DT_CREATE, GRNTUE_UID_CREATE) VALUES ('",A2,"', '",B2,"', '",D2,"','",C2,"', 'A', NOW(), 'SYS');")</f>
        <v>INSERT INTO T_CK_UNGRANT_USER_EX (GRNTUE_APPS_CODE, GRNTUE_USR_ID, GRNTUE_ROLE_ID,GRNTUE_PERM_EX_ID, GRNTUE_STATUS, GRNTUE_DT_CREATE, GRNTUE_UID_CREATE) VALUES ('CKT', 'ALKNAR_U001', 'FF_FINANCE','PM069', 'A', NOW(), 'SYS');</v>
      </c>
    </row>
    <row r="19" spans="5:7" hidden="1" x14ac:dyDescent="0.2"/>
    <row r="27" spans="5:7" hidden="1" x14ac:dyDescent="0.2"/>
    <row r="31" spans="5:7" s="9" customFormat="1" x14ac:dyDescent="0.2">
      <c r="E31"/>
      <c r="G31"/>
    </row>
    <row r="32" spans="5:7" s="9" customFormat="1" hidden="1" x14ac:dyDescent="0.2">
      <c r="E32"/>
      <c r="G32"/>
    </row>
    <row r="33" spans="1:7" s="9" customFormat="1" x14ac:dyDescent="0.2">
      <c r="E33"/>
      <c r="G33"/>
    </row>
    <row r="34" spans="1:7" s="9" customFormat="1" x14ac:dyDescent="0.2">
      <c r="E34"/>
      <c r="G34"/>
    </row>
    <row r="35" spans="1:7" s="9" customFormat="1" x14ac:dyDescent="0.2">
      <c r="E35"/>
      <c r="G35"/>
    </row>
    <row r="36" spans="1:7" s="9" customFormat="1" x14ac:dyDescent="0.2">
      <c r="E36"/>
      <c r="G36"/>
    </row>
    <row r="37" spans="1:7" s="9" customFormat="1" x14ac:dyDescent="0.2">
      <c r="E37"/>
      <c r="G37"/>
    </row>
    <row r="38" spans="1:7" s="10" customFormat="1" x14ac:dyDescent="0.2">
      <c r="A38" s="9"/>
      <c r="B38" s="9"/>
      <c r="C38"/>
      <c r="D38"/>
      <c r="E38"/>
      <c r="F38" s="9"/>
      <c r="G38"/>
    </row>
    <row r="39" spans="1:7" s="10" customFormat="1" x14ac:dyDescent="0.2">
      <c r="A39" s="9"/>
      <c r="B39" s="9"/>
      <c r="C39"/>
      <c r="D39"/>
      <c r="E39"/>
      <c r="F39" s="9"/>
      <c r="G39"/>
    </row>
    <row r="40" spans="1:7" s="10" customFormat="1" x14ac:dyDescent="0.2">
      <c r="A40" s="9"/>
      <c r="B40" s="9"/>
      <c r="C40"/>
      <c r="D40"/>
      <c r="E40"/>
      <c r="F40" s="9"/>
      <c r="G40"/>
    </row>
    <row r="44" spans="1:7" x14ac:dyDescent="0.2">
      <c r="B44" s="2"/>
      <c r="C44" s="2"/>
      <c r="D44" s="2"/>
    </row>
    <row r="45" spans="1:7" x14ac:dyDescent="0.2">
      <c r="B45" s="2"/>
      <c r="C45" s="2"/>
      <c r="D45" s="2"/>
    </row>
    <row r="47" spans="1:7" s="10" customFormat="1" x14ac:dyDescent="0.2">
      <c r="B47"/>
      <c r="E47"/>
      <c r="G47"/>
    </row>
    <row r="48" spans="1:7" s="10" customFormat="1" x14ac:dyDescent="0.2">
      <c r="B48"/>
      <c r="E48"/>
      <c r="G48"/>
    </row>
    <row r="49" spans="5:7" s="10" customFormat="1" x14ac:dyDescent="0.2">
      <c r="E49"/>
      <c r="G49"/>
    </row>
    <row r="50" spans="5:7" s="10" customFormat="1" x14ac:dyDescent="0.2">
      <c r="E50"/>
      <c r="G50"/>
    </row>
    <row r="51" spans="5:7" s="10" customFormat="1" x14ac:dyDescent="0.2">
      <c r="E51"/>
      <c r="G51"/>
    </row>
    <row r="52" spans="5:7" s="10" customFormat="1" x14ac:dyDescent="0.2">
      <c r="E52"/>
      <c r="G52"/>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94C14-8D8F-8F48-9054-6168C5AD7125}">
  <dimension ref="A1:H6"/>
  <sheetViews>
    <sheetView zoomScale="106" workbookViewId="0">
      <selection activeCell="C6" sqref="C6"/>
    </sheetView>
  </sheetViews>
  <sheetFormatPr baseColWidth="10" defaultRowHeight="16" x14ac:dyDescent="0.2"/>
  <cols>
    <col min="1" max="1" width="32.6640625" customWidth="1"/>
    <col min="2" max="2" width="17.1640625" customWidth="1"/>
    <col min="3" max="3" width="68.6640625" customWidth="1"/>
    <col min="4" max="4" width="25.83203125" customWidth="1"/>
    <col min="5" max="7" width="20.83203125" customWidth="1"/>
    <col min="8" max="8" width="38.33203125" customWidth="1"/>
  </cols>
  <sheetData>
    <row r="1" spans="1:8" x14ac:dyDescent="0.2">
      <c r="A1" s="24" t="s">
        <v>1008</v>
      </c>
      <c r="B1" s="7" t="s">
        <v>1009</v>
      </c>
      <c r="C1" s="7" t="s">
        <v>1010</v>
      </c>
      <c r="D1" s="7" t="s">
        <v>1011</v>
      </c>
      <c r="E1" s="7" t="s">
        <v>1012</v>
      </c>
      <c r="F1" s="24" t="s">
        <v>1016</v>
      </c>
      <c r="G1" s="24" t="s">
        <v>1017</v>
      </c>
      <c r="H1" s="24" t="s">
        <v>509</v>
      </c>
    </row>
    <row r="2" spans="1:8" x14ac:dyDescent="0.2">
      <c r="A2" s="23" t="s">
        <v>1013</v>
      </c>
      <c r="B2" s="23" t="s">
        <v>1014</v>
      </c>
      <c r="C2" s="23" t="s">
        <v>1018</v>
      </c>
      <c r="D2" s="23" t="s">
        <v>7</v>
      </c>
      <c r="E2" s="23" t="s">
        <v>1015</v>
      </c>
      <c r="F2" s="23" t="s">
        <v>14</v>
      </c>
      <c r="G2" s="23" t="s">
        <v>9</v>
      </c>
      <c r="H2" t="str">
        <f>CONCATENATE("INSERT INTO T_CK_ACCN_CONFIG_EXT(CAE_ACCN_ID,CAE_APPS_CODE,CAE_ROLE_ID,CAE_TYPE,CAE_VALUE,CAE_STATUS,CAE_DT_CREATE,CAE_UID_CREATE) VALUES('",A2,"','",F2,"','",G2,"','",B2,"','",C2,"','",D2,"',NOW(),'",E2,"');")</f>
        <v>INSERT INTO T_CK_ACCN_CONFIG_EXT(CAE_ACCN_ID,CAE_APPS_CODE,CAE_ROLE_ID,CAE_TYPE,CAE_VALUE,CAE_STATUS,CAE_DT_CREATE,CAE_UID_CREATE) VALUES('IODSF','CKT','OFFICER','DASHBOARD','[{"id":0,"dbType":"TRUCK_JOBS","transStatistic":{"NEW":0,"ONGOING":0},"accnType":"ACC_TYPE_TO"}]','A',NOW(),'SYS');</v>
      </c>
    </row>
    <row r="3" spans="1:8" x14ac:dyDescent="0.2">
      <c r="A3" s="25" t="s">
        <v>1019</v>
      </c>
      <c r="B3" s="23" t="s">
        <v>1014</v>
      </c>
      <c r="C3" s="23" t="s">
        <v>1018</v>
      </c>
      <c r="D3" s="23" t="s">
        <v>7</v>
      </c>
      <c r="E3" s="23" t="s">
        <v>1015</v>
      </c>
      <c r="F3" s="23" t="s">
        <v>14</v>
      </c>
      <c r="G3" s="23" t="s">
        <v>9</v>
      </c>
      <c r="H3" t="str">
        <f>CONCATENATE("INSERT INTO T_CK_ACCN_CONFIG_EXT(CAE_ACCN_ID,CAE_APPS_CODE,CAE_ROLE_ID,CAE_TYPE,CAE_VALUE,CAE_STATUS,CAE_DT_CREATE,CAE_UID_CREATE) VALUES('",A3,"','",F3,"','",G3,"','",B3,"','",C3,"','",D3,"',NOW(),'",E3,"');")</f>
        <v>INSERT INTO T_CK_ACCN_CONFIG_EXT(CAE_ACCN_ID,CAE_APPS_CODE,CAE_ROLE_ID,CAE_TYPE,CAE_VALUE,CAE_STATUS,CAE_DT_CREATE,CAE_UID_CREATE) VALUES('DSV','CKT','OFFICER','DASHBOARD','[{"id":0,"dbType":"TRUCK_JOBS","transStatistic":{"NEW":0,"ONGOING":0},"accnType":"ACC_TYPE_TO"}]','A',NOW(),'SYS');</v>
      </c>
    </row>
    <row r="4" spans="1:8" x14ac:dyDescent="0.2">
      <c r="A4" s="25" t="s">
        <v>1019</v>
      </c>
      <c r="B4" s="25" t="s">
        <v>1020</v>
      </c>
      <c r="C4" s="26" t="s">
        <v>1021</v>
      </c>
      <c r="D4" s="23" t="s">
        <v>7</v>
      </c>
      <c r="E4" s="23" t="s">
        <v>1015</v>
      </c>
      <c r="F4" s="23" t="s">
        <v>14</v>
      </c>
      <c r="G4" s="23" t="s">
        <v>9</v>
      </c>
      <c r="H4" t="str">
        <f>CONCATENATE("INSERT INTO T_CK_ACCN_CONFIG_EXT(CAE_ACCN_ID,CAE_APPS_CODE,CAE_ROLE_ID,CAE_TYPE,CAE_VALUE,CAE_STATUS,CAE_DT_CREATE,CAE_UID_CREATE) VALUES('",A4,"','",F4,"','",G4,"','",B4,"','",C4,"','",D4,"',NOW(),'",E4,"');")</f>
        <v>INSERT INTO T_CK_ACCN_CONFIG_EXT(CAE_ACCN_ID,CAE_APPS_CODE,CAE_ROLE_ID,CAE_TYPE,CAE_VALUE,CAE_STATUS,CAE_DT_CREATE,CAE_UID_CREATE) VALUES('DSV','CKT','OFFICER','TABS','jobDetails,fmTrip, mmTrip,documents,driver,deliveryOrders,audit,rejectRemarks,tracking','A',NOW(),'SYS');</v>
      </c>
    </row>
    <row r="5" spans="1:8" x14ac:dyDescent="0.2">
      <c r="A5" s="23" t="s">
        <v>1013</v>
      </c>
      <c r="B5" s="25" t="s">
        <v>1020</v>
      </c>
      <c r="C5" s="26" t="s">
        <v>1021</v>
      </c>
      <c r="D5" s="23" t="s">
        <v>7</v>
      </c>
      <c r="E5" s="23" t="s">
        <v>1015</v>
      </c>
      <c r="F5" s="23" t="s">
        <v>14</v>
      </c>
      <c r="G5" s="23" t="s">
        <v>9</v>
      </c>
      <c r="H5" t="str">
        <f>CONCATENATE("INSERT INTO T_CK_ACCN_CONFIG_EXT(CAE_ACCN_ID,CAE_APPS_CODE,CAE_ROLE_ID,CAE_TYPE,CAE_VALUE,CAE_STATUS,CAE_DT_CREATE,CAE_UID_CREATE) VALUES('",A5,"','",F5,"','",G5,"','",B5,"','",C5,"','",D5,"',NOW(),'",E5,"');")</f>
        <v>INSERT INTO T_CK_ACCN_CONFIG_EXT(CAE_ACCN_ID,CAE_APPS_CODE,CAE_ROLE_ID,CAE_TYPE,CAE_VALUE,CAE_STATUS,CAE_DT_CREATE,CAE_UID_CREATE) VALUES('IODSF','CKT','OFFICER','TABS','jobDetails,fmTrip, mmTrip,documents,driver,deliveryOrders,audit,rejectRemarks,tracking','A',NOW(),'SYS');</v>
      </c>
    </row>
    <row r="6" spans="1:8" x14ac:dyDescent="0.2">
      <c r="A6" s="23" t="s">
        <v>1013</v>
      </c>
      <c r="B6" s="26" t="s">
        <v>1022</v>
      </c>
      <c r="C6" s="26" t="s">
        <v>1023</v>
      </c>
      <c r="D6" s="23" t="s">
        <v>7</v>
      </c>
      <c r="E6" s="23" t="s">
        <v>1015</v>
      </c>
      <c r="F6" s="23" t="s">
        <v>14</v>
      </c>
      <c r="G6" s="23" t="s">
        <v>9</v>
      </c>
      <c r="H6" t="str">
        <f>CONCATENATE("INSERT INTO T_CK_ACCN_CONFIG_EXT(CAE_ACCN_ID,CAE_APPS_CODE,CAE_ROLE_ID,CAE_TYPE,CAE_VALUE,CAE_STATUS,CAE_DT_CREATE,CAE_UID_CREATE) VALUES('",A6,"','",F6,"','",G6,"','",B6,"','",C6,"','",D6,"',NOW(),'",E6,"');")</f>
        <v>INSERT INTO T_CK_ACCN_CONFIG_EXT(CAE_ACCN_ID,CAE_APPS_CODE,CAE_ROLE_ID,CAE_TYPE,CAE_VALUE,CAE_STATUS,CAE_DT_CREATE,CAE_UID_CREATE) VALUES('IODSF','CKT','OFFICER','HIDDEN_FIELDS','tripcharges','A',NOW(),'SYS');</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
  <sheetViews>
    <sheetView zoomScale="113" zoomScaleNormal="113" workbookViewId="0">
      <selection activeCell="C34" sqref="C34"/>
    </sheetView>
  </sheetViews>
  <sheetFormatPr baseColWidth="10" defaultColWidth="11" defaultRowHeight="16" x14ac:dyDescent="0.2"/>
  <cols>
    <col min="1" max="1" width="11.6640625" customWidth="1"/>
    <col min="2" max="2" width="23.1640625" customWidth="1"/>
    <col min="3" max="4" width="19" customWidth="1"/>
    <col min="5" max="5" width="13" customWidth="1"/>
  </cols>
  <sheetData>
    <row r="1" spans="1:5" x14ac:dyDescent="0.2">
      <c r="A1" s="7" t="s">
        <v>461</v>
      </c>
      <c r="B1" s="7" t="s">
        <v>462</v>
      </c>
      <c r="C1" s="7" t="s">
        <v>463</v>
      </c>
      <c r="D1" s="7" t="s">
        <v>464</v>
      </c>
      <c r="E1" s="7" t="s">
        <v>465</v>
      </c>
    </row>
    <row r="2" spans="1:5" x14ac:dyDescent="0.2">
      <c r="A2" t="s">
        <v>466</v>
      </c>
      <c r="B2" t="s">
        <v>467</v>
      </c>
      <c r="C2" t="s">
        <v>467</v>
      </c>
      <c r="D2" t="s">
        <v>467</v>
      </c>
      <c r="E2" t="s">
        <v>7</v>
      </c>
    </row>
    <row r="3" spans="1:5" x14ac:dyDescent="0.2">
      <c r="A3" t="s">
        <v>468</v>
      </c>
      <c r="B3" t="s">
        <v>469</v>
      </c>
      <c r="C3" t="s">
        <v>469</v>
      </c>
      <c r="D3" t="s">
        <v>469</v>
      </c>
      <c r="E3" t="s">
        <v>7</v>
      </c>
    </row>
    <row r="4" spans="1:5" x14ac:dyDescent="0.2">
      <c r="A4" t="s">
        <v>470</v>
      </c>
      <c r="B4" t="s">
        <v>471</v>
      </c>
      <c r="C4" t="s">
        <v>471</v>
      </c>
      <c r="D4" t="s">
        <v>471</v>
      </c>
      <c r="E4" t="s">
        <v>7</v>
      </c>
    </row>
    <row r="5" spans="1:5" x14ac:dyDescent="0.2">
      <c r="A5" t="s">
        <v>472</v>
      </c>
      <c r="B5" t="s">
        <v>473</v>
      </c>
      <c r="C5" t="s">
        <v>473</v>
      </c>
      <c r="D5" t="s">
        <v>473</v>
      </c>
      <c r="E5" t="s">
        <v>7</v>
      </c>
    </row>
    <row r="6" spans="1:5" x14ac:dyDescent="0.2">
      <c r="A6" t="s">
        <v>474</v>
      </c>
      <c r="B6" t="s">
        <v>475</v>
      </c>
      <c r="C6" t="s">
        <v>475</v>
      </c>
      <c r="D6" t="s">
        <v>475</v>
      </c>
      <c r="E6" t="s">
        <v>7</v>
      </c>
    </row>
    <row r="7" spans="1:5" x14ac:dyDescent="0.2">
      <c r="A7" t="s">
        <v>476</v>
      </c>
      <c r="B7" t="s">
        <v>477</v>
      </c>
      <c r="C7" t="s">
        <v>477</v>
      </c>
      <c r="D7" t="s">
        <v>477</v>
      </c>
      <c r="E7" t="s">
        <v>7</v>
      </c>
    </row>
    <row r="8" spans="1:5" x14ac:dyDescent="0.2">
      <c r="A8" t="s">
        <v>478</v>
      </c>
      <c r="B8" t="s">
        <v>479</v>
      </c>
      <c r="C8" t="s">
        <v>479</v>
      </c>
      <c r="D8" t="s">
        <v>477</v>
      </c>
      <c r="E8" t="s">
        <v>7</v>
      </c>
    </row>
    <row r="9" spans="1:5" x14ac:dyDescent="0.2">
      <c r="A9" t="s">
        <v>480</v>
      </c>
      <c r="B9" t="s">
        <v>481</v>
      </c>
      <c r="C9" t="s">
        <v>481</v>
      </c>
      <c r="D9" t="s">
        <v>481</v>
      </c>
      <c r="E9" t="s">
        <v>7</v>
      </c>
    </row>
    <row r="10" spans="1:5" x14ac:dyDescent="0.2">
      <c r="A10" t="s">
        <v>482</v>
      </c>
      <c r="B10" t="s">
        <v>230</v>
      </c>
      <c r="C10" t="s">
        <v>230</v>
      </c>
      <c r="D10" t="s">
        <v>230</v>
      </c>
      <c r="E10" t="s">
        <v>7</v>
      </c>
    </row>
    <row r="11" spans="1:5" x14ac:dyDescent="0.2">
      <c r="A11" t="s">
        <v>483</v>
      </c>
      <c r="B11" t="s">
        <v>484</v>
      </c>
      <c r="C11" t="s">
        <v>484</v>
      </c>
      <c r="D11" t="s">
        <v>484</v>
      </c>
      <c r="E11" t="s">
        <v>7</v>
      </c>
    </row>
    <row r="12" spans="1:5" x14ac:dyDescent="0.2">
      <c r="A12" t="s">
        <v>485</v>
      </c>
      <c r="B12" t="s">
        <v>486</v>
      </c>
      <c r="C12" t="s">
        <v>486</v>
      </c>
      <c r="D12" t="s">
        <v>486</v>
      </c>
      <c r="E12" t="s">
        <v>7</v>
      </c>
    </row>
    <row r="13" spans="1:5" x14ac:dyDescent="0.2">
      <c r="A13" t="s">
        <v>487</v>
      </c>
      <c r="B13" t="s">
        <v>488</v>
      </c>
      <c r="C13" t="s">
        <v>488</v>
      </c>
      <c r="D13" t="s">
        <v>488</v>
      </c>
      <c r="E13" t="s">
        <v>7</v>
      </c>
    </row>
    <row r="14" spans="1:5" x14ac:dyDescent="0.2">
      <c r="A14" t="s">
        <v>489</v>
      </c>
      <c r="B14" t="s">
        <v>490</v>
      </c>
      <c r="C14" t="s">
        <v>490</v>
      </c>
      <c r="D14" t="s">
        <v>490</v>
      </c>
      <c r="E14" t="s">
        <v>7</v>
      </c>
    </row>
    <row r="15" spans="1:5" x14ac:dyDescent="0.2">
      <c r="A15" t="s">
        <v>491</v>
      </c>
      <c r="B15" t="s">
        <v>492</v>
      </c>
      <c r="C15" t="s">
        <v>492</v>
      </c>
      <c r="D15" t="s">
        <v>492</v>
      </c>
      <c r="E15" t="s">
        <v>7</v>
      </c>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4"/>
  <sheetViews>
    <sheetView zoomScale="90" zoomScaleNormal="90" workbookViewId="0">
      <selection activeCell="F14" sqref="F14"/>
    </sheetView>
  </sheetViews>
  <sheetFormatPr baseColWidth="10" defaultColWidth="11" defaultRowHeight="16" x14ac:dyDescent="0.2"/>
  <cols>
    <col min="1" max="1" width="9.5" customWidth="1"/>
    <col min="2" max="3" width="14.33203125" customWidth="1"/>
    <col min="4" max="4" width="16.6640625" customWidth="1"/>
    <col min="5" max="5" width="14.33203125" customWidth="1"/>
  </cols>
  <sheetData>
    <row r="1" spans="1:5" x14ac:dyDescent="0.2">
      <c r="A1" t="s">
        <v>493</v>
      </c>
      <c r="B1" t="s">
        <v>494</v>
      </c>
      <c r="C1" t="s">
        <v>495</v>
      </c>
      <c r="D1" t="s">
        <v>496</v>
      </c>
      <c r="E1" t="s">
        <v>497</v>
      </c>
    </row>
    <row r="2" spans="1:5" x14ac:dyDescent="0.2">
      <c r="A2" t="s">
        <v>498</v>
      </c>
      <c r="B2" t="s">
        <v>499</v>
      </c>
      <c r="C2" t="s">
        <v>499</v>
      </c>
      <c r="D2" t="s">
        <v>499</v>
      </c>
      <c r="E2" t="s">
        <v>7</v>
      </c>
    </row>
    <row r="3" spans="1:5" x14ac:dyDescent="0.2">
      <c r="A3" t="s">
        <v>500</v>
      </c>
      <c r="B3" t="s">
        <v>501</v>
      </c>
      <c r="C3" t="s">
        <v>501</v>
      </c>
      <c r="D3" t="s">
        <v>501</v>
      </c>
      <c r="E3" t="s">
        <v>7</v>
      </c>
    </row>
    <row r="4" spans="1:5" x14ac:dyDescent="0.2">
      <c r="A4" t="s">
        <v>502</v>
      </c>
      <c r="B4" t="s">
        <v>503</v>
      </c>
      <c r="C4" t="s">
        <v>503</v>
      </c>
      <c r="D4" t="s">
        <v>503</v>
      </c>
      <c r="E4" t="s">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6"/>
  <sheetViews>
    <sheetView zoomScale="107" zoomScaleNormal="107" workbookViewId="0">
      <selection activeCell="E42" sqref="E42"/>
    </sheetView>
  </sheetViews>
  <sheetFormatPr baseColWidth="10" defaultColWidth="11" defaultRowHeight="16" x14ac:dyDescent="0.2"/>
  <cols>
    <col min="2" max="2" width="32.33203125" customWidth="1"/>
    <col min="3" max="3" width="31" customWidth="1"/>
    <col min="4" max="4" width="31.83203125" customWidth="1"/>
  </cols>
  <sheetData>
    <row r="1" spans="1:8" x14ac:dyDescent="0.2">
      <c r="A1" s="1" t="s">
        <v>504</v>
      </c>
      <c r="B1" s="1" t="s">
        <v>505</v>
      </c>
      <c r="C1" s="1" t="s">
        <v>506</v>
      </c>
      <c r="D1" s="1" t="s">
        <v>507</v>
      </c>
      <c r="E1" s="1" t="s">
        <v>508</v>
      </c>
      <c r="F1" s="1" t="s">
        <v>509</v>
      </c>
    </row>
    <row r="2" spans="1:8" x14ac:dyDescent="0.2">
      <c r="A2" t="s">
        <v>510</v>
      </c>
      <c r="B2" t="s">
        <v>511</v>
      </c>
      <c r="C2" t="s">
        <v>512</v>
      </c>
      <c r="D2" t="s">
        <v>511</v>
      </c>
      <c r="E2" t="s">
        <v>7</v>
      </c>
      <c r="F2" t="str">
        <f>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2" t="str">
        <f>CONCATENATE(" VALUES('",A2,"','",B2,"','",C2,"','",D2,"','",E2,"',NOW(),'SYS',NOW(),'SYS'); ")</f>
        <v xml:space="preserve"> VALUES('ACCEPT','Form Accept',' Form Accept','Form Accept','A',NOW(),'SYS',NOW(),'SYS'); </v>
      </c>
      <c r="H2" t="str">
        <f>CONCATENATE(F2,G2)</f>
        <v xml:space="preserve">INSERT INTO T_CK_MST_FORM_ACTION (`FMACT_ID`,`FMACT_NAME`,`FMACT_DESC`,`FMACT_DESC_OTH`,`FMACT_STATUS`,`FMACT_DT_CREATE`,`FMACT_UID_CREATE`,`FMACT_DT_LUPD`,`FMACT_UID_LUPD`) VALUES('ACCEPT','Form Accept',' Form Accept','Form Accept','A',NOW(),'SYS',NOW(),'SYS'); </v>
      </c>
    </row>
    <row r="3" spans="1:8" x14ac:dyDescent="0.2">
      <c r="A3" t="s">
        <v>513</v>
      </c>
      <c r="B3" t="s">
        <v>514</v>
      </c>
      <c r="C3" t="s">
        <v>514</v>
      </c>
      <c r="D3" t="s">
        <v>514</v>
      </c>
      <c r="E3" t="s">
        <v>7</v>
      </c>
      <c r="F3" t="str">
        <f t="shared" ref="F3:F30" si="0">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3" t="str">
        <f t="shared" ref="G3:G30" si="1">CONCATENATE(" VALUES('",A3,"','",B3,"','",C3,"','",D3,"','",E3,"',NOW(),'SYS',NOW(),'SYS'); ")</f>
        <v xml:space="preserve"> VALUES('ACKNOWLEDGE_BILL','Acknowledge Job Billing','Acknowledge Job Billing','Acknowledge Job Billing','A',NOW(),'SYS',NOW(),'SYS'); </v>
      </c>
      <c r="H3" t="str">
        <f t="shared" ref="H3:H30" si="2">CONCATENATE(F3,G3)</f>
        <v xml:space="preserve">INSERT INTO T_CK_MST_FORM_ACTION (`FMACT_ID`,`FMACT_NAME`,`FMACT_DESC`,`FMACT_DESC_OTH`,`FMACT_STATUS`,`FMACT_DT_CREATE`,`FMACT_UID_CREATE`,`FMACT_DT_LUPD`,`FMACT_UID_LUPD`) VALUES('ACKNOWLEDGE_BILL','Acknowledge Job Billing','Acknowledge Job Billing','Acknowledge Job Billing','A',NOW(),'SYS',NOW(),'SYS'); </v>
      </c>
    </row>
    <row r="4" spans="1:8" x14ac:dyDescent="0.2">
      <c r="A4" t="s">
        <v>515</v>
      </c>
      <c r="B4" t="s">
        <v>516</v>
      </c>
      <c r="C4" t="s">
        <v>516</v>
      </c>
      <c r="D4" t="s">
        <v>516</v>
      </c>
      <c r="E4" t="s">
        <v>7</v>
      </c>
      <c r="F4" t="str">
        <f t="shared" si="0"/>
        <v>INSERT INTO T_CK_MST_FORM_ACTION (`FMACT_ID`,`FMACT_NAME`,`FMACT_DESC`,`FMACT_DESC_OTH`,`FMACT_STATUS`,`FMACT_DT_CREATE`,`FMACT_UID_CREATE`,`FMACT_DT_LUPD`,`FMACT_UID_LUPD`)</v>
      </c>
      <c r="G4" t="str">
        <f t="shared" si="1"/>
        <v xml:space="preserve"> VALUES('ACTIVATE','Form Activate','Form Activate','Form Activate','A',NOW(),'SYS',NOW(),'SYS'); </v>
      </c>
      <c r="H4" t="str">
        <f t="shared" si="2"/>
        <v xml:space="preserve">INSERT INTO T_CK_MST_FORM_ACTION (`FMACT_ID`,`FMACT_NAME`,`FMACT_DESC`,`FMACT_DESC_OTH`,`FMACT_STATUS`,`FMACT_DT_CREATE`,`FMACT_UID_CREATE`,`FMACT_DT_LUPD`,`FMACT_UID_LUPD`) VALUES('ACTIVATE','Form Activate','Form Activate','Form Activate','A',NOW(),'SYS',NOW(),'SYS'); </v>
      </c>
    </row>
    <row r="5" spans="1:8" x14ac:dyDescent="0.2">
      <c r="A5" t="s">
        <v>517</v>
      </c>
      <c r="B5" t="s">
        <v>518</v>
      </c>
      <c r="C5" t="s">
        <v>518</v>
      </c>
      <c r="D5" t="s">
        <v>518</v>
      </c>
      <c r="E5" t="s">
        <v>7</v>
      </c>
      <c r="F5" t="str">
        <f t="shared" si="0"/>
        <v>INSERT INTO T_CK_MST_FORM_ACTION (`FMACT_ID`,`FMACT_NAME`,`FMACT_DESC`,`FMACT_DESC_OTH`,`FMACT_STATUS`,`FMACT_DT_CREATE`,`FMACT_UID_CREATE`,`FMACT_DT_LUPD`,`FMACT_UID_LUPD`)</v>
      </c>
      <c r="G5" t="str">
        <f t="shared" si="1"/>
        <v xml:space="preserve"> VALUES('APPROVE','Form Approve','Form Approve','Form Approve','A',NOW(),'SYS',NOW(),'SYS'); </v>
      </c>
      <c r="H5" t="str">
        <f t="shared" si="2"/>
        <v xml:space="preserve">INSERT INTO T_CK_MST_FORM_ACTION (`FMACT_ID`,`FMACT_NAME`,`FMACT_DESC`,`FMACT_DESC_OTH`,`FMACT_STATUS`,`FMACT_DT_CREATE`,`FMACT_UID_CREATE`,`FMACT_DT_LUPD`,`FMACT_UID_LUPD`) VALUES('APPROVE','Form Approve','Form Approve','Form Approve','A',NOW(),'SYS',NOW(),'SYS'); </v>
      </c>
    </row>
    <row r="6" spans="1:8" x14ac:dyDescent="0.2">
      <c r="A6" t="s">
        <v>519</v>
      </c>
      <c r="B6" t="s">
        <v>520</v>
      </c>
      <c r="C6" t="s">
        <v>520</v>
      </c>
      <c r="D6" t="s">
        <v>520</v>
      </c>
      <c r="E6" t="s">
        <v>7</v>
      </c>
      <c r="F6" t="str">
        <f t="shared" si="0"/>
        <v>INSERT INTO T_CK_MST_FORM_ACTION (`FMACT_ID`,`FMACT_NAME`,`FMACT_DESC`,`FMACT_DESC_OTH`,`FMACT_STATUS`,`FMACT_DT_CREATE`,`FMACT_UID_CREATE`,`FMACT_DT_LUPD`,`FMACT_UID_LUPD`)</v>
      </c>
      <c r="G6" t="str">
        <f t="shared" si="1"/>
        <v xml:space="preserve"> VALUES('APPROVE_BILL','Approve Job Billing','Approve Job Billing','Approve Job Billing','A',NOW(),'SYS',NOW(),'SYS'); </v>
      </c>
      <c r="H6" t="str">
        <f t="shared" si="2"/>
        <v xml:space="preserve">INSERT INTO T_CK_MST_FORM_ACTION (`FMACT_ID`,`FMACT_NAME`,`FMACT_DESC`,`FMACT_DESC_OTH`,`FMACT_STATUS`,`FMACT_DT_CREATE`,`FMACT_UID_CREATE`,`FMACT_DT_LUPD`,`FMACT_UID_LUPD`) VALUES('APPROVE_BILL','Approve Job Billing','Approve Job Billing','Approve Job Billing','A',NOW(),'SYS',NOW(),'SYS'); </v>
      </c>
    </row>
    <row r="7" spans="1:8" x14ac:dyDescent="0.2">
      <c r="A7" t="s">
        <v>521</v>
      </c>
      <c r="B7" t="s">
        <v>522</v>
      </c>
      <c r="C7" t="s">
        <v>522</v>
      </c>
      <c r="D7" t="s">
        <v>522</v>
      </c>
      <c r="E7" t="s">
        <v>7</v>
      </c>
      <c r="F7" t="str">
        <f t="shared" si="0"/>
        <v>INSERT INTO T_CK_MST_FORM_ACTION (`FMACT_ID`,`FMACT_NAME`,`FMACT_DESC`,`FMACT_DESC_OTH`,`FMACT_STATUS`,`FMACT_DT_CREATE`,`FMACT_UID_CREATE`,`FMACT_DT_LUPD`,`FMACT_UID_LUPD`)</v>
      </c>
      <c r="G7" t="str">
        <f t="shared" si="1"/>
        <v xml:space="preserve"> VALUES('ASSIGN','Form Assign','Form Assign','Form Assign','A',NOW(),'SYS',NOW(),'SYS'); </v>
      </c>
      <c r="H7" t="str">
        <f t="shared" si="2"/>
        <v xml:space="preserve">INSERT INTO T_CK_MST_FORM_ACTION (`FMACT_ID`,`FMACT_NAME`,`FMACT_DESC`,`FMACT_DESC_OTH`,`FMACT_STATUS`,`FMACT_DT_CREATE`,`FMACT_UID_CREATE`,`FMACT_DT_LUPD`,`FMACT_UID_LUPD`) VALUES('ASSIGN','Form Assign','Form Assign','Form Assign','A',NOW(),'SYS',NOW(),'SYS'); </v>
      </c>
    </row>
    <row r="8" spans="1:8" x14ac:dyDescent="0.2">
      <c r="A8" t="s">
        <v>523</v>
      </c>
      <c r="B8" t="s">
        <v>524</v>
      </c>
      <c r="C8" t="s">
        <v>524</v>
      </c>
      <c r="D8" t="s">
        <v>524</v>
      </c>
      <c r="E8" t="s">
        <v>7</v>
      </c>
      <c r="F8" t="str">
        <f t="shared" si="0"/>
        <v>INSERT INTO T_CK_MST_FORM_ACTION (`FMACT_ID`,`FMACT_NAME`,`FMACT_DESC`,`FMACT_DESC_OTH`,`FMACT_STATUS`,`FMACT_DT_CREATE`,`FMACT_UID_CREATE`,`FMACT_DT_LUPD`,`FMACT_UID_LUPD`)</v>
      </c>
      <c r="G8" t="str">
        <f t="shared" si="1"/>
        <v xml:space="preserve"> VALUES('BILLJOB','Bill Job','Bill Job','Bill Job','A',NOW(),'SYS',NOW(),'SYS'); </v>
      </c>
      <c r="H8" t="str">
        <f t="shared" si="2"/>
        <v xml:space="preserve">INSERT INTO T_CK_MST_FORM_ACTION (`FMACT_ID`,`FMACT_NAME`,`FMACT_DESC`,`FMACT_DESC_OTH`,`FMACT_STATUS`,`FMACT_DT_CREATE`,`FMACT_UID_CREATE`,`FMACT_DT_LUPD`,`FMACT_UID_LUPD`) VALUES('BILLJOB','Bill Job','Bill Job','Bill Job','A',NOW(),'SYS',NOW(),'SYS'); </v>
      </c>
    </row>
    <row r="9" spans="1:8" x14ac:dyDescent="0.2">
      <c r="A9" t="s">
        <v>525</v>
      </c>
      <c r="B9" t="s">
        <v>526</v>
      </c>
      <c r="C9" t="s">
        <v>526</v>
      </c>
      <c r="D9" t="s">
        <v>526</v>
      </c>
      <c r="E9" t="s">
        <v>7</v>
      </c>
      <c r="F9" t="str">
        <f t="shared" si="0"/>
        <v>INSERT INTO T_CK_MST_FORM_ACTION (`FMACT_ID`,`FMACT_NAME`,`FMACT_DESC`,`FMACT_DESC_OTH`,`FMACT_STATUS`,`FMACT_DT_CREATE`,`FMACT_UID_CREATE`,`FMACT_DT_LUPD`,`FMACT_UID_LUPD`)</v>
      </c>
      <c r="G9" t="str">
        <f t="shared" si="1"/>
        <v xml:space="preserve"> VALUES('CANCEL','Form Cancel','Form Cancel','Form Cancel','A',NOW(),'SYS',NOW(),'SYS'); </v>
      </c>
      <c r="H9" t="str">
        <f t="shared" si="2"/>
        <v xml:space="preserve">INSERT INTO T_CK_MST_FORM_ACTION (`FMACT_ID`,`FMACT_NAME`,`FMACT_DESC`,`FMACT_DESC_OTH`,`FMACT_STATUS`,`FMACT_DT_CREATE`,`FMACT_UID_CREATE`,`FMACT_DT_LUPD`,`FMACT_UID_LUPD`) VALUES('CANCEL','Form Cancel','Form Cancel','Form Cancel','A',NOW(),'SYS',NOW(),'SYS'); </v>
      </c>
    </row>
    <row r="10" spans="1:8" x14ac:dyDescent="0.2">
      <c r="A10" t="s">
        <v>527</v>
      </c>
      <c r="B10" t="s">
        <v>528</v>
      </c>
      <c r="C10" t="s">
        <v>528</v>
      </c>
      <c r="D10" t="s">
        <v>528</v>
      </c>
      <c r="E10" t="s">
        <v>7</v>
      </c>
      <c r="F10" t="str">
        <f t="shared" si="0"/>
        <v>INSERT INTO T_CK_MST_FORM_ACTION (`FMACT_ID`,`FMACT_NAME`,`FMACT_DESC`,`FMACT_DESC_OTH`,`FMACT_STATUS`,`FMACT_DT_CREATE`,`FMACT_UID_CREATE`,`FMACT_DT_LUPD`,`FMACT_UID_LUPD`)</v>
      </c>
      <c r="G10" t="str">
        <f t="shared" si="1"/>
        <v xml:space="preserve"> VALUES('CLONE','Form Clone','Form Clone','Form Clone','A',NOW(),'SYS',NOW(),'SYS'); </v>
      </c>
      <c r="H10" t="str">
        <f t="shared" si="2"/>
        <v xml:space="preserve">INSERT INTO T_CK_MST_FORM_ACTION (`FMACT_ID`,`FMACT_NAME`,`FMACT_DESC`,`FMACT_DESC_OTH`,`FMACT_STATUS`,`FMACT_DT_CREATE`,`FMACT_UID_CREATE`,`FMACT_DT_LUPD`,`FMACT_UID_LUPD`) VALUES('CLONE','Form Clone','Form Clone','Form Clone','A',NOW(),'SYS',NOW(),'SYS'); </v>
      </c>
    </row>
    <row r="11" spans="1:8" x14ac:dyDescent="0.2">
      <c r="A11" t="s">
        <v>529</v>
      </c>
      <c r="B11" t="s">
        <v>530</v>
      </c>
      <c r="C11" t="s">
        <v>530</v>
      </c>
      <c r="D11" t="s">
        <v>530</v>
      </c>
      <c r="E11" t="s">
        <v>7</v>
      </c>
      <c r="F11" t="str">
        <f t="shared" si="0"/>
        <v>INSERT INTO T_CK_MST_FORM_ACTION (`FMACT_ID`,`FMACT_NAME`,`FMACT_DESC`,`FMACT_DESC_OTH`,`FMACT_STATUS`,`FMACT_DT_CREATE`,`FMACT_UID_CREATE`,`FMACT_DT_LUPD`,`FMACT_UID_LUPD`)</v>
      </c>
      <c r="G11" t="str">
        <f t="shared" si="1"/>
        <v xml:space="preserve"> VALUES('DEACTIVATE','Form Deactivate','Form Deactivate','Form Deactivate','A',NOW(),'SYS',NOW(),'SYS'); </v>
      </c>
      <c r="H11" t="str">
        <f t="shared" si="2"/>
        <v xml:space="preserve">INSERT INTO T_CK_MST_FORM_ACTION (`FMACT_ID`,`FMACT_NAME`,`FMACT_DESC`,`FMACT_DESC_OTH`,`FMACT_STATUS`,`FMACT_DT_CREATE`,`FMACT_UID_CREATE`,`FMACT_DT_LUPD`,`FMACT_UID_LUPD`) VALUES('DEACTIVATE','Form Deactivate','Form Deactivate','Form Deactivate','A',NOW(),'SYS',NOW(),'SYS'); </v>
      </c>
    </row>
    <row r="12" spans="1:8" x14ac:dyDescent="0.2">
      <c r="A12" t="s">
        <v>531</v>
      </c>
      <c r="B12" t="s">
        <v>532</v>
      </c>
      <c r="C12" t="s">
        <v>532</v>
      </c>
      <c r="D12" t="s">
        <v>532</v>
      </c>
      <c r="E12" t="s">
        <v>7</v>
      </c>
      <c r="F12" t="str">
        <f t="shared" si="0"/>
        <v>INSERT INTO T_CK_MST_FORM_ACTION (`FMACT_ID`,`FMACT_NAME`,`FMACT_DESC`,`FMACT_DESC_OTH`,`FMACT_STATUS`,`FMACT_DT_CREATE`,`FMACT_UID_CREATE`,`FMACT_DT_LUPD`,`FMACT_UID_LUPD`)</v>
      </c>
      <c r="G12" t="str">
        <f t="shared" si="1"/>
        <v xml:space="preserve"> VALUES('DELETE','Form Delete','Form Delete','Form Delete','A',NOW(),'SYS',NOW(),'SYS'); </v>
      </c>
      <c r="H12" t="str">
        <f t="shared" si="2"/>
        <v xml:space="preserve">INSERT INTO T_CK_MST_FORM_ACTION (`FMACT_ID`,`FMACT_NAME`,`FMACT_DESC`,`FMACT_DESC_OTH`,`FMACT_STATUS`,`FMACT_DT_CREATE`,`FMACT_UID_CREATE`,`FMACT_DT_LUPD`,`FMACT_UID_LUPD`) VALUES('DELETE','Form Delete','Form Delete','Form Delete','A',NOW(),'SYS',NOW(),'SYS'); </v>
      </c>
    </row>
    <row r="13" spans="1:8" x14ac:dyDescent="0.2">
      <c r="A13" t="s">
        <v>533</v>
      </c>
      <c r="B13" t="s">
        <v>534</v>
      </c>
      <c r="C13" t="s">
        <v>534</v>
      </c>
      <c r="D13" t="s">
        <v>534</v>
      </c>
      <c r="E13" t="s">
        <v>7</v>
      </c>
      <c r="F13" t="str">
        <f t="shared" si="0"/>
        <v>INSERT INTO T_CK_MST_FORM_ACTION (`FMACT_ID`,`FMACT_NAME`,`FMACT_DESC`,`FMACT_DESC_OTH`,`FMACT_STATUS`,`FMACT_DT_CREATE`,`FMACT_UID_CREATE`,`FMACT_DT_LUPD`,`FMACT_UID_LUPD`)</v>
      </c>
      <c r="G13" t="str">
        <f t="shared" si="1"/>
        <v xml:space="preserve"> VALUES('EXIT','Form Exit','Form Exit','Form Exit','A',NOW(),'SYS',NOW(),'SYS'); </v>
      </c>
      <c r="H13" t="str">
        <f t="shared" si="2"/>
        <v xml:space="preserve">INSERT INTO T_CK_MST_FORM_ACTION (`FMACT_ID`,`FMACT_NAME`,`FMACT_DESC`,`FMACT_DESC_OTH`,`FMACT_STATUS`,`FMACT_DT_CREATE`,`FMACT_UID_CREATE`,`FMACT_DT_LUPD`,`FMACT_UID_LUPD`) VALUES('EXIT','Form Exit','Form Exit','Form Exit','A',NOW(),'SYS',NOW(),'SYS'); </v>
      </c>
    </row>
    <row r="14" spans="1:8" x14ac:dyDescent="0.2">
      <c r="A14" t="s">
        <v>100</v>
      </c>
      <c r="B14" t="s">
        <v>535</v>
      </c>
      <c r="C14" t="s">
        <v>535</v>
      </c>
      <c r="D14" t="s">
        <v>535</v>
      </c>
      <c r="E14" t="s">
        <v>7</v>
      </c>
      <c r="F14" t="str">
        <f t="shared" si="0"/>
        <v>INSERT INTO T_CK_MST_FORM_ACTION (`FMACT_ID`,`FMACT_NAME`,`FMACT_DESC`,`FMACT_DESC_OTH`,`FMACT_STATUS`,`FMACT_DT_CREATE`,`FMACT_UID_CREATE`,`FMACT_DT_LUPD`,`FMACT_UID_LUPD`)</v>
      </c>
      <c r="G14" t="str">
        <f t="shared" si="1"/>
        <v xml:space="preserve"> VALUES('NEW','Form New','Form New','Form New','A',NOW(),'SYS',NOW(),'SYS'); </v>
      </c>
      <c r="H14" t="str">
        <f t="shared" si="2"/>
        <v xml:space="preserve">INSERT INTO T_CK_MST_FORM_ACTION (`FMACT_ID`,`FMACT_NAME`,`FMACT_DESC`,`FMACT_DESC_OTH`,`FMACT_STATUS`,`FMACT_DT_CREATE`,`FMACT_UID_CREATE`,`FMACT_DT_LUPD`,`FMACT_UID_LUPD`) VALUES('NEW','Form New','Form New','Form New','A',NOW(),'SYS',NOW(),'SYS'); </v>
      </c>
    </row>
    <row r="15" spans="1:8" x14ac:dyDescent="0.2">
      <c r="A15" t="s">
        <v>536</v>
      </c>
      <c r="B15" t="s">
        <v>537</v>
      </c>
      <c r="C15" t="s">
        <v>537</v>
      </c>
      <c r="D15" t="s">
        <v>537</v>
      </c>
      <c r="E15" t="s">
        <v>7</v>
      </c>
      <c r="F15" t="str">
        <f t="shared" si="0"/>
        <v>INSERT INTO T_CK_MST_FORM_ACTION (`FMACT_ID`,`FMACT_NAME`,`FMACT_DESC`,`FMACT_DESC_OTH`,`FMACT_STATUS`,`FMACT_DT_CREATE`,`FMACT_UID_CREATE`,`FMACT_DT_LUPD`,`FMACT_UID_LUPD`)</v>
      </c>
      <c r="G15" t="str">
        <f t="shared" si="1"/>
        <v xml:space="preserve"> VALUES('PAUSE','Form Pause','Form Pause','Form Pause','A',NOW(),'SYS',NOW(),'SYS'); </v>
      </c>
      <c r="H15" t="str">
        <f t="shared" si="2"/>
        <v xml:space="preserve">INSERT INTO T_CK_MST_FORM_ACTION (`FMACT_ID`,`FMACT_NAME`,`FMACT_DESC`,`FMACT_DESC_OTH`,`FMACT_STATUS`,`FMACT_DT_CREATE`,`FMACT_UID_CREATE`,`FMACT_DT_LUPD`,`FMACT_UID_LUPD`) VALUES('PAUSE','Form Pause','Form Pause','Form Pause','A',NOW(),'SYS',NOW(),'SYS'); </v>
      </c>
    </row>
    <row r="16" spans="1:8" x14ac:dyDescent="0.2">
      <c r="A16" t="s">
        <v>538</v>
      </c>
      <c r="B16" t="s">
        <v>539</v>
      </c>
      <c r="C16" t="s">
        <v>539</v>
      </c>
      <c r="D16" t="s">
        <v>539</v>
      </c>
      <c r="E16" t="s">
        <v>7</v>
      </c>
      <c r="F16" t="str">
        <f t="shared" si="0"/>
        <v>INSERT INTO T_CK_MST_FORM_ACTION (`FMACT_ID`,`FMACT_NAME`,`FMACT_DESC`,`FMACT_DESC_OTH`,`FMACT_STATUS`,`FMACT_DT_CREATE`,`FMACT_UID_CREATE`,`FMACT_DT_LUPD`,`FMACT_UID_LUPD`)</v>
      </c>
      <c r="G16" t="str">
        <f t="shared" si="1"/>
        <v xml:space="preserve"> VALUES('PAY','Form Pay','Form Pay','Form Pay','A',NOW(),'SYS',NOW(),'SYS'); </v>
      </c>
      <c r="H16" t="str">
        <f t="shared" si="2"/>
        <v xml:space="preserve">INSERT INTO T_CK_MST_FORM_ACTION (`FMACT_ID`,`FMACT_NAME`,`FMACT_DESC`,`FMACT_DESC_OTH`,`FMACT_STATUS`,`FMACT_DT_CREATE`,`FMACT_UID_CREATE`,`FMACT_DT_LUPD`,`FMACT_UID_LUPD`) VALUES('PAY','Form Pay','Form Pay','Form Pay','A',NOW(),'SYS',NOW(),'SYS'); </v>
      </c>
    </row>
    <row r="17" spans="1:8" x14ac:dyDescent="0.2">
      <c r="A17" t="s">
        <v>540</v>
      </c>
      <c r="B17" t="s">
        <v>541</v>
      </c>
      <c r="C17" t="s">
        <v>541</v>
      </c>
      <c r="D17" t="s">
        <v>541</v>
      </c>
      <c r="E17" t="s">
        <v>7</v>
      </c>
      <c r="F17" t="str">
        <f t="shared" si="0"/>
        <v>INSERT INTO T_CK_MST_FORM_ACTION (`FMACT_ID`,`FMACT_NAME`,`FMACT_DESC`,`FMACT_DESC_OTH`,`FMACT_STATUS`,`FMACT_DT_CREATE`,`FMACT_UID_CREATE`,`FMACT_DT_LUPD`,`FMACT_UID_LUPD`)</v>
      </c>
      <c r="G17" t="str">
        <f t="shared" si="1"/>
        <v xml:space="preserve"> VALUES('QUERY','Form Query','Form Query','Form Query','A',NOW(),'SYS',NOW(),'SYS'); </v>
      </c>
      <c r="H17" t="str">
        <f t="shared" si="2"/>
        <v xml:space="preserve">INSERT INTO T_CK_MST_FORM_ACTION (`FMACT_ID`,`FMACT_NAME`,`FMACT_DESC`,`FMACT_DESC_OTH`,`FMACT_STATUS`,`FMACT_DT_CREATE`,`FMACT_UID_CREATE`,`FMACT_DT_LUPD`,`FMACT_UID_LUPD`) VALUES('QUERY','Form Query','Form Query','Form Query','A',NOW(),'SYS',NOW(),'SYS'); </v>
      </c>
    </row>
    <row r="18" spans="1:8" x14ac:dyDescent="0.2">
      <c r="A18" t="s">
        <v>542</v>
      </c>
      <c r="B18" t="s">
        <v>543</v>
      </c>
      <c r="C18" t="s">
        <v>543</v>
      </c>
      <c r="D18" t="s">
        <v>543</v>
      </c>
      <c r="E18" t="s">
        <v>7</v>
      </c>
      <c r="F18" t="str">
        <f t="shared" si="0"/>
        <v>INSERT INTO T_CK_MST_FORM_ACTION (`FMACT_ID`,`FMACT_NAME`,`FMACT_DESC`,`FMACT_DESC_OTH`,`FMACT_STATUS`,`FMACT_DT_CREATE`,`FMACT_UID_CREATE`,`FMACT_DT_LUPD`,`FMACT_UID_LUPD`)</v>
      </c>
      <c r="G18" t="str">
        <f t="shared" si="1"/>
        <v xml:space="preserve"> VALUES('REJECT','Form Reject','Form Reject','Form Reject','A',NOW(),'SYS',NOW(),'SYS'); </v>
      </c>
      <c r="H18" t="str">
        <f t="shared" si="2"/>
        <v xml:space="preserve">INSERT INTO T_CK_MST_FORM_ACTION (`FMACT_ID`,`FMACT_NAME`,`FMACT_DESC`,`FMACT_DESC_OTH`,`FMACT_STATUS`,`FMACT_DT_CREATE`,`FMACT_UID_CREATE`,`FMACT_DT_LUPD`,`FMACT_UID_LUPD`) VALUES('REJECT','Form Reject','Form Reject','Form Reject','A',NOW(),'SYS',NOW(),'SYS'); </v>
      </c>
    </row>
    <row r="19" spans="1:8" x14ac:dyDescent="0.2">
      <c r="A19" t="s">
        <v>544</v>
      </c>
      <c r="B19" t="s">
        <v>545</v>
      </c>
      <c r="C19" t="s">
        <v>545</v>
      </c>
      <c r="D19" t="s">
        <v>545</v>
      </c>
      <c r="E19" t="s">
        <v>7</v>
      </c>
      <c r="F19" t="str">
        <f t="shared" si="0"/>
        <v>INSERT INTO T_CK_MST_FORM_ACTION (`FMACT_ID`,`FMACT_NAME`,`FMACT_DESC`,`FMACT_DESC_OTH`,`FMACT_STATUS`,`FMACT_DT_CREATE`,`FMACT_UID_CREATE`,`FMACT_DT_LUPD`,`FMACT_UID_LUPD`)</v>
      </c>
      <c r="G19" t="str">
        <f t="shared" si="1"/>
        <v xml:space="preserve"> VALUES('REJECT_BILL','Reject Job Billing','Reject Job Billing','Reject Job Billing','A',NOW(),'SYS',NOW(),'SYS'); </v>
      </c>
      <c r="H19" t="str">
        <f t="shared" si="2"/>
        <v xml:space="preserve">INSERT INTO T_CK_MST_FORM_ACTION (`FMACT_ID`,`FMACT_NAME`,`FMACT_DESC`,`FMACT_DESC_OTH`,`FMACT_STATUS`,`FMACT_DT_CREATE`,`FMACT_UID_CREATE`,`FMACT_DT_LUPD`,`FMACT_UID_LUPD`) VALUES('REJECT_BILL','Reject Job Billing','Reject Job Billing','Reject Job Billing','A',NOW(),'SYS',NOW(),'SYS'); </v>
      </c>
    </row>
    <row r="20" spans="1:8" x14ac:dyDescent="0.2">
      <c r="A20" t="s">
        <v>546</v>
      </c>
      <c r="B20" t="s">
        <v>547</v>
      </c>
      <c r="C20" t="s">
        <v>547</v>
      </c>
      <c r="D20" t="s">
        <v>547</v>
      </c>
      <c r="E20" t="s">
        <v>7</v>
      </c>
      <c r="F20" t="str">
        <f t="shared" si="0"/>
        <v>INSERT INTO T_CK_MST_FORM_ACTION (`FMACT_ID`,`FMACT_NAME`,`FMACT_DESC`,`FMACT_DESC_OTH`,`FMACT_STATUS`,`FMACT_DT_CREATE`,`FMACT_UID_CREATE`,`FMACT_DT_LUPD`,`FMACT_UID_LUPD`)</v>
      </c>
      <c r="G20" t="str">
        <f t="shared" si="1"/>
        <v xml:space="preserve"> VALUES('RESUMPTION','Form Unsuspend','Form Unsuspend','Form Unsuspend','A',NOW(),'SYS',NOW(),'SYS'); </v>
      </c>
      <c r="H20" t="str">
        <f t="shared" si="2"/>
        <v xml:space="preserve">INSERT INTO T_CK_MST_FORM_ACTION (`FMACT_ID`,`FMACT_NAME`,`FMACT_DESC`,`FMACT_DESC_OTH`,`FMACT_STATUS`,`FMACT_DT_CREATE`,`FMACT_UID_CREATE`,`FMACT_DT_LUPD`,`FMACT_UID_LUPD`) VALUES('RESUMPTION','Form Unsuspend','Form Unsuspend','Form Unsuspend','A',NOW(),'SYS',NOW(),'SYS'); </v>
      </c>
    </row>
    <row r="21" spans="1:8" x14ac:dyDescent="0.2">
      <c r="A21" t="s">
        <v>548</v>
      </c>
      <c r="B21" t="s">
        <v>549</v>
      </c>
      <c r="C21" t="s">
        <v>549</v>
      </c>
      <c r="D21" t="s">
        <v>549</v>
      </c>
      <c r="E21" t="s">
        <v>7</v>
      </c>
      <c r="F21" t="str">
        <f t="shared" si="0"/>
        <v>INSERT INTO T_CK_MST_FORM_ACTION (`FMACT_ID`,`FMACT_NAME`,`FMACT_DESC`,`FMACT_DESC_OTH`,`FMACT_STATUS`,`FMACT_DT_CREATE`,`FMACT_UID_CREATE`,`FMACT_DT_LUPD`,`FMACT_UID_LUPD`)</v>
      </c>
      <c r="G21" t="str">
        <f t="shared" si="1"/>
        <v xml:space="preserve"> VALUES('REVERIFY','Form Reverify','Form Reverify','Form Reverify','A',NOW(),'SYS',NOW(),'SYS'); </v>
      </c>
      <c r="H21" t="str">
        <f t="shared" si="2"/>
        <v xml:space="preserve">INSERT INTO T_CK_MST_FORM_ACTION (`FMACT_ID`,`FMACT_NAME`,`FMACT_DESC`,`FMACT_DESC_OTH`,`FMACT_STATUS`,`FMACT_DT_CREATE`,`FMACT_UID_CREATE`,`FMACT_DT_LUPD`,`FMACT_UID_LUPD`) VALUES('REVERIFY','Form Reverify','Form Reverify','Form Reverify','A',NOW(),'SYS',NOW(),'SYS'); </v>
      </c>
    </row>
    <row r="22" spans="1:8" x14ac:dyDescent="0.2">
      <c r="A22" t="s">
        <v>550</v>
      </c>
      <c r="B22" t="s">
        <v>551</v>
      </c>
      <c r="C22" t="s">
        <v>551</v>
      </c>
      <c r="D22" t="s">
        <v>551</v>
      </c>
      <c r="E22" t="s">
        <v>7</v>
      </c>
      <c r="F22" t="str">
        <f t="shared" si="0"/>
        <v>INSERT INTO T_CK_MST_FORM_ACTION (`FMACT_ID`,`FMACT_NAME`,`FMACT_DESC`,`FMACT_DESC_OTH`,`FMACT_STATUS`,`FMACT_DT_CREATE`,`FMACT_UID_CREATE`,`FMACT_DT_LUPD`,`FMACT_UID_LUPD`)</v>
      </c>
      <c r="G22" t="str">
        <f t="shared" si="1"/>
        <v xml:space="preserve"> VALUES('SAVE','Form Save','Form Save','Form Save','A',NOW(),'SYS',NOW(),'SYS'); </v>
      </c>
      <c r="H22" t="str">
        <f t="shared" si="2"/>
        <v xml:space="preserve">INSERT INTO T_CK_MST_FORM_ACTION (`FMACT_ID`,`FMACT_NAME`,`FMACT_DESC`,`FMACT_DESC_OTH`,`FMACT_STATUS`,`FMACT_DT_CREATE`,`FMACT_UID_CREATE`,`FMACT_DT_LUPD`,`FMACT_UID_LUPD`) VALUES('SAVE','Form Save','Form Save','Form Save','A',NOW(),'SYS',NOW(),'SYS'); </v>
      </c>
    </row>
    <row r="23" spans="1:8" x14ac:dyDescent="0.2">
      <c r="A23" t="s">
        <v>552</v>
      </c>
      <c r="B23" t="s">
        <v>553</v>
      </c>
      <c r="C23" t="s">
        <v>553</v>
      </c>
      <c r="D23" t="s">
        <v>553</v>
      </c>
      <c r="E23" t="s">
        <v>7</v>
      </c>
      <c r="F23" t="str">
        <f t="shared" si="0"/>
        <v>INSERT INTO T_CK_MST_FORM_ACTION (`FMACT_ID`,`FMACT_NAME`,`FMACT_DESC`,`FMACT_DESC_OTH`,`FMACT_STATUS`,`FMACT_DT_CREATE`,`FMACT_UID_CREATE`,`FMACT_DT_LUPD`,`FMACT_UID_LUPD`)</v>
      </c>
      <c r="G23" t="str">
        <f t="shared" si="1"/>
        <v xml:space="preserve"> VALUES('START','Form Start','Form Start','Form Start','A',NOW(),'SYS',NOW(),'SYS'); </v>
      </c>
      <c r="H23" t="str">
        <f t="shared" si="2"/>
        <v xml:space="preserve">INSERT INTO T_CK_MST_FORM_ACTION (`FMACT_ID`,`FMACT_NAME`,`FMACT_DESC`,`FMACT_DESC_OTH`,`FMACT_STATUS`,`FMACT_DT_CREATE`,`FMACT_UID_CREATE`,`FMACT_DT_LUPD`,`FMACT_UID_LUPD`) VALUES('START','Form Start','Form Start','Form Start','A',NOW(),'SYS',NOW(),'SYS'); </v>
      </c>
    </row>
    <row r="24" spans="1:8" x14ac:dyDescent="0.2">
      <c r="A24" t="s">
        <v>554</v>
      </c>
      <c r="B24" t="s">
        <v>555</v>
      </c>
      <c r="C24" t="s">
        <v>555</v>
      </c>
      <c r="D24" t="s">
        <v>555</v>
      </c>
      <c r="E24" t="s">
        <v>7</v>
      </c>
      <c r="F24" t="str">
        <f t="shared" si="0"/>
        <v>INSERT INTO T_CK_MST_FORM_ACTION (`FMACT_ID`,`FMACT_NAME`,`FMACT_DESC`,`FMACT_DESC_OTH`,`FMACT_STATUS`,`FMACT_DT_CREATE`,`FMACT_UID_CREATE`,`FMACT_DT_LUPD`,`FMACT_UID_LUPD`)</v>
      </c>
      <c r="G24" t="str">
        <f t="shared" si="1"/>
        <v xml:space="preserve"> VALUES('STOP','Form Stop','Form Stop','Form Stop','A',NOW(),'SYS',NOW(),'SYS'); </v>
      </c>
      <c r="H24" t="str">
        <f t="shared" si="2"/>
        <v xml:space="preserve">INSERT INTO T_CK_MST_FORM_ACTION (`FMACT_ID`,`FMACT_NAME`,`FMACT_DESC`,`FMACT_DESC_OTH`,`FMACT_STATUS`,`FMACT_DT_CREATE`,`FMACT_UID_CREATE`,`FMACT_DT_LUPD`,`FMACT_UID_LUPD`) VALUES('STOP','Form Stop','Form Stop','Form Stop','A',NOW(),'SYS',NOW(),'SYS'); </v>
      </c>
    </row>
    <row r="25" spans="1:8" x14ac:dyDescent="0.2">
      <c r="A25" t="s">
        <v>556</v>
      </c>
      <c r="B25" t="s">
        <v>557</v>
      </c>
      <c r="C25" t="s">
        <v>557</v>
      </c>
      <c r="D25" t="s">
        <v>557</v>
      </c>
      <c r="E25" t="s">
        <v>7</v>
      </c>
      <c r="F25" t="str">
        <f t="shared" si="0"/>
        <v>INSERT INTO T_CK_MST_FORM_ACTION (`FMACT_ID`,`FMACT_NAME`,`FMACT_DESC`,`FMACT_DESC_OTH`,`FMACT_STATUS`,`FMACT_DT_CREATE`,`FMACT_UID_CREATE`,`FMACT_DT_LUPD`,`FMACT_UID_LUPD`)</v>
      </c>
      <c r="G25" t="str">
        <f t="shared" si="1"/>
        <v xml:space="preserve"> VALUES('SUBMIT','Form Submit','Form Submit','Form Submit','A',NOW(),'SYS',NOW(),'SYS'); </v>
      </c>
      <c r="H25" t="str">
        <f t="shared" si="2"/>
        <v xml:space="preserve">INSERT INTO T_CK_MST_FORM_ACTION (`FMACT_ID`,`FMACT_NAME`,`FMACT_DESC`,`FMACT_DESC_OTH`,`FMACT_STATUS`,`FMACT_DT_CREATE`,`FMACT_UID_CREATE`,`FMACT_DT_LUPD`,`FMACT_UID_LUPD`) VALUES('SUBMIT','Form Submit','Form Submit','Form Submit','A',NOW(),'SYS',NOW(),'SYS'); </v>
      </c>
    </row>
    <row r="26" spans="1:8" x14ac:dyDescent="0.2">
      <c r="A26" t="s">
        <v>558</v>
      </c>
      <c r="B26" t="s">
        <v>559</v>
      </c>
      <c r="C26" t="s">
        <v>559</v>
      </c>
      <c r="D26" t="s">
        <v>559</v>
      </c>
      <c r="E26" t="s">
        <v>7</v>
      </c>
      <c r="F26" t="str">
        <f t="shared" si="0"/>
        <v>INSERT INTO T_CK_MST_FORM_ACTION (`FMACT_ID`,`FMACT_NAME`,`FMACT_DESC`,`FMACT_DESC_OTH`,`FMACT_STATUS`,`FMACT_DT_CREATE`,`FMACT_UID_CREATE`,`FMACT_DT_LUPD`,`FMACT_UID_LUPD`)</v>
      </c>
      <c r="G26" t="str">
        <f t="shared" si="1"/>
        <v xml:space="preserve"> VALUES('SUSPEND','Form Suspend','Form Suspend','Form Suspend','A',NOW(),'SYS',NOW(),'SYS'); </v>
      </c>
      <c r="H26" t="str">
        <f t="shared" si="2"/>
        <v xml:space="preserve">INSERT INTO T_CK_MST_FORM_ACTION (`FMACT_ID`,`FMACT_NAME`,`FMACT_DESC`,`FMACT_DESC_OTH`,`FMACT_STATUS`,`FMACT_DT_CREATE`,`FMACT_UID_CREATE`,`FMACT_DT_LUPD`,`FMACT_UID_LUPD`) VALUES('SUSPEND','Form Suspend','Form Suspend','Form Suspend','A',NOW(),'SYS',NOW(),'SYS'); </v>
      </c>
    </row>
    <row r="27" spans="1:8" x14ac:dyDescent="0.2">
      <c r="A27" t="s">
        <v>560</v>
      </c>
      <c r="B27" t="s">
        <v>561</v>
      </c>
      <c r="C27" t="s">
        <v>561</v>
      </c>
      <c r="D27" t="s">
        <v>562</v>
      </c>
      <c r="E27" t="s">
        <v>7</v>
      </c>
      <c r="F27" t="str">
        <f t="shared" si="0"/>
        <v>INSERT INTO T_CK_MST_FORM_ACTION (`FMACT_ID`,`FMACT_NAME`,`FMACT_DESC`,`FMACT_DESC_OTH`,`FMACT_STATUS`,`FMACT_DT_CREATE`,`FMACT_UID_CREATE`,`FMACT_DT_LUPD`,`FMACT_UID_LUPD`)</v>
      </c>
      <c r="G27" t="str">
        <f t="shared" si="1"/>
        <v xml:space="preserve"> VALUES('TERMINATE','Form Terminate','Form Terminate','Form Verify','A',NOW(),'SYS',NOW(),'SYS'); </v>
      </c>
      <c r="H27" t="str">
        <f t="shared" si="2"/>
        <v xml:space="preserve">INSERT INTO T_CK_MST_FORM_ACTION (`FMACT_ID`,`FMACT_NAME`,`FMACT_DESC`,`FMACT_DESC_OTH`,`FMACT_STATUS`,`FMACT_DT_CREATE`,`FMACT_UID_CREATE`,`FMACT_DT_LUPD`,`FMACT_UID_LUPD`) VALUES('TERMINATE','Form Terminate','Form Terminate','Form Verify','A',NOW(),'SYS',NOW(),'SYS'); </v>
      </c>
    </row>
    <row r="28" spans="1:8" x14ac:dyDescent="0.2">
      <c r="A28" t="s">
        <v>563</v>
      </c>
      <c r="B28" t="s">
        <v>562</v>
      </c>
      <c r="C28" t="s">
        <v>562</v>
      </c>
      <c r="D28" t="s">
        <v>562</v>
      </c>
      <c r="E28" t="s">
        <v>7</v>
      </c>
      <c r="F28" t="str">
        <f t="shared" si="0"/>
        <v>INSERT INTO T_CK_MST_FORM_ACTION (`FMACT_ID`,`FMACT_NAME`,`FMACT_DESC`,`FMACT_DESC_OTH`,`FMACT_STATUS`,`FMACT_DT_CREATE`,`FMACT_UID_CREATE`,`FMACT_DT_LUPD`,`FMACT_UID_LUPD`)</v>
      </c>
      <c r="G28" t="str">
        <f t="shared" si="1"/>
        <v xml:space="preserve"> VALUES('VERIFY','Form Verify','Form Verify','Form Verify','A',NOW(),'SYS',NOW(),'SYS'); </v>
      </c>
      <c r="H28" t="str">
        <f t="shared" si="2"/>
        <v xml:space="preserve">INSERT INTO T_CK_MST_FORM_ACTION (`FMACT_ID`,`FMACT_NAME`,`FMACT_DESC`,`FMACT_DESC_OTH`,`FMACT_STATUS`,`FMACT_DT_CREATE`,`FMACT_UID_CREATE`,`FMACT_DT_LUPD`,`FMACT_UID_LUPD`) VALUES('VERIFY','Form Verify','Form Verify','Form Verify','A',NOW(),'SYS',NOW(),'SYS'); </v>
      </c>
    </row>
    <row r="29" spans="1:8" x14ac:dyDescent="0.2">
      <c r="A29" t="s">
        <v>564</v>
      </c>
      <c r="B29" t="s">
        <v>565</v>
      </c>
      <c r="C29" t="s">
        <v>565</v>
      </c>
      <c r="D29" t="s">
        <v>565</v>
      </c>
      <c r="E29" t="s">
        <v>7</v>
      </c>
      <c r="F29" t="str">
        <f t="shared" si="0"/>
        <v>INSERT INTO T_CK_MST_FORM_ACTION (`FMACT_ID`,`FMACT_NAME`,`FMACT_DESC`,`FMACT_DESC_OTH`,`FMACT_STATUS`,`FMACT_DT_CREATE`,`FMACT_UID_CREATE`,`FMACT_DT_LUPD`,`FMACT_UID_LUPD`)</v>
      </c>
      <c r="G29" t="str">
        <f t="shared" si="1"/>
        <v xml:space="preserve"> VALUES('VERIFY_BILL','Verify Job Billing','Verify Job Billing','Verify Job Billing','A',NOW(),'SYS',NOW(),'SYS'); </v>
      </c>
      <c r="H29" t="str">
        <f t="shared" si="2"/>
        <v xml:space="preserve">INSERT INTO T_CK_MST_FORM_ACTION (`FMACT_ID`,`FMACT_NAME`,`FMACT_DESC`,`FMACT_DESC_OTH`,`FMACT_STATUS`,`FMACT_DT_CREATE`,`FMACT_UID_CREATE`,`FMACT_DT_LUPD`,`FMACT_UID_LUPD`) VALUES('VERIFY_BILL','Verify Job Billing','Verify Job Billing','Verify Job Billing','A',NOW(),'SYS',NOW(),'SYS'); </v>
      </c>
    </row>
    <row r="30" spans="1:8" x14ac:dyDescent="0.2">
      <c r="A30" t="s">
        <v>566</v>
      </c>
      <c r="B30" t="s">
        <v>567</v>
      </c>
      <c r="C30" t="s">
        <v>567</v>
      </c>
      <c r="D30" t="s">
        <v>562</v>
      </c>
      <c r="E30" t="s">
        <v>7</v>
      </c>
      <c r="F30" t="str">
        <f t="shared" si="0"/>
        <v>INSERT INTO T_CK_MST_FORM_ACTION (`FMACT_ID`,`FMACT_NAME`,`FMACT_DESC`,`FMACT_DESC_OTH`,`FMACT_STATUS`,`FMACT_DT_CREATE`,`FMACT_UID_CREATE`,`FMACT_DT_LUPD`,`FMACT_UID_LUPD`)</v>
      </c>
      <c r="G30" t="str">
        <f t="shared" si="1"/>
        <v xml:space="preserve"> VALUES('WITHDRAW','Form Withdraw','Form Withdraw','Form Verify','A',NOW(),'SYS',NOW(),'SYS'); </v>
      </c>
      <c r="H30" t="str">
        <f t="shared" si="2"/>
        <v xml:space="preserve">INSERT INTO T_CK_MST_FORM_ACTION (`FMACT_ID`,`FMACT_NAME`,`FMACT_DESC`,`FMACT_DESC_OTH`,`FMACT_STATUS`,`FMACT_DT_CREATE`,`FMACT_UID_CREATE`,`FMACT_DT_LUPD`,`FMACT_UID_LUPD`) VALUES('WITHDRAW','Form Withdraw','Form Withdraw','Form Verify','A',NOW(),'SYS',NOW(),'SYS'); </v>
      </c>
    </row>
    <row r="31" spans="1:8" x14ac:dyDescent="0.2">
      <c r="A31" t="s">
        <v>568</v>
      </c>
      <c r="B31" t="s">
        <v>569</v>
      </c>
      <c r="C31" t="s">
        <v>569</v>
      </c>
      <c r="D31" t="s">
        <v>569</v>
      </c>
      <c r="E31" t="s">
        <v>7</v>
      </c>
      <c r="F31" t="str">
        <f t="shared" ref="F31:F36" si="3">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31" t="str">
        <f t="shared" ref="G31:G36" si="4">CONCATENATE(" VALUES('",A31,"','",B31,"','",C31,"','",D31,"','",E31,"',NOW(),'SYS',NOW(),'SYS'); ")</f>
        <v xml:space="preserve"> VALUES('MCARGO','Mobile Form to View Cargo Details','Mobile Form to View Cargo Details','Mobile Form to View Cargo Details','A',NOW(),'SYS',NOW(),'SYS'); </v>
      </c>
      <c r="H31" t="str">
        <f t="shared" ref="H31:H36" si="5">CONCATENATE(F31,G31)</f>
        <v xml:space="preserve">INSERT INTO T_CK_MST_FORM_ACTION (`FMACT_ID`,`FMACT_NAME`,`FMACT_DESC`,`FMACT_DESC_OTH`,`FMACT_STATUS`,`FMACT_DT_CREATE`,`FMACT_UID_CREATE`,`FMACT_DT_LUPD`,`FMACT_UID_LUPD`) VALUES('MCARGO','Mobile Form to View Cargo Details','Mobile Form to View Cargo Details','Mobile Form to View Cargo Details','A',NOW(),'SYS',NOW(),'SYS'); </v>
      </c>
    </row>
    <row r="32" spans="1:8" x14ac:dyDescent="0.2">
      <c r="A32" t="s">
        <v>570</v>
      </c>
      <c r="B32" t="s">
        <v>571</v>
      </c>
      <c r="C32" t="s">
        <v>571</v>
      </c>
      <c r="D32" t="s">
        <v>571</v>
      </c>
      <c r="E32" t="s">
        <v>7</v>
      </c>
      <c r="F32" t="str">
        <f t="shared" si="3"/>
        <v>INSERT INTO T_CK_MST_FORM_ACTION (`FMACT_ID`,`FMACT_NAME`,`FMACT_DESC`,`FMACT_DESC_OTH`,`FMACT_STATUS`,`FMACT_DT_CREATE`,`FMACT_UID_CREATE`,`FMACT_DT_LUPD`,`FMACT_UID_LUPD`)</v>
      </c>
      <c r="G32" t="str">
        <f t="shared" si="4"/>
        <v xml:space="preserve"> VALUES('MDELIVER','Mobile Form to Start Delivering Cargo','Mobile Form to Start Delivering Cargo','Mobile Form to Start Delivering Cargo','A',NOW(),'SYS',NOW(),'SYS'); </v>
      </c>
      <c r="H32" t="str">
        <f t="shared" si="5"/>
        <v xml:space="preserve">INSERT INTO T_CK_MST_FORM_ACTION (`FMACT_ID`,`FMACT_NAME`,`FMACT_DESC`,`FMACT_DESC_OTH`,`FMACT_STATUS`,`FMACT_DT_CREATE`,`FMACT_UID_CREATE`,`FMACT_DT_LUPD`,`FMACT_UID_LUPD`) VALUES('MDELIVER','Mobile Form to Start Delivering Cargo','Mobile Form to Start Delivering Cargo','Mobile Form to Start Delivering Cargo','A',NOW(),'SYS',NOW(),'SYS'); </v>
      </c>
    </row>
    <row r="33" spans="1:8" x14ac:dyDescent="0.2">
      <c r="A33" t="s">
        <v>572</v>
      </c>
      <c r="B33" t="s">
        <v>573</v>
      </c>
      <c r="C33" t="s">
        <v>573</v>
      </c>
      <c r="D33" t="s">
        <v>573</v>
      </c>
      <c r="E33" t="s">
        <v>7</v>
      </c>
      <c r="F33" t="str">
        <f t="shared" si="3"/>
        <v>INSERT INTO T_CK_MST_FORM_ACTION (`FMACT_ID`,`FMACT_NAME`,`FMACT_DESC`,`FMACT_DESC_OTH`,`FMACT_STATUS`,`FMACT_DT_CREATE`,`FMACT_UID_CREATE`,`FMACT_DT_LUPD`,`FMACT_UID_LUPD`)</v>
      </c>
      <c r="G33" t="str">
        <f t="shared" si="4"/>
        <v xml:space="preserve"> VALUES('MDROPOFF','Mobile Form to DropOff Cargo','Mobile Form to DropOff Cargo','Mobile Form to DropOff Cargo','A',NOW(),'SYS',NOW(),'SYS'); </v>
      </c>
      <c r="H33" t="str">
        <f t="shared" si="5"/>
        <v xml:space="preserve">INSERT INTO T_CK_MST_FORM_ACTION (`FMACT_ID`,`FMACT_NAME`,`FMACT_DESC`,`FMACT_DESC_OTH`,`FMACT_STATUS`,`FMACT_DT_CREATE`,`FMACT_UID_CREATE`,`FMACT_DT_LUPD`,`FMACT_UID_LUPD`) VALUES('MDROPOFF','Mobile Form to DropOff Cargo','Mobile Form to DropOff Cargo','Mobile Form to DropOff Cargo','A',NOW(),'SYS',NOW(),'SYS'); </v>
      </c>
    </row>
    <row r="34" spans="1:8" x14ac:dyDescent="0.2">
      <c r="A34" t="s">
        <v>574</v>
      </c>
      <c r="B34" t="s">
        <v>575</v>
      </c>
      <c r="C34" t="s">
        <v>575</v>
      </c>
      <c r="D34" t="s">
        <v>575</v>
      </c>
      <c r="E34" t="s">
        <v>7</v>
      </c>
      <c r="F34" t="str">
        <f t="shared" si="3"/>
        <v>INSERT INTO T_CK_MST_FORM_ACTION (`FMACT_ID`,`FMACT_NAME`,`FMACT_DESC`,`FMACT_DESC_OTH`,`FMACT_STATUS`,`FMACT_DT_CREATE`,`FMACT_UID_CREATE`,`FMACT_DT_LUPD`,`FMACT_UID_LUPD`)</v>
      </c>
      <c r="G34" t="str">
        <f t="shared" si="4"/>
        <v xml:space="preserve"> VALUES('MPICKUP','Mobile Form to Pickup Cargo','Mobile Form to Pickup Cargo','Mobile Form to Pickup Cargo','A',NOW(),'SYS',NOW(),'SYS'); </v>
      </c>
      <c r="H34" t="str">
        <f t="shared" si="5"/>
        <v xml:space="preserve">INSERT INTO T_CK_MST_FORM_ACTION (`FMACT_ID`,`FMACT_NAME`,`FMACT_DESC`,`FMACT_DESC_OTH`,`FMACT_STATUS`,`FMACT_DT_CREATE`,`FMACT_UID_CREATE`,`FMACT_DT_LUPD`,`FMACT_UID_LUPD`) VALUES('MPICKUP','Mobile Form to Pickup Cargo','Mobile Form to Pickup Cargo','Mobile Form to Pickup Cargo','A',NOW(),'SYS',NOW(),'SYS'); </v>
      </c>
    </row>
    <row r="35" spans="1:8" x14ac:dyDescent="0.2">
      <c r="A35" t="s">
        <v>576</v>
      </c>
      <c r="B35" t="s">
        <v>577</v>
      </c>
      <c r="C35" t="s">
        <v>577</v>
      </c>
      <c r="D35" t="s">
        <v>577</v>
      </c>
      <c r="E35" t="s">
        <v>7</v>
      </c>
      <c r="F35" t="str">
        <f t="shared" si="3"/>
        <v>INSERT INTO T_CK_MST_FORM_ACTION (`FMACT_ID`,`FMACT_NAME`,`FMACT_DESC`,`FMACT_DESC_OTH`,`FMACT_STATUS`,`FMACT_DT_CREATE`,`FMACT_UID_CREATE`,`FMACT_DT_LUPD`,`FMACT_UID_LUPD`)</v>
      </c>
      <c r="G35" t="str">
        <f t="shared" si="4"/>
        <v xml:space="preserve"> VALUES('MREDO','Mobile Form to Redo Pickup Cargo','Mobile Form to Redo Pickup Cargo','Mobile Form to Redo Pickup Cargo','A',NOW(),'SYS',NOW(),'SYS'); </v>
      </c>
      <c r="H35" t="str">
        <f t="shared" si="5"/>
        <v xml:space="preserve">INSERT INTO T_CK_MST_FORM_ACTION (`FMACT_ID`,`FMACT_NAME`,`FMACT_DESC`,`FMACT_DESC_OTH`,`FMACT_STATUS`,`FMACT_DT_CREATE`,`FMACT_UID_CREATE`,`FMACT_DT_LUPD`,`FMACT_UID_LUPD`) VALUES('MREDO','Mobile Form to Redo Pickup Cargo','Mobile Form to Redo Pickup Cargo','Mobile Form to Redo Pickup Cargo','A',NOW(),'SYS',NOW(),'SYS'); </v>
      </c>
    </row>
    <row r="36" spans="1:8" x14ac:dyDescent="0.2">
      <c r="A36" t="s">
        <v>578</v>
      </c>
      <c r="B36" t="s">
        <v>579</v>
      </c>
      <c r="C36" t="s">
        <v>579</v>
      </c>
      <c r="D36" t="s">
        <v>579</v>
      </c>
      <c r="E36" t="s">
        <v>7</v>
      </c>
      <c r="F36" t="str">
        <f t="shared" si="3"/>
        <v>INSERT INTO T_CK_MST_FORM_ACTION (`FMACT_ID`,`FMACT_NAME`,`FMACT_DESC`,`FMACT_DESC_OTH`,`FMACT_STATUS`,`FMACT_DT_CREATE`,`FMACT_UID_CREATE`,`FMACT_DT_LUPD`,`FMACT_UID_LUPD`)</v>
      </c>
      <c r="G36" t="str">
        <f t="shared" si="4"/>
        <v xml:space="preserve"> VALUES('MREMARKS','Mobile Form to Show Remarks/Special Instructions','Mobile Form to Show Remarks/Special Instructions','Mobile Form to Show Remarks/Special Instructions','A',NOW(),'SYS',NOW(),'SYS'); </v>
      </c>
      <c r="H36" t="str">
        <f t="shared" si="5"/>
        <v xml:space="preserve">INSERT INTO T_CK_MST_FORM_ACTION (`FMACT_ID`,`FMACT_NAME`,`FMACT_DESC`,`FMACT_DESC_OTH`,`FMACT_STATUS`,`FMACT_DT_CREATE`,`FMACT_UID_CREATE`,`FMACT_DT_LUPD`,`FMACT_UID_LUPD`) VALUES('MREMARKS','Mobile Form to Show Remarks/Special Instructions','Mobile Form to Show Remarks/Special Instructions','Mobile Form to Show Remarks/Special Instructions','A',NOW(),'SYS',NOW(),'SYS'); </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213"/>
  <sheetViews>
    <sheetView zoomScale="114" zoomScaleNormal="114" workbookViewId="0">
      <pane ySplit="1" topLeftCell="A178" activePane="bottomLeft" state="frozen"/>
      <selection pane="bottomLeft" activeCell="C215" sqref="C215"/>
    </sheetView>
  </sheetViews>
  <sheetFormatPr baseColWidth="10" defaultColWidth="11" defaultRowHeight="16" x14ac:dyDescent="0.2"/>
  <cols>
    <col min="1" max="1" width="8" customWidth="1"/>
    <col min="2" max="2" width="15.83203125" customWidth="1"/>
    <col min="3" max="3" width="10.6640625" customWidth="1"/>
    <col min="4" max="4" width="22.83203125" customWidth="1"/>
    <col min="5" max="5" width="29.83203125" customWidth="1"/>
    <col min="6" max="6" width="18.5" customWidth="1"/>
    <col min="7" max="7" width="16.5" customWidth="1"/>
    <col min="8" max="8" width="18.83203125" customWidth="1"/>
    <col min="9" max="9" width="25.5" customWidth="1"/>
    <col min="10" max="10" width="12.6640625" customWidth="1"/>
    <col min="16" max="16" width="11.1640625" customWidth="1"/>
  </cols>
  <sheetData>
    <row r="1" spans="1:16" x14ac:dyDescent="0.2">
      <c r="A1" s="7" t="s">
        <v>580</v>
      </c>
      <c r="B1" s="7" t="s">
        <v>581</v>
      </c>
      <c r="C1" s="7" t="s">
        <v>582</v>
      </c>
      <c r="D1" s="7" t="s">
        <v>583</v>
      </c>
      <c r="E1" s="7" t="s">
        <v>584</v>
      </c>
      <c r="F1" s="7" t="s">
        <v>585</v>
      </c>
      <c r="G1" s="7" t="s">
        <v>586</v>
      </c>
      <c r="H1" s="7" t="s">
        <v>587</v>
      </c>
      <c r="I1" s="7" t="s">
        <v>588</v>
      </c>
      <c r="J1" s="7" t="s">
        <v>589</v>
      </c>
      <c r="K1" s="7" t="s">
        <v>111</v>
      </c>
      <c r="L1" s="37" t="s">
        <v>1200</v>
      </c>
    </row>
    <row r="2" spans="1:16" x14ac:dyDescent="0.2">
      <c r="A2">
        <v>1</v>
      </c>
      <c r="B2" t="s">
        <v>43</v>
      </c>
      <c r="C2" t="s">
        <v>125</v>
      </c>
      <c r="D2" t="s">
        <v>9</v>
      </c>
      <c r="E2" t="s">
        <v>466</v>
      </c>
      <c r="F2" t="s">
        <v>590</v>
      </c>
      <c r="G2" t="s">
        <v>498</v>
      </c>
      <c r="H2" t="s">
        <v>550</v>
      </c>
      <c r="I2" t="s">
        <v>125</v>
      </c>
      <c r="J2" t="s">
        <v>7</v>
      </c>
      <c r="L2" s="35" t="s">
        <v>30</v>
      </c>
      <c r="M2" t="str">
        <f t="shared" ref="M2:M81" si="0">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O2" t="str">
        <f>CONCATENATE(" VALUES('",A2,"','",B2,"',",IF(C2="NULL","NULL",CONCATENATE("'",C2,"'")),",'",D2,"','",E2,"','",F2,"','",G2,"','",H2,"',",IF(I2="NULL","NULL",CONCATENATE("'",I2,"'")),",'",J2,"',NOW(), 'SYS',NOW(),'SYS','",L2,"');")</f>
        <v xml:space="preserve"> VALUES('1','ACC_TYPE_CO',NULL,'OFFICER','JOB_DOI_CO','DRF','EDIT','SAVE',NULL,'A',NOW(), 'SYS',NOW(),'SYS','CKDO');</v>
      </c>
      <c r="P2" t="str">
        <f t="shared" ref="P2:P65" si="1">CONCATENATE(M2,O2)</f>
        <v>INSERT INTO T_CK_FORM_CONTROL (CTRL_ID, CTRL_ACCN_TYPE, CTRL_ACCN, CTRL_USR_ROLE, CTRL_ENTITY_TYPE, CTRL_ENTITY_STATE, CTRL_FORM_TYPE, CTRL_FORM_ACTION, CTRL_FORM_ACTION_MENU, CTRL_STATUS, CTRL_DT_CREATE, CTRL_UID_CREATE, CTRL_DT_LUPD, CTRL_UID_LUPD) VALUES('1','ACC_TYPE_CO',NULL,'OFFICER','JOB_DOI_CO','DRF','EDIT','SAVE',NULL,'A',NOW(), 'SYS',NOW(),'SYS','CKDO');</v>
      </c>
    </row>
    <row r="3" spans="1:16" x14ac:dyDescent="0.2">
      <c r="A3">
        <v>2</v>
      </c>
      <c r="B3" t="s">
        <v>57</v>
      </c>
      <c r="C3" t="s">
        <v>125</v>
      </c>
      <c r="D3" t="s">
        <v>9</v>
      </c>
      <c r="E3" t="s">
        <v>468</v>
      </c>
      <c r="F3" t="s">
        <v>590</v>
      </c>
      <c r="G3" t="s">
        <v>498</v>
      </c>
      <c r="H3" t="s">
        <v>550</v>
      </c>
      <c r="I3" t="s">
        <v>125</v>
      </c>
      <c r="J3" t="s">
        <v>7</v>
      </c>
      <c r="L3" s="35" t="s">
        <v>30</v>
      </c>
      <c r="M3" t="str">
        <f t="shared" si="0"/>
        <v>INSERT INTO T_CK_FORM_CONTROL (CTRL_ID, CTRL_ACCN_TYPE, CTRL_ACCN, CTRL_USR_ROLE, CTRL_ENTITY_TYPE, CTRL_ENTITY_STATE, CTRL_FORM_TYPE, CTRL_FORM_ACTION, CTRL_FORM_ACTION_MENU, CTRL_STATUS, CTRL_DT_CREATE, CTRL_UID_CREATE, CTRL_DT_LUPD, CTRL_UID_LUPD)</v>
      </c>
      <c r="O3" t="str">
        <f t="shared" ref="O3:O66" si="2">CONCATENATE(" VALUES('",A3,"','",B3,"',",IF(C3="NULL","NULL",CONCATENATE("'",C3,"'")),",'",D3,"','",E3,"','",F3,"','",G3,"','",H3,"',",IF(I3="NULL","NULL",CONCATENATE("'",I3,"'")),",'",J3,"',NOW(), 'SYS',NOW(),'SYS','",L3,"');")</f>
        <v xml:space="preserve"> VALUES('2','ACC_TYPE_FF',NULL,'OFFICER','JOB_DOI_FF','DRF','EDIT','SAVE',NULL,'A',NOW(), 'SYS',NOW(),'SYS','CKDO');</v>
      </c>
      <c r="P3" t="str">
        <f t="shared" si="1"/>
        <v>INSERT INTO T_CK_FORM_CONTROL (CTRL_ID, CTRL_ACCN_TYPE, CTRL_ACCN, CTRL_USR_ROLE, CTRL_ENTITY_TYPE, CTRL_ENTITY_STATE, CTRL_FORM_TYPE, CTRL_FORM_ACTION, CTRL_FORM_ACTION_MENU, CTRL_STATUS, CTRL_DT_CREATE, CTRL_UID_CREATE, CTRL_DT_LUPD, CTRL_UID_LUPD) VALUES('2','ACC_TYPE_FF',NULL,'OFFICER','JOB_DOI_FF','DRF','EDIT','SAVE',NULL,'A',NOW(), 'SYS',NOW(),'SYS','CKDO');</v>
      </c>
    </row>
    <row r="4" spans="1:16" x14ac:dyDescent="0.2">
      <c r="A4">
        <v>3</v>
      </c>
      <c r="B4" t="s">
        <v>57</v>
      </c>
      <c r="C4" t="s">
        <v>125</v>
      </c>
      <c r="D4" t="s">
        <v>9</v>
      </c>
      <c r="E4" t="s">
        <v>468</v>
      </c>
      <c r="F4" t="s">
        <v>591</v>
      </c>
      <c r="G4" t="s">
        <v>498</v>
      </c>
      <c r="H4" t="s">
        <v>533</v>
      </c>
      <c r="I4" t="s">
        <v>125</v>
      </c>
      <c r="J4" t="s">
        <v>7</v>
      </c>
      <c r="L4" s="35" t="s">
        <v>30</v>
      </c>
      <c r="M4" t="str">
        <f t="shared" si="0"/>
        <v>INSERT INTO T_CK_FORM_CONTROL (CTRL_ID, CTRL_ACCN_TYPE, CTRL_ACCN, CTRL_USR_ROLE, CTRL_ENTITY_TYPE, CTRL_ENTITY_STATE, CTRL_FORM_TYPE, CTRL_FORM_ACTION, CTRL_FORM_ACTION_MENU, CTRL_STATUS, CTRL_DT_CREATE, CTRL_UID_CREATE, CTRL_DT_LUPD, CTRL_UID_LUPD)</v>
      </c>
      <c r="O4" t="str">
        <f t="shared" si="2"/>
        <v xml:space="preserve"> VALUES('3','ACC_TYPE_FF',NULL,'OFFICER','JOB_DOI_FF','CON','EDIT','EXIT',NULL,'A',NOW(), 'SYS',NOW(),'SYS','CKDO');</v>
      </c>
      <c r="P4" t="str">
        <f t="shared" si="1"/>
        <v>INSERT INTO T_CK_FORM_CONTROL (CTRL_ID, CTRL_ACCN_TYPE, CTRL_ACCN, CTRL_USR_ROLE, CTRL_ENTITY_TYPE, CTRL_ENTITY_STATE, CTRL_FORM_TYPE, CTRL_FORM_ACTION, CTRL_FORM_ACTION_MENU, CTRL_STATUS, CTRL_DT_CREATE, CTRL_UID_CREATE, CTRL_DT_LUPD, CTRL_UID_LUPD) VALUES('3','ACC_TYPE_FF',NULL,'OFFICER','JOB_DOI_FF','CON','EDIT','EXIT',NULL,'A',NOW(), 'SYS',NOW(),'SYS','CKDO');</v>
      </c>
    </row>
    <row r="5" spans="1:16" x14ac:dyDescent="0.2">
      <c r="A5">
        <v>4</v>
      </c>
      <c r="B5" t="s">
        <v>43</v>
      </c>
      <c r="C5" t="s">
        <v>125</v>
      </c>
      <c r="D5" t="s">
        <v>9</v>
      </c>
      <c r="E5" t="s">
        <v>468</v>
      </c>
      <c r="F5" t="s">
        <v>100</v>
      </c>
      <c r="G5" t="s">
        <v>498</v>
      </c>
      <c r="H5" t="s">
        <v>550</v>
      </c>
      <c r="I5" t="s">
        <v>125</v>
      </c>
      <c r="J5" t="s">
        <v>7</v>
      </c>
      <c r="L5" s="35" t="s">
        <v>30</v>
      </c>
      <c r="M5" t="str">
        <f t="shared" si="0"/>
        <v>INSERT INTO T_CK_FORM_CONTROL (CTRL_ID, CTRL_ACCN_TYPE, CTRL_ACCN, CTRL_USR_ROLE, CTRL_ENTITY_TYPE, CTRL_ENTITY_STATE, CTRL_FORM_TYPE, CTRL_FORM_ACTION, CTRL_FORM_ACTION_MENU, CTRL_STATUS, CTRL_DT_CREATE, CTRL_UID_CREATE, CTRL_DT_LUPD, CTRL_UID_LUPD)</v>
      </c>
      <c r="O5" t="str">
        <f t="shared" si="2"/>
        <v xml:space="preserve"> VALUES('4','ACC_TYPE_CO',NULL,'OFFICER','JOB_DOI_FF','NEW','EDIT','SAVE',NULL,'A',NOW(), 'SYS',NOW(),'SYS','CKDO');</v>
      </c>
      <c r="P5" t="str">
        <f t="shared" si="1"/>
        <v>INSERT INTO T_CK_FORM_CONTROL (CTRL_ID, CTRL_ACCN_TYPE, CTRL_ACCN, CTRL_USR_ROLE, CTRL_ENTITY_TYPE, CTRL_ENTITY_STATE, CTRL_FORM_TYPE, CTRL_FORM_ACTION, CTRL_FORM_ACTION_MENU, CTRL_STATUS, CTRL_DT_CREATE, CTRL_UID_CREATE, CTRL_DT_LUPD, CTRL_UID_LUPD) VALUES('4','ACC_TYPE_CO',NULL,'OFFICER','JOB_DOI_FF','NEW','EDIT','SAVE',NULL,'A',NOW(), 'SYS',NOW(),'SYS','CKDO');</v>
      </c>
    </row>
    <row r="6" spans="1:16" x14ac:dyDescent="0.2">
      <c r="A6">
        <v>5</v>
      </c>
      <c r="B6" t="s">
        <v>43</v>
      </c>
      <c r="C6" t="s">
        <v>125</v>
      </c>
      <c r="D6" t="s">
        <v>9</v>
      </c>
      <c r="E6" t="s">
        <v>468</v>
      </c>
      <c r="F6" t="s">
        <v>100</v>
      </c>
      <c r="G6" t="s">
        <v>498</v>
      </c>
      <c r="H6" t="s">
        <v>531</v>
      </c>
      <c r="I6" t="s">
        <v>125</v>
      </c>
      <c r="J6" t="s">
        <v>7</v>
      </c>
      <c r="L6" s="35" t="s">
        <v>30</v>
      </c>
      <c r="M6" t="str">
        <f t="shared" si="0"/>
        <v>INSERT INTO T_CK_FORM_CONTROL (CTRL_ID, CTRL_ACCN_TYPE, CTRL_ACCN, CTRL_USR_ROLE, CTRL_ENTITY_TYPE, CTRL_ENTITY_STATE, CTRL_FORM_TYPE, CTRL_FORM_ACTION, CTRL_FORM_ACTION_MENU, CTRL_STATUS, CTRL_DT_CREATE, CTRL_UID_CREATE, CTRL_DT_LUPD, CTRL_UID_LUPD)</v>
      </c>
      <c r="O6" t="str">
        <f t="shared" si="2"/>
        <v xml:space="preserve"> VALUES('5','ACC_TYPE_CO',NULL,'OFFICER','JOB_DOI_FF','NEW','EDIT','DELETE',NULL,'A',NOW(), 'SYS',NOW(),'SYS','CKDO');</v>
      </c>
      <c r="P6" t="str">
        <f t="shared" si="1"/>
        <v>INSERT INTO T_CK_FORM_CONTROL (CTRL_ID, CTRL_ACCN_TYPE, CTRL_ACCN, CTRL_USR_ROLE, CTRL_ENTITY_TYPE, CTRL_ENTITY_STATE, CTRL_FORM_TYPE, CTRL_FORM_ACTION, CTRL_FORM_ACTION_MENU, CTRL_STATUS, CTRL_DT_CREATE, CTRL_UID_CREATE, CTRL_DT_LUPD, CTRL_UID_LUPD) VALUES('5','ACC_TYPE_CO',NULL,'OFFICER','JOB_DOI_FF','NEW','EDIT','DELETE',NULL,'A',NOW(), 'SYS',NOW(),'SYS','CKDO');</v>
      </c>
    </row>
    <row r="7" spans="1:16" x14ac:dyDescent="0.2">
      <c r="A7">
        <v>6</v>
      </c>
      <c r="B7" t="s">
        <v>43</v>
      </c>
      <c r="C7" t="s">
        <v>125</v>
      </c>
      <c r="D7" t="s">
        <v>9</v>
      </c>
      <c r="E7" t="s">
        <v>468</v>
      </c>
      <c r="F7" t="s">
        <v>100</v>
      </c>
      <c r="G7" t="s">
        <v>498</v>
      </c>
      <c r="H7" t="s">
        <v>533</v>
      </c>
      <c r="I7" t="s">
        <v>125</v>
      </c>
      <c r="J7" t="s">
        <v>7</v>
      </c>
      <c r="L7" s="35" t="s">
        <v>30</v>
      </c>
      <c r="M7" t="str">
        <f t="shared" si="0"/>
        <v>INSERT INTO T_CK_FORM_CONTROL (CTRL_ID, CTRL_ACCN_TYPE, CTRL_ACCN, CTRL_USR_ROLE, CTRL_ENTITY_TYPE, CTRL_ENTITY_STATE, CTRL_FORM_TYPE, CTRL_FORM_ACTION, CTRL_FORM_ACTION_MENU, CTRL_STATUS, CTRL_DT_CREATE, CTRL_UID_CREATE, CTRL_DT_LUPD, CTRL_UID_LUPD)</v>
      </c>
      <c r="O7" t="str">
        <f t="shared" si="2"/>
        <v xml:space="preserve"> VALUES('6','ACC_TYPE_CO',NULL,'OFFICER','JOB_DOI_FF','NEW','EDIT','EXIT',NULL,'A',NOW(), 'SYS',NOW(),'SYS','CKDO');</v>
      </c>
      <c r="P7" t="str">
        <f t="shared" si="1"/>
        <v>INSERT INTO T_CK_FORM_CONTROL (CTRL_ID, CTRL_ACCN_TYPE, CTRL_ACCN, CTRL_USR_ROLE, CTRL_ENTITY_TYPE, CTRL_ENTITY_STATE, CTRL_FORM_TYPE, CTRL_FORM_ACTION, CTRL_FORM_ACTION_MENU, CTRL_STATUS, CTRL_DT_CREATE, CTRL_UID_CREATE, CTRL_DT_LUPD, CTRL_UID_LUPD) VALUES('6','ACC_TYPE_CO',NULL,'OFFICER','JOB_DOI_FF','NEW','EDIT','EXIT',NULL,'A',NOW(), 'SYS',NOW(),'SYS','CKDO');</v>
      </c>
    </row>
    <row r="8" spans="1:16" x14ac:dyDescent="0.2">
      <c r="A8">
        <v>7</v>
      </c>
      <c r="B8" t="s">
        <v>57</v>
      </c>
      <c r="C8" t="s">
        <v>125</v>
      </c>
      <c r="D8" t="s">
        <v>9</v>
      </c>
      <c r="E8" t="s">
        <v>468</v>
      </c>
      <c r="F8" t="s">
        <v>590</v>
      </c>
      <c r="G8" t="s">
        <v>498</v>
      </c>
      <c r="H8" t="s">
        <v>533</v>
      </c>
      <c r="I8" t="s">
        <v>125</v>
      </c>
      <c r="J8" t="s">
        <v>7</v>
      </c>
      <c r="L8" s="35" t="s">
        <v>30</v>
      </c>
      <c r="M8" t="str">
        <f t="shared" si="0"/>
        <v>INSERT INTO T_CK_FORM_CONTROL (CTRL_ID, CTRL_ACCN_TYPE, CTRL_ACCN, CTRL_USR_ROLE, CTRL_ENTITY_TYPE, CTRL_ENTITY_STATE, CTRL_FORM_TYPE, CTRL_FORM_ACTION, CTRL_FORM_ACTION_MENU, CTRL_STATUS, CTRL_DT_CREATE, CTRL_UID_CREATE, CTRL_DT_LUPD, CTRL_UID_LUPD)</v>
      </c>
      <c r="O8" t="str">
        <f t="shared" si="2"/>
        <v xml:space="preserve"> VALUES('7','ACC_TYPE_FF',NULL,'OFFICER','JOB_DOI_FF','DRF','EDIT','EXIT',NULL,'A',NOW(), 'SYS',NOW(),'SYS','CKDO');</v>
      </c>
      <c r="P8" t="str">
        <f t="shared" si="1"/>
        <v>INSERT INTO T_CK_FORM_CONTROL (CTRL_ID, CTRL_ACCN_TYPE, CTRL_ACCN, CTRL_USR_ROLE, CTRL_ENTITY_TYPE, CTRL_ENTITY_STATE, CTRL_FORM_TYPE, CTRL_FORM_ACTION, CTRL_FORM_ACTION_MENU, CTRL_STATUS, CTRL_DT_CREATE, CTRL_UID_CREATE, CTRL_DT_LUPD, CTRL_UID_LUPD) VALUES('7','ACC_TYPE_FF',NULL,'OFFICER','JOB_DOI_FF','DRF','EDIT','EXIT',NULL,'A',NOW(), 'SYS',NOW(),'SYS','CKDO');</v>
      </c>
    </row>
    <row r="9" spans="1:16" x14ac:dyDescent="0.2">
      <c r="A9">
        <v>8</v>
      </c>
      <c r="B9" t="s">
        <v>57</v>
      </c>
      <c r="C9" t="s">
        <v>125</v>
      </c>
      <c r="D9" t="s">
        <v>9</v>
      </c>
      <c r="E9" t="s">
        <v>468</v>
      </c>
      <c r="F9" t="s">
        <v>100</v>
      </c>
      <c r="G9" t="s">
        <v>498</v>
      </c>
      <c r="H9" t="s">
        <v>550</v>
      </c>
      <c r="I9" t="s">
        <v>125</v>
      </c>
      <c r="J9" t="s">
        <v>7</v>
      </c>
      <c r="L9" s="35" t="s">
        <v>30</v>
      </c>
      <c r="M9" t="str">
        <f t="shared" si="0"/>
        <v>INSERT INTO T_CK_FORM_CONTROL (CTRL_ID, CTRL_ACCN_TYPE, CTRL_ACCN, CTRL_USR_ROLE, CTRL_ENTITY_TYPE, CTRL_ENTITY_STATE, CTRL_FORM_TYPE, CTRL_FORM_ACTION, CTRL_FORM_ACTION_MENU, CTRL_STATUS, CTRL_DT_CREATE, CTRL_UID_CREATE, CTRL_DT_LUPD, CTRL_UID_LUPD)</v>
      </c>
      <c r="O9" t="str">
        <f t="shared" si="2"/>
        <v xml:space="preserve"> VALUES('8','ACC_TYPE_FF',NULL,'OFFICER','JOB_DOI_FF','NEW','EDIT','SAVE',NULL,'A',NOW(), 'SYS',NOW(),'SYS','CKDO');</v>
      </c>
      <c r="P9" t="str">
        <f t="shared" si="1"/>
        <v>INSERT INTO T_CK_FORM_CONTROL (CTRL_ID, CTRL_ACCN_TYPE, CTRL_ACCN, CTRL_USR_ROLE, CTRL_ENTITY_TYPE, CTRL_ENTITY_STATE, CTRL_FORM_TYPE, CTRL_FORM_ACTION, CTRL_FORM_ACTION_MENU, CTRL_STATUS, CTRL_DT_CREATE, CTRL_UID_CREATE, CTRL_DT_LUPD, CTRL_UID_LUPD) VALUES('8','ACC_TYPE_FF',NULL,'OFFICER','JOB_DOI_FF','NEW','EDIT','SAVE',NULL,'A',NOW(), 'SYS',NOW(),'SYS','CKDO');</v>
      </c>
    </row>
    <row r="10" spans="1:16" x14ac:dyDescent="0.2">
      <c r="A10">
        <v>9</v>
      </c>
      <c r="B10" t="s">
        <v>57</v>
      </c>
      <c r="C10" t="s">
        <v>125</v>
      </c>
      <c r="D10" t="s">
        <v>9</v>
      </c>
      <c r="E10" t="s">
        <v>468</v>
      </c>
      <c r="F10" t="s">
        <v>100</v>
      </c>
      <c r="G10" t="s">
        <v>498</v>
      </c>
      <c r="H10" t="s">
        <v>531</v>
      </c>
      <c r="I10" t="s">
        <v>125</v>
      </c>
      <c r="J10" t="s">
        <v>7</v>
      </c>
      <c r="L10" s="35" t="s">
        <v>30</v>
      </c>
      <c r="M10" t="str">
        <f t="shared" si="0"/>
        <v>INSERT INTO T_CK_FORM_CONTROL (CTRL_ID, CTRL_ACCN_TYPE, CTRL_ACCN, CTRL_USR_ROLE, CTRL_ENTITY_TYPE, CTRL_ENTITY_STATE, CTRL_FORM_TYPE, CTRL_FORM_ACTION, CTRL_FORM_ACTION_MENU, CTRL_STATUS, CTRL_DT_CREATE, CTRL_UID_CREATE, CTRL_DT_LUPD, CTRL_UID_LUPD)</v>
      </c>
      <c r="O10" t="str">
        <f t="shared" si="2"/>
        <v xml:space="preserve"> VALUES('9','ACC_TYPE_FF',NULL,'OFFICER','JOB_DOI_FF','NEW','EDIT','DELETE',NULL,'A',NOW(), 'SYS',NOW(),'SYS','CKDO');</v>
      </c>
      <c r="P10" t="str">
        <f t="shared" si="1"/>
        <v>INSERT INTO T_CK_FORM_CONTROL (CTRL_ID, CTRL_ACCN_TYPE, CTRL_ACCN, CTRL_USR_ROLE, CTRL_ENTITY_TYPE, CTRL_ENTITY_STATE, CTRL_FORM_TYPE, CTRL_FORM_ACTION, CTRL_FORM_ACTION_MENU, CTRL_STATUS, CTRL_DT_CREATE, CTRL_UID_CREATE, CTRL_DT_LUPD, CTRL_UID_LUPD) VALUES('9','ACC_TYPE_FF',NULL,'OFFICER','JOB_DOI_FF','NEW','EDIT','DELETE',NULL,'A',NOW(), 'SYS',NOW(),'SYS','CKDO');</v>
      </c>
    </row>
    <row r="11" spans="1:16" x14ac:dyDescent="0.2">
      <c r="A11">
        <v>10</v>
      </c>
      <c r="B11" t="s">
        <v>57</v>
      </c>
      <c r="C11" t="s">
        <v>125</v>
      </c>
      <c r="D11" t="s">
        <v>9</v>
      </c>
      <c r="E11" t="s">
        <v>468</v>
      </c>
      <c r="F11" t="s">
        <v>100</v>
      </c>
      <c r="G11" t="s">
        <v>498</v>
      </c>
      <c r="H11" t="s">
        <v>533</v>
      </c>
      <c r="I11" t="s">
        <v>125</v>
      </c>
      <c r="J11" t="s">
        <v>7</v>
      </c>
      <c r="L11" s="35" t="s">
        <v>30</v>
      </c>
      <c r="M11" t="str">
        <f t="shared" si="0"/>
        <v>INSERT INTO T_CK_FORM_CONTROL (CTRL_ID, CTRL_ACCN_TYPE, CTRL_ACCN, CTRL_USR_ROLE, CTRL_ENTITY_TYPE, CTRL_ENTITY_STATE, CTRL_FORM_TYPE, CTRL_FORM_ACTION, CTRL_FORM_ACTION_MENU, CTRL_STATUS, CTRL_DT_CREATE, CTRL_UID_CREATE, CTRL_DT_LUPD, CTRL_UID_LUPD)</v>
      </c>
      <c r="O11" t="str">
        <f t="shared" si="2"/>
        <v xml:space="preserve"> VALUES('10','ACC_TYPE_FF',NULL,'OFFICER','JOB_DOI_FF','NEW','EDIT','EXIT',NULL,'A',NOW(), 'SYS',NOW(),'SYS','CKDO');</v>
      </c>
      <c r="P11" t="str">
        <f t="shared" si="1"/>
        <v>INSERT INTO T_CK_FORM_CONTROL (CTRL_ID, CTRL_ACCN_TYPE, CTRL_ACCN, CTRL_USR_ROLE, CTRL_ENTITY_TYPE, CTRL_ENTITY_STATE, CTRL_FORM_TYPE, CTRL_FORM_ACTION, CTRL_FORM_ACTION_MENU, CTRL_STATUS, CTRL_DT_CREATE, CTRL_UID_CREATE, CTRL_DT_LUPD, CTRL_UID_LUPD) VALUES('10','ACC_TYPE_FF',NULL,'OFFICER','JOB_DOI_FF','NEW','EDIT','EXIT',NULL,'A',NOW(), 'SYS',NOW(),'SYS','CKDO');</v>
      </c>
    </row>
    <row r="12" spans="1:16" x14ac:dyDescent="0.2">
      <c r="A12">
        <v>11</v>
      </c>
      <c r="B12" t="s">
        <v>43</v>
      </c>
      <c r="C12" t="s">
        <v>125</v>
      </c>
      <c r="D12" t="s">
        <v>9</v>
      </c>
      <c r="E12" t="s">
        <v>466</v>
      </c>
      <c r="F12" t="s">
        <v>590</v>
      </c>
      <c r="G12" t="s">
        <v>498</v>
      </c>
      <c r="H12" t="s">
        <v>550</v>
      </c>
      <c r="I12" t="s">
        <v>125</v>
      </c>
      <c r="J12" t="s">
        <v>7</v>
      </c>
      <c r="K12" t="s">
        <v>592</v>
      </c>
      <c r="L12" s="35" t="s">
        <v>30</v>
      </c>
      <c r="M12" t="str">
        <f t="shared" si="0"/>
        <v>INSERT INTO T_CK_FORM_CONTROL (CTRL_ID, CTRL_ACCN_TYPE, CTRL_ACCN, CTRL_USR_ROLE, CTRL_ENTITY_TYPE, CTRL_ENTITY_STATE, CTRL_FORM_TYPE, CTRL_FORM_ACTION, CTRL_FORM_ACTION_MENU, CTRL_STATUS, CTRL_DT_CREATE, CTRL_UID_CREATE, CTRL_DT_LUPD, CTRL_UID_LUPD)</v>
      </c>
      <c r="O12" t="str">
        <f t="shared" si="2"/>
        <v xml:space="preserve"> VALUES('11','ACC_TYPE_CO',NULL,'OFFICER','JOB_DOI_CO','DRF','EDIT','SAVE',NULL,'A',NOW(), 'SYS',NOW(),'SYS','CKDO');</v>
      </c>
      <c r="P12" t="str">
        <f t="shared" si="1"/>
        <v>INSERT INTO T_CK_FORM_CONTROL (CTRL_ID, CTRL_ACCN_TYPE, CTRL_ACCN, CTRL_USR_ROLE, CTRL_ENTITY_TYPE, CTRL_ENTITY_STATE, CTRL_FORM_TYPE, CTRL_FORM_ACTION, CTRL_FORM_ACTION_MENU, CTRL_STATUS, CTRL_DT_CREATE, CTRL_UID_CREATE, CTRL_DT_LUPD, CTRL_UID_LUPD) VALUES('11','ACC_TYPE_CO',NULL,'OFFICER','JOB_DOI_CO','DRF','EDIT','SAVE',NULL,'A',NOW(), 'SYS',NOW(),'SYS','CKDO');</v>
      </c>
    </row>
    <row r="13" spans="1:16" x14ac:dyDescent="0.2">
      <c r="A13">
        <v>12</v>
      </c>
      <c r="B13" t="s">
        <v>57</v>
      </c>
      <c r="C13" t="s">
        <v>125</v>
      </c>
      <c r="D13" t="s">
        <v>9</v>
      </c>
      <c r="E13" t="s">
        <v>468</v>
      </c>
      <c r="F13" t="s">
        <v>101</v>
      </c>
      <c r="G13" t="s">
        <v>502</v>
      </c>
      <c r="H13" t="s">
        <v>533</v>
      </c>
      <c r="I13" t="s">
        <v>125</v>
      </c>
      <c r="J13" t="s">
        <v>7</v>
      </c>
      <c r="L13" s="35" t="s">
        <v>30</v>
      </c>
      <c r="M13" t="str">
        <f t="shared" si="0"/>
        <v>INSERT INTO T_CK_FORM_CONTROL (CTRL_ID, CTRL_ACCN_TYPE, CTRL_ACCN, CTRL_USR_ROLE, CTRL_ENTITY_TYPE, CTRL_ENTITY_STATE, CTRL_FORM_TYPE, CTRL_FORM_ACTION, CTRL_FORM_ACTION_MENU, CTRL_STATUS, CTRL_DT_CREATE, CTRL_UID_CREATE, CTRL_DT_LUPD, CTRL_UID_LUPD)</v>
      </c>
      <c r="O13" t="str">
        <f t="shared" si="2"/>
        <v xml:space="preserve"> VALUES('12','ACC_TYPE_FF',NULL,'OFFICER','JOB_DOI_FF','SUB','VIEW','EXIT',NULL,'A',NOW(), 'SYS',NOW(),'SYS','CKDO');</v>
      </c>
      <c r="P13" t="str">
        <f t="shared" si="1"/>
        <v>INSERT INTO T_CK_FORM_CONTROL (CTRL_ID, CTRL_ACCN_TYPE, CTRL_ACCN, CTRL_USR_ROLE, CTRL_ENTITY_TYPE, CTRL_ENTITY_STATE, CTRL_FORM_TYPE, CTRL_FORM_ACTION, CTRL_FORM_ACTION_MENU, CTRL_STATUS, CTRL_DT_CREATE, CTRL_UID_CREATE, CTRL_DT_LUPD, CTRL_UID_LUPD) VALUES('12','ACC_TYPE_FF',NULL,'OFFICER','JOB_DOI_FF','SUB','VIEW','EXIT',NULL,'A',NOW(), 'SYS',NOW(),'SYS','CKDO');</v>
      </c>
    </row>
    <row r="14" spans="1:16" x14ac:dyDescent="0.2">
      <c r="A14">
        <v>13</v>
      </c>
      <c r="B14" t="s">
        <v>57</v>
      </c>
      <c r="C14" t="s">
        <v>125</v>
      </c>
      <c r="D14" t="s">
        <v>9</v>
      </c>
      <c r="E14" t="s">
        <v>468</v>
      </c>
      <c r="F14" t="s">
        <v>593</v>
      </c>
      <c r="G14" t="s">
        <v>502</v>
      </c>
      <c r="H14" t="s">
        <v>533</v>
      </c>
      <c r="I14" t="s">
        <v>125</v>
      </c>
      <c r="J14" t="s">
        <v>7</v>
      </c>
      <c r="L14" s="35" t="s">
        <v>30</v>
      </c>
      <c r="M14" t="str">
        <f t="shared" si="0"/>
        <v>INSERT INTO T_CK_FORM_CONTROL (CTRL_ID, CTRL_ACCN_TYPE, CTRL_ACCN, CTRL_USR_ROLE, CTRL_ENTITY_TYPE, CTRL_ENTITY_STATE, CTRL_FORM_TYPE, CTRL_FORM_ACTION, CTRL_FORM_ACTION_MENU, CTRL_STATUS, CTRL_DT_CREATE, CTRL_UID_CREATE, CTRL_DT_LUPD, CTRL_UID_LUPD)</v>
      </c>
      <c r="O14" t="str">
        <f t="shared" si="2"/>
        <v xml:space="preserve"> VALUES('13','ACC_TYPE_FF',NULL,'OFFICER','JOB_DOI_FF','PAID','VIEW','EXIT',NULL,'A',NOW(), 'SYS',NOW(),'SYS','CKDO');</v>
      </c>
      <c r="P14" t="str">
        <f t="shared" si="1"/>
        <v>INSERT INTO T_CK_FORM_CONTROL (CTRL_ID, CTRL_ACCN_TYPE, CTRL_ACCN, CTRL_USR_ROLE, CTRL_ENTITY_TYPE, CTRL_ENTITY_STATE, CTRL_FORM_TYPE, CTRL_FORM_ACTION, CTRL_FORM_ACTION_MENU, CTRL_STATUS, CTRL_DT_CREATE, CTRL_UID_CREATE, CTRL_DT_LUPD, CTRL_UID_LUPD) VALUES('13','ACC_TYPE_FF',NULL,'OFFICER','JOB_DOI_FF','PAID','VIEW','EXIT',NULL,'A',NOW(), 'SYS',NOW(),'SYS','CKDO');</v>
      </c>
    </row>
    <row r="15" spans="1:16" x14ac:dyDescent="0.2">
      <c r="A15">
        <v>14</v>
      </c>
      <c r="B15" t="s">
        <v>43</v>
      </c>
      <c r="C15" t="s">
        <v>125</v>
      </c>
      <c r="D15" t="s">
        <v>9</v>
      </c>
      <c r="E15" t="s">
        <v>466</v>
      </c>
      <c r="F15" t="s">
        <v>590</v>
      </c>
      <c r="G15" t="s">
        <v>498</v>
      </c>
      <c r="H15" t="s">
        <v>533</v>
      </c>
      <c r="I15" t="s">
        <v>125</v>
      </c>
      <c r="J15" t="s">
        <v>7</v>
      </c>
      <c r="L15" s="35" t="s">
        <v>30</v>
      </c>
      <c r="M15" t="str">
        <f t="shared" si="0"/>
        <v>INSERT INTO T_CK_FORM_CONTROL (CTRL_ID, CTRL_ACCN_TYPE, CTRL_ACCN, CTRL_USR_ROLE, CTRL_ENTITY_TYPE, CTRL_ENTITY_STATE, CTRL_FORM_TYPE, CTRL_FORM_ACTION, CTRL_FORM_ACTION_MENU, CTRL_STATUS, CTRL_DT_CREATE, CTRL_UID_CREATE, CTRL_DT_LUPD, CTRL_UID_LUPD)</v>
      </c>
      <c r="O15" t="str">
        <f t="shared" si="2"/>
        <v xml:space="preserve"> VALUES('14','ACC_TYPE_CO',NULL,'OFFICER','JOB_DOI_CO','DRF','EDIT','EXIT',NULL,'A',NOW(), 'SYS',NOW(),'SYS','CKDO');</v>
      </c>
      <c r="P15" t="str">
        <f t="shared" si="1"/>
        <v>INSERT INTO T_CK_FORM_CONTROL (CTRL_ID, CTRL_ACCN_TYPE, CTRL_ACCN, CTRL_USR_ROLE, CTRL_ENTITY_TYPE, CTRL_ENTITY_STATE, CTRL_FORM_TYPE, CTRL_FORM_ACTION, CTRL_FORM_ACTION_MENU, CTRL_STATUS, CTRL_DT_CREATE, CTRL_UID_CREATE, CTRL_DT_LUPD, CTRL_UID_LUPD) VALUES('14','ACC_TYPE_CO',NULL,'OFFICER','JOB_DOI_CO','DRF','EDIT','EXIT',NULL,'A',NOW(), 'SYS',NOW(),'SYS','CKDO');</v>
      </c>
    </row>
    <row r="16" spans="1:16" x14ac:dyDescent="0.2">
      <c r="A16">
        <v>15</v>
      </c>
      <c r="B16" t="s">
        <v>57</v>
      </c>
      <c r="C16" t="s">
        <v>125</v>
      </c>
      <c r="D16" t="s">
        <v>9</v>
      </c>
      <c r="E16" t="s">
        <v>468</v>
      </c>
      <c r="F16" t="s">
        <v>593</v>
      </c>
      <c r="G16" t="s">
        <v>502</v>
      </c>
      <c r="H16" t="s">
        <v>533</v>
      </c>
      <c r="I16" t="s">
        <v>125</v>
      </c>
      <c r="J16" t="s">
        <v>7</v>
      </c>
      <c r="L16" s="35" t="s">
        <v>30</v>
      </c>
      <c r="M16" t="str">
        <f t="shared" si="0"/>
        <v>INSERT INTO T_CK_FORM_CONTROL (CTRL_ID, CTRL_ACCN_TYPE, CTRL_ACCN, CTRL_USR_ROLE, CTRL_ENTITY_TYPE, CTRL_ENTITY_STATE, CTRL_FORM_TYPE, CTRL_FORM_ACTION, CTRL_FORM_ACTION_MENU, CTRL_STATUS, CTRL_DT_CREATE, CTRL_UID_CREATE, CTRL_DT_LUPD, CTRL_UID_LUPD)</v>
      </c>
      <c r="O16" t="str">
        <f t="shared" si="2"/>
        <v xml:space="preserve"> VALUES('15','ACC_TYPE_FF',NULL,'OFFICER','JOB_DOI_FF','PAID','VIEW','EXIT',NULL,'A',NOW(), 'SYS',NOW(),'SYS','CKDO');</v>
      </c>
      <c r="P16" t="str">
        <f t="shared" si="1"/>
        <v>INSERT INTO T_CK_FORM_CONTROL (CTRL_ID, CTRL_ACCN_TYPE, CTRL_ACCN, CTRL_USR_ROLE, CTRL_ENTITY_TYPE, CTRL_ENTITY_STATE, CTRL_FORM_TYPE, CTRL_FORM_ACTION, CTRL_FORM_ACTION_MENU, CTRL_STATUS, CTRL_DT_CREATE, CTRL_UID_CREATE, CTRL_DT_LUPD, CTRL_UID_LUPD) VALUES('15','ACC_TYPE_FF',NULL,'OFFICER','JOB_DOI_FF','PAID','VIEW','EXIT',NULL,'A',NOW(), 'SYS',NOW(),'SYS','CKDO');</v>
      </c>
    </row>
    <row r="17" spans="1:16" x14ac:dyDescent="0.2">
      <c r="A17">
        <v>16</v>
      </c>
      <c r="B17" t="s">
        <v>57</v>
      </c>
      <c r="C17" t="s">
        <v>125</v>
      </c>
      <c r="D17" t="s">
        <v>9</v>
      </c>
      <c r="E17" t="s">
        <v>468</v>
      </c>
      <c r="F17" t="s">
        <v>594</v>
      </c>
      <c r="G17" t="s">
        <v>502</v>
      </c>
      <c r="H17" t="s">
        <v>533</v>
      </c>
      <c r="I17" t="s">
        <v>125</v>
      </c>
      <c r="J17" t="s">
        <v>7</v>
      </c>
      <c r="L17" s="35" t="s">
        <v>30</v>
      </c>
      <c r="M17" t="str">
        <f t="shared" si="0"/>
        <v>INSERT INTO T_CK_FORM_CONTROL (CTRL_ID, CTRL_ACCN_TYPE, CTRL_ACCN, CTRL_USR_ROLE, CTRL_ENTITY_TYPE, CTRL_ENTITY_STATE, CTRL_FORM_TYPE, CTRL_FORM_ACTION, CTRL_FORM_ACTION_MENU, CTRL_STATUS, CTRL_DT_CREATE, CTRL_UID_CREATE, CTRL_DT_LUPD, CTRL_UID_LUPD)</v>
      </c>
      <c r="O17" t="str">
        <f t="shared" si="2"/>
        <v xml:space="preserve"> VALUES('16','ACC_TYPE_FF',NULL,'OFFICER','JOB_DOI_FF','PMV','VIEW','EXIT',NULL,'A',NOW(), 'SYS',NOW(),'SYS','CKDO');</v>
      </c>
      <c r="P17" t="str">
        <f t="shared" si="1"/>
        <v>INSERT INTO T_CK_FORM_CONTROL (CTRL_ID, CTRL_ACCN_TYPE, CTRL_ACCN, CTRL_USR_ROLE, CTRL_ENTITY_TYPE, CTRL_ENTITY_STATE, CTRL_FORM_TYPE, CTRL_FORM_ACTION, CTRL_FORM_ACTION_MENU, CTRL_STATUS, CTRL_DT_CREATE, CTRL_UID_CREATE, CTRL_DT_LUPD, CTRL_UID_LUPD) VALUES('16','ACC_TYPE_FF',NULL,'OFFICER','JOB_DOI_FF','PMV','VIEW','EXIT',NULL,'A',NOW(), 'SYS',NOW(),'SYS','CKDO');</v>
      </c>
    </row>
    <row r="18" spans="1:16" x14ac:dyDescent="0.2">
      <c r="A18">
        <v>17</v>
      </c>
      <c r="B18" t="s">
        <v>57</v>
      </c>
      <c r="C18" t="s">
        <v>125</v>
      </c>
      <c r="D18" t="s">
        <v>9</v>
      </c>
      <c r="E18" t="s">
        <v>468</v>
      </c>
      <c r="F18" t="s">
        <v>595</v>
      </c>
      <c r="G18" t="s">
        <v>502</v>
      </c>
      <c r="H18" t="s">
        <v>533</v>
      </c>
      <c r="I18" t="s">
        <v>125</v>
      </c>
      <c r="J18" t="s">
        <v>7</v>
      </c>
      <c r="L18" s="35" t="s">
        <v>30</v>
      </c>
      <c r="M18" t="str">
        <f>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N18" t="str">
        <f>_xlfn.CONCAT(M18,",CTRL_APPS_CODE) ")</f>
        <v xml:space="preserve">INSERT INTO T_CK_FORM_CONTROL (CTRL_ID, CTRL_ACCN_TYPE, CTRL_ACCN, CTRL_USR_ROLE, CTRL_ENTITY_TYPE, CTRL_ENTITY_STATE, CTRL_FORM_TYPE, CTRL_FORM_ACTION, CTRL_FORM_ACTION_MENU, CTRL_STATUS, CTRL_DT_CREATE, CTRL_UID_CREATE, CTRL_DT_LUPD, CTRL_UID_LUPD,CTRL_APPS_CODE) </v>
      </c>
      <c r="O18" t="str">
        <f t="shared" si="2"/>
        <v xml:space="preserve"> VALUES('17','ACC_TYPE_FF',NULL,'OFFICER','JOB_DOI_FF','COM','VIEW','EXIT',NULL,'A',NOW(), 'SYS',NOW(),'SYS','CKDO');</v>
      </c>
      <c r="P18" t="str">
        <f>CONCATENATE(N18,O18)</f>
        <v>INSERT INTO T_CK_FORM_CONTROL (CTRL_ID, CTRL_ACCN_TYPE, CTRL_ACCN, CTRL_USR_ROLE, CTRL_ENTITY_TYPE, CTRL_ENTITY_STATE, CTRL_FORM_TYPE, CTRL_FORM_ACTION, CTRL_FORM_ACTION_MENU, CTRL_STATUS, CTRL_DT_CREATE, CTRL_UID_CREATE, CTRL_DT_LUPD, CTRL_UID_LUPD,CTRL_APPS_CODE)  VALUES('17','ACC_TYPE_FF',NULL,'OFFICER','JOB_DOI_FF','COM','VIEW','EXIT',NULL,'A',NOW(), 'SYS',NOW(),'SYS','CKDO');</v>
      </c>
    </row>
    <row r="19" spans="1:16" x14ac:dyDescent="0.2">
      <c r="A19">
        <v>18</v>
      </c>
      <c r="B19" t="s">
        <v>74</v>
      </c>
      <c r="C19" t="s">
        <v>125</v>
      </c>
      <c r="D19" t="s">
        <v>10</v>
      </c>
      <c r="E19" t="s">
        <v>468</v>
      </c>
      <c r="F19" t="s">
        <v>594</v>
      </c>
      <c r="G19" t="s">
        <v>502</v>
      </c>
      <c r="H19" t="s">
        <v>563</v>
      </c>
      <c r="I19" t="s">
        <v>125</v>
      </c>
      <c r="J19" t="s">
        <v>7</v>
      </c>
      <c r="L19" s="35" t="s">
        <v>30</v>
      </c>
      <c r="M19" t="str">
        <f t="shared" ref="M19:M82" si="3">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N19" t="str">
        <f t="shared" ref="N19:N82" si="4">_xlfn.CONCAT(M19,",CTRL_APPS_CODE) ")</f>
        <v xml:space="preserve">INSERT INTO T_CK_FORM_CONTROL (CTRL_ID, CTRL_ACCN_TYPE, CTRL_ACCN, CTRL_USR_ROLE, CTRL_ENTITY_TYPE, CTRL_ENTITY_STATE, CTRL_FORM_TYPE, CTRL_FORM_ACTION, CTRL_FORM_ACTION_MENU, CTRL_STATUS, CTRL_DT_CREATE, CTRL_UID_CREATE, CTRL_DT_LUPD, CTRL_UID_LUPD,CTRL_APPS_CODE) </v>
      </c>
      <c r="O19" t="str">
        <f t="shared" si="2"/>
        <v xml:space="preserve"> VALUES('18','ACC_TYPE_SL',NULL,'OPERATIONS','JOB_DOI_FF','PMV','VIEW','VERIFY',NULL,'A',NOW(), 'SYS',NOW(),'SYS','CKDO');</v>
      </c>
      <c r="P19" t="str">
        <f t="shared" ref="P19:P82" si="5">CONCATENATE(N19,O19)</f>
        <v>INSERT INTO T_CK_FORM_CONTROL (CTRL_ID, CTRL_ACCN_TYPE, CTRL_ACCN, CTRL_USR_ROLE, CTRL_ENTITY_TYPE, CTRL_ENTITY_STATE, CTRL_FORM_TYPE, CTRL_FORM_ACTION, CTRL_FORM_ACTION_MENU, CTRL_STATUS, CTRL_DT_CREATE, CTRL_UID_CREATE, CTRL_DT_LUPD, CTRL_UID_LUPD,CTRL_APPS_CODE)  VALUES('18','ACC_TYPE_SL',NULL,'OPERATIONS','JOB_DOI_FF','PMV','VIEW','VERIFY',NULL,'A',NOW(), 'SYS',NOW(),'SYS','CKDO');</v>
      </c>
    </row>
    <row r="20" spans="1:16" x14ac:dyDescent="0.2">
      <c r="A20">
        <v>19</v>
      </c>
      <c r="B20" t="s">
        <v>74</v>
      </c>
      <c r="C20" t="s">
        <v>125</v>
      </c>
      <c r="D20" t="s">
        <v>10</v>
      </c>
      <c r="E20" t="s">
        <v>468</v>
      </c>
      <c r="F20" t="s">
        <v>594</v>
      </c>
      <c r="G20" t="s">
        <v>502</v>
      </c>
      <c r="H20" t="s">
        <v>533</v>
      </c>
      <c r="I20" t="s">
        <v>125</v>
      </c>
      <c r="J20" t="s">
        <v>7</v>
      </c>
      <c r="L20" s="35" t="s">
        <v>30</v>
      </c>
      <c r="M20" t="str">
        <f t="shared" si="3"/>
        <v>INSERT INTO T_CK_FORM_CONTROL (CTRL_ID, CTRL_ACCN_TYPE, CTRL_ACCN, CTRL_USR_ROLE, CTRL_ENTITY_TYPE, CTRL_ENTITY_STATE, CTRL_FORM_TYPE, CTRL_FORM_ACTION, CTRL_FORM_ACTION_MENU, CTRL_STATUS, CTRL_DT_CREATE, CTRL_UID_CREATE, CTRL_DT_LUPD, CTRL_UID_LUPD</v>
      </c>
      <c r="N20"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0" t="str">
        <f t="shared" si="2"/>
        <v xml:space="preserve"> VALUES('19','ACC_TYPE_SL',NULL,'OPERATIONS','JOB_DOI_FF','PMV','VIEW','EXIT',NULL,'A',NOW(), 'SYS',NOW(),'SYS','CKDO');</v>
      </c>
      <c r="P20" t="str">
        <f t="shared" si="5"/>
        <v>INSERT INTO T_CK_FORM_CONTROL (CTRL_ID, CTRL_ACCN_TYPE, CTRL_ACCN, CTRL_USR_ROLE, CTRL_ENTITY_TYPE, CTRL_ENTITY_STATE, CTRL_FORM_TYPE, CTRL_FORM_ACTION, CTRL_FORM_ACTION_MENU, CTRL_STATUS, CTRL_DT_CREATE, CTRL_UID_CREATE, CTRL_DT_LUPD, CTRL_UID_LUPD,CTRL_APPS_CODE)  VALUES('19','ACC_TYPE_SL',NULL,'OPERATIONS','JOB_DOI_FF','PMV','VIEW','EXIT',NULL,'A',NOW(), 'SYS',NOW(),'SYS','CKDO');</v>
      </c>
    </row>
    <row r="21" spans="1:16" x14ac:dyDescent="0.2">
      <c r="A21">
        <v>20</v>
      </c>
      <c r="B21" t="s">
        <v>74</v>
      </c>
      <c r="C21" t="s">
        <v>125</v>
      </c>
      <c r="D21" t="s">
        <v>11</v>
      </c>
      <c r="E21" t="s">
        <v>468</v>
      </c>
      <c r="F21" t="s">
        <v>593</v>
      </c>
      <c r="G21" t="s">
        <v>502</v>
      </c>
      <c r="H21" t="s">
        <v>563</v>
      </c>
      <c r="I21" t="s">
        <v>125</v>
      </c>
      <c r="J21" t="s">
        <v>7</v>
      </c>
      <c r="L21" s="35" t="s">
        <v>30</v>
      </c>
      <c r="M21" t="str">
        <f t="shared" si="3"/>
        <v>INSERT INTO T_CK_FORM_CONTROL (CTRL_ID, CTRL_ACCN_TYPE, CTRL_ACCN, CTRL_USR_ROLE, CTRL_ENTITY_TYPE, CTRL_ENTITY_STATE, CTRL_FORM_TYPE, CTRL_FORM_ACTION, CTRL_FORM_ACTION_MENU, CTRL_STATUS, CTRL_DT_CREATE, CTRL_UID_CREATE, CTRL_DT_LUPD, CTRL_UID_LUPD</v>
      </c>
      <c r="N21"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1" t="str">
        <f t="shared" si="2"/>
        <v xml:space="preserve"> VALUES('20','ACC_TYPE_SL',NULL,'FINANCE','JOB_DOI_FF','PAID','VIEW','VERIFY',NULL,'A',NOW(), 'SYS',NOW(),'SYS','CKDO');</v>
      </c>
      <c r="P21" t="str">
        <f t="shared" si="5"/>
        <v>INSERT INTO T_CK_FORM_CONTROL (CTRL_ID, CTRL_ACCN_TYPE, CTRL_ACCN, CTRL_USR_ROLE, CTRL_ENTITY_TYPE, CTRL_ENTITY_STATE, CTRL_FORM_TYPE, CTRL_FORM_ACTION, CTRL_FORM_ACTION_MENU, CTRL_STATUS, CTRL_DT_CREATE, CTRL_UID_CREATE, CTRL_DT_LUPD, CTRL_UID_LUPD,CTRL_APPS_CODE)  VALUES('20','ACC_TYPE_SL',NULL,'FINANCE','JOB_DOI_FF','PAID','VIEW','VERIFY',NULL,'A',NOW(), 'SYS',NOW(),'SYS','CKDO');</v>
      </c>
    </row>
    <row r="22" spans="1:16" x14ac:dyDescent="0.2">
      <c r="A22">
        <v>21</v>
      </c>
      <c r="B22" t="s">
        <v>74</v>
      </c>
      <c r="C22" t="s">
        <v>125</v>
      </c>
      <c r="D22" t="s">
        <v>11</v>
      </c>
      <c r="E22" t="s">
        <v>468</v>
      </c>
      <c r="F22" t="s">
        <v>593</v>
      </c>
      <c r="G22" t="s">
        <v>502</v>
      </c>
      <c r="H22" t="s">
        <v>533</v>
      </c>
      <c r="I22" t="s">
        <v>125</v>
      </c>
      <c r="J22" t="s">
        <v>7</v>
      </c>
      <c r="K22" t="s">
        <v>596</v>
      </c>
      <c r="L22" s="35" t="s">
        <v>30</v>
      </c>
      <c r="M22" t="str">
        <f t="shared" si="3"/>
        <v>INSERT INTO T_CK_FORM_CONTROL (CTRL_ID, CTRL_ACCN_TYPE, CTRL_ACCN, CTRL_USR_ROLE, CTRL_ENTITY_TYPE, CTRL_ENTITY_STATE, CTRL_FORM_TYPE, CTRL_FORM_ACTION, CTRL_FORM_ACTION_MENU, CTRL_STATUS, CTRL_DT_CREATE, CTRL_UID_CREATE, CTRL_DT_LUPD, CTRL_UID_LUPD</v>
      </c>
      <c r="N22"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2" t="str">
        <f t="shared" si="2"/>
        <v xml:space="preserve"> VALUES('21','ACC_TYPE_SL',NULL,'FINANCE','JOB_DOI_FF','PAID','VIEW','EXIT',NULL,'A',NOW(), 'SYS',NOW(),'SYS','CKDO');</v>
      </c>
      <c r="P22" t="str">
        <f t="shared" si="5"/>
        <v>INSERT INTO T_CK_FORM_CONTROL (CTRL_ID, CTRL_ACCN_TYPE, CTRL_ACCN, CTRL_USR_ROLE, CTRL_ENTITY_TYPE, CTRL_ENTITY_STATE, CTRL_FORM_TYPE, CTRL_FORM_ACTION, CTRL_FORM_ACTION_MENU, CTRL_STATUS, CTRL_DT_CREATE, CTRL_UID_CREATE, CTRL_DT_LUPD, CTRL_UID_LUPD,CTRL_APPS_CODE)  VALUES('21','ACC_TYPE_SL',NULL,'FINANCE','JOB_DOI_FF','PAID','VIEW','EXIT',NULL,'A',NOW(), 'SYS',NOW(),'SYS','CKDO');</v>
      </c>
    </row>
    <row r="23" spans="1:16" x14ac:dyDescent="0.2">
      <c r="A23">
        <v>22</v>
      </c>
      <c r="B23" t="s">
        <v>74</v>
      </c>
      <c r="C23" t="s">
        <v>125</v>
      </c>
      <c r="D23" t="s">
        <v>10</v>
      </c>
      <c r="E23" t="s">
        <v>468</v>
      </c>
      <c r="F23" t="s">
        <v>101</v>
      </c>
      <c r="G23" t="s">
        <v>502</v>
      </c>
      <c r="H23" t="s">
        <v>563</v>
      </c>
      <c r="I23" t="s">
        <v>125</v>
      </c>
      <c r="J23" t="s">
        <v>7</v>
      </c>
      <c r="L23" s="35" t="s">
        <v>30</v>
      </c>
      <c r="M23" t="str">
        <f t="shared" si="3"/>
        <v>INSERT INTO T_CK_FORM_CONTROL (CTRL_ID, CTRL_ACCN_TYPE, CTRL_ACCN, CTRL_USR_ROLE, CTRL_ENTITY_TYPE, CTRL_ENTITY_STATE, CTRL_FORM_TYPE, CTRL_FORM_ACTION, CTRL_FORM_ACTION_MENU, CTRL_STATUS, CTRL_DT_CREATE, CTRL_UID_CREATE, CTRL_DT_LUPD, CTRL_UID_LUPD</v>
      </c>
      <c r="N23"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3" t="str">
        <f t="shared" si="2"/>
        <v xml:space="preserve"> VALUES('22','ACC_TYPE_SL',NULL,'OPERATIONS','JOB_DOI_FF','SUB','VIEW','VERIFY',NULL,'A',NOW(), 'SYS',NOW(),'SYS','CKDO');</v>
      </c>
      <c r="P23" t="str">
        <f t="shared" si="5"/>
        <v>INSERT INTO T_CK_FORM_CONTROL (CTRL_ID, CTRL_ACCN_TYPE, CTRL_ACCN, CTRL_USR_ROLE, CTRL_ENTITY_TYPE, CTRL_ENTITY_STATE, CTRL_FORM_TYPE, CTRL_FORM_ACTION, CTRL_FORM_ACTION_MENU, CTRL_STATUS, CTRL_DT_CREATE, CTRL_UID_CREATE, CTRL_DT_LUPD, CTRL_UID_LUPD,CTRL_APPS_CODE)  VALUES('22','ACC_TYPE_SL',NULL,'OPERATIONS','JOB_DOI_FF','SUB','VIEW','VERIFY',NULL,'A',NOW(), 'SYS',NOW(),'SYS','CKDO');</v>
      </c>
    </row>
    <row r="24" spans="1:16" x14ac:dyDescent="0.2">
      <c r="A24">
        <v>23</v>
      </c>
      <c r="B24" t="s">
        <v>43</v>
      </c>
      <c r="C24" t="s">
        <v>125</v>
      </c>
      <c r="D24" t="s">
        <v>9</v>
      </c>
      <c r="E24" t="s">
        <v>466</v>
      </c>
      <c r="F24" t="s">
        <v>100</v>
      </c>
      <c r="G24" t="s">
        <v>498</v>
      </c>
      <c r="H24" t="s">
        <v>550</v>
      </c>
      <c r="I24" t="s">
        <v>125</v>
      </c>
      <c r="J24" t="s">
        <v>7</v>
      </c>
      <c r="L24" s="35" t="s">
        <v>30</v>
      </c>
      <c r="M24" t="str">
        <f t="shared" si="3"/>
        <v>INSERT INTO T_CK_FORM_CONTROL (CTRL_ID, CTRL_ACCN_TYPE, CTRL_ACCN, CTRL_USR_ROLE, CTRL_ENTITY_TYPE, CTRL_ENTITY_STATE, CTRL_FORM_TYPE, CTRL_FORM_ACTION, CTRL_FORM_ACTION_MENU, CTRL_STATUS, CTRL_DT_CREATE, CTRL_UID_CREATE, CTRL_DT_LUPD, CTRL_UID_LUPD</v>
      </c>
      <c r="N24"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4" t="str">
        <f t="shared" si="2"/>
        <v xml:space="preserve"> VALUES('23','ACC_TYPE_CO',NULL,'OFFICER','JOB_DOI_CO','NEW','EDIT','SAVE',NULL,'A',NOW(), 'SYS',NOW(),'SYS','CKDO');</v>
      </c>
      <c r="P24" t="str">
        <f t="shared" si="5"/>
        <v>INSERT INTO T_CK_FORM_CONTROL (CTRL_ID, CTRL_ACCN_TYPE, CTRL_ACCN, CTRL_USR_ROLE, CTRL_ENTITY_TYPE, CTRL_ENTITY_STATE, CTRL_FORM_TYPE, CTRL_FORM_ACTION, CTRL_FORM_ACTION_MENU, CTRL_STATUS, CTRL_DT_CREATE, CTRL_UID_CREATE, CTRL_DT_LUPD, CTRL_UID_LUPD,CTRL_APPS_CODE)  VALUES('23','ACC_TYPE_CO',NULL,'OFFICER','JOB_DOI_CO','NEW','EDIT','SAVE',NULL,'A',NOW(), 'SYS',NOW(),'SYS','CKDO');</v>
      </c>
    </row>
    <row r="25" spans="1:16" x14ac:dyDescent="0.2">
      <c r="A25">
        <v>24</v>
      </c>
      <c r="B25" t="s">
        <v>74</v>
      </c>
      <c r="C25" t="s">
        <v>125</v>
      </c>
      <c r="D25" t="s">
        <v>11</v>
      </c>
      <c r="E25" t="s">
        <v>468</v>
      </c>
      <c r="F25" t="s">
        <v>101</v>
      </c>
      <c r="G25" t="s">
        <v>502</v>
      </c>
      <c r="H25" t="s">
        <v>563</v>
      </c>
      <c r="I25" t="s">
        <v>125</v>
      </c>
      <c r="J25" t="s">
        <v>7</v>
      </c>
      <c r="L25" s="35" t="s">
        <v>30</v>
      </c>
      <c r="M25" t="str">
        <f t="shared" si="3"/>
        <v>INSERT INTO T_CK_FORM_CONTROL (CTRL_ID, CTRL_ACCN_TYPE, CTRL_ACCN, CTRL_USR_ROLE, CTRL_ENTITY_TYPE, CTRL_ENTITY_STATE, CTRL_FORM_TYPE, CTRL_FORM_ACTION, CTRL_FORM_ACTION_MENU, CTRL_STATUS, CTRL_DT_CREATE, CTRL_UID_CREATE, CTRL_DT_LUPD, CTRL_UID_LUPD</v>
      </c>
      <c r="N25"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5" t="str">
        <f t="shared" si="2"/>
        <v xml:space="preserve"> VALUES('24','ACC_TYPE_SL',NULL,'FINANCE','JOB_DOI_FF','SUB','VIEW','VERIFY',NULL,'A',NOW(), 'SYS',NOW(),'SYS','CKDO');</v>
      </c>
      <c r="P25" t="str">
        <f t="shared" si="5"/>
        <v>INSERT INTO T_CK_FORM_CONTROL (CTRL_ID, CTRL_ACCN_TYPE, CTRL_ACCN, CTRL_USR_ROLE, CTRL_ENTITY_TYPE, CTRL_ENTITY_STATE, CTRL_FORM_TYPE, CTRL_FORM_ACTION, CTRL_FORM_ACTION_MENU, CTRL_STATUS, CTRL_DT_CREATE, CTRL_UID_CREATE, CTRL_DT_LUPD, CTRL_UID_LUPD,CTRL_APPS_CODE)  VALUES('24','ACC_TYPE_SL',NULL,'FINANCE','JOB_DOI_FF','SUB','VIEW','VERIFY',NULL,'A',NOW(), 'SYS',NOW(),'SYS','CKDO');</v>
      </c>
    </row>
    <row r="26" spans="1:16" x14ac:dyDescent="0.2">
      <c r="A26">
        <v>25</v>
      </c>
      <c r="B26" t="s">
        <v>74</v>
      </c>
      <c r="C26" t="s">
        <v>125</v>
      </c>
      <c r="D26" t="s">
        <v>10</v>
      </c>
      <c r="E26" t="s">
        <v>468</v>
      </c>
      <c r="F26" t="s">
        <v>101</v>
      </c>
      <c r="G26" t="s">
        <v>502</v>
      </c>
      <c r="H26" t="s">
        <v>548</v>
      </c>
      <c r="I26" t="s">
        <v>125</v>
      </c>
      <c r="J26" t="s">
        <v>7</v>
      </c>
      <c r="L26" s="35" t="s">
        <v>30</v>
      </c>
      <c r="M26" t="str">
        <f t="shared" si="3"/>
        <v>INSERT INTO T_CK_FORM_CONTROL (CTRL_ID, CTRL_ACCN_TYPE, CTRL_ACCN, CTRL_USR_ROLE, CTRL_ENTITY_TYPE, CTRL_ENTITY_STATE, CTRL_FORM_TYPE, CTRL_FORM_ACTION, CTRL_FORM_ACTION_MENU, CTRL_STATUS, CTRL_DT_CREATE, CTRL_UID_CREATE, CTRL_DT_LUPD, CTRL_UID_LUPD</v>
      </c>
      <c r="N26"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6" t="str">
        <f t="shared" si="2"/>
        <v xml:space="preserve"> VALUES('25','ACC_TYPE_SL',NULL,'OPERATIONS','JOB_DOI_FF','SUB','VIEW','REVERIFY',NULL,'A',NOW(), 'SYS',NOW(),'SYS','CKDO');</v>
      </c>
      <c r="P26" t="str">
        <f t="shared" si="5"/>
        <v>INSERT INTO T_CK_FORM_CONTROL (CTRL_ID, CTRL_ACCN_TYPE, CTRL_ACCN, CTRL_USR_ROLE, CTRL_ENTITY_TYPE, CTRL_ENTITY_STATE, CTRL_FORM_TYPE, CTRL_FORM_ACTION, CTRL_FORM_ACTION_MENU, CTRL_STATUS, CTRL_DT_CREATE, CTRL_UID_CREATE, CTRL_DT_LUPD, CTRL_UID_LUPD,CTRL_APPS_CODE)  VALUES('25','ACC_TYPE_SL',NULL,'OPERATIONS','JOB_DOI_FF','SUB','VIEW','REVERIFY',NULL,'A',NOW(), 'SYS',NOW(),'SYS','CKDO');</v>
      </c>
    </row>
    <row r="27" spans="1:16" x14ac:dyDescent="0.2">
      <c r="A27">
        <v>26</v>
      </c>
      <c r="B27" t="s">
        <v>43</v>
      </c>
      <c r="C27" t="s">
        <v>125</v>
      </c>
      <c r="D27" t="s">
        <v>9</v>
      </c>
      <c r="E27" t="s">
        <v>466</v>
      </c>
      <c r="F27" t="s">
        <v>100</v>
      </c>
      <c r="G27" t="s">
        <v>498</v>
      </c>
      <c r="H27" t="s">
        <v>531</v>
      </c>
      <c r="I27" t="s">
        <v>125</v>
      </c>
      <c r="J27" t="s">
        <v>7</v>
      </c>
      <c r="L27" s="35" t="s">
        <v>30</v>
      </c>
      <c r="M27" t="str">
        <f t="shared" si="3"/>
        <v>INSERT INTO T_CK_FORM_CONTROL (CTRL_ID, CTRL_ACCN_TYPE, CTRL_ACCN, CTRL_USR_ROLE, CTRL_ENTITY_TYPE, CTRL_ENTITY_STATE, CTRL_FORM_TYPE, CTRL_FORM_ACTION, CTRL_FORM_ACTION_MENU, CTRL_STATUS, CTRL_DT_CREATE, CTRL_UID_CREATE, CTRL_DT_LUPD, CTRL_UID_LUPD</v>
      </c>
      <c r="N27"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7" t="str">
        <f t="shared" si="2"/>
        <v xml:space="preserve"> VALUES('26','ACC_TYPE_CO',NULL,'OFFICER','JOB_DOI_CO','NEW','EDIT','DELETE',NULL,'A',NOW(), 'SYS',NOW(),'SYS','CKDO');</v>
      </c>
      <c r="P27" t="str">
        <f t="shared" si="5"/>
        <v>INSERT INTO T_CK_FORM_CONTROL (CTRL_ID, CTRL_ACCN_TYPE, CTRL_ACCN, CTRL_USR_ROLE, CTRL_ENTITY_TYPE, CTRL_ENTITY_STATE, CTRL_FORM_TYPE, CTRL_FORM_ACTION, CTRL_FORM_ACTION_MENU, CTRL_STATUS, CTRL_DT_CREATE, CTRL_UID_CREATE, CTRL_DT_LUPD, CTRL_UID_LUPD,CTRL_APPS_CODE)  VALUES('26','ACC_TYPE_CO',NULL,'OFFICER','JOB_DOI_CO','NEW','EDIT','DELETE',NULL,'A',NOW(), 'SYS',NOW(),'SYS','CKDO');</v>
      </c>
    </row>
    <row r="28" spans="1:16" x14ac:dyDescent="0.2">
      <c r="A28">
        <v>27</v>
      </c>
      <c r="B28" t="s">
        <v>43</v>
      </c>
      <c r="C28" t="s">
        <v>125</v>
      </c>
      <c r="D28" t="s">
        <v>9</v>
      </c>
      <c r="E28" t="s">
        <v>466</v>
      </c>
      <c r="F28" t="s">
        <v>100</v>
      </c>
      <c r="G28" t="s">
        <v>498</v>
      </c>
      <c r="H28" t="s">
        <v>556</v>
      </c>
      <c r="I28" t="s">
        <v>125</v>
      </c>
      <c r="J28" t="s">
        <v>7</v>
      </c>
      <c r="L28" s="35" t="s">
        <v>30</v>
      </c>
      <c r="M28" t="str">
        <f t="shared" si="3"/>
        <v>INSERT INTO T_CK_FORM_CONTROL (CTRL_ID, CTRL_ACCN_TYPE, CTRL_ACCN, CTRL_USR_ROLE, CTRL_ENTITY_TYPE, CTRL_ENTITY_STATE, CTRL_FORM_TYPE, CTRL_FORM_ACTION, CTRL_FORM_ACTION_MENU, CTRL_STATUS, CTRL_DT_CREATE, CTRL_UID_CREATE, CTRL_DT_LUPD, CTRL_UID_LUPD</v>
      </c>
      <c r="N28"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8" t="str">
        <f t="shared" si="2"/>
        <v xml:space="preserve"> VALUES('27','ACC_TYPE_CO',NULL,'OFFICER','JOB_DOI_CO','NEW','EDIT','SUBMIT',NULL,'A',NOW(), 'SYS',NOW(),'SYS','CKDO');</v>
      </c>
      <c r="P28" t="str">
        <f t="shared" si="5"/>
        <v>INSERT INTO T_CK_FORM_CONTROL (CTRL_ID, CTRL_ACCN_TYPE, CTRL_ACCN, CTRL_USR_ROLE, CTRL_ENTITY_TYPE, CTRL_ENTITY_STATE, CTRL_FORM_TYPE, CTRL_FORM_ACTION, CTRL_FORM_ACTION_MENU, CTRL_STATUS, CTRL_DT_CREATE, CTRL_UID_CREATE, CTRL_DT_LUPD, CTRL_UID_LUPD,CTRL_APPS_CODE)  VALUES('27','ACC_TYPE_CO',NULL,'OFFICER','JOB_DOI_CO','NEW','EDIT','SUBMIT',NULL,'A',NOW(), 'SYS',NOW(),'SYS','CKDO');</v>
      </c>
    </row>
    <row r="29" spans="1:16" x14ac:dyDescent="0.2">
      <c r="A29">
        <v>28</v>
      </c>
      <c r="B29" t="s">
        <v>43</v>
      </c>
      <c r="C29" t="s">
        <v>125</v>
      </c>
      <c r="D29" t="s">
        <v>9</v>
      </c>
      <c r="E29" t="s">
        <v>466</v>
      </c>
      <c r="F29" t="s">
        <v>100</v>
      </c>
      <c r="G29" t="s">
        <v>498</v>
      </c>
      <c r="H29" t="s">
        <v>533</v>
      </c>
      <c r="I29" t="s">
        <v>125</v>
      </c>
      <c r="J29" t="s">
        <v>7</v>
      </c>
      <c r="L29" s="35" t="s">
        <v>30</v>
      </c>
      <c r="M29" t="str">
        <f t="shared" si="3"/>
        <v>INSERT INTO T_CK_FORM_CONTROL (CTRL_ID, CTRL_ACCN_TYPE, CTRL_ACCN, CTRL_USR_ROLE, CTRL_ENTITY_TYPE, CTRL_ENTITY_STATE, CTRL_FORM_TYPE, CTRL_FORM_ACTION, CTRL_FORM_ACTION_MENU, CTRL_STATUS, CTRL_DT_CREATE, CTRL_UID_CREATE, CTRL_DT_LUPD, CTRL_UID_LUPD</v>
      </c>
      <c r="N29"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29" t="str">
        <f t="shared" si="2"/>
        <v xml:space="preserve"> VALUES('28','ACC_TYPE_CO',NULL,'OFFICER','JOB_DOI_CO','NEW','EDIT','EXIT',NULL,'A',NOW(), 'SYS',NOW(),'SYS','CKDO');</v>
      </c>
      <c r="P29" t="str">
        <f t="shared" si="5"/>
        <v>INSERT INTO T_CK_FORM_CONTROL (CTRL_ID, CTRL_ACCN_TYPE, CTRL_ACCN, CTRL_USR_ROLE, CTRL_ENTITY_TYPE, CTRL_ENTITY_STATE, CTRL_FORM_TYPE, CTRL_FORM_ACTION, CTRL_FORM_ACTION_MENU, CTRL_STATUS, CTRL_DT_CREATE, CTRL_UID_CREATE, CTRL_DT_LUPD, CTRL_UID_LUPD,CTRL_APPS_CODE)  VALUES('28','ACC_TYPE_CO',NULL,'OFFICER','JOB_DOI_CO','NEW','EDIT','EXIT',NULL,'A',NOW(), 'SYS',NOW(),'SYS','CKDO');</v>
      </c>
    </row>
    <row r="30" spans="1:16" x14ac:dyDescent="0.2">
      <c r="A30">
        <v>29</v>
      </c>
      <c r="B30" t="s">
        <v>43</v>
      </c>
      <c r="C30" t="s">
        <v>125</v>
      </c>
      <c r="D30" t="s">
        <v>9</v>
      </c>
      <c r="E30" t="s">
        <v>466</v>
      </c>
      <c r="F30" t="s">
        <v>101</v>
      </c>
      <c r="G30" t="s">
        <v>502</v>
      </c>
      <c r="H30" t="s">
        <v>525</v>
      </c>
      <c r="I30" t="s">
        <v>125</v>
      </c>
      <c r="J30" t="s">
        <v>7</v>
      </c>
      <c r="L30" s="35" t="s">
        <v>30</v>
      </c>
      <c r="M30" t="str">
        <f t="shared" si="3"/>
        <v>INSERT INTO T_CK_FORM_CONTROL (CTRL_ID, CTRL_ACCN_TYPE, CTRL_ACCN, CTRL_USR_ROLE, CTRL_ENTITY_TYPE, CTRL_ENTITY_STATE, CTRL_FORM_TYPE, CTRL_FORM_ACTION, CTRL_FORM_ACTION_MENU, CTRL_STATUS, CTRL_DT_CREATE, CTRL_UID_CREATE, CTRL_DT_LUPD, CTRL_UID_LUPD</v>
      </c>
      <c r="N30"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0" t="str">
        <f t="shared" si="2"/>
        <v xml:space="preserve"> VALUES('29','ACC_TYPE_CO',NULL,'OFFICER','JOB_DOI_CO','SUB','VIEW','CANCEL',NULL,'A',NOW(), 'SYS',NOW(),'SYS','CKDO');</v>
      </c>
      <c r="P30" t="str">
        <f t="shared" si="5"/>
        <v>INSERT INTO T_CK_FORM_CONTROL (CTRL_ID, CTRL_ACCN_TYPE, CTRL_ACCN, CTRL_USR_ROLE, CTRL_ENTITY_TYPE, CTRL_ENTITY_STATE, CTRL_FORM_TYPE, CTRL_FORM_ACTION, CTRL_FORM_ACTION_MENU, CTRL_STATUS, CTRL_DT_CREATE, CTRL_UID_CREATE, CTRL_DT_LUPD, CTRL_UID_LUPD,CTRL_APPS_CODE)  VALUES('29','ACC_TYPE_CO',NULL,'OFFICER','JOB_DOI_CO','SUB','VIEW','CANCEL',NULL,'A',NOW(), 'SYS',NOW(),'SYS','CKDO');</v>
      </c>
    </row>
    <row r="31" spans="1:16" x14ac:dyDescent="0.2">
      <c r="A31">
        <v>30</v>
      </c>
      <c r="B31" t="s">
        <v>43</v>
      </c>
      <c r="C31" t="s">
        <v>125</v>
      </c>
      <c r="D31" t="s">
        <v>9</v>
      </c>
      <c r="E31" t="s">
        <v>466</v>
      </c>
      <c r="F31" t="s">
        <v>101</v>
      </c>
      <c r="G31" t="s">
        <v>502</v>
      </c>
      <c r="H31" t="s">
        <v>533</v>
      </c>
      <c r="I31" t="s">
        <v>125</v>
      </c>
      <c r="J31" t="s">
        <v>7</v>
      </c>
      <c r="L31" s="35" t="s">
        <v>30</v>
      </c>
      <c r="M31" t="str">
        <f t="shared" si="3"/>
        <v>INSERT INTO T_CK_FORM_CONTROL (CTRL_ID, CTRL_ACCN_TYPE, CTRL_ACCN, CTRL_USR_ROLE, CTRL_ENTITY_TYPE, CTRL_ENTITY_STATE, CTRL_FORM_TYPE, CTRL_FORM_ACTION, CTRL_FORM_ACTION_MENU, CTRL_STATUS, CTRL_DT_CREATE, CTRL_UID_CREATE, CTRL_DT_LUPD, CTRL_UID_LUPD</v>
      </c>
      <c r="N31"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1" t="str">
        <f t="shared" si="2"/>
        <v xml:space="preserve"> VALUES('30','ACC_TYPE_CO',NULL,'OFFICER','JOB_DOI_CO','SUB','VIEW','EXIT',NULL,'A',NOW(), 'SYS',NOW(),'SYS','CKDO');</v>
      </c>
      <c r="P31" t="str">
        <f t="shared" si="5"/>
        <v>INSERT INTO T_CK_FORM_CONTROL (CTRL_ID, CTRL_ACCN_TYPE, CTRL_ACCN, CTRL_USR_ROLE, CTRL_ENTITY_TYPE, CTRL_ENTITY_STATE, CTRL_FORM_TYPE, CTRL_FORM_ACTION, CTRL_FORM_ACTION_MENU, CTRL_STATUS, CTRL_DT_CREATE, CTRL_UID_CREATE, CTRL_DT_LUPD, CTRL_UID_LUPD,CTRL_APPS_CODE)  VALUES('30','ACC_TYPE_CO',NULL,'OFFICER','JOB_DOI_CO','SUB','VIEW','EXIT',NULL,'A',NOW(), 'SYS',NOW(),'SYS','CKDO');</v>
      </c>
    </row>
    <row r="32" spans="1:16" x14ac:dyDescent="0.2">
      <c r="A32">
        <v>31</v>
      </c>
      <c r="B32" t="s">
        <v>43</v>
      </c>
      <c r="C32" t="s">
        <v>125</v>
      </c>
      <c r="D32" t="s">
        <v>9</v>
      </c>
      <c r="E32" t="s">
        <v>466</v>
      </c>
      <c r="F32" t="s">
        <v>597</v>
      </c>
      <c r="G32" t="s">
        <v>502</v>
      </c>
      <c r="H32" t="s">
        <v>533</v>
      </c>
      <c r="I32" t="s">
        <v>125</v>
      </c>
      <c r="J32" t="s">
        <v>7</v>
      </c>
      <c r="L32" s="35" t="s">
        <v>30</v>
      </c>
      <c r="M32" t="str">
        <f t="shared" si="3"/>
        <v>INSERT INTO T_CK_FORM_CONTROL (CTRL_ID, CTRL_ACCN_TYPE, CTRL_ACCN, CTRL_USR_ROLE, CTRL_ENTITY_TYPE, CTRL_ENTITY_STATE, CTRL_FORM_TYPE, CTRL_FORM_ACTION, CTRL_FORM_ACTION_MENU, CTRL_STATUS, CTRL_DT_CREATE, CTRL_UID_CREATE, CTRL_DT_LUPD, CTRL_UID_LUPD</v>
      </c>
      <c r="N32"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2" t="str">
        <f t="shared" si="2"/>
        <v xml:space="preserve"> VALUES('31','ACC_TYPE_CO',NULL,'OFFICER','JOB_DOI_CO','PROG','VIEW','EXIT',NULL,'A',NOW(), 'SYS',NOW(),'SYS','CKDO');</v>
      </c>
      <c r="P32" t="str">
        <f t="shared" si="5"/>
        <v>INSERT INTO T_CK_FORM_CONTROL (CTRL_ID, CTRL_ACCN_TYPE, CTRL_ACCN, CTRL_USR_ROLE, CTRL_ENTITY_TYPE, CTRL_ENTITY_STATE, CTRL_FORM_TYPE, CTRL_FORM_ACTION, CTRL_FORM_ACTION_MENU, CTRL_STATUS, CTRL_DT_CREATE, CTRL_UID_CREATE, CTRL_DT_LUPD, CTRL_UID_LUPD,CTRL_APPS_CODE)  VALUES('31','ACC_TYPE_CO',NULL,'OFFICER','JOB_DOI_CO','PROG','VIEW','EXIT',NULL,'A',NOW(), 'SYS',NOW(),'SYS','CKDO');</v>
      </c>
    </row>
    <row r="33" spans="1:16" x14ac:dyDescent="0.2">
      <c r="A33">
        <v>32</v>
      </c>
      <c r="B33" t="s">
        <v>43</v>
      </c>
      <c r="C33" t="s">
        <v>125</v>
      </c>
      <c r="D33" t="s">
        <v>9</v>
      </c>
      <c r="E33" t="s">
        <v>466</v>
      </c>
      <c r="F33" t="s">
        <v>595</v>
      </c>
      <c r="G33" t="s">
        <v>502</v>
      </c>
      <c r="H33" t="s">
        <v>533</v>
      </c>
      <c r="I33" t="s">
        <v>125</v>
      </c>
      <c r="J33" t="s">
        <v>7</v>
      </c>
      <c r="L33" s="35" t="s">
        <v>30</v>
      </c>
      <c r="M33" t="str">
        <f t="shared" si="3"/>
        <v>INSERT INTO T_CK_FORM_CONTROL (CTRL_ID, CTRL_ACCN_TYPE, CTRL_ACCN, CTRL_USR_ROLE, CTRL_ENTITY_TYPE, CTRL_ENTITY_STATE, CTRL_FORM_TYPE, CTRL_FORM_ACTION, CTRL_FORM_ACTION_MENU, CTRL_STATUS, CTRL_DT_CREATE, CTRL_UID_CREATE, CTRL_DT_LUPD, CTRL_UID_LUPD</v>
      </c>
      <c r="N33"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3" t="str">
        <f t="shared" si="2"/>
        <v xml:space="preserve"> VALUES('32','ACC_TYPE_CO',NULL,'OFFICER','JOB_DOI_CO','COM','VIEW','EXIT',NULL,'A',NOW(), 'SYS',NOW(),'SYS','CKDO');</v>
      </c>
      <c r="P33" t="str">
        <f t="shared" si="5"/>
        <v>INSERT INTO T_CK_FORM_CONTROL (CTRL_ID, CTRL_ACCN_TYPE, CTRL_ACCN, CTRL_USR_ROLE, CTRL_ENTITY_TYPE, CTRL_ENTITY_STATE, CTRL_FORM_TYPE, CTRL_FORM_ACTION, CTRL_FORM_ACTION_MENU, CTRL_STATUS, CTRL_DT_CREATE, CTRL_UID_CREATE, CTRL_DT_LUPD, CTRL_UID_LUPD,CTRL_APPS_CODE)  VALUES('32','ACC_TYPE_CO',NULL,'OFFICER','JOB_DOI_CO','COM','VIEW','EXIT',NULL,'A',NOW(), 'SYS',NOW(),'SYS','CKDO');</v>
      </c>
    </row>
    <row r="34" spans="1:16" x14ac:dyDescent="0.2">
      <c r="A34">
        <v>33</v>
      </c>
      <c r="B34" t="s">
        <v>43</v>
      </c>
      <c r="C34" t="s">
        <v>125</v>
      </c>
      <c r="D34" t="s">
        <v>9</v>
      </c>
      <c r="E34" t="s">
        <v>485</v>
      </c>
      <c r="F34" t="s">
        <v>100</v>
      </c>
      <c r="G34" t="s">
        <v>498</v>
      </c>
      <c r="H34" t="s">
        <v>550</v>
      </c>
      <c r="I34" t="s">
        <v>125</v>
      </c>
      <c r="J34" t="s">
        <v>7</v>
      </c>
      <c r="L34" s="35" t="s">
        <v>14</v>
      </c>
      <c r="M34" t="str">
        <f t="shared" si="3"/>
        <v>INSERT INTO T_CK_FORM_CONTROL (CTRL_ID, CTRL_ACCN_TYPE, CTRL_ACCN, CTRL_USR_ROLE, CTRL_ENTITY_TYPE, CTRL_ENTITY_STATE, CTRL_FORM_TYPE, CTRL_FORM_ACTION, CTRL_FORM_ACTION_MENU, CTRL_STATUS, CTRL_DT_CREATE, CTRL_UID_CREATE, CTRL_DT_LUPD, CTRL_UID_LUPD</v>
      </c>
      <c r="N34"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4" t="str">
        <f t="shared" si="2"/>
        <v xml:space="preserve"> VALUES('33','ACC_TYPE_CO',NULL,'OFFICER','JOB_TRUCK','NEW','EDIT','SAVE',NULL,'A',NOW(), 'SYS',NOW(),'SYS','CKT');</v>
      </c>
      <c r="P34" t="str">
        <f t="shared" si="5"/>
        <v>INSERT INTO T_CK_FORM_CONTROL (CTRL_ID, CTRL_ACCN_TYPE, CTRL_ACCN, CTRL_USR_ROLE, CTRL_ENTITY_TYPE, CTRL_ENTITY_STATE, CTRL_FORM_TYPE, CTRL_FORM_ACTION, CTRL_FORM_ACTION_MENU, CTRL_STATUS, CTRL_DT_CREATE, CTRL_UID_CREATE, CTRL_DT_LUPD, CTRL_UID_LUPD,CTRL_APPS_CODE)  VALUES('33','ACC_TYPE_CO',NULL,'OFFICER','JOB_TRUCK','NEW','EDIT','SAVE',NULL,'A',NOW(), 'SYS',NOW(),'SYS','CKT');</v>
      </c>
    </row>
    <row r="35" spans="1:16" x14ac:dyDescent="0.2">
      <c r="A35">
        <v>34</v>
      </c>
      <c r="B35" t="s">
        <v>43</v>
      </c>
      <c r="C35" t="s">
        <v>125</v>
      </c>
      <c r="D35" t="s">
        <v>9</v>
      </c>
      <c r="E35" t="s">
        <v>485</v>
      </c>
      <c r="F35" t="s">
        <v>100</v>
      </c>
      <c r="G35" t="s">
        <v>498</v>
      </c>
      <c r="H35" t="s">
        <v>527</v>
      </c>
      <c r="I35" t="s">
        <v>125</v>
      </c>
      <c r="J35" t="s">
        <v>7</v>
      </c>
      <c r="L35" s="35" t="s">
        <v>14</v>
      </c>
      <c r="M35" t="str">
        <f t="shared" si="3"/>
        <v>INSERT INTO T_CK_FORM_CONTROL (CTRL_ID, CTRL_ACCN_TYPE, CTRL_ACCN, CTRL_USR_ROLE, CTRL_ENTITY_TYPE, CTRL_ENTITY_STATE, CTRL_FORM_TYPE, CTRL_FORM_ACTION, CTRL_FORM_ACTION_MENU, CTRL_STATUS, CTRL_DT_CREATE, CTRL_UID_CREATE, CTRL_DT_LUPD, CTRL_UID_LUPD</v>
      </c>
      <c r="N35"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5" t="str">
        <f t="shared" si="2"/>
        <v xml:space="preserve"> VALUES('34','ACC_TYPE_CO',NULL,'OFFICER','JOB_TRUCK','NEW','EDIT','CLONE',NULL,'A',NOW(), 'SYS',NOW(),'SYS','CKT');</v>
      </c>
      <c r="P35" t="str">
        <f t="shared" si="5"/>
        <v>INSERT INTO T_CK_FORM_CONTROL (CTRL_ID, CTRL_ACCN_TYPE, CTRL_ACCN, CTRL_USR_ROLE, CTRL_ENTITY_TYPE, CTRL_ENTITY_STATE, CTRL_FORM_TYPE, CTRL_FORM_ACTION, CTRL_FORM_ACTION_MENU, CTRL_STATUS, CTRL_DT_CREATE, CTRL_UID_CREATE, CTRL_DT_LUPD, CTRL_UID_LUPD,CTRL_APPS_CODE)  VALUES('34','ACC_TYPE_CO',NULL,'OFFICER','JOB_TRUCK','NEW','EDIT','CLONE',NULL,'A',NOW(), 'SYS',NOW(),'SYS','CKT');</v>
      </c>
    </row>
    <row r="36" spans="1:16" x14ac:dyDescent="0.2">
      <c r="A36">
        <v>35</v>
      </c>
      <c r="B36" t="s">
        <v>43</v>
      </c>
      <c r="C36" t="s">
        <v>125</v>
      </c>
      <c r="D36" t="s">
        <v>9</v>
      </c>
      <c r="E36" t="s">
        <v>485</v>
      </c>
      <c r="F36" t="s">
        <v>100</v>
      </c>
      <c r="G36" t="s">
        <v>498</v>
      </c>
      <c r="H36" t="s">
        <v>531</v>
      </c>
      <c r="I36" t="s">
        <v>125</v>
      </c>
      <c r="J36" t="s">
        <v>7</v>
      </c>
      <c r="L36" s="35" t="s">
        <v>14</v>
      </c>
      <c r="M36" t="str">
        <f t="shared" si="3"/>
        <v>INSERT INTO T_CK_FORM_CONTROL (CTRL_ID, CTRL_ACCN_TYPE, CTRL_ACCN, CTRL_USR_ROLE, CTRL_ENTITY_TYPE, CTRL_ENTITY_STATE, CTRL_FORM_TYPE, CTRL_FORM_ACTION, CTRL_FORM_ACTION_MENU, CTRL_STATUS, CTRL_DT_CREATE, CTRL_UID_CREATE, CTRL_DT_LUPD, CTRL_UID_LUPD</v>
      </c>
      <c r="N36"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6" t="str">
        <f t="shared" si="2"/>
        <v xml:space="preserve"> VALUES('35','ACC_TYPE_CO',NULL,'OFFICER','JOB_TRUCK','NEW','EDIT','DELETE',NULL,'A',NOW(), 'SYS',NOW(),'SYS','CKT');</v>
      </c>
      <c r="P36" t="str">
        <f t="shared" si="5"/>
        <v>INSERT INTO T_CK_FORM_CONTROL (CTRL_ID, CTRL_ACCN_TYPE, CTRL_ACCN, CTRL_USR_ROLE, CTRL_ENTITY_TYPE, CTRL_ENTITY_STATE, CTRL_FORM_TYPE, CTRL_FORM_ACTION, CTRL_FORM_ACTION_MENU, CTRL_STATUS, CTRL_DT_CREATE, CTRL_UID_CREATE, CTRL_DT_LUPD, CTRL_UID_LUPD,CTRL_APPS_CODE)  VALUES('35','ACC_TYPE_CO',NULL,'OFFICER','JOB_TRUCK','NEW','EDIT','DELETE',NULL,'A',NOW(), 'SYS',NOW(),'SYS','CKT');</v>
      </c>
    </row>
    <row r="37" spans="1:16" x14ac:dyDescent="0.2">
      <c r="A37">
        <v>36</v>
      </c>
      <c r="B37" t="s">
        <v>43</v>
      </c>
      <c r="C37" t="s">
        <v>125</v>
      </c>
      <c r="D37" t="s">
        <v>9</v>
      </c>
      <c r="E37" t="s">
        <v>485</v>
      </c>
      <c r="F37" t="s">
        <v>100</v>
      </c>
      <c r="G37" t="s">
        <v>498</v>
      </c>
      <c r="H37" t="s">
        <v>556</v>
      </c>
      <c r="I37" t="s">
        <v>125</v>
      </c>
      <c r="J37" t="s">
        <v>7</v>
      </c>
      <c r="L37" s="35" t="s">
        <v>14</v>
      </c>
      <c r="M37" t="str">
        <f t="shared" si="3"/>
        <v>INSERT INTO T_CK_FORM_CONTROL (CTRL_ID, CTRL_ACCN_TYPE, CTRL_ACCN, CTRL_USR_ROLE, CTRL_ENTITY_TYPE, CTRL_ENTITY_STATE, CTRL_FORM_TYPE, CTRL_FORM_ACTION, CTRL_FORM_ACTION_MENU, CTRL_STATUS, CTRL_DT_CREATE, CTRL_UID_CREATE, CTRL_DT_LUPD, CTRL_UID_LUPD</v>
      </c>
      <c r="N37"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7" t="str">
        <f t="shared" si="2"/>
        <v xml:space="preserve"> VALUES('36','ACC_TYPE_CO',NULL,'OFFICER','JOB_TRUCK','NEW','EDIT','SUBMIT',NULL,'A',NOW(), 'SYS',NOW(),'SYS','CKT');</v>
      </c>
      <c r="P37" t="str">
        <f t="shared" si="5"/>
        <v>INSERT INTO T_CK_FORM_CONTROL (CTRL_ID, CTRL_ACCN_TYPE, CTRL_ACCN, CTRL_USR_ROLE, CTRL_ENTITY_TYPE, CTRL_ENTITY_STATE, CTRL_FORM_TYPE, CTRL_FORM_ACTION, CTRL_FORM_ACTION_MENU, CTRL_STATUS, CTRL_DT_CREATE, CTRL_UID_CREATE, CTRL_DT_LUPD, CTRL_UID_LUPD,CTRL_APPS_CODE)  VALUES('36','ACC_TYPE_CO',NULL,'OFFICER','JOB_TRUCK','NEW','EDIT','SUBMIT',NULL,'A',NOW(), 'SYS',NOW(),'SYS','CKT');</v>
      </c>
    </row>
    <row r="38" spans="1:16" x14ac:dyDescent="0.2">
      <c r="A38">
        <v>37</v>
      </c>
      <c r="B38" t="s">
        <v>57</v>
      </c>
      <c r="C38" t="s">
        <v>125</v>
      </c>
      <c r="D38" t="s">
        <v>9</v>
      </c>
      <c r="E38" t="s">
        <v>485</v>
      </c>
      <c r="F38" t="s">
        <v>100</v>
      </c>
      <c r="G38" t="s">
        <v>498</v>
      </c>
      <c r="H38" t="s">
        <v>550</v>
      </c>
      <c r="I38" t="s">
        <v>125</v>
      </c>
      <c r="J38" t="s">
        <v>7</v>
      </c>
      <c r="L38" s="35" t="s">
        <v>14</v>
      </c>
      <c r="M38" t="str">
        <f t="shared" si="3"/>
        <v>INSERT INTO T_CK_FORM_CONTROL (CTRL_ID, CTRL_ACCN_TYPE, CTRL_ACCN, CTRL_USR_ROLE, CTRL_ENTITY_TYPE, CTRL_ENTITY_STATE, CTRL_FORM_TYPE, CTRL_FORM_ACTION, CTRL_FORM_ACTION_MENU, CTRL_STATUS, CTRL_DT_CREATE, CTRL_UID_CREATE, CTRL_DT_LUPD, CTRL_UID_LUPD</v>
      </c>
      <c r="N38"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8" t="str">
        <f t="shared" si="2"/>
        <v xml:space="preserve"> VALUES('37','ACC_TYPE_FF',NULL,'OFFICER','JOB_TRUCK','NEW','EDIT','SAVE',NULL,'A',NOW(), 'SYS',NOW(),'SYS','CKT');</v>
      </c>
      <c r="P38" t="str">
        <f t="shared" si="5"/>
        <v>INSERT INTO T_CK_FORM_CONTROL (CTRL_ID, CTRL_ACCN_TYPE, CTRL_ACCN, CTRL_USR_ROLE, CTRL_ENTITY_TYPE, CTRL_ENTITY_STATE, CTRL_FORM_TYPE, CTRL_FORM_ACTION, CTRL_FORM_ACTION_MENU, CTRL_STATUS, CTRL_DT_CREATE, CTRL_UID_CREATE, CTRL_DT_LUPD, CTRL_UID_LUPD,CTRL_APPS_CODE)  VALUES('37','ACC_TYPE_FF',NULL,'OFFICER','JOB_TRUCK','NEW','EDIT','SAVE',NULL,'A',NOW(), 'SYS',NOW(),'SYS','CKT');</v>
      </c>
    </row>
    <row r="39" spans="1:16" x14ac:dyDescent="0.2">
      <c r="A39">
        <v>38</v>
      </c>
      <c r="B39" t="s">
        <v>57</v>
      </c>
      <c r="C39" t="s">
        <v>125</v>
      </c>
      <c r="D39" t="s">
        <v>9</v>
      </c>
      <c r="E39" t="s">
        <v>485</v>
      </c>
      <c r="F39" t="s">
        <v>100</v>
      </c>
      <c r="G39" t="s">
        <v>498</v>
      </c>
      <c r="H39" t="s">
        <v>527</v>
      </c>
      <c r="I39" t="s">
        <v>125</v>
      </c>
      <c r="J39" t="s">
        <v>7</v>
      </c>
      <c r="L39" s="35" t="s">
        <v>14</v>
      </c>
      <c r="M39" t="str">
        <f t="shared" si="3"/>
        <v>INSERT INTO T_CK_FORM_CONTROL (CTRL_ID, CTRL_ACCN_TYPE, CTRL_ACCN, CTRL_USR_ROLE, CTRL_ENTITY_TYPE, CTRL_ENTITY_STATE, CTRL_FORM_TYPE, CTRL_FORM_ACTION, CTRL_FORM_ACTION_MENU, CTRL_STATUS, CTRL_DT_CREATE, CTRL_UID_CREATE, CTRL_DT_LUPD, CTRL_UID_LUPD</v>
      </c>
      <c r="N39"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39" t="str">
        <f t="shared" si="2"/>
        <v xml:space="preserve"> VALUES('38','ACC_TYPE_FF',NULL,'OFFICER','JOB_TRUCK','NEW','EDIT','CLONE',NULL,'A',NOW(), 'SYS',NOW(),'SYS','CKT');</v>
      </c>
      <c r="P39" t="str">
        <f t="shared" si="5"/>
        <v>INSERT INTO T_CK_FORM_CONTROL (CTRL_ID, CTRL_ACCN_TYPE, CTRL_ACCN, CTRL_USR_ROLE, CTRL_ENTITY_TYPE, CTRL_ENTITY_STATE, CTRL_FORM_TYPE, CTRL_FORM_ACTION, CTRL_FORM_ACTION_MENU, CTRL_STATUS, CTRL_DT_CREATE, CTRL_UID_CREATE, CTRL_DT_LUPD, CTRL_UID_LUPD,CTRL_APPS_CODE)  VALUES('38','ACC_TYPE_FF',NULL,'OFFICER','JOB_TRUCK','NEW','EDIT','CLONE',NULL,'A',NOW(), 'SYS',NOW(),'SYS','CKT');</v>
      </c>
    </row>
    <row r="40" spans="1:16" x14ac:dyDescent="0.2">
      <c r="A40">
        <v>39</v>
      </c>
      <c r="B40" t="s">
        <v>57</v>
      </c>
      <c r="C40" t="s">
        <v>125</v>
      </c>
      <c r="D40" t="s">
        <v>9</v>
      </c>
      <c r="E40" t="s">
        <v>485</v>
      </c>
      <c r="F40" t="s">
        <v>100</v>
      </c>
      <c r="G40" t="s">
        <v>498</v>
      </c>
      <c r="H40" t="s">
        <v>556</v>
      </c>
      <c r="I40" t="s">
        <v>125</v>
      </c>
      <c r="J40" t="s">
        <v>7</v>
      </c>
      <c r="L40" s="35" t="s">
        <v>14</v>
      </c>
      <c r="M40" t="str">
        <f t="shared" si="3"/>
        <v>INSERT INTO T_CK_FORM_CONTROL (CTRL_ID, CTRL_ACCN_TYPE, CTRL_ACCN, CTRL_USR_ROLE, CTRL_ENTITY_TYPE, CTRL_ENTITY_STATE, CTRL_FORM_TYPE, CTRL_FORM_ACTION, CTRL_FORM_ACTION_MENU, CTRL_STATUS, CTRL_DT_CREATE, CTRL_UID_CREATE, CTRL_DT_LUPD, CTRL_UID_LUPD</v>
      </c>
      <c r="N40"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0" t="str">
        <f t="shared" si="2"/>
        <v xml:space="preserve"> VALUES('39','ACC_TYPE_FF',NULL,'OFFICER','JOB_TRUCK','NEW','EDIT','SUBMIT',NULL,'A',NOW(), 'SYS',NOW(),'SYS','CKT');</v>
      </c>
      <c r="P40" t="str">
        <f t="shared" si="5"/>
        <v>INSERT INTO T_CK_FORM_CONTROL (CTRL_ID, CTRL_ACCN_TYPE, CTRL_ACCN, CTRL_USR_ROLE, CTRL_ENTITY_TYPE, CTRL_ENTITY_STATE, CTRL_FORM_TYPE, CTRL_FORM_ACTION, CTRL_FORM_ACTION_MENU, CTRL_STATUS, CTRL_DT_CREATE, CTRL_UID_CREATE, CTRL_DT_LUPD, CTRL_UID_LUPD,CTRL_APPS_CODE)  VALUES('39','ACC_TYPE_FF',NULL,'OFFICER','JOB_TRUCK','NEW','EDIT','SUBMIT',NULL,'A',NOW(), 'SYS',NOW(),'SYS','CKT');</v>
      </c>
    </row>
    <row r="41" spans="1:16" x14ac:dyDescent="0.2">
      <c r="A41">
        <v>40</v>
      </c>
      <c r="B41" t="s">
        <v>43</v>
      </c>
      <c r="C41" t="s">
        <v>125</v>
      </c>
      <c r="D41" t="s">
        <v>9</v>
      </c>
      <c r="E41" t="s">
        <v>485</v>
      </c>
      <c r="F41" t="s">
        <v>100</v>
      </c>
      <c r="G41" t="s">
        <v>502</v>
      </c>
      <c r="H41" t="s">
        <v>527</v>
      </c>
      <c r="I41" t="s">
        <v>125</v>
      </c>
      <c r="J41" t="s">
        <v>7</v>
      </c>
      <c r="L41" s="35" t="s">
        <v>14</v>
      </c>
      <c r="M41" t="str">
        <f t="shared" si="3"/>
        <v>INSERT INTO T_CK_FORM_CONTROL (CTRL_ID, CTRL_ACCN_TYPE, CTRL_ACCN, CTRL_USR_ROLE, CTRL_ENTITY_TYPE, CTRL_ENTITY_STATE, CTRL_FORM_TYPE, CTRL_FORM_ACTION, CTRL_FORM_ACTION_MENU, CTRL_STATUS, CTRL_DT_CREATE, CTRL_UID_CREATE, CTRL_DT_LUPD, CTRL_UID_LUPD</v>
      </c>
      <c r="N41"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1" t="str">
        <f t="shared" si="2"/>
        <v xml:space="preserve"> VALUES('40','ACC_TYPE_CO',NULL,'OFFICER','JOB_TRUCK','NEW','VIEW','CLONE',NULL,'A',NOW(), 'SYS',NOW(),'SYS','CKT');</v>
      </c>
      <c r="P41" t="str">
        <f t="shared" si="5"/>
        <v>INSERT INTO T_CK_FORM_CONTROL (CTRL_ID, CTRL_ACCN_TYPE, CTRL_ACCN, CTRL_USR_ROLE, CTRL_ENTITY_TYPE, CTRL_ENTITY_STATE, CTRL_FORM_TYPE, CTRL_FORM_ACTION, CTRL_FORM_ACTION_MENU, CTRL_STATUS, CTRL_DT_CREATE, CTRL_UID_CREATE, CTRL_DT_LUPD, CTRL_UID_LUPD,CTRL_APPS_CODE)  VALUES('40','ACC_TYPE_CO',NULL,'OFFICER','JOB_TRUCK','NEW','VIEW','CLONE',NULL,'A',NOW(), 'SYS',NOW(),'SYS','CKT');</v>
      </c>
    </row>
    <row r="42" spans="1:16" x14ac:dyDescent="0.2">
      <c r="A42">
        <v>41</v>
      </c>
      <c r="B42" t="s">
        <v>43</v>
      </c>
      <c r="C42" t="s">
        <v>125</v>
      </c>
      <c r="D42" t="s">
        <v>9</v>
      </c>
      <c r="E42" t="s">
        <v>485</v>
      </c>
      <c r="F42" t="s">
        <v>100</v>
      </c>
      <c r="G42" t="s">
        <v>502</v>
      </c>
      <c r="H42" t="s">
        <v>533</v>
      </c>
      <c r="I42" t="s">
        <v>125</v>
      </c>
      <c r="J42" t="s">
        <v>7</v>
      </c>
      <c r="L42" s="35" t="s">
        <v>14</v>
      </c>
      <c r="M42" t="str">
        <f t="shared" si="3"/>
        <v>INSERT INTO T_CK_FORM_CONTROL (CTRL_ID, CTRL_ACCN_TYPE, CTRL_ACCN, CTRL_USR_ROLE, CTRL_ENTITY_TYPE, CTRL_ENTITY_STATE, CTRL_FORM_TYPE, CTRL_FORM_ACTION, CTRL_FORM_ACTION_MENU, CTRL_STATUS, CTRL_DT_CREATE, CTRL_UID_CREATE, CTRL_DT_LUPD, CTRL_UID_LUPD</v>
      </c>
      <c r="N42"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2" t="str">
        <f t="shared" si="2"/>
        <v xml:space="preserve"> VALUES('41','ACC_TYPE_CO',NULL,'OFFICER','JOB_TRUCK','NEW','VIEW','EXIT',NULL,'A',NOW(), 'SYS',NOW(),'SYS','CKT');</v>
      </c>
      <c r="P42" t="str">
        <f t="shared" si="5"/>
        <v>INSERT INTO T_CK_FORM_CONTROL (CTRL_ID, CTRL_ACCN_TYPE, CTRL_ACCN, CTRL_USR_ROLE, CTRL_ENTITY_TYPE, CTRL_ENTITY_STATE, CTRL_FORM_TYPE, CTRL_FORM_ACTION, CTRL_FORM_ACTION_MENU, CTRL_STATUS, CTRL_DT_CREATE, CTRL_UID_CREATE, CTRL_DT_LUPD, CTRL_UID_LUPD,CTRL_APPS_CODE)  VALUES('41','ACC_TYPE_CO',NULL,'OFFICER','JOB_TRUCK','NEW','VIEW','EXIT',NULL,'A',NOW(), 'SYS',NOW(),'SYS','CKT');</v>
      </c>
    </row>
    <row r="43" spans="1:16" x14ac:dyDescent="0.2">
      <c r="A43">
        <v>42</v>
      </c>
      <c r="B43" t="s">
        <v>57</v>
      </c>
      <c r="C43" t="s">
        <v>125</v>
      </c>
      <c r="D43" t="s">
        <v>9</v>
      </c>
      <c r="E43" t="s">
        <v>485</v>
      </c>
      <c r="F43" t="s">
        <v>100</v>
      </c>
      <c r="G43" t="s">
        <v>502</v>
      </c>
      <c r="H43" t="s">
        <v>527</v>
      </c>
      <c r="I43" t="s">
        <v>125</v>
      </c>
      <c r="J43" t="s">
        <v>7</v>
      </c>
      <c r="L43" s="35" t="s">
        <v>14</v>
      </c>
      <c r="M43" t="str">
        <f t="shared" si="3"/>
        <v>INSERT INTO T_CK_FORM_CONTROL (CTRL_ID, CTRL_ACCN_TYPE, CTRL_ACCN, CTRL_USR_ROLE, CTRL_ENTITY_TYPE, CTRL_ENTITY_STATE, CTRL_FORM_TYPE, CTRL_FORM_ACTION, CTRL_FORM_ACTION_MENU, CTRL_STATUS, CTRL_DT_CREATE, CTRL_UID_CREATE, CTRL_DT_LUPD, CTRL_UID_LUPD</v>
      </c>
      <c r="N43"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3" t="str">
        <f t="shared" si="2"/>
        <v xml:space="preserve"> VALUES('42','ACC_TYPE_FF',NULL,'OFFICER','JOB_TRUCK','NEW','VIEW','CLONE',NULL,'A',NOW(), 'SYS',NOW(),'SYS','CKT');</v>
      </c>
      <c r="P43" t="str">
        <f t="shared" si="5"/>
        <v>INSERT INTO T_CK_FORM_CONTROL (CTRL_ID, CTRL_ACCN_TYPE, CTRL_ACCN, CTRL_USR_ROLE, CTRL_ENTITY_TYPE, CTRL_ENTITY_STATE, CTRL_FORM_TYPE, CTRL_FORM_ACTION, CTRL_FORM_ACTION_MENU, CTRL_STATUS, CTRL_DT_CREATE, CTRL_UID_CREATE, CTRL_DT_LUPD, CTRL_UID_LUPD,CTRL_APPS_CODE)  VALUES('42','ACC_TYPE_FF',NULL,'OFFICER','JOB_TRUCK','NEW','VIEW','CLONE',NULL,'A',NOW(), 'SYS',NOW(),'SYS','CKT');</v>
      </c>
    </row>
    <row r="44" spans="1:16" x14ac:dyDescent="0.2">
      <c r="A44">
        <v>43</v>
      </c>
      <c r="B44" t="s">
        <v>57</v>
      </c>
      <c r="C44" t="s">
        <v>125</v>
      </c>
      <c r="D44" t="s">
        <v>9</v>
      </c>
      <c r="E44" t="s">
        <v>485</v>
      </c>
      <c r="F44" t="s">
        <v>100</v>
      </c>
      <c r="G44" t="s">
        <v>502</v>
      </c>
      <c r="H44" t="s">
        <v>533</v>
      </c>
      <c r="I44" t="s">
        <v>125</v>
      </c>
      <c r="J44" t="s">
        <v>7</v>
      </c>
      <c r="L44" s="35" t="s">
        <v>14</v>
      </c>
      <c r="M44" t="str">
        <f t="shared" si="3"/>
        <v>INSERT INTO T_CK_FORM_CONTROL (CTRL_ID, CTRL_ACCN_TYPE, CTRL_ACCN, CTRL_USR_ROLE, CTRL_ENTITY_TYPE, CTRL_ENTITY_STATE, CTRL_FORM_TYPE, CTRL_FORM_ACTION, CTRL_FORM_ACTION_MENU, CTRL_STATUS, CTRL_DT_CREATE, CTRL_UID_CREATE, CTRL_DT_LUPD, CTRL_UID_LUPD</v>
      </c>
      <c r="N44"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4" t="str">
        <f t="shared" si="2"/>
        <v xml:space="preserve"> VALUES('43','ACC_TYPE_FF',NULL,'OFFICER','JOB_TRUCK','NEW','VIEW','EXIT',NULL,'A',NOW(), 'SYS',NOW(),'SYS','CKT');</v>
      </c>
      <c r="P44" t="str">
        <f t="shared" si="5"/>
        <v>INSERT INTO T_CK_FORM_CONTROL (CTRL_ID, CTRL_ACCN_TYPE, CTRL_ACCN, CTRL_USR_ROLE, CTRL_ENTITY_TYPE, CTRL_ENTITY_STATE, CTRL_FORM_TYPE, CTRL_FORM_ACTION, CTRL_FORM_ACTION_MENU, CTRL_STATUS, CTRL_DT_CREATE, CTRL_UID_CREATE, CTRL_DT_LUPD, CTRL_UID_LUPD,CTRL_APPS_CODE)  VALUES('43','ACC_TYPE_FF',NULL,'OFFICER','JOB_TRUCK','NEW','VIEW','EXIT',NULL,'A',NOW(), 'SYS',NOW(),'SYS','CKT');</v>
      </c>
    </row>
    <row r="45" spans="1:16" x14ac:dyDescent="0.2">
      <c r="A45">
        <v>44</v>
      </c>
      <c r="B45" t="s">
        <v>57</v>
      </c>
      <c r="C45" t="s">
        <v>125</v>
      </c>
      <c r="D45" t="s">
        <v>9</v>
      </c>
      <c r="E45" t="s">
        <v>485</v>
      </c>
      <c r="F45" t="s">
        <v>101</v>
      </c>
      <c r="G45" t="s">
        <v>502</v>
      </c>
      <c r="H45" t="s">
        <v>527</v>
      </c>
      <c r="I45" t="s">
        <v>125</v>
      </c>
      <c r="J45" t="s">
        <v>7</v>
      </c>
      <c r="L45" s="35" t="s">
        <v>14</v>
      </c>
      <c r="M45" t="str">
        <f t="shared" si="3"/>
        <v>INSERT INTO T_CK_FORM_CONTROL (CTRL_ID, CTRL_ACCN_TYPE, CTRL_ACCN, CTRL_USR_ROLE, CTRL_ENTITY_TYPE, CTRL_ENTITY_STATE, CTRL_FORM_TYPE, CTRL_FORM_ACTION, CTRL_FORM_ACTION_MENU, CTRL_STATUS, CTRL_DT_CREATE, CTRL_UID_CREATE, CTRL_DT_LUPD, CTRL_UID_LUPD</v>
      </c>
      <c r="N45"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5" t="str">
        <f t="shared" si="2"/>
        <v xml:space="preserve"> VALUES('44','ACC_TYPE_FF',NULL,'OFFICER','JOB_TRUCK','SUB','VIEW','CLONE',NULL,'A',NOW(), 'SYS',NOW(),'SYS','CKT');</v>
      </c>
      <c r="P45" t="str">
        <f t="shared" si="5"/>
        <v>INSERT INTO T_CK_FORM_CONTROL (CTRL_ID, CTRL_ACCN_TYPE, CTRL_ACCN, CTRL_USR_ROLE, CTRL_ENTITY_TYPE, CTRL_ENTITY_STATE, CTRL_FORM_TYPE, CTRL_FORM_ACTION, CTRL_FORM_ACTION_MENU, CTRL_STATUS, CTRL_DT_CREATE, CTRL_UID_CREATE, CTRL_DT_LUPD, CTRL_UID_LUPD,CTRL_APPS_CODE)  VALUES('44','ACC_TYPE_FF',NULL,'OFFICER','JOB_TRUCK','SUB','VIEW','CLONE',NULL,'A',NOW(), 'SYS',NOW(),'SYS','CKT');</v>
      </c>
    </row>
    <row r="46" spans="1:16" x14ac:dyDescent="0.2">
      <c r="A46">
        <v>45</v>
      </c>
      <c r="B46" t="s">
        <v>57</v>
      </c>
      <c r="C46" t="s">
        <v>125</v>
      </c>
      <c r="D46" t="s">
        <v>9</v>
      </c>
      <c r="E46" t="s">
        <v>485</v>
      </c>
      <c r="F46" t="s">
        <v>101</v>
      </c>
      <c r="G46" t="s">
        <v>502</v>
      </c>
      <c r="H46" t="s">
        <v>566</v>
      </c>
      <c r="I46" t="s">
        <v>125</v>
      </c>
      <c r="J46" t="s">
        <v>7</v>
      </c>
      <c r="L46" s="35" t="s">
        <v>14</v>
      </c>
      <c r="M46" t="str">
        <f t="shared" si="3"/>
        <v>INSERT INTO T_CK_FORM_CONTROL (CTRL_ID, CTRL_ACCN_TYPE, CTRL_ACCN, CTRL_USR_ROLE, CTRL_ENTITY_TYPE, CTRL_ENTITY_STATE, CTRL_FORM_TYPE, CTRL_FORM_ACTION, CTRL_FORM_ACTION_MENU, CTRL_STATUS, CTRL_DT_CREATE, CTRL_UID_CREATE, CTRL_DT_LUPD, CTRL_UID_LUPD</v>
      </c>
      <c r="N46"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6" t="str">
        <f t="shared" si="2"/>
        <v xml:space="preserve"> VALUES('45','ACC_TYPE_FF',NULL,'OFFICER','JOB_TRUCK','SUB','VIEW','WITHDRAW',NULL,'A',NOW(), 'SYS',NOW(),'SYS','CKT');</v>
      </c>
      <c r="P46" t="str">
        <f t="shared" si="5"/>
        <v>INSERT INTO T_CK_FORM_CONTROL (CTRL_ID, CTRL_ACCN_TYPE, CTRL_ACCN, CTRL_USR_ROLE, CTRL_ENTITY_TYPE, CTRL_ENTITY_STATE, CTRL_FORM_TYPE, CTRL_FORM_ACTION, CTRL_FORM_ACTION_MENU, CTRL_STATUS, CTRL_DT_CREATE, CTRL_UID_CREATE, CTRL_DT_LUPD, CTRL_UID_LUPD,CTRL_APPS_CODE)  VALUES('45','ACC_TYPE_FF',NULL,'OFFICER','JOB_TRUCK','SUB','VIEW','WITHDRAW',NULL,'A',NOW(), 'SYS',NOW(),'SYS','CKT');</v>
      </c>
    </row>
    <row r="47" spans="1:16" x14ac:dyDescent="0.2">
      <c r="A47">
        <v>46</v>
      </c>
      <c r="B47" t="s">
        <v>57</v>
      </c>
      <c r="C47" t="s">
        <v>125</v>
      </c>
      <c r="D47" t="s">
        <v>9</v>
      </c>
      <c r="E47" t="s">
        <v>485</v>
      </c>
      <c r="F47" t="s">
        <v>101</v>
      </c>
      <c r="G47" t="s">
        <v>502</v>
      </c>
      <c r="H47" t="s">
        <v>533</v>
      </c>
      <c r="I47" t="s">
        <v>125</v>
      </c>
      <c r="J47" t="s">
        <v>7</v>
      </c>
      <c r="L47" s="35" t="s">
        <v>14</v>
      </c>
      <c r="M47" t="str">
        <f t="shared" si="3"/>
        <v>INSERT INTO T_CK_FORM_CONTROL (CTRL_ID, CTRL_ACCN_TYPE, CTRL_ACCN, CTRL_USR_ROLE, CTRL_ENTITY_TYPE, CTRL_ENTITY_STATE, CTRL_FORM_TYPE, CTRL_FORM_ACTION, CTRL_FORM_ACTION_MENU, CTRL_STATUS, CTRL_DT_CREATE, CTRL_UID_CREATE, CTRL_DT_LUPD, CTRL_UID_LUPD</v>
      </c>
      <c r="N47"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7" t="str">
        <f t="shared" si="2"/>
        <v xml:space="preserve"> VALUES('46','ACC_TYPE_FF',NULL,'OFFICER','JOB_TRUCK','SUB','VIEW','EXIT',NULL,'A',NOW(), 'SYS',NOW(),'SYS','CKT');</v>
      </c>
      <c r="P47" t="str">
        <f t="shared" si="5"/>
        <v>INSERT INTO T_CK_FORM_CONTROL (CTRL_ID, CTRL_ACCN_TYPE, CTRL_ACCN, CTRL_USR_ROLE, CTRL_ENTITY_TYPE, CTRL_ENTITY_STATE, CTRL_FORM_TYPE, CTRL_FORM_ACTION, CTRL_FORM_ACTION_MENU, CTRL_STATUS, CTRL_DT_CREATE, CTRL_UID_CREATE, CTRL_DT_LUPD, CTRL_UID_LUPD,CTRL_APPS_CODE)  VALUES('46','ACC_TYPE_FF',NULL,'OFFICER','JOB_TRUCK','SUB','VIEW','EXIT',NULL,'A',NOW(), 'SYS',NOW(),'SYS','CKT');</v>
      </c>
    </row>
    <row r="48" spans="1:16" x14ac:dyDescent="0.2">
      <c r="A48">
        <v>47</v>
      </c>
      <c r="B48" t="s">
        <v>43</v>
      </c>
      <c r="C48" t="s">
        <v>125</v>
      </c>
      <c r="D48" t="s">
        <v>9</v>
      </c>
      <c r="E48" t="s">
        <v>485</v>
      </c>
      <c r="F48" t="s">
        <v>101</v>
      </c>
      <c r="G48" t="s">
        <v>502</v>
      </c>
      <c r="H48" t="s">
        <v>527</v>
      </c>
      <c r="I48" t="s">
        <v>125</v>
      </c>
      <c r="J48" t="s">
        <v>7</v>
      </c>
      <c r="L48" s="35" t="s">
        <v>14</v>
      </c>
      <c r="M48" t="str">
        <f t="shared" si="3"/>
        <v>INSERT INTO T_CK_FORM_CONTROL (CTRL_ID, CTRL_ACCN_TYPE, CTRL_ACCN, CTRL_USR_ROLE, CTRL_ENTITY_TYPE, CTRL_ENTITY_STATE, CTRL_FORM_TYPE, CTRL_FORM_ACTION, CTRL_FORM_ACTION_MENU, CTRL_STATUS, CTRL_DT_CREATE, CTRL_UID_CREATE, CTRL_DT_LUPD, CTRL_UID_LUPD</v>
      </c>
      <c r="N48"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8" t="str">
        <f t="shared" si="2"/>
        <v xml:space="preserve"> VALUES('47','ACC_TYPE_CO',NULL,'OFFICER','JOB_TRUCK','SUB','VIEW','CLONE',NULL,'A',NOW(), 'SYS',NOW(),'SYS','CKT');</v>
      </c>
      <c r="P48" t="str">
        <f t="shared" si="5"/>
        <v>INSERT INTO T_CK_FORM_CONTROL (CTRL_ID, CTRL_ACCN_TYPE, CTRL_ACCN, CTRL_USR_ROLE, CTRL_ENTITY_TYPE, CTRL_ENTITY_STATE, CTRL_FORM_TYPE, CTRL_FORM_ACTION, CTRL_FORM_ACTION_MENU, CTRL_STATUS, CTRL_DT_CREATE, CTRL_UID_CREATE, CTRL_DT_LUPD, CTRL_UID_LUPD,CTRL_APPS_CODE)  VALUES('47','ACC_TYPE_CO',NULL,'OFFICER','JOB_TRUCK','SUB','VIEW','CLONE',NULL,'A',NOW(), 'SYS',NOW(),'SYS','CKT');</v>
      </c>
    </row>
    <row r="49" spans="1:16" x14ac:dyDescent="0.2">
      <c r="A49">
        <v>48</v>
      </c>
      <c r="B49" t="s">
        <v>43</v>
      </c>
      <c r="C49" t="s">
        <v>125</v>
      </c>
      <c r="D49" t="s">
        <v>9</v>
      </c>
      <c r="E49" t="s">
        <v>485</v>
      </c>
      <c r="F49" t="s">
        <v>101</v>
      </c>
      <c r="G49" t="s">
        <v>502</v>
      </c>
      <c r="H49" t="s">
        <v>566</v>
      </c>
      <c r="I49" t="s">
        <v>125</v>
      </c>
      <c r="J49" t="s">
        <v>7</v>
      </c>
      <c r="L49" s="35" t="s">
        <v>14</v>
      </c>
      <c r="M49" t="str">
        <f t="shared" si="3"/>
        <v>INSERT INTO T_CK_FORM_CONTROL (CTRL_ID, CTRL_ACCN_TYPE, CTRL_ACCN, CTRL_USR_ROLE, CTRL_ENTITY_TYPE, CTRL_ENTITY_STATE, CTRL_FORM_TYPE, CTRL_FORM_ACTION, CTRL_FORM_ACTION_MENU, CTRL_STATUS, CTRL_DT_CREATE, CTRL_UID_CREATE, CTRL_DT_LUPD, CTRL_UID_LUPD</v>
      </c>
      <c r="N49"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49" t="str">
        <f t="shared" si="2"/>
        <v xml:space="preserve"> VALUES('48','ACC_TYPE_CO',NULL,'OFFICER','JOB_TRUCK','SUB','VIEW','WITHDRAW',NULL,'A',NOW(), 'SYS',NOW(),'SYS','CKT');</v>
      </c>
      <c r="P49" t="str">
        <f t="shared" si="5"/>
        <v>INSERT INTO T_CK_FORM_CONTROL (CTRL_ID, CTRL_ACCN_TYPE, CTRL_ACCN, CTRL_USR_ROLE, CTRL_ENTITY_TYPE, CTRL_ENTITY_STATE, CTRL_FORM_TYPE, CTRL_FORM_ACTION, CTRL_FORM_ACTION_MENU, CTRL_STATUS, CTRL_DT_CREATE, CTRL_UID_CREATE, CTRL_DT_LUPD, CTRL_UID_LUPD,CTRL_APPS_CODE)  VALUES('48','ACC_TYPE_CO',NULL,'OFFICER','JOB_TRUCK','SUB','VIEW','WITHDRAW',NULL,'A',NOW(), 'SYS',NOW(),'SYS','CKT');</v>
      </c>
    </row>
    <row r="50" spans="1:16" x14ac:dyDescent="0.2">
      <c r="A50">
        <v>49</v>
      </c>
      <c r="B50" t="s">
        <v>43</v>
      </c>
      <c r="C50" t="s">
        <v>125</v>
      </c>
      <c r="D50" t="s">
        <v>9</v>
      </c>
      <c r="E50" t="s">
        <v>485</v>
      </c>
      <c r="F50" t="s">
        <v>101</v>
      </c>
      <c r="G50" t="s">
        <v>502</v>
      </c>
      <c r="H50" t="s">
        <v>533</v>
      </c>
      <c r="I50" t="s">
        <v>125</v>
      </c>
      <c r="J50" t="s">
        <v>7</v>
      </c>
      <c r="L50" s="35" t="s">
        <v>14</v>
      </c>
      <c r="M50" t="str">
        <f t="shared" si="3"/>
        <v>INSERT INTO T_CK_FORM_CONTROL (CTRL_ID, CTRL_ACCN_TYPE, CTRL_ACCN, CTRL_USR_ROLE, CTRL_ENTITY_TYPE, CTRL_ENTITY_STATE, CTRL_FORM_TYPE, CTRL_FORM_ACTION, CTRL_FORM_ACTION_MENU, CTRL_STATUS, CTRL_DT_CREATE, CTRL_UID_CREATE, CTRL_DT_LUPD, CTRL_UID_LUPD</v>
      </c>
      <c r="N50"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0" t="str">
        <f t="shared" si="2"/>
        <v xml:space="preserve"> VALUES('49','ACC_TYPE_CO',NULL,'OFFICER','JOB_TRUCK','SUB','VIEW','EXIT',NULL,'A',NOW(), 'SYS',NOW(),'SYS','CKT');</v>
      </c>
      <c r="P50" t="str">
        <f t="shared" si="5"/>
        <v>INSERT INTO T_CK_FORM_CONTROL (CTRL_ID, CTRL_ACCN_TYPE, CTRL_ACCN, CTRL_USR_ROLE, CTRL_ENTITY_TYPE, CTRL_ENTITY_STATE, CTRL_FORM_TYPE, CTRL_FORM_ACTION, CTRL_FORM_ACTION_MENU, CTRL_STATUS, CTRL_DT_CREATE, CTRL_UID_CREATE, CTRL_DT_LUPD, CTRL_UID_LUPD,CTRL_APPS_CODE)  VALUES('49','ACC_TYPE_CO',NULL,'OFFICER','JOB_TRUCK','SUB','VIEW','EXIT',NULL,'A',NOW(), 'SYS',NOW(),'SYS','CKT');</v>
      </c>
    </row>
    <row r="51" spans="1:16" x14ac:dyDescent="0.2">
      <c r="A51">
        <v>50</v>
      </c>
      <c r="B51" t="s">
        <v>598</v>
      </c>
      <c r="C51" t="s">
        <v>125</v>
      </c>
      <c r="D51" t="s">
        <v>9</v>
      </c>
      <c r="E51" t="s">
        <v>485</v>
      </c>
      <c r="F51" t="s">
        <v>101</v>
      </c>
      <c r="G51" t="s">
        <v>502</v>
      </c>
      <c r="H51" t="s">
        <v>510</v>
      </c>
      <c r="I51" t="s">
        <v>125</v>
      </c>
      <c r="J51" t="s">
        <v>7</v>
      </c>
      <c r="L51" s="35" t="s">
        <v>14</v>
      </c>
      <c r="M51" t="str">
        <f t="shared" si="3"/>
        <v>INSERT INTO T_CK_FORM_CONTROL (CTRL_ID, CTRL_ACCN_TYPE, CTRL_ACCN, CTRL_USR_ROLE, CTRL_ENTITY_TYPE, CTRL_ENTITY_STATE, CTRL_FORM_TYPE, CTRL_FORM_ACTION, CTRL_FORM_ACTION_MENU, CTRL_STATUS, CTRL_DT_CREATE, CTRL_UID_CREATE, CTRL_DT_LUPD, CTRL_UID_LUPD</v>
      </c>
      <c r="N51"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1" t="str">
        <f t="shared" si="2"/>
        <v xml:space="preserve"> VALUES('50','ACC_TYPE_TO',NULL,'OFFICER','JOB_TRUCK','SUB','VIEW','ACCEPT',NULL,'A',NOW(), 'SYS',NOW(),'SYS','CKT');</v>
      </c>
      <c r="P51" t="str">
        <f t="shared" si="5"/>
        <v>INSERT INTO T_CK_FORM_CONTROL (CTRL_ID, CTRL_ACCN_TYPE, CTRL_ACCN, CTRL_USR_ROLE, CTRL_ENTITY_TYPE, CTRL_ENTITY_STATE, CTRL_FORM_TYPE, CTRL_FORM_ACTION, CTRL_FORM_ACTION_MENU, CTRL_STATUS, CTRL_DT_CREATE, CTRL_UID_CREATE, CTRL_DT_LUPD, CTRL_UID_LUPD,CTRL_APPS_CODE)  VALUES('50','ACC_TYPE_TO',NULL,'OFFICER','JOB_TRUCK','SUB','VIEW','ACCEPT',NULL,'A',NOW(), 'SYS',NOW(),'SYS','CKT');</v>
      </c>
    </row>
    <row r="52" spans="1:16" x14ac:dyDescent="0.2">
      <c r="A52">
        <v>51</v>
      </c>
      <c r="B52" t="s">
        <v>598</v>
      </c>
      <c r="C52" t="s">
        <v>125</v>
      </c>
      <c r="D52" t="s">
        <v>9</v>
      </c>
      <c r="E52" t="s">
        <v>485</v>
      </c>
      <c r="F52" t="s">
        <v>101</v>
      </c>
      <c r="G52" t="s">
        <v>502</v>
      </c>
      <c r="H52" t="s">
        <v>542</v>
      </c>
      <c r="I52" t="s">
        <v>125</v>
      </c>
      <c r="J52" t="s">
        <v>7</v>
      </c>
      <c r="L52" s="35" t="s">
        <v>14</v>
      </c>
      <c r="M52" t="str">
        <f t="shared" si="3"/>
        <v>INSERT INTO T_CK_FORM_CONTROL (CTRL_ID, CTRL_ACCN_TYPE, CTRL_ACCN, CTRL_USR_ROLE, CTRL_ENTITY_TYPE, CTRL_ENTITY_STATE, CTRL_FORM_TYPE, CTRL_FORM_ACTION, CTRL_FORM_ACTION_MENU, CTRL_STATUS, CTRL_DT_CREATE, CTRL_UID_CREATE, CTRL_DT_LUPD, CTRL_UID_LUPD</v>
      </c>
      <c r="N52"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2" t="str">
        <f t="shared" si="2"/>
        <v xml:space="preserve"> VALUES('51','ACC_TYPE_TO',NULL,'OFFICER','JOB_TRUCK','SUB','VIEW','REJECT',NULL,'A',NOW(), 'SYS',NOW(),'SYS','CKT');</v>
      </c>
      <c r="P52" t="str">
        <f t="shared" si="5"/>
        <v>INSERT INTO T_CK_FORM_CONTROL (CTRL_ID, CTRL_ACCN_TYPE, CTRL_ACCN, CTRL_USR_ROLE, CTRL_ENTITY_TYPE, CTRL_ENTITY_STATE, CTRL_FORM_TYPE, CTRL_FORM_ACTION, CTRL_FORM_ACTION_MENU, CTRL_STATUS, CTRL_DT_CREATE, CTRL_UID_CREATE, CTRL_DT_LUPD, CTRL_UID_LUPD,CTRL_APPS_CODE)  VALUES('51','ACC_TYPE_TO',NULL,'OFFICER','JOB_TRUCK','SUB','VIEW','REJECT',NULL,'A',NOW(), 'SYS',NOW(),'SYS','CKT');</v>
      </c>
    </row>
    <row r="53" spans="1:16" x14ac:dyDescent="0.2">
      <c r="A53">
        <v>52</v>
      </c>
      <c r="B53" t="s">
        <v>43</v>
      </c>
      <c r="C53" t="s">
        <v>125</v>
      </c>
      <c r="D53" t="s">
        <v>9</v>
      </c>
      <c r="E53" t="s">
        <v>485</v>
      </c>
      <c r="F53" t="s">
        <v>599</v>
      </c>
      <c r="G53" t="s">
        <v>502</v>
      </c>
      <c r="H53" t="s">
        <v>527</v>
      </c>
      <c r="I53" t="s">
        <v>125</v>
      </c>
      <c r="J53" t="s">
        <v>7</v>
      </c>
      <c r="L53" s="35" t="s">
        <v>14</v>
      </c>
      <c r="M53" t="str">
        <f t="shared" si="3"/>
        <v>INSERT INTO T_CK_FORM_CONTROL (CTRL_ID, CTRL_ACCN_TYPE, CTRL_ACCN, CTRL_USR_ROLE, CTRL_ENTITY_TYPE, CTRL_ENTITY_STATE, CTRL_FORM_TYPE, CTRL_FORM_ACTION, CTRL_FORM_ACTION_MENU, CTRL_STATUS, CTRL_DT_CREATE, CTRL_UID_CREATE, CTRL_DT_LUPD, CTRL_UID_LUPD</v>
      </c>
      <c r="N53"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3" t="str">
        <f t="shared" si="2"/>
        <v xml:space="preserve"> VALUES('52','ACC_TYPE_CO',NULL,'OFFICER','JOB_TRUCK','ACP','VIEW','CLONE',NULL,'A',NOW(), 'SYS',NOW(),'SYS','CKT');</v>
      </c>
      <c r="P53" t="str">
        <f t="shared" si="5"/>
        <v>INSERT INTO T_CK_FORM_CONTROL (CTRL_ID, CTRL_ACCN_TYPE, CTRL_ACCN, CTRL_USR_ROLE, CTRL_ENTITY_TYPE, CTRL_ENTITY_STATE, CTRL_FORM_TYPE, CTRL_FORM_ACTION, CTRL_FORM_ACTION_MENU, CTRL_STATUS, CTRL_DT_CREATE, CTRL_UID_CREATE, CTRL_DT_LUPD, CTRL_UID_LUPD,CTRL_APPS_CODE)  VALUES('52','ACC_TYPE_CO',NULL,'OFFICER','JOB_TRUCK','ACP','VIEW','CLONE',NULL,'A',NOW(), 'SYS',NOW(),'SYS','CKT');</v>
      </c>
    </row>
    <row r="54" spans="1:16" x14ac:dyDescent="0.2">
      <c r="A54">
        <v>53</v>
      </c>
      <c r="B54" t="s">
        <v>57</v>
      </c>
      <c r="C54" t="s">
        <v>125</v>
      </c>
      <c r="D54" t="s">
        <v>9</v>
      </c>
      <c r="E54" t="s">
        <v>485</v>
      </c>
      <c r="F54" t="s">
        <v>599</v>
      </c>
      <c r="G54" t="s">
        <v>502</v>
      </c>
      <c r="H54" t="s">
        <v>527</v>
      </c>
      <c r="I54" t="s">
        <v>125</v>
      </c>
      <c r="J54" t="s">
        <v>7</v>
      </c>
      <c r="L54" s="35" t="s">
        <v>14</v>
      </c>
      <c r="M54" t="str">
        <f t="shared" si="3"/>
        <v>INSERT INTO T_CK_FORM_CONTROL (CTRL_ID, CTRL_ACCN_TYPE, CTRL_ACCN, CTRL_USR_ROLE, CTRL_ENTITY_TYPE, CTRL_ENTITY_STATE, CTRL_FORM_TYPE, CTRL_FORM_ACTION, CTRL_FORM_ACTION_MENU, CTRL_STATUS, CTRL_DT_CREATE, CTRL_UID_CREATE, CTRL_DT_LUPD, CTRL_UID_LUPD</v>
      </c>
      <c r="N54"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4" t="str">
        <f t="shared" si="2"/>
        <v xml:space="preserve"> VALUES('53','ACC_TYPE_FF',NULL,'OFFICER','JOB_TRUCK','ACP','VIEW','CLONE',NULL,'A',NOW(), 'SYS',NOW(),'SYS','CKT');</v>
      </c>
      <c r="P54" t="str">
        <f t="shared" si="5"/>
        <v>INSERT INTO T_CK_FORM_CONTROL (CTRL_ID, CTRL_ACCN_TYPE, CTRL_ACCN, CTRL_USR_ROLE, CTRL_ENTITY_TYPE, CTRL_ENTITY_STATE, CTRL_FORM_TYPE, CTRL_FORM_ACTION, CTRL_FORM_ACTION_MENU, CTRL_STATUS, CTRL_DT_CREATE, CTRL_UID_CREATE, CTRL_DT_LUPD, CTRL_UID_LUPD,CTRL_APPS_CODE)  VALUES('53','ACC_TYPE_FF',NULL,'OFFICER','JOB_TRUCK','ACP','VIEW','CLONE',NULL,'A',NOW(), 'SYS',NOW(),'SYS','CKT');</v>
      </c>
    </row>
    <row r="55" spans="1:16" x14ac:dyDescent="0.2">
      <c r="A55">
        <v>54</v>
      </c>
      <c r="B55" t="s">
        <v>598</v>
      </c>
      <c r="C55" t="s">
        <v>125</v>
      </c>
      <c r="D55" t="s">
        <v>9</v>
      </c>
      <c r="E55" t="s">
        <v>485</v>
      </c>
      <c r="F55" t="s">
        <v>599</v>
      </c>
      <c r="G55" t="s">
        <v>502</v>
      </c>
      <c r="H55" t="s">
        <v>550</v>
      </c>
      <c r="I55" t="s">
        <v>125</v>
      </c>
      <c r="J55" t="s">
        <v>7</v>
      </c>
      <c r="L55" s="35" t="s">
        <v>14</v>
      </c>
      <c r="M55" t="str">
        <f t="shared" si="3"/>
        <v>INSERT INTO T_CK_FORM_CONTROL (CTRL_ID, CTRL_ACCN_TYPE, CTRL_ACCN, CTRL_USR_ROLE, CTRL_ENTITY_TYPE, CTRL_ENTITY_STATE, CTRL_FORM_TYPE, CTRL_FORM_ACTION, CTRL_FORM_ACTION_MENU, CTRL_STATUS, CTRL_DT_CREATE, CTRL_UID_CREATE, CTRL_DT_LUPD, CTRL_UID_LUPD</v>
      </c>
      <c r="N55"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5" t="str">
        <f t="shared" si="2"/>
        <v xml:space="preserve"> VALUES('54','ACC_TYPE_TO',NULL,'OFFICER','JOB_TRUCK','ACP','VIEW','SAVE',NULL,'A',NOW(), 'SYS',NOW(),'SYS','CKT');</v>
      </c>
      <c r="P55" t="str">
        <f t="shared" si="5"/>
        <v>INSERT INTO T_CK_FORM_CONTROL (CTRL_ID, CTRL_ACCN_TYPE, CTRL_ACCN, CTRL_USR_ROLE, CTRL_ENTITY_TYPE, CTRL_ENTITY_STATE, CTRL_FORM_TYPE, CTRL_FORM_ACTION, CTRL_FORM_ACTION_MENU, CTRL_STATUS, CTRL_DT_CREATE, CTRL_UID_CREATE, CTRL_DT_LUPD, CTRL_UID_LUPD,CTRL_APPS_CODE)  VALUES('54','ACC_TYPE_TO',NULL,'OFFICER','JOB_TRUCK','ACP','VIEW','SAVE',NULL,'A',NOW(), 'SYS',NOW(),'SYS','CKT');</v>
      </c>
    </row>
    <row r="56" spans="1:16" x14ac:dyDescent="0.2">
      <c r="A56">
        <v>55</v>
      </c>
      <c r="B56" t="s">
        <v>598</v>
      </c>
      <c r="C56" t="s">
        <v>125</v>
      </c>
      <c r="D56" t="s">
        <v>9</v>
      </c>
      <c r="E56" t="s">
        <v>485</v>
      </c>
      <c r="F56" t="s">
        <v>599</v>
      </c>
      <c r="G56" t="s">
        <v>502</v>
      </c>
      <c r="H56" t="s">
        <v>521</v>
      </c>
      <c r="I56" t="s">
        <v>125</v>
      </c>
      <c r="J56" t="s">
        <v>7</v>
      </c>
      <c r="L56" s="35" t="s">
        <v>14</v>
      </c>
      <c r="M56" t="str">
        <f t="shared" si="3"/>
        <v>INSERT INTO T_CK_FORM_CONTROL (CTRL_ID, CTRL_ACCN_TYPE, CTRL_ACCN, CTRL_USR_ROLE, CTRL_ENTITY_TYPE, CTRL_ENTITY_STATE, CTRL_FORM_TYPE, CTRL_FORM_ACTION, CTRL_FORM_ACTION_MENU, CTRL_STATUS, CTRL_DT_CREATE, CTRL_UID_CREATE, CTRL_DT_LUPD, CTRL_UID_LUPD</v>
      </c>
      <c r="N56"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6" t="str">
        <f t="shared" si="2"/>
        <v xml:space="preserve"> VALUES('55','ACC_TYPE_TO',NULL,'OFFICER','JOB_TRUCK','ACP','VIEW','ASSIGN',NULL,'A',NOW(), 'SYS',NOW(),'SYS','CKT');</v>
      </c>
      <c r="P56" t="str">
        <f t="shared" si="5"/>
        <v>INSERT INTO T_CK_FORM_CONTROL (CTRL_ID, CTRL_ACCN_TYPE, CTRL_ACCN, CTRL_USR_ROLE, CTRL_ENTITY_TYPE, CTRL_ENTITY_STATE, CTRL_FORM_TYPE, CTRL_FORM_ACTION, CTRL_FORM_ACTION_MENU, CTRL_STATUS, CTRL_DT_CREATE, CTRL_UID_CREATE, CTRL_DT_LUPD, CTRL_UID_LUPD,CTRL_APPS_CODE)  VALUES('55','ACC_TYPE_TO',NULL,'OFFICER','JOB_TRUCK','ACP','VIEW','ASSIGN',NULL,'A',NOW(), 'SYS',NOW(),'SYS','CKT');</v>
      </c>
    </row>
    <row r="57" spans="1:16" x14ac:dyDescent="0.2">
      <c r="A57">
        <v>56</v>
      </c>
      <c r="B57" t="s">
        <v>598</v>
      </c>
      <c r="C57" t="s">
        <v>125</v>
      </c>
      <c r="D57" t="s">
        <v>9</v>
      </c>
      <c r="E57" t="s">
        <v>485</v>
      </c>
      <c r="F57" t="s">
        <v>599</v>
      </c>
      <c r="G57" t="s">
        <v>502</v>
      </c>
      <c r="H57" t="s">
        <v>542</v>
      </c>
      <c r="I57" t="s">
        <v>125</v>
      </c>
      <c r="J57" t="s">
        <v>7</v>
      </c>
      <c r="L57" s="35" t="s">
        <v>14</v>
      </c>
      <c r="M57" t="str">
        <f t="shared" si="3"/>
        <v>INSERT INTO T_CK_FORM_CONTROL (CTRL_ID, CTRL_ACCN_TYPE, CTRL_ACCN, CTRL_USR_ROLE, CTRL_ENTITY_TYPE, CTRL_ENTITY_STATE, CTRL_FORM_TYPE, CTRL_FORM_ACTION, CTRL_FORM_ACTION_MENU, CTRL_STATUS, CTRL_DT_CREATE, CTRL_UID_CREATE, CTRL_DT_LUPD, CTRL_UID_LUPD</v>
      </c>
      <c r="N57"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7" t="str">
        <f t="shared" si="2"/>
        <v xml:space="preserve"> VALUES('56','ACC_TYPE_TO',NULL,'OFFICER','JOB_TRUCK','ACP','VIEW','REJECT',NULL,'A',NOW(), 'SYS',NOW(),'SYS','CKT');</v>
      </c>
      <c r="P57" t="str">
        <f t="shared" si="5"/>
        <v>INSERT INTO T_CK_FORM_CONTROL (CTRL_ID, CTRL_ACCN_TYPE, CTRL_ACCN, CTRL_USR_ROLE, CTRL_ENTITY_TYPE, CTRL_ENTITY_STATE, CTRL_FORM_TYPE, CTRL_FORM_ACTION, CTRL_FORM_ACTION_MENU, CTRL_STATUS, CTRL_DT_CREATE, CTRL_UID_CREATE, CTRL_DT_LUPD, CTRL_UID_LUPD,CTRL_APPS_CODE)  VALUES('56','ACC_TYPE_TO',NULL,'OFFICER','JOB_TRUCK','ACP','VIEW','REJECT',NULL,'A',NOW(), 'SYS',NOW(),'SYS','CKT');</v>
      </c>
    </row>
    <row r="58" spans="1:16" x14ac:dyDescent="0.2">
      <c r="A58">
        <v>57</v>
      </c>
      <c r="B58" t="s">
        <v>598</v>
      </c>
      <c r="C58" t="s">
        <v>125</v>
      </c>
      <c r="D58" t="s">
        <v>9</v>
      </c>
      <c r="E58" t="s">
        <v>485</v>
      </c>
      <c r="F58" t="s">
        <v>599</v>
      </c>
      <c r="G58" t="s">
        <v>502</v>
      </c>
      <c r="H58" t="s">
        <v>533</v>
      </c>
      <c r="I58" t="s">
        <v>125</v>
      </c>
      <c r="J58" t="s">
        <v>7</v>
      </c>
      <c r="L58" s="35" t="s">
        <v>14</v>
      </c>
      <c r="M58" t="str">
        <f t="shared" si="3"/>
        <v>INSERT INTO T_CK_FORM_CONTROL (CTRL_ID, CTRL_ACCN_TYPE, CTRL_ACCN, CTRL_USR_ROLE, CTRL_ENTITY_TYPE, CTRL_ENTITY_STATE, CTRL_FORM_TYPE, CTRL_FORM_ACTION, CTRL_FORM_ACTION_MENU, CTRL_STATUS, CTRL_DT_CREATE, CTRL_UID_CREATE, CTRL_DT_LUPD, CTRL_UID_LUPD</v>
      </c>
      <c r="N58"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8" t="str">
        <f t="shared" si="2"/>
        <v xml:space="preserve"> VALUES('57','ACC_TYPE_TO',NULL,'OFFICER','JOB_TRUCK','ACP','VIEW','EXIT',NULL,'A',NOW(), 'SYS',NOW(),'SYS','CKT');</v>
      </c>
      <c r="P58" t="str">
        <f t="shared" si="5"/>
        <v>INSERT INTO T_CK_FORM_CONTROL (CTRL_ID, CTRL_ACCN_TYPE, CTRL_ACCN, CTRL_USR_ROLE, CTRL_ENTITY_TYPE, CTRL_ENTITY_STATE, CTRL_FORM_TYPE, CTRL_FORM_ACTION, CTRL_FORM_ACTION_MENU, CTRL_STATUS, CTRL_DT_CREATE, CTRL_UID_CREATE, CTRL_DT_LUPD, CTRL_UID_LUPD,CTRL_APPS_CODE)  VALUES('57','ACC_TYPE_TO',NULL,'OFFICER','JOB_TRUCK','ACP','VIEW','EXIT',NULL,'A',NOW(), 'SYS',NOW(),'SYS','CKT');</v>
      </c>
    </row>
    <row r="59" spans="1:16" x14ac:dyDescent="0.2">
      <c r="A59">
        <v>58</v>
      </c>
      <c r="B59" t="s">
        <v>43</v>
      </c>
      <c r="C59" t="s">
        <v>125</v>
      </c>
      <c r="D59" t="s">
        <v>9</v>
      </c>
      <c r="E59" t="s">
        <v>485</v>
      </c>
      <c r="F59" t="s">
        <v>600</v>
      </c>
      <c r="G59" t="s">
        <v>502</v>
      </c>
      <c r="H59" t="s">
        <v>527</v>
      </c>
      <c r="I59" t="s">
        <v>125</v>
      </c>
      <c r="J59" t="s">
        <v>7</v>
      </c>
      <c r="L59" s="35" t="s">
        <v>14</v>
      </c>
      <c r="M59" t="str">
        <f t="shared" si="3"/>
        <v>INSERT INTO T_CK_FORM_CONTROL (CTRL_ID, CTRL_ACCN_TYPE, CTRL_ACCN, CTRL_USR_ROLE, CTRL_ENTITY_TYPE, CTRL_ENTITY_STATE, CTRL_FORM_TYPE, CTRL_FORM_ACTION, CTRL_FORM_ACTION_MENU, CTRL_STATUS, CTRL_DT_CREATE, CTRL_UID_CREATE, CTRL_DT_LUPD, CTRL_UID_LUPD</v>
      </c>
      <c r="N59"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59" t="str">
        <f t="shared" si="2"/>
        <v xml:space="preserve"> VALUES('58','ACC_TYPE_CO',NULL,'OFFICER','JOB_TRUCK','ASG','VIEW','CLONE',NULL,'A',NOW(), 'SYS',NOW(),'SYS','CKT');</v>
      </c>
      <c r="P59" t="str">
        <f t="shared" si="5"/>
        <v>INSERT INTO T_CK_FORM_CONTROL (CTRL_ID, CTRL_ACCN_TYPE, CTRL_ACCN, CTRL_USR_ROLE, CTRL_ENTITY_TYPE, CTRL_ENTITY_STATE, CTRL_FORM_TYPE, CTRL_FORM_ACTION, CTRL_FORM_ACTION_MENU, CTRL_STATUS, CTRL_DT_CREATE, CTRL_UID_CREATE, CTRL_DT_LUPD, CTRL_UID_LUPD,CTRL_APPS_CODE)  VALUES('58','ACC_TYPE_CO',NULL,'OFFICER','JOB_TRUCK','ASG','VIEW','CLONE',NULL,'A',NOW(), 'SYS',NOW(),'SYS','CKT');</v>
      </c>
    </row>
    <row r="60" spans="1:16" x14ac:dyDescent="0.2">
      <c r="A60">
        <v>59</v>
      </c>
      <c r="B60" t="s">
        <v>57</v>
      </c>
      <c r="C60" t="s">
        <v>125</v>
      </c>
      <c r="D60" t="s">
        <v>9</v>
      </c>
      <c r="E60" t="s">
        <v>485</v>
      </c>
      <c r="F60" t="s">
        <v>600</v>
      </c>
      <c r="G60" t="s">
        <v>502</v>
      </c>
      <c r="H60" t="s">
        <v>527</v>
      </c>
      <c r="I60" t="s">
        <v>125</v>
      </c>
      <c r="J60" t="s">
        <v>7</v>
      </c>
      <c r="L60" s="35" t="s">
        <v>14</v>
      </c>
      <c r="M60" t="str">
        <f t="shared" si="3"/>
        <v>INSERT INTO T_CK_FORM_CONTROL (CTRL_ID, CTRL_ACCN_TYPE, CTRL_ACCN, CTRL_USR_ROLE, CTRL_ENTITY_TYPE, CTRL_ENTITY_STATE, CTRL_FORM_TYPE, CTRL_FORM_ACTION, CTRL_FORM_ACTION_MENU, CTRL_STATUS, CTRL_DT_CREATE, CTRL_UID_CREATE, CTRL_DT_LUPD, CTRL_UID_LUPD</v>
      </c>
      <c r="N60"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0" t="str">
        <f t="shared" si="2"/>
        <v xml:space="preserve"> VALUES('59','ACC_TYPE_FF',NULL,'OFFICER','JOB_TRUCK','ASG','VIEW','CLONE',NULL,'A',NOW(), 'SYS',NOW(),'SYS','CKT');</v>
      </c>
      <c r="P60" t="str">
        <f t="shared" si="5"/>
        <v>INSERT INTO T_CK_FORM_CONTROL (CTRL_ID, CTRL_ACCN_TYPE, CTRL_ACCN, CTRL_USR_ROLE, CTRL_ENTITY_TYPE, CTRL_ENTITY_STATE, CTRL_FORM_TYPE, CTRL_FORM_ACTION, CTRL_FORM_ACTION_MENU, CTRL_STATUS, CTRL_DT_CREATE, CTRL_UID_CREATE, CTRL_DT_LUPD, CTRL_UID_LUPD,CTRL_APPS_CODE)  VALUES('59','ACC_TYPE_FF',NULL,'OFFICER','JOB_TRUCK','ASG','VIEW','CLONE',NULL,'A',NOW(), 'SYS',NOW(),'SYS','CKT');</v>
      </c>
    </row>
    <row r="61" spans="1:16" x14ac:dyDescent="0.2">
      <c r="A61">
        <v>60</v>
      </c>
      <c r="B61" t="s">
        <v>598</v>
      </c>
      <c r="C61" t="s">
        <v>125</v>
      </c>
      <c r="D61" t="s">
        <v>9</v>
      </c>
      <c r="E61" t="s">
        <v>485</v>
      </c>
      <c r="F61" t="s">
        <v>600</v>
      </c>
      <c r="G61" t="s">
        <v>502</v>
      </c>
      <c r="H61" t="s">
        <v>542</v>
      </c>
      <c r="I61" t="s">
        <v>125</v>
      </c>
      <c r="J61" t="s">
        <v>7</v>
      </c>
      <c r="L61" s="35" t="s">
        <v>14</v>
      </c>
      <c r="M61" t="str">
        <f t="shared" si="3"/>
        <v>INSERT INTO T_CK_FORM_CONTROL (CTRL_ID, CTRL_ACCN_TYPE, CTRL_ACCN, CTRL_USR_ROLE, CTRL_ENTITY_TYPE, CTRL_ENTITY_STATE, CTRL_FORM_TYPE, CTRL_FORM_ACTION, CTRL_FORM_ACTION_MENU, CTRL_STATUS, CTRL_DT_CREATE, CTRL_UID_CREATE, CTRL_DT_LUPD, CTRL_UID_LUPD</v>
      </c>
      <c r="N61"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1" t="str">
        <f t="shared" si="2"/>
        <v xml:space="preserve"> VALUES('60','ACC_TYPE_TO',NULL,'OFFICER','JOB_TRUCK','ASG','VIEW','REJECT',NULL,'A',NOW(), 'SYS',NOW(),'SYS','CKT');</v>
      </c>
      <c r="P61" t="str">
        <f t="shared" si="5"/>
        <v>INSERT INTO T_CK_FORM_CONTROL (CTRL_ID, CTRL_ACCN_TYPE, CTRL_ACCN, CTRL_USR_ROLE, CTRL_ENTITY_TYPE, CTRL_ENTITY_STATE, CTRL_FORM_TYPE, CTRL_FORM_ACTION, CTRL_FORM_ACTION_MENU, CTRL_STATUS, CTRL_DT_CREATE, CTRL_UID_CREATE, CTRL_DT_LUPD, CTRL_UID_LUPD,CTRL_APPS_CODE)  VALUES('60','ACC_TYPE_TO',NULL,'OFFICER','JOB_TRUCK','ASG','VIEW','REJECT',NULL,'A',NOW(), 'SYS',NOW(),'SYS','CKT');</v>
      </c>
    </row>
    <row r="62" spans="1:16" x14ac:dyDescent="0.2">
      <c r="A62">
        <v>61</v>
      </c>
      <c r="B62" t="s">
        <v>598</v>
      </c>
      <c r="C62" t="s">
        <v>125</v>
      </c>
      <c r="D62" t="s">
        <v>9</v>
      </c>
      <c r="E62" t="s">
        <v>485</v>
      </c>
      <c r="F62" t="s">
        <v>600</v>
      </c>
      <c r="G62" t="s">
        <v>502</v>
      </c>
      <c r="H62" t="s">
        <v>552</v>
      </c>
      <c r="I62" t="s">
        <v>125</v>
      </c>
      <c r="J62" t="s">
        <v>7</v>
      </c>
      <c r="L62" s="35" t="s">
        <v>14</v>
      </c>
      <c r="M62" t="str">
        <f t="shared" si="3"/>
        <v>INSERT INTO T_CK_FORM_CONTROL (CTRL_ID, CTRL_ACCN_TYPE, CTRL_ACCN, CTRL_USR_ROLE, CTRL_ENTITY_TYPE, CTRL_ENTITY_STATE, CTRL_FORM_TYPE, CTRL_FORM_ACTION, CTRL_FORM_ACTION_MENU, CTRL_STATUS, CTRL_DT_CREATE, CTRL_UID_CREATE, CTRL_DT_LUPD, CTRL_UID_LUPD</v>
      </c>
      <c r="N62"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2" t="str">
        <f t="shared" si="2"/>
        <v xml:space="preserve"> VALUES('61','ACC_TYPE_TO',NULL,'OFFICER','JOB_TRUCK','ASG','VIEW','START',NULL,'A',NOW(), 'SYS',NOW(),'SYS','CKT');</v>
      </c>
      <c r="P62" t="str">
        <f t="shared" si="5"/>
        <v>INSERT INTO T_CK_FORM_CONTROL (CTRL_ID, CTRL_ACCN_TYPE, CTRL_ACCN, CTRL_USR_ROLE, CTRL_ENTITY_TYPE, CTRL_ENTITY_STATE, CTRL_FORM_TYPE, CTRL_FORM_ACTION, CTRL_FORM_ACTION_MENU, CTRL_STATUS, CTRL_DT_CREATE, CTRL_UID_CREATE, CTRL_DT_LUPD, CTRL_UID_LUPD,CTRL_APPS_CODE)  VALUES('61','ACC_TYPE_TO',NULL,'OFFICER','JOB_TRUCK','ASG','VIEW','START',NULL,'A',NOW(), 'SYS',NOW(),'SYS','CKT');</v>
      </c>
    </row>
    <row r="63" spans="1:16" x14ac:dyDescent="0.2">
      <c r="A63">
        <v>62</v>
      </c>
      <c r="B63" t="s">
        <v>598</v>
      </c>
      <c r="C63" t="s">
        <v>125</v>
      </c>
      <c r="D63" t="s">
        <v>9</v>
      </c>
      <c r="E63" t="s">
        <v>485</v>
      </c>
      <c r="F63" t="s">
        <v>600</v>
      </c>
      <c r="G63" t="s">
        <v>502</v>
      </c>
      <c r="H63" t="s">
        <v>533</v>
      </c>
      <c r="I63" t="s">
        <v>125</v>
      </c>
      <c r="J63" t="s">
        <v>7</v>
      </c>
      <c r="L63" s="35" t="s">
        <v>14</v>
      </c>
      <c r="M63" t="str">
        <f t="shared" si="3"/>
        <v>INSERT INTO T_CK_FORM_CONTROL (CTRL_ID, CTRL_ACCN_TYPE, CTRL_ACCN, CTRL_USR_ROLE, CTRL_ENTITY_TYPE, CTRL_ENTITY_STATE, CTRL_FORM_TYPE, CTRL_FORM_ACTION, CTRL_FORM_ACTION_MENU, CTRL_STATUS, CTRL_DT_CREATE, CTRL_UID_CREATE, CTRL_DT_LUPD, CTRL_UID_LUPD</v>
      </c>
      <c r="N63"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3" t="str">
        <f t="shared" si="2"/>
        <v xml:space="preserve"> VALUES('62','ACC_TYPE_TO',NULL,'OFFICER','JOB_TRUCK','ASG','VIEW','EXIT',NULL,'A',NOW(), 'SYS',NOW(),'SYS','CKT');</v>
      </c>
      <c r="P63" t="str">
        <f t="shared" si="5"/>
        <v>INSERT INTO T_CK_FORM_CONTROL (CTRL_ID, CTRL_ACCN_TYPE, CTRL_ACCN, CTRL_USR_ROLE, CTRL_ENTITY_TYPE, CTRL_ENTITY_STATE, CTRL_FORM_TYPE, CTRL_FORM_ACTION, CTRL_FORM_ACTION_MENU, CTRL_STATUS, CTRL_DT_CREATE, CTRL_UID_CREATE, CTRL_DT_LUPD, CTRL_UID_LUPD,CTRL_APPS_CODE)  VALUES('62','ACC_TYPE_TO',NULL,'OFFICER','JOB_TRUCK','ASG','VIEW','EXIT',NULL,'A',NOW(), 'SYS',NOW(),'SYS','CKT');</v>
      </c>
    </row>
    <row r="64" spans="1:16" x14ac:dyDescent="0.2">
      <c r="A64">
        <v>63</v>
      </c>
      <c r="B64" t="s">
        <v>43</v>
      </c>
      <c r="C64" t="s">
        <v>125</v>
      </c>
      <c r="D64" t="s">
        <v>9</v>
      </c>
      <c r="E64" t="s">
        <v>485</v>
      </c>
      <c r="F64" t="s">
        <v>601</v>
      </c>
      <c r="G64" t="s">
        <v>502</v>
      </c>
      <c r="H64" t="s">
        <v>527</v>
      </c>
      <c r="I64" t="s">
        <v>125</v>
      </c>
      <c r="J64" t="s">
        <v>7</v>
      </c>
      <c r="L64" s="35" t="s">
        <v>14</v>
      </c>
      <c r="M64" t="str">
        <f t="shared" si="3"/>
        <v>INSERT INTO T_CK_FORM_CONTROL (CTRL_ID, CTRL_ACCN_TYPE, CTRL_ACCN, CTRL_USR_ROLE, CTRL_ENTITY_TYPE, CTRL_ENTITY_STATE, CTRL_FORM_TYPE, CTRL_FORM_ACTION, CTRL_FORM_ACTION_MENU, CTRL_STATUS, CTRL_DT_CREATE, CTRL_UID_CREATE, CTRL_DT_LUPD, CTRL_UID_LUPD</v>
      </c>
      <c r="N64"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4" t="str">
        <f t="shared" si="2"/>
        <v xml:space="preserve"> VALUES('63','ACC_TYPE_CO',NULL,'OFFICER','JOB_TRUCK','ONGOING','VIEW','CLONE',NULL,'A',NOW(), 'SYS',NOW(),'SYS','CKT');</v>
      </c>
      <c r="P64" t="str">
        <f t="shared" si="5"/>
        <v>INSERT INTO T_CK_FORM_CONTROL (CTRL_ID, CTRL_ACCN_TYPE, CTRL_ACCN, CTRL_USR_ROLE, CTRL_ENTITY_TYPE, CTRL_ENTITY_STATE, CTRL_FORM_TYPE, CTRL_FORM_ACTION, CTRL_FORM_ACTION_MENU, CTRL_STATUS, CTRL_DT_CREATE, CTRL_UID_CREATE, CTRL_DT_LUPD, CTRL_UID_LUPD,CTRL_APPS_CODE)  VALUES('63','ACC_TYPE_CO',NULL,'OFFICER','JOB_TRUCK','ONGOING','VIEW','CLONE',NULL,'A',NOW(), 'SYS',NOW(),'SYS','CKT');</v>
      </c>
    </row>
    <row r="65" spans="1:16" x14ac:dyDescent="0.2">
      <c r="A65">
        <v>64</v>
      </c>
      <c r="B65" t="s">
        <v>57</v>
      </c>
      <c r="C65" t="s">
        <v>125</v>
      </c>
      <c r="D65" t="s">
        <v>9</v>
      </c>
      <c r="E65" t="s">
        <v>485</v>
      </c>
      <c r="F65" t="s">
        <v>601</v>
      </c>
      <c r="G65" t="s">
        <v>502</v>
      </c>
      <c r="H65" t="s">
        <v>527</v>
      </c>
      <c r="I65" t="s">
        <v>125</v>
      </c>
      <c r="J65" t="s">
        <v>7</v>
      </c>
      <c r="L65" s="35" t="s">
        <v>14</v>
      </c>
      <c r="M65" t="str">
        <f t="shared" si="3"/>
        <v>INSERT INTO T_CK_FORM_CONTROL (CTRL_ID, CTRL_ACCN_TYPE, CTRL_ACCN, CTRL_USR_ROLE, CTRL_ENTITY_TYPE, CTRL_ENTITY_STATE, CTRL_FORM_TYPE, CTRL_FORM_ACTION, CTRL_FORM_ACTION_MENU, CTRL_STATUS, CTRL_DT_CREATE, CTRL_UID_CREATE, CTRL_DT_LUPD, CTRL_UID_LUPD</v>
      </c>
      <c r="N65"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5" t="str">
        <f t="shared" si="2"/>
        <v xml:space="preserve"> VALUES('64','ACC_TYPE_FF',NULL,'OFFICER','JOB_TRUCK','ONGOING','VIEW','CLONE',NULL,'A',NOW(), 'SYS',NOW(),'SYS','CKT');</v>
      </c>
      <c r="P65" t="str">
        <f t="shared" si="5"/>
        <v>INSERT INTO T_CK_FORM_CONTROL (CTRL_ID, CTRL_ACCN_TYPE, CTRL_ACCN, CTRL_USR_ROLE, CTRL_ENTITY_TYPE, CTRL_ENTITY_STATE, CTRL_FORM_TYPE, CTRL_FORM_ACTION, CTRL_FORM_ACTION_MENU, CTRL_STATUS, CTRL_DT_CREATE, CTRL_UID_CREATE, CTRL_DT_LUPD, CTRL_UID_LUPD,CTRL_APPS_CODE)  VALUES('64','ACC_TYPE_FF',NULL,'OFFICER','JOB_TRUCK','ONGOING','VIEW','CLONE',NULL,'A',NOW(), 'SYS',NOW(),'SYS','CKT');</v>
      </c>
    </row>
    <row r="66" spans="1:16" x14ac:dyDescent="0.2">
      <c r="A66">
        <v>65</v>
      </c>
      <c r="B66" t="s">
        <v>598</v>
      </c>
      <c r="C66" t="s">
        <v>125</v>
      </c>
      <c r="D66" t="s">
        <v>9</v>
      </c>
      <c r="E66" t="s">
        <v>485</v>
      </c>
      <c r="F66" t="s">
        <v>601</v>
      </c>
      <c r="G66" t="s">
        <v>502</v>
      </c>
      <c r="H66" t="s">
        <v>554</v>
      </c>
      <c r="I66" t="s">
        <v>125</v>
      </c>
      <c r="J66" t="s">
        <v>7</v>
      </c>
      <c r="L66" s="35" t="s">
        <v>14</v>
      </c>
      <c r="M66" t="str">
        <f t="shared" si="3"/>
        <v>INSERT INTO T_CK_FORM_CONTROL (CTRL_ID, CTRL_ACCN_TYPE, CTRL_ACCN, CTRL_USR_ROLE, CTRL_ENTITY_TYPE, CTRL_ENTITY_STATE, CTRL_FORM_TYPE, CTRL_FORM_ACTION, CTRL_FORM_ACTION_MENU, CTRL_STATUS, CTRL_DT_CREATE, CTRL_UID_CREATE, CTRL_DT_LUPD, CTRL_UID_LUPD</v>
      </c>
      <c r="N66"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6" t="str">
        <f t="shared" si="2"/>
        <v xml:space="preserve"> VALUES('65','ACC_TYPE_TO',NULL,'OFFICER','JOB_TRUCK','ONGOING','VIEW','STOP',NULL,'A',NOW(), 'SYS',NOW(),'SYS','CKT');</v>
      </c>
      <c r="P66" t="str">
        <f t="shared" si="5"/>
        <v>INSERT INTO T_CK_FORM_CONTROL (CTRL_ID, CTRL_ACCN_TYPE, CTRL_ACCN, CTRL_USR_ROLE, CTRL_ENTITY_TYPE, CTRL_ENTITY_STATE, CTRL_FORM_TYPE, CTRL_FORM_ACTION, CTRL_FORM_ACTION_MENU, CTRL_STATUS, CTRL_DT_CREATE, CTRL_UID_CREATE, CTRL_DT_LUPD, CTRL_UID_LUPD,CTRL_APPS_CODE)  VALUES('65','ACC_TYPE_TO',NULL,'OFFICER','JOB_TRUCK','ONGOING','VIEW','STOP',NULL,'A',NOW(), 'SYS',NOW(),'SYS','CKT');</v>
      </c>
    </row>
    <row r="67" spans="1:16" x14ac:dyDescent="0.2">
      <c r="A67">
        <v>66</v>
      </c>
      <c r="B67" t="s">
        <v>598</v>
      </c>
      <c r="C67" t="s">
        <v>125</v>
      </c>
      <c r="D67" t="s">
        <v>9</v>
      </c>
      <c r="E67" t="s">
        <v>485</v>
      </c>
      <c r="F67" t="s">
        <v>601</v>
      </c>
      <c r="G67" t="s">
        <v>502</v>
      </c>
      <c r="H67" t="s">
        <v>533</v>
      </c>
      <c r="I67" t="s">
        <v>125</v>
      </c>
      <c r="J67" t="s">
        <v>7</v>
      </c>
      <c r="L67" s="35" t="s">
        <v>14</v>
      </c>
      <c r="M67" t="str">
        <f t="shared" si="3"/>
        <v>INSERT INTO T_CK_FORM_CONTROL (CTRL_ID, CTRL_ACCN_TYPE, CTRL_ACCN, CTRL_USR_ROLE, CTRL_ENTITY_TYPE, CTRL_ENTITY_STATE, CTRL_FORM_TYPE, CTRL_FORM_ACTION, CTRL_FORM_ACTION_MENU, CTRL_STATUS, CTRL_DT_CREATE, CTRL_UID_CREATE, CTRL_DT_LUPD, CTRL_UID_LUPD</v>
      </c>
      <c r="N67"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7" t="str">
        <f t="shared" ref="O67:O130" si="6">CONCATENATE(" VALUES('",A67,"','",B67,"',",IF(C67="NULL","NULL",CONCATENATE("'",C67,"'")),",'",D67,"','",E67,"','",F67,"','",G67,"','",H67,"',",IF(I67="NULL","NULL",CONCATENATE("'",I67,"'")),",'",J67,"',NOW(), 'SYS',NOW(),'SYS','",L67,"');")</f>
        <v xml:space="preserve"> VALUES('66','ACC_TYPE_TO',NULL,'OFFICER','JOB_TRUCK','ONGOING','VIEW','EXIT',NULL,'A',NOW(), 'SYS',NOW(),'SYS','CKT');</v>
      </c>
      <c r="P67" t="str">
        <f t="shared" si="5"/>
        <v>INSERT INTO T_CK_FORM_CONTROL (CTRL_ID, CTRL_ACCN_TYPE, CTRL_ACCN, CTRL_USR_ROLE, CTRL_ENTITY_TYPE, CTRL_ENTITY_STATE, CTRL_FORM_TYPE, CTRL_FORM_ACTION, CTRL_FORM_ACTION_MENU, CTRL_STATUS, CTRL_DT_CREATE, CTRL_UID_CREATE, CTRL_DT_LUPD, CTRL_UID_LUPD,CTRL_APPS_CODE)  VALUES('66','ACC_TYPE_TO',NULL,'OFFICER','JOB_TRUCK','ONGOING','VIEW','EXIT',NULL,'A',NOW(), 'SYS',NOW(),'SYS','CKT');</v>
      </c>
    </row>
    <row r="68" spans="1:16" x14ac:dyDescent="0.2">
      <c r="A68">
        <v>67</v>
      </c>
      <c r="B68" t="s">
        <v>43</v>
      </c>
      <c r="C68" t="s">
        <v>125</v>
      </c>
      <c r="D68" t="s">
        <v>9</v>
      </c>
      <c r="E68" t="s">
        <v>485</v>
      </c>
      <c r="F68" t="s">
        <v>602</v>
      </c>
      <c r="G68" t="s">
        <v>502</v>
      </c>
      <c r="H68" t="s">
        <v>527</v>
      </c>
      <c r="I68" t="s">
        <v>125</v>
      </c>
      <c r="J68" t="s">
        <v>7</v>
      </c>
      <c r="L68" s="35" t="s">
        <v>14</v>
      </c>
      <c r="M68" t="str">
        <f t="shared" si="3"/>
        <v>INSERT INTO T_CK_FORM_CONTROL (CTRL_ID, CTRL_ACCN_TYPE, CTRL_ACCN, CTRL_USR_ROLE, CTRL_ENTITY_TYPE, CTRL_ENTITY_STATE, CTRL_FORM_TYPE, CTRL_FORM_ACTION, CTRL_FORM_ACTION_MENU, CTRL_STATUS, CTRL_DT_CREATE, CTRL_UID_CREATE, CTRL_DT_LUPD, CTRL_UID_LUPD</v>
      </c>
      <c r="N68"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8" t="str">
        <f t="shared" si="6"/>
        <v xml:space="preserve"> VALUES('67','ACC_TYPE_CO',NULL,'OFFICER','JOB_TRUCK','BILLED','VIEW','CLONE',NULL,'A',NOW(), 'SYS',NOW(),'SYS','CKT');</v>
      </c>
      <c r="P68" t="str">
        <f t="shared" si="5"/>
        <v>INSERT INTO T_CK_FORM_CONTROL (CTRL_ID, CTRL_ACCN_TYPE, CTRL_ACCN, CTRL_USR_ROLE, CTRL_ENTITY_TYPE, CTRL_ENTITY_STATE, CTRL_FORM_TYPE, CTRL_FORM_ACTION, CTRL_FORM_ACTION_MENU, CTRL_STATUS, CTRL_DT_CREATE, CTRL_UID_CREATE, CTRL_DT_LUPD, CTRL_UID_LUPD,CTRL_APPS_CODE)  VALUES('67','ACC_TYPE_CO',NULL,'OFFICER','JOB_TRUCK','BILLED','VIEW','CLONE',NULL,'A',NOW(), 'SYS',NOW(),'SYS','CKT');</v>
      </c>
    </row>
    <row r="69" spans="1:16" x14ac:dyDescent="0.2">
      <c r="A69">
        <v>68</v>
      </c>
      <c r="B69" t="s">
        <v>57</v>
      </c>
      <c r="C69" t="s">
        <v>125</v>
      </c>
      <c r="D69" t="s">
        <v>9</v>
      </c>
      <c r="E69" t="s">
        <v>485</v>
      </c>
      <c r="F69" t="s">
        <v>602</v>
      </c>
      <c r="G69" t="s">
        <v>502</v>
      </c>
      <c r="H69" t="s">
        <v>527</v>
      </c>
      <c r="I69" t="s">
        <v>125</v>
      </c>
      <c r="J69" t="s">
        <v>7</v>
      </c>
      <c r="L69" s="35" t="s">
        <v>14</v>
      </c>
      <c r="M69" t="str">
        <f t="shared" si="3"/>
        <v>INSERT INTO T_CK_FORM_CONTROL (CTRL_ID, CTRL_ACCN_TYPE, CTRL_ACCN, CTRL_USR_ROLE, CTRL_ENTITY_TYPE, CTRL_ENTITY_STATE, CTRL_FORM_TYPE, CTRL_FORM_ACTION, CTRL_FORM_ACTION_MENU, CTRL_STATUS, CTRL_DT_CREATE, CTRL_UID_CREATE, CTRL_DT_LUPD, CTRL_UID_LUPD</v>
      </c>
      <c r="N69"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69" t="str">
        <f t="shared" si="6"/>
        <v xml:space="preserve"> VALUES('68','ACC_TYPE_FF',NULL,'OFFICER','JOB_TRUCK','BILLED','VIEW','CLONE',NULL,'A',NOW(), 'SYS',NOW(),'SYS','CKT');</v>
      </c>
      <c r="P69" t="str">
        <f t="shared" si="5"/>
        <v>INSERT INTO T_CK_FORM_CONTROL (CTRL_ID, CTRL_ACCN_TYPE, CTRL_ACCN, CTRL_USR_ROLE, CTRL_ENTITY_TYPE, CTRL_ENTITY_STATE, CTRL_FORM_TYPE, CTRL_FORM_ACTION, CTRL_FORM_ACTION_MENU, CTRL_STATUS, CTRL_DT_CREATE, CTRL_UID_CREATE, CTRL_DT_LUPD, CTRL_UID_LUPD,CTRL_APPS_CODE)  VALUES('68','ACC_TYPE_FF',NULL,'OFFICER','JOB_TRUCK','BILLED','VIEW','CLONE',NULL,'A',NOW(), 'SYS',NOW(),'SYS','CKT');</v>
      </c>
    </row>
    <row r="70" spans="1:16" x14ac:dyDescent="0.2">
      <c r="A70">
        <v>69</v>
      </c>
      <c r="B70" t="s">
        <v>43</v>
      </c>
      <c r="C70" t="s">
        <v>125</v>
      </c>
      <c r="D70" t="s">
        <v>9</v>
      </c>
      <c r="E70" t="s">
        <v>485</v>
      </c>
      <c r="F70" t="s">
        <v>602</v>
      </c>
      <c r="G70" t="s">
        <v>502</v>
      </c>
      <c r="H70" t="s">
        <v>564</v>
      </c>
      <c r="I70" t="s">
        <v>125</v>
      </c>
      <c r="J70" t="s">
        <v>7</v>
      </c>
      <c r="L70" s="35" t="s">
        <v>14</v>
      </c>
      <c r="M70" t="str">
        <f t="shared" si="3"/>
        <v>INSERT INTO T_CK_FORM_CONTROL (CTRL_ID, CTRL_ACCN_TYPE, CTRL_ACCN, CTRL_USR_ROLE, CTRL_ENTITY_TYPE, CTRL_ENTITY_STATE, CTRL_FORM_TYPE, CTRL_FORM_ACTION, CTRL_FORM_ACTION_MENU, CTRL_STATUS, CTRL_DT_CREATE, CTRL_UID_CREATE, CTRL_DT_LUPD, CTRL_UID_LUPD</v>
      </c>
      <c r="N70"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0" t="str">
        <f t="shared" si="6"/>
        <v xml:space="preserve"> VALUES('69','ACC_TYPE_CO',NULL,'OFFICER','JOB_TRUCK','BILLED','VIEW','VERIFY_BILL',NULL,'A',NOW(), 'SYS',NOW(),'SYS','CKT');</v>
      </c>
      <c r="P70" t="str">
        <f t="shared" si="5"/>
        <v>INSERT INTO T_CK_FORM_CONTROL (CTRL_ID, CTRL_ACCN_TYPE, CTRL_ACCN, CTRL_USR_ROLE, CTRL_ENTITY_TYPE, CTRL_ENTITY_STATE, CTRL_FORM_TYPE, CTRL_FORM_ACTION, CTRL_FORM_ACTION_MENU, CTRL_STATUS, CTRL_DT_CREATE, CTRL_UID_CREATE, CTRL_DT_LUPD, CTRL_UID_LUPD,CTRL_APPS_CODE)  VALUES('69','ACC_TYPE_CO',NULL,'OFFICER','JOB_TRUCK','BILLED','VIEW','VERIFY_BILL',NULL,'A',NOW(), 'SYS',NOW(),'SYS','CKT');</v>
      </c>
    </row>
    <row r="71" spans="1:16" x14ac:dyDescent="0.2">
      <c r="A71">
        <v>70</v>
      </c>
      <c r="B71" t="s">
        <v>43</v>
      </c>
      <c r="C71" t="s">
        <v>125</v>
      </c>
      <c r="D71" t="s">
        <v>9</v>
      </c>
      <c r="E71" t="s">
        <v>485</v>
      </c>
      <c r="F71" t="s">
        <v>602</v>
      </c>
      <c r="G71" t="s">
        <v>502</v>
      </c>
      <c r="H71" t="s">
        <v>544</v>
      </c>
      <c r="I71" t="s">
        <v>125</v>
      </c>
      <c r="J71" t="s">
        <v>7</v>
      </c>
      <c r="L71" s="35" t="s">
        <v>14</v>
      </c>
      <c r="M71" t="str">
        <f t="shared" si="3"/>
        <v>INSERT INTO T_CK_FORM_CONTROL (CTRL_ID, CTRL_ACCN_TYPE, CTRL_ACCN, CTRL_USR_ROLE, CTRL_ENTITY_TYPE, CTRL_ENTITY_STATE, CTRL_FORM_TYPE, CTRL_FORM_ACTION, CTRL_FORM_ACTION_MENU, CTRL_STATUS, CTRL_DT_CREATE, CTRL_UID_CREATE, CTRL_DT_LUPD, CTRL_UID_LUPD</v>
      </c>
      <c r="N71"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1" t="str">
        <f t="shared" si="6"/>
        <v xml:space="preserve"> VALUES('70','ACC_TYPE_CO',NULL,'OFFICER','JOB_TRUCK','BILLED','VIEW','REJECT_BILL',NULL,'A',NOW(), 'SYS',NOW(),'SYS','CKT');</v>
      </c>
      <c r="P71" t="str">
        <f t="shared" si="5"/>
        <v>INSERT INTO T_CK_FORM_CONTROL (CTRL_ID, CTRL_ACCN_TYPE, CTRL_ACCN, CTRL_USR_ROLE, CTRL_ENTITY_TYPE, CTRL_ENTITY_STATE, CTRL_FORM_TYPE, CTRL_FORM_ACTION, CTRL_FORM_ACTION_MENU, CTRL_STATUS, CTRL_DT_CREATE, CTRL_UID_CREATE, CTRL_DT_LUPD, CTRL_UID_LUPD,CTRL_APPS_CODE)  VALUES('70','ACC_TYPE_CO',NULL,'OFFICER','JOB_TRUCK','BILLED','VIEW','REJECT_BILL',NULL,'A',NOW(), 'SYS',NOW(),'SYS','CKT');</v>
      </c>
    </row>
    <row r="72" spans="1:16" x14ac:dyDescent="0.2">
      <c r="A72">
        <v>71</v>
      </c>
      <c r="B72" t="s">
        <v>43</v>
      </c>
      <c r="C72" t="s">
        <v>125</v>
      </c>
      <c r="D72" t="s">
        <v>9</v>
      </c>
      <c r="E72" t="s">
        <v>485</v>
      </c>
      <c r="F72" t="s">
        <v>602</v>
      </c>
      <c r="G72" t="s">
        <v>502</v>
      </c>
      <c r="H72" t="s">
        <v>533</v>
      </c>
      <c r="I72" t="s">
        <v>125</v>
      </c>
      <c r="J72" t="s">
        <v>7</v>
      </c>
      <c r="L72" s="35" t="s">
        <v>14</v>
      </c>
      <c r="M72" t="str">
        <f t="shared" si="3"/>
        <v>INSERT INTO T_CK_FORM_CONTROL (CTRL_ID, CTRL_ACCN_TYPE, CTRL_ACCN, CTRL_USR_ROLE, CTRL_ENTITY_TYPE, CTRL_ENTITY_STATE, CTRL_FORM_TYPE, CTRL_FORM_ACTION, CTRL_FORM_ACTION_MENU, CTRL_STATUS, CTRL_DT_CREATE, CTRL_UID_CREATE, CTRL_DT_LUPD, CTRL_UID_LUPD</v>
      </c>
      <c r="N72"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2" t="str">
        <f t="shared" si="6"/>
        <v xml:space="preserve"> VALUES('71','ACC_TYPE_CO',NULL,'OFFICER','JOB_TRUCK','BILLED','VIEW','EXIT',NULL,'A',NOW(), 'SYS',NOW(),'SYS','CKT');</v>
      </c>
      <c r="P72" t="str">
        <f t="shared" si="5"/>
        <v>INSERT INTO T_CK_FORM_CONTROL (CTRL_ID, CTRL_ACCN_TYPE, CTRL_ACCN, CTRL_USR_ROLE, CTRL_ENTITY_TYPE, CTRL_ENTITY_STATE, CTRL_FORM_TYPE, CTRL_FORM_ACTION, CTRL_FORM_ACTION_MENU, CTRL_STATUS, CTRL_DT_CREATE, CTRL_UID_CREATE, CTRL_DT_LUPD, CTRL_UID_LUPD,CTRL_APPS_CODE)  VALUES('71','ACC_TYPE_CO',NULL,'OFFICER','JOB_TRUCK','BILLED','VIEW','EXIT',NULL,'A',NOW(), 'SYS',NOW(),'SYS','CKT');</v>
      </c>
    </row>
    <row r="73" spans="1:16" x14ac:dyDescent="0.2">
      <c r="A73">
        <v>72</v>
      </c>
      <c r="B73" t="s">
        <v>57</v>
      </c>
      <c r="C73" t="s">
        <v>125</v>
      </c>
      <c r="D73" t="s">
        <v>9</v>
      </c>
      <c r="E73" t="s">
        <v>485</v>
      </c>
      <c r="F73" t="s">
        <v>602</v>
      </c>
      <c r="G73" t="s">
        <v>502</v>
      </c>
      <c r="H73" t="s">
        <v>564</v>
      </c>
      <c r="I73" t="s">
        <v>125</v>
      </c>
      <c r="J73" t="s">
        <v>7</v>
      </c>
      <c r="L73" s="35" t="s">
        <v>14</v>
      </c>
      <c r="M73" t="str">
        <f t="shared" si="3"/>
        <v>INSERT INTO T_CK_FORM_CONTROL (CTRL_ID, CTRL_ACCN_TYPE, CTRL_ACCN, CTRL_USR_ROLE, CTRL_ENTITY_TYPE, CTRL_ENTITY_STATE, CTRL_FORM_TYPE, CTRL_FORM_ACTION, CTRL_FORM_ACTION_MENU, CTRL_STATUS, CTRL_DT_CREATE, CTRL_UID_CREATE, CTRL_DT_LUPD, CTRL_UID_LUPD</v>
      </c>
      <c r="N73"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3" t="str">
        <f t="shared" si="6"/>
        <v xml:space="preserve"> VALUES('72','ACC_TYPE_FF',NULL,'OFFICER','JOB_TRUCK','BILLED','VIEW','VERIFY_BILL',NULL,'A',NOW(), 'SYS',NOW(),'SYS','CKT');</v>
      </c>
      <c r="P73" t="str">
        <f t="shared" si="5"/>
        <v>INSERT INTO T_CK_FORM_CONTROL (CTRL_ID, CTRL_ACCN_TYPE, CTRL_ACCN, CTRL_USR_ROLE, CTRL_ENTITY_TYPE, CTRL_ENTITY_STATE, CTRL_FORM_TYPE, CTRL_FORM_ACTION, CTRL_FORM_ACTION_MENU, CTRL_STATUS, CTRL_DT_CREATE, CTRL_UID_CREATE, CTRL_DT_LUPD, CTRL_UID_LUPD,CTRL_APPS_CODE)  VALUES('72','ACC_TYPE_FF',NULL,'OFFICER','JOB_TRUCK','BILLED','VIEW','VERIFY_BILL',NULL,'A',NOW(), 'SYS',NOW(),'SYS','CKT');</v>
      </c>
    </row>
    <row r="74" spans="1:16" x14ac:dyDescent="0.2">
      <c r="A74">
        <v>73</v>
      </c>
      <c r="B74" t="s">
        <v>57</v>
      </c>
      <c r="C74" t="s">
        <v>125</v>
      </c>
      <c r="D74" t="s">
        <v>9</v>
      </c>
      <c r="E74" t="s">
        <v>485</v>
      </c>
      <c r="F74" t="s">
        <v>602</v>
      </c>
      <c r="G74" t="s">
        <v>502</v>
      </c>
      <c r="H74" t="s">
        <v>544</v>
      </c>
      <c r="I74" t="s">
        <v>125</v>
      </c>
      <c r="J74" t="s">
        <v>7</v>
      </c>
      <c r="L74" s="35" t="s">
        <v>14</v>
      </c>
      <c r="M74" t="str">
        <f t="shared" si="3"/>
        <v>INSERT INTO T_CK_FORM_CONTROL (CTRL_ID, CTRL_ACCN_TYPE, CTRL_ACCN, CTRL_USR_ROLE, CTRL_ENTITY_TYPE, CTRL_ENTITY_STATE, CTRL_FORM_TYPE, CTRL_FORM_ACTION, CTRL_FORM_ACTION_MENU, CTRL_STATUS, CTRL_DT_CREATE, CTRL_UID_CREATE, CTRL_DT_LUPD, CTRL_UID_LUPD</v>
      </c>
      <c r="N74"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4" t="str">
        <f t="shared" si="6"/>
        <v xml:space="preserve"> VALUES('73','ACC_TYPE_FF',NULL,'OFFICER','JOB_TRUCK','BILLED','VIEW','REJECT_BILL',NULL,'A',NOW(), 'SYS',NOW(),'SYS','CKT');</v>
      </c>
      <c r="P74" t="str">
        <f t="shared" si="5"/>
        <v>INSERT INTO T_CK_FORM_CONTROL (CTRL_ID, CTRL_ACCN_TYPE, CTRL_ACCN, CTRL_USR_ROLE, CTRL_ENTITY_TYPE, CTRL_ENTITY_STATE, CTRL_FORM_TYPE, CTRL_FORM_ACTION, CTRL_FORM_ACTION_MENU, CTRL_STATUS, CTRL_DT_CREATE, CTRL_UID_CREATE, CTRL_DT_LUPD, CTRL_UID_LUPD,CTRL_APPS_CODE)  VALUES('73','ACC_TYPE_FF',NULL,'OFFICER','JOB_TRUCK','BILLED','VIEW','REJECT_BILL',NULL,'A',NOW(), 'SYS',NOW(),'SYS','CKT');</v>
      </c>
    </row>
    <row r="75" spans="1:16" x14ac:dyDescent="0.2">
      <c r="A75">
        <v>74</v>
      </c>
      <c r="B75" t="s">
        <v>57</v>
      </c>
      <c r="C75" t="s">
        <v>125</v>
      </c>
      <c r="D75" t="s">
        <v>9</v>
      </c>
      <c r="E75" t="s">
        <v>485</v>
      </c>
      <c r="F75" t="s">
        <v>602</v>
      </c>
      <c r="G75" t="s">
        <v>502</v>
      </c>
      <c r="H75" t="s">
        <v>533</v>
      </c>
      <c r="I75" t="s">
        <v>125</v>
      </c>
      <c r="J75" t="s">
        <v>7</v>
      </c>
      <c r="L75" s="35" t="s">
        <v>14</v>
      </c>
      <c r="M75" t="str">
        <f t="shared" si="3"/>
        <v>INSERT INTO T_CK_FORM_CONTROL (CTRL_ID, CTRL_ACCN_TYPE, CTRL_ACCN, CTRL_USR_ROLE, CTRL_ENTITY_TYPE, CTRL_ENTITY_STATE, CTRL_FORM_TYPE, CTRL_FORM_ACTION, CTRL_FORM_ACTION_MENU, CTRL_STATUS, CTRL_DT_CREATE, CTRL_UID_CREATE, CTRL_DT_LUPD, CTRL_UID_LUPD</v>
      </c>
      <c r="N75"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5" t="str">
        <f t="shared" si="6"/>
        <v xml:space="preserve"> VALUES('74','ACC_TYPE_FF',NULL,'OFFICER','JOB_TRUCK','BILLED','VIEW','EXIT',NULL,'A',NOW(), 'SYS',NOW(),'SYS','CKT');</v>
      </c>
      <c r="P75" t="str">
        <f t="shared" si="5"/>
        <v>INSERT INTO T_CK_FORM_CONTROL (CTRL_ID, CTRL_ACCN_TYPE, CTRL_ACCN, CTRL_USR_ROLE, CTRL_ENTITY_TYPE, CTRL_ENTITY_STATE, CTRL_FORM_TYPE, CTRL_FORM_ACTION, CTRL_FORM_ACTION_MENU, CTRL_STATUS, CTRL_DT_CREATE, CTRL_UID_CREATE, CTRL_DT_LUPD, CTRL_UID_LUPD,CTRL_APPS_CODE)  VALUES('74','ACC_TYPE_FF',NULL,'OFFICER','JOB_TRUCK','BILLED','VIEW','EXIT',NULL,'A',NOW(), 'SYS',NOW(),'SYS','CKT');</v>
      </c>
    </row>
    <row r="76" spans="1:16" x14ac:dyDescent="0.2">
      <c r="A76">
        <v>75</v>
      </c>
      <c r="B76" t="s">
        <v>43</v>
      </c>
      <c r="C76" t="s">
        <v>125</v>
      </c>
      <c r="D76" t="s">
        <v>9</v>
      </c>
      <c r="E76" t="s">
        <v>485</v>
      </c>
      <c r="F76" t="s">
        <v>603</v>
      </c>
      <c r="G76" t="s">
        <v>502</v>
      </c>
      <c r="H76" t="s">
        <v>527</v>
      </c>
      <c r="I76" t="s">
        <v>125</v>
      </c>
      <c r="J76" t="s">
        <v>7</v>
      </c>
      <c r="L76" s="35" t="s">
        <v>14</v>
      </c>
      <c r="M76" t="str">
        <f t="shared" si="3"/>
        <v>INSERT INTO T_CK_FORM_CONTROL (CTRL_ID, CTRL_ACCN_TYPE, CTRL_ACCN, CTRL_USR_ROLE, CTRL_ENTITY_TYPE, CTRL_ENTITY_STATE, CTRL_FORM_TYPE, CTRL_FORM_ACTION, CTRL_FORM_ACTION_MENU, CTRL_STATUS, CTRL_DT_CREATE, CTRL_UID_CREATE, CTRL_DT_LUPD, CTRL_UID_LUPD</v>
      </c>
      <c r="N76"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6" t="str">
        <f t="shared" si="6"/>
        <v xml:space="preserve"> VALUES('75','ACC_TYPE_CO',NULL,'OFFICER','JOB_TRUCK','VER_BILL','VIEW','CLONE',NULL,'A',NOW(), 'SYS',NOW(),'SYS','CKT');</v>
      </c>
      <c r="P76" t="str">
        <f t="shared" si="5"/>
        <v>INSERT INTO T_CK_FORM_CONTROL (CTRL_ID, CTRL_ACCN_TYPE, CTRL_ACCN, CTRL_USR_ROLE, CTRL_ENTITY_TYPE, CTRL_ENTITY_STATE, CTRL_FORM_TYPE, CTRL_FORM_ACTION, CTRL_FORM_ACTION_MENU, CTRL_STATUS, CTRL_DT_CREATE, CTRL_UID_CREATE, CTRL_DT_LUPD, CTRL_UID_LUPD,CTRL_APPS_CODE)  VALUES('75','ACC_TYPE_CO',NULL,'OFFICER','JOB_TRUCK','VER_BILL','VIEW','CLONE',NULL,'A',NOW(), 'SYS',NOW(),'SYS','CKT');</v>
      </c>
    </row>
    <row r="77" spans="1:16" x14ac:dyDescent="0.2">
      <c r="A77">
        <v>76</v>
      </c>
      <c r="B77" t="s">
        <v>43</v>
      </c>
      <c r="C77" t="s">
        <v>125</v>
      </c>
      <c r="D77" t="s">
        <v>15</v>
      </c>
      <c r="E77" t="s">
        <v>485</v>
      </c>
      <c r="F77" t="s">
        <v>603</v>
      </c>
      <c r="G77" t="s">
        <v>502</v>
      </c>
      <c r="H77" t="s">
        <v>513</v>
      </c>
      <c r="I77" t="s">
        <v>125</v>
      </c>
      <c r="J77" t="s">
        <v>7</v>
      </c>
      <c r="L77" s="35" t="s">
        <v>14</v>
      </c>
      <c r="M77" t="str">
        <f t="shared" si="3"/>
        <v>INSERT INTO T_CK_FORM_CONTROL (CTRL_ID, CTRL_ACCN_TYPE, CTRL_ACCN, CTRL_USR_ROLE, CTRL_ENTITY_TYPE, CTRL_ENTITY_STATE, CTRL_FORM_TYPE, CTRL_FORM_ACTION, CTRL_FORM_ACTION_MENU, CTRL_STATUS, CTRL_DT_CREATE, CTRL_UID_CREATE, CTRL_DT_LUPD, CTRL_UID_LUPD</v>
      </c>
      <c r="N77"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7" t="str">
        <f t="shared" si="6"/>
        <v xml:space="preserve"> VALUES('76','ACC_TYPE_CO',NULL,'FF_FINANCE','JOB_TRUCK','VER_BILL','VIEW','ACKNOWLEDGE_BILL',NULL,'A',NOW(), 'SYS',NOW(),'SYS','CKT');</v>
      </c>
      <c r="P77" t="str">
        <f t="shared" si="5"/>
        <v>INSERT INTO T_CK_FORM_CONTROL (CTRL_ID, CTRL_ACCN_TYPE, CTRL_ACCN, CTRL_USR_ROLE, CTRL_ENTITY_TYPE, CTRL_ENTITY_STATE, CTRL_FORM_TYPE, CTRL_FORM_ACTION, CTRL_FORM_ACTION_MENU, CTRL_STATUS, CTRL_DT_CREATE, CTRL_UID_CREATE, CTRL_DT_LUPD, CTRL_UID_LUPD,CTRL_APPS_CODE)  VALUES('76','ACC_TYPE_CO',NULL,'FF_FINANCE','JOB_TRUCK','VER_BILL','VIEW','ACKNOWLEDGE_BILL',NULL,'A',NOW(), 'SYS',NOW(),'SYS','CKT');</v>
      </c>
    </row>
    <row r="78" spans="1:16" x14ac:dyDescent="0.2">
      <c r="A78">
        <v>77</v>
      </c>
      <c r="B78" t="s">
        <v>43</v>
      </c>
      <c r="C78" t="s">
        <v>125</v>
      </c>
      <c r="D78" t="s">
        <v>15</v>
      </c>
      <c r="E78" t="s">
        <v>485</v>
      </c>
      <c r="F78" t="s">
        <v>603</v>
      </c>
      <c r="G78" t="s">
        <v>502</v>
      </c>
      <c r="H78" t="s">
        <v>544</v>
      </c>
      <c r="I78" t="s">
        <v>125</v>
      </c>
      <c r="J78" t="s">
        <v>7</v>
      </c>
      <c r="L78" s="35" t="s">
        <v>14</v>
      </c>
      <c r="M78" t="str">
        <f t="shared" si="3"/>
        <v>INSERT INTO T_CK_FORM_CONTROL (CTRL_ID, CTRL_ACCN_TYPE, CTRL_ACCN, CTRL_USR_ROLE, CTRL_ENTITY_TYPE, CTRL_ENTITY_STATE, CTRL_FORM_TYPE, CTRL_FORM_ACTION, CTRL_FORM_ACTION_MENU, CTRL_STATUS, CTRL_DT_CREATE, CTRL_UID_CREATE, CTRL_DT_LUPD, CTRL_UID_LUPD</v>
      </c>
      <c r="N78"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8" t="str">
        <f t="shared" si="6"/>
        <v xml:space="preserve"> VALUES('77','ACC_TYPE_CO',NULL,'FF_FINANCE','JOB_TRUCK','VER_BILL','VIEW','REJECT_BILL',NULL,'A',NOW(), 'SYS',NOW(),'SYS','CKT');</v>
      </c>
      <c r="P78" t="str">
        <f t="shared" si="5"/>
        <v>INSERT INTO T_CK_FORM_CONTROL (CTRL_ID, CTRL_ACCN_TYPE, CTRL_ACCN, CTRL_USR_ROLE, CTRL_ENTITY_TYPE, CTRL_ENTITY_STATE, CTRL_FORM_TYPE, CTRL_FORM_ACTION, CTRL_FORM_ACTION_MENU, CTRL_STATUS, CTRL_DT_CREATE, CTRL_UID_CREATE, CTRL_DT_LUPD, CTRL_UID_LUPD,CTRL_APPS_CODE)  VALUES('77','ACC_TYPE_CO',NULL,'FF_FINANCE','JOB_TRUCK','VER_BILL','VIEW','REJECT_BILL',NULL,'A',NOW(), 'SYS',NOW(),'SYS','CKT');</v>
      </c>
    </row>
    <row r="79" spans="1:16" x14ac:dyDescent="0.2">
      <c r="A79">
        <v>78</v>
      </c>
      <c r="B79" t="s">
        <v>43</v>
      </c>
      <c r="C79" t="s">
        <v>125</v>
      </c>
      <c r="D79" t="s">
        <v>15</v>
      </c>
      <c r="E79" t="s">
        <v>485</v>
      </c>
      <c r="F79" t="s">
        <v>603</v>
      </c>
      <c r="G79" t="s">
        <v>502</v>
      </c>
      <c r="H79" t="s">
        <v>533</v>
      </c>
      <c r="I79" t="s">
        <v>125</v>
      </c>
      <c r="J79" t="s">
        <v>7</v>
      </c>
      <c r="L79" s="35" t="s">
        <v>14</v>
      </c>
      <c r="M79" t="str">
        <f t="shared" si="3"/>
        <v>INSERT INTO T_CK_FORM_CONTROL (CTRL_ID, CTRL_ACCN_TYPE, CTRL_ACCN, CTRL_USR_ROLE, CTRL_ENTITY_TYPE, CTRL_ENTITY_STATE, CTRL_FORM_TYPE, CTRL_FORM_ACTION, CTRL_FORM_ACTION_MENU, CTRL_STATUS, CTRL_DT_CREATE, CTRL_UID_CREATE, CTRL_DT_LUPD, CTRL_UID_LUPD</v>
      </c>
      <c r="N79"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79" t="str">
        <f t="shared" si="6"/>
        <v xml:space="preserve"> VALUES('78','ACC_TYPE_CO',NULL,'FF_FINANCE','JOB_TRUCK','VER_BILL','VIEW','EXIT',NULL,'A',NOW(), 'SYS',NOW(),'SYS','CKT');</v>
      </c>
      <c r="P79" t="str">
        <f t="shared" si="5"/>
        <v>INSERT INTO T_CK_FORM_CONTROL (CTRL_ID, CTRL_ACCN_TYPE, CTRL_ACCN, CTRL_USR_ROLE, CTRL_ENTITY_TYPE, CTRL_ENTITY_STATE, CTRL_FORM_TYPE, CTRL_FORM_ACTION, CTRL_FORM_ACTION_MENU, CTRL_STATUS, CTRL_DT_CREATE, CTRL_UID_CREATE, CTRL_DT_LUPD, CTRL_UID_LUPD,CTRL_APPS_CODE)  VALUES('78','ACC_TYPE_CO',NULL,'FF_FINANCE','JOB_TRUCK','VER_BILL','VIEW','EXIT',NULL,'A',NOW(), 'SYS',NOW(),'SYS','CKT');</v>
      </c>
    </row>
    <row r="80" spans="1:16" x14ac:dyDescent="0.2">
      <c r="A80">
        <v>79</v>
      </c>
      <c r="B80" t="s">
        <v>57</v>
      </c>
      <c r="C80" t="s">
        <v>125</v>
      </c>
      <c r="D80" t="s">
        <v>15</v>
      </c>
      <c r="E80" t="s">
        <v>485</v>
      </c>
      <c r="F80" t="s">
        <v>603</v>
      </c>
      <c r="G80" t="s">
        <v>502</v>
      </c>
      <c r="H80" t="s">
        <v>513</v>
      </c>
      <c r="I80" t="s">
        <v>125</v>
      </c>
      <c r="J80" t="s">
        <v>7</v>
      </c>
      <c r="L80" s="35" t="s">
        <v>14</v>
      </c>
      <c r="M80" t="str">
        <f t="shared" si="3"/>
        <v>INSERT INTO T_CK_FORM_CONTROL (CTRL_ID, CTRL_ACCN_TYPE, CTRL_ACCN, CTRL_USR_ROLE, CTRL_ENTITY_TYPE, CTRL_ENTITY_STATE, CTRL_FORM_TYPE, CTRL_FORM_ACTION, CTRL_FORM_ACTION_MENU, CTRL_STATUS, CTRL_DT_CREATE, CTRL_UID_CREATE, CTRL_DT_LUPD, CTRL_UID_LUPD</v>
      </c>
      <c r="N80"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80" t="str">
        <f t="shared" si="6"/>
        <v xml:space="preserve"> VALUES('79','ACC_TYPE_FF',NULL,'FF_FINANCE','JOB_TRUCK','VER_BILL','VIEW','ACKNOWLEDGE_BILL',NULL,'A',NOW(), 'SYS',NOW(),'SYS','CKT');</v>
      </c>
      <c r="P80" t="str">
        <f t="shared" si="5"/>
        <v>INSERT INTO T_CK_FORM_CONTROL (CTRL_ID, CTRL_ACCN_TYPE, CTRL_ACCN, CTRL_USR_ROLE, CTRL_ENTITY_TYPE, CTRL_ENTITY_STATE, CTRL_FORM_TYPE, CTRL_FORM_ACTION, CTRL_FORM_ACTION_MENU, CTRL_STATUS, CTRL_DT_CREATE, CTRL_UID_CREATE, CTRL_DT_LUPD, CTRL_UID_LUPD,CTRL_APPS_CODE)  VALUES('79','ACC_TYPE_FF',NULL,'FF_FINANCE','JOB_TRUCK','VER_BILL','VIEW','ACKNOWLEDGE_BILL',NULL,'A',NOW(), 'SYS',NOW(),'SYS','CKT');</v>
      </c>
    </row>
    <row r="81" spans="1:16" x14ac:dyDescent="0.2">
      <c r="A81">
        <v>80</v>
      </c>
      <c r="B81" t="s">
        <v>57</v>
      </c>
      <c r="C81" t="s">
        <v>125</v>
      </c>
      <c r="D81" t="s">
        <v>15</v>
      </c>
      <c r="E81" t="s">
        <v>485</v>
      </c>
      <c r="F81" t="s">
        <v>603</v>
      </c>
      <c r="G81" t="s">
        <v>502</v>
      </c>
      <c r="H81" t="s">
        <v>544</v>
      </c>
      <c r="I81" t="s">
        <v>125</v>
      </c>
      <c r="J81" t="s">
        <v>7</v>
      </c>
      <c r="L81" s="35" t="s">
        <v>14</v>
      </c>
      <c r="M81" t="str">
        <f t="shared" si="3"/>
        <v>INSERT INTO T_CK_FORM_CONTROL (CTRL_ID, CTRL_ACCN_TYPE, CTRL_ACCN, CTRL_USR_ROLE, CTRL_ENTITY_TYPE, CTRL_ENTITY_STATE, CTRL_FORM_TYPE, CTRL_FORM_ACTION, CTRL_FORM_ACTION_MENU, CTRL_STATUS, CTRL_DT_CREATE, CTRL_UID_CREATE, CTRL_DT_LUPD, CTRL_UID_LUPD</v>
      </c>
      <c r="N81"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81" t="str">
        <f t="shared" si="6"/>
        <v xml:space="preserve"> VALUES('80','ACC_TYPE_FF',NULL,'FF_FINANCE','JOB_TRUCK','VER_BILL','VIEW','REJECT_BILL',NULL,'A',NOW(), 'SYS',NOW(),'SYS','CKT');</v>
      </c>
      <c r="P81" t="str">
        <f t="shared" si="5"/>
        <v>INSERT INTO T_CK_FORM_CONTROL (CTRL_ID, CTRL_ACCN_TYPE, CTRL_ACCN, CTRL_USR_ROLE, CTRL_ENTITY_TYPE, CTRL_ENTITY_STATE, CTRL_FORM_TYPE, CTRL_FORM_ACTION, CTRL_FORM_ACTION_MENU, CTRL_STATUS, CTRL_DT_CREATE, CTRL_UID_CREATE, CTRL_DT_LUPD, CTRL_UID_LUPD,CTRL_APPS_CODE)  VALUES('80','ACC_TYPE_FF',NULL,'FF_FINANCE','JOB_TRUCK','VER_BILL','VIEW','REJECT_BILL',NULL,'A',NOW(), 'SYS',NOW(),'SYS','CKT');</v>
      </c>
    </row>
    <row r="82" spans="1:16" x14ac:dyDescent="0.2">
      <c r="A82">
        <v>81</v>
      </c>
      <c r="B82" t="s">
        <v>57</v>
      </c>
      <c r="C82" t="s">
        <v>125</v>
      </c>
      <c r="D82" t="s">
        <v>15</v>
      </c>
      <c r="E82" t="s">
        <v>485</v>
      </c>
      <c r="F82" t="s">
        <v>603</v>
      </c>
      <c r="G82" t="s">
        <v>502</v>
      </c>
      <c r="H82" t="s">
        <v>533</v>
      </c>
      <c r="I82" t="s">
        <v>125</v>
      </c>
      <c r="J82" t="s">
        <v>7</v>
      </c>
      <c r="L82" s="35" t="s">
        <v>14</v>
      </c>
      <c r="M82" t="str">
        <f t="shared" si="3"/>
        <v>INSERT INTO T_CK_FORM_CONTROL (CTRL_ID, CTRL_ACCN_TYPE, CTRL_ACCN, CTRL_USR_ROLE, CTRL_ENTITY_TYPE, CTRL_ENTITY_STATE, CTRL_FORM_TYPE, CTRL_FORM_ACTION, CTRL_FORM_ACTION_MENU, CTRL_STATUS, CTRL_DT_CREATE, CTRL_UID_CREATE, CTRL_DT_LUPD, CTRL_UID_LUPD</v>
      </c>
      <c r="N82" t="str">
        <f t="shared" si="4"/>
        <v xml:space="preserve">INSERT INTO T_CK_FORM_CONTROL (CTRL_ID, CTRL_ACCN_TYPE, CTRL_ACCN, CTRL_USR_ROLE, CTRL_ENTITY_TYPE, CTRL_ENTITY_STATE, CTRL_FORM_TYPE, CTRL_FORM_ACTION, CTRL_FORM_ACTION_MENU, CTRL_STATUS, CTRL_DT_CREATE, CTRL_UID_CREATE, CTRL_DT_LUPD, CTRL_UID_LUPD,CTRL_APPS_CODE) </v>
      </c>
      <c r="O82" t="str">
        <f t="shared" si="6"/>
        <v xml:space="preserve"> VALUES('81','ACC_TYPE_FF',NULL,'FF_FINANCE','JOB_TRUCK','VER_BILL','VIEW','EXIT',NULL,'A',NOW(), 'SYS',NOW(),'SYS','CKT');</v>
      </c>
      <c r="P82" t="str">
        <f t="shared" si="5"/>
        <v>INSERT INTO T_CK_FORM_CONTROL (CTRL_ID, CTRL_ACCN_TYPE, CTRL_ACCN, CTRL_USR_ROLE, CTRL_ENTITY_TYPE, CTRL_ENTITY_STATE, CTRL_FORM_TYPE, CTRL_FORM_ACTION, CTRL_FORM_ACTION_MENU, CTRL_STATUS, CTRL_DT_CREATE, CTRL_UID_CREATE, CTRL_DT_LUPD, CTRL_UID_LUPD,CTRL_APPS_CODE)  VALUES('81','ACC_TYPE_FF',NULL,'FF_FINANCE','JOB_TRUCK','VER_BILL','VIEW','EXIT',NULL,'A',NOW(), 'SYS',NOW(),'SYS','CKT');</v>
      </c>
    </row>
    <row r="83" spans="1:16" x14ac:dyDescent="0.2">
      <c r="A83">
        <v>82</v>
      </c>
      <c r="B83" t="s">
        <v>43</v>
      </c>
      <c r="C83" t="s">
        <v>125</v>
      </c>
      <c r="D83" t="s">
        <v>9</v>
      </c>
      <c r="E83" t="s">
        <v>485</v>
      </c>
      <c r="F83" t="s">
        <v>604</v>
      </c>
      <c r="G83" t="s">
        <v>502</v>
      </c>
      <c r="H83" t="s">
        <v>527</v>
      </c>
      <c r="I83" t="s">
        <v>125</v>
      </c>
      <c r="J83" t="s">
        <v>7</v>
      </c>
      <c r="L83" s="35" t="s">
        <v>14</v>
      </c>
      <c r="M83" t="str">
        <f t="shared" ref="M83:M146" si="7">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N83" t="str">
        <f t="shared" ref="N83:N146" si="8">_xlfn.CONCAT(M83,",CTRL_APPS_CODE) ")</f>
        <v xml:space="preserve">INSERT INTO T_CK_FORM_CONTROL (CTRL_ID, CTRL_ACCN_TYPE, CTRL_ACCN, CTRL_USR_ROLE, CTRL_ENTITY_TYPE, CTRL_ENTITY_STATE, CTRL_FORM_TYPE, CTRL_FORM_ACTION, CTRL_FORM_ACTION_MENU, CTRL_STATUS, CTRL_DT_CREATE, CTRL_UID_CREATE, CTRL_DT_LUPD, CTRL_UID_LUPD,CTRL_APPS_CODE) </v>
      </c>
      <c r="O83" t="str">
        <f t="shared" si="6"/>
        <v xml:space="preserve"> VALUES('82','ACC_TYPE_CO',NULL,'OFFICER','JOB_TRUCK','ACK_BILL','VIEW','CLONE',NULL,'A',NOW(), 'SYS',NOW(),'SYS','CKT');</v>
      </c>
      <c r="P83" t="str">
        <f t="shared" ref="P83:P146" si="9">CONCATENATE(N83,O83)</f>
        <v>INSERT INTO T_CK_FORM_CONTROL (CTRL_ID, CTRL_ACCN_TYPE, CTRL_ACCN, CTRL_USR_ROLE, CTRL_ENTITY_TYPE, CTRL_ENTITY_STATE, CTRL_FORM_TYPE, CTRL_FORM_ACTION, CTRL_FORM_ACTION_MENU, CTRL_STATUS, CTRL_DT_CREATE, CTRL_UID_CREATE, CTRL_DT_LUPD, CTRL_UID_LUPD,CTRL_APPS_CODE)  VALUES('82','ACC_TYPE_CO',NULL,'OFFICER','JOB_TRUCK','ACK_BILL','VIEW','CLONE',NULL,'A',NOW(), 'SYS',NOW(),'SYS','CKT');</v>
      </c>
    </row>
    <row r="84" spans="1:16" x14ac:dyDescent="0.2">
      <c r="A84">
        <v>83</v>
      </c>
      <c r="B84" t="s">
        <v>43</v>
      </c>
      <c r="C84" t="s">
        <v>125</v>
      </c>
      <c r="D84" t="s">
        <v>15</v>
      </c>
      <c r="E84" t="s">
        <v>485</v>
      </c>
      <c r="F84" t="s">
        <v>604</v>
      </c>
      <c r="G84" t="s">
        <v>502</v>
      </c>
      <c r="H84" t="s">
        <v>533</v>
      </c>
      <c r="I84" t="s">
        <v>125</v>
      </c>
      <c r="J84" t="s">
        <v>7</v>
      </c>
      <c r="L84" s="35" t="s">
        <v>14</v>
      </c>
      <c r="M84" t="str">
        <f t="shared" si="7"/>
        <v>INSERT INTO T_CK_FORM_CONTROL (CTRL_ID, CTRL_ACCN_TYPE, CTRL_ACCN, CTRL_USR_ROLE, CTRL_ENTITY_TYPE, CTRL_ENTITY_STATE, CTRL_FORM_TYPE, CTRL_FORM_ACTION, CTRL_FORM_ACTION_MENU, CTRL_STATUS, CTRL_DT_CREATE, CTRL_UID_CREATE, CTRL_DT_LUPD, CTRL_UID_LUPD</v>
      </c>
      <c r="N84"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84" t="str">
        <f t="shared" si="6"/>
        <v xml:space="preserve"> VALUES('83','ACC_TYPE_CO',NULL,'FF_FINANCE','JOB_TRUCK','ACK_BILL','VIEW','EXIT',NULL,'A',NOW(), 'SYS',NOW(),'SYS','CKT');</v>
      </c>
      <c r="P84" t="str">
        <f t="shared" si="9"/>
        <v>INSERT INTO T_CK_FORM_CONTROL (CTRL_ID, CTRL_ACCN_TYPE, CTRL_ACCN, CTRL_USR_ROLE, CTRL_ENTITY_TYPE, CTRL_ENTITY_STATE, CTRL_FORM_TYPE, CTRL_FORM_ACTION, CTRL_FORM_ACTION_MENU, CTRL_STATUS, CTRL_DT_CREATE, CTRL_UID_CREATE, CTRL_DT_LUPD, CTRL_UID_LUPD,CTRL_APPS_CODE)  VALUES('83','ACC_TYPE_CO',NULL,'FF_FINANCE','JOB_TRUCK','ACK_BILL','VIEW','EXIT',NULL,'A',NOW(), 'SYS',NOW(),'SYS','CKT');</v>
      </c>
    </row>
    <row r="85" spans="1:16" x14ac:dyDescent="0.2">
      <c r="A85">
        <v>84</v>
      </c>
      <c r="B85" t="s">
        <v>57</v>
      </c>
      <c r="C85" t="s">
        <v>125</v>
      </c>
      <c r="D85" t="s">
        <v>9</v>
      </c>
      <c r="E85" t="s">
        <v>485</v>
      </c>
      <c r="F85" t="s">
        <v>604</v>
      </c>
      <c r="G85" t="s">
        <v>502</v>
      </c>
      <c r="H85" t="s">
        <v>527</v>
      </c>
      <c r="I85" t="s">
        <v>125</v>
      </c>
      <c r="J85" t="s">
        <v>7</v>
      </c>
      <c r="L85" s="35" t="s">
        <v>14</v>
      </c>
      <c r="M85" t="str">
        <f t="shared" si="7"/>
        <v>INSERT INTO T_CK_FORM_CONTROL (CTRL_ID, CTRL_ACCN_TYPE, CTRL_ACCN, CTRL_USR_ROLE, CTRL_ENTITY_TYPE, CTRL_ENTITY_STATE, CTRL_FORM_TYPE, CTRL_FORM_ACTION, CTRL_FORM_ACTION_MENU, CTRL_STATUS, CTRL_DT_CREATE, CTRL_UID_CREATE, CTRL_DT_LUPD, CTRL_UID_LUPD</v>
      </c>
      <c r="N85"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85" t="str">
        <f t="shared" si="6"/>
        <v xml:space="preserve"> VALUES('84','ACC_TYPE_FF',NULL,'OFFICER','JOB_TRUCK','ACK_BILL','VIEW','CLONE',NULL,'A',NOW(), 'SYS',NOW(),'SYS','CKT');</v>
      </c>
      <c r="P85" t="str">
        <f t="shared" si="9"/>
        <v>INSERT INTO T_CK_FORM_CONTROL (CTRL_ID, CTRL_ACCN_TYPE, CTRL_ACCN, CTRL_USR_ROLE, CTRL_ENTITY_TYPE, CTRL_ENTITY_STATE, CTRL_FORM_TYPE, CTRL_FORM_ACTION, CTRL_FORM_ACTION_MENU, CTRL_STATUS, CTRL_DT_CREATE, CTRL_UID_CREATE, CTRL_DT_LUPD, CTRL_UID_LUPD,CTRL_APPS_CODE)  VALUES('84','ACC_TYPE_FF',NULL,'OFFICER','JOB_TRUCK','ACK_BILL','VIEW','CLONE',NULL,'A',NOW(), 'SYS',NOW(),'SYS','CKT');</v>
      </c>
    </row>
    <row r="86" spans="1:16" x14ac:dyDescent="0.2">
      <c r="A86">
        <v>85</v>
      </c>
      <c r="B86" t="s">
        <v>57</v>
      </c>
      <c r="C86" t="s">
        <v>125</v>
      </c>
      <c r="D86" t="s">
        <v>15</v>
      </c>
      <c r="E86" t="s">
        <v>485</v>
      </c>
      <c r="F86" t="s">
        <v>604</v>
      </c>
      <c r="G86" t="s">
        <v>502</v>
      </c>
      <c r="H86" t="s">
        <v>533</v>
      </c>
      <c r="I86" t="s">
        <v>125</v>
      </c>
      <c r="J86" t="s">
        <v>7</v>
      </c>
      <c r="L86" s="35" t="s">
        <v>14</v>
      </c>
      <c r="M86" t="str">
        <f t="shared" si="7"/>
        <v>INSERT INTO T_CK_FORM_CONTROL (CTRL_ID, CTRL_ACCN_TYPE, CTRL_ACCN, CTRL_USR_ROLE, CTRL_ENTITY_TYPE, CTRL_ENTITY_STATE, CTRL_FORM_TYPE, CTRL_FORM_ACTION, CTRL_FORM_ACTION_MENU, CTRL_STATUS, CTRL_DT_CREATE, CTRL_UID_CREATE, CTRL_DT_LUPD, CTRL_UID_LUPD</v>
      </c>
      <c r="N86"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86" t="str">
        <f t="shared" si="6"/>
        <v xml:space="preserve"> VALUES('85','ACC_TYPE_FF',NULL,'FF_FINANCE','JOB_TRUCK','ACK_BILL','VIEW','EXIT',NULL,'A',NOW(), 'SYS',NOW(),'SYS','CKT');</v>
      </c>
      <c r="P86" t="str">
        <f t="shared" si="9"/>
        <v>INSERT INTO T_CK_FORM_CONTROL (CTRL_ID, CTRL_ACCN_TYPE, CTRL_ACCN, CTRL_USR_ROLE, CTRL_ENTITY_TYPE, CTRL_ENTITY_STATE, CTRL_FORM_TYPE, CTRL_FORM_ACTION, CTRL_FORM_ACTION_MENU, CTRL_STATUS, CTRL_DT_CREATE, CTRL_UID_CREATE, CTRL_DT_LUPD, CTRL_UID_LUPD,CTRL_APPS_CODE)  VALUES('85','ACC_TYPE_FF',NULL,'FF_FINANCE','JOB_TRUCK','ACK_BILL','VIEW','EXIT',NULL,'A',NOW(), 'SYS',NOW(),'SYS','CKT');</v>
      </c>
    </row>
    <row r="87" spans="1:16" x14ac:dyDescent="0.2">
      <c r="A87">
        <v>86</v>
      </c>
      <c r="B87" t="s">
        <v>93</v>
      </c>
      <c r="C87" t="s">
        <v>125</v>
      </c>
      <c r="D87" t="s">
        <v>18</v>
      </c>
      <c r="E87" t="s">
        <v>485</v>
      </c>
      <c r="F87" t="s">
        <v>604</v>
      </c>
      <c r="G87" t="s">
        <v>502</v>
      </c>
      <c r="H87" t="s">
        <v>519</v>
      </c>
      <c r="I87" t="s">
        <v>125</v>
      </c>
      <c r="J87" t="s">
        <v>7</v>
      </c>
      <c r="L87" s="35" t="s">
        <v>14</v>
      </c>
      <c r="M87" t="str">
        <f t="shared" si="7"/>
        <v>INSERT INTO T_CK_FORM_CONTROL (CTRL_ID, CTRL_ACCN_TYPE, CTRL_ACCN, CTRL_USR_ROLE, CTRL_ENTITY_TYPE, CTRL_ENTITY_STATE, CTRL_FORM_TYPE, CTRL_FORM_ACTION, CTRL_FORM_ACTION_MENU, CTRL_STATUS, CTRL_DT_CREATE, CTRL_UID_CREATE, CTRL_DT_LUPD, CTRL_UID_LUPD</v>
      </c>
      <c r="N87"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87" t="str">
        <f t="shared" si="6"/>
        <v xml:space="preserve"> VALUES('86','ACC_TYPE_SP',NULL,'SP_OP_ADMIN','JOB_TRUCK','ACK_BILL','VIEW','APPROVE_BILL',NULL,'A',NOW(), 'SYS',NOW(),'SYS','CKT');</v>
      </c>
      <c r="P87" t="str">
        <f t="shared" si="9"/>
        <v>INSERT INTO T_CK_FORM_CONTROL (CTRL_ID, CTRL_ACCN_TYPE, CTRL_ACCN, CTRL_USR_ROLE, CTRL_ENTITY_TYPE, CTRL_ENTITY_STATE, CTRL_FORM_TYPE, CTRL_FORM_ACTION, CTRL_FORM_ACTION_MENU, CTRL_STATUS, CTRL_DT_CREATE, CTRL_UID_CREATE, CTRL_DT_LUPD, CTRL_UID_LUPD,CTRL_APPS_CODE)  VALUES('86','ACC_TYPE_SP',NULL,'SP_OP_ADMIN','JOB_TRUCK','ACK_BILL','VIEW','APPROVE_BILL',NULL,'A',NOW(), 'SYS',NOW(),'SYS','CKT');</v>
      </c>
    </row>
    <row r="88" spans="1:16" x14ac:dyDescent="0.2">
      <c r="A88">
        <v>87</v>
      </c>
      <c r="B88" t="s">
        <v>93</v>
      </c>
      <c r="C88" t="s">
        <v>125</v>
      </c>
      <c r="D88" t="s">
        <v>18</v>
      </c>
      <c r="E88" t="s">
        <v>485</v>
      </c>
      <c r="F88" t="s">
        <v>604</v>
      </c>
      <c r="G88" t="s">
        <v>502</v>
      </c>
      <c r="H88" t="s">
        <v>544</v>
      </c>
      <c r="I88" t="s">
        <v>125</v>
      </c>
      <c r="J88" t="s">
        <v>7</v>
      </c>
      <c r="L88" s="35" t="s">
        <v>14</v>
      </c>
      <c r="M88" t="str">
        <f t="shared" si="7"/>
        <v>INSERT INTO T_CK_FORM_CONTROL (CTRL_ID, CTRL_ACCN_TYPE, CTRL_ACCN, CTRL_USR_ROLE, CTRL_ENTITY_TYPE, CTRL_ENTITY_STATE, CTRL_FORM_TYPE, CTRL_FORM_ACTION, CTRL_FORM_ACTION_MENU, CTRL_STATUS, CTRL_DT_CREATE, CTRL_UID_CREATE, CTRL_DT_LUPD, CTRL_UID_LUPD</v>
      </c>
      <c r="N88"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88" t="str">
        <f t="shared" si="6"/>
        <v xml:space="preserve"> VALUES('87','ACC_TYPE_SP',NULL,'SP_OP_ADMIN','JOB_TRUCK','ACK_BILL','VIEW','REJECT_BILL',NULL,'A',NOW(), 'SYS',NOW(),'SYS','CKT');</v>
      </c>
      <c r="P88" t="str">
        <f t="shared" si="9"/>
        <v>INSERT INTO T_CK_FORM_CONTROL (CTRL_ID, CTRL_ACCN_TYPE, CTRL_ACCN, CTRL_USR_ROLE, CTRL_ENTITY_TYPE, CTRL_ENTITY_STATE, CTRL_FORM_TYPE, CTRL_FORM_ACTION, CTRL_FORM_ACTION_MENU, CTRL_STATUS, CTRL_DT_CREATE, CTRL_UID_CREATE, CTRL_DT_LUPD, CTRL_UID_LUPD,CTRL_APPS_CODE)  VALUES('87','ACC_TYPE_SP',NULL,'SP_OP_ADMIN','JOB_TRUCK','ACK_BILL','VIEW','REJECT_BILL',NULL,'A',NOW(), 'SYS',NOW(),'SYS','CKT');</v>
      </c>
    </row>
    <row r="89" spans="1:16" x14ac:dyDescent="0.2">
      <c r="A89">
        <v>88</v>
      </c>
      <c r="B89" t="s">
        <v>93</v>
      </c>
      <c r="C89" t="s">
        <v>125</v>
      </c>
      <c r="D89" t="s">
        <v>18</v>
      </c>
      <c r="E89" t="s">
        <v>485</v>
      </c>
      <c r="F89" t="s">
        <v>604</v>
      </c>
      <c r="G89" t="s">
        <v>502</v>
      </c>
      <c r="H89" t="s">
        <v>533</v>
      </c>
      <c r="I89" t="s">
        <v>125</v>
      </c>
      <c r="J89" t="s">
        <v>7</v>
      </c>
      <c r="L89" s="35" t="s">
        <v>14</v>
      </c>
      <c r="M89" t="str">
        <f t="shared" si="7"/>
        <v>INSERT INTO T_CK_FORM_CONTROL (CTRL_ID, CTRL_ACCN_TYPE, CTRL_ACCN, CTRL_USR_ROLE, CTRL_ENTITY_TYPE, CTRL_ENTITY_STATE, CTRL_FORM_TYPE, CTRL_FORM_ACTION, CTRL_FORM_ACTION_MENU, CTRL_STATUS, CTRL_DT_CREATE, CTRL_UID_CREATE, CTRL_DT_LUPD, CTRL_UID_LUPD</v>
      </c>
      <c r="N89"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89" t="str">
        <f t="shared" si="6"/>
        <v xml:space="preserve"> VALUES('88','ACC_TYPE_SP',NULL,'SP_OP_ADMIN','JOB_TRUCK','ACK_BILL','VIEW','EXIT',NULL,'A',NOW(), 'SYS',NOW(),'SYS','CKT');</v>
      </c>
      <c r="P89" t="str">
        <f t="shared" si="9"/>
        <v>INSERT INTO T_CK_FORM_CONTROL (CTRL_ID, CTRL_ACCN_TYPE, CTRL_ACCN, CTRL_USR_ROLE, CTRL_ENTITY_TYPE, CTRL_ENTITY_STATE, CTRL_FORM_TYPE, CTRL_FORM_ACTION, CTRL_FORM_ACTION_MENU, CTRL_STATUS, CTRL_DT_CREATE, CTRL_UID_CREATE, CTRL_DT_LUPD, CTRL_UID_LUPD,CTRL_APPS_CODE)  VALUES('88','ACC_TYPE_SP',NULL,'SP_OP_ADMIN','JOB_TRUCK','ACK_BILL','VIEW','EXIT',NULL,'A',NOW(), 'SYS',NOW(),'SYS','CKT');</v>
      </c>
    </row>
    <row r="90" spans="1:16" x14ac:dyDescent="0.2">
      <c r="A90">
        <v>89</v>
      </c>
      <c r="B90" t="s">
        <v>43</v>
      </c>
      <c r="C90" t="s">
        <v>125</v>
      </c>
      <c r="D90" t="s">
        <v>9</v>
      </c>
      <c r="E90" t="s">
        <v>485</v>
      </c>
      <c r="F90" t="s">
        <v>605</v>
      </c>
      <c r="G90" t="s">
        <v>502</v>
      </c>
      <c r="H90" t="s">
        <v>527</v>
      </c>
      <c r="I90" t="s">
        <v>125</v>
      </c>
      <c r="J90" t="s">
        <v>7</v>
      </c>
      <c r="L90" s="35" t="s">
        <v>14</v>
      </c>
      <c r="M90" t="str">
        <f t="shared" si="7"/>
        <v>INSERT INTO T_CK_FORM_CONTROL (CTRL_ID, CTRL_ACCN_TYPE, CTRL_ACCN, CTRL_USR_ROLE, CTRL_ENTITY_TYPE, CTRL_ENTITY_STATE, CTRL_FORM_TYPE, CTRL_FORM_ACTION, CTRL_FORM_ACTION_MENU, CTRL_STATUS, CTRL_DT_CREATE, CTRL_UID_CREATE, CTRL_DT_LUPD, CTRL_UID_LUPD</v>
      </c>
      <c r="N90"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0" t="str">
        <f t="shared" si="6"/>
        <v xml:space="preserve"> VALUES('89','ACC_TYPE_CO',NULL,'OFFICER','JOB_TRUCK','APP_BILL','VIEW','CLONE',NULL,'A',NOW(), 'SYS',NOW(),'SYS','CKT');</v>
      </c>
      <c r="P90" t="str">
        <f t="shared" si="9"/>
        <v>INSERT INTO T_CK_FORM_CONTROL (CTRL_ID, CTRL_ACCN_TYPE, CTRL_ACCN, CTRL_USR_ROLE, CTRL_ENTITY_TYPE, CTRL_ENTITY_STATE, CTRL_FORM_TYPE, CTRL_FORM_ACTION, CTRL_FORM_ACTION_MENU, CTRL_STATUS, CTRL_DT_CREATE, CTRL_UID_CREATE, CTRL_DT_LUPD, CTRL_UID_LUPD,CTRL_APPS_CODE)  VALUES('89','ACC_TYPE_CO',NULL,'OFFICER','JOB_TRUCK','APP_BILL','VIEW','CLONE',NULL,'A',NOW(), 'SYS',NOW(),'SYS','CKT');</v>
      </c>
    </row>
    <row r="91" spans="1:16" x14ac:dyDescent="0.2">
      <c r="A91">
        <v>90</v>
      </c>
      <c r="B91" t="s">
        <v>43</v>
      </c>
      <c r="C91" t="s">
        <v>125</v>
      </c>
      <c r="D91" t="s">
        <v>15</v>
      </c>
      <c r="E91" t="s">
        <v>485</v>
      </c>
      <c r="F91" t="s">
        <v>605</v>
      </c>
      <c r="G91" t="s">
        <v>502</v>
      </c>
      <c r="H91" t="s">
        <v>533</v>
      </c>
      <c r="I91" t="s">
        <v>125</v>
      </c>
      <c r="J91" t="s">
        <v>7</v>
      </c>
      <c r="L91" s="35" t="s">
        <v>14</v>
      </c>
      <c r="M91" t="str">
        <f t="shared" si="7"/>
        <v>INSERT INTO T_CK_FORM_CONTROL (CTRL_ID, CTRL_ACCN_TYPE, CTRL_ACCN, CTRL_USR_ROLE, CTRL_ENTITY_TYPE, CTRL_ENTITY_STATE, CTRL_FORM_TYPE, CTRL_FORM_ACTION, CTRL_FORM_ACTION_MENU, CTRL_STATUS, CTRL_DT_CREATE, CTRL_UID_CREATE, CTRL_DT_LUPD, CTRL_UID_LUPD</v>
      </c>
      <c r="N91"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1" t="str">
        <f t="shared" si="6"/>
        <v xml:space="preserve"> VALUES('90','ACC_TYPE_CO',NULL,'FF_FINANCE','JOB_TRUCK','APP_BILL','VIEW','EXIT',NULL,'A',NOW(), 'SYS',NOW(),'SYS','CKT');</v>
      </c>
      <c r="P91" t="str">
        <f t="shared" si="9"/>
        <v>INSERT INTO T_CK_FORM_CONTROL (CTRL_ID, CTRL_ACCN_TYPE, CTRL_ACCN, CTRL_USR_ROLE, CTRL_ENTITY_TYPE, CTRL_ENTITY_STATE, CTRL_FORM_TYPE, CTRL_FORM_ACTION, CTRL_FORM_ACTION_MENU, CTRL_STATUS, CTRL_DT_CREATE, CTRL_UID_CREATE, CTRL_DT_LUPD, CTRL_UID_LUPD,CTRL_APPS_CODE)  VALUES('90','ACC_TYPE_CO',NULL,'FF_FINANCE','JOB_TRUCK','APP_BILL','VIEW','EXIT',NULL,'A',NOW(), 'SYS',NOW(),'SYS','CKT');</v>
      </c>
    </row>
    <row r="92" spans="1:16" x14ac:dyDescent="0.2">
      <c r="A92">
        <v>91</v>
      </c>
      <c r="B92" t="s">
        <v>57</v>
      </c>
      <c r="C92" t="s">
        <v>125</v>
      </c>
      <c r="D92" t="s">
        <v>9</v>
      </c>
      <c r="E92" t="s">
        <v>485</v>
      </c>
      <c r="F92" t="s">
        <v>605</v>
      </c>
      <c r="G92" t="s">
        <v>502</v>
      </c>
      <c r="H92" t="s">
        <v>527</v>
      </c>
      <c r="I92" t="s">
        <v>125</v>
      </c>
      <c r="J92" t="s">
        <v>7</v>
      </c>
      <c r="L92" s="35" t="s">
        <v>14</v>
      </c>
      <c r="M92" t="str">
        <f t="shared" si="7"/>
        <v>INSERT INTO T_CK_FORM_CONTROL (CTRL_ID, CTRL_ACCN_TYPE, CTRL_ACCN, CTRL_USR_ROLE, CTRL_ENTITY_TYPE, CTRL_ENTITY_STATE, CTRL_FORM_TYPE, CTRL_FORM_ACTION, CTRL_FORM_ACTION_MENU, CTRL_STATUS, CTRL_DT_CREATE, CTRL_UID_CREATE, CTRL_DT_LUPD, CTRL_UID_LUPD</v>
      </c>
      <c r="N92"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2" t="str">
        <f t="shared" si="6"/>
        <v xml:space="preserve"> VALUES('91','ACC_TYPE_FF',NULL,'OFFICER','JOB_TRUCK','APP_BILL','VIEW','CLONE',NULL,'A',NOW(), 'SYS',NOW(),'SYS','CKT');</v>
      </c>
      <c r="P92" t="str">
        <f t="shared" si="9"/>
        <v>INSERT INTO T_CK_FORM_CONTROL (CTRL_ID, CTRL_ACCN_TYPE, CTRL_ACCN, CTRL_USR_ROLE, CTRL_ENTITY_TYPE, CTRL_ENTITY_STATE, CTRL_FORM_TYPE, CTRL_FORM_ACTION, CTRL_FORM_ACTION_MENU, CTRL_STATUS, CTRL_DT_CREATE, CTRL_UID_CREATE, CTRL_DT_LUPD, CTRL_UID_LUPD,CTRL_APPS_CODE)  VALUES('91','ACC_TYPE_FF',NULL,'OFFICER','JOB_TRUCK','APP_BILL','VIEW','CLONE',NULL,'A',NOW(), 'SYS',NOW(),'SYS','CKT');</v>
      </c>
    </row>
    <row r="93" spans="1:16" x14ac:dyDescent="0.2">
      <c r="A93">
        <v>92</v>
      </c>
      <c r="B93" t="s">
        <v>57</v>
      </c>
      <c r="C93" t="s">
        <v>125</v>
      </c>
      <c r="D93" t="s">
        <v>15</v>
      </c>
      <c r="E93" t="s">
        <v>485</v>
      </c>
      <c r="F93" t="s">
        <v>605</v>
      </c>
      <c r="G93" t="s">
        <v>502</v>
      </c>
      <c r="H93" t="s">
        <v>533</v>
      </c>
      <c r="I93" t="s">
        <v>125</v>
      </c>
      <c r="J93" t="s">
        <v>7</v>
      </c>
      <c r="L93" s="35" t="s">
        <v>14</v>
      </c>
      <c r="M93" t="str">
        <f t="shared" si="7"/>
        <v>INSERT INTO T_CK_FORM_CONTROL (CTRL_ID, CTRL_ACCN_TYPE, CTRL_ACCN, CTRL_USR_ROLE, CTRL_ENTITY_TYPE, CTRL_ENTITY_STATE, CTRL_FORM_TYPE, CTRL_FORM_ACTION, CTRL_FORM_ACTION_MENU, CTRL_STATUS, CTRL_DT_CREATE, CTRL_UID_CREATE, CTRL_DT_LUPD, CTRL_UID_LUPD</v>
      </c>
      <c r="N93"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3" t="str">
        <f t="shared" si="6"/>
        <v xml:space="preserve"> VALUES('92','ACC_TYPE_FF',NULL,'FF_FINANCE','JOB_TRUCK','APP_BILL','VIEW','EXIT',NULL,'A',NOW(), 'SYS',NOW(),'SYS','CKT');</v>
      </c>
      <c r="P93" t="str">
        <f t="shared" si="9"/>
        <v>INSERT INTO T_CK_FORM_CONTROL (CTRL_ID, CTRL_ACCN_TYPE, CTRL_ACCN, CTRL_USR_ROLE, CTRL_ENTITY_TYPE, CTRL_ENTITY_STATE, CTRL_FORM_TYPE, CTRL_FORM_ACTION, CTRL_FORM_ACTION_MENU, CTRL_STATUS, CTRL_DT_CREATE, CTRL_UID_CREATE, CTRL_DT_LUPD, CTRL_UID_LUPD,CTRL_APPS_CODE)  VALUES('92','ACC_TYPE_FF',NULL,'FF_FINANCE','JOB_TRUCK','APP_BILL','VIEW','EXIT',NULL,'A',NOW(), 'SYS',NOW(),'SYS','CKT');</v>
      </c>
    </row>
    <row r="94" spans="1:16" x14ac:dyDescent="0.2">
      <c r="A94">
        <v>93</v>
      </c>
      <c r="B94" t="s">
        <v>43</v>
      </c>
      <c r="C94" t="s">
        <v>125</v>
      </c>
      <c r="D94" t="s">
        <v>9</v>
      </c>
      <c r="E94" t="s">
        <v>485</v>
      </c>
      <c r="F94" t="s">
        <v>606</v>
      </c>
      <c r="G94" t="s">
        <v>502</v>
      </c>
      <c r="H94" t="s">
        <v>527</v>
      </c>
      <c r="I94" t="s">
        <v>125</v>
      </c>
      <c r="J94" t="s">
        <v>7</v>
      </c>
      <c r="L94" s="35" t="s">
        <v>14</v>
      </c>
      <c r="M94" t="str">
        <f t="shared" si="7"/>
        <v>INSERT INTO T_CK_FORM_CONTROL (CTRL_ID, CTRL_ACCN_TYPE, CTRL_ACCN, CTRL_USR_ROLE, CTRL_ENTITY_TYPE, CTRL_ENTITY_STATE, CTRL_FORM_TYPE, CTRL_FORM_ACTION, CTRL_FORM_ACTION_MENU, CTRL_STATUS, CTRL_DT_CREATE, CTRL_UID_CREATE, CTRL_DT_LUPD, CTRL_UID_LUPD</v>
      </c>
      <c r="N94"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4" t="str">
        <f t="shared" si="6"/>
        <v xml:space="preserve"> VALUES('93','ACC_TYPE_CO',NULL,'OFFICER','JOB_TRUCK','DLV','VIEW','CLONE',NULL,'A',NOW(), 'SYS',NOW(),'SYS','CKT');</v>
      </c>
      <c r="P94" t="str">
        <f t="shared" si="9"/>
        <v>INSERT INTO T_CK_FORM_CONTROL (CTRL_ID, CTRL_ACCN_TYPE, CTRL_ACCN, CTRL_USR_ROLE, CTRL_ENTITY_TYPE, CTRL_ENTITY_STATE, CTRL_FORM_TYPE, CTRL_FORM_ACTION, CTRL_FORM_ACTION_MENU, CTRL_STATUS, CTRL_DT_CREATE, CTRL_UID_CREATE, CTRL_DT_LUPD, CTRL_UID_LUPD,CTRL_APPS_CODE)  VALUES('93','ACC_TYPE_CO',NULL,'OFFICER','JOB_TRUCK','DLV','VIEW','CLONE',NULL,'A',NOW(), 'SYS',NOW(),'SYS','CKT');</v>
      </c>
    </row>
    <row r="95" spans="1:16" x14ac:dyDescent="0.2">
      <c r="A95">
        <v>94</v>
      </c>
      <c r="B95" t="s">
        <v>57</v>
      </c>
      <c r="C95" t="s">
        <v>125</v>
      </c>
      <c r="D95" t="s">
        <v>9</v>
      </c>
      <c r="E95" t="s">
        <v>485</v>
      </c>
      <c r="F95" t="s">
        <v>606</v>
      </c>
      <c r="G95" t="s">
        <v>502</v>
      </c>
      <c r="H95" t="s">
        <v>527</v>
      </c>
      <c r="I95" t="s">
        <v>125</v>
      </c>
      <c r="J95" t="s">
        <v>7</v>
      </c>
      <c r="L95" s="35" t="s">
        <v>14</v>
      </c>
      <c r="M95" t="str">
        <f t="shared" si="7"/>
        <v>INSERT INTO T_CK_FORM_CONTROL (CTRL_ID, CTRL_ACCN_TYPE, CTRL_ACCN, CTRL_USR_ROLE, CTRL_ENTITY_TYPE, CTRL_ENTITY_STATE, CTRL_FORM_TYPE, CTRL_FORM_ACTION, CTRL_FORM_ACTION_MENU, CTRL_STATUS, CTRL_DT_CREATE, CTRL_UID_CREATE, CTRL_DT_LUPD, CTRL_UID_LUPD</v>
      </c>
      <c r="N95"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5" t="str">
        <f t="shared" si="6"/>
        <v xml:space="preserve"> VALUES('94','ACC_TYPE_FF',NULL,'OFFICER','JOB_TRUCK','DLV','VIEW','CLONE',NULL,'A',NOW(), 'SYS',NOW(),'SYS','CKT');</v>
      </c>
      <c r="P95" t="str">
        <f t="shared" si="9"/>
        <v>INSERT INTO T_CK_FORM_CONTROL (CTRL_ID, CTRL_ACCN_TYPE, CTRL_ACCN, CTRL_USR_ROLE, CTRL_ENTITY_TYPE, CTRL_ENTITY_STATE, CTRL_FORM_TYPE, CTRL_FORM_ACTION, CTRL_FORM_ACTION_MENU, CTRL_STATUS, CTRL_DT_CREATE, CTRL_UID_CREATE, CTRL_DT_LUPD, CTRL_UID_LUPD,CTRL_APPS_CODE)  VALUES('94','ACC_TYPE_FF',NULL,'OFFICER','JOB_TRUCK','DLV','VIEW','CLONE',NULL,'A',NOW(), 'SYS',NOW(),'SYS','CKT');</v>
      </c>
    </row>
    <row r="96" spans="1:16" x14ac:dyDescent="0.2">
      <c r="A96">
        <v>95</v>
      </c>
      <c r="B96" t="s">
        <v>598</v>
      </c>
      <c r="C96" t="s">
        <v>125</v>
      </c>
      <c r="D96" t="s">
        <v>15</v>
      </c>
      <c r="E96" t="s">
        <v>485</v>
      </c>
      <c r="F96" t="s">
        <v>606</v>
      </c>
      <c r="G96" t="s">
        <v>502</v>
      </c>
      <c r="H96" t="s">
        <v>550</v>
      </c>
      <c r="I96" t="s">
        <v>125</v>
      </c>
      <c r="J96" t="s">
        <v>7</v>
      </c>
      <c r="L96" s="35" t="s">
        <v>14</v>
      </c>
      <c r="M96" t="str">
        <f t="shared" si="7"/>
        <v>INSERT INTO T_CK_FORM_CONTROL (CTRL_ID, CTRL_ACCN_TYPE, CTRL_ACCN, CTRL_USR_ROLE, CTRL_ENTITY_TYPE, CTRL_ENTITY_STATE, CTRL_FORM_TYPE, CTRL_FORM_ACTION, CTRL_FORM_ACTION_MENU, CTRL_STATUS, CTRL_DT_CREATE, CTRL_UID_CREATE, CTRL_DT_LUPD, CTRL_UID_LUPD</v>
      </c>
      <c r="N96"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6" t="str">
        <f t="shared" si="6"/>
        <v xml:space="preserve"> VALUES('95','ACC_TYPE_TO',NULL,'FF_FINANCE','JOB_TRUCK','DLV','VIEW','SAVE',NULL,'A',NOW(), 'SYS',NOW(),'SYS','CKT');</v>
      </c>
      <c r="P96" t="str">
        <f t="shared" si="9"/>
        <v>INSERT INTO T_CK_FORM_CONTROL (CTRL_ID, CTRL_ACCN_TYPE, CTRL_ACCN, CTRL_USR_ROLE, CTRL_ENTITY_TYPE, CTRL_ENTITY_STATE, CTRL_FORM_TYPE, CTRL_FORM_ACTION, CTRL_FORM_ACTION_MENU, CTRL_STATUS, CTRL_DT_CREATE, CTRL_UID_CREATE, CTRL_DT_LUPD, CTRL_UID_LUPD,CTRL_APPS_CODE)  VALUES('95','ACC_TYPE_TO',NULL,'FF_FINANCE','JOB_TRUCK','DLV','VIEW','SAVE',NULL,'A',NOW(), 'SYS',NOW(),'SYS','CKT');</v>
      </c>
    </row>
    <row r="97" spans="1:16" x14ac:dyDescent="0.2">
      <c r="A97">
        <v>96</v>
      </c>
      <c r="B97" t="s">
        <v>598</v>
      </c>
      <c r="C97" t="s">
        <v>125</v>
      </c>
      <c r="D97" t="s">
        <v>15</v>
      </c>
      <c r="E97" t="s">
        <v>485</v>
      </c>
      <c r="F97" t="s">
        <v>606</v>
      </c>
      <c r="G97" t="s">
        <v>502</v>
      </c>
      <c r="H97" t="s">
        <v>523</v>
      </c>
      <c r="I97" t="s">
        <v>125</v>
      </c>
      <c r="J97" t="s">
        <v>7</v>
      </c>
      <c r="L97" s="35" t="s">
        <v>14</v>
      </c>
      <c r="M97" t="str">
        <f t="shared" si="7"/>
        <v>INSERT INTO T_CK_FORM_CONTROL (CTRL_ID, CTRL_ACCN_TYPE, CTRL_ACCN, CTRL_USR_ROLE, CTRL_ENTITY_TYPE, CTRL_ENTITY_STATE, CTRL_FORM_TYPE, CTRL_FORM_ACTION, CTRL_FORM_ACTION_MENU, CTRL_STATUS, CTRL_DT_CREATE, CTRL_UID_CREATE, CTRL_DT_LUPD, CTRL_UID_LUPD</v>
      </c>
      <c r="N97"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7" t="str">
        <f t="shared" si="6"/>
        <v xml:space="preserve"> VALUES('96','ACC_TYPE_TO',NULL,'FF_FINANCE','JOB_TRUCK','DLV','VIEW','BILLJOB',NULL,'A',NOW(), 'SYS',NOW(),'SYS','CKT');</v>
      </c>
      <c r="P97" t="str">
        <f t="shared" si="9"/>
        <v>INSERT INTO T_CK_FORM_CONTROL (CTRL_ID, CTRL_ACCN_TYPE, CTRL_ACCN, CTRL_USR_ROLE, CTRL_ENTITY_TYPE, CTRL_ENTITY_STATE, CTRL_FORM_TYPE, CTRL_FORM_ACTION, CTRL_FORM_ACTION_MENU, CTRL_STATUS, CTRL_DT_CREATE, CTRL_UID_CREATE, CTRL_DT_LUPD, CTRL_UID_LUPD,CTRL_APPS_CODE)  VALUES('96','ACC_TYPE_TO',NULL,'FF_FINANCE','JOB_TRUCK','DLV','VIEW','BILLJOB',NULL,'A',NOW(), 'SYS',NOW(),'SYS','CKT');</v>
      </c>
    </row>
    <row r="98" spans="1:16" x14ac:dyDescent="0.2">
      <c r="A98">
        <v>97</v>
      </c>
      <c r="B98" t="s">
        <v>598</v>
      </c>
      <c r="C98" t="s">
        <v>125</v>
      </c>
      <c r="D98" t="s">
        <v>15</v>
      </c>
      <c r="E98" t="s">
        <v>485</v>
      </c>
      <c r="F98" t="s">
        <v>606</v>
      </c>
      <c r="G98" t="s">
        <v>502</v>
      </c>
      <c r="H98" t="s">
        <v>533</v>
      </c>
      <c r="I98" t="s">
        <v>125</v>
      </c>
      <c r="J98" t="s">
        <v>7</v>
      </c>
      <c r="L98" s="35" t="s">
        <v>14</v>
      </c>
      <c r="M98" t="str">
        <f t="shared" si="7"/>
        <v>INSERT INTO T_CK_FORM_CONTROL (CTRL_ID, CTRL_ACCN_TYPE, CTRL_ACCN, CTRL_USR_ROLE, CTRL_ENTITY_TYPE, CTRL_ENTITY_STATE, CTRL_FORM_TYPE, CTRL_FORM_ACTION, CTRL_FORM_ACTION_MENU, CTRL_STATUS, CTRL_DT_CREATE, CTRL_UID_CREATE, CTRL_DT_LUPD, CTRL_UID_LUPD</v>
      </c>
      <c r="N98"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8" t="str">
        <f t="shared" si="6"/>
        <v xml:space="preserve"> VALUES('97','ACC_TYPE_TO',NULL,'FF_FINANCE','JOB_TRUCK','DLV','VIEW','EXIT',NULL,'A',NOW(), 'SYS',NOW(),'SYS','CKT');</v>
      </c>
      <c r="P98" t="str">
        <f t="shared" si="9"/>
        <v>INSERT INTO T_CK_FORM_CONTROL (CTRL_ID, CTRL_ACCN_TYPE, CTRL_ACCN, CTRL_USR_ROLE, CTRL_ENTITY_TYPE, CTRL_ENTITY_STATE, CTRL_FORM_TYPE, CTRL_FORM_ACTION, CTRL_FORM_ACTION_MENU, CTRL_STATUS, CTRL_DT_CREATE, CTRL_UID_CREATE, CTRL_DT_LUPD, CTRL_UID_LUPD,CTRL_APPS_CODE)  VALUES('97','ACC_TYPE_TO',NULL,'FF_FINANCE','JOB_TRUCK','DLV','VIEW','EXIT',NULL,'A',NOW(), 'SYS',NOW(),'SYS','CKT');</v>
      </c>
    </row>
    <row r="99" spans="1:16" x14ac:dyDescent="0.2">
      <c r="A99">
        <v>98</v>
      </c>
      <c r="B99" t="s">
        <v>93</v>
      </c>
      <c r="C99" t="s">
        <v>125</v>
      </c>
      <c r="D99" t="s">
        <v>27</v>
      </c>
      <c r="E99" t="s">
        <v>487</v>
      </c>
      <c r="F99" t="s">
        <v>100</v>
      </c>
      <c r="G99" t="s">
        <v>502</v>
      </c>
      <c r="H99" t="s">
        <v>564</v>
      </c>
      <c r="I99" t="s">
        <v>125</v>
      </c>
      <c r="J99" t="s">
        <v>7</v>
      </c>
      <c r="L99" s="35" t="s">
        <v>14</v>
      </c>
      <c r="M99" t="str">
        <f t="shared" si="7"/>
        <v>INSERT INTO T_CK_FORM_CONTROL (CTRL_ID, CTRL_ACCN_TYPE, CTRL_ACCN, CTRL_USR_ROLE, CTRL_ENTITY_TYPE, CTRL_ENTITY_STATE, CTRL_FORM_TYPE, CTRL_FORM_ACTION, CTRL_FORM_ACTION_MENU, CTRL_STATUS, CTRL_DT_CREATE, CTRL_UID_CREATE, CTRL_DT_LUPD, CTRL_UID_LUPD</v>
      </c>
      <c r="N99"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99" t="str">
        <f t="shared" si="6"/>
        <v xml:space="preserve"> VALUES('98','ACC_TYPE_SP',NULL,'SP_FIN_ADMIN','JOB_TRUCK_OUT_PAY','NEW','VIEW','VERIFY_BILL',NULL,'A',NOW(), 'SYS',NOW(),'SYS','CKT');</v>
      </c>
      <c r="P99" t="str">
        <f t="shared" si="9"/>
        <v>INSERT INTO T_CK_FORM_CONTROL (CTRL_ID, CTRL_ACCN_TYPE, CTRL_ACCN, CTRL_USR_ROLE, CTRL_ENTITY_TYPE, CTRL_ENTITY_STATE, CTRL_FORM_TYPE, CTRL_FORM_ACTION, CTRL_FORM_ACTION_MENU, CTRL_STATUS, CTRL_DT_CREATE, CTRL_UID_CREATE, CTRL_DT_LUPD, CTRL_UID_LUPD,CTRL_APPS_CODE)  VALUES('98','ACC_TYPE_SP',NULL,'SP_FIN_ADMIN','JOB_TRUCK_OUT_PAY','NEW','VIEW','VERIFY_BILL',NULL,'A',NOW(), 'SYS',NOW(),'SYS','CKT');</v>
      </c>
    </row>
    <row r="100" spans="1:16" x14ac:dyDescent="0.2">
      <c r="A100">
        <v>99</v>
      </c>
      <c r="B100" t="s">
        <v>93</v>
      </c>
      <c r="C100" t="s">
        <v>125</v>
      </c>
      <c r="D100" t="s">
        <v>27</v>
      </c>
      <c r="E100" t="s">
        <v>487</v>
      </c>
      <c r="F100" t="s">
        <v>100</v>
      </c>
      <c r="G100" t="s">
        <v>502</v>
      </c>
      <c r="H100" t="s">
        <v>533</v>
      </c>
      <c r="I100" t="s">
        <v>125</v>
      </c>
      <c r="J100" t="s">
        <v>7</v>
      </c>
      <c r="L100" s="35" t="s">
        <v>14</v>
      </c>
      <c r="M100" t="str">
        <f t="shared" si="7"/>
        <v>INSERT INTO T_CK_FORM_CONTROL (CTRL_ID, CTRL_ACCN_TYPE, CTRL_ACCN, CTRL_USR_ROLE, CTRL_ENTITY_TYPE, CTRL_ENTITY_STATE, CTRL_FORM_TYPE, CTRL_FORM_ACTION, CTRL_FORM_ACTION_MENU, CTRL_STATUS, CTRL_DT_CREATE, CTRL_UID_CREATE, CTRL_DT_LUPD, CTRL_UID_LUPD</v>
      </c>
      <c r="N100"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0" t="str">
        <f t="shared" si="6"/>
        <v xml:space="preserve"> VALUES('99','ACC_TYPE_SP',NULL,'SP_FIN_ADMIN','JOB_TRUCK_OUT_PAY','NEW','VIEW','EXIT',NULL,'A',NOW(), 'SYS',NOW(),'SYS','CKT');</v>
      </c>
      <c r="P100" t="str">
        <f t="shared" si="9"/>
        <v>INSERT INTO T_CK_FORM_CONTROL (CTRL_ID, CTRL_ACCN_TYPE, CTRL_ACCN, CTRL_USR_ROLE, CTRL_ENTITY_TYPE, CTRL_ENTITY_STATE, CTRL_FORM_TYPE, CTRL_FORM_ACTION, CTRL_FORM_ACTION_MENU, CTRL_STATUS, CTRL_DT_CREATE, CTRL_UID_CREATE, CTRL_DT_LUPD, CTRL_UID_LUPD,CTRL_APPS_CODE)  VALUES('99','ACC_TYPE_SP',NULL,'SP_FIN_ADMIN','JOB_TRUCK_OUT_PAY','NEW','VIEW','EXIT',NULL,'A',NOW(), 'SYS',NOW(),'SYS','CKT');</v>
      </c>
    </row>
    <row r="101" spans="1:16" x14ac:dyDescent="0.2">
      <c r="A101">
        <v>100</v>
      </c>
      <c r="B101" t="s">
        <v>93</v>
      </c>
      <c r="C101" t="s">
        <v>125</v>
      </c>
      <c r="D101" t="s">
        <v>25</v>
      </c>
      <c r="E101" t="s">
        <v>487</v>
      </c>
      <c r="F101" t="s">
        <v>603</v>
      </c>
      <c r="G101" t="s">
        <v>502</v>
      </c>
      <c r="H101" t="s">
        <v>519</v>
      </c>
      <c r="I101" t="s">
        <v>125</v>
      </c>
      <c r="J101" t="s">
        <v>7</v>
      </c>
      <c r="L101" s="35" t="s">
        <v>14</v>
      </c>
      <c r="M101" t="str">
        <f t="shared" si="7"/>
        <v>INSERT INTO T_CK_FORM_CONTROL (CTRL_ID, CTRL_ACCN_TYPE, CTRL_ACCN, CTRL_USR_ROLE, CTRL_ENTITY_TYPE, CTRL_ENTITY_STATE, CTRL_FORM_TYPE, CTRL_FORM_ACTION, CTRL_FORM_ACTION_MENU, CTRL_STATUS, CTRL_DT_CREATE, CTRL_UID_CREATE, CTRL_DT_LUPD, CTRL_UID_LUPD</v>
      </c>
      <c r="N101"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1" t="str">
        <f t="shared" si="6"/>
        <v xml:space="preserve"> VALUES('100','ACC_TYPE_SP',NULL,'SP_FIN_HD','JOB_TRUCK_OUT_PAY','VER_BILL','VIEW','APPROVE_BILL',NULL,'A',NOW(), 'SYS',NOW(),'SYS','CKT');</v>
      </c>
      <c r="P101" t="str">
        <f t="shared" si="9"/>
        <v>INSERT INTO T_CK_FORM_CONTROL (CTRL_ID, CTRL_ACCN_TYPE, CTRL_ACCN, CTRL_USR_ROLE, CTRL_ENTITY_TYPE, CTRL_ENTITY_STATE, CTRL_FORM_TYPE, CTRL_FORM_ACTION, CTRL_FORM_ACTION_MENU, CTRL_STATUS, CTRL_DT_CREATE, CTRL_UID_CREATE, CTRL_DT_LUPD, CTRL_UID_LUPD,CTRL_APPS_CODE)  VALUES('100','ACC_TYPE_SP',NULL,'SP_FIN_HD','JOB_TRUCK_OUT_PAY','VER_BILL','VIEW','APPROVE_BILL',NULL,'A',NOW(), 'SYS',NOW(),'SYS','CKT');</v>
      </c>
    </row>
    <row r="102" spans="1:16" x14ac:dyDescent="0.2">
      <c r="A102">
        <v>101</v>
      </c>
      <c r="B102" t="s">
        <v>93</v>
      </c>
      <c r="C102" t="s">
        <v>125</v>
      </c>
      <c r="D102" t="s">
        <v>25</v>
      </c>
      <c r="E102" t="s">
        <v>487</v>
      </c>
      <c r="F102" t="s">
        <v>607</v>
      </c>
      <c r="G102" t="s">
        <v>502</v>
      </c>
      <c r="H102" t="s">
        <v>519</v>
      </c>
      <c r="I102" t="s">
        <v>125</v>
      </c>
      <c r="J102" t="s">
        <v>7</v>
      </c>
      <c r="L102" s="35" t="s">
        <v>14</v>
      </c>
      <c r="M102" t="str">
        <f t="shared" si="7"/>
        <v>INSERT INTO T_CK_FORM_CONTROL (CTRL_ID, CTRL_ACCN_TYPE, CTRL_ACCN, CTRL_USR_ROLE, CTRL_ENTITY_TYPE, CTRL_ENTITY_STATE, CTRL_FORM_TYPE, CTRL_FORM_ACTION, CTRL_FORM_ACTION_MENU, CTRL_STATUS, CTRL_DT_CREATE, CTRL_UID_CREATE, CTRL_DT_LUPD, CTRL_UID_LUPD</v>
      </c>
      <c r="N102"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2" t="str">
        <f t="shared" si="6"/>
        <v xml:space="preserve"> VALUES('101','ACC_TYPE_SP',NULL,'SP_FIN_HD','JOB_TRUCK_OUT_PAY','FAIL','VIEW','APPROVE_BILL',NULL,'A',NOW(), 'SYS',NOW(),'SYS','CKT');</v>
      </c>
      <c r="P102" t="str">
        <f t="shared" si="9"/>
        <v>INSERT INTO T_CK_FORM_CONTROL (CTRL_ID, CTRL_ACCN_TYPE, CTRL_ACCN, CTRL_USR_ROLE, CTRL_ENTITY_TYPE, CTRL_ENTITY_STATE, CTRL_FORM_TYPE, CTRL_FORM_ACTION, CTRL_FORM_ACTION_MENU, CTRL_STATUS, CTRL_DT_CREATE, CTRL_UID_CREATE, CTRL_DT_LUPD, CTRL_UID_LUPD,CTRL_APPS_CODE)  VALUES('101','ACC_TYPE_SP',NULL,'SP_FIN_HD','JOB_TRUCK_OUT_PAY','FAIL','VIEW','APPROVE_BILL',NULL,'A',NOW(), 'SYS',NOW(),'SYS','CKT');</v>
      </c>
    </row>
    <row r="103" spans="1:16" x14ac:dyDescent="0.2">
      <c r="A103">
        <v>102</v>
      </c>
      <c r="B103" t="s">
        <v>93</v>
      </c>
      <c r="C103" t="s">
        <v>125</v>
      </c>
      <c r="D103" t="s">
        <v>25</v>
      </c>
      <c r="E103" t="s">
        <v>487</v>
      </c>
      <c r="F103" t="s">
        <v>603</v>
      </c>
      <c r="G103" t="s">
        <v>502</v>
      </c>
      <c r="H103" t="s">
        <v>544</v>
      </c>
      <c r="I103" t="s">
        <v>125</v>
      </c>
      <c r="J103" t="s">
        <v>7</v>
      </c>
      <c r="L103" s="35" t="s">
        <v>14</v>
      </c>
      <c r="M103" t="str">
        <f t="shared" si="7"/>
        <v>INSERT INTO T_CK_FORM_CONTROL (CTRL_ID, CTRL_ACCN_TYPE, CTRL_ACCN, CTRL_USR_ROLE, CTRL_ENTITY_TYPE, CTRL_ENTITY_STATE, CTRL_FORM_TYPE, CTRL_FORM_ACTION, CTRL_FORM_ACTION_MENU, CTRL_STATUS, CTRL_DT_CREATE, CTRL_UID_CREATE, CTRL_DT_LUPD, CTRL_UID_LUPD</v>
      </c>
      <c r="N103"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3" t="str">
        <f t="shared" si="6"/>
        <v xml:space="preserve"> VALUES('102','ACC_TYPE_SP',NULL,'SP_FIN_HD','JOB_TRUCK_OUT_PAY','VER_BILL','VIEW','REJECT_BILL',NULL,'A',NOW(), 'SYS',NOW(),'SYS','CKT');</v>
      </c>
      <c r="P103" t="str">
        <f t="shared" si="9"/>
        <v>INSERT INTO T_CK_FORM_CONTROL (CTRL_ID, CTRL_ACCN_TYPE, CTRL_ACCN, CTRL_USR_ROLE, CTRL_ENTITY_TYPE, CTRL_ENTITY_STATE, CTRL_FORM_TYPE, CTRL_FORM_ACTION, CTRL_FORM_ACTION_MENU, CTRL_STATUS, CTRL_DT_CREATE, CTRL_UID_CREATE, CTRL_DT_LUPD, CTRL_UID_LUPD,CTRL_APPS_CODE)  VALUES('102','ACC_TYPE_SP',NULL,'SP_FIN_HD','JOB_TRUCK_OUT_PAY','VER_BILL','VIEW','REJECT_BILL',NULL,'A',NOW(), 'SYS',NOW(),'SYS','CKT');</v>
      </c>
    </row>
    <row r="104" spans="1:16" x14ac:dyDescent="0.2">
      <c r="A104">
        <v>103</v>
      </c>
      <c r="B104" t="s">
        <v>93</v>
      </c>
      <c r="C104" t="s">
        <v>125</v>
      </c>
      <c r="D104" t="s">
        <v>25</v>
      </c>
      <c r="E104" t="s">
        <v>487</v>
      </c>
      <c r="F104" t="s">
        <v>603</v>
      </c>
      <c r="G104" t="s">
        <v>502</v>
      </c>
      <c r="H104" t="s">
        <v>533</v>
      </c>
      <c r="I104" t="s">
        <v>125</v>
      </c>
      <c r="J104" t="s">
        <v>7</v>
      </c>
      <c r="L104" s="35" t="s">
        <v>14</v>
      </c>
      <c r="M104" t="str">
        <f t="shared" si="7"/>
        <v>INSERT INTO T_CK_FORM_CONTROL (CTRL_ID, CTRL_ACCN_TYPE, CTRL_ACCN, CTRL_USR_ROLE, CTRL_ENTITY_TYPE, CTRL_ENTITY_STATE, CTRL_FORM_TYPE, CTRL_FORM_ACTION, CTRL_FORM_ACTION_MENU, CTRL_STATUS, CTRL_DT_CREATE, CTRL_UID_CREATE, CTRL_DT_LUPD, CTRL_UID_LUPD</v>
      </c>
      <c r="N104"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4" t="str">
        <f t="shared" si="6"/>
        <v xml:space="preserve"> VALUES('103','ACC_TYPE_SP',NULL,'SP_FIN_HD','JOB_TRUCK_OUT_PAY','VER_BILL','VIEW','EXIT',NULL,'A',NOW(), 'SYS',NOW(),'SYS','CKT');</v>
      </c>
      <c r="P104" t="str">
        <f t="shared" si="9"/>
        <v>INSERT INTO T_CK_FORM_CONTROL (CTRL_ID, CTRL_ACCN_TYPE, CTRL_ACCN, CTRL_USR_ROLE, CTRL_ENTITY_TYPE, CTRL_ENTITY_STATE, CTRL_FORM_TYPE, CTRL_FORM_ACTION, CTRL_FORM_ACTION_MENU, CTRL_STATUS, CTRL_DT_CREATE, CTRL_UID_CREATE, CTRL_DT_LUPD, CTRL_UID_LUPD,CTRL_APPS_CODE)  VALUES('103','ACC_TYPE_SP',NULL,'SP_FIN_HD','JOB_TRUCK_OUT_PAY','VER_BILL','VIEW','EXIT',NULL,'A',NOW(), 'SYS',NOW(),'SYS','CKT');</v>
      </c>
    </row>
    <row r="105" spans="1:16" x14ac:dyDescent="0.2">
      <c r="A105">
        <v>104</v>
      </c>
      <c r="B105" t="s">
        <v>93</v>
      </c>
      <c r="C105" t="s">
        <v>125</v>
      </c>
      <c r="D105" t="s">
        <v>19</v>
      </c>
      <c r="E105" t="s">
        <v>489</v>
      </c>
      <c r="F105" t="s">
        <v>101</v>
      </c>
      <c r="G105" t="s">
        <v>502</v>
      </c>
      <c r="H105" t="s">
        <v>563</v>
      </c>
      <c r="I105" t="s">
        <v>125</v>
      </c>
      <c r="J105" t="s">
        <v>7</v>
      </c>
      <c r="L105" s="35" t="s">
        <v>14</v>
      </c>
      <c r="M105" t="str">
        <f t="shared" si="7"/>
        <v>INSERT INTO T_CK_FORM_CONTROL (CTRL_ID, CTRL_ACCN_TYPE, CTRL_ACCN, CTRL_USR_ROLE, CTRL_ENTITY_TYPE, CTRL_ENTITY_STATE, CTRL_FORM_TYPE, CTRL_FORM_ACTION, CTRL_FORM_ACTION_MENU, CTRL_STATUS, CTRL_DT_CREATE, CTRL_UID_CREATE, CTRL_DT_LUPD, CTRL_UID_LUPD</v>
      </c>
      <c r="N105"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5" t="str">
        <f t="shared" si="6"/>
        <v xml:space="preserve"> VALUES('104','ACC_TYPE_SP',NULL,'SP_L1','TRIP_RATE_TABLE','SUB','VIEW','VERIFY',NULL,'A',NOW(), 'SYS',NOW(),'SYS','CKT');</v>
      </c>
      <c r="P105" t="str">
        <f t="shared" si="9"/>
        <v>INSERT INTO T_CK_FORM_CONTROL (CTRL_ID, CTRL_ACCN_TYPE, CTRL_ACCN, CTRL_USR_ROLE, CTRL_ENTITY_TYPE, CTRL_ENTITY_STATE, CTRL_FORM_TYPE, CTRL_FORM_ACTION, CTRL_FORM_ACTION_MENU, CTRL_STATUS, CTRL_DT_CREATE, CTRL_UID_CREATE, CTRL_DT_LUPD, CTRL_UID_LUPD,CTRL_APPS_CODE)  VALUES('104','ACC_TYPE_SP',NULL,'SP_L1','TRIP_RATE_TABLE','SUB','VIEW','VERIFY',NULL,'A',NOW(), 'SYS',NOW(),'SYS','CKT');</v>
      </c>
    </row>
    <row r="106" spans="1:16" x14ac:dyDescent="0.2">
      <c r="A106">
        <v>105</v>
      </c>
      <c r="B106" t="s">
        <v>93</v>
      </c>
      <c r="C106" t="s">
        <v>125</v>
      </c>
      <c r="D106" t="s">
        <v>19</v>
      </c>
      <c r="E106" t="s">
        <v>489</v>
      </c>
      <c r="F106" t="s">
        <v>101</v>
      </c>
      <c r="G106" t="s">
        <v>502</v>
      </c>
      <c r="H106" t="s">
        <v>542</v>
      </c>
      <c r="I106" t="s">
        <v>125</v>
      </c>
      <c r="J106" t="s">
        <v>7</v>
      </c>
      <c r="L106" s="35" t="s">
        <v>14</v>
      </c>
      <c r="M106" t="str">
        <f t="shared" si="7"/>
        <v>INSERT INTO T_CK_FORM_CONTROL (CTRL_ID, CTRL_ACCN_TYPE, CTRL_ACCN, CTRL_USR_ROLE, CTRL_ENTITY_TYPE, CTRL_ENTITY_STATE, CTRL_FORM_TYPE, CTRL_FORM_ACTION, CTRL_FORM_ACTION_MENU, CTRL_STATUS, CTRL_DT_CREATE, CTRL_UID_CREATE, CTRL_DT_LUPD, CTRL_UID_LUPD</v>
      </c>
      <c r="N106"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6" t="str">
        <f t="shared" si="6"/>
        <v xml:space="preserve"> VALUES('105','ACC_TYPE_SP',NULL,'SP_L1','TRIP_RATE_TABLE','SUB','VIEW','REJECT',NULL,'A',NOW(), 'SYS',NOW(),'SYS','CKT');</v>
      </c>
      <c r="P106" t="str">
        <f t="shared" si="9"/>
        <v>INSERT INTO T_CK_FORM_CONTROL (CTRL_ID, CTRL_ACCN_TYPE, CTRL_ACCN, CTRL_USR_ROLE, CTRL_ENTITY_TYPE, CTRL_ENTITY_STATE, CTRL_FORM_TYPE, CTRL_FORM_ACTION, CTRL_FORM_ACTION_MENU, CTRL_STATUS, CTRL_DT_CREATE, CTRL_UID_CREATE, CTRL_DT_LUPD, CTRL_UID_LUPD,CTRL_APPS_CODE)  VALUES('105','ACC_TYPE_SP',NULL,'SP_L1','TRIP_RATE_TABLE','SUB','VIEW','REJECT',NULL,'A',NOW(), 'SYS',NOW(),'SYS','CKT');</v>
      </c>
    </row>
    <row r="107" spans="1:16" x14ac:dyDescent="0.2">
      <c r="A107">
        <v>106</v>
      </c>
      <c r="B107" t="s">
        <v>93</v>
      </c>
      <c r="C107" t="s">
        <v>125</v>
      </c>
      <c r="D107" t="s">
        <v>19</v>
      </c>
      <c r="E107" t="s">
        <v>489</v>
      </c>
      <c r="F107" t="s">
        <v>101</v>
      </c>
      <c r="G107" t="s">
        <v>502</v>
      </c>
      <c r="H107" t="s">
        <v>533</v>
      </c>
      <c r="I107" t="s">
        <v>125</v>
      </c>
      <c r="J107" t="s">
        <v>7</v>
      </c>
      <c r="L107" s="35" t="s">
        <v>14</v>
      </c>
      <c r="M107" t="str">
        <f t="shared" si="7"/>
        <v>INSERT INTO T_CK_FORM_CONTROL (CTRL_ID, CTRL_ACCN_TYPE, CTRL_ACCN, CTRL_USR_ROLE, CTRL_ENTITY_TYPE, CTRL_ENTITY_STATE, CTRL_FORM_TYPE, CTRL_FORM_ACTION, CTRL_FORM_ACTION_MENU, CTRL_STATUS, CTRL_DT_CREATE, CTRL_UID_CREATE, CTRL_DT_LUPD, CTRL_UID_LUPD</v>
      </c>
      <c r="N107"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7" t="str">
        <f t="shared" si="6"/>
        <v xml:space="preserve"> VALUES('106','ACC_TYPE_SP',NULL,'SP_L1','TRIP_RATE_TABLE','SUB','VIEW','EXIT',NULL,'A',NOW(), 'SYS',NOW(),'SYS','CKT');</v>
      </c>
      <c r="P107" t="str">
        <f t="shared" si="9"/>
        <v>INSERT INTO T_CK_FORM_CONTROL (CTRL_ID, CTRL_ACCN_TYPE, CTRL_ACCN, CTRL_USR_ROLE, CTRL_ENTITY_TYPE, CTRL_ENTITY_STATE, CTRL_FORM_TYPE, CTRL_FORM_ACTION, CTRL_FORM_ACTION_MENU, CTRL_STATUS, CTRL_DT_CREATE, CTRL_UID_CREATE, CTRL_DT_LUPD, CTRL_UID_LUPD,CTRL_APPS_CODE)  VALUES('106','ACC_TYPE_SP',NULL,'SP_L1','TRIP_RATE_TABLE','SUB','VIEW','EXIT',NULL,'A',NOW(), 'SYS',NOW(),'SYS','CKT');</v>
      </c>
    </row>
    <row r="108" spans="1:16" x14ac:dyDescent="0.2">
      <c r="A108">
        <v>107</v>
      </c>
      <c r="B108" t="s">
        <v>93</v>
      </c>
      <c r="C108" t="s">
        <v>125</v>
      </c>
      <c r="D108" t="s">
        <v>25</v>
      </c>
      <c r="E108" t="s">
        <v>489</v>
      </c>
      <c r="F108" t="s">
        <v>608</v>
      </c>
      <c r="G108" t="s">
        <v>502</v>
      </c>
      <c r="H108" t="s">
        <v>517</v>
      </c>
      <c r="I108" t="s">
        <v>125</v>
      </c>
      <c r="J108" t="s">
        <v>7</v>
      </c>
      <c r="L108" s="35" t="s">
        <v>14</v>
      </c>
      <c r="M108" t="str">
        <f t="shared" si="7"/>
        <v>INSERT INTO T_CK_FORM_CONTROL (CTRL_ID, CTRL_ACCN_TYPE, CTRL_ACCN, CTRL_USR_ROLE, CTRL_ENTITY_TYPE, CTRL_ENTITY_STATE, CTRL_FORM_TYPE, CTRL_FORM_ACTION, CTRL_FORM_ACTION_MENU, CTRL_STATUS, CTRL_DT_CREATE, CTRL_UID_CREATE, CTRL_DT_LUPD, CTRL_UID_LUPD</v>
      </c>
      <c r="N108"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8" t="str">
        <f t="shared" si="6"/>
        <v xml:space="preserve"> VALUES('107','ACC_TYPE_SP',NULL,'SP_FIN_HD','TRIP_RATE_TABLE','VER','VIEW','APPROVE',NULL,'A',NOW(), 'SYS',NOW(),'SYS','CKT');</v>
      </c>
      <c r="P108" t="str">
        <f t="shared" si="9"/>
        <v>INSERT INTO T_CK_FORM_CONTROL (CTRL_ID, CTRL_ACCN_TYPE, CTRL_ACCN, CTRL_USR_ROLE, CTRL_ENTITY_TYPE, CTRL_ENTITY_STATE, CTRL_FORM_TYPE, CTRL_FORM_ACTION, CTRL_FORM_ACTION_MENU, CTRL_STATUS, CTRL_DT_CREATE, CTRL_UID_CREATE, CTRL_DT_LUPD, CTRL_UID_LUPD,CTRL_APPS_CODE)  VALUES('107','ACC_TYPE_SP',NULL,'SP_FIN_HD','TRIP_RATE_TABLE','VER','VIEW','APPROVE',NULL,'A',NOW(), 'SYS',NOW(),'SYS','CKT');</v>
      </c>
    </row>
    <row r="109" spans="1:16" x14ac:dyDescent="0.2">
      <c r="A109">
        <v>108</v>
      </c>
      <c r="B109" t="s">
        <v>93</v>
      </c>
      <c r="C109" t="s">
        <v>125</v>
      </c>
      <c r="D109" t="s">
        <v>25</v>
      </c>
      <c r="E109" t="s">
        <v>489</v>
      </c>
      <c r="F109" t="s">
        <v>608</v>
      </c>
      <c r="G109" t="s">
        <v>502</v>
      </c>
      <c r="H109" t="s">
        <v>542</v>
      </c>
      <c r="I109" t="s">
        <v>125</v>
      </c>
      <c r="J109" t="s">
        <v>7</v>
      </c>
      <c r="L109" s="35" t="s">
        <v>14</v>
      </c>
      <c r="M109" t="str">
        <f t="shared" si="7"/>
        <v>INSERT INTO T_CK_FORM_CONTROL (CTRL_ID, CTRL_ACCN_TYPE, CTRL_ACCN, CTRL_USR_ROLE, CTRL_ENTITY_TYPE, CTRL_ENTITY_STATE, CTRL_FORM_TYPE, CTRL_FORM_ACTION, CTRL_FORM_ACTION_MENU, CTRL_STATUS, CTRL_DT_CREATE, CTRL_UID_CREATE, CTRL_DT_LUPD, CTRL_UID_LUPD</v>
      </c>
      <c r="N109"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09" t="str">
        <f t="shared" si="6"/>
        <v xml:space="preserve"> VALUES('108','ACC_TYPE_SP',NULL,'SP_FIN_HD','TRIP_RATE_TABLE','VER','VIEW','REJECT',NULL,'A',NOW(), 'SYS',NOW(),'SYS','CKT');</v>
      </c>
      <c r="P109" t="str">
        <f t="shared" si="9"/>
        <v>INSERT INTO T_CK_FORM_CONTROL (CTRL_ID, CTRL_ACCN_TYPE, CTRL_ACCN, CTRL_USR_ROLE, CTRL_ENTITY_TYPE, CTRL_ENTITY_STATE, CTRL_FORM_TYPE, CTRL_FORM_ACTION, CTRL_FORM_ACTION_MENU, CTRL_STATUS, CTRL_DT_CREATE, CTRL_UID_CREATE, CTRL_DT_LUPD, CTRL_UID_LUPD,CTRL_APPS_CODE)  VALUES('108','ACC_TYPE_SP',NULL,'SP_FIN_HD','TRIP_RATE_TABLE','VER','VIEW','REJECT',NULL,'A',NOW(), 'SYS',NOW(),'SYS','CKT');</v>
      </c>
    </row>
    <row r="110" spans="1:16" x14ac:dyDescent="0.2">
      <c r="A110">
        <v>109</v>
      </c>
      <c r="B110" t="s">
        <v>93</v>
      </c>
      <c r="C110" t="s">
        <v>125</v>
      </c>
      <c r="D110" t="s">
        <v>25</v>
      </c>
      <c r="E110" t="s">
        <v>489</v>
      </c>
      <c r="F110" t="s">
        <v>608</v>
      </c>
      <c r="G110" t="s">
        <v>502</v>
      </c>
      <c r="H110" t="s">
        <v>533</v>
      </c>
      <c r="I110" t="s">
        <v>125</v>
      </c>
      <c r="J110" t="s">
        <v>7</v>
      </c>
      <c r="L110" s="35" t="s">
        <v>14</v>
      </c>
      <c r="M110" t="str">
        <f t="shared" si="7"/>
        <v>INSERT INTO T_CK_FORM_CONTROL (CTRL_ID, CTRL_ACCN_TYPE, CTRL_ACCN, CTRL_USR_ROLE, CTRL_ENTITY_TYPE, CTRL_ENTITY_STATE, CTRL_FORM_TYPE, CTRL_FORM_ACTION, CTRL_FORM_ACTION_MENU, CTRL_STATUS, CTRL_DT_CREATE, CTRL_UID_CREATE, CTRL_DT_LUPD, CTRL_UID_LUPD</v>
      </c>
      <c r="N110"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0" t="str">
        <f t="shared" si="6"/>
        <v xml:space="preserve"> VALUES('109','ACC_TYPE_SP',NULL,'SP_FIN_HD','TRIP_RATE_TABLE','VER','VIEW','EXIT',NULL,'A',NOW(), 'SYS',NOW(),'SYS','CKT');</v>
      </c>
      <c r="P110" t="str">
        <f t="shared" si="9"/>
        <v>INSERT INTO T_CK_FORM_CONTROL (CTRL_ID, CTRL_ACCN_TYPE, CTRL_ACCN, CTRL_USR_ROLE, CTRL_ENTITY_TYPE, CTRL_ENTITY_STATE, CTRL_FORM_TYPE, CTRL_FORM_ACTION, CTRL_FORM_ACTION_MENU, CTRL_STATUS, CTRL_DT_CREATE, CTRL_UID_CREATE, CTRL_DT_LUPD, CTRL_UID_LUPD,CTRL_APPS_CODE)  VALUES('109','ACC_TYPE_SP',NULL,'SP_FIN_HD','TRIP_RATE_TABLE','VER','VIEW','EXIT',NULL,'A',NOW(), 'SYS',NOW(),'SYS','CKT');</v>
      </c>
    </row>
    <row r="111" spans="1:16" x14ac:dyDescent="0.2">
      <c r="A111">
        <v>110</v>
      </c>
      <c r="B111" t="s">
        <v>93</v>
      </c>
      <c r="C111" t="s">
        <v>125</v>
      </c>
      <c r="D111" t="s">
        <v>19</v>
      </c>
      <c r="E111" t="s">
        <v>482</v>
      </c>
      <c r="F111" t="s">
        <v>100</v>
      </c>
      <c r="G111" t="s">
        <v>498</v>
      </c>
      <c r="H111" t="s">
        <v>550</v>
      </c>
      <c r="I111" t="s">
        <v>125</v>
      </c>
      <c r="J111" t="s">
        <v>7</v>
      </c>
      <c r="L111" s="35" t="s">
        <v>14</v>
      </c>
      <c r="M111" t="str">
        <f t="shared" si="7"/>
        <v>INSERT INTO T_CK_FORM_CONTROL (CTRL_ID, CTRL_ACCN_TYPE, CTRL_ACCN, CTRL_USR_ROLE, CTRL_ENTITY_TYPE, CTRL_ENTITY_STATE, CTRL_FORM_TYPE, CTRL_FORM_ACTION, CTRL_FORM_ACTION_MENU, CTRL_STATUS, CTRL_DT_CREATE, CTRL_UID_CREATE, CTRL_DT_LUPD, CTRL_UID_LUPD</v>
      </c>
      <c r="N111"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1" t="str">
        <f t="shared" si="6"/>
        <v xml:space="preserve"> VALUES('110','ACC_TYPE_SP',NULL,'SP_L1','CREDIT_LIMIT','NEW','EDIT','SAVE',NULL,'A',NOW(), 'SYS',NOW(),'SYS','CKT');</v>
      </c>
      <c r="P111" t="str">
        <f t="shared" si="9"/>
        <v>INSERT INTO T_CK_FORM_CONTROL (CTRL_ID, CTRL_ACCN_TYPE, CTRL_ACCN, CTRL_USR_ROLE, CTRL_ENTITY_TYPE, CTRL_ENTITY_STATE, CTRL_FORM_TYPE, CTRL_FORM_ACTION, CTRL_FORM_ACTION_MENU, CTRL_STATUS, CTRL_DT_CREATE, CTRL_UID_CREATE, CTRL_DT_LUPD, CTRL_UID_LUPD,CTRL_APPS_CODE)  VALUES('110','ACC_TYPE_SP',NULL,'SP_L1','CREDIT_LIMIT','NEW','EDIT','SAVE',NULL,'A',NOW(), 'SYS',NOW(),'SYS','CKT');</v>
      </c>
    </row>
    <row r="112" spans="1:16" x14ac:dyDescent="0.2">
      <c r="A112">
        <v>111</v>
      </c>
      <c r="B112" t="s">
        <v>93</v>
      </c>
      <c r="C112" t="s">
        <v>125</v>
      </c>
      <c r="D112" t="s">
        <v>19</v>
      </c>
      <c r="E112" t="s">
        <v>482</v>
      </c>
      <c r="F112" t="s">
        <v>100</v>
      </c>
      <c r="G112" t="s">
        <v>498</v>
      </c>
      <c r="H112" t="s">
        <v>556</v>
      </c>
      <c r="I112" t="s">
        <v>125</v>
      </c>
      <c r="J112" t="s">
        <v>7</v>
      </c>
      <c r="L112" s="35" t="s">
        <v>14</v>
      </c>
      <c r="M112" t="str">
        <f t="shared" si="7"/>
        <v>INSERT INTO T_CK_FORM_CONTROL (CTRL_ID, CTRL_ACCN_TYPE, CTRL_ACCN, CTRL_USR_ROLE, CTRL_ENTITY_TYPE, CTRL_ENTITY_STATE, CTRL_FORM_TYPE, CTRL_FORM_ACTION, CTRL_FORM_ACTION_MENU, CTRL_STATUS, CTRL_DT_CREATE, CTRL_UID_CREATE, CTRL_DT_LUPD, CTRL_UID_LUPD</v>
      </c>
      <c r="N112"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2" t="str">
        <f t="shared" si="6"/>
        <v xml:space="preserve"> VALUES('111','ACC_TYPE_SP',NULL,'SP_L1','CREDIT_LIMIT','NEW','EDIT','SUBMIT',NULL,'A',NOW(), 'SYS',NOW(),'SYS','CKT');</v>
      </c>
      <c r="P112" t="str">
        <f t="shared" si="9"/>
        <v>INSERT INTO T_CK_FORM_CONTROL (CTRL_ID, CTRL_ACCN_TYPE, CTRL_ACCN, CTRL_USR_ROLE, CTRL_ENTITY_TYPE, CTRL_ENTITY_STATE, CTRL_FORM_TYPE, CTRL_FORM_ACTION, CTRL_FORM_ACTION_MENU, CTRL_STATUS, CTRL_DT_CREATE, CTRL_UID_CREATE, CTRL_DT_LUPD, CTRL_UID_LUPD,CTRL_APPS_CODE)  VALUES('111','ACC_TYPE_SP',NULL,'SP_L1','CREDIT_LIMIT','NEW','EDIT','SUBMIT',NULL,'A',NOW(), 'SYS',NOW(),'SYS','CKT');</v>
      </c>
    </row>
    <row r="113" spans="1:16" x14ac:dyDescent="0.2">
      <c r="A113">
        <v>112</v>
      </c>
      <c r="B113" t="s">
        <v>93</v>
      </c>
      <c r="C113" t="s">
        <v>125</v>
      </c>
      <c r="D113" t="s">
        <v>19</v>
      </c>
      <c r="E113" t="s">
        <v>482</v>
      </c>
      <c r="F113" t="s">
        <v>100</v>
      </c>
      <c r="G113" t="s">
        <v>498</v>
      </c>
      <c r="H113" t="s">
        <v>531</v>
      </c>
      <c r="I113" t="s">
        <v>125</v>
      </c>
      <c r="J113" t="s">
        <v>7</v>
      </c>
      <c r="L113" s="35" t="s">
        <v>14</v>
      </c>
      <c r="M113" t="str">
        <f t="shared" si="7"/>
        <v>INSERT INTO T_CK_FORM_CONTROL (CTRL_ID, CTRL_ACCN_TYPE, CTRL_ACCN, CTRL_USR_ROLE, CTRL_ENTITY_TYPE, CTRL_ENTITY_STATE, CTRL_FORM_TYPE, CTRL_FORM_ACTION, CTRL_FORM_ACTION_MENU, CTRL_STATUS, CTRL_DT_CREATE, CTRL_UID_CREATE, CTRL_DT_LUPD, CTRL_UID_LUPD</v>
      </c>
      <c r="N113"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3" t="str">
        <f t="shared" si="6"/>
        <v xml:space="preserve"> VALUES('112','ACC_TYPE_SP',NULL,'SP_L1','CREDIT_LIMIT','NEW','EDIT','DELETE',NULL,'A',NOW(), 'SYS',NOW(),'SYS','CKT');</v>
      </c>
      <c r="P113" t="str">
        <f t="shared" si="9"/>
        <v>INSERT INTO T_CK_FORM_CONTROL (CTRL_ID, CTRL_ACCN_TYPE, CTRL_ACCN, CTRL_USR_ROLE, CTRL_ENTITY_TYPE, CTRL_ENTITY_STATE, CTRL_FORM_TYPE, CTRL_FORM_ACTION, CTRL_FORM_ACTION_MENU, CTRL_STATUS, CTRL_DT_CREATE, CTRL_UID_CREATE, CTRL_DT_LUPD, CTRL_UID_LUPD,CTRL_APPS_CODE)  VALUES('112','ACC_TYPE_SP',NULL,'SP_L1','CREDIT_LIMIT','NEW','EDIT','DELETE',NULL,'A',NOW(), 'SYS',NOW(),'SYS','CKT');</v>
      </c>
    </row>
    <row r="114" spans="1:16" x14ac:dyDescent="0.2">
      <c r="A114">
        <v>113</v>
      </c>
      <c r="B114" t="s">
        <v>93</v>
      </c>
      <c r="C114" t="s">
        <v>125</v>
      </c>
      <c r="D114" t="s">
        <v>19</v>
      </c>
      <c r="E114" t="s">
        <v>482</v>
      </c>
      <c r="F114" t="s">
        <v>100</v>
      </c>
      <c r="G114" t="s">
        <v>498</v>
      </c>
      <c r="H114" t="s">
        <v>533</v>
      </c>
      <c r="I114" t="s">
        <v>125</v>
      </c>
      <c r="J114" t="s">
        <v>7</v>
      </c>
      <c r="L114" s="35" t="s">
        <v>14</v>
      </c>
      <c r="M114" t="str">
        <f t="shared" si="7"/>
        <v>INSERT INTO T_CK_FORM_CONTROL (CTRL_ID, CTRL_ACCN_TYPE, CTRL_ACCN, CTRL_USR_ROLE, CTRL_ENTITY_TYPE, CTRL_ENTITY_STATE, CTRL_FORM_TYPE, CTRL_FORM_ACTION, CTRL_FORM_ACTION_MENU, CTRL_STATUS, CTRL_DT_CREATE, CTRL_UID_CREATE, CTRL_DT_LUPD, CTRL_UID_LUPD</v>
      </c>
      <c r="N114"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4" t="str">
        <f t="shared" si="6"/>
        <v xml:space="preserve"> VALUES('113','ACC_TYPE_SP',NULL,'SP_L1','CREDIT_LIMIT','NEW','EDIT','EXIT',NULL,'A',NOW(), 'SYS',NOW(),'SYS','CKT');</v>
      </c>
      <c r="P114" t="str">
        <f t="shared" si="9"/>
        <v>INSERT INTO T_CK_FORM_CONTROL (CTRL_ID, CTRL_ACCN_TYPE, CTRL_ACCN, CTRL_USR_ROLE, CTRL_ENTITY_TYPE, CTRL_ENTITY_STATE, CTRL_FORM_TYPE, CTRL_FORM_ACTION, CTRL_FORM_ACTION_MENU, CTRL_STATUS, CTRL_DT_CREATE, CTRL_UID_CREATE, CTRL_DT_LUPD, CTRL_UID_LUPD,CTRL_APPS_CODE)  VALUES('113','ACC_TYPE_SP',NULL,'SP_L1','CREDIT_LIMIT','NEW','EDIT','EXIT',NULL,'A',NOW(), 'SYS',NOW(),'SYS','CKT');</v>
      </c>
    </row>
    <row r="115" spans="1:16" x14ac:dyDescent="0.2">
      <c r="A115">
        <v>114</v>
      </c>
      <c r="B115" t="s">
        <v>93</v>
      </c>
      <c r="C115" t="s">
        <v>125</v>
      </c>
      <c r="D115" t="s">
        <v>19</v>
      </c>
      <c r="E115" t="s">
        <v>482</v>
      </c>
      <c r="F115" t="s">
        <v>100</v>
      </c>
      <c r="G115" t="s">
        <v>502</v>
      </c>
      <c r="H115" t="s">
        <v>533</v>
      </c>
      <c r="I115" t="s">
        <v>125</v>
      </c>
      <c r="J115" t="s">
        <v>7</v>
      </c>
      <c r="L115" s="35" t="s">
        <v>14</v>
      </c>
      <c r="M115" t="str">
        <f t="shared" si="7"/>
        <v>INSERT INTO T_CK_FORM_CONTROL (CTRL_ID, CTRL_ACCN_TYPE, CTRL_ACCN, CTRL_USR_ROLE, CTRL_ENTITY_TYPE, CTRL_ENTITY_STATE, CTRL_FORM_TYPE, CTRL_FORM_ACTION, CTRL_FORM_ACTION_MENU, CTRL_STATUS, CTRL_DT_CREATE, CTRL_UID_CREATE, CTRL_DT_LUPD, CTRL_UID_LUPD</v>
      </c>
      <c r="N115"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5" t="str">
        <f t="shared" si="6"/>
        <v xml:space="preserve"> VALUES('114','ACC_TYPE_SP',NULL,'SP_L1','CREDIT_LIMIT','NEW','VIEW','EXIT',NULL,'A',NOW(), 'SYS',NOW(),'SYS','CKT');</v>
      </c>
      <c r="P115" t="str">
        <f t="shared" si="9"/>
        <v>INSERT INTO T_CK_FORM_CONTROL (CTRL_ID, CTRL_ACCN_TYPE, CTRL_ACCN, CTRL_USR_ROLE, CTRL_ENTITY_TYPE, CTRL_ENTITY_STATE, CTRL_FORM_TYPE, CTRL_FORM_ACTION, CTRL_FORM_ACTION_MENU, CTRL_STATUS, CTRL_DT_CREATE, CTRL_UID_CREATE, CTRL_DT_LUPD, CTRL_UID_LUPD,CTRL_APPS_CODE)  VALUES('114','ACC_TYPE_SP',NULL,'SP_L1','CREDIT_LIMIT','NEW','VIEW','EXIT',NULL,'A',NOW(), 'SYS',NOW(),'SYS','CKT');</v>
      </c>
    </row>
    <row r="116" spans="1:16" x14ac:dyDescent="0.2">
      <c r="A116">
        <v>115</v>
      </c>
      <c r="B116" t="s">
        <v>93</v>
      </c>
      <c r="C116" t="s">
        <v>125</v>
      </c>
      <c r="D116" t="s">
        <v>19</v>
      </c>
      <c r="E116" t="s">
        <v>482</v>
      </c>
      <c r="F116" t="s">
        <v>101</v>
      </c>
      <c r="G116" t="s">
        <v>502</v>
      </c>
      <c r="H116" t="s">
        <v>533</v>
      </c>
      <c r="I116" t="s">
        <v>125</v>
      </c>
      <c r="J116" t="s">
        <v>7</v>
      </c>
      <c r="L116" s="35" t="s">
        <v>14</v>
      </c>
      <c r="M116" t="str">
        <f t="shared" si="7"/>
        <v>INSERT INTO T_CK_FORM_CONTROL (CTRL_ID, CTRL_ACCN_TYPE, CTRL_ACCN, CTRL_USR_ROLE, CTRL_ENTITY_TYPE, CTRL_ENTITY_STATE, CTRL_FORM_TYPE, CTRL_FORM_ACTION, CTRL_FORM_ACTION_MENU, CTRL_STATUS, CTRL_DT_CREATE, CTRL_UID_CREATE, CTRL_DT_LUPD, CTRL_UID_LUPD</v>
      </c>
      <c r="N116"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6" t="str">
        <f t="shared" si="6"/>
        <v xml:space="preserve"> VALUES('115','ACC_TYPE_SP',NULL,'SP_L1','CREDIT_LIMIT','SUB','VIEW','EXIT',NULL,'A',NOW(), 'SYS',NOW(),'SYS','CKT');</v>
      </c>
      <c r="P116" t="str">
        <f t="shared" si="9"/>
        <v>INSERT INTO T_CK_FORM_CONTROL (CTRL_ID, CTRL_ACCN_TYPE, CTRL_ACCN, CTRL_USR_ROLE, CTRL_ENTITY_TYPE, CTRL_ENTITY_STATE, CTRL_FORM_TYPE, CTRL_FORM_ACTION, CTRL_FORM_ACTION_MENU, CTRL_STATUS, CTRL_DT_CREATE, CTRL_UID_CREATE, CTRL_DT_LUPD, CTRL_UID_LUPD,CTRL_APPS_CODE)  VALUES('115','ACC_TYPE_SP',NULL,'SP_L1','CREDIT_LIMIT','SUB','VIEW','EXIT',NULL,'A',NOW(), 'SYS',NOW(),'SYS','CKT');</v>
      </c>
    </row>
    <row r="117" spans="1:16" x14ac:dyDescent="0.2">
      <c r="A117">
        <v>116</v>
      </c>
      <c r="B117" t="s">
        <v>93</v>
      </c>
      <c r="C117" t="s">
        <v>125</v>
      </c>
      <c r="D117" t="s">
        <v>19</v>
      </c>
      <c r="E117" t="s">
        <v>482</v>
      </c>
      <c r="F117" t="s">
        <v>105</v>
      </c>
      <c r="G117" t="s">
        <v>502</v>
      </c>
      <c r="H117" t="s">
        <v>533</v>
      </c>
      <c r="I117" t="s">
        <v>125</v>
      </c>
      <c r="J117" t="s">
        <v>7</v>
      </c>
      <c r="L117" s="35" t="s">
        <v>14</v>
      </c>
      <c r="M117" t="str">
        <f t="shared" si="7"/>
        <v>INSERT INTO T_CK_FORM_CONTROL (CTRL_ID, CTRL_ACCN_TYPE, CTRL_ACCN, CTRL_USR_ROLE, CTRL_ENTITY_TYPE, CTRL_ENTITY_STATE, CTRL_FORM_TYPE, CTRL_FORM_ACTION, CTRL_FORM_ACTION_MENU, CTRL_STATUS, CTRL_DT_CREATE, CTRL_UID_CREATE, CTRL_DT_LUPD, CTRL_UID_LUPD</v>
      </c>
      <c r="N117"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7" t="str">
        <f t="shared" si="6"/>
        <v xml:space="preserve"> VALUES('116','ACC_TYPE_SP',NULL,'SP_L1','CREDIT_LIMIT','APP','VIEW','EXIT',NULL,'A',NOW(), 'SYS',NOW(),'SYS','CKT');</v>
      </c>
      <c r="P117" t="str">
        <f t="shared" si="9"/>
        <v>INSERT INTO T_CK_FORM_CONTROL (CTRL_ID, CTRL_ACCN_TYPE, CTRL_ACCN, CTRL_USR_ROLE, CTRL_ENTITY_TYPE, CTRL_ENTITY_STATE, CTRL_FORM_TYPE, CTRL_FORM_ACTION, CTRL_FORM_ACTION_MENU, CTRL_STATUS, CTRL_DT_CREATE, CTRL_UID_CREATE, CTRL_DT_LUPD, CTRL_UID_LUPD,CTRL_APPS_CODE)  VALUES('116','ACC_TYPE_SP',NULL,'SP_L1','CREDIT_LIMIT','APP','VIEW','EXIT',NULL,'A',NOW(), 'SYS',NOW(),'SYS','CKT');</v>
      </c>
    </row>
    <row r="118" spans="1:16" x14ac:dyDescent="0.2">
      <c r="A118">
        <v>117</v>
      </c>
      <c r="B118" t="s">
        <v>93</v>
      </c>
      <c r="C118" t="s">
        <v>125</v>
      </c>
      <c r="D118" t="s">
        <v>25</v>
      </c>
      <c r="E118" t="s">
        <v>482</v>
      </c>
      <c r="F118" t="s">
        <v>101</v>
      </c>
      <c r="G118" t="s">
        <v>502</v>
      </c>
      <c r="H118" t="s">
        <v>517</v>
      </c>
      <c r="I118" t="s">
        <v>125</v>
      </c>
      <c r="J118" t="s">
        <v>7</v>
      </c>
      <c r="L118" s="35" t="s">
        <v>14</v>
      </c>
      <c r="M118" t="str">
        <f t="shared" si="7"/>
        <v>INSERT INTO T_CK_FORM_CONTROL (CTRL_ID, CTRL_ACCN_TYPE, CTRL_ACCN, CTRL_USR_ROLE, CTRL_ENTITY_TYPE, CTRL_ENTITY_STATE, CTRL_FORM_TYPE, CTRL_FORM_ACTION, CTRL_FORM_ACTION_MENU, CTRL_STATUS, CTRL_DT_CREATE, CTRL_UID_CREATE, CTRL_DT_LUPD, CTRL_UID_LUPD</v>
      </c>
      <c r="N118"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8" t="str">
        <f t="shared" si="6"/>
        <v xml:space="preserve"> VALUES('117','ACC_TYPE_SP',NULL,'SP_FIN_HD','CREDIT_LIMIT','SUB','VIEW','APPROVE',NULL,'A',NOW(), 'SYS',NOW(),'SYS','CKT');</v>
      </c>
      <c r="P118" t="str">
        <f t="shared" si="9"/>
        <v>INSERT INTO T_CK_FORM_CONTROL (CTRL_ID, CTRL_ACCN_TYPE, CTRL_ACCN, CTRL_USR_ROLE, CTRL_ENTITY_TYPE, CTRL_ENTITY_STATE, CTRL_FORM_TYPE, CTRL_FORM_ACTION, CTRL_FORM_ACTION_MENU, CTRL_STATUS, CTRL_DT_CREATE, CTRL_UID_CREATE, CTRL_DT_LUPD, CTRL_UID_LUPD,CTRL_APPS_CODE)  VALUES('117','ACC_TYPE_SP',NULL,'SP_FIN_HD','CREDIT_LIMIT','SUB','VIEW','APPROVE',NULL,'A',NOW(), 'SYS',NOW(),'SYS','CKT');</v>
      </c>
    </row>
    <row r="119" spans="1:16" x14ac:dyDescent="0.2">
      <c r="A119">
        <v>118</v>
      </c>
      <c r="B119" t="s">
        <v>93</v>
      </c>
      <c r="C119" t="s">
        <v>125</v>
      </c>
      <c r="D119" t="s">
        <v>25</v>
      </c>
      <c r="E119" t="s">
        <v>482</v>
      </c>
      <c r="F119" t="s">
        <v>101</v>
      </c>
      <c r="G119" t="s">
        <v>502</v>
      </c>
      <c r="H119" t="s">
        <v>542</v>
      </c>
      <c r="I119" t="s">
        <v>125</v>
      </c>
      <c r="J119" t="s">
        <v>7</v>
      </c>
      <c r="L119" s="35" t="s">
        <v>14</v>
      </c>
      <c r="M119" t="str">
        <f t="shared" si="7"/>
        <v>INSERT INTO T_CK_FORM_CONTROL (CTRL_ID, CTRL_ACCN_TYPE, CTRL_ACCN, CTRL_USR_ROLE, CTRL_ENTITY_TYPE, CTRL_ENTITY_STATE, CTRL_FORM_TYPE, CTRL_FORM_ACTION, CTRL_FORM_ACTION_MENU, CTRL_STATUS, CTRL_DT_CREATE, CTRL_UID_CREATE, CTRL_DT_LUPD, CTRL_UID_LUPD</v>
      </c>
      <c r="N119"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19" t="str">
        <f t="shared" si="6"/>
        <v xml:space="preserve"> VALUES('118','ACC_TYPE_SP',NULL,'SP_FIN_HD','CREDIT_LIMIT','SUB','VIEW','REJECT',NULL,'A',NOW(), 'SYS',NOW(),'SYS','CKT');</v>
      </c>
      <c r="P119" t="str">
        <f t="shared" si="9"/>
        <v>INSERT INTO T_CK_FORM_CONTROL (CTRL_ID, CTRL_ACCN_TYPE, CTRL_ACCN, CTRL_USR_ROLE, CTRL_ENTITY_TYPE, CTRL_ENTITY_STATE, CTRL_FORM_TYPE, CTRL_FORM_ACTION, CTRL_FORM_ACTION_MENU, CTRL_STATUS, CTRL_DT_CREATE, CTRL_UID_CREATE, CTRL_DT_LUPD, CTRL_UID_LUPD,CTRL_APPS_CODE)  VALUES('118','ACC_TYPE_SP',NULL,'SP_FIN_HD','CREDIT_LIMIT','SUB','VIEW','REJECT',NULL,'A',NOW(), 'SYS',NOW(),'SYS','CKT');</v>
      </c>
    </row>
    <row r="120" spans="1:16" x14ac:dyDescent="0.2">
      <c r="A120">
        <v>119</v>
      </c>
      <c r="B120" t="s">
        <v>93</v>
      </c>
      <c r="C120" t="s">
        <v>125</v>
      </c>
      <c r="D120" t="s">
        <v>25</v>
      </c>
      <c r="E120" t="s">
        <v>482</v>
      </c>
      <c r="F120" t="s">
        <v>101</v>
      </c>
      <c r="G120" t="s">
        <v>502</v>
      </c>
      <c r="H120" t="s">
        <v>533</v>
      </c>
      <c r="I120" t="s">
        <v>125</v>
      </c>
      <c r="J120" t="s">
        <v>7</v>
      </c>
      <c r="L120" s="35" t="s">
        <v>14</v>
      </c>
      <c r="M120" t="str">
        <f t="shared" si="7"/>
        <v>INSERT INTO T_CK_FORM_CONTROL (CTRL_ID, CTRL_ACCN_TYPE, CTRL_ACCN, CTRL_USR_ROLE, CTRL_ENTITY_TYPE, CTRL_ENTITY_STATE, CTRL_FORM_TYPE, CTRL_FORM_ACTION, CTRL_FORM_ACTION_MENU, CTRL_STATUS, CTRL_DT_CREATE, CTRL_UID_CREATE, CTRL_DT_LUPD, CTRL_UID_LUPD</v>
      </c>
      <c r="N120"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0" t="str">
        <f t="shared" si="6"/>
        <v xml:space="preserve"> VALUES('119','ACC_TYPE_SP',NULL,'SP_FIN_HD','CREDIT_LIMIT','SUB','VIEW','EXIT',NULL,'A',NOW(), 'SYS',NOW(),'SYS','CKT');</v>
      </c>
      <c r="P120" t="str">
        <f t="shared" si="9"/>
        <v>INSERT INTO T_CK_FORM_CONTROL (CTRL_ID, CTRL_ACCN_TYPE, CTRL_ACCN, CTRL_USR_ROLE, CTRL_ENTITY_TYPE, CTRL_ENTITY_STATE, CTRL_FORM_TYPE, CTRL_FORM_ACTION, CTRL_FORM_ACTION_MENU, CTRL_STATUS, CTRL_DT_CREATE, CTRL_UID_CREATE, CTRL_DT_LUPD, CTRL_UID_LUPD,CTRL_APPS_CODE)  VALUES('119','ACC_TYPE_SP',NULL,'SP_FIN_HD','CREDIT_LIMIT','SUB','VIEW','EXIT',NULL,'A',NOW(), 'SYS',NOW(),'SYS','CKT');</v>
      </c>
    </row>
    <row r="121" spans="1:16" x14ac:dyDescent="0.2">
      <c r="A121">
        <v>120</v>
      </c>
      <c r="B121" t="s">
        <v>93</v>
      </c>
      <c r="C121" t="s">
        <v>125</v>
      </c>
      <c r="D121" t="s">
        <v>25</v>
      </c>
      <c r="E121" t="s">
        <v>482</v>
      </c>
      <c r="F121" t="s">
        <v>105</v>
      </c>
      <c r="G121" t="s">
        <v>502</v>
      </c>
      <c r="H121" t="s">
        <v>533</v>
      </c>
      <c r="I121" t="s">
        <v>125</v>
      </c>
      <c r="J121" t="s">
        <v>7</v>
      </c>
      <c r="L121" s="35" t="s">
        <v>14</v>
      </c>
      <c r="M121" t="str">
        <f t="shared" si="7"/>
        <v>INSERT INTO T_CK_FORM_CONTROL (CTRL_ID, CTRL_ACCN_TYPE, CTRL_ACCN, CTRL_USR_ROLE, CTRL_ENTITY_TYPE, CTRL_ENTITY_STATE, CTRL_FORM_TYPE, CTRL_FORM_ACTION, CTRL_FORM_ACTION_MENU, CTRL_STATUS, CTRL_DT_CREATE, CTRL_UID_CREATE, CTRL_DT_LUPD, CTRL_UID_LUPD</v>
      </c>
      <c r="N121"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1" t="str">
        <f t="shared" si="6"/>
        <v xml:space="preserve"> VALUES('120','ACC_TYPE_SP',NULL,'SP_FIN_HD','CREDIT_LIMIT','APP','VIEW','EXIT',NULL,'A',NOW(), 'SYS',NOW(),'SYS','CKT');</v>
      </c>
      <c r="P121" t="str">
        <f t="shared" si="9"/>
        <v>INSERT INTO T_CK_FORM_CONTROL (CTRL_ID, CTRL_ACCN_TYPE, CTRL_ACCN, CTRL_USR_ROLE, CTRL_ENTITY_TYPE, CTRL_ENTITY_STATE, CTRL_FORM_TYPE, CTRL_FORM_ACTION, CTRL_FORM_ACTION_MENU, CTRL_STATUS, CTRL_DT_CREATE, CTRL_UID_CREATE, CTRL_DT_LUPD, CTRL_UID_LUPD,CTRL_APPS_CODE)  VALUES('120','ACC_TYPE_SP',NULL,'SP_FIN_HD','CREDIT_LIMIT','APP','VIEW','EXIT',NULL,'A',NOW(), 'SYS',NOW(),'SYS','CKT');</v>
      </c>
    </row>
    <row r="122" spans="1:16" x14ac:dyDescent="0.2">
      <c r="A122">
        <v>121</v>
      </c>
      <c r="B122" t="s">
        <v>93</v>
      </c>
      <c r="C122" t="s">
        <v>125</v>
      </c>
      <c r="D122" t="s">
        <v>19</v>
      </c>
      <c r="E122" t="s">
        <v>483</v>
      </c>
      <c r="F122" t="s">
        <v>100</v>
      </c>
      <c r="G122" t="s">
        <v>498</v>
      </c>
      <c r="H122" t="s">
        <v>550</v>
      </c>
      <c r="I122" t="s">
        <v>125</v>
      </c>
      <c r="J122" t="s">
        <v>7</v>
      </c>
      <c r="L122" s="35" t="s">
        <v>14</v>
      </c>
      <c r="M122" t="str">
        <f t="shared" si="7"/>
        <v>INSERT INTO T_CK_FORM_CONTROL (CTRL_ID, CTRL_ACCN_TYPE, CTRL_ACCN, CTRL_USR_ROLE, CTRL_ENTITY_TYPE, CTRL_ENTITY_STATE, CTRL_FORM_TYPE, CTRL_FORM_ACTION, CTRL_FORM_ACTION_MENU, CTRL_STATUS, CTRL_DT_CREATE, CTRL_UID_CREATE, CTRL_DT_LUPD, CTRL_UID_LUPD</v>
      </c>
      <c r="N122"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2" t="str">
        <f t="shared" si="6"/>
        <v xml:space="preserve"> VALUES('121','ACC_TYPE_SP',NULL,'SP_L1','JOB_TERMINATION','NEW','EDIT','SAVE',NULL,'A',NOW(), 'SYS',NOW(),'SYS','CKT');</v>
      </c>
      <c r="P122" t="str">
        <f t="shared" si="9"/>
        <v>INSERT INTO T_CK_FORM_CONTROL (CTRL_ID, CTRL_ACCN_TYPE, CTRL_ACCN, CTRL_USR_ROLE, CTRL_ENTITY_TYPE, CTRL_ENTITY_STATE, CTRL_FORM_TYPE, CTRL_FORM_ACTION, CTRL_FORM_ACTION_MENU, CTRL_STATUS, CTRL_DT_CREATE, CTRL_UID_CREATE, CTRL_DT_LUPD, CTRL_UID_LUPD,CTRL_APPS_CODE)  VALUES('121','ACC_TYPE_SP',NULL,'SP_L1','JOB_TERMINATION','NEW','EDIT','SAVE',NULL,'A',NOW(), 'SYS',NOW(),'SYS','CKT');</v>
      </c>
    </row>
    <row r="123" spans="1:16" x14ac:dyDescent="0.2">
      <c r="A123">
        <v>122</v>
      </c>
      <c r="B123" t="s">
        <v>93</v>
      </c>
      <c r="C123" t="s">
        <v>125</v>
      </c>
      <c r="D123" t="s">
        <v>19</v>
      </c>
      <c r="E123" t="s">
        <v>483</v>
      </c>
      <c r="F123" t="s">
        <v>100</v>
      </c>
      <c r="G123" t="s">
        <v>498</v>
      </c>
      <c r="H123" t="s">
        <v>556</v>
      </c>
      <c r="I123" t="s">
        <v>125</v>
      </c>
      <c r="J123" t="s">
        <v>7</v>
      </c>
      <c r="L123" s="35" t="s">
        <v>14</v>
      </c>
      <c r="M123" t="str">
        <f t="shared" si="7"/>
        <v>INSERT INTO T_CK_FORM_CONTROL (CTRL_ID, CTRL_ACCN_TYPE, CTRL_ACCN, CTRL_USR_ROLE, CTRL_ENTITY_TYPE, CTRL_ENTITY_STATE, CTRL_FORM_TYPE, CTRL_FORM_ACTION, CTRL_FORM_ACTION_MENU, CTRL_STATUS, CTRL_DT_CREATE, CTRL_UID_CREATE, CTRL_DT_LUPD, CTRL_UID_LUPD</v>
      </c>
      <c r="N123"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3" t="str">
        <f t="shared" si="6"/>
        <v xml:space="preserve"> VALUES('122','ACC_TYPE_SP',NULL,'SP_L1','JOB_TERMINATION','NEW','EDIT','SUBMIT',NULL,'A',NOW(), 'SYS',NOW(),'SYS','CKT');</v>
      </c>
      <c r="P123" t="str">
        <f t="shared" si="9"/>
        <v>INSERT INTO T_CK_FORM_CONTROL (CTRL_ID, CTRL_ACCN_TYPE, CTRL_ACCN, CTRL_USR_ROLE, CTRL_ENTITY_TYPE, CTRL_ENTITY_STATE, CTRL_FORM_TYPE, CTRL_FORM_ACTION, CTRL_FORM_ACTION_MENU, CTRL_STATUS, CTRL_DT_CREATE, CTRL_UID_CREATE, CTRL_DT_LUPD, CTRL_UID_LUPD,CTRL_APPS_CODE)  VALUES('122','ACC_TYPE_SP',NULL,'SP_L1','JOB_TERMINATION','NEW','EDIT','SUBMIT',NULL,'A',NOW(), 'SYS',NOW(),'SYS','CKT');</v>
      </c>
    </row>
    <row r="124" spans="1:16" x14ac:dyDescent="0.2">
      <c r="A124">
        <v>123</v>
      </c>
      <c r="B124" t="s">
        <v>93</v>
      </c>
      <c r="C124" t="s">
        <v>125</v>
      </c>
      <c r="D124" t="s">
        <v>19</v>
      </c>
      <c r="E124" t="s">
        <v>483</v>
      </c>
      <c r="F124" t="s">
        <v>100</v>
      </c>
      <c r="G124" t="s">
        <v>498</v>
      </c>
      <c r="H124" t="s">
        <v>531</v>
      </c>
      <c r="I124" t="s">
        <v>125</v>
      </c>
      <c r="J124" t="s">
        <v>7</v>
      </c>
      <c r="L124" s="35" t="s">
        <v>14</v>
      </c>
      <c r="M124" t="str">
        <f t="shared" si="7"/>
        <v>INSERT INTO T_CK_FORM_CONTROL (CTRL_ID, CTRL_ACCN_TYPE, CTRL_ACCN, CTRL_USR_ROLE, CTRL_ENTITY_TYPE, CTRL_ENTITY_STATE, CTRL_FORM_TYPE, CTRL_FORM_ACTION, CTRL_FORM_ACTION_MENU, CTRL_STATUS, CTRL_DT_CREATE, CTRL_UID_CREATE, CTRL_DT_LUPD, CTRL_UID_LUPD</v>
      </c>
      <c r="N124"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4" t="str">
        <f t="shared" si="6"/>
        <v xml:space="preserve"> VALUES('123','ACC_TYPE_SP',NULL,'SP_L1','JOB_TERMINATION','NEW','EDIT','DELETE',NULL,'A',NOW(), 'SYS',NOW(),'SYS','CKT');</v>
      </c>
      <c r="P124" t="str">
        <f t="shared" si="9"/>
        <v>INSERT INTO T_CK_FORM_CONTROL (CTRL_ID, CTRL_ACCN_TYPE, CTRL_ACCN, CTRL_USR_ROLE, CTRL_ENTITY_TYPE, CTRL_ENTITY_STATE, CTRL_FORM_TYPE, CTRL_FORM_ACTION, CTRL_FORM_ACTION_MENU, CTRL_STATUS, CTRL_DT_CREATE, CTRL_UID_CREATE, CTRL_DT_LUPD, CTRL_UID_LUPD,CTRL_APPS_CODE)  VALUES('123','ACC_TYPE_SP',NULL,'SP_L1','JOB_TERMINATION','NEW','EDIT','DELETE',NULL,'A',NOW(), 'SYS',NOW(),'SYS','CKT');</v>
      </c>
    </row>
    <row r="125" spans="1:16" x14ac:dyDescent="0.2">
      <c r="A125">
        <v>124</v>
      </c>
      <c r="B125" t="s">
        <v>93</v>
      </c>
      <c r="C125" t="s">
        <v>125</v>
      </c>
      <c r="D125" t="s">
        <v>19</v>
      </c>
      <c r="E125" t="s">
        <v>483</v>
      </c>
      <c r="F125" t="s">
        <v>100</v>
      </c>
      <c r="G125" t="s">
        <v>498</v>
      </c>
      <c r="H125" t="s">
        <v>533</v>
      </c>
      <c r="I125" t="s">
        <v>125</v>
      </c>
      <c r="J125" t="s">
        <v>7</v>
      </c>
      <c r="L125" s="35" t="s">
        <v>14</v>
      </c>
      <c r="M125" t="str">
        <f t="shared" si="7"/>
        <v>INSERT INTO T_CK_FORM_CONTROL (CTRL_ID, CTRL_ACCN_TYPE, CTRL_ACCN, CTRL_USR_ROLE, CTRL_ENTITY_TYPE, CTRL_ENTITY_STATE, CTRL_FORM_TYPE, CTRL_FORM_ACTION, CTRL_FORM_ACTION_MENU, CTRL_STATUS, CTRL_DT_CREATE, CTRL_UID_CREATE, CTRL_DT_LUPD, CTRL_UID_LUPD</v>
      </c>
      <c r="N125"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5" t="str">
        <f t="shared" si="6"/>
        <v xml:space="preserve"> VALUES('124','ACC_TYPE_SP',NULL,'SP_L1','JOB_TERMINATION','NEW','EDIT','EXIT',NULL,'A',NOW(), 'SYS',NOW(),'SYS','CKT');</v>
      </c>
      <c r="P125" t="str">
        <f t="shared" si="9"/>
        <v>INSERT INTO T_CK_FORM_CONTROL (CTRL_ID, CTRL_ACCN_TYPE, CTRL_ACCN, CTRL_USR_ROLE, CTRL_ENTITY_TYPE, CTRL_ENTITY_STATE, CTRL_FORM_TYPE, CTRL_FORM_ACTION, CTRL_FORM_ACTION_MENU, CTRL_STATUS, CTRL_DT_CREATE, CTRL_UID_CREATE, CTRL_DT_LUPD, CTRL_UID_LUPD,CTRL_APPS_CODE)  VALUES('124','ACC_TYPE_SP',NULL,'SP_L1','JOB_TERMINATION','NEW','EDIT','EXIT',NULL,'A',NOW(), 'SYS',NOW(),'SYS','CKT');</v>
      </c>
    </row>
    <row r="126" spans="1:16" x14ac:dyDescent="0.2">
      <c r="A126">
        <v>125</v>
      </c>
      <c r="B126" t="s">
        <v>93</v>
      </c>
      <c r="C126" t="s">
        <v>125</v>
      </c>
      <c r="D126" t="s">
        <v>19</v>
      </c>
      <c r="E126" t="s">
        <v>483</v>
      </c>
      <c r="F126" t="s">
        <v>100</v>
      </c>
      <c r="G126" t="s">
        <v>502</v>
      </c>
      <c r="H126" t="s">
        <v>533</v>
      </c>
      <c r="I126" t="s">
        <v>125</v>
      </c>
      <c r="J126" t="s">
        <v>7</v>
      </c>
      <c r="L126" s="35" t="s">
        <v>14</v>
      </c>
      <c r="M126" t="str">
        <f t="shared" si="7"/>
        <v>INSERT INTO T_CK_FORM_CONTROL (CTRL_ID, CTRL_ACCN_TYPE, CTRL_ACCN, CTRL_USR_ROLE, CTRL_ENTITY_TYPE, CTRL_ENTITY_STATE, CTRL_FORM_TYPE, CTRL_FORM_ACTION, CTRL_FORM_ACTION_MENU, CTRL_STATUS, CTRL_DT_CREATE, CTRL_UID_CREATE, CTRL_DT_LUPD, CTRL_UID_LUPD</v>
      </c>
      <c r="N126"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6" t="str">
        <f t="shared" si="6"/>
        <v xml:space="preserve"> VALUES('125','ACC_TYPE_SP',NULL,'SP_L1','JOB_TERMINATION','NEW','VIEW','EXIT',NULL,'A',NOW(), 'SYS',NOW(),'SYS','CKT');</v>
      </c>
      <c r="P126" t="str">
        <f t="shared" si="9"/>
        <v>INSERT INTO T_CK_FORM_CONTROL (CTRL_ID, CTRL_ACCN_TYPE, CTRL_ACCN, CTRL_USR_ROLE, CTRL_ENTITY_TYPE, CTRL_ENTITY_STATE, CTRL_FORM_TYPE, CTRL_FORM_ACTION, CTRL_FORM_ACTION_MENU, CTRL_STATUS, CTRL_DT_CREATE, CTRL_UID_CREATE, CTRL_DT_LUPD, CTRL_UID_LUPD,CTRL_APPS_CODE)  VALUES('125','ACC_TYPE_SP',NULL,'SP_L1','JOB_TERMINATION','NEW','VIEW','EXIT',NULL,'A',NOW(), 'SYS',NOW(),'SYS','CKT');</v>
      </c>
    </row>
    <row r="127" spans="1:16" x14ac:dyDescent="0.2">
      <c r="A127">
        <v>126</v>
      </c>
      <c r="B127" t="s">
        <v>93</v>
      </c>
      <c r="C127" t="s">
        <v>125</v>
      </c>
      <c r="D127" t="s">
        <v>19</v>
      </c>
      <c r="E127" t="s">
        <v>483</v>
      </c>
      <c r="F127" t="s">
        <v>101</v>
      </c>
      <c r="G127" t="s">
        <v>502</v>
      </c>
      <c r="H127" t="s">
        <v>533</v>
      </c>
      <c r="I127" t="s">
        <v>125</v>
      </c>
      <c r="J127" t="s">
        <v>7</v>
      </c>
      <c r="L127" s="35" t="s">
        <v>14</v>
      </c>
      <c r="M127" t="str">
        <f t="shared" si="7"/>
        <v>INSERT INTO T_CK_FORM_CONTROL (CTRL_ID, CTRL_ACCN_TYPE, CTRL_ACCN, CTRL_USR_ROLE, CTRL_ENTITY_TYPE, CTRL_ENTITY_STATE, CTRL_FORM_TYPE, CTRL_FORM_ACTION, CTRL_FORM_ACTION_MENU, CTRL_STATUS, CTRL_DT_CREATE, CTRL_UID_CREATE, CTRL_DT_LUPD, CTRL_UID_LUPD</v>
      </c>
      <c r="N127"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7" t="str">
        <f t="shared" si="6"/>
        <v xml:space="preserve"> VALUES('126','ACC_TYPE_SP',NULL,'SP_L1','JOB_TERMINATION','SUB','VIEW','EXIT',NULL,'A',NOW(), 'SYS',NOW(),'SYS','CKT');</v>
      </c>
      <c r="P127" t="str">
        <f t="shared" si="9"/>
        <v>INSERT INTO T_CK_FORM_CONTROL (CTRL_ID, CTRL_ACCN_TYPE, CTRL_ACCN, CTRL_USR_ROLE, CTRL_ENTITY_TYPE, CTRL_ENTITY_STATE, CTRL_FORM_TYPE, CTRL_FORM_ACTION, CTRL_FORM_ACTION_MENU, CTRL_STATUS, CTRL_DT_CREATE, CTRL_UID_CREATE, CTRL_DT_LUPD, CTRL_UID_LUPD,CTRL_APPS_CODE)  VALUES('126','ACC_TYPE_SP',NULL,'SP_L1','JOB_TERMINATION','SUB','VIEW','EXIT',NULL,'A',NOW(), 'SYS',NOW(),'SYS','CKT');</v>
      </c>
    </row>
    <row r="128" spans="1:16" x14ac:dyDescent="0.2">
      <c r="A128">
        <v>127</v>
      </c>
      <c r="B128" t="s">
        <v>93</v>
      </c>
      <c r="C128" t="s">
        <v>125</v>
      </c>
      <c r="D128" t="s">
        <v>19</v>
      </c>
      <c r="E128" t="s">
        <v>483</v>
      </c>
      <c r="F128" t="s">
        <v>105</v>
      </c>
      <c r="G128" t="s">
        <v>502</v>
      </c>
      <c r="H128" t="s">
        <v>533</v>
      </c>
      <c r="I128" t="s">
        <v>125</v>
      </c>
      <c r="J128" t="s">
        <v>7</v>
      </c>
      <c r="L128" s="35" t="s">
        <v>14</v>
      </c>
      <c r="M128" t="str">
        <f t="shared" si="7"/>
        <v>INSERT INTO T_CK_FORM_CONTROL (CTRL_ID, CTRL_ACCN_TYPE, CTRL_ACCN, CTRL_USR_ROLE, CTRL_ENTITY_TYPE, CTRL_ENTITY_STATE, CTRL_FORM_TYPE, CTRL_FORM_ACTION, CTRL_FORM_ACTION_MENU, CTRL_STATUS, CTRL_DT_CREATE, CTRL_UID_CREATE, CTRL_DT_LUPD, CTRL_UID_LUPD</v>
      </c>
      <c r="N128"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8" t="str">
        <f t="shared" si="6"/>
        <v xml:space="preserve"> VALUES('127','ACC_TYPE_SP',NULL,'SP_L1','JOB_TERMINATION','APP','VIEW','EXIT',NULL,'A',NOW(), 'SYS',NOW(),'SYS','CKT');</v>
      </c>
      <c r="P128" t="str">
        <f t="shared" si="9"/>
        <v>INSERT INTO T_CK_FORM_CONTROL (CTRL_ID, CTRL_ACCN_TYPE, CTRL_ACCN, CTRL_USR_ROLE, CTRL_ENTITY_TYPE, CTRL_ENTITY_STATE, CTRL_FORM_TYPE, CTRL_FORM_ACTION, CTRL_FORM_ACTION_MENU, CTRL_STATUS, CTRL_DT_CREATE, CTRL_UID_CREATE, CTRL_DT_LUPD, CTRL_UID_LUPD,CTRL_APPS_CODE)  VALUES('127','ACC_TYPE_SP',NULL,'SP_L1','JOB_TERMINATION','APP','VIEW','EXIT',NULL,'A',NOW(), 'SYS',NOW(),'SYS','CKT');</v>
      </c>
    </row>
    <row r="129" spans="1:16" x14ac:dyDescent="0.2">
      <c r="A129">
        <v>128</v>
      </c>
      <c r="B129" t="s">
        <v>93</v>
      </c>
      <c r="C129" t="s">
        <v>125</v>
      </c>
      <c r="D129" t="s">
        <v>25</v>
      </c>
      <c r="E129" t="s">
        <v>483</v>
      </c>
      <c r="F129" t="s">
        <v>101</v>
      </c>
      <c r="G129" t="s">
        <v>502</v>
      </c>
      <c r="H129" t="s">
        <v>517</v>
      </c>
      <c r="I129" t="s">
        <v>125</v>
      </c>
      <c r="J129" t="s">
        <v>7</v>
      </c>
      <c r="L129" s="35" t="s">
        <v>14</v>
      </c>
      <c r="M129" t="str">
        <f t="shared" si="7"/>
        <v>INSERT INTO T_CK_FORM_CONTROL (CTRL_ID, CTRL_ACCN_TYPE, CTRL_ACCN, CTRL_USR_ROLE, CTRL_ENTITY_TYPE, CTRL_ENTITY_STATE, CTRL_FORM_TYPE, CTRL_FORM_ACTION, CTRL_FORM_ACTION_MENU, CTRL_STATUS, CTRL_DT_CREATE, CTRL_UID_CREATE, CTRL_DT_LUPD, CTRL_UID_LUPD</v>
      </c>
      <c r="N129"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29" t="str">
        <f t="shared" si="6"/>
        <v xml:space="preserve"> VALUES('128','ACC_TYPE_SP',NULL,'SP_FIN_HD','JOB_TERMINATION','SUB','VIEW','APPROVE',NULL,'A',NOW(), 'SYS',NOW(),'SYS','CKT');</v>
      </c>
      <c r="P129" t="str">
        <f t="shared" si="9"/>
        <v>INSERT INTO T_CK_FORM_CONTROL (CTRL_ID, CTRL_ACCN_TYPE, CTRL_ACCN, CTRL_USR_ROLE, CTRL_ENTITY_TYPE, CTRL_ENTITY_STATE, CTRL_FORM_TYPE, CTRL_FORM_ACTION, CTRL_FORM_ACTION_MENU, CTRL_STATUS, CTRL_DT_CREATE, CTRL_UID_CREATE, CTRL_DT_LUPD, CTRL_UID_LUPD,CTRL_APPS_CODE)  VALUES('128','ACC_TYPE_SP',NULL,'SP_FIN_HD','JOB_TERMINATION','SUB','VIEW','APPROVE',NULL,'A',NOW(), 'SYS',NOW(),'SYS','CKT');</v>
      </c>
    </row>
    <row r="130" spans="1:16" x14ac:dyDescent="0.2">
      <c r="A130">
        <v>129</v>
      </c>
      <c r="B130" t="s">
        <v>93</v>
      </c>
      <c r="C130" t="s">
        <v>125</v>
      </c>
      <c r="D130" t="s">
        <v>25</v>
      </c>
      <c r="E130" t="s">
        <v>483</v>
      </c>
      <c r="F130" t="s">
        <v>101</v>
      </c>
      <c r="G130" t="s">
        <v>502</v>
      </c>
      <c r="H130" t="s">
        <v>542</v>
      </c>
      <c r="I130" t="s">
        <v>125</v>
      </c>
      <c r="J130" t="s">
        <v>7</v>
      </c>
      <c r="L130" s="35" t="s">
        <v>14</v>
      </c>
      <c r="M130" t="str">
        <f t="shared" si="7"/>
        <v>INSERT INTO T_CK_FORM_CONTROL (CTRL_ID, CTRL_ACCN_TYPE, CTRL_ACCN, CTRL_USR_ROLE, CTRL_ENTITY_TYPE, CTRL_ENTITY_STATE, CTRL_FORM_TYPE, CTRL_FORM_ACTION, CTRL_FORM_ACTION_MENU, CTRL_STATUS, CTRL_DT_CREATE, CTRL_UID_CREATE, CTRL_DT_LUPD, CTRL_UID_LUPD</v>
      </c>
      <c r="N130"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0" t="str">
        <f t="shared" si="6"/>
        <v xml:space="preserve"> VALUES('129','ACC_TYPE_SP',NULL,'SP_FIN_HD','JOB_TERMINATION','SUB','VIEW','REJECT',NULL,'A',NOW(), 'SYS',NOW(),'SYS','CKT');</v>
      </c>
      <c r="P130" t="str">
        <f t="shared" si="9"/>
        <v>INSERT INTO T_CK_FORM_CONTROL (CTRL_ID, CTRL_ACCN_TYPE, CTRL_ACCN, CTRL_USR_ROLE, CTRL_ENTITY_TYPE, CTRL_ENTITY_STATE, CTRL_FORM_TYPE, CTRL_FORM_ACTION, CTRL_FORM_ACTION_MENU, CTRL_STATUS, CTRL_DT_CREATE, CTRL_UID_CREATE, CTRL_DT_LUPD, CTRL_UID_LUPD,CTRL_APPS_CODE)  VALUES('129','ACC_TYPE_SP',NULL,'SP_FIN_HD','JOB_TERMINATION','SUB','VIEW','REJECT',NULL,'A',NOW(), 'SYS',NOW(),'SYS','CKT');</v>
      </c>
    </row>
    <row r="131" spans="1:16" x14ac:dyDescent="0.2">
      <c r="A131">
        <v>130</v>
      </c>
      <c r="B131" t="s">
        <v>93</v>
      </c>
      <c r="C131" t="s">
        <v>125</v>
      </c>
      <c r="D131" t="s">
        <v>25</v>
      </c>
      <c r="E131" t="s">
        <v>483</v>
      </c>
      <c r="F131" t="s">
        <v>101</v>
      </c>
      <c r="G131" t="s">
        <v>502</v>
      </c>
      <c r="H131" t="s">
        <v>533</v>
      </c>
      <c r="I131" t="s">
        <v>125</v>
      </c>
      <c r="J131" t="s">
        <v>7</v>
      </c>
      <c r="L131" s="35" t="s">
        <v>14</v>
      </c>
      <c r="M131" t="str">
        <f t="shared" si="7"/>
        <v>INSERT INTO T_CK_FORM_CONTROL (CTRL_ID, CTRL_ACCN_TYPE, CTRL_ACCN, CTRL_USR_ROLE, CTRL_ENTITY_TYPE, CTRL_ENTITY_STATE, CTRL_FORM_TYPE, CTRL_FORM_ACTION, CTRL_FORM_ACTION_MENU, CTRL_STATUS, CTRL_DT_CREATE, CTRL_UID_CREATE, CTRL_DT_LUPD, CTRL_UID_LUPD</v>
      </c>
      <c r="N131"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1" t="str">
        <f t="shared" ref="O131:O185" si="10">CONCATENATE(" VALUES('",A131,"','",B131,"',",IF(C131="NULL","NULL",CONCATENATE("'",C131,"'")),",'",D131,"','",E131,"','",F131,"','",G131,"','",H131,"',",IF(I131="NULL","NULL",CONCATENATE("'",I131,"'")),",'",J131,"',NOW(), 'SYS',NOW(),'SYS','",L131,"');")</f>
        <v xml:space="preserve"> VALUES('130','ACC_TYPE_SP',NULL,'SP_FIN_HD','JOB_TERMINATION','SUB','VIEW','EXIT',NULL,'A',NOW(), 'SYS',NOW(),'SYS','CKT');</v>
      </c>
      <c r="P131" t="str">
        <f t="shared" si="9"/>
        <v>INSERT INTO T_CK_FORM_CONTROL (CTRL_ID, CTRL_ACCN_TYPE, CTRL_ACCN, CTRL_USR_ROLE, CTRL_ENTITY_TYPE, CTRL_ENTITY_STATE, CTRL_FORM_TYPE, CTRL_FORM_ACTION, CTRL_FORM_ACTION_MENU, CTRL_STATUS, CTRL_DT_CREATE, CTRL_UID_CREATE, CTRL_DT_LUPD, CTRL_UID_LUPD,CTRL_APPS_CODE)  VALUES('130','ACC_TYPE_SP',NULL,'SP_FIN_HD','JOB_TERMINATION','SUB','VIEW','EXIT',NULL,'A',NOW(), 'SYS',NOW(),'SYS','CKT');</v>
      </c>
    </row>
    <row r="132" spans="1:16" x14ac:dyDescent="0.2">
      <c r="A132">
        <v>131</v>
      </c>
      <c r="B132" t="s">
        <v>93</v>
      </c>
      <c r="C132" t="s">
        <v>125</v>
      </c>
      <c r="D132" t="s">
        <v>25</v>
      </c>
      <c r="E132" t="s">
        <v>483</v>
      </c>
      <c r="F132" t="s">
        <v>105</v>
      </c>
      <c r="G132" t="s">
        <v>502</v>
      </c>
      <c r="H132" t="s">
        <v>533</v>
      </c>
      <c r="I132" t="s">
        <v>125</v>
      </c>
      <c r="J132" t="s">
        <v>7</v>
      </c>
      <c r="L132" s="35" t="s">
        <v>14</v>
      </c>
      <c r="M132" t="str">
        <f t="shared" si="7"/>
        <v>INSERT INTO T_CK_FORM_CONTROL (CTRL_ID, CTRL_ACCN_TYPE, CTRL_ACCN, CTRL_USR_ROLE, CTRL_ENTITY_TYPE, CTRL_ENTITY_STATE, CTRL_FORM_TYPE, CTRL_FORM_ACTION, CTRL_FORM_ACTION_MENU, CTRL_STATUS, CTRL_DT_CREATE, CTRL_UID_CREATE, CTRL_DT_LUPD, CTRL_UID_LUPD</v>
      </c>
      <c r="N132"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2" t="str">
        <f t="shared" si="10"/>
        <v xml:space="preserve"> VALUES('131','ACC_TYPE_SP',NULL,'SP_FIN_HD','JOB_TERMINATION','APP','VIEW','EXIT',NULL,'A',NOW(), 'SYS',NOW(),'SYS','CKT');</v>
      </c>
      <c r="P132" t="str">
        <f t="shared" si="9"/>
        <v>INSERT INTO T_CK_FORM_CONTROL (CTRL_ID, CTRL_ACCN_TYPE, CTRL_ACCN, CTRL_USR_ROLE, CTRL_ENTITY_TYPE, CTRL_ENTITY_STATE, CTRL_FORM_TYPE, CTRL_FORM_ACTION, CTRL_FORM_ACTION_MENU, CTRL_STATUS, CTRL_DT_CREATE, CTRL_UID_CREATE, CTRL_DT_LUPD, CTRL_UID_LUPD,CTRL_APPS_CODE)  VALUES('131','ACC_TYPE_SP',NULL,'SP_FIN_HD','JOB_TERMINATION','APP','VIEW','EXIT',NULL,'A',NOW(), 'SYS',NOW(),'SYS','CKT');</v>
      </c>
    </row>
    <row r="133" spans="1:16" x14ac:dyDescent="0.2">
      <c r="A133">
        <v>132</v>
      </c>
      <c r="B133" t="s">
        <v>93</v>
      </c>
      <c r="C133" t="s">
        <v>125</v>
      </c>
      <c r="D133" t="s">
        <v>19</v>
      </c>
      <c r="E133" t="s">
        <v>472</v>
      </c>
      <c r="F133" t="s">
        <v>100</v>
      </c>
      <c r="G133" t="s">
        <v>498</v>
      </c>
      <c r="H133" t="s">
        <v>550</v>
      </c>
      <c r="I133" t="s">
        <v>125</v>
      </c>
      <c r="J133" t="s">
        <v>7</v>
      </c>
      <c r="L133" s="35" t="s">
        <v>14</v>
      </c>
      <c r="M133" t="str">
        <f t="shared" si="7"/>
        <v>INSERT INTO T_CK_FORM_CONTROL (CTRL_ID, CTRL_ACCN_TYPE, CTRL_ACCN, CTRL_USR_ROLE, CTRL_ENTITY_TYPE, CTRL_ENTITY_STATE, CTRL_FORM_TYPE, CTRL_FORM_ACTION, CTRL_FORM_ACTION_MENU, CTRL_STATUS, CTRL_DT_CREATE, CTRL_UID_CREATE, CTRL_DT_LUPD, CTRL_UID_LUPD</v>
      </c>
      <c r="N133"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3" t="str">
        <f t="shared" si="10"/>
        <v xml:space="preserve"> VALUES('132','ACC_TYPE_SP',NULL,'SP_L1','ACCN_REGISTRATION','NEW','EDIT','SAVE',NULL,'A',NOW(), 'SYS',NOW(),'SYS','CKT');</v>
      </c>
      <c r="P133" t="str">
        <f t="shared" si="9"/>
        <v>INSERT INTO T_CK_FORM_CONTROL (CTRL_ID, CTRL_ACCN_TYPE, CTRL_ACCN, CTRL_USR_ROLE, CTRL_ENTITY_TYPE, CTRL_ENTITY_STATE, CTRL_FORM_TYPE, CTRL_FORM_ACTION, CTRL_FORM_ACTION_MENU, CTRL_STATUS, CTRL_DT_CREATE, CTRL_UID_CREATE, CTRL_DT_LUPD, CTRL_UID_LUPD,CTRL_APPS_CODE)  VALUES('132','ACC_TYPE_SP',NULL,'SP_L1','ACCN_REGISTRATION','NEW','EDIT','SAVE',NULL,'A',NOW(), 'SYS',NOW(),'SYS','CKT');</v>
      </c>
    </row>
    <row r="134" spans="1:16" x14ac:dyDescent="0.2">
      <c r="A134">
        <v>133</v>
      </c>
      <c r="B134" t="s">
        <v>93</v>
      </c>
      <c r="C134" t="s">
        <v>125</v>
      </c>
      <c r="D134" t="s">
        <v>19</v>
      </c>
      <c r="E134" t="s">
        <v>472</v>
      </c>
      <c r="F134" t="s">
        <v>100</v>
      </c>
      <c r="G134" t="s">
        <v>498</v>
      </c>
      <c r="H134" t="s">
        <v>556</v>
      </c>
      <c r="I134" t="s">
        <v>125</v>
      </c>
      <c r="J134" t="s">
        <v>7</v>
      </c>
      <c r="L134" s="35" t="s">
        <v>14</v>
      </c>
      <c r="M134" t="str">
        <f t="shared" si="7"/>
        <v>INSERT INTO T_CK_FORM_CONTROL (CTRL_ID, CTRL_ACCN_TYPE, CTRL_ACCN, CTRL_USR_ROLE, CTRL_ENTITY_TYPE, CTRL_ENTITY_STATE, CTRL_FORM_TYPE, CTRL_FORM_ACTION, CTRL_FORM_ACTION_MENU, CTRL_STATUS, CTRL_DT_CREATE, CTRL_UID_CREATE, CTRL_DT_LUPD, CTRL_UID_LUPD</v>
      </c>
      <c r="N134"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4" t="str">
        <f t="shared" si="10"/>
        <v xml:space="preserve"> VALUES('133','ACC_TYPE_SP',NULL,'SP_L1','ACCN_REGISTRATION','NEW','EDIT','SUBMIT',NULL,'A',NOW(), 'SYS',NOW(),'SYS','CKT');</v>
      </c>
      <c r="P134" t="str">
        <f t="shared" si="9"/>
        <v>INSERT INTO T_CK_FORM_CONTROL (CTRL_ID, CTRL_ACCN_TYPE, CTRL_ACCN, CTRL_USR_ROLE, CTRL_ENTITY_TYPE, CTRL_ENTITY_STATE, CTRL_FORM_TYPE, CTRL_FORM_ACTION, CTRL_FORM_ACTION_MENU, CTRL_STATUS, CTRL_DT_CREATE, CTRL_UID_CREATE, CTRL_DT_LUPD, CTRL_UID_LUPD,CTRL_APPS_CODE)  VALUES('133','ACC_TYPE_SP',NULL,'SP_L1','ACCN_REGISTRATION','NEW','EDIT','SUBMIT',NULL,'A',NOW(), 'SYS',NOW(),'SYS','CKT');</v>
      </c>
    </row>
    <row r="135" spans="1:16" x14ac:dyDescent="0.2">
      <c r="A135">
        <v>134</v>
      </c>
      <c r="B135" t="s">
        <v>93</v>
      </c>
      <c r="C135" t="s">
        <v>125</v>
      </c>
      <c r="D135" t="s">
        <v>19</v>
      </c>
      <c r="E135" t="s">
        <v>472</v>
      </c>
      <c r="F135" t="s">
        <v>100</v>
      </c>
      <c r="G135" t="s">
        <v>498</v>
      </c>
      <c r="H135" t="s">
        <v>531</v>
      </c>
      <c r="I135" t="s">
        <v>125</v>
      </c>
      <c r="J135" t="s">
        <v>7</v>
      </c>
      <c r="L135" s="35" t="s">
        <v>14</v>
      </c>
      <c r="M135" t="str">
        <f t="shared" si="7"/>
        <v>INSERT INTO T_CK_FORM_CONTROL (CTRL_ID, CTRL_ACCN_TYPE, CTRL_ACCN, CTRL_USR_ROLE, CTRL_ENTITY_TYPE, CTRL_ENTITY_STATE, CTRL_FORM_TYPE, CTRL_FORM_ACTION, CTRL_FORM_ACTION_MENU, CTRL_STATUS, CTRL_DT_CREATE, CTRL_UID_CREATE, CTRL_DT_LUPD, CTRL_UID_LUPD</v>
      </c>
      <c r="N135"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5" t="str">
        <f t="shared" si="10"/>
        <v xml:space="preserve"> VALUES('134','ACC_TYPE_SP',NULL,'SP_L1','ACCN_REGISTRATION','NEW','EDIT','DELETE',NULL,'A',NOW(), 'SYS',NOW(),'SYS','CKT');</v>
      </c>
      <c r="P135" t="str">
        <f t="shared" si="9"/>
        <v>INSERT INTO T_CK_FORM_CONTROL (CTRL_ID, CTRL_ACCN_TYPE, CTRL_ACCN, CTRL_USR_ROLE, CTRL_ENTITY_TYPE, CTRL_ENTITY_STATE, CTRL_FORM_TYPE, CTRL_FORM_ACTION, CTRL_FORM_ACTION_MENU, CTRL_STATUS, CTRL_DT_CREATE, CTRL_UID_CREATE, CTRL_DT_LUPD, CTRL_UID_LUPD,CTRL_APPS_CODE)  VALUES('134','ACC_TYPE_SP',NULL,'SP_L1','ACCN_REGISTRATION','NEW','EDIT','DELETE',NULL,'A',NOW(), 'SYS',NOW(),'SYS','CKT');</v>
      </c>
    </row>
    <row r="136" spans="1:16" x14ac:dyDescent="0.2">
      <c r="A136">
        <v>135</v>
      </c>
      <c r="B136" t="s">
        <v>93</v>
      </c>
      <c r="C136" t="s">
        <v>125</v>
      </c>
      <c r="D136" t="s">
        <v>19</v>
      </c>
      <c r="E136" t="s">
        <v>472</v>
      </c>
      <c r="F136" t="s">
        <v>100</v>
      </c>
      <c r="G136" t="s">
        <v>498</v>
      </c>
      <c r="H136" t="s">
        <v>533</v>
      </c>
      <c r="I136" t="s">
        <v>125</v>
      </c>
      <c r="J136" t="s">
        <v>7</v>
      </c>
      <c r="L136" s="35" t="s">
        <v>14</v>
      </c>
      <c r="M136" t="str">
        <f t="shared" si="7"/>
        <v>INSERT INTO T_CK_FORM_CONTROL (CTRL_ID, CTRL_ACCN_TYPE, CTRL_ACCN, CTRL_USR_ROLE, CTRL_ENTITY_TYPE, CTRL_ENTITY_STATE, CTRL_FORM_TYPE, CTRL_FORM_ACTION, CTRL_FORM_ACTION_MENU, CTRL_STATUS, CTRL_DT_CREATE, CTRL_UID_CREATE, CTRL_DT_LUPD, CTRL_UID_LUPD</v>
      </c>
      <c r="N136"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6" t="str">
        <f t="shared" si="10"/>
        <v xml:space="preserve"> VALUES('135','ACC_TYPE_SP',NULL,'SP_L1','ACCN_REGISTRATION','NEW','EDIT','EXIT',NULL,'A',NOW(), 'SYS',NOW(),'SYS','CKT');</v>
      </c>
      <c r="P136" t="str">
        <f t="shared" si="9"/>
        <v>INSERT INTO T_CK_FORM_CONTROL (CTRL_ID, CTRL_ACCN_TYPE, CTRL_ACCN, CTRL_USR_ROLE, CTRL_ENTITY_TYPE, CTRL_ENTITY_STATE, CTRL_FORM_TYPE, CTRL_FORM_ACTION, CTRL_FORM_ACTION_MENU, CTRL_STATUS, CTRL_DT_CREATE, CTRL_UID_CREATE, CTRL_DT_LUPD, CTRL_UID_LUPD,CTRL_APPS_CODE)  VALUES('135','ACC_TYPE_SP',NULL,'SP_L1','ACCN_REGISTRATION','NEW','EDIT','EXIT',NULL,'A',NOW(), 'SYS',NOW(),'SYS','CKT');</v>
      </c>
    </row>
    <row r="137" spans="1:16" x14ac:dyDescent="0.2">
      <c r="A137">
        <v>136</v>
      </c>
      <c r="B137" t="s">
        <v>93</v>
      </c>
      <c r="C137" t="s">
        <v>125</v>
      </c>
      <c r="D137" t="s">
        <v>19</v>
      </c>
      <c r="E137" t="s">
        <v>472</v>
      </c>
      <c r="F137" t="s">
        <v>105</v>
      </c>
      <c r="G137" t="s">
        <v>498</v>
      </c>
      <c r="H137" t="s">
        <v>550</v>
      </c>
      <c r="I137" t="s">
        <v>125</v>
      </c>
      <c r="J137" t="s">
        <v>7</v>
      </c>
      <c r="L137" s="35" t="s">
        <v>14</v>
      </c>
      <c r="M137" t="str">
        <f t="shared" si="7"/>
        <v>INSERT INTO T_CK_FORM_CONTROL (CTRL_ID, CTRL_ACCN_TYPE, CTRL_ACCN, CTRL_USR_ROLE, CTRL_ENTITY_TYPE, CTRL_ENTITY_STATE, CTRL_FORM_TYPE, CTRL_FORM_ACTION, CTRL_FORM_ACTION_MENU, CTRL_STATUS, CTRL_DT_CREATE, CTRL_UID_CREATE, CTRL_DT_LUPD, CTRL_UID_LUPD</v>
      </c>
      <c r="N137"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7" t="str">
        <f t="shared" si="10"/>
        <v xml:space="preserve"> VALUES('136','ACC_TYPE_SP',NULL,'SP_L1','ACCN_REGISTRATION','APP','EDIT','SAVE',NULL,'A',NOW(), 'SYS',NOW(),'SYS','CKT');</v>
      </c>
      <c r="P137" t="str">
        <f t="shared" si="9"/>
        <v>INSERT INTO T_CK_FORM_CONTROL (CTRL_ID, CTRL_ACCN_TYPE, CTRL_ACCN, CTRL_USR_ROLE, CTRL_ENTITY_TYPE, CTRL_ENTITY_STATE, CTRL_FORM_TYPE, CTRL_FORM_ACTION, CTRL_FORM_ACTION_MENU, CTRL_STATUS, CTRL_DT_CREATE, CTRL_UID_CREATE, CTRL_DT_LUPD, CTRL_UID_LUPD,CTRL_APPS_CODE)  VALUES('136','ACC_TYPE_SP',NULL,'SP_L1','ACCN_REGISTRATION','APP','EDIT','SAVE',NULL,'A',NOW(), 'SYS',NOW(),'SYS','CKT');</v>
      </c>
    </row>
    <row r="138" spans="1:16" x14ac:dyDescent="0.2">
      <c r="A138">
        <v>137</v>
      </c>
      <c r="B138" t="s">
        <v>93</v>
      </c>
      <c r="C138" t="s">
        <v>125</v>
      </c>
      <c r="D138" t="s">
        <v>19</v>
      </c>
      <c r="E138" t="s">
        <v>472</v>
      </c>
      <c r="F138" t="s">
        <v>105</v>
      </c>
      <c r="G138" t="s">
        <v>498</v>
      </c>
      <c r="H138" t="s">
        <v>558</v>
      </c>
      <c r="I138" t="s">
        <v>125</v>
      </c>
      <c r="J138" t="s">
        <v>7</v>
      </c>
      <c r="L138" s="35" t="s">
        <v>14</v>
      </c>
      <c r="M138" t="str">
        <f t="shared" si="7"/>
        <v>INSERT INTO T_CK_FORM_CONTROL (CTRL_ID, CTRL_ACCN_TYPE, CTRL_ACCN, CTRL_USR_ROLE, CTRL_ENTITY_TYPE, CTRL_ENTITY_STATE, CTRL_FORM_TYPE, CTRL_FORM_ACTION, CTRL_FORM_ACTION_MENU, CTRL_STATUS, CTRL_DT_CREATE, CTRL_UID_CREATE, CTRL_DT_LUPD, CTRL_UID_LUPD</v>
      </c>
      <c r="N138"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8" t="str">
        <f t="shared" si="10"/>
        <v xml:space="preserve"> VALUES('137','ACC_TYPE_SP',NULL,'SP_L1','ACCN_REGISTRATION','APP','EDIT','SUSPEND',NULL,'A',NOW(), 'SYS',NOW(),'SYS','CKT');</v>
      </c>
      <c r="P138" t="str">
        <f t="shared" si="9"/>
        <v>INSERT INTO T_CK_FORM_CONTROL (CTRL_ID, CTRL_ACCN_TYPE, CTRL_ACCN, CTRL_USR_ROLE, CTRL_ENTITY_TYPE, CTRL_ENTITY_STATE, CTRL_FORM_TYPE, CTRL_FORM_ACTION, CTRL_FORM_ACTION_MENU, CTRL_STATUS, CTRL_DT_CREATE, CTRL_UID_CREATE, CTRL_DT_LUPD, CTRL_UID_LUPD,CTRL_APPS_CODE)  VALUES('137','ACC_TYPE_SP',NULL,'SP_L1','ACCN_REGISTRATION','APP','EDIT','SUSPEND',NULL,'A',NOW(), 'SYS',NOW(),'SYS','CKT');</v>
      </c>
    </row>
    <row r="139" spans="1:16" x14ac:dyDescent="0.2">
      <c r="A139">
        <v>138</v>
      </c>
      <c r="B139" t="s">
        <v>93</v>
      </c>
      <c r="C139" t="s">
        <v>125</v>
      </c>
      <c r="D139" t="s">
        <v>19</v>
      </c>
      <c r="E139" t="s">
        <v>472</v>
      </c>
      <c r="F139" t="s">
        <v>105</v>
      </c>
      <c r="G139" t="s">
        <v>498</v>
      </c>
      <c r="H139" t="s">
        <v>560</v>
      </c>
      <c r="I139" t="s">
        <v>125</v>
      </c>
      <c r="J139" t="s">
        <v>7</v>
      </c>
      <c r="L139" s="35" t="s">
        <v>14</v>
      </c>
      <c r="M139" t="str">
        <f t="shared" si="7"/>
        <v>INSERT INTO T_CK_FORM_CONTROL (CTRL_ID, CTRL_ACCN_TYPE, CTRL_ACCN, CTRL_USR_ROLE, CTRL_ENTITY_TYPE, CTRL_ENTITY_STATE, CTRL_FORM_TYPE, CTRL_FORM_ACTION, CTRL_FORM_ACTION_MENU, CTRL_STATUS, CTRL_DT_CREATE, CTRL_UID_CREATE, CTRL_DT_LUPD, CTRL_UID_LUPD</v>
      </c>
      <c r="N139"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39" t="str">
        <f t="shared" si="10"/>
        <v xml:space="preserve"> VALUES('138','ACC_TYPE_SP',NULL,'SP_L1','ACCN_REGISTRATION','APP','EDIT','TERMINATE',NULL,'A',NOW(), 'SYS',NOW(),'SYS','CKT');</v>
      </c>
      <c r="P139" t="str">
        <f t="shared" si="9"/>
        <v>INSERT INTO T_CK_FORM_CONTROL (CTRL_ID, CTRL_ACCN_TYPE, CTRL_ACCN, CTRL_USR_ROLE, CTRL_ENTITY_TYPE, CTRL_ENTITY_STATE, CTRL_FORM_TYPE, CTRL_FORM_ACTION, CTRL_FORM_ACTION_MENU, CTRL_STATUS, CTRL_DT_CREATE, CTRL_UID_CREATE, CTRL_DT_LUPD, CTRL_UID_LUPD,CTRL_APPS_CODE)  VALUES('138','ACC_TYPE_SP',NULL,'SP_L1','ACCN_REGISTRATION','APP','EDIT','TERMINATE',NULL,'A',NOW(), 'SYS',NOW(),'SYS','CKT');</v>
      </c>
    </row>
    <row r="140" spans="1:16" x14ac:dyDescent="0.2">
      <c r="A140">
        <v>139</v>
      </c>
      <c r="B140" t="s">
        <v>93</v>
      </c>
      <c r="C140" t="s">
        <v>125</v>
      </c>
      <c r="D140" t="s">
        <v>19</v>
      </c>
      <c r="E140" t="s">
        <v>472</v>
      </c>
      <c r="F140" t="s">
        <v>105</v>
      </c>
      <c r="G140" t="s">
        <v>498</v>
      </c>
      <c r="H140" t="s">
        <v>533</v>
      </c>
      <c r="I140" t="s">
        <v>125</v>
      </c>
      <c r="J140" t="s">
        <v>7</v>
      </c>
      <c r="L140" s="35" t="s">
        <v>14</v>
      </c>
      <c r="M140" t="str">
        <f t="shared" si="7"/>
        <v>INSERT INTO T_CK_FORM_CONTROL (CTRL_ID, CTRL_ACCN_TYPE, CTRL_ACCN, CTRL_USR_ROLE, CTRL_ENTITY_TYPE, CTRL_ENTITY_STATE, CTRL_FORM_TYPE, CTRL_FORM_ACTION, CTRL_FORM_ACTION_MENU, CTRL_STATUS, CTRL_DT_CREATE, CTRL_UID_CREATE, CTRL_DT_LUPD, CTRL_UID_LUPD</v>
      </c>
      <c r="N140"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40" t="str">
        <f t="shared" si="10"/>
        <v xml:space="preserve"> VALUES('139','ACC_TYPE_SP',NULL,'SP_L1','ACCN_REGISTRATION','APP','EDIT','EXIT',NULL,'A',NOW(), 'SYS',NOW(),'SYS','CKT');</v>
      </c>
      <c r="P140" t="str">
        <f t="shared" si="9"/>
        <v>INSERT INTO T_CK_FORM_CONTROL (CTRL_ID, CTRL_ACCN_TYPE, CTRL_ACCN, CTRL_USR_ROLE, CTRL_ENTITY_TYPE, CTRL_ENTITY_STATE, CTRL_FORM_TYPE, CTRL_FORM_ACTION, CTRL_FORM_ACTION_MENU, CTRL_STATUS, CTRL_DT_CREATE, CTRL_UID_CREATE, CTRL_DT_LUPD, CTRL_UID_LUPD,CTRL_APPS_CODE)  VALUES('139','ACC_TYPE_SP',NULL,'SP_L1','ACCN_REGISTRATION','APP','EDIT','EXIT',NULL,'A',NOW(), 'SYS',NOW(),'SYS','CKT');</v>
      </c>
    </row>
    <row r="141" spans="1:16" x14ac:dyDescent="0.2">
      <c r="A141">
        <v>140</v>
      </c>
      <c r="B141" t="s">
        <v>93</v>
      </c>
      <c r="C141" t="s">
        <v>125</v>
      </c>
      <c r="D141" t="s">
        <v>19</v>
      </c>
      <c r="E141" t="s">
        <v>472</v>
      </c>
      <c r="F141" t="s">
        <v>100</v>
      </c>
      <c r="G141" t="s">
        <v>502</v>
      </c>
      <c r="H141" t="s">
        <v>533</v>
      </c>
      <c r="I141" t="s">
        <v>125</v>
      </c>
      <c r="J141" t="s">
        <v>7</v>
      </c>
      <c r="L141" s="35" t="s">
        <v>14</v>
      </c>
      <c r="M141" t="str">
        <f t="shared" si="7"/>
        <v>INSERT INTO T_CK_FORM_CONTROL (CTRL_ID, CTRL_ACCN_TYPE, CTRL_ACCN, CTRL_USR_ROLE, CTRL_ENTITY_TYPE, CTRL_ENTITY_STATE, CTRL_FORM_TYPE, CTRL_FORM_ACTION, CTRL_FORM_ACTION_MENU, CTRL_STATUS, CTRL_DT_CREATE, CTRL_UID_CREATE, CTRL_DT_LUPD, CTRL_UID_LUPD</v>
      </c>
      <c r="N141"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41" t="str">
        <f t="shared" si="10"/>
        <v xml:space="preserve"> VALUES('140','ACC_TYPE_SP',NULL,'SP_L1','ACCN_REGISTRATION','NEW','VIEW','EXIT',NULL,'A',NOW(), 'SYS',NOW(),'SYS','CKT');</v>
      </c>
      <c r="P141" t="str">
        <f t="shared" si="9"/>
        <v>INSERT INTO T_CK_FORM_CONTROL (CTRL_ID, CTRL_ACCN_TYPE, CTRL_ACCN, CTRL_USR_ROLE, CTRL_ENTITY_TYPE, CTRL_ENTITY_STATE, CTRL_FORM_TYPE, CTRL_FORM_ACTION, CTRL_FORM_ACTION_MENU, CTRL_STATUS, CTRL_DT_CREATE, CTRL_UID_CREATE, CTRL_DT_LUPD, CTRL_UID_LUPD,CTRL_APPS_CODE)  VALUES('140','ACC_TYPE_SP',NULL,'SP_L1','ACCN_REGISTRATION','NEW','VIEW','EXIT',NULL,'A',NOW(), 'SYS',NOW(),'SYS','CKT');</v>
      </c>
    </row>
    <row r="142" spans="1:16" x14ac:dyDescent="0.2">
      <c r="A142">
        <v>141</v>
      </c>
      <c r="B142" t="s">
        <v>93</v>
      </c>
      <c r="C142" t="s">
        <v>125</v>
      </c>
      <c r="D142" t="s">
        <v>19</v>
      </c>
      <c r="E142" t="s">
        <v>472</v>
      </c>
      <c r="F142" t="s">
        <v>101</v>
      </c>
      <c r="G142" t="s">
        <v>502</v>
      </c>
      <c r="H142" t="s">
        <v>533</v>
      </c>
      <c r="I142" t="s">
        <v>125</v>
      </c>
      <c r="J142" t="s">
        <v>7</v>
      </c>
      <c r="L142" s="35" t="s">
        <v>14</v>
      </c>
      <c r="M142" t="str">
        <f t="shared" si="7"/>
        <v>INSERT INTO T_CK_FORM_CONTROL (CTRL_ID, CTRL_ACCN_TYPE, CTRL_ACCN, CTRL_USR_ROLE, CTRL_ENTITY_TYPE, CTRL_ENTITY_STATE, CTRL_FORM_TYPE, CTRL_FORM_ACTION, CTRL_FORM_ACTION_MENU, CTRL_STATUS, CTRL_DT_CREATE, CTRL_UID_CREATE, CTRL_DT_LUPD, CTRL_UID_LUPD</v>
      </c>
      <c r="N142"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42" t="str">
        <f t="shared" si="10"/>
        <v xml:space="preserve"> VALUES('141','ACC_TYPE_SP',NULL,'SP_L1','ACCN_REGISTRATION','SUB','VIEW','EXIT',NULL,'A',NOW(), 'SYS',NOW(),'SYS','CKT');</v>
      </c>
      <c r="P142" t="str">
        <f t="shared" si="9"/>
        <v>INSERT INTO T_CK_FORM_CONTROL (CTRL_ID, CTRL_ACCN_TYPE, CTRL_ACCN, CTRL_USR_ROLE, CTRL_ENTITY_TYPE, CTRL_ENTITY_STATE, CTRL_FORM_TYPE, CTRL_FORM_ACTION, CTRL_FORM_ACTION_MENU, CTRL_STATUS, CTRL_DT_CREATE, CTRL_UID_CREATE, CTRL_DT_LUPD, CTRL_UID_LUPD,CTRL_APPS_CODE)  VALUES('141','ACC_TYPE_SP',NULL,'SP_L1','ACCN_REGISTRATION','SUB','VIEW','EXIT',NULL,'A',NOW(), 'SYS',NOW(),'SYS','CKT');</v>
      </c>
    </row>
    <row r="143" spans="1:16" x14ac:dyDescent="0.2">
      <c r="A143">
        <v>142</v>
      </c>
      <c r="B143" t="s">
        <v>93</v>
      </c>
      <c r="C143" t="s">
        <v>125</v>
      </c>
      <c r="D143" t="s">
        <v>19</v>
      </c>
      <c r="E143" t="s">
        <v>472</v>
      </c>
      <c r="F143" t="s">
        <v>105</v>
      </c>
      <c r="G143" t="s">
        <v>502</v>
      </c>
      <c r="H143" t="s">
        <v>533</v>
      </c>
      <c r="I143" t="s">
        <v>125</v>
      </c>
      <c r="J143" t="s">
        <v>7</v>
      </c>
      <c r="L143" s="35" t="s">
        <v>14</v>
      </c>
      <c r="M143" t="str">
        <f t="shared" si="7"/>
        <v>INSERT INTO T_CK_FORM_CONTROL (CTRL_ID, CTRL_ACCN_TYPE, CTRL_ACCN, CTRL_USR_ROLE, CTRL_ENTITY_TYPE, CTRL_ENTITY_STATE, CTRL_FORM_TYPE, CTRL_FORM_ACTION, CTRL_FORM_ACTION_MENU, CTRL_STATUS, CTRL_DT_CREATE, CTRL_UID_CREATE, CTRL_DT_LUPD, CTRL_UID_LUPD</v>
      </c>
      <c r="N143"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43" t="str">
        <f t="shared" si="10"/>
        <v xml:space="preserve"> VALUES('142','ACC_TYPE_SP',NULL,'SP_L1','ACCN_REGISTRATION','APP','VIEW','EXIT',NULL,'A',NOW(), 'SYS',NOW(),'SYS','CKT');</v>
      </c>
      <c r="P143" t="str">
        <f t="shared" si="9"/>
        <v>INSERT INTO T_CK_FORM_CONTROL (CTRL_ID, CTRL_ACCN_TYPE, CTRL_ACCN, CTRL_USR_ROLE, CTRL_ENTITY_TYPE, CTRL_ENTITY_STATE, CTRL_FORM_TYPE, CTRL_FORM_ACTION, CTRL_FORM_ACTION_MENU, CTRL_STATUS, CTRL_DT_CREATE, CTRL_UID_CREATE, CTRL_DT_LUPD, CTRL_UID_LUPD,CTRL_APPS_CODE)  VALUES('142','ACC_TYPE_SP',NULL,'SP_L1','ACCN_REGISTRATION','APP','VIEW','EXIT',NULL,'A',NOW(), 'SYS',NOW(),'SYS','CKT');</v>
      </c>
    </row>
    <row r="144" spans="1:16" x14ac:dyDescent="0.2">
      <c r="A144">
        <v>143</v>
      </c>
      <c r="B144" t="s">
        <v>93</v>
      </c>
      <c r="C144" t="s">
        <v>125</v>
      </c>
      <c r="D144" t="s">
        <v>25</v>
      </c>
      <c r="E144" t="s">
        <v>472</v>
      </c>
      <c r="F144" t="s">
        <v>101</v>
      </c>
      <c r="G144" t="s">
        <v>502</v>
      </c>
      <c r="H144" t="s">
        <v>517</v>
      </c>
      <c r="I144" t="s">
        <v>125</v>
      </c>
      <c r="J144" t="s">
        <v>7</v>
      </c>
      <c r="L144" s="35" t="s">
        <v>14</v>
      </c>
      <c r="M144" t="str">
        <f t="shared" si="7"/>
        <v>INSERT INTO T_CK_FORM_CONTROL (CTRL_ID, CTRL_ACCN_TYPE, CTRL_ACCN, CTRL_USR_ROLE, CTRL_ENTITY_TYPE, CTRL_ENTITY_STATE, CTRL_FORM_TYPE, CTRL_FORM_ACTION, CTRL_FORM_ACTION_MENU, CTRL_STATUS, CTRL_DT_CREATE, CTRL_UID_CREATE, CTRL_DT_LUPD, CTRL_UID_LUPD</v>
      </c>
      <c r="N144"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44" t="str">
        <f t="shared" si="10"/>
        <v xml:space="preserve"> VALUES('143','ACC_TYPE_SP',NULL,'SP_FIN_HD','ACCN_REGISTRATION','SUB','VIEW','APPROVE',NULL,'A',NOW(), 'SYS',NOW(),'SYS','CKT');</v>
      </c>
      <c r="P144" t="str">
        <f t="shared" si="9"/>
        <v>INSERT INTO T_CK_FORM_CONTROL (CTRL_ID, CTRL_ACCN_TYPE, CTRL_ACCN, CTRL_USR_ROLE, CTRL_ENTITY_TYPE, CTRL_ENTITY_STATE, CTRL_FORM_TYPE, CTRL_FORM_ACTION, CTRL_FORM_ACTION_MENU, CTRL_STATUS, CTRL_DT_CREATE, CTRL_UID_CREATE, CTRL_DT_LUPD, CTRL_UID_LUPD,CTRL_APPS_CODE)  VALUES('143','ACC_TYPE_SP',NULL,'SP_FIN_HD','ACCN_REGISTRATION','SUB','VIEW','APPROVE',NULL,'A',NOW(), 'SYS',NOW(),'SYS','CKT');</v>
      </c>
    </row>
    <row r="145" spans="1:16" x14ac:dyDescent="0.2">
      <c r="A145">
        <v>144</v>
      </c>
      <c r="B145" t="s">
        <v>93</v>
      </c>
      <c r="C145" t="s">
        <v>125</v>
      </c>
      <c r="D145" t="s">
        <v>25</v>
      </c>
      <c r="E145" t="s">
        <v>472</v>
      </c>
      <c r="F145" t="s">
        <v>101</v>
      </c>
      <c r="G145" t="s">
        <v>502</v>
      </c>
      <c r="H145" t="s">
        <v>542</v>
      </c>
      <c r="I145" t="s">
        <v>125</v>
      </c>
      <c r="J145" t="s">
        <v>7</v>
      </c>
      <c r="L145" s="35" t="s">
        <v>14</v>
      </c>
      <c r="M145" t="str">
        <f t="shared" si="7"/>
        <v>INSERT INTO T_CK_FORM_CONTROL (CTRL_ID, CTRL_ACCN_TYPE, CTRL_ACCN, CTRL_USR_ROLE, CTRL_ENTITY_TYPE, CTRL_ENTITY_STATE, CTRL_FORM_TYPE, CTRL_FORM_ACTION, CTRL_FORM_ACTION_MENU, CTRL_STATUS, CTRL_DT_CREATE, CTRL_UID_CREATE, CTRL_DT_LUPD, CTRL_UID_LUPD</v>
      </c>
      <c r="N145"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45" t="str">
        <f t="shared" si="10"/>
        <v xml:space="preserve"> VALUES('144','ACC_TYPE_SP',NULL,'SP_FIN_HD','ACCN_REGISTRATION','SUB','VIEW','REJECT',NULL,'A',NOW(), 'SYS',NOW(),'SYS','CKT');</v>
      </c>
      <c r="P145" t="str">
        <f t="shared" si="9"/>
        <v>INSERT INTO T_CK_FORM_CONTROL (CTRL_ID, CTRL_ACCN_TYPE, CTRL_ACCN, CTRL_USR_ROLE, CTRL_ENTITY_TYPE, CTRL_ENTITY_STATE, CTRL_FORM_TYPE, CTRL_FORM_ACTION, CTRL_FORM_ACTION_MENU, CTRL_STATUS, CTRL_DT_CREATE, CTRL_UID_CREATE, CTRL_DT_LUPD, CTRL_UID_LUPD,CTRL_APPS_CODE)  VALUES('144','ACC_TYPE_SP',NULL,'SP_FIN_HD','ACCN_REGISTRATION','SUB','VIEW','REJECT',NULL,'A',NOW(), 'SYS',NOW(),'SYS','CKT');</v>
      </c>
    </row>
    <row r="146" spans="1:16" x14ac:dyDescent="0.2">
      <c r="A146">
        <v>145</v>
      </c>
      <c r="B146" t="s">
        <v>93</v>
      </c>
      <c r="C146" t="s">
        <v>125</v>
      </c>
      <c r="D146" t="s">
        <v>25</v>
      </c>
      <c r="E146" t="s">
        <v>472</v>
      </c>
      <c r="F146" t="s">
        <v>101</v>
      </c>
      <c r="G146" t="s">
        <v>502</v>
      </c>
      <c r="H146" t="s">
        <v>533</v>
      </c>
      <c r="I146" t="s">
        <v>125</v>
      </c>
      <c r="J146" t="s">
        <v>7</v>
      </c>
      <c r="L146" s="35" t="s">
        <v>14</v>
      </c>
      <c r="M146" t="str">
        <f t="shared" si="7"/>
        <v>INSERT INTO T_CK_FORM_CONTROL (CTRL_ID, CTRL_ACCN_TYPE, CTRL_ACCN, CTRL_USR_ROLE, CTRL_ENTITY_TYPE, CTRL_ENTITY_STATE, CTRL_FORM_TYPE, CTRL_FORM_ACTION, CTRL_FORM_ACTION_MENU, CTRL_STATUS, CTRL_DT_CREATE, CTRL_UID_CREATE, CTRL_DT_LUPD, CTRL_UID_LUPD</v>
      </c>
      <c r="N146" t="str">
        <f t="shared" si="8"/>
        <v xml:space="preserve">INSERT INTO T_CK_FORM_CONTROL (CTRL_ID, CTRL_ACCN_TYPE, CTRL_ACCN, CTRL_USR_ROLE, CTRL_ENTITY_TYPE, CTRL_ENTITY_STATE, CTRL_FORM_TYPE, CTRL_FORM_ACTION, CTRL_FORM_ACTION_MENU, CTRL_STATUS, CTRL_DT_CREATE, CTRL_UID_CREATE, CTRL_DT_LUPD, CTRL_UID_LUPD,CTRL_APPS_CODE) </v>
      </c>
      <c r="O146" t="str">
        <f t="shared" si="10"/>
        <v xml:space="preserve"> VALUES('145','ACC_TYPE_SP',NULL,'SP_FIN_HD','ACCN_REGISTRATION','SUB','VIEW','EXIT',NULL,'A',NOW(), 'SYS',NOW(),'SYS','CKT');</v>
      </c>
      <c r="P146" t="str">
        <f t="shared" si="9"/>
        <v>INSERT INTO T_CK_FORM_CONTROL (CTRL_ID, CTRL_ACCN_TYPE, CTRL_ACCN, CTRL_USR_ROLE, CTRL_ENTITY_TYPE, CTRL_ENTITY_STATE, CTRL_FORM_TYPE, CTRL_FORM_ACTION, CTRL_FORM_ACTION_MENU, CTRL_STATUS, CTRL_DT_CREATE, CTRL_UID_CREATE, CTRL_DT_LUPD, CTRL_UID_LUPD,CTRL_APPS_CODE)  VALUES('145','ACC_TYPE_SP',NULL,'SP_FIN_HD','ACCN_REGISTRATION','SUB','VIEW','EXIT',NULL,'A',NOW(), 'SYS',NOW(),'SYS','CKT');</v>
      </c>
    </row>
    <row r="147" spans="1:16" x14ac:dyDescent="0.2">
      <c r="A147">
        <v>146</v>
      </c>
      <c r="B147" t="s">
        <v>93</v>
      </c>
      <c r="C147" t="s">
        <v>125</v>
      </c>
      <c r="D147" t="s">
        <v>25</v>
      </c>
      <c r="E147" t="s">
        <v>472</v>
      </c>
      <c r="F147" t="s">
        <v>105</v>
      </c>
      <c r="G147" t="s">
        <v>502</v>
      </c>
      <c r="H147" t="s">
        <v>533</v>
      </c>
      <c r="I147" t="s">
        <v>125</v>
      </c>
      <c r="J147" t="s">
        <v>7</v>
      </c>
      <c r="L147" s="35" t="s">
        <v>14</v>
      </c>
      <c r="M147" t="str">
        <f t="shared" ref="M147:M210" si="11">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N147" t="str">
        <f t="shared" ref="N147:N210" si="12">_xlfn.CONCAT(M147,",CTRL_APPS_CODE) ")</f>
        <v xml:space="preserve">INSERT INTO T_CK_FORM_CONTROL (CTRL_ID, CTRL_ACCN_TYPE, CTRL_ACCN, CTRL_USR_ROLE, CTRL_ENTITY_TYPE, CTRL_ENTITY_STATE, CTRL_FORM_TYPE, CTRL_FORM_ACTION, CTRL_FORM_ACTION_MENU, CTRL_STATUS, CTRL_DT_CREATE, CTRL_UID_CREATE, CTRL_DT_LUPD, CTRL_UID_LUPD,CTRL_APPS_CODE) </v>
      </c>
      <c r="O147" t="str">
        <f t="shared" si="10"/>
        <v xml:space="preserve"> VALUES('146','ACC_TYPE_SP',NULL,'SP_FIN_HD','ACCN_REGISTRATION','APP','VIEW','EXIT',NULL,'A',NOW(), 'SYS',NOW(),'SYS','CKT');</v>
      </c>
      <c r="P147" t="str">
        <f t="shared" ref="P147:P210" si="13">CONCATENATE(N147,O147)</f>
        <v>INSERT INTO T_CK_FORM_CONTROL (CTRL_ID, CTRL_ACCN_TYPE, CTRL_ACCN, CTRL_USR_ROLE, CTRL_ENTITY_TYPE, CTRL_ENTITY_STATE, CTRL_FORM_TYPE, CTRL_FORM_ACTION, CTRL_FORM_ACTION_MENU, CTRL_STATUS, CTRL_DT_CREATE, CTRL_UID_CREATE, CTRL_DT_LUPD, CTRL_UID_LUPD,CTRL_APPS_CODE)  VALUES('146','ACC_TYPE_SP',NULL,'SP_FIN_HD','ACCN_REGISTRATION','APP','VIEW','EXIT',NULL,'A',NOW(), 'SYS',NOW(),'SYS','CKT');</v>
      </c>
    </row>
    <row r="148" spans="1:16" x14ac:dyDescent="0.2">
      <c r="A148">
        <v>147</v>
      </c>
      <c r="B148" t="s">
        <v>93</v>
      </c>
      <c r="C148" t="s">
        <v>125</v>
      </c>
      <c r="D148" t="s">
        <v>19</v>
      </c>
      <c r="E148" t="s">
        <v>476</v>
      </c>
      <c r="F148" t="s">
        <v>105</v>
      </c>
      <c r="G148" t="s">
        <v>502</v>
      </c>
      <c r="H148" t="s">
        <v>558</v>
      </c>
      <c r="I148" t="s">
        <v>125</v>
      </c>
      <c r="J148" t="s">
        <v>7</v>
      </c>
      <c r="L148" s="35" t="s">
        <v>14</v>
      </c>
      <c r="M148" t="str">
        <f t="shared" si="11"/>
        <v>INSERT INTO T_CK_FORM_CONTROL (CTRL_ID, CTRL_ACCN_TYPE, CTRL_ACCN, CTRL_USR_ROLE, CTRL_ENTITY_TYPE, CTRL_ENTITY_STATE, CTRL_FORM_TYPE, CTRL_FORM_ACTION, CTRL_FORM_ACTION_MENU, CTRL_STATUS, CTRL_DT_CREATE, CTRL_UID_CREATE, CTRL_DT_LUPD, CTRL_UID_LUPD</v>
      </c>
      <c r="N148"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48" t="str">
        <f t="shared" si="10"/>
        <v xml:space="preserve"> VALUES('147','ACC_TYPE_SP',NULL,'SP_L1','ACCN_SUSPENSION','APP','VIEW','SUSPEND',NULL,'A',NOW(), 'SYS',NOW(),'SYS','CKT');</v>
      </c>
      <c r="P148" t="str">
        <f t="shared" si="13"/>
        <v>INSERT INTO T_CK_FORM_CONTROL (CTRL_ID, CTRL_ACCN_TYPE, CTRL_ACCN, CTRL_USR_ROLE, CTRL_ENTITY_TYPE, CTRL_ENTITY_STATE, CTRL_FORM_TYPE, CTRL_FORM_ACTION, CTRL_FORM_ACTION_MENU, CTRL_STATUS, CTRL_DT_CREATE, CTRL_UID_CREATE, CTRL_DT_LUPD, CTRL_UID_LUPD,CTRL_APPS_CODE)  VALUES('147','ACC_TYPE_SP',NULL,'SP_L1','ACCN_SUSPENSION','APP','VIEW','SUSPEND',NULL,'A',NOW(), 'SYS',NOW(),'SYS','CKT');</v>
      </c>
    </row>
    <row r="149" spans="1:16" x14ac:dyDescent="0.2">
      <c r="A149">
        <v>148</v>
      </c>
      <c r="B149" t="s">
        <v>93</v>
      </c>
      <c r="C149" t="s">
        <v>125</v>
      </c>
      <c r="D149" t="s">
        <v>19</v>
      </c>
      <c r="E149" t="s">
        <v>476</v>
      </c>
      <c r="F149" t="s">
        <v>105</v>
      </c>
      <c r="G149" t="s">
        <v>502</v>
      </c>
      <c r="H149" t="s">
        <v>533</v>
      </c>
      <c r="I149" t="s">
        <v>125</v>
      </c>
      <c r="J149" t="s">
        <v>7</v>
      </c>
      <c r="L149" s="35" t="s">
        <v>14</v>
      </c>
      <c r="M149" t="str">
        <f t="shared" si="11"/>
        <v>INSERT INTO T_CK_FORM_CONTROL (CTRL_ID, CTRL_ACCN_TYPE, CTRL_ACCN, CTRL_USR_ROLE, CTRL_ENTITY_TYPE, CTRL_ENTITY_STATE, CTRL_FORM_TYPE, CTRL_FORM_ACTION, CTRL_FORM_ACTION_MENU, CTRL_STATUS, CTRL_DT_CREATE, CTRL_UID_CREATE, CTRL_DT_LUPD, CTRL_UID_LUPD</v>
      </c>
      <c r="N149"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49" t="str">
        <f t="shared" si="10"/>
        <v xml:space="preserve"> VALUES('148','ACC_TYPE_SP',NULL,'SP_L1','ACCN_SUSPENSION','APP','VIEW','EXIT',NULL,'A',NOW(), 'SYS',NOW(),'SYS','CKT');</v>
      </c>
      <c r="P149" t="str">
        <f t="shared" si="13"/>
        <v>INSERT INTO T_CK_FORM_CONTROL (CTRL_ID, CTRL_ACCN_TYPE, CTRL_ACCN, CTRL_USR_ROLE, CTRL_ENTITY_TYPE, CTRL_ENTITY_STATE, CTRL_FORM_TYPE, CTRL_FORM_ACTION, CTRL_FORM_ACTION_MENU, CTRL_STATUS, CTRL_DT_CREATE, CTRL_UID_CREATE, CTRL_DT_LUPD, CTRL_UID_LUPD,CTRL_APPS_CODE)  VALUES('148','ACC_TYPE_SP',NULL,'SP_L1','ACCN_SUSPENSION','APP','VIEW','EXIT',NULL,'A',NOW(), 'SYS',NOW(),'SYS','CKT');</v>
      </c>
    </row>
    <row r="150" spans="1:16" x14ac:dyDescent="0.2">
      <c r="A150">
        <v>149</v>
      </c>
      <c r="B150" t="s">
        <v>93</v>
      </c>
      <c r="C150" t="s">
        <v>125</v>
      </c>
      <c r="D150" t="s">
        <v>19</v>
      </c>
      <c r="E150" t="s">
        <v>476</v>
      </c>
      <c r="F150" t="s">
        <v>101</v>
      </c>
      <c r="G150" t="s">
        <v>502</v>
      </c>
      <c r="H150" t="s">
        <v>533</v>
      </c>
      <c r="I150" t="s">
        <v>125</v>
      </c>
      <c r="J150" t="s">
        <v>7</v>
      </c>
      <c r="L150" s="35" t="s">
        <v>14</v>
      </c>
      <c r="M150" t="str">
        <f t="shared" si="11"/>
        <v>INSERT INTO T_CK_FORM_CONTROL (CTRL_ID, CTRL_ACCN_TYPE, CTRL_ACCN, CTRL_USR_ROLE, CTRL_ENTITY_TYPE, CTRL_ENTITY_STATE, CTRL_FORM_TYPE, CTRL_FORM_ACTION, CTRL_FORM_ACTION_MENU, CTRL_STATUS, CTRL_DT_CREATE, CTRL_UID_CREATE, CTRL_DT_LUPD, CTRL_UID_LUPD</v>
      </c>
      <c r="N150"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0" t="str">
        <f t="shared" si="10"/>
        <v xml:space="preserve"> VALUES('149','ACC_TYPE_SP',NULL,'SP_L1','ACCN_SUSPENSION','SUB','VIEW','EXIT',NULL,'A',NOW(), 'SYS',NOW(),'SYS','CKT');</v>
      </c>
      <c r="P150" t="str">
        <f t="shared" si="13"/>
        <v>INSERT INTO T_CK_FORM_CONTROL (CTRL_ID, CTRL_ACCN_TYPE, CTRL_ACCN, CTRL_USR_ROLE, CTRL_ENTITY_TYPE, CTRL_ENTITY_STATE, CTRL_FORM_TYPE, CTRL_FORM_ACTION, CTRL_FORM_ACTION_MENU, CTRL_STATUS, CTRL_DT_CREATE, CTRL_UID_CREATE, CTRL_DT_LUPD, CTRL_UID_LUPD,CTRL_APPS_CODE)  VALUES('149','ACC_TYPE_SP',NULL,'SP_L1','ACCN_SUSPENSION','SUB','VIEW','EXIT',NULL,'A',NOW(), 'SYS',NOW(),'SYS','CKT');</v>
      </c>
    </row>
    <row r="151" spans="1:16" x14ac:dyDescent="0.2">
      <c r="A151">
        <v>150</v>
      </c>
      <c r="B151" t="s">
        <v>93</v>
      </c>
      <c r="C151" t="s">
        <v>125</v>
      </c>
      <c r="D151" t="s">
        <v>19</v>
      </c>
      <c r="E151" t="s">
        <v>476</v>
      </c>
      <c r="F151" t="s">
        <v>609</v>
      </c>
      <c r="G151" t="s">
        <v>502</v>
      </c>
      <c r="H151" t="s">
        <v>533</v>
      </c>
      <c r="I151" t="s">
        <v>125</v>
      </c>
      <c r="J151" t="s">
        <v>7</v>
      </c>
      <c r="L151" s="35" t="s">
        <v>14</v>
      </c>
      <c r="M151" t="str">
        <f t="shared" si="11"/>
        <v>INSERT INTO T_CK_FORM_CONTROL (CTRL_ID, CTRL_ACCN_TYPE, CTRL_ACCN, CTRL_USR_ROLE, CTRL_ENTITY_TYPE, CTRL_ENTITY_STATE, CTRL_FORM_TYPE, CTRL_FORM_ACTION, CTRL_FORM_ACTION_MENU, CTRL_STATUS, CTRL_DT_CREATE, CTRL_UID_CREATE, CTRL_DT_LUPD, CTRL_UID_LUPD</v>
      </c>
      <c r="N151"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1" t="str">
        <f t="shared" si="10"/>
        <v xml:space="preserve"> VALUES('150','ACC_TYPE_SP',NULL,'SP_L1','ACCN_SUSPENSION','SUS','VIEW','EXIT',NULL,'A',NOW(), 'SYS',NOW(),'SYS','CKT');</v>
      </c>
      <c r="P151"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VALUES('150','ACC_TYPE_SP',NULL,'SP_L1','ACCN_SUSPENSION','SUS','VIEW','EXIT',NULL,'A',NOW(), 'SYS',NOW(),'SYS','CKT');</v>
      </c>
    </row>
    <row r="152" spans="1:16" x14ac:dyDescent="0.2">
      <c r="A152">
        <v>151</v>
      </c>
      <c r="B152" t="s">
        <v>93</v>
      </c>
      <c r="C152" t="s">
        <v>125</v>
      </c>
      <c r="D152" t="s">
        <v>25</v>
      </c>
      <c r="E152" t="s">
        <v>476</v>
      </c>
      <c r="F152" t="s">
        <v>101</v>
      </c>
      <c r="G152" t="s">
        <v>502</v>
      </c>
      <c r="H152" t="s">
        <v>517</v>
      </c>
      <c r="I152" t="s">
        <v>125</v>
      </c>
      <c r="J152" t="s">
        <v>7</v>
      </c>
      <c r="L152" s="35" t="s">
        <v>14</v>
      </c>
      <c r="M152" t="str">
        <f t="shared" si="11"/>
        <v>INSERT INTO T_CK_FORM_CONTROL (CTRL_ID, CTRL_ACCN_TYPE, CTRL_ACCN, CTRL_USR_ROLE, CTRL_ENTITY_TYPE, CTRL_ENTITY_STATE, CTRL_FORM_TYPE, CTRL_FORM_ACTION, CTRL_FORM_ACTION_MENU, CTRL_STATUS, CTRL_DT_CREATE, CTRL_UID_CREATE, CTRL_DT_LUPD, CTRL_UID_LUPD</v>
      </c>
      <c r="N152"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2" t="str">
        <f t="shared" si="10"/>
        <v xml:space="preserve"> VALUES('151','ACC_TYPE_SP',NULL,'SP_FIN_HD','ACCN_SUSPENSION','SUB','VIEW','APPROVE',NULL,'A',NOW(), 'SYS',NOW(),'SYS','CKT');</v>
      </c>
      <c r="P152"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VALUES('151','ACC_TYPE_SP',NULL,'SP_FIN_HD','ACCN_SUSPENSION','SUB','VIEW','APPROVE',NULL,'A',NOW(), 'SYS',NOW(),'SYS','CKT');</v>
      </c>
    </row>
    <row r="153" spans="1:16" x14ac:dyDescent="0.2">
      <c r="A153">
        <v>152</v>
      </c>
      <c r="B153" t="s">
        <v>93</v>
      </c>
      <c r="C153" t="s">
        <v>125</v>
      </c>
      <c r="D153" t="s">
        <v>25</v>
      </c>
      <c r="E153" t="s">
        <v>476</v>
      </c>
      <c r="F153" t="s">
        <v>101</v>
      </c>
      <c r="G153" t="s">
        <v>502</v>
      </c>
      <c r="H153" t="s">
        <v>533</v>
      </c>
      <c r="I153" t="s">
        <v>125</v>
      </c>
      <c r="J153" t="s">
        <v>7</v>
      </c>
      <c r="L153" s="35" t="s">
        <v>14</v>
      </c>
      <c r="M153" t="str">
        <f t="shared" si="11"/>
        <v>INSERT INTO T_CK_FORM_CONTROL (CTRL_ID, CTRL_ACCN_TYPE, CTRL_ACCN, CTRL_USR_ROLE, CTRL_ENTITY_TYPE, CTRL_ENTITY_STATE, CTRL_FORM_TYPE, CTRL_FORM_ACTION, CTRL_FORM_ACTION_MENU, CTRL_STATUS, CTRL_DT_CREATE, CTRL_UID_CREATE, CTRL_DT_LUPD, CTRL_UID_LUPD</v>
      </c>
      <c r="N153"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3" t="str">
        <f t="shared" si="10"/>
        <v xml:space="preserve"> VALUES('152','ACC_TYPE_SP',NULL,'SP_FIN_HD','ACCN_SUSPENSION','SUB','VIEW','EXIT',NULL,'A',NOW(), 'SYS',NOW(),'SYS','CKT');</v>
      </c>
      <c r="P153"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VALUES('152','ACC_TYPE_SP',NULL,'SP_FIN_HD','ACCN_SUSPENSION','SUB','VIEW','EXIT',NULL,'A',NOW(), 'SYS',NOW(),'SYS','CKT');</v>
      </c>
    </row>
    <row r="154" spans="1:16" x14ac:dyDescent="0.2">
      <c r="A154">
        <v>153</v>
      </c>
      <c r="B154" t="s">
        <v>93</v>
      </c>
      <c r="C154" t="s">
        <v>125</v>
      </c>
      <c r="D154" t="s">
        <v>25</v>
      </c>
      <c r="E154" t="s">
        <v>476</v>
      </c>
      <c r="F154" t="s">
        <v>609</v>
      </c>
      <c r="G154" t="s">
        <v>502</v>
      </c>
      <c r="H154" t="s">
        <v>533</v>
      </c>
      <c r="I154" t="s">
        <v>125</v>
      </c>
      <c r="J154" t="s">
        <v>7</v>
      </c>
      <c r="L154" s="35" t="s">
        <v>14</v>
      </c>
      <c r="M154" t="str">
        <f t="shared" si="11"/>
        <v>INSERT INTO T_CK_FORM_CONTROL (CTRL_ID, CTRL_ACCN_TYPE, CTRL_ACCN, CTRL_USR_ROLE, CTRL_ENTITY_TYPE, CTRL_ENTITY_STATE, CTRL_FORM_TYPE, CTRL_FORM_ACTION, CTRL_FORM_ACTION_MENU, CTRL_STATUS, CTRL_DT_CREATE, CTRL_UID_CREATE, CTRL_DT_LUPD, CTRL_UID_LUPD</v>
      </c>
      <c r="N154"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4" t="str">
        <f t="shared" si="10"/>
        <v xml:space="preserve"> VALUES('153','ACC_TYPE_SP',NULL,'SP_FIN_HD','ACCN_SUSPENSION','SUS','VIEW','EXIT',NULL,'A',NOW(), 'SYS',NOW(),'SYS','CKT');</v>
      </c>
      <c r="P154"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VALUES('153','ACC_TYPE_SP',NULL,'SP_FIN_HD','ACCN_SUSPENSION','SUS','VIEW','EXIT',NULL,'A',NOW(), 'SYS',NOW(),'SYS','CKT');</v>
      </c>
    </row>
    <row r="155" spans="1:16" x14ac:dyDescent="0.2">
      <c r="A155">
        <v>154</v>
      </c>
      <c r="B155" t="s">
        <v>93</v>
      </c>
      <c r="C155" t="s">
        <v>125</v>
      </c>
      <c r="D155" t="s">
        <v>19</v>
      </c>
      <c r="E155" t="s">
        <v>478</v>
      </c>
      <c r="F155" t="s">
        <v>105</v>
      </c>
      <c r="G155" t="s">
        <v>502</v>
      </c>
      <c r="H155" t="s">
        <v>560</v>
      </c>
      <c r="I155" t="s">
        <v>125</v>
      </c>
      <c r="J155" t="s">
        <v>7</v>
      </c>
      <c r="L155" s="35" t="s">
        <v>14</v>
      </c>
      <c r="M155" t="str">
        <f t="shared" si="11"/>
        <v>INSERT INTO T_CK_FORM_CONTROL (CTRL_ID, CTRL_ACCN_TYPE, CTRL_ACCN, CTRL_USR_ROLE, CTRL_ENTITY_TYPE, CTRL_ENTITY_STATE, CTRL_FORM_TYPE, CTRL_FORM_ACTION, CTRL_FORM_ACTION_MENU, CTRL_STATUS, CTRL_DT_CREATE, CTRL_UID_CREATE, CTRL_DT_LUPD, CTRL_UID_LUPD</v>
      </c>
      <c r="N155"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5" t="str">
        <f t="shared" si="10"/>
        <v xml:space="preserve"> VALUES('154','ACC_TYPE_SP',NULL,'SP_L1','ACCN_TERMINATION','APP','VIEW','TERMINATE',NULL,'A',NOW(), 'SYS',NOW(),'SYS','CKT');</v>
      </c>
      <c r="P155"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VALUES('154','ACC_TYPE_SP',NULL,'SP_L1','ACCN_TERMINATION','APP','VIEW','TERMINATE',NULL,'A',NOW(), 'SYS',NOW(),'SYS','CKT');</v>
      </c>
    </row>
    <row r="156" spans="1:16" x14ac:dyDescent="0.2">
      <c r="A156">
        <v>155</v>
      </c>
      <c r="B156" t="s">
        <v>93</v>
      </c>
      <c r="C156" t="s">
        <v>125</v>
      </c>
      <c r="D156" t="s">
        <v>19</v>
      </c>
      <c r="E156" t="s">
        <v>478</v>
      </c>
      <c r="F156" t="s">
        <v>105</v>
      </c>
      <c r="G156" t="s">
        <v>502</v>
      </c>
      <c r="H156" t="s">
        <v>533</v>
      </c>
      <c r="I156" t="s">
        <v>125</v>
      </c>
      <c r="J156" t="s">
        <v>7</v>
      </c>
      <c r="L156" s="35" t="s">
        <v>14</v>
      </c>
      <c r="M156" t="str">
        <f t="shared" si="11"/>
        <v>INSERT INTO T_CK_FORM_CONTROL (CTRL_ID, CTRL_ACCN_TYPE, CTRL_ACCN, CTRL_USR_ROLE, CTRL_ENTITY_TYPE, CTRL_ENTITY_STATE, CTRL_FORM_TYPE, CTRL_FORM_ACTION, CTRL_FORM_ACTION_MENU, CTRL_STATUS, CTRL_DT_CREATE, CTRL_UID_CREATE, CTRL_DT_LUPD, CTRL_UID_LUPD</v>
      </c>
      <c r="N156"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6" t="str">
        <f t="shared" si="10"/>
        <v xml:space="preserve"> VALUES('155','ACC_TYPE_SP',NULL,'SP_L1','ACCN_TERMINATION','APP','VIEW','EXIT',NULL,'A',NOW(), 'SYS',NOW(),'SYS','CKT');</v>
      </c>
      <c r="P15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VALUES('155','ACC_TYPE_SP',NULL,'SP_L1','ACCN_TERMINATION','APP','VIEW','EXIT',NULL,'A',NOW(), 'SYS',NOW(),'SYS','CKT');</v>
      </c>
    </row>
    <row r="157" spans="1:16" x14ac:dyDescent="0.2">
      <c r="A157">
        <v>156</v>
      </c>
      <c r="B157" t="s">
        <v>93</v>
      </c>
      <c r="C157" t="s">
        <v>125</v>
      </c>
      <c r="D157" t="s">
        <v>19</v>
      </c>
      <c r="E157" t="s">
        <v>478</v>
      </c>
      <c r="F157" t="s">
        <v>101</v>
      </c>
      <c r="G157" t="s">
        <v>502</v>
      </c>
      <c r="H157" t="s">
        <v>533</v>
      </c>
      <c r="I157" t="s">
        <v>125</v>
      </c>
      <c r="J157" t="s">
        <v>7</v>
      </c>
      <c r="L157" s="35" t="s">
        <v>14</v>
      </c>
      <c r="M157" t="str">
        <f t="shared" si="11"/>
        <v>INSERT INTO T_CK_FORM_CONTROL (CTRL_ID, CTRL_ACCN_TYPE, CTRL_ACCN, CTRL_USR_ROLE, CTRL_ENTITY_TYPE, CTRL_ENTITY_STATE, CTRL_FORM_TYPE, CTRL_FORM_ACTION, CTRL_FORM_ACTION_MENU, CTRL_STATUS, CTRL_DT_CREATE, CTRL_UID_CREATE, CTRL_DT_LUPD, CTRL_UID_LUPD</v>
      </c>
      <c r="N157"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7" t="str">
        <f t="shared" si="10"/>
        <v xml:space="preserve"> VALUES('156','ACC_TYPE_SP',NULL,'SP_L1','ACCN_TERMINATION','SUB','VIEW','EXIT',NULL,'A',NOW(), 'SYS',NOW(),'SYS','CKT');</v>
      </c>
      <c r="P157"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VALUES('156','ACC_TYPE_SP',NULL,'SP_L1','ACCN_TERMINATION','SUB','VIEW','EXIT',NULL,'A',NOW(), 'SYS',NOW(),'SYS','CKT');</v>
      </c>
    </row>
    <row r="158" spans="1:16" x14ac:dyDescent="0.2">
      <c r="A158">
        <v>157</v>
      </c>
      <c r="B158" t="s">
        <v>93</v>
      </c>
      <c r="C158" t="s">
        <v>125</v>
      </c>
      <c r="D158" t="s">
        <v>19</v>
      </c>
      <c r="E158" t="s">
        <v>478</v>
      </c>
      <c r="F158" t="s">
        <v>610</v>
      </c>
      <c r="G158" t="s">
        <v>502</v>
      </c>
      <c r="H158" t="s">
        <v>533</v>
      </c>
      <c r="I158" t="s">
        <v>125</v>
      </c>
      <c r="J158" t="s">
        <v>7</v>
      </c>
      <c r="L158" s="35" t="s">
        <v>14</v>
      </c>
      <c r="M158" t="str">
        <f t="shared" si="11"/>
        <v>INSERT INTO T_CK_FORM_CONTROL (CTRL_ID, CTRL_ACCN_TYPE, CTRL_ACCN, CTRL_USR_ROLE, CTRL_ENTITY_TYPE, CTRL_ENTITY_STATE, CTRL_FORM_TYPE, CTRL_FORM_ACTION, CTRL_FORM_ACTION_MENU, CTRL_STATUS, CTRL_DT_CREATE, CTRL_UID_CREATE, CTRL_DT_LUPD, CTRL_UID_LUPD</v>
      </c>
      <c r="N158"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8" t="str">
        <f t="shared" si="10"/>
        <v xml:space="preserve"> VALUES('157','ACC_TYPE_SP',NULL,'SP_L1','ACCN_TERMINATION','TERMINATED','VIEW','EXIT',NULL,'A',NOW(), 'SYS',NOW(),'SYS','CKT');</v>
      </c>
      <c r="P158"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VALUES('157','ACC_TYPE_SP',NULL,'SP_L1','ACCN_TERMINATION','TERMINATED','VIEW','EXIT',NULL,'A',NOW(), 'SYS',NOW(),'SYS','CKT');</v>
      </c>
    </row>
    <row r="159" spans="1:16" x14ac:dyDescent="0.2">
      <c r="A159">
        <v>158</v>
      </c>
      <c r="B159" t="s">
        <v>93</v>
      </c>
      <c r="C159" t="s">
        <v>125</v>
      </c>
      <c r="D159" t="s">
        <v>25</v>
      </c>
      <c r="E159" t="s">
        <v>478</v>
      </c>
      <c r="F159" t="s">
        <v>101</v>
      </c>
      <c r="G159" t="s">
        <v>502</v>
      </c>
      <c r="H159" t="s">
        <v>517</v>
      </c>
      <c r="I159" t="s">
        <v>125</v>
      </c>
      <c r="J159" t="s">
        <v>7</v>
      </c>
      <c r="L159" s="35" t="s">
        <v>14</v>
      </c>
      <c r="M159" t="str">
        <f t="shared" si="11"/>
        <v>INSERT INTO T_CK_FORM_CONTROL (CTRL_ID, CTRL_ACCN_TYPE, CTRL_ACCN, CTRL_USR_ROLE, CTRL_ENTITY_TYPE, CTRL_ENTITY_STATE, CTRL_FORM_TYPE, CTRL_FORM_ACTION, CTRL_FORM_ACTION_MENU, CTRL_STATUS, CTRL_DT_CREATE, CTRL_UID_CREATE, CTRL_DT_LUPD, CTRL_UID_LUPD</v>
      </c>
      <c r="N159"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59" t="str">
        <f t="shared" si="10"/>
        <v xml:space="preserve"> VALUES('158','ACC_TYPE_SP',NULL,'SP_FIN_HD','ACCN_TERMINATION','SUB','VIEW','APPROVE',NULL,'A',NOW(), 'SYS',NOW(),'SYS','CKT');</v>
      </c>
      <c r="P159"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VALUES('158','ACC_TYPE_SP',NULL,'SP_FIN_HD','ACCN_TERMINATION','SUB','VIEW','APPROVE',NULL,'A',NOW(), 'SYS',NOW(),'SYS','CKT');</v>
      </c>
    </row>
    <row r="160" spans="1:16" x14ac:dyDescent="0.2">
      <c r="A160">
        <v>159</v>
      </c>
      <c r="B160" t="s">
        <v>93</v>
      </c>
      <c r="C160" t="s">
        <v>125</v>
      </c>
      <c r="D160" t="s">
        <v>25</v>
      </c>
      <c r="E160" t="s">
        <v>478</v>
      </c>
      <c r="F160" t="s">
        <v>101</v>
      </c>
      <c r="G160" t="s">
        <v>502</v>
      </c>
      <c r="H160" t="s">
        <v>533</v>
      </c>
      <c r="I160" t="s">
        <v>125</v>
      </c>
      <c r="J160" t="s">
        <v>7</v>
      </c>
      <c r="L160" s="35" t="s">
        <v>14</v>
      </c>
      <c r="M160" t="str">
        <f t="shared" si="11"/>
        <v>INSERT INTO T_CK_FORM_CONTROL (CTRL_ID, CTRL_ACCN_TYPE, CTRL_ACCN, CTRL_USR_ROLE, CTRL_ENTITY_TYPE, CTRL_ENTITY_STATE, CTRL_FORM_TYPE, CTRL_FORM_ACTION, CTRL_FORM_ACTION_MENU, CTRL_STATUS, CTRL_DT_CREATE, CTRL_UID_CREATE, CTRL_DT_LUPD, CTRL_UID_LUPD</v>
      </c>
      <c r="N160"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0" t="str">
        <f t="shared" si="10"/>
        <v xml:space="preserve"> VALUES('159','ACC_TYPE_SP',NULL,'SP_FIN_HD','ACCN_TERMINATION','SUB','VIEW','EXIT',NULL,'A',NOW(), 'SYS',NOW(),'SYS','CKT');</v>
      </c>
      <c r="P160" t="str">
        <f t="shared" si="13"/>
        <v>INSERT INTO T_CK_FORM_CONTROL (CTRL_ID, CTRL_ACCN_TYPE, CTRL_ACCN, CTRL_USR_ROLE, CTRL_ENTITY_TYPE, CTRL_ENTITY_STATE, CTRL_FORM_TYPE, CTRL_FORM_ACTION, CTRL_FORM_ACTION_MENU, CTRL_STATUS, CTRL_DT_CREATE, CTRL_UID_CREATE, CTRL_DT_LUPD, CTRL_UID_LUPD,CTRL_APPS_CODE)  VALUES('159','ACC_TYPE_SP',NULL,'SP_FIN_HD','ACCN_TERMINATION','SUB','VIEW','EXIT',NULL,'A',NOW(), 'SYS',NOW(),'SYS','CKT');</v>
      </c>
    </row>
    <row r="161" spans="1:16" x14ac:dyDescent="0.2">
      <c r="A161">
        <v>160</v>
      </c>
      <c r="B161" t="s">
        <v>93</v>
      </c>
      <c r="C161" t="s">
        <v>125</v>
      </c>
      <c r="D161" t="s">
        <v>25</v>
      </c>
      <c r="E161" t="s">
        <v>478</v>
      </c>
      <c r="F161" t="s">
        <v>610</v>
      </c>
      <c r="G161" t="s">
        <v>502</v>
      </c>
      <c r="H161" t="s">
        <v>533</v>
      </c>
      <c r="I161" t="s">
        <v>125</v>
      </c>
      <c r="J161" t="s">
        <v>7</v>
      </c>
      <c r="L161" s="35" t="s">
        <v>14</v>
      </c>
      <c r="M161" t="str">
        <f t="shared" si="11"/>
        <v>INSERT INTO T_CK_FORM_CONTROL (CTRL_ID, CTRL_ACCN_TYPE, CTRL_ACCN, CTRL_USR_ROLE, CTRL_ENTITY_TYPE, CTRL_ENTITY_STATE, CTRL_FORM_TYPE, CTRL_FORM_ACTION, CTRL_FORM_ACTION_MENU, CTRL_STATUS, CTRL_DT_CREATE, CTRL_UID_CREATE, CTRL_DT_LUPD, CTRL_UID_LUPD</v>
      </c>
      <c r="N161"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1" t="str">
        <f t="shared" si="10"/>
        <v xml:space="preserve"> VALUES('160','ACC_TYPE_SP',NULL,'SP_FIN_HD','ACCN_TERMINATION','TERMINATED','VIEW','EXIT',NULL,'A',NOW(), 'SYS',NOW(),'SYS','CKT');</v>
      </c>
      <c r="P161"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VALUES('160','ACC_TYPE_SP',NULL,'SP_FIN_HD','ACCN_TERMINATION','TERMINATED','VIEW','EXIT',NULL,'A',NOW(), 'SYS',NOW(),'SYS','CKT');</v>
      </c>
    </row>
    <row r="162" spans="1:16" x14ac:dyDescent="0.2">
      <c r="A162">
        <v>161</v>
      </c>
      <c r="B162" t="s">
        <v>93</v>
      </c>
      <c r="C162" t="s">
        <v>125</v>
      </c>
      <c r="D162" t="s">
        <v>19</v>
      </c>
      <c r="E162" t="s">
        <v>480</v>
      </c>
      <c r="F162" t="s">
        <v>100</v>
      </c>
      <c r="G162" t="s">
        <v>498</v>
      </c>
      <c r="H162" t="s">
        <v>550</v>
      </c>
      <c r="I162" t="s">
        <v>125</v>
      </c>
      <c r="J162" t="s">
        <v>7</v>
      </c>
      <c r="L162" s="35" t="s">
        <v>14</v>
      </c>
      <c r="M162" t="str">
        <f t="shared" si="11"/>
        <v>INSERT INTO T_CK_FORM_CONTROL (CTRL_ID, CTRL_ACCN_TYPE, CTRL_ACCN, CTRL_USR_ROLE, CTRL_ENTITY_TYPE, CTRL_ENTITY_STATE, CTRL_FORM_TYPE, CTRL_FORM_ACTION, CTRL_FORM_ACTION_MENU, CTRL_STATUS, CTRL_DT_CREATE, CTRL_UID_CREATE, CTRL_DT_LUPD, CTRL_UID_LUPD</v>
      </c>
      <c r="N162"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2" t="str">
        <f t="shared" si="10"/>
        <v xml:space="preserve"> VALUES('161','ACC_TYPE_SP',NULL,'SP_L1','CONTRACT_REQUEST','NEW','EDIT','SAVE',NULL,'A',NOW(), 'SYS',NOW(),'SYS','CKT');</v>
      </c>
      <c r="P162"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VALUES('161','ACC_TYPE_SP',NULL,'SP_L1','CONTRACT_REQUEST','NEW','EDIT','SAVE',NULL,'A',NOW(), 'SYS',NOW(),'SYS','CKT');</v>
      </c>
    </row>
    <row r="163" spans="1:16" x14ac:dyDescent="0.2">
      <c r="A163">
        <v>162</v>
      </c>
      <c r="B163" t="s">
        <v>93</v>
      </c>
      <c r="C163" t="s">
        <v>125</v>
      </c>
      <c r="D163" t="s">
        <v>19</v>
      </c>
      <c r="E163" t="s">
        <v>480</v>
      </c>
      <c r="F163" t="s">
        <v>100</v>
      </c>
      <c r="G163" t="s">
        <v>498</v>
      </c>
      <c r="H163" t="s">
        <v>556</v>
      </c>
      <c r="I163" t="s">
        <v>125</v>
      </c>
      <c r="J163" t="s">
        <v>7</v>
      </c>
      <c r="L163" s="35" t="s">
        <v>14</v>
      </c>
      <c r="M163" t="str">
        <f t="shared" si="11"/>
        <v>INSERT INTO T_CK_FORM_CONTROL (CTRL_ID, CTRL_ACCN_TYPE, CTRL_ACCN, CTRL_USR_ROLE, CTRL_ENTITY_TYPE, CTRL_ENTITY_STATE, CTRL_FORM_TYPE, CTRL_FORM_ACTION, CTRL_FORM_ACTION_MENU, CTRL_STATUS, CTRL_DT_CREATE, CTRL_UID_CREATE, CTRL_DT_LUPD, CTRL_UID_LUPD</v>
      </c>
      <c r="N163"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3" t="str">
        <f t="shared" si="10"/>
        <v xml:space="preserve"> VALUES('162','ACC_TYPE_SP',NULL,'SP_L1','CONTRACT_REQUEST','NEW','EDIT','SUBMIT',NULL,'A',NOW(), 'SYS',NOW(),'SYS','CKT');</v>
      </c>
      <c r="P163"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VALUES('162','ACC_TYPE_SP',NULL,'SP_L1','CONTRACT_REQUEST','NEW','EDIT','SUBMIT',NULL,'A',NOW(), 'SYS',NOW(),'SYS','CKT');</v>
      </c>
    </row>
    <row r="164" spans="1:16" x14ac:dyDescent="0.2">
      <c r="A164">
        <v>163</v>
      </c>
      <c r="B164" t="s">
        <v>93</v>
      </c>
      <c r="C164" t="s">
        <v>125</v>
      </c>
      <c r="D164" t="s">
        <v>19</v>
      </c>
      <c r="E164" t="s">
        <v>480</v>
      </c>
      <c r="F164" t="s">
        <v>100</v>
      </c>
      <c r="G164" t="s">
        <v>498</v>
      </c>
      <c r="H164" t="s">
        <v>531</v>
      </c>
      <c r="I164" t="s">
        <v>125</v>
      </c>
      <c r="J164" t="s">
        <v>7</v>
      </c>
      <c r="L164" s="35" t="s">
        <v>14</v>
      </c>
      <c r="M164" t="str">
        <f t="shared" si="11"/>
        <v>INSERT INTO T_CK_FORM_CONTROL (CTRL_ID, CTRL_ACCN_TYPE, CTRL_ACCN, CTRL_USR_ROLE, CTRL_ENTITY_TYPE, CTRL_ENTITY_STATE, CTRL_FORM_TYPE, CTRL_FORM_ACTION, CTRL_FORM_ACTION_MENU, CTRL_STATUS, CTRL_DT_CREATE, CTRL_UID_CREATE, CTRL_DT_LUPD, CTRL_UID_LUPD</v>
      </c>
      <c r="N164"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4" t="str">
        <f t="shared" si="10"/>
        <v xml:space="preserve"> VALUES('163','ACC_TYPE_SP',NULL,'SP_L1','CONTRACT_REQUEST','NEW','EDIT','DELETE',NULL,'A',NOW(), 'SYS',NOW(),'SYS','CKT');</v>
      </c>
      <c r="P164"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VALUES('163','ACC_TYPE_SP',NULL,'SP_L1','CONTRACT_REQUEST','NEW','EDIT','DELETE',NULL,'A',NOW(), 'SYS',NOW(),'SYS','CKT');</v>
      </c>
    </row>
    <row r="165" spans="1:16" x14ac:dyDescent="0.2">
      <c r="A165">
        <v>164</v>
      </c>
      <c r="B165" t="s">
        <v>93</v>
      </c>
      <c r="C165" t="s">
        <v>125</v>
      </c>
      <c r="D165" t="s">
        <v>19</v>
      </c>
      <c r="E165" t="s">
        <v>480</v>
      </c>
      <c r="F165" t="s">
        <v>100</v>
      </c>
      <c r="G165" t="s">
        <v>498</v>
      </c>
      <c r="H165" t="s">
        <v>533</v>
      </c>
      <c r="I165" t="s">
        <v>125</v>
      </c>
      <c r="J165" t="s">
        <v>7</v>
      </c>
      <c r="L165" s="35" t="s">
        <v>14</v>
      </c>
      <c r="M165" t="str">
        <f t="shared" si="11"/>
        <v>INSERT INTO T_CK_FORM_CONTROL (CTRL_ID, CTRL_ACCN_TYPE, CTRL_ACCN, CTRL_USR_ROLE, CTRL_ENTITY_TYPE, CTRL_ENTITY_STATE, CTRL_FORM_TYPE, CTRL_FORM_ACTION, CTRL_FORM_ACTION_MENU, CTRL_STATUS, CTRL_DT_CREATE, CTRL_UID_CREATE, CTRL_DT_LUPD, CTRL_UID_LUPD</v>
      </c>
      <c r="N165"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5" t="str">
        <f t="shared" si="10"/>
        <v xml:space="preserve"> VALUES('164','ACC_TYPE_SP',NULL,'SP_L1','CONTRACT_REQUEST','NEW','EDIT','EXIT',NULL,'A',NOW(), 'SYS',NOW(),'SYS','CKT');</v>
      </c>
      <c r="P165"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VALUES('164','ACC_TYPE_SP',NULL,'SP_L1','CONTRACT_REQUEST','NEW','EDIT','EXIT',NULL,'A',NOW(), 'SYS',NOW(),'SYS','CKT');</v>
      </c>
    </row>
    <row r="166" spans="1:16" x14ac:dyDescent="0.2">
      <c r="A166">
        <v>165</v>
      </c>
      <c r="B166" t="s">
        <v>93</v>
      </c>
      <c r="C166" t="s">
        <v>125</v>
      </c>
      <c r="D166" t="s">
        <v>19</v>
      </c>
      <c r="E166" t="s">
        <v>480</v>
      </c>
      <c r="F166" t="s">
        <v>105</v>
      </c>
      <c r="G166" t="s">
        <v>498</v>
      </c>
      <c r="H166" t="s">
        <v>550</v>
      </c>
      <c r="I166" t="s">
        <v>125</v>
      </c>
      <c r="J166" t="s">
        <v>7</v>
      </c>
      <c r="L166" s="35" t="s">
        <v>14</v>
      </c>
      <c r="M166" t="str">
        <f t="shared" si="11"/>
        <v>INSERT INTO T_CK_FORM_CONTROL (CTRL_ID, CTRL_ACCN_TYPE, CTRL_ACCN, CTRL_USR_ROLE, CTRL_ENTITY_TYPE, CTRL_ENTITY_STATE, CTRL_FORM_TYPE, CTRL_FORM_ACTION, CTRL_FORM_ACTION_MENU, CTRL_STATUS, CTRL_DT_CREATE, CTRL_UID_CREATE, CTRL_DT_LUPD, CTRL_UID_LUPD</v>
      </c>
      <c r="N166"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6" t="str">
        <f t="shared" si="10"/>
        <v xml:space="preserve"> VALUES('165','ACC_TYPE_SP',NULL,'SP_L1','CONTRACT_REQUEST','APP','EDIT','SAVE',NULL,'A',NOW(), 'SYS',NOW(),'SYS','CKT');</v>
      </c>
      <c r="P16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VALUES('165','ACC_TYPE_SP',NULL,'SP_L1','CONTRACT_REQUEST','APP','EDIT','SAVE',NULL,'A',NOW(), 'SYS',NOW(),'SYS','CKT');</v>
      </c>
    </row>
    <row r="167" spans="1:16" x14ac:dyDescent="0.2">
      <c r="A167">
        <v>166</v>
      </c>
      <c r="B167" t="s">
        <v>93</v>
      </c>
      <c r="C167" t="s">
        <v>125</v>
      </c>
      <c r="D167" t="s">
        <v>19</v>
      </c>
      <c r="E167" t="s">
        <v>480</v>
      </c>
      <c r="F167" t="s">
        <v>105</v>
      </c>
      <c r="G167" t="s">
        <v>498</v>
      </c>
      <c r="H167" t="s">
        <v>556</v>
      </c>
      <c r="I167" t="s">
        <v>125</v>
      </c>
      <c r="J167" t="s">
        <v>7</v>
      </c>
      <c r="L167" s="35" t="s">
        <v>14</v>
      </c>
      <c r="M167" t="str">
        <f t="shared" si="11"/>
        <v>INSERT INTO T_CK_FORM_CONTROL (CTRL_ID, CTRL_ACCN_TYPE, CTRL_ACCN, CTRL_USR_ROLE, CTRL_ENTITY_TYPE, CTRL_ENTITY_STATE, CTRL_FORM_TYPE, CTRL_FORM_ACTION, CTRL_FORM_ACTION_MENU, CTRL_STATUS, CTRL_DT_CREATE, CTRL_UID_CREATE, CTRL_DT_LUPD, CTRL_UID_LUPD</v>
      </c>
      <c r="N167"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7" t="str">
        <f t="shared" si="10"/>
        <v xml:space="preserve"> VALUES('166','ACC_TYPE_SP',NULL,'SP_L1','CONTRACT_REQUEST','APP','EDIT','SUBMIT',NULL,'A',NOW(), 'SYS',NOW(),'SYS','CKT');</v>
      </c>
      <c r="P167"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VALUES('166','ACC_TYPE_SP',NULL,'SP_L1','CONTRACT_REQUEST','APP','EDIT','SUBMIT',NULL,'A',NOW(), 'SYS',NOW(),'SYS','CKT');</v>
      </c>
    </row>
    <row r="168" spans="1:16" x14ac:dyDescent="0.2">
      <c r="A168">
        <v>167</v>
      </c>
      <c r="B168" t="s">
        <v>93</v>
      </c>
      <c r="C168" t="s">
        <v>125</v>
      </c>
      <c r="D168" t="s">
        <v>19</v>
      </c>
      <c r="E168" t="s">
        <v>480</v>
      </c>
      <c r="F168" t="s">
        <v>105</v>
      </c>
      <c r="G168" t="s">
        <v>498</v>
      </c>
      <c r="H168" t="s">
        <v>531</v>
      </c>
      <c r="I168" t="s">
        <v>125</v>
      </c>
      <c r="J168" t="s">
        <v>7</v>
      </c>
      <c r="L168" s="35" t="s">
        <v>14</v>
      </c>
      <c r="M168" t="str">
        <f t="shared" si="11"/>
        <v>INSERT INTO T_CK_FORM_CONTROL (CTRL_ID, CTRL_ACCN_TYPE, CTRL_ACCN, CTRL_USR_ROLE, CTRL_ENTITY_TYPE, CTRL_ENTITY_STATE, CTRL_FORM_TYPE, CTRL_FORM_ACTION, CTRL_FORM_ACTION_MENU, CTRL_STATUS, CTRL_DT_CREATE, CTRL_UID_CREATE, CTRL_DT_LUPD, CTRL_UID_LUPD</v>
      </c>
      <c r="N168"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8" t="str">
        <f t="shared" si="10"/>
        <v xml:space="preserve"> VALUES('167','ACC_TYPE_SP',NULL,'SP_L1','CONTRACT_REQUEST','APP','EDIT','DELETE',NULL,'A',NOW(), 'SYS',NOW(),'SYS','CKT');</v>
      </c>
      <c r="P168"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VALUES('167','ACC_TYPE_SP',NULL,'SP_L1','CONTRACT_REQUEST','APP','EDIT','DELETE',NULL,'A',NOW(), 'SYS',NOW(),'SYS','CKT');</v>
      </c>
    </row>
    <row r="169" spans="1:16" x14ac:dyDescent="0.2">
      <c r="A169">
        <v>168</v>
      </c>
      <c r="B169" t="s">
        <v>93</v>
      </c>
      <c r="C169" t="s">
        <v>125</v>
      </c>
      <c r="D169" t="s">
        <v>19</v>
      </c>
      <c r="E169" t="s">
        <v>480</v>
      </c>
      <c r="F169" t="s">
        <v>105</v>
      </c>
      <c r="G169" t="s">
        <v>498</v>
      </c>
      <c r="H169" t="s">
        <v>533</v>
      </c>
      <c r="I169" t="s">
        <v>125</v>
      </c>
      <c r="J169" t="s">
        <v>7</v>
      </c>
      <c r="L169" s="35" t="s">
        <v>14</v>
      </c>
      <c r="M169" t="str">
        <f t="shared" si="11"/>
        <v>INSERT INTO T_CK_FORM_CONTROL (CTRL_ID, CTRL_ACCN_TYPE, CTRL_ACCN, CTRL_USR_ROLE, CTRL_ENTITY_TYPE, CTRL_ENTITY_STATE, CTRL_FORM_TYPE, CTRL_FORM_ACTION, CTRL_FORM_ACTION_MENU, CTRL_STATUS, CTRL_DT_CREATE, CTRL_UID_CREATE, CTRL_DT_LUPD, CTRL_UID_LUPD</v>
      </c>
      <c r="N169"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69" t="str">
        <f t="shared" si="10"/>
        <v xml:space="preserve"> VALUES('168','ACC_TYPE_SP',NULL,'SP_L1','CONTRACT_REQUEST','APP','EDIT','EXIT',NULL,'A',NOW(), 'SYS',NOW(),'SYS','CKT');</v>
      </c>
      <c r="P169"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VALUES('168','ACC_TYPE_SP',NULL,'SP_L1','CONTRACT_REQUEST','APP','EDIT','EXIT',NULL,'A',NOW(), 'SYS',NOW(),'SYS','CKT');</v>
      </c>
    </row>
    <row r="170" spans="1:16" x14ac:dyDescent="0.2">
      <c r="A170">
        <v>169</v>
      </c>
      <c r="B170" t="s">
        <v>93</v>
      </c>
      <c r="C170" t="s">
        <v>125</v>
      </c>
      <c r="D170" t="s">
        <v>19</v>
      </c>
      <c r="E170" t="s">
        <v>480</v>
      </c>
      <c r="F170" t="s">
        <v>100</v>
      </c>
      <c r="G170" t="s">
        <v>502</v>
      </c>
      <c r="H170" t="s">
        <v>533</v>
      </c>
      <c r="I170" t="s">
        <v>125</v>
      </c>
      <c r="J170" t="s">
        <v>7</v>
      </c>
      <c r="L170" s="35" t="s">
        <v>14</v>
      </c>
      <c r="M170" t="str">
        <f t="shared" si="11"/>
        <v>INSERT INTO T_CK_FORM_CONTROL (CTRL_ID, CTRL_ACCN_TYPE, CTRL_ACCN, CTRL_USR_ROLE, CTRL_ENTITY_TYPE, CTRL_ENTITY_STATE, CTRL_FORM_TYPE, CTRL_FORM_ACTION, CTRL_FORM_ACTION_MENU, CTRL_STATUS, CTRL_DT_CREATE, CTRL_UID_CREATE, CTRL_DT_LUPD, CTRL_UID_LUPD</v>
      </c>
      <c r="N170"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0" t="str">
        <f t="shared" si="10"/>
        <v xml:space="preserve"> VALUES('169','ACC_TYPE_SP',NULL,'SP_L1','CONTRACT_REQUEST','NEW','VIEW','EXIT',NULL,'A',NOW(), 'SYS',NOW(),'SYS','CKT');</v>
      </c>
      <c r="P170" t="str">
        <f t="shared" si="13"/>
        <v>INSERT INTO T_CK_FORM_CONTROL (CTRL_ID, CTRL_ACCN_TYPE, CTRL_ACCN, CTRL_USR_ROLE, CTRL_ENTITY_TYPE, CTRL_ENTITY_STATE, CTRL_FORM_TYPE, CTRL_FORM_ACTION, CTRL_FORM_ACTION_MENU, CTRL_STATUS, CTRL_DT_CREATE, CTRL_UID_CREATE, CTRL_DT_LUPD, CTRL_UID_LUPD,CTRL_APPS_CODE)  VALUES('169','ACC_TYPE_SP',NULL,'SP_L1','CONTRACT_REQUEST','NEW','VIEW','EXIT',NULL,'A',NOW(), 'SYS',NOW(),'SYS','CKT');</v>
      </c>
    </row>
    <row r="171" spans="1:16" x14ac:dyDescent="0.2">
      <c r="A171">
        <v>170</v>
      </c>
      <c r="B171" t="s">
        <v>93</v>
      </c>
      <c r="C171" t="s">
        <v>125</v>
      </c>
      <c r="D171" t="s">
        <v>19</v>
      </c>
      <c r="E171" t="s">
        <v>480</v>
      </c>
      <c r="F171" t="s">
        <v>101</v>
      </c>
      <c r="G171" t="s">
        <v>502</v>
      </c>
      <c r="H171" t="s">
        <v>533</v>
      </c>
      <c r="I171" t="s">
        <v>125</v>
      </c>
      <c r="J171" t="s">
        <v>7</v>
      </c>
      <c r="L171" s="35" t="s">
        <v>14</v>
      </c>
      <c r="M171" t="str">
        <f t="shared" si="11"/>
        <v>INSERT INTO T_CK_FORM_CONTROL (CTRL_ID, CTRL_ACCN_TYPE, CTRL_ACCN, CTRL_USR_ROLE, CTRL_ENTITY_TYPE, CTRL_ENTITY_STATE, CTRL_FORM_TYPE, CTRL_FORM_ACTION, CTRL_FORM_ACTION_MENU, CTRL_STATUS, CTRL_DT_CREATE, CTRL_UID_CREATE, CTRL_DT_LUPD, CTRL_UID_LUPD</v>
      </c>
      <c r="N171"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1" t="str">
        <f t="shared" si="10"/>
        <v xml:space="preserve"> VALUES('170','ACC_TYPE_SP',NULL,'SP_L1','CONTRACT_REQUEST','SUB','VIEW','EXIT',NULL,'A',NOW(), 'SYS',NOW(),'SYS','CKT');</v>
      </c>
      <c r="P171"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VALUES('170','ACC_TYPE_SP',NULL,'SP_L1','CONTRACT_REQUEST','SUB','VIEW','EXIT',NULL,'A',NOW(), 'SYS',NOW(),'SYS','CKT');</v>
      </c>
    </row>
    <row r="172" spans="1:16" x14ac:dyDescent="0.2">
      <c r="A172">
        <v>171</v>
      </c>
      <c r="B172" t="s">
        <v>93</v>
      </c>
      <c r="C172" t="s">
        <v>125</v>
      </c>
      <c r="D172" t="s">
        <v>19</v>
      </c>
      <c r="E172" t="s">
        <v>480</v>
      </c>
      <c r="F172" t="s">
        <v>105</v>
      </c>
      <c r="G172" t="s">
        <v>502</v>
      </c>
      <c r="H172" t="s">
        <v>533</v>
      </c>
      <c r="I172" t="s">
        <v>125</v>
      </c>
      <c r="J172" t="s">
        <v>7</v>
      </c>
      <c r="L172" s="35" t="s">
        <v>14</v>
      </c>
      <c r="M172" t="str">
        <f t="shared" si="11"/>
        <v>INSERT INTO T_CK_FORM_CONTROL (CTRL_ID, CTRL_ACCN_TYPE, CTRL_ACCN, CTRL_USR_ROLE, CTRL_ENTITY_TYPE, CTRL_ENTITY_STATE, CTRL_FORM_TYPE, CTRL_FORM_ACTION, CTRL_FORM_ACTION_MENU, CTRL_STATUS, CTRL_DT_CREATE, CTRL_UID_CREATE, CTRL_DT_LUPD, CTRL_UID_LUPD</v>
      </c>
      <c r="N172"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2" t="str">
        <f t="shared" si="10"/>
        <v xml:space="preserve"> VALUES('171','ACC_TYPE_SP',NULL,'SP_L1','CONTRACT_REQUEST','APP','VIEW','EXIT',NULL,'A',NOW(), 'SYS',NOW(),'SYS','CKT');</v>
      </c>
      <c r="P172"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VALUES('171','ACC_TYPE_SP',NULL,'SP_L1','CONTRACT_REQUEST','APP','VIEW','EXIT',NULL,'A',NOW(), 'SYS',NOW(),'SYS','CKT');</v>
      </c>
    </row>
    <row r="173" spans="1:16" x14ac:dyDescent="0.2">
      <c r="A173">
        <v>172</v>
      </c>
      <c r="B173" t="s">
        <v>93</v>
      </c>
      <c r="C173" t="s">
        <v>125</v>
      </c>
      <c r="D173" t="s">
        <v>19</v>
      </c>
      <c r="E173" t="s">
        <v>480</v>
      </c>
      <c r="F173" t="s">
        <v>107</v>
      </c>
      <c r="G173" t="s">
        <v>502</v>
      </c>
      <c r="H173" t="s">
        <v>533</v>
      </c>
      <c r="I173" t="s">
        <v>125</v>
      </c>
      <c r="J173" t="s">
        <v>7</v>
      </c>
      <c r="L173" s="35" t="s">
        <v>14</v>
      </c>
      <c r="M173" t="str">
        <f t="shared" si="11"/>
        <v>INSERT INTO T_CK_FORM_CONTROL (CTRL_ID, CTRL_ACCN_TYPE, CTRL_ACCN, CTRL_USR_ROLE, CTRL_ENTITY_TYPE, CTRL_ENTITY_STATE, CTRL_FORM_TYPE, CTRL_FORM_ACTION, CTRL_FORM_ACTION_MENU, CTRL_STATUS, CTRL_DT_CREATE, CTRL_UID_CREATE, CTRL_DT_LUPD, CTRL_UID_LUPD</v>
      </c>
      <c r="N173"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3" t="str">
        <f t="shared" si="10"/>
        <v xml:space="preserve"> VALUES('172','ACC_TYPE_SP',NULL,'SP_L1','CONTRACT_REQUEST','REJ','VIEW','EXIT',NULL,'A',NOW(), 'SYS',NOW(),'SYS','CKT');</v>
      </c>
      <c r="P173"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VALUES('172','ACC_TYPE_SP',NULL,'SP_L1','CONTRACT_REQUEST','REJ','VIEW','EXIT',NULL,'A',NOW(), 'SYS',NOW(),'SYS','CKT');</v>
      </c>
    </row>
    <row r="174" spans="1:16" x14ac:dyDescent="0.2">
      <c r="A174">
        <v>173</v>
      </c>
      <c r="B174" t="s">
        <v>93</v>
      </c>
      <c r="C174" t="s">
        <v>125</v>
      </c>
      <c r="D174" t="s">
        <v>25</v>
      </c>
      <c r="E174" t="s">
        <v>480</v>
      </c>
      <c r="F174" t="s">
        <v>101</v>
      </c>
      <c r="G174" t="s">
        <v>502</v>
      </c>
      <c r="H174" t="s">
        <v>517</v>
      </c>
      <c r="I174" t="s">
        <v>125</v>
      </c>
      <c r="J174" t="s">
        <v>7</v>
      </c>
      <c r="L174" s="35" t="s">
        <v>14</v>
      </c>
      <c r="M174" t="str">
        <f t="shared" si="11"/>
        <v>INSERT INTO T_CK_FORM_CONTROL (CTRL_ID, CTRL_ACCN_TYPE, CTRL_ACCN, CTRL_USR_ROLE, CTRL_ENTITY_TYPE, CTRL_ENTITY_STATE, CTRL_FORM_TYPE, CTRL_FORM_ACTION, CTRL_FORM_ACTION_MENU, CTRL_STATUS, CTRL_DT_CREATE, CTRL_UID_CREATE, CTRL_DT_LUPD, CTRL_UID_LUPD</v>
      </c>
      <c r="N174"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4" t="str">
        <f t="shared" si="10"/>
        <v xml:space="preserve"> VALUES('173','ACC_TYPE_SP',NULL,'SP_FIN_HD','CONTRACT_REQUEST','SUB','VIEW','APPROVE',NULL,'A',NOW(), 'SYS',NOW(),'SYS','CKT');</v>
      </c>
      <c r="P174"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VALUES('173','ACC_TYPE_SP',NULL,'SP_FIN_HD','CONTRACT_REQUEST','SUB','VIEW','APPROVE',NULL,'A',NOW(), 'SYS',NOW(),'SYS','CKT');</v>
      </c>
    </row>
    <row r="175" spans="1:16" x14ac:dyDescent="0.2">
      <c r="A175">
        <v>174</v>
      </c>
      <c r="B175" t="s">
        <v>93</v>
      </c>
      <c r="C175" t="s">
        <v>125</v>
      </c>
      <c r="D175" t="s">
        <v>25</v>
      </c>
      <c r="E175" t="s">
        <v>480</v>
      </c>
      <c r="F175" t="s">
        <v>101</v>
      </c>
      <c r="G175" t="s">
        <v>502</v>
      </c>
      <c r="H175" t="s">
        <v>542</v>
      </c>
      <c r="I175" t="s">
        <v>125</v>
      </c>
      <c r="J175" t="s">
        <v>7</v>
      </c>
      <c r="L175" s="35" t="s">
        <v>14</v>
      </c>
      <c r="M175" t="str">
        <f t="shared" si="11"/>
        <v>INSERT INTO T_CK_FORM_CONTROL (CTRL_ID, CTRL_ACCN_TYPE, CTRL_ACCN, CTRL_USR_ROLE, CTRL_ENTITY_TYPE, CTRL_ENTITY_STATE, CTRL_FORM_TYPE, CTRL_FORM_ACTION, CTRL_FORM_ACTION_MENU, CTRL_STATUS, CTRL_DT_CREATE, CTRL_UID_CREATE, CTRL_DT_LUPD, CTRL_UID_LUPD</v>
      </c>
      <c r="N175"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5" t="str">
        <f t="shared" si="10"/>
        <v xml:space="preserve"> VALUES('174','ACC_TYPE_SP',NULL,'SP_FIN_HD','CONTRACT_REQUEST','SUB','VIEW','REJECT',NULL,'A',NOW(), 'SYS',NOW(),'SYS','CKT');</v>
      </c>
      <c r="P175"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VALUES('174','ACC_TYPE_SP',NULL,'SP_FIN_HD','CONTRACT_REQUEST','SUB','VIEW','REJECT',NULL,'A',NOW(), 'SYS',NOW(),'SYS','CKT');</v>
      </c>
    </row>
    <row r="176" spans="1:16" x14ac:dyDescent="0.2">
      <c r="A176">
        <v>175</v>
      </c>
      <c r="B176" t="s">
        <v>93</v>
      </c>
      <c r="C176" t="s">
        <v>125</v>
      </c>
      <c r="D176" t="s">
        <v>25</v>
      </c>
      <c r="E176" t="s">
        <v>480</v>
      </c>
      <c r="F176" t="s">
        <v>101</v>
      </c>
      <c r="G176" t="s">
        <v>502</v>
      </c>
      <c r="H176" t="s">
        <v>533</v>
      </c>
      <c r="I176" t="s">
        <v>125</v>
      </c>
      <c r="J176" t="s">
        <v>7</v>
      </c>
      <c r="L176" s="35" t="s">
        <v>14</v>
      </c>
      <c r="M176" t="str">
        <f t="shared" si="11"/>
        <v>INSERT INTO T_CK_FORM_CONTROL (CTRL_ID, CTRL_ACCN_TYPE, CTRL_ACCN, CTRL_USR_ROLE, CTRL_ENTITY_TYPE, CTRL_ENTITY_STATE, CTRL_FORM_TYPE, CTRL_FORM_ACTION, CTRL_FORM_ACTION_MENU, CTRL_STATUS, CTRL_DT_CREATE, CTRL_UID_CREATE, CTRL_DT_LUPD, CTRL_UID_LUPD</v>
      </c>
      <c r="N176"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6" t="str">
        <f t="shared" si="10"/>
        <v xml:space="preserve"> VALUES('175','ACC_TYPE_SP',NULL,'SP_FIN_HD','CONTRACT_REQUEST','SUB','VIEW','EXIT',NULL,'A',NOW(), 'SYS',NOW(),'SYS','CKT');</v>
      </c>
      <c r="P17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VALUES('175','ACC_TYPE_SP',NULL,'SP_FIN_HD','CONTRACT_REQUEST','SUB','VIEW','EXIT',NULL,'A',NOW(), 'SYS',NOW(),'SYS','CKT');</v>
      </c>
    </row>
    <row r="177" spans="1:16" x14ac:dyDescent="0.2">
      <c r="A177">
        <v>176</v>
      </c>
      <c r="B177" t="s">
        <v>93</v>
      </c>
      <c r="C177" t="s">
        <v>125</v>
      </c>
      <c r="D177" t="s">
        <v>25</v>
      </c>
      <c r="E177" t="s">
        <v>480</v>
      </c>
      <c r="F177" t="s">
        <v>105</v>
      </c>
      <c r="G177" t="s">
        <v>502</v>
      </c>
      <c r="H177" t="s">
        <v>533</v>
      </c>
      <c r="I177" t="s">
        <v>125</v>
      </c>
      <c r="J177" t="s">
        <v>7</v>
      </c>
      <c r="L177" s="35" t="s">
        <v>14</v>
      </c>
      <c r="M177" t="str">
        <f t="shared" si="11"/>
        <v>INSERT INTO T_CK_FORM_CONTROL (CTRL_ID, CTRL_ACCN_TYPE, CTRL_ACCN, CTRL_USR_ROLE, CTRL_ENTITY_TYPE, CTRL_ENTITY_STATE, CTRL_FORM_TYPE, CTRL_FORM_ACTION, CTRL_FORM_ACTION_MENU, CTRL_STATUS, CTRL_DT_CREATE, CTRL_UID_CREATE, CTRL_DT_LUPD, CTRL_UID_LUPD</v>
      </c>
      <c r="N177"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7" t="str">
        <f t="shared" si="10"/>
        <v xml:space="preserve"> VALUES('176','ACC_TYPE_SP',NULL,'SP_FIN_HD','CONTRACT_REQUEST','APP','VIEW','EXIT',NULL,'A',NOW(), 'SYS',NOW(),'SYS','CKT');</v>
      </c>
      <c r="P177"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VALUES('176','ACC_TYPE_SP',NULL,'SP_FIN_HD','CONTRACT_REQUEST','APP','VIEW','EXIT',NULL,'A',NOW(), 'SYS',NOW(),'SYS','CKT');</v>
      </c>
    </row>
    <row r="178" spans="1:16" x14ac:dyDescent="0.2">
      <c r="A178">
        <v>177</v>
      </c>
      <c r="B178" t="s">
        <v>93</v>
      </c>
      <c r="C178" t="s">
        <v>125</v>
      </c>
      <c r="D178" t="s">
        <v>25</v>
      </c>
      <c r="E178" t="s">
        <v>480</v>
      </c>
      <c r="F178" t="s">
        <v>107</v>
      </c>
      <c r="G178" t="s">
        <v>502</v>
      </c>
      <c r="H178" t="s">
        <v>533</v>
      </c>
      <c r="I178" t="s">
        <v>125</v>
      </c>
      <c r="J178" t="s">
        <v>7</v>
      </c>
      <c r="L178" s="35" t="s">
        <v>14</v>
      </c>
      <c r="M178" t="str">
        <f t="shared" si="11"/>
        <v>INSERT INTO T_CK_FORM_CONTROL (CTRL_ID, CTRL_ACCN_TYPE, CTRL_ACCN, CTRL_USR_ROLE, CTRL_ENTITY_TYPE, CTRL_ENTITY_STATE, CTRL_FORM_TYPE, CTRL_FORM_ACTION, CTRL_FORM_ACTION_MENU, CTRL_STATUS, CTRL_DT_CREATE, CTRL_UID_CREATE, CTRL_DT_LUPD, CTRL_UID_LUPD</v>
      </c>
      <c r="N178"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8" t="str">
        <f t="shared" si="10"/>
        <v xml:space="preserve"> VALUES('177','ACC_TYPE_SP',NULL,'SP_FIN_HD','CONTRACT_REQUEST','REJ','VIEW','EXIT',NULL,'A',NOW(), 'SYS',NOW(),'SYS','CKT');</v>
      </c>
      <c r="P178"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VALUES('177','ACC_TYPE_SP',NULL,'SP_FIN_HD','CONTRACT_REQUEST','REJ','VIEW','EXIT',NULL,'A',NOW(), 'SYS',NOW(),'SYS','CKT');</v>
      </c>
    </row>
    <row r="179" spans="1:16" x14ac:dyDescent="0.2">
      <c r="A179">
        <v>178</v>
      </c>
      <c r="B179" t="s">
        <v>93</v>
      </c>
      <c r="C179" t="s">
        <v>125</v>
      </c>
      <c r="D179" t="s">
        <v>19</v>
      </c>
      <c r="E179" t="s">
        <v>474</v>
      </c>
      <c r="F179" t="s">
        <v>105</v>
      </c>
      <c r="G179" t="s">
        <v>502</v>
      </c>
      <c r="H179" t="s">
        <v>546</v>
      </c>
      <c r="I179" t="s">
        <v>125</v>
      </c>
      <c r="J179" t="s">
        <v>7</v>
      </c>
      <c r="L179" s="35" t="s">
        <v>14</v>
      </c>
      <c r="M179" t="str">
        <f t="shared" si="11"/>
        <v>INSERT INTO T_CK_FORM_CONTROL (CTRL_ID, CTRL_ACCN_TYPE, CTRL_ACCN, CTRL_USR_ROLE, CTRL_ENTITY_TYPE, CTRL_ENTITY_STATE, CTRL_FORM_TYPE, CTRL_FORM_ACTION, CTRL_FORM_ACTION_MENU, CTRL_STATUS, CTRL_DT_CREATE, CTRL_UID_CREATE, CTRL_DT_LUPD, CTRL_UID_LUPD</v>
      </c>
      <c r="N179"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79" t="str">
        <f t="shared" si="10"/>
        <v xml:space="preserve"> VALUES('178','ACC_TYPE_SP',NULL,'SP_L1','ACCN_RESUMPTION','APP','VIEW','RESUMPTION',NULL,'A',NOW(), 'SYS',NOW(),'SYS','CKT');</v>
      </c>
      <c r="P179"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VALUES('178','ACC_TYPE_SP',NULL,'SP_L1','ACCN_RESUMPTION','APP','VIEW','RESUMPTION',NULL,'A',NOW(), 'SYS',NOW(),'SYS','CKT');</v>
      </c>
    </row>
    <row r="180" spans="1:16" x14ac:dyDescent="0.2">
      <c r="A180">
        <v>179</v>
      </c>
      <c r="B180" t="s">
        <v>93</v>
      </c>
      <c r="C180" t="s">
        <v>125</v>
      </c>
      <c r="D180" t="s">
        <v>19</v>
      </c>
      <c r="E180" t="s">
        <v>474</v>
      </c>
      <c r="F180" t="s">
        <v>105</v>
      </c>
      <c r="G180" t="s">
        <v>502</v>
      </c>
      <c r="H180" t="s">
        <v>533</v>
      </c>
      <c r="I180" t="s">
        <v>125</v>
      </c>
      <c r="J180" t="s">
        <v>7</v>
      </c>
      <c r="L180" s="35" t="s">
        <v>14</v>
      </c>
      <c r="M180" t="str">
        <f t="shared" si="11"/>
        <v>INSERT INTO T_CK_FORM_CONTROL (CTRL_ID, CTRL_ACCN_TYPE, CTRL_ACCN, CTRL_USR_ROLE, CTRL_ENTITY_TYPE, CTRL_ENTITY_STATE, CTRL_FORM_TYPE, CTRL_FORM_ACTION, CTRL_FORM_ACTION_MENU, CTRL_STATUS, CTRL_DT_CREATE, CTRL_UID_CREATE, CTRL_DT_LUPD, CTRL_UID_LUPD</v>
      </c>
      <c r="N180"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0" t="str">
        <f t="shared" si="10"/>
        <v xml:space="preserve"> VALUES('179','ACC_TYPE_SP',NULL,'SP_L1','ACCN_RESUMPTION','APP','VIEW','EXIT',NULL,'A',NOW(), 'SYS',NOW(),'SYS','CKT');</v>
      </c>
      <c r="P180" t="str">
        <f t="shared" si="13"/>
        <v>INSERT INTO T_CK_FORM_CONTROL (CTRL_ID, CTRL_ACCN_TYPE, CTRL_ACCN, CTRL_USR_ROLE, CTRL_ENTITY_TYPE, CTRL_ENTITY_STATE, CTRL_FORM_TYPE, CTRL_FORM_ACTION, CTRL_FORM_ACTION_MENU, CTRL_STATUS, CTRL_DT_CREATE, CTRL_UID_CREATE, CTRL_DT_LUPD, CTRL_UID_LUPD,CTRL_APPS_CODE)  VALUES('179','ACC_TYPE_SP',NULL,'SP_L1','ACCN_RESUMPTION','APP','VIEW','EXIT',NULL,'A',NOW(), 'SYS',NOW(),'SYS','CKT');</v>
      </c>
    </row>
    <row r="181" spans="1:16" x14ac:dyDescent="0.2">
      <c r="A181">
        <v>180</v>
      </c>
      <c r="B181" t="s">
        <v>93</v>
      </c>
      <c r="C181" t="s">
        <v>125</v>
      </c>
      <c r="D181" t="s">
        <v>19</v>
      </c>
      <c r="E181" t="s">
        <v>474</v>
      </c>
      <c r="F181" t="s">
        <v>101</v>
      </c>
      <c r="G181" t="s">
        <v>502</v>
      </c>
      <c r="H181" t="s">
        <v>533</v>
      </c>
      <c r="I181" t="s">
        <v>125</v>
      </c>
      <c r="J181" t="s">
        <v>7</v>
      </c>
      <c r="L181" s="35" t="s">
        <v>14</v>
      </c>
      <c r="M181" t="str">
        <f t="shared" si="11"/>
        <v>INSERT INTO T_CK_FORM_CONTROL (CTRL_ID, CTRL_ACCN_TYPE, CTRL_ACCN, CTRL_USR_ROLE, CTRL_ENTITY_TYPE, CTRL_ENTITY_STATE, CTRL_FORM_TYPE, CTRL_FORM_ACTION, CTRL_FORM_ACTION_MENU, CTRL_STATUS, CTRL_DT_CREATE, CTRL_UID_CREATE, CTRL_DT_LUPD, CTRL_UID_LUPD</v>
      </c>
      <c r="N181"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1" t="str">
        <f t="shared" si="10"/>
        <v xml:space="preserve"> VALUES('180','ACC_TYPE_SP',NULL,'SP_L1','ACCN_RESUMPTION','SUB','VIEW','EXIT',NULL,'A',NOW(), 'SYS',NOW(),'SYS','CKT');</v>
      </c>
      <c r="P181"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VALUES('180','ACC_TYPE_SP',NULL,'SP_L1','ACCN_RESUMPTION','SUB','VIEW','EXIT',NULL,'A',NOW(), 'SYS',NOW(),'SYS','CKT');</v>
      </c>
    </row>
    <row r="182" spans="1:16" x14ac:dyDescent="0.2">
      <c r="A182">
        <v>181</v>
      </c>
      <c r="B182" t="s">
        <v>93</v>
      </c>
      <c r="C182" t="s">
        <v>125</v>
      </c>
      <c r="D182" t="s">
        <v>19</v>
      </c>
      <c r="E182" t="s">
        <v>474</v>
      </c>
      <c r="F182" t="s">
        <v>546</v>
      </c>
      <c r="G182" t="s">
        <v>502</v>
      </c>
      <c r="H182" t="s">
        <v>533</v>
      </c>
      <c r="I182" t="s">
        <v>125</v>
      </c>
      <c r="J182" t="s">
        <v>7</v>
      </c>
      <c r="L182" s="35" t="s">
        <v>14</v>
      </c>
      <c r="M182" t="str">
        <f t="shared" si="11"/>
        <v>INSERT INTO T_CK_FORM_CONTROL (CTRL_ID, CTRL_ACCN_TYPE, CTRL_ACCN, CTRL_USR_ROLE, CTRL_ENTITY_TYPE, CTRL_ENTITY_STATE, CTRL_FORM_TYPE, CTRL_FORM_ACTION, CTRL_FORM_ACTION_MENU, CTRL_STATUS, CTRL_DT_CREATE, CTRL_UID_CREATE, CTRL_DT_LUPD, CTRL_UID_LUPD</v>
      </c>
      <c r="N182"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2" t="str">
        <f t="shared" si="10"/>
        <v xml:space="preserve"> VALUES('181','ACC_TYPE_SP',NULL,'SP_L1','ACCN_RESUMPTION','RESUMPTION','VIEW','EXIT',NULL,'A',NOW(), 'SYS',NOW(),'SYS','CKT');</v>
      </c>
      <c r="P182"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VALUES('181','ACC_TYPE_SP',NULL,'SP_L1','ACCN_RESUMPTION','RESUMPTION','VIEW','EXIT',NULL,'A',NOW(), 'SYS',NOW(),'SYS','CKT');</v>
      </c>
    </row>
    <row r="183" spans="1:16" x14ac:dyDescent="0.2">
      <c r="A183">
        <v>182</v>
      </c>
      <c r="B183" t="s">
        <v>93</v>
      </c>
      <c r="C183" t="s">
        <v>125</v>
      </c>
      <c r="D183" t="s">
        <v>25</v>
      </c>
      <c r="E183" t="s">
        <v>474</v>
      </c>
      <c r="F183" t="s">
        <v>101</v>
      </c>
      <c r="G183" t="s">
        <v>502</v>
      </c>
      <c r="H183" t="s">
        <v>517</v>
      </c>
      <c r="I183" t="s">
        <v>125</v>
      </c>
      <c r="J183" t="s">
        <v>7</v>
      </c>
      <c r="L183" s="35" t="s">
        <v>14</v>
      </c>
      <c r="M183" t="str">
        <f t="shared" si="11"/>
        <v>INSERT INTO T_CK_FORM_CONTROL (CTRL_ID, CTRL_ACCN_TYPE, CTRL_ACCN, CTRL_USR_ROLE, CTRL_ENTITY_TYPE, CTRL_ENTITY_STATE, CTRL_FORM_TYPE, CTRL_FORM_ACTION, CTRL_FORM_ACTION_MENU, CTRL_STATUS, CTRL_DT_CREATE, CTRL_UID_CREATE, CTRL_DT_LUPD, CTRL_UID_LUPD</v>
      </c>
      <c r="N183"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3" t="str">
        <f t="shared" si="10"/>
        <v xml:space="preserve"> VALUES('182','ACC_TYPE_SP',NULL,'SP_FIN_HD','ACCN_RESUMPTION','SUB','VIEW','APPROVE',NULL,'A',NOW(), 'SYS',NOW(),'SYS','CKT');</v>
      </c>
      <c r="P183"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VALUES('182','ACC_TYPE_SP',NULL,'SP_FIN_HD','ACCN_RESUMPTION','SUB','VIEW','APPROVE',NULL,'A',NOW(), 'SYS',NOW(),'SYS','CKT');</v>
      </c>
    </row>
    <row r="184" spans="1:16" x14ac:dyDescent="0.2">
      <c r="A184">
        <v>183</v>
      </c>
      <c r="B184" t="s">
        <v>93</v>
      </c>
      <c r="C184" t="s">
        <v>125</v>
      </c>
      <c r="D184" t="s">
        <v>25</v>
      </c>
      <c r="E184" t="s">
        <v>474</v>
      </c>
      <c r="F184" t="s">
        <v>101</v>
      </c>
      <c r="G184" t="s">
        <v>502</v>
      </c>
      <c r="H184" t="s">
        <v>533</v>
      </c>
      <c r="I184" t="s">
        <v>125</v>
      </c>
      <c r="J184" t="s">
        <v>7</v>
      </c>
      <c r="L184" s="35" t="s">
        <v>14</v>
      </c>
      <c r="M184" t="str">
        <f t="shared" si="11"/>
        <v>INSERT INTO T_CK_FORM_CONTROL (CTRL_ID, CTRL_ACCN_TYPE, CTRL_ACCN, CTRL_USR_ROLE, CTRL_ENTITY_TYPE, CTRL_ENTITY_STATE, CTRL_FORM_TYPE, CTRL_FORM_ACTION, CTRL_FORM_ACTION_MENU, CTRL_STATUS, CTRL_DT_CREATE, CTRL_UID_CREATE, CTRL_DT_LUPD, CTRL_UID_LUPD</v>
      </c>
      <c r="N184"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4" t="str">
        <f t="shared" si="10"/>
        <v xml:space="preserve"> VALUES('183','ACC_TYPE_SP',NULL,'SP_FIN_HD','ACCN_RESUMPTION','SUB','VIEW','EXIT',NULL,'A',NOW(), 'SYS',NOW(),'SYS','CKT');</v>
      </c>
      <c r="P184"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VALUES('183','ACC_TYPE_SP',NULL,'SP_FIN_HD','ACCN_RESUMPTION','SUB','VIEW','EXIT',NULL,'A',NOW(), 'SYS',NOW(),'SYS','CKT');</v>
      </c>
    </row>
    <row r="185" spans="1:16" x14ac:dyDescent="0.2">
      <c r="A185">
        <v>184</v>
      </c>
      <c r="B185" t="s">
        <v>93</v>
      </c>
      <c r="C185" t="s">
        <v>125</v>
      </c>
      <c r="D185" t="s">
        <v>25</v>
      </c>
      <c r="E185" t="s">
        <v>474</v>
      </c>
      <c r="F185" t="s">
        <v>546</v>
      </c>
      <c r="G185" t="s">
        <v>502</v>
      </c>
      <c r="H185" t="s">
        <v>533</v>
      </c>
      <c r="I185" t="s">
        <v>125</v>
      </c>
      <c r="J185" t="s">
        <v>7</v>
      </c>
      <c r="L185" s="35" t="s">
        <v>14</v>
      </c>
      <c r="M185" t="str">
        <f t="shared" si="11"/>
        <v>INSERT INTO T_CK_FORM_CONTROL (CTRL_ID, CTRL_ACCN_TYPE, CTRL_ACCN, CTRL_USR_ROLE, CTRL_ENTITY_TYPE, CTRL_ENTITY_STATE, CTRL_FORM_TYPE, CTRL_FORM_ACTION, CTRL_FORM_ACTION_MENU, CTRL_STATUS, CTRL_DT_CREATE, CTRL_UID_CREATE, CTRL_DT_LUPD, CTRL_UID_LUPD</v>
      </c>
      <c r="N185"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5" t="str">
        <f t="shared" si="10"/>
        <v xml:space="preserve"> VALUES('184','ACC_TYPE_SP',NULL,'SP_FIN_HD','ACCN_RESUMPTION','RESUMPTION','VIEW','EXIT',NULL,'A',NOW(), 'SYS',NOW(),'SYS','CKT');</v>
      </c>
      <c r="P185"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VALUES('184','ACC_TYPE_SP',NULL,'SP_FIN_HD','ACCN_RESUMPTION','RESUMPTION','VIEW','EXIT',NULL,'A',NOW(), 'SYS',NOW(),'SYS','CKT');</v>
      </c>
    </row>
    <row r="186" spans="1:16" s="36" customFormat="1" x14ac:dyDescent="0.2">
      <c r="A186" s="36">
        <v>185</v>
      </c>
      <c r="B186" s="36" t="s">
        <v>93</v>
      </c>
      <c r="C186" s="36" t="s">
        <v>125</v>
      </c>
      <c r="D186" s="36" t="s">
        <v>19</v>
      </c>
      <c r="E186" s="36" t="s">
        <v>472</v>
      </c>
      <c r="F186" s="36" t="s">
        <v>100</v>
      </c>
      <c r="G186" s="36" t="s">
        <v>498</v>
      </c>
      <c r="H186" s="36" t="s">
        <v>556</v>
      </c>
      <c r="I186" s="36" t="s">
        <v>125</v>
      </c>
      <c r="J186" s="36" t="s">
        <v>7</v>
      </c>
      <c r="L186" s="36" t="s">
        <v>30</v>
      </c>
      <c r="M186" s="36" t="str">
        <f t="shared" si="11"/>
        <v>INSERT INTO T_CK_FORM_CONTROL (CTRL_ID, CTRL_ACCN_TYPE, CTRL_ACCN, CTRL_USR_ROLE, CTRL_ENTITY_TYPE, CTRL_ENTITY_STATE, CTRL_FORM_TYPE, CTRL_FORM_ACTION, CTRL_FORM_ACTION_MENU, CTRL_STATUS, CTRL_DT_CREATE, CTRL_UID_CREATE, CTRL_DT_LUPD, CTRL_UID_LUPD</v>
      </c>
      <c r="N186" s="36"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6" s="36" t="str">
        <f t="shared" ref="O186:O213" si="14">CONCATENATE(" VALUES('",A186,"','",B186,"',",IF(C186="NULL","NULL",CONCATENATE("'",C186,"'")),",'",D186,"','",E186,"','",F186,"','",G186,"','",H186,"',",IF(I186="NULL","NULL",CONCATENATE("'",I186,"'")),",'",J186,"',NOW(), 'SYS',NOW(),'SYS','",L186,"');")</f>
        <v xml:space="preserve"> VALUES('185','ACC_TYPE_SP',NULL,'SP_L1','ACCN_REGISTRATION','NEW','EDIT','SUBMIT',NULL,'A',NOW(), 'SYS',NOW(),'SYS','CKDO');</v>
      </c>
      <c r="P186"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VALUES('185','ACC_TYPE_SP',NULL,'SP_L1','ACCN_REGISTRATION','NEW','EDIT','SUBMIT',NULL,'A',NOW(), 'SYS',NOW(),'SYS','CKDO');</v>
      </c>
    </row>
    <row r="187" spans="1:16" x14ac:dyDescent="0.2">
      <c r="A187">
        <v>186</v>
      </c>
      <c r="B187" t="s">
        <v>93</v>
      </c>
      <c r="C187" t="s">
        <v>125</v>
      </c>
      <c r="D187" t="s">
        <v>19</v>
      </c>
      <c r="E187" t="s">
        <v>472</v>
      </c>
      <c r="F187" t="s">
        <v>100</v>
      </c>
      <c r="G187" t="s">
        <v>498</v>
      </c>
      <c r="H187" t="s">
        <v>531</v>
      </c>
      <c r="I187" t="s">
        <v>125</v>
      </c>
      <c r="J187" t="s">
        <v>7</v>
      </c>
      <c r="L187" s="36" t="s">
        <v>30</v>
      </c>
      <c r="M187" t="str">
        <f t="shared" si="11"/>
        <v>INSERT INTO T_CK_FORM_CONTROL (CTRL_ID, CTRL_ACCN_TYPE, CTRL_ACCN, CTRL_USR_ROLE, CTRL_ENTITY_TYPE, CTRL_ENTITY_STATE, CTRL_FORM_TYPE, CTRL_FORM_ACTION, CTRL_FORM_ACTION_MENU, CTRL_STATUS, CTRL_DT_CREATE, CTRL_UID_CREATE, CTRL_DT_LUPD, CTRL_UID_LUPD</v>
      </c>
      <c r="N187"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7" t="str">
        <f t="shared" si="14"/>
        <v xml:space="preserve"> VALUES('186','ACC_TYPE_SP',NULL,'SP_L1','ACCN_REGISTRATION','NEW','EDIT','DELETE',NULL,'A',NOW(), 'SYS',NOW(),'SYS','CKDO');</v>
      </c>
      <c r="P187"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VALUES('186','ACC_TYPE_SP',NULL,'SP_L1','ACCN_REGISTRATION','NEW','EDIT','DELETE',NULL,'A',NOW(), 'SYS',NOW(),'SYS','CKDO');</v>
      </c>
    </row>
    <row r="188" spans="1:16" x14ac:dyDescent="0.2">
      <c r="A188">
        <v>187</v>
      </c>
      <c r="B188" t="s">
        <v>93</v>
      </c>
      <c r="C188" t="s">
        <v>125</v>
      </c>
      <c r="D188" t="s">
        <v>19</v>
      </c>
      <c r="E188" t="s">
        <v>472</v>
      </c>
      <c r="F188" t="s">
        <v>100</v>
      </c>
      <c r="G188" t="s">
        <v>498</v>
      </c>
      <c r="H188" t="s">
        <v>533</v>
      </c>
      <c r="I188" t="s">
        <v>125</v>
      </c>
      <c r="J188" t="s">
        <v>7</v>
      </c>
      <c r="L188" s="36" t="s">
        <v>30</v>
      </c>
      <c r="M188" t="str">
        <f t="shared" si="11"/>
        <v>INSERT INTO T_CK_FORM_CONTROL (CTRL_ID, CTRL_ACCN_TYPE, CTRL_ACCN, CTRL_USR_ROLE, CTRL_ENTITY_TYPE, CTRL_ENTITY_STATE, CTRL_FORM_TYPE, CTRL_FORM_ACTION, CTRL_FORM_ACTION_MENU, CTRL_STATUS, CTRL_DT_CREATE, CTRL_UID_CREATE, CTRL_DT_LUPD, CTRL_UID_LUPD</v>
      </c>
      <c r="N188"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8" t="str">
        <f t="shared" si="14"/>
        <v xml:space="preserve"> VALUES('187','ACC_TYPE_SP',NULL,'SP_L1','ACCN_REGISTRATION','NEW','EDIT','EXIT',NULL,'A',NOW(), 'SYS',NOW(),'SYS','CKDO');</v>
      </c>
      <c r="P188"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VALUES('187','ACC_TYPE_SP',NULL,'SP_L1','ACCN_REGISTRATION','NEW','EDIT','EXIT',NULL,'A',NOW(), 'SYS',NOW(),'SYS','CKDO');</v>
      </c>
    </row>
    <row r="189" spans="1:16" x14ac:dyDescent="0.2">
      <c r="A189">
        <v>188</v>
      </c>
      <c r="B189" t="s">
        <v>93</v>
      </c>
      <c r="C189" t="s">
        <v>125</v>
      </c>
      <c r="D189" t="s">
        <v>19</v>
      </c>
      <c r="E189" t="s">
        <v>472</v>
      </c>
      <c r="F189" t="s">
        <v>105</v>
      </c>
      <c r="G189" t="s">
        <v>498</v>
      </c>
      <c r="H189" t="s">
        <v>550</v>
      </c>
      <c r="I189" t="s">
        <v>125</v>
      </c>
      <c r="J189" t="s">
        <v>7</v>
      </c>
      <c r="L189" s="36" t="s">
        <v>30</v>
      </c>
      <c r="M189" t="str">
        <f t="shared" si="11"/>
        <v>INSERT INTO T_CK_FORM_CONTROL (CTRL_ID, CTRL_ACCN_TYPE, CTRL_ACCN, CTRL_USR_ROLE, CTRL_ENTITY_TYPE, CTRL_ENTITY_STATE, CTRL_FORM_TYPE, CTRL_FORM_ACTION, CTRL_FORM_ACTION_MENU, CTRL_STATUS, CTRL_DT_CREATE, CTRL_UID_CREATE, CTRL_DT_LUPD, CTRL_UID_LUPD</v>
      </c>
      <c r="N189"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89" t="str">
        <f t="shared" si="14"/>
        <v xml:space="preserve"> VALUES('188','ACC_TYPE_SP',NULL,'SP_L1','ACCN_REGISTRATION','APP','EDIT','SAVE',NULL,'A',NOW(), 'SYS',NOW(),'SYS','CKDO');</v>
      </c>
      <c r="P189"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VALUES('188','ACC_TYPE_SP',NULL,'SP_L1','ACCN_REGISTRATION','APP','EDIT','SAVE',NULL,'A',NOW(), 'SYS',NOW(),'SYS','CKDO');</v>
      </c>
    </row>
    <row r="190" spans="1:16" x14ac:dyDescent="0.2">
      <c r="A190">
        <v>189</v>
      </c>
      <c r="B190" t="s">
        <v>93</v>
      </c>
      <c r="C190" t="s">
        <v>125</v>
      </c>
      <c r="D190" t="s">
        <v>19</v>
      </c>
      <c r="E190" t="s">
        <v>472</v>
      </c>
      <c r="F190" t="s">
        <v>105</v>
      </c>
      <c r="G190" t="s">
        <v>498</v>
      </c>
      <c r="H190" t="s">
        <v>558</v>
      </c>
      <c r="I190" t="s">
        <v>125</v>
      </c>
      <c r="J190" t="s">
        <v>7</v>
      </c>
      <c r="L190" s="36" t="s">
        <v>30</v>
      </c>
      <c r="M190" t="str">
        <f t="shared" si="11"/>
        <v>INSERT INTO T_CK_FORM_CONTROL (CTRL_ID, CTRL_ACCN_TYPE, CTRL_ACCN, CTRL_USR_ROLE, CTRL_ENTITY_TYPE, CTRL_ENTITY_STATE, CTRL_FORM_TYPE, CTRL_FORM_ACTION, CTRL_FORM_ACTION_MENU, CTRL_STATUS, CTRL_DT_CREATE, CTRL_UID_CREATE, CTRL_DT_LUPD, CTRL_UID_LUPD</v>
      </c>
      <c r="N190"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0" t="str">
        <f t="shared" si="14"/>
        <v xml:space="preserve"> VALUES('189','ACC_TYPE_SP',NULL,'SP_L1','ACCN_REGISTRATION','APP','EDIT','SUSPEND',NULL,'A',NOW(), 'SYS',NOW(),'SYS','CKDO');</v>
      </c>
      <c r="P190"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VALUES('189','ACC_TYPE_SP',NULL,'SP_L1','ACCN_REGISTRATION','APP','EDIT','SUSPEND',NULL,'A',NOW(), 'SYS',NOW(),'SYS','CKDO');</v>
      </c>
    </row>
    <row r="191" spans="1:16" x14ac:dyDescent="0.2">
      <c r="A191">
        <v>190</v>
      </c>
      <c r="B191" t="s">
        <v>93</v>
      </c>
      <c r="C191" t="s">
        <v>125</v>
      </c>
      <c r="D191" t="s">
        <v>19</v>
      </c>
      <c r="E191" t="s">
        <v>472</v>
      </c>
      <c r="F191" t="s">
        <v>105</v>
      </c>
      <c r="G191" t="s">
        <v>498</v>
      </c>
      <c r="H191" t="s">
        <v>560</v>
      </c>
      <c r="I191" t="s">
        <v>125</v>
      </c>
      <c r="J191" t="s">
        <v>7</v>
      </c>
      <c r="L191" s="36" t="s">
        <v>30</v>
      </c>
      <c r="M191" t="str">
        <f t="shared" si="11"/>
        <v>INSERT INTO T_CK_FORM_CONTROL (CTRL_ID, CTRL_ACCN_TYPE, CTRL_ACCN, CTRL_USR_ROLE, CTRL_ENTITY_TYPE, CTRL_ENTITY_STATE, CTRL_FORM_TYPE, CTRL_FORM_ACTION, CTRL_FORM_ACTION_MENU, CTRL_STATUS, CTRL_DT_CREATE, CTRL_UID_CREATE, CTRL_DT_LUPD, CTRL_UID_LUPD</v>
      </c>
      <c r="N191"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1" t="str">
        <f t="shared" si="14"/>
        <v xml:space="preserve"> VALUES('190','ACC_TYPE_SP',NULL,'SP_L1','ACCN_REGISTRATION','APP','EDIT','TERMINATE',NULL,'A',NOW(), 'SYS',NOW(),'SYS','CKDO');</v>
      </c>
      <c r="P191"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VALUES('190','ACC_TYPE_SP',NULL,'SP_L1','ACCN_REGISTRATION','APP','EDIT','TERMINATE',NULL,'A',NOW(), 'SYS',NOW(),'SYS','CKDO');</v>
      </c>
    </row>
    <row r="192" spans="1:16" x14ac:dyDescent="0.2">
      <c r="A192">
        <v>191</v>
      </c>
      <c r="B192" t="s">
        <v>93</v>
      </c>
      <c r="C192" t="s">
        <v>125</v>
      </c>
      <c r="D192" t="s">
        <v>19</v>
      </c>
      <c r="E192" t="s">
        <v>472</v>
      </c>
      <c r="F192" t="s">
        <v>105</v>
      </c>
      <c r="G192" t="s">
        <v>498</v>
      </c>
      <c r="H192" t="s">
        <v>533</v>
      </c>
      <c r="I192" t="s">
        <v>125</v>
      </c>
      <c r="J192" t="s">
        <v>7</v>
      </c>
      <c r="L192" s="36" t="s">
        <v>30</v>
      </c>
      <c r="M192" t="str">
        <f t="shared" si="11"/>
        <v>INSERT INTO T_CK_FORM_CONTROL (CTRL_ID, CTRL_ACCN_TYPE, CTRL_ACCN, CTRL_USR_ROLE, CTRL_ENTITY_TYPE, CTRL_ENTITY_STATE, CTRL_FORM_TYPE, CTRL_FORM_ACTION, CTRL_FORM_ACTION_MENU, CTRL_STATUS, CTRL_DT_CREATE, CTRL_UID_CREATE, CTRL_DT_LUPD, CTRL_UID_LUPD</v>
      </c>
      <c r="N192"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2" t="str">
        <f t="shared" si="14"/>
        <v xml:space="preserve"> VALUES('191','ACC_TYPE_SP',NULL,'SP_L1','ACCN_REGISTRATION','APP','EDIT','EXIT',NULL,'A',NOW(), 'SYS',NOW(),'SYS','CKDO');</v>
      </c>
      <c r="P192"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VALUES('191','ACC_TYPE_SP',NULL,'SP_L1','ACCN_REGISTRATION','APP','EDIT','EXIT',NULL,'A',NOW(), 'SYS',NOW(),'SYS','CKDO');</v>
      </c>
    </row>
    <row r="193" spans="1:16" x14ac:dyDescent="0.2">
      <c r="A193">
        <v>192</v>
      </c>
      <c r="B193" t="s">
        <v>93</v>
      </c>
      <c r="C193" t="s">
        <v>125</v>
      </c>
      <c r="D193" t="s">
        <v>19</v>
      </c>
      <c r="E193" t="s">
        <v>472</v>
      </c>
      <c r="F193" t="s">
        <v>100</v>
      </c>
      <c r="G193" t="s">
        <v>502</v>
      </c>
      <c r="H193" t="s">
        <v>533</v>
      </c>
      <c r="I193" t="s">
        <v>125</v>
      </c>
      <c r="J193" t="s">
        <v>7</v>
      </c>
      <c r="L193" s="36" t="s">
        <v>30</v>
      </c>
      <c r="M193" t="str">
        <f t="shared" si="11"/>
        <v>INSERT INTO T_CK_FORM_CONTROL (CTRL_ID, CTRL_ACCN_TYPE, CTRL_ACCN, CTRL_USR_ROLE, CTRL_ENTITY_TYPE, CTRL_ENTITY_STATE, CTRL_FORM_TYPE, CTRL_FORM_ACTION, CTRL_FORM_ACTION_MENU, CTRL_STATUS, CTRL_DT_CREATE, CTRL_UID_CREATE, CTRL_DT_LUPD, CTRL_UID_LUPD</v>
      </c>
      <c r="N193"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3" t="str">
        <f t="shared" si="14"/>
        <v xml:space="preserve"> VALUES('192','ACC_TYPE_SP',NULL,'SP_L1','ACCN_REGISTRATION','NEW','VIEW','EXIT',NULL,'A',NOW(), 'SYS',NOW(),'SYS','CKDO');</v>
      </c>
      <c r="P193"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VALUES('192','ACC_TYPE_SP',NULL,'SP_L1','ACCN_REGISTRATION','NEW','VIEW','EXIT',NULL,'A',NOW(), 'SYS',NOW(),'SYS','CKDO');</v>
      </c>
    </row>
    <row r="194" spans="1:16" x14ac:dyDescent="0.2">
      <c r="A194">
        <v>193</v>
      </c>
      <c r="B194" t="s">
        <v>93</v>
      </c>
      <c r="C194" t="s">
        <v>125</v>
      </c>
      <c r="D194" t="s">
        <v>19</v>
      </c>
      <c r="E194" t="s">
        <v>472</v>
      </c>
      <c r="F194" t="s">
        <v>101</v>
      </c>
      <c r="G194" t="s">
        <v>502</v>
      </c>
      <c r="H194" t="s">
        <v>533</v>
      </c>
      <c r="I194" t="s">
        <v>125</v>
      </c>
      <c r="J194" t="s">
        <v>7</v>
      </c>
      <c r="L194" s="36" t="s">
        <v>30</v>
      </c>
      <c r="M194" t="str">
        <f t="shared" si="11"/>
        <v>INSERT INTO T_CK_FORM_CONTROL (CTRL_ID, CTRL_ACCN_TYPE, CTRL_ACCN, CTRL_USR_ROLE, CTRL_ENTITY_TYPE, CTRL_ENTITY_STATE, CTRL_FORM_TYPE, CTRL_FORM_ACTION, CTRL_FORM_ACTION_MENU, CTRL_STATUS, CTRL_DT_CREATE, CTRL_UID_CREATE, CTRL_DT_LUPD, CTRL_UID_LUPD</v>
      </c>
      <c r="N194"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4" t="str">
        <f t="shared" si="14"/>
        <v xml:space="preserve"> VALUES('193','ACC_TYPE_SP',NULL,'SP_L1','ACCN_REGISTRATION','SUB','VIEW','EXIT',NULL,'A',NOW(), 'SYS',NOW(),'SYS','CKDO');</v>
      </c>
      <c r="P194"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VALUES('193','ACC_TYPE_SP',NULL,'SP_L1','ACCN_REGISTRATION','SUB','VIEW','EXIT',NULL,'A',NOW(), 'SYS',NOW(),'SYS','CKDO');</v>
      </c>
    </row>
    <row r="195" spans="1:16" x14ac:dyDescent="0.2">
      <c r="A195">
        <v>194</v>
      </c>
      <c r="B195" t="s">
        <v>93</v>
      </c>
      <c r="C195" t="s">
        <v>125</v>
      </c>
      <c r="D195" t="s">
        <v>19</v>
      </c>
      <c r="E195" t="s">
        <v>472</v>
      </c>
      <c r="F195" t="s">
        <v>105</v>
      </c>
      <c r="G195" t="s">
        <v>502</v>
      </c>
      <c r="H195" t="s">
        <v>533</v>
      </c>
      <c r="I195" t="s">
        <v>125</v>
      </c>
      <c r="J195" t="s">
        <v>7</v>
      </c>
      <c r="L195" s="36" t="s">
        <v>30</v>
      </c>
      <c r="M195" t="str">
        <f t="shared" si="11"/>
        <v>INSERT INTO T_CK_FORM_CONTROL (CTRL_ID, CTRL_ACCN_TYPE, CTRL_ACCN, CTRL_USR_ROLE, CTRL_ENTITY_TYPE, CTRL_ENTITY_STATE, CTRL_FORM_TYPE, CTRL_FORM_ACTION, CTRL_FORM_ACTION_MENU, CTRL_STATUS, CTRL_DT_CREATE, CTRL_UID_CREATE, CTRL_DT_LUPD, CTRL_UID_LUPD</v>
      </c>
      <c r="N195"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5" t="str">
        <f t="shared" si="14"/>
        <v xml:space="preserve"> VALUES('194','ACC_TYPE_SP',NULL,'SP_L1','ACCN_REGISTRATION','APP','VIEW','EXIT',NULL,'A',NOW(), 'SYS',NOW(),'SYS','CKDO');</v>
      </c>
      <c r="P195"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VALUES('194','ACC_TYPE_SP',NULL,'SP_L1','ACCN_REGISTRATION','APP','VIEW','EXIT',NULL,'A',NOW(), 'SYS',NOW(),'SYS','CKDO');</v>
      </c>
    </row>
    <row r="196" spans="1:16" x14ac:dyDescent="0.2">
      <c r="A196">
        <v>195</v>
      </c>
      <c r="B196" t="s">
        <v>93</v>
      </c>
      <c r="C196" t="s">
        <v>125</v>
      </c>
      <c r="D196" s="35" t="s">
        <v>18</v>
      </c>
      <c r="E196" t="s">
        <v>472</v>
      </c>
      <c r="F196" t="s">
        <v>101</v>
      </c>
      <c r="G196" t="s">
        <v>502</v>
      </c>
      <c r="H196" t="s">
        <v>517</v>
      </c>
      <c r="I196" t="s">
        <v>125</v>
      </c>
      <c r="J196" t="s">
        <v>7</v>
      </c>
      <c r="L196" s="36" t="s">
        <v>30</v>
      </c>
      <c r="M196" t="str">
        <f t="shared" si="11"/>
        <v>INSERT INTO T_CK_FORM_CONTROL (CTRL_ID, CTRL_ACCN_TYPE, CTRL_ACCN, CTRL_USR_ROLE, CTRL_ENTITY_TYPE, CTRL_ENTITY_STATE, CTRL_FORM_TYPE, CTRL_FORM_ACTION, CTRL_FORM_ACTION_MENU, CTRL_STATUS, CTRL_DT_CREATE, CTRL_UID_CREATE, CTRL_DT_LUPD, CTRL_UID_LUPD</v>
      </c>
      <c r="N196"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6" t="str">
        <f t="shared" si="14"/>
        <v xml:space="preserve"> VALUES('195','ACC_TYPE_SP',NULL,'SP_OP_ADMIN','ACCN_REGISTRATION','SUB','VIEW','APPROVE',NULL,'A',NOW(), 'SYS',NOW(),'SYS','CKDO');</v>
      </c>
      <c r="P196"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VALUES('195','ACC_TYPE_SP',NULL,'SP_OP_ADMIN','ACCN_REGISTRATION','SUB','VIEW','APPROVE',NULL,'A',NOW(), 'SYS',NOW(),'SYS','CKDO');</v>
      </c>
    </row>
    <row r="197" spans="1:16" x14ac:dyDescent="0.2">
      <c r="A197">
        <v>196</v>
      </c>
      <c r="B197" t="s">
        <v>93</v>
      </c>
      <c r="C197" t="s">
        <v>125</v>
      </c>
      <c r="D197" s="35" t="s">
        <v>18</v>
      </c>
      <c r="E197" t="s">
        <v>472</v>
      </c>
      <c r="F197" t="s">
        <v>101</v>
      </c>
      <c r="G197" t="s">
        <v>502</v>
      </c>
      <c r="H197" t="s">
        <v>542</v>
      </c>
      <c r="I197" t="s">
        <v>125</v>
      </c>
      <c r="J197" t="s">
        <v>7</v>
      </c>
      <c r="L197" s="36" t="s">
        <v>30</v>
      </c>
      <c r="M197" t="str">
        <f t="shared" si="11"/>
        <v>INSERT INTO T_CK_FORM_CONTROL (CTRL_ID, CTRL_ACCN_TYPE, CTRL_ACCN, CTRL_USR_ROLE, CTRL_ENTITY_TYPE, CTRL_ENTITY_STATE, CTRL_FORM_TYPE, CTRL_FORM_ACTION, CTRL_FORM_ACTION_MENU, CTRL_STATUS, CTRL_DT_CREATE, CTRL_UID_CREATE, CTRL_DT_LUPD, CTRL_UID_LUPD</v>
      </c>
      <c r="N197"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7" t="str">
        <f t="shared" si="14"/>
        <v xml:space="preserve"> VALUES('196','ACC_TYPE_SP',NULL,'SP_OP_ADMIN','ACCN_REGISTRATION','SUB','VIEW','REJECT',NULL,'A',NOW(), 'SYS',NOW(),'SYS','CKDO');</v>
      </c>
      <c r="P197"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VALUES('196','ACC_TYPE_SP',NULL,'SP_OP_ADMIN','ACCN_REGISTRATION','SUB','VIEW','REJECT',NULL,'A',NOW(), 'SYS',NOW(),'SYS','CKDO');</v>
      </c>
    </row>
    <row r="198" spans="1:16" x14ac:dyDescent="0.2">
      <c r="A198">
        <v>197</v>
      </c>
      <c r="B198" t="s">
        <v>93</v>
      </c>
      <c r="C198" t="s">
        <v>125</v>
      </c>
      <c r="D198" s="35" t="s">
        <v>18</v>
      </c>
      <c r="E198" t="s">
        <v>472</v>
      </c>
      <c r="F198" t="s">
        <v>101</v>
      </c>
      <c r="G198" t="s">
        <v>502</v>
      </c>
      <c r="H198" t="s">
        <v>533</v>
      </c>
      <c r="I198" t="s">
        <v>125</v>
      </c>
      <c r="J198" t="s">
        <v>7</v>
      </c>
      <c r="L198" s="36" t="s">
        <v>30</v>
      </c>
      <c r="M198" t="str">
        <f t="shared" si="11"/>
        <v>INSERT INTO T_CK_FORM_CONTROL (CTRL_ID, CTRL_ACCN_TYPE, CTRL_ACCN, CTRL_USR_ROLE, CTRL_ENTITY_TYPE, CTRL_ENTITY_STATE, CTRL_FORM_TYPE, CTRL_FORM_ACTION, CTRL_FORM_ACTION_MENU, CTRL_STATUS, CTRL_DT_CREATE, CTRL_UID_CREATE, CTRL_DT_LUPD, CTRL_UID_LUPD</v>
      </c>
      <c r="N198"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8" t="str">
        <f t="shared" si="14"/>
        <v xml:space="preserve"> VALUES('197','ACC_TYPE_SP',NULL,'SP_OP_ADMIN','ACCN_REGISTRATION','SUB','VIEW','EXIT',NULL,'A',NOW(), 'SYS',NOW(),'SYS','CKDO');</v>
      </c>
      <c r="P198"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VALUES('197','ACC_TYPE_SP',NULL,'SP_OP_ADMIN','ACCN_REGISTRATION','SUB','VIEW','EXIT',NULL,'A',NOW(), 'SYS',NOW(),'SYS','CKDO');</v>
      </c>
    </row>
    <row r="199" spans="1:16" x14ac:dyDescent="0.2">
      <c r="A199">
        <v>198</v>
      </c>
      <c r="B199" t="s">
        <v>93</v>
      </c>
      <c r="C199" t="s">
        <v>125</v>
      </c>
      <c r="D199" s="35" t="s">
        <v>18</v>
      </c>
      <c r="E199" t="s">
        <v>472</v>
      </c>
      <c r="F199" t="s">
        <v>105</v>
      </c>
      <c r="G199" t="s">
        <v>502</v>
      </c>
      <c r="H199" t="s">
        <v>533</v>
      </c>
      <c r="I199" t="s">
        <v>125</v>
      </c>
      <c r="J199" t="s">
        <v>7</v>
      </c>
      <c r="L199" s="36" t="s">
        <v>30</v>
      </c>
      <c r="M199" t="str">
        <f t="shared" si="11"/>
        <v>INSERT INTO T_CK_FORM_CONTROL (CTRL_ID, CTRL_ACCN_TYPE, CTRL_ACCN, CTRL_USR_ROLE, CTRL_ENTITY_TYPE, CTRL_ENTITY_STATE, CTRL_FORM_TYPE, CTRL_FORM_ACTION, CTRL_FORM_ACTION_MENU, CTRL_STATUS, CTRL_DT_CREATE, CTRL_UID_CREATE, CTRL_DT_LUPD, CTRL_UID_LUPD</v>
      </c>
      <c r="N199"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199" t="str">
        <f t="shared" si="14"/>
        <v xml:space="preserve"> VALUES('198','ACC_TYPE_SP',NULL,'SP_OP_ADMIN','ACCN_REGISTRATION','APP','VIEW','EXIT',NULL,'A',NOW(), 'SYS',NOW(),'SYS','CKDO');</v>
      </c>
      <c r="P199"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VALUES('198','ACC_TYPE_SP',NULL,'SP_OP_ADMIN','ACCN_REGISTRATION','APP','VIEW','EXIT',NULL,'A',NOW(), 'SYS',NOW(),'SYS','CKDO');</v>
      </c>
    </row>
    <row r="200" spans="1:16" x14ac:dyDescent="0.2">
      <c r="A200">
        <v>199</v>
      </c>
      <c r="B200" t="s">
        <v>93</v>
      </c>
      <c r="C200" t="s">
        <v>125</v>
      </c>
      <c r="D200" t="s">
        <v>19</v>
      </c>
      <c r="E200" t="s">
        <v>476</v>
      </c>
      <c r="F200" t="s">
        <v>105</v>
      </c>
      <c r="G200" t="s">
        <v>502</v>
      </c>
      <c r="H200" t="s">
        <v>558</v>
      </c>
      <c r="I200" t="s">
        <v>125</v>
      </c>
      <c r="J200" t="s">
        <v>7</v>
      </c>
      <c r="L200" s="36" t="s">
        <v>30</v>
      </c>
      <c r="M200" t="str">
        <f t="shared" si="11"/>
        <v>INSERT INTO T_CK_FORM_CONTROL (CTRL_ID, CTRL_ACCN_TYPE, CTRL_ACCN, CTRL_USR_ROLE, CTRL_ENTITY_TYPE, CTRL_ENTITY_STATE, CTRL_FORM_TYPE, CTRL_FORM_ACTION, CTRL_FORM_ACTION_MENU, CTRL_STATUS, CTRL_DT_CREATE, CTRL_UID_CREATE, CTRL_DT_LUPD, CTRL_UID_LUPD</v>
      </c>
      <c r="N200"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0" t="str">
        <f t="shared" si="14"/>
        <v xml:space="preserve"> VALUES('199','ACC_TYPE_SP',NULL,'SP_L1','ACCN_SUSPENSION','APP','VIEW','SUSPEND',NULL,'A',NOW(), 'SYS',NOW(),'SYS','CKDO');</v>
      </c>
      <c r="P200"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VALUES('199','ACC_TYPE_SP',NULL,'SP_L1','ACCN_SUSPENSION','APP','VIEW','SUSPEND',NULL,'A',NOW(), 'SYS',NOW(),'SYS','CKDO');</v>
      </c>
    </row>
    <row r="201" spans="1:16" x14ac:dyDescent="0.2">
      <c r="A201">
        <v>200</v>
      </c>
      <c r="B201" t="s">
        <v>93</v>
      </c>
      <c r="C201" t="s">
        <v>125</v>
      </c>
      <c r="D201" t="s">
        <v>19</v>
      </c>
      <c r="E201" t="s">
        <v>476</v>
      </c>
      <c r="F201" t="s">
        <v>105</v>
      </c>
      <c r="G201" t="s">
        <v>502</v>
      </c>
      <c r="H201" t="s">
        <v>533</v>
      </c>
      <c r="I201" t="s">
        <v>125</v>
      </c>
      <c r="J201" t="s">
        <v>7</v>
      </c>
      <c r="L201" s="36" t="s">
        <v>30</v>
      </c>
      <c r="M201" t="str">
        <f t="shared" si="11"/>
        <v>INSERT INTO T_CK_FORM_CONTROL (CTRL_ID, CTRL_ACCN_TYPE, CTRL_ACCN, CTRL_USR_ROLE, CTRL_ENTITY_TYPE, CTRL_ENTITY_STATE, CTRL_FORM_TYPE, CTRL_FORM_ACTION, CTRL_FORM_ACTION_MENU, CTRL_STATUS, CTRL_DT_CREATE, CTRL_UID_CREATE, CTRL_DT_LUPD, CTRL_UID_LUPD</v>
      </c>
      <c r="N201"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1" t="str">
        <f t="shared" si="14"/>
        <v xml:space="preserve"> VALUES('200','ACC_TYPE_SP',NULL,'SP_L1','ACCN_SUSPENSION','APP','VIEW','EXIT',NULL,'A',NOW(), 'SYS',NOW(),'SYS','CKDO');</v>
      </c>
      <c r="P201"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VALUES('200','ACC_TYPE_SP',NULL,'SP_L1','ACCN_SUSPENSION','APP','VIEW','EXIT',NULL,'A',NOW(), 'SYS',NOW(),'SYS','CKDO');</v>
      </c>
    </row>
    <row r="202" spans="1:16" x14ac:dyDescent="0.2">
      <c r="A202">
        <v>201</v>
      </c>
      <c r="B202" t="s">
        <v>93</v>
      </c>
      <c r="C202" t="s">
        <v>125</v>
      </c>
      <c r="D202" t="s">
        <v>19</v>
      </c>
      <c r="E202" t="s">
        <v>476</v>
      </c>
      <c r="F202" t="s">
        <v>101</v>
      </c>
      <c r="G202" t="s">
        <v>502</v>
      </c>
      <c r="H202" t="s">
        <v>533</v>
      </c>
      <c r="I202" t="s">
        <v>125</v>
      </c>
      <c r="J202" t="s">
        <v>7</v>
      </c>
      <c r="L202" s="36" t="s">
        <v>30</v>
      </c>
      <c r="M202" t="str">
        <f t="shared" si="11"/>
        <v>INSERT INTO T_CK_FORM_CONTROL (CTRL_ID, CTRL_ACCN_TYPE, CTRL_ACCN, CTRL_USR_ROLE, CTRL_ENTITY_TYPE, CTRL_ENTITY_STATE, CTRL_FORM_TYPE, CTRL_FORM_ACTION, CTRL_FORM_ACTION_MENU, CTRL_STATUS, CTRL_DT_CREATE, CTRL_UID_CREATE, CTRL_DT_LUPD, CTRL_UID_LUPD</v>
      </c>
      <c r="N202"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2" t="str">
        <f t="shared" si="14"/>
        <v xml:space="preserve"> VALUES('201','ACC_TYPE_SP',NULL,'SP_L1','ACCN_SUSPENSION','SUB','VIEW','EXIT',NULL,'A',NOW(), 'SYS',NOW(),'SYS','CKDO');</v>
      </c>
      <c r="P202"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VALUES('201','ACC_TYPE_SP',NULL,'SP_L1','ACCN_SUSPENSION','SUB','VIEW','EXIT',NULL,'A',NOW(), 'SYS',NOW(),'SYS','CKDO');</v>
      </c>
    </row>
    <row r="203" spans="1:16" x14ac:dyDescent="0.2">
      <c r="A203">
        <v>202</v>
      </c>
      <c r="B203" t="s">
        <v>93</v>
      </c>
      <c r="C203" t="s">
        <v>125</v>
      </c>
      <c r="D203" t="s">
        <v>19</v>
      </c>
      <c r="E203" t="s">
        <v>476</v>
      </c>
      <c r="F203" t="s">
        <v>609</v>
      </c>
      <c r="G203" t="s">
        <v>502</v>
      </c>
      <c r="H203" t="s">
        <v>533</v>
      </c>
      <c r="I203" t="s">
        <v>125</v>
      </c>
      <c r="J203" t="s">
        <v>7</v>
      </c>
      <c r="L203" s="36" t="s">
        <v>30</v>
      </c>
      <c r="M203" t="str">
        <f t="shared" si="11"/>
        <v>INSERT INTO T_CK_FORM_CONTROL (CTRL_ID, CTRL_ACCN_TYPE, CTRL_ACCN, CTRL_USR_ROLE, CTRL_ENTITY_TYPE, CTRL_ENTITY_STATE, CTRL_FORM_TYPE, CTRL_FORM_ACTION, CTRL_FORM_ACTION_MENU, CTRL_STATUS, CTRL_DT_CREATE, CTRL_UID_CREATE, CTRL_DT_LUPD, CTRL_UID_LUPD</v>
      </c>
      <c r="N203"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3" t="str">
        <f t="shared" si="14"/>
        <v xml:space="preserve"> VALUES('202','ACC_TYPE_SP',NULL,'SP_L1','ACCN_SUSPENSION','SUS','VIEW','EXIT',NULL,'A',NOW(), 'SYS',NOW(),'SYS','CKDO');</v>
      </c>
      <c r="P203"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VALUES('202','ACC_TYPE_SP',NULL,'SP_L1','ACCN_SUSPENSION','SUS','VIEW','EXIT',NULL,'A',NOW(), 'SYS',NOW(),'SYS','CKDO');</v>
      </c>
    </row>
    <row r="204" spans="1:16" x14ac:dyDescent="0.2">
      <c r="A204">
        <v>203</v>
      </c>
      <c r="B204" t="s">
        <v>93</v>
      </c>
      <c r="C204" t="s">
        <v>125</v>
      </c>
      <c r="D204" s="35" t="s">
        <v>18</v>
      </c>
      <c r="E204" t="s">
        <v>476</v>
      </c>
      <c r="F204" t="s">
        <v>101</v>
      </c>
      <c r="G204" t="s">
        <v>502</v>
      </c>
      <c r="H204" t="s">
        <v>517</v>
      </c>
      <c r="I204" t="s">
        <v>125</v>
      </c>
      <c r="J204" t="s">
        <v>7</v>
      </c>
      <c r="L204" s="36" t="s">
        <v>30</v>
      </c>
      <c r="M204" t="str">
        <f t="shared" si="11"/>
        <v>INSERT INTO T_CK_FORM_CONTROL (CTRL_ID, CTRL_ACCN_TYPE, CTRL_ACCN, CTRL_USR_ROLE, CTRL_ENTITY_TYPE, CTRL_ENTITY_STATE, CTRL_FORM_TYPE, CTRL_FORM_ACTION, CTRL_FORM_ACTION_MENU, CTRL_STATUS, CTRL_DT_CREATE, CTRL_UID_CREATE, CTRL_DT_LUPD, CTRL_UID_LUPD</v>
      </c>
      <c r="N204"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4" t="str">
        <f t="shared" si="14"/>
        <v xml:space="preserve"> VALUES('203','ACC_TYPE_SP',NULL,'SP_OP_ADMIN','ACCN_SUSPENSION','SUB','VIEW','APPROVE',NULL,'A',NOW(), 'SYS',NOW(),'SYS','CKDO');</v>
      </c>
      <c r="P204"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VALUES('203','ACC_TYPE_SP',NULL,'SP_OP_ADMIN','ACCN_SUSPENSION','SUB','VIEW','APPROVE',NULL,'A',NOW(), 'SYS',NOW(),'SYS','CKDO');</v>
      </c>
    </row>
    <row r="205" spans="1:16" x14ac:dyDescent="0.2">
      <c r="A205">
        <v>204</v>
      </c>
      <c r="B205" t="s">
        <v>93</v>
      </c>
      <c r="C205" t="s">
        <v>125</v>
      </c>
      <c r="D205" s="35" t="s">
        <v>18</v>
      </c>
      <c r="E205" t="s">
        <v>476</v>
      </c>
      <c r="F205" t="s">
        <v>101</v>
      </c>
      <c r="G205" t="s">
        <v>502</v>
      </c>
      <c r="H205" t="s">
        <v>533</v>
      </c>
      <c r="I205" t="s">
        <v>125</v>
      </c>
      <c r="J205" t="s">
        <v>7</v>
      </c>
      <c r="L205" s="36" t="s">
        <v>30</v>
      </c>
      <c r="M205" t="str">
        <f t="shared" si="11"/>
        <v>INSERT INTO T_CK_FORM_CONTROL (CTRL_ID, CTRL_ACCN_TYPE, CTRL_ACCN, CTRL_USR_ROLE, CTRL_ENTITY_TYPE, CTRL_ENTITY_STATE, CTRL_FORM_TYPE, CTRL_FORM_ACTION, CTRL_FORM_ACTION_MENU, CTRL_STATUS, CTRL_DT_CREATE, CTRL_UID_CREATE, CTRL_DT_LUPD, CTRL_UID_LUPD</v>
      </c>
      <c r="N205"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5" t="str">
        <f t="shared" si="14"/>
        <v xml:space="preserve"> VALUES('204','ACC_TYPE_SP',NULL,'SP_OP_ADMIN','ACCN_SUSPENSION','SUB','VIEW','EXIT',NULL,'A',NOW(), 'SYS',NOW(),'SYS','CKDO');</v>
      </c>
      <c r="P205"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VALUES('204','ACC_TYPE_SP',NULL,'SP_OP_ADMIN','ACCN_SUSPENSION','SUB','VIEW','EXIT',NULL,'A',NOW(), 'SYS',NOW(),'SYS','CKDO');</v>
      </c>
    </row>
    <row r="206" spans="1:16" x14ac:dyDescent="0.2">
      <c r="A206">
        <v>205</v>
      </c>
      <c r="B206" t="s">
        <v>93</v>
      </c>
      <c r="C206" t="s">
        <v>125</v>
      </c>
      <c r="D206" s="35" t="s">
        <v>18</v>
      </c>
      <c r="E206" t="s">
        <v>476</v>
      </c>
      <c r="F206" t="s">
        <v>609</v>
      </c>
      <c r="G206" t="s">
        <v>502</v>
      </c>
      <c r="H206" t="s">
        <v>533</v>
      </c>
      <c r="I206" t="s">
        <v>125</v>
      </c>
      <c r="J206" t="s">
        <v>7</v>
      </c>
      <c r="L206" s="36" t="s">
        <v>30</v>
      </c>
      <c r="M206" t="str">
        <f t="shared" si="11"/>
        <v>INSERT INTO T_CK_FORM_CONTROL (CTRL_ID, CTRL_ACCN_TYPE, CTRL_ACCN, CTRL_USR_ROLE, CTRL_ENTITY_TYPE, CTRL_ENTITY_STATE, CTRL_FORM_TYPE, CTRL_FORM_ACTION, CTRL_FORM_ACTION_MENU, CTRL_STATUS, CTRL_DT_CREATE, CTRL_UID_CREATE, CTRL_DT_LUPD, CTRL_UID_LUPD</v>
      </c>
      <c r="N206"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6" t="str">
        <f t="shared" si="14"/>
        <v xml:space="preserve"> VALUES('205','ACC_TYPE_SP',NULL,'SP_OP_ADMIN','ACCN_SUSPENSION','SUS','VIEW','EXIT',NULL,'A',NOW(), 'SYS',NOW(),'SYS','CKDO');</v>
      </c>
      <c r="P206"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VALUES('205','ACC_TYPE_SP',NULL,'SP_OP_ADMIN','ACCN_SUSPENSION','SUS','VIEW','EXIT',NULL,'A',NOW(), 'SYS',NOW(),'SYS','CKDO');</v>
      </c>
    </row>
    <row r="207" spans="1:16" x14ac:dyDescent="0.2">
      <c r="A207">
        <v>206</v>
      </c>
      <c r="B207" t="s">
        <v>93</v>
      </c>
      <c r="C207" t="s">
        <v>125</v>
      </c>
      <c r="D207" t="s">
        <v>19</v>
      </c>
      <c r="E207" t="s">
        <v>478</v>
      </c>
      <c r="F207" t="s">
        <v>105</v>
      </c>
      <c r="G207" t="s">
        <v>502</v>
      </c>
      <c r="H207" t="s">
        <v>560</v>
      </c>
      <c r="I207" t="s">
        <v>125</v>
      </c>
      <c r="J207" t="s">
        <v>7</v>
      </c>
      <c r="L207" s="36" t="s">
        <v>30</v>
      </c>
      <c r="M207" t="str">
        <f t="shared" si="11"/>
        <v>INSERT INTO T_CK_FORM_CONTROL (CTRL_ID, CTRL_ACCN_TYPE, CTRL_ACCN, CTRL_USR_ROLE, CTRL_ENTITY_TYPE, CTRL_ENTITY_STATE, CTRL_FORM_TYPE, CTRL_FORM_ACTION, CTRL_FORM_ACTION_MENU, CTRL_STATUS, CTRL_DT_CREATE, CTRL_UID_CREATE, CTRL_DT_LUPD, CTRL_UID_LUPD</v>
      </c>
      <c r="N207"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7" t="str">
        <f t="shared" si="14"/>
        <v xml:space="preserve"> VALUES('206','ACC_TYPE_SP',NULL,'SP_L1','ACCN_TERMINATION','APP','VIEW','TERMINATE',NULL,'A',NOW(), 'SYS',NOW(),'SYS','CKDO');</v>
      </c>
      <c r="P207"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VALUES('206','ACC_TYPE_SP',NULL,'SP_L1','ACCN_TERMINATION','APP','VIEW','TERMINATE',NULL,'A',NOW(), 'SYS',NOW(),'SYS','CKDO');</v>
      </c>
    </row>
    <row r="208" spans="1:16" x14ac:dyDescent="0.2">
      <c r="A208">
        <v>207</v>
      </c>
      <c r="B208" t="s">
        <v>93</v>
      </c>
      <c r="C208" t="s">
        <v>125</v>
      </c>
      <c r="D208" t="s">
        <v>19</v>
      </c>
      <c r="E208" t="s">
        <v>478</v>
      </c>
      <c r="F208" t="s">
        <v>105</v>
      </c>
      <c r="G208" t="s">
        <v>502</v>
      </c>
      <c r="H208" t="s">
        <v>533</v>
      </c>
      <c r="I208" t="s">
        <v>125</v>
      </c>
      <c r="J208" t="s">
        <v>7</v>
      </c>
      <c r="L208" s="36" t="s">
        <v>30</v>
      </c>
      <c r="M208" t="str">
        <f t="shared" si="11"/>
        <v>INSERT INTO T_CK_FORM_CONTROL (CTRL_ID, CTRL_ACCN_TYPE, CTRL_ACCN, CTRL_USR_ROLE, CTRL_ENTITY_TYPE, CTRL_ENTITY_STATE, CTRL_FORM_TYPE, CTRL_FORM_ACTION, CTRL_FORM_ACTION_MENU, CTRL_STATUS, CTRL_DT_CREATE, CTRL_UID_CREATE, CTRL_DT_LUPD, CTRL_UID_LUPD</v>
      </c>
      <c r="N208"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8" t="str">
        <f t="shared" si="14"/>
        <v xml:space="preserve"> VALUES('207','ACC_TYPE_SP',NULL,'SP_L1','ACCN_TERMINATION','APP','VIEW','EXIT',NULL,'A',NOW(), 'SYS',NOW(),'SYS','CKDO');</v>
      </c>
      <c r="P208"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VALUES('207','ACC_TYPE_SP',NULL,'SP_L1','ACCN_TERMINATION','APP','VIEW','EXIT',NULL,'A',NOW(), 'SYS',NOW(),'SYS','CKDO');</v>
      </c>
    </row>
    <row r="209" spans="1:16" x14ac:dyDescent="0.2">
      <c r="A209">
        <v>208</v>
      </c>
      <c r="B209" t="s">
        <v>93</v>
      </c>
      <c r="C209" t="s">
        <v>125</v>
      </c>
      <c r="D209" t="s">
        <v>19</v>
      </c>
      <c r="E209" t="s">
        <v>478</v>
      </c>
      <c r="F209" t="s">
        <v>101</v>
      </c>
      <c r="G209" t="s">
        <v>502</v>
      </c>
      <c r="H209" t="s">
        <v>533</v>
      </c>
      <c r="I209" t="s">
        <v>125</v>
      </c>
      <c r="J209" t="s">
        <v>7</v>
      </c>
      <c r="L209" s="36" t="s">
        <v>30</v>
      </c>
      <c r="M209" t="str">
        <f t="shared" si="11"/>
        <v>INSERT INTO T_CK_FORM_CONTROL (CTRL_ID, CTRL_ACCN_TYPE, CTRL_ACCN, CTRL_USR_ROLE, CTRL_ENTITY_TYPE, CTRL_ENTITY_STATE, CTRL_FORM_TYPE, CTRL_FORM_ACTION, CTRL_FORM_ACTION_MENU, CTRL_STATUS, CTRL_DT_CREATE, CTRL_UID_CREATE, CTRL_DT_LUPD, CTRL_UID_LUPD</v>
      </c>
      <c r="N209"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09" t="str">
        <f t="shared" si="14"/>
        <v xml:space="preserve"> VALUES('208','ACC_TYPE_SP',NULL,'SP_L1','ACCN_TERMINATION','SUB','VIEW','EXIT',NULL,'A',NOW(), 'SYS',NOW(),'SYS','CKDO');</v>
      </c>
      <c r="P209"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VALUES('208','ACC_TYPE_SP',NULL,'SP_L1','ACCN_TERMINATION','SUB','VIEW','EXIT',NULL,'A',NOW(), 'SYS',NOW(),'SYS','CKDO');</v>
      </c>
    </row>
    <row r="210" spans="1:16" x14ac:dyDescent="0.2">
      <c r="A210">
        <v>209</v>
      </c>
      <c r="B210" t="s">
        <v>93</v>
      </c>
      <c r="C210" t="s">
        <v>125</v>
      </c>
      <c r="D210" t="s">
        <v>19</v>
      </c>
      <c r="E210" t="s">
        <v>478</v>
      </c>
      <c r="F210" t="s">
        <v>610</v>
      </c>
      <c r="G210" t="s">
        <v>502</v>
      </c>
      <c r="H210" t="s">
        <v>533</v>
      </c>
      <c r="I210" t="s">
        <v>125</v>
      </c>
      <c r="J210" t="s">
        <v>7</v>
      </c>
      <c r="L210" s="36" t="s">
        <v>30</v>
      </c>
      <c r="M210" t="str">
        <f t="shared" si="11"/>
        <v>INSERT INTO T_CK_FORM_CONTROL (CTRL_ID, CTRL_ACCN_TYPE, CTRL_ACCN, CTRL_USR_ROLE, CTRL_ENTITY_TYPE, CTRL_ENTITY_STATE, CTRL_FORM_TYPE, CTRL_FORM_ACTION, CTRL_FORM_ACTION_MENU, CTRL_STATUS, CTRL_DT_CREATE, CTRL_UID_CREATE, CTRL_DT_LUPD, CTRL_UID_LUPD</v>
      </c>
      <c r="N210" t="str">
        <f t="shared" si="12"/>
        <v xml:space="preserve">INSERT INTO T_CK_FORM_CONTROL (CTRL_ID, CTRL_ACCN_TYPE, CTRL_ACCN, CTRL_USR_ROLE, CTRL_ENTITY_TYPE, CTRL_ENTITY_STATE, CTRL_FORM_TYPE, CTRL_FORM_ACTION, CTRL_FORM_ACTION_MENU, CTRL_STATUS, CTRL_DT_CREATE, CTRL_UID_CREATE, CTRL_DT_LUPD, CTRL_UID_LUPD,CTRL_APPS_CODE) </v>
      </c>
      <c r="O210" t="str">
        <f t="shared" si="14"/>
        <v xml:space="preserve"> VALUES('209','ACC_TYPE_SP',NULL,'SP_L1','ACCN_TERMINATION','TERMINATED','VIEW','EXIT',NULL,'A',NOW(), 'SYS',NOW(),'SYS','CKDO');</v>
      </c>
      <c r="P210" s="36" t="str">
        <f t="shared" si="13"/>
        <v>INSERT INTO T_CK_FORM_CONTROL (CTRL_ID, CTRL_ACCN_TYPE, CTRL_ACCN, CTRL_USR_ROLE, CTRL_ENTITY_TYPE, CTRL_ENTITY_STATE, CTRL_FORM_TYPE, CTRL_FORM_ACTION, CTRL_FORM_ACTION_MENU, CTRL_STATUS, CTRL_DT_CREATE, CTRL_UID_CREATE, CTRL_DT_LUPD, CTRL_UID_LUPD,CTRL_APPS_CODE)  VALUES('209','ACC_TYPE_SP',NULL,'SP_L1','ACCN_TERMINATION','TERMINATED','VIEW','EXIT',NULL,'A',NOW(), 'SYS',NOW(),'SYS','CKDO');</v>
      </c>
    </row>
    <row r="211" spans="1:16" x14ac:dyDescent="0.2">
      <c r="A211">
        <v>210</v>
      </c>
      <c r="B211" t="s">
        <v>93</v>
      </c>
      <c r="C211" t="s">
        <v>125</v>
      </c>
      <c r="D211" s="35" t="s">
        <v>18</v>
      </c>
      <c r="E211" t="s">
        <v>478</v>
      </c>
      <c r="F211" t="s">
        <v>101</v>
      </c>
      <c r="G211" t="s">
        <v>502</v>
      </c>
      <c r="H211" t="s">
        <v>517</v>
      </c>
      <c r="I211" t="s">
        <v>125</v>
      </c>
      <c r="J211" t="s">
        <v>7</v>
      </c>
      <c r="L211" s="36" t="s">
        <v>30</v>
      </c>
      <c r="M211" t="str">
        <f t="shared" ref="M211:M213" si="15">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N211" t="str">
        <f t="shared" ref="N211:N213" si="16">_xlfn.CONCAT(M211,",CTRL_APPS_CODE) ")</f>
        <v xml:space="preserve">INSERT INTO T_CK_FORM_CONTROL (CTRL_ID, CTRL_ACCN_TYPE, CTRL_ACCN, CTRL_USR_ROLE, CTRL_ENTITY_TYPE, CTRL_ENTITY_STATE, CTRL_FORM_TYPE, CTRL_FORM_ACTION, CTRL_FORM_ACTION_MENU, CTRL_STATUS, CTRL_DT_CREATE, CTRL_UID_CREATE, CTRL_DT_LUPD, CTRL_UID_LUPD,CTRL_APPS_CODE) </v>
      </c>
      <c r="O211" t="str">
        <f t="shared" si="14"/>
        <v xml:space="preserve"> VALUES('210','ACC_TYPE_SP',NULL,'SP_OP_ADMIN','ACCN_TERMINATION','SUB','VIEW','APPROVE',NULL,'A',NOW(), 'SYS',NOW(),'SYS','CKDO');</v>
      </c>
      <c r="P211" s="36" t="str">
        <f t="shared" ref="P211:P213" si="17">CONCATENATE(N211,O211)</f>
        <v>INSERT INTO T_CK_FORM_CONTROL (CTRL_ID, CTRL_ACCN_TYPE, CTRL_ACCN, CTRL_USR_ROLE, CTRL_ENTITY_TYPE, CTRL_ENTITY_STATE, CTRL_FORM_TYPE, CTRL_FORM_ACTION, CTRL_FORM_ACTION_MENU, CTRL_STATUS, CTRL_DT_CREATE, CTRL_UID_CREATE, CTRL_DT_LUPD, CTRL_UID_LUPD,CTRL_APPS_CODE)  VALUES('210','ACC_TYPE_SP',NULL,'SP_OP_ADMIN','ACCN_TERMINATION','SUB','VIEW','APPROVE',NULL,'A',NOW(), 'SYS',NOW(),'SYS','CKDO');</v>
      </c>
    </row>
    <row r="212" spans="1:16" x14ac:dyDescent="0.2">
      <c r="A212">
        <v>211</v>
      </c>
      <c r="B212" t="s">
        <v>93</v>
      </c>
      <c r="C212" t="s">
        <v>125</v>
      </c>
      <c r="D212" s="35" t="s">
        <v>18</v>
      </c>
      <c r="E212" t="s">
        <v>478</v>
      </c>
      <c r="F212" t="s">
        <v>101</v>
      </c>
      <c r="G212" t="s">
        <v>502</v>
      </c>
      <c r="H212" t="s">
        <v>533</v>
      </c>
      <c r="I212" t="s">
        <v>125</v>
      </c>
      <c r="J212" t="s">
        <v>7</v>
      </c>
      <c r="L212" s="36" t="s">
        <v>30</v>
      </c>
      <c r="M212" t="str">
        <f t="shared" si="15"/>
        <v>INSERT INTO T_CK_FORM_CONTROL (CTRL_ID, CTRL_ACCN_TYPE, CTRL_ACCN, CTRL_USR_ROLE, CTRL_ENTITY_TYPE, CTRL_ENTITY_STATE, CTRL_FORM_TYPE, CTRL_FORM_ACTION, CTRL_FORM_ACTION_MENU, CTRL_STATUS, CTRL_DT_CREATE, CTRL_UID_CREATE, CTRL_DT_LUPD, CTRL_UID_LUPD</v>
      </c>
      <c r="N212" t="str">
        <f t="shared" si="16"/>
        <v xml:space="preserve">INSERT INTO T_CK_FORM_CONTROL (CTRL_ID, CTRL_ACCN_TYPE, CTRL_ACCN, CTRL_USR_ROLE, CTRL_ENTITY_TYPE, CTRL_ENTITY_STATE, CTRL_FORM_TYPE, CTRL_FORM_ACTION, CTRL_FORM_ACTION_MENU, CTRL_STATUS, CTRL_DT_CREATE, CTRL_UID_CREATE, CTRL_DT_LUPD, CTRL_UID_LUPD,CTRL_APPS_CODE) </v>
      </c>
      <c r="O212" t="str">
        <f t="shared" si="14"/>
        <v xml:space="preserve"> VALUES('211','ACC_TYPE_SP',NULL,'SP_OP_ADMIN','ACCN_TERMINATION','SUB','VIEW','EXIT',NULL,'A',NOW(), 'SYS',NOW(),'SYS','CKDO');</v>
      </c>
      <c r="P212" s="36" t="str">
        <f t="shared" si="17"/>
        <v>INSERT INTO T_CK_FORM_CONTROL (CTRL_ID, CTRL_ACCN_TYPE, CTRL_ACCN, CTRL_USR_ROLE, CTRL_ENTITY_TYPE, CTRL_ENTITY_STATE, CTRL_FORM_TYPE, CTRL_FORM_ACTION, CTRL_FORM_ACTION_MENU, CTRL_STATUS, CTRL_DT_CREATE, CTRL_UID_CREATE, CTRL_DT_LUPD, CTRL_UID_LUPD,CTRL_APPS_CODE)  VALUES('211','ACC_TYPE_SP',NULL,'SP_OP_ADMIN','ACCN_TERMINATION','SUB','VIEW','EXIT',NULL,'A',NOW(), 'SYS',NOW(),'SYS','CKDO');</v>
      </c>
    </row>
    <row r="213" spans="1:16" x14ac:dyDescent="0.2">
      <c r="A213">
        <v>212</v>
      </c>
      <c r="B213" t="s">
        <v>93</v>
      </c>
      <c r="C213" t="s">
        <v>125</v>
      </c>
      <c r="D213" s="35" t="s">
        <v>18</v>
      </c>
      <c r="E213" t="s">
        <v>478</v>
      </c>
      <c r="F213" t="s">
        <v>610</v>
      </c>
      <c r="G213" t="s">
        <v>502</v>
      </c>
      <c r="H213" t="s">
        <v>533</v>
      </c>
      <c r="I213" t="s">
        <v>125</v>
      </c>
      <c r="J213" t="s">
        <v>7</v>
      </c>
      <c r="L213" s="36" t="s">
        <v>30</v>
      </c>
      <c r="M213" t="str">
        <f t="shared" si="15"/>
        <v>INSERT INTO T_CK_FORM_CONTROL (CTRL_ID, CTRL_ACCN_TYPE, CTRL_ACCN, CTRL_USR_ROLE, CTRL_ENTITY_TYPE, CTRL_ENTITY_STATE, CTRL_FORM_TYPE, CTRL_FORM_ACTION, CTRL_FORM_ACTION_MENU, CTRL_STATUS, CTRL_DT_CREATE, CTRL_UID_CREATE, CTRL_DT_LUPD, CTRL_UID_LUPD</v>
      </c>
      <c r="N213" t="str">
        <f t="shared" si="16"/>
        <v xml:space="preserve">INSERT INTO T_CK_FORM_CONTROL (CTRL_ID, CTRL_ACCN_TYPE, CTRL_ACCN, CTRL_USR_ROLE, CTRL_ENTITY_TYPE, CTRL_ENTITY_STATE, CTRL_FORM_TYPE, CTRL_FORM_ACTION, CTRL_FORM_ACTION_MENU, CTRL_STATUS, CTRL_DT_CREATE, CTRL_UID_CREATE, CTRL_DT_LUPD, CTRL_UID_LUPD,CTRL_APPS_CODE) </v>
      </c>
      <c r="O213" t="str">
        <f t="shared" si="14"/>
        <v xml:space="preserve"> VALUES('212','ACC_TYPE_SP',NULL,'SP_OP_ADMIN','ACCN_TERMINATION','TERMINATED','VIEW','EXIT',NULL,'A',NOW(), 'SYS',NOW(),'SYS','CKDO');</v>
      </c>
      <c r="P213" s="36" t="str">
        <f t="shared" si="17"/>
        <v>INSERT INTO T_CK_FORM_CONTROL (CTRL_ID, CTRL_ACCN_TYPE, CTRL_ACCN, CTRL_USR_ROLE, CTRL_ENTITY_TYPE, CTRL_ENTITY_STATE, CTRL_FORM_TYPE, CTRL_FORM_ACTION, CTRL_FORM_ACTION_MENU, CTRL_STATUS, CTRL_DT_CREATE, CTRL_UID_CREATE, CTRL_DT_LUPD, CTRL_UID_LUPD,CTRL_APPS_CODE)  VALUES('212','ACC_TYPE_SP',NULL,'SP_OP_ADMIN','ACCN_TERMINATION','TERMINATED','VIEW','EXIT',NULL,'A',NOW(), 'SYS',NOW(),'SYS','CKDO');</v>
      </c>
    </row>
  </sheetData>
  <pageMargins left="0.7" right="0.7" top="0.75" bottom="0.75" header="0.3" footer="0.3"/>
  <pageSetup paperSize="9"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95"/>
  <sheetViews>
    <sheetView zoomScale="125" zoomScaleNormal="125" workbookViewId="0">
      <pane ySplit="1" topLeftCell="A66" activePane="bottomLeft" state="frozen"/>
      <selection pane="bottomLeft" activeCell="J97" sqref="J97"/>
    </sheetView>
  </sheetViews>
  <sheetFormatPr baseColWidth="10" defaultColWidth="11" defaultRowHeight="16" x14ac:dyDescent="0.2"/>
  <cols>
    <col min="1" max="1" width="14.83203125" customWidth="1"/>
    <col min="3" max="3" width="13.83203125" customWidth="1"/>
    <col min="4" max="4" width="16.6640625" customWidth="1"/>
    <col min="5" max="5" width="16.1640625" customWidth="1"/>
    <col min="6" max="6" width="31.1640625" customWidth="1"/>
    <col min="7" max="7" width="12" customWidth="1"/>
  </cols>
  <sheetData>
    <row r="1" spans="1:13" x14ac:dyDescent="0.2">
      <c r="A1" s="7" t="s">
        <v>97</v>
      </c>
      <c r="B1" s="7" t="s">
        <v>0</v>
      </c>
      <c r="C1" s="7" t="s">
        <v>37</v>
      </c>
      <c r="D1" s="7" t="s">
        <v>611</v>
      </c>
      <c r="E1" s="7" t="s">
        <v>612</v>
      </c>
      <c r="F1" s="7" t="s">
        <v>613</v>
      </c>
      <c r="G1" s="7" t="s">
        <v>614</v>
      </c>
      <c r="H1" s="7" t="s">
        <v>615</v>
      </c>
      <c r="I1" s="7" t="s">
        <v>616</v>
      </c>
      <c r="J1" s="7" t="s">
        <v>2</v>
      </c>
    </row>
    <row r="2" spans="1:13" x14ac:dyDescent="0.2">
      <c r="A2" t="s">
        <v>617</v>
      </c>
      <c r="B2" t="s">
        <v>14</v>
      </c>
      <c r="C2" t="s">
        <v>43</v>
      </c>
      <c r="D2" t="s">
        <v>9</v>
      </c>
      <c r="E2" t="s">
        <v>618</v>
      </c>
      <c r="F2" t="s">
        <v>556</v>
      </c>
      <c r="G2" t="s">
        <v>100</v>
      </c>
      <c r="H2" t="s">
        <v>101</v>
      </c>
      <c r="J2" t="s">
        <v>7</v>
      </c>
      <c r="K2" t="str">
        <f>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2" t="str">
        <f>CONCATENATE(" VALUES('",A2,"','",B2,"','",C2,"','",D2,"','",E2,"','",F2,"','",G2,"','",H2,"','",I2,"','",J2,"',NOW(),'SYS',NOW(),'SYS');")</f>
        <v xml:space="preserve"> VALUES('JOB_1','CKT','ACC_TYPE_CO','OFFICER','CLICTRUCK','SUBMIT','NEW','SUB','','A',NOW(),'SYS',NOW(),'SYS');</v>
      </c>
      <c r="M2" t="str">
        <f>CONCATENATE(K2,L2)</f>
        <v>INSERT INTO T_CK_SVC_WORKFLOW(WKFL_ID, WKFL_APPS_CODE, WKFL_ACCN_TYPE, WKFL_ROLE, WKFL_SCV_TYPE, WKFL_ACTION, WKFL_FROM_STATE, WKFL_TO_STATE, WKFL_URI, WKFL_STATUS, WKFL_DT_CREATE, WKFL_UID_CREATE, WKFL_DT_LUPD, WKFL_UID_LUPD)  VALUES('JOB_1','CKT','ACC_TYPE_CO','OFFICER','CLICTRUCK','SUBMIT','NEW','SUB','','A',NOW(),'SYS',NOW(),'SYS');</v>
      </c>
    </row>
    <row r="3" spans="1:13" x14ac:dyDescent="0.2">
      <c r="A3" t="s">
        <v>619</v>
      </c>
      <c r="B3" t="s">
        <v>14</v>
      </c>
      <c r="C3" t="s">
        <v>43</v>
      </c>
      <c r="D3" t="s">
        <v>9</v>
      </c>
      <c r="E3" t="s">
        <v>618</v>
      </c>
      <c r="F3" t="s">
        <v>566</v>
      </c>
      <c r="G3" t="s">
        <v>101</v>
      </c>
      <c r="H3" t="s">
        <v>100</v>
      </c>
      <c r="J3" t="s">
        <v>7</v>
      </c>
      <c r="K3" t="str">
        <f t="shared" ref="K3:K66" si="0">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3" t="str">
        <f t="shared" ref="L3:L66" si="1">CONCATENATE(" VALUES('",A3,"','",B3,"','",C3,"','",D3,"','",E3,"','",F3,"','",G3,"','",H3,"','",I3,"','",J3,"',NOW(),'SYS',NOW(),'SYS');")</f>
        <v xml:space="preserve"> VALUES('JOB_2','CKT','ACC_TYPE_CO','OFFICER','CLICTRUCK','WITHDRAW','SUB','NEW','','A',NOW(),'SYS',NOW(),'SYS');</v>
      </c>
      <c r="M3" t="str">
        <f t="shared" ref="M3:M66" si="2">CONCATENATE(K3,L3)</f>
        <v>INSERT INTO T_CK_SVC_WORKFLOW(WKFL_ID, WKFL_APPS_CODE, WKFL_ACCN_TYPE, WKFL_ROLE, WKFL_SCV_TYPE, WKFL_ACTION, WKFL_FROM_STATE, WKFL_TO_STATE, WKFL_URI, WKFL_STATUS, WKFL_DT_CREATE, WKFL_UID_CREATE, WKFL_DT_LUPD, WKFL_UID_LUPD)  VALUES('JOB_2','CKT','ACC_TYPE_CO','OFFICER','CLICTRUCK','WITHDRAW','SUB','NEW','','A',NOW(),'SYS',NOW(),'SYS');</v>
      </c>
    </row>
    <row r="4" spans="1:13" x14ac:dyDescent="0.2">
      <c r="A4" t="s">
        <v>620</v>
      </c>
      <c r="B4" t="s">
        <v>14</v>
      </c>
      <c r="C4" t="s">
        <v>43</v>
      </c>
      <c r="D4" t="s">
        <v>9</v>
      </c>
      <c r="E4" t="s">
        <v>618</v>
      </c>
      <c r="F4" t="s">
        <v>531</v>
      </c>
      <c r="G4" t="s">
        <v>100</v>
      </c>
      <c r="H4" t="s">
        <v>621</v>
      </c>
      <c r="J4" t="s">
        <v>7</v>
      </c>
      <c r="K4" t="str">
        <f t="shared" si="0"/>
        <v xml:space="preserve">INSERT INTO T_CK_SVC_WORKFLOW(WKFL_ID, WKFL_APPS_CODE, WKFL_ACCN_TYPE, WKFL_ROLE, WKFL_SCV_TYPE, WKFL_ACTION, WKFL_FROM_STATE, WKFL_TO_STATE, WKFL_URI, WKFL_STATUS, WKFL_DT_CREATE, WKFL_UID_CREATE, WKFL_DT_LUPD, WKFL_UID_LUPD) </v>
      </c>
      <c r="L4" t="str">
        <f t="shared" si="1"/>
        <v xml:space="preserve"> VALUES('JOB_3','CKT','ACC_TYPE_CO','OFFICER','CLICTRUCK','DELETE','NEW','CAN','','A',NOW(),'SYS',NOW(),'SYS');</v>
      </c>
      <c r="M4" t="str">
        <f t="shared" si="2"/>
        <v>INSERT INTO T_CK_SVC_WORKFLOW(WKFL_ID, WKFL_APPS_CODE, WKFL_ACCN_TYPE, WKFL_ROLE, WKFL_SCV_TYPE, WKFL_ACTION, WKFL_FROM_STATE, WKFL_TO_STATE, WKFL_URI, WKFL_STATUS, WKFL_DT_CREATE, WKFL_UID_CREATE, WKFL_DT_LUPD, WKFL_UID_LUPD)  VALUES('JOB_3','CKT','ACC_TYPE_CO','OFFICER','CLICTRUCK','DELETE','NEW','CAN','','A',NOW(),'SYS',NOW(),'SYS');</v>
      </c>
    </row>
    <row r="5" spans="1:13" x14ac:dyDescent="0.2">
      <c r="A5" t="s">
        <v>622</v>
      </c>
      <c r="B5" t="s">
        <v>14</v>
      </c>
      <c r="C5" t="s">
        <v>57</v>
      </c>
      <c r="D5" t="s">
        <v>9</v>
      </c>
      <c r="E5" t="s">
        <v>618</v>
      </c>
      <c r="F5" t="s">
        <v>556</v>
      </c>
      <c r="G5" t="s">
        <v>100</v>
      </c>
      <c r="H5" t="s">
        <v>101</v>
      </c>
      <c r="J5" t="s">
        <v>7</v>
      </c>
      <c r="K5" t="str">
        <f t="shared" si="0"/>
        <v xml:space="preserve">INSERT INTO T_CK_SVC_WORKFLOW(WKFL_ID, WKFL_APPS_CODE, WKFL_ACCN_TYPE, WKFL_ROLE, WKFL_SCV_TYPE, WKFL_ACTION, WKFL_FROM_STATE, WKFL_TO_STATE, WKFL_URI, WKFL_STATUS, WKFL_DT_CREATE, WKFL_UID_CREATE, WKFL_DT_LUPD, WKFL_UID_LUPD) </v>
      </c>
      <c r="L5" t="str">
        <f t="shared" si="1"/>
        <v xml:space="preserve"> VALUES('JOB_4','CKT','ACC_TYPE_FF','OFFICER','CLICTRUCK','SUBMIT','NEW','SUB','','A',NOW(),'SYS',NOW(),'SYS');</v>
      </c>
      <c r="M5" t="str">
        <f t="shared" si="2"/>
        <v>INSERT INTO T_CK_SVC_WORKFLOW(WKFL_ID, WKFL_APPS_CODE, WKFL_ACCN_TYPE, WKFL_ROLE, WKFL_SCV_TYPE, WKFL_ACTION, WKFL_FROM_STATE, WKFL_TO_STATE, WKFL_URI, WKFL_STATUS, WKFL_DT_CREATE, WKFL_UID_CREATE, WKFL_DT_LUPD, WKFL_UID_LUPD)  VALUES('JOB_4','CKT','ACC_TYPE_FF','OFFICER','CLICTRUCK','SUBMIT','NEW','SUB','','A',NOW(),'SYS',NOW(),'SYS');</v>
      </c>
    </row>
    <row r="6" spans="1:13" x14ac:dyDescent="0.2">
      <c r="A6" t="s">
        <v>623</v>
      </c>
      <c r="B6" t="s">
        <v>14</v>
      </c>
      <c r="C6" t="s">
        <v>57</v>
      </c>
      <c r="D6" t="s">
        <v>9</v>
      </c>
      <c r="E6" t="s">
        <v>618</v>
      </c>
      <c r="F6" t="s">
        <v>566</v>
      </c>
      <c r="G6" t="s">
        <v>101</v>
      </c>
      <c r="H6" t="s">
        <v>100</v>
      </c>
      <c r="J6" t="s">
        <v>7</v>
      </c>
      <c r="K6" t="str">
        <f t="shared" si="0"/>
        <v xml:space="preserve">INSERT INTO T_CK_SVC_WORKFLOW(WKFL_ID, WKFL_APPS_CODE, WKFL_ACCN_TYPE, WKFL_ROLE, WKFL_SCV_TYPE, WKFL_ACTION, WKFL_FROM_STATE, WKFL_TO_STATE, WKFL_URI, WKFL_STATUS, WKFL_DT_CREATE, WKFL_UID_CREATE, WKFL_DT_LUPD, WKFL_UID_LUPD) </v>
      </c>
      <c r="L6" t="str">
        <f t="shared" si="1"/>
        <v xml:space="preserve"> VALUES('JOB_5','CKT','ACC_TYPE_FF','OFFICER','CLICTRUCK','WITHDRAW','SUB','NEW','','A',NOW(),'SYS',NOW(),'SYS');</v>
      </c>
      <c r="M6" t="str">
        <f t="shared" si="2"/>
        <v>INSERT INTO T_CK_SVC_WORKFLOW(WKFL_ID, WKFL_APPS_CODE, WKFL_ACCN_TYPE, WKFL_ROLE, WKFL_SCV_TYPE, WKFL_ACTION, WKFL_FROM_STATE, WKFL_TO_STATE, WKFL_URI, WKFL_STATUS, WKFL_DT_CREATE, WKFL_UID_CREATE, WKFL_DT_LUPD, WKFL_UID_LUPD)  VALUES('JOB_5','CKT','ACC_TYPE_FF','OFFICER','CLICTRUCK','WITHDRAW','SUB','NEW','','A',NOW(),'SYS',NOW(),'SYS');</v>
      </c>
    </row>
    <row r="7" spans="1:13" x14ac:dyDescent="0.2">
      <c r="A7" t="s">
        <v>624</v>
      </c>
      <c r="B7" t="s">
        <v>14</v>
      </c>
      <c r="C7" t="s">
        <v>57</v>
      </c>
      <c r="D7" t="s">
        <v>9</v>
      </c>
      <c r="E7" t="s">
        <v>618</v>
      </c>
      <c r="F7" t="s">
        <v>531</v>
      </c>
      <c r="G7" t="s">
        <v>100</v>
      </c>
      <c r="H7" t="s">
        <v>621</v>
      </c>
      <c r="J7" t="s">
        <v>7</v>
      </c>
      <c r="K7" t="str">
        <f t="shared" si="0"/>
        <v xml:space="preserve">INSERT INTO T_CK_SVC_WORKFLOW(WKFL_ID, WKFL_APPS_CODE, WKFL_ACCN_TYPE, WKFL_ROLE, WKFL_SCV_TYPE, WKFL_ACTION, WKFL_FROM_STATE, WKFL_TO_STATE, WKFL_URI, WKFL_STATUS, WKFL_DT_CREATE, WKFL_UID_CREATE, WKFL_DT_LUPD, WKFL_UID_LUPD) </v>
      </c>
      <c r="L7" t="str">
        <f t="shared" si="1"/>
        <v xml:space="preserve"> VALUES('JOB_6','CKT','ACC_TYPE_FF','OFFICER','CLICTRUCK','DELETE','NEW','CAN','','A',NOW(),'SYS',NOW(),'SYS');</v>
      </c>
      <c r="M7" t="str">
        <f t="shared" si="2"/>
        <v>INSERT INTO T_CK_SVC_WORKFLOW(WKFL_ID, WKFL_APPS_CODE, WKFL_ACCN_TYPE, WKFL_ROLE, WKFL_SCV_TYPE, WKFL_ACTION, WKFL_FROM_STATE, WKFL_TO_STATE, WKFL_URI, WKFL_STATUS, WKFL_DT_CREATE, WKFL_UID_CREATE, WKFL_DT_LUPD, WKFL_UID_LUPD)  VALUES('JOB_6','CKT','ACC_TYPE_FF','OFFICER','CLICTRUCK','DELETE','NEW','CAN','','A',NOW(),'SYS',NOW(),'SYS');</v>
      </c>
    </row>
    <row r="8" spans="1:13" x14ac:dyDescent="0.2">
      <c r="A8" t="s">
        <v>625</v>
      </c>
      <c r="B8" t="s">
        <v>14</v>
      </c>
      <c r="C8" t="s">
        <v>598</v>
      </c>
      <c r="D8" t="s">
        <v>9</v>
      </c>
      <c r="E8" t="s">
        <v>618</v>
      </c>
      <c r="F8" t="s">
        <v>510</v>
      </c>
      <c r="G8" t="s">
        <v>101</v>
      </c>
      <c r="H8" t="s">
        <v>599</v>
      </c>
      <c r="J8" t="s">
        <v>7</v>
      </c>
      <c r="K8" t="str">
        <f t="shared" si="0"/>
        <v xml:space="preserve">INSERT INTO T_CK_SVC_WORKFLOW(WKFL_ID, WKFL_APPS_CODE, WKFL_ACCN_TYPE, WKFL_ROLE, WKFL_SCV_TYPE, WKFL_ACTION, WKFL_FROM_STATE, WKFL_TO_STATE, WKFL_URI, WKFL_STATUS, WKFL_DT_CREATE, WKFL_UID_CREATE, WKFL_DT_LUPD, WKFL_UID_LUPD) </v>
      </c>
      <c r="L8" t="str">
        <f t="shared" si="1"/>
        <v xml:space="preserve"> VALUES('JOB_7','CKT','ACC_TYPE_TO','OFFICER','CLICTRUCK','ACCEPT','SUB','ACP','','A',NOW(),'SYS',NOW(),'SYS');</v>
      </c>
      <c r="M8" t="str">
        <f t="shared" si="2"/>
        <v>INSERT INTO T_CK_SVC_WORKFLOW(WKFL_ID, WKFL_APPS_CODE, WKFL_ACCN_TYPE, WKFL_ROLE, WKFL_SCV_TYPE, WKFL_ACTION, WKFL_FROM_STATE, WKFL_TO_STATE, WKFL_URI, WKFL_STATUS, WKFL_DT_CREATE, WKFL_UID_CREATE, WKFL_DT_LUPD, WKFL_UID_LUPD)  VALUES('JOB_7','CKT','ACC_TYPE_TO','OFFICER','CLICTRUCK','ACCEPT','SUB','ACP','','A',NOW(),'SYS',NOW(),'SYS');</v>
      </c>
    </row>
    <row r="9" spans="1:13" x14ac:dyDescent="0.2">
      <c r="A9" t="s">
        <v>626</v>
      </c>
      <c r="B9" t="s">
        <v>14</v>
      </c>
      <c r="C9" t="s">
        <v>598</v>
      </c>
      <c r="D9" t="s">
        <v>9</v>
      </c>
      <c r="E9" t="s">
        <v>618</v>
      </c>
      <c r="F9" t="s">
        <v>542</v>
      </c>
      <c r="G9" t="s">
        <v>101</v>
      </c>
      <c r="H9" t="s">
        <v>100</v>
      </c>
      <c r="J9" t="s">
        <v>7</v>
      </c>
      <c r="K9" t="str">
        <f t="shared" si="0"/>
        <v xml:space="preserve">INSERT INTO T_CK_SVC_WORKFLOW(WKFL_ID, WKFL_APPS_CODE, WKFL_ACCN_TYPE, WKFL_ROLE, WKFL_SCV_TYPE, WKFL_ACTION, WKFL_FROM_STATE, WKFL_TO_STATE, WKFL_URI, WKFL_STATUS, WKFL_DT_CREATE, WKFL_UID_CREATE, WKFL_DT_LUPD, WKFL_UID_LUPD) </v>
      </c>
      <c r="L9" t="str">
        <f t="shared" si="1"/>
        <v xml:space="preserve"> VALUES('JOB_8','CKT','ACC_TYPE_TO','OFFICER','CLICTRUCK','REJECT','SUB','NEW','','A',NOW(),'SYS',NOW(),'SYS');</v>
      </c>
      <c r="M9" t="str">
        <f t="shared" si="2"/>
        <v>INSERT INTO T_CK_SVC_WORKFLOW(WKFL_ID, WKFL_APPS_CODE, WKFL_ACCN_TYPE, WKFL_ROLE, WKFL_SCV_TYPE, WKFL_ACTION, WKFL_FROM_STATE, WKFL_TO_STATE, WKFL_URI, WKFL_STATUS, WKFL_DT_CREATE, WKFL_UID_CREATE, WKFL_DT_LUPD, WKFL_UID_LUPD)  VALUES('JOB_8','CKT','ACC_TYPE_TO','OFFICER','CLICTRUCK','REJECT','SUB','NEW','','A',NOW(),'SYS',NOW(),'SYS');</v>
      </c>
    </row>
    <row r="10" spans="1:13" x14ac:dyDescent="0.2">
      <c r="A10" t="s">
        <v>627</v>
      </c>
      <c r="B10" t="s">
        <v>14</v>
      </c>
      <c r="C10" t="s">
        <v>598</v>
      </c>
      <c r="D10" t="s">
        <v>9</v>
      </c>
      <c r="E10" t="s">
        <v>618</v>
      </c>
      <c r="F10" t="s">
        <v>521</v>
      </c>
      <c r="G10" t="s">
        <v>599</v>
      </c>
      <c r="H10" t="s">
        <v>107</v>
      </c>
      <c r="J10" t="s">
        <v>7</v>
      </c>
      <c r="K10" t="str">
        <f t="shared" si="0"/>
        <v xml:space="preserve">INSERT INTO T_CK_SVC_WORKFLOW(WKFL_ID, WKFL_APPS_CODE, WKFL_ACCN_TYPE, WKFL_ROLE, WKFL_SCV_TYPE, WKFL_ACTION, WKFL_FROM_STATE, WKFL_TO_STATE, WKFL_URI, WKFL_STATUS, WKFL_DT_CREATE, WKFL_UID_CREATE, WKFL_DT_LUPD, WKFL_UID_LUPD) </v>
      </c>
      <c r="L10" t="str">
        <f t="shared" si="1"/>
        <v xml:space="preserve"> VALUES('JOB_9','CKT','ACC_TYPE_TO','OFFICER','CLICTRUCK','ASSIGN','ACP','REJ','','A',NOW(),'SYS',NOW(),'SYS');</v>
      </c>
      <c r="M10" t="str">
        <f t="shared" si="2"/>
        <v>INSERT INTO T_CK_SVC_WORKFLOW(WKFL_ID, WKFL_APPS_CODE, WKFL_ACCN_TYPE, WKFL_ROLE, WKFL_SCV_TYPE, WKFL_ACTION, WKFL_FROM_STATE, WKFL_TO_STATE, WKFL_URI, WKFL_STATUS, WKFL_DT_CREATE, WKFL_UID_CREATE, WKFL_DT_LUPD, WKFL_UID_LUPD)  VALUES('JOB_9','CKT','ACC_TYPE_TO','OFFICER','CLICTRUCK','ASSIGN','ACP','REJ','','A',NOW(),'SYS',NOW(),'SYS');</v>
      </c>
    </row>
    <row r="11" spans="1:13" x14ac:dyDescent="0.2">
      <c r="A11" t="s">
        <v>628</v>
      </c>
      <c r="B11" t="s">
        <v>14</v>
      </c>
      <c r="C11" t="s">
        <v>598</v>
      </c>
      <c r="D11" t="s">
        <v>9</v>
      </c>
      <c r="E11" t="s">
        <v>618</v>
      </c>
      <c r="F11" t="s">
        <v>521</v>
      </c>
      <c r="G11" t="s">
        <v>599</v>
      </c>
      <c r="H11" t="s">
        <v>600</v>
      </c>
      <c r="J11" t="s">
        <v>7</v>
      </c>
      <c r="K11" t="str">
        <f t="shared" si="0"/>
        <v xml:space="preserve">INSERT INTO T_CK_SVC_WORKFLOW(WKFL_ID, WKFL_APPS_CODE, WKFL_ACCN_TYPE, WKFL_ROLE, WKFL_SCV_TYPE, WKFL_ACTION, WKFL_FROM_STATE, WKFL_TO_STATE, WKFL_URI, WKFL_STATUS, WKFL_DT_CREATE, WKFL_UID_CREATE, WKFL_DT_LUPD, WKFL_UID_LUPD) </v>
      </c>
      <c r="L11" t="str">
        <f t="shared" si="1"/>
        <v xml:space="preserve"> VALUES('JOB_10','CKT','ACC_TYPE_TO','OFFICER','CLICTRUCK','ASSIGN','ACP','ASG','','A',NOW(),'SYS',NOW(),'SYS');</v>
      </c>
      <c r="M11" t="str">
        <f t="shared" si="2"/>
        <v>INSERT INTO T_CK_SVC_WORKFLOW(WKFL_ID, WKFL_APPS_CODE, WKFL_ACCN_TYPE, WKFL_ROLE, WKFL_SCV_TYPE, WKFL_ACTION, WKFL_FROM_STATE, WKFL_TO_STATE, WKFL_URI, WKFL_STATUS, WKFL_DT_CREATE, WKFL_UID_CREATE, WKFL_DT_LUPD, WKFL_UID_LUPD)  VALUES('JOB_10','CKT','ACC_TYPE_TO','OFFICER','CLICTRUCK','ASSIGN','ACP','ASG','','A',NOW(),'SYS',NOW(),'SYS');</v>
      </c>
    </row>
    <row r="12" spans="1:13" x14ac:dyDescent="0.2">
      <c r="A12" t="s">
        <v>629</v>
      </c>
      <c r="B12" t="s">
        <v>14</v>
      </c>
      <c r="C12" t="s">
        <v>598</v>
      </c>
      <c r="D12" t="s">
        <v>9</v>
      </c>
      <c r="E12" t="s">
        <v>618</v>
      </c>
      <c r="F12" t="s">
        <v>542</v>
      </c>
      <c r="G12" t="s">
        <v>599</v>
      </c>
      <c r="H12" t="s">
        <v>100</v>
      </c>
      <c r="J12" t="s">
        <v>7</v>
      </c>
      <c r="K12" t="str">
        <f t="shared" si="0"/>
        <v xml:space="preserve">INSERT INTO T_CK_SVC_WORKFLOW(WKFL_ID, WKFL_APPS_CODE, WKFL_ACCN_TYPE, WKFL_ROLE, WKFL_SCV_TYPE, WKFL_ACTION, WKFL_FROM_STATE, WKFL_TO_STATE, WKFL_URI, WKFL_STATUS, WKFL_DT_CREATE, WKFL_UID_CREATE, WKFL_DT_LUPD, WKFL_UID_LUPD) </v>
      </c>
      <c r="L12" t="str">
        <f t="shared" si="1"/>
        <v xml:space="preserve"> VALUES('JOB_11','CKT','ACC_TYPE_TO','OFFICER','CLICTRUCK','REJECT','ACP','NEW','','A',NOW(),'SYS',NOW(),'SYS');</v>
      </c>
      <c r="M12" t="str">
        <f t="shared" si="2"/>
        <v>INSERT INTO T_CK_SVC_WORKFLOW(WKFL_ID, WKFL_APPS_CODE, WKFL_ACCN_TYPE, WKFL_ROLE, WKFL_SCV_TYPE, WKFL_ACTION, WKFL_FROM_STATE, WKFL_TO_STATE, WKFL_URI, WKFL_STATUS, WKFL_DT_CREATE, WKFL_UID_CREATE, WKFL_DT_LUPD, WKFL_UID_LUPD)  VALUES('JOB_11','CKT','ACC_TYPE_TO','OFFICER','CLICTRUCK','REJECT','ACP','NEW','','A',NOW(),'SYS',NOW(),'SYS');</v>
      </c>
    </row>
    <row r="13" spans="1:13" x14ac:dyDescent="0.2">
      <c r="A13" t="s">
        <v>630</v>
      </c>
      <c r="B13" t="s">
        <v>14</v>
      </c>
      <c r="C13" t="s">
        <v>598</v>
      </c>
      <c r="D13" t="s">
        <v>9</v>
      </c>
      <c r="E13" t="s">
        <v>618</v>
      </c>
      <c r="F13" t="s">
        <v>552</v>
      </c>
      <c r="G13" t="s">
        <v>600</v>
      </c>
      <c r="H13" t="s">
        <v>601</v>
      </c>
      <c r="J13" t="s">
        <v>7</v>
      </c>
      <c r="K13" t="str">
        <f t="shared" si="0"/>
        <v xml:space="preserve">INSERT INTO T_CK_SVC_WORKFLOW(WKFL_ID, WKFL_APPS_CODE, WKFL_ACCN_TYPE, WKFL_ROLE, WKFL_SCV_TYPE, WKFL_ACTION, WKFL_FROM_STATE, WKFL_TO_STATE, WKFL_URI, WKFL_STATUS, WKFL_DT_CREATE, WKFL_UID_CREATE, WKFL_DT_LUPD, WKFL_UID_LUPD) </v>
      </c>
      <c r="L13" t="str">
        <f t="shared" si="1"/>
        <v xml:space="preserve"> VALUES('JOB_12','CKT','ACC_TYPE_TO','OFFICER','CLICTRUCK','START','ASG','ONGOING','','A',NOW(),'SYS',NOW(),'SYS');</v>
      </c>
      <c r="M13" t="str">
        <f t="shared" si="2"/>
        <v>INSERT INTO T_CK_SVC_WORKFLOW(WKFL_ID, WKFL_APPS_CODE, WKFL_ACCN_TYPE, WKFL_ROLE, WKFL_SCV_TYPE, WKFL_ACTION, WKFL_FROM_STATE, WKFL_TO_STATE, WKFL_URI, WKFL_STATUS, WKFL_DT_CREATE, WKFL_UID_CREATE, WKFL_DT_LUPD, WKFL_UID_LUPD)  VALUES('JOB_12','CKT','ACC_TYPE_TO','OFFICER','CLICTRUCK','START','ASG','ONGOING','','A',NOW(),'SYS',NOW(),'SYS');</v>
      </c>
    </row>
    <row r="14" spans="1:13" x14ac:dyDescent="0.2">
      <c r="A14" t="s">
        <v>631</v>
      </c>
      <c r="B14" t="s">
        <v>14</v>
      </c>
      <c r="C14" t="s">
        <v>598</v>
      </c>
      <c r="D14" t="s">
        <v>9</v>
      </c>
      <c r="E14" t="s">
        <v>618</v>
      </c>
      <c r="F14" t="s">
        <v>542</v>
      </c>
      <c r="G14" t="s">
        <v>600</v>
      </c>
      <c r="H14" t="s">
        <v>100</v>
      </c>
      <c r="J14" t="s">
        <v>7</v>
      </c>
      <c r="K14" t="str">
        <f t="shared" si="0"/>
        <v xml:space="preserve">INSERT INTO T_CK_SVC_WORKFLOW(WKFL_ID, WKFL_APPS_CODE, WKFL_ACCN_TYPE, WKFL_ROLE, WKFL_SCV_TYPE, WKFL_ACTION, WKFL_FROM_STATE, WKFL_TO_STATE, WKFL_URI, WKFL_STATUS, WKFL_DT_CREATE, WKFL_UID_CREATE, WKFL_DT_LUPD, WKFL_UID_LUPD) </v>
      </c>
      <c r="L14" t="str">
        <f t="shared" si="1"/>
        <v xml:space="preserve"> VALUES('JOB_13','CKT','ACC_TYPE_TO','OFFICER','CLICTRUCK','REJECT','ASG','NEW','','A',NOW(),'SYS',NOW(),'SYS');</v>
      </c>
      <c r="M14" t="str">
        <f t="shared" si="2"/>
        <v>INSERT INTO T_CK_SVC_WORKFLOW(WKFL_ID, WKFL_APPS_CODE, WKFL_ACCN_TYPE, WKFL_ROLE, WKFL_SCV_TYPE, WKFL_ACTION, WKFL_FROM_STATE, WKFL_TO_STATE, WKFL_URI, WKFL_STATUS, WKFL_DT_CREATE, WKFL_UID_CREATE, WKFL_DT_LUPD, WKFL_UID_LUPD)  VALUES('JOB_13','CKT','ACC_TYPE_TO','OFFICER','CLICTRUCK','REJECT','ASG','NEW','','A',NOW(),'SYS',NOW(),'SYS');</v>
      </c>
    </row>
    <row r="15" spans="1:13" x14ac:dyDescent="0.2">
      <c r="A15" t="s">
        <v>632</v>
      </c>
      <c r="B15" t="s">
        <v>14</v>
      </c>
      <c r="C15" t="s">
        <v>598</v>
      </c>
      <c r="D15" t="s">
        <v>9</v>
      </c>
      <c r="E15" t="s">
        <v>618</v>
      </c>
      <c r="F15" t="s">
        <v>554</v>
      </c>
      <c r="G15" t="s">
        <v>601</v>
      </c>
      <c r="H15" t="s">
        <v>606</v>
      </c>
      <c r="J15" t="s">
        <v>7</v>
      </c>
      <c r="K15" t="str">
        <f t="shared" si="0"/>
        <v xml:space="preserve">INSERT INTO T_CK_SVC_WORKFLOW(WKFL_ID, WKFL_APPS_CODE, WKFL_ACCN_TYPE, WKFL_ROLE, WKFL_SCV_TYPE, WKFL_ACTION, WKFL_FROM_STATE, WKFL_TO_STATE, WKFL_URI, WKFL_STATUS, WKFL_DT_CREATE, WKFL_UID_CREATE, WKFL_DT_LUPD, WKFL_UID_LUPD) </v>
      </c>
      <c r="L15" t="str">
        <f t="shared" si="1"/>
        <v xml:space="preserve"> VALUES('JOB_14','CKT','ACC_TYPE_TO','OFFICER','CLICTRUCK','STOP','ONGOING','DLV','','A',NOW(),'SYS',NOW(),'SYS');</v>
      </c>
      <c r="M15" t="str">
        <f t="shared" si="2"/>
        <v>INSERT INTO T_CK_SVC_WORKFLOW(WKFL_ID, WKFL_APPS_CODE, WKFL_ACCN_TYPE, WKFL_ROLE, WKFL_SCV_TYPE, WKFL_ACTION, WKFL_FROM_STATE, WKFL_TO_STATE, WKFL_URI, WKFL_STATUS, WKFL_DT_CREATE, WKFL_UID_CREATE, WKFL_DT_LUPD, WKFL_UID_LUPD)  VALUES('JOB_14','CKT','ACC_TYPE_TO','OFFICER','CLICTRUCK','STOP','ONGOING','DLV','','A',NOW(),'SYS',NOW(),'SYS');</v>
      </c>
    </row>
    <row r="16" spans="1:13" x14ac:dyDescent="0.2">
      <c r="A16" t="s">
        <v>633</v>
      </c>
      <c r="B16" t="s">
        <v>14</v>
      </c>
      <c r="C16" t="s">
        <v>598</v>
      </c>
      <c r="D16" t="s">
        <v>15</v>
      </c>
      <c r="E16" t="s">
        <v>618</v>
      </c>
      <c r="F16" t="s">
        <v>523</v>
      </c>
      <c r="G16" t="s">
        <v>606</v>
      </c>
      <c r="H16" t="s">
        <v>602</v>
      </c>
      <c r="J16" t="s">
        <v>7</v>
      </c>
      <c r="K16" t="str">
        <f t="shared" si="0"/>
        <v xml:space="preserve">INSERT INTO T_CK_SVC_WORKFLOW(WKFL_ID, WKFL_APPS_CODE, WKFL_ACCN_TYPE, WKFL_ROLE, WKFL_SCV_TYPE, WKFL_ACTION, WKFL_FROM_STATE, WKFL_TO_STATE, WKFL_URI, WKFL_STATUS, WKFL_DT_CREATE, WKFL_UID_CREATE, WKFL_DT_LUPD, WKFL_UID_LUPD) </v>
      </c>
      <c r="L16" t="str">
        <f t="shared" si="1"/>
        <v xml:space="preserve"> VALUES('JOB_15','CKT','ACC_TYPE_TO','FF_FINANCE','CLICTRUCK','BILLJOB','DLV','BILLED','','A',NOW(),'SYS',NOW(),'SYS');</v>
      </c>
      <c r="M16" t="str">
        <f t="shared" si="2"/>
        <v>INSERT INTO T_CK_SVC_WORKFLOW(WKFL_ID, WKFL_APPS_CODE, WKFL_ACCN_TYPE, WKFL_ROLE, WKFL_SCV_TYPE, WKFL_ACTION, WKFL_FROM_STATE, WKFL_TO_STATE, WKFL_URI, WKFL_STATUS, WKFL_DT_CREATE, WKFL_UID_CREATE, WKFL_DT_LUPD, WKFL_UID_LUPD)  VALUES('JOB_15','CKT','ACC_TYPE_TO','FF_FINANCE','CLICTRUCK','BILLJOB','DLV','BILLED','','A',NOW(),'SYS',NOW(),'SYS');</v>
      </c>
    </row>
    <row r="17" spans="1:13" x14ac:dyDescent="0.2">
      <c r="A17" t="s">
        <v>634</v>
      </c>
      <c r="B17" t="s">
        <v>14</v>
      </c>
      <c r="C17" t="s">
        <v>43</v>
      </c>
      <c r="D17" t="s">
        <v>9</v>
      </c>
      <c r="E17" t="s">
        <v>618</v>
      </c>
      <c r="F17" t="s">
        <v>564</v>
      </c>
      <c r="G17" t="s">
        <v>602</v>
      </c>
      <c r="H17" t="s">
        <v>603</v>
      </c>
      <c r="J17" t="s">
        <v>7</v>
      </c>
      <c r="K17" t="str">
        <f t="shared" si="0"/>
        <v xml:space="preserve">INSERT INTO T_CK_SVC_WORKFLOW(WKFL_ID, WKFL_APPS_CODE, WKFL_ACCN_TYPE, WKFL_ROLE, WKFL_SCV_TYPE, WKFL_ACTION, WKFL_FROM_STATE, WKFL_TO_STATE, WKFL_URI, WKFL_STATUS, WKFL_DT_CREATE, WKFL_UID_CREATE, WKFL_DT_LUPD, WKFL_UID_LUPD) </v>
      </c>
      <c r="L17" t="str">
        <f t="shared" si="1"/>
        <v xml:space="preserve"> VALUES('JOB_16','CKT','ACC_TYPE_CO','OFFICER','CLICTRUCK','VERIFY_BILL','BILLED','VER_BILL','','A',NOW(),'SYS',NOW(),'SYS');</v>
      </c>
      <c r="M17" t="str">
        <f t="shared" si="2"/>
        <v>INSERT INTO T_CK_SVC_WORKFLOW(WKFL_ID, WKFL_APPS_CODE, WKFL_ACCN_TYPE, WKFL_ROLE, WKFL_SCV_TYPE, WKFL_ACTION, WKFL_FROM_STATE, WKFL_TO_STATE, WKFL_URI, WKFL_STATUS, WKFL_DT_CREATE, WKFL_UID_CREATE, WKFL_DT_LUPD, WKFL_UID_LUPD)  VALUES('JOB_16','CKT','ACC_TYPE_CO','OFFICER','CLICTRUCK','VERIFY_BILL','BILLED','VER_BILL','','A',NOW(),'SYS',NOW(),'SYS');</v>
      </c>
    </row>
    <row r="18" spans="1:13" x14ac:dyDescent="0.2">
      <c r="A18" t="s">
        <v>635</v>
      </c>
      <c r="B18" t="s">
        <v>14</v>
      </c>
      <c r="C18" t="s">
        <v>43</v>
      </c>
      <c r="D18" t="s">
        <v>9</v>
      </c>
      <c r="E18" t="s">
        <v>618</v>
      </c>
      <c r="F18" t="s">
        <v>544</v>
      </c>
      <c r="G18" t="s">
        <v>602</v>
      </c>
      <c r="H18" t="s">
        <v>606</v>
      </c>
      <c r="J18" t="s">
        <v>7</v>
      </c>
      <c r="K18" t="str">
        <f t="shared" si="0"/>
        <v xml:space="preserve">INSERT INTO T_CK_SVC_WORKFLOW(WKFL_ID, WKFL_APPS_CODE, WKFL_ACCN_TYPE, WKFL_ROLE, WKFL_SCV_TYPE, WKFL_ACTION, WKFL_FROM_STATE, WKFL_TO_STATE, WKFL_URI, WKFL_STATUS, WKFL_DT_CREATE, WKFL_UID_CREATE, WKFL_DT_LUPD, WKFL_UID_LUPD) </v>
      </c>
      <c r="L18" t="str">
        <f t="shared" si="1"/>
        <v xml:space="preserve"> VALUES('JOB_17','CKT','ACC_TYPE_CO','OFFICER','CLICTRUCK','REJECT_BILL','BILLED','DLV','','A',NOW(),'SYS',NOW(),'SYS');</v>
      </c>
      <c r="M18" t="str">
        <f t="shared" si="2"/>
        <v>INSERT INTO T_CK_SVC_WORKFLOW(WKFL_ID, WKFL_APPS_CODE, WKFL_ACCN_TYPE, WKFL_ROLE, WKFL_SCV_TYPE, WKFL_ACTION, WKFL_FROM_STATE, WKFL_TO_STATE, WKFL_URI, WKFL_STATUS, WKFL_DT_CREATE, WKFL_UID_CREATE, WKFL_DT_LUPD, WKFL_UID_LUPD)  VALUES('JOB_17','CKT','ACC_TYPE_CO','OFFICER','CLICTRUCK','REJECT_BILL','BILLED','DLV','','A',NOW(),'SYS',NOW(),'SYS');</v>
      </c>
    </row>
    <row r="19" spans="1:13" x14ac:dyDescent="0.2">
      <c r="A19" t="s">
        <v>636</v>
      </c>
      <c r="B19" t="s">
        <v>14</v>
      </c>
      <c r="C19" t="s">
        <v>43</v>
      </c>
      <c r="D19" t="s">
        <v>15</v>
      </c>
      <c r="E19" t="s">
        <v>618</v>
      </c>
      <c r="F19" t="s">
        <v>513</v>
      </c>
      <c r="G19" t="s">
        <v>603</v>
      </c>
      <c r="H19" t="s">
        <v>604</v>
      </c>
      <c r="J19" t="s">
        <v>7</v>
      </c>
      <c r="K19" t="str">
        <f t="shared" si="0"/>
        <v xml:space="preserve">INSERT INTO T_CK_SVC_WORKFLOW(WKFL_ID, WKFL_APPS_CODE, WKFL_ACCN_TYPE, WKFL_ROLE, WKFL_SCV_TYPE, WKFL_ACTION, WKFL_FROM_STATE, WKFL_TO_STATE, WKFL_URI, WKFL_STATUS, WKFL_DT_CREATE, WKFL_UID_CREATE, WKFL_DT_LUPD, WKFL_UID_LUPD) </v>
      </c>
      <c r="L19" t="str">
        <f t="shared" si="1"/>
        <v xml:space="preserve"> VALUES('JOB_18','CKT','ACC_TYPE_CO','FF_FINANCE','CLICTRUCK','ACKNOWLEDGE_BILL','VER_BILL','ACK_BILL','','A',NOW(),'SYS',NOW(),'SYS');</v>
      </c>
      <c r="M19" t="str">
        <f t="shared" si="2"/>
        <v>INSERT INTO T_CK_SVC_WORKFLOW(WKFL_ID, WKFL_APPS_CODE, WKFL_ACCN_TYPE, WKFL_ROLE, WKFL_SCV_TYPE, WKFL_ACTION, WKFL_FROM_STATE, WKFL_TO_STATE, WKFL_URI, WKFL_STATUS, WKFL_DT_CREATE, WKFL_UID_CREATE, WKFL_DT_LUPD, WKFL_UID_LUPD)  VALUES('JOB_18','CKT','ACC_TYPE_CO','FF_FINANCE','CLICTRUCK','ACKNOWLEDGE_BILL','VER_BILL','ACK_BILL','','A',NOW(),'SYS',NOW(),'SYS');</v>
      </c>
    </row>
    <row r="20" spans="1:13" x14ac:dyDescent="0.2">
      <c r="A20" t="s">
        <v>637</v>
      </c>
      <c r="B20" t="s">
        <v>14</v>
      </c>
      <c r="C20" t="s">
        <v>43</v>
      </c>
      <c r="D20" t="s">
        <v>15</v>
      </c>
      <c r="E20" t="s">
        <v>618</v>
      </c>
      <c r="F20" t="s">
        <v>544</v>
      </c>
      <c r="G20" t="s">
        <v>603</v>
      </c>
      <c r="H20" t="s">
        <v>606</v>
      </c>
      <c r="J20" t="s">
        <v>7</v>
      </c>
      <c r="K20" t="str">
        <f t="shared" si="0"/>
        <v xml:space="preserve">INSERT INTO T_CK_SVC_WORKFLOW(WKFL_ID, WKFL_APPS_CODE, WKFL_ACCN_TYPE, WKFL_ROLE, WKFL_SCV_TYPE, WKFL_ACTION, WKFL_FROM_STATE, WKFL_TO_STATE, WKFL_URI, WKFL_STATUS, WKFL_DT_CREATE, WKFL_UID_CREATE, WKFL_DT_LUPD, WKFL_UID_LUPD) </v>
      </c>
      <c r="L20" t="str">
        <f t="shared" si="1"/>
        <v xml:space="preserve"> VALUES('JOB_19','CKT','ACC_TYPE_CO','FF_FINANCE','CLICTRUCK','REJECT_BILL','VER_BILL','DLV','','A',NOW(),'SYS',NOW(),'SYS');</v>
      </c>
      <c r="M20" t="str">
        <f t="shared" si="2"/>
        <v>INSERT INTO T_CK_SVC_WORKFLOW(WKFL_ID, WKFL_APPS_CODE, WKFL_ACCN_TYPE, WKFL_ROLE, WKFL_SCV_TYPE, WKFL_ACTION, WKFL_FROM_STATE, WKFL_TO_STATE, WKFL_URI, WKFL_STATUS, WKFL_DT_CREATE, WKFL_UID_CREATE, WKFL_DT_LUPD, WKFL_UID_LUPD)  VALUES('JOB_19','CKT','ACC_TYPE_CO','FF_FINANCE','CLICTRUCK','REJECT_BILL','VER_BILL','DLV','','A',NOW(),'SYS',NOW(),'SYS');</v>
      </c>
    </row>
    <row r="21" spans="1:13" x14ac:dyDescent="0.2">
      <c r="A21" t="s">
        <v>638</v>
      </c>
      <c r="B21" t="s">
        <v>14</v>
      </c>
      <c r="C21" t="s">
        <v>43</v>
      </c>
      <c r="D21" t="s">
        <v>15</v>
      </c>
      <c r="E21" t="s">
        <v>618</v>
      </c>
      <c r="F21" t="s">
        <v>519</v>
      </c>
      <c r="G21" t="s">
        <v>604</v>
      </c>
      <c r="H21" t="s">
        <v>605</v>
      </c>
      <c r="J21" t="s">
        <v>7</v>
      </c>
      <c r="K21" t="str">
        <f t="shared" si="0"/>
        <v xml:space="preserve">INSERT INTO T_CK_SVC_WORKFLOW(WKFL_ID, WKFL_APPS_CODE, WKFL_ACCN_TYPE, WKFL_ROLE, WKFL_SCV_TYPE, WKFL_ACTION, WKFL_FROM_STATE, WKFL_TO_STATE, WKFL_URI, WKFL_STATUS, WKFL_DT_CREATE, WKFL_UID_CREATE, WKFL_DT_LUPD, WKFL_UID_LUPD) </v>
      </c>
      <c r="L21" t="str">
        <f t="shared" si="1"/>
        <v xml:space="preserve"> VALUES('JOB_20','CKT','ACC_TYPE_CO','FF_FINANCE','CLICTRUCK','APPROVE_BILL','ACK_BILL','APP_BILL','','A',NOW(),'SYS',NOW(),'SYS');</v>
      </c>
      <c r="M21" t="str">
        <f t="shared" si="2"/>
        <v>INSERT INTO T_CK_SVC_WORKFLOW(WKFL_ID, WKFL_APPS_CODE, WKFL_ACCN_TYPE, WKFL_ROLE, WKFL_SCV_TYPE, WKFL_ACTION, WKFL_FROM_STATE, WKFL_TO_STATE, WKFL_URI, WKFL_STATUS, WKFL_DT_CREATE, WKFL_UID_CREATE, WKFL_DT_LUPD, WKFL_UID_LUPD)  VALUES('JOB_20','CKT','ACC_TYPE_CO','FF_FINANCE','CLICTRUCK','APPROVE_BILL','ACK_BILL','APP_BILL','','A',NOW(),'SYS',NOW(),'SYS');</v>
      </c>
    </row>
    <row r="22" spans="1:13" x14ac:dyDescent="0.2">
      <c r="A22" t="s">
        <v>639</v>
      </c>
      <c r="B22" t="s">
        <v>14</v>
      </c>
      <c r="C22" t="s">
        <v>57</v>
      </c>
      <c r="D22" t="s">
        <v>9</v>
      </c>
      <c r="E22" t="s">
        <v>618</v>
      </c>
      <c r="F22" t="s">
        <v>564</v>
      </c>
      <c r="G22" t="s">
        <v>602</v>
      </c>
      <c r="H22" t="s">
        <v>603</v>
      </c>
      <c r="J22" t="s">
        <v>7</v>
      </c>
      <c r="K22" t="str">
        <f t="shared" si="0"/>
        <v xml:space="preserve">INSERT INTO T_CK_SVC_WORKFLOW(WKFL_ID, WKFL_APPS_CODE, WKFL_ACCN_TYPE, WKFL_ROLE, WKFL_SCV_TYPE, WKFL_ACTION, WKFL_FROM_STATE, WKFL_TO_STATE, WKFL_URI, WKFL_STATUS, WKFL_DT_CREATE, WKFL_UID_CREATE, WKFL_DT_LUPD, WKFL_UID_LUPD) </v>
      </c>
      <c r="L22" t="str">
        <f t="shared" si="1"/>
        <v xml:space="preserve"> VALUES('JOB_21','CKT','ACC_TYPE_FF','OFFICER','CLICTRUCK','VERIFY_BILL','BILLED','VER_BILL','','A',NOW(),'SYS',NOW(),'SYS');</v>
      </c>
      <c r="M22" t="str">
        <f t="shared" si="2"/>
        <v>INSERT INTO T_CK_SVC_WORKFLOW(WKFL_ID, WKFL_APPS_CODE, WKFL_ACCN_TYPE, WKFL_ROLE, WKFL_SCV_TYPE, WKFL_ACTION, WKFL_FROM_STATE, WKFL_TO_STATE, WKFL_URI, WKFL_STATUS, WKFL_DT_CREATE, WKFL_UID_CREATE, WKFL_DT_LUPD, WKFL_UID_LUPD)  VALUES('JOB_21','CKT','ACC_TYPE_FF','OFFICER','CLICTRUCK','VERIFY_BILL','BILLED','VER_BILL','','A',NOW(),'SYS',NOW(),'SYS');</v>
      </c>
    </row>
    <row r="23" spans="1:13" x14ac:dyDescent="0.2">
      <c r="A23" t="s">
        <v>640</v>
      </c>
      <c r="B23" t="s">
        <v>14</v>
      </c>
      <c r="C23" t="s">
        <v>57</v>
      </c>
      <c r="D23" t="s">
        <v>9</v>
      </c>
      <c r="E23" t="s">
        <v>618</v>
      </c>
      <c r="F23" t="s">
        <v>544</v>
      </c>
      <c r="G23" t="s">
        <v>602</v>
      </c>
      <c r="H23" t="s">
        <v>606</v>
      </c>
      <c r="J23" t="s">
        <v>7</v>
      </c>
      <c r="K23" t="str">
        <f t="shared" si="0"/>
        <v xml:space="preserve">INSERT INTO T_CK_SVC_WORKFLOW(WKFL_ID, WKFL_APPS_CODE, WKFL_ACCN_TYPE, WKFL_ROLE, WKFL_SCV_TYPE, WKFL_ACTION, WKFL_FROM_STATE, WKFL_TO_STATE, WKFL_URI, WKFL_STATUS, WKFL_DT_CREATE, WKFL_UID_CREATE, WKFL_DT_LUPD, WKFL_UID_LUPD) </v>
      </c>
      <c r="L23" t="str">
        <f t="shared" si="1"/>
        <v xml:space="preserve"> VALUES('JOB_22','CKT','ACC_TYPE_FF','OFFICER','CLICTRUCK','REJECT_BILL','BILLED','DLV','','A',NOW(),'SYS',NOW(),'SYS');</v>
      </c>
      <c r="M23" t="str">
        <f t="shared" si="2"/>
        <v>INSERT INTO T_CK_SVC_WORKFLOW(WKFL_ID, WKFL_APPS_CODE, WKFL_ACCN_TYPE, WKFL_ROLE, WKFL_SCV_TYPE, WKFL_ACTION, WKFL_FROM_STATE, WKFL_TO_STATE, WKFL_URI, WKFL_STATUS, WKFL_DT_CREATE, WKFL_UID_CREATE, WKFL_DT_LUPD, WKFL_UID_LUPD)  VALUES('JOB_22','CKT','ACC_TYPE_FF','OFFICER','CLICTRUCK','REJECT_BILL','BILLED','DLV','','A',NOW(),'SYS',NOW(),'SYS');</v>
      </c>
    </row>
    <row r="24" spans="1:13" x14ac:dyDescent="0.2">
      <c r="A24" t="s">
        <v>641</v>
      </c>
      <c r="B24" t="s">
        <v>14</v>
      </c>
      <c r="C24" t="s">
        <v>57</v>
      </c>
      <c r="D24" t="s">
        <v>15</v>
      </c>
      <c r="E24" t="s">
        <v>618</v>
      </c>
      <c r="F24" t="s">
        <v>513</v>
      </c>
      <c r="G24" t="s">
        <v>603</v>
      </c>
      <c r="H24" t="s">
        <v>604</v>
      </c>
      <c r="J24" t="s">
        <v>7</v>
      </c>
      <c r="K24" t="str">
        <f t="shared" si="0"/>
        <v xml:space="preserve">INSERT INTO T_CK_SVC_WORKFLOW(WKFL_ID, WKFL_APPS_CODE, WKFL_ACCN_TYPE, WKFL_ROLE, WKFL_SCV_TYPE, WKFL_ACTION, WKFL_FROM_STATE, WKFL_TO_STATE, WKFL_URI, WKFL_STATUS, WKFL_DT_CREATE, WKFL_UID_CREATE, WKFL_DT_LUPD, WKFL_UID_LUPD) </v>
      </c>
      <c r="L24" t="str">
        <f t="shared" si="1"/>
        <v xml:space="preserve"> VALUES('JOB_23','CKT','ACC_TYPE_FF','FF_FINANCE','CLICTRUCK','ACKNOWLEDGE_BILL','VER_BILL','ACK_BILL','','A',NOW(),'SYS',NOW(),'SYS');</v>
      </c>
      <c r="M24" t="str">
        <f t="shared" si="2"/>
        <v>INSERT INTO T_CK_SVC_WORKFLOW(WKFL_ID, WKFL_APPS_CODE, WKFL_ACCN_TYPE, WKFL_ROLE, WKFL_SCV_TYPE, WKFL_ACTION, WKFL_FROM_STATE, WKFL_TO_STATE, WKFL_URI, WKFL_STATUS, WKFL_DT_CREATE, WKFL_UID_CREATE, WKFL_DT_LUPD, WKFL_UID_LUPD)  VALUES('JOB_23','CKT','ACC_TYPE_FF','FF_FINANCE','CLICTRUCK','ACKNOWLEDGE_BILL','VER_BILL','ACK_BILL','','A',NOW(),'SYS',NOW(),'SYS');</v>
      </c>
    </row>
    <row r="25" spans="1:13" x14ac:dyDescent="0.2">
      <c r="A25" t="s">
        <v>642</v>
      </c>
      <c r="B25" t="s">
        <v>14</v>
      </c>
      <c r="C25" t="s">
        <v>57</v>
      </c>
      <c r="D25" t="s">
        <v>15</v>
      </c>
      <c r="E25" t="s">
        <v>618</v>
      </c>
      <c r="F25" t="s">
        <v>544</v>
      </c>
      <c r="G25" t="s">
        <v>603</v>
      </c>
      <c r="H25" t="s">
        <v>606</v>
      </c>
      <c r="J25" t="s">
        <v>7</v>
      </c>
      <c r="K25" t="str">
        <f t="shared" si="0"/>
        <v xml:space="preserve">INSERT INTO T_CK_SVC_WORKFLOW(WKFL_ID, WKFL_APPS_CODE, WKFL_ACCN_TYPE, WKFL_ROLE, WKFL_SCV_TYPE, WKFL_ACTION, WKFL_FROM_STATE, WKFL_TO_STATE, WKFL_URI, WKFL_STATUS, WKFL_DT_CREATE, WKFL_UID_CREATE, WKFL_DT_LUPD, WKFL_UID_LUPD) </v>
      </c>
      <c r="L25" t="str">
        <f t="shared" si="1"/>
        <v xml:space="preserve"> VALUES('JOB_24','CKT','ACC_TYPE_FF','FF_FINANCE','CLICTRUCK','REJECT_BILL','VER_BILL','DLV','','A',NOW(),'SYS',NOW(),'SYS');</v>
      </c>
      <c r="M25" t="str">
        <f t="shared" si="2"/>
        <v>INSERT INTO T_CK_SVC_WORKFLOW(WKFL_ID, WKFL_APPS_CODE, WKFL_ACCN_TYPE, WKFL_ROLE, WKFL_SCV_TYPE, WKFL_ACTION, WKFL_FROM_STATE, WKFL_TO_STATE, WKFL_URI, WKFL_STATUS, WKFL_DT_CREATE, WKFL_UID_CREATE, WKFL_DT_LUPD, WKFL_UID_LUPD)  VALUES('JOB_24','CKT','ACC_TYPE_FF','FF_FINANCE','CLICTRUCK','REJECT_BILL','VER_BILL','DLV','','A',NOW(),'SYS',NOW(),'SYS');</v>
      </c>
    </row>
    <row r="26" spans="1:13" x14ac:dyDescent="0.2">
      <c r="A26" t="s">
        <v>643</v>
      </c>
      <c r="B26" t="s">
        <v>14</v>
      </c>
      <c r="C26" t="s">
        <v>57</v>
      </c>
      <c r="D26" t="s">
        <v>15</v>
      </c>
      <c r="E26" t="s">
        <v>618</v>
      </c>
      <c r="F26" t="s">
        <v>519</v>
      </c>
      <c r="G26" t="s">
        <v>604</v>
      </c>
      <c r="H26" t="s">
        <v>605</v>
      </c>
      <c r="J26" t="s">
        <v>7</v>
      </c>
      <c r="K26" t="str">
        <f t="shared" si="0"/>
        <v xml:space="preserve">INSERT INTO T_CK_SVC_WORKFLOW(WKFL_ID, WKFL_APPS_CODE, WKFL_ACCN_TYPE, WKFL_ROLE, WKFL_SCV_TYPE, WKFL_ACTION, WKFL_FROM_STATE, WKFL_TO_STATE, WKFL_URI, WKFL_STATUS, WKFL_DT_CREATE, WKFL_UID_CREATE, WKFL_DT_LUPD, WKFL_UID_LUPD) </v>
      </c>
      <c r="L26" t="str">
        <f t="shared" si="1"/>
        <v xml:space="preserve"> VALUES('JOB_25','CKT','ACC_TYPE_FF','FF_FINANCE','CLICTRUCK','APPROVE_BILL','ACK_BILL','APP_BILL','','A',NOW(),'SYS',NOW(),'SYS');</v>
      </c>
      <c r="M26" t="str">
        <f t="shared" si="2"/>
        <v>INSERT INTO T_CK_SVC_WORKFLOW(WKFL_ID, WKFL_APPS_CODE, WKFL_ACCN_TYPE, WKFL_ROLE, WKFL_SCV_TYPE, WKFL_ACTION, WKFL_FROM_STATE, WKFL_TO_STATE, WKFL_URI, WKFL_STATUS, WKFL_DT_CREATE, WKFL_UID_CREATE, WKFL_DT_LUPD, WKFL_UID_LUPD)  VALUES('JOB_25','CKT','ACC_TYPE_FF','FF_FINANCE','CLICTRUCK','APPROVE_BILL','ACK_BILL','APP_BILL','','A',NOW(),'SYS',NOW(),'SYS');</v>
      </c>
    </row>
    <row r="27" spans="1:13" x14ac:dyDescent="0.2">
      <c r="A27" t="s">
        <v>644</v>
      </c>
      <c r="B27" t="s">
        <v>14</v>
      </c>
      <c r="C27" t="s">
        <v>93</v>
      </c>
      <c r="D27" t="s">
        <v>18</v>
      </c>
      <c r="E27" t="s">
        <v>618</v>
      </c>
      <c r="F27" t="s">
        <v>519</v>
      </c>
      <c r="G27" t="s">
        <v>604</v>
      </c>
      <c r="H27" t="s">
        <v>605</v>
      </c>
      <c r="J27" t="s">
        <v>7</v>
      </c>
      <c r="K27" t="str">
        <f t="shared" si="0"/>
        <v xml:space="preserve">INSERT INTO T_CK_SVC_WORKFLOW(WKFL_ID, WKFL_APPS_CODE, WKFL_ACCN_TYPE, WKFL_ROLE, WKFL_SCV_TYPE, WKFL_ACTION, WKFL_FROM_STATE, WKFL_TO_STATE, WKFL_URI, WKFL_STATUS, WKFL_DT_CREATE, WKFL_UID_CREATE, WKFL_DT_LUPD, WKFL_UID_LUPD) </v>
      </c>
      <c r="L27" t="str">
        <f t="shared" si="1"/>
        <v xml:space="preserve"> VALUES('JOB_26','CKT','ACC_TYPE_SP','SP_OP_ADMIN','CLICTRUCK','APPROVE_BILL','ACK_BILL','APP_BILL','','A',NOW(),'SYS',NOW(),'SYS');</v>
      </c>
      <c r="M27" t="str">
        <f t="shared" si="2"/>
        <v>INSERT INTO T_CK_SVC_WORKFLOW(WKFL_ID, WKFL_APPS_CODE, WKFL_ACCN_TYPE, WKFL_ROLE, WKFL_SCV_TYPE, WKFL_ACTION, WKFL_FROM_STATE, WKFL_TO_STATE, WKFL_URI, WKFL_STATUS, WKFL_DT_CREATE, WKFL_UID_CREATE, WKFL_DT_LUPD, WKFL_UID_LUPD)  VALUES('JOB_26','CKT','ACC_TYPE_SP','SP_OP_ADMIN','CLICTRUCK','APPROVE_BILL','ACK_BILL','APP_BILL','','A',NOW(),'SYS',NOW(),'SYS');</v>
      </c>
    </row>
    <row r="28" spans="1:13" x14ac:dyDescent="0.2">
      <c r="A28" t="s">
        <v>645</v>
      </c>
      <c r="B28" t="s">
        <v>14</v>
      </c>
      <c r="C28" t="s">
        <v>93</v>
      </c>
      <c r="D28" t="s">
        <v>18</v>
      </c>
      <c r="E28" t="s">
        <v>618</v>
      </c>
      <c r="F28" t="s">
        <v>544</v>
      </c>
      <c r="G28" t="s">
        <v>604</v>
      </c>
      <c r="H28" t="s">
        <v>606</v>
      </c>
      <c r="J28" t="s">
        <v>7</v>
      </c>
      <c r="K28" t="str">
        <f t="shared" si="0"/>
        <v xml:space="preserve">INSERT INTO T_CK_SVC_WORKFLOW(WKFL_ID, WKFL_APPS_CODE, WKFL_ACCN_TYPE, WKFL_ROLE, WKFL_SCV_TYPE, WKFL_ACTION, WKFL_FROM_STATE, WKFL_TO_STATE, WKFL_URI, WKFL_STATUS, WKFL_DT_CREATE, WKFL_UID_CREATE, WKFL_DT_LUPD, WKFL_UID_LUPD) </v>
      </c>
      <c r="L28" t="str">
        <f t="shared" si="1"/>
        <v xml:space="preserve"> VALUES('JOB_27','CKT','ACC_TYPE_SP','SP_OP_ADMIN','CLICTRUCK','REJECT_BILL','ACK_BILL','DLV','','A',NOW(),'SYS',NOW(),'SYS');</v>
      </c>
      <c r="M28" t="str">
        <f t="shared" si="2"/>
        <v>INSERT INTO T_CK_SVC_WORKFLOW(WKFL_ID, WKFL_APPS_CODE, WKFL_ACCN_TYPE, WKFL_ROLE, WKFL_SCV_TYPE, WKFL_ACTION, WKFL_FROM_STATE, WKFL_TO_STATE, WKFL_URI, WKFL_STATUS, WKFL_DT_CREATE, WKFL_UID_CREATE, WKFL_DT_LUPD, WKFL_UID_LUPD)  VALUES('JOB_27','CKT','ACC_TYPE_SP','SP_OP_ADMIN','CLICTRUCK','REJECT_BILL','ACK_BILL','DLV','','A',NOW(),'SYS',NOW(),'SYS');</v>
      </c>
    </row>
    <row r="29" spans="1:13" x14ac:dyDescent="0.2">
      <c r="A29" t="s">
        <v>646</v>
      </c>
      <c r="B29" t="s">
        <v>14</v>
      </c>
      <c r="C29" t="s">
        <v>598</v>
      </c>
      <c r="D29" t="s">
        <v>15</v>
      </c>
      <c r="E29" t="s">
        <v>618</v>
      </c>
      <c r="F29" t="s">
        <v>556</v>
      </c>
      <c r="G29" t="s">
        <v>100</v>
      </c>
      <c r="H29" t="s">
        <v>101</v>
      </c>
      <c r="J29" t="s">
        <v>7</v>
      </c>
      <c r="K29" t="str">
        <f t="shared" si="0"/>
        <v xml:space="preserve">INSERT INTO T_CK_SVC_WORKFLOW(WKFL_ID, WKFL_APPS_CODE, WKFL_ACCN_TYPE, WKFL_ROLE, WKFL_SCV_TYPE, WKFL_ACTION, WKFL_FROM_STATE, WKFL_TO_STATE, WKFL_URI, WKFL_STATUS, WKFL_DT_CREATE, WKFL_UID_CREATE, WKFL_DT_LUPD, WKFL_UID_LUPD) </v>
      </c>
      <c r="L29" t="str">
        <f t="shared" si="1"/>
        <v xml:space="preserve"> VALUES('RT_1','CKT','ACC_TYPE_TO','FF_FINANCE','CLICTRUCK','SUBMIT','NEW','SUB','','A',NOW(),'SYS',NOW(),'SYS');</v>
      </c>
      <c r="M29" t="str">
        <f t="shared" si="2"/>
        <v>INSERT INTO T_CK_SVC_WORKFLOW(WKFL_ID, WKFL_APPS_CODE, WKFL_ACCN_TYPE, WKFL_ROLE, WKFL_SCV_TYPE, WKFL_ACTION, WKFL_FROM_STATE, WKFL_TO_STATE, WKFL_URI, WKFL_STATUS, WKFL_DT_CREATE, WKFL_UID_CREATE, WKFL_DT_LUPD, WKFL_UID_LUPD)  VALUES('RT_1','CKT','ACC_TYPE_TO','FF_FINANCE','CLICTRUCK','SUBMIT','NEW','SUB','','A',NOW(),'SYS',NOW(),'SYS');</v>
      </c>
    </row>
    <row r="30" spans="1:13" x14ac:dyDescent="0.2">
      <c r="A30" t="s">
        <v>647</v>
      </c>
      <c r="B30" t="s">
        <v>14</v>
      </c>
      <c r="C30" t="s">
        <v>598</v>
      </c>
      <c r="D30" t="s">
        <v>15</v>
      </c>
      <c r="E30" t="s">
        <v>618</v>
      </c>
      <c r="F30" t="s">
        <v>531</v>
      </c>
      <c r="G30" t="s">
        <v>100</v>
      </c>
      <c r="H30" t="s">
        <v>103</v>
      </c>
      <c r="J30" t="s">
        <v>7</v>
      </c>
      <c r="K30" t="str">
        <f t="shared" si="0"/>
        <v xml:space="preserve">INSERT INTO T_CK_SVC_WORKFLOW(WKFL_ID, WKFL_APPS_CODE, WKFL_ACCN_TYPE, WKFL_ROLE, WKFL_SCV_TYPE, WKFL_ACTION, WKFL_FROM_STATE, WKFL_TO_STATE, WKFL_URI, WKFL_STATUS, WKFL_DT_CREATE, WKFL_UID_CREATE, WKFL_DT_LUPD, WKFL_UID_LUPD) </v>
      </c>
      <c r="L30" t="str">
        <f t="shared" si="1"/>
        <v xml:space="preserve"> VALUES('RT_2','CKT','ACC_TYPE_TO','FF_FINANCE','CLICTRUCK','DELETE','NEW','DEL','','A',NOW(),'SYS',NOW(),'SYS');</v>
      </c>
      <c r="M30" t="str">
        <f t="shared" si="2"/>
        <v>INSERT INTO T_CK_SVC_WORKFLOW(WKFL_ID, WKFL_APPS_CODE, WKFL_ACCN_TYPE, WKFL_ROLE, WKFL_SCV_TYPE, WKFL_ACTION, WKFL_FROM_STATE, WKFL_TO_STATE, WKFL_URI, WKFL_STATUS, WKFL_DT_CREATE, WKFL_UID_CREATE, WKFL_DT_LUPD, WKFL_UID_LUPD)  VALUES('RT_2','CKT','ACC_TYPE_TO','FF_FINANCE','CLICTRUCK','DELETE','NEW','DEL','','A',NOW(),'SYS',NOW(),'SYS');</v>
      </c>
    </row>
    <row r="31" spans="1:13" x14ac:dyDescent="0.2">
      <c r="A31" t="s">
        <v>648</v>
      </c>
      <c r="B31" t="s">
        <v>14</v>
      </c>
      <c r="C31" t="s">
        <v>598</v>
      </c>
      <c r="D31" t="s">
        <v>15</v>
      </c>
      <c r="E31" t="s">
        <v>618</v>
      </c>
      <c r="F31" t="s">
        <v>515</v>
      </c>
      <c r="G31" t="s">
        <v>649</v>
      </c>
      <c r="H31" t="s">
        <v>105</v>
      </c>
      <c r="J31" t="s">
        <v>7</v>
      </c>
      <c r="K31" t="str">
        <f t="shared" si="0"/>
        <v xml:space="preserve">INSERT INTO T_CK_SVC_WORKFLOW(WKFL_ID, WKFL_APPS_CODE, WKFL_ACCN_TYPE, WKFL_ROLE, WKFL_SCV_TYPE, WKFL_ACTION, WKFL_FROM_STATE, WKFL_TO_STATE, WKFL_URI, WKFL_STATUS, WKFL_DT_CREATE, WKFL_UID_CREATE, WKFL_DT_LUPD, WKFL_UID_LUPD) </v>
      </c>
      <c r="L31" t="str">
        <f t="shared" si="1"/>
        <v xml:space="preserve"> VALUES('RT_3','CKT','ACC_TYPE_TO','FF_FINANCE','CLICTRUCK','ACTIVATE','INACTIVE','APP','','A',NOW(),'SYS',NOW(),'SYS');</v>
      </c>
      <c r="M31" t="str">
        <f t="shared" si="2"/>
        <v>INSERT INTO T_CK_SVC_WORKFLOW(WKFL_ID, WKFL_APPS_CODE, WKFL_ACCN_TYPE, WKFL_ROLE, WKFL_SCV_TYPE, WKFL_ACTION, WKFL_FROM_STATE, WKFL_TO_STATE, WKFL_URI, WKFL_STATUS, WKFL_DT_CREATE, WKFL_UID_CREATE, WKFL_DT_LUPD, WKFL_UID_LUPD)  VALUES('RT_3','CKT','ACC_TYPE_TO','FF_FINANCE','CLICTRUCK','ACTIVATE','INACTIVE','APP','','A',NOW(),'SYS',NOW(),'SYS');</v>
      </c>
    </row>
    <row r="32" spans="1:13" x14ac:dyDescent="0.2">
      <c r="A32" t="s">
        <v>650</v>
      </c>
      <c r="B32" t="s">
        <v>14</v>
      </c>
      <c r="C32" t="s">
        <v>598</v>
      </c>
      <c r="D32" t="s">
        <v>15</v>
      </c>
      <c r="E32" t="s">
        <v>618</v>
      </c>
      <c r="F32" t="s">
        <v>529</v>
      </c>
      <c r="G32" t="s">
        <v>105</v>
      </c>
      <c r="H32" t="s">
        <v>649</v>
      </c>
      <c r="J32" t="s">
        <v>7</v>
      </c>
      <c r="K32" t="str">
        <f t="shared" si="0"/>
        <v xml:space="preserve">INSERT INTO T_CK_SVC_WORKFLOW(WKFL_ID, WKFL_APPS_CODE, WKFL_ACCN_TYPE, WKFL_ROLE, WKFL_SCV_TYPE, WKFL_ACTION, WKFL_FROM_STATE, WKFL_TO_STATE, WKFL_URI, WKFL_STATUS, WKFL_DT_CREATE, WKFL_UID_CREATE, WKFL_DT_LUPD, WKFL_UID_LUPD) </v>
      </c>
      <c r="L32" t="str">
        <f t="shared" si="1"/>
        <v xml:space="preserve"> VALUES('RT_4','CKT','ACC_TYPE_TO','FF_FINANCE','CLICTRUCK','DEACTIVATE','APP','INACTIVE','','A',NOW(),'SYS',NOW(),'SYS');</v>
      </c>
      <c r="M32" t="str">
        <f t="shared" si="2"/>
        <v>INSERT INTO T_CK_SVC_WORKFLOW(WKFL_ID, WKFL_APPS_CODE, WKFL_ACCN_TYPE, WKFL_ROLE, WKFL_SCV_TYPE, WKFL_ACTION, WKFL_FROM_STATE, WKFL_TO_STATE, WKFL_URI, WKFL_STATUS, WKFL_DT_CREATE, WKFL_UID_CREATE, WKFL_DT_LUPD, WKFL_UID_LUPD)  VALUES('RT_4','CKT','ACC_TYPE_TO','FF_FINANCE','CLICTRUCK','DEACTIVATE','APP','INACTIVE','','A',NOW(),'SYS',NOW(),'SYS');</v>
      </c>
    </row>
    <row r="33" spans="1:13" x14ac:dyDescent="0.2">
      <c r="A33" t="s">
        <v>651</v>
      </c>
      <c r="B33" t="s">
        <v>14</v>
      </c>
      <c r="C33" t="s">
        <v>93</v>
      </c>
      <c r="D33" t="s">
        <v>19</v>
      </c>
      <c r="E33" t="s">
        <v>618</v>
      </c>
      <c r="F33" t="s">
        <v>563</v>
      </c>
      <c r="G33" t="s">
        <v>101</v>
      </c>
      <c r="H33" t="s">
        <v>608</v>
      </c>
      <c r="J33" t="s">
        <v>7</v>
      </c>
      <c r="K33" t="str">
        <f t="shared" si="0"/>
        <v xml:space="preserve">INSERT INTO T_CK_SVC_WORKFLOW(WKFL_ID, WKFL_APPS_CODE, WKFL_ACCN_TYPE, WKFL_ROLE, WKFL_SCV_TYPE, WKFL_ACTION, WKFL_FROM_STATE, WKFL_TO_STATE, WKFL_URI, WKFL_STATUS, WKFL_DT_CREATE, WKFL_UID_CREATE, WKFL_DT_LUPD, WKFL_UID_LUPD) </v>
      </c>
      <c r="L33" t="str">
        <f t="shared" si="1"/>
        <v xml:space="preserve"> VALUES('RT_5','CKT','ACC_TYPE_SP','SP_L1','CLICTRUCK','VERIFY','SUB','VER','','A',NOW(),'SYS',NOW(),'SYS');</v>
      </c>
      <c r="M33" t="str">
        <f t="shared" si="2"/>
        <v>INSERT INTO T_CK_SVC_WORKFLOW(WKFL_ID, WKFL_APPS_CODE, WKFL_ACCN_TYPE, WKFL_ROLE, WKFL_SCV_TYPE, WKFL_ACTION, WKFL_FROM_STATE, WKFL_TO_STATE, WKFL_URI, WKFL_STATUS, WKFL_DT_CREATE, WKFL_UID_CREATE, WKFL_DT_LUPD, WKFL_UID_LUPD)  VALUES('RT_5','CKT','ACC_TYPE_SP','SP_L1','CLICTRUCK','VERIFY','SUB','VER','','A',NOW(),'SYS',NOW(),'SYS');</v>
      </c>
    </row>
    <row r="34" spans="1:13" x14ac:dyDescent="0.2">
      <c r="A34" t="s">
        <v>652</v>
      </c>
      <c r="B34" t="s">
        <v>14</v>
      </c>
      <c r="C34" t="s">
        <v>93</v>
      </c>
      <c r="D34" t="s">
        <v>19</v>
      </c>
      <c r="E34" t="s">
        <v>618</v>
      </c>
      <c r="F34" t="s">
        <v>542</v>
      </c>
      <c r="G34" t="s">
        <v>101</v>
      </c>
      <c r="H34" t="s">
        <v>100</v>
      </c>
      <c r="J34" t="s">
        <v>7</v>
      </c>
      <c r="K34" t="str">
        <f t="shared" si="0"/>
        <v xml:space="preserve">INSERT INTO T_CK_SVC_WORKFLOW(WKFL_ID, WKFL_APPS_CODE, WKFL_ACCN_TYPE, WKFL_ROLE, WKFL_SCV_TYPE, WKFL_ACTION, WKFL_FROM_STATE, WKFL_TO_STATE, WKFL_URI, WKFL_STATUS, WKFL_DT_CREATE, WKFL_UID_CREATE, WKFL_DT_LUPD, WKFL_UID_LUPD) </v>
      </c>
      <c r="L34" t="str">
        <f t="shared" si="1"/>
        <v xml:space="preserve"> VALUES('RT_6','CKT','ACC_TYPE_SP','SP_L1','CLICTRUCK','REJECT','SUB','NEW','','A',NOW(),'SYS',NOW(),'SYS');</v>
      </c>
      <c r="M34" t="str">
        <f t="shared" si="2"/>
        <v>INSERT INTO T_CK_SVC_WORKFLOW(WKFL_ID, WKFL_APPS_CODE, WKFL_ACCN_TYPE, WKFL_ROLE, WKFL_SCV_TYPE, WKFL_ACTION, WKFL_FROM_STATE, WKFL_TO_STATE, WKFL_URI, WKFL_STATUS, WKFL_DT_CREATE, WKFL_UID_CREATE, WKFL_DT_LUPD, WKFL_UID_LUPD)  VALUES('RT_6','CKT','ACC_TYPE_SP','SP_L1','CLICTRUCK','REJECT','SUB','NEW','','A',NOW(),'SYS',NOW(),'SYS');</v>
      </c>
    </row>
    <row r="35" spans="1:13" x14ac:dyDescent="0.2">
      <c r="A35" t="s">
        <v>653</v>
      </c>
      <c r="B35" t="s">
        <v>14</v>
      </c>
      <c r="C35" t="s">
        <v>93</v>
      </c>
      <c r="D35" t="s">
        <v>25</v>
      </c>
      <c r="E35" t="s">
        <v>618</v>
      </c>
      <c r="F35" t="s">
        <v>517</v>
      </c>
      <c r="G35" t="s">
        <v>608</v>
      </c>
      <c r="H35" t="s">
        <v>105</v>
      </c>
      <c r="J35" t="s">
        <v>7</v>
      </c>
      <c r="K35" t="str">
        <f t="shared" si="0"/>
        <v xml:space="preserve">INSERT INTO T_CK_SVC_WORKFLOW(WKFL_ID, WKFL_APPS_CODE, WKFL_ACCN_TYPE, WKFL_ROLE, WKFL_SCV_TYPE, WKFL_ACTION, WKFL_FROM_STATE, WKFL_TO_STATE, WKFL_URI, WKFL_STATUS, WKFL_DT_CREATE, WKFL_UID_CREATE, WKFL_DT_LUPD, WKFL_UID_LUPD) </v>
      </c>
      <c r="L35" t="str">
        <f t="shared" si="1"/>
        <v xml:space="preserve"> VALUES('RT_7','CKT','ACC_TYPE_SP','SP_FIN_HD','CLICTRUCK','APPROVE','VER','APP','','A',NOW(),'SYS',NOW(),'SYS');</v>
      </c>
      <c r="M35" t="str">
        <f t="shared" si="2"/>
        <v>INSERT INTO T_CK_SVC_WORKFLOW(WKFL_ID, WKFL_APPS_CODE, WKFL_ACCN_TYPE, WKFL_ROLE, WKFL_SCV_TYPE, WKFL_ACTION, WKFL_FROM_STATE, WKFL_TO_STATE, WKFL_URI, WKFL_STATUS, WKFL_DT_CREATE, WKFL_UID_CREATE, WKFL_DT_LUPD, WKFL_UID_LUPD)  VALUES('RT_7','CKT','ACC_TYPE_SP','SP_FIN_HD','CLICTRUCK','APPROVE','VER','APP','','A',NOW(),'SYS',NOW(),'SYS');</v>
      </c>
    </row>
    <row r="36" spans="1:13" x14ac:dyDescent="0.2">
      <c r="A36" t="s">
        <v>654</v>
      </c>
      <c r="B36" t="s">
        <v>14</v>
      </c>
      <c r="C36" t="s">
        <v>93</v>
      </c>
      <c r="D36" t="s">
        <v>25</v>
      </c>
      <c r="E36" t="s">
        <v>618</v>
      </c>
      <c r="F36" t="s">
        <v>542</v>
      </c>
      <c r="G36" t="s">
        <v>608</v>
      </c>
      <c r="H36" t="s">
        <v>100</v>
      </c>
      <c r="J36" t="s">
        <v>7</v>
      </c>
      <c r="K36" t="str">
        <f t="shared" si="0"/>
        <v xml:space="preserve">INSERT INTO T_CK_SVC_WORKFLOW(WKFL_ID, WKFL_APPS_CODE, WKFL_ACCN_TYPE, WKFL_ROLE, WKFL_SCV_TYPE, WKFL_ACTION, WKFL_FROM_STATE, WKFL_TO_STATE, WKFL_URI, WKFL_STATUS, WKFL_DT_CREATE, WKFL_UID_CREATE, WKFL_DT_LUPD, WKFL_UID_LUPD) </v>
      </c>
      <c r="L36" t="str">
        <f t="shared" si="1"/>
        <v xml:space="preserve"> VALUES('RT_8','CKT','ACC_TYPE_SP','SP_FIN_HD','CLICTRUCK','REJECT','VER','NEW','','A',NOW(),'SYS',NOW(),'SYS');</v>
      </c>
      <c r="M36" t="str">
        <f t="shared" si="2"/>
        <v>INSERT INTO T_CK_SVC_WORKFLOW(WKFL_ID, WKFL_APPS_CODE, WKFL_ACCN_TYPE, WKFL_ROLE, WKFL_SCV_TYPE, WKFL_ACTION, WKFL_FROM_STATE, WKFL_TO_STATE, WKFL_URI, WKFL_STATUS, WKFL_DT_CREATE, WKFL_UID_CREATE, WKFL_DT_LUPD, WKFL_UID_LUPD)  VALUES('RT_8','CKT','ACC_TYPE_SP','SP_FIN_HD','CLICTRUCK','REJECT','VER','NEW','','A',NOW(),'SYS',NOW(),'SYS');</v>
      </c>
    </row>
    <row r="37" spans="1:13" x14ac:dyDescent="0.2">
      <c r="A37" t="s">
        <v>655</v>
      </c>
      <c r="B37" t="s">
        <v>14</v>
      </c>
      <c r="C37" t="s">
        <v>93</v>
      </c>
      <c r="D37" t="s">
        <v>19</v>
      </c>
      <c r="E37" t="s">
        <v>618</v>
      </c>
      <c r="F37" t="s">
        <v>556</v>
      </c>
      <c r="G37" t="s">
        <v>100</v>
      </c>
      <c r="H37" t="s">
        <v>101</v>
      </c>
      <c r="J37" t="s">
        <v>7</v>
      </c>
      <c r="K37" t="str">
        <f t="shared" si="0"/>
        <v xml:space="preserve">INSERT INTO T_CK_SVC_WORKFLOW(WKFL_ID, WKFL_APPS_CODE, WKFL_ACCN_TYPE, WKFL_ROLE, WKFL_SCV_TYPE, WKFL_ACTION, WKFL_FROM_STATE, WKFL_TO_STATE, WKFL_URI, WKFL_STATUS, WKFL_DT_CREATE, WKFL_UID_CREATE, WKFL_DT_LUPD, WKFL_UID_LUPD) </v>
      </c>
      <c r="L37" t="str">
        <f t="shared" si="1"/>
        <v xml:space="preserve"> VALUES('CLU_1','CKT','ACC_TYPE_SP','SP_L1','CLICTRUCK','SUBMIT','NEW','SUB','','A',NOW(),'SYS',NOW(),'SYS');</v>
      </c>
      <c r="M37" t="str">
        <f t="shared" si="2"/>
        <v>INSERT INTO T_CK_SVC_WORKFLOW(WKFL_ID, WKFL_APPS_CODE, WKFL_ACCN_TYPE, WKFL_ROLE, WKFL_SCV_TYPE, WKFL_ACTION, WKFL_FROM_STATE, WKFL_TO_STATE, WKFL_URI, WKFL_STATUS, WKFL_DT_CREATE, WKFL_UID_CREATE, WKFL_DT_LUPD, WKFL_UID_LUPD)  VALUES('CLU_1','CKT','ACC_TYPE_SP','SP_L1','CLICTRUCK','SUBMIT','NEW','SUB','','A',NOW(),'SYS',NOW(),'SYS');</v>
      </c>
    </row>
    <row r="38" spans="1:13" x14ac:dyDescent="0.2">
      <c r="A38" t="s">
        <v>656</v>
      </c>
      <c r="B38" t="s">
        <v>14</v>
      </c>
      <c r="C38" t="s">
        <v>93</v>
      </c>
      <c r="D38" t="s">
        <v>19</v>
      </c>
      <c r="E38" t="s">
        <v>618</v>
      </c>
      <c r="F38" t="s">
        <v>531</v>
      </c>
      <c r="G38" t="s">
        <v>100</v>
      </c>
      <c r="H38" t="s">
        <v>103</v>
      </c>
      <c r="J38" t="s">
        <v>7</v>
      </c>
      <c r="K38" t="str">
        <f t="shared" si="0"/>
        <v xml:space="preserve">INSERT INTO T_CK_SVC_WORKFLOW(WKFL_ID, WKFL_APPS_CODE, WKFL_ACCN_TYPE, WKFL_ROLE, WKFL_SCV_TYPE, WKFL_ACTION, WKFL_FROM_STATE, WKFL_TO_STATE, WKFL_URI, WKFL_STATUS, WKFL_DT_CREATE, WKFL_UID_CREATE, WKFL_DT_LUPD, WKFL_UID_LUPD) </v>
      </c>
      <c r="L38" t="str">
        <f t="shared" si="1"/>
        <v xml:space="preserve"> VALUES('CLU_2','CKT','ACC_TYPE_SP','SP_L1','CLICTRUCK','DELETE','NEW','DEL','','A',NOW(),'SYS',NOW(),'SYS');</v>
      </c>
      <c r="M38" t="str">
        <f t="shared" si="2"/>
        <v>INSERT INTO T_CK_SVC_WORKFLOW(WKFL_ID, WKFL_APPS_CODE, WKFL_ACCN_TYPE, WKFL_ROLE, WKFL_SCV_TYPE, WKFL_ACTION, WKFL_FROM_STATE, WKFL_TO_STATE, WKFL_URI, WKFL_STATUS, WKFL_DT_CREATE, WKFL_UID_CREATE, WKFL_DT_LUPD, WKFL_UID_LUPD)  VALUES('CLU_2','CKT','ACC_TYPE_SP','SP_L1','CLICTRUCK','DELETE','NEW','DEL','','A',NOW(),'SYS',NOW(),'SYS');</v>
      </c>
    </row>
    <row r="39" spans="1:13" x14ac:dyDescent="0.2">
      <c r="A39" t="s">
        <v>657</v>
      </c>
      <c r="B39" t="s">
        <v>14</v>
      </c>
      <c r="C39" t="s">
        <v>93</v>
      </c>
      <c r="D39" t="s">
        <v>25</v>
      </c>
      <c r="E39" t="s">
        <v>618</v>
      </c>
      <c r="F39" t="s">
        <v>517</v>
      </c>
      <c r="G39" t="s">
        <v>101</v>
      </c>
      <c r="H39" t="s">
        <v>105</v>
      </c>
      <c r="J39" t="s">
        <v>7</v>
      </c>
      <c r="K39" t="str">
        <f t="shared" si="0"/>
        <v xml:space="preserve">INSERT INTO T_CK_SVC_WORKFLOW(WKFL_ID, WKFL_APPS_CODE, WKFL_ACCN_TYPE, WKFL_ROLE, WKFL_SCV_TYPE, WKFL_ACTION, WKFL_FROM_STATE, WKFL_TO_STATE, WKFL_URI, WKFL_STATUS, WKFL_DT_CREATE, WKFL_UID_CREATE, WKFL_DT_LUPD, WKFL_UID_LUPD) </v>
      </c>
      <c r="L39" t="str">
        <f t="shared" si="1"/>
        <v xml:space="preserve"> VALUES('CLU_3','CKT','ACC_TYPE_SP','SP_FIN_HD','CLICTRUCK','APPROVE','SUB','APP','','A',NOW(),'SYS',NOW(),'SYS');</v>
      </c>
      <c r="M39" t="str">
        <f t="shared" si="2"/>
        <v>INSERT INTO T_CK_SVC_WORKFLOW(WKFL_ID, WKFL_APPS_CODE, WKFL_ACCN_TYPE, WKFL_ROLE, WKFL_SCV_TYPE, WKFL_ACTION, WKFL_FROM_STATE, WKFL_TO_STATE, WKFL_URI, WKFL_STATUS, WKFL_DT_CREATE, WKFL_UID_CREATE, WKFL_DT_LUPD, WKFL_UID_LUPD)  VALUES('CLU_3','CKT','ACC_TYPE_SP','SP_FIN_HD','CLICTRUCK','APPROVE','SUB','APP','','A',NOW(),'SYS',NOW(),'SYS');</v>
      </c>
    </row>
    <row r="40" spans="1:13" x14ac:dyDescent="0.2">
      <c r="A40" t="s">
        <v>658</v>
      </c>
      <c r="B40" t="s">
        <v>14</v>
      </c>
      <c r="C40" t="s">
        <v>93</v>
      </c>
      <c r="D40" t="s">
        <v>25</v>
      </c>
      <c r="E40" t="s">
        <v>618</v>
      </c>
      <c r="F40" t="s">
        <v>542</v>
      </c>
      <c r="G40" t="s">
        <v>101</v>
      </c>
      <c r="H40" t="s">
        <v>107</v>
      </c>
      <c r="J40" t="s">
        <v>7</v>
      </c>
      <c r="K40" t="str">
        <f t="shared" si="0"/>
        <v xml:space="preserve">INSERT INTO T_CK_SVC_WORKFLOW(WKFL_ID, WKFL_APPS_CODE, WKFL_ACCN_TYPE, WKFL_ROLE, WKFL_SCV_TYPE, WKFL_ACTION, WKFL_FROM_STATE, WKFL_TO_STATE, WKFL_URI, WKFL_STATUS, WKFL_DT_CREATE, WKFL_UID_CREATE, WKFL_DT_LUPD, WKFL_UID_LUPD) </v>
      </c>
      <c r="L40" t="str">
        <f t="shared" si="1"/>
        <v xml:space="preserve"> VALUES('CLU_4','CKT','ACC_TYPE_SP','SP_FIN_HD','CLICTRUCK','REJECT','SUB','REJ','','A',NOW(),'SYS',NOW(),'SYS');</v>
      </c>
      <c r="M40" t="str">
        <f t="shared" si="2"/>
        <v>INSERT INTO T_CK_SVC_WORKFLOW(WKFL_ID, WKFL_APPS_CODE, WKFL_ACCN_TYPE, WKFL_ROLE, WKFL_SCV_TYPE, WKFL_ACTION, WKFL_FROM_STATE, WKFL_TO_STATE, WKFL_URI, WKFL_STATUS, WKFL_DT_CREATE, WKFL_UID_CREATE, WKFL_DT_LUPD, WKFL_UID_LUPD)  VALUES('CLU_4','CKT','ACC_TYPE_SP','SP_FIN_HD','CLICTRUCK','REJECT','SUB','REJ','','A',NOW(),'SYS',NOW(),'SYS');</v>
      </c>
    </row>
    <row r="41" spans="1:13" x14ac:dyDescent="0.2">
      <c r="A41" t="s">
        <v>659</v>
      </c>
      <c r="B41" t="s">
        <v>14</v>
      </c>
      <c r="C41" t="s">
        <v>93</v>
      </c>
      <c r="D41" t="s">
        <v>25</v>
      </c>
      <c r="E41" t="s">
        <v>618</v>
      </c>
      <c r="F41" t="s">
        <v>531</v>
      </c>
      <c r="G41" t="s">
        <v>101</v>
      </c>
      <c r="H41" t="s">
        <v>103</v>
      </c>
      <c r="J41" t="s">
        <v>7</v>
      </c>
      <c r="K41" t="str">
        <f t="shared" si="0"/>
        <v xml:space="preserve">INSERT INTO T_CK_SVC_WORKFLOW(WKFL_ID, WKFL_APPS_CODE, WKFL_ACCN_TYPE, WKFL_ROLE, WKFL_SCV_TYPE, WKFL_ACTION, WKFL_FROM_STATE, WKFL_TO_STATE, WKFL_URI, WKFL_STATUS, WKFL_DT_CREATE, WKFL_UID_CREATE, WKFL_DT_LUPD, WKFL_UID_LUPD) </v>
      </c>
      <c r="L41" t="str">
        <f t="shared" si="1"/>
        <v xml:space="preserve"> VALUES('CLU_5','CKT','ACC_TYPE_SP','SP_FIN_HD','CLICTRUCK','DELETE','SUB','DEL','','A',NOW(),'SYS',NOW(),'SYS');</v>
      </c>
      <c r="M41" t="str">
        <f t="shared" si="2"/>
        <v>INSERT INTO T_CK_SVC_WORKFLOW(WKFL_ID, WKFL_APPS_CODE, WKFL_ACCN_TYPE, WKFL_ROLE, WKFL_SCV_TYPE, WKFL_ACTION, WKFL_FROM_STATE, WKFL_TO_STATE, WKFL_URI, WKFL_STATUS, WKFL_DT_CREATE, WKFL_UID_CREATE, WKFL_DT_LUPD, WKFL_UID_LUPD)  VALUES('CLU_5','CKT','ACC_TYPE_SP','SP_FIN_HD','CLICTRUCK','DELETE','SUB','DEL','','A',NOW(),'SYS',NOW(),'SYS');</v>
      </c>
    </row>
    <row r="42" spans="1:13" x14ac:dyDescent="0.2">
      <c r="A42" t="s">
        <v>660</v>
      </c>
      <c r="B42" t="s">
        <v>14</v>
      </c>
      <c r="C42" t="s">
        <v>93</v>
      </c>
      <c r="D42" t="s">
        <v>19</v>
      </c>
      <c r="E42" t="s">
        <v>618</v>
      </c>
      <c r="F42" t="s">
        <v>556</v>
      </c>
      <c r="G42" t="s">
        <v>100</v>
      </c>
      <c r="H42" t="s">
        <v>101</v>
      </c>
      <c r="J42" t="s">
        <v>7</v>
      </c>
      <c r="K42" t="str">
        <f t="shared" si="0"/>
        <v xml:space="preserve">INSERT INTO T_CK_SVC_WORKFLOW(WKFL_ID, WKFL_APPS_CODE, WKFL_ACCN_TYPE, WKFL_ROLE, WKFL_SCV_TYPE, WKFL_ACTION, WKFL_FROM_STATE, WKFL_TO_STATE, WKFL_URI, WKFL_STATUS, WKFL_DT_CREATE, WKFL_UID_CREATE, WKFL_DT_LUPD, WKFL_UID_LUPD) </v>
      </c>
      <c r="L42" t="str">
        <f t="shared" si="1"/>
        <v xml:space="preserve"> VALUES('OT_1','CKT','ACC_TYPE_SP','SP_L1','CLICTRUCK','SUBMIT','NEW','SUB','','A',NOW(),'SYS',NOW(),'SYS');</v>
      </c>
      <c r="M42" t="str">
        <f t="shared" si="2"/>
        <v>INSERT INTO T_CK_SVC_WORKFLOW(WKFL_ID, WKFL_APPS_CODE, WKFL_ACCN_TYPE, WKFL_ROLE, WKFL_SCV_TYPE, WKFL_ACTION, WKFL_FROM_STATE, WKFL_TO_STATE, WKFL_URI, WKFL_STATUS, WKFL_DT_CREATE, WKFL_UID_CREATE, WKFL_DT_LUPD, WKFL_UID_LUPD)  VALUES('OT_1','CKT','ACC_TYPE_SP','SP_L1','CLICTRUCK','SUBMIT','NEW','SUB','','A',NOW(),'SYS',NOW(),'SYS');</v>
      </c>
    </row>
    <row r="43" spans="1:13" x14ac:dyDescent="0.2">
      <c r="A43" t="s">
        <v>661</v>
      </c>
      <c r="B43" t="s">
        <v>14</v>
      </c>
      <c r="C43" t="s">
        <v>93</v>
      </c>
      <c r="D43" t="s">
        <v>19</v>
      </c>
      <c r="E43" t="s">
        <v>618</v>
      </c>
      <c r="F43" t="s">
        <v>531</v>
      </c>
      <c r="G43" t="s">
        <v>100</v>
      </c>
      <c r="H43" t="s">
        <v>103</v>
      </c>
      <c r="J43" t="s">
        <v>7</v>
      </c>
      <c r="K43" t="str">
        <f t="shared" si="0"/>
        <v xml:space="preserve">INSERT INTO T_CK_SVC_WORKFLOW(WKFL_ID, WKFL_APPS_CODE, WKFL_ACCN_TYPE, WKFL_ROLE, WKFL_SCV_TYPE, WKFL_ACTION, WKFL_FROM_STATE, WKFL_TO_STATE, WKFL_URI, WKFL_STATUS, WKFL_DT_CREATE, WKFL_UID_CREATE, WKFL_DT_LUPD, WKFL_UID_LUPD) </v>
      </c>
      <c r="L43" t="str">
        <f t="shared" si="1"/>
        <v xml:space="preserve"> VALUES('OT_2','CKT','ACC_TYPE_SP','SP_L1','CLICTRUCK','DELETE','NEW','DEL','','A',NOW(),'SYS',NOW(),'SYS');</v>
      </c>
      <c r="M43" t="str">
        <f t="shared" si="2"/>
        <v>INSERT INTO T_CK_SVC_WORKFLOW(WKFL_ID, WKFL_APPS_CODE, WKFL_ACCN_TYPE, WKFL_ROLE, WKFL_SCV_TYPE, WKFL_ACTION, WKFL_FROM_STATE, WKFL_TO_STATE, WKFL_URI, WKFL_STATUS, WKFL_DT_CREATE, WKFL_UID_CREATE, WKFL_DT_LUPD, WKFL_UID_LUPD)  VALUES('OT_2','CKT','ACC_TYPE_SP','SP_L1','CLICTRUCK','DELETE','NEW','DEL','','A',NOW(),'SYS',NOW(),'SYS');</v>
      </c>
    </row>
    <row r="44" spans="1:13" x14ac:dyDescent="0.2">
      <c r="A44" t="s">
        <v>662</v>
      </c>
      <c r="B44" t="s">
        <v>14</v>
      </c>
      <c r="C44" t="s">
        <v>93</v>
      </c>
      <c r="D44" t="s">
        <v>25</v>
      </c>
      <c r="E44" t="s">
        <v>618</v>
      </c>
      <c r="F44" t="s">
        <v>517</v>
      </c>
      <c r="G44" t="s">
        <v>101</v>
      </c>
      <c r="H44" t="s">
        <v>105</v>
      </c>
      <c r="J44" t="s">
        <v>7</v>
      </c>
      <c r="K44" t="str">
        <f t="shared" si="0"/>
        <v xml:space="preserve">INSERT INTO T_CK_SVC_WORKFLOW(WKFL_ID, WKFL_APPS_CODE, WKFL_ACCN_TYPE, WKFL_ROLE, WKFL_SCV_TYPE, WKFL_ACTION, WKFL_FROM_STATE, WKFL_TO_STATE, WKFL_URI, WKFL_STATUS, WKFL_DT_CREATE, WKFL_UID_CREATE, WKFL_DT_LUPD, WKFL_UID_LUPD) </v>
      </c>
      <c r="L44" t="str">
        <f t="shared" si="1"/>
        <v xml:space="preserve"> VALUES('OT_3','CKT','ACC_TYPE_SP','SP_FIN_HD','CLICTRUCK','APPROVE','SUB','APP','','A',NOW(),'SYS',NOW(),'SYS');</v>
      </c>
      <c r="M44" t="str">
        <f t="shared" si="2"/>
        <v>INSERT INTO T_CK_SVC_WORKFLOW(WKFL_ID, WKFL_APPS_CODE, WKFL_ACCN_TYPE, WKFL_ROLE, WKFL_SCV_TYPE, WKFL_ACTION, WKFL_FROM_STATE, WKFL_TO_STATE, WKFL_URI, WKFL_STATUS, WKFL_DT_CREATE, WKFL_UID_CREATE, WKFL_DT_LUPD, WKFL_UID_LUPD)  VALUES('OT_3','CKT','ACC_TYPE_SP','SP_FIN_HD','CLICTRUCK','APPROVE','SUB','APP','','A',NOW(),'SYS',NOW(),'SYS');</v>
      </c>
    </row>
    <row r="45" spans="1:13" x14ac:dyDescent="0.2">
      <c r="A45" t="s">
        <v>663</v>
      </c>
      <c r="B45" t="s">
        <v>14</v>
      </c>
      <c r="C45" t="s">
        <v>93</v>
      </c>
      <c r="D45" t="s">
        <v>25</v>
      </c>
      <c r="E45" t="s">
        <v>618</v>
      </c>
      <c r="F45" t="s">
        <v>542</v>
      </c>
      <c r="G45" t="s">
        <v>101</v>
      </c>
      <c r="H45" t="s">
        <v>107</v>
      </c>
      <c r="J45" t="s">
        <v>7</v>
      </c>
      <c r="K45" t="str">
        <f t="shared" si="0"/>
        <v xml:space="preserve">INSERT INTO T_CK_SVC_WORKFLOW(WKFL_ID, WKFL_APPS_CODE, WKFL_ACCN_TYPE, WKFL_ROLE, WKFL_SCV_TYPE, WKFL_ACTION, WKFL_FROM_STATE, WKFL_TO_STATE, WKFL_URI, WKFL_STATUS, WKFL_DT_CREATE, WKFL_UID_CREATE, WKFL_DT_LUPD, WKFL_UID_LUPD) </v>
      </c>
      <c r="L45" t="str">
        <f t="shared" si="1"/>
        <v xml:space="preserve"> VALUES('OT_4','CKT','ACC_TYPE_SP','SP_FIN_HD','CLICTRUCK','REJECT','SUB','REJ','','A',NOW(),'SYS',NOW(),'SYS');</v>
      </c>
      <c r="M45" t="str">
        <f t="shared" si="2"/>
        <v>INSERT INTO T_CK_SVC_WORKFLOW(WKFL_ID, WKFL_APPS_CODE, WKFL_ACCN_TYPE, WKFL_ROLE, WKFL_SCV_TYPE, WKFL_ACTION, WKFL_FROM_STATE, WKFL_TO_STATE, WKFL_URI, WKFL_STATUS, WKFL_DT_CREATE, WKFL_UID_CREATE, WKFL_DT_LUPD, WKFL_UID_LUPD)  VALUES('OT_4','CKT','ACC_TYPE_SP','SP_FIN_HD','CLICTRUCK','REJECT','SUB','REJ','','A',NOW(),'SYS',NOW(),'SYS');</v>
      </c>
    </row>
    <row r="46" spans="1:13" x14ac:dyDescent="0.2">
      <c r="A46" t="s">
        <v>664</v>
      </c>
      <c r="B46" t="s">
        <v>14</v>
      </c>
      <c r="C46" t="s">
        <v>93</v>
      </c>
      <c r="D46" t="s">
        <v>19</v>
      </c>
      <c r="E46" t="s">
        <v>618</v>
      </c>
      <c r="F46" t="s">
        <v>556</v>
      </c>
      <c r="G46" t="s">
        <v>100</v>
      </c>
      <c r="H46" t="s">
        <v>101</v>
      </c>
      <c r="J46" t="s">
        <v>7</v>
      </c>
      <c r="K46" t="str">
        <f t="shared" si="0"/>
        <v xml:space="preserve">INSERT INTO T_CK_SVC_WORKFLOW(WKFL_ID, WKFL_APPS_CODE, WKFL_ACCN_TYPE, WKFL_ROLE, WKFL_SCV_TYPE, WKFL_ACTION, WKFL_FROM_STATE, WKFL_TO_STATE, WKFL_URI, WKFL_STATUS, WKFL_DT_CREATE, WKFL_UID_CREATE, WKFL_DT_LUPD, WKFL_UID_LUPD) </v>
      </c>
      <c r="L46" t="str">
        <f t="shared" si="1"/>
        <v xml:space="preserve"> VALUES('ACNREG_1','CKT','ACC_TYPE_SP','SP_L1','CLICTRUCK','SUBMIT','NEW','SUB','','A',NOW(),'SYS',NOW(),'SYS');</v>
      </c>
      <c r="M46" t="str">
        <f t="shared" si="2"/>
        <v>INSERT INTO T_CK_SVC_WORKFLOW(WKFL_ID, WKFL_APPS_CODE, WKFL_ACCN_TYPE, WKFL_ROLE, WKFL_SCV_TYPE, WKFL_ACTION, WKFL_FROM_STATE, WKFL_TO_STATE, WKFL_URI, WKFL_STATUS, WKFL_DT_CREATE, WKFL_UID_CREATE, WKFL_DT_LUPD, WKFL_UID_LUPD)  VALUES('ACNREG_1','CKT','ACC_TYPE_SP','SP_L1','CLICTRUCK','SUBMIT','NEW','SUB','','A',NOW(),'SYS',NOW(),'SYS');</v>
      </c>
    </row>
    <row r="47" spans="1:13" x14ac:dyDescent="0.2">
      <c r="A47" t="s">
        <v>665</v>
      </c>
      <c r="B47" t="s">
        <v>14</v>
      </c>
      <c r="C47" t="s">
        <v>93</v>
      </c>
      <c r="D47" t="s">
        <v>19</v>
      </c>
      <c r="E47" t="s">
        <v>618</v>
      </c>
      <c r="F47" t="s">
        <v>531</v>
      </c>
      <c r="G47" t="s">
        <v>100</v>
      </c>
      <c r="H47" t="s">
        <v>103</v>
      </c>
      <c r="J47" t="s">
        <v>7</v>
      </c>
      <c r="K47" t="str">
        <f t="shared" si="0"/>
        <v xml:space="preserve">INSERT INTO T_CK_SVC_WORKFLOW(WKFL_ID, WKFL_APPS_CODE, WKFL_ACCN_TYPE, WKFL_ROLE, WKFL_SCV_TYPE, WKFL_ACTION, WKFL_FROM_STATE, WKFL_TO_STATE, WKFL_URI, WKFL_STATUS, WKFL_DT_CREATE, WKFL_UID_CREATE, WKFL_DT_LUPD, WKFL_UID_LUPD) </v>
      </c>
      <c r="L47" t="str">
        <f t="shared" si="1"/>
        <v xml:space="preserve"> VALUES('ACNREG_2','CKT','ACC_TYPE_SP','SP_L1','CLICTRUCK','DELETE','NEW','DEL','','A',NOW(),'SYS',NOW(),'SYS');</v>
      </c>
      <c r="M47" t="str">
        <f t="shared" si="2"/>
        <v>INSERT INTO T_CK_SVC_WORKFLOW(WKFL_ID, WKFL_APPS_CODE, WKFL_ACCN_TYPE, WKFL_ROLE, WKFL_SCV_TYPE, WKFL_ACTION, WKFL_FROM_STATE, WKFL_TO_STATE, WKFL_URI, WKFL_STATUS, WKFL_DT_CREATE, WKFL_UID_CREATE, WKFL_DT_LUPD, WKFL_UID_LUPD)  VALUES('ACNREG_2','CKT','ACC_TYPE_SP','SP_L1','CLICTRUCK','DELETE','NEW','DEL','','A',NOW(),'SYS',NOW(),'SYS');</v>
      </c>
    </row>
    <row r="48" spans="1:13" x14ac:dyDescent="0.2">
      <c r="A48" t="s">
        <v>666</v>
      </c>
      <c r="B48" t="s">
        <v>14</v>
      </c>
      <c r="C48" t="s">
        <v>93</v>
      </c>
      <c r="D48" t="s">
        <v>25</v>
      </c>
      <c r="E48" t="s">
        <v>618</v>
      </c>
      <c r="F48" t="s">
        <v>517</v>
      </c>
      <c r="G48" t="s">
        <v>101</v>
      </c>
      <c r="H48" t="s">
        <v>105</v>
      </c>
      <c r="J48" t="s">
        <v>7</v>
      </c>
      <c r="K48" t="str">
        <f t="shared" si="0"/>
        <v xml:space="preserve">INSERT INTO T_CK_SVC_WORKFLOW(WKFL_ID, WKFL_APPS_CODE, WKFL_ACCN_TYPE, WKFL_ROLE, WKFL_SCV_TYPE, WKFL_ACTION, WKFL_FROM_STATE, WKFL_TO_STATE, WKFL_URI, WKFL_STATUS, WKFL_DT_CREATE, WKFL_UID_CREATE, WKFL_DT_LUPD, WKFL_UID_LUPD) </v>
      </c>
      <c r="L48" t="str">
        <f t="shared" si="1"/>
        <v xml:space="preserve"> VALUES('ACNREG_3','CKT','ACC_TYPE_SP','SP_FIN_HD','CLICTRUCK','APPROVE','SUB','APP','','A',NOW(),'SYS',NOW(),'SYS');</v>
      </c>
      <c r="M48" t="str">
        <f t="shared" si="2"/>
        <v>INSERT INTO T_CK_SVC_WORKFLOW(WKFL_ID, WKFL_APPS_CODE, WKFL_ACCN_TYPE, WKFL_ROLE, WKFL_SCV_TYPE, WKFL_ACTION, WKFL_FROM_STATE, WKFL_TO_STATE, WKFL_URI, WKFL_STATUS, WKFL_DT_CREATE, WKFL_UID_CREATE, WKFL_DT_LUPD, WKFL_UID_LUPD)  VALUES('ACNREG_3','CKT','ACC_TYPE_SP','SP_FIN_HD','CLICTRUCK','APPROVE','SUB','APP','','A',NOW(),'SYS',NOW(),'SYS');</v>
      </c>
    </row>
    <row r="49" spans="1:13" x14ac:dyDescent="0.2">
      <c r="A49" t="s">
        <v>667</v>
      </c>
      <c r="B49" t="s">
        <v>14</v>
      </c>
      <c r="C49" t="s">
        <v>93</v>
      </c>
      <c r="D49" t="s">
        <v>25</v>
      </c>
      <c r="E49" t="s">
        <v>618</v>
      </c>
      <c r="F49" t="s">
        <v>542</v>
      </c>
      <c r="G49" t="s">
        <v>101</v>
      </c>
      <c r="H49" t="s">
        <v>107</v>
      </c>
      <c r="J49" t="s">
        <v>7</v>
      </c>
      <c r="K49" t="str">
        <f t="shared" si="0"/>
        <v xml:space="preserve">INSERT INTO T_CK_SVC_WORKFLOW(WKFL_ID, WKFL_APPS_CODE, WKFL_ACCN_TYPE, WKFL_ROLE, WKFL_SCV_TYPE, WKFL_ACTION, WKFL_FROM_STATE, WKFL_TO_STATE, WKFL_URI, WKFL_STATUS, WKFL_DT_CREATE, WKFL_UID_CREATE, WKFL_DT_LUPD, WKFL_UID_LUPD) </v>
      </c>
      <c r="L49" t="str">
        <f t="shared" si="1"/>
        <v xml:space="preserve"> VALUES('ACNREG_4','CKT','ACC_TYPE_SP','SP_FIN_HD','CLICTRUCK','REJECT','SUB','REJ','','A',NOW(),'SYS',NOW(),'SYS');</v>
      </c>
      <c r="M49" t="str">
        <f t="shared" si="2"/>
        <v>INSERT INTO T_CK_SVC_WORKFLOW(WKFL_ID, WKFL_APPS_CODE, WKFL_ACCN_TYPE, WKFL_ROLE, WKFL_SCV_TYPE, WKFL_ACTION, WKFL_FROM_STATE, WKFL_TO_STATE, WKFL_URI, WKFL_STATUS, WKFL_DT_CREATE, WKFL_UID_CREATE, WKFL_DT_LUPD, WKFL_UID_LUPD)  VALUES('ACNREG_4','CKT','ACC_TYPE_SP','SP_FIN_HD','CLICTRUCK','REJECT','SUB','REJ','','A',NOW(),'SYS',NOW(),'SYS');</v>
      </c>
    </row>
    <row r="50" spans="1:13" x14ac:dyDescent="0.2">
      <c r="A50" t="s">
        <v>668</v>
      </c>
      <c r="B50" t="s">
        <v>14</v>
      </c>
      <c r="C50" t="s">
        <v>93</v>
      </c>
      <c r="D50" t="s">
        <v>19</v>
      </c>
      <c r="E50" t="s">
        <v>618</v>
      </c>
      <c r="F50" t="s">
        <v>558</v>
      </c>
      <c r="G50" t="s">
        <v>105</v>
      </c>
      <c r="H50" t="s">
        <v>101</v>
      </c>
      <c r="J50" t="s">
        <v>7</v>
      </c>
      <c r="K50" t="str">
        <f t="shared" si="0"/>
        <v xml:space="preserve">INSERT INTO T_CK_SVC_WORKFLOW(WKFL_ID, WKFL_APPS_CODE, WKFL_ACCN_TYPE, WKFL_ROLE, WKFL_SCV_TYPE, WKFL_ACTION, WKFL_FROM_STATE, WKFL_TO_STATE, WKFL_URI, WKFL_STATUS, WKFL_DT_CREATE, WKFL_UID_CREATE, WKFL_DT_LUPD, WKFL_UID_LUPD) </v>
      </c>
      <c r="L50" t="str">
        <f t="shared" si="1"/>
        <v xml:space="preserve"> VALUES('ACNSUS_1','CKT','ACC_TYPE_SP','SP_L1','CLICTRUCK','SUSPEND','APP','SUB','','A',NOW(),'SYS',NOW(),'SYS');</v>
      </c>
      <c r="M50" t="str">
        <f t="shared" si="2"/>
        <v>INSERT INTO T_CK_SVC_WORKFLOW(WKFL_ID, WKFL_APPS_CODE, WKFL_ACCN_TYPE, WKFL_ROLE, WKFL_SCV_TYPE, WKFL_ACTION, WKFL_FROM_STATE, WKFL_TO_STATE, WKFL_URI, WKFL_STATUS, WKFL_DT_CREATE, WKFL_UID_CREATE, WKFL_DT_LUPD, WKFL_UID_LUPD)  VALUES('ACNSUS_1','CKT','ACC_TYPE_SP','SP_L1','CLICTRUCK','SUSPEND','APP','SUB','','A',NOW(),'SYS',NOW(),'SYS');</v>
      </c>
    </row>
    <row r="51" spans="1:13" x14ac:dyDescent="0.2">
      <c r="A51" t="s">
        <v>669</v>
      </c>
      <c r="B51" t="s">
        <v>14</v>
      </c>
      <c r="C51" t="s">
        <v>93</v>
      </c>
      <c r="D51" t="s">
        <v>25</v>
      </c>
      <c r="E51" t="s">
        <v>618</v>
      </c>
      <c r="F51" t="s">
        <v>517</v>
      </c>
      <c r="G51" t="s">
        <v>101</v>
      </c>
      <c r="H51" t="s">
        <v>609</v>
      </c>
      <c r="J51" t="s">
        <v>7</v>
      </c>
      <c r="K51" t="str">
        <f t="shared" si="0"/>
        <v xml:space="preserve">INSERT INTO T_CK_SVC_WORKFLOW(WKFL_ID, WKFL_APPS_CODE, WKFL_ACCN_TYPE, WKFL_ROLE, WKFL_SCV_TYPE, WKFL_ACTION, WKFL_FROM_STATE, WKFL_TO_STATE, WKFL_URI, WKFL_STATUS, WKFL_DT_CREATE, WKFL_UID_CREATE, WKFL_DT_LUPD, WKFL_UID_LUPD) </v>
      </c>
      <c r="L51" t="str">
        <f t="shared" si="1"/>
        <v xml:space="preserve"> VALUES('ACNSUS_2','CKT','ACC_TYPE_SP','SP_FIN_HD','CLICTRUCK','APPROVE','SUB','SUS','','A',NOW(),'SYS',NOW(),'SYS');</v>
      </c>
      <c r="M51" t="str">
        <f t="shared" si="2"/>
        <v>INSERT INTO T_CK_SVC_WORKFLOW(WKFL_ID, WKFL_APPS_CODE, WKFL_ACCN_TYPE, WKFL_ROLE, WKFL_SCV_TYPE, WKFL_ACTION, WKFL_FROM_STATE, WKFL_TO_STATE, WKFL_URI, WKFL_STATUS, WKFL_DT_CREATE, WKFL_UID_CREATE, WKFL_DT_LUPD, WKFL_UID_LUPD)  VALUES('ACNSUS_2','CKT','ACC_TYPE_SP','SP_FIN_HD','CLICTRUCK','APPROVE','SUB','SUS','','A',NOW(),'SYS',NOW(),'SYS');</v>
      </c>
    </row>
    <row r="52" spans="1:13" x14ac:dyDescent="0.2">
      <c r="A52" t="s">
        <v>670</v>
      </c>
      <c r="B52" t="s">
        <v>14</v>
      </c>
      <c r="C52" t="s">
        <v>93</v>
      </c>
      <c r="D52" t="s">
        <v>25</v>
      </c>
      <c r="E52" t="s">
        <v>618</v>
      </c>
      <c r="F52" t="s">
        <v>542</v>
      </c>
      <c r="G52" t="s">
        <v>101</v>
      </c>
      <c r="H52" t="s">
        <v>107</v>
      </c>
      <c r="J52" t="s">
        <v>7</v>
      </c>
      <c r="K52" t="str">
        <f t="shared" si="0"/>
        <v xml:space="preserve">INSERT INTO T_CK_SVC_WORKFLOW(WKFL_ID, WKFL_APPS_CODE, WKFL_ACCN_TYPE, WKFL_ROLE, WKFL_SCV_TYPE, WKFL_ACTION, WKFL_FROM_STATE, WKFL_TO_STATE, WKFL_URI, WKFL_STATUS, WKFL_DT_CREATE, WKFL_UID_CREATE, WKFL_DT_LUPD, WKFL_UID_LUPD) </v>
      </c>
      <c r="L52" t="str">
        <f t="shared" si="1"/>
        <v xml:space="preserve"> VALUES('ACNSUS_3','CKT','ACC_TYPE_SP','SP_FIN_HD','CLICTRUCK','REJECT','SUB','REJ','','A',NOW(),'SYS',NOW(),'SYS');</v>
      </c>
      <c r="M52" t="str">
        <f t="shared" si="2"/>
        <v>INSERT INTO T_CK_SVC_WORKFLOW(WKFL_ID, WKFL_APPS_CODE, WKFL_ACCN_TYPE, WKFL_ROLE, WKFL_SCV_TYPE, WKFL_ACTION, WKFL_FROM_STATE, WKFL_TO_STATE, WKFL_URI, WKFL_STATUS, WKFL_DT_CREATE, WKFL_UID_CREATE, WKFL_DT_LUPD, WKFL_UID_LUPD)  VALUES('ACNSUS_3','CKT','ACC_TYPE_SP','SP_FIN_HD','CLICTRUCK','REJECT','SUB','REJ','','A',NOW(),'SYS',NOW(),'SYS');</v>
      </c>
    </row>
    <row r="53" spans="1:13" x14ac:dyDescent="0.2">
      <c r="A53" t="s">
        <v>671</v>
      </c>
      <c r="B53" t="s">
        <v>14</v>
      </c>
      <c r="C53" t="s">
        <v>93</v>
      </c>
      <c r="D53" t="s">
        <v>19</v>
      </c>
      <c r="E53" t="s">
        <v>618</v>
      </c>
      <c r="F53" t="s">
        <v>560</v>
      </c>
      <c r="G53" t="s">
        <v>105</v>
      </c>
      <c r="H53" t="s">
        <v>101</v>
      </c>
      <c r="J53" t="s">
        <v>7</v>
      </c>
      <c r="K53" t="str">
        <f t="shared" si="0"/>
        <v xml:space="preserve">INSERT INTO T_CK_SVC_WORKFLOW(WKFL_ID, WKFL_APPS_CODE, WKFL_ACCN_TYPE, WKFL_ROLE, WKFL_SCV_TYPE, WKFL_ACTION, WKFL_FROM_STATE, WKFL_TO_STATE, WKFL_URI, WKFL_STATUS, WKFL_DT_CREATE, WKFL_UID_CREATE, WKFL_DT_LUPD, WKFL_UID_LUPD) </v>
      </c>
      <c r="L53" t="str">
        <f t="shared" si="1"/>
        <v xml:space="preserve"> VALUES('ACNTER_1','CKT','ACC_TYPE_SP','SP_L1','CLICTRUCK','TERMINATE','APP','SUB','','A',NOW(),'SYS',NOW(),'SYS');</v>
      </c>
      <c r="M53" t="str">
        <f t="shared" si="2"/>
        <v>INSERT INTO T_CK_SVC_WORKFLOW(WKFL_ID, WKFL_APPS_CODE, WKFL_ACCN_TYPE, WKFL_ROLE, WKFL_SCV_TYPE, WKFL_ACTION, WKFL_FROM_STATE, WKFL_TO_STATE, WKFL_URI, WKFL_STATUS, WKFL_DT_CREATE, WKFL_UID_CREATE, WKFL_DT_LUPD, WKFL_UID_LUPD)  VALUES('ACNTER_1','CKT','ACC_TYPE_SP','SP_L1','CLICTRUCK','TERMINATE','APP','SUB','','A',NOW(),'SYS',NOW(),'SYS');</v>
      </c>
    </row>
    <row r="54" spans="1:13" x14ac:dyDescent="0.2">
      <c r="A54" t="s">
        <v>672</v>
      </c>
      <c r="B54" t="s">
        <v>14</v>
      </c>
      <c r="C54" t="s">
        <v>93</v>
      </c>
      <c r="D54" t="s">
        <v>25</v>
      </c>
      <c r="E54" t="s">
        <v>618</v>
      </c>
      <c r="F54" t="s">
        <v>517</v>
      </c>
      <c r="G54" t="s">
        <v>101</v>
      </c>
      <c r="H54" t="s">
        <v>610</v>
      </c>
      <c r="J54" t="s">
        <v>7</v>
      </c>
      <c r="K54" t="str">
        <f t="shared" si="0"/>
        <v xml:space="preserve">INSERT INTO T_CK_SVC_WORKFLOW(WKFL_ID, WKFL_APPS_CODE, WKFL_ACCN_TYPE, WKFL_ROLE, WKFL_SCV_TYPE, WKFL_ACTION, WKFL_FROM_STATE, WKFL_TO_STATE, WKFL_URI, WKFL_STATUS, WKFL_DT_CREATE, WKFL_UID_CREATE, WKFL_DT_LUPD, WKFL_UID_LUPD) </v>
      </c>
      <c r="L54" t="str">
        <f t="shared" si="1"/>
        <v xml:space="preserve"> VALUES('ACNTER_2','CKT','ACC_TYPE_SP','SP_FIN_HD','CLICTRUCK','APPROVE','SUB','TERMINATED','','A',NOW(),'SYS',NOW(),'SYS');</v>
      </c>
      <c r="M54" t="str">
        <f t="shared" si="2"/>
        <v>INSERT INTO T_CK_SVC_WORKFLOW(WKFL_ID, WKFL_APPS_CODE, WKFL_ACCN_TYPE, WKFL_ROLE, WKFL_SCV_TYPE, WKFL_ACTION, WKFL_FROM_STATE, WKFL_TO_STATE, WKFL_URI, WKFL_STATUS, WKFL_DT_CREATE, WKFL_UID_CREATE, WKFL_DT_LUPD, WKFL_UID_LUPD)  VALUES('ACNTER_2','CKT','ACC_TYPE_SP','SP_FIN_HD','CLICTRUCK','APPROVE','SUB','TERMINATED','','A',NOW(),'SYS',NOW(),'SYS');</v>
      </c>
    </row>
    <row r="55" spans="1:13" x14ac:dyDescent="0.2">
      <c r="A55" t="s">
        <v>673</v>
      </c>
      <c r="B55" t="s">
        <v>14</v>
      </c>
      <c r="C55" t="s">
        <v>93</v>
      </c>
      <c r="D55" t="s">
        <v>25</v>
      </c>
      <c r="E55" t="s">
        <v>618</v>
      </c>
      <c r="F55" t="s">
        <v>542</v>
      </c>
      <c r="G55" t="s">
        <v>101</v>
      </c>
      <c r="H55" t="s">
        <v>107</v>
      </c>
      <c r="J55" t="s">
        <v>7</v>
      </c>
      <c r="K55" t="str">
        <f t="shared" si="0"/>
        <v xml:space="preserve">INSERT INTO T_CK_SVC_WORKFLOW(WKFL_ID, WKFL_APPS_CODE, WKFL_ACCN_TYPE, WKFL_ROLE, WKFL_SCV_TYPE, WKFL_ACTION, WKFL_FROM_STATE, WKFL_TO_STATE, WKFL_URI, WKFL_STATUS, WKFL_DT_CREATE, WKFL_UID_CREATE, WKFL_DT_LUPD, WKFL_UID_LUPD) </v>
      </c>
      <c r="L55" t="str">
        <f t="shared" si="1"/>
        <v xml:space="preserve"> VALUES('ACNTER_3','CKT','ACC_TYPE_SP','SP_FIN_HD','CLICTRUCK','REJECT','SUB','REJ','','A',NOW(),'SYS',NOW(),'SYS');</v>
      </c>
      <c r="M55" t="str">
        <f t="shared" si="2"/>
        <v>INSERT INTO T_CK_SVC_WORKFLOW(WKFL_ID, WKFL_APPS_CODE, WKFL_ACCN_TYPE, WKFL_ROLE, WKFL_SCV_TYPE, WKFL_ACTION, WKFL_FROM_STATE, WKFL_TO_STATE, WKFL_URI, WKFL_STATUS, WKFL_DT_CREATE, WKFL_UID_CREATE, WKFL_DT_LUPD, WKFL_UID_LUPD)  VALUES('ACNTER_3','CKT','ACC_TYPE_SP','SP_FIN_HD','CLICTRUCK','REJECT','SUB','REJ','','A',NOW(),'SYS',NOW(),'SYS');</v>
      </c>
    </row>
    <row r="56" spans="1:13" x14ac:dyDescent="0.2">
      <c r="A56" t="s">
        <v>674</v>
      </c>
      <c r="B56" t="s">
        <v>14</v>
      </c>
      <c r="C56" t="s">
        <v>93</v>
      </c>
      <c r="D56" t="s">
        <v>19</v>
      </c>
      <c r="E56" t="s">
        <v>618</v>
      </c>
      <c r="F56" t="s">
        <v>556</v>
      </c>
      <c r="G56" t="s">
        <v>100</v>
      </c>
      <c r="H56" t="s">
        <v>101</v>
      </c>
      <c r="J56" t="s">
        <v>7</v>
      </c>
      <c r="K56" t="str">
        <f t="shared" si="0"/>
        <v xml:space="preserve">INSERT INTO T_CK_SVC_WORKFLOW(WKFL_ID, WKFL_APPS_CODE, WKFL_ACCN_TYPE, WKFL_ROLE, WKFL_SCV_TYPE, WKFL_ACTION, WKFL_FROM_STATE, WKFL_TO_STATE, WKFL_URI, WKFL_STATUS, WKFL_DT_CREATE, WKFL_UID_CREATE, WKFL_DT_LUPD, WKFL_UID_LUPD) </v>
      </c>
      <c r="L56" t="str">
        <f t="shared" si="1"/>
        <v xml:space="preserve"> VALUES('NEWCTRCT_1','CKT','ACC_TYPE_SP','SP_L1','CLICTRUCK','SUBMIT','NEW','SUB','','A',NOW(),'SYS',NOW(),'SYS');</v>
      </c>
      <c r="M56" t="str">
        <f t="shared" si="2"/>
        <v>INSERT INTO T_CK_SVC_WORKFLOW(WKFL_ID, WKFL_APPS_CODE, WKFL_ACCN_TYPE, WKFL_ROLE, WKFL_SCV_TYPE, WKFL_ACTION, WKFL_FROM_STATE, WKFL_TO_STATE, WKFL_URI, WKFL_STATUS, WKFL_DT_CREATE, WKFL_UID_CREATE, WKFL_DT_LUPD, WKFL_UID_LUPD)  VALUES('NEWCTRCT_1','CKT','ACC_TYPE_SP','SP_L1','CLICTRUCK','SUBMIT','NEW','SUB','','A',NOW(),'SYS',NOW(),'SYS');</v>
      </c>
    </row>
    <row r="57" spans="1:13" x14ac:dyDescent="0.2">
      <c r="A57" t="s">
        <v>675</v>
      </c>
      <c r="B57" t="s">
        <v>14</v>
      </c>
      <c r="C57" t="s">
        <v>93</v>
      </c>
      <c r="D57" t="s">
        <v>19</v>
      </c>
      <c r="E57" t="s">
        <v>618</v>
      </c>
      <c r="F57" t="s">
        <v>531</v>
      </c>
      <c r="G57" t="s">
        <v>100</v>
      </c>
      <c r="H57" t="s">
        <v>103</v>
      </c>
      <c r="J57" t="s">
        <v>7</v>
      </c>
      <c r="K57" t="str">
        <f t="shared" si="0"/>
        <v xml:space="preserve">INSERT INTO T_CK_SVC_WORKFLOW(WKFL_ID, WKFL_APPS_CODE, WKFL_ACCN_TYPE, WKFL_ROLE, WKFL_SCV_TYPE, WKFL_ACTION, WKFL_FROM_STATE, WKFL_TO_STATE, WKFL_URI, WKFL_STATUS, WKFL_DT_CREATE, WKFL_UID_CREATE, WKFL_DT_LUPD, WKFL_UID_LUPD) </v>
      </c>
      <c r="L57" t="str">
        <f t="shared" si="1"/>
        <v xml:space="preserve"> VALUES('NEWCTRCT_2','CKT','ACC_TYPE_SP','SP_L1','CLICTRUCK','DELETE','NEW','DEL','','A',NOW(),'SYS',NOW(),'SYS');</v>
      </c>
      <c r="M57" t="str">
        <f t="shared" si="2"/>
        <v>INSERT INTO T_CK_SVC_WORKFLOW(WKFL_ID, WKFL_APPS_CODE, WKFL_ACCN_TYPE, WKFL_ROLE, WKFL_SCV_TYPE, WKFL_ACTION, WKFL_FROM_STATE, WKFL_TO_STATE, WKFL_URI, WKFL_STATUS, WKFL_DT_CREATE, WKFL_UID_CREATE, WKFL_DT_LUPD, WKFL_UID_LUPD)  VALUES('NEWCTRCT_2','CKT','ACC_TYPE_SP','SP_L1','CLICTRUCK','DELETE','NEW','DEL','','A',NOW(),'SYS',NOW(),'SYS');</v>
      </c>
    </row>
    <row r="58" spans="1:13" x14ac:dyDescent="0.2">
      <c r="A58" t="s">
        <v>676</v>
      </c>
      <c r="B58" t="s">
        <v>14</v>
      </c>
      <c r="C58" t="s">
        <v>93</v>
      </c>
      <c r="D58" t="s">
        <v>25</v>
      </c>
      <c r="E58" t="s">
        <v>618</v>
      </c>
      <c r="F58" t="s">
        <v>517</v>
      </c>
      <c r="G58" t="s">
        <v>101</v>
      </c>
      <c r="H58" t="s">
        <v>105</v>
      </c>
      <c r="J58" t="s">
        <v>7</v>
      </c>
      <c r="K58" t="str">
        <f t="shared" si="0"/>
        <v xml:space="preserve">INSERT INTO T_CK_SVC_WORKFLOW(WKFL_ID, WKFL_APPS_CODE, WKFL_ACCN_TYPE, WKFL_ROLE, WKFL_SCV_TYPE, WKFL_ACTION, WKFL_FROM_STATE, WKFL_TO_STATE, WKFL_URI, WKFL_STATUS, WKFL_DT_CREATE, WKFL_UID_CREATE, WKFL_DT_LUPD, WKFL_UID_LUPD) </v>
      </c>
      <c r="L58" t="str">
        <f t="shared" si="1"/>
        <v xml:space="preserve"> VALUES('NEWCTRCT_3','CKT','ACC_TYPE_SP','SP_FIN_HD','CLICTRUCK','APPROVE','SUB','APP','','A',NOW(),'SYS',NOW(),'SYS');</v>
      </c>
      <c r="M58" t="str">
        <f t="shared" si="2"/>
        <v>INSERT INTO T_CK_SVC_WORKFLOW(WKFL_ID, WKFL_APPS_CODE, WKFL_ACCN_TYPE, WKFL_ROLE, WKFL_SCV_TYPE, WKFL_ACTION, WKFL_FROM_STATE, WKFL_TO_STATE, WKFL_URI, WKFL_STATUS, WKFL_DT_CREATE, WKFL_UID_CREATE, WKFL_DT_LUPD, WKFL_UID_LUPD)  VALUES('NEWCTRCT_3','CKT','ACC_TYPE_SP','SP_FIN_HD','CLICTRUCK','APPROVE','SUB','APP','','A',NOW(),'SYS',NOW(),'SYS');</v>
      </c>
    </row>
    <row r="59" spans="1:13" x14ac:dyDescent="0.2">
      <c r="A59" t="s">
        <v>677</v>
      </c>
      <c r="B59" t="s">
        <v>14</v>
      </c>
      <c r="C59" t="s">
        <v>93</v>
      </c>
      <c r="D59" t="s">
        <v>25</v>
      </c>
      <c r="E59" t="s">
        <v>618</v>
      </c>
      <c r="F59" t="s">
        <v>542</v>
      </c>
      <c r="G59" t="s">
        <v>101</v>
      </c>
      <c r="H59" t="s">
        <v>107</v>
      </c>
      <c r="J59" t="s">
        <v>7</v>
      </c>
      <c r="K59" t="str">
        <f t="shared" si="0"/>
        <v xml:space="preserve">INSERT INTO T_CK_SVC_WORKFLOW(WKFL_ID, WKFL_APPS_CODE, WKFL_ACCN_TYPE, WKFL_ROLE, WKFL_SCV_TYPE, WKFL_ACTION, WKFL_FROM_STATE, WKFL_TO_STATE, WKFL_URI, WKFL_STATUS, WKFL_DT_CREATE, WKFL_UID_CREATE, WKFL_DT_LUPD, WKFL_UID_LUPD) </v>
      </c>
      <c r="L59" t="str">
        <f t="shared" si="1"/>
        <v xml:space="preserve"> VALUES('NEWCTRCT_4','CKT','ACC_TYPE_SP','SP_FIN_HD','CLICTRUCK','REJECT','SUB','REJ','','A',NOW(),'SYS',NOW(),'SYS');</v>
      </c>
      <c r="M59" t="str">
        <f t="shared" si="2"/>
        <v>INSERT INTO T_CK_SVC_WORKFLOW(WKFL_ID, WKFL_APPS_CODE, WKFL_ACCN_TYPE, WKFL_ROLE, WKFL_SCV_TYPE, WKFL_ACTION, WKFL_FROM_STATE, WKFL_TO_STATE, WKFL_URI, WKFL_STATUS, WKFL_DT_CREATE, WKFL_UID_CREATE, WKFL_DT_LUPD, WKFL_UID_LUPD)  VALUES('NEWCTRCT_4','CKT','ACC_TYPE_SP','SP_FIN_HD','CLICTRUCK','REJECT','SUB','REJ','','A',NOW(),'SYS',NOW(),'SYS');</v>
      </c>
    </row>
    <row r="60" spans="1:13" x14ac:dyDescent="0.2">
      <c r="A60" t="s">
        <v>678</v>
      </c>
      <c r="B60" t="s">
        <v>14</v>
      </c>
      <c r="C60" t="s">
        <v>93</v>
      </c>
      <c r="D60" t="s">
        <v>19</v>
      </c>
      <c r="E60" t="s">
        <v>618</v>
      </c>
      <c r="F60" t="s">
        <v>556</v>
      </c>
      <c r="G60" t="s">
        <v>100</v>
      </c>
      <c r="H60" t="s">
        <v>101</v>
      </c>
      <c r="J60" t="s">
        <v>7</v>
      </c>
      <c r="K60" t="str">
        <f t="shared" si="0"/>
        <v xml:space="preserve">INSERT INTO T_CK_SVC_WORKFLOW(WKFL_ID, WKFL_APPS_CODE, WKFL_ACCN_TYPE, WKFL_ROLE, WKFL_SCV_TYPE, WKFL_ACTION, WKFL_FROM_STATE, WKFL_TO_STATE, WKFL_URI, WKFL_STATUS, WKFL_DT_CREATE, WKFL_UID_CREATE, WKFL_DT_LUPD, WKFL_UID_LUPD) </v>
      </c>
      <c r="L60" t="str">
        <f t="shared" si="1"/>
        <v xml:space="preserve"> VALUES('UPCTRCT_1','CKT','ACC_TYPE_SP','SP_L1','CLICTRUCK','SUBMIT','NEW','SUB','','A',NOW(),'SYS',NOW(),'SYS');</v>
      </c>
      <c r="M60" t="str">
        <f t="shared" si="2"/>
        <v>INSERT INTO T_CK_SVC_WORKFLOW(WKFL_ID, WKFL_APPS_CODE, WKFL_ACCN_TYPE, WKFL_ROLE, WKFL_SCV_TYPE, WKFL_ACTION, WKFL_FROM_STATE, WKFL_TO_STATE, WKFL_URI, WKFL_STATUS, WKFL_DT_CREATE, WKFL_UID_CREATE, WKFL_DT_LUPD, WKFL_UID_LUPD)  VALUES('UPCTRCT_1','CKT','ACC_TYPE_SP','SP_L1','CLICTRUCK','SUBMIT','NEW','SUB','','A',NOW(),'SYS',NOW(),'SYS');</v>
      </c>
    </row>
    <row r="61" spans="1:13" x14ac:dyDescent="0.2">
      <c r="A61" t="s">
        <v>679</v>
      </c>
      <c r="B61" t="s">
        <v>14</v>
      </c>
      <c r="C61" t="s">
        <v>93</v>
      </c>
      <c r="D61" t="s">
        <v>19</v>
      </c>
      <c r="E61" t="s">
        <v>618</v>
      </c>
      <c r="F61" t="s">
        <v>531</v>
      </c>
      <c r="G61" t="s">
        <v>100</v>
      </c>
      <c r="H61" t="s">
        <v>103</v>
      </c>
      <c r="J61" t="s">
        <v>7</v>
      </c>
      <c r="K61" t="str">
        <f t="shared" si="0"/>
        <v xml:space="preserve">INSERT INTO T_CK_SVC_WORKFLOW(WKFL_ID, WKFL_APPS_CODE, WKFL_ACCN_TYPE, WKFL_ROLE, WKFL_SCV_TYPE, WKFL_ACTION, WKFL_FROM_STATE, WKFL_TO_STATE, WKFL_URI, WKFL_STATUS, WKFL_DT_CREATE, WKFL_UID_CREATE, WKFL_DT_LUPD, WKFL_UID_LUPD) </v>
      </c>
      <c r="L61" t="str">
        <f t="shared" si="1"/>
        <v xml:space="preserve"> VALUES('UPCTRCT_2','CKT','ACC_TYPE_SP','SP_L1','CLICTRUCK','DELETE','NEW','DEL','','A',NOW(),'SYS',NOW(),'SYS');</v>
      </c>
      <c r="M61" t="str">
        <f t="shared" si="2"/>
        <v>INSERT INTO T_CK_SVC_WORKFLOW(WKFL_ID, WKFL_APPS_CODE, WKFL_ACCN_TYPE, WKFL_ROLE, WKFL_SCV_TYPE, WKFL_ACTION, WKFL_FROM_STATE, WKFL_TO_STATE, WKFL_URI, WKFL_STATUS, WKFL_DT_CREATE, WKFL_UID_CREATE, WKFL_DT_LUPD, WKFL_UID_LUPD)  VALUES('UPCTRCT_2','CKT','ACC_TYPE_SP','SP_L1','CLICTRUCK','DELETE','NEW','DEL','','A',NOW(),'SYS',NOW(),'SYS');</v>
      </c>
    </row>
    <row r="62" spans="1:13" x14ac:dyDescent="0.2">
      <c r="A62" t="s">
        <v>680</v>
      </c>
      <c r="B62" t="s">
        <v>14</v>
      </c>
      <c r="C62" t="s">
        <v>93</v>
      </c>
      <c r="D62" t="s">
        <v>25</v>
      </c>
      <c r="E62" t="s">
        <v>618</v>
      </c>
      <c r="F62" t="s">
        <v>517</v>
      </c>
      <c r="G62" t="s">
        <v>101</v>
      </c>
      <c r="H62" t="s">
        <v>105</v>
      </c>
      <c r="J62" t="s">
        <v>7</v>
      </c>
      <c r="K62" t="str">
        <f t="shared" si="0"/>
        <v xml:space="preserve">INSERT INTO T_CK_SVC_WORKFLOW(WKFL_ID, WKFL_APPS_CODE, WKFL_ACCN_TYPE, WKFL_ROLE, WKFL_SCV_TYPE, WKFL_ACTION, WKFL_FROM_STATE, WKFL_TO_STATE, WKFL_URI, WKFL_STATUS, WKFL_DT_CREATE, WKFL_UID_CREATE, WKFL_DT_LUPD, WKFL_UID_LUPD) </v>
      </c>
      <c r="L62" t="str">
        <f t="shared" si="1"/>
        <v xml:space="preserve"> VALUES('UPCTRCT_3','CKT','ACC_TYPE_SP','SP_FIN_HD','CLICTRUCK','APPROVE','SUB','APP','','A',NOW(),'SYS',NOW(),'SYS');</v>
      </c>
      <c r="M62" t="str">
        <f t="shared" si="2"/>
        <v>INSERT INTO T_CK_SVC_WORKFLOW(WKFL_ID, WKFL_APPS_CODE, WKFL_ACCN_TYPE, WKFL_ROLE, WKFL_SCV_TYPE, WKFL_ACTION, WKFL_FROM_STATE, WKFL_TO_STATE, WKFL_URI, WKFL_STATUS, WKFL_DT_CREATE, WKFL_UID_CREATE, WKFL_DT_LUPD, WKFL_UID_LUPD)  VALUES('UPCTRCT_3','CKT','ACC_TYPE_SP','SP_FIN_HD','CLICTRUCK','APPROVE','SUB','APP','','A',NOW(),'SYS',NOW(),'SYS');</v>
      </c>
    </row>
    <row r="63" spans="1:13" x14ac:dyDescent="0.2">
      <c r="A63" t="s">
        <v>681</v>
      </c>
      <c r="B63" t="s">
        <v>14</v>
      </c>
      <c r="C63" t="s">
        <v>93</v>
      </c>
      <c r="D63" t="s">
        <v>25</v>
      </c>
      <c r="E63" t="s">
        <v>618</v>
      </c>
      <c r="F63" t="s">
        <v>542</v>
      </c>
      <c r="G63" t="s">
        <v>101</v>
      </c>
      <c r="H63" t="s">
        <v>107</v>
      </c>
      <c r="J63" t="s">
        <v>7</v>
      </c>
      <c r="K63" t="str">
        <f t="shared" si="0"/>
        <v xml:space="preserve">INSERT INTO T_CK_SVC_WORKFLOW(WKFL_ID, WKFL_APPS_CODE, WKFL_ACCN_TYPE, WKFL_ROLE, WKFL_SCV_TYPE, WKFL_ACTION, WKFL_FROM_STATE, WKFL_TO_STATE, WKFL_URI, WKFL_STATUS, WKFL_DT_CREATE, WKFL_UID_CREATE, WKFL_DT_LUPD, WKFL_UID_LUPD) </v>
      </c>
      <c r="L63" t="str">
        <f t="shared" si="1"/>
        <v xml:space="preserve"> VALUES('UPCTRCT_4','CKT','ACC_TYPE_SP','SP_FIN_HD','CLICTRUCK','REJECT','SUB','REJ','','A',NOW(),'SYS',NOW(),'SYS');</v>
      </c>
      <c r="M63" t="str">
        <f t="shared" si="2"/>
        <v>INSERT INTO T_CK_SVC_WORKFLOW(WKFL_ID, WKFL_APPS_CODE, WKFL_ACCN_TYPE, WKFL_ROLE, WKFL_SCV_TYPE, WKFL_ACTION, WKFL_FROM_STATE, WKFL_TO_STATE, WKFL_URI, WKFL_STATUS, WKFL_DT_CREATE, WKFL_UID_CREATE, WKFL_DT_LUPD, WKFL_UID_LUPD)  VALUES('UPCTRCT_4','CKT','ACC_TYPE_SP','SP_FIN_HD','CLICTRUCK','REJECT','SUB','REJ','','A',NOW(),'SYS',NOW(),'SYS');</v>
      </c>
    </row>
    <row r="64" spans="1:13" x14ac:dyDescent="0.2">
      <c r="A64" t="s">
        <v>682</v>
      </c>
      <c r="B64" t="s">
        <v>14</v>
      </c>
      <c r="C64" t="s">
        <v>93</v>
      </c>
      <c r="D64" t="s">
        <v>19</v>
      </c>
      <c r="E64" t="s">
        <v>618</v>
      </c>
      <c r="F64" t="s">
        <v>556</v>
      </c>
      <c r="G64" t="s">
        <v>100</v>
      </c>
      <c r="H64" t="s">
        <v>101</v>
      </c>
      <c r="J64" t="s">
        <v>7</v>
      </c>
      <c r="K64" t="str">
        <f t="shared" si="0"/>
        <v xml:space="preserve">INSERT INTO T_CK_SVC_WORKFLOW(WKFL_ID, WKFL_APPS_CODE, WKFL_ACCN_TYPE, WKFL_ROLE, WKFL_SCV_TYPE, WKFL_ACTION, WKFL_FROM_STATE, WKFL_TO_STATE, WKFL_URI, WKFL_STATUS, WKFL_DT_CREATE, WKFL_UID_CREATE, WKFL_DT_LUPD, WKFL_UID_LUPD) </v>
      </c>
      <c r="L64" t="str">
        <f t="shared" si="1"/>
        <v xml:space="preserve"> VALUES('RNCTRCT_1','CKT','ACC_TYPE_SP','SP_L1','CLICTRUCK','SUBMIT','NEW','SUB','','A',NOW(),'SYS',NOW(),'SYS');</v>
      </c>
      <c r="M64" t="str">
        <f t="shared" si="2"/>
        <v>INSERT INTO T_CK_SVC_WORKFLOW(WKFL_ID, WKFL_APPS_CODE, WKFL_ACCN_TYPE, WKFL_ROLE, WKFL_SCV_TYPE, WKFL_ACTION, WKFL_FROM_STATE, WKFL_TO_STATE, WKFL_URI, WKFL_STATUS, WKFL_DT_CREATE, WKFL_UID_CREATE, WKFL_DT_LUPD, WKFL_UID_LUPD)  VALUES('RNCTRCT_1','CKT','ACC_TYPE_SP','SP_L1','CLICTRUCK','SUBMIT','NEW','SUB','','A',NOW(),'SYS',NOW(),'SYS');</v>
      </c>
    </row>
    <row r="65" spans="1:13" x14ac:dyDescent="0.2">
      <c r="A65" t="s">
        <v>683</v>
      </c>
      <c r="B65" t="s">
        <v>14</v>
      </c>
      <c r="C65" t="s">
        <v>93</v>
      </c>
      <c r="D65" t="s">
        <v>19</v>
      </c>
      <c r="E65" t="s">
        <v>618</v>
      </c>
      <c r="F65" t="s">
        <v>531</v>
      </c>
      <c r="G65" t="s">
        <v>100</v>
      </c>
      <c r="H65" t="s">
        <v>103</v>
      </c>
      <c r="J65" t="s">
        <v>7</v>
      </c>
      <c r="K65" t="str">
        <f t="shared" si="0"/>
        <v xml:space="preserve">INSERT INTO T_CK_SVC_WORKFLOW(WKFL_ID, WKFL_APPS_CODE, WKFL_ACCN_TYPE, WKFL_ROLE, WKFL_SCV_TYPE, WKFL_ACTION, WKFL_FROM_STATE, WKFL_TO_STATE, WKFL_URI, WKFL_STATUS, WKFL_DT_CREATE, WKFL_UID_CREATE, WKFL_DT_LUPD, WKFL_UID_LUPD) </v>
      </c>
      <c r="L65" t="str">
        <f t="shared" si="1"/>
        <v xml:space="preserve"> VALUES('RNCTRCT_2','CKT','ACC_TYPE_SP','SP_L1','CLICTRUCK','DELETE','NEW','DEL','','A',NOW(),'SYS',NOW(),'SYS');</v>
      </c>
      <c r="M65" t="str">
        <f t="shared" si="2"/>
        <v>INSERT INTO T_CK_SVC_WORKFLOW(WKFL_ID, WKFL_APPS_CODE, WKFL_ACCN_TYPE, WKFL_ROLE, WKFL_SCV_TYPE, WKFL_ACTION, WKFL_FROM_STATE, WKFL_TO_STATE, WKFL_URI, WKFL_STATUS, WKFL_DT_CREATE, WKFL_UID_CREATE, WKFL_DT_LUPD, WKFL_UID_LUPD)  VALUES('RNCTRCT_2','CKT','ACC_TYPE_SP','SP_L1','CLICTRUCK','DELETE','NEW','DEL','','A',NOW(),'SYS',NOW(),'SYS');</v>
      </c>
    </row>
    <row r="66" spans="1:13" x14ac:dyDescent="0.2">
      <c r="A66" t="s">
        <v>684</v>
      </c>
      <c r="B66" t="s">
        <v>14</v>
      </c>
      <c r="C66" t="s">
        <v>93</v>
      </c>
      <c r="D66" t="s">
        <v>25</v>
      </c>
      <c r="E66" t="s">
        <v>618</v>
      </c>
      <c r="F66" t="s">
        <v>517</v>
      </c>
      <c r="G66" t="s">
        <v>101</v>
      </c>
      <c r="H66" t="s">
        <v>105</v>
      </c>
      <c r="J66" t="s">
        <v>7</v>
      </c>
      <c r="K66" t="str">
        <f t="shared" si="0"/>
        <v xml:space="preserve">INSERT INTO T_CK_SVC_WORKFLOW(WKFL_ID, WKFL_APPS_CODE, WKFL_ACCN_TYPE, WKFL_ROLE, WKFL_SCV_TYPE, WKFL_ACTION, WKFL_FROM_STATE, WKFL_TO_STATE, WKFL_URI, WKFL_STATUS, WKFL_DT_CREATE, WKFL_UID_CREATE, WKFL_DT_LUPD, WKFL_UID_LUPD) </v>
      </c>
      <c r="L66" t="str">
        <f t="shared" si="1"/>
        <v xml:space="preserve"> VALUES('RNCTRCT_3','CKT','ACC_TYPE_SP','SP_FIN_HD','CLICTRUCK','APPROVE','SUB','APP','','A',NOW(),'SYS',NOW(),'SYS');</v>
      </c>
      <c r="M66" t="str">
        <f t="shared" si="2"/>
        <v>INSERT INTO T_CK_SVC_WORKFLOW(WKFL_ID, WKFL_APPS_CODE, WKFL_ACCN_TYPE, WKFL_ROLE, WKFL_SCV_TYPE, WKFL_ACTION, WKFL_FROM_STATE, WKFL_TO_STATE, WKFL_URI, WKFL_STATUS, WKFL_DT_CREATE, WKFL_UID_CREATE, WKFL_DT_LUPD, WKFL_UID_LUPD)  VALUES('RNCTRCT_3','CKT','ACC_TYPE_SP','SP_FIN_HD','CLICTRUCK','APPROVE','SUB','APP','','A',NOW(),'SYS',NOW(),'SYS');</v>
      </c>
    </row>
    <row r="67" spans="1:13" x14ac:dyDescent="0.2">
      <c r="A67" t="s">
        <v>685</v>
      </c>
      <c r="B67" t="s">
        <v>14</v>
      </c>
      <c r="C67" t="s">
        <v>93</v>
      </c>
      <c r="D67" t="s">
        <v>25</v>
      </c>
      <c r="E67" t="s">
        <v>618</v>
      </c>
      <c r="F67" t="s">
        <v>542</v>
      </c>
      <c r="G67" t="s">
        <v>101</v>
      </c>
      <c r="H67" t="s">
        <v>107</v>
      </c>
      <c r="J67" t="s">
        <v>7</v>
      </c>
      <c r="K67" t="str">
        <f t="shared" ref="K67:K95" si="3">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67" t="str">
        <f t="shared" ref="L67:L92" si="4">CONCATENATE(" VALUES('",A67,"','",B67,"','",C67,"','",D67,"','",E67,"','",F67,"','",G67,"','",H67,"','",I67,"','",J67,"',NOW(),'SYS',NOW(),'SYS');")</f>
        <v xml:space="preserve"> VALUES('RNCTRCT_4','CKT','ACC_TYPE_SP','SP_FIN_HD','CLICTRUCK','REJECT','SUB','REJ','','A',NOW(),'SYS',NOW(),'SYS');</v>
      </c>
      <c r="M67" t="str">
        <f t="shared" ref="M67:M95" si="5">CONCATENATE(K67,L67)</f>
        <v>INSERT INTO T_CK_SVC_WORKFLOW(WKFL_ID, WKFL_APPS_CODE, WKFL_ACCN_TYPE, WKFL_ROLE, WKFL_SCV_TYPE, WKFL_ACTION, WKFL_FROM_STATE, WKFL_TO_STATE, WKFL_URI, WKFL_STATUS, WKFL_DT_CREATE, WKFL_UID_CREATE, WKFL_DT_LUPD, WKFL_UID_LUPD)  VALUES('RNCTRCT_4','CKT','ACC_TYPE_SP','SP_FIN_HD','CLICTRUCK','REJECT','SUB','REJ','','A',NOW(),'SYS',NOW(),'SYS');</v>
      </c>
    </row>
    <row r="68" spans="1:13" x14ac:dyDescent="0.2">
      <c r="A68" t="s">
        <v>686</v>
      </c>
      <c r="B68" t="s">
        <v>14</v>
      </c>
      <c r="C68" t="s">
        <v>93</v>
      </c>
      <c r="D68" t="s">
        <v>19</v>
      </c>
      <c r="E68" t="s">
        <v>618</v>
      </c>
      <c r="F68" t="s">
        <v>556</v>
      </c>
      <c r="G68" t="s">
        <v>100</v>
      </c>
      <c r="H68" t="s">
        <v>101</v>
      </c>
      <c r="J68" t="s">
        <v>7</v>
      </c>
      <c r="K68" t="str">
        <f t="shared" si="3"/>
        <v xml:space="preserve">INSERT INTO T_CK_SVC_WORKFLOW(WKFL_ID, WKFL_APPS_CODE, WKFL_ACCN_TYPE, WKFL_ROLE, WKFL_SCV_TYPE, WKFL_ACTION, WKFL_FROM_STATE, WKFL_TO_STATE, WKFL_URI, WKFL_STATUS, WKFL_DT_CREATE, WKFL_UID_CREATE, WKFL_DT_LUPD, WKFL_UID_LUPD) </v>
      </c>
      <c r="L68" t="str">
        <f t="shared" si="4"/>
        <v xml:space="preserve"> VALUES('CRU_1','CKT','ACC_TYPE_SP','SP_L1','CLICTRUCK','SUBMIT','NEW','SUB','','A',NOW(),'SYS',NOW(),'SYS');</v>
      </c>
      <c r="M68" t="str">
        <f t="shared" si="5"/>
        <v>INSERT INTO T_CK_SVC_WORKFLOW(WKFL_ID, WKFL_APPS_CODE, WKFL_ACCN_TYPE, WKFL_ROLE, WKFL_SCV_TYPE, WKFL_ACTION, WKFL_FROM_STATE, WKFL_TO_STATE, WKFL_URI, WKFL_STATUS, WKFL_DT_CREATE, WKFL_UID_CREATE, WKFL_DT_LUPD, WKFL_UID_LUPD)  VALUES('CRU_1','CKT','ACC_TYPE_SP','SP_L1','CLICTRUCK','SUBMIT','NEW','SUB','','A',NOW(),'SYS',NOW(),'SYS');</v>
      </c>
    </row>
    <row r="69" spans="1:13" x14ac:dyDescent="0.2">
      <c r="A69" t="s">
        <v>687</v>
      </c>
      <c r="B69" t="s">
        <v>14</v>
      </c>
      <c r="C69" t="s">
        <v>93</v>
      </c>
      <c r="D69" t="s">
        <v>25</v>
      </c>
      <c r="E69" t="s">
        <v>618</v>
      </c>
      <c r="F69" t="s">
        <v>517</v>
      </c>
      <c r="G69" t="s">
        <v>101</v>
      </c>
      <c r="H69" t="s">
        <v>105</v>
      </c>
      <c r="J69" t="s">
        <v>7</v>
      </c>
      <c r="K69" t="str">
        <f t="shared" si="3"/>
        <v xml:space="preserve">INSERT INTO T_CK_SVC_WORKFLOW(WKFL_ID, WKFL_APPS_CODE, WKFL_ACCN_TYPE, WKFL_ROLE, WKFL_SCV_TYPE, WKFL_ACTION, WKFL_FROM_STATE, WKFL_TO_STATE, WKFL_URI, WKFL_STATUS, WKFL_DT_CREATE, WKFL_UID_CREATE, WKFL_DT_LUPD, WKFL_UID_LUPD) </v>
      </c>
      <c r="L69" t="str">
        <f t="shared" si="4"/>
        <v xml:space="preserve"> VALUES('CRU_2','CKT','ACC_TYPE_SP','SP_FIN_HD','CLICTRUCK','APPROVE','SUB','APP','','A',NOW(),'SYS',NOW(),'SYS');</v>
      </c>
      <c r="M69" t="str">
        <f t="shared" si="5"/>
        <v>INSERT INTO T_CK_SVC_WORKFLOW(WKFL_ID, WKFL_APPS_CODE, WKFL_ACCN_TYPE, WKFL_ROLE, WKFL_SCV_TYPE, WKFL_ACTION, WKFL_FROM_STATE, WKFL_TO_STATE, WKFL_URI, WKFL_STATUS, WKFL_DT_CREATE, WKFL_UID_CREATE, WKFL_DT_LUPD, WKFL_UID_LUPD)  VALUES('CRU_2','CKT','ACC_TYPE_SP','SP_FIN_HD','CLICTRUCK','APPROVE','SUB','APP','','A',NOW(),'SYS',NOW(),'SYS');</v>
      </c>
    </row>
    <row r="70" spans="1:13" x14ac:dyDescent="0.2">
      <c r="A70" t="s">
        <v>688</v>
      </c>
      <c r="B70" t="s">
        <v>14</v>
      </c>
      <c r="C70" t="s">
        <v>93</v>
      </c>
      <c r="D70" t="s">
        <v>25</v>
      </c>
      <c r="E70" t="s">
        <v>618</v>
      </c>
      <c r="F70" t="s">
        <v>542</v>
      </c>
      <c r="G70" t="s">
        <v>101</v>
      </c>
      <c r="H70" t="s">
        <v>107</v>
      </c>
      <c r="J70" t="s">
        <v>7</v>
      </c>
      <c r="K70" t="str">
        <f t="shared" si="3"/>
        <v xml:space="preserve">INSERT INTO T_CK_SVC_WORKFLOW(WKFL_ID, WKFL_APPS_CODE, WKFL_ACCN_TYPE, WKFL_ROLE, WKFL_SCV_TYPE, WKFL_ACTION, WKFL_FROM_STATE, WKFL_TO_STATE, WKFL_URI, WKFL_STATUS, WKFL_DT_CREATE, WKFL_UID_CREATE, WKFL_DT_LUPD, WKFL_UID_LUPD) </v>
      </c>
      <c r="L70" t="str">
        <f t="shared" si="4"/>
        <v xml:space="preserve"> VALUES('CRU_3','CKT','ACC_TYPE_SP','SP_FIN_HD','CLICTRUCK','REJECT','SUB','REJ','','A',NOW(),'SYS',NOW(),'SYS');</v>
      </c>
      <c r="M70" t="str">
        <f t="shared" si="5"/>
        <v>INSERT INTO T_CK_SVC_WORKFLOW(WKFL_ID, WKFL_APPS_CODE, WKFL_ACCN_TYPE, WKFL_ROLE, WKFL_SCV_TYPE, WKFL_ACTION, WKFL_FROM_STATE, WKFL_TO_STATE, WKFL_URI, WKFL_STATUS, WKFL_DT_CREATE, WKFL_UID_CREATE, WKFL_DT_LUPD, WKFL_UID_LUPD)  VALUES('CRU_3','CKT','ACC_TYPE_SP','SP_FIN_HD','CLICTRUCK','REJECT','SUB','REJ','','A',NOW(),'SYS',NOW(),'SYS');</v>
      </c>
    </row>
    <row r="71" spans="1:13" x14ac:dyDescent="0.2">
      <c r="A71" t="s">
        <v>689</v>
      </c>
      <c r="B71" t="s">
        <v>14</v>
      </c>
      <c r="C71" t="s">
        <v>93</v>
      </c>
      <c r="D71" t="s">
        <v>19</v>
      </c>
      <c r="E71" t="s">
        <v>618</v>
      </c>
      <c r="F71" t="s">
        <v>531</v>
      </c>
      <c r="G71" t="s">
        <v>100</v>
      </c>
      <c r="H71" t="s">
        <v>103</v>
      </c>
      <c r="J71" t="s">
        <v>7</v>
      </c>
      <c r="K71" t="str">
        <f t="shared" si="3"/>
        <v xml:space="preserve">INSERT INTO T_CK_SVC_WORKFLOW(WKFL_ID, WKFL_APPS_CODE, WKFL_ACCN_TYPE, WKFL_ROLE, WKFL_SCV_TYPE, WKFL_ACTION, WKFL_FROM_STATE, WKFL_TO_STATE, WKFL_URI, WKFL_STATUS, WKFL_DT_CREATE, WKFL_UID_CREATE, WKFL_DT_LUPD, WKFL_UID_LUPD) </v>
      </c>
      <c r="L71" t="str">
        <f t="shared" si="4"/>
        <v xml:space="preserve"> VALUES('CRU_5','CKT','ACC_TYPE_SP','SP_L1','CLICTRUCK','DELETE','NEW','DEL','','A',NOW(),'SYS',NOW(),'SYS');</v>
      </c>
      <c r="M71" t="str">
        <f t="shared" si="5"/>
        <v>INSERT INTO T_CK_SVC_WORKFLOW(WKFL_ID, WKFL_APPS_CODE, WKFL_ACCN_TYPE, WKFL_ROLE, WKFL_SCV_TYPE, WKFL_ACTION, WKFL_FROM_STATE, WKFL_TO_STATE, WKFL_URI, WKFL_STATUS, WKFL_DT_CREATE, WKFL_UID_CREATE, WKFL_DT_LUPD, WKFL_UID_LUPD)  VALUES('CRU_5','CKT','ACC_TYPE_SP','SP_L1','CLICTRUCK','DELETE','NEW','DEL','','A',NOW(),'SYS',NOW(),'SYS');</v>
      </c>
    </row>
    <row r="72" spans="1:13" x14ac:dyDescent="0.2">
      <c r="A72" t="s">
        <v>690</v>
      </c>
      <c r="B72" t="s">
        <v>14</v>
      </c>
      <c r="C72" t="s">
        <v>93</v>
      </c>
      <c r="D72" t="s">
        <v>19</v>
      </c>
      <c r="E72" t="s">
        <v>618</v>
      </c>
      <c r="F72" t="s">
        <v>546</v>
      </c>
      <c r="G72" t="s">
        <v>609</v>
      </c>
      <c r="H72" t="s">
        <v>101</v>
      </c>
      <c r="J72" t="s">
        <v>7</v>
      </c>
      <c r="K72" t="str">
        <f t="shared" si="3"/>
        <v xml:space="preserve">INSERT INTO T_CK_SVC_WORKFLOW(WKFL_ID, WKFL_APPS_CODE, WKFL_ACCN_TYPE, WKFL_ROLE, WKFL_SCV_TYPE, WKFL_ACTION, WKFL_FROM_STATE, WKFL_TO_STATE, WKFL_URI, WKFL_STATUS, WKFL_DT_CREATE, WKFL_UID_CREATE, WKFL_DT_LUPD, WKFL_UID_LUPD) </v>
      </c>
      <c r="L72" t="str">
        <f t="shared" si="4"/>
        <v xml:space="preserve"> VALUES('ACNRESUMPT_1','CKT','ACC_TYPE_SP','SP_L1','CLICTRUCK','RESUMPTION','SUS','SUB','','A',NOW(),'SYS',NOW(),'SYS');</v>
      </c>
      <c r="M72" t="str">
        <f t="shared" si="5"/>
        <v>INSERT INTO T_CK_SVC_WORKFLOW(WKFL_ID, WKFL_APPS_CODE, WKFL_ACCN_TYPE, WKFL_ROLE, WKFL_SCV_TYPE, WKFL_ACTION, WKFL_FROM_STATE, WKFL_TO_STATE, WKFL_URI, WKFL_STATUS, WKFL_DT_CREATE, WKFL_UID_CREATE, WKFL_DT_LUPD, WKFL_UID_LUPD)  VALUES('ACNRESUMPT_1','CKT','ACC_TYPE_SP','SP_L1','CLICTRUCK','RESUMPTION','SUS','SUB','','A',NOW(),'SYS',NOW(),'SYS');</v>
      </c>
    </row>
    <row r="73" spans="1:13" x14ac:dyDescent="0.2">
      <c r="A73" t="s">
        <v>691</v>
      </c>
      <c r="B73" t="s">
        <v>14</v>
      </c>
      <c r="C73" t="s">
        <v>93</v>
      </c>
      <c r="D73" t="s">
        <v>25</v>
      </c>
      <c r="E73" t="s">
        <v>618</v>
      </c>
      <c r="F73" t="s">
        <v>517</v>
      </c>
      <c r="G73" t="s">
        <v>101</v>
      </c>
      <c r="H73" t="s">
        <v>105</v>
      </c>
      <c r="J73" t="s">
        <v>7</v>
      </c>
      <c r="K73" t="str">
        <f t="shared" si="3"/>
        <v xml:space="preserve">INSERT INTO T_CK_SVC_WORKFLOW(WKFL_ID, WKFL_APPS_CODE, WKFL_ACCN_TYPE, WKFL_ROLE, WKFL_SCV_TYPE, WKFL_ACTION, WKFL_FROM_STATE, WKFL_TO_STATE, WKFL_URI, WKFL_STATUS, WKFL_DT_CREATE, WKFL_UID_CREATE, WKFL_DT_LUPD, WKFL_UID_LUPD) </v>
      </c>
      <c r="L73" t="str">
        <f t="shared" si="4"/>
        <v xml:space="preserve"> VALUES('ACNRESUMPT_2','CKT','ACC_TYPE_SP','SP_FIN_HD','CLICTRUCK','APPROVE','SUB','APP','','A',NOW(),'SYS',NOW(),'SYS');</v>
      </c>
      <c r="M73" t="str">
        <f t="shared" si="5"/>
        <v>INSERT INTO T_CK_SVC_WORKFLOW(WKFL_ID, WKFL_APPS_CODE, WKFL_ACCN_TYPE, WKFL_ROLE, WKFL_SCV_TYPE, WKFL_ACTION, WKFL_FROM_STATE, WKFL_TO_STATE, WKFL_URI, WKFL_STATUS, WKFL_DT_CREATE, WKFL_UID_CREATE, WKFL_DT_LUPD, WKFL_UID_LUPD)  VALUES('ACNRESUMPT_2','CKT','ACC_TYPE_SP','SP_FIN_HD','CLICTRUCK','APPROVE','SUB','APP','','A',NOW(),'SYS',NOW(),'SYS');</v>
      </c>
    </row>
    <row r="74" spans="1:13" x14ac:dyDescent="0.2">
      <c r="A74" t="s">
        <v>692</v>
      </c>
      <c r="B74" t="s">
        <v>14</v>
      </c>
      <c r="C74" t="s">
        <v>93</v>
      </c>
      <c r="D74" t="s">
        <v>25</v>
      </c>
      <c r="E74" t="s">
        <v>618</v>
      </c>
      <c r="F74" t="s">
        <v>542</v>
      </c>
      <c r="G74" t="s">
        <v>101</v>
      </c>
      <c r="H74" t="s">
        <v>107</v>
      </c>
      <c r="J74" t="s">
        <v>7</v>
      </c>
      <c r="K74" t="str">
        <f t="shared" si="3"/>
        <v xml:space="preserve">INSERT INTO T_CK_SVC_WORKFLOW(WKFL_ID, WKFL_APPS_CODE, WKFL_ACCN_TYPE, WKFL_ROLE, WKFL_SCV_TYPE, WKFL_ACTION, WKFL_FROM_STATE, WKFL_TO_STATE, WKFL_URI, WKFL_STATUS, WKFL_DT_CREATE, WKFL_UID_CREATE, WKFL_DT_LUPD, WKFL_UID_LUPD) </v>
      </c>
      <c r="L74" t="str">
        <f t="shared" si="4"/>
        <v xml:space="preserve"> VALUES('ACNRESUMPT_3','CKT','ACC_TYPE_SP','SP_FIN_HD','CLICTRUCK','REJECT','SUB','REJ','','A',NOW(),'SYS',NOW(),'SYS');</v>
      </c>
      <c r="M74" t="str">
        <f t="shared" si="5"/>
        <v>INSERT INTO T_CK_SVC_WORKFLOW(WKFL_ID, WKFL_APPS_CODE, WKFL_ACCN_TYPE, WKFL_ROLE, WKFL_SCV_TYPE, WKFL_ACTION, WKFL_FROM_STATE, WKFL_TO_STATE, WKFL_URI, WKFL_STATUS, WKFL_DT_CREATE, WKFL_UID_CREATE, WKFL_DT_LUPD, WKFL_UID_LUPD)  VALUES('ACNRESUMPT_3','CKT','ACC_TYPE_SP','SP_FIN_HD','CLICTRUCK','REJECT','SUB','REJ','','A',NOW(),'SYS',NOW(),'SYS');</v>
      </c>
    </row>
    <row r="75" spans="1:13" x14ac:dyDescent="0.2">
      <c r="A75" t="s">
        <v>693</v>
      </c>
      <c r="B75" t="s">
        <v>14</v>
      </c>
      <c r="C75" t="s">
        <v>598</v>
      </c>
      <c r="D75" s="2" t="s">
        <v>29</v>
      </c>
      <c r="E75" t="s">
        <v>618</v>
      </c>
      <c r="F75" t="s">
        <v>552</v>
      </c>
      <c r="G75" t="s">
        <v>600</v>
      </c>
      <c r="H75" t="s">
        <v>601</v>
      </c>
      <c r="J75" t="s">
        <v>7</v>
      </c>
      <c r="K75" t="str">
        <f t="shared" si="3"/>
        <v xml:space="preserve">INSERT INTO T_CK_SVC_WORKFLOW(WKFL_ID, WKFL_APPS_CODE, WKFL_ACCN_TYPE, WKFL_ROLE, WKFL_SCV_TYPE, WKFL_ACTION, WKFL_FROM_STATE, WKFL_TO_STATE, WKFL_URI, WKFL_STATUS, WKFL_DT_CREATE, WKFL_UID_CREATE, WKFL_DT_LUPD, WKFL_UID_LUPD) </v>
      </c>
      <c r="L75" t="str">
        <f t="shared" si="4"/>
        <v xml:space="preserve"> VALUES('MJOB_1','CKT','ACC_TYPE_TO','DRIVER','CLICTRUCK','START','ASG','ONGOING','','A',NOW(),'SYS',NOW(),'SYS');</v>
      </c>
      <c r="M75" t="str">
        <f t="shared" si="5"/>
        <v>INSERT INTO T_CK_SVC_WORKFLOW(WKFL_ID, WKFL_APPS_CODE, WKFL_ACCN_TYPE, WKFL_ROLE, WKFL_SCV_TYPE, WKFL_ACTION, WKFL_FROM_STATE, WKFL_TO_STATE, WKFL_URI, WKFL_STATUS, WKFL_DT_CREATE, WKFL_UID_CREATE, WKFL_DT_LUPD, WKFL_UID_LUPD)  VALUES('MJOB_1','CKT','ACC_TYPE_TO','DRIVER','CLICTRUCK','START','ASG','ONGOING','','A',NOW(),'SYS',NOW(),'SYS');</v>
      </c>
    </row>
    <row r="76" spans="1:13" x14ac:dyDescent="0.2">
      <c r="A76" t="s">
        <v>694</v>
      </c>
      <c r="B76" t="s">
        <v>14</v>
      </c>
      <c r="C76" t="s">
        <v>598</v>
      </c>
      <c r="D76" s="2" t="s">
        <v>29</v>
      </c>
      <c r="E76" t="s">
        <v>618</v>
      </c>
      <c r="F76" t="s">
        <v>536</v>
      </c>
      <c r="G76" t="s">
        <v>601</v>
      </c>
      <c r="H76" s="2" t="s">
        <v>695</v>
      </c>
      <c r="J76" t="s">
        <v>7</v>
      </c>
      <c r="K76" t="str">
        <f t="shared" si="3"/>
        <v xml:space="preserve">INSERT INTO T_CK_SVC_WORKFLOW(WKFL_ID, WKFL_APPS_CODE, WKFL_ACCN_TYPE, WKFL_ROLE, WKFL_SCV_TYPE, WKFL_ACTION, WKFL_FROM_STATE, WKFL_TO_STATE, WKFL_URI, WKFL_STATUS, WKFL_DT_CREATE, WKFL_UID_CREATE, WKFL_DT_LUPD, WKFL_UID_LUPD) </v>
      </c>
      <c r="L76" t="str">
        <f t="shared" si="4"/>
        <v xml:space="preserve"> VALUES('MJOB_2','CKT','ACC_TYPE_TO','DRIVER','CLICTRUCK','PAUSE','ONGOING','PAUSED','','A',NOW(),'SYS',NOW(),'SYS');</v>
      </c>
      <c r="M76" t="str">
        <f t="shared" si="5"/>
        <v>INSERT INTO T_CK_SVC_WORKFLOW(WKFL_ID, WKFL_APPS_CODE, WKFL_ACCN_TYPE, WKFL_ROLE, WKFL_SCV_TYPE, WKFL_ACTION, WKFL_FROM_STATE, WKFL_TO_STATE, WKFL_URI, WKFL_STATUS, WKFL_DT_CREATE, WKFL_UID_CREATE, WKFL_DT_LUPD, WKFL_UID_LUPD)  VALUES('MJOB_2','CKT','ACC_TYPE_TO','DRIVER','CLICTRUCK','PAUSE','ONGOING','PAUSED','','A',NOW(),'SYS',NOW(),'SYS');</v>
      </c>
    </row>
    <row r="77" spans="1:13" x14ac:dyDescent="0.2">
      <c r="A77" t="s">
        <v>696</v>
      </c>
      <c r="B77" t="s">
        <v>14</v>
      </c>
      <c r="C77" t="s">
        <v>598</v>
      </c>
      <c r="D77" s="2" t="s">
        <v>29</v>
      </c>
      <c r="E77" t="s">
        <v>618</v>
      </c>
      <c r="F77" t="s">
        <v>552</v>
      </c>
      <c r="G77" s="2" t="s">
        <v>695</v>
      </c>
      <c r="H77" t="s">
        <v>601</v>
      </c>
      <c r="J77" t="s">
        <v>7</v>
      </c>
      <c r="K77" t="str">
        <f t="shared" si="3"/>
        <v xml:space="preserve">INSERT INTO T_CK_SVC_WORKFLOW(WKFL_ID, WKFL_APPS_CODE, WKFL_ACCN_TYPE, WKFL_ROLE, WKFL_SCV_TYPE, WKFL_ACTION, WKFL_FROM_STATE, WKFL_TO_STATE, WKFL_URI, WKFL_STATUS, WKFL_DT_CREATE, WKFL_UID_CREATE, WKFL_DT_LUPD, WKFL_UID_LUPD) </v>
      </c>
      <c r="L77" t="str">
        <f t="shared" si="4"/>
        <v xml:space="preserve"> VALUES('MJOB_3','CKT','ACC_TYPE_TO','DRIVER','CLICTRUCK','START','PAUSED','ONGOING','','A',NOW(),'SYS',NOW(),'SYS');</v>
      </c>
      <c r="M77" t="str">
        <f t="shared" si="5"/>
        <v>INSERT INTO T_CK_SVC_WORKFLOW(WKFL_ID, WKFL_APPS_CODE, WKFL_ACCN_TYPE, WKFL_ROLE, WKFL_SCV_TYPE, WKFL_ACTION, WKFL_FROM_STATE, WKFL_TO_STATE, WKFL_URI, WKFL_STATUS, WKFL_DT_CREATE, WKFL_UID_CREATE, WKFL_DT_LUPD, WKFL_UID_LUPD)  VALUES('MJOB_3','CKT','ACC_TYPE_TO','DRIVER','CLICTRUCK','START','PAUSED','ONGOING','','A',NOW(),'SYS',NOW(),'SYS');</v>
      </c>
    </row>
    <row r="78" spans="1:13" x14ac:dyDescent="0.2">
      <c r="A78" t="s">
        <v>697</v>
      </c>
      <c r="B78" t="s">
        <v>14</v>
      </c>
      <c r="C78" t="s">
        <v>598</v>
      </c>
      <c r="D78" s="2" t="s">
        <v>29</v>
      </c>
      <c r="E78" t="s">
        <v>618</v>
      </c>
      <c r="F78" t="s">
        <v>554</v>
      </c>
      <c r="G78" t="s">
        <v>601</v>
      </c>
      <c r="H78" t="s">
        <v>606</v>
      </c>
      <c r="J78" t="s">
        <v>7</v>
      </c>
      <c r="K78" t="str">
        <f t="shared" si="3"/>
        <v xml:space="preserve">INSERT INTO T_CK_SVC_WORKFLOW(WKFL_ID, WKFL_APPS_CODE, WKFL_ACCN_TYPE, WKFL_ROLE, WKFL_SCV_TYPE, WKFL_ACTION, WKFL_FROM_STATE, WKFL_TO_STATE, WKFL_URI, WKFL_STATUS, WKFL_DT_CREATE, WKFL_UID_CREATE, WKFL_DT_LUPD, WKFL_UID_LUPD) </v>
      </c>
      <c r="L78" t="str">
        <f t="shared" si="4"/>
        <v xml:space="preserve"> VALUES('MJOB_4','CKT','ACC_TYPE_TO','DRIVER','CLICTRUCK','STOP','ONGOING','DLV','','A',NOW(),'SYS',NOW(),'SYS');</v>
      </c>
      <c r="M78" t="str">
        <f t="shared" si="5"/>
        <v>INSERT INTO T_CK_SVC_WORKFLOW(WKFL_ID, WKFL_APPS_CODE, WKFL_ACCN_TYPE, WKFL_ROLE, WKFL_SCV_TYPE, WKFL_ACTION, WKFL_FROM_STATE, WKFL_TO_STATE, WKFL_URI, WKFL_STATUS, WKFL_DT_CREATE, WKFL_UID_CREATE, WKFL_DT_LUPD, WKFL_UID_LUPD)  VALUES('MJOB_4','CKT','ACC_TYPE_TO','DRIVER','CLICTRUCK','STOP','ONGOING','DLV','','A',NOW(),'SYS',NOW(),'SYS');</v>
      </c>
    </row>
    <row r="79" spans="1:13" x14ac:dyDescent="0.2">
      <c r="A79" t="s">
        <v>698</v>
      </c>
      <c r="B79" t="s">
        <v>14</v>
      </c>
      <c r="C79" t="s">
        <v>598</v>
      </c>
      <c r="D79" t="s">
        <v>29</v>
      </c>
      <c r="E79" t="s">
        <v>618</v>
      </c>
      <c r="F79" t="s">
        <v>574</v>
      </c>
      <c r="G79" t="s">
        <v>699</v>
      </c>
      <c r="H79" t="s">
        <v>700</v>
      </c>
      <c r="J79" t="s">
        <v>7</v>
      </c>
      <c r="K79" t="str">
        <f t="shared" si="3"/>
        <v xml:space="preserve">INSERT INTO T_CK_SVC_WORKFLOW(WKFL_ID, WKFL_APPS_CODE, WKFL_ACCN_TYPE, WKFL_ROLE, WKFL_SCV_TYPE, WKFL_ACTION, WKFL_FROM_STATE, WKFL_TO_STATE, WKFL_URI, WKFL_STATUS, WKFL_DT_CREATE, WKFL_UID_CREATE, WKFL_DT_LUPD, WKFL_UID_LUPD) </v>
      </c>
      <c r="L79" t="str">
        <f t="shared" si="4"/>
        <v xml:space="preserve"> VALUES('MOBILETRIP_1','CKT','ACC_TYPE_TO','DRIVER','CLICTRUCK','MPICKUP','M_ACTIVE','M_PICKED_UP','','A',NOW(),'SYS',NOW(),'SYS');</v>
      </c>
      <c r="M79" t="str">
        <f t="shared" si="5"/>
        <v>INSERT INTO T_CK_SVC_WORKFLOW(WKFL_ID, WKFL_APPS_CODE, WKFL_ACCN_TYPE, WKFL_ROLE, WKFL_SCV_TYPE, WKFL_ACTION, WKFL_FROM_STATE, WKFL_TO_STATE, WKFL_URI, WKFL_STATUS, WKFL_DT_CREATE, WKFL_UID_CREATE, WKFL_DT_LUPD, WKFL_UID_LUPD)  VALUES('MOBILETRIP_1','CKT','ACC_TYPE_TO','DRIVER','CLICTRUCK','MPICKUP','M_ACTIVE','M_PICKED_UP','','A',NOW(),'SYS',NOW(),'SYS');</v>
      </c>
    </row>
    <row r="80" spans="1:13" x14ac:dyDescent="0.2">
      <c r="A80" t="s">
        <v>701</v>
      </c>
      <c r="B80" t="s">
        <v>14</v>
      </c>
      <c r="C80" t="s">
        <v>598</v>
      </c>
      <c r="D80" t="s">
        <v>29</v>
      </c>
      <c r="E80" t="s">
        <v>618</v>
      </c>
      <c r="F80" t="s">
        <v>570</v>
      </c>
      <c r="G80" t="s">
        <v>700</v>
      </c>
      <c r="H80" t="s">
        <v>702</v>
      </c>
      <c r="J80" t="s">
        <v>7</v>
      </c>
      <c r="K80" t="str">
        <f t="shared" si="3"/>
        <v xml:space="preserve">INSERT INTO T_CK_SVC_WORKFLOW(WKFL_ID, WKFL_APPS_CODE, WKFL_ACCN_TYPE, WKFL_ROLE, WKFL_SCV_TYPE, WKFL_ACTION, WKFL_FROM_STATE, WKFL_TO_STATE, WKFL_URI, WKFL_STATUS, WKFL_DT_CREATE, WKFL_UID_CREATE, WKFL_DT_LUPD, WKFL_UID_LUPD) </v>
      </c>
      <c r="L80" t="str">
        <f t="shared" si="4"/>
        <v xml:space="preserve"> VALUES('MOBILETRIP_2','CKT','ACC_TYPE_TO','DRIVER','CLICTRUCK','MDELIVER','M_PICKED_UP','M_DELIVERED','','A',NOW(),'SYS',NOW(),'SYS');</v>
      </c>
      <c r="M80" t="str">
        <f t="shared" si="5"/>
        <v>INSERT INTO T_CK_SVC_WORKFLOW(WKFL_ID, WKFL_APPS_CODE, WKFL_ACCN_TYPE, WKFL_ROLE, WKFL_SCV_TYPE, WKFL_ACTION, WKFL_FROM_STATE, WKFL_TO_STATE, WKFL_URI, WKFL_STATUS, WKFL_DT_CREATE, WKFL_UID_CREATE, WKFL_DT_LUPD, WKFL_UID_LUPD)  VALUES('MOBILETRIP_2','CKT','ACC_TYPE_TO','DRIVER','CLICTRUCK','MDELIVER','M_PICKED_UP','M_DELIVERED','','A',NOW(),'SYS',NOW(),'SYS');</v>
      </c>
    </row>
    <row r="81" spans="1:13" x14ac:dyDescent="0.2">
      <c r="A81" t="s">
        <v>703</v>
      </c>
      <c r="B81" t="s">
        <v>14</v>
      </c>
      <c r="C81" t="s">
        <v>598</v>
      </c>
      <c r="D81" t="s">
        <v>29</v>
      </c>
      <c r="E81" t="s">
        <v>618</v>
      </c>
      <c r="F81" t="s">
        <v>572</v>
      </c>
      <c r="G81" t="s">
        <v>702</v>
      </c>
      <c r="H81" t="s">
        <v>606</v>
      </c>
      <c r="J81" t="s">
        <v>7</v>
      </c>
      <c r="K81" t="str">
        <f t="shared" si="3"/>
        <v xml:space="preserve">INSERT INTO T_CK_SVC_WORKFLOW(WKFL_ID, WKFL_APPS_CODE, WKFL_ACCN_TYPE, WKFL_ROLE, WKFL_SCV_TYPE, WKFL_ACTION, WKFL_FROM_STATE, WKFL_TO_STATE, WKFL_URI, WKFL_STATUS, WKFL_DT_CREATE, WKFL_UID_CREATE, WKFL_DT_LUPD, WKFL_UID_LUPD) </v>
      </c>
      <c r="L81" t="str">
        <f t="shared" si="4"/>
        <v xml:space="preserve"> VALUES('MOBILETRIP_3','CKT','ACC_TYPE_TO','DRIVER','CLICTRUCK','MDROPOFF','M_DELIVERED','DLV','','A',NOW(),'SYS',NOW(),'SYS');</v>
      </c>
      <c r="M81" t="str">
        <f t="shared" si="5"/>
        <v>INSERT INTO T_CK_SVC_WORKFLOW(WKFL_ID, WKFL_APPS_CODE, WKFL_ACCN_TYPE, WKFL_ROLE, WKFL_SCV_TYPE, WKFL_ACTION, WKFL_FROM_STATE, WKFL_TO_STATE, WKFL_URI, WKFL_STATUS, WKFL_DT_CREATE, WKFL_UID_CREATE, WKFL_DT_LUPD, WKFL_UID_LUPD)  VALUES('MOBILETRIP_3','CKT','ACC_TYPE_TO','DRIVER','CLICTRUCK','MDROPOFF','M_DELIVERED','DLV','','A',NOW(),'SYS',NOW(),'SYS');</v>
      </c>
    </row>
    <row r="82" spans="1:13" x14ac:dyDescent="0.2">
      <c r="A82" t="s">
        <v>704</v>
      </c>
      <c r="B82" t="s">
        <v>14</v>
      </c>
      <c r="C82" t="s">
        <v>598</v>
      </c>
      <c r="D82" t="s">
        <v>29</v>
      </c>
      <c r="E82" t="s">
        <v>618</v>
      </c>
      <c r="F82" s="2" t="s">
        <v>576</v>
      </c>
      <c r="G82" t="s">
        <v>700</v>
      </c>
      <c r="H82" t="s">
        <v>699</v>
      </c>
      <c r="J82" t="s">
        <v>7</v>
      </c>
      <c r="K82" t="str">
        <f t="shared" si="3"/>
        <v xml:space="preserve">INSERT INTO T_CK_SVC_WORKFLOW(WKFL_ID, WKFL_APPS_CODE, WKFL_ACCN_TYPE, WKFL_ROLE, WKFL_SCV_TYPE, WKFL_ACTION, WKFL_FROM_STATE, WKFL_TO_STATE, WKFL_URI, WKFL_STATUS, WKFL_DT_CREATE, WKFL_UID_CREATE, WKFL_DT_LUPD, WKFL_UID_LUPD) </v>
      </c>
      <c r="L82" t="str">
        <f t="shared" si="4"/>
        <v xml:space="preserve"> VALUES('MOBILETRIP_4','CKT','ACC_TYPE_TO','DRIVER','CLICTRUCK','MREDO','M_PICKED_UP','M_ACTIVE','','A',NOW(),'SYS',NOW(),'SYS');</v>
      </c>
      <c r="M82" t="str">
        <f t="shared" si="5"/>
        <v>INSERT INTO T_CK_SVC_WORKFLOW(WKFL_ID, WKFL_APPS_CODE, WKFL_ACCN_TYPE, WKFL_ROLE, WKFL_SCV_TYPE, WKFL_ACTION, WKFL_FROM_STATE, WKFL_TO_STATE, WKFL_URI, WKFL_STATUS, WKFL_DT_CREATE, WKFL_UID_CREATE, WKFL_DT_LUPD, WKFL_UID_LUPD)  VALUES('MOBILETRIP_4','CKT','ACC_TYPE_TO','DRIVER','CLICTRUCK','MREDO','M_PICKED_UP','M_ACTIVE','','A',NOW(),'SYS',NOW(),'SYS');</v>
      </c>
    </row>
    <row r="83" spans="1:13" x14ac:dyDescent="0.2">
      <c r="A83" s="35" t="s">
        <v>1186</v>
      </c>
      <c r="B83" s="35" t="s">
        <v>30</v>
      </c>
      <c r="C83" t="s">
        <v>93</v>
      </c>
      <c r="D83" t="s">
        <v>19</v>
      </c>
      <c r="E83" s="35" t="s">
        <v>731</v>
      </c>
      <c r="F83" t="s">
        <v>556</v>
      </c>
      <c r="G83" t="s">
        <v>100</v>
      </c>
      <c r="H83" t="s">
        <v>101</v>
      </c>
      <c r="J83" t="s">
        <v>7</v>
      </c>
      <c r="K83" t="str">
        <f t="shared" si="3"/>
        <v xml:space="preserve">INSERT INTO T_CK_SVC_WORKFLOW(WKFL_ID, WKFL_APPS_CODE, WKFL_ACCN_TYPE, WKFL_ROLE, WKFL_SCV_TYPE, WKFL_ACTION, WKFL_FROM_STATE, WKFL_TO_STATE, WKFL_URI, WKFL_STATUS, WKFL_DT_CREATE, WKFL_UID_CREATE, WKFL_DT_LUPD, WKFL_UID_LUPD) </v>
      </c>
      <c r="L83" t="str">
        <f t="shared" si="4"/>
        <v xml:space="preserve"> VALUES('ACNREG_CKDO_1','CKDO','ACC_TYPE_SP','SP_L1','CLICDO','SUBMIT','NEW','SUB','','A',NOW(),'SYS',NOW(),'SYS');</v>
      </c>
      <c r="M83" t="str">
        <f t="shared" si="5"/>
        <v>INSERT INTO T_CK_SVC_WORKFLOW(WKFL_ID, WKFL_APPS_CODE, WKFL_ACCN_TYPE, WKFL_ROLE, WKFL_SCV_TYPE, WKFL_ACTION, WKFL_FROM_STATE, WKFL_TO_STATE, WKFL_URI, WKFL_STATUS, WKFL_DT_CREATE, WKFL_UID_CREATE, WKFL_DT_LUPD, WKFL_UID_LUPD)  VALUES('ACNREG_CKDO_1','CKDO','ACC_TYPE_SP','SP_L1','CLICDO','SUBMIT','NEW','SUB','','A',NOW(),'SYS',NOW(),'SYS');</v>
      </c>
    </row>
    <row r="84" spans="1:13" x14ac:dyDescent="0.2">
      <c r="A84" s="35" t="s">
        <v>1187</v>
      </c>
      <c r="B84" s="35" t="s">
        <v>30</v>
      </c>
      <c r="C84" t="s">
        <v>93</v>
      </c>
      <c r="D84" t="s">
        <v>19</v>
      </c>
      <c r="E84" s="35" t="s">
        <v>731</v>
      </c>
      <c r="F84" t="s">
        <v>531</v>
      </c>
      <c r="G84" t="s">
        <v>100</v>
      </c>
      <c r="H84" t="s">
        <v>103</v>
      </c>
      <c r="J84" t="s">
        <v>7</v>
      </c>
      <c r="K84" t="str">
        <f t="shared" si="3"/>
        <v xml:space="preserve">INSERT INTO T_CK_SVC_WORKFLOW(WKFL_ID, WKFL_APPS_CODE, WKFL_ACCN_TYPE, WKFL_ROLE, WKFL_SCV_TYPE, WKFL_ACTION, WKFL_FROM_STATE, WKFL_TO_STATE, WKFL_URI, WKFL_STATUS, WKFL_DT_CREATE, WKFL_UID_CREATE, WKFL_DT_LUPD, WKFL_UID_LUPD) </v>
      </c>
      <c r="L84" t="str">
        <f t="shared" si="4"/>
        <v xml:space="preserve"> VALUES('ACNREG_CKDO_2','CKDO','ACC_TYPE_SP','SP_L1','CLICDO','DELETE','NEW','DEL','','A',NOW(),'SYS',NOW(),'SYS');</v>
      </c>
      <c r="M84" t="str">
        <f t="shared" si="5"/>
        <v>INSERT INTO T_CK_SVC_WORKFLOW(WKFL_ID, WKFL_APPS_CODE, WKFL_ACCN_TYPE, WKFL_ROLE, WKFL_SCV_TYPE, WKFL_ACTION, WKFL_FROM_STATE, WKFL_TO_STATE, WKFL_URI, WKFL_STATUS, WKFL_DT_CREATE, WKFL_UID_CREATE, WKFL_DT_LUPD, WKFL_UID_LUPD)  VALUES('ACNREG_CKDO_2','CKDO','ACC_TYPE_SP','SP_L1','CLICDO','DELETE','NEW','DEL','','A',NOW(),'SYS',NOW(),'SYS');</v>
      </c>
    </row>
    <row r="85" spans="1:13" x14ac:dyDescent="0.2">
      <c r="A85" s="35" t="s">
        <v>1188</v>
      </c>
      <c r="B85" s="35" t="s">
        <v>30</v>
      </c>
      <c r="C85" t="s">
        <v>93</v>
      </c>
      <c r="D85" s="35" t="s">
        <v>18</v>
      </c>
      <c r="E85" s="35" t="s">
        <v>731</v>
      </c>
      <c r="F85" t="s">
        <v>517</v>
      </c>
      <c r="G85" t="s">
        <v>101</v>
      </c>
      <c r="H85" t="s">
        <v>105</v>
      </c>
      <c r="J85" t="s">
        <v>7</v>
      </c>
      <c r="K85" t="str">
        <f t="shared" si="3"/>
        <v xml:space="preserve">INSERT INTO T_CK_SVC_WORKFLOW(WKFL_ID, WKFL_APPS_CODE, WKFL_ACCN_TYPE, WKFL_ROLE, WKFL_SCV_TYPE, WKFL_ACTION, WKFL_FROM_STATE, WKFL_TO_STATE, WKFL_URI, WKFL_STATUS, WKFL_DT_CREATE, WKFL_UID_CREATE, WKFL_DT_LUPD, WKFL_UID_LUPD) </v>
      </c>
      <c r="L85" t="str">
        <f t="shared" si="4"/>
        <v xml:space="preserve"> VALUES('ACNREG_CKDO_3','CKDO','ACC_TYPE_SP','SP_OP_ADMIN','CLICDO','APPROVE','SUB','APP','','A',NOW(),'SYS',NOW(),'SYS');</v>
      </c>
      <c r="M85" t="str">
        <f t="shared" si="5"/>
        <v>INSERT INTO T_CK_SVC_WORKFLOW(WKFL_ID, WKFL_APPS_CODE, WKFL_ACCN_TYPE, WKFL_ROLE, WKFL_SCV_TYPE, WKFL_ACTION, WKFL_FROM_STATE, WKFL_TO_STATE, WKFL_URI, WKFL_STATUS, WKFL_DT_CREATE, WKFL_UID_CREATE, WKFL_DT_LUPD, WKFL_UID_LUPD)  VALUES('ACNREG_CKDO_3','CKDO','ACC_TYPE_SP','SP_OP_ADMIN','CLICDO','APPROVE','SUB','APP','','A',NOW(),'SYS',NOW(),'SYS');</v>
      </c>
    </row>
    <row r="86" spans="1:13" x14ac:dyDescent="0.2">
      <c r="A86" s="35" t="s">
        <v>1189</v>
      </c>
      <c r="B86" s="35" t="s">
        <v>30</v>
      </c>
      <c r="C86" t="s">
        <v>93</v>
      </c>
      <c r="D86" s="35" t="s">
        <v>18</v>
      </c>
      <c r="E86" s="35" t="s">
        <v>731</v>
      </c>
      <c r="F86" t="s">
        <v>542</v>
      </c>
      <c r="G86" t="s">
        <v>101</v>
      </c>
      <c r="H86" t="s">
        <v>107</v>
      </c>
      <c r="J86" t="s">
        <v>7</v>
      </c>
      <c r="K86" t="str">
        <f t="shared" si="3"/>
        <v xml:space="preserve">INSERT INTO T_CK_SVC_WORKFLOW(WKFL_ID, WKFL_APPS_CODE, WKFL_ACCN_TYPE, WKFL_ROLE, WKFL_SCV_TYPE, WKFL_ACTION, WKFL_FROM_STATE, WKFL_TO_STATE, WKFL_URI, WKFL_STATUS, WKFL_DT_CREATE, WKFL_UID_CREATE, WKFL_DT_LUPD, WKFL_UID_LUPD) </v>
      </c>
      <c r="L86" t="str">
        <f t="shared" si="4"/>
        <v xml:space="preserve"> VALUES('ACNREG_CKDO_4','CKDO','ACC_TYPE_SP','SP_OP_ADMIN','CLICDO','REJECT','SUB','REJ','','A',NOW(),'SYS',NOW(),'SYS');</v>
      </c>
      <c r="M86" t="str">
        <f t="shared" si="5"/>
        <v>INSERT INTO T_CK_SVC_WORKFLOW(WKFL_ID, WKFL_APPS_CODE, WKFL_ACCN_TYPE, WKFL_ROLE, WKFL_SCV_TYPE, WKFL_ACTION, WKFL_FROM_STATE, WKFL_TO_STATE, WKFL_URI, WKFL_STATUS, WKFL_DT_CREATE, WKFL_UID_CREATE, WKFL_DT_LUPD, WKFL_UID_LUPD)  VALUES('ACNREG_CKDO_4','CKDO','ACC_TYPE_SP','SP_OP_ADMIN','CLICDO','REJECT','SUB','REJ','','A',NOW(),'SYS',NOW(),'SYS');</v>
      </c>
    </row>
    <row r="87" spans="1:13" x14ac:dyDescent="0.2">
      <c r="A87" s="35" t="s">
        <v>1190</v>
      </c>
      <c r="B87" s="35" t="s">
        <v>30</v>
      </c>
      <c r="C87" t="s">
        <v>93</v>
      </c>
      <c r="D87" t="s">
        <v>19</v>
      </c>
      <c r="E87" s="35" t="s">
        <v>731</v>
      </c>
      <c r="F87" t="s">
        <v>558</v>
      </c>
      <c r="G87" t="s">
        <v>105</v>
      </c>
      <c r="H87" t="s">
        <v>101</v>
      </c>
      <c r="J87" t="s">
        <v>7</v>
      </c>
      <c r="K87" t="str">
        <f t="shared" si="3"/>
        <v xml:space="preserve">INSERT INTO T_CK_SVC_WORKFLOW(WKFL_ID, WKFL_APPS_CODE, WKFL_ACCN_TYPE, WKFL_ROLE, WKFL_SCV_TYPE, WKFL_ACTION, WKFL_FROM_STATE, WKFL_TO_STATE, WKFL_URI, WKFL_STATUS, WKFL_DT_CREATE, WKFL_UID_CREATE, WKFL_DT_LUPD, WKFL_UID_LUPD) </v>
      </c>
      <c r="L87" t="str">
        <f t="shared" si="4"/>
        <v xml:space="preserve"> VALUES('ACNSUS_CKDO_1','CKDO','ACC_TYPE_SP','SP_L1','CLICDO','SUSPEND','APP','SUB','','A',NOW(),'SYS',NOW(),'SYS');</v>
      </c>
      <c r="M87" t="str">
        <f t="shared" si="5"/>
        <v>INSERT INTO T_CK_SVC_WORKFLOW(WKFL_ID, WKFL_APPS_CODE, WKFL_ACCN_TYPE, WKFL_ROLE, WKFL_SCV_TYPE, WKFL_ACTION, WKFL_FROM_STATE, WKFL_TO_STATE, WKFL_URI, WKFL_STATUS, WKFL_DT_CREATE, WKFL_UID_CREATE, WKFL_DT_LUPD, WKFL_UID_LUPD)  VALUES('ACNSUS_CKDO_1','CKDO','ACC_TYPE_SP','SP_L1','CLICDO','SUSPEND','APP','SUB','','A',NOW(),'SYS',NOW(),'SYS');</v>
      </c>
    </row>
    <row r="88" spans="1:13" x14ac:dyDescent="0.2">
      <c r="A88" s="35" t="s">
        <v>1191</v>
      </c>
      <c r="B88" s="35" t="s">
        <v>30</v>
      </c>
      <c r="C88" t="s">
        <v>93</v>
      </c>
      <c r="D88" s="35" t="s">
        <v>18</v>
      </c>
      <c r="E88" s="35" t="s">
        <v>731</v>
      </c>
      <c r="F88" t="s">
        <v>517</v>
      </c>
      <c r="G88" t="s">
        <v>101</v>
      </c>
      <c r="H88" t="s">
        <v>609</v>
      </c>
      <c r="J88" t="s">
        <v>7</v>
      </c>
      <c r="K88" t="str">
        <f t="shared" si="3"/>
        <v xml:space="preserve">INSERT INTO T_CK_SVC_WORKFLOW(WKFL_ID, WKFL_APPS_CODE, WKFL_ACCN_TYPE, WKFL_ROLE, WKFL_SCV_TYPE, WKFL_ACTION, WKFL_FROM_STATE, WKFL_TO_STATE, WKFL_URI, WKFL_STATUS, WKFL_DT_CREATE, WKFL_UID_CREATE, WKFL_DT_LUPD, WKFL_UID_LUPD) </v>
      </c>
      <c r="L88" t="str">
        <f t="shared" si="4"/>
        <v xml:space="preserve"> VALUES('ACNSUS_CKDO_2','CKDO','ACC_TYPE_SP','SP_OP_ADMIN','CLICDO','APPROVE','SUB','SUS','','A',NOW(),'SYS',NOW(),'SYS');</v>
      </c>
      <c r="M88" t="str">
        <f t="shared" si="5"/>
        <v>INSERT INTO T_CK_SVC_WORKFLOW(WKFL_ID, WKFL_APPS_CODE, WKFL_ACCN_TYPE, WKFL_ROLE, WKFL_SCV_TYPE, WKFL_ACTION, WKFL_FROM_STATE, WKFL_TO_STATE, WKFL_URI, WKFL_STATUS, WKFL_DT_CREATE, WKFL_UID_CREATE, WKFL_DT_LUPD, WKFL_UID_LUPD)  VALUES('ACNSUS_CKDO_2','CKDO','ACC_TYPE_SP','SP_OP_ADMIN','CLICDO','APPROVE','SUB','SUS','','A',NOW(),'SYS',NOW(),'SYS');</v>
      </c>
    </row>
    <row r="89" spans="1:13" x14ac:dyDescent="0.2">
      <c r="A89" s="35" t="s">
        <v>1192</v>
      </c>
      <c r="B89" s="35" t="s">
        <v>30</v>
      </c>
      <c r="C89" t="s">
        <v>93</v>
      </c>
      <c r="D89" s="35" t="s">
        <v>18</v>
      </c>
      <c r="E89" s="35" t="s">
        <v>731</v>
      </c>
      <c r="F89" t="s">
        <v>542</v>
      </c>
      <c r="G89" t="s">
        <v>101</v>
      </c>
      <c r="H89" t="s">
        <v>107</v>
      </c>
      <c r="J89" t="s">
        <v>7</v>
      </c>
      <c r="K89" t="str">
        <f t="shared" si="3"/>
        <v xml:space="preserve">INSERT INTO T_CK_SVC_WORKFLOW(WKFL_ID, WKFL_APPS_CODE, WKFL_ACCN_TYPE, WKFL_ROLE, WKFL_SCV_TYPE, WKFL_ACTION, WKFL_FROM_STATE, WKFL_TO_STATE, WKFL_URI, WKFL_STATUS, WKFL_DT_CREATE, WKFL_UID_CREATE, WKFL_DT_LUPD, WKFL_UID_LUPD) </v>
      </c>
      <c r="L89" t="str">
        <f t="shared" si="4"/>
        <v xml:space="preserve"> VALUES('ACNSUS_CKDO_3','CKDO','ACC_TYPE_SP','SP_OP_ADMIN','CLICDO','REJECT','SUB','REJ','','A',NOW(),'SYS',NOW(),'SYS');</v>
      </c>
      <c r="M89" t="str">
        <f t="shared" si="5"/>
        <v>INSERT INTO T_CK_SVC_WORKFLOW(WKFL_ID, WKFL_APPS_CODE, WKFL_ACCN_TYPE, WKFL_ROLE, WKFL_SCV_TYPE, WKFL_ACTION, WKFL_FROM_STATE, WKFL_TO_STATE, WKFL_URI, WKFL_STATUS, WKFL_DT_CREATE, WKFL_UID_CREATE, WKFL_DT_LUPD, WKFL_UID_LUPD)  VALUES('ACNSUS_CKDO_3','CKDO','ACC_TYPE_SP','SP_OP_ADMIN','CLICDO','REJECT','SUB','REJ','','A',NOW(),'SYS',NOW(),'SYS');</v>
      </c>
    </row>
    <row r="90" spans="1:13" x14ac:dyDescent="0.2">
      <c r="A90" s="35" t="s">
        <v>1193</v>
      </c>
      <c r="B90" s="35" t="s">
        <v>30</v>
      </c>
      <c r="C90" t="s">
        <v>93</v>
      </c>
      <c r="D90" t="s">
        <v>19</v>
      </c>
      <c r="E90" s="35" t="s">
        <v>731</v>
      </c>
      <c r="F90" t="s">
        <v>560</v>
      </c>
      <c r="G90" t="s">
        <v>105</v>
      </c>
      <c r="H90" t="s">
        <v>101</v>
      </c>
      <c r="J90" t="s">
        <v>7</v>
      </c>
      <c r="K90" t="str">
        <f t="shared" si="3"/>
        <v xml:space="preserve">INSERT INTO T_CK_SVC_WORKFLOW(WKFL_ID, WKFL_APPS_CODE, WKFL_ACCN_TYPE, WKFL_ROLE, WKFL_SCV_TYPE, WKFL_ACTION, WKFL_FROM_STATE, WKFL_TO_STATE, WKFL_URI, WKFL_STATUS, WKFL_DT_CREATE, WKFL_UID_CREATE, WKFL_DT_LUPD, WKFL_UID_LUPD) </v>
      </c>
      <c r="L90" t="str">
        <f t="shared" si="4"/>
        <v xml:space="preserve"> VALUES('ACNTER_CKDO_1','CKDO','ACC_TYPE_SP','SP_L1','CLICDO','TERMINATE','APP','SUB','','A',NOW(),'SYS',NOW(),'SYS');</v>
      </c>
      <c r="M90" t="str">
        <f t="shared" si="5"/>
        <v>INSERT INTO T_CK_SVC_WORKFLOW(WKFL_ID, WKFL_APPS_CODE, WKFL_ACCN_TYPE, WKFL_ROLE, WKFL_SCV_TYPE, WKFL_ACTION, WKFL_FROM_STATE, WKFL_TO_STATE, WKFL_URI, WKFL_STATUS, WKFL_DT_CREATE, WKFL_UID_CREATE, WKFL_DT_LUPD, WKFL_UID_LUPD)  VALUES('ACNTER_CKDO_1','CKDO','ACC_TYPE_SP','SP_L1','CLICDO','TERMINATE','APP','SUB','','A',NOW(),'SYS',NOW(),'SYS');</v>
      </c>
    </row>
    <row r="91" spans="1:13" x14ac:dyDescent="0.2">
      <c r="A91" s="35" t="s">
        <v>1194</v>
      </c>
      <c r="B91" s="35" t="s">
        <v>30</v>
      </c>
      <c r="C91" t="s">
        <v>93</v>
      </c>
      <c r="D91" s="35" t="s">
        <v>18</v>
      </c>
      <c r="E91" s="35" t="s">
        <v>731</v>
      </c>
      <c r="F91" t="s">
        <v>517</v>
      </c>
      <c r="G91" t="s">
        <v>101</v>
      </c>
      <c r="H91" t="s">
        <v>610</v>
      </c>
      <c r="J91" t="s">
        <v>7</v>
      </c>
      <c r="K91" t="str">
        <f t="shared" si="3"/>
        <v xml:space="preserve">INSERT INTO T_CK_SVC_WORKFLOW(WKFL_ID, WKFL_APPS_CODE, WKFL_ACCN_TYPE, WKFL_ROLE, WKFL_SCV_TYPE, WKFL_ACTION, WKFL_FROM_STATE, WKFL_TO_STATE, WKFL_URI, WKFL_STATUS, WKFL_DT_CREATE, WKFL_UID_CREATE, WKFL_DT_LUPD, WKFL_UID_LUPD) </v>
      </c>
      <c r="L91" t="str">
        <f t="shared" si="4"/>
        <v xml:space="preserve"> VALUES('ACNTER_CKDO_2','CKDO','ACC_TYPE_SP','SP_OP_ADMIN','CLICDO','APPROVE','SUB','TERMINATED','','A',NOW(),'SYS',NOW(),'SYS');</v>
      </c>
      <c r="M91" t="str">
        <f t="shared" si="5"/>
        <v>INSERT INTO T_CK_SVC_WORKFLOW(WKFL_ID, WKFL_APPS_CODE, WKFL_ACCN_TYPE, WKFL_ROLE, WKFL_SCV_TYPE, WKFL_ACTION, WKFL_FROM_STATE, WKFL_TO_STATE, WKFL_URI, WKFL_STATUS, WKFL_DT_CREATE, WKFL_UID_CREATE, WKFL_DT_LUPD, WKFL_UID_LUPD)  VALUES('ACNTER_CKDO_2','CKDO','ACC_TYPE_SP','SP_OP_ADMIN','CLICDO','APPROVE','SUB','TERMINATED','','A',NOW(),'SYS',NOW(),'SYS');</v>
      </c>
    </row>
    <row r="92" spans="1:13" x14ac:dyDescent="0.2">
      <c r="A92" s="35" t="s">
        <v>1195</v>
      </c>
      <c r="B92" s="35" t="s">
        <v>30</v>
      </c>
      <c r="C92" t="s">
        <v>93</v>
      </c>
      <c r="D92" s="35" t="s">
        <v>18</v>
      </c>
      <c r="E92" s="35" t="s">
        <v>731</v>
      </c>
      <c r="F92" t="s">
        <v>542</v>
      </c>
      <c r="G92" t="s">
        <v>101</v>
      </c>
      <c r="H92" t="s">
        <v>107</v>
      </c>
      <c r="J92" t="s">
        <v>7</v>
      </c>
      <c r="K92" t="str">
        <f t="shared" si="3"/>
        <v xml:space="preserve">INSERT INTO T_CK_SVC_WORKFLOW(WKFL_ID, WKFL_APPS_CODE, WKFL_ACCN_TYPE, WKFL_ROLE, WKFL_SCV_TYPE, WKFL_ACTION, WKFL_FROM_STATE, WKFL_TO_STATE, WKFL_URI, WKFL_STATUS, WKFL_DT_CREATE, WKFL_UID_CREATE, WKFL_DT_LUPD, WKFL_UID_LUPD) </v>
      </c>
      <c r="L92" t="str">
        <f t="shared" si="4"/>
        <v xml:space="preserve"> VALUES('ACNTER_CKDO_3','CKDO','ACC_TYPE_SP','SP_OP_ADMIN','CLICDO','REJECT','SUB','REJ','','A',NOW(),'SYS',NOW(),'SYS');</v>
      </c>
      <c r="M92" t="str">
        <f t="shared" si="5"/>
        <v>INSERT INTO T_CK_SVC_WORKFLOW(WKFL_ID, WKFL_APPS_CODE, WKFL_ACCN_TYPE, WKFL_ROLE, WKFL_SCV_TYPE, WKFL_ACTION, WKFL_FROM_STATE, WKFL_TO_STATE, WKFL_URI, WKFL_STATUS, WKFL_DT_CREATE, WKFL_UID_CREATE, WKFL_DT_LUPD, WKFL_UID_LUPD)  VALUES('ACNTER_CKDO_3','CKDO','ACC_TYPE_SP','SP_OP_ADMIN','CLICDO','REJECT','SUB','REJ','','A',NOW(),'SYS',NOW(),'SYS');</v>
      </c>
    </row>
    <row r="93" spans="1:13" x14ac:dyDescent="0.2">
      <c r="A93" s="35" t="s">
        <v>1196</v>
      </c>
      <c r="B93" s="35" t="s">
        <v>30</v>
      </c>
      <c r="C93" t="s">
        <v>93</v>
      </c>
      <c r="D93" t="s">
        <v>19</v>
      </c>
      <c r="E93" s="35" t="s">
        <v>731</v>
      </c>
      <c r="F93" t="s">
        <v>546</v>
      </c>
      <c r="G93" t="s">
        <v>609</v>
      </c>
      <c r="H93" t="s">
        <v>101</v>
      </c>
      <c r="J93" t="s">
        <v>7</v>
      </c>
      <c r="K93" t="str">
        <f t="shared" si="3"/>
        <v xml:space="preserve">INSERT INTO T_CK_SVC_WORKFLOW(WKFL_ID, WKFL_APPS_CODE, WKFL_ACCN_TYPE, WKFL_ROLE, WKFL_SCV_TYPE, WKFL_ACTION, WKFL_FROM_STATE, WKFL_TO_STATE, WKFL_URI, WKFL_STATUS, WKFL_DT_CREATE, WKFL_UID_CREATE, WKFL_DT_LUPD, WKFL_UID_LUPD) </v>
      </c>
      <c r="L93" t="str">
        <f t="shared" ref="L93:L95" si="6">CONCATENATE(" VALUES('",A93,"','",B93,"','",C93,"','",D93,"','",E93,"','",F93,"','",G93,"','",H93,"','",I93,"','",J93,"',NOW(),'SYS',NOW(),'SYS');")</f>
        <v xml:space="preserve"> VALUES('ACNRESUMPT_CKDO_1','CKDO','ACC_TYPE_SP','SP_L1','CLICDO','RESUMPTION','SUS','SUB','','A',NOW(),'SYS',NOW(),'SYS');</v>
      </c>
      <c r="M93" t="str">
        <f t="shared" si="5"/>
        <v>INSERT INTO T_CK_SVC_WORKFLOW(WKFL_ID, WKFL_APPS_CODE, WKFL_ACCN_TYPE, WKFL_ROLE, WKFL_SCV_TYPE, WKFL_ACTION, WKFL_FROM_STATE, WKFL_TO_STATE, WKFL_URI, WKFL_STATUS, WKFL_DT_CREATE, WKFL_UID_CREATE, WKFL_DT_LUPD, WKFL_UID_LUPD)  VALUES('ACNRESUMPT_CKDO_1','CKDO','ACC_TYPE_SP','SP_L1','CLICDO','RESUMPTION','SUS','SUB','','A',NOW(),'SYS',NOW(),'SYS');</v>
      </c>
    </row>
    <row r="94" spans="1:13" x14ac:dyDescent="0.2">
      <c r="A94" s="35" t="s">
        <v>1197</v>
      </c>
      <c r="B94" s="35" t="s">
        <v>30</v>
      </c>
      <c r="C94" t="s">
        <v>93</v>
      </c>
      <c r="D94" s="35" t="s">
        <v>18</v>
      </c>
      <c r="E94" s="35" t="s">
        <v>731</v>
      </c>
      <c r="F94" t="s">
        <v>517</v>
      </c>
      <c r="G94" t="s">
        <v>101</v>
      </c>
      <c r="H94" t="s">
        <v>105</v>
      </c>
      <c r="J94" t="s">
        <v>7</v>
      </c>
      <c r="K94" t="str">
        <f t="shared" si="3"/>
        <v xml:space="preserve">INSERT INTO T_CK_SVC_WORKFLOW(WKFL_ID, WKFL_APPS_CODE, WKFL_ACCN_TYPE, WKFL_ROLE, WKFL_SCV_TYPE, WKFL_ACTION, WKFL_FROM_STATE, WKFL_TO_STATE, WKFL_URI, WKFL_STATUS, WKFL_DT_CREATE, WKFL_UID_CREATE, WKFL_DT_LUPD, WKFL_UID_LUPD) </v>
      </c>
      <c r="L94" t="str">
        <f t="shared" si="6"/>
        <v xml:space="preserve"> VALUES('ACNRESUMPT_CKDO_2','CKDO','ACC_TYPE_SP','SP_OP_ADMIN','CLICDO','APPROVE','SUB','APP','','A',NOW(),'SYS',NOW(),'SYS');</v>
      </c>
      <c r="M94" t="str">
        <f t="shared" si="5"/>
        <v>INSERT INTO T_CK_SVC_WORKFLOW(WKFL_ID, WKFL_APPS_CODE, WKFL_ACCN_TYPE, WKFL_ROLE, WKFL_SCV_TYPE, WKFL_ACTION, WKFL_FROM_STATE, WKFL_TO_STATE, WKFL_URI, WKFL_STATUS, WKFL_DT_CREATE, WKFL_UID_CREATE, WKFL_DT_LUPD, WKFL_UID_LUPD)  VALUES('ACNRESUMPT_CKDO_2','CKDO','ACC_TYPE_SP','SP_OP_ADMIN','CLICDO','APPROVE','SUB','APP','','A',NOW(),'SYS',NOW(),'SYS');</v>
      </c>
    </row>
    <row r="95" spans="1:13" x14ac:dyDescent="0.2">
      <c r="A95" s="35" t="s">
        <v>1198</v>
      </c>
      <c r="B95" s="35" t="s">
        <v>30</v>
      </c>
      <c r="C95" t="s">
        <v>93</v>
      </c>
      <c r="D95" s="35" t="s">
        <v>18</v>
      </c>
      <c r="E95" s="35" t="s">
        <v>731</v>
      </c>
      <c r="F95" t="s">
        <v>542</v>
      </c>
      <c r="G95" t="s">
        <v>101</v>
      </c>
      <c r="H95" t="s">
        <v>107</v>
      </c>
      <c r="J95" t="s">
        <v>7</v>
      </c>
      <c r="K95" t="str">
        <f t="shared" si="3"/>
        <v xml:space="preserve">INSERT INTO T_CK_SVC_WORKFLOW(WKFL_ID, WKFL_APPS_CODE, WKFL_ACCN_TYPE, WKFL_ROLE, WKFL_SCV_TYPE, WKFL_ACTION, WKFL_FROM_STATE, WKFL_TO_STATE, WKFL_URI, WKFL_STATUS, WKFL_DT_CREATE, WKFL_UID_CREATE, WKFL_DT_LUPD, WKFL_UID_LUPD) </v>
      </c>
      <c r="L95" t="str">
        <f t="shared" si="6"/>
        <v xml:space="preserve"> VALUES('ACNRESUMPT_CKDO_3','CKDO','ACC_TYPE_SP','SP_OP_ADMIN','CLICDO','REJECT','SUB','REJ','','A',NOW(),'SYS',NOW(),'SYS');</v>
      </c>
      <c r="M95" t="str">
        <f t="shared" si="5"/>
        <v>INSERT INTO T_CK_SVC_WORKFLOW(WKFL_ID, WKFL_APPS_CODE, WKFL_ACCN_TYPE, WKFL_ROLE, WKFL_SCV_TYPE, WKFL_ACTION, WKFL_FROM_STATE, WKFL_TO_STATE, WKFL_URI, WKFL_STATUS, WKFL_DT_CREATE, WKFL_UID_CREATE, WKFL_DT_LUPD, WKFL_UID_LUPD)  VALUES('ACNRESUMPT_CKDO_3','CKDO','ACC_TYPE_SP','SP_OP_ADMIN','CLICDO','REJECT','SUB','REJ','','A',NOW(),'SYS',NOW(),'SYS');</v>
      </c>
    </row>
  </sheetData>
  <phoneticPr fontId="18"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3"/>
  <sheetViews>
    <sheetView zoomScale="111" zoomScaleNormal="111" workbookViewId="0">
      <selection activeCell="G13" sqref="G13"/>
    </sheetView>
  </sheetViews>
  <sheetFormatPr baseColWidth="10" defaultColWidth="11" defaultRowHeight="16" x14ac:dyDescent="0.2"/>
  <cols>
    <col min="1" max="1" width="11" customWidth="1"/>
    <col min="2" max="2" width="19.6640625" customWidth="1"/>
    <col min="3" max="3" width="18.83203125" customWidth="1"/>
    <col min="4" max="4" width="25.5" customWidth="1"/>
    <col min="5" max="6" width="16.5" customWidth="1"/>
    <col min="7" max="7" width="103.5" style="4" customWidth="1"/>
  </cols>
  <sheetData>
    <row r="1" spans="1:10" x14ac:dyDescent="0.2">
      <c r="A1" s="1" t="s">
        <v>705</v>
      </c>
      <c r="B1" s="1" t="s">
        <v>706</v>
      </c>
      <c r="C1" s="1" t="s">
        <v>707</v>
      </c>
      <c r="D1" s="1" t="s">
        <v>708</v>
      </c>
      <c r="E1" s="1" t="s">
        <v>709</v>
      </c>
      <c r="F1" s="1" t="s">
        <v>710</v>
      </c>
      <c r="G1" s="5" t="s">
        <v>711</v>
      </c>
    </row>
    <row r="2" spans="1:10" x14ac:dyDescent="0.2">
      <c r="A2">
        <v>1</v>
      </c>
      <c r="B2" t="s">
        <v>14</v>
      </c>
      <c r="C2" t="s">
        <v>43</v>
      </c>
      <c r="D2" t="s">
        <v>9</v>
      </c>
      <c r="E2" t="s">
        <v>618</v>
      </c>
      <c r="F2" t="s">
        <v>100</v>
      </c>
      <c r="G2" s="4" t="s">
        <v>712</v>
      </c>
      <c r="H2" t="str">
        <f>CONCATENATE("INSERT INTO T_CK_SVC_ACTION_MASK(SAM_ID, SAM_APPS_CODE, SAM_ACCN_TYPE, SAM_ROLE, SAM_SCV_TYPE, SAM_STATE, SAM_MASK, SAM_STATUS, SAM_DT_CREATE, SAM_UID_CREATE, SAM_DT_LUPD, SAM_UID_LUPD) ")</f>
        <v xml:space="preserve">INSERT INTO T_CK_SVC_ACTION_MASK(SAM_ID, SAM_APPS_CODE, SAM_ACCN_TYPE, SAM_ROLE, SAM_SCV_TYPE, SAM_STATE, SAM_MASK, SAM_STATUS, SAM_DT_CREATE, SAM_UID_CREATE, SAM_DT_LUPD, SAM_UID_LUPD) </v>
      </c>
      <c r="I2" t="str">
        <f>CONCATENATE(" VALUES('",A2,"','",B2,"','",C2,"','",D2,"','",E2,"','",F2,"',B'",G2,"','A',NOW(),'SYS', NOW(),'SYS');")</f>
        <v xml:space="preserve"> VALUES('1','CKT','ACC_TYPE_CO','OFFICER','CLICTRUCK','NEW',B'00000000011','A',NOW(),'SYS', NOW(),'SYS');</v>
      </c>
      <c r="J2" t="str">
        <f>CONCATENATE(H2,I2)</f>
        <v>INSERT INTO T_CK_SVC_ACTION_MASK(SAM_ID, SAM_APPS_CODE, SAM_ACCN_TYPE, SAM_ROLE, SAM_SCV_TYPE, SAM_STATE, SAM_MASK, SAM_STATUS, SAM_DT_CREATE, SAM_UID_CREATE, SAM_DT_LUPD, SAM_UID_LUPD)  VALUES('1','CKT','ACC_TYPE_CO','OFFICER','CLICTRUCK','NEW',B'00000000011','A',NOW(),'SYS', NOW(),'SYS');</v>
      </c>
    </row>
    <row r="3" spans="1:10" x14ac:dyDescent="0.2">
      <c r="A3">
        <v>2</v>
      </c>
      <c r="B3" t="s">
        <v>14</v>
      </c>
      <c r="C3" t="s">
        <v>43</v>
      </c>
      <c r="D3" t="s">
        <v>9</v>
      </c>
      <c r="E3" t="s">
        <v>618</v>
      </c>
      <c r="F3" t="s">
        <v>101</v>
      </c>
      <c r="G3" s="4" t="s">
        <v>713</v>
      </c>
      <c r="H3" t="str">
        <f t="shared" ref="H3:H13" si="0">CONCATENATE("INSERT INTO T_CK_SVC_ACTION_MASK(SAM_ID, SAM_APPS_CODE, SAM_ACCN_TYPE, SAM_ROLE, SAM_SCV_TYPE, SAM_STATE, SAM_MASK, SAM_STATUS, SAM_DT_CREATE, SAM_UID_CREATE, SAM_DT_LUPD, SAM_UID_LUPD) ")</f>
        <v xml:space="preserve">INSERT INTO T_CK_SVC_ACTION_MASK(SAM_ID, SAM_APPS_CODE, SAM_ACCN_TYPE, SAM_ROLE, SAM_SCV_TYPE, SAM_STATE, SAM_MASK, SAM_STATUS, SAM_DT_CREATE, SAM_UID_CREATE, SAM_DT_LUPD, SAM_UID_LUPD) </v>
      </c>
      <c r="I3" t="str">
        <f t="shared" ref="I3:I13" si="1">CONCATENATE(" VALUES('",A3,"','",B3,"','",C3,"','",D3,"','",E3,"','",F3,"',B'",G3,"','A',NOW(),'SYS', NOW(),'SYS');")</f>
        <v xml:space="preserve"> VALUES('2','CKT','ACC_TYPE_CO','OFFICER','CLICTRUCK','SUB',B'00000000100','A',NOW(),'SYS', NOW(),'SYS');</v>
      </c>
      <c r="J3" t="str">
        <f t="shared" ref="J3:J13" si="2">CONCATENATE(H3,I3)</f>
        <v>INSERT INTO T_CK_SVC_ACTION_MASK(SAM_ID, SAM_APPS_CODE, SAM_ACCN_TYPE, SAM_ROLE, SAM_SCV_TYPE, SAM_STATE, SAM_MASK, SAM_STATUS, SAM_DT_CREATE, SAM_UID_CREATE, SAM_DT_LUPD, SAM_UID_LUPD)  VALUES('2','CKT','ACC_TYPE_CO','OFFICER','CLICTRUCK','SUB',B'00000000100','A',NOW(),'SYS', NOW(),'SYS');</v>
      </c>
    </row>
    <row r="4" spans="1:10" x14ac:dyDescent="0.2">
      <c r="A4">
        <v>3</v>
      </c>
      <c r="B4" t="s">
        <v>14</v>
      </c>
      <c r="C4" t="s">
        <v>598</v>
      </c>
      <c r="D4" t="s">
        <v>9</v>
      </c>
      <c r="E4" t="s">
        <v>618</v>
      </c>
      <c r="F4" t="s">
        <v>101</v>
      </c>
      <c r="G4" s="4" t="s">
        <v>714</v>
      </c>
      <c r="H4" t="str">
        <f t="shared" si="0"/>
        <v xml:space="preserve">INSERT INTO T_CK_SVC_ACTION_MASK(SAM_ID, SAM_APPS_CODE, SAM_ACCN_TYPE, SAM_ROLE, SAM_SCV_TYPE, SAM_STATE, SAM_MASK, SAM_STATUS, SAM_DT_CREATE, SAM_UID_CREATE, SAM_DT_LUPD, SAM_UID_LUPD) </v>
      </c>
      <c r="I4" t="str">
        <f t="shared" si="1"/>
        <v xml:space="preserve"> VALUES('3','CKT','ACC_TYPE_TO','OFFICER','CLICTRUCK','SUB',B'00000011000','A',NOW(),'SYS', NOW(),'SYS');</v>
      </c>
      <c r="J4" t="str">
        <f t="shared" si="2"/>
        <v>INSERT INTO T_CK_SVC_ACTION_MASK(SAM_ID, SAM_APPS_CODE, SAM_ACCN_TYPE, SAM_ROLE, SAM_SCV_TYPE, SAM_STATE, SAM_MASK, SAM_STATUS, SAM_DT_CREATE, SAM_UID_CREATE, SAM_DT_LUPD, SAM_UID_LUPD)  VALUES('3','CKT','ACC_TYPE_TO','OFFICER','CLICTRUCK','SUB',B'00000011000','A',NOW(),'SYS', NOW(),'SYS');</v>
      </c>
    </row>
    <row r="5" spans="1:10" x14ac:dyDescent="0.2">
      <c r="A5">
        <v>4</v>
      </c>
      <c r="B5" t="s">
        <v>14</v>
      </c>
      <c r="C5" t="s">
        <v>598</v>
      </c>
      <c r="D5" t="s">
        <v>9</v>
      </c>
      <c r="E5" t="s">
        <v>618</v>
      </c>
      <c r="F5" t="s">
        <v>107</v>
      </c>
      <c r="G5" s="4" t="s">
        <v>715</v>
      </c>
      <c r="H5" t="str">
        <f t="shared" si="0"/>
        <v xml:space="preserve">INSERT INTO T_CK_SVC_ACTION_MASK(SAM_ID, SAM_APPS_CODE, SAM_ACCN_TYPE, SAM_ROLE, SAM_SCV_TYPE, SAM_STATE, SAM_MASK, SAM_STATUS, SAM_DT_CREATE, SAM_UID_CREATE, SAM_DT_LUPD, SAM_UID_LUPD) </v>
      </c>
      <c r="I5" t="str">
        <f t="shared" si="1"/>
        <v xml:space="preserve"> VALUES('4','CKT','ACC_TYPE_TO','OFFICER','CLICTRUCK','REJ',B'00000000000','A',NOW(),'SYS', NOW(),'SYS');</v>
      </c>
      <c r="J5" t="str">
        <f t="shared" si="2"/>
        <v>INSERT INTO T_CK_SVC_ACTION_MASK(SAM_ID, SAM_APPS_CODE, SAM_ACCN_TYPE, SAM_ROLE, SAM_SCV_TYPE, SAM_STATE, SAM_MASK, SAM_STATUS, SAM_DT_CREATE, SAM_UID_CREATE, SAM_DT_LUPD, SAM_UID_LUPD)  VALUES('4','CKT','ACC_TYPE_TO','OFFICER','CLICTRUCK','REJ',B'00000000000','A',NOW(),'SYS', NOW(),'SYS');</v>
      </c>
    </row>
    <row r="6" spans="1:10" x14ac:dyDescent="0.2">
      <c r="A6">
        <v>5</v>
      </c>
      <c r="B6" t="s">
        <v>14</v>
      </c>
      <c r="C6" t="s">
        <v>598</v>
      </c>
      <c r="D6" t="s">
        <v>9</v>
      </c>
      <c r="E6" t="s">
        <v>618</v>
      </c>
      <c r="F6" t="s">
        <v>599</v>
      </c>
      <c r="G6" s="4" t="s">
        <v>716</v>
      </c>
      <c r="H6" t="str">
        <f t="shared" si="0"/>
        <v xml:space="preserve">INSERT INTO T_CK_SVC_ACTION_MASK(SAM_ID, SAM_APPS_CODE, SAM_ACCN_TYPE, SAM_ROLE, SAM_SCV_TYPE, SAM_STATE, SAM_MASK, SAM_STATUS, SAM_DT_CREATE, SAM_UID_CREATE, SAM_DT_LUPD, SAM_UID_LUPD) </v>
      </c>
      <c r="I6" t="str">
        <f t="shared" si="1"/>
        <v xml:space="preserve"> VALUES('5','CKT','ACC_TYPE_TO','OFFICER','CLICTRUCK','ACP',B'00000100000','A',NOW(),'SYS', NOW(),'SYS');</v>
      </c>
      <c r="J6" t="str">
        <f t="shared" si="2"/>
        <v>INSERT INTO T_CK_SVC_ACTION_MASK(SAM_ID, SAM_APPS_CODE, SAM_ACCN_TYPE, SAM_ROLE, SAM_SCV_TYPE, SAM_STATE, SAM_MASK, SAM_STATUS, SAM_DT_CREATE, SAM_UID_CREATE, SAM_DT_LUPD, SAM_UID_LUPD)  VALUES('5','CKT','ACC_TYPE_TO','OFFICER','CLICTRUCK','ACP',B'00000100000','A',NOW(),'SYS', NOW(),'SYS');</v>
      </c>
    </row>
    <row r="7" spans="1:10" x14ac:dyDescent="0.2">
      <c r="A7">
        <v>6</v>
      </c>
      <c r="B7" t="s">
        <v>14</v>
      </c>
      <c r="C7" t="s">
        <v>598</v>
      </c>
      <c r="D7" t="s">
        <v>9</v>
      </c>
      <c r="E7" t="s">
        <v>618</v>
      </c>
      <c r="F7" t="s">
        <v>600</v>
      </c>
      <c r="G7" s="4" t="s">
        <v>717</v>
      </c>
      <c r="H7" t="str">
        <f t="shared" si="0"/>
        <v xml:space="preserve">INSERT INTO T_CK_SVC_ACTION_MASK(SAM_ID, SAM_APPS_CODE, SAM_ACCN_TYPE, SAM_ROLE, SAM_SCV_TYPE, SAM_STATE, SAM_MASK, SAM_STATUS, SAM_DT_CREATE, SAM_UID_CREATE, SAM_DT_LUPD, SAM_UID_LUPD) </v>
      </c>
      <c r="I7" t="str">
        <f t="shared" si="1"/>
        <v xml:space="preserve"> VALUES('6','CKT','ACC_TYPE_TO','OFFICER','CLICTRUCK','ASG',B'00001000000','A',NOW(),'SYS', NOW(),'SYS');</v>
      </c>
      <c r="J7" t="str">
        <f t="shared" si="2"/>
        <v>INSERT INTO T_CK_SVC_ACTION_MASK(SAM_ID, SAM_APPS_CODE, SAM_ACCN_TYPE, SAM_ROLE, SAM_SCV_TYPE, SAM_STATE, SAM_MASK, SAM_STATUS, SAM_DT_CREATE, SAM_UID_CREATE, SAM_DT_LUPD, SAM_UID_LUPD)  VALUES('6','CKT','ACC_TYPE_TO','OFFICER','CLICTRUCK','ASG',B'00001000000','A',NOW(),'SYS', NOW(),'SYS');</v>
      </c>
    </row>
    <row r="8" spans="1:10" x14ac:dyDescent="0.2">
      <c r="A8">
        <v>7</v>
      </c>
      <c r="B8" t="s">
        <v>14</v>
      </c>
      <c r="C8" t="s">
        <v>598</v>
      </c>
      <c r="D8" t="s">
        <v>9</v>
      </c>
      <c r="E8" t="s">
        <v>618</v>
      </c>
      <c r="F8" t="s">
        <v>601</v>
      </c>
      <c r="G8" s="4" t="s">
        <v>718</v>
      </c>
      <c r="H8" t="str">
        <f t="shared" si="0"/>
        <v xml:space="preserve">INSERT INTO T_CK_SVC_ACTION_MASK(SAM_ID, SAM_APPS_CODE, SAM_ACCN_TYPE, SAM_ROLE, SAM_SCV_TYPE, SAM_STATE, SAM_MASK, SAM_STATUS, SAM_DT_CREATE, SAM_UID_CREATE, SAM_DT_LUPD, SAM_UID_LUPD) </v>
      </c>
      <c r="I8" t="str">
        <f t="shared" si="1"/>
        <v xml:space="preserve"> VALUES('7','CKT','ACC_TYPE_TO','OFFICER','CLICTRUCK','ONGOING',B'00010000000','A',NOW(),'SYS', NOW(),'SYS');</v>
      </c>
      <c r="J8" t="str">
        <f t="shared" si="2"/>
        <v>INSERT INTO T_CK_SVC_ACTION_MASK(SAM_ID, SAM_APPS_CODE, SAM_ACCN_TYPE, SAM_ROLE, SAM_SCV_TYPE, SAM_STATE, SAM_MASK, SAM_STATUS, SAM_DT_CREATE, SAM_UID_CREATE, SAM_DT_LUPD, SAM_UID_LUPD)  VALUES('7','CKT','ACC_TYPE_TO','OFFICER','CLICTRUCK','ONGOING',B'00010000000','A',NOW(),'SYS', NOW(),'SYS');</v>
      </c>
    </row>
    <row r="9" spans="1:10" x14ac:dyDescent="0.2">
      <c r="A9">
        <v>8</v>
      </c>
      <c r="B9" t="s">
        <v>14</v>
      </c>
      <c r="C9" t="s">
        <v>598</v>
      </c>
      <c r="D9" t="s">
        <v>15</v>
      </c>
      <c r="E9" t="s">
        <v>618</v>
      </c>
      <c r="F9" t="s">
        <v>606</v>
      </c>
      <c r="G9" s="4" t="s">
        <v>719</v>
      </c>
      <c r="H9" t="str">
        <f t="shared" si="0"/>
        <v xml:space="preserve">INSERT INTO T_CK_SVC_ACTION_MASK(SAM_ID, SAM_APPS_CODE, SAM_ACCN_TYPE, SAM_ROLE, SAM_SCV_TYPE, SAM_STATE, SAM_MASK, SAM_STATUS, SAM_DT_CREATE, SAM_UID_CREATE, SAM_DT_LUPD, SAM_UID_LUPD) </v>
      </c>
      <c r="I9" t="str">
        <f t="shared" si="1"/>
        <v xml:space="preserve"> VALUES('8','CKT','ACC_TYPE_TO','FF_FINANCE','CLICTRUCK','DLV',B'00100000000','A',NOW(),'SYS', NOW(),'SYS');</v>
      </c>
      <c r="J9" t="str">
        <f t="shared" si="2"/>
        <v>INSERT INTO T_CK_SVC_ACTION_MASK(SAM_ID, SAM_APPS_CODE, SAM_ACCN_TYPE, SAM_ROLE, SAM_SCV_TYPE, SAM_STATE, SAM_MASK, SAM_STATUS, SAM_DT_CREATE, SAM_UID_CREATE, SAM_DT_LUPD, SAM_UID_LUPD)  VALUES('8','CKT','ACC_TYPE_TO','FF_FINANCE','CLICTRUCK','DLV',B'00100000000','A',NOW(),'SYS', NOW(),'SYS');</v>
      </c>
    </row>
    <row r="10" spans="1:10" x14ac:dyDescent="0.2">
      <c r="A10">
        <v>9</v>
      </c>
      <c r="B10" t="s">
        <v>14</v>
      </c>
      <c r="C10" t="s">
        <v>43</v>
      </c>
      <c r="D10" t="s">
        <v>15</v>
      </c>
      <c r="E10" t="s">
        <v>618</v>
      </c>
      <c r="F10" t="s">
        <v>602</v>
      </c>
      <c r="G10" s="4" t="s">
        <v>720</v>
      </c>
      <c r="H10" t="str">
        <f t="shared" si="0"/>
        <v xml:space="preserve">INSERT INTO T_CK_SVC_ACTION_MASK(SAM_ID, SAM_APPS_CODE, SAM_ACCN_TYPE, SAM_ROLE, SAM_SCV_TYPE, SAM_STATE, SAM_MASK, SAM_STATUS, SAM_DT_CREATE, SAM_UID_CREATE, SAM_DT_LUPD, SAM_UID_LUPD) </v>
      </c>
      <c r="I10" t="str">
        <f t="shared" si="1"/>
        <v xml:space="preserve"> VALUES('9','CKT','ACC_TYPE_CO','FF_FINANCE','CLICTRUCK','BILLED',B'01000000000','A',NOW(),'SYS', NOW(),'SYS');</v>
      </c>
      <c r="J10" t="str">
        <f t="shared" si="2"/>
        <v>INSERT INTO T_CK_SVC_ACTION_MASK(SAM_ID, SAM_APPS_CODE, SAM_ACCN_TYPE, SAM_ROLE, SAM_SCV_TYPE, SAM_STATE, SAM_MASK, SAM_STATUS, SAM_DT_CREATE, SAM_UID_CREATE, SAM_DT_LUPD, SAM_UID_LUPD)  VALUES('9','CKT','ACC_TYPE_CO','FF_FINANCE','CLICTRUCK','BILLED',B'01000000000','A',NOW(),'SYS', NOW(),'SYS');</v>
      </c>
    </row>
    <row r="11" spans="1:10" x14ac:dyDescent="0.2">
      <c r="A11">
        <v>10</v>
      </c>
      <c r="B11" t="s">
        <v>14</v>
      </c>
      <c r="C11" s="6" t="s">
        <v>43</v>
      </c>
      <c r="D11" t="s">
        <v>15</v>
      </c>
      <c r="E11" t="s">
        <v>618</v>
      </c>
      <c r="F11" t="s">
        <v>603</v>
      </c>
      <c r="G11" s="4" t="s">
        <v>721</v>
      </c>
      <c r="H11" t="str">
        <f t="shared" si="0"/>
        <v xml:space="preserve">INSERT INTO T_CK_SVC_ACTION_MASK(SAM_ID, SAM_APPS_CODE, SAM_ACCN_TYPE, SAM_ROLE, SAM_SCV_TYPE, SAM_STATE, SAM_MASK, SAM_STATUS, SAM_DT_CREATE, SAM_UID_CREATE, SAM_DT_LUPD, SAM_UID_LUPD) </v>
      </c>
      <c r="I11" t="str">
        <f t="shared" si="1"/>
        <v xml:space="preserve"> VALUES('10','CKT','ACC_TYPE_CO','FF_FINANCE','CLICTRUCK','VER_BILL',B'10000000000','A',NOW(),'SYS', NOW(),'SYS');</v>
      </c>
      <c r="J11" t="str">
        <f t="shared" si="2"/>
        <v>INSERT INTO T_CK_SVC_ACTION_MASK(SAM_ID, SAM_APPS_CODE, SAM_ACCN_TYPE, SAM_ROLE, SAM_SCV_TYPE, SAM_STATE, SAM_MASK, SAM_STATUS, SAM_DT_CREATE, SAM_UID_CREATE, SAM_DT_LUPD, SAM_UID_LUPD)  VALUES('10','CKT','ACC_TYPE_CO','FF_FINANCE','CLICTRUCK','VER_BILL',B'10000000000','A',NOW(),'SYS', NOW(),'SYS');</v>
      </c>
    </row>
    <row r="12" spans="1:10" x14ac:dyDescent="0.2">
      <c r="A12">
        <v>11</v>
      </c>
      <c r="B12" t="s">
        <v>14</v>
      </c>
      <c r="C12" s="6" t="s">
        <v>93</v>
      </c>
      <c r="D12" t="s">
        <v>722</v>
      </c>
      <c r="E12" t="s">
        <v>618</v>
      </c>
      <c r="F12" t="s">
        <v>100</v>
      </c>
      <c r="G12" s="4" t="s">
        <v>720</v>
      </c>
      <c r="H12" t="str">
        <f t="shared" si="0"/>
        <v xml:space="preserve">INSERT INTO T_CK_SVC_ACTION_MASK(SAM_ID, SAM_APPS_CODE, SAM_ACCN_TYPE, SAM_ROLE, SAM_SCV_TYPE, SAM_STATE, SAM_MASK, SAM_STATUS, SAM_DT_CREATE, SAM_UID_CREATE, SAM_DT_LUPD, SAM_UID_LUPD) </v>
      </c>
      <c r="I12" t="str">
        <f t="shared" si="1"/>
        <v xml:space="preserve"> VALUES('11','CKT','ACC_TYPE_SP','FINANCE_VERIFIER','CLICTRUCK','NEW',B'01000000000','A',NOW(),'SYS', NOW(),'SYS');</v>
      </c>
      <c r="J12" t="str">
        <f t="shared" si="2"/>
        <v>INSERT INTO T_CK_SVC_ACTION_MASK(SAM_ID, SAM_APPS_CODE, SAM_ACCN_TYPE, SAM_ROLE, SAM_SCV_TYPE, SAM_STATE, SAM_MASK, SAM_STATUS, SAM_DT_CREATE, SAM_UID_CREATE, SAM_DT_LUPD, SAM_UID_LUPD)  VALUES('11','CKT','ACC_TYPE_SP','FINANCE_VERIFIER','CLICTRUCK','NEW',B'01000000000','A',NOW(),'SYS', NOW(),'SYS');</v>
      </c>
    </row>
    <row r="13" spans="1:10" x14ac:dyDescent="0.2">
      <c r="A13">
        <v>12</v>
      </c>
      <c r="B13" t="s">
        <v>14</v>
      </c>
      <c r="C13" s="6" t="s">
        <v>93</v>
      </c>
      <c r="D13" t="s">
        <v>723</v>
      </c>
      <c r="E13" t="s">
        <v>618</v>
      </c>
      <c r="F13" t="s">
        <v>603</v>
      </c>
      <c r="G13" s="4" t="s">
        <v>721</v>
      </c>
      <c r="H13" t="str">
        <f t="shared" si="0"/>
        <v xml:space="preserve">INSERT INTO T_CK_SVC_ACTION_MASK(SAM_ID, SAM_APPS_CODE, SAM_ACCN_TYPE, SAM_ROLE, SAM_SCV_TYPE, SAM_STATE, SAM_MASK, SAM_STATUS, SAM_DT_CREATE, SAM_UID_CREATE, SAM_DT_LUPD, SAM_UID_LUPD) </v>
      </c>
      <c r="I13" t="str">
        <f t="shared" si="1"/>
        <v xml:space="preserve"> VALUES('12','CKT','ACC_TYPE_SP','FINANCE_APPROVER','CLICTRUCK','VER_BILL',B'10000000000','A',NOW(),'SYS', NOW(),'SYS');</v>
      </c>
      <c r="J13" t="str">
        <f t="shared" si="2"/>
        <v>INSERT INTO T_CK_SVC_ACTION_MASK(SAM_ID, SAM_APPS_CODE, SAM_ACCN_TYPE, SAM_ROLE, SAM_SCV_TYPE, SAM_STATE, SAM_MASK, SAM_STATUS, SAM_DT_CREATE, SAM_UID_CREATE, SAM_DT_LUPD, SAM_UID_LUPD)  VALUES('12','CKT','ACC_TYPE_SP','FINANCE_APPROVER','CLICTRUCK','VER_BILL',B'10000000000','A',NOW(),'SYS', NOW(),'SYS');</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87"/>
  <sheetViews>
    <sheetView zoomScale="114" zoomScaleNormal="114" workbookViewId="0">
      <pane ySplit="1" topLeftCell="A68" activePane="bottomLeft" state="frozen"/>
      <selection pane="bottomLeft" activeCell="A87" sqref="A87:XFD87"/>
    </sheetView>
  </sheetViews>
  <sheetFormatPr baseColWidth="10" defaultColWidth="51" defaultRowHeight="16" x14ac:dyDescent="0.2"/>
  <cols>
    <col min="1" max="1" width="9.33203125" style="29" customWidth="1"/>
    <col min="2" max="2" width="17.5" style="29" customWidth="1"/>
    <col min="3" max="3" width="19.6640625" style="29" customWidth="1"/>
    <col min="4" max="4" width="43.83203125" style="29" customWidth="1"/>
    <col min="5" max="5" width="62.5" style="29" customWidth="1"/>
    <col min="6" max="6" width="6.33203125" style="29" customWidth="1"/>
    <col min="7" max="7" width="5.6640625" style="29" customWidth="1"/>
    <col min="8" max="8" width="37.83203125" style="29" customWidth="1"/>
    <col min="9" max="9" width="34" style="29" customWidth="1"/>
    <col min="10" max="16384" width="51" style="29"/>
  </cols>
  <sheetData>
    <row r="1" spans="1:10" x14ac:dyDescent="0.2">
      <c r="A1" s="28" t="s">
        <v>724</v>
      </c>
      <c r="B1" s="28" t="s">
        <v>725</v>
      </c>
      <c r="C1" s="28" t="s">
        <v>726</v>
      </c>
      <c r="D1" s="28" t="s">
        <v>727</v>
      </c>
      <c r="E1" s="28" t="s">
        <v>728</v>
      </c>
      <c r="F1" s="28" t="s">
        <v>729</v>
      </c>
      <c r="G1" s="28" t="s">
        <v>730</v>
      </c>
      <c r="H1" s="28" t="s">
        <v>4</v>
      </c>
    </row>
    <row r="2" spans="1:10" x14ac:dyDescent="0.2">
      <c r="A2">
        <v>1</v>
      </c>
      <c r="B2" s="29" t="s">
        <v>5</v>
      </c>
      <c r="C2" s="29" t="s">
        <v>731</v>
      </c>
      <c r="D2" t="s">
        <v>732</v>
      </c>
      <c r="E2" t="s">
        <v>733</v>
      </c>
      <c r="F2" s="29" t="s">
        <v>125</v>
      </c>
      <c r="G2" s="29" t="s">
        <v>7</v>
      </c>
      <c r="H2" s="29" t="str">
        <f>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2" s="29" t="str">
        <f>CONCATENATE(" VALUES('",A2,"','",B2,"','",C2,"','",D2,"','",E2,"',",IF(F2="NULL","NULL",CONCATENATE("'",F2,"'")),",'",G2,"',NOW(),'SYS',NOW(),'SYS');")</f>
        <v xml:space="preserve"> VALUES('1','CK','CLICDO','clicdo.doi.co.jobs.list','When a job is submitted, it is locked and its fields cannot be edited. If there are errors associated with the submitted job, it has to be cancelled before it is picked up for processing by the authorized party (aka Freight Forwarder)',NULL,'A',NOW(),'SYS',NOW(),'SYS');</v>
      </c>
      <c r="J2" s="29" t="str">
        <f>CONCATENATE(H2,I2)</f>
        <v>INSERT INTO T_CK_COMPONENT_GUIDE(CMGU_ID, CMGU_APPS_CODE, CMGU_SERVICE_TYPE, CMGU_COMPONENT_ID, CMGU_GUIDE, CMGU_GUIDE_OTH, CMGU_STATUS, CMGU_DT_CREATE, CMGU_UID_CREATE, CMGU_DT_LUPD, CMGU_UID_LUPD)  VALUES('1','CK','CLICDO','clicdo.doi.co.jobs.list','When a job is submitted, it is locked and its fields cannot be edited. If there are errors associated with the submitted job, it has to be cancelled before it is picked up for processing by the authorized party (aka Freight Forwarder)',NULL,'A',NOW(),'SYS',NOW(),'SYS');</v>
      </c>
    </row>
    <row r="3" spans="1:10" x14ac:dyDescent="0.2">
      <c r="A3">
        <v>2</v>
      </c>
      <c r="B3" s="29" t="s">
        <v>5</v>
      </c>
      <c r="C3" s="29" t="s">
        <v>731</v>
      </c>
      <c r="D3" t="s">
        <v>734</v>
      </c>
      <c r="E3" t="s">
        <v>1079</v>
      </c>
      <c r="F3" s="29" t="s">
        <v>125</v>
      </c>
      <c r="G3" s="29" t="s">
        <v>7</v>
      </c>
      <c r="H3" s="29" t="str">
        <f t="shared" ref="H3:H27" si="0">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3" s="29" t="str">
        <f t="shared" ref="I3:I24" si="1">CONCATENATE(" VALUES('",A3,"','",B3,"','",C3,"','",D3,"','",E3,"',",IF(F3="NULL","NULL",CONCATENATE("'",F3,"'")),",'",G3,"',NOW(),'SYS',NOW(),'SYS');")</f>
        <v xml:space="preserve"> VALUES('2','CK','CLICDO','clicdo.doi.co.jobs.list.table','Each job record in the list corresponds to job corresponding to a Bill of Lading (BL) document. These jobs when submitted will be picked up by the Authorized Party (aka Freight Forwarders) stated in the job for DO claiming. Click on eye icon to view the BL in PDF and the cancel icon to cancel the job.',NULL,'A',NOW(),'SYS',NOW(),'SYS');</v>
      </c>
      <c r="J3" s="29" t="str">
        <f t="shared" ref="J3:J24" si="2">CONCATENATE(H3,I3)</f>
        <v>INSERT INTO T_CK_COMPONENT_GUIDE(CMGU_ID, CMGU_APPS_CODE, CMGU_SERVICE_TYPE, CMGU_COMPONENT_ID, CMGU_GUIDE, CMGU_GUIDE_OTH, CMGU_STATUS, CMGU_DT_CREATE, CMGU_UID_CREATE, CMGU_DT_LUPD, CMGU_UID_LUPD)  VALUES('2','CK','CLICDO','clicdo.doi.co.jobs.list.table','Each job record in the list corresponds to job corresponding to a Bill of Lading (BL) document. These jobs when submitted will be picked up by the Authorized Party (aka Freight Forwarders) stated in the job for DO claiming. Click on eye icon to view the BL in PDF and the cancel icon to cancel the job.',NULL,'A',NOW(),'SYS',NOW(),'SYS');</v>
      </c>
    </row>
    <row r="4" spans="1:10" x14ac:dyDescent="0.2">
      <c r="A4">
        <v>3</v>
      </c>
      <c r="B4" s="29" t="s">
        <v>5</v>
      </c>
      <c r="C4" s="29" t="s">
        <v>731</v>
      </c>
      <c r="D4" t="s">
        <v>735</v>
      </c>
      <c r="E4" t="s">
        <v>736</v>
      </c>
      <c r="F4" s="29" t="s">
        <v>125</v>
      </c>
      <c r="G4" s="29" t="s">
        <v>7</v>
      </c>
      <c r="H4" s="29" t="str">
        <f t="shared" si="0"/>
        <v xml:space="preserve">INSERT INTO T_CK_COMPONENT_GUIDE(CMGU_ID, CMGU_APPS_CODE, CMGU_SERVICE_TYPE, CMGU_COMPONENT_ID, CMGU_GUIDE, CMGU_GUIDE_OTH, CMGU_STATUS, CMGU_DT_CREATE, CMGU_UID_CREATE, CMGU_DT_LUPD, CMGU_UID_LUPD) </v>
      </c>
      <c r="I4" s="29" t="str">
        <f t="shared" si="1"/>
        <v xml:space="preserve"> VALUES('3','CK','CLICDO','clicdo.doi.co.jobs.tabs.details','Update all the information to ensure correct information about the job is captured. Click Save to save the updated job or click Submit to submit the job to the Authorized Party.',NULL,'A',NOW(),'SYS',NOW(),'SYS');</v>
      </c>
      <c r="J4" s="29" t="str">
        <f t="shared" si="2"/>
        <v>INSERT INTO T_CK_COMPONENT_GUIDE(CMGU_ID, CMGU_APPS_CODE, CMGU_SERVICE_TYPE, CMGU_COMPONENT_ID, CMGU_GUIDE, CMGU_GUIDE_OTH, CMGU_STATUS, CMGU_DT_CREATE, CMGU_UID_CREATE, CMGU_DT_LUPD, CMGU_UID_LUPD)  VALUES('3','CK','CLICDO','clicdo.doi.co.jobs.tabs.details','Update all the information to ensure correct information about the job is captured. Click Save to save the updated job or click Submit to submit the job to the Authorized Party.',NULL,'A',NOW(),'SYS',NOW(),'SYS');</v>
      </c>
    </row>
    <row r="5" spans="1:10" x14ac:dyDescent="0.2">
      <c r="A5">
        <v>4</v>
      </c>
      <c r="B5" s="29" t="s">
        <v>5</v>
      </c>
      <c r="C5" s="29" t="s">
        <v>731</v>
      </c>
      <c r="D5" t="s">
        <v>737</v>
      </c>
      <c r="E5" t="s">
        <v>738</v>
      </c>
      <c r="F5" s="29" t="s">
        <v>125</v>
      </c>
      <c r="G5" s="29" t="s">
        <v>7</v>
      </c>
      <c r="H5" s="29" t="str">
        <f t="shared" si="0"/>
        <v xml:space="preserve">INSERT INTO T_CK_COMPONENT_GUIDE(CMGU_ID, CMGU_APPS_CODE, CMGU_SERVICE_TYPE, CMGU_COMPONENT_ID, CMGU_GUIDE, CMGU_GUIDE_OTH, CMGU_STATUS, CMGU_DT_CREATE, CMGU_UID_CREATE, CMGU_DT_LUPD, CMGU_UID_LUPD) </v>
      </c>
      <c r="I5" s="29" t="str">
        <f t="shared" si="1"/>
        <v xml:space="preserve"> VALUES('4','CK','CLICDO','clicdo.doi.co.jobs.tabs.authorisation','Document will be reviewed by shipping line. If there are concerns, the owner of the job will be contacted via email for clarifications. Only after the documents and payment are verified will your Authorized Party be able to download the invoice and start the DO claim process.',NULL,'A',NOW(),'SYS',NOW(),'SYS');</v>
      </c>
      <c r="J5" s="29" t="str">
        <f t="shared" si="2"/>
        <v>INSERT INTO T_CK_COMPONENT_GUIDE(CMGU_ID, CMGU_APPS_CODE, CMGU_SERVICE_TYPE, CMGU_COMPONENT_ID, CMGU_GUIDE, CMGU_GUIDE_OTH, CMGU_STATUS, CMGU_DT_CREATE, CMGU_UID_CREATE, CMGU_DT_LUPD, CMGU_UID_LUPD)  VALUES('4','CK','CLICDO','clicdo.doi.co.jobs.tabs.authorisation','Document will be reviewed by shipping line. If there are concerns, the owner of the job will be contacted via email for clarifications. Only after the documents and payment are verified will your Authorized Party be able to download the invoice and start the DO claim process.',NULL,'A',NOW(),'SYS',NOW(),'SYS');</v>
      </c>
    </row>
    <row r="6" spans="1:10" x14ac:dyDescent="0.2">
      <c r="A6">
        <v>5</v>
      </c>
      <c r="B6" s="29" t="s">
        <v>5</v>
      </c>
      <c r="C6" s="29" t="s">
        <v>731</v>
      </c>
      <c r="D6" t="s">
        <v>739</v>
      </c>
      <c r="E6" t="s">
        <v>740</v>
      </c>
      <c r="F6" s="29" t="s">
        <v>125</v>
      </c>
      <c r="G6" s="29" t="s">
        <v>7</v>
      </c>
      <c r="H6" s="29" t="str">
        <f t="shared" si="0"/>
        <v xml:space="preserve">INSERT INTO T_CK_COMPONENT_GUIDE(CMGU_ID, CMGU_APPS_CODE, CMGU_SERVICE_TYPE, CMGU_COMPONENT_ID, CMGU_GUIDE, CMGU_GUIDE_OTH, CMGU_STATUS, CMGU_DT_CREATE, CMGU_UID_CREATE, CMGU_DT_LUPD, CMGU_UID_LUPD) </v>
      </c>
      <c r="I6" s="29" t="str">
        <f t="shared" si="1"/>
        <v xml:space="preserve"> VALUES('5','CK','CLICDO','clicdo.doi.co.jobs.tabs.authorisation.table','Except Bill of Lading, the authorisation document is generated and digital stamped. Click on Download to view the document in PDF format.',NULL,'A',NOW(),'SYS',NOW(),'SYS');</v>
      </c>
      <c r="J6" s="29" t="str">
        <f t="shared" si="2"/>
        <v>INSERT INTO T_CK_COMPONENT_GUIDE(CMGU_ID, CMGU_APPS_CODE, CMGU_SERVICE_TYPE, CMGU_COMPONENT_ID, CMGU_GUIDE, CMGU_GUIDE_OTH, CMGU_STATUS, CMGU_DT_CREATE, CMGU_UID_CREATE, CMGU_DT_LUPD, CMGU_UID_LUPD)  VALUES('5','CK','CLICDO','clicdo.doi.co.jobs.tabs.authorisation.table','Except Bill of Lading, the authorisation document is generated and digital stamped. Click on Download to view the document in PDF format.',NULL,'A',NOW(),'SYS',NOW(),'SYS');</v>
      </c>
    </row>
    <row r="7" spans="1:10" x14ac:dyDescent="0.2">
      <c r="A7">
        <v>6</v>
      </c>
      <c r="B7" s="29" t="s">
        <v>5</v>
      </c>
      <c r="C7" s="29" t="s">
        <v>731</v>
      </c>
      <c r="D7" t="s">
        <v>741</v>
      </c>
      <c r="E7" t="s">
        <v>742</v>
      </c>
      <c r="F7" s="29" t="s">
        <v>125</v>
      </c>
      <c r="G7" s="29" t="s">
        <v>7</v>
      </c>
      <c r="H7" s="29" t="str">
        <f t="shared" si="0"/>
        <v xml:space="preserve">INSERT INTO T_CK_COMPONENT_GUIDE(CMGU_ID, CMGU_APPS_CODE, CMGU_SERVICE_TYPE, CMGU_COMPONENT_ID, CMGU_GUIDE, CMGU_GUIDE_OTH, CMGU_STATUS, CMGU_DT_CREATE, CMGU_UID_CREATE, CMGU_DT_LUPD, CMGU_UID_LUPD) </v>
      </c>
      <c r="I7" s="29" t="str">
        <f t="shared" si="1"/>
        <v xml:space="preserve"> VALUES('6','CK','CLICDO','clicdo.doi.co.jobs.tabs.audit','The audited even associated with the job is presented here. Filtering is supported to sniff out audit records by criteria(s).',NULL,'A',NOW(),'SYS',NOW(),'SYS');</v>
      </c>
      <c r="J7" s="29" t="str">
        <f t="shared" si="2"/>
        <v>INSERT INTO T_CK_COMPONENT_GUIDE(CMGU_ID, CMGU_APPS_CODE, CMGU_SERVICE_TYPE, CMGU_COMPONENT_ID, CMGU_GUIDE, CMGU_GUIDE_OTH, CMGU_STATUS, CMGU_DT_CREATE, CMGU_UID_CREATE, CMGU_DT_LUPD, CMGU_UID_LUPD)  VALUES('6','CK','CLICDO','clicdo.doi.co.jobs.tabs.audit','The audited even associated with the job is presented here. Filtering is supported to sniff out audit records by criteria(s).',NULL,'A',NOW(),'SYS',NOW(),'SYS');</v>
      </c>
    </row>
    <row r="8" spans="1:10" x14ac:dyDescent="0.2">
      <c r="A8">
        <v>7</v>
      </c>
      <c r="B8" s="29" t="s">
        <v>5</v>
      </c>
      <c r="C8" s="29" t="s">
        <v>731</v>
      </c>
      <c r="D8" t="s">
        <v>743</v>
      </c>
      <c r="E8" t="s">
        <v>1080</v>
      </c>
      <c r="F8" s="29" t="s">
        <v>125</v>
      </c>
      <c r="G8" s="29" t="s">
        <v>7</v>
      </c>
      <c r="H8" s="29" t="str">
        <f t="shared" si="0"/>
        <v xml:space="preserve">INSERT INTO T_CK_COMPONENT_GUIDE(CMGU_ID, CMGU_APPS_CODE, CMGU_SERVICE_TYPE, CMGU_COMPONENT_ID, CMGU_GUIDE, CMGU_GUIDE_OTH, CMGU_STATUS, CMGU_DT_CREATE, CMGU_UID_CREATE, CMGU_DT_LUPD, CMGU_UID_LUPD) </v>
      </c>
      <c r="I8" s="29" t="str">
        <f t="shared" si="1"/>
        <v xml:space="preserve"> VALUES('7','CK','CLICDO','clicdo.doi.ff.bl.list','To view any of the Bill of Ladings, click on the DOWNLOAD button. To reject ony Bill of Ladings, click on the REJECT button.',NULL,'A',NOW(),'SYS',NOW(),'SYS');</v>
      </c>
      <c r="J8" s="29" t="str">
        <f t="shared" si="2"/>
        <v>INSERT INTO T_CK_COMPONENT_GUIDE(CMGU_ID, CMGU_APPS_CODE, CMGU_SERVICE_TYPE, CMGU_COMPONENT_ID, CMGU_GUIDE, CMGU_GUIDE_OTH, CMGU_STATUS, CMGU_DT_CREATE, CMGU_UID_CREATE, CMGU_DT_LUPD, CMGU_UID_LUPD)  VALUES('7','CK','CLICDO','clicdo.doi.ff.bl.list','To view any of the Bill of Ladings, click on the DOWNLOAD button. To reject ony Bill of Ladings, click on the REJECT button.',NULL,'A',NOW(),'SYS',NOW(),'SYS');</v>
      </c>
    </row>
    <row r="9" spans="1:10" x14ac:dyDescent="0.2">
      <c r="A9">
        <v>8</v>
      </c>
      <c r="B9" s="29" t="s">
        <v>5</v>
      </c>
      <c r="C9" s="29" t="s">
        <v>731</v>
      </c>
      <c r="D9" t="s">
        <v>744</v>
      </c>
      <c r="E9" t="s">
        <v>745</v>
      </c>
      <c r="F9" s="29" t="s">
        <v>125</v>
      </c>
      <c r="G9" s="29" t="s">
        <v>7</v>
      </c>
      <c r="H9" s="29" t="str">
        <f t="shared" si="0"/>
        <v xml:space="preserve">INSERT INTO T_CK_COMPONENT_GUIDE(CMGU_ID, CMGU_APPS_CODE, CMGU_SERVICE_TYPE, CMGU_COMPONENT_ID, CMGU_GUIDE, CMGU_GUIDE_OTH, CMGU_STATUS, CMGU_DT_CREATE, CMGU_UID_CREATE, CMGU_DT_LUPD, CMGU_UID_LUPD) </v>
      </c>
      <c r="I9" s="29" t="str">
        <f t="shared" si="1"/>
        <v xml:space="preserve"> VALUES('8','CK','CLICDO','clicdo.doi.ff.bl.list.table','Each job recordi n the list corresponds to a Bill of Lading (BL) document submitted by the Authorizer Party (aka Cargo Owners) for DO claiming. Click on eye icon to view the BL in PDF and then cancel icon to reject the BL.',NULL,'A',NOW(),'SYS',NOW(),'SYS');</v>
      </c>
      <c r="J9" s="29" t="str">
        <f t="shared" si="2"/>
        <v>INSERT INTO T_CK_COMPONENT_GUIDE(CMGU_ID, CMGU_APPS_CODE, CMGU_SERVICE_TYPE, CMGU_COMPONENT_ID, CMGU_GUIDE, CMGU_GUIDE_OTH, CMGU_STATUS, CMGU_DT_CREATE, CMGU_UID_CREATE, CMGU_DT_LUPD, CMGU_UID_LUPD)  VALUES('8','CK','CLICDO','clicdo.doi.ff.bl.list.table','Each job recordi n the list corresponds to a Bill of Lading (BL) document submitted by the Authorizer Party (aka Cargo Owners) for DO claiming. Click on eye icon to view the BL in PDF and then cancel icon to reject the BL.',NULL,'A',NOW(),'SYS',NOW(),'SYS');</v>
      </c>
    </row>
    <row r="10" spans="1:10" x14ac:dyDescent="0.2">
      <c r="A10">
        <v>9</v>
      </c>
      <c r="B10" s="29" t="s">
        <v>5</v>
      </c>
      <c r="C10" s="29" t="s">
        <v>731</v>
      </c>
      <c r="D10" t="s">
        <v>746</v>
      </c>
      <c r="E10" t="s">
        <v>747</v>
      </c>
      <c r="F10" s="29" t="s">
        <v>125</v>
      </c>
      <c r="G10" s="29" t="s">
        <v>7</v>
      </c>
      <c r="H10" s="29" t="str">
        <f t="shared" si="0"/>
        <v xml:space="preserve">INSERT INTO T_CK_COMPONENT_GUIDE(CMGU_ID, CMGU_APPS_CODE, CMGU_SERVICE_TYPE, CMGU_COMPONENT_ID, CMGU_GUIDE, CMGU_GUIDE_OTH, CMGU_STATUS, CMGU_DT_CREATE, CMGU_UID_CREATE, CMGU_DT_LUPD, CMGU_UID_LUPD) </v>
      </c>
      <c r="I10" s="29" t="str">
        <f t="shared" si="1"/>
        <v xml:space="preserve"> VALUES('9','CK','CLICDO','clicdo.doi.ff.claim.jobs.list','To view any of your jobs without editing, click on the EYE button. To edit any draft jobs, click on the PENCIL button. To delete any draft jobs, click on the TRASH BIN button.',NULL,'A',NOW(),'SYS',NOW(),'SYS');</v>
      </c>
      <c r="J10" s="29" t="str">
        <f t="shared" si="2"/>
        <v>INSERT INTO T_CK_COMPONENT_GUIDE(CMGU_ID, CMGU_APPS_CODE, CMGU_SERVICE_TYPE, CMGU_COMPONENT_ID, CMGU_GUIDE, CMGU_GUIDE_OTH, CMGU_STATUS, CMGU_DT_CREATE, CMGU_UID_CREATE, CMGU_DT_LUPD, CMGU_UID_LUPD)  VALUES('9','CK','CLICDO','clicdo.doi.ff.claim.jobs.list','To view any of your jobs without editing, click on the EYE button. To edit any draft jobs, click on the PENCIL button. To delete any draft jobs, click on the TRASH BIN button.',NULL,'A',NOW(),'SYS',NOW(),'SYS');</v>
      </c>
    </row>
    <row r="11" spans="1:10" x14ac:dyDescent="0.2">
      <c r="A11">
        <v>10</v>
      </c>
      <c r="B11" s="29" t="s">
        <v>5</v>
      </c>
      <c r="C11" s="29" t="s">
        <v>731</v>
      </c>
      <c r="D11" t="s">
        <v>748</v>
      </c>
      <c r="E11" t="s">
        <v>749</v>
      </c>
      <c r="F11" s="29" t="s">
        <v>125</v>
      </c>
      <c r="G11" s="29" t="s">
        <v>7</v>
      </c>
      <c r="H11" s="29" t="str">
        <f t="shared" si="0"/>
        <v xml:space="preserve">INSERT INTO T_CK_COMPONENT_GUIDE(CMGU_ID, CMGU_APPS_CODE, CMGU_SERVICE_TYPE, CMGU_COMPONENT_ID, CMGU_GUIDE, CMGU_GUIDE_OTH, CMGU_STATUS, CMGU_DT_CREATE, CMGU_UID_CREATE, CMGU_DT_LUPD, CMGU_UID_LUPD) </v>
      </c>
      <c r="I11" s="29" t="str">
        <f t="shared" si="1"/>
        <v xml:space="preserve"> VALUES('10','CK','CLICDO','clicdo.doi.ff.claim.jobs.list.table','Active DO claim jobs that you are processing',NULL,'A',NOW(),'SYS',NOW(),'SYS');</v>
      </c>
      <c r="J11" s="29" t="str">
        <f t="shared" si="2"/>
        <v>INSERT INTO T_CK_COMPONENT_GUIDE(CMGU_ID, CMGU_APPS_CODE, CMGU_SERVICE_TYPE, CMGU_COMPONENT_ID, CMGU_GUIDE, CMGU_GUIDE_OTH, CMGU_STATUS, CMGU_DT_CREATE, CMGU_UID_CREATE, CMGU_DT_LUPD, CMGU_UID_LUPD)  VALUES('10','CK','CLICDO','clicdo.doi.ff.claim.jobs.list.table','Active DO claim jobs that you are processing',NULL,'A',NOW(),'SYS',NOW(),'SYS');</v>
      </c>
    </row>
    <row r="12" spans="1:10" x14ac:dyDescent="0.2">
      <c r="A12">
        <v>11</v>
      </c>
      <c r="B12" s="29" t="s">
        <v>5</v>
      </c>
      <c r="C12" s="29" t="s">
        <v>731</v>
      </c>
      <c r="D12" t="s">
        <v>750</v>
      </c>
      <c r="E12" t="s">
        <v>751</v>
      </c>
      <c r="F12" s="29" t="s">
        <v>125</v>
      </c>
      <c r="G12" s="29" t="s">
        <v>7</v>
      </c>
      <c r="H12" s="29" t="str">
        <f t="shared" si="0"/>
        <v xml:space="preserve">INSERT INTO T_CK_COMPONENT_GUIDE(CMGU_ID, CMGU_APPS_CODE, CMGU_SERVICE_TYPE, CMGU_COMPONENT_ID, CMGU_GUIDE, CMGU_GUIDE_OTH, CMGU_STATUS, CMGU_DT_CREATE, CMGU_UID_CREATE, CMGU_DT_LUPD, CMGU_UID_LUPD) </v>
      </c>
      <c r="I12" s="29" t="str">
        <f t="shared" si="1"/>
        <v xml:space="preserve"> VALUES('11','CK','CLICDO','clicdo.doi.ff.claim.jobs.tabs.details','Please update all the information to ensure correct information about the job is captured. Please notethat once the job has been confirmed, BLs cannot be edited or removed from the list.',NULL,'A',NOW(),'SYS',NOW(),'SYS');</v>
      </c>
      <c r="J12" s="29" t="str">
        <f t="shared" si="2"/>
        <v>INSERT INTO T_CK_COMPONENT_GUIDE(CMGU_ID, CMGU_APPS_CODE, CMGU_SERVICE_TYPE, CMGU_COMPONENT_ID, CMGU_GUIDE, CMGU_GUIDE_OTH, CMGU_STATUS, CMGU_DT_CREATE, CMGU_UID_CREATE, CMGU_DT_LUPD, CMGU_UID_LUPD)  VALUES('11','CK','CLICDO','clicdo.doi.ff.claim.jobs.tabs.details','Please update all the information to ensure correct information about the job is captured. Please notethat once the job has been confirmed, BLs cannot be edited or removed from the list.',NULL,'A',NOW(),'SYS',NOW(),'SYS');</v>
      </c>
    </row>
    <row r="13" spans="1:10" x14ac:dyDescent="0.2">
      <c r="A13">
        <v>12</v>
      </c>
      <c r="B13" s="29" t="s">
        <v>5</v>
      </c>
      <c r="C13" s="29" t="s">
        <v>731</v>
      </c>
      <c r="D13" t="s">
        <v>752</v>
      </c>
      <c r="E13" t="s">
        <v>753</v>
      </c>
      <c r="F13" s="29" t="s">
        <v>125</v>
      </c>
      <c r="G13" s="29" t="s">
        <v>7</v>
      </c>
      <c r="H13" s="29" t="str">
        <f t="shared" si="0"/>
        <v xml:space="preserve">INSERT INTO T_CK_COMPONENT_GUIDE(CMGU_ID, CMGU_APPS_CODE, CMGU_SERVICE_TYPE, CMGU_COMPONENT_ID, CMGU_GUIDE, CMGU_GUIDE_OTH, CMGU_STATUS, CMGU_DT_CREATE, CMGU_UID_CREATE, CMGU_DT_LUPD, CMGU_UID_LUPD) </v>
      </c>
      <c r="I13" s="29" t="str">
        <f t="shared" si="1"/>
        <v xml:space="preserve"> VALUES('12','CK','CLICDO','clicdo.doi.ff.claim.jobs.tabs.detaills.table','Click on the eye icon to view the BL document. Click on the trash bin to remove BL from the list.',NULL,'A',NOW(),'SYS',NOW(),'SYS');</v>
      </c>
      <c r="J13" s="29" t="str">
        <f t="shared" si="2"/>
        <v>INSERT INTO T_CK_COMPONENT_GUIDE(CMGU_ID, CMGU_APPS_CODE, CMGU_SERVICE_TYPE, CMGU_COMPONENT_ID, CMGU_GUIDE, CMGU_GUIDE_OTH, CMGU_STATUS, CMGU_DT_CREATE, CMGU_UID_CREATE, CMGU_DT_LUPD, CMGU_UID_LUPD)  VALUES('12','CK','CLICDO','clicdo.doi.ff.claim.jobs.tabs.detaills.table','Click on the eye icon to view the BL document. Click on the trash bin to remove BL from the list.',NULL,'A',NOW(),'SYS',NOW(),'SYS');</v>
      </c>
    </row>
    <row r="14" spans="1:10" x14ac:dyDescent="0.2">
      <c r="A14">
        <v>13</v>
      </c>
      <c r="B14" s="29" t="s">
        <v>5</v>
      </c>
      <c r="C14" s="29" t="s">
        <v>731</v>
      </c>
      <c r="D14" t="s">
        <v>754</v>
      </c>
      <c r="E14" t="s">
        <v>755</v>
      </c>
      <c r="F14" s="29" t="s">
        <v>125</v>
      </c>
      <c r="G14" s="29" t="s">
        <v>7</v>
      </c>
      <c r="H14" s="29" t="str">
        <f t="shared" si="0"/>
        <v xml:space="preserve">INSERT INTO T_CK_COMPONENT_GUIDE(CMGU_ID, CMGU_APPS_CODE, CMGU_SERVICE_TYPE, CMGU_COMPONENT_ID, CMGU_GUIDE, CMGU_GUIDE_OTH, CMGU_STATUS, CMGU_DT_CREATE, CMGU_UID_CREATE, CMGU_DT_LUPD, CMGU_UID_LUPD) </v>
      </c>
      <c r="I14" s="29" t="str">
        <f t="shared" si="1"/>
        <v xml:space="preserve"> VALUES('13','CK','CLICDO','clicdo.doi.ff.claim.jobs.tabs.attachments','Documents associated with all the BL are captured in the list.',NULL,'A',NOW(),'SYS',NOW(),'SYS');</v>
      </c>
      <c r="J14" s="29" t="str">
        <f t="shared" si="2"/>
        <v>INSERT INTO T_CK_COMPONENT_GUIDE(CMGU_ID, CMGU_APPS_CODE, CMGU_SERVICE_TYPE, CMGU_COMPONENT_ID, CMGU_GUIDE, CMGU_GUIDE_OTH, CMGU_STATUS, CMGU_DT_CREATE, CMGU_UID_CREATE, CMGU_DT_LUPD, CMGU_UID_LUPD)  VALUES('13','CK','CLICDO','clicdo.doi.ff.claim.jobs.tabs.attachments','Documents associated with all the BL are captured in the list.',NULL,'A',NOW(),'SYS',NOW(),'SYS');</v>
      </c>
    </row>
    <row r="15" spans="1:10" x14ac:dyDescent="0.2">
      <c r="A15">
        <v>14</v>
      </c>
      <c r="B15" s="29" t="s">
        <v>5</v>
      </c>
      <c r="C15" s="29" t="s">
        <v>731</v>
      </c>
      <c r="D15" t="s">
        <v>756</v>
      </c>
      <c r="E15" t="s">
        <v>757</v>
      </c>
      <c r="F15" s="29" t="s">
        <v>125</v>
      </c>
      <c r="G15" s="29" t="s">
        <v>7</v>
      </c>
      <c r="H15" s="29" t="str">
        <f t="shared" si="0"/>
        <v xml:space="preserve">INSERT INTO T_CK_COMPONENT_GUIDE(CMGU_ID, CMGU_APPS_CODE, CMGU_SERVICE_TYPE, CMGU_COMPONENT_ID, CMGU_GUIDE, CMGU_GUIDE_OTH, CMGU_STATUS, CMGU_DT_CREATE, CMGU_UID_CREATE, CMGU_DT_LUPD, CMGU_UID_LUPD) </v>
      </c>
      <c r="I15" s="29" t="str">
        <f t="shared" si="1"/>
        <v xml:space="preserve"> VALUES('14','CK','CLICDO','clicdo.doi.ff.claim.jobs.tabs.attachments.table','Click on the Download icon to download the respective documents. Power of Authority, Letter of Assignment  and Container Loan Application documents are automatically generated by the system.',NULL,'A',NOW(),'SYS',NOW(),'SYS');</v>
      </c>
      <c r="J15" s="29" t="str">
        <f t="shared" si="2"/>
        <v>INSERT INTO T_CK_COMPONENT_GUIDE(CMGU_ID, CMGU_APPS_CODE, CMGU_SERVICE_TYPE, CMGU_COMPONENT_ID, CMGU_GUIDE, CMGU_GUIDE_OTH, CMGU_STATUS, CMGU_DT_CREATE, CMGU_UID_CREATE, CMGU_DT_LUPD, CMGU_UID_LUPD)  VALUES('14','CK','CLICDO','clicdo.doi.ff.claim.jobs.tabs.attachments.table','Click on the Download icon to download the respective documents. Power of Authority, Letter of Assignment  and Container Loan Application documents are automatically generated by the system.',NULL,'A',NOW(),'SYS',NOW(),'SYS');</v>
      </c>
    </row>
    <row r="16" spans="1:10" x14ac:dyDescent="0.2">
      <c r="A16">
        <v>15</v>
      </c>
      <c r="B16" s="29" t="s">
        <v>5</v>
      </c>
      <c r="C16" s="29" t="s">
        <v>731</v>
      </c>
      <c r="D16" t="s">
        <v>758</v>
      </c>
      <c r="E16" t="s">
        <v>759</v>
      </c>
      <c r="F16" s="29" t="s">
        <v>125</v>
      </c>
      <c r="G16" s="29" t="s">
        <v>7</v>
      </c>
      <c r="H16" s="29" t="str">
        <f t="shared" si="0"/>
        <v xml:space="preserve">INSERT INTO T_CK_COMPONENT_GUIDE(CMGU_ID, CMGU_APPS_CODE, CMGU_SERVICE_TYPE, CMGU_COMPONENT_ID, CMGU_GUIDE, CMGU_GUIDE_OTH, CMGU_STATUS, CMGU_DT_CREATE, CMGU_UID_CREATE, CMGU_DT_LUPD, CMGU_UID_LUPD) </v>
      </c>
      <c r="I16" s="29" t="str">
        <f t="shared" si="1"/>
        <v xml:space="preserve"> VALUES('15','CK','CLICDO','clicdo.doi.ff.claim.jobs.tabs.task.details','Once the list of DOs are confirmed clicked on the Submit button to retrieve the DO documents from the shipping line.',NULL,'A',NOW(),'SYS',NOW(),'SYS');</v>
      </c>
      <c r="J16" s="29" t="str">
        <f t="shared" si="2"/>
        <v>INSERT INTO T_CK_COMPONENT_GUIDE(CMGU_ID, CMGU_APPS_CODE, CMGU_SERVICE_TYPE, CMGU_COMPONENT_ID, CMGU_GUIDE, CMGU_GUIDE_OTH, CMGU_STATUS, CMGU_DT_CREATE, CMGU_UID_CREATE, CMGU_DT_LUPD, CMGU_UID_LUPD)  VALUES('15','CK','CLICDO','clicdo.doi.ff.claim.jobs.tabs.task.details','Once the list of DOs are confirmed clicked on the Submit button to retrieve the DO documents from the shipping line.',NULL,'A',NOW(),'SYS',NOW(),'SYS');</v>
      </c>
    </row>
    <row r="17" spans="1:10" x14ac:dyDescent="0.2">
      <c r="A17">
        <v>16</v>
      </c>
      <c r="B17" s="29" t="s">
        <v>5</v>
      </c>
      <c r="C17" s="29" t="s">
        <v>731</v>
      </c>
      <c r="D17" t="s">
        <v>760</v>
      </c>
      <c r="E17" t="s">
        <v>761</v>
      </c>
      <c r="F17" s="29" t="s">
        <v>125</v>
      </c>
      <c r="G17" s="29" t="s">
        <v>7</v>
      </c>
      <c r="H17" s="29" t="str">
        <f t="shared" si="0"/>
        <v xml:space="preserve">INSERT INTO T_CK_COMPONENT_GUIDE(CMGU_ID, CMGU_APPS_CODE, CMGU_SERVICE_TYPE, CMGU_COMPONENT_ID, CMGU_GUIDE, CMGU_GUIDE_OTH, CMGU_STATUS, CMGU_DT_CREATE, CMGU_UID_CREATE, CMGU_DT_LUPD, CMGU_UID_LUPD) </v>
      </c>
      <c r="I17" s="29" t="str">
        <f t="shared" si="1"/>
        <v xml:space="preserve"> VALUES('16','CK','CLICDO','clicdo.doi.ff.claim.jobs.tabs.task.details.table.main','Click on the Eye icon to view the task details on the section below. Click the Pencil icon to edit the task and Trash Bin to remove the task.',NULL,'A',NOW(),'SYS',NOW(),'SYS');</v>
      </c>
      <c r="J17" s="29" t="str">
        <f t="shared" si="2"/>
        <v>INSERT INTO T_CK_COMPONENT_GUIDE(CMGU_ID, CMGU_APPS_CODE, CMGU_SERVICE_TYPE, CMGU_COMPONENT_ID, CMGU_GUIDE, CMGU_GUIDE_OTH, CMGU_STATUS, CMGU_DT_CREATE, CMGU_UID_CREATE, CMGU_DT_LUPD, CMGU_UID_LUPD)  VALUES('16','CK','CLICDO','clicdo.doi.ff.claim.jobs.tabs.task.details.table.main','Click on the Eye icon to view the task details on the section below. Click the Pencil icon to edit the task and Trash Bin to remove the task.',NULL,'A',NOW(),'SYS',NOW(),'SYS');</v>
      </c>
    </row>
    <row r="18" spans="1:10" x14ac:dyDescent="0.2">
      <c r="A18">
        <v>17</v>
      </c>
      <c r="B18" s="29" t="s">
        <v>5</v>
      </c>
      <c r="C18" s="29" t="s">
        <v>731</v>
      </c>
      <c r="D18" t="s">
        <v>762</v>
      </c>
      <c r="E18" t="s">
        <v>763</v>
      </c>
      <c r="F18" s="29" t="s">
        <v>125</v>
      </c>
      <c r="G18" s="29" t="s">
        <v>7</v>
      </c>
      <c r="H18" s="29" t="str">
        <f t="shared" si="0"/>
        <v xml:space="preserve">INSERT INTO T_CK_COMPONENT_GUIDE(CMGU_ID, CMGU_APPS_CODE, CMGU_SERVICE_TYPE, CMGU_COMPONENT_ID, CMGU_GUIDE, CMGU_GUIDE_OTH, CMGU_STATUS, CMGU_DT_CREATE, CMGU_UID_CREATE, CMGU_DT_LUPD, CMGU_UID_LUPD) </v>
      </c>
      <c r="I18" s="29" t="str">
        <f t="shared" si="1"/>
        <v xml:space="preserve"> VALUES('17','CK','CLICDO','clicdo.doi.ff.claim.jobs.tabs.task.details.table.sub','Click on the Trash Bin to remove DO from the task that are in NEW status. Click on Eye icon to view the DO details.',NULL,'A',NOW(),'SYS',NOW(),'SYS');</v>
      </c>
      <c r="J18" s="29" t="str">
        <f t="shared" si="2"/>
        <v>INSERT INTO T_CK_COMPONENT_GUIDE(CMGU_ID, CMGU_APPS_CODE, CMGU_SERVICE_TYPE, CMGU_COMPONENT_ID, CMGU_GUIDE, CMGU_GUIDE_OTH, CMGU_STATUS, CMGU_DT_CREATE, CMGU_UID_CREATE, CMGU_DT_LUPD, CMGU_UID_LUPD)  VALUES('17','CK','CLICDO','clicdo.doi.ff.claim.jobs.tabs.task.details.table.sub','Click on the Trash Bin to remove DO from the task that are in NEW status. Click on Eye icon to view the DO details.',NULL,'A',NOW(),'SYS',NOW(),'SYS');</v>
      </c>
    </row>
    <row r="19" spans="1:10" x14ac:dyDescent="0.2">
      <c r="A19">
        <v>18</v>
      </c>
      <c r="B19" s="29" t="s">
        <v>5</v>
      </c>
      <c r="C19" s="29" t="s">
        <v>731</v>
      </c>
      <c r="D19" t="s">
        <v>764</v>
      </c>
      <c r="E19" t="s">
        <v>765</v>
      </c>
      <c r="F19" s="29" t="s">
        <v>125</v>
      </c>
      <c r="G19" s="29" t="s">
        <v>7</v>
      </c>
      <c r="H19" s="29" t="str">
        <f t="shared" si="0"/>
        <v xml:space="preserve">INSERT INTO T_CK_COMPONENT_GUIDE(CMGU_ID, CMGU_APPS_CODE, CMGU_SERVICE_TYPE, CMGU_COMPONENT_ID, CMGU_GUIDE, CMGU_GUIDE_OTH, CMGU_STATUS, CMGU_DT_CREATE, CMGU_UID_CREATE, CMGU_DT_LUPD, CMGU_UID_LUPD) </v>
      </c>
      <c r="I19" s="29" t="str">
        <f t="shared" si="1"/>
        <v xml:space="preserve"> VALUES('18','CK','CLICDO','clicdo.doi.ff.claim.jobs.tabs.query','Ensure that there are no outstanding queries by the Shipping Line. Document can be manually and temporarily added when there is an outstanding query.',NULL,'A',NOW(),'SYS',NOW(),'SYS');</v>
      </c>
      <c r="J19" s="29" t="str">
        <f t="shared" si="2"/>
        <v>INSERT INTO T_CK_COMPONENT_GUIDE(CMGU_ID, CMGU_APPS_CODE, CMGU_SERVICE_TYPE, CMGU_COMPONENT_ID, CMGU_GUIDE, CMGU_GUIDE_OTH, CMGU_STATUS, CMGU_DT_CREATE, CMGU_UID_CREATE, CMGU_DT_LUPD, CMGU_UID_LUPD)  VALUES('18','CK','CLICDO','clicdo.doi.ff.claim.jobs.tabs.query','Ensure that there are no outstanding queries by the Shipping Line. Document can be manually and temporarily added when there is an outstanding query.',NULL,'A',NOW(),'SYS',NOW(),'SYS');</v>
      </c>
    </row>
    <row r="20" spans="1:10" x14ac:dyDescent="0.2">
      <c r="A20">
        <v>19</v>
      </c>
      <c r="B20" s="29" t="s">
        <v>5</v>
      </c>
      <c r="C20" s="29" t="s">
        <v>731</v>
      </c>
      <c r="D20" t="s">
        <v>766</v>
      </c>
      <c r="E20" t="s">
        <v>767</v>
      </c>
      <c r="F20" s="29" t="s">
        <v>125</v>
      </c>
      <c r="G20" s="29" t="s">
        <v>7</v>
      </c>
      <c r="H20" s="29" t="str">
        <f t="shared" si="0"/>
        <v xml:space="preserve">INSERT INTO T_CK_COMPONENT_GUIDE(CMGU_ID, CMGU_APPS_CODE, CMGU_SERVICE_TYPE, CMGU_COMPONENT_ID, CMGU_GUIDE, CMGU_GUIDE_OTH, CMGU_STATUS, CMGU_DT_CREATE, CMGU_UID_CREATE, CMGU_DT_LUPD, CMGU_UID_LUPD) </v>
      </c>
      <c r="I20" s="29" t="str">
        <f t="shared" si="1"/>
        <v xml:space="preserve"> VALUES('19','CK','CLICDO','clicdo.doi.ff.claim.jobs.tabs.query.table','Click on the Response icon to response to the query after you have made the necessary changes requested by the Shipping Line. Click on the Eye icon to view the query made by the Shipping Line and the response to the query.',NULL,'A',NOW(),'SYS',NOW(),'SYS');</v>
      </c>
      <c r="J20" s="29" t="str">
        <f t="shared" si="2"/>
        <v>INSERT INTO T_CK_COMPONENT_GUIDE(CMGU_ID, CMGU_APPS_CODE, CMGU_SERVICE_TYPE, CMGU_COMPONENT_ID, CMGU_GUIDE, CMGU_GUIDE_OTH, CMGU_STATUS, CMGU_DT_CREATE, CMGU_UID_CREATE, CMGU_DT_LUPD, CMGU_UID_LUPD)  VALUES('19','CK','CLICDO','clicdo.doi.ff.claim.jobs.tabs.query.table','Click on the Response icon to response to the query after you have made the necessary changes requested by the Shipping Line. Click on the Eye icon to view the query made by the Shipping Line and the response to the query.',NULL,'A',NOW(),'SYS',NOW(),'SYS');</v>
      </c>
    </row>
    <row r="21" spans="1:10" x14ac:dyDescent="0.2">
      <c r="A21">
        <v>20</v>
      </c>
      <c r="B21" s="29" t="s">
        <v>5</v>
      </c>
      <c r="C21" s="29" t="s">
        <v>731</v>
      </c>
      <c r="D21" t="s">
        <v>768</v>
      </c>
      <c r="E21" t="s">
        <v>742</v>
      </c>
      <c r="F21" s="29" t="s">
        <v>125</v>
      </c>
      <c r="G21" s="29" t="s">
        <v>7</v>
      </c>
      <c r="H21" s="29" t="str">
        <f t="shared" si="0"/>
        <v xml:space="preserve">INSERT INTO T_CK_COMPONENT_GUIDE(CMGU_ID, CMGU_APPS_CODE, CMGU_SERVICE_TYPE, CMGU_COMPONENT_ID, CMGU_GUIDE, CMGU_GUIDE_OTH, CMGU_STATUS, CMGU_DT_CREATE, CMGU_UID_CREATE, CMGU_DT_LUPD, CMGU_UID_LUPD) </v>
      </c>
      <c r="I21" s="29" t="str">
        <f t="shared" si="1"/>
        <v xml:space="preserve"> VALUES('20','CK','CLICDO','clicdo.doi.ff.claim.jobs.tabs.audit','The audited even associated with the job is presented here. Filtering is supported to sniff out audit records by criteria(s).',NULL,'A',NOW(),'SYS',NOW(),'SYS');</v>
      </c>
      <c r="J21" s="29" t="str">
        <f t="shared" si="2"/>
        <v>INSERT INTO T_CK_COMPONENT_GUIDE(CMGU_ID, CMGU_APPS_CODE, CMGU_SERVICE_TYPE, CMGU_COMPONENT_ID, CMGU_GUIDE, CMGU_GUIDE_OTH, CMGU_STATUS, CMGU_DT_CREATE, CMGU_UID_CREATE, CMGU_DT_LUPD, CMGU_UID_LUPD)  VALUES('20','CK','CLICDO','clicdo.doi.ff.claim.jobs.tabs.audit','The audited even associated with the job is presented here. Filtering is supported to sniff out audit records by criteria(s).',NULL,'A',NOW(),'SYS',NOW(),'SYS');</v>
      </c>
    </row>
    <row r="22" spans="1:10" x14ac:dyDescent="0.2">
      <c r="A22">
        <v>21</v>
      </c>
      <c r="B22" s="29" t="s">
        <v>5</v>
      </c>
      <c r="C22" s="29" t="s">
        <v>731</v>
      </c>
      <c r="D22" t="s">
        <v>769</v>
      </c>
      <c r="E22" t="s">
        <v>770</v>
      </c>
      <c r="F22" s="29" t="s">
        <v>125</v>
      </c>
      <c r="G22" s="29" t="s">
        <v>7</v>
      </c>
      <c r="H22" s="29" t="str">
        <f t="shared" si="0"/>
        <v xml:space="preserve">INSERT INTO T_CK_COMPONENT_GUIDE(CMGU_ID, CMGU_APPS_CODE, CMGU_SERVICE_TYPE, CMGU_COMPONENT_ID, CMGU_GUIDE, CMGU_GUIDE_OTH, CMGU_STATUS, CMGU_DT_CREATE, CMGU_UID_CREATE, CMGU_DT_LUPD, CMGU_UID_LUPD) </v>
      </c>
      <c r="I22" s="29" t="str">
        <f t="shared" si="1"/>
        <v xml:space="preserve"> VALUES('21','CK','CLICDO','clicdo.doi.sl.claim.jobs.list','To view any of your jobs without editing, click on the Eye button. To edit any draft jobs, click on the Pencil button. To delete any draf jobs, click on the Trash Bin button.',NULL,'A',NOW(),'SYS',NOW(),'SYS');</v>
      </c>
      <c r="J22" s="29" t="str">
        <f t="shared" si="2"/>
        <v>INSERT INTO T_CK_COMPONENT_GUIDE(CMGU_ID, CMGU_APPS_CODE, CMGU_SERVICE_TYPE, CMGU_COMPONENT_ID, CMGU_GUIDE, CMGU_GUIDE_OTH, CMGU_STATUS, CMGU_DT_CREATE, CMGU_UID_CREATE, CMGU_DT_LUPD, CMGU_UID_LUPD)  VALUES('21','CK','CLICDO','clicdo.doi.sl.claim.jobs.list','To view any of your jobs without editing, click on the Eye button. To edit any draft jobs, click on the Pencil button. To delete any draf jobs, click on the Trash Bin button.',NULL,'A',NOW(),'SYS',NOW(),'SYS');</v>
      </c>
    </row>
    <row r="23" spans="1:10" x14ac:dyDescent="0.2">
      <c r="A23">
        <v>22</v>
      </c>
      <c r="B23" s="29" t="s">
        <v>5</v>
      </c>
      <c r="C23" s="29" t="s">
        <v>731</v>
      </c>
      <c r="D23" t="s">
        <v>771</v>
      </c>
      <c r="E23" t="s">
        <v>772</v>
      </c>
      <c r="F23" s="29" t="s">
        <v>125</v>
      </c>
      <c r="G23" s="29" t="s">
        <v>7</v>
      </c>
      <c r="H23" s="29" t="str">
        <f t="shared" si="0"/>
        <v xml:space="preserve">INSERT INTO T_CK_COMPONENT_GUIDE(CMGU_ID, CMGU_APPS_CODE, CMGU_SERVICE_TYPE, CMGU_COMPONENT_ID, CMGU_GUIDE, CMGU_GUIDE_OTH, CMGU_STATUS, CMGU_DT_CREATE, CMGU_UID_CREATE, CMGU_DT_LUPD, CMGU_UID_LUPD) </v>
      </c>
      <c r="I23" s="29" t="str">
        <f t="shared" si="1"/>
        <v xml:space="preserve"> VALUES('22','CK','CLICDO','clicdo.doi.sl.claim.jobs.list.table','Click on the Document icon to perform document verification. Click on the Money icon to perform payment verification.',NULL,'A',NOW(),'SYS',NOW(),'SYS');</v>
      </c>
      <c r="J23" s="29" t="str">
        <f t="shared" si="2"/>
        <v>INSERT INTO T_CK_COMPONENT_GUIDE(CMGU_ID, CMGU_APPS_CODE, CMGU_SERVICE_TYPE, CMGU_COMPONENT_ID, CMGU_GUIDE, CMGU_GUIDE_OTH, CMGU_STATUS, CMGU_DT_CREATE, CMGU_UID_CREATE, CMGU_DT_LUPD, CMGU_UID_LUPD)  VALUES('22','CK','CLICDO','clicdo.doi.sl.claim.jobs.list.table','Click on the Document icon to perform document verification. Click on the Money icon to perform payment verification.',NULL,'A',NOW(),'SYS',NOW(),'SYS');</v>
      </c>
    </row>
    <row r="24" spans="1:10" x14ac:dyDescent="0.2">
      <c r="A24">
        <v>23</v>
      </c>
      <c r="B24" s="29" t="s">
        <v>5</v>
      </c>
      <c r="C24" s="29" t="s">
        <v>731</v>
      </c>
      <c r="D24" t="s">
        <v>773</v>
      </c>
      <c r="E24" t="s">
        <v>774</v>
      </c>
      <c r="F24" s="29" t="s">
        <v>125</v>
      </c>
      <c r="G24" s="29" t="s">
        <v>7</v>
      </c>
      <c r="H24" s="29" t="str">
        <f t="shared" si="0"/>
        <v xml:space="preserve">INSERT INTO T_CK_COMPONENT_GUIDE(CMGU_ID, CMGU_APPS_CODE, CMGU_SERVICE_TYPE, CMGU_COMPONENT_ID, CMGU_GUIDE, CMGU_GUIDE_OTH, CMGU_STATUS, CMGU_DT_CREATE, CMGU_UID_CREATE, CMGU_DT_LUPD, CMGU_UID_LUPD) </v>
      </c>
      <c r="I24" s="29" t="str">
        <f t="shared" si="1"/>
        <v xml:space="preserve"> VALUES('23','CK','CLICDO','clicdo.doi.sl.claim.jobs.tab.docverify.details','The charges amount will be shown once the job is submitted and verified. The proforma invoices are also available for download when the job details and documents are verified. Once payment is made, DO claim tasks ca be started to claim the DO under the BLs.',NULL,'A',NOW(),'SYS',NOW(),'SYS');</v>
      </c>
      <c r="J24" s="29" t="str">
        <f t="shared" si="2"/>
        <v>INSERT INTO T_CK_COMPONENT_GUIDE(CMGU_ID, CMGU_APPS_CODE, CMGU_SERVICE_TYPE, CMGU_COMPONENT_ID, CMGU_GUIDE, CMGU_GUIDE_OTH, CMGU_STATUS, CMGU_DT_CREATE, CMGU_UID_CREATE, CMGU_DT_LUPD, CMGU_UID_LUPD)  VALUES('23','CK','CLICDO','clicdo.doi.sl.claim.jobs.tab.docverify.details','The charges amount will be shown once the job is submitted and verified. The proforma invoices are also available for download when the job details and documents are verified. Once payment is made, DO claim tasks ca be started to claim the DO under the BLs.',NULL,'A',NOW(),'SYS',NOW(),'SYS');</v>
      </c>
    </row>
    <row r="25" spans="1:10" x14ac:dyDescent="0.2">
      <c r="A25">
        <v>24</v>
      </c>
      <c r="B25" s="29" t="s">
        <v>5</v>
      </c>
      <c r="C25" s="29" t="s">
        <v>731</v>
      </c>
      <c r="D25" t="s">
        <v>1045</v>
      </c>
      <c r="E25" t="s">
        <v>1081</v>
      </c>
      <c r="F25" s="29" t="s">
        <v>125</v>
      </c>
      <c r="G25" s="29" t="s">
        <v>7</v>
      </c>
      <c r="H25" s="29" t="str">
        <f t="shared" si="0"/>
        <v xml:space="preserve">INSERT INTO T_CK_COMPONENT_GUIDE(CMGU_ID, CMGU_APPS_CODE, CMGU_SERVICE_TYPE, CMGU_COMPONENT_ID, CMGU_GUIDE, CMGU_GUIDE_OTH, CMGU_STATUS, CMGU_DT_CREATE, CMGU_UID_CREATE, CMGU_DT_LUPD, CMGU_UID_LUPD) </v>
      </c>
      <c r="I25" s="29" t="str">
        <f t="shared" ref="I25" si="3">CONCATENATE(" VALUES('",A25,"','",B25,"','",C25,"','",D25,"','",E25,"',",IF(F25="NULL","NULL",CONCATENATE("'",F25,"'")),",'",G25,"',NOW(),'SYS',NOW(),'SYS');")</f>
        <v xml:space="preserve"> VALUES('24','CK','CLICDO','clicdo.task-details.task-listing.table','Click on the EYE icon to view the task details on the section below. Click the PENCIL icon to edit the task and TRASH BIN icon to remove the task.',NULL,'A',NOW(),'SYS',NOW(),'SYS');</v>
      </c>
      <c r="J25" s="29" t="str">
        <f t="shared" ref="J25" si="4">CONCATENATE(H25,I25)</f>
        <v>INSERT INTO T_CK_COMPONENT_GUIDE(CMGU_ID, CMGU_APPS_CODE, CMGU_SERVICE_TYPE, CMGU_COMPONENT_ID, CMGU_GUIDE, CMGU_GUIDE_OTH, CMGU_STATUS, CMGU_DT_CREATE, CMGU_UID_CREATE, CMGU_DT_LUPD, CMGU_UID_LUPD)  VALUES('24','CK','CLICDO','clicdo.task-details.task-listing.table','Click on the EYE icon to view the task details on the section below. Click the PENCIL icon to edit the task and TRASH BIN icon to remove the task.',NULL,'A',NOW(),'SYS',NOW(),'SYS');</v>
      </c>
    </row>
    <row r="26" spans="1:10" x14ac:dyDescent="0.2">
      <c r="A26">
        <v>25</v>
      </c>
      <c r="B26" s="29" t="s">
        <v>5</v>
      </c>
      <c r="C26" s="29" t="s">
        <v>731</v>
      </c>
      <c r="D26" t="s">
        <v>1046</v>
      </c>
      <c r="E26" t="s">
        <v>1082</v>
      </c>
      <c r="F26" s="29" t="s">
        <v>125</v>
      </c>
      <c r="G26" s="29" t="s">
        <v>7</v>
      </c>
      <c r="H26" s="29" t="str">
        <f t="shared" si="0"/>
        <v xml:space="preserve">INSERT INTO T_CK_COMPONENT_GUIDE(CMGU_ID, CMGU_APPS_CODE, CMGU_SERVICE_TYPE, CMGU_COMPONENT_ID, CMGU_GUIDE, CMGU_GUIDE_OTH, CMGU_STATUS, CMGU_DT_CREATE, CMGU_UID_CREATE, CMGU_DT_LUPD, CMGU_UID_LUPD) </v>
      </c>
      <c r="I26" s="29" t="str">
        <f t="shared" ref="I26" si="5">CONCATENATE(" VALUES('",A26,"','",B26,"','",C26,"','",D26,"','",E26,"',",IF(F26="NULL","NULL",CONCATENATE("'",F26,"'")),",'",G26,"',NOW(),'SYS',NOW(),'SYS');")</f>
        <v xml:space="preserve"> VALUES('25','CK','CLICDO','clicdo.task-details.doi-listing.table','Click on the TRASH BIN to remove DO from the task that are in NEW status. Click on EYE icon to view the DO details.',NULL,'A',NOW(),'SYS',NOW(),'SYS');</v>
      </c>
      <c r="J26" s="29" t="str">
        <f t="shared" ref="J26" si="6">CONCATENATE(H26,I26)</f>
        <v>INSERT INTO T_CK_COMPONENT_GUIDE(CMGU_ID, CMGU_APPS_CODE, CMGU_SERVICE_TYPE, CMGU_COMPONENT_ID, CMGU_GUIDE, CMGU_GUIDE_OTH, CMGU_STATUS, CMGU_DT_CREATE, CMGU_UID_CREATE, CMGU_DT_LUPD, CMGU_UID_LUPD)  VALUES('25','CK','CLICDO','clicdo.task-details.doi-listing.table','Click on the TRASH BIN to remove DO from the task that are in NEW status. Click on EYE icon to view the DO details.',NULL,'A',NOW(),'SYS',NOW(),'SYS');</v>
      </c>
    </row>
    <row r="27" spans="1:10" x14ac:dyDescent="0.2">
      <c r="A27">
        <v>26</v>
      </c>
      <c r="B27" s="29" t="s">
        <v>5</v>
      </c>
      <c r="C27" s="29" t="s">
        <v>731</v>
      </c>
      <c r="D27" t="s">
        <v>1047</v>
      </c>
      <c r="E27" t="s">
        <v>1083</v>
      </c>
      <c r="F27" s="29" t="s">
        <v>125</v>
      </c>
      <c r="G27" s="29" t="s">
        <v>7</v>
      </c>
      <c r="H27" s="29" t="str">
        <f t="shared" si="0"/>
        <v xml:space="preserve">INSERT INTO T_CK_COMPONENT_GUIDE(CMGU_ID, CMGU_APPS_CODE, CMGU_SERVICE_TYPE, CMGU_COMPONENT_ID, CMGU_GUIDE, CMGU_GUIDE_OTH, CMGU_STATUS, CMGU_DT_CREATE, CMGU_UID_CREATE, CMGU_DT_LUPD, CMGU_UID_LUPD) </v>
      </c>
      <c r="I27" s="29" t="str">
        <f t="shared" ref="I27:I58" si="7">CONCATENATE(" VALUES('",A27,"','",B27,"','",C27,"','",D27,"','",E27,"',",IF(F27="NULL","NULL",CONCATENATE("'",F27,"'")),",'",G27,"',NOW(),'SYS',NOW(),'SYS');")</f>
        <v xml:space="preserve"> VALUES('26','CK','CLICDO','clicdo.task-details.footer.info','Once the list of DO are confirmed click on the Submit button to retrive the DO documents from the shipping line.',NULL,'A',NOW(),'SYS',NOW(),'SYS');</v>
      </c>
      <c r="J27" s="29" t="str">
        <f t="shared" ref="J27:J58" si="8">CONCATENATE(H27,I27)</f>
        <v>INSERT INTO T_CK_COMPONENT_GUIDE(CMGU_ID, CMGU_APPS_CODE, CMGU_SERVICE_TYPE, CMGU_COMPONENT_ID, CMGU_GUIDE, CMGU_GUIDE_OTH, CMGU_STATUS, CMGU_DT_CREATE, CMGU_UID_CREATE, CMGU_DT_LUPD, CMGU_UID_LUPD)  VALUES('26','CK','CLICDO','clicdo.task-details.footer.info','Once the list of DO are confirmed click on the Submit button to retrive the DO documents from the shipping line.',NULL,'A',NOW(),'SYS',NOW(),'SYS');</v>
      </c>
    </row>
    <row r="28" spans="1:10" x14ac:dyDescent="0.2">
      <c r="A28">
        <v>27</v>
      </c>
      <c r="B28" s="29" t="s">
        <v>5</v>
      </c>
      <c r="C28" s="29" t="s">
        <v>731</v>
      </c>
      <c r="D28" t="s">
        <v>1048</v>
      </c>
      <c r="E28" t="s">
        <v>1084</v>
      </c>
      <c r="F28" s="29" t="s">
        <v>125</v>
      </c>
      <c r="G28" s="29" t="s">
        <v>7</v>
      </c>
      <c r="H28" s="29" t="str">
        <f>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28" s="29" t="str">
        <f t="shared" si="7"/>
        <v xml:space="preserve"> VALUES('27','CK','CLICDO','clicdo.doi.ff.claim.jobs.tabs.details.new','The charges amount will be shown once the job is submitted and verified. The proforma invoices are also available for download when the job details and documents are verified. Once payment is made, DO claim tasks can be started to claim the DO under the BLs.',NULL,'A',NOW(),'SYS',NOW(),'SYS');</v>
      </c>
      <c r="J28" s="29" t="str">
        <f t="shared" si="8"/>
        <v>INSERT INTO T_CK_COMPONENT_GUIDE(CMGU_ID, CMGU_APPS_CODE, CMGU_SERVICE_TYPE, CMGU_COMPONENT_ID, CMGU_GUIDE, CMGU_GUIDE_OTH, CMGU_STATUS, CMGU_DT_CREATE, CMGU_UID_CREATE, CMGU_DT_LUPD, CMGU_UID_LUPD)  VALUES('27','CK','CLICDO','clicdo.doi.ff.claim.jobs.tabs.details.new','The charges amount will be shown once the job is submitted and verified. The proforma invoices are also available for download when the job details and documents are verified. Once payment is made, DO claim tasks can be started to claim the DO under the BLs.',NULL,'A',NOW(),'SYS',NOW(),'SYS');</v>
      </c>
    </row>
    <row r="29" spans="1:10" x14ac:dyDescent="0.2">
      <c r="A29">
        <v>28</v>
      </c>
      <c r="B29" s="29" t="s">
        <v>5</v>
      </c>
      <c r="C29" s="29" t="s">
        <v>731</v>
      </c>
      <c r="D29" t="s">
        <v>1049</v>
      </c>
      <c r="E29" t="s">
        <v>1085</v>
      </c>
      <c r="F29" s="29" t="s">
        <v>125</v>
      </c>
      <c r="G29" s="29" t="s">
        <v>7</v>
      </c>
      <c r="H29" s="29" t="str">
        <f t="shared" ref="H29:H87" si="9">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29" s="29" t="str">
        <f t="shared" si="7"/>
        <v xml:space="preserve"> VALUES('28','CK','CLICDO','clicdo.doi.ff.claim.jobs.tabs.detaills.table.new','Click on the eye icon to view the BL document. BL documents cannot be removed because the job is confirmed.',NULL,'A',NOW(),'SYS',NOW(),'SYS');</v>
      </c>
      <c r="J29" s="29" t="str">
        <f t="shared" si="8"/>
        <v>INSERT INTO T_CK_COMPONENT_GUIDE(CMGU_ID, CMGU_APPS_CODE, CMGU_SERVICE_TYPE, CMGU_COMPONENT_ID, CMGU_GUIDE, CMGU_GUIDE_OTH, CMGU_STATUS, CMGU_DT_CREATE, CMGU_UID_CREATE, CMGU_DT_LUPD, CMGU_UID_LUPD)  VALUES('28','CK','CLICDO','clicdo.doi.ff.claim.jobs.tabs.detaills.table.new','Click on the eye icon to view the BL document. BL documents cannot be removed because the job is confirmed.',NULL,'A',NOW(),'SYS',NOW(),'SYS');</v>
      </c>
    </row>
    <row r="30" spans="1:10" x14ac:dyDescent="0.2">
      <c r="A30">
        <v>29</v>
      </c>
      <c r="B30" s="29" t="s">
        <v>5</v>
      </c>
      <c r="C30" s="29" t="s">
        <v>731</v>
      </c>
      <c r="D30" t="s">
        <v>1050</v>
      </c>
      <c r="E30" t="s">
        <v>1086</v>
      </c>
      <c r="F30" s="29" t="s">
        <v>125</v>
      </c>
      <c r="G30" s="29" t="s">
        <v>7</v>
      </c>
      <c r="H30" s="29" t="str">
        <f t="shared" si="9"/>
        <v xml:space="preserve">INSERT INTO T_CK_COMPONENT_GUIDE(CMGU_ID, CMGU_APPS_CODE, CMGU_SERVICE_TYPE, CMGU_COMPONENT_ID, CMGU_GUIDE, CMGU_GUIDE_OTH, CMGU_STATUS, CMGU_DT_CREATE, CMGU_UID_CREATE, CMGU_DT_LUPD, CMGU_UID_LUPD) </v>
      </c>
      <c r="I30" s="29" t="str">
        <f t="shared" si="7"/>
        <v xml:space="preserve"> VALUES('29','CK','CLICDO','clicdo.doi.ff.claim.jobs.tabs.details.submittted','Once payment is made, DO claim tasks can be started to claim the DO under the BLs.',NULL,'A',NOW(),'SYS',NOW(),'SYS');</v>
      </c>
      <c r="J30" s="29" t="str">
        <f t="shared" si="8"/>
        <v>INSERT INTO T_CK_COMPONENT_GUIDE(CMGU_ID, CMGU_APPS_CODE, CMGU_SERVICE_TYPE, CMGU_COMPONENT_ID, CMGU_GUIDE, CMGU_GUIDE_OTH, CMGU_STATUS, CMGU_DT_CREATE, CMGU_UID_CREATE, CMGU_DT_LUPD, CMGU_UID_LUPD)  VALUES('29','CK','CLICDO','clicdo.doi.ff.claim.jobs.tabs.details.submittted','Once payment is made, DO claim tasks can be started to claim the DO under the BLs.',NULL,'A',NOW(),'SYS',NOW(),'SYS');</v>
      </c>
    </row>
    <row r="31" spans="1:10" x14ac:dyDescent="0.2">
      <c r="A31">
        <v>30</v>
      </c>
      <c r="B31" s="29" t="s">
        <v>5</v>
      </c>
      <c r="C31" s="29" t="s">
        <v>731</v>
      </c>
      <c r="D31" t="s">
        <v>1051</v>
      </c>
      <c r="E31" t="s">
        <v>1087</v>
      </c>
      <c r="F31" s="29" t="s">
        <v>125</v>
      </c>
      <c r="G31" s="29" t="s">
        <v>7</v>
      </c>
      <c r="H31" s="29" t="str">
        <f t="shared" si="9"/>
        <v xml:space="preserve">INSERT INTO T_CK_COMPONENT_GUIDE(CMGU_ID, CMGU_APPS_CODE, CMGU_SERVICE_TYPE, CMGU_COMPONENT_ID, CMGU_GUIDE, CMGU_GUIDE_OTH, CMGU_STATUS, CMGU_DT_CREATE, CMGU_UID_CREATE, CMGU_DT_LUPD, CMGU_UID_LUPD) </v>
      </c>
      <c r="I31" s="29" t="str">
        <f t="shared" si="7"/>
        <v xml:space="preserve"> VALUES('30','CK','CLICDO','clicdo.doi.ff.claim.jobs.tabs.detaills.table.submitted','Click on the Eye icon to view the BL document. Click the Download icon to download the proforma invoice.',NULL,'A',NOW(),'SYS',NOW(),'SYS');</v>
      </c>
      <c r="J31" s="29" t="str">
        <f t="shared" si="8"/>
        <v>INSERT INTO T_CK_COMPONENT_GUIDE(CMGU_ID, CMGU_APPS_CODE, CMGU_SERVICE_TYPE, CMGU_COMPONENT_ID, CMGU_GUIDE, CMGU_GUIDE_OTH, CMGU_STATUS, CMGU_DT_CREATE, CMGU_UID_CREATE, CMGU_DT_LUPD, CMGU_UID_LUPD)  VALUES('30','CK','CLICDO','clicdo.doi.ff.claim.jobs.tabs.detaills.table.submitted','Click on the Eye icon to view the BL document. Click the Download icon to download the proforma invoice.',NULL,'A',NOW(),'SYS',NOW(),'SYS');</v>
      </c>
    </row>
    <row r="32" spans="1:10" x14ac:dyDescent="0.2">
      <c r="A32">
        <v>31</v>
      </c>
      <c r="B32" s="29" t="s">
        <v>5</v>
      </c>
      <c r="C32" s="29" t="s">
        <v>731</v>
      </c>
      <c r="D32" t="s">
        <v>1052</v>
      </c>
      <c r="E32" t="s">
        <v>1088</v>
      </c>
      <c r="F32" s="29" t="s">
        <v>125</v>
      </c>
      <c r="G32" s="29" t="s">
        <v>7</v>
      </c>
      <c r="H32" s="29" t="str">
        <f t="shared" si="9"/>
        <v xml:space="preserve">INSERT INTO T_CK_COMPONENT_GUIDE(CMGU_ID, CMGU_APPS_CODE, CMGU_SERVICE_TYPE, CMGU_COMPONENT_ID, CMGU_GUIDE, CMGU_GUIDE_OTH, CMGU_STATUS, CMGU_DT_CREATE, CMGU_UID_CREATE, CMGU_DT_LUPD, CMGU_UID_LUPD) </v>
      </c>
      <c r="I32" s="29" t="str">
        <f t="shared" si="7"/>
        <v xml:space="preserve"> VALUES('31','CK','CLICDO','clicdo.doi.ff.claim.jobs.tabs.details.paid','Once payment is verified, DO claim tasks can be started to claim the DO under the BLs.',NULL,'A',NOW(),'SYS',NOW(),'SYS');</v>
      </c>
      <c r="J32" s="29" t="str">
        <f t="shared" si="8"/>
        <v>INSERT INTO T_CK_COMPONENT_GUIDE(CMGU_ID, CMGU_APPS_CODE, CMGU_SERVICE_TYPE, CMGU_COMPONENT_ID, CMGU_GUIDE, CMGU_GUIDE_OTH, CMGU_STATUS, CMGU_DT_CREATE, CMGU_UID_CREATE, CMGU_DT_LUPD, CMGU_UID_LUPD)  VALUES('31','CK','CLICDO','clicdo.doi.ff.claim.jobs.tabs.details.paid','Once payment is verified, DO claim tasks can be started to claim the DO under the BLs.',NULL,'A',NOW(),'SYS',NOW(),'SYS');</v>
      </c>
    </row>
    <row r="33" spans="1:10" x14ac:dyDescent="0.2">
      <c r="A33">
        <v>32</v>
      </c>
      <c r="B33" s="29" t="s">
        <v>5</v>
      </c>
      <c r="C33" s="29" t="s">
        <v>731</v>
      </c>
      <c r="D33" t="s">
        <v>1053</v>
      </c>
      <c r="E33" t="s">
        <v>1089</v>
      </c>
      <c r="F33" s="29" t="s">
        <v>125</v>
      </c>
      <c r="G33" s="29" t="s">
        <v>7</v>
      </c>
      <c r="H33" s="29" t="str">
        <f t="shared" si="9"/>
        <v xml:space="preserve">INSERT INTO T_CK_COMPONENT_GUIDE(CMGU_ID, CMGU_APPS_CODE, CMGU_SERVICE_TYPE, CMGU_COMPONENT_ID, CMGU_GUIDE, CMGU_GUIDE_OTH, CMGU_STATUS, CMGU_DT_CREATE, CMGU_UID_CREATE, CMGU_DT_LUPD, CMGU_UID_LUPD) </v>
      </c>
      <c r="I33" s="29" t="str">
        <f t="shared" si="7"/>
        <v xml:space="preserve"> VALUES('32','CK','CLICDO','clicdo.doi.ff.claim.jobs.tabs.detaills.table.paid','Click on the eye icon to view the BL document. Click the Download icon to download the proforma invoice.',NULL,'A',NOW(),'SYS',NOW(),'SYS');</v>
      </c>
      <c r="J33" s="29" t="str">
        <f t="shared" si="8"/>
        <v>INSERT INTO T_CK_COMPONENT_GUIDE(CMGU_ID, CMGU_APPS_CODE, CMGU_SERVICE_TYPE, CMGU_COMPONENT_ID, CMGU_GUIDE, CMGU_GUIDE_OTH, CMGU_STATUS, CMGU_DT_CREATE, CMGU_UID_CREATE, CMGU_DT_LUPD, CMGU_UID_LUPD)  VALUES('32','CK','CLICDO','clicdo.doi.ff.claim.jobs.tabs.detaills.table.paid','Click on the eye icon to view the BL document. Click the Download icon to download the proforma invoice.',NULL,'A',NOW(),'SYS',NOW(),'SYS');</v>
      </c>
    </row>
    <row r="34" spans="1:10" x14ac:dyDescent="0.2">
      <c r="A34">
        <v>33</v>
      </c>
      <c r="B34" s="29" t="s">
        <v>5</v>
      </c>
      <c r="C34" s="29" t="s">
        <v>731</v>
      </c>
      <c r="D34" t="s">
        <v>1054</v>
      </c>
      <c r="E34" t="s">
        <v>1090</v>
      </c>
      <c r="F34" s="29" t="s">
        <v>125</v>
      </c>
      <c r="G34" s="29" t="s">
        <v>7</v>
      </c>
      <c r="H34" s="29" t="str">
        <f t="shared" si="9"/>
        <v xml:space="preserve">INSERT INTO T_CK_COMPONENT_GUIDE(CMGU_ID, CMGU_APPS_CODE, CMGU_SERVICE_TYPE, CMGU_COMPONENT_ID, CMGU_GUIDE, CMGU_GUIDE_OTH, CMGU_STATUS, CMGU_DT_CREATE, CMGU_UID_CREATE, CMGU_DT_LUPD, CMGU_UID_LUPD) </v>
      </c>
      <c r="I34" s="29" t="str">
        <f t="shared" si="7"/>
        <v xml:space="preserve"> VALUES('33','CK','CLICDO','clicdo.doi.ff.claim.jobs.tabs.details.verified','Tasks can be started to claim the DO(s) associated with the BL in the list.',NULL,'A',NOW(),'SYS',NOW(),'SYS');</v>
      </c>
      <c r="J34" s="29" t="str">
        <f t="shared" si="8"/>
        <v>INSERT INTO T_CK_COMPONENT_GUIDE(CMGU_ID, CMGU_APPS_CODE, CMGU_SERVICE_TYPE, CMGU_COMPONENT_ID, CMGU_GUIDE, CMGU_GUIDE_OTH, CMGU_STATUS, CMGU_DT_CREATE, CMGU_UID_CREATE, CMGU_DT_LUPD, CMGU_UID_LUPD)  VALUES('33','CK','CLICDO','clicdo.doi.ff.claim.jobs.tabs.details.verified','Tasks can be started to claim the DO(s) associated with the BL in the list.',NULL,'A',NOW(),'SYS',NOW(),'SYS');</v>
      </c>
    </row>
    <row r="35" spans="1:10" x14ac:dyDescent="0.2">
      <c r="A35">
        <v>34</v>
      </c>
      <c r="B35" s="29" t="s">
        <v>5</v>
      </c>
      <c r="C35" s="29" t="s">
        <v>731</v>
      </c>
      <c r="D35" t="s">
        <v>1055</v>
      </c>
      <c r="E35" t="s">
        <v>1091</v>
      </c>
      <c r="F35" s="29" t="s">
        <v>125</v>
      </c>
      <c r="G35" s="29" t="s">
        <v>7</v>
      </c>
      <c r="H35" s="29" t="str">
        <f t="shared" si="9"/>
        <v xml:space="preserve">INSERT INTO T_CK_COMPONENT_GUIDE(CMGU_ID, CMGU_APPS_CODE, CMGU_SERVICE_TYPE, CMGU_COMPONENT_ID, CMGU_GUIDE, CMGU_GUIDE_OTH, CMGU_STATUS, CMGU_DT_CREATE, CMGU_UID_CREATE, CMGU_DT_LUPD, CMGU_UID_LUPD) </v>
      </c>
      <c r="I35" s="29" t="str">
        <f t="shared" si="7"/>
        <v xml:space="preserve"> VALUES('34','CK','CLICDO','clicdo.doi.ff.claim.jobs.tabs.detaills.table.verified','Click on the eye icon to view the BL document. Click the download icon to download the proforma invoice.',NULL,'A',NOW(),'SYS',NOW(),'SYS');</v>
      </c>
      <c r="J35" s="29" t="str">
        <f t="shared" si="8"/>
        <v>INSERT INTO T_CK_COMPONENT_GUIDE(CMGU_ID, CMGU_APPS_CODE, CMGU_SERVICE_TYPE, CMGU_COMPONENT_ID, CMGU_GUIDE, CMGU_GUIDE_OTH, CMGU_STATUS, CMGU_DT_CREATE, CMGU_UID_CREATE, CMGU_DT_LUPD, CMGU_UID_LUPD)  VALUES('34','CK','CLICDO','clicdo.doi.ff.claim.jobs.tabs.detaills.table.verified','Click on the eye icon to view the BL document. Click the download icon to download the proforma invoice.',NULL,'A',NOW(),'SYS',NOW(),'SYS');</v>
      </c>
    </row>
    <row r="36" spans="1:10" x14ac:dyDescent="0.2">
      <c r="A36">
        <v>35</v>
      </c>
      <c r="B36" s="29" t="s">
        <v>5</v>
      </c>
      <c r="C36" s="29" t="s">
        <v>731</v>
      </c>
      <c r="D36" t="s">
        <v>1056</v>
      </c>
      <c r="E36" t="s">
        <v>1090</v>
      </c>
      <c r="F36" s="29" t="s">
        <v>125</v>
      </c>
      <c r="G36" s="29" t="s">
        <v>7</v>
      </c>
      <c r="H36" s="29" t="str">
        <f t="shared" si="9"/>
        <v xml:space="preserve">INSERT INTO T_CK_COMPONENT_GUIDE(CMGU_ID, CMGU_APPS_CODE, CMGU_SERVICE_TYPE, CMGU_COMPONENT_ID, CMGU_GUIDE, CMGU_GUIDE_OTH, CMGU_STATUS, CMGU_DT_CREATE, CMGU_UID_CREATE, CMGU_DT_LUPD, CMGU_UID_LUPD) </v>
      </c>
      <c r="I36" s="29" t="str">
        <f t="shared" si="7"/>
        <v xml:space="preserve"> VALUES('35','CK','CLICDO','clicdo.doi.ff.claim.jobs.tabs.details.completed','Tasks can be started to claim the DO(s) associated with the BL in the list.',NULL,'A',NOW(),'SYS',NOW(),'SYS');</v>
      </c>
      <c r="J36" s="29" t="str">
        <f t="shared" si="8"/>
        <v>INSERT INTO T_CK_COMPONENT_GUIDE(CMGU_ID, CMGU_APPS_CODE, CMGU_SERVICE_TYPE, CMGU_COMPONENT_ID, CMGU_GUIDE, CMGU_GUIDE_OTH, CMGU_STATUS, CMGU_DT_CREATE, CMGU_UID_CREATE, CMGU_DT_LUPD, CMGU_UID_LUPD)  VALUES('35','CK','CLICDO','clicdo.doi.ff.claim.jobs.tabs.details.completed','Tasks can be started to claim the DO(s) associated with the BL in the list.',NULL,'A',NOW(),'SYS',NOW(),'SYS');</v>
      </c>
    </row>
    <row r="37" spans="1:10" x14ac:dyDescent="0.2">
      <c r="A37">
        <v>36</v>
      </c>
      <c r="B37" s="29" t="s">
        <v>5</v>
      </c>
      <c r="C37" s="29" t="s">
        <v>731</v>
      </c>
      <c r="D37" t="s">
        <v>1057</v>
      </c>
      <c r="E37" t="s">
        <v>1091</v>
      </c>
      <c r="F37" s="29" t="s">
        <v>125</v>
      </c>
      <c r="G37" s="29" t="s">
        <v>7</v>
      </c>
      <c r="H37" s="29" t="str">
        <f t="shared" si="9"/>
        <v xml:space="preserve">INSERT INTO T_CK_COMPONENT_GUIDE(CMGU_ID, CMGU_APPS_CODE, CMGU_SERVICE_TYPE, CMGU_COMPONENT_ID, CMGU_GUIDE, CMGU_GUIDE_OTH, CMGU_STATUS, CMGU_DT_CREATE, CMGU_UID_CREATE, CMGU_DT_LUPD, CMGU_UID_LUPD) </v>
      </c>
      <c r="I37" s="29" t="str">
        <f t="shared" si="7"/>
        <v xml:space="preserve"> VALUES('36','CK','CLICDO','clicdo.doi.ff.claim.jobs.tabs.detaills.table.completed','Click on the eye icon to view the BL document. Click the download icon to download the proforma invoice.',NULL,'A',NOW(),'SYS',NOW(),'SYS');</v>
      </c>
      <c r="J37" s="29" t="str">
        <f t="shared" si="8"/>
        <v>INSERT INTO T_CK_COMPONENT_GUIDE(CMGU_ID, CMGU_APPS_CODE, CMGU_SERVICE_TYPE, CMGU_COMPONENT_ID, CMGU_GUIDE, CMGU_GUIDE_OTH, CMGU_STATUS, CMGU_DT_CREATE, CMGU_UID_CREATE, CMGU_DT_LUPD, CMGU_UID_LUPD)  VALUES('36','CK','CLICDO','clicdo.doi.ff.claim.jobs.tabs.detaills.table.completed','Click on the eye icon to view the BL document. Click the download icon to download the proforma invoice.',NULL,'A',NOW(),'SYS',NOW(),'SYS');</v>
      </c>
    </row>
    <row r="38" spans="1:10" x14ac:dyDescent="0.2">
      <c r="A38">
        <v>37</v>
      </c>
      <c r="B38" s="29" t="s">
        <v>5</v>
      </c>
      <c r="C38" s="29" t="s">
        <v>731</v>
      </c>
      <c r="D38" t="s">
        <v>1058</v>
      </c>
      <c r="E38" t="s">
        <v>1092</v>
      </c>
      <c r="F38" s="29" t="s">
        <v>125</v>
      </c>
      <c r="G38" s="29" t="s">
        <v>7</v>
      </c>
      <c r="H38" s="29" t="str">
        <f t="shared" si="9"/>
        <v xml:space="preserve">INSERT INTO T_CK_COMPONENT_GUIDE(CMGU_ID, CMGU_APPS_CODE, CMGU_SERVICE_TYPE, CMGU_COMPONENT_ID, CMGU_GUIDE, CMGU_GUIDE_OTH, CMGU_STATUS, CMGU_DT_CREATE, CMGU_UID_CREATE, CMGU_DT_LUPD, CMGU_UID_LUPD) </v>
      </c>
      <c r="I38" s="29" t="str">
        <f t="shared" si="7"/>
        <v xml:space="preserve"> VALUES('37','CK','CLICDO','clicdo.payment.active.job.listing.table','Select at least one job and click the Pay icon for payment. Click the Magnifier icon to view list of DO.',NULL,'A',NOW(),'SYS',NOW(),'SYS');</v>
      </c>
      <c r="J38" s="29" t="str">
        <f t="shared" si="8"/>
        <v>INSERT INTO T_CK_COMPONENT_GUIDE(CMGU_ID, CMGU_APPS_CODE, CMGU_SERVICE_TYPE, CMGU_COMPONENT_ID, CMGU_GUIDE, CMGU_GUIDE_OTH, CMGU_STATUS, CMGU_DT_CREATE, CMGU_UID_CREATE, CMGU_DT_LUPD, CMGU_UID_LUPD)  VALUES('37','CK','CLICDO','clicdo.payment.active.job.listing.table','Select at least one job and click the Pay icon for payment. Click the Magnifier icon to view list of DO.',NULL,'A',NOW(),'SYS',NOW(),'SYS');</v>
      </c>
    </row>
    <row r="39" spans="1:10" x14ac:dyDescent="0.2">
      <c r="A39">
        <v>38</v>
      </c>
      <c r="B39" s="29" t="s">
        <v>5</v>
      </c>
      <c r="C39" s="29" t="s">
        <v>731</v>
      </c>
      <c r="D39" t="s">
        <v>1059</v>
      </c>
      <c r="E39" t="s">
        <v>1093</v>
      </c>
      <c r="F39" s="29" t="s">
        <v>125</v>
      </c>
      <c r="G39" s="29" t="s">
        <v>7</v>
      </c>
      <c r="H39" s="29" t="str">
        <f t="shared" si="9"/>
        <v xml:space="preserve">INSERT INTO T_CK_COMPONENT_GUIDE(CMGU_ID, CMGU_APPS_CODE, CMGU_SERVICE_TYPE, CMGU_COMPONENT_ID, CMGU_GUIDE, CMGU_GUIDE_OTH, CMGU_STATUS, CMGU_DT_CREATE, CMGU_UID_CREATE, CMGU_DT_LUPD, CMGU_UID_LUPD) </v>
      </c>
      <c r="I39" s="29" t="str">
        <f t="shared" si="7"/>
        <v xml:space="preserve"> VALUES('38','CK','CLICDO','clicdo.payment.history.listing.table','Click the Eye icon to view Payment Details.',NULL,'A',NOW(),'SYS',NOW(),'SYS');</v>
      </c>
      <c r="J39" s="29" t="str">
        <f t="shared" si="8"/>
        <v>INSERT INTO T_CK_COMPONENT_GUIDE(CMGU_ID, CMGU_APPS_CODE, CMGU_SERVICE_TYPE, CMGU_COMPONENT_ID, CMGU_GUIDE, CMGU_GUIDE_OTH, CMGU_STATUS, CMGU_DT_CREATE, CMGU_UID_CREATE, CMGU_DT_LUPD, CMGU_UID_LUPD)  VALUES('38','CK','CLICDO','clicdo.payment.history.listing.table','Click the Eye icon to view Payment Details.',NULL,'A',NOW(),'SYS',NOW(),'SYS');</v>
      </c>
    </row>
    <row r="40" spans="1:10" x14ac:dyDescent="0.2">
      <c r="A40">
        <v>39</v>
      </c>
      <c r="B40" s="29" t="s">
        <v>5</v>
      </c>
      <c r="C40" s="29" t="s">
        <v>731</v>
      </c>
      <c r="D40" t="s">
        <v>1060</v>
      </c>
      <c r="E40" t="s">
        <v>1094</v>
      </c>
      <c r="F40" s="29" t="s">
        <v>125</v>
      </c>
      <c r="G40" s="29" t="s">
        <v>7</v>
      </c>
      <c r="H40" s="29" t="str">
        <f t="shared" si="9"/>
        <v xml:space="preserve">INSERT INTO T_CK_COMPONENT_GUIDE(CMGU_ID, CMGU_APPS_CODE, CMGU_SERVICE_TYPE, CMGU_COMPONENT_ID, CMGU_GUIDE, CMGU_GUIDE_OTH, CMGU_STATUS, CMGU_DT_CREATE, CMGU_UID_CREATE, CMGU_DT_LUPD, CMGU_UID_LUPD) </v>
      </c>
      <c r="I40" s="29" t="str">
        <f t="shared" si="7"/>
        <v xml:space="preserve"> VALUES('39','CK','CLICDO','clicdo.payment.details.table','For active payment, click the Arrow Submit icon to Pay. Click the Download icon to view the invoice.',NULL,'A',NOW(),'SYS',NOW(),'SYS');</v>
      </c>
      <c r="J40" s="29" t="str">
        <f t="shared" si="8"/>
        <v>INSERT INTO T_CK_COMPONENT_GUIDE(CMGU_ID, CMGU_APPS_CODE, CMGU_SERVICE_TYPE, CMGU_COMPONENT_ID, CMGU_GUIDE, CMGU_GUIDE_OTH, CMGU_STATUS, CMGU_DT_CREATE, CMGU_UID_CREATE, CMGU_DT_LUPD, CMGU_UID_LUPD)  VALUES('39','CK','CLICDO','clicdo.payment.details.table','For active payment, click the Arrow Submit icon to Pay. Click the Download icon to view the invoice.',NULL,'A',NOW(),'SYS',NOW(),'SYS');</v>
      </c>
    </row>
    <row r="41" spans="1:10" x14ac:dyDescent="0.2">
      <c r="A41">
        <v>41</v>
      </c>
      <c r="B41" s="29" t="s">
        <v>5</v>
      </c>
      <c r="C41" s="29" t="s">
        <v>731</v>
      </c>
      <c r="D41" t="s">
        <v>1061</v>
      </c>
      <c r="E41" t="s">
        <v>1095</v>
      </c>
      <c r="F41" s="29" t="s">
        <v>125</v>
      </c>
      <c r="G41" s="29" t="s">
        <v>7</v>
      </c>
      <c r="H41" s="29" t="str">
        <f t="shared" si="9"/>
        <v xml:space="preserve">INSERT INTO T_CK_COMPONENT_GUIDE(CMGU_ID, CMGU_APPS_CODE, CMGU_SERVICE_TYPE, CMGU_COMPONENT_ID, CMGU_GUIDE, CMGU_GUIDE_OTH, CMGU_STATUS, CMGU_DT_CREATE, CMGU_UID_CREATE, CMGU_DT_LUPD, CMGU_UID_LUPD) </v>
      </c>
      <c r="I41" s="29" t="str">
        <f t="shared" si="7"/>
        <v xml:space="preserve"> VALUES('41','CK','CLICDO','clicdo.doi.sl.claim.jobs.tabs.query','Create a query to inform the responder on the changes or correct documents required on what has been claimed.',NULL,'A',NOW(),'SYS',NOW(),'SYS');</v>
      </c>
      <c r="J41" s="29" t="str">
        <f t="shared" si="8"/>
        <v>INSERT INTO T_CK_COMPONENT_GUIDE(CMGU_ID, CMGU_APPS_CODE, CMGU_SERVICE_TYPE, CMGU_COMPONENT_ID, CMGU_GUIDE, CMGU_GUIDE_OTH, CMGU_STATUS, CMGU_DT_CREATE, CMGU_UID_CREATE, CMGU_DT_LUPD, CMGU_UID_LUPD)  VALUES('41','CK','CLICDO','clicdo.doi.sl.claim.jobs.tabs.query','Create a query to inform the responder on the changes or correct documents required on what has been claimed.',NULL,'A',NOW(),'SYS',NOW(),'SYS');</v>
      </c>
    </row>
    <row r="42" spans="1:10" x14ac:dyDescent="0.2">
      <c r="A42">
        <v>42</v>
      </c>
      <c r="B42" s="29" t="s">
        <v>5</v>
      </c>
      <c r="C42" s="29" t="s">
        <v>731</v>
      </c>
      <c r="D42" t="s">
        <v>1062</v>
      </c>
      <c r="E42" t="s">
        <v>1096</v>
      </c>
      <c r="F42" s="29" t="s">
        <v>125</v>
      </c>
      <c r="G42" s="29" t="s">
        <v>7</v>
      </c>
      <c r="H42" s="29" t="str">
        <f t="shared" si="9"/>
        <v xml:space="preserve">INSERT INTO T_CK_COMPONENT_GUIDE(CMGU_ID, CMGU_APPS_CODE, CMGU_SERVICE_TYPE, CMGU_COMPONENT_ID, CMGU_GUIDE, CMGU_GUIDE_OTH, CMGU_STATUS, CMGU_DT_CREATE, CMGU_UID_CREATE, CMGU_DT_LUPD, CMGU_UID_LUPD) </v>
      </c>
      <c r="I42" s="29" t="str">
        <f t="shared" si="7"/>
        <v xml:space="preserve"> VALUES('42','CK','CLICDO','clicdo.doi.sl.claim.jobs.tabs.query.table','Click on the EYE icon to view the query made by the Shipping Line and the response to the query. Click on the TRASH BIN to delete the query.',NULL,'A',NOW(),'SYS',NOW(),'SYS');</v>
      </c>
      <c r="J42" s="29" t="str">
        <f t="shared" si="8"/>
        <v>INSERT INTO T_CK_COMPONENT_GUIDE(CMGU_ID, CMGU_APPS_CODE, CMGU_SERVICE_TYPE, CMGU_COMPONENT_ID, CMGU_GUIDE, CMGU_GUIDE_OTH, CMGU_STATUS, CMGU_DT_CREATE, CMGU_UID_CREATE, CMGU_DT_LUPD, CMGU_UID_LUPD)  VALUES('42','CK','CLICDO','clicdo.doi.sl.claim.jobs.tabs.query.table','Click on the EYE icon to view the query made by the Shipping Line and the response to the query. Click on the TRASH BIN to delete the query.',NULL,'A',NOW(),'SYS',NOW(),'SYS');</v>
      </c>
    </row>
    <row r="43" spans="1:10" x14ac:dyDescent="0.2">
      <c r="A43">
        <v>43</v>
      </c>
      <c r="B43" s="29" t="s">
        <v>5</v>
      </c>
      <c r="C43" s="29" t="s">
        <v>731</v>
      </c>
      <c r="D43" t="s">
        <v>1063</v>
      </c>
      <c r="E43" t="s">
        <v>1097</v>
      </c>
      <c r="F43" s="29" t="s">
        <v>125</v>
      </c>
      <c r="G43" s="29" t="s">
        <v>7</v>
      </c>
      <c r="H43" s="29" t="str">
        <f t="shared" si="9"/>
        <v xml:space="preserve">INSERT INTO T_CK_COMPONENT_GUIDE(CMGU_ID, CMGU_APPS_CODE, CMGU_SERVICE_TYPE, CMGU_COMPONENT_ID, CMGU_GUIDE, CMGU_GUIDE_OTH, CMGU_STATUS, CMGU_DT_CREATE, CMGU_UID_CREATE, CMGU_DT_LUPD, CMGU_UID_LUPD) </v>
      </c>
      <c r="I43" s="29" t="str">
        <f t="shared" si="7"/>
        <v xml:space="preserve"> VALUES('43','CK','CLICDO','clicdo.doi.sl.pay.verify.list','Once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line.',NULL,'A',NOW(),'SYS',NOW(),'SYS');</v>
      </c>
      <c r="J43" s="29" t="str">
        <f t="shared" si="8"/>
        <v>INSERT INTO T_CK_COMPONENT_GUIDE(CMGU_ID, CMGU_APPS_CODE, CMGU_SERVICE_TYPE, CMGU_COMPONENT_ID, CMGU_GUIDE, CMGU_GUIDE_OTH, CMGU_STATUS, CMGU_DT_CREATE, CMGU_UID_CREATE, CMGU_DT_LUPD, CMGU_UID_LUPD)  VALUES('43','CK','CLICDO','clicdo.doi.sl.pay.verify.list','Once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line.',NULL,'A',NOW(),'SYS',NOW(),'SYS');</v>
      </c>
    </row>
    <row r="44" spans="1:10" x14ac:dyDescent="0.2">
      <c r="A44">
        <v>44</v>
      </c>
      <c r="B44" s="29" t="s">
        <v>5</v>
      </c>
      <c r="C44" s="29" t="s">
        <v>731</v>
      </c>
      <c r="D44" t="s">
        <v>1064</v>
      </c>
      <c r="E44" t="s">
        <v>1097</v>
      </c>
      <c r="F44" s="29" t="s">
        <v>125</v>
      </c>
      <c r="G44" s="29" t="s">
        <v>7</v>
      </c>
      <c r="H44" s="29" t="str">
        <f t="shared" si="9"/>
        <v xml:space="preserve">INSERT INTO T_CK_COMPONENT_GUIDE(CMGU_ID, CMGU_APPS_CODE, CMGU_SERVICE_TYPE, CMGU_COMPONENT_ID, CMGU_GUIDE, CMGU_GUIDE_OTH, CMGU_STATUS, CMGU_DT_CREATE, CMGU_UID_CREATE, CMGU_DT_LUPD, CMGU_UID_LUPD) </v>
      </c>
      <c r="I44" s="29" t="str">
        <f t="shared" si="7"/>
        <v xml:space="preserve"> VALUES('44','CK','CLICDO','clicdo.doi.sl.doc.verify.list','Once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line.',NULL,'A',NOW(),'SYS',NOW(),'SYS');</v>
      </c>
      <c r="J44" s="29" t="str">
        <f t="shared" si="8"/>
        <v>INSERT INTO T_CK_COMPONENT_GUIDE(CMGU_ID, CMGU_APPS_CODE, CMGU_SERVICE_TYPE, CMGU_COMPONENT_ID, CMGU_GUIDE, CMGU_GUIDE_OTH, CMGU_STATUS, CMGU_DT_CREATE, CMGU_UID_CREATE, CMGU_DT_LUPD, CMGU_UID_LUPD)  VALUES('44','CK','CLICDO','clicdo.doi.sl.doc.verify.list','Once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line.',NULL,'A',NOW(),'SYS',NOW(),'SYS');</v>
      </c>
    </row>
    <row r="45" spans="1:10" x14ac:dyDescent="0.2">
      <c r="A45">
        <v>45</v>
      </c>
      <c r="B45" s="29" t="s">
        <v>5</v>
      </c>
      <c r="C45" s="29" t="s">
        <v>731</v>
      </c>
      <c r="D45" t="s">
        <v>1065</v>
      </c>
      <c r="E45" t="s">
        <v>1098</v>
      </c>
      <c r="F45" s="29" t="s">
        <v>125</v>
      </c>
      <c r="G45" s="29" t="s">
        <v>7</v>
      </c>
      <c r="H45" s="29" t="str">
        <f t="shared" si="9"/>
        <v xml:space="preserve">INSERT INTO T_CK_COMPONENT_GUIDE(CMGU_ID, CMGU_APPS_CODE, CMGU_SERVICE_TYPE, CMGU_COMPONENT_ID, CMGU_GUIDE, CMGU_GUIDE_OTH, CMGU_STATUS, CMGU_DT_CREATE, CMGU_UID_CREATE, CMGU_DT_LUPD, CMGU_UID_LUPD) </v>
      </c>
      <c r="I45" s="29" t="str">
        <f t="shared" si="7"/>
        <v xml:space="preserve"> VALUES('45','CK','CLICDO','clicdo.job-payment.job-listing.table','Once payment is made and verified, job status will be updated to PAYMENT VERIFIED"',NULL,'A',NOW(),'SYS',NOW(),'SYS');</v>
      </c>
      <c r="J45" s="29" t="str">
        <f t="shared" si="8"/>
        <v>INSERT INTO T_CK_COMPONENT_GUIDE(CMGU_ID, CMGU_APPS_CODE, CMGU_SERVICE_TYPE, CMGU_COMPONENT_ID, CMGU_GUIDE, CMGU_GUIDE_OTH, CMGU_STATUS, CMGU_DT_CREATE, CMGU_UID_CREATE, CMGU_DT_LUPD, CMGU_UID_LUPD)  VALUES('45','CK','CLICDO','clicdo.job-payment.job-listing.table','Once payment is made and verified, job status will be updated to PAYMENT VERIFIED"',NULL,'A',NOW(),'SYS',NOW(),'SYS');</v>
      </c>
    </row>
    <row r="46" spans="1:10" x14ac:dyDescent="0.2">
      <c r="A46">
        <v>50</v>
      </c>
      <c r="B46" s="29" t="s">
        <v>5</v>
      </c>
      <c r="C46" s="29" t="s">
        <v>731</v>
      </c>
      <c r="D46" t="s">
        <v>1066</v>
      </c>
      <c r="E46" t="s">
        <v>1086</v>
      </c>
      <c r="F46" s="29" t="s">
        <v>125</v>
      </c>
      <c r="G46" s="29" t="s">
        <v>7</v>
      </c>
      <c r="H46" s="29" t="str">
        <f t="shared" si="9"/>
        <v xml:space="preserve">INSERT INTO T_CK_COMPONENT_GUIDE(CMGU_ID, CMGU_APPS_CODE, CMGU_SERVICE_TYPE, CMGU_COMPONENT_ID, CMGU_GUIDE, CMGU_GUIDE_OTH, CMGU_STATUS, CMGU_DT_CREATE, CMGU_UID_CREATE, CMGU_DT_LUPD, CMGU_UID_LUPD) </v>
      </c>
      <c r="I46" s="29" t="str">
        <f t="shared" si="7"/>
        <v xml:space="preserve"> VALUES('50','CK','CLICDO','clicdo.doi.ff.claim.jobs.tabs.details.confirmed','Once payment is made, DO claim tasks can be started to claim the DO under the BLs.',NULL,'A',NOW(),'SYS',NOW(),'SYS');</v>
      </c>
      <c r="J46" s="29" t="str">
        <f t="shared" si="8"/>
        <v>INSERT INTO T_CK_COMPONENT_GUIDE(CMGU_ID, CMGU_APPS_CODE, CMGU_SERVICE_TYPE, CMGU_COMPONENT_ID, CMGU_GUIDE, CMGU_GUIDE_OTH, CMGU_STATUS, CMGU_DT_CREATE, CMGU_UID_CREATE, CMGU_DT_LUPD, CMGU_UID_LUPD)  VALUES('50','CK','CLICDO','clicdo.doi.ff.claim.jobs.tabs.details.confirmed','Once payment is made, DO claim tasks can be started to claim the DO under the BLs.',NULL,'A',NOW(),'SYS',NOW(),'SYS');</v>
      </c>
    </row>
    <row r="47" spans="1:10" x14ac:dyDescent="0.2">
      <c r="A47">
        <v>51</v>
      </c>
      <c r="B47" s="29" t="s">
        <v>5</v>
      </c>
      <c r="C47" s="29" t="s">
        <v>731</v>
      </c>
      <c r="D47" t="s">
        <v>1067</v>
      </c>
      <c r="E47" t="s">
        <v>1099</v>
      </c>
      <c r="F47" s="29" t="s">
        <v>125</v>
      </c>
      <c r="G47" s="29" t="s">
        <v>7</v>
      </c>
      <c r="H47" s="29" t="str">
        <f t="shared" si="9"/>
        <v xml:space="preserve">INSERT INTO T_CK_COMPONENT_GUIDE(CMGU_ID, CMGU_APPS_CODE, CMGU_SERVICE_TYPE, CMGU_COMPONENT_ID, CMGU_GUIDE, CMGU_GUIDE_OTH, CMGU_STATUS, CMGU_DT_CREATE, CMGU_UID_CREATE, CMGU_DT_LUPD, CMGU_UID_LUPD) </v>
      </c>
      <c r="I47" s="29" t="str">
        <f t="shared" si="7"/>
        <v xml:space="preserve"> VALUES('51','CK','CLICDO','clicdo.doi.ff.claim.jobs.tabs.detaills.table.confirmed','Click on the Eye icon to view the BL document.',NULL,'A',NOW(),'SYS',NOW(),'SYS');</v>
      </c>
      <c r="J47" s="29" t="str">
        <f t="shared" si="8"/>
        <v>INSERT INTO T_CK_COMPONENT_GUIDE(CMGU_ID, CMGU_APPS_CODE, CMGU_SERVICE_TYPE, CMGU_COMPONENT_ID, CMGU_GUIDE, CMGU_GUIDE_OTH, CMGU_STATUS, CMGU_DT_CREATE, CMGU_UID_CREATE, CMGU_DT_LUPD, CMGU_UID_LUPD)  VALUES('51','CK','CLICDO','clicdo.doi.ff.claim.jobs.tabs.detaills.table.confirmed','Click on the Eye icon to view the BL document.',NULL,'A',NOW(),'SYS',NOW(),'SYS');</v>
      </c>
    </row>
    <row r="48" spans="1:10" x14ac:dyDescent="0.2">
      <c r="A48">
        <v>60</v>
      </c>
      <c r="B48" s="29" t="s">
        <v>5</v>
      </c>
      <c r="C48" s="29" t="s">
        <v>731</v>
      </c>
      <c r="D48" t="s">
        <v>1068</v>
      </c>
      <c r="E48" t="s">
        <v>747</v>
      </c>
      <c r="F48" s="29" t="s">
        <v>125</v>
      </c>
      <c r="G48" s="29" t="s">
        <v>7</v>
      </c>
      <c r="H48" s="29" t="str">
        <f t="shared" si="9"/>
        <v xml:space="preserve">INSERT INTO T_CK_COMPONENT_GUIDE(CMGU_ID, CMGU_APPS_CODE, CMGU_SERVICE_TYPE, CMGU_COMPONENT_ID, CMGU_GUIDE, CMGU_GUIDE_OTH, CMGU_STATUS, CMGU_DT_CREATE, CMGU_UID_CREATE, CMGU_DT_LUPD, CMGU_UID_LUPD) </v>
      </c>
      <c r="I48" s="29" t="str">
        <f t="shared" si="7"/>
        <v xml:space="preserve"> VALUES('60','CK','CLICDO','clicdo.doi.ff.extension.jobs.list','To view any of your jobs without editing, click on the EYE button. To edit any draft jobs, click on the PENCIL button. To delete any draft jobs, click on the TRASH BIN button.',NULL,'A',NOW(),'SYS',NOW(),'SYS');</v>
      </c>
      <c r="J48" s="29" t="str">
        <f t="shared" si="8"/>
        <v>INSERT INTO T_CK_COMPONENT_GUIDE(CMGU_ID, CMGU_APPS_CODE, CMGU_SERVICE_TYPE, CMGU_COMPONENT_ID, CMGU_GUIDE, CMGU_GUIDE_OTH, CMGU_STATUS, CMGU_DT_CREATE, CMGU_UID_CREATE, CMGU_DT_LUPD, CMGU_UID_LUPD)  VALUES('60','CK','CLICDO','clicdo.doi.ff.extension.jobs.list','To view any of your jobs without editing, click on the EYE button. To edit any draft jobs, click on the PENCIL button. To delete any draft jobs, click on the TRASH BIN button.',NULL,'A',NOW(),'SYS',NOW(),'SYS');</v>
      </c>
    </row>
    <row r="49" spans="1:10" x14ac:dyDescent="0.2">
      <c r="A49">
        <v>70</v>
      </c>
      <c r="B49" s="29" t="s">
        <v>5</v>
      </c>
      <c r="C49" s="29" t="s">
        <v>731</v>
      </c>
      <c r="D49" t="s">
        <v>1069</v>
      </c>
      <c r="E49" t="s">
        <v>1100</v>
      </c>
      <c r="F49" s="29" t="s">
        <v>125</v>
      </c>
      <c r="G49" s="29" t="s">
        <v>7</v>
      </c>
      <c r="H49" s="29" t="str">
        <f t="shared" si="9"/>
        <v xml:space="preserve">INSERT INTO T_CK_COMPONENT_GUIDE(CMGU_ID, CMGU_APPS_CODE, CMGU_SERVICE_TYPE, CMGU_COMPONENT_ID, CMGU_GUIDE, CMGU_GUIDE_OTH, CMGU_STATUS, CMGU_DT_CREATE, CMGU_UID_CREATE, CMGU_DT_LUPD, CMGU_UID_LUPD) </v>
      </c>
      <c r="I49" s="29" t="str">
        <f t="shared" si="7"/>
        <v xml:space="preserve"> VALUES('70','CK','CLICDO','clicdo.master.shipment.type.list','*To edit shipment type record click on the pencil icon, to deactivate/activate it click on the unlink icon and to view the details click on the eye icon.',NULL,'A',NOW(),'SYS',NOW(),'SYS');</v>
      </c>
      <c r="J49" s="29" t="str">
        <f t="shared" si="8"/>
        <v>INSERT INTO T_CK_COMPONENT_GUIDE(CMGU_ID, CMGU_APPS_CODE, CMGU_SERVICE_TYPE, CMGU_COMPONENT_ID, CMGU_GUIDE, CMGU_GUIDE_OTH, CMGU_STATUS, CMGU_DT_CREATE, CMGU_UID_CREATE, CMGU_DT_LUPD, CMGU_UID_LUPD)  VALUES('70','CK','CLICDO','clicdo.master.shipment.type.list','*To edit shipment type record click on the pencil icon, to deactivate/activate it click on the unlink icon and to view the details click on the eye icon.',NULL,'A',NOW(),'SYS',NOW(),'SYS');</v>
      </c>
    </row>
    <row r="50" spans="1:10" x14ac:dyDescent="0.2">
      <c r="A50">
        <v>71</v>
      </c>
      <c r="B50" s="29" t="s">
        <v>5</v>
      </c>
      <c r="C50" s="29" t="s">
        <v>731</v>
      </c>
      <c r="D50" t="s">
        <v>1070</v>
      </c>
      <c r="E50" t="s">
        <v>1101</v>
      </c>
      <c r="F50" s="29" t="s">
        <v>125</v>
      </c>
      <c r="G50" s="29" t="s">
        <v>7</v>
      </c>
      <c r="H50" s="29" t="str">
        <f t="shared" si="9"/>
        <v xml:space="preserve">INSERT INTO T_CK_COMPONENT_GUIDE(CMGU_ID, CMGU_APPS_CODE, CMGU_SERVICE_TYPE, CMGU_COMPONENT_ID, CMGU_GUIDE, CMGU_GUIDE_OTH, CMGU_STATUS, CMGU_DT_CREATE, CMGU_UID_CREATE, CMGU_DT_LUPD, CMGU_UID_LUPD) </v>
      </c>
      <c r="I50" s="29" t="str">
        <f t="shared" si="7"/>
        <v xml:space="preserve"> VALUES('71','CK','CLICDO','clicdo.master.shipment.type.details','Enter the details into the fields below and click Save to save or update the record, click Inactivate to set the status of the record to inactive. To exit this page without saving, click on the Exit button.',NULL,'A',NOW(),'SYS',NOW(),'SYS');</v>
      </c>
      <c r="J50" s="29" t="str">
        <f t="shared" si="8"/>
        <v>INSERT INTO T_CK_COMPONENT_GUIDE(CMGU_ID, CMGU_APPS_CODE, CMGU_SERVICE_TYPE, CMGU_COMPONENT_ID, CMGU_GUIDE, CMGU_GUIDE_OTH, CMGU_STATUS, CMGU_DT_CREATE, CMGU_UID_CREATE, CMGU_DT_LUPD, CMGU_UID_LUPD)  VALUES('71','CK','CLICDO','clicdo.master.shipment.type.details','Enter the details into the fields below and click Save to save or update the record, click Inactivate to set the status of the record to inactive. To exit this page without saving, click on the Exit button.',NULL,'A',NOW(),'SYS',NOW(),'SYS');</v>
      </c>
    </row>
    <row r="51" spans="1:10" x14ac:dyDescent="0.2">
      <c r="A51">
        <v>72</v>
      </c>
      <c r="B51" s="29" t="s">
        <v>5</v>
      </c>
      <c r="C51" s="29" t="s">
        <v>731</v>
      </c>
      <c r="D51" t="s">
        <v>1071</v>
      </c>
      <c r="E51" t="s">
        <v>1102</v>
      </c>
      <c r="F51" s="29" t="s">
        <v>125</v>
      </c>
      <c r="G51" s="29" t="s">
        <v>7</v>
      </c>
      <c r="H51" s="29" t="str">
        <f t="shared" si="9"/>
        <v xml:space="preserve">INSERT INTO T_CK_COMPONENT_GUIDE(CMGU_ID, CMGU_APPS_CODE, CMGU_SERVICE_TYPE, CMGU_COMPONENT_ID, CMGU_GUIDE, CMGU_GUIDE_OTH, CMGU_STATUS, CMGU_DT_CREATE, CMGU_UID_CREATE, CMGU_DT_LUPD, CMGU_UID_LUPD) </v>
      </c>
      <c r="I51" s="29" t="str">
        <f t="shared" si="7"/>
        <v xml:space="preserve"> VALUES('72','CK','CLICDO','clicdo.master.shipment.type.audit','The updates to the shipment type record are listed in the table below. You can filter the list to determine the changes.',NULL,'A',NOW(),'SYS',NOW(),'SYS');</v>
      </c>
      <c r="J51" s="29" t="str">
        <f t="shared" si="8"/>
        <v>INSERT INTO T_CK_COMPONENT_GUIDE(CMGU_ID, CMGU_APPS_CODE, CMGU_SERVICE_TYPE, CMGU_COMPONENT_ID, CMGU_GUIDE, CMGU_GUIDE_OTH, CMGU_STATUS, CMGU_DT_CREATE, CMGU_UID_CREATE, CMGU_DT_LUPD, CMGU_UID_LUPD)  VALUES('72','CK','CLICDO','clicdo.master.shipment.type.audit','The updates to the shipment type record are listed in the table below. You can filter the list to determine the changes.',NULL,'A',NOW(),'SYS',NOW(),'SYS');</v>
      </c>
    </row>
    <row r="52" spans="1:10" x14ac:dyDescent="0.2">
      <c r="A52">
        <v>73</v>
      </c>
      <c r="B52" s="29" t="s">
        <v>5</v>
      </c>
      <c r="C52" s="29" t="s">
        <v>731</v>
      </c>
      <c r="D52" t="s">
        <v>1072</v>
      </c>
      <c r="E52" t="s">
        <v>1103</v>
      </c>
      <c r="F52" s="29" t="s">
        <v>125</v>
      </c>
      <c r="G52" s="29" t="s">
        <v>7</v>
      </c>
      <c r="H52" s="29" t="str">
        <f t="shared" si="9"/>
        <v xml:space="preserve">INSERT INTO T_CK_COMPONENT_GUIDE(CMGU_ID, CMGU_APPS_CODE, CMGU_SERVICE_TYPE, CMGU_COMPONENT_ID, CMGU_GUIDE, CMGU_GUIDE_OTH, CMGU_STATUS, CMGU_DT_CREATE, CMGU_UID_CREATE, CMGU_DT_LUPD, CMGU_UID_LUPD) </v>
      </c>
      <c r="I52" s="29" t="str">
        <f t="shared" si="7"/>
        <v xml:space="preserve"> VALUES('73','CK','CLICDO','clicdo.mydo.jobs.list','The list below shows the active DOs that you are having. Containers of active DO have yet been returned to the Depo. ',NULL,'A',NOW(),'SYS',NOW(),'SYS');</v>
      </c>
      <c r="J52" s="29" t="str">
        <f t="shared" si="8"/>
        <v>INSERT INTO T_CK_COMPONENT_GUIDE(CMGU_ID, CMGU_APPS_CODE, CMGU_SERVICE_TYPE, CMGU_COMPONENT_ID, CMGU_GUIDE, CMGU_GUIDE_OTH, CMGU_STATUS, CMGU_DT_CREATE, CMGU_UID_CREATE, CMGU_DT_LUPD, CMGU_UID_LUPD)  VALUES('73','CK','CLICDO','clicdo.mydo.jobs.list','The list below shows the active DOs that you are having. Containers of active DO have yet been returned to the Depo. ',NULL,'A',NOW(),'SYS',NOW(),'SYS');</v>
      </c>
    </row>
    <row r="53" spans="1:10" x14ac:dyDescent="0.2">
      <c r="A53">
        <v>74</v>
      </c>
      <c r="B53" s="29" t="s">
        <v>5</v>
      </c>
      <c r="C53" s="29" t="s">
        <v>731</v>
      </c>
      <c r="D53" t="s">
        <v>1073</v>
      </c>
      <c r="E53" t="s">
        <v>1104</v>
      </c>
      <c r="F53" s="29" t="s">
        <v>125</v>
      </c>
      <c r="G53" s="29" t="s">
        <v>7</v>
      </c>
      <c r="H53" s="29" t="str">
        <f t="shared" si="9"/>
        <v xml:space="preserve">INSERT INTO T_CK_COMPONENT_GUIDE(CMGU_ID, CMGU_APPS_CODE, CMGU_SERVICE_TYPE, CMGU_COMPONENT_ID, CMGU_GUIDE, CMGU_GUIDE_OTH, CMGU_STATUS, CMGU_DT_CREATE, CMGU_UID_CREATE, CMGU_DT_LUPD, CMGU_UID_LUPD) </v>
      </c>
      <c r="I53" s="29" t="str">
        <f t="shared" si="7"/>
        <v xml:space="preserve"> VALUES('74','CK','CLICDO','clicdo.mydo.tabs.details','DO general details are presented in the various sections below.',NULL,'A',NOW(),'SYS',NOW(),'SYS');</v>
      </c>
      <c r="J53" s="29" t="str">
        <f t="shared" si="8"/>
        <v>INSERT INTO T_CK_COMPONENT_GUIDE(CMGU_ID, CMGU_APPS_CODE, CMGU_SERVICE_TYPE, CMGU_COMPONENT_ID, CMGU_GUIDE, CMGU_GUIDE_OTH, CMGU_STATUS, CMGU_DT_CREATE, CMGU_UID_CREATE, CMGU_DT_LUPD, CMGU_UID_LUPD)  VALUES('74','CK','CLICDO','clicdo.mydo.tabs.details','DO general details are presented in the various sections below.',NULL,'A',NOW(),'SYS',NOW(),'SYS');</v>
      </c>
    </row>
    <row r="54" spans="1:10" x14ac:dyDescent="0.2">
      <c r="A54">
        <v>75</v>
      </c>
      <c r="B54" s="29" t="s">
        <v>5</v>
      </c>
      <c r="C54" s="29" t="s">
        <v>731</v>
      </c>
      <c r="D54" t="s">
        <v>1074</v>
      </c>
      <c r="E54" t="s">
        <v>1105</v>
      </c>
      <c r="F54" s="29" t="s">
        <v>125</v>
      </c>
      <c r="G54" s="29" t="s">
        <v>7</v>
      </c>
      <c r="H54" s="29" t="str">
        <f t="shared" si="9"/>
        <v xml:space="preserve">INSERT INTO T_CK_COMPONENT_GUIDE(CMGU_ID, CMGU_APPS_CODE, CMGU_SERVICE_TYPE, CMGU_COMPONENT_ID, CMGU_GUIDE, CMGU_GUIDE_OTH, CMGU_STATUS, CMGU_DT_CREATE, CMGU_UID_CREATE, CMGU_DT_LUPD, CMGU_UID_LUPD) </v>
      </c>
      <c r="I54" s="29" t="str">
        <f t="shared" si="7"/>
        <v xml:space="preserve"> VALUES('75','CK','CLICDO','clicdo.mydo.tabs.invoices','The invoices associated with the DO are presented in the table below. These invoices are official invoices that are issued by the shipping line.',NULL,'A',NOW(),'SYS',NOW(),'SYS');</v>
      </c>
      <c r="J54" s="29" t="str">
        <f t="shared" si="8"/>
        <v>INSERT INTO T_CK_COMPONENT_GUIDE(CMGU_ID, CMGU_APPS_CODE, CMGU_SERVICE_TYPE, CMGU_COMPONENT_ID, CMGU_GUIDE, CMGU_GUIDE_OTH, CMGU_STATUS, CMGU_DT_CREATE, CMGU_UID_CREATE, CMGU_DT_LUPD, CMGU_UID_LUPD)  VALUES('75','CK','CLICDO','clicdo.mydo.tabs.invoices','The invoices associated with the DO are presented in the table below. These invoices are official invoices that are issued by the shipping line.',NULL,'A',NOW(),'SYS',NOW(),'SYS');</v>
      </c>
    </row>
    <row r="55" spans="1:10" x14ac:dyDescent="0.2">
      <c r="A55">
        <v>76</v>
      </c>
      <c r="B55" s="29" t="s">
        <v>5</v>
      </c>
      <c r="C55" s="29" t="s">
        <v>731</v>
      </c>
      <c r="D55" t="s">
        <v>1075</v>
      </c>
      <c r="E55" t="s">
        <v>1106</v>
      </c>
      <c r="F55" s="29" t="s">
        <v>125</v>
      </c>
      <c r="G55" s="29" t="s">
        <v>7</v>
      </c>
      <c r="H55" s="29" t="str">
        <f t="shared" si="9"/>
        <v xml:space="preserve">INSERT INTO T_CK_COMPONENT_GUIDE(CMGU_ID, CMGU_APPS_CODE, CMGU_SERVICE_TYPE, CMGU_COMPONENT_ID, CMGU_GUIDE, CMGU_GUIDE_OTH, CMGU_STATUS, CMGU_DT_CREATE, CMGU_UID_CREATE, CMGU_DT_LUPD, CMGU_UID_LUPD) </v>
      </c>
      <c r="I55" s="29" t="str">
        <f t="shared" si="7"/>
        <v xml:space="preserve"> VALUES('76','CK','CLICDO','clicdo.mydo.tabs.containers','The containers associated with the DO are presented in the table below.',NULL,'A',NOW(),'SYS',NOW(),'SYS');</v>
      </c>
      <c r="J55" s="29" t="str">
        <f t="shared" si="8"/>
        <v>INSERT INTO T_CK_COMPONENT_GUIDE(CMGU_ID, CMGU_APPS_CODE, CMGU_SERVICE_TYPE, CMGU_COMPONENT_ID, CMGU_GUIDE, CMGU_GUIDE_OTH, CMGU_STATUS, CMGU_DT_CREATE, CMGU_UID_CREATE, CMGU_DT_LUPD, CMGU_UID_LUPD)  VALUES('76','CK','CLICDO','clicdo.mydo.tabs.containers','The containers associated with the DO are presented in the table below.',NULL,'A',NOW(),'SYS',NOW(),'SYS');</v>
      </c>
    </row>
    <row r="56" spans="1:10" x14ac:dyDescent="0.2">
      <c r="A56">
        <v>77</v>
      </c>
      <c r="B56" s="29" t="s">
        <v>5</v>
      </c>
      <c r="C56" s="29" t="s">
        <v>731</v>
      </c>
      <c r="D56" t="s">
        <v>1076</v>
      </c>
      <c r="E56" t="s">
        <v>1107</v>
      </c>
      <c r="F56" s="29" t="s">
        <v>125</v>
      </c>
      <c r="G56" s="29" t="s">
        <v>7</v>
      </c>
      <c r="H56" s="29" t="str">
        <f t="shared" si="9"/>
        <v xml:space="preserve">INSERT INTO T_CK_COMPONENT_GUIDE(CMGU_ID, CMGU_APPS_CODE, CMGU_SERVICE_TYPE, CMGU_COMPONENT_ID, CMGU_GUIDE, CMGU_GUIDE_OTH, CMGU_STATUS, CMGU_DT_CREATE, CMGU_UID_CREATE, CMGU_DT_LUPD, CMGU_UID_LUPD) </v>
      </c>
      <c r="I56" s="29" t="str">
        <f t="shared" si="7"/>
        <v xml:space="preserve"> VALUES('77','CK','CLICDO','clicdo.mydo.tabs.extensions','The Do extensions associated with the DO are presented in the table below.',NULL,'A',NOW(),'SYS',NOW(),'SYS');</v>
      </c>
      <c r="J56" s="29" t="str">
        <f t="shared" si="8"/>
        <v>INSERT INTO T_CK_COMPONENT_GUIDE(CMGU_ID, CMGU_APPS_CODE, CMGU_SERVICE_TYPE, CMGU_COMPONENT_ID, CMGU_GUIDE, CMGU_GUIDE_OTH, CMGU_STATUS, CMGU_DT_CREATE, CMGU_UID_CREATE, CMGU_DT_LUPD, CMGU_UID_LUPD)  VALUES('77','CK','CLICDO','clicdo.mydo.tabs.extensions','The Do extensions associated with the DO are presented in the table below.',NULL,'A',NOW(),'SYS',NOW(),'SYS');</v>
      </c>
    </row>
    <row r="57" spans="1:10" x14ac:dyDescent="0.2">
      <c r="A57">
        <v>78</v>
      </c>
      <c r="B57" s="29" t="s">
        <v>5</v>
      </c>
      <c r="C57" s="29" t="s">
        <v>731</v>
      </c>
      <c r="D57" t="s">
        <v>1077</v>
      </c>
      <c r="E57" t="s">
        <v>1108</v>
      </c>
      <c r="F57" s="29" t="s">
        <v>125</v>
      </c>
      <c r="G57" s="29" t="s">
        <v>7</v>
      </c>
      <c r="H57" s="29" t="str">
        <f t="shared" si="9"/>
        <v xml:space="preserve">INSERT INTO T_CK_COMPONENT_GUIDE(CMGU_ID, CMGU_APPS_CODE, CMGU_SERVICE_TYPE, CMGU_COMPONENT_ID, CMGU_GUIDE, CMGU_GUIDE_OTH, CMGU_STATUS, CMGU_DT_CREATE, CMGU_UID_CREATE, CMGU_DT_LUPD, CMGU_UID_LUPD) </v>
      </c>
      <c r="I57" s="29" t="str">
        <f t="shared" si="7"/>
        <v xml:space="preserve"> VALUES('78','CK','CLICDO','clicdo.extension.jobs.list','The list below shows the DO extension jobs. Once the extension jobs are paid the DO are presented in your DO listing.',NULL,'A',NOW(),'SYS',NOW(),'SYS');</v>
      </c>
      <c r="J57" s="29" t="str">
        <f t="shared" si="8"/>
        <v>INSERT INTO T_CK_COMPONENT_GUIDE(CMGU_ID, CMGU_APPS_CODE, CMGU_SERVICE_TYPE, CMGU_COMPONENT_ID, CMGU_GUIDE, CMGU_GUIDE_OTH, CMGU_STATUS, CMGU_DT_CREATE, CMGU_UID_CREATE, CMGU_DT_LUPD, CMGU_UID_LUPD)  VALUES('78','CK','CLICDO','clicdo.extension.jobs.list','The list below shows the DO extension jobs. Once the extension jobs are paid the DO are presented in your DO listing.',NULL,'A',NOW(),'SYS',NOW(),'SYS');</v>
      </c>
    </row>
    <row r="58" spans="1:10" s="32" customFormat="1" x14ac:dyDescent="0.2">
      <c r="A58" s="7">
        <v>79</v>
      </c>
      <c r="B58" s="32" t="s">
        <v>5</v>
      </c>
      <c r="C58" s="32" t="s">
        <v>731</v>
      </c>
      <c r="D58" s="7" t="s">
        <v>1078</v>
      </c>
      <c r="E58" s="7" t="s">
        <v>1109</v>
      </c>
      <c r="F58" s="32" t="s">
        <v>125</v>
      </c>
      <c r="G58" s="32" t="s">
        <v>7</v>
      </c>
      <c r="H58" s="32" t="str">
        <f t="shared" si="9"/>
        <v xml:space="preserve">INSERT INTO T_CK_COMPONENT_GUIDE(CMGU_ID, CMGU_APPS_CODE, CMGU_SERVICE_TYPE, CMGU_COMPONENT_ID, CMGU_GUIDE, CMGU_GUIDE_OTH, CMGU_STATUS, CMGU_DT_CREATE, CMGU_UID_CREATE, CMGU_DT_LUPD, CMGU_UID_LUPD) </v>
      </c>
      <c r="I58" s="32" t="str">
        <f t="shared" si="7"/>
        <v xml:space="preserve"> VALUES('79','CK','CLICDO','clicdo.extension.tabs.details','DO Extension details are presented in the various sections below. If you confirm the extension, you will be able to pay for the DO extension.',NULL,'A',NOW(),'SYS',NOW(),'SYS');</v>
      </c>
      <c r="J58" s="32" t="str">
        <f t="shared" si="8"/>
        <v>INSERT INTO T_CK_COMPONENT_GUIDE(CMGU_ID, CMGU_APPS_CODE, CMGU_SERVICE_TYPE, CMGU_COMPONENT_ID, CMGU_GUIDE, CMGU_GUIDE_OTH, CMGU_STATUS, CMGU_DT_CREATE, CMGU_UID_CREATE, CMGU_DT_LUPD, CMGU_UID_LUPD)  VALUES('79','CK','CLICDO','clicdo.extension.tabs.details','DO Extension details are presented in the various sections below. If you confirm the extension, you will be able to pay for the DO extension.',NULL,'A',NOW(),'SYS',NOW(),'SYS');</v>
      </c>
    </row>
    <row r="59" spans="1:10" x14ac:dyDescent="0.2">
      <c r="A59">
        <v>80</v>
      </c>
      <c r="B59" s="30" t="s">
        <v>14</v>
      </c>
      <c r="C59" s="30" t="s">
        <v>618</v>
      </c>
      <c r="D59" s="31" t="s">
        <v>1110</v>
      </c>
      <c r="E59" s="31" t="s">
        <v>1114</v>
      </c>
      <c r="F59" s="29" t="s">
        <v>125</v>
      </c>
      <c r="G59" s="29" t="s">
        <v>7</v>
      </c>
      <c r="H59" s="29" t="str">
        <f t="shared" si="9"/>
        <v xml:space="preserve">INSERT INTO T_CK_COMPONENT_GUIDE(CMGU_ID, CMGU_APPS_CODE, CMGU_SERVICE_TYPE, CMGU_COMPONENT_ID, CMGU_GUIDE, CMGU_GUIDE_OTH, CMGU_STATUS, CMGU_DT_CREATE, CMGU_UID_CREATE, CMGU_DT_LUPD, CMGU_UID_LUPD) </v>
      </c>
      <c r="I59" s="29" t="str">
        <f t="shared" ref="I59" si="10">CONCATENATE(" VALUES('",A59,"','",B59,"','",C59,"','",D59,"','",E59,"',",IF(F59="NULL","NULL",CONCATENATE("'",F59,"'")),",'",G59,"',NOW(),'SYS',NOW(),'SYS');")</f>
        <v xml:space="preserve"> VALUES('80','CKT','CLICTRUCK','clictruck.job.general.details','Trucking job details such as the reference numbers, dates and party details.',NULL,'A',NOW(),'SYS',NOW(),'SYS');</v>
      </c>
      <c r="J59" s="29" t="str">
        <f t="shared" ref="J59" si="11">CONCATENATE(H59,I59)</f>
        <v>INSERT INTO T_CK_COMPONENT_GUIDE(CMGU_ID, CMGU_APPS_CODE, CMGU_SERVICE_TYPE, CMGU_COMPONENT_ID, CMGU_GUIDE, CMGU_GUIDE_OTH, CMGU_STATUS, CMGU_DT_CREATE, CMGU_UID_CREATE, CMGU_DT_LUPD, CMGU_UID_LUPD)  VALUES('80','CKT','CLICTRUCK','clictruck.job.general.details','Trucking job details such as the reference numbers, dates and party details.',NULL,'A',NOW(),'SYS',NOW(),'SYS');</v>
      </c>
    </row>
    <row r="60" spans="1:10" x14ac:dyDescent="0.2">
      <c r="A60">
        <v>81</v>
      </c>
      <c r="B60" s="30" t="s">
        <v>14</v>
      </c>
      <c r="C60" s="30" t="s">
        <v>618</v>
      </c>
      <c r="D60" s="31" t="s">
        <v>1113</v>
      </c>
      <c r="E60" s="31" t="s">
        <v>1115</v>
      </c>
      <c r="F60" s="29" t="s">
        <v>125</v>
      </c>
      <c r="G60" s="29" t="s">
        <v>7</v>
      </c>
      <c r="H60" s="29" t="str">
        <f t="shared" si="9"/>
        <v xml:space="preserve">INSERT INTO T_CK_COMPONENT_GUIDE(CMGU_ID, CMGU_APPS_CODE, CMGU_SERVICE_TYPE, CMGU_COMPONENT_ID, CMGU_GUIDE, CMGU_GUIDE_OTH, CMGU_STATUS, CMGU_DT_CREATE, CMGU_UID_CREATE, CMGU_DT_LUPD, CMGU_UID_LUPD) </v>
      </c>
      <c r="I60" s="29" t="str">
        <f t="shared" ref="I60" si="12">CONCATENATE(" VALUES('",A60,"','",B60,"','",C60,"','",D60,"','",E60,"',",IF(F60="NULL","NULL",CONCATENATE("'",F60,"'")),",'",G60,"',NOW(),'SYS',NOW(),'SYS');")</f>
        <v xml:space="preserve"> VALUES('81','CKT','CLICTRUCK','clictruck.job.trip.charges','Location details, trip charges (if applicable), and cargo and truck details. For trip charges, click on Open Price to change pricing. For predefined trip charges, click Rate Table icon.',NULL,'A',NOW(),'SYS',NOW(),'SYS');</v>
      </c>
      <c r="J60" s="29" t="str">
        <f t="shared" ref="J60" si="13">CONCATENATE(H60,I60)</f>
        <v>INSERT INTO T_CK_COMPONENT_GUIDE(CMGU_ID, CMGU_APPS_CODE, CMGU_SERVICE_TYPE, CMGU_COMPONENT_ID, CMGU_GUIDE, CMGU_GUIDE_OTH, CMGU_STATUS, CMGU_DT_CREATE, CMGU_UID_CREATE, CMGU_DT_LUPD, CMGU_UID_LUPD)  VALUES('81','CKT','CLICTRUCK','clictruck.job.trip.charges','Location details, trip charges (if applicable), and cargo and truck details. For trip charges, click on Open Price to change pricing. For predefined trip charges, click Rate Table icon.',NULL,'A',NOW(),'SYS',NOW(),'SYS');</v>
      </c>
    </row>
    <row r="61" spans="1:10" x14ac:dyDescent="0.2">
      <c r="A61">
        <v>82</v>
      </c>
      <c r="B61" s="30" t="s">
        <v>14</v>
      </c>
      <c r="C61" s="30" t="s">
        <v>618</v>
      </c>
      <c r="D61" s="31" t="s">
        <v>1112</v>
      </c>
      <c r="E61" s="31" t="s">
        <v>1111</v>
      </c>
      <c r="F61" s="29" t="s">
        <v>125</v>
      </c>
      <c r="G61" s="29" t="s">
        <v>7</v>
      </c>
      <c r="H61" s="29" t="str">
        <f t="shared" si="9"/>
        <v xml:space="preserve">INSERT INTO T_CK_COMPONENT_GUIDE(CMGU_ID, CMGU_APPS_CODE, CMGU_SERVICE_TYPE, CMGU_COMPONENT_ID, CMGU_GUIDE, CMGU_GUIDE_OTH, CMGU_STATUS, CMGU_DT_CREATE, CMGU_UID_CREATE, CMGU_DT_LUPD, CMGU_UID_LUPD) </v>
      </c>
      <c r="I61" s="29" t="str">
        <f t="shared" ref="I61" si="14">CONCATENATE(" VALUES('",A61,"','",B61,"','",C61,"','",D61,"','",E61,"',",IF(F61="NULL","NULL",CONCATENATE("'",F61,"'")),",'",G61,"',NOW(),'SYS',NOW(),'SYS');")</f>
        <v xml:space="preserve"> VALUES('82','CKT','CLICTRUCK','clictruck.job.supporting.docs','Upload or download supporting documents of the trucking job.',NULL,'A',NOW(),'SYS',NOW(),'SYS');</v>
      </c>
      <c r="J61" s="29" t="str">
        <f t="shared" ref="J61" si="15">CONCATENATE(H61,I61)</f>
        <v>INSERT INTO T_CK_COMPONENT_GUIDE(CMGU_ID, CMGU_APPS_CODE, CMGU_SERVICE_TYPE, CMGU_COMPONENT_ID, CMGU_GUIDE, CMGU_GUIDE_OTH, CMGU_STATUS, CMGU_DT_CREATE, CMGU_UID_CREATE, CMGU_DT_LUPD, CMGU_UID_LUPD)  VALUES('82','CKT','CLICTRUCK','clictruck.job.supporting.docs','Upload or download supporting documents of the trucking job.',NULL,'A',NOW(),'SYS',NOW(),'SYS');</v>
      </c>
    </row>
    <row r="62" spans="1:10" x14ac:dyDescent="0.2">
      <c r="A62">
        <v>83</v>
      </c>
      <c r="B62" s="30" t="s">
        <v>14</v>
      </c>
      <c r="C62" s="30" t="s">
        <v>618</v>
      </c>
      <c r="D62" s="31" t="s">
        <v>1043</v>
      </c>
      <c r="E62" s="31" t="s">
        <v>1044</v>
      </c>
      <c r="F62" s="29" t="s">
        <v>125</v>
      </c>
      <c r="G62" s="29" t="s">
        <v>7</v>
      </c>
      <c r="H62" s="29" t="str">
        <f t="shared" si="9"/>
        <v xml:space="preserve">INSERT INTO T_CK_COMPONENT_GUIDE(CMGU_ID, CMGU_APPS_CODE, CMGU_SERVICE_TYPE, CMGU_COMPONENT_ID, CMGU_GUIDE, CMGU_GUIDE_OTH, CMGU_STATUS, CMGU_DT_CREATE, CMGU_UID_CREATE, CMGU_DT_LUPD, CMGU_UID_LUPD) </v>
      </c>
      <c r="I62" s="29" t="str">
        <f t="shared" ref="I62" si="16">CONCATENATE(" VALUES('",A62,"','",B62,"','",C62,"','",D62,"','",E62,"',",IF(F62="NULL","NULL",CONCATENATE("'",F62,"'")),",'",G62,"',NOW(),'SYS',NOW(),'SYS');")</f>
        <v xml:space="preserve"> VALUES('83','CKT','CLICTRUCK','clictruck.job.audit','The audited event associated with the job is presented here. Filtering is supported to sniff out audit records by criteria(s).',NULL,'A',NOW(),'SYS',NOW(),'SYS');</v>
      </c>
      <c r="J62" s="29" t="str">
        <f t="shared" ref="J62" si="17">CONCATENATE(H62,I62)</f>
        <v>INSERT INTO T_CK_COMPONENT_GUIDE(CMGU_ID, CMGU_APPS_CODE, CMGU_SERVICE_TYPE, CMGU_COMPONENT_ID, CMGU_GUIDE, CMGU_GUIDE_OTH, CMGU_STATUS, CMGU_DT_CREATE, CMGU_UID_CREATE, CMGU_DT_LUPD, CMGU_UID_LUPD)  VALUES('83','CKT','CLICTRUCK','clictruck.job.audit','The audited event associated with the job is presented here. Filtering is supported to sniff out audit records by criteria(s).',NULL,'A',NOW(),'SYS',NOW(),'SYS');</v>
      </c>
    </row>
    <row r="63" spans="1:10" x14ac:dyDescent="0.2">
      <c r="A63">
        <v>84</v>
      </c>
      <c r="B63" s="30" t="s">
        <v>14</v>
      </c>
      <c r="C63" s="30" t="s">
        <v>618</v>
      </c>
      <c r="D63" s="31" t="s">
        <v>1116</v>
      </c>
      <c r="E63" s="31" t="s">
        <v>1117</v>
      </c>
      <c r="F63" s="29" t="s">
        <v>125</v>
      </c>
      <c r="G63" s="29" t="s">
        <v>7</v>
      </c>
      <c r="H63" s="29" t="str">
        <f t="shared" si="9"/>
        <v xml:space="preserve">INSERT INTO T_CK_COMPONENT_GUIDE(CMGU_ID, CMGU_APPS_CODE, CMGU_SERVICE_TYPE, CMGU_COMPONENT_ID, CMGU_GUIDE, CMGU_GUIDE_OTH, CMGU_STATUS, CMGU_DT_CREATE, CMGU_UID_CREATE, CMGU_DT_LUPD, CMGU_UID_LUPD) </v>
      </c>
      <c r="I63" s="29" t="str">
        <f t="shared" ref="I63" si="18">CONCATENATE(" VALUES('",A63,"','",B63,"','",C63,"','",D63,"','",E63,"',",IF(F63="NULL","NULL",CONCATENATE("'",F63,"'")),",'",G63,"',NOW(),'SYS',NOW(),'SYS');")</f>
        <v xml:space="preserve"> VALUES('84','CKT','CLICTRUCK','clictruck.job.driver.truck','Driver and truck selection to assign the trucking job to. Selecting Others will assign Driver or Truck not in the predefined list.',NULL,'A',NOW(),'SYS',NOW(),'SYS');</v>
      </c>
      <c r="J63" s="29" t="str">
        <f t="shared" ref="J63" si="19">CONCATENATE(H63,I63)</f>
        <v>INSERT INTO T_CK_COMPONENT_GUIDE(CMGU_ID, CMGU_APPS_CODE, CMGU_SERVICE_TYPE, CMGU_COMPONENT_ID, CMGU_GUIDE, CMGU_GUIDE_OTH, CMGU_STATUS, CMGU_DT_CREATE, CMGU_UID_CREATE, CMGU_DT_LUPD, CMGU_UID_LUPD)  VALUES('84','CKT','CLICTRUCK','clictruck.job.driver.truck','Driver and truck selection to assign the trucking job to. Selecting Others will assign Driver or Truck not in the predefined list.',NULL,'A',NOW(),'SYS',NOW(),'SYS');</v>
      </c>
    </row>
    <row r="64" spans="1:10" x14ac:dyDescent="0.2">
      <c r="A64">
        <v>85</v>
      </c>
      <c r="B64" s="30" t="s">
        <v>14</v>
      </c>
      <c r="C64" s="30" t="s">
        <v>618</v>
      </c>
      <c r="D64" s="31" t="s">
        <v>1118</v>
      </c>
      <c r="E64" s="31" t="s">
        <v>1119</v>
      </c>
      <c r="F64" s="29" t="s">
        <v>125</v>
      </c>
      <c r="G64" s="29" t="s">
        <v>7</v>
      </c>
      <c r="H64" s="29" t="str">
        <f t="shared" si="9"/>
        <v xml:space="preserve">INSERT INTO T_CK_COMPONENT_GUIDE(CMGU_ID, CMGU_APPS_CODE, CMGU_SERVICE_TYPE, CMGU_COMPONENT_ID, CMGU_GUIDE, CMGU_GUIDE_OTH, CMGU_STATUS, CMGU_DT_CREATE, CMGU_UID_CREATE, CMGU_DT_LUPD, CMGU_UID_LUPD) </v>
      </c>
      <c r="I64" s="29" t="str">
        <f t="shared" ref="I64" si="20">CONCATENATE(" VALUES('",A64,"','",B64,"','",C64,"','",D64,"','",E64,"',",IF(F64="NULL","NULL",CONCATENATE("'",F64,"'")),",'",G64,"',NOW(),'SYS',NOW(),'SYS');")</f>
        <v xml:space="preserve"> VALUES('85','CKT','CLICTRUCK','clictruck.job.delivery.order','Delivery Order details such as DO Number and the DO document to be uploaded when Starting and Stopping (Delivered) a trucking job.',NULL,'A',NOW(),'SYS',NOW(),'SYS');</v>
      </c>
      <c r="J64" s="29" t="str">
        <f t="shared" ref="J64" si="21">CONCATENATE(H64,I64)</f>
        <v>INSERT INTO T_CK_COMPONENT_GUIDE(CMGU_ID, CMGU_APPS_CODE, CMGU_SERVICE_TYPE, CMGU_COMPONENT_ID, CMGU_GUIDE, CMGU_GUIDE_OTH, CMGU_STATUS, CMGU_DT_CREATE, CMGU_UID_CREATE, CMGU_DT_LUPD, CMGU_UID_LUPD)  VALUES('85','CKT','CLICTRUCK','clictruck.job.delivery.order','Delivery Order details such as DO Number and the DO document to be uploaded when Starting and Stopping (Delivered) a trucking job.',NULL,'A',NOW(),'SYS',NOW(),'SYS');</v>
      </c>
    </row>
    <row r="65" spans="1:10" x14ac:dyDescent="0.2">
      <c r="A65">
        <v>86</v>
      </c>
      <c r="B65" s="30" t="s">
        <v>14</v>
      </c>
      <c r="C65" s="30" t="s">
        <v>618</v>
      </c>
      <c r="D65" s="31" t="s">
        <v>1120</v>
      </c>
      <c r="E65" s="31" t="s">
        <v>1121</v>
      </c>
      <c r="F65" s="29" t="s">
        <v>125</v>
      </c>
      <c r="G65" s="29" t="s">
        <v>7</v>
      </c>
      <c r="H65" s="29" t="str">
        <f t="shared" si="9"/>
        <v xml:space="preserve">INSERT INTO T_CK_COMPONENT_GUIDE(CMGU_ID, CMGU_APPS_CODE, CMGU_SERVICE_TYPE, CMGU_COMPONENT_ID, CMGU_GUIDE, CMGU_GUIDE_OTH, CMGU_STATUS, CMGU_DT_CREATE, CMGU_UID_CREATE, CMGU_DT_LUPD, CMGU_UID_LUPD) </v>
      </c>
      <c r="I65" s="29" t="str">
        <f t="shared" ref="I65" si="22">CONCATENATE(" VALUES('",A65,"','",B65,"','",C65,"','",D65,"','",E65,"',",IF(F65="NULL","NULL",CONCATENATE("'",F65,"'")),",'",G65,"',NOW(),'SYS',NOW(),'SYS');")</f>
        <v xml:space="preserve"> VALUES('86','CKT','CLICTRUCK','clictruck.job.tracking','Tracks the location of the truck if GPS is attached to the vehicle.',NULL,'A',NOW(),'SYS',NOW(),'SYS');</v>
      </c>
      <c r="J65" s="29" t="str">
        <f t="shared" ref="J65" si="23">CONCATENATE(H65,I65)</f>
        <v>INSERT INTO T_CK_COMPONENT_GUIDE(CMGU_ID, CMGU_APPS_CODE, CMGU_SERVICE_TYPE, CMGU_COMPONENT_ID, CMGU_GUIDE, CMGU_GUIDE_OTH, CMGU_STATUS, CMGU_DT_CREATE, CMGU_UID_CREATE, CMGU_DT_LUPD, CMGU_UID_LUPD)  VALUES('86','CKT','CLICTRUCK','clictruck.job.tracking','Tracks the location of the truck if GPS is attached to the vehicle.',NULL,'A',NOW(),'SYS',NOW(),'SYS');</v>
      </c>
    </row>
    <row r="66" spans="1:10" x14ac:dyDescent="0.2">
      <c r="A66">
        <v>87</v>
      </c>
      <c r="B66" s="30" t="s">
        <v>14</v>
      </c>
      <c r="C66" s="30" t="s">
        <v>618</v>
      </c>
      <c r="D66" s="31" t="s">
        <v>1122</v>
      </c>
      <c r="E66" s="31" t="s">
        <v>1125</v>
      </c>
      <c r="F66" s="29" t="s">
        <v>125</v>
      </c>
      <c r="G66" s="29" t="s">
        <v>7</v>
      </c>
      <c r="H66" s="29" t="str">
        <f t="shared" si="9"/>
        <v xml:space="preserve">INSERT INTO T_CK_COMPONENT_GUIDE(CMGU_ID, CMGU_APPS_CODE, CMGU_SERVICE_TYPE, CMGU_COMPONENT_ID, CMGU_GUIDE, CMGU_GUIDE_OTH, CMGU_STATUS, CMGU_DT_CREATE, CMGU_UID_CREATE, CMGU_DT_LUPD, CMGU_UID_LUPD) </v>
      </c>
      <c r="I66" s="29" t="str">
        <f t="shared" ref="I66" si="24">CONCATENATE(" VALUES('",A66,"','",B66,"','",C66,"','",D66,"','",E66,"',",IF(F66="NULL","NULL",CONCATENATE("'",F66,"'")),",'",G66,"',NOW(),'SYS',NOW(),'SYS');")</f>
        <v xml:space="preserve"> VALUES('87','CKT','CLICTRUCK','clictruck.job.invoice.details','Trip Charge Invoice and Re-imbursement to be uploaded or updated by the Trucking Operator for Cargo Owner to approve.',NULL,'A',NOW(),'SYS',NOW(),'SYS');</v>
      </c>
      <c r="J66" s="29" t="str">
        <f t="shared" ref="J66" si="25">CONCATENATE(H66,I66)</f>
        <v>INSERT INTO T_CK_COMPONENT_GUIDE(CMGU_ID, CMGU_APPS_CODE, CMGU_SERVICE_TYPE, CMGU_COMPONENT_ID, CMGU_GUIDE, CMGU_GUIDE_OTH, CMGU_STATUS, CMGU_DT_CREATE, CMGU_UID_CREATE, CMGU_DT_LUPD, CMGU_UID_LUPD)  VALUES('87','CKT','CLICTRUCK','clictruck.job.invoice.details','Trip Charge Invoice and Re-imbursement to be uploaded or updated by the Trucking Operator for Cargo Owner to approve.',NULL,'A',NOW(),'SYS',NOW(),'SYS');</v>
      </c>
    </row>
    <row r="67" spans="1:10" x14ac:dyDescent="0.2">
      <c r="A67">
        <v>88</v>
      </c>
      <c r="B67" s="30" t="s">
        <v>14</v>
      </c>
      <c r="C67" s="30" t="s">
        <v>618</v>
      </c>
      <c r="D67" s="31" t="s">
        <v>1123</v>
      </c>
      <c r="E67" s="31" t="s">
        <v>1124</v>
      </c>
      <c r="F67" s="29" t="s">
        <v>125</v>
      </c>
      <c r="G67" s="29" t="s">
        <v>7</v>
      </c>
      <c r="H67" s="29" t="str">
        <f t="shared" si="9"/>
        <v xml:space="preserve">INSERT INTO T_CK_COMPONENT_GUIDE(CMGU_ID, CMGU_APPS_CODE, CMGU_SERVICE_TYPE, CMGU_COMPONENT_ID, CMGU_GUIDE, CMGU_GUIDE_OTH, CMGU_STATUS, CMGU_DT_CREATE, CMGU_UID_CREATE, CMGU_DT_LUPD, CMGU_UID_LUPD) </v>
      </c>
      <c r="I67" s="29" t="str">
        <f t="shared" ref="I67" si="26">CONCATENATE(" VALUES('",A67,"','",B67,"','",C67,"','",D67,"','",E67,"',",IF(F67="NULL","NULL",CONCATENATE("'",F67,"'")),",'",G67,"',NOW(),'SYS',NOW(),'SYS');")</f>
        <v xml:space="preserve"> VALUES('88','CKT','CLICTRUCK','clictruck.job.remarks','Job related remarks such as Rejection or Approval.',NULL,'A',NOW(),'SYS',NOW(),'SYS');</v>
      </c>
      <c r="J67" s="29" t="str">
        <f t="shared" ref="J67" si="27">CONCATENATE(H67,I67)</f>
        <v>INSERT INTO T_CK_COMPONENT_GUIDE(CMGU_ID, CMGU_APPS_CODE, CMGU_SERVICE_TYPE, CMGU_COMPONENT_ID, CMGU_GUIDE, CMGU_GUIDE_OTH, CMGU_STATUS, CMGU_DT_CREATE, CMGU_UID_CREATE, CMGU_DT_LUPD, CMGU_UID_LUPD)  VALUES('88','CKT','CLICTRUCK','clictruck.job.remarks','Job related remarks such as Rejection or Approval.',NULL,'A',NOW(),'SYS',NOW(),'SYS');</v>
      </c>
    </row>
    <row r="68" spans="1:10" x14ac:dyDescent="0.2">
      <c r="A68">
        <v>89</v>
      </c>
      <c r="B68" s="30" t="s">
        <v>14</v>
      </c>
      <c r="C68" s="30" t="s">
        <v>618</v>
      </c>
      <c r="D68" s="31" t="s">
        <v>1126</v>
      </c>
      <c r="E68" s="31" t="s">
        <v>1127</v>
      </c>
      <c r="F68" s="29" t="s">
        <v>125</v>
      </c>
      <c r="G68" s="29" t="s">
        <v>7</v>
      </c>
      <c r="H68" s="29" t="str">
        <f t="shared" si="9"/>
        <v xml:space="preserve">INSERT INTO T_CK_COMPONENT_GUIDE(CMGU_ID, CMGU_APPS_CODE, CMGU_SERVICE_TYPE, CMGU_COMPONENT_ID, CMGU_GUIDE, CMGU_GUIDE_OTH, CMGU_STATUS, CMGU_DT_CREATE, CMGU_UID_CREATE, CMGU_DT_LUPD, CMGU_UID_LUPD) </v>
      </c>
      <c r="I68" s="29" t="str">
        <f t="shared" ref="I68" si="28">CONCATENATE(" VALUES('",A68,"','",B68,"','",C68,"','",D68,"','",E68,"',",IF(F68="NULL","NULL",CONCATENATE("'",F68,"'")),",'",G68,"',NOW(),'SYS',NOW(),'SYS');")</f>
        <v xml:space="preserve"> VALUES('89','CKT','CLICTRUCK','clictruck.payment.details','Consolidated jobs invoices in one transaction.',NULL,'A',NOW(),'SYS',NOW(),'SYS');</v>
      </c>
      <c r="J68" s="29" t="str">
        <f t="shared" ref="J68" si="29">CONCATENATE(H68,I68)</f>
        <v>INSERT INTO T_CK_COMPONENT_GUIDE(CMGU_ID, CMGU_APPS_CODE, CMGU_SERVICE_TYPE, CMGU_COMPONENT_ID, CMGU_GUIDE, CMGU_GUIDE_OTH, CMGU_STATUS, CMGU_DT_CREATE, CMGU_UID_CREATE, CMGU_DT_LUPD, CMGU_UID_LUPD)  VALUES('89','CKT','CLICTRUCK','clictruck.payment.details','Consolidated jobs invoices in one transaction.',NULL,'A',NOW(),'SYS',NOW(),'SYS');</v>
      </c>
    </row>
    <row r="69" spans="1:10" x14ac:dyDescent="0.2">
      <c r="A69">
        <v>90</v>
      </c>
      <c r="B69" s="30" t="s">
        <v>14</v>
      </c>
      <c r="C69" s="30" t="s">
        <v>618</v>
      </c>
      <c r="D69" s="31" t="s">
        <v>1128</v>
      </c>
      <c r="E69" s="31" t="s">
        <v>1129</v>
      </c>
      <c r="F69" s="29" t="s">
        <v>125</v>
      </c>
      <c r="G69" s="29" t="s">
        <v>7</v>
      </c>
      <c r="H69" s="29" t="str">
        <f t="shared" si="9"/>
        <v xml:space="preserve">INSERT INTO T_CK_COMPONENT_GUIDE(CMGU_ID, CMGU_APPS_CODE, CMGU_SERVICE_TYPE, CMGU_COMPONENT_ID, CMGU_GUIDE, CMGU_GUIDE_OTH, CMGU_STATUS, CMGU_DT_CREATE, CMGU_UID_CREATE, CMGU_DT_LUPD, CMGU_UID_LUPD) </v>
      </c>
      <c r="I69" s="29" t="str">
        <f t="shared" ref="I69" si="30">CONCATENATE(" VALUES('",A69,"','",B69,"','",C69,"','",D69,"','",E69,"',",IF(F69="NULL","NULL",CONCATENATE("'",F69,"'")),",'",G69,"',NOW(),'SYS',NOW(),'SYS');")</f>
        <v xml:space="preserve"> VALUES('90','CKT','CLICTRUCK','clictruck.payment.audit','The audited event associated with the payment transaction is presented here. Filtering is supported to sniff out audit records by criteria(s).',NULL,'A',NOW(),'SYS',NOW(),'SYS');</v>
      </c>
      <c r="J69" s="29" t="str">
        <f t="shared" ref="J69" si="31">CONCATENATE(H69,I69)</f>
        <v>INSERT INTO T_CK_COMPONENT_GUIDE(CMGU_ID, CMGU_APPS_CODE, CMGU_SERVICE_TYPE, CMGU_COMPONENT_ID, CMGU_GUIDE, CMGU_GUIDE_OTH, CMGU_STATUS, CMGU_DT_CREATE, CMGU_UID_CREATE, CMGU_DT_LUPD, CMGU_UID_LUPD)  VALUES('90','CKT','CLICTRUCK','clictruck.payment.audit','The audited event associated with the payment transaction is presented here. Filtering is supported to sniff out audit records by criteria(s).',NULL,'A',NOW(),'SYS',NOW(),'SYS');</v>
      </c>
    </row>
    <row r="70" spans="1:10" x14ac:dyDescent="0.2">
      <c r="A70">
        <v>91</v>
      </c>
      <c r="B70" s="30" t="s">
        <v>14</v>
      </c>
      <c r="C70" s="30" t="s">
        <v>618</v>
      </c>
      <c r="D70" s="31" t="s">
        <v>1130</v>
      </c>
      <c r="E70" s="31" t="s">
        <v>1131</v>
      </c>
      <c r="F70" s="29" t="s">
        <v>125</v>
      </c>
      <c r="G70" s="29" t="s">
        <v>7</v>
      </c>
      <c r="H70" s="29" t="str">
        <f t="shared" si="9"/>
        <v xml:space="preserve">INSERT INTO T_CK_COMPONENT_GUIDE(CMGU_ID, CMGU_APPS_CODE, CMGU_SERVICE_TYPE, CMGU_COMPONENT_ID, CMGU_GUIDE, CMGU_GUIDE_OTH, CMGU_STATUS, CMGU_DT_CREATE, CMGU_UID_CREATE, CMGU_DT_LUPD, CMGU_UID_LUPD) </v>
      </c>
      <c r="I70" s="29" t="str">
        <f t="shared" ref="I70" si="32">CONCATENATE(" VALUES('",A70,"','",B70,"','",C70,"','",D70,"','",E70,"',",IF(F70="NULL","NULL",CONCATENATE("'",F70,"'")),",'",G70,"',NOW(),'SYS',NOW(),'SYS');")</f>
        <v xml:space="preserve"> VALUES('91','CKT','CLICTRUCK','clictruck.administration.truck.list','Manage truck details, update existing record or add new truck.',NULL,'A',NOW(),'SYS',NOW(),'SYS');</v>
      </c>
      <c r="J70" s="29" t="str">
        <f t="shared" ref="J70" si="33">CONCATENATE(H70,I70)</f>
        <v>INSERT INTO T_CK_COMPONENT_GUIDE(CMGU_ID, CMGU_APPS_CODE, CMGU_SERVICE_TYPE, CMGU_COMPONENT_ID, CMGU_GUIDE, CMGU_GUIDE_OTH, CMGU_STATUS, CMGU_DT_CREATE, CMGU_UID_CREATE, CMGU_DT_LUPD, CMGU_UID_LUPD)  VALUES('91','CKT','CLICTRUCK','clictruck.administration.truck.list','Manage truck details, update existing record or add new truck.',NULL,'A',NOW(),'SYS',NOW(),'SYS');</v>
      </c>
    </row>
    <row r="71" spans="1:10" x14ac:dyDescent="0.2">
      <c r="A71">
        <v>92</v>
      </c>
      <c r="B71" s="30" t="s">
        <v>14</v>
      </c>
      <c r="C71" s="30" t="s">
        <v>618</v>
      </c>
      <c r="D71" s="31" t="s">
        <v>1132</v>
      </c>
      <c r="E71" s="31" t="s">
        <v>1133</v>
      </c>
      <c r="F71" s="29" t="s">
        <v>125</v>
      </c>
      <c r="G71" s="29" t="s">
        <v>7</v>
      </c>
      <c r="H71" s="29" t="str">
        <f t="shared" si="9"/>
        <v xml:space="preserve">INSERT INTO T_CK_COMPONENT_GUIDE(CMGU_ID, CMGU_APPS_CODE, CMGU_SERVICE_TYPE, CMGU_COMPONENT_ID, CMGU_GUIDE, CMGU_GUIDE_OTH, CMGU_STATUS, CMGU_DT_CREATE, CMGU_UID_CREATE, CMGU_DT_LUPD, CMGU_UID_LUPD) </v>
      </c>
      <c r="I71" s="29" t="str">
        <f t="shared" ref="I71:I73" si="34">CONCATENATE(" VALUES('",A71,"','",B71,"','",C71,"','",D71,"','",E71,"',",IF(F71="NULL","NULL",CONCATENATE("'",F71,"'")),",'",G71,"',NOW(),'SYS',NOW(),'SYS');")</f>
        <v xml:space="preserve"> VALUES('92','CKT','CLICTRUCK','clictruck.administration.truck.details','Truck details such as Chasis, Dimension and Weight can be updated. Notification can be configured for maintenance and expiry dates of insurance, licenses, etc. based on date or distance.',NULL,'A',NOW(),'SYS',NOW(),'SYS');</v>
      </c>
      <c r="J71" s="29" t="str">
        <f t="shared" ref="J71:J73" si="35">CONCATENATE(H71,I71)</f>
        <v>INSERT INTO T_CK_COMPONENT_GUIDE(CMGU_ID, CMGU_APPS_CODE, CMGU_SERVICE_TYPE, CMGU_COMPONENT_ID, CMGU_GUIDE, CMGU_GUIDE_OTH, CMGU_STATUS, CMGU_DT_CREATE, CMGU_UID_CREATE, CMGU_DT_LUPD, CMGU_UID_LUPD)  VALUES('92','CKT','CLICTRUCK','clictruck.administration.truck.details','Truck details such as Chasis, Dimension and Weight can be updated. Notification can be configured for maintenance and expiry dates of insurance, licenses, etc. based on date or distance.',NULL,'A',NOW(),'SYS',NOW(),'SYS');</v>
      </c>
    </row>
    <row r="72" spans="1:10" x14ac:dyDescent="0.2">
      <c r="A72">
        <v>93</v>
      </c>
      <c r="B72" s="30" t="s">
        <v>14</v>
      </c>
      <c r="C72" s="30" t="s">
        <v>618</v>
      </c>
      <c r="D72" s="31" t="s">
        <v>1134</v>
      </c>
      <c r="E72" s="31" t="s">
        <v>1135</v>
      </c>
      <c r="F72" s="29" t="s">
        <v>125</v>
      </c>
      <c r="G72" s="29" t="s">
        <v>7</v>
      </c>
      <c r="H72" s="29" t="str">
        <f t="shared" si="9"/>
        <v xml:space="preserve">INSERT INTO T_CK_COMPONENT_GUIDE(CMGU_ID, CMGU_APPS_CODE, CMGU_SERVICE_TYPE, CMGU_COMPONENT_ID, CMGU_GUIDE, CMGU_GUIDE_OTH, CMGU_STATUS, CMGU_DT_CREATE, CMGU_UID_CREATE, CMGU_DT_LUPD, CMGU_UID_LUPD) </v>
      </c>
      <c r="I72" s="29" t="str">
        <f t="shared" si="34"/>
        <v xml:space="preserve"> VALUES('93','CKT','CLICTRUCK','clictruck.administration.truck.audit','The audited event associated with the truck is presented here. Filtering is supported to sniff out audit records by criteria(s).',NULL,'A',NOW(),'SYS',NOW(),'SYS');</v>
      </c>
      <c r="J72" s="29" t="str">
        <f t="shared" si="35"/>
        <v>INSERT INTO T_CK_COMPONENT_GUIDE(CMGU_ID, CMGU_APPS_CODE, CMGU_SERVICE_TYPE, CMGU_COMPONENT_ID, CMGU_GUIDE, CMGU_GUIDE_OTH, CMGU_STATUS, CMGU_DT_CREATE, CMGU_UID_CREATE, CMGU_DT_LUPD, CMGU_UID_LUPD)  VALUES('93','CKT','CLICTRUCK','clictruck.administration.truck.audit','The audited event associated with the truck is presented here. Filtering is supported to sniff out audit records by criteria(s).',NULL,'A',NOW(),'SYS',NOW(),'SYS');</v>
      </c>
    </row>
    <row r="73" spans="1:10" x14ac:dyDescent="0.2">
      <c r="A73">
        <v>94</v>
      </c>
      <c r="B73" s="30" t="s">
        <v>14</v>
      </c>
      <c r="C73" s="30" t="s">
        <v>618</v>
      </c>
      <c r="D73" s="31" t="s">
        <v>1136</v>
      </c>
      <c r="E73" s="31" t="s">
        <v>1137</v>
      </c>
      <c r="F73" s="29" t="s">
        <v>125</v>
      </c>
      <c r="G73" s="29" t="s">
        <v>7</v>
      </c>
      <c r="H73" s="29" t="str">
        <f t="shared" si="9"/>
        <v xml:space="preserve">INSERT INTO T_CK_COMPONENT_GUIDE(CMGU_ID, CMGU_APPS_CODE, CMGU_SERVICE_TYPE, CMGU_COMPONENT_ID, CMGU_GUIDE, CMGU_GUIDE_OTH, CMGU_STATUS, CMGU_DT_CREATE, CMGU_UID_CREATE, CMGU_DT_LUPD, CMGU_UID_LUPD) </v>
      </c>
      <c r="I73" s="29" t="str">
        <f t="shared" si="34"/>
        <v xml:space="preserve"> VALUES('94','CKT','CLICTRUCK','clictruck.administration.driver.list','Manage drivers. Update existing record or add new driver.',NULL,'A',NOW(),'SYS',NOW(),'SYS');</v>
      </c>
      <c r="J73" s="29" t="str">
        <f t="shared" si="35"/>
        <v>INSERT INTO T_CK_COMPONENT_GUIDE(CMGU_ID, CMGU_APPS_CODE, CMGU_SERVICE_TYPE, CMGU_COMPONENT_ID, CMGU_GUIDE, CMGU_GUIDE_OTH, CMGU_STATUS, CMGU_DT_CREATE, CMGU_UID_CREATE, CMGU_DT_LUPD, CMGU_UID_LUPD)  VALUES('94','CKT','CLICTRUCK','clictruck.administration.driver.list','Manage drivers. Update existing record or add new driver.',NULL,'A',NOW(),'SYS',NOW(),'SYS');</v>
      </c>
    </row>
    <row r="74" spans="1:10" x14ac:dyDescent="0.2">
      <c r="A74">
        <v>95</v>
      </c>
      <c r="B74" s="30" t="s">
        <v>14</v>
      </c>
      <c r="C74" s="30" t="s">
        <v>618</v>
      </c>
      <c r="D74" s="31" t="s">
        <v>1138</v>
      </c>
      <c r="E74" s="31" t="s">
        <v>1139</v>
      </c>
      <c r="F74" s="29" t="s">
        <v>125</v>
      </c>
      <c r="G74" s="29" t="s">
        <v>7</v>
      </c>
      <c r="H74" s="29" t="str">
        <f t="shared" si="9"/>
        <v xml:space="preserve">INSERT INTO T_CK_COMPONENT_GUIDE(CMGU_ID, CMGU_APPS_CODE, CMGU_SERVICE_TYPE, CMGU_COMPONENT_ID, CMGU_GUIDE, CMGU_GUIDE_OTH, CMGU_STATUS, CMGU_DT_CREATE, CMGU_UID_CREATE, CMGU_DT_LUPD, CMGU_UID_LUPD) </v>
      </c>
      <c r="I74" s="29" t="str">
        <f t="shared" ref="I74:I76" si="36">CONCATENATE(" VALUES('",A74,"','",B74,"','",C74,"','",D74,"','",E74,"',",IF(F74="NULL","NULL",CONCATENATE("'",F74,"'")),",'",G74,"',NOW(),'SYS',NOW(),'SYS');")</f>
        <v xml:space="preserve"> VALUES('95','CKT','CLICTRUCK','clictruck.administration.driver.details','Driver details such as Driver's License and Photo, Contact Details and Driver Mobile App User Id and Password.',NULL,'A',NOW(),'SYS',NOW(),'SYS');</v>
      </c>
      <c r="J74" s="29" t="str">
        <f t="shared" ref="J74:J76" si="37">CONCATENATE(H74,I74)</f>
        <v>INSERT INTO T_CK_COMPONENT_GUIDE(CMGU_ID, CMGU_APPS_CODE, CMGU_SERVICE_TYPE, CMGU_COMPONENT_ID, CMGU_GUIDE, CMGU_GUIDE_OTH, CMGU_STATUS, CMGU_DT_CREATE, CMGU_UID_CREATE, CMGU_DT_LUPD, CMGU_UID_LUPD)  VALUES('95','CKT','CLICTRUCK','clictruck.administration.driver.details','Driver details such as Driver's License and Photo, Contact Details and Driver Mobile App User Id and Password.',NULL,'A',NOW(),'SYS',NOW(),'SYS');</v>
      </c>
    </row>
    <row r="75" spans="1:10" x14ac:dyDescent="0.2">
      <c r="A75">
        <v>96</v>
      </c>
      <c r="B75" s="30" t="s">
        <v>14</v>
      </c>
      <c r="C75" s="30" t="s">
        <v>618</v>
      </c>
      <c r="D75" s="31" t="s">
        <v>1141</v>
      </c>
      <c r="E75" s="31" t="s">
        <v>1140</v>
      </c>
      <c r="F75" s="29" t="s">
        <v>125</v>
      </c>
      <c r="G75" s="29" t="s">
        <v>7</v>
      </c>
      <c r="H75" s="29" t="str">
        <f t="shared" si="9"/>
        <v xml:space="preserve">INSERT INTO T_CK_COMPONENT_GUIDE(CMGU_ID, CMGU_APPS_CODE, CMGU_SERVICE_TYPE, CMGU_COMPONENT_ID, CMGU_GUIDE, CMGU_GUIDE_OTH, CMGU_STATUS, CMGU_DT_CREATE, CMGU_UID_CREATE, CMGU_DT_LUPD, CMGU_UID_LUPD) </v>
      </c>
      <c r="I75" s="29" t="str">
        <f t="shared" si="36"/>
        <v xml:space="preserve"> VALUES('96','CKT','CLICTRUCK','clictruck.administration.driver.audit','The audited event associated with the driver is presented here. Filtering is supported to sniff out audit records by criteria(s).',NULL,'A',NOW(),'SYS',NOW(),'SYS');</v>
      </c>
      <c r="J75" s="29" t="str">
        <f t="shared" si="37"/>
        <v>INSERT INTO T_CK_COMPONENT_GUIDE(CMGU_ID, CMGU_APPS_CODE, CMGU_SERVICE_TYPE, CMGU_COMPONENT_ID, CMGU_GUIDE, CMGU_GUIDE_OTH, CMGU_STATUS, CMGU_DT_CREATE, CMGU_UID_CREATE, CMGU_DT_LUPD, CMGU_UID_LUPD)  VALUES('96','CKT','CLICTRUCK','clictruck.administration.driver.audit','The audited event associated with the driver is presented here. Filtering is supported to sniff out audit records by criteria(s).',NULL,'A',NOW(),'SYS',NOW(),'SYS');</v>
      </c>
    </row>
    <row r="76" spans="1:10" x14ac:dyDescent="0.2">
      <c r="A76">
        <v>97</v>
      </c>
      <c r="B76" s="30" t="s">
        <v>14</v>
      </c>
      <c r="C76" s="30" t="s">
        <v>618</v>
      </c>
      <c r="D76" s="31" t="s">
        <v>1142</v>
      </c>
      <c r="E76" s="31" t="s">
        <v>1146</v>
      </c>
      <c r="F76" s="29" t="s">
        <v>125</v>
      </c>
      <c r="G76" s="29" t="s">
        <v>7</v>
      </c>
      <c r="H76" s="29" t="str">
        <f t="shared" si="9"/>
        <v xml:space="preserve">INSERT INTO T_CK_COMPONENT_GUIDE(CMGU_ID, CMGU_APPS_CODE, CMGU_SERVICE_TYPE, CMGU_COMPONENT_ID, CMGU_GUIDE, CMGU_GUIDE_OTH, CMGU_STATUS, CMGU_DT_CREATE, CMGU_UID_CREATE, CMGU_DT_LUPD, CMGU_UID_LUPD) </v>
      </c>
      <c r="I76" s="29" t="str">
        <f t="shared" si="36"/>
        <v xml:space="preserve"> VALUES('97','CKT','CLICTRUCK','clictruck.administration.location.list','Manage locations details. Update existing record or add new location.',NULL,'A',NOW(),'SYS',NOW(),'SYS');</v>
      </c>
      <c r="J76" s="29" t="str">
        <f t="shared" si="37"/>
        <v>INSERT INTO T_CK_COMPONENT_GUIDE(CMGU_ID, CMGU_APPS_CODE, CMGU_SERVICE_TYPE, CMGU_COMPONENT_ID, CMGU_GUIDE, CMGU_GUIDE_OTH, CMGU_STATUS, CMGU_DT_CREATE, CMGU_UID_CREATE, CMGU_DT_LUPD, CMGU_UID_LUPD)  VALUES('97','CKT','CLICTRUCK','clictruck.administration.location.list','Manage locations details. Update existing record or add new location.',NULL,'A',NOW(),'SYS',NOW(),'SYS');</v>
      </c>
    </row>
    <row r="77" spans="1:10" x14ac:dyDescent="0.2">
      <c r="A77">
        <v>98</v>
      </c>
      <c r="B77" s="30" t="s">
        <v>14</v>
      </c>
      <c r="C77" s="30" t="s">
        <v>618</v>
      </c>
      <c r="D77" s="31" t="s">
        <v>1143</v>
      </c>
      <c r="E77" s="31" t="s">
        <v>1147</v>
      </c>
      <c r="F77" s="29" t="s">
        <v>125</v>
      </c>
      <c r="G77" s="29" t="s">
        <v>7</v>
      </c>
      <c r="H77" s="29" t="str">
        <f t="shared" si="9"/>
        <v xml:space="preserve">INSERT INTO T_CK_COMPONENT_GUIDE(CMGU_ID, CMGU_APPS_CODE, CMGU_SERVICE_TYPE, CMGU_COMPONENT_ID, CMGU_GUIDE, CMGU_GUIDE_OTH, CMGU_STATUS, CMGU_DT_CREATE, CMGU_UID_CREATE, CMGU_DT_LUPD, CMGU_UID_LUPD) </v>
      </c>
      <c r="I77" s="29" t="str">
        <f t="shared" ref="I77:I79" si="38">CONCATENATE(" VALUES('",A77,"','",B77,"','",C77,"','",D77,"','",E77,"',",IF(F77="NULL","NULL",CONCATENATE("'",F77,"'")),",'",G77,"',NOW(),'SYS',NOW(),'SYS');")</f>
        <v xml:space="preserve"> VALUES('98','CKT','CLICTRUCK','clictruck.administration.location.details','Location details such as type whether it is ADDRESS or REGION. Validty details for the location pair is saved as well as the coordinates to be used when Tracking for the truck.',NULL,'A',NOW(),'SYS',NOW(),'SYS');</v>
      </c>
      <c r="J77" s="29" t="str">
        <f t="shared" ref="J77:J79" si="39">CONCATENATE(H77,I77)</f>
        <v>INSERT INTO T_CK_COMPONENT_GUIDE(CMGU_ID, CMGU_APPS_CODE, CMGU_SERVICE_TYPE, CMGU_COMPONENT_ID, CMGU_GUIDE, CMGU_GUIDE_OTH, CMGU_STATUS, CMGU_DT_CREATE, CMGU_UID_CREATE, CMGU_DT_LUPD, CMGU_UID_LUPD)  VALUES('98','CKT','CLICTRUCK','clictruck.administration.location.details','Location details such as type whether it is ADDRESS or REGION. Validty details for the location pair is saved as well as the coordinates to be used when Tracking for the truck.',NULL,'A',NOW(),'SYS',NOW(),'SYS');</v>
      </c>
    </row>
    <row r="78" spans="1:10" x14ac:dyDescent="0.2">
      <c r="A78">
        <v>99</v>
      </c>
      <c r="B78" s="30" t="s">
        <v>14</v>
      </c>
      <c r="C78" s="30" t="s">
        <v>618</v>
      </c>
      <c r="D78" s="31" t="s">
        <v>1144</v>
      </c>
      <c r="E78" s="31" t="s">
        <v>1145</v>
      </c>
      <c r="F78" s="29" t="s">
        <v>125</v>
      </c>
      <c r="G78" s="29" t="s">
        <v>7</v>
      </c>
      <c r="H78" s="29" t="str">
        <f t="shared" si="9"/>
        <v xml:space="preserve">INSERT INTO T_CK_COMPONENT_GUIDE(CMGU_ID, CMGU_APPS_CODE, CMGU_SERVICE_TYPE, CMGU_COMPONENT_ID, CMGU_GUIDE, CMGU_GUIDE_OTH, CMGU_STATUS, CMGU_DT_CREATE, CMGU_UID_CREATE, CMGU_DT_LUPD, CMGU_UID_LUPD) </v>
      </c>
      <c r="I78" s="29" t="str">
        <f t="shared" si="38"/>
        <v xml:space="preserve"> VALUES('99','CKT','CLICTRUCK','clictruck.administration.location.audit','The audited event associated with the location is presented here. Filtering is supported to sniff out audit records by criteria(s).',NULL,'A',NOW(),'SYS',NOW(),'SYS');</v>
      </c>
      <c r="J78" s="29" t="str">
        <f t="shared" si="39"/>
        <v>INSERT INTO T_CK_COMPONENT_GUIDE(CMGU_ID, CMGU_APPS_CODE, CMGU_SERVICE_TYPE, CMGU_COMPONENT_ID, CMGU_GUIDE, CMGU_GUIDE_OTH, CMGU_STATUS, CMGU_DT_CREATE, CMGU_UID_CREATE, CMGU_DT_LUPD, CMGU_UID_LUPD)  VALUES('99','CKT','CLICTRUCK','clictruck.administration.location.audit','The audited event associated with the location is presented here. Filtering is supported to sniff out audit records by criteria(s).',NULL,'A',NOW(),'SYS',NOW(),'SYS');</v>
      </c>
    </row>
    <row r="79" spans="1:10" x14ac:dyDescent="0.2">
      <c r="A79">
        <v>100</v>
      </c>
      <c r="B79" s="30" t="s">
        <v>14</v>
      </c>
      <c r="C79" s="30" t="s">
        <v>618</v>
      </c>
      <c r="D79" s="31" t="s">
        <v>1148</v>
      </c>
      <c r="E79" s="31" t="s">
        <v>1151</v>
      </c>
      <c r="F79" s="29" t="s">
        <v>125</v>
      </c>
      <c r="G79" s="29" t="s">
        <v>7</v>
      </c>
      <c r="H79" s="29" t="str">
        <f t="shared" si="9"/>
        <v xml:space="preserve">INSERT INTO T_CK_COMPONENT_GUIDE(CMGU_ID, CMGU_APPS_CODE, CMGU_SERVICE_TYPE, CMGU_COMPONENT_ID, CMGU_GUIDE, CMGU_GUIDE_OTH, CMGU_STATUS, CMGU_DT_CREATE, CMGU_UID_CREATE, CMGU_DT_LUPD, CMGU_UID_LUPD) </v>
      </c>
      <c r="I79" s="29" t="str">
        <f t="shared" si="38"/>
        <v xml:space="preserve"> VALUES('100','CKT','CLICTRUCK','clictruck.administration.ratetable.list','Manage rate tables. Update existing record or add new rate table.',NULL,'A',NOW(),'SYS',NOW(),'SYS');</v>
      </c>
      <c r="J79" s="29" t="str">
        <f t="shared" si="39"/>
        <v>INSERT INTO T_CK_COMPONENT_GUIDE(CMGU_ID, CMGU_APPS_CODE, CMGU_SERVICE_TYPE, CMGU_COMPONENT_ID, CMGU_GUIDE, CMGU_GUIDE_OTH, CMGU_STATUS, CMGU_DT_CREATE, CMGU_UID_CREATE, CMGU_DT_LUPD, CMGU_UID_LUPD)  VALUES('100','CKT','CLICTRUCK','clictruck.administration.ratetable.list','Manage rate tables. Update existing record or add new rate table.',NULL,'A',NOW(),'SYS',NOW(),'SYS');</v>
      </c>
    </row>
    <row r="80" spans="1:10" x14ac:dyDescent="0.2">
      <c r="A80">
        <v>101</v>
      </c>
      <c r="B80" s="30" t="s">
        <v>14</v>
      </c>
      <c r="C80" s="30" t="s">
        <v>618</v>
      </c>
      <c r="D80" s="31" t="s">
        <v>1149</v>
      </c>
      <c r="E80" s="31" t="s">
        <v>1152</v>
      </c>
      <c r="F80" s="29" t="s">
        <v>125</v>
      </c>
      <c r="G80" s="29" t="s">
        <v>7</v>
      </c>
      <c r="H80" s="29" t="str">
        <f t="shared" si="9"/>
        <v xml:space="preserve">INSERT INTO T_CK_COMPONENT_GUIDE(CMGU_ID, CMGU_APPS_CODE, CMGU_SERVICE_TYPE, CMGU_COMPONENT_ID, CMGU_GUIDE, CMGU_GUIDE_OTH, CMGU_STATUS, CMGU_DT_CREATE, CMGU_UID_CREATE, CMGU_DT_LUPD, CMGU_UID_LUPD) </v>
      </c>
      <c r="I80" s="29" t="str">
        <f t="shared" ref="I80:I82" si="40">CONCATENATE(" VALUES('",A80,"','",B80,"','",C80,"','",D80,"','",E80,"',",IF(F80="NULL","NULL",CONCATENATE("'",F80,"'")),",'",G80,"',NOW(),'SYS',NOW(),'SYS');")</f>
        <v xml:space="preserve"> VALUES('101','CKT','CLICTRUCK','clictruck.administration.ratetable.details','Rate table details such as Validity Details, Party Details and associated rates by location.',NULL,'A',NOW(),'SYS',NOW(),'SYS');</v>
      </c>
      <c r="J80" s="29" t="str">
        <f t="shared" ref="J80:J82" si="41">CONCATENATE(H80,I80)</f>
        <v>INSERT INTO T_CK_COMPONENT_GUIDE(CMGU_ID, CMGU_APPS_CODE, CMGU_SERVICE_TYPE, CMGU_COMPONENT_ID, CMGU_GUIDE, CMGU_GUIDE_OTH, CMGU_STATUS, CMGU_DT_CREATE, CMGU_UID_CREATE, CMGU_DT_LUPD, CMGU_UID_LUPD)  VALUES('101','CKT','CLICTRUCK','clictruck.administration.ratetable.details','Rate table details such as Validity Details, Party Details and associated rates by location.',NULL,'A',NOW(),'SYS',NOW(),'SYS');</v>
      </c>
    </row>
    <row r="81" spans="1:10" x14ac:dyDescent="0.2">
      <c r="A81">
        <v>102</v>
      </c>
      <c r="B81" s="30" t="s">
        <v>14</v>
      </c>
      <c r="C81" s="30" t="s">
        <v>618</v>
      </c>
      <c r="D81" s="31" t="s">
        <v>1153</v>
      </c>
      <c r="E81" s="31" t="s">
        <v>1154</v>
      </c>
      <c r="F81" s="29" t="s">
        <v>125</v>
      </c>
      <c r="G81" s="29" t="s">
        <v>7</v>
      </c>
      <c r="H81" s="29" t="str">
        <f t="shared" si="9"/>
        <v xml:space="preserve">INSERT INTO T_CK_COMPONENT_GUIDE(CMGU_ID, CMGU_APPS_CODE, CMGU_SERVICE_TYPE, CMGU_COMPONENT_ID, CMGU_GUIDE, CMGU_GUIDE_OTH, CMGU_STATUS, CMGU_DT_CREATE, CMGU_UID_CREATE, CMGU_DT_LUPD, CMGU_UID_LUPD) </v>
      </c>
      <c r="I81" s="29" t="str">
        <f t="shared" ref="I81" si="42">CONCATENATE(" VALUES('",A81,"','",B81,"','",C81,"','",D81,"','",E81,"',",IF(F81="NULL","NULL",CONCATENATE("'",F81,"'")),",'",G81,"',NOW(),'SYS',NOW(),'SYS');")</f>
        <v xml:space="preserve"> VALUES('102','CKT','CLICTRUCK','clictruck.administration.ratetable.comments','Rate table changes are submitted and subject for verification and approval. Remarks are listed here.',NULL,'A',NOW(),'SYS',NOW(),'SYS');</v>
      </c>
      <c r="J81" s="29" t="str">
        <f t="shared" ref="J81" si="43">CONCATENATE(H81,I81)</f>
        <v>INSERT INTO T_CK_COMPONENT_GUIDE(CMGU_ID, CMGU_APPS_CODE, CMGU_SERVICE_TYPE, CMGU_COMPONENT_ID, CMGU_GUIDE, CMGU_GUIDE_OTH, CMGU_STATUS, CMGU_DT_CREATE, CMGU_UID_CREATE, CMGU_DT_LUPD, CMGU_UID_LUPD)  VALUES('102','CKT','CLICTRUCK','clictruck.administration.ratetable.comments','Rate table changes are submitted and subject for verification and approval. Remarks are listed here.',NULL,'A',NOW(),'SYS',NOW(),'SYS');</v>
      </c>
    </row>
    <row r="82" spans="1:10" x14ac:dyDescent="0.2">
      <c r="A82">
        <v>103</v>
      </c>
      <c r="B82" s="30" t="s">
        <v>14</v>
      </c>
      <c r="C82" s="30" t="s">
        <v>618</v>
      </c>
      <c r="D82" s="31" t="s">
        <v>1150</v>
      </c>
      <c r="E82" s="31" t="s">
        <v>1155</v>
      </c>
      <c r="F82" s="29" t="s">
        <v>125</v>
      </c>
      <c r="G82" s="29" t="s">
        <v>7</v>
      </c>
      <c r="H82" s="29" t="str">
        <f t="shared" si="9"/>
        <v xml:space="preserve">INSERT INTO T_CK_COMPONENT_GUIDE(CMGU_ID, CMGU_APPS_CODE, CMGU_SERVICE_TYPE, CMGU_COMPONENT_ID, CMGU_GUIDE, CMGU_GUIDE_OTH, CMGU_STATUS, CMGU_DT_CREATE, CMGU_UID_CREATE, CMGU_DT_LUPD, CMGU_UID_LUPD) </v>
      </c>
      <c r="I82" s="29" t="str">
        <f t="shared" si="40"/>
        <v xml:space="preserve"> VALUES('103','CKT','CLICTRUCK','clictruck.administration.ratetable.audit','The audited event associated with the rate table is presented here. Filtering is supported to sniff out audit records by criteria(s).',NULL,'A',NOW(),'SYS',NOW(),'SYS');</v>
      </c>
      <c r="J82" s="29" t="str">
        <f t="shared" si="41"/>
        <v>INSERT INTO T_CK_COMPONENT_GUIDE(CMGU_ID, CMGU_APPS_CODE, CMGU_SERVICE_TYPE, CMGU_COMPONENT_ID, CMGU_GUIDE, CMGU_GUIDE_OTH, CMGU_STATUS, CMGU_DT_CREATE, CMGU_UID_CREATE, CMGU_DT_LUPD, CMGU_UID_LUPD)  VALUES('103','CKT','CLICTRUCK','clictruck.administration.ratetable.audit','The audited event associated with the rate table is presented here. Filtering is supported to sniff out audit records by criteria(s).',NULL,'A',NOW(),'SYS',NOW(),'SYS');</v>
      </c>
    </row>
    <row r="83" spans="1:10" x14ac:dyDescent="0.2">
      <c r="A83">
        <v>104</v>
      </c>
      <c r="B83" s="30" t="s">
        <v>14</v>
      </c>
      <c r="C83" s="30" t="s">
        <v>618</v>
      </c>
      <c r="D83" s="31" t="s">
        <v>1156</v>
      </c>
      <c r="E83" s="31" t="s">
        <v>1157</v>
      </c>
      <c r="F83" s="29" t="s">
        <v>125</v>
      </c>
      <c r="G83" s="29" t="s">
        <v>7</v>
      </c>
      <c r="H83" s="29" t="str">
        <f t="shared" si="9"/>
        <v xml:space="preserve">INSERT INTO T_CK_COMPONENT_GUIDE(CMGU_ID, CMGU_APPS_CODE, CMGU_SERVICE_TYPE, CMGU_COMPONENT_ID, CMGU_GUIDE, CMGU_GUIDE_OTH, CMGU_STATUS, CMGU_DT_CREATE, CMGU_UID_CREATE, CMGU_DT_LUPD, CMGU_UID_LUPD) </v>
      </c>
      <c r="I83" s="29" t="str">
        <f t="shared" ref="I83:I84" si="44">CONCATENATE(" VALUES('",A83,"','",B83,"','",C83,"','",D83,"','",E83,"',",IF(F83="NULL","NULL",CONCATENATE("'",F83,"'")),",'",G83,"',NOW(),'SYS',NOW(),'SYS');")</f>
        <v xml:space="preserve"> VALUES('104','CKT','CLICTRUCK','clictruck.administration.ratetable.sp.list','Lists of rate table update request submitted by Trucking Operator.',NULL,'A',NOW(),'SYS',NOW(),'SYS');</v>
      </c>
      <c r="J83" s="29" t="str">
        <f t="shared" ref="J83:J84" si="45">CONCATENATE(H83,I83)</f>
        <v>INSERT INTO T_CK_COMPONENT_GUIDE(CMGU_ID, CMGU_APPS_CODE, CMGU_SERVICE_TYPE, CMGU_COMPONENT_ID, CMGU_GUIDE, CMGU_GUIDE_OTH, CMGU_STATUS, CMGU_DT_CREATE, CMGU_UID_CREATE, CMGU_DT_LUPD, CMGU_UID_LUPD)  VALUES('104','CKT','CLICTRUCK','clictruck.administration.ratetable.sp.list','Lists of rate table update request submitted by Trucking Operator.',NULL,'A',NOW(),'SYS',NOW(),'SYS');</v>
      </c>
    </row>
    <row r="84" spans="1:10" x14ac:dyDescent="0.2">
      <c r="A84">
        <v>105</v>
      </c>
      <c r="B84" s="30" t="s">
        <v>14</v>
      </c>
      <c r="C84" s="30" t="s">
        <v>618</v>
      </c>
      <c r="D84" s="31" t="s">
        <v>1158</v>
      </c>
      <c r="E84" s="31" t="s">
        <v>1159</v>
      </c>
      <c r="F84" s="29" t="s">
        <v>125</v>
      </c>
      <c r="G84" s="29" t="s">
        <v>7</v>
      </c>
      <c r="H84" s="29" t="str">
        <f t="shared" si="9"/>
        <v xml:space="preserve">INSERT INTO T_CK_COMPONENT_GUIDE(CMGU_ID, CMGU_APPS_CODE, CMGU_SERVICE_TYPE, CMGU_COMPONENT_ID, CMGU_GUIDE, CMGU_GUIDE_OTH, CMGU_STATUS, CMGU_DT_CREATE, CMGU_UID_CREATE, CMGU_DT_LUPD, CMGU_UID_LUPD) </v>
      </c>
      <c r="I84" s="29" t="str">
        <f t="shared" si="44"/>
        <v xml:space="preserve"> VALUES('105','CKT','CLICTRUCK','clictruck.administration.ratetable.sp.details','Rate table submitted by TO for verification or approval. Table listing displays the rate table modified or created by trucking operator.',NULL,'A',NOW(),'SYS',NOW(),'SYS');</v>
      </c>
      <c r="J84" s="29" t="str">
        <f t="shared" si="45"/>
        <v>INSERT INTO T_CK_COMPONENT_GUIDE(CMGU_ID, CMGU_APPS_CODE, CMGU_SERVICE_TYPE, CMGU_COMPONENT_ID, CMGU_GUIDE, CMGU_GUIDE_OTH, CMGU_STATUS, CMGU_DT_CREATE, CMGU_UID_CREATE, CMGU_DT_LUPD, CMGU_UID_LUPD)  VALUES('105','CKT','CLICTRUCK','clictruck.administration.ratetable.sp.details','Rate table submitted by TO for verification or approval. Table listing displays the rate table modified or created by trucking operator.',NULL,'A',NOW(),'SYS',NOW(),'SYS');</v>
      </c>
    </row>
    <row r="85" spans="1:10" x14ac:dyDescent="0.2">
      <c r="A85">
        <v>106</v>
      </c>
      <c r="B85" s="30" t="s">
        <v>14</v>
      </c>
      <c r="C85" s="30" t="s">
        <v>618</v>
      </c>
      <c r="D85" s="31" t="s">
        <v>1160</v>
      </c>
      <c r="E85" s="31" t="s">
        <v>1161</v>
      </c>
      <c r="F85" s="29" t="s">
        <v>125</v>
      </c>
      <c r="G85" s="29" t="s">
        <v>7</v>
      </c>
      <c r="H85" s="29" t="str">
        <f t="shared" si="9"/>
        <v xml:space="preserve">INSERT INTO T_CK_COMPONENT_GUIDE(CMGU_ID, CMGU_APPS_CODE, CMGU_SERVICE_TYPE, CMGU_COMPONENT_ID, CMGU_GUIDE, CMGU_GUIDE_OTH, CMGU_STATUS, CMGU_DT_CREATE, CMGU_UID_CREATE, CMGU_DT_LUPD, CMGU_UID_LUPD) </v>
      </c>
      <c r="I85" s="29" t="str">
        <f t="shared" ref="I85:I86" si="46">CONCATENATE(" VALUES('",A85,"','",B85,"','",C85,"','",D85,"','",E85,"',",IF(F85="NULL","NULL",CONCATENATE("'",F85,"'")),",'",G85,"',NOW(),'SYS',NOW(),'SYS');")</f>
        <v xml:space="preserve"> VALUES('106','CKT','CLICTRUCK','clictruck.administration.truck.performance.list','Truck performance listing by job and the time it enters the destination 30 meters and 100 meters respectively.',NULL,'A',NOW(),'SYS',NOW(),'SYS');</v>
      </c>
      <c r="J85" s="29" t="str">
        <f t="shared" ref="J85:J86" si="47">CONCATENATE(H85,I85)</f>
        <v>INSERT INTO T_CK_COMPONENT_GUIDE(CMGU_ID, CMGU_APPS_CODE, CMGU_SERVICE_TYPE, CMGU_COMPONENT_ID, CMGU_GUIDE, CMGU_GUIDE_OTH, CMGU_STATUS, CMGU_DT_CREATE, CMGU_UID_CREATE, CMGU_DT_LUPD, CMGU_UID_LUPD)  VALUES('106','CKT','CLICTRUCK','clictruck.administration.truck.performance.list','Truck performance listing by job and the time it enters the destination 30 meters and 100 meters respectively.',NULL,'A',NOW(),'SYS',NOW(),'SYS');</v>
      </c>
    </row>
    <row r="86" spans="1:10" x14ac:dyDescent="0.2">
      <c r="A86">
        <v>107</v>
      </c>
      <c r="B86" s="30" t="s">
        <v>14</v>
      </c>
      <c r="C86" s="30" t="s">
        <v>618</v>
      </c>
      <c r="D86" s="31" t="s">
        <v>1162</v>
      </c>
      <c r="E86" s="31" t="s">
        <v>1163</v>
      </c>
      <c r="F86" s="29" t="s">
        <v>125</v>
      </c>
      <c r="G86" s="29" t="s">
        <v>7</v>
      </c>
      <c r="H86" s="29" t="str">
        <f t="shared" si="9"/>
        <v xml:space="preserve">INSERT INTO T_CK_COMPONENT_GUIDE(CMGU_ID, CMGU_APPS_CODE, CMGU_SERVICE_TYPE, CMGU_COMPONENT_ID, CMGU_GUIDE, CMGU_GUIDE_OTH, CMGU_STATUS, CMGU_DT_CREATE, CMGU_UID_CREATE, CMGU_DT_LUPD, CMGU_UID_LUPD) </v>
      </c>
      <c r="I86" s="29" t="str">
        <f t="shared" si="46"/>
        <v xml:space="preserve"> VALUES('107','CKT','CLICTRUCK','clictruck.administration.chassis.list','Manage truck chasis details. Chassis options can be viewed in Manage Truck',NULL,'A',NOW(),'SYS',NOW(),'SYS');</v>
      </c>
      <c r="J86" s="29" t="str">
        <f t="shared" si="47"/>
        <v>INSERT INTO T_CK_COMPONENT_GUIDE(CMGU_ID, CMGU_APPS_CODE, CMGU_SERVICE_TYPE, CMGU_COMPONENT_ID, CMGU_GUIDE, CMGU_GUIDE_OTH, CMGU_STATUS, CMGU_DT_CREATE, CMGU_UID_CREATE, CMGU_DT_LUPD, CMGU_UID_LUPD)  VALUES('107','CKT','CLICTRUCK','clictruck.administration.chassis.list','Manage truck chasis details. Chassis options can be viewed in Manage Truck',NULL,'A',NOW(),'SYS',NOW(),'SYS');</v>
      </c>
    </row>
    <row r="87" spans="1:10" x14ac:dyDescent="0.2">
      <c r="A87">
        <v>108</v>
      </c>
      <c r="B87" s="30" t="s">
        <v>14</v>
      </c>
      <c r="C87" s="30" t="s">
        <v>618</v>
      </c>
      <c r="D87" s="31" t="s">
        <v>1164</v>
      </c>
      <c r="E87" s="31" t="s">
        <v>1165</v>
      </c>
      <c r="F87" s="29" t="s">
        <v>125</v>
      </c>
      <c r="G87" s="29" t="s">
        <v>7</v>
      </c>
      <c r="H87" s="29" t="str">
        <f t="shared" si="9"/>
        <v xml:space="preserve">INSERT INTO T_CK_COMPONENT_GUIDE(CMGU_ID, CMGU_APPS_CODE, CMGU_SERVICE_TYPE, CMGU_COMPONENT_ID, CMGU_GUIDE, CMGU_GUIDE_OTH, CMGU_STATUS, CMGU_DT_CREATE, CMGU_UID_CREATE, CMGU_DT_LUPD, CMGU_UID_LUPD) </v>
      </c>
      <c r="I87" s="29" t="str">
        <f t="shared" ref="I87" si="48">CONCATENATE(" VALUES('",A87,"','",B87,"','",C87,"','",D87,"','",E87,"',",IF(F87="NULL","NULL",CONCATENATE("'",F87,"'")),",'",G87,"',NOW(),'SYS',NOW(),'SYS');")</f>
        <v xml:space="preserve"> VALUES('108','CKT','CLICTRUCK','clictruck.account.admin.users.list','Manage users. Update user details, Reset Password, Deactivate, and Activate user status.',NULL,'A',NOW(),'SYS',NOW(),'SYS');</v>
      </c>
      <c r="J87" s="29" t="str">
        <f t="shared" ref="J87" si="49">CONCATENATE(H87,I87)</f>
        <v>INSERT INTO T_CK_COMPONENT_GUIDE(CMGU_ID, CMGU_APPS_CODE, CMGU_SERVICE_TYPE, CMGU_COMPONENT_ID, CMGU_GUIDE, CMGU_GUIDE_OTH, CMGU_STATUS, CMGU_DT_CREATE, CMGU_UID_CREATE, CMGU_DT_LUPD, CMGU_UID_LUPD)  VALUES('108','CKT','CLICTRUCK','clictruck.account.admin.users.list','Manage users. Update user details, Reset Password, Deactivate, and Activate user status.',NULL,'A',NOW(),'SYS',NOW(),'SYS');</v>
      </c>
    </row>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59"/>
  <sheetViews>
    <sheetView zoomScale="108" zoomScaleNormal="108" workbookViewId="0">
      <pane ySplit="1" topLeftCell="A29" activePane="bottomLeft" state="frozen"/>
      <selection pane="bottomLeft" activeCell="D62" sqref="D62"/>
    </sheetView>
  </sheetViews>
  <sheetFormatPr baseColWidth="10" defaultColWidth="15.6640625" defaultRowHeight="16" x14ac:dyDescent="0.2"/>
  <cols>
    <col min="5" max="5" width="35.6640625" customWidth="1"/>
    <col min="6" max="6" width="57.1640625" customWidth="1"/>
    <col min="8" max="8" width="53.33203125" customWidth="1"/>
    <col min="9" max="9" width="7.6640625" customWidth="1"/>
    <col min="12" max="12" width="38.5" customWidth="1"/>
  </cols>
  <sheetData>
    <row r="1" spans="1:12" x14ac:dyDescent="0.2">
      <c r="A1" s="1" t="s">
        <v>775</v>
      </c>
      <c r="B1" s="1" t="s">
        <v>0</v>
      </c>
      <c r="C1" s="1" t="s">
        <v>776</v>
      </c>
      <c r="D1" s="1" t="s">
        <v>777</v>
      </c>
      <c r="E1" s="1" t="s">
        <v>778</v>
      </c>
      <c r="F1" s="1" t="s">
        <v>779</v>
      </c>
      <c r="G1" s="1" t="s">
        <v>780</v>
      </c>
      <c r="H1" s="1" t="s">
        <v>3</v>
      </c>
      <c r="I1" s="1" t="s">
        <v>2</v>
      </c>
      <c r="J1" s="1"/>
      <c r="K1" s="1"/>
    </row>
    <row r="2" spans="1:12" x14ac:dyDescent="0.2">
      <c r="A2" t="s">
        <v>781</v>
      </c>
      <c r="B2" t="s">
        <v>14</v>
      </c>
      <c r="C2" t="s">
        <v>782</v>
      </c>
      <c r="D2" t="s">
        <v>783</v>
      </c>
      <c r="E2" t="s">
        <v>784</v>
      </c>
      <c r="F2" t="s">
        <v>785</v>
      </c>
      <c r="G2">
        <v>1</v>
      </c>
      <c r="H2" t="s">
        <v>786</v>
      </c>
      <c r="I2" t="s">
        <v>7</v>
      </c>
      <c r="J2" t="str">
        <f>CONCATENATE("INSERT INTO `T_CORE_NOTIFICATION_TEMPLATE`(`NTPL_ID`,`NTPL_APPSCODE`,`NTPL_CHANNEL_TYPE`,`NTPL_CONTENT_TYPE`,`NTPL_SUBJECT`,`NTPL_TEMPALTE`,`NTPL_SEQ`,`NTPL_DESC`,`NTPL_STATUS`,`NTPL_UID_CREATE`,`NTPL_DT_CREATE`,`NTPL_UID_LUPD`,`NTPL_DT_LUPD`) ")</f>
        <v xml:space="preserve">INSERT INTO `T_CORE_NOTIFICATION_TEMPLATE`(`NTPL_ID`,`NTPL_APPSCODE`,`NTPL_CHANNEL_TYPE`,`NTPL_CONTENT_TYPE`,`NTPL_SUBJECT`,`NTPL_TEMPALTE`,`NTPL_SEQ`,`NTPL_DESC`,`NTPL_STATUS`,`NTPL_UID_CREATE`,`NTPL_DT_CREATE`,`NTPL_UID_LUPD`,`NTPL_DT_LUPD`) </v>
      </c>
      <c r="K2" t="str">
        <f>CONCATENATE(" VALUES('",A2,"','",B2,"','",C2,"','",D2,"','",E2,"','",F2,"','",G2,"','",H2,"','",I2,"','SYS',NOW(),'SYS',NOW());")</f>
        <v xml:space="preserve"> VALUES('CKT_NTL_0001','CKT','CHN_TYPE_EMAIL','CNT_TYPE_HTML','Job Accepted','&lt;html&gt;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&lt;/html&gt;','1','Notification to CO Operations when job is Accepted','A','SYS',NOW(),'SYS',NOW());</v>
      </c>
      <c r="L2" s="3" t="str">
        <f>CONCATENATE(J2,K2)</f>
        <v>INSERT INTO `T_CORE_NOTIFICATION_TEMPLATE`(`NTPL_ID`,`NTPL_APPSCODE`,`NTPL_CHANNEL_TYPE`,`NTPL_CONTENT_TYPE`,`NTPL_SUBJECT`,`NTPL_TEMPALTE`,`NTPL_SEQ`,`NTPL_DESC`,`NTPL_STATUS`,`NTPL_UID_CREATE`,`NTPL_DT_CREATE`,`NTPL_UID_LUPD`,`NTPL_DT_LUPD`)  VALUES('CKT_NTL_0001','CKT','CHN_TYPE_EMAIL','CNT_TYPE_HTML','Job Accepted','&lt;html&gt;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&lt;/html&gt;','1','Notification to CO Operations when job is Accepted','A','SYS',NOW(),'SYS',NOW());</v>
      </c>
    </row>
    <row r="3" spans="1:12" x14ac:dyDescent="0.2">
      <c r="A3" t="s">
        <v>787</v>
      </c>
      <c r="B3" t="s">
        <v>14</v>
      </c>
      <c r="C3" t="s">
        <v>782</v>
      </c>
      <c r="D3" t="s">
        <v>783</v>
      </c>
      <c r="E3" t="s">
        <v>788</v>
      </c>
      <c r="F3" t="s">
        <v>789</v>
      </c>
      <c r="G3">
        <v>2</v>
      </c>
      <c r="H3" t="s">
        <v>790</v>
      </c>
      <c r="I3" t="s">
        <v>7</v>
      </c>
      <c r="J3" t="str">
        <f t="shared" ref="J3:J59" si="0">CONCATENATE("INSERT INTO `T_CORE_NOTIFICATION_TEMPLATE`(`NTPL_ID`,`NTPL_APPSCODE`,`NTPL_CHANNEL_TYPE`,`NTPL_CONTENT_TYPE`,`NTPL_SUBJECT`,`NTPL_TEMPALTE`,`NTPL_SEQ`,`NTPL_DESC`,`NTPL_STATUS`,`NTPL_UID_CREATE`,`NTPL_DT_CREATE`,`NTPL_UID_LUPD`,`NTPL_DT_LUPD`) ")</f>
        <v xml:space="preserve">INSERT INTO `T_CORE_NOTIFICATION_TEMPLATE`(`NTPL_ID`,`NTPL_APPSCODE`,`NTPL_CHANNEL_TYPE`,`NTPL_CONTENT_TYPE`,`NTPL_SUBJECT`,`NTPL_TEMPALTE`,`NTPL_SEQ`,`NTPL_DESC`,`NTPL_STATUS`,`NTPL_UID_CREATE`,`NTPL_DT_CREATE`,`NTPL_UID_LUPD`,`NTPL_DT_LUPD`) </v>
      </c>
      <c r="K3" t="str">
        <f t="shared" ref="K3:K15" si="1">CONCATENATE(" VALUES('",A3,"','",B3,"','",C3,"','",D3,"','",E3,"','",F3,"','",G3,"','",H3,"','",I3,"','SYS',NOW(),'SYS',NOW());")</f>
        <v xml:space="preserve"> VALUES('CKT_NTL_0002','CKT','CHN_TYPE_EMAIL','CNT_TYPE_HTML','Job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&lt;/html&gt;','2','Notification to CO Operations when job is Rejected','A','SYS',NOW(),'SYS',NOW());</v>
      </c>
      <c r="L3" s="3" t="str">
        <f t="shared" ref="L3:L57" si="2">CONCATENATE(J3,K3)</f>
        <v>INSERT INTO `T_CORE_NOTIFICATION_TEMPLATE`(`NTPL_ID`,`NTPL_APPSCODE`,`NTPL_CHANNEL_TYPE`,`NTPL_CONTENT_TYPE`,`NTPL_SUBJECT`,`NTPL_TEMPALTE`,`NTPL_SEQ`,`NTPL_DESC`,`NTPL_STATUS`,`NTPL_UID_CREATE`,`NTPL_DT_CREATE`,`NTPL_UID_LUPD`,`NTPL_DT_LUPD`)  VALUES('CKT_NTL_0002','CKT','CHN_TYPE_EMAIL','CNT_TYPE_HTML','Job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&lt;/html&gt;','2','Notification to CO Operations when job is Rejected','A','SYS',NOW(),'SYS',NOW());</v>
      </c>
    </row>
    <row r="4" spans="1:12" x14ac:dyDescent="0.2">
      <c r="A4" t="s">
        <v>791</v>
      </c>
      <c r="B4" t="s">
        <v>14</v>
      </c>
      <c r="C4" t="s">
        <v>782</v>
      </c>
      <c r="D4" t="s">
        <v>783</v>
      </c>
      <c r="E4" t="s">
        <v>792</v>
      </c>
      <c r="F4" t="s">
        <v>793</v>
      </c>
      <c r="G4">
        <v>3</v>
      </c>
      <c r="H4" t="s">
        <v>794</v>
      </c>
      <c r="I4" t="s">
        <v>7</v>
      </c>
      <c r="J4" t="str">
        <f t="shared" si="0"/>
        <v xml:space="preserve">INSERT INTO `T_CORE_NOTIFICATION_TEMPLATE`(`NTPL_ID`,`NTPL_APPSCODE`,`NTPL_CHANNEL_TYPE`,`NTPL_CONTENT_TYPE`,`NTPL_SUBJECT`,`NTPL_TEMPALTE`,`NTPL_SEQ`,`NTPL_DESC`,`NTPL_STATUS`,`NTPL_UID_CREATE`,`NTPL_DT_CREATE`,`NTPL_UID_LUPD`,`NTPL_DT_LUPD`) </v>
      </c>
      <c r="K4" t="str">
        <f t="shared" si="1"/>
        <v xml:space="preserve"> VALUES('CKT_NTL_0003','CKT','CHN_TYPE_EMAIL','CNT_TYPE_HTML','Job Delivered','&lt;html&gt;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&lt;/html&gt;','3','Notification to CO Operations when job is Delivered','A','SYS',NOW(),'SYS',NOW());</v>
      </c>
      <c r="L4" s="3" t="str">
        <f t="shared" si="2"/>
        <v>INSERT INTO `T_CORE_NOTIFICATION_TEMPLATE`(`NTPL_ID`,`NTPL_APPSCODE`,`NTPL_CHANNEL_TYPE`,`NTPL_CONTENT_TYPE`,`NTPL_SUBJECT`,`NTPL_TEMPALTE`,`NTPL_SEQ`,`NTPL_DESC`,`NTPL_STATUS`,`NTPL_UID_CREATE`,`NTPL_DT_CREATE`,`NTPL_UID_LUPD`,`NTPL_DT_LUPD`)  VALUES('CKT_NTL_0003','CKT','CHN_TYPE_EMAIL','CNT_TYPE_HTML','Job Delivered','&lt;html&gt;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&lt;/html&gt;','3','Notification to CO Operations when job is Delivered','A','SYS',NOW(),'SYS',NOW());</v>
      </c>
    </row>
    <row r="5" spans="1:12" x14ac:dyDescent="0.2">
      <c r="A5" t="s">
        <v>795</v>
      </c>
      <c r="B5" t="s">
        <v>14</v>
      </c>
      <c r="C5" t="s">
        <v>782</v>
      </c>
      <c r="D5" t="s">
        <v>783</v>
      </c>
      <c r="E5" t="s">
        <v>796</v>
      </c>
      <c r="F5" t="s">
        <v>797</v>
      </c>
      <c r="G5">
        <v>4</v>
      </c>
      <c r="H5" t="s">
        <v>798</v>
      </c>
      <c r="I5" t="s">
        <v>7</v>
      </c>
      <c r="J5" t="str">
        <f t="shared" si="0"/>
        <v xml:space="preserve">INSERT INTO `T_CORE_NOTIFICATION_TEMPLATE`(`NTPL_ID`,`NTPL_APPSCODE`,`NTPL_CHANNEL_TYPE`,`NTPL_CONTENT_TYPE`,`NTPL_SUBJECT`,`NTPL_TEMPALTE`,`NTPL_SEQ`,`NTPL_DESC`,`NTPL_STATUS`,`NTPL_UID_CREATE`,`NTPL_DT_CREATE`,`NTPL_UID_LUPD`,`NTPL_DT_LUPD`) </v>
      </c>
      <c r="K5" t="str">
        <f t="shared" si="1"/>
        <v xml:space="preserve"> VALUES('CKT_NTL_0004','CKT','CHN_TYPE_EMAIL','CNT_TYPE_HTML','Invoice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&lt;/html&gt;','4','Notification to CO Operations when TO bill the job.','A','SYS',NOW(),'SYS',NOW());</v>
      </c>
      <c r="L5" s="3" t="str">
        <f t="shared" si="2"/>
        <v>INSERT INTO `T_CORE_NOTIFICATION_TEMPLATE`(`NTPL_ID`,`NTPL_APPSCODE`,`NTPL_CHANNEL_TYPE`,`NTPL_CONTENT_TYPE`,`NTPL_SUBJECT`,`NTPL_TEMPALTE`,`NTPL_SEQ`,`NTPL_DESC`,`NTPL_STATUS`,`NTPL_UID_CREATE`,`NTPL_DT_CREATE`,`NTPL_UID_LUPD`,`NTPL_DT_LUPD`)  VALUES('CKT_NTL_0004','CKT','CHN_TYPE_EMAIL','CNT_TYPE_HTML','Invoice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&lt;/html&gt;','4','Notification to CO Operations when TO bill the job.','A','SYS',NOW(),'SYS',NOW());</v>
      </c>
    </row>
    <row r="6" spans="1:12" x14ac:dyDescent="0.2">
      <c r="A6" t="s">
        <v>799</v>
      </c>
      <c r="B6" t="s">
        <v>14</v>
      </c>
      <c r="C6" t="s">
        <v>782</v>
      </c>
      <c r="D6" t="s">
        <v>783</v>
      </c>
      <c r="E6" t="s">
        <v>800</v>
      </c>
      <c r="F6" t="s">
        <v>801</v>
      </c>
      <c r="G6">
        <v>5</v>
      </c>
      <c r="H6" t="s">
        <v>802</v>
      </c>
      <c r="I6" t="s">
        <v>7</v>
      </c>
      <c r="J6" t="str">
        <f t="shared" si="0"/>
        <v xml:space="preserve">INSERT INTO `T_CORE_NOTIFICATION_TEMPLATE`(`NTPL_ID`,`NTPL_APPSCODE`,`NTPL_CHANNEL_TYPE`,`NTPL_CONTENT_TYPE`,`NTPL_SUBJECT`,`NTPL_TEMPALTE`,`NTPL_SEQ`,`NTPL_DESC`,`NTPL_STATUS`,`NTPL_UID_CREATE`,`NTPL_DT_CREATE`,`NTPL_UID_LUPD`,`NTPL_DT_LUPD`) </v>
      </c>
      <c r="K6" t="str">
        <f t="shared" si="1"/>
        <v xml:space="preserve"> VALUES('CKT_NTL_0005','CKT','CHN_TYPE_EMAIL','CNT_TYPE_HTML','Invoice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&lt;/html&gt;','5','Notification to CO Finance when the Billed Job is verified by Cargo Owner','A','SYS',NOW(),'SYS',NOW());</v>
      </c>
      <c r="L6" s="3" t="str">
        <f t="shared" si="2"/>
        <v>INSERT INTO `T_CORE_NOTIFICATION_TEMPLATE`(`NTPL_ID`,`NTPL_APPSCODE`,`NTPL_CHANNEL_TYPE`,`NTPL_CONTENT_TYPE`,`NTPL_SUBJECT`,`NTPL_TEMPALTE`,`NTPL_SEQ`,`NTPL_DESC`,`NTPL_STATUS`,`NTPL_UID_CREATE`,`NTPL_DT_CREATE`,`NTPL_UID_LUPD`,`NTPL_DT_LUPD`)  VALUES('CKT_NTL_0005','CKT','CHN_TYPE_EMAIL','CNT_TYPE_HTML','Invoice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&lt;/html&gt;','5','Notification to CO Finance when the Billed Job is verified by Cargo Owner','A','SYS',NOW(),'SYS',NOW());</v>
      </c>
    </row>
    <row r="7" spans="1:12" x14ac:dyDescent="0.2">
      <c r="A7" t="s">
        <v>803</v>
      </c>
      <c r="B7" t="s">
        <v>14</v>
      </c>
      <c r="C7" t="s">
        <v>782</v>
      </c>
      <c r="D7" t="s">
        <v>783</v>
      </c>
      <c r="E7" t="s">
        <v>804</v>
      </c>
      <c r="F7" t="s">
        <v>805</v>
      </c>
      <c r="G7">
        <v>6</v>
      </c>
      <c r="H7" t="s">
        <v>806</v>
      </c>
      <c r="I7" t="s">
        <v>7</v>
      </c>
      <c r="J7" t="str">
        <f t="shared" si="0"/>
        <v xml:space="preserve">INSERT INTO `T_CORE_NOTIFICATION_TEMPLATE`(`NTPL_ID`,`NTPL_APPSCODE`,`NTPL_CHANNEL_TYPE`,`NTPL_CONTENT_TYPE`,`NTPL_SUBJECT`,`NTPL_TEMPALTE`,`NTPL_SEQ`,`NTPL_DESC`,`NTPL_STATUS`,`NTPL_UID_CREATE`,`NTPL_DT_CREATE`,`NTPL_UID_LUPD`,`NTPL_DT_LUPD`) </v>
      </c>
      <c r="K7" t="str">
        <f t="shared" si="1"/>
        <v xml:space="preserve"> VALUES('CKT_NTL_0006','CKT','CHN_TYPE_EMAIL','CNT_TYPE_HTML','Job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&lt;/html&gt;','6','Notification to TO when job is submitted.','A','SYS',NOW(),'SYS',NOW());</v>
      </c>
      <c r="L7" s="3" t="str">
        <f t="shared" si="2"/>
        <v>INSERT INTO `T_CORE_NOTIFICATION_TEMPLATE`(`NTPL_ID`,`NTPL_APPSCODE`,`NTPL_CHANNEL_TYPE`,`NTPL_CONTENT_TYPE`,`NTPL_SUBJECT`,`NTPL_TEMPALTE`,`NTPL_SEQ`,`NTPL_DESC`,`NTPL_STATUS`,`NTPL_UID_CREATE`,`NTPL_DT_CREATE`,`NTPL_UID_LUPD`,`NTPL_DT_LUPD`)  VALUES('CKT_NTL_0006','CKT','CHN_TYPE_EMAIL','CNT_TYPE_HTML','Job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&lt;/html&gt;','6','Notification to TO when job is submitted.','A','SYS',NOW(),'SYS',NOW());</v>
      </c>
    </row>
    <row r="8" spans="1:12" x14ac:dyDescent="0.2">
      <c r="A8" t="s">
        <v>807</v>
      </c>
      <c r="B8" t="s">
        <v>14</v>
      </c>
      <c r="C8" t="s">
        <v>782</v>
      </c>
      <c r="D8" t="s">
        <v>783</v>
      </c>
      <c r="E8" t="s">
        <v>808</v>
      </c>
      <c r="F8" t="s">
        <v>809</v>
      </c>
      <c r="G8">
        <v>7</v>
      </c>
      <c r="H8" t="s">
        <v>810</v>
      </c>
      <c r="I8" t="s">
        <v>7</v>
      </c>
      <c r="J8" t="str">
        <f t="shared" si="0"/>
        <v xml:space="preserve">INSERT INTO `T_CORE_NOTIFICATION_TEMPLATE`(`NTPL_ID`,`NTPL_APPSCODE`,`NTPL_CHANNEL_TYPE`,`NTPL_CONTENT_TYPE`,`NTPL_SUBJECT`,`NTPL_TEMPALTE`,`NTPL_SEQ`,`NTPL_DESC`,`NTPL_STATUS`,`NTPL_UID_CREATE`,`NTPL_DT_CREATE`,`NTPL_UID_LUPD`,`NTPL_DT_LUPD`) </v>
      </c>
      <c r="K8" t="str">
        <f t="shared" si="1"/>
        <v xml:space="preserve"> VALUES('CKT_NTL_0007','CKT','CHN_TYPE_EMAIL','CNT_TYPE_HTML','Invoice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&lt;/html&gt;','7','Notification to TO Finance  when Invoice is Approved by GLI','A','SYS',NOW(),'SYS',NOW());</v>
      </c>
      <c r="L8" s="3" t="str">
        <f t="shared" si="2"/>
        <v>INSERT INTO `T_CORE_NOTIFICATION_TEMPLATE`(`NTPL_ID`,`NTPL_APPSCODE`,`NTPL_CHANNEL_TYPE`,`NTPL_CONTENT_TYPE`,`NTPL_SUBJECT`,`NTPL_TEMPALTE`,`NTPL_SEQ`,`NTPL_DESC`,`NTPL_STATUS`,`NTPL_UID_CREATE`,`NTPL_DT_CREATE`,`NTPL_UID_LUPD`,`NTPL_DT_LUPD`)  VALUES('CKT_NTL_0007','CKT','CHN_TYPE_EMAIL','CNT_TYPE_HTML','Invoice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&lt;/html&gt;','7','Notification to TO Finance  when Invoice is Approved by GLI','A','SYS',NOW(),'SYS',NOW());</v>
      </c>
    </row>
    <row r="9" spans="1:12" x14ac:dyDescent="0.2">
      <c r="A9" t="s">
        <v>811</v>
      </c>
      <c r="B9" t="s">
        <v>14</v>
      </c>
      <c r="C9" t="s">
        <v>782</v>
      </c>
      <c r="D9" t="s">
        <v>783</v>
      </c>
      <c r="E9" t="s">
        <v>812</v>
      </c>
      <c r="F9" t="s">
        <v>813</v>
      </c>
      <c r="G9">
        <v>8</v>
      </c>
      <c r="H9" t="s">
        <v>814</v>
      </c>
      <c r="I9" t="s">
        <v>7</v>
      </c>
      <c r="J9" t="str">
        <f t="shared" si="0"/>
        <v xml:space="preserve">INSERT INTO `T_CORE_NOTIFICATION_TEMPLATE`(`NTPL_ID`,`NTPL_APPSCODE`,`NTPL_CHANNEL_TYPE`,`NTPL_CONTENT_TYPE`,`NTPL_SUBJECT`,`NTPL_TEMPALTE`,`NTPL_SEQ`,`NTPL_DESC`,`NTPL_STATUS`,`NTPL_UID_CREATE`,`NTPL_DT_CREATE`,`NTPL_UID_LUPD`,`NTPL_DT_LUPD`) </v>
      </c>
      <c r="K9" t="str">
        <f t="shared" si="1"/>
        <v xml:space="preserve"> VALUES('CKT_NTL_0008','CKT','CHN_TYPE_EMAIL','CNT_TYPE_HTML','Invoice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&lt;/html&gt;','8','Notification to TO Finance  when Invoice is Rejected by CO or GLI','A','SYS',NOW(),'SYS',NOW());</v>
      </c>
      <c r="L9" s="3" t="str">
        <f t="shared" si="2"/>
        <v>INSERT INTO `T_CORE_NOTIFICATION_TEMPLATE`(`NTPL_ID`,`NTPL_APPSCODE`,`NTPL_CHANNEL_TYPE`,`NTPL_CONTENT_TYPE`,`NTPL_SUBJECT`,`NTPL_TEMPALTE`,`NTPL_SEQ`,`NTPL_DESC`,`NTPL_STATUS`,`NTPL_UID_CREATE`,`NTPL_DT_CREATE`,`NTPL_UID_LUPD`,`NTPL_DT_LUPD`)  VALUES('CKT_NTL_0008','CKT','CHN_TYPE_EMAIL','CNT_TYPE_HTML','Invoice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&lt;/html&gt;','8','Notification to TO Finance  when Invoice is Rejected by CO or GLI','A','SYS',NOW(),'SYS',NOW());</v>
      </c>
    </row>
    <row r="10" spans="1:12" x14ac:dyDescent="0.2">
      <c r="A10" t="s">
        <v>815</v>
      </c>
      <c r="B10" t="s">
        <v>14</v>
      </c>
      <c r="C10" t="s">
        <v>782</v>
      </c>
      <c r="D10" t="s">
        <v>783</v>
      </c>
      <c r="E10" t="s">
        <v>816</v>
      </c>
      <c r="F10" t="s">
        <v>817</v>
      </c>
      <c r="G10">
        <v>9</v>
      </c>
      <c r="H10" t="s">
        <v>818</v>
      </c>
      <c r="I10" t="s">
        <v>7</v>
      </c>
      <c r="J10" t="str">
        <f t="shared" si="0"/>
        <v xml:space="preserve">INSERT INTO `T_CORE_NOTIFICATION_TEMPLATE`(`NTPL_ID`,`NTPL_APPSCODE`,`NTPL_CHANNEL_TYPE`,`NTPL_CONTENT_TYPE`,`NTPL_SUBJECT`,`NTPL_TEMPALTE`,`NTPL_SEQ`,`NTPL_DESC`,`NTPL_STATUS`,`NTPL_UID_CREATE`,`NTPL_DT_CREATE`,`NTPL_UID_LUPD`,`NTPL_DT_LUPD`) </v>
      </c>
      <c r="K10" t="str">
        <f t="shared" si="1"/>
        <v xml:space="preserve"> VALUES('CKT_NTL_0009','CKT','CHN_TYPE_EMAIL','CNT_TYPE_HTML','Payment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&lt;/html&gt;','9','Notification to TO Finance when GLI has completed the payment.','A','SYS',NOW(),'SYS',NOW());</v>
      </c>
      <c r="L10" s="3" t="str">
        <f t="shared" si="2"/>
        <v>INSERT INTO `T_CORE_NOTIFICATION_TEMPLATE`(`NTPL_ID`,`NTPL_APPSCODE`,`NTPL_CHANNEL_TYPE`,`NTPL_CONTENT_TYPE`,`NTPL_SUBJECT`,`NTPL_TEMPALTE`,`NTPL_SEQ`,`NTPL_DESC`,`NTPL_STATUS`,`NTPL_UID_CREATE`,`NTPL_DT_CREATE`,`NTPL_UID_LUPD`,`NTPL_DT_LUPD`)  VALUES('CKT_NTL_0009','CKT','CHN_TYPE_EMAIL','CNT_TYPE_HTML','Payment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&lt;/html&gt;','9','Notification to TO Finance when GLI has completed the payment.','A','SYS',NOW(),'SYS',NOW());</v>
      </c>
    </row>
    <row r="11" spans="1:12" x14ac:dyDescent="0.2">
      <c r="A11" t="s">
        <v>819</v>
      </c>
      <c r="B11" t="s">
        <v>14</v>
      </c>
      <c r="C11" t="s">
        <v>782</v>
      </c>
      <c r="D11" t="s">
        <v>783</v>
      </c>
      <c r="E11" t="s">
        <v>808</v>
      </c>
      <c r="F11" t="s">
        <v>809</v>
      </c>
      <c r="G11">
        <v>10</v>
      </c>
      <c r="H11" t="s">
        <v>820</v>
      </c>
      <c r="I11" t="s">
        <v>7</v>
      </c>
      <c r="J11" t="str">
        <f t="shared" si="0"/>
        <v xml:space="preserve">INSERT INTO `T_CORE_NOTIFICATION_TEMPLATE`(`NTPL_ID`,`NTPL_APPSCODE`,`NTPL_CHANNEL_TYPE`,`NTPL_CONTENT_TYPE`,`NTPL_SUBJECT`,`NTPL_TEMPALTE`,`NTPL_SEQ`,`NTPL_DESC`,`NTPL_STATUS`,`NTPL_UID_CREATE`,`NTPL_DT_CREATE`,`NTPL_UID_LUPD`,`NTPL_DT_LUPD`) </v>
      </c>
      <c r="K11" t="str">
        <f t="shared" si="1"/>
        <v xml:space="preserve"> VALUES('CKT_NTL_0010','CKT','CHN_TYPE_EMAIL','CNT_TYPE_HTML','Invoice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&lt;/html&gt;','10','Notification to GLI F1 when TO invoice is approved by CO','A','SYS',NOW(),'SYS',NOW());</v>
      </c>
      <c r="L11" s="3" t="str">
        <f t="shared" si="2"/>
        <v>INSERT INTO `T_CORE_NOTIFICATION_TEMPLATE`(`NTPL_ID`,`NTPL_APPSCODE`,`NTPL_CHANNEL_TYPE`,`NTPL_CONTENT_TYPE`,`NTPL_SUBJECT`,`NTPL_TEMPALTE`,`NTPL_SEQ`,`NTPL_DESC`,`NTPL_STATUS`,`NTPL_UID_CREATE`,`NTPL_DT_CREATE`,`NTPL_UID_LUPD`,`NTPL_DT_LUPD`)  VALUES('CKT_NTL_0010','CKT','CHN_TYPE_EMAIL','CNT_TYPE_HTML','Invoice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&lt;/html&gt;','10','Notification to GLI F1 when TO invoice is approved by CO','A','SYS',NOW(),'SYS',NOW());</v>
      </c>
    </row>
    <row r="12" spans="1:12" x14ac:dyDescent="0.2">
      <c r="A12" t="s">
        <v>821</v>
      </c>
      <c r="B12" t="s">
        <v>14</v>
      </c>
      <c r="C12" t="s">
        <v>782</v>
      </c>
      <c r="D12" t="s">
        <v>783</v>
      </c>
      <c r="E12" t="s">
        <v>822</v>
      </c>
      <c r="F12" t="s">
        <v>823</v>
      </c>
      <c r="G12">
        <v>11</v>
      </c>
      <c r="H12" t="s">
        <v>824</v>
      </c>
      <c r="I12" t="s">
        <v>7</v>
      </c>
      <c r="J12" t="str">
        <f t="shared" si="0"/>
        <v xml:space="preserve">INSERT INTO `T_CORE_NOTIFICATION_TEMPLATE`(`NTPL_ID`,`NTPL_APPSCODE`,`NTPL_CHANNEL_TYPE`,`NTPL_CONTENT_TYPE`,`NTPL_SUBJECT`,`NTPL_TEMPALTE`,`NTPL_SEQ`,`NTPL_DESC`,`NTPL_STATUS`,`NTPL_UID_CREATE`,`NTPL_DT_CREATE`,`NTPL_UID_LUPD`,`NTPL_DT_LUPD`) </v>
      </c>
      <c r="K12" t="str">
        <f t="shared" si="1"/>
        <v xml:space="preserve"> VALUES('CKT_NTL_0011','CKT','CHN_TYPE_EMAIL','CNT_TYPE_HTML','Payment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&lt;/html&gt;','11','Notification to GLI F2 when F1 created the Payment Transaction from approved Billling','A','SYS',NOW(),'SYS',NOW());</v>
      </c>
      <c r="L12" s="3" t="str">
        <f t="shared" si="2"/>
        <v>INSERT INTO `T_CORE_NOTIFICATION_TEMPLATE`(`NTPL_ID`,`NTPL_APPSCODE`,`NTPL_CHANNEL_TYPE`,`NTPL_CONTENT_TYPE`,`NTPL_SUBJECT`,`NTPL_TEMPALTE`,`NTPL_SEQ`,`NTPL_DESC`,`NTPL_STATUS`,`NTPL_UID_CREATE`,`NTPL_DT_CREATE`,`NTPL_UID_LUPD`,`NTPL_DT_LUPD`)  VALUES('CKT_NTL_0011','CKT','CHN_TYPE_EMAIL','CNT_TYPE_HTML','Payment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&lt;/html&gt;','11','Notification to GLI F2 when F1 created the Payment Transaction from approved Billling','A','SYS',NOW(),'SYS',NOW());</v>
      </c>
    </row>
    <row r="13" spans="1:12" x14ac:dyDescent="0.2">
      <c r="A13" t="s">
        <v>825</v>
      </c>
      <c r="B13" t="s">
        <v>14</v>
      </c>
      <c r="C13" t="s">
        <v>782</v>
      </c>
      <c r="D13" t="s">
        <v>783</v>
      </c>
      <c r="E13" t="s">
        <v>826</v>
      </c>
      <c r="F13" t="s">
        <v>827</v>
      </c>
      <c r="G13">
        <v>12</v>
      </c>
      <c r="H13" t="s">
        <v>828</v>
      </c>
      <c r="I13" t="s">
        <v>7</v>
      </c>
      <c r="J13" t="str">
        <f t="shared" si="0"/>
        <v xml:space="preserve">INSERT INTO `T_CORE_NOTIFICATION_TEMPLATE`(`NTPL_ID`,`NTPL_APPSCODE`,`NTPL_CHANNEL_TYPE`,`NTPL_CONTENT_TYPE`,`NTPL_SUBJECT`,`NTPL_TEMPALTE`,`NTPL_SEQ`,`NTPL_DESC`,`NTPL_STATUS`,`NTPL_UID_CREATE`,`NTPL_DT_CREATE`,`NTPL_UID_LUPD`,`NTPL_DT_LUPD`) </v>
      </c>
      <c r="K13" t="str">
        <f t="shared" si="1"/>
        <v xml:space="preserve"> VALUES('CKT_NTL_0012','CKT','CHN_TYPE_EMAIL','CNT_TYPE_HTML','Payment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&lt;/html&gt;','12','Notification to GLI F3 when F2 verified the Payment Transaction','A','SYS',NOW(),'SYS',NOW());</v>
      </c>
      <c r="L13" s="3" t="str">
        <f t="shared" si="2"/>
        <v>INSERT INTO `T_CORE_NOTIFICATION_TEMPLATE`(`NTPL_ID`,`NTPL_APPSCODE`,`NTPL_CHANNEL_TYPE`,`NTPL_CONTENT_TYPE`,`NTPL_SUBJECT`,`NTPL_TEMPALTE`,`NTPL_SEQ`,`NTPL_DESC`,`NTPL_STATUS`,`NTPL_UID_CREATE`,`NTPL_DT_CREATE`,`NTPL_UID_LUPD`,`NTPL_DT_LUPD`)  VALUES('CKT_NTL_0012','CKT','CHN_TYPE_EMAIL','CNT_TYPE_HTML','Payment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&lt;/html&gt;','12','Notification to GLI F3 when F2 verified the Payment Transaction','A','SYS',NOW(),'SYS',NOW());</v>
      </c>
    </row>
    <row r="14" spans="1:12" x14ac:dyDescent="0.2">
      <c r="A14" t="s">
        <v>829</v>
      </c>
      <c r="B14" t="s">
        <v>14</v>
      </c>
      <c r="C14" t="s">
        <v>782</v>
      </c>
      <c r="D14" t="s">
        <v>783</v>
      </c>
      <c r="E14" t="s">
        <v>816</v>
      </c>
      <c r="F14" t="s">
        <v>830</v>
      </c>
      <c r="G14">
        <v>13</v>
      </c>
      <c r="H14" t="s">
        <v>831</v>
      </c>
      <c r="I14" t="s">
        <v>7</v>
      </c>
      <c r="J14" t="str">
        <f t="shared" si="0"/>
        <v xml:space="preserve">INSERT INTO `T_CORE_NOTIFICATION_TEMPLATE`(`NTPL_ID`,`NTPL_APPSCODE`,`NTPL_CHANNEL_TYPE`,`NTPL_CONTENT_TYPE`,`NTPL_SUBJECT`,`NTPL_TEMPALTE`,`NTPL_SEQ`,`NTPL_DESC`,`NTPL_STATUS`,`NTPL_UID_CREATE`,`NTPL_DT_CREATE`,`NTPL_UID_LUPD`,`NTPL_DT_LUPD`) </v>
      </c>
      <c r="K14" t="str">
        <f t="shared" si="1"/>
        <v xml:space="preserve"> VALUES('CKT_NTL_0013','CKT','CHN_TYPE_EMAIL','CNT_TYPE_HTML','Payment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&lt;/html&gt;','13','Notification to Commercial, GLI F1 when the outbound payment has been completed','A','SYS',NOW(),'SYS',NOW());</v>
      </c>
      <c r="L14" s="3" t="str">
        <f t="shared" si="2"/>
        <v>INSERT INTO `T_CORE_NOTIFICATION_TEMPLATE`(`NTPL_ID`,`NTPL_APPSCODE`,`NTPL_CHANNEL_TYPE`,`NTPL_CONTENT_TYPE`,`NTPL_SUBJECT`,`NTPL_TEMPALTE`,`NTPL_SEQ`,`NTPL_DESC`,`NTPL_STATUS`,`NTPL_UID_CREATE`,`NTPL_DT_CREATE`,`NTPL_UID_LUPD`,`NTPL_DT_LUPD`)  VALUES('CKT_NTL_0013','CKT','CHN_TYPE_EMAIL','CNT_TYPE_HTML','Payment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&lt;/html&gt;','13','Notification to Commercial, GLI F1 when the outbound payment has been completed','A','SYS',NOW(),'SYS',NOW());</v>
      </c>
    </row>
    <row r="15" spans="1:12" x14ac:dyDescent="0.2">
      <c r="A15" t="s">
        <v>832</v>
      </c>
      <c r="B15" t="s">
        <v>14</v>
      </c>
      <c r="C15" t="s">
        <v>782</v>
      </c>
      <c r="D15" t="s">
        <v>783</v>
      </c>
      <c r="E15" t="s">
        <v>833</v>
      </c>
      <c r="F15" t="s">
        <v>834</v>
      </c>
      <c r="G15">
        <v>14</v>
      </c>
      <c r="H15" t="s">
        <v>835</v>
      </c>
      <c r="I15" t="s">
        <v>7</v>
      </c>
      <c r="J15" t="str">
        <f t="shared" si="0"/>
        <v xml:space="preserve">INSERT INTO `T_CORE_NOTIFICATION_TEMPLATE`(`NTPL_ID`,`NTPL_APPSCODE`,`NTPL_CHANNEL_TYPE`,`NTPL_CONTENT_TYPE`,`NTPL_SUBJECT`,`NTPL_TEMPALTE`,`NTPL_SEQ`,`NTPL_DESC`,`NTPL_STATUS`,`NTPL_UID_CREATE`,`NTPL_DT_CREATE`,`NTPL_UID_LUPD`,`NTPL_DT_LUPD`) </v>
      </c>
      <c r="K15" t="str">
        <f t="shared" si="1"/>
        <v xml:space="preserve"> VALUES('CKT_NTL_0014','CKT','CHN_TYPE_EMAIL','CNT_TYPE_HTML','Payment Failed','&lt;html&gt;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&lt;/html&gt;','14','Notification to Commerical, GLI F1, L1-Support when the outbound payment has failed','A','SYS',NOW(),'SYS',NOW());</v>
      </c>
      <c r="L15" s="3" t="str">
        <f t="shared" si="2"/>
        <v>INSERT INTO `T_CORE_NOTIFICATION_TEMPLATE`(`NTPL_ID`,`NTPL_APPSCODE`,`NTPL_CHANNEL_TYPE`,`NTPL_CONTENT_TYPE`,`NTPL_SUBJECT`,`NTPL_TEMPALTE`,`NTPL_SEQ`,`NTPL_DESC`,`NTPL_STATUS`,`NTPL_UID_CREATE`,`NTPL_DT_CREATE`,`NTPL_UID_LUPD`,`NTPL_DT_LUPD`)  VALUES('CKT_NTL_0014','CKT','CHN_TYPE_EMAIL','CNT_TYPE_HTML','Payment Failed','&lt;html&gt;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&lt;/html&gt;','14','Notification to Commerical, GLI F1, L1-Support when the outbound payment has failed','A','SYS',NOW(),'SYS',NOW());</v>
      </c>
    </row>
    <row r="16" spans="1:12" x14ac:dyDescent="0.2">
      <c r="A16" t="s">
        <v>836</v>
      </c>
      <c r="B16" t="s">
        <v>5</v>
      </c>
      <c r="C16" t="s">
        <v>782</v>
      </c>
      <c r="D16" t="s">
        <v>783</v>
      </c>
      <c r="E16" t="s">
        <v>837</v>
      </c>
      <c r="F16" t="s">
        <v>838</v>
      </c>
      <c r="G16">
        <v>1</v>
      </c>
      <c r="H16" t="s">
        <v>839</v>
      </c>
      <c r="I16" t="s">
        <v>7</v>
      </c>
      <c r="J16" t="str">
        <f t="shared" si="0"/>
        <v xml:space="preserve">INSERT INTO `T_CORE_NOTIFICATION_TEMPLATE`(`NTPL_ID`,`NTPL_APPSCODE`,`NTPL_CHANNEL_TYPE`,`NTPL_CONTENT_TYPE`,`NTPL_SUBJECT`,`NTPL_TEMPALTE`,`NTPL_SEQ`,`NTPL_DESC`,`NTPL_STATUS`,`NTPL_UID_CREATE`,`NTPL_DT_CREATE`,`NTPL_UID_LUPD`,`NTPL_DT_LUPD`) </v>
      </c>
      <c r="K16" t="str">
        <f t="shared" ref="K16" si="3">CONCATENATE(" VALUES('",A16,"','",B16,"','",C16,"','",D16,"','",E16,"','",F16,"','",G16,"','",H16,"','",I16,"','SYS',NOW(),'SYS',NOW());")</f>
        <v xml:space="preserve"> VALUES('CK_NTL_0001','CK','CHN_TYPE_EMAIL','CNT_TYPE_HTML','Forgot Password','&lt;html&gt;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&lt;/html&gt;','1','Notification from Forgot Password link in Login Page','A','SYS',NOW(),'SYS',NOW());</v>
      </c>
      <c r="L16" s="3" t="str">
        <f t="shared" si="2"/>
        <v>INSERT INTO `T_CORE_NOTIFICATION_TEMPLATE`(`NTPL_ID`,`NTPL_APPSCODE`,`NTPL_CHANNEL_TYPE`,`NTPL_CONTENT_TYPE`,`NTPL_SUBJECT`,`NTPL_TEMPALTE`,`NTPL_SEQ`,`NTPL_DESC`,`NTPL_STATUS`,`NTPL_UID_CREATE`,`NTPL_DT_CREATE`,`NTPL_UID_LUPD`,`NTPL_DT_LUPD`)  VALUES('CK_NTL_0001','CK','CHN_TYPE_EMAIL','CNT_TYPE_HTML','Forgot Password','&lt;html&gt;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&lt;/html&gt;','1','Notification from Forgot Password link in Login Page','A','SYS',NOW(),'SYS',NOW());</v>
      </c>
    </row>
    <row r="17" spans="1:12" x14ac:dyDescent="0.2">
      <c r="A17" t="s">
        <v>840</v>
      </c>
      <c r="B17" t="s">
        <v>5</v>
      </c>
      <c r="C17" t="s">
        <v>782</v>
      </c>
      <c r="D17" t="s">
        <v>783</v>
      </c>
      <c r="E17" t="s">
        <v>841</v>
      </c>
      <c r="F17" t="s">
        <v>842</v>
      </c>
      <c r="G17">
        <v>2</v>
      </c>
      <c r="H17" t="s">
        <v>843</v>
      </c>
      <c r="I17" t="s">
        <v>7</v>
      </c>
      <c r="J17" t="str">
        <f t="shared" si="0"/>
        <v xml:space="preserve">INSERT INTO `T_CORE_NOTIFICATION_TEMPLATE`(`NTPL_ID`,`NTPL_APPSCODE`,`NTPL_CHANNEL_TYPE`,`NTPL_CONTENT_TYPE`,`NTPL_SUBJECT`,`NTPL_TEMPALTE`,`NTPL_SEQ`,`NTPL_DESC`,`NTPL_STATUS`,`NTPL_UID_CREATE`,`NTPL_DT_CREATE`,`NTPL_UID_LUPD`,`NTPL_DT_LUPD`) </v>
      </c>
      <c r="K17" t="str">
        <f t="shared" ref="K17" si="4">CONCATENATE(" VALUES('",A17,"','",B17,"','",C17,"','",D17,"','",E17,"','",F17,"','",G17,"','",H17,"','",I17,"','SYS',NOW(),'SYS',NOW());")</f>
        <v xml:space="preserve"> VALUES('CK_NTL_0002','CK','CHN_TYPE_EMAIL','CNT_TYPE_HTML','Password Reset','&lt;html&gt;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&lt;/html&gt;','2','Reset password from Manage User','A','SYS',NOW(),'SYS',NOW());</v>
      </c>
      <c r="L17" s="3" t="str">
        <f t="shared" si="2"/>
        <v>INSERT INTO `T_CORE_NOTIFICATION_TEMPLATE`(`NTPL_ID`,`NTPL_APPSCODE`,`NTPL_CHANNEL_TYPE`,`NTPL_CONTENT_TYPE`,`NTPL_SUBJECT`,`NTPL_TEMPALTE`,`NTPL_SEQ`,`NTPL_DESC`,`NTPL_STATUS`,`NTPL_UID_CREATE`,`NTPL_DT_CREATE`,`NTPL_UID_LUPD`,`NTPL_DT_LUPD`)  VALUES('CK_NTL_0002','CK','CHN_TYPE_EMAIL','CNT_TYPE_HTML','Password Reset','&lt;html&gt;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&lt;/html&gt;','2','Reset password from Manage User','A','SYS',NOW(),'SYS',NOW());</v>
      </c>
    </row>
    <row r="18" spans="1:12" x14ac:dyDescent="0.2">
      <c r="A18" t="s">
        <v>844</v>
      </c>
      <c r="B18" t="s">
        <v>5</v>
      </c>
      <c r="C18" t="s">
        <v>782</v>
      </c>
      <c r="D18" t="s">
        <v>783</v>
      </c>
      <c r="E18" t="s">
        <v>845</v>
      </c>
      <c r="F18" t="s">
        <v>846</v>
      </c>
      <c r="G18">
        <v>3</v>
      </c>
      <c r="H18" t="s">
        <v>847</v>
      </c>
      <c r="I18" t="s">
        <v>7</v>
      </c>
      <c r="J18" t="str">
        <f t="shared" si="0"/>
        <v xml:space="preserve">INSERT INTO `T_CORE_NOTIFICATION_TEMPLATE`(`NTPL_ID`,`NTPL_APPSCODE`,`NTPL_CHANNEL_TYPE`,`NTPL_CONTENT_TYPE`,`NTPL_SUBJECT`,`NTPL_TEMPALTE`,`NTPL_SEQ`,`NTPL_DESC`,`NTPL_STATUS`,`NTPL_UID_CREATE`,`NTPL_DT_CREATE`,`NTPL_UID_LUPD`,`NTPL_DT_LUPD`) </v>
      </c>
      <c r="K18" t="str">
        <f t="shared" ref="K18:K19" si="5">CONCATENATE(" VALUES('",A18,"','",B18,"','",C18,"','",D18,"','",E18,"','",F18,"','",G18,"','",H18,"','",I18,"','SYS',NOW(),'SYS',NOW());")</f>
        <v xml:space="preserve"> VALUES('CK_NTL_0003','CK','CHN_TYPE_EMAIL','CNT_TYPE_HTML','New User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&lt;/html&gt;','3','Notification for New User Created','A','SYS',NOW(),'SYS',NOW());</v>
      </c>
      <c r="L18" s="3" t="str">
        <f t="shared" si="2"/>
        <v>INSERT INTO `T_CORE_NOTIFICATION_TEMPLATE`(`NTPL_ID`,`NTPL_APPSCODE`,`NTPL_CHANNEL_TYPE`,`NTPL_CONTENT_TYPE`,`NTPL_SUBJECT`,`NTPL_TEMPALTE`,`NTPL_SEQ`,`NTPL_DESC`,`NTPL_STATUS`,`NTPL_UID_CREATE`,`NTPL_DT_CREATE`,`NTPL_UID_LUPD`,`NTPL_DT_LUPD`)  VALUES('CK_NTL_0003','CK','CHN_TYPE_EMAIL','CNT_TYPE_HTML','New User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&lt;/html&gt;','3','Notification for New User Created','A','SYS',NOW(),'SYS',NOW());</v>
      </c>
    </row>
    <row r="19" spans="1:12" x14ac:dyDescent="0.2">
      <c r="A19" t="s">
        <v>848</v>
      </c>
      <c r="B19" t="s">
        <v>14</v>
      </c>
      <c r="C19" t="s">
        <v>782</v>
      </c>
      <c r="D19" t="s">
        <v>783</v>
      </c>
      <c r="E19" t="s">
        <v>808</v>
      </c>
      <c r="F19" t="s">
        <v>849</v>
      </c>
      <c r="G19">
        <v>15</v>
      </c>
      <c r="H19" t="s">
        <v>850</v>
      </c>
      <c r="I19" t="s">
        <v>7</v>
      </c>
      <c r="J19" t="str">
        <f t="shared" si="0"/>
        <v xml:space="preserve">INSERT INTO `T_CORE_NOTIFICATION_TEMPLATE`(`NTPL_ID`,`NTPL_APPSCODE`,`NTPL_CHANNEL_TYPE`,`NTPL_CONTENT_TYPE`,`NTPL_SUBJECT`,`NTPL_TEMPALTE`,`NTPL_SEQ`,`NTPL_DESC`,`NTPL_STATUS`,`NTPL_UID_CREATE`,`NTPL_DT_CREATE`,`NTPL_UID_LUPD`,`NTPL_DT_LUPD`) </v>
      </c>
      <c r="K19" t="str">
        <f t="shared" si="5"/>
        <v xml:space="preserve"> VALUES('CKT_NTL_0015','CKT','CHN_TYPE_EMAIL','CNT_TYPE_HTML','Invoice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&lt;/html&gt;','15','Notification to TO Finance  when Invoice is Acknowledged (Approved) by CO','A','SYS',NOW(),'SYS',NOW());</v>
      </c>
      <c r="L19" s="3" t="str">
        <f t="shared" si="2"/>
        <v>INSERT INTO `T_CORE_NOTIFICATION_TEMPLATE`(`NTPL_ID`,`NTPL_APPSCODE`,`NTPL_CHANNEL_TYPE`,`NTPL_CONTENT_TYPE`,`NTPL_SUBJECT`,`NTPL_TEMPALTE`,`NTPL_SEQ`,`NTPL_DESC`,`NTPL_STATUS`,`NTPL_UID_CREATE`,`NTPL_DT_CREATE`,`NTPL_UID_LUPD`,`NTPL_DT_LUPD`)  VALUES('CKT_NTL_0015','CKT','CHN_TYPE_EMAIL','CNT_TYPE_HTML','Invoice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&lt;/html&gt;','15','Notification to TO Finance  when Invoice is Acknowledged (Approved) by CO','A','SYS',NOW(),'SYS',NOW());</v>
      </c>
    </row>
    <row r="20" spans="1:12" x14ac:dyDescent="0.2">
      <c r="A20" t="s">
        <v>851</v>
      </c>
      <c r="B20" t="s">
        <v>14</v>
      </c>
      <c r="C20" t="s">
        <v>782</v>
      </c>
      <c r="D20" t="s">
        <v>783</v>
      </c>
      <c r="E20" t="s">
        <v>852</v>
      </c>
      <c r="F20" t="s">
        <v>853</v>
      </c>
      <c r="G20">
        <v>16</v>
      </c>
      <c r="H20" t="s">
        <v>854</v>
      </c>
      <c r="I20" t="s">
        <v>7</v>
      </c>
      <c r="J20" t="str">
        <f t="shared" si="0"/>
        <v xml:space="preserve">INSERT INTO `T_CORE_NOTIFICATION_TEMPLATE`(`NTPL_ID`,`NTPL_APPSCODE`,`NTPL_CHANNEL_TYPE`,`NTPL_CONTENT_TYPE`,`NTPL_SUBJECT`,`NTPL_TEMPALTE`,`NTPL_SEQ`,`NTPL_DESC`,`NTPL_STATUS`,`NTPL_UID_CREATE`,`NTPL_DT_CREATE`,`NTPL_UID_LUPD`,`NTPL_DT_LUPD`) </v>
      </c>
      <c r="K20" t="str">
        <f t="shared" ref="K20:K21" si="6">CONCATENATE(" VALUES('",A20,"','",B20,"','",C20,"','",D20,"','",E20,"','",F20,"','",G20,"','",H20,"','",I20,"','SYS',NOW(),'SYS',NOW());")</f>
        <v xml:space="preserve"> VALUES('CKT_NTL_0016','CKT','CHN_TYPE_EMAIL','CNT_TYPE_HTML','Account Registration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&lt;/html&gt;','16','Notification to SP Finance Head(s) for account registration request','A','SYS',NOW(),'SYS',NOW());</v>
      </c>
      <c r="L20" s="3" t="str">
        <f t="shared" si="2"/>
        <v>INSERT INTO `T_CORE_NOTIFICATION_TEMPLATE`(`NTPL_ID`,`NTPL_APPSCODE`,`NTPL_CHANNEL_TYPE`,`NTPL_CONTENT_TYPE`,`NTPL_SUBJECT`,`NTPL_TEMPALTE`,`NTPL_SEQ`,`NTPL_DESC`,`NTPL_STATUS`,`NTPL_UID_CREATE`,`NTPL_DT_CREATE`,`NTPL_UID_LUPD`,`NTPL_DT_LUPD`)  VALUES('CKT_NTL_0016','CKT','CHN_TYPE_EMAIL','CNT_TYPE_HTML','Account Registration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&lt;/html&gt;','16','Notification to SP Finance Head(s) for account registration request','A','SYS',NOW(),'SYS',NOW());</v>
      </c>
    </row>
    <row r="21" spans="1:12" x14ac:dyDescent="0.2">
      <c r="A21" t="s">
        <v>855</v>
      </c>
      <c r="B21" t="s">
        <v>14</v>
      </c>
      <c r="C21" t="s">
        <v>782</v>
      </c>
      <c r="D21" t="s">
        <v>783</v>
      </c>
      <c r="E21" t="s">
        <v>856</v>
      </c>
      <c r="F21" t="s">
        <v>857</v>
      </c>
      <c r="G21">
        <v>17</v>
      </c>
      <c r="H21" t="s">
        <v>858</v>
      </c>
      <c r="I21" t="s">
        <v>7</v>
      </c>
      <c r="J21" t="str">
        <f t="shared" si="0"/>
        <v xml:space="preserve">INSERT INTO `T_CORE_NOTIFICATION_TEMPLATE`(`NTPL_ID`,`NTPL_APPSCODE`,`NTPL_CHANNEL_TYPE`,`NTPL_CONTENT_TYPE`,`NTPL_SUBJECT`,`NTPL_TEMPALTE`,`NTPL_SEQ`,`NTPL_DESC`,`NTPL_STATUS`,`NTPL_UID_CREATE`,`NTPL_DT_CREATE`,`NTPL_UID_LUPD`,`NTPL_DT_LUPD`) </v>
      </c>
      <c r="K21" t="str">
        <f t="shared" si="6"/>
        <v xml:space="preserve"> VALUES('CKT_NTL_0017','CKT','CHN_TYPE_EMAIL','CNT_TYPE_HTML','Account Registration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&lt;/html&gt;','17','Notification to SP L1(s) for account registration approval','A','SYS',NOW(),'SYS',NOW());</v>
      </c>
      <c r="L21" s="3" t="str">
        <f t="shared" si="2"/>
        <v>INSERT INTO `T_CORE_NOTIFICATION_TEMPLATE`(`NTPL_ID`,`NTPL_APPSCODE`,`NTPL_CHANNEL_TYPE`,`NTPL_CONTENT_TYPE`,`NTPL_SUBJECT`,`NTPL_TEMPALTE`,`NTPL_SEQ`,`NTPL_DESC`,`NTPL_STATUS`,`NTPL_UID_CREATE`,`NTPL_DT_CREATE`,`NTPL_UID_LUPD`,`NTPL_DT_LUPD`)  VALUES('CKT_NTL_0017','CKT','CHN_TYPE_EMAIL','CNT_TYPE_HTML','Account Registration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&lt;/html&gt;','17','Notification to SP L1(s) for account registration approval','A','SYS',NOW(),'SYS',NOW());</v>
      </c>
    </row>
    <row r="22" spans="1:12" x14ac:dyDescent="0.2">
      <c r="A22" t="s">
        <v>859</v>
      </c>
      <c r="B22" t="s">
        <v>14</v>
      </c>
      <c r="C22" t="s">
        <v>782</v>
      </c>
      <c r="D22" t="s">
        <v>783</v>
      </c>
      <c r="E22" t="s">
        <v>860</v>
      </c>
      <c r="F22" t="s">
        <v>861</v>
      </c>
      <c r="G22">
        <v>18</v>
      </c>
      <c r="H22" t="s">
        <v>862</v>
      </c>
      <c r="I22" t="s">
        <v>7</v>
      </c>
      <c r="J22" t="str">
        <f t="shared" si="0"/>
        <v xml:space="preserve">INSERT INTO `T_CORE_NOTIFICATION_TEMPLATE`(`NTPL_ID`,`NTPL_APPSCODE`,`NTPL_CHANNEL_TYPE`,`NTPL_CONTENT_TYPE`,`NTPL_SUBJECT`,`NTPL_TEMPALTE`,`NTPL_SEQ`,`NTPL_DESC`,`NTPL_STATUS`,`NTPL_UID_CREATE`,`NTPL_DT_CREATE`,`NTPL_UID_LUPD`,`NTPL_DT_LUPD`) </v>
      </c>
      <c r="K22" t="str">
        <f t="shared" ref="K22:K23" si="7">CONCATENATE(" VALUES('",A22,"','",B22,"','",C22,"','",D22,"','",E22,"','",F22,"','",G22,"','",H22,"','",I22,"','SYS',NOW(),'SYS',NOW());")</f>
        <v xml:space="preserve"> VALUES('CKT_NTL_0018','CKT','CHN_TYPE_EMAIL','CNT_TYPE_HTML','Account Registration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&lt;/html&gt;','18','Notification to SP L1(s) for account registration rejection','A','SYS',NOW(),'SYS',NOW());</v>
      </c>
      <c r="L22" s="3" t="str">
        <f t="shared" si="2"/>
        <v>INSERT INTO `T_CORE_NOTIFICATION_TEMPLATE`(`NTPL_ID`,`NTPL_APPSCODE`,`NTPL_CHANNEL_TYPE`,`NTPL_CONTENT_TYPE`,`NTPL_SUBJECT`,`NTPL_TEMPALTE`,`NTPL_SEQ`,`NTPL_DESC`,`NTPL_STATUS`,`NTPL_UID_CREATE`,`NTPL_DT_CREATE`,`NTPL_UID_LUPD`,`NTPL_DT_LUPD`)  VALUES('CKT_NTL_0018','CKT','CHN_TYPE_EMAIL','CNT_TYPE_HTML','Account Registration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&lt;/html&gt;','18','Notification to SP L1(s) for account registration rejection','A','SYS',NOW(),'SYS',NOW());</v>
      </c>
    </row>
    <row r="23" spans="1:12" x14ac:dyDescent="0.2">
      <c r="A23" t="s">
        <v>863</v>
      </c>
      <c r="B23" t="s">
        <v>14</v>
      </c>
      <c r="C23" t="s">
        <v>782</v>
      </c>
      <c r="D23" t="s">
        <v>783</v>
      </c>
      <c r="E23" t="s">
        <v>864</v>
      </c>
      <c r="F23" t="s">
        <v>865</v>
      </c>
      <c r="G23">
        <v>19</v>
      </c>
      <c r="H23" t="s">
        <v>866</v>
      </c>
      <c r="I23" t="s">
        <v>7</v>
      </c>
      <c r="J23" t="str">
        <f t="shared" si="0"/>
        <v xml:space="preserve">INSERT INTO `T_CORE_NOTIFICATION_TEMPLATE`(`NTPL_ID`,`NTPL_APPSCODE`,`NTPL_CHANNEL_TYPE`,`NTPL_CONTENT_TYPE`,`NTPL_SUBJECT`,`NTPL_TEMPALTE`,`NTPL_SEQ`,`NTPL_DESC`,`NTPL_STATUS`,`NTPL_UID_CREATE`,`NTPL_DT_CREATE`,`NTPL_UID_LUPD`,`NTPL_DT_LUPD`) </v>
      </c>
      <c r="K23" t="str">
        <f t="shared" si="7"/>
        <v xml:space="preserve"> VALUES('CKT_NTL_0019','CKT','CHN_TYPE_EMAIL','CNT_TYPE_HTML','Account Suspension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&lt;/html&gt;','19','Notification to SP Finance Head(s) for account suspension request','A','SYS',NOW(),'SYS',NOW());</v>
      </c>
      <c r="L23" s="3" t="str">
        <f t="shared" si="2"/>
        <v>INSERT INTO `T_CORE_NOTIFICATION_TEMPLATE`(`NTPL_ID`,`NTPL_APPSCODE`,`NTPL_CHANNEL_TYPE`,`NTPL_CONTENT_TYPE`,`NTPL_SUBJECT`,`NTPL_TEMPALTE`,`NTPL_SEQ`,`NTPL_DESC`,`NTPL_STATUS`,`NTPL_UID_CREATE`,`NTPL_DT_CREATE`,`NTPL_UID_LUPD`,`NTPL_DT_LUPD`)  VALUES('CKT_NTL_0019','CKT','CHN_TYPE_EMAIL','CNT_TYPE_HTML','Account Suspension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&lt;/html&gt;','19','Notification to SP Finance Head(s) for account suspension request','A','SYS',NOW(),'SYS',NOW());</v>
      </c>
    </row>
    <row r="24" spans="1:12" x14ac:dyDescent="0.2">
      <c r="A24" t="s">
        <v>867</v>
      </c>
      <c r="B24" t="s">
        <v>14</v>
      </c>
      <c r="C24" t="s">
        <v>782</v>
      </c>
      <c r="D24" t="s">
        <v>783</v>
      </c>
      <c r="E24" t="s">
        <v>868</v>
      </c>
      <c r="F24" t="s">
        <v>857</v>
      </c>
      <c r="G24">
        <v>20</v>
      </c>
      <c r="H24" t="s">
        <v>869</v>
      </c>
      <c r="I24" t="s">
        <v>7</v>
      </c>
      <c r="J24" t="str">
        <f t="shared" si="0"/>
        <v xml:space="preserve">INSERT INTO `T_CORE_NOTIFICATION_TEMPLATE`(`NTPL_ID`,`NTPL_APPSCODE`,`NTPL_CHANNEL_TYPE`,`NTPL_CONTENT_TYPE`,`NTPL_SUBJECT`,`NTPL_TEMPALTE`,`NTPL_SEQ`,`NTPL_DESC`,`NTPL_STATUS`,`NTPL_UID_CREATE`,`NTPL_DT_CREATE`,`NTPL_UID_LUPD`,`NTPL_DT_LUPD`) </v>
      </c>
      <c r="K24" t="str">
        <f t="shared" ref="K24" si="8">CONCATENATE(" VALUES('",A24,"','",B24,"','",C24,"','",D24,"','",E24,"','",F24,"','",G24,"','",H24,"','",I24,"','SYS',NOW(),'SYS',NOW());")</f>
        <v xml:space="preserve"> VALUES('CKT_NTL_0020','CKT','CHN_TYPE_EMAIL','CNT_TYPE_HTML','Account Suspension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&lt;/html&gt;','20','Notification to SP L1(s) for account suspension approval','A','SYS',NOW(),'SYS',NOW());</v>
      </c>
      <c r="L24" s="3" t="str">
        <f t="shared" si="2"/>
        <v>INSERT INTO `T_CORE_NOTIFICATION_TEMPLATE`(`NTPL_ID`,`NTPL_APPSCODE`,`NTPL_CHANNEL_TYPE`,`NTPL_CONTENT_TYPE`,`NTPL_SUBJECT`,`NTPL_TEMPALTE`,`NTPL_SEQ`,`NTPL_DESC`,`NTPL_STATUS`,`NTPL_UID_CREATE`,`NTPL_DT_CREATE`,`NTPL_UID_LUPD`,`NTPL_DT_LUPD`)  VALUES('CKT_NTL_0020','CKT','CHN_TYPE_EMAIL','CNT_TYPE_HTML','Account Suspension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&lt;/html&gt;','20','Notification to SP L1(s) for account suspension approval','A','SYS',NOW(),'SYS',NOW());</v>
      </c>
    </row>
    <row r="25" spans="1:12" x14ac:dyDescent="0.2">
      <c r="A25" t="s">
        <v>870</v>
      </c>
      <c r="B25" t="s">
        <v>14</v>
      </c>
      <c r="C25" t="s">
        <v>782</v>
      </c>
      <c r="D25" t="s">
        <v>783</v>
      </c>
      <c r="E25" t="s">
        <v>871</v>
      </c>
      <c r="F25" t="s">
        <v>872</v>
      </c>
      <c r="G25">
        <v>21</v>
      </c>
      <c r="H25" t="s">
        <v>873</v>
      </c>
      <c r="I25" t="s">
        <v>7</v>
      </c>
      <c r="J25" t="str">
        <f t="shared" si="0"/>
        <v xml:space="preserve">INSERT INTO `T_CORE_NOTIFICATION_TEMPLATE`(`NTPL_ID`,`NTPL_APPSCODE`,`NTPL_CHANNEL_TYPE`,`NTPL_CONTENT_TYPE`,`NTPL_SUBJECT`,`NTPL_TEMPALTE`,`NTPL_SEQ`,`NTPL_DESC`,`NTPL_STATUS`,`NTPL_UID_CREATE`,`NTPL_DT_CREATE`,`NTPL_UID_LUPD`,`NTPL_DT_LUPD`) </v>
      </c>
      <c r="K25" t="str">
        <f t="shared" ref="K25:K27" si="9">CONCATENATE(" VALUES('",A25,"','",B25,"','",C25,"','",D25,"','",E25,"','",F25,"','",G25,"','",H25,"','",I25,"','SYS',NOW(),'SYS',NOW());")</f>
        <v xml:space="preserve"> VALUES('CKT_NTL_0021','CKT','CHN_TYPE_EMAIL','CNT_TYPE_HTML','Account Suspension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&lt;/html&gt;','21','Notification to SP L1(s) for account suspension rejection','A','SYS',NOW(),'SYS',NOW());</v>
      </c>
      <c r="L25" s="3" t="str">
        <f t="shared" si="2"/>
        <v>INSERT INTO `T_CORE_NOTIFICATION_TEMPLATE`(`NTPL_ID`,`NTPL_APPSCODE`,`NTPL_CHANNEL_TYPE`,`NTPL_CONTENT_TYPE`,`NTPL_SUBJECT`,`NTPL_TEMPALTE`,`NTPL_SEQ`,`NTPL_DESC`,`NTPL_STATUS`,`NTPL_UID_CREATE`,`NTPL_DT_CREATE`,`NTPL_UID_LUPD`,`NTPL_DT_LUPD`)  VALUES('CKT_NTL_0021','CKT','CHN_TYPE_EMAIL','CNT_TYPE_HTML','Account Suspension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&lt;/html&gt;','21','Notification to SP L1(s) for account suspension rejection','A','SYS',NOW(),'SYS',NOW());</v>
      </c>
    </row>
    <row r="26" spans="1:12" x14ac:dyDescent="0.2">
      <c r="A26" t="s">
        <v>874</v>
      </c>
      <c r="B26" t="s">
        <v>14</v>
      </c>
      <c r="C26" t="s">
        <v>782</v>
      </c>
      <c r="D26" t="s">
        <v>783</v>
      </c>
      <c r="E26" t="s">
        <v>875</v>
      </c>
      <c r="F26" t="s">
        <v>876</v>
      </c>
      <c r="G26">
        <v>22</v>
      </c>
      <c r="H26" t="s">
        <v>877</v>
      </c>
      <c r="I26" t="s">
        <v>7</v>
      </c>
      <c r="J26" t="str">
        <f t="shared" si="0"/>
        <v xml:space="preserve">INSERT INTO `T_CORE_NOTIFICATION_TEMPLATE`(`NTPL_ID`,`NTPL_APPSCODE`,`NTPL_CHANNEL_TYPE`,`NTPL_CONTENT_TYPE`,`NTPL_SUBJECT`,`NTPL_TEMPALTE`,`NTPL_SEQ`,`NTPL_DESC`,`NTPL_STATUS`,`NTPL_UID_CREATE`,`NTPL_DT_CREATE`,`NTPL_UID_LUPD`,`NTPL_DT_LUPD`) </v>
      </c>
      <c r="K26" t="str">
        <f t="shared" si="9"/>
        <v xml:space="preserve"> VALUES('CKT_NTL_0022','CKT','CHN_TYPE_EMAIL','CNT_TYPE_HTML','Account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&lt;/html&gt;','22','Notification to SP Finance Head(s) for account termination request','A','SYS',NOW(),'SYS',NOW());</v>
      </c>
      <c r="L26" s="3" t="str">
        <f t="shared" si="2"/>
        <v>INSERT INTO `T_CORE_NOTIFICATION_TEMPLATE`(`NTPL_ID`,`NTPL_APPSCODE`,`NTPL_CHANNEL_TYPE`,`NTPL_CONTENT_TYPE`,`NTPL_SUBJECT`,`NTPL_TEMPALTE`,`NTPL_SEQ`,`NTPL_DESC`,`NTPL_STATUS`,`NTPL_UID_CREATE`,`NTPL_DT_CREATE`,`NTPL_UID_LUPD`,`NTPL_DT_LUPD`)  VALUES('CKT_NTL_0022','CKT','CHN_TYPE_EMAIL','CNT_TYPE_HTML','Account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&lt;/html&gt;','22','Notification to SP Finance Head(s) for account termination request','A','SYS',NOW(),'SYS',NOW());</v>
      </c>
    </row>
    <row r="27" spans="1:12" x14ac:dyDescent="0.2">
      <c r="A27" t="s">
        <v>878</v>
      </c>
      <c r="B27" t="s">
        <v>14</v>
      </c>
      <c r="C27" t="s">
        <v>782</v>
      </c>
      <c r="D27" t="s">
        <v>783</v>
      </c>
      <c r="E27" t="s">
        <v>879</v>
      </c>
      <c r="F27" t="s">
        <v>880</v>
      </c>
      <c r="G27">
        <v>23</v>
      </c>
      <c r="H27" t="s">
        <v>881</v>
      </c>
      <c r="I27" t="s">
        <v>7</v>
      </c>
      <c r="J27" t="str">
        <f t="shared" si="0"/>
        <v xml:space="preserve">INSERT INTO `T_CORE_NOTIFICATION_TEMPLATE`(`NTPL_ID`,`NTPL_APPSCODE`,`NTPL_CHANNEL_TYPE`,`NTPL_CONTENT_TYPE`,`NTPL_SUBJECT`,`NTPL_TEMPALTE`,`NTPL_SEQ`,`NTPL_DESC`,`NTPL_STATUS`,`NTPL_UID_CREATE`,`NTPL_DT_CREATE`,`NTPL_UID_LUPD`,`NTPL_DT_LUPD`) </v>
      </c>
      <c r="K27" t="str">
        <f t="shared" si="9"/>
        <v xml:space="preserve"> VALUES('CKT_NTL_0023','CKT','CHN_TYPE_EMAIL','CNT_TYPE_HTML','Account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&lt;/html&gt;','23','Notification to SP L1(s) for account termination approval','A','SYS',NOW(),'SYS',NOW());</v>
      </c>
      <c r="L27" s="3" t="str">
        <f t="shared" si="2"/>
        <v>INSERT INTO `T_CORE_NOTIFICATION_TEMPLATE`(`NTPL_ID`,`NTPL_APPSCODE`,`NTPL_CHANNEL_TYPE`,`NTPL_CONTENT_TYPE`,`NTPL_SUBJECT`,`NTPL_TEMPALTE`,`NTPL_SEQ`,`NTPL_DESC`,`NTPL_STATUS`,`NTPL_UID_CREATE`,`NTPL_DT_CREATE`,`NTPL_UID_LUPD`,`NTPL_DT_LUPD`)  VALUES('CKT_NTL_0023','CKT','CHN_TYPE_EMAIL','CNT_TYPE_HTML','Account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&lt;/html&gt;','23','Notification to SP L1(s) for account termination approval','A','SYS',NOW(),'SYS',NOW());</v>
      </c>
    </row>
    <row r="28" spans="1:12" x14ac:dyDescent="0.2">
      <c r="A28" t="s">
        <v>882</v>
      </c>
      <c r="B28" t="s">
        <v>14</v>
      </c>
      <c r="C28" t="s">
        <v>782</v>
      </c>
      <c r="D28" t="s">
        <v>783</v>
      </c>
      <c r="E28" t="s">
        <v>883</v>
      </c>
      <c r="F28" t="s">
        <v>884</v>
      </c>
      <c r="G28">
        <v>24</v>
      </c>
      <c r="H28" t="s">
        <v>885</v>
      </c>
      <c r="I28" t="s">
        <v>7</v>
      </c>
      <c r="J28" t="str">
        <f t="shared" si="0"/>
        <v xml:space="preserve">INSERT INTO `T_CORE_NOTIFICATION_TEMPLATE`(`NTPL_ID`,`NTPL_APPSCODE`,`NTPL_CHANNEL_TYPE`,`NTPL_CONTENT_TYPE`,`NTPL_SUBJECT`,`NTPL_TEMPALTE`,`NTPL_SEQ`,`NTPL_DESC`,`NTPL_STATUS`,`NTPL_UID_CREATE`,`NTPL_DT_CREATE`,`NTPL_UID_LUPD`,`NTPL_DT_LUPD`) </v>
      </c>
      <c r="K28" t="str">
        <f t="shared" ref="K28" si="10">CONCATENATE(" VALUES('",A28,"','",B28,"','",C28,"','",D28,"','",E28,"','",F28,"','",G28,"','",H28,"','",I28,"','SYS',NOW(),'SYS',NOW());")</f>
        <v xml:space="preserve"> VALUES('CKT_NTL_0024','CKT','CHN_TYPE_EMAIL','CNT_TYPE_HTML','Account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&lt;/html&gt;','24','Notification to SP L1(s) for account termination rejection','A','SYS',NOW(),'SYS',NOW());</v>
      </c>
      <c r="L28" s="3" t="str">
        <f t="shared" si="2"/>
        <v>INSERT INTO `T_CORE_NOTIFICATION_TEMPLATE`(`NTPL_ID`,`NTPL_APPSCODE`,`NTPL_CHANNEL_TYPE`,`NTPL_CONTENT_TYPE`,`NTPL_SUBJECT`,`NTPL_TEMPALTE`,`NTPL_SEQ`,`NTPL_DESC`,`NTPL_STATUS`,`NTPL_UID_CREATE`,`NTPL_DT_CREATE`,`NTPL_UID_LUPD`,`NTPL_DT_LUPD`)  VALUES('CKT_NTL_0024','CKT','CHN_TYPE_EMAIL','CNT_TYPE_HTML','Account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&lt;/html&gt;','24','Notification to SP L1(s) for account termination rejection','A','SYS',NOW(),'SYS',NOW());</v>
      </c>
    </row>
    <row r="29" spans="1:12" x14ac:dyDescent="0.2">
      <c r="A29" t="s">
        <v>886</v>
      </c>
      <c r="B29" t="s">
        <v>14</v>
      </c>
      <c r="C29" t="s">
        <v>782</v>
      </c>
      <c r="D29" t="s">
        <v>783</v>
      </c>
      <c r="E29" t="s">
        <v>887</v>
      </c>
      <c r="F29" t="s">
        <v>888</v>
      </c>
      <c r="G29">
        <v>25</v>
      </c>
      <c r="H29" t="s">
        <v>889</v>
      </c>
      <c r="I29" t="s">
        <v>7</v>
      </c>
      <c r="J29" t="str">
        <f t="shared" si="0"/>
        <v xml:space="preserve">INSERT INTO `T_CORE_NOTIFICATION_TEMPLATE`(`NTPL_ID`,`NTPL_APPSCODE`,`NTPL_CHANNEL_TYPE`,`NTPL_CONTENT_TYPE`,`NTPL_SUBJECT`,`NTPL_TEMPALTE`,`NTPL_SEQ`,`NTPL_DESC`,`NTPL_STATUS`,`NTPL_UID_CREATE`,`NTPL_DT_CREATE`,`NTPL_UID_LUPD`,`NTPL_DT_LUPD`) </v>
      </c>
      <c r="K29" t="str">
        <f t="shared" ref="K29" si="11">CONCATENATE(" VALUES('",A29,"','",B29,"','",C29,"','",D29,"','",E29,"','",F29,"','",G29,"','",H29,"','",I29,"','SYS',NOW(),'SYS',NOW());")</f>
        <v xml:space="preserve"> VALUES('CKT_NTL_0025','CKT','CHN_TYPE_EMAIL','CNT_TYPE_HTML','Contract Expiry Reminder','&lt;html&gt;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&lt;/html&gt;','25','Notification for contract expiry reminder','A','SYS',NOW(),'SYS',NOW());</v>
      </c>
      <c r="L29" s="3" t="str">
        <f t="shared" si="2"/>
        <v>INSERT INTO `T_CORE_NOTIFICATION_TEMPLATE`(`NTPL_ID`,`NTPL_APPSCODE`,`NTPL_CHANNEL_TYPE`,`NTPL_CONTENT_TYPE`,`NTPL_SUBJECT`,`NTPL_TEMPALTE`,`NTPL_SEQ`,`NTPL_DESC`,`NTPL_STATUS`,`NTPL_UID_CREATE`,`NTPL_DT_CREATE`,`NTPL_UID_LUPD`,`NTPL_DT_LUPD`)  VALUES('CKT_NTL_0025','CKT','CHN_TYPE_EMAIL','CNT_TYPE_HTML','Contract Expiry Reminder','&lt;html&gt;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&lt;/html&gt;','25','Notification for contract expiry reminder','A','SYS',NOW(),'SYS',NOW());</v>
      </c>
    </row>
    <row r="30" spans="1:12" x14ac:dyDescent="0.2">
      <c r="A30" t="s">
        <v>890</v>
      </c>
      <c r="B30" t="s">
        <v>14</v>
      </c>
      <c r="C30" t="s">
        <v>782</v>
      </c>
      <c r="D30" t="s">
        <v>783</v>
      </c>
      <c r="E30" t="s">
        <v>891</v>
      </c>
      <c r="F30" t="s">
        <v>892</v>
      </c>
      <c r="G30">
        <v>26</v>
      </c>
      <c r="H30" t="s">
        <v>893</v>
      </c>
      <c r="I30" t="s">
        <v>7</v>
      </c>
      <c r="J30" t="str">
        <f t="shared" si="0"/>
        <v xml:space="preserve">INSERT INTO `T_CORE_NOTIFICATION_TEMPLATE`(`NTPL_ID`,`NTPL_APPSCODE`,`NTPL_CHANNEL_TYPE`,`NTPL_CONTENT_TYPE`,`NTPL_SUBJECT`,`NTPL_TEMPALTE`,`NTPL_SEQ`,`NTPL_DESC`,`NTPL_STATUS`,`NTPL_UID_CREATE`,`NTPL_DT_CREATE`,`NTPL_UID_LUPD`,`NTPL_DT_LUPD`) </v>
      </c>
      <c r="K30" t="str">
        <f t="shared" ref="K30:K32" si="12">CONCATENATE(" VALUES('",A30,"','",B30,"','",C30,"','",D30,"','",E30,"','",F30,"','",G30,"','",H30,"','",I30,"','SYS',NOW(),'SYS',NOW());")</f>
        <v xml:space="preserve"> VALUES('CKT_NTL_0026','CKT','CHN_TYPE_EMAIL','CNT_TYPE_HTML','Account Resumption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&lt;/html&gt;','26','Notification to SP Finance Head(s) for account resumption request','A','SYS',NOW(),'SYS',NOW());</v>
      </c>
      <c r="L30" s="3" t="str">
        <f t="shared" si="2"/>
        <v>INSERT INTO `T_CORE_NOTIFICATION_TEMPLATE`(`NTPL_ID`,`NTPL_APPSCODE`,`NTPL_CHANNEL_TYPE`,`NTPL_CONTENT_TYPE`,`NTPL_SUBJECT`,`NTPL_TEMPALTE`,`NTPL_SEQ`,`NTPL_DESC`,`NTPL_STATUS`,`NTPL_UID_CREATE`,`NTPL_DT_CREATE`,`NTPL_UID_LUPD`,`NTPL_DT_LUPD`)  VALUES('CKT_NTL_0026','CKT','CHN_TYPE_EMAIL','CNT_TYPE_HTML','Account Resumption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&lt;/html&gt;','26','Notification to SP Finance Head(s) for account resumption request','A','SYS',NOW(),'SYS',NOW());</v>
      </c>
    </row>
    <row r="31" spans="1:12" x14ac:dyDescent="0.2">
      <c r="A31" t="s">
        <v>894</v>
      </c>
      <c r="B31" t="s">
        <v>14</v>
      </c>
      <c r="C31" t="s">
        <v>782</v>
      </c>
      <c r="D31" t="s">
        <v>783</v>
      </c>
      <c r="E31" t="s">
        <v>895</v>
      </c>
      <c r="F31" t="s">
        <v>896</v>
      </c>
      <c r="G31">
        <v>27</v>
      </c>
      <c r="H31" t="s">
        <v>858</v>
      </c>
      <c r="I31" t="s">
        <v>7</v>
      </c>
      <c r="J31" t="str">
        <f t="shared" si="0"/>
        <v xml:space="preserve">INSERT INTO `T_CORE_NOTIFICATION_TEMPLATE`(`NTPL_ID`,`NTPL_APPSCODE`,`NTPL_CHANNEL_TYPE`,`NTPL_CONTENT_TYPE`,`NTPL_SUBJECT`,`NTPL_TEMPALTE`,`NTPL_SEQ`,`NTPL_DESC`,`NTPL_STATUS`,`NTPL_UID_CREATE`,`NTPL_DT_CREATE`,`NTPL_UID_LUPD`,`NTPL_DT_LUPD`) </v>
      </c>
      <c r="K31" t="str">
        <f t="shared" si="12"/>
        <v xml:space="preserve"> VALUES('CKT_NTL_0027','CKT','CHN_TYPE_EMAIL','CNT_TYPE_HTML','Account Resumption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&lt;/html&gt;','27','Notification to SP L1(s) for account registration approval','A','SYS',NOW(),'SYS',NOW());</v>
      </c>
      <c r="L31" s="3" t="str">
        <f t="shared" si="2"/>
        <v>INSERT INTO `T_CORE_NOTIFICATION_TEMPLATE`(`NTPL_ID`,`NTPL_APPSCODE`,`NTPL_CHANNEL_TYPE`,`NTPL_CONTENT_TYPE`,`NTPL_SUBJECT`,`NTPL_TEMPALTE`,`NTPL_SEQ`,`NTPL_DESC`,`NTPL_STATUS`,`NTPL_UID_CREATE`,`NTPL_DT_CREATE`,`NTPL_UID_LUPD`,`NTPL_DT_LUPD`)  VALUES('CKT_NTL_0027','CKT','CHN_TYPE_EMAIL','CNT_TYPE_HTML','Account Resumption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&lt;/html&gt;','27','Notification to SP L1(s) for account registration approval','A','SYS',NOW(),'SYS',NOW());</v>
      </c>
    </row>
    <row r="32" spans="1:12" x14ac:dyDescent="0.2">
      <c r="A32" t="s">
        <v>897</v>
      </c>
      <c r="B32" t="s">
        <v>14</v>
      </c>
      <c r="C32" t="s">
        <v>782</v>
      </c>
      <c r="D32" t="s">
        <v>783</v>
      </c>
      <c r="E32" t="s">
        <v>898</v>
      </c>
      <c r="F32" t="s">
        <v>899</v>
      </c>
      <c r="G32">
        <v>28</v>
      </c>
      <c r="H32" t="s">
        <v>862</v>
      </c>
      <c r="I32" t="s">
        <v>7</v>
      </c>
      <c r="J32" t="str">
        <f t="shared" si="0"/>
        <v xml:space="preserve">INSERT INTO `T_CORE_NOTIFICATION_TEMPLATE`(`NTPL_ID`,`NTPL_APPSCODE`,`NTPL_CHANNEL_TYPE`,`NTPL_CONTENT_TYPE`,`NTPL_SUBJECT`,`NTPL_TEMPALTE`,`NTPL_SEQ`,`NTPL_DESC`,`NTPL_STATUS`,`NTPL_UID_CREATE`,`NTPL_DT_CREATE`,`NTPL_UID_LUPD`,`NTPL_DT_LUPD`) </v>
      </c>
      <c r="K32" t="str">
        <f t="shared" si="12"/>
        <v xml:space="preserve"> VALUES('CKT_NTL_0028','CKT','CHN_TYPE_EMAIL','CNT_TYPE_HTML','Account Resumption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&lt;/html&gt;','28','Notification to SP L1(s) for account registration rejection','A','SYS',NOW(),'SYS',NOW());</v>
      </c>
      <c r="L32" s="3" t="str">
        <f t="shared" si="2"/>
        <v>INSERT INTO `T_CORE_NOTIFICATION_TEMPLATE`(`NTPL_ID`,`NTPL_APPSCODE`,`NTPL_CHANNEL_TYPE`,`NTPL_CONTENT_TYPE`,`NTPL_SUBJECT`,`NTPL_TEMPALTE`,`NTPL_SEQ`,`NTPL_DESC`,`NTPL_STATUS`,`NTPL_UID_CREATE`,`NTPL_DT_CREATE`,`NTPL_UID_LUPD`,`NTPL_DT_LUPD`)  VALUES('CKT_NTL_0028','CKT','CHN_TYPE_EMAIL','CNT_TYPE_HTML','Account Resumption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&lt;/html&gt;','28','Notification to SP L1(s) for account registration rejection','A','SYS',NOW(),'SYS',NOW());</v>
      </c>
    </row>
    <row r="33" spans="1:12" x14ac:dyDescent="0.2">
      <c r="A33" t="s">
        <v>900</v>
      </c>
      <c r="B33" t="s">
        <v>14</v>
      </c>
      <c r="C33" t="s">
        <v>782</v>
      </c>
      <c r="D33" t="s">
        <v>783</v>
      </c>
      <c r="E33" t="s">
        <v>901</v>
      </c>
      <c r="F33" t="s">
        <v>902</v>
      </c>
      <c r="G33">
        <v>29</v>
      </c>
      <c r="H33" t="s">
        <v>903</v>
      </c>
      <c r="I33" t="s">
        <v>7</v>
      </c>
      <c r="J33" t="str">
        <f t="shared" si="0"/>
        <v xml:space="preserve">INSERT INTO `T_CORE_NOTIFICATION_TEMPLATE`(`NTPL_ID`,`NTPL_APPSCODE`,`NTPL_CHANNEL_TYPE`,`NTPL_CONTENT_TYPE`,`NTPL_SUBJECT`,`NTPL_TEMPALTE`,`NTPL_SEQ`,`NTPL_DESC`,`NTPL_STATUS`,`NTPL_UID_CREATE`,`NTPL_DT_CREATE`,`NTPL_UID_LUPD`,`NTPL_DT_LUPD`) </v>
      </c>
      <c r="K33" t="str">
        <f t="shared" ref="K33" si="13">CONCATENATE(" VALUES('",A33,"','",B33,"','",C33,"','",D33,"','",E33,"','",F33,"','",G33,"','",H33,"','",I33,"','SYS',NOW(),'SYS',NOW());")</f>
        <v xml:space="preserve"> VALUES('CKT_NTL_0029','CKT','CHN_TYPE_EMAIL','CNT_TYPE_HTML','Contract Update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&lt;/html&gt;','29','Notification to SP Finance Head(s) for contract update','A','SYS',NOW(),'SYS',NOW());</v>
      </c>
      <c r="L33" s="3" t="str">
        <f t="shared" si="2"/>
        <v>INSERT INTO `T_CORE_NOTIFICATION_TEMPLATE`(`NTPL_ID`,`NTPL_APPSCODE`,`NTPL_CHANNEL_TYPE`,`NTPL_CONTENT_TYPE`,`NTPL_SUBJECT`,`NTPL_TEMPALTE`,`NTPL_SEQ`,`NTPL_DESC`,`NTPL_STATUS`,`NTPL_UID_CREATE`,`NTPL_DT_CREATE`,`NTPL_UID_LUPD`,`NTPL_DT_LUPD`)  VALUES('CKT_NTL_0029','CKT','CHN_TYPE_EMAIL','CNT_TYPE_HTML','Contract Update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&lt;/html&gt;','29','Notification to SP Finance Head(s) for contract update','A','SYS',NOW(),'SYS',NOW());</v>
      </c>
    </row>
    <row r="34" spans="1:12" x14ac:dyDescent="0.2">
      <c r="A34" t="s">
        <v>904</v>
      </c>
      <c r="B34" t="s">
        <v>14</v>
      </c>
      <c r="C34" t="s">
        <v>782</v>
      </c>
      <c r="D34" t="s">
        <v>783</v>
      </c>
      <c r="E34" t="s">
        <v>905</v>
      </c>
      <c r="F34" t="s">
        <v>906</v>
      </c>
      <c r="G34">
        <v>30</v>
      </c>
      <c r="H34" t="s">
        <v>907</v>
      </c>
      <c r="I34" t="s">
        <v>7</v>
      </c>
      <c r="J34" t="str">
        <f t="shared" si="0"/>
        <v xml:space="preserve">INSERT INTO `T_CORE_NOTIFICATION_TEMPLATE`(`NTPL_ID`,`NTPL_APPSCODE`,`NTPL_CHANNEL_TYPE`,`NTPL_CONTENT_TYPE`,`NTPL_SUBJECT`,`NTPL_TEMPALTE`,`NTPL_SEQ`,`NTPL_DESC`,`NTPL_STATUS`,`NTPL_UID_CREATE`,`NTPL_DT_CREATE`,`NTPL_UID_LUPD`,`NTPL_DT_LUPD`) </v>
      </c>
      <c r="K34" t="str">
        <f t="shared" ref="K34" si="14">CONCATENATE(" VALUES('",A34,"','",B34,"','",C34,"','",D34,"','",E34,"','",F34,"','",G34,"','",H34,"','",I34,"','SYS',NOW(),'SYS',NOW());")</f>
        <v xml:space="preserve"> VALUES('CKT_NTL_0030','CKT','CHN_TYPE_EMAIL','CNT_TYPE_HTML','Contract Update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&lt;/html&gt;','30','Notification to SP L1(s)  for contract update approval','A','SYS',NOW(),'SYS',NOW());</v>
      </c>
      <c r="L34" s="3" t="str">
        <f t="shared" si="2"/>
        <v>INSERT INTO `T_CORE_NOTIFICATION_TEMPLATE`(`NTPL_ID`,`NTPL_APPSCODE`,`NTPL_CHANNEL_TYPE`,`NTPL_CONTENT_TYPE`,`NTPL_SUBJECT`,`NTPL_TEMPALTE`,`NTPL_SEQ`,`NTPL_DESC`,`NTPL_STATUS`,`NTPL_UID_CREATE`,`NTPL_DT_CREATE`,`NTPL_UID_LUPD`,`NTPL_DT_LUPD`)  VALUES('CKT_NTL_0030','CKT','CHN_TYPE_EMAIL','CNT_TYPE_HTML','Contract Update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&lt;/html&gt;','30','Notification to SP L1(s)  for contract update approval','A','SYS',NOW(),'SYS',NOW());</v>
      </c>
    </row>
    <row r="35" spans="1:12" x14ac:dyDescent="0.2">
      <c r="A35" t="s">
        <v>908</v>
      </c>
      <c r="B35" t="s">
        <v>14</v>
      </c>
      <c r="C35" t="s">
        <v>782</v>
      </c>
      <c r="D35" t="s">
        <v>783</v>
      </c>
      <c r="E35" t="s">
        <v>909</v>
      </c>
      <c r="F35" t="s">
        <v>910</v>
      </c>
      <c r="G35">
        <v>31</v>
      </c>
      <c r="H35" t="s">
        <v>911</v>
      </c>
      <c r="I35" t="s">
        <v>7</v>
      </c>
      <c r="J35" t="str">
        <f t="shared" si="0"/>
        <v xml:space="preserve">INSERT INTO `T_CORE_NOTIFICATION_TEMPLATE`(`NTPL_ID`,`NTPL_APPSCODE`,`NTPL_CHANNEL_TYPE`,`NTPL_CONTENT_TYPE`,`NTPL_SUBJECT`,`NTPL_TEMPALTE`,`NTPL_SEQ`,`NTPL_DESC`,`NTPL_STATUS`,`NTPL_UID_CREATE`,`NTPL_DT_CREATE`,`NTPL_UID_LUPD`,`NTPL_DT_LUPD`) </v>
      </c>
      <c r="K35" t="str">
        <f t="shared" ref="K35" si="15">CONCATENATE(" VALUES('",A35,"','",B35,"','",C35,"','",D35,"','",E35,"','",F35,"','",G35,"','",H35,"','",I35,"','SYS',NOW(),'SYS',NOW());")</f>
        <v xml:space="preserve"> VALUES('CKT_NTL_0031','CKT','CHN_TYPE_EMAIL','CNT_TYPE_HTML','Contract Update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&lt;/html&gt;','31','Notification to SP L1(s)  for contract update rejection','A','SYS',NOW(),'SYS',NOW());</v>
      </c>
      <c r="L35" s="3" t="str">
        <f t="shared" si="2"/>
        <v>INSERT INTO `T_CORE_NOTIFICATION_TEMPLATE`(`NTPL_ID`,`NTPL_APPSCODE`,`NTPL_CHANNEL_TYPE`,`NTPL_CONTENT_TYPE`,`NTPL_SUBJECT`,`NTPL_TEMPALTE`,`NTPL_SEQ`,`NTPL_DESC`,`NTPL_STATUS`,`NTPL_UID_CREATE`,`NTPL_DT_CREATE`,`NTPL_UID_LUPD`,`NTPL_DT_LUPD`)  VALUES('CKT_NTL_0031','CKT','CHN_TYPE_EMAIL','CNT_TYPE_HTML','Contract Update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&lt;/html&gt;','31','Notification to SP L1(s)  for contract update rejection','A','SYS',NOW(),'SYS',NOW());</v>
      </c>
    </row>
    <row r="36" spans="1:12" x14ac:dyDescent="0.2">
      <c r="A36" t="s">
        <v>912</v>
      </c>
      <c r="B36" t="s">
        <v>14</v>
      </c>
      <c r="C36" t="s">
        <v>782</v>
      </c>
      <c r="D36" t="s">
        <v>783</v>
      </c>
      <c r="E36" t="s">
        <v>913</v>
      </c>
      <c r="F36" t="s">
        <v>914</v>
      </c>
      <c r="G36">
        <v>32</v>
      </c>
      <c r="H36" t="s">
        <v>915</v>
      </c>
      <c r="I36" t="s">
        <v>7</v>
      </c>
      <c r="J36" t="str">
        <f t="shared" si="0"/>
        <v xml:space="preserve">INSERT INTO `T_CORE_NOTIFICATION_TEMPLATE`(`NTPL_ID`,`NTPL_APPSCODE`,`NTPL_CHANNEL_TYPE`,`NTPL_CONTENT_TYPE`,`NTPL_SUBJECT`,`NTPL_TEMPALTE`,`NTPL_SEQ`,`NTPL_DESC`,`NTPL_STATUS`,`NTPL_UID_CREATE`,`NTPL_DT_CREATE`,`NTPL_UID_LUPD`,`NTPL_DT_LUPD`) </v>
      </c>
      <c r="K36" t="str">
        <f t="shared" ref="K36" si="16">CONCATENATE(" VALUES('",A36,"','",B36,"','",C36,"','",D36,"','",E36,"','",F36,"','",G36,"','",H36,"','",I36,"','SYS',NOW(),'SYS',NOW());")</f>
        <v xml:space="preserve"> VALUES('CKT_NTL_0032','CKT','CHN_TYPE_EMAIL','CNT_TYPE_HTML','Contract Renewal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&lt;/html&gt;','32','Notification to SP Finance Head(s) for contract renewal','A','SYS',NOW(),'SYS',NOW());</v>
      </c>
      <c r="L36" s="3" t="str">
        <f t="shared" si="2"/>
        <v>INSERT INTO `T_CORE_NOTIFICATION_TEMPLATE`(`NTPL_ID`,`NTPL_APPSCODE`,`NTPL_CHANNEL_TYPE`,`NTPL_CONTENT_TYPE`,`NTPL_SUBJECT`,`NTPL_TEMPALTE`,`NTPL_SEQ`,`NTPL_DESC`,`NTPL_STATUS`,`NTPL_UID_CREATE`,`NTPL_DT_CREATE`,`NTPL_UID_LUPD`,`NTPL_DT_LUPD`)  VALUES('CKT_NTL_0032','CKT','CHN_TYPE_EMAIL','CNT_TYPE_HTML','Contract Renewal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&lt;/html&gt;','32','Notification to SP Finance Head(s) for contract renewal','A','SYS',NOW(),'SYS',NOW());</v>
      </c>
    </row>
    <row r="37" spans="1:12" x14ac:dyDescent="0.2">
      <c r="A37" t="s">
        <v>916</v>
      </c>
      <c r="B37" t="s">
        <v>14</v>
      </c>
      <c r="C37" t="s">
        <v>782</v>
      </c>
      <c r="D37" t="s">
        <v>783</v>
      </c>
      <c r="E37" t="s">
        <v>917</v>
      </c>
      <c r="F37" t="s">
        <v>918</v>
      </c>
      <c r="G37">
        <v>33</v>
      </c>
      <c r="H37" t="s">
        <v>919</v>
      </c>
      <c r="I37" t="s">
        <v>7</v>
      </c>
      <c r="J37" t="str">
        <f t="shared" si="0"/>
        <v xml:space="preserve">INSERT INTO `T_CORE_NOTIFICATION_TEMPLATE`(`NTPL_ID`,`NTPL_APPSCODE`,`NTPL_CHANNEL_TYPE`,`NTPL_CONTENT_TYPE`,`NTPL_SUBJECT`,`NTPL_TEMPALTE`,`NTPL_SEQ`,`NTPL_DESC`,`NTPL_STATUS`,`NTPL_UID_CREATE`,`NTPL_DT_CREATE`,`NTPL_UID_LUPD`,`NTPL_DT_LUPD`) </v>
      </c>
      <c r="K37" t="str">
        <f t="shared" ref="K37" si="17">CONCATENATE(" VALUES('",A37,"','",B37,"','",C37,"','",D37,"','",E37,"','",F37,"','",G37,"','",H37,"','",I37,"','SYS',NOW(),'SYS',NOW());")</f>
        <v xml:space="preserve"> VALUES('CKT_NTL_0033','CKT','CHN_TYPE_EMAIL','CNT_TYPE_HTML','Contract Renewal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&lt;/html&gt;','33','Notification to SP L1(s)  for contract renewal approval','A','SYS',NOW(),'SYS',NOW());</v>
      </c>
      <c r="L37" s="3" t="str">
        <f t="shared" si="2"/>
        <v>INSERT INTO `T_CORE_NOTIFICATION_TEMPLATE`(`NTPL_ID`,`NTPL_APPSCODE`,`NTPL_CHANNEL_TYPE`,`NTPL_CONTENT_TYPE`,`NTPL_SUBJECT`,`NTPL_TEMPALTE`,`NTPL_SEQ`,`NTPL_DESC`,`NTPL_STATUS`,`NTPL_UID_CREATE`,`NTPL_DT_CREATE`,`NTPL_UID_LUPD`,`NTPL_DT_LUPD`)  VALUES('CKT_NTL_0033','CKT','CHN_TYPE_EMAIL','CNT_TYPE_HTML','Contract Renewal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&lt;/html&gt;','33','Notification to SP L1(s)  for contract renewal approval','A','SYS',NOW(),'SYS',NOW());</v>
      </c>
    </row>
    <row r="38" spans="1:12" x14ac:dyDescent="0.2">
      <c r="A38" t="s">
        <v>920</v>
      </c>
      <c r="B38" t="s">
        <v>14</v>
      </c>
      <c r="C38" t="s">
        <v>782</v>
      </c>
      <c r="D38" t="s">
        <v>783</v>
      </c>
      <c r="E38" t="s">
        <v>921</v>
      </c>
      <c r="F38" t="s">
        <v>922</v>
      </c>
      <c r="G38">
        <v>34</v>
      </c>
      <c r="H38" t="s">
        <v>923</v>
      </c>
      <c r="I38" t="s">
        <v>7</v>
      </c>
      <c r="J38" t="str">
        <f t="shared" si="0"/>
        <v xml:space="preserve">INSERT INTO `T_CORE_NOTIFICATION_TEMPLATE`(`NTPL_ID`,`NTPL_APPSCODE`,`NTPL_CHANNEL_TYPE`,`NTPL_CONTENT_TYPE`,`NTPL_SUBJECT`,`NTPL_TEMPALTE`,`NTPL_SEQ`,`NTPL_DESC`,`NTPL_STATUS`,`NTPL_UID_CREATE`,`NTPL_DT_CREATE`,`NTPL_UID_LUPD`,`NTPL_DT_LUPD`) </v>
      </c>
      <c r="K38" t="str">
        <f t="shared" ref="K38" si="18">CONCATENATE(" VALUES('",A38,"','",B38,"','",C38,"','",D38,"','",E38,"','",F38,"','",G38,"','",H38,"','",I38,"','SYS',NOW(),'SYS',NOW());")</f>
        <v xml:space="preserve"> VALUES('CKT_NTL_0034','CKT','CHN_TYPE_EMAIL','CNT_TYPE_HTML','Contract Renewal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&lt;/html&gt;','34','Notification to SP L1(s)  for contract renewal rejection','A','SYS',NOW(),'SYS',NOW());</v>
      </c>
      <c r="L38" s="3" t="str">
        <f t="shared" si="2"/>
        <v>INSERT INTO `T_CORE_NOTIFICATION_TEMPLATE`(`NTPL_ID`,`NTPL_APPSCODE`,`NTPL_CHANNEL_TYPE`,`NTPL_CONTENT_TYPE`,`NTPL_SUBJECT`,`NTPL_TEMPALTE`,`NTPL_SEQ`,`NTPL_DESC`,`NTPL_STATUS`,`NTPL_UID_CREATE`,`NTPL_DT_CREATE`,`NTPL_UID_LUPD`,`NTPL_DT_LUPD`)  VALUES('CKT_NTL_0034','CKT','CHN_TYPE_EMAIL','CNT_TYPE_HTML','Contract Renewal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&lt;/html&gt;','34','Notification to SP L1(s)  for contract renewal rejection','A','SYS',NOW(),'SYS',NOW());</v>
      </c>
    </row>
    <row r="39" spans="1:12" x14ac:dyDescent="0.2">
      <c r="A39" t="s">
        <v>924</v>
      </c>
      <c r="B39" t="s">
        <v>14</v>
      </c>
      <c r="C39" t="s">
        <v>782</v>
      </c>
      <c r="D39" t="s">
        <v>783</v>
      </c>
      <c r="E39" t="s">
        <v>925</v>
      </c>
      <c r="F39" t="s">
        <v>926</v>
      </c>
      <c r="G39">
        <v>35</v>
      </c>
      <c r="H39" t="s">
        <v>927</v>
      </c>
      <c r="I39" t="s">
        <v>7</v>
      </c>
      <c r="J39" t="str">
        <f t="shared" si="0"/>
        <v xml:space="preserve">INSERT INTO `T_CORE_NOTIFICATION_TEMPLATE`(`NTPL_ID`,`NTPL_APPSCODE`,`NTPL_CHANNEL_TYPE`,`NTPL_CONTENT_TYPE`,`NTPL_SUBJECT`,`NTPL_TEMPALTE`,`NTPL_SEQ`,`NTPL_DESC`,`NTPL_STATUS`,`NTPL_UID_CREATE`,`NTPL_DT_CREATE`,`NTPL_UID_LUPD`,`NTPL_DT_LUPD`) </v>
      </c>
      <c r="K39" t="str">
        <f t="shared" ref="K39" si="19">CONCATENATE(" VALUES('",A39,"','",B39,"','",C39,"','",D39,"','",E39,"','",F39,"','",G39,"','",H39,"','",I39,"','SYS',NOW(),'SYS',NOW());")</f>
        <v xml:space="preserve"> VALUES('CKT_NTL_0035','CKT','CHN_TYPE_EMAIL','CNT_TYPE_HTML','New Contract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&lt;/html&gt;','35','Notification to SP Finance Head(s) for new contract','A','SYS',NOW(),'SYS',NOW());</v>
      </c>
      <c r="L39" s="3" t="str">
        <f t="shared" si="2"/>
        <v>INSERT INTO `T_CORE_NOTIFICATION_TEMPLATE`(`NTPL_ID`,`NTPL_APPSCODE`,`NTPL_CHANNEL_TYPE`,`NTPL_CONTENT_TYPE`,`NTPL_SUBJECT`,`NTPL_TEMPALTE`,`NTPL_SEQ`,`NTPL_DESC`,`NTPL_STATUS`,`NTPL_UID_CREATE`,`NTPL_DT_CREATE`,`NTPL_UID_LUPD`,`NTPL_DT_LUPD`)  VALUES('CKT_NTL_0035','CKT','CHN_TYPE_EMAIL','CNT_TYPE_HTML','New Contract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&lt;/html&gt;','35','Notification to SP Finance Head(s) for new contract','A','SYS',NOW(),'SYS',NOW());</v>
      </c>
    </row>
    <row r="40" spans="1:12" x14ac:dyDescent="0.2">
      <c r="A40" t="s">
        <v>928</v>
      </c>
      <c r="B40" t="s">
        <v>14</v>
      </c>
      <c r="C40" t="s">
        <v>782</v>
      </c>
      <c r="D40" t="s">
        <v>783</v>
      </c>
      <c r="E40" t="s">
        <v>929</v>
      </c>
      <c r="F40" t="s">
        <v>930</v>
      </c>
      <c r="G40">
        <v>36</v>
      </c>
      <c r="H40" t="s">
        <v>931</v>
      </c>
      <c r="I40" t="s">
        <v>7</v>
      </c>
      <c r="J40" t="str">
        <f t="shared" si="0"/>
        <v xml:space="preserve">INSERT INTO `T_CORE_NOTIFICATION_TEMPLATE`(`NTPL_ID`,`NTPL_APPSCODE`,`NTPL_CHANNEL_TYPE`,`NTPL_CONTENT_TYPE`,`NTPL_SUBJECT`,`NTPL_TEMPALTE`,`NTPL_SEQ`,`NTPL_DESC`,`NTPL_STATUS`,`NTPL_UID_CREATE`,`NTPL_DT_CREATE`,`NTPL_UID_LUPD`,`NTPL_DT_LUPD`) </v>
      </c>
      <c r="K40" t="str">
        <f t="shared" ref="K40" si="20">CONCATENATE(" VALUES('",A40,"','",B40,"','",C40,"','",D40,"','",E40,"','",F40,"','",G40,"','",H40,"','",I40,"','SYS',NOW(),'SYS',NOW());")</f>
        <v xml:space="preserve"> VALUES('CKT_NTL_0036','CKT','CHN_TYPE_EMAIL','CNT_TYPE_HTML','New Contract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&lt;/html&gt;','36','Notification to SP L1(s)  for new contract approval','A','SYS',NOW(),'SYS',NOW());</v>
      </c>
      <c r="L40" s="3" t="str">
        <f t="shared" si="2"/>
        <v>INSERT INTO `T_CORE_NOTIFICATION_TEMPLATE`(`NTPL_ID`,`NTPL_APPSCODE`,`NTPL_CHANNEL_TYPE`,`NTPL_CONTENT_TYPE`,`NTPL_SUBJECT`,`NTPL_TEMPALTE`,`NTPL_SEQ`,`NTPL_DESC`,`NTPL_STATUS`,`NTPL_UID_CREATE`,`NTPL_DT_CREATE`,`NTPL_UID_LUPD`,`NTPL_DT_LUPD`)  VALUES('CKT_NTL_0036','CKT','CHN_TYPE_EMAIL','CNT_TYPE_HTML','New Contract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&lt;/html&gt;','36','Notification to SP L1(s)  for new contract approval','A','SYS',NOW(),'SYS',NOW());</v>
      </c>
    </row>
    <row r="41" spans="1:12" x14ac:dyDescent="0.2">
      <c r="A41" t="s">
        <v>932</v>
      </c>
      <c r="B41" t="s">
        <v>14</v>
      </c>
      <c r="C41" t="s">
        <v>782</v>
      </c>
      <c r="D41" t="s">
        <v>783</v>
      </c>
      <c r="E41" t="s">
        <v>933</v>
      </c>
      <c r="F41" t="s">
        <v>934</v>
      </c>
      <c r="G41">
        <v>37</v>
      </c>
      <c r="H41" t="s">
        <v>935</v>
      </c>
      <c r="I41" t="s">
        <v>7</v>
      </c>
      <c r="J41" t="str">
        <f t="shared" si="0"/>
        <v xml:space="preserve">INSERT INTO `T_CORE_NOTIFICATION_TEMPLATE`(`NTPL_ID`,`NTPL_APPSCODE`,`NTPL_CHANNEL_TYPE`,`NTPL_CONTENT_TYPE`,`NTPL_SUBJECT`,`NTPL_TEMPALTE`,`NTPL_SEQ`,`NTPL_DESC`,`NTPL_STATUS`,`NTPL_UID_CREATE`,`NTPL_DT_CREATE`,`NTPL_UID_LUPD`,`NTPL_DT_LUPD`) </v>
      </c>
      <c r="K41" t="str">
        <f t="shared" ref="K41" si="21">CONCATENATE(" VALUES('",A41,"','",B41,"','",C41,"','",D41,"','",E41,"','",F41,"','",G41,"','",H41,"','",I41,"','SYS',NOW(),'SYS',NOW());")</f>
        <v xml:space="preserve"> VALUES('CKT_NTL_0037','CKT','CHN_TYPE_EMAIL','CNT_TYPE_HTML','New Contract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&lt;/html&gt;','37','Notification to SP L1(s)  for new contract rejection','A','SYS',NOW(),'SYS',NOW());</v>
      </c>
      <c r="L41" s="3" t="str">
        <f t="shared" si="2"/>
        <v>INSERT INTO `T_CORE_NOTIFICATION_TEMPLATE`(`NTPL_ID`,`NTPL_APPSCODE`,`NTPL_CHANNEL_TYPE`,`NTPL_CONTENT_TYPE`,`NTPL_SUBJECT`,`NTPL_TEMPALTE`,`NTPL_SEQ`,`NTPL_DESC`,`NTPL_STATUS`,`NTPL_UID_CREATE`,`NTPL_DT_CREATE`,`NTPL_UID_LUPD`,`NTPL_DT_LUPD`)  VALUES('CKT_NTL_0037','CKT','CHN_TYPE_EMAIL','CNT_TYPE_HTML','New Contract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&lt;/html&gt;','37','Notification to SP L1(s)  for new contract rejection','A','SYS',NOW(),'SYS',NOW());</v>
      </c>
    </row>
    <row r="42" spans="1:12" x14ac:dyDescent="0.2">
      <c r="A42" t="s">
        <v>936</v>
      </c>
      <c r="B42" t="s">
        <v>14</v>
      </c>
      <c r="C42" t="s">
        <v>782</v>
      </c>
      <c r="D42" t="s">
        <v>783</v>
      </c>
      <c r="E42" t="s">
        <v>937</v>
      </c>
      <c r="F42" t="s">
        <v>938</v>
      </c>
      <c r="G42">
        <v>38</v>
      </c>
      <c r="H42" t="s">
        <v>939</v>
      </c>
      <c r="I42" t="s">
        <v>7</v>
      </c>
      <c r="J42" t="str">
        <f t="shared" si="0"/>
        <v xml:space="preserve">INSERT INTO `T_CORE_NOTIFICATION_TEMPLATE`(`NTPL_ID`,`NTPL_APPSCODE`,`NTPL_CHANNEL_TYPE`,`NTPL_CONTENT_TYPE`,`NTPL_SUBJECT`,`NTPL_TEMPALTE`,`NTPL_SEQ`,`NTPL_DESC`,`NTPL_STATUS`,`NTPL_UID_CREATE`,`NTPL_DT_CREATE`,`NTPL_UID_LUPD`,`NTPL_DT_LUPD`) </v>
      </c>
      <c r="K42" t="str">
        <f t="shared" ref="K42" si="22">CONCATENATE(" VALUES('",A42,"','",B42,"','",C42,"','",D42,"','",E42,"','",F42,"','",G42,"','",H42,"','",I42,"','SYS',NOW(),'SYS',NOW());")</f>
        <v xml:space="preserve"> VALUES('CKT_NTL_0038','CKT','CHN_TYPE_EMAIL','CNT_TYPE_HTML','New Rate Table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&lt;/html&gt;','38','Notification to SP L1(s)  for new rate table submitted by TO','A','SYS',NOW(),'SYS',NOW());</v>
      </c>
      <c r="L42" s="3" t="str">
        <f t="shared" si="2"/>
        <v>INSERT INTO `T_CORE_NOTIFICATION_TEMPLATE`(`NTPL_ID`,`NTPL_APPSCODE`,`NTPL_CHANNEL_TYPE`,`NTPL_CONTENT_TYPE`,`NTPL_SUBJECT`,`NTPL_TEMPALTE`,`NTPL_SEQ`,`NTPL_DESC`,`NTPL_STATUS`,`NTPL_UID_CREATE`,`NTPL_DT_CREATE`,`NTPL_UID_LUPD`,`NTPL_DT_LUPD`)  VALUES('CKT_NTL_0038','CKT','CHN_TYPE_EMAIL','CNT_TYPE_HTML','New Rate Table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&lt;/html&gt;','38','Notification to SP L1(s)  for new rate table submitted by TO','A','SYS',NOW(),'SYS',NOW());</v>
      </c>
    </row>
    <row r="43" spans="1:12" x14ac:dyDescent="0.2">
      <c r="A43" t="s">
        <v>940</v>
      </c>
      <c r="B43" t="s">
        <v>14</v>
      </c>
      <c r="C43" t="s">
        <v>782</v>
      </c>
      <c r="D43" t="s">
        <v>783</v>
      </c>
      <c r="E43" t="s">
        <v>941</v>
      </c>
      <c r="F43" t="s">
        <v>942</v>
      </c>
      <c r="G43">
        <v>39</v>
      </c>
      <c r="H43" t="s">
        <v>943</v>
      </c>
      <c r="I43" t="s">
        <v>7</v>
      </c>
      <c r="J43" t="str">
        <f t="shared" si="0"/>
        <v xml:space="preserve">INSERT INTO `T_CORE_NOTIFICATION_TEMPLATE`(`NTPL_ID`,`NTPL_APPSCODE`,`NTPL_CHANNEL_TYPE`,`NTPL_CONTENT_TYPE`,`NTPL_SUBJECT`,`NTPL_TEMPALTE`,`NTPL_SEQ`,`NTPL_DESC`,`NTPL_STATUS`,`NTPL_UID_CREATE`,`NTPL_DT_CREATE`,`NTPL_UID_LUPD`,`NTPL_DT_LUPD`) </v>
      </c>
      <c r="K43" t="str">
        <f t="shared" ref="K43:K44" si="23">CONCATENATE(" VALUES('",A43,"','",B43,"','",C43,"','",D43,"','",E43,"','",F43,"','",G43,"','",H43,"','",I43,"','SYS',NOW(),'SYS',NOW());")</f>
        <v xml:space="preserve"> VALUES('CKT_NTL_0039','CKT','CHN_TYPE_EMAIL','CNT_TYPE_HTML','New Rate Table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&lt;/html&gt;','39','Notification to SP Finance Head(s)  for new rate table verified by SP L1 and for approval','A','SYS',NOW(),'SYS',NOW());</v>
      </c>
      <c r="L43" s="3" t="str">
        <f t="shared" si="2"/>
        <v>INSERT INTO `T_CORE_NOTIFICATION_TEMPLATE`(`NTPL_ID`,`NTPL_APPSCODE`,`NTPL_CHANNEL_TYPE`,`NTPL_CONTENT_TYPE`,`NTPL_SUBJECT`,`NTPL_TEMPALTE`,`NTPL_SEQ`,`NTPL_DESC`,`NTPL_STATUS`,`NTPL_UID_CREATE`,`NTPL_DT_CREATE`,`NTPL_UID_LUPD`,`NTPL_DT_LUPD`)  VALUES('CKT_NTL_0039','CKT','CHN_TYPE_EMAIL','CNT_TYPE_HTML','New Rate Table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&lt;/html&gt;','39','Notification to SP Finance Head(s)  for new rate table verified by SP L1 and for approval','A','SYS',NOW(),'SYS',NOW());</v>
      </c>
    </row>
    <row r="44" spans="1:12" x14ac:dyDescent="0.2">
      <c r="A44" t="s">
        <v>944</v>
      </c>
      <c r="B44" t="s">
        <v>14</v>
      </c>
      <c r="C44" t="s">
        <v>782</v>
      </c>
      <c r="D44" t="s">
        <v>783</v>
      </c>
      <c r="E44" t="s">
        <v>945</v>
      </c>
      <c r="F44" t="s">
        <v>946</v>
      </c>
      <c r="G44">
        <v>40</v>
      </c>
      <c r="H44" t="s">
        <v>947</v>
      </c>
      <c r="I44" t="s">
        <v>7</v>
      </c>
      <c r="J44" t="str">
        <f t="shared" si="0"/>
        <v xml:space="preserve">INSERT INTO `T_CORE_NOTIFICATION_TEMPLATE`(`NTPL_ID`,`NTPL_APPSCODE`,`NTPL_CHANNEL_TYPE`,`NTPL_CONTENT_TYPE`,`NTPL_SUBJECT`,`NTPL_TEMPALTE`,`NTPL_SEQ`,`NTPL_DESC`,`NTPL_STATUS`,`NTPL_UID_CREATE`,`NTPL_DT_CREATE`,`NTPL_UID_LUPD`,`NTPL_DT_LUPD`) </v>
      </c>
      <c r="K44" t="str">
        <f t="shared" si="23"/>
        <v xml:space="preserve"> VALUES('CKT_NTL_0040','CKT','CHN_TYPE_EMAIL','CNT_TYPE_HTML','New Rate Table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&lt;/html&gt;','40','Notification to TO when rate table is approved by Finance','A','SYS',NOW(),'SYS',NOW());</v>
      </c>
      <c r="L44" s="3" t="str">
        <f t="shared" si="2"/>
        <v>INSERT INTO `T_CORE_NOTIFICATION_TEMPLATE`(`NTPL_ID`,`NTPL_APPSCODE`,`NTPL_CHANNEL_TYPE`,`NTPL_CONTENT_TYPE`,`NTPL_SUBJECT`,`NTPL_TEMPALTE`,`NTPL_SEQ`,`NTPL_DESC`,`NTPL_STATUS`,`NTPL_UID_CREATE`,`NTPL_DT_CREATE`,`NTPL_UID_LUPD`,`NTPL_DT_LUPD`)  VALUES('CKT_NTL_0040','CKT','CHN_TYPE_EMAIL','CNT_TYPE_HTML','New Rate Table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&lt;/html&gt;','40','Notification to TO when rate table is approved by Finance','A','SYS',NOW(),'SYS',NOW());</v>
      </c>
    </row>
    <row r="45" spans="1:12" x14ac:dyDescent="0.2">
      <c r="A45" t="s">
        <v>948</v>
      </c>
      <c r="B45" t="s">
        <v>14</v>
      </c>
      <c r="C45" t="s">
        <v>782</v>
      </c>
      <c r="D45" t="s">
        <v>783</v>
      </c>
      <c r="E45" t="s">
        <v>949</v>
      </c>
      <c r="F45" t="s">
        <v>950</v>
      </c>
      <c r="G45">
        <v>41</v>
      </c>
      <c r="H45" t="s">
        <v>951</v>
      </c>
      <c r="I45" t="s">
        <v>7</v>
      </c>
      <c r="J45" t="str">
        <f t="shared" si="0"/>
        <v xml:space="preserve">INSERT INTO `T_CORE_NOTIFICATION_TEMPLATE`(`NTPL_ID`,`NTPL_APPSCODE`,`NTPL_CHANNEL_TYPE`,`NTPL_CONTENT_TYPE`,`NTPL_SUBJECT`,`NTPL_TEMPALTE`,`NTPL_SEQ`,`NTPL_DESC`,`NTPL_STATUS`,`NTPL_UID_CREATE`,`NTPL_DT_CREATE`,`NTPL_UID_LUPD`,`NTPL_DT_LUPD`) </v>
      </c>
      <c r="K45" t="str">
        <f t="shared" ref="K45" si="24">CONCATENATE(" VALUES('",A45,"','",B45,"','",C45,"','",D45,"','",E45,"','",F45,"','",G45,"','",H45,"','",I45,"','SYS',NOW(),'SYS',NOW());")</f>
        <v xml:space="preserve"> VALUES('CKT_NTL_0041','CKT','CHN_TYPE_EMAIL','CNT_TYPE_HTML','New Rate Table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&lt;/html&gt;','41','Notification to TO when rate table is rejected from L1 or Finance','A','SYS',NOW(),'SYS',NOW());</v>
      </c>
      <c r="L45" s="3" t="str">
        <f t="shared" si="2"/>
        <v>INSERT INTO `T_CORE_NOTIFICATION_TEMPLATE`(`NTPL_ID`,`NTPL_APPSCODE`,`NTPL_CHANNEL_TYPE`,`NTPL_CONTENT_TYPE`,`NTPL_SUBJECT`,`NTPL_TEMPALTE`,`NTPL_SEQ`,`NTPL_DESC`,`NTPL_STATUS`,`NTPL_UID_CREATE`,`NTPL_DT_CREATE`,`NTPL_UID_LUPD`,`NTPL_DT_LUPD`)  VALUES('CKT_NTL_0041','CKT','CHN_TYPE_EMAIL','CNT_TYPE_HTML','New Rate Table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&lt;/html&gt;','41','Notification to TO when rate table is rejected from L1 or Finance','A','SYS',NOW(),'SYS',NOW());</v>
      </c>
    </row>
    <row r="46" spans="1:12" x14ac:dyDescent="0.2">
      <c r="A46" t="s">
        <v>952</v>
      </c>
      <c r="B46" t="s">
        <v>14</v>
      </c>
      <c r="C46" t="s">
        <v>782</v>
      </c>
      <c r="D46" t="s">
        <v>783</v>
      </c>
      <c r="E46" t="s">
        <v>953</v>
      </c>
      <c r="F46" t="s">
        <v>954</v>
      </c>
      <c r="G46">
        <v>42</v>
      </c>
      <c r="H46" t="s">
        <v>955</v>
      </c>
      <c r="I46" t="s">
        <v>7</v>
      </c>
      <c r="J46" t="str">
        <f t="shared" si="0"/>
        <v xml:space="preserve">INSERT INTO `T_CORE_NOTIFICATION_TEMPLATE`(`NTPL_ID`,`NTPL_APPSCODE`,`NTPL_CHANNEL_TYPE`,`NTPL_CONTENT_TYPE`,`NTPL_SUBJECT`,`NTPL_TEMPALTE`,`NTPL_SEQ`,`NTPL_DESC`,`NTPL_STATUS`,`NTPL_UID_CREATE`,`NTPL_DT_CREATE`,`NTPL_UID_LUPD`,`NTPL_DT_LUPD`) </v>
      </c>
      <c r="K46" t="str">
        <f t="shared" ref="K46" si="25">CONCATENATE(" VALUES('",A46,"','",B46,"','",C46,"','",D46,"','",E46,"','",F46,"','",G46,"','",H46,"','",I46,"','SYS',NOW(),'SYS',NOW());")</f>
        <v xml:space="preserve"> VALUES('CKT_NTL_0042','CKT','CHN_TYPE_EMAIL','CNT_TYPE_HTML','Credit Limit Update Request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&lt;/html&gt;','42','Notification to SP Finance Head(s) for credit limit update submitted by SP L1','A','SYS',NOW(),'SYS',NOW());</v>
      </c>
      <c r="L46" s="3" t="str">
        <f t="shared" si="2"/>
        <v>INSERT INTO `T_CORE_NOTIFICATION_TEMPLATE`(`NTPL_ID`,`NTPL_APPSCODE`,`NTPL_CHANNEL_TYPE`,`NTPL_CONTENT_TYPE`,`NTPL_SUBJECT`,`NTPL_TEMPALTE`,`NTPL_SEQ`,`NTPL_DESC`,`NTPL_STATUS`,`NTPL_UID_CREATE`,`NTPL_DT_CREATE`,`NTPL_UID_LUPD`,`NTPL_DT_LUPD`)  VALUES('CKT_NTL_0042','CKT','CHN_TYPE_EMAIL','CNT_TYPE_HTML','Credit Limit Update Request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&lt;/html&gt;','42','Notification to SP Finance Head(s) for credit limit update submitted by SP L1','A','SYS',NOW(),'SYS',NOW());</v>
      </c>
    </row>
    <row r="47" spans="1:12" x14ac:dyDescent="0.2">
      <c r="A47" t="s">
        <v>956</v>
      </c>
      <c r="B47" t="s">
        <v>14</v>
      </c>
      <c r="C47" t="s">
        <v>782</v>
      </c>
      <c r="D47" t="s">
        <v>783</v>
      </c>
      <c r="E47" t="s">
        <v>957</v>
      </c>
      <c r="F47" t="s">
        <v>958</v>
      </c>
      <c r="G47">
        <v>43</v>
      </c>
      <c r="H47" t="s">
        <v>959</v>
      </c>
      <c r="I47" t="s">
        <v>7</v>
      </c>
      <c r="J47" t="str">
        <f t="shared" si="0"/>
        <v xml:space="preserve">INSERT INTO `T_CORE_NOTIFICATION_TEMPLATE`(`NTPL_ID`,`NTPL_APPSCODE`,`NTPL_CHANNEL_TYPE`,`NTPL_CONTENT_TYPE`,`NTPL_SUBJECT`,`NTPL_TEMPALTE`,`NTPL_SEQ`,`NTPL_DESC`,`NTPL_STATUS`,`NTPL_UID_CREATE`,`NTPL_DT_CREATE`,`NTPL_UID_LUPD`,`NTPL_DT_LUPD`) </v>
      </c>
      <c r="K47" t="str">
        <f t="shared" ref="K47" si="26">CONCATENATE(" VALUES('",A47,"','",B47,"','",C47,"','",D47,"','",E47,"','",F47,"','",G47,"','",H47,"','",I47,"','SYS',NOW(),'SYS',NOW());")</f>
        <v xml:space="preserve"> VALUES('CKT_NTL_0043','CKT','CHN_TYPE_EMAIL','CNT_TYPE_HTML','Credit Limit Update Request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&lt;/html&gt;','43','Notification to SP L1 and CO when credit limit update is approved.','A','SYS',NOW(),'SYS',NOW());</v>
      </c>
      <c r="L47" s="3" t="str">
        <f t="shared" si="2"/>
        <v>INSERT INTO `T_CORE_NOTIFICATION_TEMPLATE`(`NTPL_ID`,`NTPL_APPSCODE`,`NTPL_CHANNEL_TYPE`,`NTPL_CONTENT_TYPE`,`NTPL_SUBJECT`,`NTPL_TEMPALTE`,`NTPL_SEQ`,`NTPL_DESC`,`NTPL_STATUS`,`NTPL_UID_CREATE`,`NTPL_DT_CREATE`,`NTPL_UID_LUPD`,`NTPL_DT_LUPD`)  VALUES('CKT_NTL_0043','CKT','CHN_TYPE_EMAIL','CNT_TYPE_HTML','Credit Limit Update Request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&lt;/html&gt;','43','Notification to SP L1 and CO when credit limit update is approved.','A','SYS',NOW(),'SYS',NOW());</v>
      </c>
    </row>
    <row r="48" spans="1:12" x14ac:dyDescent="0.2">
      <c r="A48" t="s">
        <v>960</v>
      </c>
      <c r="B48" t="s">
        <v>14</v>
      </c>
      <c r="C48" t="s">
        <v>782</v>
      </c>
      <c r="D48" t="s">
        <v>783</v>
      </c>
      <c r="E48" t="s">
        <v>961</v>
      </c>
      <c r="F48" t="s">
        <v>962</v>
      </c>
      <c r="G48">
        <v>44</v>
      </c>
      <c r="H48" t="s">
        <v>963</v>
      </c>
      <c r="I48" t="s">
        <v>7</v>
      </c>
      <c r="J48" t="str">
        <f t="shared" si="0"/>
        <v xml:space="preserve">INSERT INTO `T_CORE_NOTIFICATION_TEMPLATE`(`NTPL_ID`,`NTPL_APPSCODE`,`NTPL_CHANNEL_TYPE`,`NTPL_CONTENT_TYPE`,`NTPL_SUBJECT`,`NTPL_TEMPALTE`,`NTPL_SEQ`,`NTPL_DESC`,`NTPL_STATUS`,`NTPL_UID_CREATE`,`NTPL_DT_CREATE`,`NTPL_UID_LUPD`,`NTPL_DT_LUPD`) </v>
      </c>
      <c r="K48" t="str">
        <f t="shared" ref="K48" si="27">CONCATENATE(" VALUES('",A48,"','",B48,"','",C48,"','",D48,"','",E48,"','",F48,"','",G48,"','",H48,"','",I48,"','SYS',NOW(),'SYS',NOW());")</f>
        <v xml:space="preserve"> VALUES('CKT_NTL_0044','CKT','CHN_TYPE_EMAIL','CNT_TYPE_HTML','Credit Limit Updated Activated','&lt;html&gt;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&lt;/html&gt;','44','Notification to SP L1 and CO when credit limit update is activated vai the scheduler.','A','SYS',NOW(),'SYS',NOW());</v>
      </c>
      <c r="L48" s="3" t="str">
        <f t="shared" si="2"/>
        <v>INSERT INTO `T_CORE_NOTIFICATION_TEMPLATE`(`NTPL_ID`,`NTPL_APPSCODE`,`NTPL_CHANNEL_TYPE`,`NTPL_CONTENT_TYPE`,`NTPL_SUBJECT`,`NTPL_TEMPALTE`,`NTPL_SEQ`,`NTPL_DESC`,`NTPL_STATUS`,`NTPL_UID_CREATE`,`NTPL_DT_CREATE`,`NTPL_UID_LUPD`,`NTPL_DT_LUPD`)  VALUES('CKT_NTL_0044','CKT','CHN_TYPE_EMAIL','CNT_TYPE_HTML','Credit Limit Updated Activated','&lt;html&gt;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&lt;/html&gt;','44','Notification to SP L1 and CO when credit limit update is activated vai the scheduler.','A','SYS',NOW(),'SYS',NOW());</v>
      </c>
    </row>
    <row r="49" spans="1:12" x14ac:dyDescent="0.2">
      <c r="A49" t="s">
        <v>964</v>
      </c>
      <c r="B49" t="s">
        <v>14</v>
      </c>
      <c r="C49" t="s">
        <v>782</v>
      </c>
      <c r="D49" t="s">
        <v>783</v>
      </c>
      <c r="E49" t="s">
        <v>965</v>
      </c>
      <c r="F49" t="s">
        <v>966</v>
      </c>
      <c r="G49">
        <v>45</v>
      </c>
      <c r="H49" t="s">
        <v>967</v>
      </c>
      <c r="I49" t="s">
        <v>7</v>
      </c>
      <c r="J49" t="str">
        <f t="shared" si="0"/>
        <v xml:space="preserve">INSERT INTO `T_CORE_NOTIFICATION_TEMPLATE`(`NTPL_ID`,`NTPL_APPSCODE`,`NTPL_CHANNEL_TYPE`,`NTPL_CONTENT_TYPE`,`NTPL_SUBJECT`,`NTPL_TEMPALTE`,`NTPL_SEQ`,`NTPL_DESC`,`NTPL_STATUS`,`NTPL_UID_CREATE`,`NTPL_DT_CREATE`,`NTPL_UID_LUPD`,`NTPL_DT_LUPD`) </v>
      </c>
      <c r="K49" t="str">
        <f t="shared" ref="K49" si="28">CONCATENATE(" VALUES('",A49,"','",B49,"','",C49,"','",D49,"','",E49,"','",F49,"','",G49,"','",H49,"','",I49,"','SYS',NOW(),'SYS',NOW());")</f>
        <v xml:space="preserve"> VALUES('CKT_NTL_0045','CKT','CHN_TYPE_EMAIL','CNT_TYPE_HTML','Credit Limit Update Request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&lt;/html&gt;','45','Notification to SP L1(s) when credit limit update is activated vai the scheduler.','A','SYS',NOW(),'SYS',NOW());</v>
      </c>
      <c r="L49" s="3" t="str">
        <f t="shared" si="2"/>
        <v>INSERT INTO `T_CORE_NOTIFICATION_TEMPLATE`(`NTPL_ID`,`NTPL_APPSCODE`,`NTPL_CHANNEL_TYPE`,`NTPL_CONTENT_TYPE`,`NTPL_SUBJECT`,`NTPL_TEMPALTE`,`NTPL_SEQ`,`NTPL_DESC`,`NTPL_STATUS`,`NTPL_UID_CREATE`,`NTPL_DT_CREATE`,`NTPL_UID_LUPD`,`NTPL_DT_LUPD`)  VALUES('CKT_NTL_0045','CKT','CHN_TYPE_EMAIL','CNT_TYPE_HTML','Credit Limit Update Request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&lt;/html&gt;','45','Notification to SP L1(s) when credit limit update is activated vai the scheduler.','A','SYS',NOW(),'SYS',NOW());</v>
      </c>
    </row>
    <row r="50" spans="1:12" x14ac:dyDescent="0.2">
      <c r="A50" t="s">
        <v>968</v>
      </c>
      <c r="B50" t="s">
        <v>14</v>
      </c>
      <c r="C50" t="s">
        <v>782</v>
      </c>
      <c r="D50" t="s">
        <v>783</v>
      </c>
      <c r="E50" t="s">
        <v>969</v>
      </c>
      <c r="F50" t="s">
        <v>970</v>
      </c>
      <c r="G50">
        <v>46</v>
      </c>
      <c r="H50" t="s">
        <v>971</v>
      </c>
      <c r="I50" t="s">
        <v>7</v>
      </c>
      <c r="J50" t="str">
        <f t="shared" si="0"/>
        <v xml:space="preserve">INSERT INTO `T_CORE_NOTIFICATION_TEMPLATE`(`NTPL_ID`,`NTPL_APPSCODE`,`NTPL_CHANNEL_TYPE`,`NTPL_CONTENT_TYPE`,`NTPL_SUBJECT`,`NTPL_TEMPALTE`,`NTPL_SEQ`,`NTPL_DESC`,`NTPL_STATUS`,`NTPL_UID_CREATE`,`NTPL_DT_CREATE`,`NTPL_UID_LUPD`,`NTPL_DT_LUPD`) </v>
      </c>
      <c r="K50" t="str">
        <f t="shared" ref="K50" si="29">CONCATENATE(" VALUES('",A50,"','",B50,"','",C50,"','",D50,"','",E50,"','",F50,"','",G50,"','",H50,"','",I50,"','SYS',NOW(),'SYS',NOW());")</f>
        <v xml:space="preserve"> VALUES('CKT_NTL_0046','CKT','CHN_TYPE_EMAIL','CNT_TYPE_HTML','Job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&lt;/html&gt;','46','Notification to SP Finance Head(s) when job termination request is submitted for approval','A','SYS',NOW(),'SYS',NOW());</v>
      </c>
      <c r="L50" s="3" t="str">
        <f t="shared" si="2"/>
        <v>INSERT INTO `T_CORE_NOTIFICATION_TEMPLATE`(`NTPL_ID`,`NTPL_APPSCODE`,`NTPL_CHANNEL_TYPE`,`NTPL_CONTENT_TYPE`,`NTPL_SUBJECT`,`NTPL_TEMPALTE`,`NTPL_SEQ`,`NTPL_DESC`,`NTPL_STATUS`,`NTPL_UID_CREATE`,`NTPL_DT_CREATE`,`NTPL_UID_LUPD`,`NTPL_DT_LUPD`)  VALUES('CKT_NTL_0046','CKT','CHN_TYPE_EMAIL','CNT_TYPE_HTML','Job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&lt;/html&gt;','46','Notification to SP Finance Head(s) when job termination request is submitted for approval','A','SYS',NOW(),'SYS',NOW());</v>
      </c>
    </row>
    <row r="51" spans="1:12" x14ac:dyDescent="0.2">
      <c r="A51" t="s">
        <v>972</v>
      </c>
      <c r="B51" t="s">
        <v>14</v>
      </c>
      <c r="C51" t="s">
        <v>782</v>
      </c>
      <c r="D51" t="s">
        <v>783</v>
      </c>
      <c r="E51" t="s">
        <v>973</v>
      </c>
      <c r="F51" t="s">
        <v>974</v>
      </c>
      <c r="G51">
        <v>47</v>
      </c>
      <c r="H51" t="s">
        <v>975</v>
      </c>
      <c r="I51" t="s">
        <v>7</v>
      </c>
      <c r="J51" t="str">
        <f t="shared" si="0"/>
        <v xml:space="preserve">INSERT INTO `T_CORE_NOTIFICATION_TEMPLATE`(`NTPL_ID`,`NTPL_APPSCODE`,`NTPL_CHANNEL_TYPE`,`NTPL_CONTENT_TYPE`,`NTPL_SUBJECT`,`NTPL_TEMPALTE`,`NTPL_SEQ`,`NTPL_DESC`,`NTPL_STATUS`,`NTPL_UID_CREATE`,`NTPL_DT_CREATE`,`NTPL_UID_LUPD`,`NTPL_DT_LUPD`) </v>
      </c>
      <c r="K51" t="str">
        <f t="shared" ref="K51:K53" si="30">CONCATENATE(" VALUES('",A51,"','",B51,"','",C51,"','",D51,"','",E51,"','",F51,"','",G51,"','",H51,"','",I51,"','SYS',NOW(),'SYS',NOW());")</f>
        <v xml:space="preserve"> VALUES('CKT_NTL_0047','CKT','CHN_TYPE_EMAIL','CNT_TYPE_HTML','Job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&lt;/html&gt;','47','Notification to SP L1(s), CO, TO when job termination request is approved','A','SYS',NOW(),'SYS',NOW());</v>
      </c>
      <c r="L51" s="3" t="str">
        <f t="shared" si="2"/>
        <v>INSERT INTO `T_CORE_NOTIFICATION_TEMPLATE`(`NTPL_ID`,`NTPL_APPSCODE`,`NTPL_CHANNEL_TYPE`,`NTPL_CONTENT_TYPE`,`NTPL_SUBJECT`,`NTPL_TEMPALTE`,`NTPL_SEQ`,`NTPL_DESC`,`NTPL_STATUS`,`NTPL_UID_CREATE`,`NTPL_DT_CREATE`,`NTPL_UID_LUPD`,`NTPL_DT_LUPD`)  VALUES('CKT_NTL_0047','CKT','CHN_TYPE_EMAIL','CNT_TYPE_HTML','Job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&lt;/html&gt;','47','Notification to SP L1(s), CO, TO when job termination request is approved','A','SYS',NOW(),'SYS',NOW());</v>
      </c>
    </row>
    <row r="52" spans="1:12" x14ac:dyDescent="0.2">
      <c r="A52" t="s">
        <v>976</v>
      </c>
      <c r="B52" t="s">
        <v>14</v>
      </c>
      <c r="C52" t="s">
        <v>782</v>
      </c>
      <c r="D52" t="s">
        <v>783</v>
      </c>
      <c r="E52" t="s">
        <v>977</v>
      </c>
      <c r="F52" t="s">
        <v>978</v>
      </c>
      <c r="G52">
        <v>48</v>
      </c>
      <c r="H52" t="s">
        <v>979</v>
      </c>
      <c r="I52" t="s">
        <v>7</v>
      </c>
      <c r="J52" t="str">
        <f t="shared" si="0"/>
        <v xml:space="preserve">INSERT INTO `T_CORE_NOTIFICATION_TEMPLATE`(`NTPL_ID`,`NTPL_APPSCODE`,`NTPL_CHANNEL_TYPE`,`NTPL_CONTENT_TYPE`,`NTPL_SUBJECT`,`NTPL_TEMPALTE`,`NTPL_SEQ`,`NTPL_DESC`,`NTPL_STATUS`,`NTPL_UID_CREATE`,`NTPL_DT_CREATE`,`NTPL_UID_LUPD`,`NTPL_DT_LUPD`) </v>
      </c>
      <c r="K52" t="str">
        <f t="shared" si="30"/>
        <v xml:space="preserve"> VALUES('CKT_NTL_0048','CKT','CHN_TYPE_EMAIL','CNT_TYPE_HTML','Job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&lt;/html&gt;','48','Notification to SP L1(s) when job termination request is rejected','A','SYS',NOW(),'SYS',NOW());</v>
      </c>
      <c r="L52" s="3" t="str">
        <f t="shared" si="2"/>
        <v>INSERT INTO `T_CORE_NOTIFICATION_TEMPLATE`(`NTPL_ID`,`NTPL_APPSCODE`,`NTPL_CHANNEL_TYPE`,`NTPL_CONTENT_TYPE`,`NTPL_SUBJECT`,`NTPL_TEMPALTE`,`NTPL_SEQ`,`NTPL_DESC`,`NTPL_STATUS`,`NTPL_UID_CREATE`,`NTPL_DT_CREATE`,`NTPL_UID_LUPD`,`NTPL_DT_LUPD`)  VALUES('CKT_NTL_0048','CKT','CHN_TYPE_EMAIL','CNT_TYPE_HTML','Job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&lt;/html&gt;','48','Notification to SP L1(s) when job termination request is rejected','A','SYS',NOW(),'SYS',NOW());</v>
      </c>
    </row>
    <row r="53" spans="1:12" x14ac:dyDescent="0.2">
      <c r="A53" t="s">
        <v>980</v>
      </c>
      <c r="B53" t="s">
        <v>14</v>
      </c>
      <c r="C53" t="s">
        <v>782</v>
      </c>
      <c r="D53" t="s">
        <v>783</v>
      </c>
      <c r="E53" t="s">
        <v>981</v>
      </c>
      <c r="F53" t="s">
        <v>982</v>
      </c>
      <c r="G53">
        <v>49</v>
      </c>
      <c r="H53" t="s">
        <v>983</v>
      </c>
      <c r="I53" t="s">
        <v>7</v>
      </c>
      <c r="J53" t="str">
        <f t="shared" si="0"/>
        <v xml:space="preserve">INSERT INTO `T_CORE_NOTIFICATION_TEMPLATE`(`NTPL_ID`,`NTPL_APPSCODE`,`NTPL_CHANNEL_TYPE`,`NTPL_CONTENT_TYPE`,`NTPL_SUBJECT`,`NTPL_TEMPALTE`,`NTPL_SEQ`,`NTPL_DESC`,`NTPL_STATUS`,`NTPL_UID_CREATE`,`NTPL_DT_CREATE`,`NTPL_UID_LUPD`,`NTPL_DT_LUPD`) </v>
      </c>
      <c r="K53" t="str">
        <f t="shared" si="30"/>
        <v xml:space="preserve"> VALUES('CKT_NTL_0049','CKT','CHN_TYPE_EMAIL','CNT_TYPE_HTML','Account Suspensed Due To Contract Expiry','&lt;html&gt;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&lt;/html&gt;','49','Notification to CO when account is suspended by scheduler due to contract has expired','A','SYS',NOW(),'SYS',NOW());</v>
      </c>
      <c r="L53" s="3" t="str">
        <f t="shared" si="2"/>
        <v>INSERT INTO `T_CORE_NOTIFICATION_TEMPLATE`(`NTPL_ID`,`NTPL_APPSCODE`,`NTPL_CHANNEL_TYPE`,`NTPL_CONTENT_TYPE`,`NTPL_SUBJECT`,`NTPL_TEMPALTE`,`NTPL_SEQ`,`NTPL_DESC`,`NTPL_STATUS`,`NTPL_UID_CREATE`,`NTPL_DT_CREATE`,`NTPL_UID_LUPD`,`NTPL_DT_LUPD`)  VALUES('CKT_NTL_0049','CKT','CHN_TYPE_EMAIL','CNT_TYPE_HTML','Account Suspensed Due To Contract Expiry','&lt;html&gt;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&lt;/html&gt;','49','Notification to CO when account is suspended by scheduler due to contract has expired','A','SYS',NOW(),'SYS',NOW());</v>
      </c>
    </row>
    <row r="54" spans="1:12" x14ac:dyDescent="0.2">
      <c r="A54" t="s">
        <v>984</v>
      </c>
      <c r="B54" t="s">
        <v>14</v>
      </c>
      <c r="C54" t="s">
        <v>782</v>
      </c>
      <c r="D54" t="s">
        <v>783</v>
      </c>
      <c r="E54" t="s">
        <v>985</v>
      </c>
      <c r="F54" t="s">
        <v>986</v>
      </c>
      <c r="G54">
        <v>50</v>
      </c>
      <c r="H54" t="s">
        <v>987</v>
      </c>
      <c r="I54" t="s">
        <v>7</v>
      </c>
      <c r="J54" t="str">
        <f t="shared" si="0"/>
        <v xml:space="preserve">INSERT INTO `T_CORE_NOTIFICATION_TEMPLATE`(`NTPL_ID`,`NTPL_APPSCODE`,`NTPL_CHANNEL_TYPE`,`NTPL_CONTENT_TYPE`,`NTPL_SUBJECT`,`NTPL_TEMPALTE`,`NTPL_SEQ`,`NTPL_DESC`,`NTPL_STATUS`,`NTPL_UID_CREATE`,`NTPL_DT_CREATE`,`NTPL_UID_LUPD`,`NTPL_DT_LUPD`) </v>
      </c>
      <c r="K54" t="str">
        <f t="shared" ref="K54:K55" si="31">CONCATENATE(" VALUES('",A54,"','",B54,"','",C54,"','",D54,"','",E54,"','",F54,"','",G54,"','",H54,"','",I54,"','SYS',NOW(),'SYS',NOW());")</f>
        <v xml:space="preserve"> VALUES('CKT_NTL_0050','CKT','CHN_TYPE_EMAIL','CNT_TYPE_HTML','Account Suspensed Due To Unpaid Invoices','&lt;html&gt;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&lt;/html&gt;','50','Notification to CO when account is suspended by scheduler due to unpaid invoices','A','SYS',NOW(),'SYS',NOW());</v>
      </c>
      <c r="L54" s="3" t="str">
        <f t="shared" si="2"/>
        <v>INSERT INTO `T_CORE_NOTIFICATION_TEMPLATE`(`NTPL_ID`,`NTPL_APPSCODE`,`NTPL_CHANNEL_TYPE`,`NTPL_CONTENT_TYPE`,`NTPL_SUBJECT`,`NTPL_TEMPALTE`,`NTPL_SEQ`,`NTPL_DESC`,`NTPL_STATUS`,`NTPL_UID_CREATE`,`NTPL_DT_CREATE`,`NTPL_UID_LUPD`,`NTPL_DT_LUPD`)  VALUES('CKT_NTL_0050','CKT','CHN_TYPE_EMAIL','CNT_TYPE_HTML','Account Suspensed Due To Unpaid Invoices','&lt;html&gt;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&lt;/html&gt;','50','Notification to CO when account is suspended by scheduler due to unpaid invoices','A','SYS',NOW(),'SYS',NOW());</v>
      </c>
    </row>
    <row r="55" spans="1:12" x14ac:dyDescent="0.2">
      <c r="A55" t="s">
        <v>988</v>
      </c>
      <c r="B55" t="s">
        <v>14</v>
      </c>
      <c r="C55" t="s">
        <v>782</v>
      </c>
      <c r="D55" t="s">
        <v>783</v>
      </c>
      <c r="E55" t="s">
        <v>796</v>
      </c>
      <c r="F55" t="s">
        <v>989</v>
      </c>
      <c r="G55">
        <v>51</v>
      </c>
      <c r="H55" t="s">
        <v>990</v>
      </c>
      <c r="I55" t="s">
        <v>7</v>
      </c>
      <c r="J55" t="str">
        <f t="shared" si="0"/>
        <v xml:space="preserve">INSERT INTO `T_CORE_NOTIFICATION_TEMPLATE`(`NTPL_ID`,`NTPL_APPSCODE`,`NTPL_CHANNEL_TYPE`,`NTPL_CONTENT_TYPE`,`NTPL_SUBJECT`,`NTPL_TEMPALTE`,`NTPL_SEQ`,`NTPL_DESC`,`NTPL_STATUS`,`NTPL_UID_CREATE`,`NTPL_DT_CREATE`,`NTPL_UID_LUPD`,`NTPL_DT_LUPD`) </v>
      </c>
      <c r="K55" t="str">
        <f t="shared" si="31"/>
        <v xml:space="preserve"> VALUES('CKT_NTL_0051','CKT','CHN_TYPE_EMAIL','CNT_TYPE_HTML','Invoice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&lt;/html&gt;','51','Notification sent to CO for Invoice submitted by TO with the link to instantly approve.','A','SYS',NOW(),'SYS',NOW());</v>
      </c>
      <c r="L55" s="3" t="str">
        <f t="shared" si="2"/>
        <v>INSERT INTO `T_CORE_NOTIFICATION_TEMPLATE`(`NTPL_ID`,`NTPL_APPSCODE`,`NTPL_CHANNEL_TYPE`,`NTPL_CONTENT_TYPE`,`NTPL_SUBJECT`,`NTPL_TEMPALTE`,`NTPL_SEQ`,`NTPL_DESC`,`NTPL_STATUS`,`NTPL_UID_CREATE`,`NTPL_DT_CREATE`,`NTPL_UID_LUPD`,`NTPL_DT_LUPD`)  VALUES('CKT_NTL_0051','CKT','CHN_TYPE_EMAIL','CNT_TYPE_HTML','Invoice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&lt;/html&gt;','51','Notification sent to CO for Invoice submitted by TO with the link to instantly approve.','A','SYS',NOW(),'SYS',NOW());</v>
      </c>
    </row>
    <row r="56" spans="1:12" x14ac:dyDescent="0.2">
      <c r="A56" s="2" t="s">
        <v>991</v>
      </c>
      <c r="B56" t="s">
        <v>14</v>
      </c>
      <c r="C56" s="2" t="s">
        <v>992</v>
      </c>
      <c r="D56" s="2" t="s">
        <v>993</v>
      </c>
      <c r="E56" s="2" t="s">
        <v>994</v>
      </c>
      <c r="F56" s="2" t="s">
        <v>995</v>
      </c>
      <c r="G56">
        <v>52</v>
      </c>
      <c r="H56" s="2" t="s">
        <v>996</v>
      </c>
      <c r="I56" t="s">
        <v>7</v>
      </c>
      <c r="J56" t="str">
        <f t="shared" si="0"/>
        <v xml:space="preserve">INSERT INTO `T_CORE_NOTIFICATION_TEMPLATE`(`NTPL_ID`,`NTPL_APPSCODE`,`NTPL_CHANNEL_TYPE`,`NTPL_CONTENT_TYPE`,`NTPL_SUBJECT`,`NTPL_TEMPALTE`,`NTPL_SEQ`,`NTPL_DESC`,`NTPL_STATUS`,`NTPL_UID_CREATE`,`NTPL_DT_CREATE`,`NTPL_UID_LUPD`,`NTPL_DT_LUPD`) </v>
      </c>
      <c r="K56" t="str">
        <f t="shared" ref="K56" si="32">CONCATENATE(" VALUES('",A56,"','",B56,"','",C56,"','",D56,"','",E56,"','",F56,"','",G56,"','",H56,"','",I56,"','SYS',NOW(),'SYS',NOW());")</f>
        <v xml:space="preserve"> VALUES('CKT_NTL_0052','CKT','CHN_TYPE_SMS','CNT_TYPE_TEXT','Trucking Job started delivering',':jobNumber is on the way to :destAddr via :vehPlateNo','52','Notification via whatsapp if the truck driver starts to deliver the job','A','SYS',NOW(),'SYS',NOW());</v>
      </c>
      <c r="L56" s="3" t="str">
        <f t="shared" si="2"/>
        <v>INSERT INTO `T_CORE_NOTIFICATION_TEMPLATE`(`NTPL_ID`,`NTPL_APPSCODE`,`NTPL_CHANNEL_TYPE`,`NTPL_CONTENT_TYPE`,`NTPL_SUBJECT`,`NTPL_TEMPALTE`,`NTPL_SEQ`,`NTPL_DESC`,`NTPL_STATUS`,`NTPL_UID_CREATE`,`NTPL_DT_CREATE`,`NTPL_UID_LUPD`,`NTPL_DT_LUPD`)  VALUES('CKT_NTL_0052','CKT','CHN_TYPE_SMS','CNT_TYPE_TEXT','Trucking Job started delivering',':jobNumber is on the way to :destAddr via :vehPlateNo','52','Notification via whatsapp if the truck driver starts to deliver the job','A','SYS',NOW(),'SYS',NOW());</v>
      </c>
    </row>
    <row r="57" spans="1:12" x14ac:dyDescent="0.2">
      <c r="A57" s="2" t="s">
        <v>997</v>
      </c>
      <c r="B57" t="s">
        <v>14</v>
      </c>
      <c r="C57" s="2" t="s">
        <v>992</v>
      </c>
      <c r="D57" s="2" t="s">
        <v>993</v>
      </c>
      <c r="E57" s="2" t="s">
        <v>998</v>
      </c>
      <c r="F57" s="2" t="s">
        <v>999</v>
      </c>
      <c r="G57">
        <v>53</v>
      </c>
      <c r="H57" s="2" t="s">
        <v>1000</v>
      </c>
      <c r="I57" t="s">
        <v>7</v>
      </c>
      <c r="J57" t="str">
        <f t="shared" si="0"/>
        <v xml:space="preserve">INSERT INTO `T_CORE_NOTIFICATION_TEMPLATE`(`NTPL_ID`,`NTPL_APPSCODE`,`NTPL_CHANNEL_TYPE`,`NTPL_CONTENT_TYPE`,`NTPL_SUBJECT`,`NTPL_TEMPALTE`,`NTPL_SEQ`,`NTPL_DESC`,`NTPL_STATUS`,`NTPL_UID_CREATE`,`NTPL_DT_CREATE`,`NTPL_UID_LUPD`,`NTPL_DT_LUPD`) </v>
      </c>
      <c r="K57" t="str">
        <f t="shared" ref="K57" si="33">CONCATENATE(" VALUES('",A57,"','",B57,"','",C57,"','",D57,"','",E57,"','",F57,"','",G57,"','",H57,"','",I57,"','SYS',NOW(),'SYS',NOW());")</f>
        <v xml:space="preserve"> VALUES('CKT_NTL_0053','CKT','CHN_TYPE_SMS','CNT_TYPE_TEXT','Trucking Job arriving',':jobNumber will be arriving in :duration to :destAddr via :vehPlateNo','53','Notification via whatsapp if the truck trip duration is less than 30 minutes to the destination','A','SYS',NOW(),'SYS',NOW());</v>
      </c>
      <c r="L57" s="3" t="str">
        <f t="shared" si="2"/>
        <v>INSERT INTO `T_CORE_NOTIFICATION_TEMPLATE`(`NTPL_ID`,`NTPL_APPSCODE`,`NTPL_CHANNEL_TYPE`,`NTPL_CONTENT_TYPE`,`NTPL_SUBJECT`,`NTPL_TEMPALTE`,`NTPL_SEQ`,`NTPL_DESC`,`NTPL_STATUS`,`NTPL_UID_CREATE`,`NTPL_DT_CREATE`,`NTPL_UID_LUPD`,`NTPL_DT_LUPD`)  VALUES('CKT_NTL_0053','CKT','CHN_TYPE_SMS','CNT_TYPE_TEXT','Trucking Job arriving',':jobNumber will be arriving in :duration to :destAddr via :vehPlateNo','53','Notification via whatsapp if the truck trip duration is less than 30 minutes to the destination','A','SYS',NOW(),'SYS',NOW());</v>
      </c>
    </row>
    <row r="58" spans="1:12" x14ac:dyDescent="0.2">
      <c r="A58" s="21" t="s">
        <v>1001</v>
      </c>
      <c r="B58" t="s">
        <v>14</v>
      </c>
      <c r="C58" s="21" t="s">
        <v>782</v>
      </c>
      <c r="D58" s="2" t="s">
        <v>783</v>
      </c>
      <c r="E58" s="2" t="s">
        <v>1002</v>
      </c>
      <c r="F58" s="21" t="s">
        <v>1003</v>
      </c>
      <c r="G58">
        <v>61</v>
      </c>
      <c r="H58" s="21" t="s">
        <v>1004</v>
      </c>
      <c r="I58" t="s">
        <v>7</v>
      </c>
      <c r="J58" t="str">
        <f t="shared" si="0"/>
        <v xml:space="preserve">INSERT INTO `T_CORE_NOTIFICATION_TEMPLATE`(`NTPL_ID`,`NTPL_APPSCODE`,`NTPL_CHANNEL_TYPE`,`NTPL_CONTENT_TYPE`,`NTPL_SUBJECT`,`NTPL_TEMPALTE`,`NTPL_SEQ`,`NTPL_DESC`,`NTPL_STATUS`,`NTPL_UID_CREATE`,`NTPL_DT_CREATE`,`NTPL_UID_LUPD`,`NTPL_DT_LUPD`) </v>
      </c>
      <c r="K58" t="str">
        <f t="shared" ref="K58" si="34">CONCATENATE(" VALUES('",A58,"','",B58,"','",C58,"','",D58,"','",E58,"','",F58,"','",G58,"','",H58,"','",I58,"','SYS',NOW(),'SYS',NOW());")</f>
        <v xml:space="preserve"> VALUES('CKT_NTL_0061','CKT','CHN_TYPE_EMAIL','CNT_TYPE_HTML','[ediDocManager SHP :subject]','&lt;html&gt;&lt;html&gt;','61','Notification to DSV for EPOD and Phone','A','SYS',NOW(),'SYS',NOW());</v>
      </c>
      <c r="L58" s="3" t="str">
        <f t="shared" ref="L58" si="35">CONCATENATE(J58,K58)</f>
        <v>INSERT INTO `T_CORE_NOTIFICATION_TEMPLATE`(`NTPL_ID`,`NTPL_APPSCODE`,`NTPL_CHANNEL_TYPE`,`NTPL_CONTENT_TYPE`,`NTPL_SUBJECT`,`NTPL_TEMPALTE`,`NTPL_SEQ`,`NTPL_DESC`,`NTPL_STATUS`,`NTPL_UID_CREATE`,`NTPL_DT_CREATE`,`NTPL_UID_LUPD`,`NTPL_DT_LUPD`)  VALUES('CKT_NTL_0061','CKT','CHN_TYPE_EMAIL','CNT_TYPE_HTML','[ediDocManager SHP :subject]','&lt;html&gt;&lt;html&gt;','61','Notification to DSV for EPOD and Phone','A','SYS',NOW(),'SYS',NOW());</v>
      </c>
    </row>
    <row r="59" spans="1:12" x14ac:dyDescent="0.2">
      <c r="A59" s="33" t="s">
        <v>1171</v>
      </c>
      <c r="B59" t="s">
        <v>14</v>
      </c>
      <c r="C59" s="21" t="s">
        <v>782</v>
      </c>
      <c r="D59" s="2" t="s">
        <v>783</v>
      </c>
      <c r="E59" s="33" t="s">
        <v>1170</v>
      </c>
      <c r="F59" s="33" t="s">
        <v>1173</v>
      </c>
      <c r="G59">
        <v>62</v>
      </c>
      <c r="H59" s="33" t="s">
        <v>1172</v>
      </c>
      <c r="I59" t="s">
        <v>7</v>
      </c>
      <c r="J59" t="str">
        <f t="shared" si="0"/>
        <v xml:space="preserve">INSERT INTO `T_CORE_NOTIFICATION_TEMPLATE`(`NTPL_ID`,`NTPL_APPSCODE`,`NTPL_CHANNEL_TYPE`,`NTPL_CONTENT_TYPE`,`NTPL_SUBJECT`,`NTPL_TEMPALTE`,`NTPL_SEQ`,`NTPL_DESC`,`NTPL_STATUS`,`NTPL_UID_CREATE`,`NTPL_DT_CREATE`,`NTPL_UID_LUPD`,`NTPL_DT_LUPD`) </v>
      </c>
      <c r="K59" t="str">
        <f>CONCATENATE(" VALUES('",A59,"','",B59,"','",C59,"','",D59,"','",E59,"','",F59,"','",G59,"','",H59,"','",I59,"','SYS',NOW(),'SYS',NOW());")</f>
        <v xml:space="preserve"> VALUES('CKT_NTL_0062','CKT','CHN_TYPE_EMAIL','CNT_TYPE_HTML','Re: Account Inquiry [:subject]','&lt;html&gt;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&lt;p&gt;&lt;br&gt;&lt;/p&gt; &lt;p&gt;Please find attached requested documents for the account. &lt;p&gt;&lt;br&gt;&lt;/p&gt;&lt;/div&gt; &lt;div id=footerContainer class=innerContainer&gt; &lt;p&gt;&lt;a style=color:inherit href=:privacyStatementLink&gt;Privacy Statement&lt;/a&gt;&lt;/p&gt; &lt;p&gt;:sp_details&lt;/p&gt; &lt;img width=50 height=31 src=https://home.clickargo.com/wp-content/uploads/2022/02/Clic-Logo_Colour-300x187.png&gt; &lt;/div&gt; &lt;/div&gt; &lt;/body&gt; &lt;/html&gt;','62','Notification for Account Inquiry Request','A','SYS',NOW(),'SYS',NOW());</v>
      </c>
      <c r="L59" s="3" t="str">
        <f t="shared" ref="L59" si="36">CONCATENATE(J59,K59)</f>
        <v>INSERT INTO `T_CORE_NOTIFICATION_TEMPLATE`(`NTPL_ID`,`NTPL_APPSCODE`,`NTPL_CHANNEL_TYPE`,`NTPL_CONTENT_TYPE`,`NTPL_SUBJECT`,`NTPL_TEMPALTE`,`NTPL_SEQ`,`NTPL_DESC`,`NTPL_STATUS`,`NTPL_UID_CREATE`,`NTPL_DT_CREATE`,`NTPL_UID_LUPD`,`NTPL_DT_LUPD`)  VALUES('CKT_NTL_0062','CKT','CHN_TYPE_EMAIL','CNT_TYPE_HTML','Re: Account Inquiry [:subject]','&lt;html&gt;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&lt;p&gt;&lt;br&gt;&lt;/p&gt; &lt;p&gt;Please find attached requested documents for the account. &lt;p&gt;&lt;br&gt;&lt;/p&gt;&lt;/div&gt; &lt;div id=footerContainer class=innerContainer&gt; &lt;p&gt;&lt;a style=color:inherit href=:privacyStatementLink&gt;Privacy Statement&lt;/a&gt;&lt;/p&gt; &lt;p&gt;:sp_details&lt;/p&gt; &lt;img width=50 height=31 src=https://home.clickargo.com/wp-content/uploads/2022/02/Clic-Logo_Colour-300x187.png&gt; &lt;/div&gt; &lt;/div&gt; &lt;/body&gt; &lt;/html&gt;','62','Notification for Account Inquiry Request','A','SYS',NOW(),'SYS',NOW());</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Master Roles</vt:lpstr>
      <vt:lpstr>User Roles</vt:lpstr>
      <vt:lpstr>CK Master Tables</vt:lpstr>
      <vt:lpstr>Menu_EX_CK2</vt:lpstr>
      <vt:lpstr>Menu_EX</vt:lpstr>
      <vt:lpstr>Perm_EX_CK2</vt:lpstr>
      <vt:lpstr>PermEx</vt:lpstr>
      <vt:lpstr>GrantRole_EX_CK2</vt:lpstr>
      <vt:lpstr>GrantRoleEx</vt:lpstr>
      <vt:lpstr>GrantAccn_EX_CK2</vt:lpstr>
      <vt:lpstr>GrantUser_EX_CK2</vt:lpstr>
      <vt:lpstr>AccnExt_Conf</vt:lpstr>
      <vt:lpstr>MstEntityType</vt:lpstr>
      <vt:lpstr>MstFormType</vt:lpstr>
      <vt:lpstr>MstFormAction</vt:lpstr>
      <vt:lpstr>FormControl</vt:lpstr>
      <vt:lpstr>Workflow</vt:lpstr>
      <vt:lpstr>MultiSelect_Action</vt:lpstr>
      <vt:lpstr>Guides</vt:lpstr>
      <vt:lpstr>Notification 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Nina Catudio</cp:lastModifiedBy>
  <dcterms:created xsi:type="dcterms:W3CDTF">2022-11-07T08:27:00Z</dcterms:created>
  <dcterms:modified xsi:type="dcterms:W3CDTF">2024-09-17T12:21:41Z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C0F8BB07093443DDBFE84990ACD1417A_12</vt:lpwstr>
  </property>
  <property fmtid="{D5CDD505-2E9C-101B-9397-08002B2CF9AE}" pid="3" name="KSOProductBuildVer">
    <vt:lpwstr>1033-12.2.0.13306</vt:lpwstr>
  </property>
</Properties>
</file>