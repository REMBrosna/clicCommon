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ninasilva/git/GUUDID_CKI2_ClicCommon_YUSEN/resources/sqlscripts/clictruck/SG.Reports/"/>
    </mc:Choice>
  </mc:AlternateContent>
  <xr:revisionPtr revIDLastSave="0" documentId="13_ncr:1_{8F39A24F-7128-934A-A860-40BC39805B7C}" xr6:coauthVersionLast="47" xr6:coauthVersionMax="47" xr10:uidLastSave="{00000000-0000-0000-0000-000000000000}"/>
  <bookViews>
    <workbookView xWindow="0" yWindow="500" windowWidth="38400" windowHeight="21100" activeTab="7" xr2:uid="{00000000-000D-0000-FFFF-FFFF00000000}"/>
  </bookViews>
  <sheets>
    <sheet name="T_MST_RPT_CAT" sheetId="2" r:id="rId1"/>
    <sheet name="T_CORE_RPT" sheetId="1" r:id="rId2"/>
    <sheet name="T_CORE_RPT_ACL" sheetId="17" r:id="rId3"/>
    <sheet name="T_CORE_RPT_FILTER" sheetId="12" r:id="rId4"/>
    <sheet name="Menu_EX" sheetId="3" state="hidden" r:id="rId5"/>
    <sheet name="T_CORE_RPT_TABLE" sheetId="13" r:id="rId6"/>
    <sheet name="PermEx" sheetId="4" state="hidden" r:id="rId7"/>
    <sheet name="T_CORE_RPT_COLUMN" sheetId="14" r:id="rId8"/>
    <sheet name="GrantRoleEx" sheetId="5" state="hidden" r:id="rId9"/>
  </sheets>
  <definedNames>
    <definedName name="_xlnm._FilterDatabase" localSheetId="7" hidden="1">T_CORE_RPT_COLUMN!$A$1:$F$85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4" l="1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53" i="14"/>
  <c r="X54" i="14"/>
  <c r="W54" i="14"/>
  <c r="V54" i="14"/>
  <c r="U54" i="14"/>
  <c r="W53" i="14"/>
  <c r="V53" i="14"/>
  <c r="U53" i="14"/>
  <c r="W52" i="14"/>
  <c r="V52" i="14"/>
  <c r="U52" i="14"/>
  <c r="W51" i="14"/>
  <c r="V51" i="14"/>
  <c r="U51" i="14"/>
  <c r="W50" i="14"/>
  <c r="V50" i="14"/>
  <c r="U50" i="14"/>
  <c r="W49" i="14"/>
  <c r="V49" i="14"/>
  <c r="U49" i="14"/>
  <c r="W48" i="14"/>
  <c r="V48" i="14"/>
  <c r="U48" i="14"/>
  <c r="W47" i="14"/>
  <c r="V47" i="14"/>
  <c r="U47" i="14"/>
  <c r="W46" i="14"/>
  <c r="V46" i="14"/>
  <c r="U46" i="14"/>
  <c r="W45" i="14"/>
  <c r="V45" i="14"/>
  <c r="U45" i="14"/>
  <c r="W44" i="14"/>
  <c r="V44" i="14"/>
  <c r="U44" i="14"/>
  <c r="J5" i="13"/>
  <c r="I5" i="13"/>
  <c r="P23" i="12"/>
  <c r="O23" i="12"/>
  <c r="P22" i="12"/>
  <c r="O22" i="12"/>
  <c r="P21" i="12"/>
  <c r="R21" i="12" s="1"/>
  <c r="O21" i="12"/>
  <c r="F5" i="17"/>
  <c r="M5" i="1"/>
  <c r="L5" i="1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" i="12"/>
  <c r="W43" i="14"/>
  <c r="V43" i="14"/>
  <c r="U43" i="14"/>
  <c r="W42" i="14"/>
  <c r="V42" i="14"/>
  <c r="U42" i="14"/>
  <c r="W41" i="14"/>
  <c r="V41" i="14"/>
  <c r="U41" i="14"/>
  <c r="W40" i="14"/>
  <c r="V40" i="14"/>
  <c r="U40" i="14"/>
  <c r="W39" i="14"/>
  <c r="V39" i="14"/>
  <c r="U39" i="14"/>
  <c r="W38" i="14"/>
  <c r="V38" i="14"/>
  <c r="U38" i="14"/>
  <c r="W37" i="14"/>
  <c r="V37" i="14"/>
  <c r="U37" i="14"/>
  <c r="W36" i="14"/>
  <c r="V36" i="14"/>
  <c r="U36" i="14"/>
  <c r="W35" i="14"/>
  <c r="V35" i="14"/>
  <c r="U35" i="14"/>
  <c r="W34" i="14"/>
  <c r="V34" i="14"/>
  <c r="U34" i="14"/>
  <c r="W33" i="14"/>
  <c r="V33" i="14"/>
  <c r="U33" i="14"/>
  <c r="J4" i="13"/>
  <c r="I4" i="13"/>
  <c r="F4" i="17"/>
  <c r="M4" i="1"/>
  <c r="L4" i="1"/>
  <c r="J3" i="2"/>
  <c r="W31" i="14"/>
  <c r="V31" i="14"/>
  <c r="U31" i="14"/>
  <c r="W30" i="14"/>
  <c r="V30" i="14"/>
  <c r="U30" i="14"/>
  <c r="W29" i="14"/>
  <c r="V29" i="14"/>
  <c r="U29" i="14"/>
  <c r="W28" i="14"/>
  <c r="V28" i="14"/>
  <c r="U28" i="14"/>
  <c r="W27" i="14"/>
  <c r="V27" i="14"/>
  <c r="U27" i="14"/>
  <c r="W26" i="14"/>
  <c r="V26" i="14"/>
  <c r="U26" i="14"/>
  <c r="W25" i="14"/>
  <c r="V25" i="14"/>
  <c r="U25" i="14"/>
  <c r="W24" i="14"/>
  <c r="V24" i="14"/>
  <c r="U24" i="14"/>
  <c r="W23" i="14"/>
  <c r="V23" i="14"/>
  <c r="U23" i="14"/>
  <c r="W22" i="14"/>
  <c r="V22" i="14"/>
  <c r="U22" i="14"/>
  <c r="W21" i="14"/>
  <c r="V21" i="14"/>
  <c r="U21" i="14"/>
  <c r="W20" i="14"/>
  <c r="V20" i="14"/>
  <c r="U20" i="14"/>
  <c r="W19" i="14"/>
  <c r="V19" i="14"/>
  <c r="U19" i="14"/>
  <c r="W18" i="14"/>
  <c r="V18" i="14"/>
  <c r="U18" i="14"/>
  <c r="W17" i="14"/>
  <c r="V17" i="14"/>
  <c r="U17" i="14"/>
  <c r="J3" i="13"/>
  <c r="I3" i="13"/>
  <c r="K3" i="13" s="1"/>
  <c r="F3" i="17"/>
  <c r="I3" i="2"/>
  <c r="H3" i="2"/>
  <c r="M3" i="1"/>
  <c r="L3" i="1"/>
  <c r="K5" i="13" l="1"/>
  <c r="R23" i="12"/>
  <c r="R22" i="12"/>
  <c r="N5" i="1"/>
  <c r="N3" i="1"/>
  <c r="K4" i="13"/>
  <c r="N4" i="1"/>
  <c r="I2" i="2" l="1"/>
  <c r="M2" i="1"/>
  <c r="L2" i="1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U3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W2" i="14"/>
  <c r="X2" i="14" s="1"/>
  <c r="V2" i="14"/>
  <c r="U2" i="14"/>
  <c r="I2" i="13"/>
  <c r="J2" i="13"/>
  <c r="K2" i="13" l="1"/>
  <c r="R2" i="12"/>
  <c r="F2" i="17"/>
  <c r="H2" i="2"/>
  <c r="J2" i="2" s="1"/>
  <c r="F48" i="5"/>
  <c r="D48" i="5"/>
  <c r="F47" i="5"/>
  <c r="D47" i="5"/>
  <c r="F46" i="5"/>
  <c r="D46" i="5"/>
  <c r="F45" i="5"/>
  <c r="D45" i="5"/>
  <c r="F44" i="5"/>
  <c r="D44" i="5"/>
  <c r="F43" i="5"/>
  <c r="D43" i="5"/>
  <c r="F42" i="5"/>
  <c r="D42" i="5"/>
  <c r="F41" i="5"/>
  <c r="D41" i="5"/>
  <c r="F40" i="5"/>
  <c r="D40" i="5"/>
  <c r="F39" i="5"/>
  <c r="D39" i="5"/>
  <c r="F38" i="5"/>
  <c r="D38" i="5"/>
  <c r="F37" i="5"/>
  <c r="D37" i="5"/>
  <c r="F36" i="5"/>
  <c r="D36" i="5"/>
  <c r="F34" i="5"/>
  <c r="D34" i="5"/>
  <c r="F33" i="5"/>
  <c r="D33" i="5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F12" i="5"/>
  <c r="D12" i="5"/>
  <c r="F11" i="5"/>
  <c r="D11" i="5"/>
  <c r="F10" i="5"/>
  <c r="D10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F2" i="5"/>
  <c r="D2" i="5"/>
  <c r="Q38" i="4" a="1"/>
  <c r="Q38" i="4" s="1"/>
  <c r="R38" i="4" s="1"/>
  <c r="Q37" i="4" a="1"/>
  <c r="Q37" i="4" s="1"/>
  <c r="R37" i="4" s="1"/>
  <c r="Q36" i="4" a="1"/>
  <c r="Q36" i="4" s="1"/>
  <c r="R36" i="4" s="1"/>
  <c r="Q35" i="4" a="1"/>
  <c r="Q35" i="4" s="1"/>
  <c r="R35" i="4" s="1"/>
  <c r="Q34" i="4" a="1"/>
  <c r="Q34" i="4" s="1"/>
  <c r="R34" i="4" s="1"/>
  <c r="Q33" i="4" a="1"/>
  <c r="Q33" i="4" s="1"/>
  <c r="R33" i="4" s="1"/>
  <c r="Q32" i="4" a="1"/>
  <c r="Q32" i="4" s="1"/>
  <c r="R32" i="4" s="1"/>
  <c r="Q31" i="4" a="1"/>
  <c r="Q31" i="4" s="1"/>
  <c r="R31" i="4" s="1"/>
  <c r="Q30" i="4" a="1"/>
  <c r="Q30" i="4" s="1"/>
  <c r="R30" i="4" s="1"/>
  <c r="Q25" i="4" a="1"/>
  <c r="Q25" i="4" s="1"/>
  <c r="R25" i="4" s="1"/>
  <c r="Q24" i="4" a="1"/>
  <c r="Q24" i="4" s="1"/>
  <c r="R24" i="4" s="1"/>
  <c r="Q23" i="4" a="1"/>
  <c r="Q23" i="4" s="1"/>
  <c r="R23" i="4" s="1"/>
  <c r="Q22" i="4" a="1"/>
  <c r="Q22" i="4" s="1"/>
  <c r="R22" i="4" s="1"/>
  <c r="Q21" i="4" a="1"/>
  <c r="Q21" i="4" s="1"/>
  <c r="R21" i="4" s="1"/>
  <c r="Q20" i="4" a="1"/>
  <c r="Q20" i="4" s="1"/>
  <c r="R20" i="4" s="1"/>
  <c r="Q19" i="4" a="1"/>
  <c r="Q19" i="4" s="1"/>
  <c r="R19" i="4" s="1"/>
  <c r="Q18" i="4" a="1"/>
  <c r="Q18" i="4" s="1"/>
  <c r="R18" i="4" s="1"/>
  <c r="Q17" i="4" a="1"/>
  <c r="Q17" i="4" s="1"/>
  <c r="R17" i="4" s="1"/>
  <c r="Q16" i="4" a="1"/>
  <c r="Q16" i="4" s="1"/>
  <c r="R16" i="4" s="1"/>
  <c r="Q15" i="4" a="1"/>
  <c r="Q15" i="4" s="1"/>
  <c r="R15" i="4" s="1"/>
  <c r="Q14" i="4" a="1"/>
  <c r="Q14" i="4" s="1"/>
  <c r="R14" i="4" s="1"/>
  <c r="Q13" i="4" a="1"/>
  <c r="Q13" i="4" s="1"/>
  <c r="R13" i="4" s="1"/>
  <c r="Q12" i="4" a="1"/>
  <c r="Q12" i="4" s="1"/>
  <c r="R12" i="4" s="1"/>
  <c r="Q11" i="4" a="1"/>
  <c r="Q11" i="4" s="1"/>
  <c r="R11" i="4" s="1"/>
  <c r="Q10" i="4" a="1"/>
  <c r="Q10" i="4" s="1"/>
  <c r="R10" i="4" s="1"/>
  <c r="Q9" i="4" a="1"/>
  <c r="Q9" i="4" s="1"/>
  <c r="R9" i="4" s="1"/>
  <c r="Q8" i="4" a="1"/>
  <c r="Q8" i="4" s="1"/>
  <c r="R8" i="4" s="1"/>
  <c r="Q7" i="4" a="1"/>
  <c r="Q7" i="4" s="1"/>
  <c r="R7" i="4" s="1"/>
  <c r="Q6" i="4" a="1"/>
  <c r="Q6" i="4" s="1"/>
  <c r="R6" i="4" s="1"/>
  <c r="Q5" i="4" a="1"/>
  <c r="Q5" i="4" s="1"/>
  <c r="R5" i="4" s="1"/>
  <c r="Q4" i="4" a="1"/>
  <c r="Q4" i="4" s="1"/>
  <c r="R4" i="4" s="1"/>
  <c r="Q3" i="4" a="1"/>
  <c r="Q3" i="4" s="1"/>
  <c r="R3" i="4" s="1"/>
  <c r="Q2" i="4" a="1"/>
  <c r="Q2" i="4" s="1"/>
  <c r="R2" i="4" s="1"/>
  <c r="N35" i="3"/>
  <c r="M35" i="3"/>
  <c r="L35" i="3"/>
  <c r="M34" i="3"/>
  <c r="N34" i="3" s="1"/>
  <c r="L34" i="3"/>
  <c r="M33" i="3"/>
  <c r="L33" i="3"/>
  <c r="N33" i="3" s="1"/>
  <c r="N32" i="3"/>
  <c r="M32" i="3"/>
  <c r="L32" i="3"/>
  <c r="N31" i="3"/>
  <c r="M31" i="3"/>
  <c r="L31" i="3"/>
  <c r="M30" i="3"/>
  <c r="L30" i="3"/>
  <c r="N30" i="3" s="1"/>
  <c r="M29" i="3"/>
  <c r="L29" i="3"/>
  <c r="N29" i="3" s="1"/>
  <c r="M28" i="3"/>
  <c r="L28" i="3"/>
  <c r="N28" i="3" s="1"/>
  <c r="N27" i="3"/>
  <c r="M27" i="3"/>
  <c r="L27" i="3"/>
  <c r="M25" i="3"/>
  <c r="N25" i="3" s="1"/>
  <c r="L25" i="3"/>
  <c r="M24" i="3"/>
  <c r="L24" i="3"/>
  <c r="N24" i="3" s="1"/>
  <c r="N23" i="3"/>
  <c r="M23" i="3"/>
  <c r="L23" i="3"/>
  <c r="N22" i="3"/>
  <c r="M22" i="3"/>
  <c r="L22" i="3"/>
  <c r="M21" i="3"/>
  <c r="L21" i="3"/>
  <c r="N21" i="3" s="1"/>
  <c r="M20" i="3"/>
  <c r="L20" i="3"/>
  <c r="N20" i="3" s="1"/>
  <c r="M19" i="3"/>
  <c r="L19" i="3"/>
  <c r="N19" i="3" s="1"/>
  <c r="N18" i="3"/>
  <c r="M18" i="3"/>
  <c r="L18" i="3"/>
  <c r="M17" i="3"/>
  <c r="N17" i="3" s="1"/>
  <c r="L17" i="3"/>
  <c r="M16" i="3"/>
  <c r="L16" i="3"/>
  <c r="N16" i="3" s="1"/>
  <c r="N15" i="3"/>
  <c r="M15" i="3"/>
  <c r="L15" i="3"/>
  <c r="N14" i="3"/>
  <c r="M14" i="3"/>
  <c r="L14" i="3"/>
  <c r="M13" i="3"/>
  <c r="L13" i="3"/>
  <c r="N13" i="3" s="1"/>
  <c r="M12" i="3"/>
  <c r="L12" i="3"/>
  <c r="N12" i="3" s="1"/>
  <c r="M11" i="3"/>
  <c r="L11" i="3"/>
  <c r="N11" i="3" s="1"/>
  <c r="N10" i="3"/>
  <c r="M10" i="3"/>
  <c r="L10" i="3"/>
  <c r="M9" i="3"/>
  <c r="N9" i="3" s="1"/>
  <c r="L9" i="3"/>
  <c r="M8" i="3"/>
  <c r="L8" i="3"/>
  <c r="N8" i="3" s="1"/>
  <c r="N7" i="3"/>
  <c r="M7" i="3"/>
  <c r="L7" i="3"/>
  <c r="N6" i="3"/>
  <c r="M6" i="3"/>
  <c r="L6" i="3"/>
  <c r="M5" i="3"/>
  <c r="L5" i="3"/>
  <c r="N5" i="3" s="1"/>
  <c r="M4" i="3"/>
  <c r="L4" i="3"/>
  <c r="N4" i="3" s="1"/>
  <c r="M3" i="3"/>
  <c r="L3" i="3"/>
  <c r="N3" i="3" s="1"/>
  <c r="N2" i="3"/>
  <c r="M2" i="3"/>
  <c r="L2" i="3"/>
  <c r="N2" i="1" l="1"/>
</calcChain>
</file>

<file path=xl/sharedStrings.xml><?xml version="1.0" encoding="utf-8"?>
<sst xmlns="http://schemas.openxmlformats.org/spreadsheetml/2006/main" count="2055" uniqueCount="300">
  <si>
    <t>APPSCODE</t>
  </si>
  <si>
    <t>STATUS</t>
  </si>
  <si>
    <t>SQL</t>
  </si>
  <si>
    <t>CK</t>
  </si>
  <si>
    <t>ADMIN</t>
  </si>
  <si>
    <t>A</t>
  </si>
  <si>
    <t>OFFICER</t>
  </si>
  <si>
    <t>OPERATIONS</t>
  </si>
  <si>
    <t>FINANCE</t>
  </si>
  <si>
    <t>SYS_SUPER_ADMIN</t>
  </si>
  <si>
    <t>CKT</t>
  </si>
  <si>
    <t>FF_FINANCE</t>
  </si>
  <si>
    <t>OP_ADMIN</t>
  </si>
  <si>
    <t>OFFICER_FINANCE</t>
  </si>
  <si>
    <t>ACCOUNT TYPE</t>
  </si>
  <si>
    <t>ALKNAR</t>
  </si>
  <si>
    <t>ACC_TYPE_CO</t>
  </si>
  <si>
    <t>N</t>
  </si>
  <si>
    <t>MENU_ID</t>
  </si>
  <si>
    <t>MENU_APPS_CODE</t>
  </si>
  <si>
    <t>MENU_GROUP_LABEL</t>
  </si>
  <si>
    <t>MENU_GROUP_LABEL_OTH</t>
  </si>
  <si>
    <t>MENU_NAME</t>
  </si>
  <si>
    <t>MENU_NAME_OTH</t>
  </si>
  <si>
    <t>MENU_SEQ</t>
  </si>
  <si>
    <t>MENU_PATH</t>
  </si>
  <si>
    <t>MENU_ICON</t>
  </si>
  <si>
    <t>MENU_PARENT</t>
  </si>
  <si>
    <t>MENU_STATUS</t>
  </si>
  <si>
    <t>Help</t>
  </si>
  <si>
    <t>/help</t>
  </si>
  <si>
    <t>NULL</t>
  </si>
  <si>
    <t>CKT_MS_010000</t>
  </si>
  <si>
    <t>Services</t>
  </si>
  <si>
    <t>/</t>
  </si>
  <si>
    <t>CKT_MA_030000</t>
  </si>
  <si>
    <t>Administrations</t>
  </si>
  <si>
    <t>CKT_MA_030100</t>
  </si>
  <si>
    <t>Manage Trucks</t>
  </si>
  <si>
    <t>/administrations/truck-management/list</t>
  </si>
  <si>
    <t>CKT_MA_030200</t>
  </si>
  <si>
    <t>Manage Drivers</t>
  </si>
  <si>
    <t>/administrations/driver-management/list</t>
  </si>
  <si>
    <t>CKT_MA_030300</t>
  </si>
  <si>
    <t>Manage Locations</t>
  </si>
  <si>
    <t>/administrations/location-management/list</t>
  </si>
  <si>
    <t>CKT_MA_030400</t>
  </si>
  <si>
    <t>Manage Rentals</t>
  </si>
  <si>
    <t>/administrations/rental-management/list</t>
  </si>
  <si>
    <t>CKT_MA_030500</t>
  </si>
  <si>
    <t>Manage Rate Table</t>
  </si>
  <si>
    <t>Account Profile</t>
  </si>
  <si>
    <t>/manageAccounts/all/list</t>
  </si>
  <si>
    <t>group</t>
  </si>
  <si>
    <t>/accountProfile</t>
  </si>
  <si>
    <t>Users</t>
  </si>
  <si>
    <t>/accountUsers</t>
  </si>
  <si>
    <t>Authorisations</t>
  </si>
  <si>
    <t>/accountAuthorisations</t>
  </si>
  <si>
    <t>Payments</t>
  </si>
  <si>
    <t>System Administrations</t>
  </si>
  <si>
    <t>settings</t>
  </si>
  <si>
    <t>Announcement Setup</t>
  </si>
  <si>
    <t>/configuration/announcement/list</t>
  </si>
  <si>
    <t>Notification Preferences</t>
  </si>
  <si>
    <t>/configuration/notification/preferences/list</t>
  </si>
  <si>
    <t>System Parameters</t>
  </si>
  <si>
    <t>/administrations/sysparam/list</t>
  </si>
  <si>
    <t>Audit Logs</t>
  </si>
  <si>
    <t>/administrations/audit/list</t>
  </si>
  <si>
    <t>Exceptions</t>
  </si>
  <si>
    <t>/administrations/exception/list</t>
  </si>
  <si>
    <t>Manage All Users</t>
  </si>
  <si>
    <t>/manageUsers/users/all/list</t>
  </si>
  <si>
    <t>Manage All Accounts</t>
  </si>
  <si>
    <t>Master Table</t>
  </si>
  <si>
    <t>table_view</t>
  </si>
  <si>
    <t>Announcement Type</t>
  </si>
  <si>
    <t>/configuration/announcementType/list</t>
  </si>
  <si>
    <t>Country Codes</t>
  </si>
  <si>
    <t>/master/country/list</t>
  </si>
  <si>
    <t>Currency Code</t>
  </si>
  <si>
    <t>/master/currency/list</t>
  </si>
  <si>
    <t>Harmonized System Codes</t>
  </si>
  <si>
    <t>/master/hsCode/list</t>
  </si>
  <si>
    <t>Notification Templates</t>
  </si>
  <si>
    <t>/notification/templates/list</t>
  </si>
  <si>
    <t>Port Codes</t>
  </si>
  <si>
    <t>/master/port/list</t>
  </si>
  <si>
    <t>Port Terminal</t>
  </si>
  <si>
    <t>/master/portTerminal/list</t>
  </si>
  <si>
    <t>UOM Codes</t>
  </si>
  <si>
    <t>/master/uom/list</t>
  </si>
  <si>
    <t>CK_MS_010000</t>
  </si>
  <si>
    <t>CK_MP_020000</t>
  </si>
  <si>
    <t>/payments</t>
  </si>
  <si>
    <t>CK_MA_030000</t>
  </si>
  <si>
    <t>CK_MA_030100</t>
  </si>
  <si>
    <t>CK_MA_030200</t>
  </si>
  <si>
    <t>CK_MA_030300</t>
  </si>
  <si>
    <t>CK_MH_040000</t>
  </si>
  <si>
    <t>CK_MT_050000</t>
  </si>
  <si>
    <t>CK_MT_050100</t>
  </si>
  <si>
    <t>CK_MT_050200</t>
  </si>
  <si>
    <t>CK_MT_050300</t>
  </si>
  <si>
    <t>CK_MT_050400</t>
  </si>
  <si>
    <t>CK_MT_050500</t>
  </si>
  <si>
    <t>CK_MT_050600</t>
  </si>
  <si>
    <t>CK_MT_050700</t>
  </si>
  <si>
    <t>CK_MT_050800</t>
  </si>
  <si>
    <t>CK_MSA_060000</t>
  </si>
  <si>
    <t>CK_MSA_060100</t>
  </si>
  <si>
    <t>CK_MSA_060200</t>
  </si>
  <si>
    <t>CK_MSA_060300</t>
  </si>
  <si>
    <t>CK_MSA_060400</t>
  </si>
  <si>
    <t>CK_MSA_060500</t>
  </si>
  <si>
    <t>CK_MSA_060600</t>
  </si>
  <si>
    <t>CK_MSA_060700</t>
  </si>
  <si>
    <t>/administrations/contract-management/list</t>
  </si>
  <si>
    <t>CKT_MA_040000</t>
  </si>
  <si>
    <t>Manage Contracts</t>
  </si>
  <si>
    <t>CKT_MH_080000</t>
  </si>
  <si>
    <t>PERM_ID</t>
  </si>
  <si>
    <t>PERM_GROUP</t>
  </si>
  <si>
    <t>PERM_APPS</t>
  </si>
  <si>
    <t>PERM_MODULE</t>
  </si>
  <si>
    <t>PERM_TYPE</t>
  </si>
  <si>
    <t>PERM_SERVICE</t>
  </si>
  <si>
    <t>PERM_SERVICE_URI</t>
  </si>
  <si>
    <t>PERM_MENU</t>
  </si>
  <si>
    <t>PERM_MENU_NAME</t>
  </si>
  <si>
    <t>PERM_DOC_TYPE</t>
  </si>
  <si>
    <t>PERM_DOC_CODE</t>
  </si>
  <si>
    <t>PERM_ACTION</t>
  </si>
  <si>
    <t>PERM_DESC</t>
  </si>
  <si>
    <t>PERM_DESC_OTH</t>
  </si>
  <si>
    <t>PERM_ACCESS</t>
  </si>
  <si>
    <t>PM000</t>
  </si>
  <si>
    <t>Y</t>
  </si>
  <si>
    <t>M</t>
  </si>
  <si>
    <t>R</t>
  </si>
  <si>
    <t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</t>
  </si>
  <si>
    <t>PM001</t>
  </si>
  <si>
    <t>PM002</t>
  </si>
  <si>
    <t>PM003</t>
  </si>
  <si>
    <t>PM004</t>
  </si>
  <si>
    <t>PM005</t>
  </si>
  <si>
    <t>PM006</t>
  </si>
  <si>
    <t>PM007</t>
  </si>
  <si>
    <t>PM008</t>
  </si>
  <si>
    <t>PM009</t>
  </si>
  <si>
    <t>PM010</t>
  </si>
  <si>
    <t>PM011</t>
  </si>
  <si>
    <t>PM012</t>
  </si>
  <si>
    <t>PM013</t>
  </si>
  <si>
    <t>PM014</t>
  </si>
  <si>
    <t>PM015</t>
  </si>
  <si>
    <t>PM016</t>
  </si>
  <si>
    <t>PM017</t>
  </si>
  <si>
    <t>PM018</t>
  </si>
  <si>
    <t>PM019</t>
  </si>
  <si>
    <t>PM020</t>
  </si>
  <si>
    <t>PM021</t>
  </si>
  <si>
    <t>PM022</t>
  </si>
  <si>
    <t>PM023</t>
  </si>
  <si>
    <t>PM024</t>
  </si>
  <si>
    <t>PM025</t>
  </si>
  <si>
    <t>PM026</t>
  </si>
  <si>
    <t>PM027</t>
  </si>
  <si>
    <t>PM028</t>
  </si>
  <si>
    <t>PM029</t>
  </si>
  <si>
    <t>PM030</t>
  </si>
  <si>
    <t>PM031</t>
  </si>
  <si>
    <t>PM032</t>
  </si>
  <si>
    <t>PM033</t>
  </si>
  <si>
    <t>PM034</t>
  </si>
  <si>
    <t>PM035</t>
  </si>
  <si>
    <t>PM036</t>
  </si>
  <si>
    <t>GNTRLEX_APPS_CODE</t>
  </si>
  <si>
    <t>GNTRLEX_ROLE_ID</t>
  </si>
  <si>
    <t>GNTRLEX_PERM_ID</t>
  </si>
  <si>
    <t>MENU NAME</t>
  </si>
  <si>
    <t>GNTRLEX_STATUS</t>
  </si>
  <si>
    <t>ACC_TYPE_TO</t>
  </si>
  <si>
    <t>ROLE</t>
  </si>
  <si>
    <t>BERAM</t>
  </si>
  <si>
    <t>CATEGORY ID</t>
  </si>
  <si>
    <t>ACCN_TYPE</t>
  </si>
  <si>
    <t>REPORT DESCRIPTION</t>
  </si>
  <si>
    <t>SCRIPT</t>
  </si>
  <si>
    <t>Operations Report</t>
  </si>
  <si>
    <t>OTHERS DESCRIPTION</t>
  </si>
  <si>
    <t>REPORT ID</t>
  </si>
  <si>
    <t>TITLE</t>
  </si>
  <si>
    <t>All Jobs</t>
  </si>
  <si>
    <t>LANDSCAPE</t>
  </si>
  <si>
    <t>JSPR</t>
  </si>
  <si>
    <t>BORDER</t>
  </si>
  <si>
    <t>SHOW</t>
  </si>
  <si>
    <t>ACCN TYPE</t>
  </si>
  <si>
    <t>ACCNID</t>
  </si>
  <si>
    <t>INDEX</t>
  </si>
  <si>
    <t>FILTER NAME</t>
  </si>
  <si>
    <t>FILTER TYPE</t>
  </si>
  <si>
    <t>BASIC ROW</t>
  </si>
  <si>
    <t>LISTBOX OPTION ID</t>
  </si>
  <si>
    <t>LISTBOX NAME OPTION</t>
  </si>
  <si>
    <t>MANDATORY</t>
  </si>
  <si>
    <t>JOB_STATE</t>
  </si>
  <si>
    <t>L</t>
  </si>
  <si>
    <t>LIST BOX TBL</t>
  </si>
  <si>
    <t>LIST</t>
  </si>
  <si>
    <t>JOB_PROCESS_VIA</t>
  </si>
  <si>
    <t>ALL,CANCELLED,DELIVERED,ACCEPTED,ONGOING</t>
  </si>
  <si>
    <t>ALL,MOBILE,WEB</t>
  </si>
  <si>
    <t>RCD_DT_COMPLETE</t>
  </si>
  <si>
    <t>RCD_DT_CANCEL</t>
  </si>
  <si>
    <t>RCD_DT_ACCEPTED</t>
  </si>
  <si>
    <t>RCD_DT_START</t>
  </si>
  <si>
    <t>CAPTION</t>
  </si>
  <si>
    <t>CAPTION LABEL</t>
  </si>
  <si>
    <t>Job State</t>
  </si>
  <si>
    <t>Process Via</t>
  </si>
  <si>
    <t>Date Cancelled</t>
  </si>
  <si>
    <t>Date Completed</t>
  </si>
  <si>
    <t>Date Accepted</t>
  </si>
  <si>
    <t>Date Started</t>
  </si>
  <si>
    <t>TBL IDX</t>
  </si>
  <si>
    <t>REPORT NAME</t>
  </si>
  <si>
    <t>WIDTH PERCENTAGE</t>
  </si>
  <si>
    <t>COLS</t>
  </si>
  <si>
    <t>RPT TABLE ID</t>
  </si>
  <si>
    <t>All Trucking Jobs</t>
  </si>
  <si>
    <t>QUERY - TO ADD MANUALLY IN WORKBENCH</t>
  </si>
  <si>
    <t>TBL_IDX</t>
  </si>
  <si>
    <t>IDX</t>
  </si>
  <si>
    <t>DBCOL</t>
  </si>
  <si>
    <t>COLTYPE</t>
  </si>
  <si>
    <t>NUM_PRECISION</t>
  </si>
  <si>
    <t>NUM_NO_ZERO</t>
  </si>
  <si>
    <t>NUM_FORMAT</t>
  </si>
  <si>
    <t>NUM_NEG_ONLY</t>
  </si>
  <si>
    <t>NUM_POS_ONLY</t>
  </si>
  <si>
    <t>NUM_NOSIGN</t>
  </si>
  <si>
    <t>SUBTOTAL</t>
  </si>
  <si>
    <t>IN_TOTAL</t>
  </si>
  <si>
    <t>WIDTH</t>
  </si>
  <si>
    <t>ROWIDX</t>
  </si>
  <si>
    <t>COL_IDX</t>
  </si>
  <si>
    <t>SORT IDX</t>
  </si>
  <si>
    <t>JOB_ID</t>
  </si>
  <si>
    <t>SHIPMENT_TYPE</t>
  </si>
  <si>
    <t>JOB_DT_BOOKING</t>
  </si>
  <si>
    <t>CO_FF_ACCN</t>
  </si>
  <si>
    <t>TO_ACCN</t>
  </si>
  <si>
    <t>TLOC_LOC_NAME_FROM</t>
  </si>
  <si>
    <t>TLOC_LOC_NAME_TO</t>
  </si>
  <si>
    <t>DRV_NAME</t>
  </si>
  <si>
    <t>VH_PLATE_NO</t>
  </si>
  <si>
    <t>RCD_DT_SUBMIT</t>
  </si>
  <si>
    <t>Truck Job ID</t>
  </si>
  <si>
    <t>Shipment Type</t>
  </si>
  <si>
    <t>Booking Date</t>
  </si>
  <si>
    <t>Cargo Owner</t>
  </si>
  <si>
    <t>Trucker Operator</t>
  </si>
  <si>
    <t>Trip From</t>
  </si>
  <si>
    <t>Trip To</t>
  </si>
  <si>
    <t>Driver Name</t>
  </si>
  <si>
    <t>Truck Plate No.</t>
  </si>
  <si>
    <t>Submitted Date</t>
  </si>
  <si>
    <t>Cancelled Date</t>
  </si>
  <si>
    <t>Accepted Date</t>
  </si>
  <si>
    <t>Start Date</t>
  </si>
  <si>
    <t>Completed Date</t>
  </si>
  <si>
    <t>T</t>
  </si>
  <si>
    <t>D</t>
  </si>
  <si>
    <t>REPORT CATEOGRY</t>
  </si>
  <si>
    <t>Name</t>
  </si>
  <si>
    <t>Date Submitted</t>
  </si>
  <si>
    <t>ALL,CAN,DLV,ACP,ONGOING</t>
  </si>
  <si>
    <t>RPT_ALL_JOBS_TO</t>
  </si>
  <si>
    <t>RPT_ALL_JOBS_CO</t>
  </si>
  <si>
    <t>Refer to AllJobs_TO.sql</t>
  </si>
  <si>
    <t>Refer to AllJobs_CO.sql</t>
  </si>
  <si>
    <t>RPT_JOBS_DISCREPANCY_TO</t>
  </si>
  <si>
    <t>Jobs with Discripancies/Deviations</t>
  </si>
  <si>
    <t>FEDEX</t>
  </si>
  <si>
    <t>IS_DEVIATED</t>
  </si>
  <si>
    <t>Is Deviated</t>
  </si>
  <si>
    <t>HAS_DISCREPANCY</t>
  </si>
  <si>
    <t>Has Discrepancy</t>
  </si>
  <si>
    <t>Y,N</t>
  </si>
  <si>
    <t>YES,NO</t>
  </si>
  <si>
    <t>JobsWithDescripancies_TO.sql</t>
  </si>
  <si>
    <t>IFNULLVAL</t>
  </si>
  <si>
    <t>DEFVALUE</t>
  </si>
  <si>
    <t>ALL,SUBMITTED,CANCELLED,DELIVERED,ACCEPTED,ONGOING</t>
  </si>
  <si>
    <t>ALL,SUB,CAN,DLV,ACP,ONGOING</t>
  </si>
  <si>
    <t>SUB</t>
  </si>
  <si>
    <t>RPT_JOBS_DISCREPANCY_CO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</si>
</sst>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/>
    <xf numFmtId="0" fontId="5" fillId="0" borderId="0" xfId="0" applyFont="1"/>
    <xf numFmtId="0" fontId="0" fillId="3" borderId="0" xfId="0" applyFill="1"/>
    <xf numFmtId="0" fontId="6" fillId="0" borderId="0" xfId="0" applyFont="1"/>
    <xf numFmtId="0" fontId="0" fillId="2" borderId="0" xfId="0" applyFill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0" fillId="4" borderId="0" xfId="0" applyFill="1"/>
    <xf numFmtId="22" fontId="0" fillId="0" borderId="0" xfId="0" applyNumberFormat="1"/>
    <xf numFmtId="0" fontId="9" fillId="0" borderId="0" xfId="0" applyFont="1"/>
    <xf numFmtId="0" fontId="6" fillId="3" borderId="0" xfId="0" applyFont="1" applyFill="1"/>
    <xf numFmtId="0" fontId="7" fillId="3" borderId="0" xfId="0" applyFont="1" applyFill="1"/>
    <xf numFmtId="0" fontId="7" fillId="2" borderId="0" xfId="0" applyFont="1" applyFill="1"/>
    <xf numFmtId="0" fontId="4" fillId="0" borderId="0" xfId="0" applyFont="1"/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4" borderId="0" xfId="0" applyFill="1" applyAlignment="1">
      <alignment vertical="top"/>
    </xf>
    <xf numFmtId="22" fontId="0" fillId="0" borderId="0" xfId="0" applyNumberForma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4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8" fillId="2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7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workbookViewId="0">
      <pane ySplit="1" topLeftCell="A2" activePane="bottomLeft" state="frozen"/>
      <selection pane="bottomLeft" activeCell="E6" sqref="E6"/>
    </sheetView>
  </sheetViews>
  <sheetFormatPr baseColWidth="10" defaultColWidth="11" defaultRowHeight="16" x14ac:dyDescent="0.2"/>
  <cols>
    <col min="2" max="2" width="15" customWidth="1"/>
    <col min="4" max="4" width="15.6640625" customWidth="1"/>
    <col min="5" max="6" width="32" customWidth="1"/>
    <col min="10" max="10" width="24.5" style="5" customWidth="1"/>
  </cols>
  <sheetData>
    <row r="1" spans="1:10" x14ac:dyDescent="0.2">
      <c r="A1" s="1" t="s">
        <v>186</v>
      </c>
      <c r="B1" s="1" t="s">
        <v>187</v>
      </c>
      <c r="C1" s="1" t="s">
        <v>184</v>
      </c>
      <c r="D1" s="1" t="s">
        <v>0</v>
      </c>
      <c r="E1" s="1" t="s">
        <v>188</v>
      </c>
      <c r="F1" s="1" t="s">
        <v>191</v>
      </c>
      <c r="G1" s="1" t="s">
        <v>1</v>
      </c>
      <c r="H1" s="1" t="s">
        <v>189</v>
      </c>
      <c r="I1" s="1"/>
    </row>
    <row r="2" spans="1:10" x14ac:dyDescent="0.2">
      <c r="A2" s="16" t="s">
        <v>12</v>
      </c>
      <c r="B2" t="s">
        <v>183</v>
      </c>
      <c r="C2" s="16" t="s">
        <v>12</v>
      </c>
      <c r="D2" s="16" t="s">
        <v>10</v>
      </c>
      <c r="E2" s="16" t="s">
        <v>190</v>
      </c>
      <c r="F2" s="16"/>
      <c r="G2" s="16" t="s">
        <v>5</v>
      </c>
      <c r="H2" t="str">
        <f>CONCATENATE("INSERT INTO `T_MST_RPT_CAT` (`RPTC_CAT`,`RPTC_ACCN_TYPE`,`RPTC_ROLE_ID`,`RPTC_APPSID`,`RPTC_DESC`,`RPTC_DESC_OTH`,`RPTC_STATUS`,`RPTC_UID_CREATE`,`RPTC_DT_CREATE`,`RPTC_UID_LUPD`,`RPTC_DT_LUPD`) ")</f>
        <v xml:space="preserve">INSERT INTO `T_MST_RPT_CAT` (`RPTC_CAT`,`RPTC_ACCN_TYPE`,`RPTC_ROLE_ID`,`RPTC_APPSID`,`RPTC_DESC`,`RPTC_DESC_OTH`,`RPTC_STATUS`,`RPTC_UID_CREATE`,`RPTC_DT_CREATE`,`RPTC_UID_LUPD`,`RPTC_DT_LUPD`) </v>
      </c>
      <c r="I2" t="str">
        <f>CONCATENATE(" VALUES('",A2,"','",B2,"','",C2,"','",D2,"','",E2,"','",F2,"','",G2,"','SYS',NOW(),'SYS',NOW());")</f>
        <v xml:space="preserve"> VALUES('OP_ADMIN','ACC_TYPE_TO','OP_ADMIN','CKT','Operations Report','','A','SYS',NOW(),'SYS',NOW());</v>
      </c>
      <c r="J2" s="17" t="str">
        <f>CONCATENATE(H2, I2)</f>
        <v>INSERT INTO `T_MST_RPT_CAT` (`RPTC_CAT`,`RPTC_ACCN_TYPE`,`RPTC_ROLE_ID`,`RPTC_APPSID`,`RPTC_DESC`,`RPTC_DESC_OTH`,`RPTC_STATUS`,`RPTC_UID_CREATE`,`RPTC_DT_CREATE`,`RPTC_UID_LUPD`,`RPTC_DT_LUPD`)  VALUES('OP_ADMIN','ACC_TYPE_TO','OP_ADMIN','CKT','Operations Report','','A','SYS',NOW(),'SYS',NOW());</v>
      </c>
    </row>
    <row r="3" spans="1:10" x14ac:dyDescent="0.2">
      <c r="A3" s="16" t="s">
        <v>12</v>
      </c>
      <c r="B3" s="16" t="s">
        <v>16</v>
      </c>
      <c r="C3" s="16" t="s">
        <v>12</v>
      </c>
      <c r="D3" s="16" t="s">
        <v>10</v>
      </c>
      <c r="E3" s="16" t="s">
        <v>190</v>
      </c>
      <c r="F3" s="16"/>
      <c r="G3" s="16" t="s">
        <v>5</v>
      </c>
      <c r="H3" t="str">
        <f>CONCATENATE("INSERT INTO `T_MST_RPT_CAT` (`RPTC_CAT`,`RPTC_ACCN_TYPE`,`RPTC_ROLE_ID`,`RPTC_APPSID`,`RPTC_DESC`,`RPTC_DESC_OTH`,`RPTC_STATUS`,`RPTC_UID_CREATE`,`RPTC_DT_CREATE`,`RPTC_UID_LUPD`,`RPTC_DT_LUPD`) ")</f>
        <v xml:space="preserve">INSERT INTO `T_MST_RPT_CAT` (`RPTC_CAT`,`RPTC_ACCN_TYPE`,`RPTC_ROLE_ID`,`RPTC_APPSID`,`RPTC_DESC`,`RPTC_DESC_OTH`,`RPTC_STATUS`,`RPTC_UID_CREATE`,`RPTC_DT_CREATE`,`RPTC_UID_LUPD`,`RPTC_DT_LUPD`) </v>
      </c>
      <c r="I3" t="str">
        <f>CONCATENATE(" VALUES('",A3,"','",B3,"','",C3,"','",D3,"','",E3,"','",F3,"','",G3,"','SYS',NOW(),'SYS',NOW());")</f>
        <v xml:space="preserve"> VALUES('OP_ADMIN','ACC_TYPE_CO','OP_ADMIN','CKT','Operations Report','','A','SYS',NOW(),'SYS',NOW());</v>
      </c>
      <c r="J3" s="17" t="str">
        <f>CONCATENATE(H3, I3)</f>
        <v>INSERT INTO `T_MST_RPT_CAT` (`RPTC_CAT`,`RPTC_ACCN_TYPE`,`RPTC_ROLE_ID`,`RPTC_APPSID`,`RPTC_DESC`,`RPTC_DESC_OTH`,`RPTC_STATUS`,`RPTC_UID_CREATE`,`RPTC_DT_CREATE`,`RPTC_UID_LUPD`,`RPTC_DT_LUPD`)  VALUES('OP_ADMIN','ACC_TYPE_CO','OP_ADMIN','CKT','Operations Report','','A','SYS',NOW(),'SYS',NOW());</v>
      </c>
    </row>
    <row r="28" spans="1:1" x14ac:dyDescent="0.2">
      <c r="A28" s="1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zoomScale="115" zoomScaleNormal="115" workbookViewId="0">
      <pane ySplit="1" topLeftCell="A2" activePane="bottomLeft" state="frozen"/>
      <selection pane="bottomLeft" activeCell="N5" sqref="N5"/>
    </sheetView>
  </sheetViews>
  <sheetFormatPr baseColWidth="10" defaultColWidth="11" defaultRowHeight="16" x14ac:dyDescent="0.2"/>
  <cols>
    <col min="1" max="1" width="22.83203125" customWidth="1"/>
    <col min="2" max="2" width="13.1640625" customWidth="1"/>
    <col min="3" max="7" width="19.83203125" customWidth="1"/>
    <col min="14" max="14" width="20.1640625" style="5" customWidth="1"/>
  </cols>
  <sheetData>
    <row r="1" spans="1:14" x14ac:dyDescent="0.2">
      <c r="A1" s="1" t="s">
        <v>192</v>
      </c>
      <c r="B1" s="1" t="s">
        <v>14</v>
      </c>
      <c r="C1" s="1" t="s">
        <v>0</v>
      </c>
      <c r="D1" s="1" t="s">
        <v>276</v>
      </c>
      <c r="E1" s="1" t="s">
        <v>184</v>
      </c>
      <c r="F1" s="1" t="s">
        <v>277</v>
      </c>
      <c r="G1" s="1" t="s">
        <v>193</v>
      </c>
      <c r="H1" s="1" t="s">
        <v>195</v>
      </c>
      <c r="I1" s="1" t="s">
        <v>198</v>
      </c>
      <c r="J1" s="1" t="s">
        <v>196</v>
      </c>
      <c r="K1" s="1" t="s">
        <v>197</v>
      </c>
    </row>
    <row r="2" spans="1:14" x14ac:dyDescent="0.2">
      <c r="A2" s="16" t="s">
        <v>280</v>
      </c>
      <c r="B2" s="16" t="s">
        <v>183</v>
      </c>
      <c r="C2" s="16" t="s">
        <v>10</v>
      </c>
      <c r="D2" s="16" t="s">
        <v>12</v>
      </c>
      <c r="E2" s="16" t="s">
        <v>12</v>
      </c>
      <c r="F2" s="16" t="s">
        <v>194</v>
      </c>
      <c r="G2" s="16" t="s">
        <v>194</v>
      </c>
      <c r="H2" s="16" t="s">
        <v>138</v>
      </c>
      <c r="I2" s="16" t="s">
        <v>138</v>
      </c>
      <c r="J2" s="16" t="s">
        <v>17</v>
      </c>
      <c r="K2" s="16" t="s">
        <v>17</v>
      </c>
      <c r="L2" t="str">
        <f>CONCATENATE("INSERT INTO `T_CORE_RPT`(`RPT_RPTID`,`RPT_ACCN_TYPE`,`RPT_APPSID`,`RPT_CAT`,`RPT_ROLE_ID`,`RPT_NAME`,`RPT_TITLE`,`RPT_LANDSCAPE`,`RPT_SHOW`,`RPT_JSPR`,`RPT_BORDER`,`RPT_DT_CRT`,`RPT_UID_CRT`,`RPT_DT_LUPD`,`RPT_UID_LUPD`)")</f>
        <v>INSERT INTO `T_CORE_RPT`(`RPT_RPTID`,`RPT_ACCN_TYPE`,`RPT_APPSID`,`RPT_CAT`,`RPT_ROLE_ID`,`RPT_NAME`,`RPT_TITLE`,`RPT_LANDSCAPE`,`RPT_SHOW`,`RPT_JSPR`,`RPT_BORDER`,`RPT_DT_CRT`,`RPT_UID_CRT`,`RPT_DT_LUPD`,`RPT_UID_LUPD`)</v>
      </c>
      <c r="M2" t="str">
        <f>CONCATENATE(" VALUES('",A2,"','",B2,"','",C2,"','",D2,"','",E2,"','",F2,"','",G2,"','",H2,"','",I2,"','",J2,"','",K2,"',NOW(),'SYS',NOW(), 'SYS');")</f>
        <v xml:space="preserve"> VALUES('RPT_ALL_JOBS_TO','ACC_TYPE_TO','CKT','OP_ADMIN','OP_ADMIN','All Jobs','All Jobs','Y','Y','N','N',NOW(),'SYS',NOW(), 'SYS');</v>
      </c>
      <c r="N2" s="5" t="str">
        <f>CONCATENATE(L2,M2)</f>
        <v>INSERT INTO `T_CORE_RPT`(`RPT_RPTID`,`RPT_ACCN_TYPE`,`RPT_APPSID`,`RPT_CAT`,`RPT_ROLE_ID`,`RPT_NAME`,`RPT_TITLE`,`RPT_LANDSCAPE`,`RPT_SHOW`,`RPT_JSPR`,`RPT_BORDER`,`RPT_DT_CRT`,`RPT_UID_CRT`,`RPT_DT_LUPD`,`RPT_UID_LUPD`) VALUES('RPT_ALL_JOBS_TO','ACC_TYPE_TO','CKT','OP_ADMIN','OP_ADMIN','All Jobs','All Jobs','Y','Y','N','N',NOW(),'SYS',NOW(), 'SYS');</v>
      </c>
    </row>
    <row r="3" spans="1:14" x14ac:dyDescent="0.2">
      <c r="A3" s="16" t="s">
        <v>281</v>
      </c>
      <c r="B3" s="16" t="s">
        <v>16</v>
      </c>
      <c r="C3" s="16" t="s">
        <v>10</v>
      </c>
      <c r="D3" s="16" t="s">
        <v>12</v>
      </c>
      <c r="E3" s="16" t="s">
        <v>12</v>
      </c>
      <c r="F3" s="16" t="s">
        <v>194</v>
      </c>
      <c r="G3" s="16" t="s">
        <v>194</v>
      </c>
      <c r="H3" s="16" t="s">
        <v>138</v>
      </c>
      <c r="I3" s="16" t="s">
        <v>138</v>
      </c>
      <c r="J3" s="16" t="s">
        <v>17</v>
      </c>
      <c r="K3" s="16" t="s">
        <v>17</v>
      </c>
      <c r="L3" t="str">
        <f>CONCATENATE("INSERT INTO `T_CORE_RPT`(`RPT_RPTID`,`RPT_ACCN_TYPE`,`RPT_APPSID`,`RPT_CAT`,`RPT_ROLE_ID`,`RPT_NAME`,`RPT_TITLE`,`RPT_LANDSCAPE`,`RPT_SHOW`,`RPT_JSPR`,`RPT_BORDER`,`RPT_DT_CRT`,`RPT_UID_CRT`,`RPT_DT_LUPD`,`RPT_UID_LUPD`)")</f>
        <v>INSERT INTO `T_CORE_RPT`(`RPT_RPTID`,`RPT_ACCN_TYPE`,`RPT_APPSID`,`RPT_CAT`,`RPT_ROLE_ID`,`RPT_NAME`,`RPT_TITLE`,`RPT_LANDSCAPE`,`RPT_SHOW`,`RPT_JSPR`,`RPT_BORDER`,`RPT_DT_CRT`,`RPT_UID_CRT`,`RPT_DT_LUPD`,`RPT_UID_LUPD`)</v>
      </c>
      <c r="M3" t="str">
        <f>CONCATENATE(" VALUES('",A3,"','",B3,"','",C3,"','",D3,"','",E3,"','",F3,"','",G3,"','",H3,"','",I3,"','",J3,"','",K3,"',NOW(),'SYS',NOW(), 'SYS');")</f>
        <v xml:space="preserve"> VALUES('RPT_ALL_JOBS_CO','ACC_TYPE_CO','CKT','OP_ADMIN','OP_ADMIN','All Jobs','All Jobs','Y','Y','N','N',NOW(),'SYS',NOW(), 'SYS');</v>
      </c>
      <c r="N3" s="5" t="str">
        <f>CONCATENATE(L3,M3)</f>
        <v>INSERT INTO `T_CORE_RPT`(`RPT_RPTID`,`RPT_ACCN_TYPE`,`RPT_APPSID`,`RPT_CAT`,`RPT_ROLE_ID`,`RPT_NAME`,`RPT_TITLE`,`RPT_LANDSCAPE`,`RPT_SHOW`,`RPT_JSPR`,`RPT_BORDER`,`RPT_DT_CRT`,`RPT_UID_CRT`,`RPT_DT_LUPD`,`RPT_UID_LUPD`) VALUES('RPT_ALL_JOBS_CO','ACC_TYPE_CO','CKT','OP_ADMIN','OP_ADMIN','All Jobs','All Jobs','Y','Y','N','N',NOW(),'SYS',NOW(), 'SYS');</v>
      </c>
    </row>
    <row r="4" spans="1:14" x14ac:dyDescent="0.2">
      <c r="A4" s="31" t="s">
        <v>284</v>
      </c>
      <c r="B4" s="16" t="s">
        <v>183</v>
      </c>
      <c r="C4" s="16" t="s">
        <v>10</v>
      </c>
      <c r="D4" s="16" t="s">
        <v>12</v>
      </c>
      <c r="E4" s="16" t="s">
        <v>12</v>
      </c>
      <c r="F4" s="31" t="s">
        <v>285</v>
      </c>
      <c r="G4" s="31" t="s">
        <v>285</v>
      </c>
      <c r="H4" s="16" t="s">
        <v>138</v>
      </c>
      <c r="I4" s="16" t="s">
        <v>138</v>
      </c>
      <c r="J4" s="16" t="s">
        <v>17</v>
      </c>
      <c r="K4" s="16" t="s">
        <v>17</v>
      </c>
      <c r="L4" t="str">
        <f>CONCATENATE("INSERT INTO `T_CORE_RPT`(`RPT_RPTID`,`RPT_ACCN_TYPE`,`RPT_APPSID`,`RPT_CAT`,`RPT_ROLE_ID`,`RPT_NAME`,`RPT_TITLE`,`RPT_LANDSCAPE`,`RPT_SHOW`,`RPT_JSPR`,`RPT_BORDER`,`RPT_DT_CRT`,`RPT_UID_CRT`,`RPT_DT_LUPD`,`RPT_UID_LUPD`)")</f>
        <v>INSERT INTO `T_CORE_RPT`(`RPT_RPTID`,`RPT_ACCN_TYPE`,`RPT_APPSID`,`RPT_CAT`,`RPT_ROLE_ID`,`RPT_NAME`,`RPT_TITLE`,`RPT_LANDSCAPE`,`RPT_SHOW`,`RPT_JSPR`,`RPT_BORDER`,`RPT_DT_CRT`,`RPT_UID_CRT`,`RPT_DT_LUPD`,`RPT_UID_LUPD`)</v>
      </c>
      <c r="M4" t="str">
        <f>CONCATENATE(" VALUES('",A4,"','",B4,"','",C4,"','",D4,"','",E4,"','",F4,"','",G4,"','",H4,"','",I4,"','",J4,"','",K4,"',NOW(),'SYS',NOW(), 'SYS');")</f>
        <v xml:space="preserve"> VALUES('RPT_JOBS_DISCREPANCY_TO','ACC_TYPE_TO','CKT','OP_ADMIN','OP_ADMIN','Jobs with Discripancies/Deviations','Jobs with Discripancies/Deviations','Y','Y','N','N',NOW(),'SYS',NOW(), 'SYS');</v>
      </c>
      <c r="N4" s="5" t="str">
        <f>CONCATENATE(L4,M4)</f>
        <v>INSERT INTO `T_CORE_RPT`(`RPT_RPTID`,`RPT_ACCN_TYPE`,`RPT_APPSID`,`RPT_CAT`,`RPT_ROLE_ID`,`RPT_NAME`,`RPT_TITLE`,`RPT_LANDSCAPE`,`RPT_SHOW`,`RPT_JSPR`,`RPT_BORDER`,`RPT_DT_CRT`,`RPT_UID_CRT`,`RPT_DT_LUPD`,`RPT_UID_LUPD`) VALUES('RPT_JOBS_DISCREPANCY_TO','ACC_TYPE_TO','CKT','OP_ADMIN','OP_ADMIN','Jobs with Discripancies/Deviations','Jobs with Discripancies/Deviations','Y','Y','N','N',NOW(),'SYS',NOW(), 'SYS');</v>
      </c>
    </row>
    <row r="5" spans="1:14" x14ac:dyDescent="0.2">
      <c r="A5" s="31" t="s">
        <v>299</v>
      </c>
      <c r="B5" s="16" t="s">
        <v>16</v>
      </c>
      <c r="C5" s="16" t="s">
        <v>10</v>
      </c>
      <c r="D5" s="16" t="s">
        <v>12</v>
      </c>
      <c r="E5" s="16" t="s">
        <v>12</v>
      </c>
      <c r="F5" s="31" t="s">
        <v>285</v>
      </c>
      <c r="G5" s="31" t="s">
        <v>285</v>
      </c>
      <c r="H5" s="16" t="s">
        <v>138</v>
      </c>
      <c r="I5" s="16" t="s">
        <v>138</v>
      </c>
      <c r="J5" s="16" t="s">
        <v>17</v>
      </c>
      <c r="K5" s="16" t="s">
        <v>17</v>
      </c>
      <c r="L5" t="str">
        <f>CONCATENATE("INSERT INTO `T_CORE_RPT`(`RPT_RPTID`,`RPT_ACCN_TYPE`,`RPT_APPSID`,`RPT_CAT`,`RPT_ROLE_ID`,`RPT_NAME`,`RPT_TITLE`,`RPT_LANDSCAPE`,`RPT_SHOW`,`RPT_JSPR`,`RPT_BORDER`,`RPT_DT_CRT`,`RPT_UID_CRT`,`RPT_DT_LUPD`,`RPT_UID_LUPD`)")</f>
        <v>INSERT INTO `T_CORE_RPT`(`RPT_RPTID`,`RPT_ACCN_TYPE`,`RPT_APPSID`,`RPT_CAT`,`RPT_ROLE_ID`,`RPT_NAME`,`RPT_TITLE`,`RPT_LANDSCAPE`,`RPT_SHOW`,`RPT_JSPR`,`RPT_BORDER`,`RPT_DT_CRT`,`RPT_UID_CRT`,`RPT_DT_LUPD`,`RPT_UID_LUPD`)</v>
      </c>
      <c r="M5" t="str">
        <f>CONCATENATE(" VALUES('",A5,"','",B5,"','",C5,"','",D5,"','",E5,"','",F5,"','",G5,"','",H5,"','",I5,"','",J5,"','",K5,"',NOW(),'SYS',NOW(), 'SYS');")</f>
        <v xml:space="preserve"> VALUES('RPT_JOBS_DISCREPANCY_CO','ACC_TYPE_CO','CKT','OP_ADMIN','OP_ADMIN','Jobs with Discripancies/Deviations','Jobs with Discripancies/Deviations','Y','Y','N','N',NOW(),'SYS',NOW(), 'SYS');</v>
      </c>
      <c r="N5" s="5" t="str">
        <f>CONCATENATE(L5,M5)</f>
        <v>INSERT INTO `T_CORE_RPT`(`RPT_RPTID`,`RPT_ACCN_TYPE`,`RPT_APPSID`,`RPT_CAT`,`RPT_ROLE_ID`,`RPT_NAME`,`RPT_TITLE`,`RPT_LANDSCAPE`,`RPT_SHOW`,`RPT_JSPR`,`RPT_BORDER`,`RPT_DT_CRT`,`RPT_UID_CRT`,`RPT_DT_LUPD`,`RPT_UID_LUPD`) VALUES('RPT_JOBS_DISCREPANCY_CO','ACC_TYPE_CO','CKT','OP_ADMIN','OP_ADMIN','Jobs with Discripancies/Deviations','Jobs with Discripancies/Deviations','Y','Y','N','N',NOW(),'SYS',NOW(), 'SYS');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 activeCell="A5" sqref="A5"/>
    </sheetView>
  </sheetViews>
  <sheetFormatPr baseColWidth="10" defaultColWidth="11" defaultRowHeight="16" x14ac:dyDescent="0.2"/>
  <cols>
    <col min="1" max="1" width="25.83203125" customWidth="1"/>
    <col min="2" max="2" width="35.33203125" customWidth="1"/>
    <col min="6" max="6" width="48.6640625" customWidth="1"/>
  </cols>
  <sheetData>
    <row r="1" spans="1:7" x14ac:dyDescent="0.2">
      <c r="A1" s="1" t="s">
        <v>192</v>
      </c>
      <c r="B1" s="1" t="s">
        <v>199</v>
      </c>
      <c r="C1" s="1" t="s">
        <v>184</v>
      </c>
      <c r="D1" s="1" t="s">
        <v>0</v>
      </c>
      <c r="E1" s="1" t="s">
        <v>200</v>
      </c>
      <c r="F1" s="1"/>
      <c r="G1" s="15"/>
    </row>
    <row r="2" spans="1:7" x14ac:dyDescent="0.2">
      <c r="A2" s="16" t="s">
        <v>280</v>
      </c>
      <c r="B2" t="s">
        <v>183</v>
      </c>
      <c r="C2" s="16" t="s">
        <v>12</v>
      </c>
      <c r="D2" s="16" t="s">
        <v>10</v>
      </c>
      <c r="E2" s="16" t="s">
        <v>185</v>
      </c>
      <c r="F2" t="str">
        <f>CONCATENATE("INSERT INTO `T_CORE_RPT_ACL`(`RPTA_RPTID`,`RPTA_ACCN_TYPE`,`RPTA_ROLEID`,`RPTA_APPSID`,`RPTA_ACCNID`) VALUES('",A2,"','",B2,"','",C2,"','",D2,"','",E2,"');")</f>
        <v>INSERT INTO `T_CORE_RPT_ACL`(`RPTA_RPTID`,`RPTA_ACCN_TYPE`,`RPTA_ROLEID`,`RPTA_APPSID`,`RPTA_ACCNID`) VALUES('RPT_ALL_JOBS_TO','ACC_TYPE_TO','OP_ADMIN','CKT','BERAM');</v>
      </c>
    </row>
    <row r="3" spans="1:7" x14ac:dyDescent="0.2">
      <c r="A3" s="16" t="s">
        <v>281</v>
      </c>
      <c r="B3" s="16" t="s">
        <v>16</v>
      </c>
      <c r="C3" s="16" t="s">
        <v>12</v>
      </c>
      <c r="D3" s="16" t="s">
        <v>10</v>
      </c>
      <c r="E3" s="16" t="s">
        <v>15</v>
      </c>
      <c r="F3" t="str">
        <f>CONCATENATE("INSERT INTO `T_CORE_RPT_ACL`(`RPTA_RPTID`,`RPTA_ACCN_TYPE`,`RPTA_ROLEID`,`RPTA_APPSID`,`RPTA_ACCNID`) VALUES('",A3,"','",B3,"','",C3,"','",D3,"','",E3,"');")</f>
        <v>INSERT INTO `T_CORE_RPT_ACL`(`RPTA_RPTID`,`RPTA_ACCN_TYPE`,`RPTA_ROLEID`,`RPTA_APPSID`,`RPTA_ACCNID`) VALUES('RPT_ALL_JOBS_CO','ACC_TYPE_CO','OP_ADMIN','CKT','ALKNAR');</v>
      </c>
    </row>
    <row r="4" spans="1:7" x14ac:dyDescent="0.2">
      <c r="A4" s="31" t="s">
        <v>284</v>
      </c>
      <c r="B4" t="s">
        <v>183</v>
      </c>
      <c r="C4" s="16" t="s">
        <v>12</v>
      </c>
      <c r="D4" s="16" t="s">
        <v>10</v>
      </c>
      <c r="E4" s="31" t="s">
        <v>286</v>
      </c>
      <c r="F4" t="str">
        <f>CONCATENATE("INSERT INTO `T_CORE_RPT_ACL`(`RPTA_RPTID`,`RPTA_ACCN_TYPE`,`RPTA_ROLEID`,`RPTA_APPSID`,`RPTA_ACCNID`) VALUES('",A4,"','",B4,"','",C4,"','",D4,"','",E4,"');")</f>
        <v>INSERT INTO `T_CORE_RPT_ACL`(`RPTA_RPTID`,`RPTA_ACCN_TYPE`,`RPTA_ROLEID`,`RPTA_APPSID`,`RPTA_ACCNID`) VALUES('RPT_JOBS_DISCREPANCY_TO','ACC_TYPE_TO','OP_ADMIN','CKT','FEDEX');</v>
      </c>
    </row>
    <row r="5" spans="1:7" x14ac:dyDescent="0.2">
      <c r="A5" s="31" t="s">
        <v>299</v>
      </c>
      <c r="B5" s="16" t="s">
        <v>16</v>
      </c>
      <c r="C5" s="16" t="s">
        <v>12</v>
      </c>
      <c r="D5" s="16" t="s">
        <v>10</v>
      </c>
      <c r="E5" s="16" t="s">
        <v>15</v>
      </c>
      <c r="F5" t="str">
        <f>CONCATENATE("INSERT INTO `T_CORE_RPT_ACL`(`RPTA_RPTID`,`RPTA_ACCN_TYPE`,`RPTA_ROLEID`,`RPTA_APPSID`,`RPTA_ACCNID`) VALUES('",A5,"','",B5,"','",C5,"','",D5,"','",E5,"');")</f>
        <v>INSERT INTO `T_CORE_RPT_ACL`(`RPTA_RPTID`,`RPTA_ACCN_TYPE`,`RPTA_ROLEID`,`RPTA_APPSID`,`RPTA_ACCNID`) VALUES('RPT_JOBS_DISCREPANCY_CO','ACC_TYPE_CO','OP_ADMIN','CKT','ALKNAR');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7"/>
  <sheetViews>
    <sheetView topLeftCell="E1" zoomScale="119" zoomScaleNormal="119" workbookViewId="0">
      <pane ySplit="1" topLeftCell="A2" activePane="bottomLeft" state="frozen"/>
      <selection pane="bottomLeft" activeCell="R21" sqref="R21:R23"/>
    </sheetView>
  </sheetViews>
  <sheetFormatPr baseColWidth="10" defaultColWidth="8.83203125" defaultRowHeight="16" x14ac:dyDescent="0.2"/>
  <cols>
    <col min="1" max="1" width="29.83203125" style="7" customWidth="1"/>
    <col min="2" max="2" width="17.33203125" style="7" customWidth="1"/>
    <col min="3" max="3" width="24.1640625" style="7" customWidth="1"/>
    <col min="4" max="4" width="19.83203125" style="7" customWidth="1"/>
    <col min="5" max="6" width="24.5" style="7" customWidth="1"/>
    <col min="7" max="8" width="32.1640625" style="7" customWidth="1"/>
    <col min="9" max="9" width="23.83203125" style="7" customWidth="1"/>
    <col min="10" max="10" width="28.5" style="7" customWidth="1"/>
    <col min="11" max="13" width="11.6640625" style="7" customWidth="1"/>
    <col min="14" max="14" width="16.83203125" style="7" customWidth="1"/>
    <col min="15" max="15" width="14" style="7" customWidth="1"/>
    <col min="16" max="16" width="11.1640625" style="7" customWidth="1"/>
    <col min="17" max="17" width="8.83203125" style="7"/>
    <col min="18" max="18" width="8.83203125" style="14"/>
    <col min="19" max="16384" width="8.83203125" style="7"/>
  </cols>
  <sheetData>
    <row r="1" spans="1:18" x14ac:dyDescent="0.2">
      <c r="A1" s="14" t="s">
        <v>192</v>
      </c>
      <c r="B1" s="14" t="s">
        <v>199</v>
      </c>
      <c r="C1" s="14" t="s">
        <v>201</v>
      </c>
      <c r="D1" s="14" t="s">
        <v>202</v>
      </c>
      <c r="E1" s="14" t="s">
        <v>203</v>
      </c>
      <c r="F1" s="14" t="s">
        <v>220</v>
      </c>
      <c r="G1" s="14" t="s">
        <v>204</v>
      </c>
      <c r="H1" s="14" t="s">
        <v>210</v>
      </c>
      <c r="I1" s="14" t="s">
        <v>205</v>
      </c>
      <c r="J1" s="14" t="s">
        <v>206</v>
      </c>
      <c r="K1" s="14" t="s">
        <v>198</v>
      </c>
      <c r="L1" s="14" t="s">
        <v>295</v>
      </c>
      <c r="M1" s="14" t="s">
        <v>294</v>
      </c>
      <c r="N1" s="14" t="s">
        <v>207</v>
      </c>
      <c r="O1" s="14"/>
      <c r="P1" s="14"/>
      <c r="Q1" s="14"/>
    </row>
    <row r="2" spans="1:18" x14ac:dyDescent="0.2">
      <c r="A2" s="16" t="s">
        <v>280</v>
      </c>
      <c r="B2" t="s">
        <v>183</v>
      </c>
      <c r="C2" s="7">
        <v>0</v>
      </c>
      <c r="D2" s="7" t="s">
        <v>208</v>
      </c>
      <c r="E2" s="7" t="s">
        <v>209</v>
      </c>
      <c r="F2" s="7" t="s">
        <v>221</v>
      </c>
      <c r="G2" s="7">
        <v>1</v>
      </c>
      <c r="H2" s="7" t="s">
        <v>211</v>
      </c>
      <c r="I2" s="7" t="s">
        <v>297</v>
      </c>
      <c r="J2" s="7" t="s">
        <v>296</v>
      </c>
      <c r="K2" s="7" t="s">
        <v>138</v>
      </c>
      <c r="L2" s="7" t="s">
        <v>298</v>
      </c>
      <c r="M2" s="7" t="s">
        <v>298</v>
      </c>
      <c r="N2" s="7" t="s">
        <v>17</v>
      </c>
      <c r="O2" s="7" t="str">
        <f>CONCATENATE("INSERT INTO `T_CORE_RPT_FILTER`(`RPTF_ID`,`RPTF_ACCN_TYPE`,`RPTF_IDX`,`RPTF_NAME`,`RPTF_FILTYPE`,`RPTF_CAPTION`,`RPTF_BASIC_ROW`,`RPTF_LISTBOX_TBL`,`RPTF_LISTBOX_IDCOL`,`RPTF_LISTBOX_CAPCOL`,`RPTF_SHOW`,`RPTF_DEFVAL`,`RPTF_IFNULLVAL`,`RPTF_MANDATORY`)")</f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2" s="7" t="str">
        <f>CONCATENATE(" VALUES('",A2,"','",B2,"','",C2,"','",D2,"','",E2,"','",F2,"','",G2,"',",IF(H2="NULL","NULL",CONCATENATE("'",H2,"'")),",",IF(I2="NULL","NULL",CONCATENATE("'",I2,"'")),",",IF(J2="NULL","NULL",CONCATENATE("'",J2,"'")),",'",K2,"',",IF(L2="NULL","NULL",CONCATENATE("'",L2,"'")),",",IF(M2="NULL","NULL",CONCATENATE("'",M2,"'")),",'",N2,"');")</f>
        <v xml:space="preserve"> VALUES('RPT_ALL_JOBS_TO','ACC_TYPE_TO','0','JOB_STATE','L','Job State','1','LIST','ALL,SUB,CAN,DLV,ACP,ONGOING','ALL,SUBMITTED,CANCELLED,DELIVERED,ACCEPTED,ONGOING','Y','SUB','SUB','N');</v>
      </c>
      <c r="R2" s="14" t="str">
        <f>CONCATENATE(O2,P2)</f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VALUES('RPT_ALL_JOBS_TO','ACC_TYPE_TO','0','JOB_STATE','L','Job State','1','LIST','ALL,SUB,CAN,DLV,ACP,ONGOING','ALL,SUBMITTED,CANCELLED,DELIVERED,ACCEPTED,ONGOING','Y','SUB','SUB','N');</v>
      </c>
    </row>
    <row r="3" spans="1:18" x14ac:dyDescent="0.2">
      <c r="A3" s="16" t="s">
        <v>280</v>
      </c>
      <c r="B3" t="s">
        <v>183</v>
      </c>
      <c r="C3" s="7">
        <v>1</v>
      </c>
      <c r="D3" s="7" t="s">
        <v>212</v>
      </c>
      <c r="E3" s="7" t="s">
        <v>209</v>
      </c>
      <c r="F3" s="7" t="s">
        <v>222</v>
      </c>
      <c r="G3" s="7">
        <v>2</v>
      </c>
      <c r="H3" s="7" t="s">
        <v>211</v>
      </c>
      <c r="I3" s="7" t="s">
        <v>214</v>
      </c>
      <c r="J3" s="7" t="s">
        <v>214</v>
      </c>
      <c r="K3" s="7" t="s">
        <v>138</v>
      </c>
      <c r="L3" s="7" t="s">
        <v>31</v>
      </c>
      <c r="M3" s="7" t="s">
        <v>31</v>
      </c>
      <c r="N3" s="7" t="s">
        <v>17</v>
      </c>
      <c r="O3" s="7" t="str">
        <f t="shared" ref="O3:O23" si="0">CONCATENATE("INSERT INTO `T_CORE_RPT_FILTER`(`RPTF_ID`,`RPTF_ACCN_TYPE`,`RPTF_IDX`,`RPTF_NAME`,`RPTF_FILTYPE`,`RPTF_CAPTION`,`RPTF_BASIC_ROW`,`RPTF_LISTBOX_TBL`,`RPTF_LISTBOX_IDCOL`,`RPTF_LISTBOX_CAPCOL`,`RPTF_SHOW`,`RPTF_DEFVAL`,`RPTF_IFNULLVAL`,`RPTF_MANDATORY`)")</f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3" s="7" t="str">
        <f t="shared" ref="P3:P20" si="1">CONCATENATE(" VALUES('",A3,"','",B3,"','",C3,"','",D3,"','",E3,"','",F3,"','",G3,"',",IF(H3="NULL","NULL",CONCATENATE("'",H3,"'")),",",IF(I3="NULL","NULL",CONCATENATE("'",I3,"'")),",",IF(J3="NULL","NULL",CONCATENATE("'",J3,"'")),",'",K3,"',",IF(L3="NULL","NULL",CONCATENATE("'",L3,"'")),",",IF(M3="NULL","NULL",CONCATENATE("'",M3,"'")),",'",N3,"');")</f>
        <v xml:space="preserve"> VALUES('RPT_ALL_JOBS_TO','ACC_TYPE_TO','1','JOB_PROCESS_VIA','L','Process Via','2','LIST','ALL,MOBILE,WEB','ALL,MOBILE,WEB','Y',NULL,NULL,'N');</v>
      </c>
      <c r="R3" s="14" t="str">
        <f t="shared" ref="R3:R20" si="2">CONCATENATE(O3,P3)</f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VALUES('RPT_ALL_JOBS_TO','ACC_TYPE_TO','1','JOB_PROCESS_VIA','L','Process Via','2','LIST','ALL,MOBILE,WEB','ALL,MOBILE,WEB','Y',NULL,NULL,'N');</v>
      </c>
    </row>
    <row r="4" spans="1:18" x14ac:dyDescent="0.2">
      <c r="A4" s="16" t="s">
        <v>280</v>
      </c>
      <c r="B4" t="s">
        <v>183</v>
      </c>
      <c r="C4" s="7">
        <v>2</v>
      </c>
      <c r="D4" s="7" t="s">
        <v>216</v>
      </c>
      <c r="E4" s="7" t="s">
        <v>140</v>
      </c>
      <c r="F4" s="7" t="s">
        <v>223</v>
      </c>
      <c r="G4" s="7">
        <v>3</v>
      </c>
      <c r="H4" s="7" t="s">
        <v>31</v>
      </c>
      <c r="I4" s="7" t="s">
        <v>31</v>
      </c>
      <c r="J4" s="7" t="s">
        <v>31</v>
      </c>
      <c r="K4" s="7" t="s">
        <v>138</v>
      </c>
      <c r="L4" s="7" t="s">
        <v>31</v>
      </c>
      <c r="M4" s="7" t="s">
        <v>31</v>
      </c>
      <c r="N4" s="7" t="s">
        <v>17</v>
      </c>
      <c r="O4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4" s="7" t="str">
        <f t="shared" si="1"/>
        <v xml:space="preserve"> VALUES('RPT_ALL_JOBS_TO','ACC_TYPE_TO','2','RCD_DT_CANCEL','R','Date Cancelled','3',NULL,NULL,NULL,'Y',NULL,NULL,'N');</v>
      </c>
      <c r="R4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VALUES('RPT_ALL_JOBS_TO','ACC_TYPE_TO','2','RCD_DT_CANCEL','R','Date Cancelled','3',NULL,NULL,NULL,'Y',NULL,NULL,'N');</v>
      </c>
    </row>
    <row r="5" spans="1:18" x14ac:dyDescent="0.2">
      <c r="A5" s="16" t="s">
        <v>280</v>
      </c>
      <c r="B5" t="s">
        <v>183</v>
      </c>
      <c r="C5" s="7">
        <v>3</v>
      </c>
      <c r="D5" s="7" t="s">
        <v>215</v>
      </c>
      <c r="E5" s="7" t="s">
        <v>140</v>
      </c>
      <c r="F5" s="7" t="s">
        <v>224</v>
      </c>
      <c r="G5" s="7">
        <v>4</v>
      </c>
      <c r="H5" s="7" t="s">
        <v>31</v>
      </c>
      <c r="I5" s="7" t="s">
        <v>31</v>
      </c>
      <c r="J5" s="7" t="s">
        <v>31</v>
      </c>
      <c r="K5" s="7" t="s">
        <v>138</v>
      </c>
      <c r="L5" s="7" t="s">
        <v>31</v>
      </c>
      <c r="M5" s="7" t="s">
        <v>31</v>
      </c>
      <c r="N5" s="7" t="s">
        <v>17</v>
      </c>
      <c r="O5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5" s="7" t="str">
        <f t="shared" si="1"/>
        <v xml:space="preserve"> VALUES('RPT_ALL_JOBS_TO','ACC_TYPE_TO','3','RCD_DT_COMPLETE','R','Date Completed','4',NULL,NULL,NULL,'Y',NULL,NULL,'N');</v>
      </c>
      <c r="R5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VALUES('RPT_ALL_JOBS_TO','ACC_TYPE_TO','3','RCD_DT_COMPLETE','R','Date Completed','4',NULL,NULL,NULL,'Y',NULL,NULL,'N');</v>
      </c>
    </row>
    <row r="6" spans="1:18" x14ac:dyDescent="0.2">
      <c r="A6" s="16" t="s">
        <v>280</v>
      </c>
      <c r="B6" t="s">
        <v>183</v>
      </c>
      <c r="C6" s="7">
        <v>4</v>
      </c>
      <c r="D6" s="7" t="s">
        <v>217</v>
      </c>
      <c r="E6" s="7" t="s">
        <v>140</v>
      </c>
      <c r="F6" s="7" t="s">
        <v>225</v>
      </c>
      <c r="G6" s="7">
        <v>5</v>
      </c>
      <c r="H6" s="7" t="s">
        <v>31</v>
      </c>
      <c r="I6" s="7" t="s">
        <v>31</v>
      </c>
      <c r="J6" s="7" t="s">
        <v>31</v>
      </c>
      <c r="K6" s="7" t="s">
        <v>138</v>
      </c>
      <c r="N6" s="7" t="s">
        <v>17</v>
      </c>
      <c r="O6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6" s="7" t="str">
        <f t="shared" si="1"/>
        <v xml:space="preserve"> VALUES('RPT_ALL_JOBS_TO','ACC_TYPE_TO','4','RCD_DT_ACCEPTED','R','Date Accepted','5',NULL,NULL,NULL,'Y','','','N');</v>
      </c>
      <c r="R6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VALUES('RPT_ALL_JOBS_TO','ACC_TYPE_TO','4','RCD_DT_ACCEPTED','R','Date Accepted','5',NULL,NULL,NULL,'Y','','','N');</v>
      </c>
    </row>
    <row r="7" spans="1:18" x14ac:dyDescent="0.2">
      <c r="A7" s="16" t="s">
        <v>280</v>
      </c>
      <c r="B7" t="s">
        <v>183</v>
      </c>
      <c r="C7" s="7">
        <v>5</v>
      </c>
      <c r="D7" s="7" t="s">
        <v>218</v>
      </c>
      <c r="E7" s="7" t="s">
        <v>140</v>
      </c>
      <c r="F7" s="7" t="s">
        <v>226</v>
      </c>
      <c r="G7" s="7">
        <v>6</v>
      </c>
      <c r="H7" s="7" t="s">
        <v>31</v>
      </c>
      <c r="I7" s="7" t="s">
        <v>31</v>
      </c>
      <c r="J7" s="7" t="s">
        <v>31</v>
      </c>
      <c r="K7" s="7" t="s">
        <v>138</v>
      </c>
      <c r="L7" s="7" t="s">
        <v>31</v>
      </c>
      <c r="M7" s="7" t="s">
        <v>31</v>
      </c>
      <c r="N7" s="7" t="s">
        <v>17</v>
      </c>
      <c r="O7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7" s="7" t="str">
        <f t="shared" si="1"/>
        <v xml:space="preserve"> VALUES('RPT_ALL_JOBS_TO','ACC_TYPE_TO','5','RCD_DT_START','R','Date Started','6',NULL,NULL,NULL,'Y',NULL,NULL,'N');</v>
      </c>
      <c r="R7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VALUES('RPT_ALL_JOBS_TO','ACC_TYPE_TO','5','RCD_DT_START','R','Date Started','6',NULL,NULL,NULL,'Y',NULL,NULL,'N');</v>
      </c>
    </row>
    <row r="8" spans="1:18" hidden="1" x14ac:dyDescent="0.2">
      <c r="O8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8" s="7" t="str">
        <f t="shared" si="1"/>
        <v xml:space="preserve"> VALUES('','','','','','','','','','','','','','');</v>
      </c>
      <c r="R8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VALUES('','','','','','','','','','','','','','');</v>
      </c>
    </row>
    <row r="9" spans="1:18" x14ac:dyDescent="0.2">
      <c r="A9" s="16" t="s">
        <v>280</v>
      </c>
      <c r="B9" t="s">
        <v>183</v>
      </c>
      <c r="C9" s="7">
        <v>6</v>
      </c>
      <c r="D9" s="7" t="s">
        <v>259</v>
      </c>
      <c r="E9" s="7" t="s">
        <v>140</v>
      </c>
      <c r="F9" s="7" t="s">
        <v>278</v>
      </c>
      <c r="G9" s="7">
        <v>7</v>
      </c>
      <c r="H9" s="7" t="s">
        <v>31</v>
      </c>
      <c r="I9" s="7" t="s">
        <v>31</v>
      </c>
      <c r="J9" s="7" t="s">
        <v>31</v>
      </c>
      <c r="K9" s="7" t="s">
        <v>138</v>
      </c>
      <c r="L9" s="7" t="s">
        <v>31</v>
      </c>
      <c r="M9" s="7" t="s">
        <v>31</v>
      </c>
      <c r="N9" s="7" t="s">
        <v>17</v>
      </c>
      <c r="O9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9" s="7" t="str">
        <f t="shared" si="1"/>
        <v xml:space="preserve"> VALUES('RPT_ALL_JOBS_TO','ACC_TYPE_TO','6','RCD_DT_SUBMIT','R','Date Submitted','7',NULL,NULL,NULL,'Y',NULL,NULL,'N');</v>
      </c>
      <c r="R9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VALUES('RPT_ALL_JOBS_TO','ACC_TYPE_TO','6','RCD_DT_SUBMIT','R','Date Submitted','7',NULL,NULL,NULL,'Y',NULL,NULL,'N');</v>
      </c>
    </row>
    <row r="10" spans="1:18" x14ac:dyDescent="0.2">
      <c r="A10" s="16" t="s">
        <v>281</v>
      </c>
      <c r="B10" s="16" t="s">
        <v>16</v>
      </c>
      <c r="C10" s="7">
        <v>0</v>
      </c>
      <c r="D10" s="7" t="s">
        <v>208</v>
      </c>
      <c r="E10" s="7" t="s">
        <v>209</v>
      </c>
      <c r="F10" s="7" t="s">
        <v>221</v>
      </c>
      <c r="G10" s="7">
        <v>1</v>
      </c>
      <c r="H10" s="7" t="s">
        <v>211</v>
      </c>
      <c r="I10" s="7" t="s">
        <v>279</v>
      </c>
      <c r="J10" s="7" t="s">
        <v>213</v>
      </c>
      <c r="K10" s="7" t="s">
        <v>138</v>
      </c>
      <c r="L10" s="7" t="s">
        <v>31</v>
      </c>
      <c r="M10" s="7" t="s">
        <v>31</v>
      </c>
      <c r="N10" s="7" t="s">
        <v>17</v>
      </c>
      <c r="O10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0" s="7" t="str">
        <f t="shared" si="1"/>
        <v xml:space="preserve"> VALUES('RPT_ALL_JOBS_CO','ACC_TYPE_CO','0','JOB_STATE','L','Job State','1','LIST','ALL,CAN,DLV,ACP,ONGOING','ALL,CANCELLED,DELIVERED,ACCEPTED,ONGOING','Y',NULL,NULL,'N');</v>
      </c>
      <c r="R10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VALUES('RPT_ALL_JOBS_CO','ACC_TYPE_CO','0','JOB_STATE','L','Job State','1','LIST','ALL,CAN,DLV,ACP,ONGOING','ALL,CANCELLED,DELIVERED,ACCEPTED,ONGOING','Y',NULL,NULL,'N');</v>
      </c>
    </row>
    <row r="11" spans="1:18" x14ac:dyDescent="0.2">
      <c r="A11" s="16" t="s">
        <v>281</v>
      </c>
      <c r="B11" s="16" t="s">
        <v>16</v>
      </c>
      <c r="C11" s="7">
        <v>1</v>
      </c>
      <c r="D11" s="7" t="s">
        <v>212</v>
      </c>
      <c r="E11" s="7" t="s">
        <v>209</v>
      </c>
      <c r="F11" s="7" t="s">
        <v>222</v>
      </c>
      <c r="G11" s="7">
        <v>2</v>
      </c>
      <c r="H11" s="7" t="s">
        <v>211</v>
      </c>
      <c r="I11" s="7" t="s">
        <v>214</v>
      </c>
      <c r="J11" s="7" t="s">
        <v>214</v>
      </c>
      <c r="K11" s="7" t="s">
        <v>138</v>
      </c>
      <c r="L11" s="7" t="s">
        <v>31</v>
      </c>
      <c r="M11" s="7" t="s">
        <v>31</v>
      </c>
      <c r="N11" s="7" t="s">
        <v>17</v>
      </c>
      <c r="O11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1" s="7" t="str">
        <f t="shared" si="1"/>
        <v xml:space="preserve"> VALUES('RPT_ALL_JOBS_CO','ACC_TYPE_CO','1','JOB_PROCESS_VIA','L','Process Via','2','LIST','ALL,MOBILE,WEB','ALL,MOBILE,WEB','Y',NULL,NULL,'N');</v>
      </c>
      <c r="R11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VALUES('RPT_ALL_JOBS_CO','ACC_TYPE_CO','1','JOB_PROCESS_VIA','L','Process Via','2','LIST','ALL,MOBILE,WEB','ALL,MOBILE,WEB','Y',NULL,NULL,'N');</v>
      </c>
    </row>
    <row r="12" spans="1:18" x14ac:dyDescent="0.2">
      <c r="A12" s="16" t="s">
        <v>281</v>
      </c>
      <c r="B12" s="16" t="s">
        <v>16</v>
      </c>
      <c r="C12" s="7">
        <v>2</v>
      </c>
      <c r="D12" s="7" t="s">
        <v>216</v>
      </c>
      <c r="E12" s="7" t="s">
        <v>140</v>
      </c>
      <c r="F12" s="7" t="s">
        <v>223</v>
      </c>
      <c r="G12" s="7">
        <v>3</v>
      </c>
      <c r="H12" s="7" t="s">
        <v>31</v>
      </c>
      <c r="I12" s="7" t="s">
        <v>31</v>
      </c>
      <c r="J12" s="7" t="s">
        <v>31</v>
      </c>
      <c r="K12" s="7" t="s">
        <v>138</v>
      </c>
      <c r="L12" s="7" t="s">
        <v>31</v>
      </c>
      <c r="M12" s="7" t="s">
        <v>31</v>
      </c>
      <c r="N12" s="7" t="s">
        <v>17</v>
      </c>
      <c r="O12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2" s="7" t="str">
        <f t="shared" si="1"/>
        <v xml:space="preserve"> VALUES('RPT_ALL_JOBS_CO','ACC_TYPE_CO','2','RCD_DT_CANCEL','R','Date Cancelled','3',NULL,NULL,NULL,'Y',NULL,NULL,'N');</v>
      </c>
      <c r="R12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VALUES('RPT_ALL_JOBS_CO','ACC_TYPE_CO','2','RCD_DT_CANCEL','R','Date Cancelled','3',NULL,NULL,NULL,'Y',NULL,NULL,'N');</v>
      </c>
    </row>
    <row r="13" spans="1:18" x14ac:dyDescent="0.2">
      <c r="A13" s="16" t="s">
        <v>281</v>
      </c>
      <c r="B13" s="16" t="s">
        <v>16</v>
      </c>
      <c r="C13" s="7">
        <v>3</v>
      </c>
      <c r="D13" s="7" t="s">
        <v>215</v>
      </c>
      <c r="E13" s="7" t="s">
        <v>140</v>
      </c>
      <c r="F13" s="7" t="s">
        <v>224</v>
      </c>
      <c r="G13" s="7">
        <v>4</v>
      </c>
      <c r="H13" s="7" t="s">
        <v>31</v>
      </c>
      <c r="I13" s="7" t="s">
        <v>31</v>
      </c>
      <c r="J13" s="7" t="s">
        <v>31</v>
      </c>
      <c r="K13" s="7" t="s">
        <v>138</v>
      </c>
      <c r="L13" s="7" t="s">
        <v>31</v>
      </c>
      <c r="M13" s="7" t="s">
        <v>31</v>
      </c>
      <c r="N13" s="7" t="s">
        <v>17</v>
      </c>
      <c r="O13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3" s="7" t="str">
        <f t="shared" si="1"/>
        <v xml:space="preserve"> VALUES('RPT_ALL_JOBS_CO','ACC_TYPE_CO','3','RCD_DT_COMPLETE','R','Date Completed','4',NULL,NULL,NULL,'Y',NULL,NULL,'N');</v>
      </c>
      <c r="R13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VALUES('RPT_ALL_JOBS_CO','ACC_TYPE_CO','3','RCD_DT_COMPLETE','R','Date Completed','4',NULL,NULL,NULL,'Y',NULL,NULL,'N');</v>
      </c>
    </row>
    <row r="14" spans="1:18" x14ac:dyDescent="0.2">
      <c r="A14" s="16" t="s">
        <v>281</v>
      </c>
      <c r="B14" s="16" t="s">
        <v>16</v>
      </c>
      <c r="C14" s="7">
        <v>4</v>
      </c>
      <c r="D14" s="7" t="s">
        <v>217</v>
      </c>
      <c r="E14" s="7" t="s">
        <v>140</v>
      </c>
      <c r="F14" s="7" t="s">
        <v>225</v>
      </c>
      <c r="G14" s="7">
        <v>5</v>
      </c>
      <c r="H14" s="7" t="s">
        <v>31</v>
      </c>
      <c r="I14" s="7" t="s">
        <v>31</v>
      </c>
      <c r="J14" s="7" t="s">
        <v>31</v>
      </c>
      <c r="K14" s="7" t="s">
        <v>138</v>
      </c>
      <c r="L14" s="7" t="s">
        <v>31</v>
      </c>
      <c r="M14" s="7" t="s">
        <v>31</v>
      </c>
      <c r="N14" s="7" t="s">
        <v>17</v>
      </c>
      <c r="O14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4" s="7" t="str">
        <f t="shared" si="1"/>
        <v xml:space="preserve"> VALUES('RPT_ALL_JOBS_CO','ACC_TYPE_CO','4','RCD_DT_ACCEPTED','R','Date Accepted','5',NULL,NULL,NULL,'Y',NULL,NULL,'N');</v>
      </c>
      <c r="R14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VALUES('RPT_ALL_JOBS_CO','ACC_TYPE_CO','4','RCD_DT_ACCEPTED','R','Date Accepted','5',NULL,NULL,NULL,'Y',NULL,NULL,'N');</v>
      </c>
    </row>
    <row r="15" spans="1:18" x14ac:dyDescent="0.2">
      <c r="A15" s="16" t="s">
        <v>281</v>
      </c>
      <c r="B15" s="16" t="s">
        <v>16</v>
      </c>
      <c r="C15" s="7">
        <v>5</v>
      </c>
      <c r="D15" s="7" t="s">
        <v>218</v>
      </c>
      <c r="E15" s="7" t="s">
        <v>140</v>
      </c>
      <c r="F15" s="7" t="s">
        <v>226</v>
      </c>
      <c r="G15" s="7">
        <v>6</v>
      </c>
      <c r="H15" s="7" t="s">
        <v>31</v>
      </c>
      <c r="I15" s="7" t="s">
        <v>31</v>
      </c>
      <c r="J15" s="7" t="s">
        <v>31</v>
      </c>
      <c r="K15" s="7" t="s">
        <v>138</v>
      </c>
      <c r="L15" s="7" t="s">
        <v>31</v>
      </c>
      <c r="M15" s="7" t="s">
        <v>31</v>
      </c>
      <c r="N15" s="7" t="s">
        <v>17</v>
      </c>
      <c r="O15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5" s="7" t="str">
        <f t="shared" si="1"/>
        <v xml:space="preserve"> VALUES('RPT_ALL_JOBS_CO','ACC_TYPE_CO','5','RCD_DT_START','R','Date Started','6',NULL,NULL,NULL,'Y',NULL,NULL,'N');</v>
      </c>
      <c r="R15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VALUES('RPT_ALL_JOBS_CO','ACC_TYPE_CO','5','RCD_DT_START','R','Date Started','6',NULL,NULL,NULL,'Y',NULL,NULL,'N');</v>
      </c>
    </row>
    <row r="16" spans="1:18" hidden="1" x14ac:dyDescent="0.2">
      <c r="A16" s="16" t="s">
        <v>281</v>
      </c>
      <c r="L16" s="7" t="s">
        <v>31</v>
      </c>
      <c r="M16" s="7" t="s">
        <v>31</v>
      </c>
      <c r="O16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6" s="7" t="str">
        <f t="shared" si="1"/>
        <v xml:space="preserve"> VALUES('RPT_ALL_JOBS_CO','','','','','','','','','','',NULL,NULL,'');</v>
      </c>
      <c r="R16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VALUES('RPT_ALL_JOBS_CO','','','','','','','','','','',NULL,NULL,'');</v>
      </c>
    </row>
    <row r="17" spans="1:18" x14ac:dyDescent="0.2">
      <c r="A17" s="16" t="s">
        <v>281</v>
      </c>
      <c r="B17" s="16" t="s">
        <v>16</v>
      </c>
      <c r="C17" s="7">
        <v>6</v>
      </c>
      <c r="D17" s="7" t="s">
        <v>259</v>
      </c>
      <c r="E17" s="7" t="s">
        <v>140</v>
      </c>
      <c r="F17" s="7" t="s">
        <v>278</v>
      </c>
      <c r="G17" s="7">
        <v>7</v>
      </c>
      <c r="H17" s="7" t="s">
        <v>31</v>
      </c>
      <c r="I17" s="7" t="s">
        <v>31</v>
      </c>
      <c r="J17" s="7" t="s">
        <v>31</v>
      </c>
      <c r="K17" s="7" t="s">
        <v>138</v>
      </c>
      <c r="L17" s="7" t="s">
        <v>31</v>
      </c>
      <c r="M17" s="7" t="s">
        <v>31</v>
      </c>
      <c r="N17" s="7" t="s">
        <v>17</v>
      </c>
      <c r="O17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7" s="7" t="str">
        <f t="shared" si="1"/>
        <v xml:space="preserve"> VALUES('RPT_ALL_JOBS_CO','ACC_TYPE_CO','6','RCD_DT_SUBMIT','R','Date Submitted','7',NULL,NULL,NULL,'Y',NULL,NULL,'N');</v>
      </c>
      <c r="R17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VALUES('RPT_ALL_JOBS_CO','ACC_TYPE_CO','6','RCD_DT_SUBMIT','R','Date Submitted','7',NULL,NULL,NULL,'Y',NULL,NULL,'N');</v>
      </c>
    </row>
    <row r="18" spans="1:18" x14ac:dyDescent="0.2">
      <c r="A18" s="31" t="s">
        <v>284</v>
      </c>
      <c r="B18" t="s">
        <v>183</v>
      </c>
      <c r="C18" s="7">
        <v>0</v>
      </c>
      <c r="D18" s="7" t="s">
        <v>215</v>
      </c>
      <c r="E18" s="7" t="s">
        <v>140</v>
      </c>
      <c r="F18" s="7" t="s">
        <v>224</v>
      </c>
      <c r="G18" s="7">
        <v>1</v>
      </c>
      <c r="H18" s="7" t="s">
        <v>31</v>
      </c>
      <c r="I18" s="7" t="s">
        <v>31</v>
      </c>
      <c r="J18" s="7" t="s">
        <v>31</v>
      </c>
      <c r="K18" s="7" t="s">
        <v>138</v>
      </c>
      <c r="L18" s="7" t="s">
        <v>31</v>
      </c>
      <c r="M18" s="7" t="s">
        <v>31</v>
      </c>
      <c r="N18" s="7" t="s">
        <v>17</v>
      </c>
      <c r="O18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8" s="7" t="str">
        <f t="shared" si="1"/>
        <v xml:space="preserve"> VALUES('RPT_JOBS_DISCREPANCY_TO','ACC_TYPE_TO','0','RCD_DT_COMPLETE','R','Date Completed','1',NULL,NULL,NULL,'Y',NULL,NULL,'N');</v>
      </c>
      <c r="R18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VALUES('RPT_JOBS_DISCREPANCY_TO','ACC_TYPE_TO','0','RCD_DT_COMPLETE','R','Date Completed','1',NULL,NULL,NULL,'Y',NULL,NULL,'N');</v>
      </c>
    </row>
    <row r="19" spans="1:18" x14ac:dyDescent="0.2">
      <c r="A19" s="31" t="s">
        <v>284</v>
      </c>
      <c r="B19" t="s">
        <v>183</v>
      </c>
      <c r="C19" s="7">
        <v>1</v>
      </c>
      <c r="D19" s="7" t="s">
        <v>287</v>
      </c>
      <c r="E19" s="7" t="s">
        <v>209</v>
      </c>
      <c r="F19" s="7" t="s">
        <v>288</v>
      </c>
      <c r="G19" s="7">
        <v>2</v>
      </c>
      <c r="H19" s="7" t="s">
        <v>211</v>
      </c>
      <c r="I19" s="7" t="s">
        <v>291</v>
      </c>
      <c r="J19" s="7" t="s">
        <v>292</v>
      </c>
      <c r="K19" s="7" t="s">
        <v>138</v>
      </c>
      <c r="L19" s="7" t="s">
        <v>138</v>
      </c>
      <c r="M19" s="7" t="s">
        <v>138</v>
      </c>
      <c r="N19" s="7" t="s">
        <v>17</v>
      </c>
      <c r="O19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19" s="7" t="str">
        <f t="shared" si="1"/>
        <v xml:space="preserve"> VALUES('RPT_JOBS_DISCREPANCY_TO','ACC_TYPE_TO','1','IS_DEVIATED','L','Is Deviated','2','LIST','Y,N','YES,NO','Y','Y','Y','N');</v>
      </c>
      <c r="R19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VALUES('RPT_JOBS_DISCREPANCY_TO','ACC_TYPE_TO','1','IS_DEVIATED','L','Is Deviated','2','LIST','Y,N','YES,NO','Y','Y','Y','N');</v>
      </c>
    </row>
    <row r="20" spans="1:18" x14ac:dyDescent="0.2">
      <c r="A20" s="31" t="s">
        <v>284</v>
      </c>
      <c r="B20" t="s">
        <v>183</v>
      </c>
      <c r="C20" s="7">
        <v>2</v>
      </c>
      <c r="D20" s="7" t="s">
        <v>289</v>
      </c>
      <c r="E20" s="7" t="s">
        <v>209</v>
      </c>
      <c r="F20" s="7" t="s">
        <v>290</v>
      </c>
      <c r="G20" s="7">
        <v>3</v>
      </c>
      <c r="H20" s="7" t="s">
        <v>211</v>
      </c>
      <c r="I20" s="7" t="s">
        <v>291</v>
      </c>
      <c r="J20" s="7" t="s">
        <v>292</v>
      </c>
      <c r="K20" s="7" t="s">
        <v>138</v>
      </c>
      <c r="L20" s="7" t="s">
        <v>138</v>
      </c>
      <c r="M20" s="7" t="s">
        <v>138</v>
      </c>
      <c r="N20" s="7" t="s">
        <v>17</v>
      </c>
      <c r="O20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20" s="7" t="str">
        <f t="shared" si="1"/>
        <v xml:space="preserve"> VALUES('RPT_JOBS_DISCREPANCY_TO','ACC_TYPE_TO','2','HAS_DISCREPANCY','L','Has Discrepancy','3','LIST','Y,N','YES,NO','Y','Y','Y','N');</v>
      </c>
      <c r="R20" s="14" t="str">
        <f t="shared" si="2"/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VALUES('RPT_JOBS_DISCREPANCY_TO','ACC_TYPE_TO','2','HAS_DISCREPANCY','L','Has Discrepancy','3','LIST','Y,N','YES,NO','Y','Y','Y','N');</v>
      </c>
    </row>
    <row r="21" spans="1:18" x14ac:dyDescent="0.2">
      <c r="A21" s="31" t="s">
        <v>299</v>
      </c>
      <c r="B21" s="16" t="s">
        <v>16</v>
      </c>
      <c r="C21" s="7">
        <v>0</v>
      </c>
      <c r="D21" s="7" t="s">
        <v>215</v>
      </c>
      <c r="E21" s="7" t="s">
        <v>140</v>
      </c>
      <c r="F21" s="7" t="s">
        <v>224</v>
      </c>
      <c r="G21" s="7">
        <v>1</v>
      </c>
      <c r="H21" s="7" t="s">
        <v>31</v>
      </c>
      <c r="I21" s="7" t="s">
        <v>31</v>
      </c>
      <c r="J21" s="7" t="s">
        <v>31</v>
      </c>
      <c r="K21" s="7" t="s">
        <v>138</v>
      </c>
      <c r="L21" s="7" t="s">
        <v>31</v>
      </c>
      <c r="M21" s="7" t="s">
        <v>31</v>
      </c>
      <c r="N21" s="7" t="s">
        <v>17</v>
      </c>
      <c r="O21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21" s="7" t="str">
        <f t="shared" ref="P21:P23" si="3">CONCATENATE(" VALUES('",A21,"','",B21,"','",C21,"','",D21,"','",E21,"','",F21,"','",G21,"',",IF(H21="NULL","NULL",CONCATENATE("'",H21,"'")),",",IF(I21="NULL","NULL",CONCATENATE("'",I21,"'")),",",IF(J21="NULL","NULL",CONCATENATE("'",J21,"'")),",'",K21,"',",IF(L21="NULL","NULL",CONCATENATE("'",L21,"'")),",",IF(M21="NULL","NULL",CONCATENATE("'",M21,"'")),",'",N21,"');")</f>
        <v xml:space="preserve"> VALUES('RPT_JOBS_DISCREPANCY_CO','ACC_TYPE_CO','0','RCD_DT_COMPLETE','R','Date Completed','1',NULL,NULL,NULL,'Y',NULL,NULL,'N');</v>
      </c>
      <c r="R21" s="14" t="str">
        <f t="shared" ref="R21:R23" si="4">CONCATENATE(O21,P21)</f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VALUES('RPT_JOBS_DISCREPANCY_CO','ACC_TYPE_CO','0','RCD_DT_COMPLETE','R','Date Completed','1',NULL,NULL,NULL,'Y',NULL,NULL,'N');</v>
      </c>
    </row>
    <row r="22" spans="1:18" x14ac:dyDescent="0.2">
      <c r="A22" s="31" t="s">
        <v>299</v>
      </c>
      <c r="B22" s="16" t="s">
        <v>16</v>
      </c>
      <c r="C22" s="7">
        <v>1</v>
      </c>
      <c r="D22" s="7" t="s">
        <v>287</v>
      </c>
      <c r="E22" s="7" t="s">
        <v>209</v>
      </c>
      <c r="F22" s="7" t="s">
        <v>288</v>
      </c>
      <c r="G22" s="7">
        <v>2</v>
      </c>
      <c r="H22" s="7" t="s">
        <v>211</v>
      </c>
      <c r="I22" s="7" t="s">
        <v>291</v>
      </c>
      <c r="J22" s="7" t="s">
        <v>292</v>
      </c>
      <c r="K22" s="7" t="s">
        <v>138</v>
      </c>
      <c r="L22" s="7" t="s">
        <v>138</v>
      </c>
      <c r="M22" s="7" t="s">
        <v>138</v>
      </c>
      <c r="N22" s="7" t="s">
        <v>17</v>
      </c>
      <c r="O22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22" s="7" t="str">
        <f t="shared" si="3"/>
        <v xml:space="preserve"> VALUES('RPT_JOBS_DISCREPANCY_CO','ACC_TYPE_CO','1','IS_DEVIATED','L','Is Deviated','2','LIST','Y,N','YES,NO','Y','Y','Y','N');</v>
      </c>
      <c r="R22" s="14" t="str">
        <f t="shared" si="4"/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VALUES('RPT_JOBS_DISCREPANCY_CO','ACC_TYPE_CO','1','IS_DEVIATED','L','Is Deviated','2','LIST','Y,N','YES,NO','Y','Y','Y','N');</v>
      </c>
    </row>
    <row r="23" spans="1:18" x14ac:dyDescent="0.2">
      <c r="A23" s="31" t="s">
        <v>299</v>
      </c>
      <c r="B23" s="16" t="s">
        <v>16</v>
      </c>
      <c r="C23" s="7">
        <v>2</v>
      </c>
      <c r="D23" s="7" t="s">
        <v>289</v>
      </c>
      <c r="E23" s="7" t="s">
        <v>209</v>
      </c>
      <c r="F23" s="7" t="s">
        <v>290</v>
      </c>
      <c r="G23" s="7">
        <v>3</v>
      </c>
      <c r="H23" s="7" t="s">
        <v>211</v>
      </c>
      <c r="I23" s="7" t="s">
        <v>291</v>
      </c>
      <c r="J23" s="7" t="s">
        <v>292</v>
      </c>
      <c r="K23" s="7" t="s">
        <v>138</v>
      </c>
      <c r="L23" s="7" t="s">
        <v>138</v>
      </c>
      <c r="M23" s="7" t="s">
        <v>138</v>
      </c>
      <c r="N23" s="7" t="s">
        <v>17</v>
      </c>
      <c r="O23" s="7" t="str">
        <f t="shared" si="0"/>
        <v>INSERT INTO `T_CORE_RPT_FILTER`(`RPTF_ID`,`RPTF_ACCN_TYPE`,`RPTF_IDX`,`RPTF_NAME`,`RPTF_FILTYPE`,`RPTF_CAPTION`,`RPTF_BASIC_ROW`,`RPTF_LISTBOX_TBL`,`RPTF_LISTBOX_IDCOL`,`RPTF_LISTBOX_CAPCOL`,`RPTF_SHOW`,`RPTF_DEFVAL`,`RPTF_IFNULLVAL`,`RPTF_MANDATORY`)</v>
      </c>
      <c r="P23" s="7" t="str">
        <f t="shared" si="3"/>
        <v xml:space="preserve"> VALUES('RPT_JOBS_DISCREPANCY_CO','ACC_TYPE_CO','2','HAS_DISCREPANCY','L','Has Discrepancy','3','LIST','Y,N','YES,NO','Y','Y','Y','N');</v>
      </c>
      <c r="R23" s="14" t="str">
        <f t="shared" si="4"/>
        <v>INSERT INTO `T_CORE_RPT_FILTER`(`RPTF_ID`,`RPTF_ACCN_TYPE`,`RPTF_IDX`,`RPTF_NAME`,`RPTF_FILTYPE`,`RPTF_CAPTION`,`RPTF_BASIC_ROW`,`RPTF_LISTBOX_TBL`,`RPTF_LISTBOX_IDCOL`,`RPTF_LISTBOX_CAPCOL`,`RPTF_SHOW`,`RPTF_DEFVAL`,`RPTF_IFNULLVAL`,`RPTF_MANDATORY`) VALUES('RPT_JOBS_DISCREPANCY_CO','ACC_TYPE_CO','2','HAS_DISCREPANCY','L','Has Discrepancy','3','LIST','Y,N','YES,NO','Y','Y','Y','N');</v>
      </c>
    </row>
    <row r="24" spans="1:18" s="11" customFormat="1" x14ac:dyDescent="0.2">
      <c r="R24" s="14"/>
    </row>
    <row r="28" spans="1:18" s="11" customFormat="1" x14ac:dyDescent="0.2">
      <c r="R28" s="14"/>
    </row>
    <row r="29" spans="1:18" hidden="1" x14ac:dyDescent="0.2"/>
    <row r="39" spans="1:18" hidden="1" x14ac:dyDescent="0.2"/>
    <row r="41" spans="1:18" s="8" customFormat="1" x14ac:dyDescent="0.2">
      <c r="R41" s="14"/>
    </row>
    <row r="47" spans="1:18" s="13" customForma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5"/>
  <sheetViews>
    <sheetView zoomScale="125" zoomScaleNormal="125" workbookViewId="0">
      <selection sqref="A1:XFD1048576"/>
    </sheetView>
  </sheetViews>
  <sheetFormatPr baseColWidth="10" defaultColWidth="8.83203125" defaultRowHeight="16" x14ac:dyDescent="0.2"/>
  <cols>
    <col min="1" max="1" width="16.83203125" customWidth="1"/>
    <col min="2" max="2" width="17.33203125" customWidth="1"/>
    <col min="3" max="3" width="19.83203125" customWidth="1"/>
    <col min="4" max="4" width="24.5" customWidth="1"/>
    <col min="5" max="6" width="32.1640625" customWidth="1"/>
    <col min="7" max="7" width="10.83203125" customWidth="1"/>
    <col min="8" max="8" width="28.5" customWidth="1"/>
    <col min="9" max="9" width="11.6640625" customWidth="1"/>
    <col min="10" max="10" width="16.83203125" customWidth="1"/>
    <col min="11" max="11" width="14" customWidth="1"/>
    <col min="12" max="12" width="11.1640625" customWidth="1"/>
  </cols>
  <sheetData>
    <row r="1" spans="1:15" x14ac:dyDescent="0.2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</v>
      </c>
      <c r="M1" s="5"/>
    </row>
    <row r="2" spans="1:15" x14ac:dyDescent="0.2">
      <c r="A2" t="s">
        <v>93</v>
      </c>
      <c r="B2" t="s">
        <v>3</v>
      </c>
      <c r="C2" t="s">
        <v>33</v>
      </c>
      <c r="D2" t="s">
        <v>33</v>
      </c>
      <c r="E2" t="s">
        <v>33</v>
      </c>
      <c r="F2" t="s">
        <v>33</v>
      </c>
      <c r="G2">
        <v>10000</v>
      </c>
      <c r="H2" s="4" t="s">
        <v>34</v>
      </c>
      <c r="I2" t="s">
        <v>31</v>
      </c>
      <c r="J2" t="s">
        <v>31</v>
      </c>
      <c r="K2" t="s">
        <v>5</v>
      </c>
      <c r="L2" t="str">
        <f>CONCATENATE("INSERT INTO T_CORE_MENU_EX (MENU_ID, MENU_APPS_CODE, MENU_GROUP_LABEL, MENU_GROUP_LABEL_OTH, MENU_NAME, MENU_NAME_OTH, MENU_SEQ, MENU_PATH, MENU_ICON, MENU_PARENT, MENU_STATUS, MENU_DT_CREATE, MENU_UID_CREATE, MENU_DT_LUPD, MENU_UID_LUPD) ")</f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" t="str">
        <f>CONCATENATE(" VALUES('",A2,"','",B2,"','",C2,"','",D2,"','",E2,"','",F2,"',",IF(G2="NULL","NULL",CONCATENATE("'",G2,"'")),",",IF(H2="NULL","NULL",CONCATENATE("'",H2,"'")),",",IF(I2="NULL","NULL",CONCATENATE("'",I2,"'")),",",IF(J2="NULL","NULL",CONCATENATE("'",J2,"'")),",'A',NOW(),'SYS',NOW(),'SYS');")</f>
        <v xml:space="preserve"> VALUES('CK_MS_010000','CK','Services','Services','Services','Services','10000','/',NULL,NULL,'A',NOW(),'SYS',NOW(),'SYS');</v>
      </c>
      <c r="N2" t="str">
        <f>CONCATENATE(L2,M2)</f>
        <v>INSERT INTO T_CORE_MENU_EX (MENU_ID, MENU_APPS_CODE, MENU_GROUP_LABEL, MENU_GROUP_LABEL_OTH, MENU_NAME, MENU_NAME_OTH, MENU_SEQ, MENU_PATH, MENU_ICON, MENU_PARENT, MENU_STATUS, MENU_DT_CREATE, MENU_UID_CREATE, MENU_DT_LUPD, MENU_UID_LUPD)  VALUES('CK_MS_010000','CK','Services','Services','Services','Services','10000','/',NULL,NULL,'A',NOW(),'SYS',NOW(),'SYS');</v>
      </c>
    </row>
    <row r="3" spans="1:15" x14ac:dyDescent="0.2">
      <c r="A3" t="s">
        <v>94</v>
      </c>
      <c r="B3" t="s">
        <v>3</v>
      </c>
      <c r="C3" t="s">
        <v>59</v>
      </c>
      <c r="D3" t="s">
        <v>59</v>
      </c>
      <c r="E3" t="s">
        <v>59</v>
      </c>
      <c r="F3" t="s">
        <v>59</v>
      </c>
      <c r="G3">
        <v>20000</v>
      </c>
      <c r="H3" s="4" t="s">
        <v>95</v>
      </c>
      <c r="I3" t="s">
        <v>31</v>
      </c>
      <c r="J3" t="s">
        <v>31</v>
      </c>
      <c r="K3" t="s">
        <v>5</v>
      </c>
      <c r="L3" t="str">
        <f t="shared" ref="L3:L25" si="0">CONCATENATE("INSERT INTO T_CORE_MENU_EX (MENU_ID, MENU_APPS_CODE, MENU_GROUP_LABEL, MENU_GROUP_LABEL_OTH, MENU_NAME, MENU_NAME_OTH, MENU_SEQ, MENU_PATH, MENU_ICON, MENU_PARENT, MENU_STATUS, MENU_DT_CREATE, MENU_UID_CREATE, MENU_DT_LUPD, MENU_UID_LUPD) ")</f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" t="str">
        <f t="shared" ref="M3:M25" si="1">CONCATENATE(" VALUES('",A3,"','",B3,"','",C3,"','",D3,"','",E3,"','",F3,"',",IF(G3="NULL","NULL",CONCATENATE("'",G3,"'")),",",IF(H3="NULL","NULL",CONCATENATE("'",H3,"'")),",",IF(I3="NULL","NULL",CONCATENATE("'",I3,"'")),",",IF(J3="NULL","NULL",CONCATENATE("'",J3,"'")),",'A',NOW(),'SYS',NOW(),'SYS');")</f>
        <v xml:space="preserve"> VALUES('CK_MP_020000','CK','Payments','Payments','Payments','Payments','20000','/payments',NULL,NULL,'A',NOW(),'SYS',NOW(),'SYS');</v>
      </c>
      <c r="N3" t="str">
        <f t="shared" ref="N3:N25" si="2">CONCATENATE(L3,M3)</f>
        <v>INSERT INTO T_CORE_MENU_EX (MENU_ID, MENU_APPS_CODE, MENU_GROUP_LABEL, MENU_GROUP_LABEL_OTH, MENU_NAME, MENU_NAME_OTH, MENU_SEQ, MENU_PATH, MENU_ICON, MENU_PARENT, MENU_STATUS, MENU_DT_CREATE, MENU_UID_CREATE, MENU_DT_LUPD, MENU_UID_LUPD)  VALUES('CK_MP_020000','CK','Payments','Payments','Payments','Payments','20000','/payments',NULL,NULL,'A',NOW(),'SYS',NOW(),'SYS');</v>
      </c>
    </row>
    <row r="4" spans="1:15" x14ac:dyDescent="0.2">
      <c r="A4" t="s">
        <v>96</v>
      </c>
      <c r="B4" t="s">
        <v>3</v>
      </c>
      <c r="C4" t="s">
        <v>36</v>
      </c>
      <c r="D4" t="s">
        <v>36</v>
      </c>
      <c r="E4" t="s">
        <v>36</v>
      </c>
      <c r="F4" t="s">
        <v>36</v>
      </c>
      <c r="G4">
        <v>30000</v>
      </c>
      <c r="H4" s="4" t="s">
        <v>31</v>
      </c>
      <c r="I4" t="s">
        <v>53</v>
      </c>
      <c r="J4" t="s">
        <v>31</v>
      </c>
      <c r="K4" t="s">
        <v>5</v>
      </c>
      <c r="L4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4" t="str">
        <f t="shared" si="1"/>
        <v xml:space="preserve"> VALUES('CK_MA_030000','CK','Administrations','Administrations','Administrations','Administrations','30000',NULL,'group',NULL,'A',NOW(),'SYS',NOW(),'SYS');</v>
      </c>
      <c r="N4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VALUES('CK_MA_030000','CK','Administrations','Administrations','Administrations','Administrations','30000',NULL,'group',NULL,'A',NOW(),'SYS',NOW(),'SYS');</v>
      </c>
    </row>
    <row r="5" spans="1:15" x14ac:dyDescent="0.2">
      <c r="A5" t="s">
        <v>97</v>
      </c>
      <c r="B5" t="s">
        <v>3</v>
      </c>
      <c r="E5" t="s">
        <v>51</v>
      </c>
      <c r="F5" t="s">
        <v>51</v>
      </c>
      <c r="G5">
        <v>30100</v>
      </c>
      <c r="H5" s="4" t="s">
        <v>54</v>
      </c>
      <c r="I5" t="s">
        <v>31</v>
      </c>
      <c r="J5" t="s">
        <v>96</v>
      </c>
      <c r="K5" t="s">
        <v>5</v>
      </c>
      <c r="L5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5" t="str">
        <f t="shared" si="1"/>
        <v xml:space="preserve"> VALUES('CK_MA_030100','CK','','','Account Profile','Account Profile','30100','/accountProfile',NULL,'CK_MA_030000','A',NOW(),'SYS',NOW(),'SYS');</v>
      </c>
      <c r="N5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VALUES('CK_MA_030100','CK','','','Account Profile','Account Profile','30100','/accountProfile',NULL,'CK_MA_030000','A',NOW(),'SYS',NOW(),'SYS');</v>
      </c>
    </row>
    <row r="6" spans="1:15" x14ac:dyDescent="0.2">
      <c r="A6" t="s">
        <v>98</v>
      </c>
      <c r="B6" t="s">
        <v>3</v>
      </c>
      <c r="E6" t="s">
        <v>55</v>
      </c>
      <c r="F6" t="s">
        <v>55</v>
      </c>
      <c r="G6">
        <v>30200</v>
      </c>
      <c r="H6" t="s">
        <v>56</v>
      </c>
      <c r="I6" t="s">
        <v>31</v>
      </c>
      <c r="J6" t="s">
        <v>96</v>
      </c>
      <c r="K6" t="s">
        <v>5</v>
      </c>
      <c r="L6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6" t="str">
        <f t="shared" si="1"/>
        <v xml:space="preserve"> VALUES('CK_MA_030200','CK','','','Users','Users','30200','/accountUsers',NULL,'CK_MA_030000','A',NOW(),'SYS',NOW(),'SYS');</v>
      </c>
      <c r="N6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VALUES('CK_MA_030200','CK','','','Users','Users','30200','/accountUsers',NULL,'CK_MA_030000','A',NOW(),'SYS',NOW(),'SYS');</v>
      </c>
    </row>
    <row r="7" spans="1:15" x14ac:dyDescent="0.2">
      <c r="A7" t="s">
        <v>99</v>
      </c>
      <c r="B7" t="s">
        <v>3</v>
      </c>
      <c r="E7" t="s">
        <v>57</v>
      </c>
      <c r="F7" t="s">
        <v>57</v>
      </c>
      <c r="G7">
        <v>30400</v>
      </c>
      <c r="H7" t="s">
        <v>58</v>
      </c>
      <c r="I7" t="s">
        <v>31</v>
      </c>
      <c r="J7" t="s">
        <v>96</v>
      </c>
      <c r="K7" t="s">
        <v>5</v>
      </c>
      <c r="L7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7" t="str">
        <f t="shared" si="1"/>
        <v xml:space="preserve"> VALUES('CK_MA_030300','CK','','','Authorisations','Authorisations','30400','/accountAuthorisations',NULL,'CK_MA_030000','A',NOW(),'SYS',NOW(),'SYS');</v>
      </c>
      <c r="N7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VALUES('CK_MA_030300','CK','','','Authorisations','Authorisations','30400','/accountAuthorisations',NULL,'CK_MA_030000','A',NOW(),'SYS',NOW(),'SYS');</v>
      </c>
    </row>
    <row r="8" spans="1:15" x14ac:dyDescent="0.2">
      <c r="A8" t="s">
        <v>100</v>
      </c>
      <c r="B8" t="s">
        <v>3</v>
      </c>
      <c r="C8" t="s">
        <v>29</v>
      </c>
      <c r="D8" t="s">
        <v>29</v>
      </c>
      <c r="E8" t="s">
        <v>29</v>
      </c>
      <c r="F8" t="s">
        <v>29</v>
      </c>
      <c r="G8">
        <v>40000</v>
      </c>
      <c r="H8" t="s">
        <v>30</v>
      </c>
      <c r="I8" t="s">
        <v>31</v>
      </c>
      <c r="J8" t="s">
        <v>31</v>
      </c>
      <c r="K8" t="s">
        <v>5</v>
      </c>
      <c r="L8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8" t="str">
        <f t="shared" si="1"/>
        <v xml:space="preserve"> VALUES('CK_MH_040000','CK','Help','Help','Help','Help','40000','/help',NULL,NULL,'A',NOW(),'SYS',NOW(),'SYS');</v>
      </c>
      <c r="N8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VALUES('CK_MH_040000','CK','Help','Help','Help','Help','40000','/help',NULL,NULL,'A',NOW(),'SYS',NOW(),'SYS');</v>
      </c>
    </row>
    <row r="9" spans="1:15" x14ac:dyDescent="0.2">
      <c r="A9" s="4" t="s">
        <v>101</v>
      </c>
      <c r="B9" t="s">
        <v>3</v>
      </c>
      <c r="C9" s="4" t="s">
        <v>75</v>
      </c>
      <c r="D9" s="4" t="s">
        <v>75</v>
      </c>
      <c r="E9" s="4" t="s">
        <v>75</v>
      </c>
      <c r="F9" s="4" t="s">
        <v>75</v>
      </c>
      <c r="G9" s="4">
        <v>50000</v>
      </c>
      <c r="H9" s="4" t="s">
        <v>31</v>
      </c>
      <c r="I9" s="4" t="s">
        <v>76</v>
      </c>
      <c r="J9" s="4" t="s">
        <v>31</v>
      </c>
      <c r="K9" s="4" t="s">
        <v>5</v>
      </c>
      <c r="L9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9" t="str">
        <f t="shared" si="1"/>
        <v xml:space="preserve"> VALUES('CK_MT_050000','CK','Master Table','Master Table','Master Table','Master Table','50000',NULL,'table_view',NULL,'A',NOW(),'SYS',NOW(),'SYS');</v>
      </c>
      <c r="N9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VALUES('CK_MT_050000','CK','Master Table','Master Table','Master Table','Master Table','50000',NULL,'table_view',NULL,'A',NOW(),'SYS',NOW(),'SYS');</v>
      </c>
      <c r="O9" s="4"/>
    </row>
    <row r="10" spans="1:15" x14ac:dyDescent="0.2">
      <c r="A10" s="4" t="s">
        <v>102</v>
      </c>
      <c r="B10" t="s">
        <v>3</v>
      </c>
      <c r="C10" s="4"/>
      <c r="D10" s="4"/>
      <c r="E10" s="4" t="s">
        <v>77</v>
      </c>
      <c r="F10" s="4" t="s">
        <v>77</v>
      </c>
      <c r="G10" s="4">
        <v>50100</v>
      </c>
      <c r="H10" s="4" t="s">
        <v>78</v>
      </c>
      <c r="I10" s="4" t="s">
        <v>31</v>
      </c>
      <c r="J10" s="4" t="s">
        <v>101</v>
      </c>
      <c r="K10" s="4" t="s">
        <v>5</v>
      </c>
      <c r="L10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0" t="str">
        <f t="shared" si="1"/>
        <v xml:space="preserve"> VALUES('CK_MT_050100','CK','','','Announcement Type','Announcement Type','50100','/configuration/announcementType/list',NULL,'CK_MT_050000','A',NOW(),'SYS',NOW(),'SYS');</v>
      </c>
      <c r="N10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VALUES('CK_MT_050100','CK','','','Announcement Type','Announcement Type','50100','/configuration/announcementType/list',NULL,'CK_MT_050000','A',NOW(),'SYS',NOW(),'SYS');</v>
      </c>
      <c r="O10" s="4"/>
    </row>
    <row r="11" spans="1:15" x14ac:dyDescent="0.2">
      <c r="A11" s="4" t="s">
        <v>103</v>
      </c>
      <c r="B11" t="s">
        <v>3</v>
      </c>
      <c r="C11" s="4"/>
      <c r="D11" s="4"/>
      <c r="E11" s="4" t="s">
        <v>79</v>
      </c>
      <c r="F11" s="4" t="s">
        <v>79</v>
      </c>
      <c r="G11" s="4">
        <v>50200</v>
      </c>
      <c r="H11" s="4" t="s">
        <v>80</v>
      </c>
      <c r="I11" s="4" t="s">
        <v>31</v>
      </c>
      <c r="J11" s="4" t="s">
        <v>101</v>
      </c>
      <c r="K11" s="4" t="s">
        <v>5</v>
      </c>
      <c r="L11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1" t="str">
        <f t="shared" si="1"/>
        <v xml:space="preserve"> VALUES('CK_MT_050200','CK','','','Country Codes','Country Codes','50200','/master/country/list',NULL,'CK_MT_050000','A',NOW(),'SYS',NOW(),'SYS');</v>
      </c>
      <c r="N11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VALUES('CK_MT_050200','CK','','','Country Codes','Country Codes','50200','/master/country/list',NULL,'CK_MT_050000','A',NOW(),'SYS',NOW(),'SYS');</v>
      </c>
      <c r="O11" s="4"/>
    </row>
    <row r="12" spans="1:15" x14ac:dyDescent="0.2">
      <c r="A12" s="4" t="s">
        <v>104</v>
      </c>
      <c r="B12" t="s">
        <v>3</v>
      </c>
      <c r="C12" s="4"/>
      <c r="D12" s="4"/>
      <c r="E12" s="4" t="s">
        <v>81</v>
      </c>
      <c r="F12" s="4" t="s">
        <v>81</v>
      </c>
      <c r="G12" s="4">
        <v>50300</v>
      </c>
      <c r="H12" s="4" t="s">
        <v>82</v>
      </c>
      <c r="I12" s="4" t="s">
        <v>31</v>
      </c>
      <c r="J12" s="4" t="s">
        <v>101</v>
      </c>
      <c r="K12" s="4" t="s">
        <v>5</v>
      </c>
      <c r="L12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2" t="str">
        <f t="shared" si="1"/>
        <v xml:space="preserve"> VALUES('CK_MT_050300','CK','','','Currency Code','Currency Code','50300','/master/currency/list',NULL,'CK_MT_050000','A',NOW(),'SYS',NOW(),'SYS');</v>
      </c>
      <c r="N12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VALUES('CK_MT_050300','CK','','','Currency Code','Currency Code','50300','/master/currency/list',NULL,'CK_MT_050000','A',NOW(),'SYS',NOW(),'SYS');</v>
      </c>
      <c r="O12" s="4"/>
    </row>
    <row r="13" spans="1:15" x14ac:dyDescent="0.2">
      <c r="A13" s="4" t="s">
        <v>105</v>
      </c>
      <c r="B13" t="s">
        <v>3</v>
      </c>
      <c r="C13" s="4"/>
      <c r="D13" s="4"/>
      <c r="E13" s="4" t="s">
        <v>83</v>
      </c>
      <c r="F13" s="4" t="s">
        <v>83</v>
      </c>
      <c r="G13" s="4">
        <v>50400</v>
      </c>
      <c r="H13" s="4" t="s">
        <v>84</v>
      </c>
      <c r="I13" s="4" t="s">
        <v>31</v>
      </c>
      <c r="J13" s="4" t="s">
        <v>101</v>
      </c>
      <c r="K13" s="4" t="s">
        <v>5</v>
      </c>
      <c r="L13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3" t="str">
        <f t="shared" si="1"/>
        <v xml:space="preserve"> VALUES('CK_MT_050400','CK','','','Harmonized System Codes','Harmonized System Codes','50400','/master/hsCode/list',NULL,'CK_MT_050000','A',NOW(),'SYS',NOW(),'SYS');</v>
      </c>
      <c r="N13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VALUES('CK_MT_050400','CK','','','Harmonized System Codes','Harmonized System Codes','50400','/master/hsCode/list',NULL,'CK_MT_050000','A',NOW(),'SYS',NOW(),'SYS');</v>
      </c>
      <c r="O13" s="4"/>
    </row>
    <row r="14" spans="1:15" x14ac:dyDescent="0.2">
      <c r="A14" s="4" t="s">
        <v>106</v>
      </c>
      <c r="B14" t="s">
        <v>3</v>
      </c>
      <c r="C14" s="4"/>
      <c r="D14" s="4"/>
      <c r="E14" s="4" t="s">
        <v>85</v>
      </c>
      <c r="F14" s="4" t="s">
        <v>85</v>
      </c>
      <c r="G14" s="4">
        <v>50500</v>
      </c>
      <c r="H14" s="4" t="s">
        <v>86</v>
      </c>
      <c r="I14" s="4" t="s">
        <v>31</v>
      </c>
      <c r="J14" s="4" t="s">
        <v>101</v>
      </c>
      <c r="K14" s="4" t="s">
        <v>5</v>
      </c>
      <c r="L14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4" t="str">
        <f t="shared" si="1"/>
        <v xml:space="preserve"> VALUES('CK_MT_050500','CK','','','Notification Templates','Notification Templates','50500','/notification/templates/list',NULL,'CK_MT_050000','A',NOW(),'SYS',NOW(),'SYS');</v>
      </c>
      <c r="N14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VALUES('CK_MT_050500','CK','','','Notification Templates','Notification Templates','50500','/notification/templates/list',NULL,'CK_MT_050000','A',NOW(),'SYS',NOW(),'SYS');</v>
      </c>
      <c r="O14" s="4"/>
    </row>
    <row r="15" spans="1:15" x14ac:dyDescent="0.2">
      <c r="A15" s="4" t="s">
        <v>107</v>
      </c>
      <c r="B15" t="s">
        <v>3</v>
      </c>
      <c r="C15" s="4"/>
      <c r="D15" s="4"/>
      <c r="E15" s="4" t="s">
        <v>87</v>
      </c>
      <c r="F15" s="4" t="s">
        <v>87</v>
      </c>
      <c r="G15" s="4">
        <v>50600</v>
      </c>
      <c r="H15" s="4" t="s">
        <v>88</v>
      </c>
      <c r="I15" s="4" t="s">
        <v>31</v>
      </c>
      <c r="J15" s="4" t="s">
        <v>101</v>
      </c>
      <c r="K15" s="4" t="s">
        <v>5</v>
      </c>
      <c r="L15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5" t="str">
        <f t="shared" si="1"/>
        <v xml:space="preserve"> VALUES('CK_MT_050600','CK','','','Port Codes','Port Codes','50600','/master/port/list',NULL,'CK_MT_050000','A',NOW(),'SYS',NOW(),'SYS');</v>
      </c>
      <c r="N15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VALUES('CK_MT_050600','CK','','','Port Codes','Port Codes','50600','/master/port/list',NULL,'CK_MT_050000','A',NOW(),'SYS',NOW(),'SYS');</v>
      </c>
      <c r="O15" s="4"/>
    </row>
    <row r="16" spans="1:15" s="3" customFormat="1" x14ac:dyDescent="0.2">
      <c r="A16" s="12" t="s">
        <v>108</v>
      </c>
      <c r="B16" s="3" t="s">
        <v>3</v>
      </c>
      <c r="C16" s="12"/>
      <c r="D16" s="12"/>
      <c r="E16" s="12" t="s">
        <v>89</v>
      </c>
      <c r="F16" s="12" t="s">
        <v>89</v>
      </c>
      <c r="G16" s="12">
        <v>50700</v>
      </c>
      <c r="H16" s="12" t="s">
        <v>90</v>
      </c>
      <c r="I16" s="12" t="s">
        <v>31</v>
      </c>
      <c r="J16" s="12" t="s">
        <v>101</v>
      </c>
      <c r="K16" s="12" t="s">
        <v>5</v>
      </c>
      <c r="L16" s="3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6" s="3" t="str">
        <f t="shared" si="1"/>
        <v xml:space="preserve"> VALUES('CK_MT_050700','CK','','','Port Terminal','Port Terminal','50700','/master/portTerminal/list',NULL,'CK_MT_050000','A',NOW(),'SYS',NOW(),'SYS');</v>
      </c>
      <c r="N16" s="3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VALUES('CK_MT_050700','CK','','','Port Terminal','Port Terminal','50700','/master/portTerminal/list',NULL,'CK_MT_050000','A',NOW(),'SYS',NOW(),'SYS');</v>
      </c>
      <c r="O16" s="12"/>
    </row>
    <row r="17" spans="1:15" x14ac:dyDescent="0.2">
      <c r="A17" s="4" t="s">
        <v>109</v>
      </c>
      <c r="B17" t="s">
        <v>3</v>
      </c>
      <c r="C17" s="4"/>
      <c r="D17" s="4"/>
      <c r="E17" s="4" t="s">
        <v>91</v>
      </c>
      <c r="F17" s="4" t="s">
        <v>91</v>
      </c>
      <c r="G17" s="4">
        <v>50800</v>
      </c>
      <c r="H17" s="4" t="s">
        <v>92</v>
      </c>
      <c r="I17" s="4" t="s">
        <v>31</v>
      </c>
      <c r="J17" s="4" t="s">
        <v>101</v>
      </c>
      <c r="K17" s="4" t="s">
        <v>5</v>
      </c>
      <c r="L17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7" t="str">
        <f t="shared" si="1"/>
        <v xml:space="preserve"> VALUES('CK_MT_050800','CK','','','UOM Codes','UOM Codes','50800','/master/uom/list',NULL,'CK_MT_050000','A',NOW(),'SYS',NOW(),'SYS');</v>
      </c>
      <c r="N17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VALUES('CK_MT_050800','CK','','','UOM Codes','UOM Codes','50800','/master/uom/list',NULL,'CK_MT_050000','A',NOW(),'SYS',NOW(),'SYS');</v>
      </c>
      <c r="O17" s="4"/>
    </row>
    <row r="18" spans="1:15" x14ac:dyDescent="0.2">
      <c r="A18" s="4" t="s">
        <v>110</v>
      </c>
      <c r="B18" t="s">
        <v>3</v>
      </c>
      <c r="C18" t="s">
        <v>60</v>
      </c>
      <c r="D18" t="s">
        <v>60</v>
      </c>
      <c r="E18" t="s">
        <v>60</v>
      </c>
      <c r="F18" t="s">
        <v>60</v>
      </c>
      <c r="G18">
        <v>60000</v>
      </c>
      <c r="H18" t="s">
        <v>31</v>
      </c>
      <c r="I18" t="s">
        <v>61</v>
      </c>
      <c r="J18" t="s">
        <v>31</v>
      </c>
      <c r="K18" s="4" t="s">
        <v>5</v>
      </c>
      <c r="L18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8" t="str">
        <f t="shared" si="1"/>
        <v xml:space="preserve"> VALUES('CK_MSA_060000','CK','System Administrations','System Administrations','System Administrations','System Administrations','60000',NULL,'settings',NULL,'A',NOW(),'SYS',NOW(),'SYS');</v>
      </c>
      <c r="N18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VALUES('CK_MSA_060000','CK','System Administrations','System Administrations','System Administrations','System Administrations','60000',NULL,'settings',NULL,'A',NOW(),'SYS',NOW(),'SYS');</v>
      </c>
      <c r="O18" s="4"/>
    </row>
    <row r="19" spans="1:15" x14ac:dyDescent="0.2">
      <c r="A19" s="4" t="s">
        <v>111</v>
      </c>
      <c r="B19" t="s">
        <v>3</v>
      </c>
      <c r="E19" t="s">
        <v>62</v>
      </c>
      <c r="F19" t="s">
        <v>62</v>
      </c>
      <c r="G19">
        <v>60100</v>
      </c>
      <c r="H19" t="s">
        <v>63</v>
      </c>
      <c r="I19" t="s">
        <v>31</v>
      </c>
      <c r="J19" s="4" t="s">
        <v>111</v>
      </c>
      <c r="K19" s="4" t="s">
        <v>5</v>
      </c>
      <c r="L19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19" t="str">
        <f t="shared" si="1"/>
        <v xml:space="preserve"> VALUES('CK_MSA_060100','CK','','','Announcement Setup','Announcement Setup','60100','/configuration/announcement/list',NULL,'CK_MSA_060100','A',NOW(),'SYS',NOW(),'SYS');</v>
      </c>
      <c r="N19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VALUES('CK_MSA_060100','CK','','','Announcement Setup','Announcement Setup','60100','/configuration/announcement/list',NULL,'CK_MSA_060100','A',NOW(),'SYS',NOW(),'SYS');</v>
      </c>
      <c r="O19" s="4"/>
    </row>
    <row r="20" spans="1:15" x14ac:dyDescent="0.2">
      <c r="A20" s="4" t="s">
        <v>112</v>
      </c>
      <c r="B20" t="s">
        <v>3</v>
      </c>
      <c r="E20" t="s">
        <v>64</v>
      </c>
      <c r="F20" t="s">
        <v>64</v>
      </c>
      <c r="G20">
        <v>60200</v>
      </c>
      <c r="H20" t="s">
        <v>65</v>
      </c>
      <c r="I20" t="s">
        <v>31</v>
      </c>
      <c r="J20" s="4" t="s">
        <v>111</v>
      </c>
      <c r="K20" s="4" t="s">
        <v>5</v>
      </c>
      <c r="L20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0" t="str">
        <f t="shared" si="1"/>
        <v xml:space="preserve"> VALUES('CK_MSA_060200','CK','','','Notification Preferences','Notification Preferences','60200','/configuration/notification/preferences/list',NULL,'CK_MSA_060100','A',NOW(),'SYS',NOW(),'SYS');</v>
      </c>
      <c r="N20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VALUES('CK_MSA_060200','CK','','','Notification Preferences','Notification Preferences','60200','/configuration/notification/preferences/list',NULL,'CK_MSA_060100','A',NOW(),'SYS',NOW(),'SYS');</v>
      </c>
      <c r="O20" s="4"/>
    </row>
    <row r="21" spans="1:15" x14ac:dyDescent="0.2">
      <c r="A21" s="4" t="s">
        <v>113</v>
      </c>
      <c r="B21" t="s">
        <v>3</v>
      </c>
      <c r="E21" t="s">
        <v>66</v>
      </c>
      <c r="F21" t="s">
        <v>66</v>
      </c>
      <c r="G21">
        <v>60300</v>
      </c>
      <c r="H21" t="s">
        <v>67</v>
      </c>
      <c r="I21" t="s">
        <v>31</v>
      </c>
      <c r="J21" s="4" t="s">
        <v>111</v>
      </c>
      <c r="K21" s="4" t="s">
        <v>5</v>
      </c>
      <c r="L21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1" t="str">
        <f t="shared" si="1"/>
        <v xml:space="preserve"> VALUES('CK_MSA_060300','CK','','','System Parameters','System Parameters','60300','/administrations/sysparam/list',NULL,'CK_MSA_060100','A',NOW(),'SYS',NOW(),'SYS');</v>
      </c>
      <c r="N21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VALUES('CK_MSA_060300','CK','','','System Parameters','System Parameters','60300','/administrations/sysparam/list',NULL,'CK_MSA_060100','A',NOW(),'SYS',NOW(),'SYS');</v>
      </c>
      <c r="O21" s="4"/>
    </row>
    <row r="22" spans="1:15" x14ac:dyDescent="0.2">
      <c r="A22" s="4" t="s">
        <v>114</v>
      </c>
      <c r="B22" t="s">
        <v>3</v>
      </c>
      <c r="E22" t="s">
        <v>68</v>
      </c>
      <c r="F22" t="s">
        <v>68</v>
      </c>
      <c r="G22">
        <v>60400</v>
      </c>
      <c r="H22" t="s">
        <v>69</v>
      </c>
      <c r="I22" t="s">
        <v>31</v>
      </c>
      <c r="J22" s="4" t="s">
        <v>111</v>
      </c>
      <c r="K22" s="4" t="s">
        <v>5</v>
      </c>
      <c r="L22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2" t="str">
        <f t="shared" si="1"/>
        <v xml:space="preserve"> VALUES('CK_MSA_060400','CK','','','Audit Logs','Audit Logs','60400','/administrations/audit/list',NULL,'CK_MSA_060100','A',NOW(),'SYS',NOW(),'SYS');</v>
      </c>
      <c r="N22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VALUES('CK_MSA_060400','CK','','','Audit Logs','Audit Logs','60400','/administrations/audit/list',NULL,'CK_MSA_060100','A',NOW(),'SYS',NOW(),'SYS');</v>
      </c>
      <c r="O22" s="4"/>
    </row>
    <row r="23" spans="1:15" x14ac:dyDescent="0.2">
      <c r="A23" s="4" t="s">
        <v>115</v>
      </c>
      <c r="B23" t="s">
        <v>3</v>
      </c>
      <c r="E23" t="s">
        <v>70</v>
      </c>
      <c r="F23" t="s">
        <v>70</v>
      </c>
      <c r="G23">
        <v>60500</v>
      </c>
      <c r="H23" t="s">
        <v>71</v>
      </c>
      <c r="I23" t="s">
        <v>31</v>
      </c>
      <c r="J23" s="4" t="s">
        <v>111</v>
      </c>
      <c r="K23" s="4" t="s">
        <v>5</v>
      </c>
      <c r="L23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3" t="str">
        <f t="shared" si="1"/>
        <v xml:space="preserve"> VALUES('CK_MSA_060500','CK','','','Exceptions','Exceptions','60500','/administrations/exception/list',NULL,'CK_MSA_060100','A',NOW(),'SYS',NOW(),'SYS');</v>
      </c>
      <c r="N23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VALUES('CK_MSA_060500','CK','','','Exceptions','Exceptions','60500','/administrations/exception/list',NULL,'CK_MSA_060100','A',NOW(),'SYS',NOW(),'SYS');</v>
      </c>
      <c r="O23" s="4"/>
    </row>
    <row r="24" spans="1:15" x14ac:dyDescent="0.2">
      <c r="A24" s="4" t="s">
        <v>116</v>
      </c>
      <c r="B24" t="s">
        <v>3</v>
      </c>
      <c r="E24" t="s">
        <v>72</v>
      </c>
      <c r="F24" t="s">
        <v>72</v>
      </c>
      <c r="G24">
        <v>60600</v>
      </c>
      <c r="H24" t="s">
        <v>73</v>
      </c>
      <c r="I24" t="s">
        <v>31</v>
      </c>
      <c r="J24" s="4" t="s">
        <v>111</v>
      </c>
      <c r="K24" s="4" t="s">
        <v>5</v>
      </c>
      <c r="L24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4" t="str">
        <f t="shared" si="1"/>
        <v xml:space="preserve"> VALUES('CK_MSA_060600','CK','','','Manage All Users','Manage All Users','60600','/manageUsers/users/all/list',NULL,'CK_MSA_060100','A',NOW(),'SYS',NOW(),'SYS');</v>
      </c>
      <c r="N24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VALUES('CK_MSA_060600','CK','','','Manage All Users','Manage All Users','60600','/manageUsers/users/all/list',NULL,'CK_MSA_060100','A',NOW(),'SYS',NOW(),'SYS');</v>
      </c>
      <c r="O24" s="4"/>
    </row>
    <row r="25" spans="1:15" x14ac:dyDescent="0.2">
      <c r="A25" s="4" t="s">
        <v>117</v>
      </c>
      <c r="B25" t="s">
        <v>3</v>
      </c>
      <c r="E25" t="s">
        <v>74</v>
      </c>
      <c r="F25" t="s">
        <v>74</v>
      </c>
      <c r="G25">
        <v>60700</v>
      </c>
      <c r="H25" t="s">
        <v>52</v>
      </c>
      <c r="I25" t="s">
        <v>31</v>
      </c>
      <c r="J25" s="4" t="s">
        <v>111</v>
      </c>
      <c r="K25" s="4" t="s">
        <v>5</v>
      </c>
      <c r="L25" t="str">
        <f t="shared" si="0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5" t="str">
        <f t="shared" si="1"/>
        <v xml:space="preserve"> VALUES('CK_MSA_060700','CK','','','Manage All Accounts','Manage All Accounts','60700','/manageAccounts/all/list',NULL,'CK_MSA_060100','A',NOW(),'SYS',NOW(),'SYS');</v>
      </c>
      <c r="N25" t="str">
        <f t="shared" si="2"/>
        <v>INSERT INTO T_CORE_MENU_EX (MENU_ID, MENU_APPS_CODE, MENU_GROUP_LABEL, MENU_GROUP_LABEL_OTH, MENU_NAME, MENU_NAME_OTH, MENU_SEQ, MENU_PATH, MENU_ICON, MENU_PARENT, MENU_STATUS, MENU_DT_CREATE, MENU_UID_CREATE, MENU_DT_LUPD, MENU_UID_LUPD)  VALUES('CK_MSA_060700','CK','','','Manage All Accounts','Manage All Accounts','60700','/manageAccounts/all/list',NULL,'CK_MSA_060100','A',NOW(),'SYS',NOW(),'SYS');</v>
      </c>
      <c r="O25" s="4"/>
    </row>
    <row r="27" spans="1:15" x14ac:dyDescent="0.2">
      <c r="A27" t="s">
        <v>32</v>
      </c>
      <c r="B27" t="s">
        <v>10</v>
      </c>
      <c r="C27" t="s">
        <v>33</v>
      </c>
      <c r="D27" t="s">
        <v>33</v>
      </c>
      <c r="E27" t="s">
        <v>33</v>
      </c>
      <c r="F27" t="s">
        <v>33</v>
      </c>
      <c r="G27">
        <v>10000</v>
      </c>
      <c r="H27" s="4" t="s">
        <v>34</v>
      </c>
      <c r="I27" t="s">
        <v>31</v>
      </c>
      <c r="J27" t="s">
        <v>31</v>
      </c>
      <c r="K27" t="s">
        <v>5</v>
      </c>
      <c r="L27" t="str">
        <f>CONCATENATE("INSERT INTO T_CORE_MENU_EX (MENU_ID, MENU_APPS_CODE, MENU_GROUP_LABEL, MENU_GROUP_LABEL_OTH, MENU_NAME, MENU_NAME_OTH, MENU_SEQ, MENU_PATH, MENU_ICON, MENU_PARENT, MENU_STATUS, MENU_DT_CREATE, MENU_UID_CREATE, MENU_DT_LUPD, MENU_UID_LUPD) ")</f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7" t="str">
        <f>CONCATENATE(" VALUES('",A27,"','",B27,"','",C27,"','",D27,"','",E27,"','",F27,"',",IF(G27="NULL","NULL",CONCATENATE("'",G27,"'")),",",IF(H27="NULL","NULL",CONCATENATE("'",H27,"'")),",",IF(I27="NULL","NULL",CONCATENATE("'",I27,"'")),",",IF(J27="NULL","NULL",CONCATENATE("'",J27,"'")),",'A',NOW(),'SYS',NOW(),'SYS');")</f>
        <v xml:space="preserve"> VALUES('CKT_MS_010000','CKT','Services','Services','Services','Services','10000','/',NULL,NULL,'A',NOW(),'SYS',NOW(),'SYS');</v>
      </c>
      <c r="N27" t="str">
        <f>CONCATENATE(L27,M27)</f>
        <v>INSERT INTO T_CORE_MENU_EX (MENU_ID, MENU_APPS_CODE, MENU_GROUP_LABEL, MENU_GROUP_LABEL_OTH, MENU_NAME, MENU_NAME_OTH, MENU_SEQ, MENU_PATH, MENU_ICON, MENU_PARENT, MENU_STATUS, MENU_DT_CREATE, MENU_UID_CREATE, MENU_DT_LUPD, MENU_UID_LUPD)  VALUES('CKT_MS_010000','CKT','Services','Services','Services','Services','10000','/',NULL,NULL,'A',NOW(),'SYS',NOW(),'SYS');</v>
      </c>
    </row>
    <row r="28" spans="1:15" x14ac:dyDescent="0.2">
      <c r="A28" t="s">
        <v>35</v>
      </c>
      <c r="B28" t="s">
        <v>10</v>
      </c>
      <c r="C28" t="s">
        <v>36</v>
      </c>
      <c r="D28" t="s">
        <v>36</v>
      </c>
      <c r="E28" t="s">
        <v>36</v>
      </c>
      <c r="F28" t="s">
        <v>36</v>
      </c>
      <c r="G28">
        <v>30000</v>
      </c>
      <c r="H28" s="4" t="s">
        <v>31</v>
      </c>
      <c r="I28" t="s">
        <v>53</v>
      </c>
      <c r="J28" t="s">
        <v>31</v>
      </c>
      <c r="K28" t="s">
        <v>5</v>
      </c>
      <c r="L28" t="str">
        <f t="shared" ref="L28:L35" si="3">CONCATENATE("INSERT INTO T_CORE_MENU_EX (MENU_ID, MENU_APPS_CODE, MENU_GROUP_LABEL, MENU_GROUP_LABEL_OTH, MENU_NAME, MENU_NAME_OTH, MENU_SEQ, MENU_PATH, MENU_ICON, MENU_PARENT, MENU_STATUS, MENU_DT_CREATE, MENU_UID_CREATE, MENU_DT_LUPD, MENU_UID_LUPD) ")</f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8" t="str">
        <f t="shared" ref="M28:M29" si="4">CONCATENATE(" VALUES('",A28,"','",B28,"','",C28,"','",D28,"','",E28,"','",F28,"',",IF(G28="NULL","NULL",CONCATENATE("'",G28,"'")),",",IF(H28="NULL","NULL",CONCATENATE("'",H28,"'")),",",IF(I28="NULL","NULL",CONCATENATE("'",I28,"'")),",",IF(J28="NULL","NULL",CONCATENATE("'",J28,"'")),",'A',NOW(),'SYS',NOW(),'SYS');")</f>
        <v xml:space="preserve"> VALUES('CKT_MA_030000','CKT','Administrations','Administrations','Administrations','Administrations','30000',NULL,'group',NULL,'A',NOW(),'SYS',NOW(),'SYS');</v>
      </c>
      <c r="N28" t="str">
        <f t="shared" ref="N28:N29" si="5">CONCATENATE(L28,M28)</f>
        <v>INSERT INTO T_CORE_MENU_EX (MENU_ID, MENU_APPS_CODE, MENU_GROUP_LABEL, MENU_GROUP_LABEL_OTH, MENU_NAME, MENU_NAME_OTH, MENU_SEQ, MENU_PATH, MENU_ICON, MENU_PARENT, MENU_STATUS, MENU_DT_CREATE, MENU_UID_CREATE, MENU_DT_LUPD, MENU_UID_LUPD)  VALUES('CKT_MA_030000','CKT','Administrations','Administrations','Administrations','Administrations','30000',NULL,'group',NULL,'A',NOW(),'SYS',NOW(),'SYS');</v>
      </c>
    </row>
    <row r="29" spans="1:15" x14ac:dyDescent="0.2">
      <c r="A29" t="s">
        <v>37</v>
      </c>
      <c r="B29" t="s">
        <v>10</v>
      </c>
      <c r="E29" t="s">
        <v>38</v>
      </c>
      <c r="F29" t="s">
        <v>38</v>
      </c>
      <c r="G29">
        <v>30100</v>
      </c>
      <c r="H29" s="4" t="s">
        <v>39</v>
      </c>
      <c r="I29" t="s">
        <v>31</v>
      </c>
      <c r="J29" t="s">
        <v>35</v>
      </c>
      <c r="K29" t="s">
        <v>5</v>
      </c>
      <c r="L29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29" t="str">
        <f t="shared" si="4"/>
        <v xml:space="preserve"> VALUES('CKT_MA_030100','CKT','','','Manage Trucks','Manage Trucks','30100','/administrations/truck-management/list',NULL,'CKT_MA_030000','A',NOW(),'SYS',NOW(),'SYS');</v>
      </c>
      <c r="N29" t="str">
        <f t="shared" si="5"/>
        <v>INSERT INTO T_CORE_MENU_EX (MENU_ID, MENU_APPS_CODE, MENU_GROUP_LABEL, MENU_GROUP_LABEL_OTH, MENU_NAME, MENU_NAME_OTH, MENU_SEQ, MENU_PATH, MENU_ICON, MENU_PARENT, MENU_STATUS, MENU_DT_CREATE, MENU_UID_CREATE, MENU_DT_LUPD, MENU_UID_LUPD)  VALUES('CKT_MA_030100','CKT','','','Manage Trucks','Manage Trucks','30100','/administrations/truck-management/list',NULL,'CKT_MA_030000','A',NOW(),'SYS',NOW(),'SYS');</v>
      </c>
    </row>
    <row r="30" spans="1:15" x14ac:dyDescent="0.2">
      <c r="A30" t="s">
        <v>40</v>
      </c>
      <c r="B30" t="s">
        <v>10</v>
      </c>
      <c r="E30" t="s">
        <v>41</v>
      </c>
      <c r="F30" t="s">
        <v>41</v>
      </c>
      <c r="G30">
        <v>30200</v>
      </c>
      <c r="H30" s="4" t="s">
        <v>42</v>
      </c>
      <c r="I30" t="s">
        <v>31</v>
      </c>
      <c r="J30" t="s">
        <v>35</v>
      </c>
      <c r="K30" t="s">
        <v>5</v>
      </c>
      <c r="L30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0" t="str">
        <f t="shared" ref="M30" si="6">CONCATENATE(" VALUES('",A30,"','",B30,"','",C30,"','",D30,"','",E30,"','",F30,"',",IF(G30="NULL","NULL",CONCATENATE("'",G30,"'")),",",IF(H30="NULL","NULL",CONCATENATE("'",H30,"'")),",",IF(I30="NULL","NULL",CONCATENATE("'",I30,"'")),",",IF(J30="NULL","NULL",CONCATENATE("'",J30,"'")),",'A',NOW(),'SYS',NOW(),'SYS');")</f>
        <v xml:space="preserve"> VALUES('CKT_MA_030200','CKT','','','Manage Drivers','Manage Drivers','30200','/administrations/driver-management/list',NULL,'CKT_MA_030000','A',NOW(),'SYS',NOW(),'SYS');</v>
      </c>
      <c r="N30" t="str">
        <f t="shared" ref="N30" si="7">CONCATENATE(L30,M30)</f>
        <v>INSERT INTO T_CORE_MENU_EX (MENU_ID, MENU_APPS_CODE, MENU_GROUP_LABEL, MENU_GROUP_LABEL_OTH, MENU_NAME, MENU_NAME_OTH, MENU_SEQ, MENU_PATH, MENU_ICON, MENU_PARENT, MENU_STATUS, MENU_DT_CREATE, MENU_UID_CREATE, MENU_DT_LUPD, MENU_UID_LUPD)  VALUES('CKT_MA_030200','CKT','','','Manage Drivers','Manage Drivers','30200','/administrations/driver-management/list',NULL,'CKT_MA_030000','A',NOW(),'SYS',NOW(),'SYS');</v>
      </c>
    </row>
    <row r="31" spans="1:15" x14ac:dyDescent="0.2">
      <c r="A31" t="s">
        <v>43</v>
      </c>
      <c r="B31" t="s">
        <v>10</v>
      </c>
      <c r="E31" t="s">
        <v>44</v>
      </c>
      <c r="F31" t="s">
        <v>44</v>
      </c>
      <c r="G31">
        <v>30300</v>
      </c>
      <c r="H31" s="4" t="s">
        <v>45</v>
      </c>
      <c r="I31" t="s">
        <v>31</v>
      </c>
      <c r="J31" t="s">
        <v>35</v>
      </c>
      <c r="K31" t="s">
        <v>5</v>
      </c>
      <c r="L31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1" t="str">
        <f t="shared" ref="M31" si="8">CONCATENATE(" VALUES('",A31,"','",B31,"','",C31,"','",D31,"','",E31,"','",F31,"',",IF(G31="NULL","NULL",CONCATENATE("'",G31,"'")),",",IF(H31="NULL","NULL",CONCATENATE("'",H31,"'")),",",IF(I31="NULL","NULL",CONCATENATE("'",I31,"'")),",",IF(J31="NULL","NULL",CONCATENATE("'",J31,"'")),",'A',NOW(),'SYS',NOW(),'SYS');")</f>
        <v xml:space="preserve"> VALUES('CKT_MA_030300','CKT','','','Manage Locations','Manage Locations','30300','/administrations/location-management/list',NULL,'CKT_MA_030000','A',NOW(),'SYS',NOW(),'SYS');</v>
      </c>
      <c r="N31" t="str">
        <f t="shared" ref="N31" si="9">CONCATENATE(L31,M31)</f>
        <v>INSERT INTO T_CORE_MENU_EX (MENU_ID, MENU_APPS_CODE, MENU_GROUP_LABEL, MENU_GROUP_LABEL_OTH, MENU_NAME, MENU_NAME_OTH, MENU_SEQ, MENU_PATH, MENU_ICON, MENU_PARENT, MENU_STATUS, MENU_DT_CREATE, MENU_UID_CREATE, MENU_DT_LUPD, MENU_UID_LUPD)  VALUES('CKT_MA_030300','CKT','','','Manage Locations','Manage Locations','30300','/administrations/location-management/list',NULL,'CKT_MA_030000','A',NOW(),'SYS',NOW(),'SYS');</v>
      </c>
    </row>
    <row r="32" spans="1:15" x14ac:dyDescent="0.2">
      <c r="A32" t="s">
        <v>46</v>
      </c>
      <c r="B32" t="s">
        <v>10</v>
      </c>
      <c r="E32" t="s">
        <v>47</v>
      </c>
      <c r="F32" t="s">
        <v>47</v>
      </c>
      <c r="G32">
        <v>30400</v>
      </c>
      <c r="H32" s="4" t="s">
        <v>48</v>
      </c>
      <c r="I32" t="s">
        <v>31</v>
      </c>
      <c r="J32" t="s">
        <v>35</v>
      </c>
      <c r="K32" t="s">
        <v>5</v>
      </c>
      <c r="L32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2" t="str">
        <f t="shared" ref="M32" si="10">CONCATENATE(" VALUES('",A32,"','",B32,"','",C32,"','",D32,"','",E32,"','",F32,"',",IF(G32="NULL","NULL",CONCATENATE("'",G32,"'")),",",IF(H32="NULL","NULL",CONCATENATE("'",H32,"'")),",",IF(I32="NULL","NULL",CONCATENATE("'",I32,"'")),",",IF(J32="NULL","NULL",CONCATENATE("'",J32,"'")),",'A',NOW(),'SYS',NOW(),'SYS');")</f>
        <v xml:space="preserve"> VALUES('CKT_MA_030400','CKT','','','Manage Rentals','Manage Rentals','30400','/administrations/rental-management/list',NULL,'CKT_MA_030000','A',NOW(),'SYS',NOW(),'SYS');</v>
      </c>
      <c r="N32" t="str">
        <f t="shared" ref="N32" si="11">CONCATENATE(L32,M32)</f>
        <v>INSERT INTO T_CORE_MENU_EX (MENU_ID, MENU_APPS_CODE, MENU_GROUP_LABEL, MENU_GROUP_LABEL_OTH, MENU_NAME, MENU_NAME_OTH, MENU_SEQ, MENU_PATH, MENU_ICON, MENU_PARENT, MENU_STATUS, MENU_DT_CREATE, MENU_UID_CREATE, MENU_DT_LUPD, MENU_UID_LUPD)  VALUES('CKT_MA_030400','CKT','','','Manage Rentals','Manage Rentals','30400','/administrations/rental-management/list',NULL,'CKT_MA_030000','A',NOW(),'SYS',NOW(),'SYS');</v>
      </c>
    </row>
    <row r="33" spans="1:14" x14ac:dyDescent="0.2">
      <c r="A33" t="s">
        <v>49</v>
      </c>
      <c r="B33" t="s">
        <v>10</v>
      </c>
      <c r="E33" t="s">
        <v>50</v>
      </c>
      <c r="F33" t="s">
        <v>50</v>
      </c>
      <c r="G33">
        <v>30500</v>
      </c>
      <c r="H33" s="4" t="s">
        <v>118</v>
      </c>
      <c r="I33" t="s">
        <v>31</v>
      </c>
      <c r="J33" t="s">
        <v>35</v>
      </c>
      <c r="K33" t="s">
        <v>5</v>
      </c>
      <c r="L33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3" t="str">
        <f t="shared" ref="M33:M34" si="12">CONCATENATE(" VALUES('",A33,"','",B33,"','",C33,"','",D33,"','",E33,"','",F33,"',",IF(G33="NULL","NULL",CONCATENATE("'",G33,"'")),",",IF(H33="NULL","NULL",CONCATENATE("'",H33,"'")),",",IF(I33="NULL","NULL",CONCATENATE("'",I33,"'")),",",IF(J33="NULL","NULL",CONCATENATE("'",J33,"'")),",'A',NOW(),'SYS',NOW(),'SYS');")</f>
        <v xml:space="preserve"> VALUES('CKT_MA_030500','CKT','','','Manage Rate Table','Manage Rate Table','30500','/administrations/contract-management/list',NULL,'CKT_MA_030000','A',NOW(),'SYS',NOW(),'SYS');</v>
      </c>
      <c r="N33" t="str">
        <f t="shared" ref="N33:N34" si="13">CONCATENATE(L33,M33)</f>
        <v>INSERT INTO T_CORE_MENU_EX (MENU_ID, MENU_APPS_CODE, MENU_GROUP_LABEL, MENU_GROUP_LABEL_OTH, MENU_NAME, MENU_NAME_OTH, MENU_SEQ, MENU_PATH, MENU_ICON, MENU_PARENT, MENU_STATUS, MENU_DT_CREATE, MENU_UID_CREATE, MENU_DT_LUPD, MENU_UID_LUPD)  VALUES('CKT_MA_030500','CKT','','','Manage Rate Table','Manage Rate Table','30500','/administrations/contract-management/list',NULL,'CKT_MA_030000','A',NOW(),'SYS',NOW(),'SYS');</v>
      </c>
    </row>
    <row r="34" spans="1:14" x14ac:dyDescent="0.2">
      <c r="A34" t="s">
        <v>119</v>
      </c>
      <c r="B34" t="s">
        <v>10</v>
      </c>
      <c r="E34" t="s">
        <v>120</v>
      </c>
      <c r="F34" t="s">
        <v>120</v>
      </c>
      <c r="G34">
        <v>40000</v>
      </c>
      <c r="H34" s="4" t="s">
        <v>118</v>
      </c>
      <c r="I34" t="s">
        <v>31</v>
      </c>
      <c r="J34" t="s">
        <v>31</v>
      </c>
      <c r="K34" t="s">
        <v>5</v>
      </c>
      <c r="L34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4" t="str">
        <f t="shared" si="12"/>
        <v xml:space="preserve"> VALUES('CKT_MA_040000','CKT','','','Manage Contracts','Manage Contracts','40000','/administrations/contract-management/list',NULL,NULL,'A',NOW(),'SYS',NOW(),'SYS');</v>
      </c>
      <c r="N34" t="str">
        <f t="shared" si="13"/>
        <v>INSERT INTO T_CORE_MENU_EX (MENU_ID, MENU_APPS_CODE, MENU_GROUP_LABEL, MENU_GROUP_LABEL_OTH, MENU_NAME, MENU_NAME_OTH, MENU_SEQ, MENU_PATH, MENU_ICON, MENU_PARENT, MENU_STATUS, MENU_DT_CREATE, MENU_UID_CREATE, MENU_DT_LUPD, MENU_UID_LUPD)  VALUES('CKT_MA_040000','CKT','','','Manage Contracts','Manage Contracts','40000','/administrations/contract-management/list',NULL,NULL,'A',NOW(),'SYS',NOW(),'SYS');</v>
      </c>
    </row>
    <row r="35" spans="1:14" x14ac:dyDescent="0.2">
      <c r="A35" t="s">
        <v>121</v>
      </c>
      <c r="B35" t="s">
        <v>10</v>
      </c>
      <c r="C35" t="s">
        <v>29</v>
      </c>
      <c r="D35" t="s">
        <v>29</v>
      </c>
      <c r="E35" t="s">
        <v>29</v>
      </c>
      <c r="F35" t="s">
        <v>29</v>
      </c>
      <c r="G35">
        <v>80000</v>
      </c>
      <c r="H35" t="s">
        <v>30</v>
      </c>
      <c r="I35" t="s">
        <v>31</v>
      </c>
      <c r="J35" t="s">
        <v>31</v>
      </c>
      <c r="K35" t="s">
        <v>5</v>
      </c>
      <c r="L35" t="str">
        <f t="shared" si="3"/>
        <v xml:space="preserve">INSERT INTO T_CORE_MENU_EX (MENU_ID, MENU_APPS_CODE, MENU_GROUP_LABEL, MENU_GROUP_LABEL_OTH, MENU_NAME, MENU_NAME_OTH, MENU_SEQ, MENU_PATH, MENU_ICON, MENU_PARENT, MENU_STATUS, MENU_DT_CREATE, MENU_UID_CREATE, MENU_DT_LUPD, MENU_UID_LUPD) </v>
      </c>
      <c r="M35" t="str">
        <f t="shared" ref="M35" si="14">CONCATENATE(" VALUES('",A35,"','",B35,"','",C35,"','",D35,"','",E35,"','",F35,"',",IF(G35="NULL","NULL",CONCATENATE("'",G35,"'")),",",IF(H35="NULL","NULL",CONCATENATE("'",H35,"'")),",",IF(I35="NULL","NULL",CONCATENATE("'",I35,"'")),",",IF(J35="NULL","NULL",CONCATENATE("'",J35,"'")),",'A',NOW(),'SYS',NOW(),'SYS');")</f>
        <v xml:space="preserve"> VALUES('CKT_MH_080000','CKT','Help','Help','Help','Help','80000','/help',NULL,NULL,'A',NOW(),'SYS',NOW(),'SYS');</v>
      </c>
      <c r="N35" t="str">
        <f t="shared" ref="N35" si="15">CONCATENATE(L35,M35)</f>
        <v>INSERT INTO T_CORE_MENU_EX (MENU_ID, MENU_APPS_CODE, MENU_GROUP_LABEL, MENU_GROUP_LABEL_OTH, MENU_NAME, MENU_NAME_OTH, MENU_SEQ, MENU_PATH, MENU_ICON, MENU_PARENT, MENU_STATUS, MENU_DT_CREATE, MENU_UID_CREATE, MENU_DT_LUPD, MENU_UID_LUPD)  VALUES('CKT_MH_080000','CKT','Help','Help','Help','Help','80000','/help',NULL,NULL,'A',NOW(),'SYS',NOW(),'SYS');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71"/>
  <sheetViews>
    <sheetView zoomScale="120" zoomScaleNormal="120" workbookViewId="0">
      <pane ySplit="1" topLeftCell="A2" activePane="bottomLeft" state="frozen"/>
      <selection pane="bottomLeft" activeCell="K5" sqref="K5"/>
    </sheetView>
  </sheetViews>
  <sheetFormatPr baseColWidth="10" defaultColWidth="11" defaultRowHeight="16" x14ac:dyDescent="0.2"/>
  <cols>
    <col min="1" max="1" width="48.6640625" style="20" customWidth="1"/>
    <col min="2" max="2" width="13.1640625" style="20" customWidth="1"/>
    <col min="3" max="3" width="11.1640625" style="20" customWidth="1"/>
    <col min="4" max="4" width="14.33203125" style="20" customWidth="1"/>
    <col min="5" max="5" width="11" style="20" customWidth="1"/>
    <col min="6" max="6" width="13.83203125" style="20" customWidth="1"/>
    <col min="7" max="7" width="18" style="20" customWidth="1"/>
    <col min="8" max="8" width="32.33203125" style="20" customWidth="1"/>
    <col min="9" max="9" width="23.1640625" style="20" customWidth="1"/>
    <col min="10" max="10" width="15.5" style="20" customWidth="1"/>
    <col min="11" max="11" width="16" style="19" customWidth="1"/>
    <col min="12" max="12" width="13.33203125" style="20" customWidth="1"/>
    <col min="13" max="14" width="23.1640625" style="20" customWidth="1"/>
    <col min="15" max="15" width="13.1640625" style="20" customWidth="1"/>
    <col min="16" max="17" width="16" style="20" customWidth="1"/>
    <col min="18" max="18" width="13.5" style="20" customWidth="1"/>
    <col min="19" max="19" width="16.6640625" style="20" customWidth="1"/>
    <col min="20" max="20" width="17.5" style="20" customWidth="1"/>
    <col min="21" max="21" width="14.5" style="20" customWidth="1"/>
    <col min="22" max="22" width="15.33203125" style="20" customWidth="1"/>
    <col min="23" max="16384" width="11" style="20"/>
  </cols>
  <sheetData>
    <row r="1" spans="1:23" x14ac:dyDescent="0.2">
      <c r="A1" s="18" t="s">
        <v>231</v>
      </c>
      <c r="B1" s="18" t="s">
        <v>199</v>
      </c>
      <c r="C1" s="18" t="s">
        <v>227</v>
      </c>
      <c r="D1" s="18" t="s">
        <v>228</v>
      </c>
      <c r="E1" s="18" t="s">
        <v>229</v>
      </c>
      <c r="F1" s="18" t="s">
        <v>198</v>
      </c>
      <c r="G1" s="18" t="s">
        <v>230</v>
      </c>
      <c r="H1" s="18" t="s">
        <v>233</v>
      </c>
      <c r="I1" s="19"/>
      <c r="J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3" ht="17" x14ac:dyDescent="0.2">
      <c r="A2" s="21" t="s">
        <v>280</v>
      </c>
      <c r="B2" s="20" t="s">
        <v>183</v>
      </c>
      <c r="C2" s="20">
        <v>0</v>
      </c>
      <c r="D2" s="21" t="s">
        <v>232</v>
      </c>
      <c r="E2" s="20">
        <v>100</v>
      </c>
      <c r="F2" s="21" t="s">
        <v>138</v>
      </c>
      <c r="G2" s="20">
        <v>0</v>
      </c>
      <c r="H2" s="30" t="s">
        <v>282</v>
      </c>
      <c r="I2" s="20" t="str">
        <f>CONCATENATE(" INSERT INTO `T_CORE_RPT_TABLE`(`RPTT_RPTID`,`RPTT_ACCN_TYPE`,`RPTT_TBL_IDX`,`RPTT_NAME`,`RPTT_WIDTH_PERC`,`RPTT_SHOW`,`RPTT_COLS`) ")</f>
        <v xml:space="preserve"> INSERT INTO `T_CORE_RPT_TABLE`(`RPTT_RPTID`,`RPTT_ACCN_TYPE`,`RPTT_TBL_IDX`,`RPTT_NAME`,`RPTT_WIDTH_PERC`,`RPTT_SHOW`,`RPTT_COLS`) </v>
      </c>
      <c r="J2" s="20" t="str">
        <f>CONCATENATE(" VALUES('",A2,"','",B2,"','",C2,"','",D2,"','",E2,"','",F2,"','",G2,"');")</f>
        <v xml:space="preserve"> VALUES('RPT_ALL_JOBS_TO','ACC_TYPE_TO','0','All Trucking Jobs','100','Y','0');</v>
      </c>
      <c r="K2" s="19" t="str">
        <f>CONCATENATE(I2,J2)</f>
        <v xml:space="preserve"> INSERT INTO `T_CORE_RPT_TABLE`(`RPTT_RPTID`,`RPTT_ACCN_TYPE`,`RPTT_TBL_IDX`,`RPTT_NAME`,`RPTT_WIDTH_PERC`,`RPTT_SHOW`,`RPTT_COLS`)  VALUES('RPT_ALL_JOBS_TO','ACC_TYPE_TO','0','All Trucking Jobs','100','Y','0');</v>
      </c>
      <c r="P2" s="22"/>
      <c r="Q2" s="22"/>
      <c r="S2" s="23"/>
      <c r="U2" s="23"/>
    </row>
    <row r="3" spans="1:23" ht="17" x14ac:dyDescent="0.2">
      <c r="A3" s="16" t="s">
        <v>281</v>
      </c>
      <c r="B3" s="21" t="s">
        <v>16</v>
      </c>
      <c r="C3" s="20">
        <v>0</v>
      </c>
      <c r="D3" s="21" t="s">
        <v>232</v>
      </c>
      <c r="E3" s="20">
        <v>100</v>
      </c>
      <c r="F3" s="21" t="s">
        <v>138</v>
      </c>
      <c r="G3" s="20">
        <v>0</v>
      </c>
      <c r="H3" s="30" t="s">
        <v>283</v>
      </c>
      <c r="I3" s="20" t="str">
        <f>CONCATENATE(" INSERT INTO `T_CORE_RPT_TABLE`(`RPTT_RPTID`,`RPTT_ACCN_TYPE`,`RPTT_TBL_IDX`,`RPTT_NAME`,`RPTT_WIDTH_PERC`,`RPTT_SHOW`,`RPTT_COLS`) ")</f>
        <v xml:space="preserve"> INSERT INTO `T_CORE_RPT_TABLE`(`RPTT_RPTID`,`RPTT_ACCN_TYPE`,`RPTT_TBL_IDX`,`RPTT_NAME`,`RPTT_WIDTH_PERC`,`RPTT_SHOW`,`RPTT_COLS`) </v>
      </c>
      <c r="J3" s="20" t="str">
        <f>CONCATENATE(" VALUES('",A3,"','",B3,"','",C3,"','",D3,"','",E3,"','",F3,"','",G3,"');")</f>
        <v xml:space="preserve"> VALUES('RPT_ALL_JOBS_CO','ACC_TYPE_CO','0','All Trucking Jobs','100','Y','0');</v>
      </c>
      <c r="K3" s="19" t="str">
        <f>CONCATENATE(I3,J3)</f>
        <v xml:space="preserve"> INSERT INTO `T_CORE_RPT_TABLE`(`RPTT_RPTID`,`RPTT_ACCN_TYPE`,`RPTT_TBL_IDX`,`RPTT_NAME`,`RPTT_WIDTH_PERC`,`RPTT_SHOW`,`RPTT_COLS`)  VALUES('RPT_ALL_JOBS_CO','ACC_TYPE_CO','0','All Trucking Jobs','100','Y','0');</v>
      </c>
      <c r="P3" s="22"/>
      <c r="Q3" s="22"/>
      <c r="S3" s="23"/>
      <c r="U3" s="23"/>
    </row>
    <row r="4" spans="1:23" ht="17" x14ac:dyDescent="0.2">
      <c r="A4" s="31" t="s">
        <v>284</v>
      </c>
      <c r="B4" s="20" t="s">
        <v>183</v>
      </c>
      <c r="C4" s="20">
        <v>0</v>
      </c>
      <c r="D4" s="31" t="s">
        <v>285</v>
      </c>
      <c r="E4" s="20">
        <v>100</v>
      </c>
      <c r="F4" s="21" t="s">
        <v>138</v>
      </c>
      <c r="G4" s="20">
        <v>0</v>
      </c>
      <c r="H4" s="32" t="s">
        <v>293</v>
      </c>
      <c r="I4" s="20" t="str">
        <f>CONCATENATE(" INSERT INTO `T_CORE_RPT_TABLE`(`RPTT_RPTID`,`RPTT_ACCN_TYPE`,`RPTT_TBL_IDX`,`RPTT_NAME`,`RPTT_WIDTH_PERC`,`RPTT_SHOW`,`RPTT_COLS`) ")</f>
        <v xml:space="preserve"> INSERT INTO `T_CORE_RPT_TABLE`(`RPTT_RPTID`,`RPTT_ACCN_TYPE`,`RPTT_TBL_IDX`,`RPTT_NAME`,`RPTT_WIDTH_PERC`,`RPTT_SHOW`,`RPTT_COLS`) </v>
      </c>
      <c r="J4" s="20" t="str">
        <f>CONCATENATE(" VALUES('",A4,"','",B4,"','",C4,"','",D4,"','",E4,"','",F4,"','",G4,"');")</f>
        <v xml:space="preserve"> VALUES('RPT_JOBS_DISCREPANCY_TO','ACC_TYPE_TO','0','Jobs with Discripancies/Deviations','100','Y','0');</v>
      </c>
      <c r="K4" s="19" t="str">
        <f>CONCATENATE(I4,J4)</f>
        <v xml:space="preserve"> INSERT INTO `T_CORE_RPT_TABLE`(`RPTT_RPTID`,`RPTT_ACCN_TYPE`,`RPTT_TBL_IDX`,`RPTT_NAME`,`RPTT_WIDTH_PERC`,`RPTT_SHOW`,`RPTT_COLS`)  VALUES('RPT_JOBS_DISCREPANCY_TO','ACC_TYPE_TO','0','Jobs with Discripancies/Deviations','100','Y','0');</v>
      </c>
      <c r="P4" s="22"/>
      <c r="Q4" s="22"/>
      <c r="S4" s="23"/>
      <c r="U4" s="23"/>
    </row>
    <row r="5" spans="1:23" ht="17" x14ac:dyDescent="0.2">
      <c r="A5" s="31" t="s">
        <v>299</v>
      </c>
      <c r="B5" s="21" t="s">
        <v>16</v>
      </c>
      <c r="C5" s="20">
        <v>0</v>
      </c>
      <c r="D5" s="31" t="s">
        <v>285</v>
      </c>
      <c r="E5" s="20">
        <v>100</v>
      </c>
      <c r="F5" s="21" t="s">
        <v>138</v>
      </c>
      <c r="G5" s="20">
        <v>0</v>
      </c>
      <c r="H5" s="32" t="s">
        <v>293</v>
      </c>
      <c r="I5" s="20" t="str">
        <f>CONCATENATE(" INSERT INTO `T_CORE_RPT_TABLE`(`RPTT_RPTID`,`RPTT_ACCN_TYPE`,`RPTT_TBL_IDX`,`RPTT_NAME`,`RPTT_WIDTH_PERC`,`RPTT_SHOW`,`RPTT_COLS`) ")</f>
        <v xml:space="preserve"> INSERT INTO `T_CORE_RPT_TABLE`(`RPTT_RPTID`,`RPTT_ACCN_TYPE`,`RPTT_TBL_IDX`,`RPTT_NAME`,`RPTT_WIDTH_PERC`,`RPTT_SHOW`,`RPTT_COLS`) </v>
      </c>
      <c r="J5" s="20" t="str">
        <f>CONCATENATE(" VALUES('",A5,"','",B5,"','",C5,"','",D5,"','",E5,"','",F5,"','",G5,"');")</f>
        <v xml:space="preserve"> VALUES('RPT_JOBS_DISCREPANCY_CO','ACC_TYPE_CO','0','Jobs with Discripancies/Deviations','100','Y','0');</v>
      </c>
      <c r="K5" s="19" t="str">
        <f>CONCATENATE(I5,J5)</f>
        <v xml:space="preserve"> INSERT INTO `T_CORE_RPT_TABLE`(`RPTT_RPTID`,`RPTT_ACCN_TYPE`,`RPTT_TBL_IDX`,`RPTT_NAME`,`RPTT_WIDTH_PERC`,`RPTT_SHOW`,`RPTT_COLS`)  VALUES('RPT_JOBS_DISCREPANCY_CO','ACC_TYPE_CO','0','Jobs with Discripancies/Deviations','100','Y','0');</v>
      </c>
      <c r="P5" s="22"/>
      <c r="Q5" s="22"/>
      <c r="S5" s="23"/>
      <c r="U5" s="23"/>
    </row>
    <row r="6" spans="1:23" x14ac:dyDescent="0.2">
      <c r="P6" s="22"/>
      <c r="Q6" s="22"/>
      <c r="S6" s="23"/>
      <c r="U6" s="23"/>
    </row>
    <row r="7" spans="1:23" x14ac:dyDescent="0.2">
      <c r="P7" s="22"/>
      <c r="Q7" s="22"/>
      <c r="S7" s="23"/>
      <c r="U7" s="23"/>
    </row>
    <row r="8" spans="1:23" x14ac:dyDescent="0.2">
      <c r="P8" s="22"/>
      <c r="Q8" s="22"/>
      <c r="S8" s="23"/>
      <c r="U8" s="23"/>
    </row>
    <row r="9" spans="1:23" x14ac:dyDescent="0.2">
      <c r="P9" s="22"/>
      <c r="Q9" s="22"/>
      <c r="S9" s="23"/>
      <c r="U9" s="23"/>
    </row>
    <row r="10" spans="1:23" x14ac:dyDescent="0.2">
      <c r="P10" s="22"/>
      <c r="Q10" s="22"/>
      <c r="S10" s="23"/>
      <c r="U10" s="23"/>
    </row>
    <row r="11" spans="1:23" x14ac:dyDescent="0.2">
      <c r="P11" s="22"/>
      <c r="Q11" s="22"/>
      <c r="S11" s="23"/>
      <c r="U11" s="23"/>
    </row>
    <row r="12" spans="1:23" x14ac:dyDescent="0.2">
      <c r="P12" s="22"/>
      <c r="Q12" s="22"/>
      <c r="S12" s="23"/>
      <c r="U12" s="23"/>
    </row>
    <row r="13" spans="1:23" x14ac:dyDescent="0.2">
      <c r="P13" s="22"/>
      <c r="Q13" s="22"/>
      <c r="S13" s="23"/>
      <c r="U13" s="23"/>
    </row>
    <row r="14" spans="1:23" x14ac:dyDescent="0.2">
      <c r="P14" s="22"/>
      <c r="Q14" s="22"/>
      <c r="S14" s="23"/>
      <c r="U14" s="23"/>
    </row>
    <row r="15" spans="1:23" x14ac:dyDescent="0.2">
      <c r="P15" s="22"/>
      <c r="Q15" s="22"/>
      <c r="S15" s="23"/>
      <c r="U15" s="23"/>
    </row>
    <row r="16" spans="1:23" x14ac:dyDescent="0.2">
      <c r="P16" s="22"/>
      <c r="Q16" s="22"/>
      <c r="S16" s="23"/>
      <c r="U16" s="23"/>
    </row>
    <row r="17" spans="8:21" x14ac:dyDescent="0.2">
      <c r="P17" s="22"/>
      <c r="Q17" s="22"/>
      <c r="S17" s="23"/>
      <c r="U17" s="23"/>
    </row>
    <row r="18" spans="8:21" x14ac:dyDescent="0.2">
      <c r="P18" s="22"/>
      <c r="Q18" s="22"/>
      <c r="S18" s="23"/>
      <c r="U18" s="23"/>
    </row>
    <row r="19" spans="8:21" x14ac:dyDescent="0.2">
      <c r="P19" s="22"/>
      <c r="Q19" s="22"/>
      <c r="S19" s="23"/>
      <c r="U19" s="23"/>
    </row>
    <row r="20" spans="8:21" x14ac:dyDescent="0.2">
      <c r="P20" s="22"/>
      <c r="Q20" s="22"/>
      <c r="S20" s="23"/>
      <c r="U20" s="23"/>
    </row>
    <row r="21" spans="8:21" x14ac:dyDescent="0.2">
      <c r="P21" s="22"/>
      <c r="Q21" s="22"/>
      <c r="S21" s="23"/>
      <c r="U21" s="23"/>
    </row>
    <row r="22" spans="8:21" x14ac:dyDescent="0.2">
      <c r="P22" s="22"/>
      <c r="Q22" s="22"/>
      <c r="S22" s="23"/>
      <c r="U22" s="23"/>
    </row>
    <row r="23" spans="8:21" x14ac:dyDescent="0.2">
      <c r="P23" s="22"/>
      <c r="Q23" s="22"/>
      <c r="S23" s="23"/>
      <c r="U23" s="23"/>
    </row>
    <row r="24" spans="8:21" x14ac:dyDescent="0.2">
      <c r="P24" s="22"/>
      <c r="Q24" s="22"/>
      <c r="S24" s="23"/>
      <c r="U24" s="23"/>
    </row>
    <row r="25" spans="8:21" x14ac:dyDescent="0.2">
      <c r="P25" s="22"/>
      <c r="Q25" s="22"/>
      <c r="S25" s="23"/>
      <c r="U25" s="23"/>
    </row>
    <row r="26" spans="8:21" x14ac:dyDescent="0.2">
      <c r="P26" s="22"/>
      <c r="Q26" s="22"/>
    </row>
    <row r="27" spans="8:21" x14ac:dyDescent="0.2">
      <c r="P27" s="22"/>
      <c r="Q27" s="22"/>
    </row>
    <row r="28" spans="8:21" x14ac:dyDescent="0.2">
      <c r="P28" s="22"/>
      <c r="Q28" s="22"/>
    </row>
    <row r="29" spans="8:21" x14ac:dyDescent="0.2">
      <c r="H29" s="24"/>
      <c r="P29" s="22"/>
      <c r="Q29" s="22"/>
    </row>
    <row r="30" spans="8:21" x14ac:dyDescent="0.2">
      <c r="H30" s="24"/>
      <c r="P30" s="22"/>
      <c r="Q30" s="22"/>
    </row>
    <row r="31" spans="8:21" x14ac:dyDescent="0.2">
      <c r="H31" s="25"/>
      <c r="P31" s="22"/>
      <c r="Q31" s="22"/>
      <c r="S31" s="23"/>
      <c r="U31" s="23"/>
    </row>
    <row r="32" spans="8:21" x14ac:dyDescent="0.2">
      <c r="H32" s="25"/>
      <c r="P32" s="22"/>
      <c r="Q32" s="22"/>
      <c r="S32" s="23"/>
      <c r="U32" s="23"/>
    </row>
    <row r="33" spans="1:21" x14ac:dyDescent="0.2">
      <c r="H33" s="25"/>
      <c r="P33" s="22"/>
      <c r="Q33" s="22"/>
      <c r="S33" s="23"/>
      <c r="U33" s="23"/>
    </row>
    <row r="34" spans="1:21" hidden="1" x14ac:dyDescent="0.2">
      <c r="A34" s="26"/>
      <c r="H34" s="25"/>
      <c r="P34" s="22"/>
      <c r="Q34" s="22"/>
    </row>
    <row r="35" spans="1:21" x14ac:dyDescent="0.2">
      <c r="H35" s="25"/>
      <c r="P35" s="22"/>
      <c r="Q35" s="22"/>
    </row>
    <row r="36" spans="1:21" x14ac:dyDescent="0.2">
      <c r="H36" s="25"/>
      <c r="P36" s="22"/>
      <c r="Q36" s="22"/>
    </row>
    <row r="37" spans="1:21" x14ac:dyDescent="0.2">
      <c r="H37" s="25"/>
      <c r="P37" s="22"/>
      <c r="Q37" s="22"/>
    </row>
    <row r="38" spans="1:21" x14ac:dyDescent="0.2">
      <c r="H38" s="24"/>
      <c r="P38" s="22"/>
      <c r="Q38" s="22"/>
    </row>
    <row r="39" spans="1:21" x14ac:dyDescent="0.2">
      <c r="H39" s="25"/>
      <c r="P39" s="22"/>
      <c r="Q39" s="22"/>
    </row>
    <row r="40" spans="1:21" x14ac:dyDescent="0.2">
      <c r="H40" s="25"/>
      <c r="P40" s="22"/>
      <c r="Q40" s="22"/>
    </row>
    <row r="41" spans="1:21" x14ac:dyDescent="0.2">
      <c r="H41" s="24"/>
      <c r="P41" s="22"/>
      <c r="Q41" s="22"/>
    </row>
    <row r="42" spans="1:21" x14ac:dyDescent="0.2">
      <c r="H42" s="25"/>
      <c r="P42" s="22"/>
      <c r="Q42" s="22"/>
    </row>
    <row r="43" spans="1:21" x14ac:dyDescent="0.2">
      <c r="H43" s="25"/>
      <c r="P43" s="22"/>
      <c r="Q43" s="22"/>
    </row>
    <row r="44" spans="1:21" x14ac:dyDescent="0.2">
      <c r="H44" s="24"/>
      <c r="P44" s="22"/>
      <c r="Q44" s="22"/>
    </row>
    <row r="45" spans="1:21" x14ac:dyDescent="0.2">
      <c r="H45" s="25"/>
      <c r="P45" s="22"/>
      <c r="Q45" s="22"/>
    </row>
    <row r="46" spans="1:21" x14ac:dyDescent="0.2">
      <c r="H46" s="25"/>
      <c r="P46" s="22"/>
      <c r="Q46" s="22"/>
    </row>
    <row r="47" spans="1:21" x14ac:dyDescent="0.2">
      <c r="H47" s="25"/>
      <c r="P47" s="22"/>
      <c r="Q47" s="22"/>
    </row>
    <row r="48" spans="1:21" x14ac:dyDescent="0.2">
      <c r="H48" s="24"/>
      <c r="P48" s="22"/>
      <c r="Q48" s="22"/>
    </row>
    <row r="49" spans="1:18" x14ac:dyDescent="0.2">
      <c r="H49" s="25"/>
      <c r="P49" s="22"/>
      <c r="Q49" s="22"/>
    </row>
    <row r="50" spans="1:18" s="25" customFormat="1" x14ac:dyDescent="0.2">
      <c r="A50" s="20"/>
      <c r="I50" s="20"/>
      <c r="K50" s="33"/>
      <c r="M50" s="20"/>
      <c r="N50" s="20"/>
      <c r="P50" s="27"/>
      <c r="Q50" s="27"/>
      <c r="R50" s="20"/>
    </row>
    <row r="51" spans="1:18" s="25" customFormat="1" x14ac:dyDescent="0.2">
      <c r="A51" s="20"/>
      <c r="I51" s="20"/>
      <c r="K51" s="33"/>
      <c r="M51" s="20"/>
      <c r="N51" s="20"/>
      <c r="P51" s="27"/>
      <c r="Q51" s="27"/>
      <c r="R51" s="20"/>
    </row>
    <row r="52" spans="1:18" s="25" customFormat="1" x14ac:dyDescent="0.2">
      <c r="A52" s="20"/>
      <c r="H52" s="24"/>
      <c r="I52" s="20"/>
      <c r="K52" s="33"/>
      <c r="M52" s="20"/>
      <c r="N52" s="20"/>
      <c r="P52" s="27"/>
      <c r="Q52" s="27"/>
      <c r="R52" s="20"/>
    </row>
    <row r="53" spans="1:18" s="25" customFormat="1" hidden="1" x14ac:dyDescent="0.2">
      <c r="A53" s="26"/>
      <c r="I53" s="20"/>
      <c r="K53" s="33"/>
      <c r="M53" s="20"/>
      <c r="N53" s="20"/>
      <c r="P53" s="27"/>
      <c r="Q53" s="27"/>
      <c r="R53" s="20"/>
    </row>
    <row r="54" spans="1:18" s="25" customFormat="1" x14ac:dyDescent="0.2">
      <c r="A54" s="20"/>
      <c r="I54" s="20"/>
      <c r="K54" s="33"/>
      <c r="M54" s="20"/>
      <c r="N54" s="20"/>
      <c r="P54" s="27"/>
      <c r="Q54" s="27"/>
      <c r="R54" s="20"/>
    </row>
    <row r="55" spans="1:18" s="25" customFormat="1" x14ac:dyDescent="0.2">
      <c r="A55" s="20"/>
      <c r="I55" s="20"/>
      <c r="K55" s="33"/>
      <c r="M55" s="20"/>
      <c r="N55" s="20"/>
      <c r="P55" s="27"/>
      <c r="Q55" s="27"/>
      <c r="R55" s="20"/>
    </row>
    <row r="56" spans="1:18" s="25" customFormat="1" x14ac:dyDescent="0.2">
      <c r="A56" s="20"/>
      <c r="I56" s="20"/>
      <c r="K56" s="33"/>
      <c r="M56" s="20"/>
      <c r="N56" s="20"/>
      <c r="P56" s="27"/>
      <c r="Q56" s="27"/>
      <c r="R56" s="20"/>
    </row>
    <row r="57" spans="1:18" s="25" customFormat="1" x14ac:dyDescent="0.2">
      <c r="A57" s="20"/>
      <c r="I57" s="20"/>
      <c r="K57" s="33"/>
      <c r="M57" s="20"/>
      <c r="N57" s="20"/>
      <c r="P57" s="27"/>
      <c r="Q57" s="27"/>
      <c r="R57" s="20"/>
    </row>
    <row r="58" spans="1:18" s="25" customFormat="1" x14ac:dyDescent="0.2">
      <c r="A58" s="20"/>
      <c r="I58" s="20"/>
      <c r="K58" s="33"/>
      <c r="M58" s="20"/>
      <c r="N58" s="20"/>
      <c r="P58" s="27"/>
      <c r="Q58" s="27"/>
      <c r="R58" s="20"/>
    </row>
    <row r="59" spans="1:18" s="25" customFormat="1" x14ac:dyDescent="0.2">
      <c r="A59" s="20"/>
      <c r="I59" s="20"/>
      <c r="K59" s="33"/>
      <c r="M59" s="20"/>
      <c r="N59" s="20"/>
      <c r="P59" s="27"/>
      <c r="Q59" s="27"/>
      <c r="R59" s="20"/>
    </row>
    <row r="60" spans="1:18" s="25" customFormat="1" x14ac:dyDescent="0.2">
      <c r="A60" s="20"/>
      <c r="I60" s="20"/>
      <c r="K60" s="33"/>
      <c r="M60" s="20"/>
      <c r="N60" s="20"/>
      <c r="P60" s="27"/>
      <c r="Q60" s="27"/>
      <c r="R60" s="20"/>
    </row>
    <row r="61" spans="1:18" s="25" customFormat="1" x14ac:dyDescent="0.2">
      <c r="A61" s="20"/>
      <c r="I61" s="20"/>
      <c r="K61" s="33"/>
      <c r="M61" s="20"/>
      <c r="N61" s="20"/>
      <c r="P61" s="27"/>
      <c r="Q61" s="27"/>
      <c r="R61" s="20"/>
    </row>
    <row r="62" spans="1:18" s="25" customFormat="1" x14ac:dyDescent="0.2">
      <c r="A62" s="20"/>
      <c r="I62" s="20"/>
      <c r="K62" s="33"/>
      <c r="M62" s="20"/>
      <c r="N62" s="20"/>
      <c r="P62" s="27"/>
      <c r="Q62" s="27"/>
      <c r="R62" s="20"/>
    </row>
    <row r="63" spans="1:18" s="25" customFormat="1" x14ac:dyDescent="0.2">
      <c r="A63" s="20"/>
      <c r="I63" s="20"/>
      <c r="K63" s="33"/>
      <c r="M63" s="20"/>
      <c r="N63" s="20"/>
      <c r="P63" s="27"/>
      <c r="Q63" s="27"/>
      <c r="R63" s="20"/>
    </row>
    <row r="64" spans="1:18" s="25" customFormat="1" hidden="1" x14ac:dyDescent="0.2">
      <c r="A64" s="20"/>
      <c r="I64" s="20"/>
      <c r="K64" s="33"/>
      <c r="M64" s="20"/>
      <c r="N64" s="20"/>
      <c r="P64" s="27"/>
      <c r="Q64" s="27"/>
      <c r="R64" s="20"/>
    </row>
    <row r="65" spans="1:18" s="25" customFormat="1" x14ac:dyDescent="0.2">
      <c r="A65" s="20"/>
      <c r="I65" s="20"/>
      <c r="K65" s="33"/>
      <c r="M65" s="20"/>
      <c r="N65" s="20"/>
      <c r="P65" s="27"/>
      <c r="Q65" s="27"/>
      <c r="R65" s="20"/>
    </row>
    <row r="66" spans="1:18" x14ac:dyDescent="0.2">
      <c r="B66" s="25"/>
      <c r="C66" s="25"/>
      <c r="D66" s="25"/>
      <c r="E66" s="25"/>
      <c r="F66" s="25"/>
      <c r="G66" s="25"/>
      <c r="H66" s="25"/>
      <c r="J66" s="25"/>
      <c r="K66" s="33"/>
      <c r="L66" s="25"/>
      <c r="O66" s="25"/>
      <c r="P66" s="27"/>
      <c r="Q66" s="27"/>
    </row>
    <row r="67" spans="1:18" x14ac:dyDescent="0.2">
      <c r="B67" s="25"/>
      <c r="C67" s="25"/>
      <c r="D67" s="25"/>
      <c r="E67" s="25"/>
      <c r="F67" s="25"/>
      <c r="G67" s="25"/>
      <c r="H67" s="25"/>
      <c r="J67" s="25"/>
      <c r="K67" s="33"/>
      <c r="L67" s="25"/>
      <c r="O67" s="25"/>
      <c r="P67" s="27"/>
      <c r="Q67" s="27"/>
    </row>
    <row r="68" spans="1:18" x14ac:dyDescent="0.2">
      <c r="B68" s="25"/>
      <c r="C68" s="25"/>
      <c r="D68" s="25"/>
      <c r="E68" s="25"/>
      <c r="F68" s="25"/>
      <c r="G68" s="25"/>
      <c r="H68" s="25"/>
      <c r="J68" s="25"/>
      <c r="K68" s="33"/>
      <c r="L68" s="25"/>
      <c r="O68" s="25"/>
      <c r="P68" s="27"/>
      <c r="Q68" s="27"/>
    </row>
    <row r="69" spans="1:18" x14ac:dyDescent="0.2">
      <c r="B69" s="25"/>
      <c r="C69" s="25"/>
      <c r="D69" s="25"/>
      <c r="E69" s="25"/>
      <c r="F69" s="25"/>
      <c r="G69" s="25"/>
      <c r="H69" s="25"/>
      <c r="J69" s="25"/>
      <c r="K69" s="33"/>
      <c r="L69" s="25"/>
      <c r="O69" s="25"/>
      <c r="P69" s="27"/>
      <c r="Q69" s="27"/>
    </row>
    <row r="70" spans="1:18" x14ac:dyDescent="0.2">
      <c r="B70" s="25"/>
      <c r="C70" s="25"/>
      <c r="D70" s="25"/>
      <c r="E70" s="25"/>
      <c r="F70" s="25"/>
      <c r="G70" s="25"/>
      <c r="H70" s="25"/>
      <c r="J70" s="25"/>
      <c r="K70" s="33"/>
      <c r="L70" s="25"/>
      <c r="O70" s="25"/>
      <c r="P70" s="27"/>
      <c r="Q70" s="27"/>
    </row>
    <row r="71" spans="1:18" x14ac:dyDescent="0.2">
      <c r="A71" s="26"/>
      <c r="B71" s="25"/>
      <c r="C71" s="25"/>
      <c r="D71" s="25"/>
      <c r="E71" s="25"/>
      <c r="F71" s="25"/>
      <c r="G71" s="25"/>
      <c r="H71" s="25"/>
      <c r="J71" s="25"/>
      <c r="K71" s="33"/>
      <c r="L71" s="25"/>
      <c r="O71" s="25"/>
      <c r="P71" s="27"/>
      <c r="Q71" s="27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8"/>
  <sheetViews>
    <sheetView workbookViewId="0">
      <selection activeCell="I37" sqref="I37"/>
    </sheetView>
  </sheetViews>
  <sheetFormatPr baseColWidth="10" defaultColWidth="11" defaultRowHeight="16" x14ac:dyDescent="0.2"/>
  <cols>
    <col min="1" max="1" width="8.6640625" customWidth="1"/>
    <col min="2" max="2" width="13.1640625" customWidth="1"/>
    <col min="3" max="3" width="11.1640625" customWidth="1"/>
    <col min="4" max="4" width="14.33203125" customWidth="1"/>
    <col min="5" max="5" width="11" customWidth="1"/>
    <col min="6" max="6" width="13.83203125" customWidth="1"/>
    <col min="7" max="7" width="18" customWidth="1"/>
    <col min="8" max="8" width="16.83203125" customWidth="1"/>
    <col min="9" max="9" width="23.1640625" customWidth="1"/>
    <col min="10" max="10" width="15.5" customWidth="1"/>
    <col min="11" max="11" width="16" customWidth="1"/>
    <col min="12" max="12" width="13.33203125" customWidth="1"/>
    <col min="13" max="14" width="23.1640625" customWidth="1"/>
    <col min="15" max="15" width="13.1640625" customWidth="1"/>
    <col min="16" max="17" width="16" customWidth="1"/>
    <col min="18" max="18" width="13.5" customWidth="1"/>
    <col min="19" max="19" width="16.6640625" customWidth="1"/>
    <col min="20" max="20" width="17.5" customWidth="1"/>
    <col min="21" max="21" width="14.5" customWidth="1"/>
    <col min="22" max="22" width="15.33203125" customWidth="1"/>
  </cols>
  <sheetData>
    <row r="1" spans="1:23" x14ac:dyDescent="0.2">
      <c r="A1" s="5" t="s">
        <v>122</v>
      </c>
      <c r="B1" s="5" t="s">
        <v>123</v>
      </c>
      <c r="C1" s="5" t="s">
        <v>124</v>
      </c>
      <c r="D1" s="5" t="s">
        <v>125</v>
      </c>
      <c r="E1" s="5" t="s">
        <v>126</v>
      </c>
      <c r="F1" s="5" t="s">
        <v>127</v>
      </c>
      <c r="G1" s="5" t="s">
        <v>128</v>
      </c>
      <c r="H1" s="5" t="s">
        <v>129</v>
      </c>
      <c r="I1" s="5" t="s">
        <v>130</v>
      </c>
      <c r="J1" s="5" t="s">
        <v>131</v>
      </c>
      <c r="K1" s="5" t="s">
        <v>132</v>
      </c>
      <c r="L1" s="5" t="s">
        <v>133</v>
      </c>
      <c r="M1" s="5" t="s">
        <v>134</v>
      </c>
      <c r="N1" s="5" t="s">
        <v>135</v>
      </c>
      <c r="O1" s="5" t="s">
        <v>136</v>
      </c>
      <c r="P1" s="5"/>
      <c r="Q1" s="5"/>
      <c r="R1" s="5"/>
      <c r="S1" s="5"/>
      <c r="T1" s="5"/>
      <c r="U1" s="5"/>
      <c r="V1" s="5"/>
      <c r="W1" s="5"/>
    </row>
    <row r="2" spans="1:23" x14ac:dyDescent="0.2">
      <c r="A2" t="s">
        <v>137</v>
      </c>
      <c r="B2" t="s">
        <v>138</v>
      </c>
      <c r="C2" t="s">
        <v>3</v>
      </c>
      <c r="D2" t="s">
        <v>31</v>
      </c>
      <c r="E2" t="s">
        <v>139</v>
      </c>
      <c r="F2" t="s">
        <v>31</v>
      </c>
      <c r="G2" t="s">
        <v>31</v>
      </c>
      <c r="H2" t="s">
        <v>93</v>
      </c>
      <c r="I2" t="s">
        <v>33</v>
      </c>
      <c r="J2" t="s">
        <v>31</v>
      </c>
      <c r="K2" t="s">
        <v>31</v>
      </c>
      <c r="L2" t="s">
        <v>31</v>
      </c>
      <c r="M2" t="s">
        <v>33</v>
      </c>
      <c r="N2" t="s">
        <v>33</v>
      </c>
      <c r="O2" t="s">
        <v>140</v>
      </c>
      <c r="P2" s="9" t="s">
        <v>141</v>
      </c>
      <c r="Q2" s="9" t="str">
        <f t="array" ref="Q2">CONCATENATE(" VALUES ('",A2,"', '",B2,"', '",C2,"', ",IF(D2="NULL","NULL",CONCATENATE("'",D2,"'")),", '",E2,"', ",IFERROR(F2,NULL),", NULL, '",H2,"', '",I2,"', '",M2,"','",N2,"','",O2,"', '2021-04-14 11:08:00', '2999-12-31 23:59:59', 'A', '2021-04-14 11:08:00', 'SYS', '2021-04-14 11:08:00', 'SYS');")</f>
        <v xml:space="preserve"> VALUES ('PM000', 'Y', 'CK', NULL, 'M', NULL, NULL, 'CK_MS_010000', 'Services', 'Services','Services','R', '2021-04-14 11:08:00', '2999-12-31 23:59:59', 'A', '2021-04-14 11:08:00', 'SYS', '2021-04-14 11:08:00', 'SYS');</v>
      </c>
      <c r="R2" t="str">
        <f>CONCATENATE(P2,Q2)</f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('PM000', 'Y', 'CK', NULL, 'M', NULL, NULL, 'CK_MS_010000', 'Services', 'Services','Services','R', '2021-04-14 11:08:00', '2999-12-31 23:59:59', 'A', '2021-04-14 11:08:00', 'SYS', '2021-04-14 11:08:00', 'SYS');</v>
      </c>
      <c r="S2" s="10"/>
      <c r="U2" s="10"/>
    </row>
    <row r="3" spans="1:23" x14ac:dyDescent="0.2">
      <c r="A3" t="s">
        <v>142</v>
      </c>
      <c r="B3" t="s">
        <v>138</v>
      </c>
      <c r="C3" t="s">
        <v>3</v>
      </c>
      <c r="D3" t="s">
        <v>31</v>
      </c>
      <c r="E3" t="s">
        <v>139</v>
      </c>
      <c r="F3" t="s">
        <v>31</v>
      </c>
      <c r="G3" t="s">
        <v>31</v>
      </c>
      <c r="H3" t="s">
        <v>94</v>
      </c>
      <c r="I3" t="s">
        <v>59</v>
      </c>
      <c r="J3" t="s">
        <v>31</v>
      </c>
      <c r="K3" t="s">
        <v>31</v>
      </c>
      <c r="L3" t="s">
        <v>31</v>
      </c>
      <c r="M3" t="s">
        <v>59</v>
      </c>
      <c r="N3" t="s">
        <v>59</v>
      </c>
      <c r="O3" t="s">
        <v>140</v>
      </c>
      <c r="P3" s="9" t="s">
        <v>141</v>
      </c>
      <c r="Q3" s="9" t="str">
        <f t="array" ref="Q3">CONCATENATE(" VALUES ('",A3,"', '",B3,"', '",C3,"', ",IF(D3="NULL","NULL",CONCATENATE("'",D3,"'")),", '",E3,"', ",IFERROR(F3,NULL),", NULL, '",H3,"', '",I3,"', '",M3,"','",N3,"','",O3,"', '2021-04-14 11:08:00', '2999-12-31 23:59:59', 'A', '2021-04-14 11:08:00', 'SYS', '2021-04-14 11:08:00', 'SYS');")</f>
        <v xml:space="preserve"> VALUES ('PM001', 'Y', 'CK', NULL, 'M', NULL, NULL, 'CK_MP_020000', 'Payments', 'Payments','Payments','R', '2021-04-14 11:08:00', '2999-12-31 23:59:59', 'A', '2021-04-14 11:08:00', 'SYS', '2021-04-14 11:08:00', 'SYS');</v>
      </c>
      <c r="R3" t="str">
        <f t="shared" ref="R3:R25" si="0">CONCATENATE(P3,Q3)</f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('PM001', 'Y', 'CK', NULL, 'M', NULL, NULL, 'CK_MP_020000', 'Payments', 'Payments','Payments','R', '2021-04-14 11:08:00', '2999-12-31 23:59:59', 'A', '2021-04-14 11:08:00', 'SYS', '2021-04-14 11:08:00', 'SYS');</v>
      </c>
      <c r="S3" s="10"/>
      <c r="U3" s="10"/>
    </row>
    <row r="4" spans="1:23" x14ac:dyDescent="0.2">
      <c r="A4" t="s">
        <v>143</v>
      </c>
      <c r="B4" t="s">
        <v>138</v>
      </c>
      <c r="C4" t="s">
        <v>3</v>
      </c>
      <c r="D4" t="s">
        <v>31</v>
      </c>
      <c r="E4" t="s">
        <v>139</v>
      </c>
      <c r="F4" t="s">
        <v>31</v>
      </c>
      <c r="G4" t="s">
        <v>31</v>
      </c>
      <c r="H4" t="s">
        <v>96</v>
      </c>
      <c r="I4" t="s">
        <v>36</v>
      </c>
      <c r="J4" t="s">
        <v>31</v>
      </c>
      <c r="K4" t="s">
        <v>31</v>
      </c>
      <c r="L4" t="s">
        <v>31</v>
      </c>
      <c r="M4" t="s">
        <v>36</v>
      </c>
      <c r="N4" t="s">
        <v>36</v>
      </c>
      <c r="O4" t="s">
        <v>140</v>
      </c>
      <c r="P4" s="9" t="s">
        <v>141</v>
      </c>
      <c r="Q4" s="9" t="str">
        <f t="array" ref="Q4">CONCATENATE(" VALUES ('",A4,"', '",B4,"', '",C4,"', ",IF(D4="NULL","NULL",CONCATENATE("'",D4,"'")),", '",E4,"', ",IFERROR(F4,NULL),", NULL, '",H4,"', '",I4,"', '",M4,"','",N4,"','",O4,"', '2021-04-14 11:08:00', '2999-12-31 23:59:59', 'A', '2021-04-14 11:08:00', 'SYS', '2021-04-14 11:08:00', 'SYS');")</f>
        <v xml:space="preserve"> VALUES ('PM002', 'Y', 'CK', NULL, 'M', NULL, NULL, 'CK_MA_030000', 'Administrations', 'Administrations','Administrations','R', '2021-04-14 11:08:00', '2999-12-31 23:59:59', 'A', '2021-04-14 11:08:00', 'SYS', '2021-04-14 11:08:00', 'SYS');</v>
      </c>
      <c r="R4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('PM002', 'Y', 'CK', NULL, 'M', NULL, NULL, 'CK_MA_030000', 'Administrations', 'Administrations','Administrations','R', '2021-04-14 11:08:00', '2999-12-31 23:59:59', 'A', '2021-04-14 11:08:00', 'SYS', '2021-04-14 11:08:00', 'SYS');</v>
      </c>
      <c r="S4" s="10"/>
      <c r="U4" s="10"/>
    </row>
    <row r="5" spans="1:23" x14ac:dyDescent="0.2">
      <c r="A5" t="s">
        <v>144</v>
      </c>
      <c r="B5" t="s">
        <v>17</v>
      </c>
      <c r="C5" t="s">
        <v>3</v>
      </c>
      <c r="D5" t="s">
        <v>31</v>
      </c>
      <c r="E5" t="s">
        <v>139</v>
      </c>
      <c r="F5" t="s">
        <v>31</v>
      </c>
      <c r="G5" t="s">
        <v>31</v>
      </c>
      <c r="H5" t="s">
        <v>97</v>
      </c>
      <c r="I5" t="s">
        <v>51</v>
      </c>
      <c r="J5" t="s">
        <v>31</v>
      </c>
      <c r="K5" t="s">
        <v>31</v>
      </c>
      <c r="L5" t="s">
        <v>31</v>
      </c>
      <c r="M5" t="s">
        <v>51</v>
      </c>
      <c r="N5" t="s">
        <v>51</v>
      </c>
      <c r="O5" t="s">
        <v>140</v>
      </c>
      <c r="P5" s="9" t="s">
        <v>141</v>
      </c>
      <c r="Q5" s="9" t="str">
        <f t="array" ref="Q5">CONCATENATE(" VALUES ('",A5,"', '",B5,"', '",C5,"', ",IF(D5="NULL","NULL",CONCATENATE("'",D5,"'")),", '",E5,"', ",IFERROR(F5,NULL),", NULL, '",H5,"', '",I5,"', '",M5,"','",N5,"','",O5,"', '2021-04-14 11:08:00', '2999-12-31 23:59:59', 'A', '2021-04-14 11:08:00', 'SYS', '2021-04-14 11:08:00', 'SYS');")</f>
        <v xml:space="preserve"> VALUES ('PM003', 'N', 'CK', NULL, 'M', NULL, NULL, 'CK_MA_030100', 'Account Profile', 'Account Profile','Account Profile','R', '2021-04-14 11:08:00', '2999-12-31 23:59:59', 'A', '2021-04-14 11:08:00', 'SYS', '2021-04-14 11:08:00', 'SYS');</v>
      </c>
      <c r="R5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('PM003', 'N', 'CK', NULL, 'M', NULL, NULL, 'CK_MA_030100', 'Account Profile', 'Account Profile','Account Profile','R', '2021-04-14 11:08:00', '2999-12-31 23:59:59', 'A', '2021-04-14 11:08:00', 'SYS', '2021-04-14 11:08:00', 'SYS');</v>
      </c>
      <c r="S5" s="10"/>
      <c r="U5" s="10"/>
    </row>
    <row r="6" spans="1:23" x14ac:dyDescent="0.2">
      <c r="A6" t="s">
        <v>145</v>
      </c>
      <c r="B6" t="s">
        <v>17</v>
      </c>
      <c r="C6" t="s">
        <v>3</v>
      </c>
      <c r="D6" t="s">
        <v>31</v>
      </c>
      <c r="E6" t="s">
        <v>139</v>
      </c>
      <c r="F6" t="s">
        <v>31</v>
      </c>
      <c r="G6" t="s">
        <v>31</v>
      </c>
      <c r="H6" t="s">
        <v>98</v>
      </c>
      <c r="I6" t="s">
        <v>55</v>
      </c>
      <c r="J6" t="s">
        <v>31</v>
      </c>
      <c r="K6" t="s">
        <v>31</v>
      </c>
      <c r="L6" t="s">
        <v>31</v>
      </c>
      <c r="M6" t="s">
        <v>55</v>
      </c>
      <c r="N6" t="s">
        <v>55</v>
      </c>
      <c r="O6" t="s">
        <v>140</v>
      </c>
      <c r="P6" s="9" t="s">
        <v>141</v>
      </c>
      <c r="Q6" s="9" t="str">
        <f t="array" ref="Q6">CONCATENATE(" VALUES ('",A6,"', '",B6,"', '",C6,"', ",IF(D6="NULL","NULL",CONCATENATE("'",D6,"'")),", '",E6,"', ",IFERROR(F6,NULL),", NULL, '",H6,"', '",I6,"', '",M6,"','",N6,"','",O6,"', '2021-04-14 11:08:00', '2999-12-31 23:59:59', 'A', '2021-04-14 11:08:00', 'SYS', '2021-04-14 11:08:00', 'SYS');")</f>
        <v xml:space="preserve"> VALUES ('PM004', 'N', 'CK', NULL, 'M', NULL, NULL, 'CK_MA_030200', 'Users', 'Users','Users','R', '2021-04-14 11:08:00', '2999-12-31 23:59:59', 'A', '2021-04-14 11:08:00', 'SYS', '2021-04-14 11:08:00', 'SYS');</v>
      </c>
      <c r="R6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('PM004', 'N', 'CK', NULL, 'M', NULL, NULL, 'CK_MA_030200', 'Users', 'Users','Users','R', '2021-04-14 11:08:00', '2999-12-31 23:59:59', 'A', '2021-04-14 11:08:00', 'SYS', '2021-04-14 11:08:00', 'SYS');</v>
      </c>
      <c r="S6" s="10"/>
      <c r="U6" s="10"/>
    </row>
    <row r="7" spans="1:23" x14ac:dyDescent="0.2">
      <c r="A7" t="s">
        <v>146</v>
      </c>
      <c r="B7" t="s">
        <v>17</v>
      </c>
      <c r="C7" t="s">
        <v>3</v>
      </c>
      <c r="D7" t="s">
        <v>31</v>
      </c>
      <c r="E7" t="s">
        <v>139</v>
      </c>
      <c r="F7" t="s">
        <v>31</v>
      </c>
      <c r="G7" t="s">
        <v>31</v>
      </c>
      <c r="H7" t="s">
        <v>99</v>
      </c>
      <c r="I7" t="s">
        <v>57</v>
      </c>
      <c r="J7" t="s">
        <v>31</v>
      </c>
      <c r="K7" t="s">
        <v>31</v>
      </c>
      <c r="L7" t="s">
        <v>31</v>
      </c>
      <c r="M7" t="s">
        <v>57</v>
      </c>
      <c r="N7" t="s">
        <v>57</v>
      </c>
      <c r="O7" t="s">
        <v>140</v>
      </c>
      <c r="P7" s="9" t="s">
        <v>141</v>
      </c>
      <c r="Q7" s="9" t="str">
        <f t="array" ref="Q7">CONCATENATE(" VALUES ('",A7,"', '",B7,"', '",C7,"', ",IF(D7="NULL","NULL",CONCATENATE("'",D7,"'")),", '",E7,"', ",IFERROR(F7,NULL),", NULL, '",H7,"', '",I7,"', '",M7,"','",N7,"','",O7,"', '2021-04-14 11:08:00', '2999-12-31 23:59:59', 'A', '2021-04-14 11:08:00', 'SYS', '2021-04-14 11:08:00', 'SYS');")</f>
        <v xml:space="preserve"> VALUES ('PM005', 'N', 'CK', NULL, 'M', NULL, NULL, 'CK_MA_030300', 'Authorisations', 'Authorisations','Authorisations','R', '2021-04-14 11:08:00', '2999-12-31 23:59:59', 'A', '2021-04-14 11:08:00', 'SYS', '2021-04-14 11:08:00', 'SYS');</v>
      </c>
      <c r="R7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('PM005', 'N', 'CK', NULL, 'M', NULL, NULL, 'CK_MA_030300', 'Authorisations', 'Authorisations','Authorisations','R', '2021-04-14 11:08:00', '2999-12-31 23:59:59', 'A', '2021-04-14 11:08:00', 'SYS', '2021-04-14 11:08:00', 'SYS');</v>
      </c>
      <c r="S7" s="10"/>
      <c r="U7" s="10"/>
    </row>
    <row r="8" spans="1:23" x14ac:dyDescent="0.2">
      <c r="A8" t="s">
        <v>147</v>
      </c>
      <c r="B8" t="s">
        <v>17</v>
      </c>
      <c r="C8" t="s">
        <v>3</v>
      </c>
      <c r="D8" t="s">
        <v>31</v>
      </c>
      <c r="E8" t="s">
        <v>139</v>
      </c>
      <c r="F8" t="s">
        <v>31</v>
      </c>
      <c r="G8" t="s">
        <v>31</v>
      </c>
      <c r="H8" t="s">
        <v>100</v>
      </c>
      <c r="I8" t="s">
        <v>29</v>
      </c>
      <c r="J8" t="s">
        <v>31</v>
      </c>
      <c r="K8" t="s">
        <v>31</v>
      </c>
      <c r="L8" t="s">
        <v>31</v>
      </c>
      <c r="M8" t="s">
        <v>29</v>
      </c>
      <c r="N8" t="s">
        <v>29</v>
      </c>
      <c r="O8" t="s">
        <v>140</v>
      </c>
      <c r="P8" s="9" t="s">
        <v>141</v>
      </c>
      <c r="Q8" s="9" t="str">
        <f t="array" ref="Q8">CONCATENATE(" VALUES ('",A8,"', '",B8,"', '",C8,"', ",IF(D8="NULL","NULL",CONCATENATE("'",D8,"'")),", '",E8,"', ",IFERROR(F8,NULL),", NULL, '",H8,"', '",I8,"', '",M8,"','",N8,"','",O8,"', '2021-04-14 11:08:00', '2999-12-31 23:59:59', 'A', '2021-04-14 11:08:00', 'SYS', '2021-04-14 11:08:00', 'SYS');")</f>
        <v xml:space="preserve"> VALUES ('PM006', 'N', 'CK', NULL, 'M', NULL, NULL, 'CK_MH_040000', 'Help', 'Help','Help','R', '2021-04-14 11:08:00', '2999-12-31 23:59:59', 'A', '2021-04-14 11:08:00', 'SYS', '2021-04-14 11:08:00', 'SYS');</v>
      </c>
      <c r="R8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('PM006', 'N', 'CK', NULL, 'M', NULL, NULL, 'CK_MH_040000', 'Help', 'Help','Help','R', '2021-04-14 11:08:00', '2999-12-31 23:59:59', 'A', '2021-04-14 11:08:00', 'SYS', '2021-04-14 11:08:00', 'SYS');</v>
      </c>
      <c r="S8" s="10"/>
      <c r="U8" s="10"/>
    </row>
    <row r="9" spans="1:23" x14ac:dyDescent="0.2">
      <c r="A9" t="s">
        <v>148</v>
      </c>
      <c r="B9" t="s">
        <v>138</v>
      </c>
      <c r="C9" t="s">
        <v>3</v>
      </c>
      <c r="D9" t="s">
        <v>31</v>
      </c>
      <c r="E9" t="s">
        <v>139</v>
      </c>
      <c r="F9" t="s">
        <v>31</v>
      </c>
      <c r="G9" t="s">
        <v>31</v>
      </c>
      <c r="H9" s="4" t="s">
        <v>101</v>
      </c>
      <c r="I9" s="4" t="s">
        <v>75</v>
      </c>
      <c r="J9" t="s">
        <v>31</v>
      </c>
      <c r="K9" t="s">
        <v>31</v>
      </c>
      <c r="L9" t="s">
        <v>31</v>
      </c>
      <c r="M9" s="4" t="s">
        <v>75</v>
      </c>
      <c r="N9" s="4" t="s">
        <v>75</v>
      </c>
      <c r="O9" t="s">
        <v>140</v>
      </c>
      <c r="P9" s="9" t="s">
        <v>141</v>
      </c>
      <c r="Q9" s="9" t="str">
        <f t="array" ref="Q9">CONCATENATE(" VALUES ('",A9,"', '",B9,"', '",C9,"', ",IF(D9="NULL","NULL",CONCATENATE("'",D9,"'")),", '",E9,"', ",IFERROR(F9,NULL),", NULL, '",H9,"', '",I9,"', '",M9,"','",N9,"','",O9,"', '2021-04-14 11:08:00', '2999-12-31 23:59:59', 'A', '2021-04-14 11:08:00', 'SYS', '2021-04-14 11:08:00', 'SYS');")</f>
        <v xml:space="preserve"> VALUES ('PM007', 'Y', 'CK', NULL, 'M', NULL, NULL, 'CK_MT_050000', 'Master Table', 'Master Table','Master Table','R', '2021-04-14 11:08:00', '2999-12-31 23:59:59', 'A', '2021-04-14 11:08:00', 'SYS', '2021-04-14 11:08:00', 'SYS');</v>
      </c>
      <c r="R9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('PM007', 'Y', 'CK', NULL, 'M', NULL, NULL, 'CK_MT_050000', 'Master Table', 'Master Table','Master Table','R', '2021-04-14 11:08:00', '2999-12-31 23:59:59', 'A', '2021-04-14 11:08:00', 'SYS', '2021-04-14 11:08:00', 'SYS');</v>
      </c>
      <c r="S9" s="10"/>
      <c r="U9" s="10"/>
    </row>
    <row r="10" spans="1:23" x14ac:dyDescent="0.2">
      <c r="A10" t="s">
        <v>149</v>
      </c>
      <c r="B10" t="s">
        <v>17</v>
      </c>
      <c r="C10" t="s">
        <v>3</v>
      </c>
      <c r="D10" t="s">
        <v>31</v>
      </c>
      <c r="E10" t="s">
        <v>139</v>
      </c>
      <c r="F10" t="s">
        <v>31</v>
      </c>
      <c r="G10" t="s">
        <v>31</v>
      </c>
      <c r="H10" s="4" t="s">
        <v>102</v>
      </c>
      <c r="I10" s="4" t="s">
        <v>77</v>
      </c>
      <c r="J10" t="s">
        <v>31</v>
      </c>
      <c r="K10" t="s">
        <v>31</v>
      </c>
      <c r="L10" t="s">
        <v>31</v>
      </c>
      <c r="M10" s="4" t="s">
        <v>77</v>
      </c>
      <c r="N10" s="4" t="s">
        <v>77</v>
      </c>
      <c r="O10" t="s">
        <v>140</v>
      </c>
      <c r="P10" s="9" t="s">
        <v>141</v>
      </c>
      <c r="Q10" s="9" t="str">
        <f t="array" ref="Q10">CONCATENATE(" VALUES ('",A10,"', '",B10,"', '",C10,"', ",IF(D10="NULL","NULL",CONCATENATE("'",D10,"'")),", '",E10,"', ",IFERROR(F10,NULL),", NULL, '",H10,"', '",I10,"', '",M10,"','",N10,"','",O10,"', '2021-04-14 11:08:00', '2999-12-31 23:59:59', 'A', '2021-04-14 11:08:00', 'SYS', '2021-04-14 11:08:00', 'SYS');")</f>
        <v xml:space="preserve"> VALUES ('PM008', 'N', 'CK', NULL, 'M', NULL, NULL, 'CK_MT_050100', 'Announcement Type', 'Announcement Type','Announcement Type','R', '2021-04-14 11:08:00', '2999-12-31 23:59:59', 'A', '2021-04-14 11:08:00', 'SYS', '2021-04-14 11:08:00', 'SYS');</v>
      </c>
      <c r="R10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('PM008', 'N', 'CK', NULL, 'M', NULL, NULL, 'CK_MT_050100', 'Announcement Type', 'Announcement Type','Announcement Type','R', '2021-04-14 11:08:00', '2999-12-31 23:59:59', 'A', '2021-04-14 11:08:00', 'SYS', '2021-04-14 11:08:00', 'SYS');</v>
      </c>
      <c r="S10" s="10"/>
      <c r="U10" s="10"/>
    </row>
    <row r="11" spans="1:23" x14ac:dyDescent="0.2">
      <c r="A11" t="s">
        <v>150</v>
      </c>
      <c r="B11" t="s">
        <v>17</v>
      </c>
      <c r="C11" t="s">
        <v>3</v>
      </c>
      <c r="D11" t="s">
        <v>31</v>
      </c>
      <c r="E11" t="s">
        <v>139</v>
      </c>
      <c r="F11" t="s">
        <v>31</v>
      </c>
      <c r="G11" t="s">
        <v>31</v>
      </c>
      <c r="H11" s="4" t="s">
        <v>103</v>
      </c>
      <c r="I11" s="4" t="s">
        <v>79</v>
      </c>
      <c r="J11" t="s">
        <v>31</v>
      </c>
      <c r="K11" t="s">
        <v>31</v>
      </c>
      <c r="L11" t="s">
        <v>31</v>
      </c>
      <c r="M11" s="4" t="s">
        <v>79</v>
      </c>
      <c r="N11" s="4" t="s">
        <v>79</v>
      </c>
      <c r="O11" t="s">
        <v>140</v>
      </c>
      <c r="P11" s="9" t="s">
        <v>141</v>
      </c>
      <c r="Q11" s="9" t="str">
        <f t="array" ref="Q11">CONCATENATE(" VALUES ('",A11,"', '",B11,"', '",C11,"', ",IF(D11="NULL","NULL",CONCATENATE("'",D11,"'")),", '",E11,"', ",IFERROR(F11,NULL),", NULL, '",H11,"', '",I11,"', '",M11,"','",N11,"','",O11,"', '2021-04-14 11:08:00', '2999-12-31 23:59:59', 'A', '2021-04-14 11:08:00', 'SYS', '2021-04-14 11:08:00', 'SYS');")</f>
        <v xml:space="preserve"> VALUES ('PM009', 'N', 'CK', NULL, 'M', NULL, NULL, 'CK_MT_050200', 'Country Codes', 'Country Codes','Country Codes','R', '2021-04-14 11:08:00', '2999-12-31 23:59:59', 'A', '2021-04-14 11:08:00', 'SYS', '2021-04-14 11:08:00', 'SYS');</v>
      </c>
      <c r="R11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('PM009', 'N', 'CK', NULL, 'M', NULL, NULL, 'CK_MT_050200', 'Country Codes', 'Country Codes','Country Codes','R', '2021-04-14 11:08:00', '2999-12-31 23:59:59', 'A', '2021-04-14 11:08:00', 'SYS', '2021-04-14 11:08:00', 'SYS');</v>
      </c>
      <c r="S11" s="10"/>
      <c r="U11" s="10"/>
    </row>
    <row r="12" spans="1:23" x14ac:dyDescent="0.2">
      <c r="A12" t="s">
        <v>151</v>
      </c>
      <c r="B12" t="s">
        <v>17</v>
      </c>
      <c r="C12" t="s">
        <v>3</v>
      </c>
      <c r="D12" t="s">
        <v>31</v>
      </c>
      <c r="E12" t="s">
        <v>139</v>
      </c>
      <c r="F12" t="s">
        <v>31</v>
      </c>
      <c r="G12" t="s">
        <v>31</v>
      </c>
      <c r="H12" s="4" t="s">
        <v>104</v>
      </c>
      <c r="I12" s="4" t="s">
        <v>81</v>
      </c>
      <c r="J12" t="s">
        <v>31</v>
      </c>
      <c r="K12" t="s">
        <v>31</v>
      </c>
      <c r="L12" t="s">
        <v>31</v>
      </c>
      <c r="M12" s="4" t="s">
        <v>81</v>
      </c>
      <c r="N12" s="4" t="s">
        <v>81</v>
      </c>
      <c r="O12" t="s">
        <v>140</v>
      </c>
      <c r="P12" s="9" t="s">
        <v>141</v>
      </c>
      <c r="Q12" s="9" t="str">
        <f t="array" ref="Q12">CONCATENATE(" VALUES ('",A12,"', '",B12,"', '",C12,"', ",IF(D12="NULL","NULL",CONCATENATE("'",D12,"'")),", '",E12,"', ",IFERROR(F12,NULL),", NULL, '",H12,"', '",I12,"', '",M12,"','",N12,"','",O12,"', '2021-04-14 11:08:00', '2999-12-31 23:59:59', 'A', '2021-04-14 11:08:00', 'SYS', '2021-04-14 11:08:00', 'SYS');")</f>
        <v xml:space="preserve"> VALUES ('PM010', 'N', 'CK', NULL, 'M', NULL, NULL, 'CK_MT_050300', 'Currency Code', 'Currency Code','Currency Code','R', '2021-04-14 11:08:00', '2999-12-31 23:59:59', 'A', '2021-04-14 11:08:00', 'SYS', '2021-04-14 11:08:00', 'SYS');</v>
      </c>
      <c r="R12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('PM010', 'N', 'CK', NULL, 'M', NULL, NULL, 'CK_MT_050300', 'Currency Code', 'Currency Code','Currency Code','R', '2021-04-14 11:08:00', '2999-12-31 23:59:59', 'A', '2021-04-14 11:08:00', 'SYS', '2021-04-14 11:08:00', 'SYS');</v>
      </c>
      <c r="S12" s="10"/>
      <c r="U12" s="10"/>
    </row>
    <row r="13" spans="1:23" x14ac:dyDescent="0.2">
      <c r="A13" t="s">
        <v>152</v>
      </c>
      <c r="B13" t="s">
        <v>17</v>
      </c>
      <c r="C13" t="s">
        <v>3</v>
      </c>
      <c r="D13" t="s">
        <v>31</v>
      </c>
      <c r="E13" t="s">
        <v>139</v>
      </c>
      <c r="F13" t="s">
        <v>31</v>
      </c>
      <c r="G13" t="s">
        <v>31</v>
      </c>
      <c r="H13" s="4" t="s">
        <v>105</v>
      </c>
      <c r="I13" s="4" t="s">
        <v>83</v>
      </c>
      <c r="J13" t="s">
        <v>31</v>
      </c>
      <c r="K13" t="s">
        <v>31</v>
      </c>
      <c r="L13" t="s">
        <v>31</v>
      </c>
      <c r="M13" s="4" t="s">
        <v>83</v>
      </c>
      <c r="N13" s="4" t="s">
        <v>83</v>
      </c>
      <c r="O13" t="s">
        <v>140</v>
      </c>
      <c r="P13" s="9" t="s">
        <v>141</v>
      </c>
      <c r="Q13" s="9" t="str">
        <f t="array" ref="Q13">CONCATENATE(" VALUES ('",A13,"', '",B13,"', '",C13,"', ",IF(D13="NULL","NULL",CONCATENATE("'",D13,"'")),", '",E13,"', ",IFERROR(F13,NULL),", NULL, '",H13,"', '",I13,"', '",M13,"','",N13,"','",O13,"', '2021-04-14 11:08:00', '2999-12-31 23:59:59', 'A', '2021-04-14 11:08:00', 'SYS', '2021-04-14 11:08:00', 'SYS');")</f>
        <v xml:space="preserve"> VALUES ('PM011', 'N', 'CK', NULL, 'M', NULL, NULL, 'CK_MT_050400', 'Harmonized System Codes', 'Harmonized System Codes','Harmonized System Codes','R', '2021-04-14 11:08:00', '2999-12-31 23:59:59', 'A', '2021-04-14 11:08:00', 'SYS', '2021-04-14 11:08:00', 'SYS');</v>
      </c>
      <c r="R13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('PM011', 'N', 'CK', NULL, 'M', NULL, NULL, 'CK_MT_050400', 'Harmonized System Codes', 'Harmonized System Codes','Harmonized System Codes','R', '2021-04-14 11:08:00', '2999-12-31 23:59:59', 'A', '2021-04-14 11:08:00', 'SYS', '2021-04-14 11:08:00', 'SYS');</v>
      </c>
      <c r="S13" s="10"/>
      <c r="U13" s="10"/>
    </row>
    <row r="14" spans="1:23" x14ac:dyDescent="0.2">
      <c r="A14" t="s">
        <v>153</v>
      </c>
      <c r="B14" t="s">
        <v>17</v>
      </c>
      <c r="C14" t="s">
        <v>3</v>
      </c>
      <c r="D14" t="s">
        <v>31</v>
      </c>
      <c r="E14" t="s">
        <v>139</v>
      </c>
      <c r="F14" t="s">
        <v>31</v>
      </c>
      <c r="G14" t="s">
        <v>31</v>
      </c>
      <c r="H14" s="4" t="s">
        <v>106</v>
      </c>
      <c r="I14" s="4" t="s">
        <v>85</v>
      </c>
      <c r="J14" t="s">
        <v>31</v>
      </c>
      <c r="K14" t="s">
        <v>31</v>
      </c>
      <c r="L14" t="s">
        <v>31</v>
      </c>
      <c r="M14" s="4" t="s">
        <v>85</v>
      </c>
      <c r="N14" s="4" t="s">
        <v>85</v>
      </c>
      <c r="O14" t="s">
        <v>140</v>
      </c>
      <c r="P14" s="9" t="s">
        <v>141</v>
      </c>
      <c r="Q14" s="9" t="str">
        <f t="array" ref="Q14">CONCATENATE(" VALUES ('",A14,"', '",B14,"', '",C14,"', ",IF(D14="NULL","NULL",CONCATENATE("'",D14,"'")),", '",E14,"', ",IFERROR(F14,NULL),", NULL, '",H14,"', '",I14,"', '",M14,"','",N14,"','",O14,"', '2021-04-14 11:08:00', '2999-12-31 23:59:59', 'A', '2021-04-14 11:08:00', 'SYS', '2021-04-14 11:08:00', 'SYS');")</f>
        <v xml:space="preserve"> VALUES ('PM012', 'N', 'CK', NULL, 'M', NULL, NULL, 'CK_MT_050500', 'Notification Templates', 'Notification Templates','Notification Templates','R', '2021-04-14 11:08:00', '2999-12-31 23:59:59', 'A', '2021-04-14 11:08:00', 'SYS', '2021-04-14 11:08:00', 'SYS');</v>
      </c>
      <c r="R14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('PM012', 'N', 'CK', NULL, 'M', NULL, NULL, 'CK_MT_050500', 'Notification Templates', 'Notification Templates','Notification Templates','R', '2021-04-14 11:08:00', '2999-12-31 23:59:59', 'A', '2021-04-14 11:08:00', 'SYS', '2021-04-14 11:08:00', 'SYS');</v>
      </c>
      <c r="S14" s="10"/>
      <c r="U14" s="10"/>
    </row>
    <row r="15" spans="1:23" x14ac:dyDescent="0.2">
      <c r="A15" t="s">
        <v>154</v>
      </c>
      <c r="B15" t="s">
        <v>17</v>
      </c>
      <c r="C15" t="s">
        <v>3</v>
      </c>
      <c r="D15" t="s">
        <v>31</v>
      </c>
      <c r="E15" t="s">
        <v>139</v>
      </c>
      <c r="F15" t="s">
        <v>31</v>
      </c>
      <c r="G15" t="s">
        <v>31</v>
      </c>
      <c r="H15" s="4" t="s">
        <v>107</v>
      </c>
      <c r="I15" s="4" t="s">
        <v>87</v>
      </c>
      <c r="J15" t="s">
        <v>31</v>
      </c>
      <c r="K15" t="s">
        <v>31</v>
      </c>
      <c r="L15" t="s">
        <v>31</v>
      </c>
      <c r="M15" s="4" t="s">
        <v>87</v>
      </c>
      <c r="N15" s="4" t="s">
        <v>87</v>
      </c>
      <c r="O15" t="s">
        <v>140</v>
      </c>
      <c r="P15" s="9" t="s">
        <v>141</v>
      </c>
      <c r="Q15" s="9" t="str">
        <f t="array" ref="Q15">CONCATENATE(" VALUES ('",A15,"', '",B15,"', '",C15,"', ",IF(D15="NULL","NULL",CONCATENATE("'",D15,"'")),", '",E15,"', ",IFERROR(F15,NULL),", NULL, '",H15,"', '",I15,"', '",M15,"','",N15,"','",O15,"', '2021-04-14 11:08:00', '2999-12-31 23:59:59', 'A', '2021-04-14 11:08:00', 'SYS', '2021-04-14 11:08:00', 'SYS');")</f>
        <v xml:space="preserve"> VALUES ('PM013', 'N', 'CK', NULL, 'M', NULL, NULL, 'CK_MT_050600', 'Port Codes', 'Port Codes','Port Codes','R', '2021-04-14 11:08:00', '2999-12-31 23:59:59', 'A', '2021-04-14 11:08:00', 'SYS', '2021-04-14 11:08:00', 'SYS');</v>
      </c>
      <c r="R15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('PM013', 'N', 'CK', NULL, 'M', NULL, NULL, 'CK_MT_050600', 'Port Codes', 'Port Codes','Port Codes','R', '2021-04-14 11:08:00', '2999-12-31 23:59:59', 'A', '2021-04-14 11:08:00', 'SYS', '2021-04-14 11:08:00', 'SYS');</v>
      </c>
      <c r="S15" s="10"/>
      <c r="U15" s="10"/>
    </row>
    <row r="16" spans="1:23" x14ac:dyDescent="0.2">
      <c r="A16" t="s">
        <v>155</v>
      </c>
      <c r="B16" t="s">
        <v>17</v>
      </c>
      <c r="C16" t="s">
        <v>3</v>
      </c>
      <c r="D16" t="s">
        <v>31</v>
      </c>
      <c r="E16" t="s">
        <v>139</v>
      </c>
      <c r="F16" t="s">
        <v>31</v>
      </c>
      <c r="G16" t="s">
        <v>31</v>
      </c>
      <c r="H16" s="4" t="s">
        <v>108</v>
      </c>
      <c r="I16" s="4" t="s">
        <v>89</v>
      </c>
      <c r="J16" t="s">
        <v>31</v>
      </c>
      <c r="K16" t="s">
        <v>31</v>
      </c>
      <c r="L16" t="s">
        <v>31</v>
      </c>
      <c r="M16" s="4" t="s">
        <v>89</v>
      </c>
      <c r="N16" s="4" t="s">
        <v>89</v>
      </c>
      <c r="O16" t="s">
        <v>140</v>
      </c>
      <c r="P16" s="9" t="s">
        <v>141</v>
      </c>
      <c r="Q16" s="9" t="str">
        <f t="array" ref="Q16">CONCATENATE(" VALUES ('",A16,"', '",B16,"', '",C16,"', ",IF(D16="NULL","NULL",CONCATENATE("'",D16,"'")),", '",E16,"', ",IFERROR(F16,NULL),", NULL, '",H16,"', '",I16,"', '",M16,"','",N16,"','",O16,"', '2021-04-14 11:08:00', '2999-12-31 23:59:59', 'A', '2021-04-14 11:08:00', 'SYS', '2021-04-14 11:08:00', 'SYS');")</f>
        <v xml:space="preserve"> VALUES ('PM014', 'N', 'CK', NULL, 'M', NULL, NULL, 'CK_MT_050700', 'Port Terminal', 'Port Terminal','Port Terminal','R', '2021-04-14 11:08:00', '2999-12-31 23:59:59', 'A', '2021-04-14 11:08:00', 'SYS', '2021-04-14 11:08:00', 'SYS');</v>
      </c>
      <c r="R16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('PM014', 'N', 'CK', NULL, 'M', NULL, NULL, 'CK_MT_050700', 'Port Terminal', 'Port Terminal','Port Terminal','R', '2021-04-14 11:08:00', '2999-12-31 23:59:59', 'A', '2021-04-14 11:08:00', 'SYS', '2021-04-14 11:08:00', 'SYS');</v>
      </c>
      <c r="S16" s="10"/>
      <c r="U16" s="10"/>
    </row>
    <row r="17" spans="1:21" x14ac:dyDescent="0.2">
      <c r="A17" t="s">
        <v>156</v>
      </c>
      <c r="B17" t="s">
        <v>17</v>
      </c>
      <c r="C17" t="s">
        <v>3</v>
      </c>
      <c r="D17" t="s">
        <v>31</v>
      </c>
      <c r="E17" t="s">
        <v>139</v>
      </c>
      <c r="F17" t="s">
        <v>31</v>
      </c>
      <c r="G17" t="s">
        <v>31</v>
      </c>
      <c r="H17" s="4" t="s">
        <v>109</v>
      </c>
      <c r="I17" s="4" t="s">
        <v>91</v>
      </c>
      <c r="J17" t="s">
        <v>31</v>
      </c>
      <c r="K17" t="s">
        <v>31</v>
      </c>
      <c r="L17" t="s">
        <v>31</v>
      </c>
      <c r="M17" s="4" t="s">
        <v>91</v>
      </c>
      <c r="N17" s="4" t="s">
        <v>91</v>
      </c>
      <c r="O17" t="s">
        <v>140</v>
      </c>
      <c r="P17" s="9" t="s">
        <v>141</v>
      </c>
      <c r="Q17" s="9" t="str">
        <f t="array" ref="Q17">CONCATENATE(" VALUES ('",A17,"', '",B17,"', '",C17,"', ",IF(D17="NULL","NULL",CONCATENATE("'",D17,"'")),", '",E17,"', ",IFERROR(F17,NULL),", NULL, '",H17,"', '",I17,"', '",M17,"','",N17,"','",O17,"', '2021-04-14 11:08:00', '2999-12-31 23:59:59', 'A', '2021-04-14 11:08:00', 'SYS', '2021-04-14 11:08:00', 'SYS');")</f>
        <v xml:space="preserve"> VALUES ('PM015', 'N', 'CK', NULL, 'M', NULL, NULL, 'CK_MT_050800', 'UOM Codes', 'UOM Codes','UOM Codes','R', '2021-04-14 11:08:00', '2999-12-31 23:59:59', 'A', '2021-04-14 11:08:00', 'SYS', '2021-04-14 11:08:00', 'SYS');</v>
      </c>
      <c r="R17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('PM015', 'N', 'CK', NULL, 'M', NULL, NULL, 'CK_MT_050800', 'UOM Codes', 'UOM Codes','UOM Codes','R', '2021-04-14 11:08:00', '2999-12-31 23:59:59', 'A', '2021-04-14 11:08:00', 'SYS', '2021-04-14 11:08:00', 'SYS');</v>
      </c>
      <c r="S17" s="10"/>
      <c r="U17" s="10"/>
    </row>
    <row r="18" spans="1:21" x14ac:dyDescent="0.2">
      <c r="A18" t="s">
        <v>157</v>
      </c>
      <c r="B18" t="s">
        <v>138</v>
      </c>
      <c r="C18" t="s">
        <v>3</v>
      </c>
      <c r="D18" t="s">
        <v>31</v>
      </c>
      <c r="E18" t="s">
        <v>139</v>
      </c>
      <c r="F18" t="s">
        <v>31</v>
      </c>
      <c r="G18" t="s">
        <v>31</v>
      </c>
      <c r="H18" s="4" t="s">
        <v>110</v>
      </c>
      <c r="I18" t="s">
        <v>60</v>
      </c>
      <c r="J18" t="s">
        <v>31</v>
      </c>
      <c r="K18" t="s">
        <v>31</v>
      </c>
      <c r="L18" t="s">
        <v>31</v>
      </c>
      <c r="M18" t="s">
        <v>60</v>
      </c>
      <c r="N18" t="s">
        <v>60</v>
      </c>
      <c r="O18" t="s">
        <v>140</v>
      </c>
      <c r="P18" s="9" t="s">
        <v>141</v>
      </c>
      <c r="Q18" s="9" t="str">
        <f t="array" ref="Q18">CONCATENATE(" VALUES ('",A18,"', '",B18,"', '",C18,"', ",IF(D18="NULL","NULL",CONCATENATE("'",D18,"'")),", '",E18,"', ",IFERROR(F18,NULL),", NULL, '",H18,"', '",I18,"', '",M18,"','",N18,"','",O18,"', '2021-04-14 11:08:00', '2999-12-31 23:59:59', 'A', '2021-04-14 11:08:00', 'SYS', '2021-04-14 11:08:00', 'SYS');")</f>
        <v xml:space="preserve"> VALUES ('PM016', 'Y', 'CK', NULL, 'M', NULL, NULL, 'CK_MSA_060000', 'System Administrations', 'System Administrations','System Administrations','R', '2021-04-14 11:08:00', '2999-12-31 23:59:59', 'A', '2021-04-14 11:08:00', 'SYS', '2021-04-14 11:08:00', 'SYS');</v>
      </c>
      <c r="R18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('PM016', 'Y', 'CK', NULL, 'M', NULL, NULL, 'CK_MSA_060000', 'System Administrations', 'System Administrations','System Administrations','R', '2021-04-14 11:08:00', '2999-12-31 23:59:59', 'A', '2021-04-14 11:08:00', 'SYS', '2021-04-14 11:08:00', 'SYS');</v>
      </c>
      <c r="S18" s="10"/>
      <c r="U18" s="10"/>
    </row>
    <row r="19" spans="1:21" x14ac:dyDescent="0.2">
      <c r="A19" t="s">
        <v>158</v>
      </c>
      <c r="B19" t="s">
        <v>17</v>
      </c>
      <c r="C19" t="s">
        <v>3</v>
      </c>
      <c r="D19" t="s">
        <v>31</v>
      </c>
      <c r="E19" t="s">
        <v>139</v>
      </c>
      <c r="F19" t="s">
        <v>31</v>
      </c>
      <c r="G19" t="s">
        <v>31</v>
      </c>
      <c r="H19" s="4" t="s">
        <v>111</v>
      </c>
      <c r="I19" t="s">
        <v>62</v>
      </c>
      <c r="J19" t="s">
        <v>31</v>
      </c>
      <c r="K19" t="s">
        <v>31</v>
      </c>
      <c r="L19" t="s">
        <v>31</v>
      </c>
      <c r="M19" t="s">
        <v>62</v>
      </c>
      <c r="N19" t="s">
        <v>62</v>
      </c>
      <c r="O19" t="s">
        <v>140</v>
      </c>
      <c r="P19" s="9" t="s">
        <v>141</v>
      </c>
      <c r="Q19" s="9" t="str">
        <f t="array" ref="Q19">CONCATENATE(" VALUES ('",A19,"', '",B19,"', '",C19,"', ",IF(D19="NULL","NULL",CONCATENATE("'",D19,"'")),", '",E19,"', ",IFERROR(F19,NULL),", NULL, '",H19,"', '",I19,"', '",M19,"','",N19,"','",O19,"', '2021-04-14 11:08:00', '2999-12-31 23:59:59', 'A', '2021-04-14 11:08:00', 'SYS', '2021-04-14 11:08:00', 'SYS');")</f>
        <v xml:space="preserve"> VALUES ('PM017', 'N', 'CK', NULL, 'M', NULL, NULL, 'CK_MSA_060100', 'Announcement Setup', 'Announcement Setup','Announcement Setup','R', '2021-04-14 11:08:00', '2999-12-31 23:59:59', 'A', '2021-04-14 11:08:00', 'SYS', '2021-04-14 11:08:00', 'SYS');</v>
      </c>
      <c r="R19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('PM017', 'N', 'CK', NULL, 'M', NULL, NULL, 'CK_MSA_060100', 'Announcement Setup', 'Announcement Setup','Announcement Setup','R', '2021-04-14 11:08:00', '2999-12-31 23:59:59', 'A', '2021-04-14 11:08:00', 'SYS', '2021-04-14 11:08:00', 'SYS');</v>
      </c>
      <c r="S19" s="10"/>
      <c r="U19" s="10"/>
    </row>
    <row r="20" spans="1:21" x14ac:dyDescent="0.2">
      <c r="A20" t="s">
        <v>159</v>
      </c>
      <c r="B20" t="s">
        <v>17</v>
      </c>
      <c r="C20" t="s">
        <v>3</v>
      </c>
      <c r="D20" t="s">
        <v>31</v>
      </c>
      <c r="E20" t="s">
        <v>139</v>
      </c>
      <c r="F20" t="s">
        <v>31</v>
      </c>
      <c r="G20" t="s">
        <v>31</v>
      </c>
      <c r="H20" s="4" t="s">
        <v>112</v>
      </c>
      <c r="I20" t="s">
        <v>64</v>
      </c>
      <c r="J20" t="s">
        <v>31</v>
      </c>
      <c r="K20" t="s">
        <v>31</v>
      </c>
      <c r="L20" t="s">
        <v>31</v>
      </c>
      <c r="M20" t="s">
        <v>64</v>
      </c>
      <c r="N20" t="s">
        <v>64</v>
      </c>
      <c r="O20" t="s">
        <v>140</v>
      </c>
      <c r="P20" s="9" t="s">
        <v>141</v>
      </c>
      <c r="Q20" s="9" t="str">
        <f t="array" ref="Q20">CONCATENATE(" VALUES ('",A20,"', '",B20,"', '",C20,"', ",IF(D20="NULL","NULL",CONCATENATE("'",D20,"'")),", '",E20,"', ",IFERROR(F20,NULL),", NULL, '",H20,"', '",I20,"', '",M20,"','",N20,"','",O20,"', '2021-04-14 11:08:00', '2999-12-31 23:59:59', 'A', '2021-04-14 11:08:00', 'SYS', '2021-04-14 11:08:00', 'SYS');")</f>
        <v xml:space="preserve"> VALUES ('PM018', 'N', 'CK', NULL, 'M', NULL, NULL, 'CK_MSA_060200', 'Notification Preferences', 'Notification Preferences','Notification Preferences','R', '2021-04-14 11:08:00', '2999-12-31 23:59:59', 'A', '2021-04-14 11:08:00', 'SYS', '2021-04-14 11:08:00', 'SYS');</v>
      </c>
      <c r="R20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('PM018', 'N', 'CK', NULL, 'M', NULL, NULL, 'CK_MSA_060200', 'Notification Preferences', 'Notification Preferences','Notification Preferences','R', '2021-04-14 11:08:00', '2999-12-31 23:59:59', 'A', '2021-04-14 11:08:00', 'SYS', '2021-04-14 11:08:00', 'SYS');</v>
      </c>
      <c r="S20" s="10"/>
      <c r="U20" s="10"/>
    </row>
    <row r="21" spans="1:21" x14ac:dyDescent="0.2">
      <c r="A21" t="s">
        <v>160</v>
      </c>
      <c r="B21" t="s">
        <v>17</v>
      </c>
      <c r="C21" t="s">
        <v>3</v>
      </c>
      <c r="D21" t="s">
        <v>31</v>
      </c>
      <c r="E21" t="s">
        <v>139</v>
      </c>
      <c r="F21" t="s">
        <v>31</v>
      </c>
      <c r="G21" t="s">
        <v>31</v>
      </c>
      <c r="H21" s="4" t="s">
        <v>113</v>
      </c>
      <c r="I21" t="s">
        <v>66</v>
      </c>
      <c r="J21" t="s">
        <v>31</v>
      </c>
      <c r="K21" t="s">
        <v>31</v>
      </c>
      <c r="L21" t="s">
        <v>31</v>
      </c>
      <c r="M21" t="s">
        <v>66</v>
      </c>
      <c r="N21" t="s">
        <v>66</v>
      </c>
      <c r="O21" t="s">
        <v>140</v>
      </c>
      <c r="P21" s="9" t="s">
        <v>141</v>
      </c>
      <c r="Q21" s="9" t="str">
        <f t="array" ref="Q21">CONCATENATE(" VALUES ('",A21,"', '",B21,"', '",C21,"', ",IF(D21="NULL","NULL",CONCATENATE("'",D21,"'")),", '",E21,"', ",IFERROR(F21,NULL),", NULL, '",H21,"', '",I21,"', '",M21,"','",N21,"','",O21,"', '2021-04-14 11:08:00', '2999-12-31 23:59:59', 'A', '2021-04-14 11:08:00', 'SYS', '2021-04-14 11:08:00', 'SYS');")</f>
        <v xml:space="preserve"> VALUES ('PM019', 'N', 'CK', NULL, 'M', NULL, NULL, 'CK_MSA_060300', 'System Parameters', 'System Parameters','System Parameters','R', '2021-04-14 11:08:00', '2999-12-31 23:59:59', 'A', '2021-04-14 11:08:00', 'SYS', '2021-04-14 11:08:00', 'SYS');</v>
      </c>
      <c r="R21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('PM019', 'N', 'CK', NULL, 'M', NULL, NULL, 'CK_MSA_060300', 'System Parameters', 'System Parameters','System Parameters','R', '2021-04-14 11:08:00', '2999-12-31 23:59:59', 'A', '2021-04-14 11:08:00', 'SYS', '2021-04-14 11:08:00', 'SYS');</v>
      </c>
      <c r="S21" s="10"/>
      <c r="U21" s="10"/>
    </row>
    <row r="22" spans="1:21" x14ac:dyDescent="0.2">
      <c r="A22" t="s">
        <v>161</v>
      </c>
      <c r="B22" t="s">
        <v>17</v>
      </c>
      <c r="C22" t="s">
        <v>3</v>
      </c>
      <c r="D22" t="s">
        <v>31</v>
      </c>
      <c r="E22" t="s">
        <v>139</v>
      </c>
      <c r="F22" t="s">
        <v>31</v>
      </c>
      <c r="G22" t="s">
        <v>31</v>
      </c>
      <c r="H22" s="4" t="s">
        <v>114</v>
      </c>
      <c r="I22" t="s">
        <v>68</v>
      </c>
      <c r="J22" t="s">
        <v>31</v>
      </c>
      <c r="K22" t="s">
        <v>31</v>
      </c>
      <c r="L22" t="s">
        <v>31</v>
      </c>
      <c r="M22" t="s">
        <v>68</v>
      </c>
      <c r="N22" t="s">
        <v>68</v>
      </c>
      <c r="O22" t="s">
        <v>140</v>
      </c>
      <c r="P22" s="9" t="s">
        <v>141</v>
      </c>
      <c r="Q22" s="9" t="str">
        <f t="array" ref="Q22">CONCATENATE(" VALUES ('",A22,"', '",B22,"', '",C22,"', ",IF(D22="NULL","NULL",CONCATENATE("'",D22,"'")),", '",E22,"', ",IFERROR(F22,NULL),", NULL, '",H22,"', '",I22,"', '",M22,"','",N22,"','",O22,"', '2021-04-14 11:08:00', '2999-12-31 23:59:59', 'A', '2021-04-14 11:08:00', 'SYS', '2021-04-14 11:08:00', 'SYS');")</f>
        <v xml:space="preserve"> VALUES ('PM020', 'N', 'CK', NULL, 'M', NULL, NULL, 'CK_MSA_060400', 'Audit Logs', 'Audit Logs','Audit Logs','R', '2021-04-14 11:08:00', '2999-12-31 23:59:59', 'A', '2021-04-14 11:08:00', 'SYS', '2021-04-14 11:08:00', 'SYS');</v>
      </c>
      <c r="R22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('PM020', 'N', 'CK', NULL, 'M', NULL, NULL, 'CK_MSA_060400', 'Audit Logs', 'Audit Logs','Audit Logs','R', '2021-04-14 11:08:00', '2999-12-31 23:59:59', 'A', '2021-04-14 11:08:00', 'SYS', '2021-04-14 11:08:00', 'SYS');</v>
      </c>
      <c r="S22" s="10"/>
      <c r="U22" s="10"/>
    </row>
    <row r="23" spans="1:21" x14ac:dyDescent="0.2">
      <c r="A23" t="s">
        <v>162</v>
      </c>
      <c r="B23" t="s">
        <v>17</v>
      </c>
      <c r="C23" t="s">
        <v>3</v>
      </c>
      <c r="D23" t="s">
        <v>31</v>
      </c>
      <c r="E23" t="s">
        <v>139</v>
      </c>
      <c r="F23" t="s">
        <v>31</v>
      </c>
      <c r="G23" t="s">
        <v>31</v>
      </c>
      <c r="H23" s="4" t="s">
        <v>115</v>
      </c>
      <c r="I23" t="s">
        <v>70</v>
      </c>
      <c r="J23" t="s">
        <v>31</v>
      </c>
      <c r="K23" t="s">
        <v>31</v>
      </c>
      <c r="L23" t="s">
        <v>31</v>
      </c>
      <c r="M23" t="s">
        <v>70</v>
      </c>
      <c r="N23" t="s">
        <v>70</v>
      </c>
      <c r="O23" t="s">
        <v>140</v>
      </c>
      <c r="P23" s="9" t="s">
        <v>141</v>
      </c>
      <c r="Q23" s="9" t="str">
        <f t="array" ref="Q23">CONCATENATE(" VALUES ('",A23,"', '",B23,"', '",C23,"', ",IF(D23="NULL","NULL",CONCATENATE("'",D23,"'")),", '",E23,"', ",IFERROR(F23,NULL),", NULL, '",H23,"', '",I23,"', '",M23,"','",N23,"','",O23,"', '2021-04-14 11:08:00', '2999-12-31 23:59:59', 'A', '2021-04-14 11:08:00', 'SYS', '2021-04-14 11:08:00', 'SYS');")</f>
        <v xml:space="preserve"> VALUES ('PM021', 'N', 'CK', NULL, 'M', NULL, NULL, 'CK_MSA_060500', 'Exceptions', 'Exceptions','Exceptions','R', '2021-04-14 11:08:00', '2999-12-31 23:59:59', 'A', '2021-04-14 11:08:00', 'SYS', '2021-04-14 11:08:00', 'SYS');</v>
      </c>
      <c r="R23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('PM021', 'N', 'CK', NULL, 'M', NULL, NULL, 'CK_MSA_060500', 'Exceptions', 'Exceptions','Exceptions','R', '2021-04-14 11:08:00', '2999-12-31 23:59:59', 'A', '2021-04-14 11:08:00', 'SYS', '2021-04-14 11:08:00', 'SYS');</v>
      </c>
      <c r="S23" s="10"/>
      <c r="U23" s="10"/>
    </row>
    <row r="24" spans="1:21" x14ac:dyDescent="0.2">
      <c r="A24" t="s">
        <v>163</v>
      </c>
      <c r="B24" t="s">
        <v>17</v>
      </c>
      <c r="C24" t="s">
        <v>3</v>
      </c>
      <c r="D24" t="s">
        <v>31</v>
      </c>
      <c r="E24" t="s">
        <v>139</v>
      </c>
      <c r="F24" t="s">
        <v>31</v>
      </c>
      <c r="G24" t="s">
        <v>31</v>
      </c>
      <c r="H24" s="4" t="s">
        <v>116</v>
      </c>
      <c r="I24" t="s">
        <v>72</v>
      </c>
      <c r="J24" t="s">
        <v>31</v>
      </c>
      <c r="K24" t="s">
        <v>31</v>
      </c>
      <c r="L24" t="s">
        <v>31</v>
      </c>
      <c r="M24" t="s">
        <v>72</v>
      </c>
      <c r="N24" t="s">
        <v>72</v>
      </c>
      <c r="O24" t="s">
        <v>140</v>
      </c>
      <c r="P24" s="9" t="s">
        <v>141</v>
      </c>
      <c r="Q24" s="9" t="str">
        <f t="array" ref="Q24">CONCATENATE(" VALUES ('",A24,"', '",B24,"', '",C24,"', ",IF(D24="NULL","NULL",CONCATENATE("'",D24,"'")),", '",E24,"', ",IFERROR(F24,NULL),", NULL, '",H24,"', '",I24,"', '",M24,"','",N24,"','",O24,"', '2021-04-14 11:08:00', '2999-12-31 23:59:59', 'A', '2021-04-14 11:08:00', 'SYS', '2021-04-14 11:08:00', 'SYS');")</f>
        <v xml:space="preserve"> VALUES ('PM022', 'N', 'CK', NULL, 'M', NULL, NULL, 'CK_MSA_060600', 'Manage All Users', 'Manage All Users','Manage All Users','R', '2021-04-14 11:08:00', '2999-12-31 23:59:59', 'A', '2021-04-14 11:08:00', 'SYS', '2021-04-14 11:08:00', 'SYS');</v>
      </c>
      <c r="R24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('PM022', 'N', 'CK', NULL, 'M', NULL, NULL, 'CK_MSA_060600', 'Manage All Users', 'Manage All Users','Manage All Users','R', '2021-04-14 11:08:00', '2999-12-31 23:59:59', 'A', '2021-04-14 11:08:00', 'SYS', '2021-04-14 11:08:00', 'SYS');</v>
      </c>
      <c r="S24" s="10"/>
      <c r="U24" s="10"/>
    </row>
    <row r="25" spans="1:21" x14ac:dyDescent="0.2">
      <c r="A25" t="s">
        <v>164</v>
      </c>
      <c r="B25" t="s">
        <v>17</v>
      </c>
      <c r="C25" t="s">
        <v>3</v>
      </c>
      <c r="D25" t="s">
        <v>31</v>
      </c>
      <c r="E25" t="s">
        <v>139</v>
      </c>
      <c r="F25" t="s">
        <v>31</v>
      </c>
      <c r="G25" t="s">
        <v>31</v>
      </c>
      <c r="H25" s="4" t="s">
        <v>117</v>
      </c>
      <c r="I25" t="s">
        <v>74</v>
      </c>
      <c r="J25" t="s">
        <v>31</v>
      </c>
      <c r="K25" t="s">
        <v>31</v>
      </c>
      <c r="L25" t="s">
        <v>31</v>
      </c>
      <c r="M25" t="s">
        <v>74</v>
      </c>
      <c r="N25" t="s">
        <v>74</v>
      </c>
      <c r="O25" t="s">
        <v>140</v>
      </c>
      <c r="P25" s="9" t="s">
        <v>141</v>
      </c>
      <c r="Q25" s="9" t="str">
        <f t="array" ref="Q25">CONCATENATE(" VALUES ('",A25,"', '",B25,"', '",C25,"', ",IF(D25="NULL","NULL",CONCATENATE("'",D25,"'")),", '",E25,"', ",IFERROR(F25,NULL),", NULL, '",H25,"', '",I25,"', '",M25,"','",N25,"','",O25,"', '2021-04-14 11:08:00', '2999-12-31 23:59:59', 'A', '2021-04-14 11:08:00', 'SYS', '2021-04-14 11:08:00', 'SYS');")</f>
        <v xml:space="preserve"> VALUES ('PM023', 'N', 'CK', NULL, 'M', NULL, NULL, 'CK_MSA_060700', 'Manage All Accounts', 'Manage All Accounts','Manage All Accounts','R', '2021-04-14 11:08:00', '2999-12-31 23:59:59', 'A', '2021-04-14 11:08:00', 'SYS', '2021-04-14 11:08:00', 'SYS');</v>
      </c>
      <c r="R25" t="str">
        <f t="shared" si="0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('PM023', 'N', 'CK', NULL, 'M', NULL, NULL, 'CK_MSA_060700', 'Manage All Accounts', 'Manage All Accounts','Manage All Accounts','R', '2021-04-14 11:08:00', '2999-12-31 23:59:59', 'A', '2021-04-14 11:08:00', 'SYS', '2021-04-14 11:08:00', 'SYS');</v>
      </c>
      <c r="S25" s="10"/>
      <c r="U25" s="10"/>
    </row>
    <row r="26" spans="1:21" x14ac:dyDescent="0.2">
      <c r="A26" t="s">
        <v>165</v>
      </c>
    </row>
    <row r="27" spans="1:21" x14ac:dyDescent="0.2">
      <c r="A27" t="s">
        <v>166</v>
      </c>
    </row>
    <row r="28" spans="1:21" x14ac:dyDescent="0.2">
      <c r="A28" t="s">
        <v>167</v>
      </c>
    </row>
    <row r="29" spans="1:21" x14ac:dyDescent="0.2">
      <c r="A29" t="s">
        <v>168</v>
      </c>
    </row>
    <row r="30" spans="1:21" x14ac:dyDescent="0.2">
      <c r="A30" t="s">
        <v>169</v>
      </c>
      <c r="B30" t="s">
        <v>17</v>
      </c>
      <c r="C30" t="s">
        <v>10</v>
      </c>
      <c r="D30" t="s">
        <v>31</v>
      </c>
      <c r="E30" t="s">
        <v>139</v>
      </c>
      <c r="F30" t="s">
        <v>31</v>
      </c>
      <c r="G30" t="s">
        <v>31</v>
      </c>
      <c r="H30" t="s">
        <v>32</v>
      </c>
      <c r="I30" t="s">
        <v>33</v>
      </c>
      <c r="J30" t="s">
        <v>31</v>
      </c>
      <c r="K30" t="s">
        <v>31</v>
      </c>
      <c r="L30" t="s">
        <v>31</v>
      </c>
      <c r="M30" t="s">
        <v>33</v>
      </c>
      <c r="N30" t="s">
        <v>33</v>
      </c>
      <c r="O30" t="s">
        <v>140</v>
      </c>
      <c r="P30" s="9" t="s">
        <v>141</v>
      </c>
      <c r="Q30" s="9" t="str">
        <f t="array" ref="Q30">CONCATENATE(" VALUES ('",A30,"', '",B30,"', '",C30,"', ",IF(D30="NULL","NULL",CONCATENATE("'",D30,"'")),", '",E30,"', ",IFERROR(F30,NULL),", NULL, '",H30,"', '",I30,"', '",M30,"','",N30,"','",O30,"', '2021-04-14 11:08:00', '2999-12-31 23:59:59', 'A', '2021-04-14 11:08:00', 'SYS', '2021-04-14 11:08:00', 'SYS');")</f>
        <v xml:space="preserve"> VALUES ('PM028', 'N', 'CKT', NULL, 'M', NULL, NULL, 'CKT_MS_010000', 'Services', 'Services','Services','R', '2021-04-14 11:08:00', '2999-12-31 23:59:59', 'A', '2021-04-14 11:08:00', 'SYS', '2021-04-14 11:08:00', 'SYS');</v>
      </c>
      <c r="R30" t="str">
        <f t="shared" ref="R30:R38" si="1">CONCATENATE(P30,Q30)</f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('PM028', 'N', 'CKT', NULL, 'M', NULL, NULL, 'CKT_MS_010000', 'Services', 'Services','Services','R', '2021-04-14 11:08:00', '2999-12-31 23:59:59', 'A', '2021-04-14 11:08:00', 'SYS', '2021-04-14 11:08:00', 'SYS');</v>
      </c>
      <c r="S30" s="10"/>
      <c r="U30" s="10"/>
    </row>
    <row r="31" spans="1:21" x14ac:dyDescent="0.2">
      <c r="A31" t="s">
        <v>170</v>
      </c>
      <c r="B31" t="s">
        <v>17</v>
      </c>
      <c r="C31" t="s">
        <v>10</v>
      </c>
      <c r="D31" t="s">
        <v>31</v>
      </c>
      <c r="E31" t="s">
        <v>139</v>
      </c>
      <c r="F31" t="s">
        <v>31</v>
      </c>
      <c r="G31" t="s">
        <v>31</v>
      </c>
      <c r="H31" t="s">
        <v>35</v>
      </c>
      <c r="I31" t="s">
        <v>36</v>
      </c>
      <c r="J31" t="s">
        <v>31</v>
      </c>
      <c r="K31" t="s">
        <v>31</v>
      </c>
      <c r="L31" t="s">
        <v>31</v>
      </c>
      <c r="M31" t="s">
        <v>36</v>
      </c>
      <c r="N31" t="s">
        <v>36</v>
      </c>
      <c r="O31" t="s">
        <v>140</v>
      </c>
      <c r="P31" s="9" t="s">
        <v>141</v>
      </c>
      <c r="Q31" s="9" t="str">
        <f t="array" ref="Q31">CONCATENATE(" VALUES ('",A31,"', '",B31,"', '",C31,"', ",IF(D31="NULL","NULL",CONCATENATE("'",D31,"'")),", '",E31,"', ",IFERROR(F31,NULL),", NULL, '",H31,"', '",I31,"', '",M31,"','",N31,"','",O31,"', '2021-04-14 11:08:00', '2999-12-31 23:59:59', 'A', '2021-04-14 11:08:00', 'SYS', '2021-04-14 11:08:00', 'SYS');")</f>
        <v xml:space="preserve"> VALUES ('PM029', 'N', 'CKT', NULL, 'M', NULL, NULL, 'CKT_MA_030000', 'Administrations', 'Administrations','Administrations','R', '2021-04-14 11:08:00', '2999-12-31 23:59:59', 'A', '2021-04-14 11:08:00', 'SYS', '2021-04-14 11:08:00', 'SYS');</v>
      </c>
      <c r="R31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('PM029', 'N', 'CKT', NULL, 'M', NULL, NULL, 'CKT_MA_030000', 'Administrations', 'Administrations','Administrations','R', '2021-04-14 11:08:00', '2999-12-31 23:59:59', 'A', '2021-04-14 11:08:00', 'SYS', '2021-04-14 11:08:00', 'SYS');</v>
      </c>
      <c r="S31" s="10"/>
      <c r="U31" s="10"/>
    </row>
    <row r="32" spans="1:21" x14ac:dyDescent="0.2">
      <c r="A32" t="s">
        <v>171</v>
      </c>
      <c r="B32" t="s">
        <v>17</v>
      </c>
      <c r="C32" t="s">
        <v>10</v>
      </c>
      <c r="D32" t="s">
        <v>31</v>
      </c>
      <c r="E32" t="s">
        <v>139</v>
      </c>
      <c r="F32" t="s">
        <v>31</v>
      </c>
      <c r="G32" t="s">
        <v>31</v>
      </c>
      <c r="H32" t="s">
        <v>37</v>
      </c>
      <c r="I32" t="s">
        <v>38</v>
      </c>
      <c r="J32" t="s">
        <v>31</v>
      </c>
      <c r="K32" t="s">
        <v>31</v>
      </c>
      <c r="L32" t="s">
        <v>31</v>
      </c>
      <c r="M32" t="s">
        <v>38</v>
      </c>
      <c r="N32" t="s">
        <v>38</v>
      </c>
      <c r="O32" t="s">
        <v>140</v>
      </c>
      <c r="P32" s="9" t="s">
        <v>141</v>
      </c>
      <c r="Q32" s="9" t="str">
        <f t="array" ref="Q32">CONCATENATE(" VALUES ('",A32,"', '",B32,"', '",C32,"', ",IF(D32="NULL","NULL",CONCATENATE("'",D32,"'")),", '",E32,"', ",IFERROR(F32,NULL),", NULL, '",H32,"', '",I32,"', '",M32,"','",N32,"','",O32,"', '2021-04-14 11:08:00', '2999-12-31 23:59:59', 'A', '2021-04-14 11:08:00', 'SYS', '2021-04-14 11:08:00', 'SYS');")</f>
        <v xml:space="preserve"> VALUES ('PM030', 'N', 'CKT', NULL, 'M', NULL, NULL, 'CKT_MA_030100', 'Manage Trucks', 'Manage Trucks','Manage Trucks','R', '2021-04-14 11:08:00', '2999-12-31 23:59:59', 'A', '2021-04-14 11:08:00', 'SYS', '2021-04-14 11:08:00', 'SYS');</v>
      </c>
      <c r="R32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('PM030', 'N', 'CKT', NULL, 'M', NULL, NULL, 'CKT_MA_030100', 'Manage Trucks', 'Manage Trucks','Manage Trucks','R', '2021-04-14 11:08:00', '2999-12-31 23:59:59', 'A', '2021-04-14 11:08:00', 'SYS', '2021-04-14 11:08:00', 'SYS');</v>
      </c>
      <c r="S32" s="10"/>
      <c r="U32" s="10"/>
    </row>
    <row r="33" spans="1:18" x14ac:dyDescent="0.2">
      <c r="A33" t="s">
        <v>172</v>
      </c>
      <c r="B33" t="s">
        <v>17</v>
      </c>
      <c r="C33" t="s">
        <v>10</v>
      </c>
      <c r="D33" t="s">
        <v>31</v>
      </c>
      <c r="E33" t="s">
        <v>139</v>
      </c>
      <c r="F33" t="s">
        <v>31</v>
      </c>
      <c r="G33" t="s">
        <v>31</v>
      </c>
      <c r="H33" t="s">
        <v>40</v>
      </c>
      <c r="I33" t="s">
        <v>41</v>
      </c>
      <c r="J33" t="s">
        <v>31</v>
      </c>
      <c r="K33" t="s">
        <v>31</v>
      </c>
      <c r="L33" t="s">
        <v>31</v>
      </c>
      <c r="M33" t="s">
        <v>41</v>
      </c>
      <c r="N33" t="s">
        <v>41</v>
      </c>
      <c r="O33" t="s">
        <v>140</v>
      </c>
      <c r="P33" s="9" t="s">
        <v>141</v>
      </c>
      <c r="Q33" s="9" t="str">
        <f t="array" ref="Q33">CONCATENATE(" VALUES ('",A33,"', '",B33,"', '",C33,"', ",IF(D33="NULL","NULL",CONCATENATE("'",D33,"'")),", '",E33,"', ",IFERROR(F33,NULL),", NULL, '",H33,"', '",I33,"', '",M33,"','",N33,"','",O33,"', '2021-04-14 11:08:00', '2999-12-31 23:59:59', 'A', '2021-04-14 11:08:00', 'SYS', '2021-04-14 11:08:00', 'SYS');")</f>
        <v xml:space="preserve"> VALUES ('PM031', 'N', 'CKT', NULL, 'M', NULL, NULL, 'CKT_MA_030200', 'Manage Drivers', 'Manage Drivers','Manage Drivers','R', '2021-04-14 11:08:00', '2999-12-31 23:59:59', 'A', '2021-04-14 11:08:00', 'SYS', '2021-04-14 11:08:00', 'SYS');</v>
      </c>
      <c r="R33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('PM031', 'N', 'CKT', NULL, 'M', NULL, NULL, 'CKT_MA_030200', 'Manage Drivers', 'Manage Drivers','Manage Drivers','R', '2021-04-14 11:08:00', '2999-12-31 23:59:59', 'A', '2021-04-14 11:08:00', 'SYS', '2021-04-14 11:08:00', 'SYS');</v>
      </c>
    </row>
    <row r="34" spans="1:18" x14ac:dyDescent="0.2">
      <c r="A34" t="s">
        <v>173</v>
      </c>
      <c r="B34" t="s">
        <v>17</v>
      </c>
      <c r="C34" t="s">
        <v>10</v>
      </c>
      <c r="D34" t="s">
        <v>31</v>
      </c>
      <c r="E34" t="s">
        <v>139</v>
      </c>
      <c r="F34" t="s">
        <v>31</v>
      </c>
      <c r="G34" t="s">
        <v>31</v>
      </c>
      <c r="H34" t="s">
        <v>43</v>
      </c>
      <c r="I34" t="s">
        <v>44</v>
      </c>
      <c r="J34" t="s">
        <v>31</v>
      </c>
      <c r="K34" t="s">
        <v>31</v>
      </c>
      <c r="L34" t="s">
        <v>31</v>
      </c>
      <c r="M34" t="s">
        <v>44</v>
      </c>
      <c r="N34" t="s">
        <v>44</v>
      </c>
      <c r="O34" t="s">
        <v>140</v>
      </c>
      <c r="P34" s="9" t="s">
        <v>141</v>
      </c>
      <c r="Q34" s="9" t="str">
        <f t="array" ref="Q34">CONCATENATE(" VALUES ('",A34,"', '",B34,"', '",C34,"', ",IF(D34="NULL","NULL",CONCATENATE("'",D34,"'")),", '",E34,"', ",IFERROR(F34,NULL),", NULL, '",H34,"', '",I34,"', '",M34,"','",N34,"','",O34,"', '2021-04-14 11:08:00', '2999-12-31 23:59:59', 'A', '2021-04-14 11:08:00', 'SYS', '2021-04-14 11:08:00', 'SYS');")</f>
        <v xml:space="preserve"> VALUES ('PM032', 'N', 'CKT', NULL, 'M', NULL, NULL, 'CKT_MA_030300', 'Manage Locations', 'Manage Locations','Manage Locations','R', '2021-04-14 11:08:00', '2999-12-31 23:59:59', 'A', '2021-04-14 11:08:00', 'SYS', '2021-04-14 11:08:00', 'SYS');</v>
      </c>
      <c r="R34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('PM032', 'N', 'CKT', NULL, 'M', NULL, NULL, 'CKT_MA_030300', 'Manage Locations', 'Manage Locations','Manage Locations','R', '2021-04-14 11:08:00', '2999-12-31 23:59:59', 'A', '2021-04-14 11:08:00', 'SYS', '2021-04-14 11:08:00', 'SYS');</v>
      </c>
    </row>
    <row r="35" spans="1:18" x14ac:dyDescent="0.2">
      <c r="A35" t="s">
        <v>174</v>
      </c>
      <c r="B35" t="s">
        <v>17</v>
      </c>
      <c r="C35" t="s">
        <v>10</v>
      </c>
      <c r="D35" t="s">
        <v>31</v>
      </c>
      <c r="E35" t="s">
        <v>139</v>
      </c>
      <c r="F35" t="s">
        <v>31</v>
      </c>
      <c r="G35" t="s">
        <v>31</v>
      </c>
      <c r="H35" t="s">
        <v>46</v>
      </c>
      <c r="I35" t="s">
        <v>47</v>
      </c>
      <c r="J35" t="s">
        <v>31</v>
      </c>
      <c r="K35" t="s">
        <v>31</v>
      </c>
      <c r="L35" t="s">
        <v>31</v>
      </c>
      <c r="M35" t="s">
        <v>47</v>
      </c>
      <c r="N35" t="s">
        <v>47</v>
      </c>
      <c r="O35" t="s">
        <v>140</v>
      </c>
      <c r="P35" s="9" t="s">
        <v>141</v>
      </c>
      <c r="Q35" s="9" t="str">
        <f t="array" ref="Q35">CONCATENATE(" VALUES ('",A35,"', '",B35,"', '",C35,"', ",IF(D35="NULL","NULL",CONCATENATE("'",D35,"'")),", '",E35,"', ",IFERROR(F35,NULL),", NULL, '",H35,"', '",I35,"', '",M35,"','",N35,"','",O35,"', '2021-04-14 11:08:00', '2999-12-31 23:59:59', 'A', '2021-04-14 11:08:00', 'SYS', '2021-04-14 11:08:00', 'SYS');")</f>
        <v xml:space="preserve"> VALUES ('PM033', 'N', 'CKT', NULL, 'M', NULL, NULL, 'CKT_MA_030400', 'Manage Rentals', 'Manage Rentals','Manage Rentals','R', '2021-04-14 11:08:00', '2999-12-31 23:59:59', 'A', '2021-04-14 11:08:00', 'SYS', '2021-04-14 11:08:00', 'SYS');</v>
      </c>
      <c r="R35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('PM033', 'N', 'CKT', NULL, 'M', NULL, NULL, 'CKT_MA_030400', 'Manage Rentals', 'Manage Rentals','Manage Rentals','R', '2021-04-14 11:08:00', '2999-12-31 23:59:59', 'A', '2021-04-14 11:08:00', 'SYS', '2021-04-14 11:08:00', 'SYS');</v>
      </c>
    </row>
    <row r="36" spans="1:18" x14ac:dyDescent="0.2">
      <c r="A36" t="s">
        <v>175</v>
      </c>
      <c r="B36" t="s">
        <v>17</v>
      </c>
      <c r="C36" t="s">
        <v>10</v>
      </c>
      <c r="D36" t="s">
        <v>31</v>
      </c>
      <c r="E36" t="s">
        <v>139</v>
      </c>
      <c r="F36" t="s">
        <v>31</v>
      </c>
      <c r="G36" t="s">
        <v>31</v>
      </c>
      <c r="H36" t="s">
        <v>119</v>
      </c>
      <c r="I36" t="s">
        <v>120</v>
      </c>
      <c r="J36" t="s">
        <v>31</v>
      </c>
      <c r="K36" t="s">
        <v>31</v>
      </c>
      <c r="L36" t="s">
        <v>31</v>
      </c>
      <c r="M36" t="s">
        <v>120</v>
      </c>
      <c r="N36" t="s">
        <v>120</v>
      </c>
      <c r="O36" t="s">
        <v>140</v>
      </c>
      <c r="P36" s="9" t="s">
        <v>141</v>
      </c>
      <c r="Q36" s="9" t="str">
        <f t="array" ref="Q36">CONCATENATE(" VALUES ('",A36,"', '",B36,"', '",C36,"', ",IF(D36="NULL","NULL",CONCATENATE("'",D36,"'")),", '",E36,"', ",IFERROR(F36,NULL),", NULL, '",H36,"', '",I36,"', '",M36,"','",N36,"','",O36,"', '2021-04-14 11:08:00', '2999-12-31 23:59:59', 'A', '2021-04-14 11:08:00', 'SYS', '2021-04-14 11:08:00', 'SYS');")</f>
        <v xml:space="preserve"> VALUES ('PM034', 'N', 'CKT', NULL, 'M', NULL, NULL, 'CKT_MA_040000', 'Manage Contracts', 'Manage Contracts','Manage Contracts','R', '2021-04-14 11:08:00', '2999-12-31 23:59:59', 'A', '2021-04-14 11:08:00', 'SYS', '2021-04-14 11:08:00', 'SYS');</v>
      </c>
      <c r="R36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('PM034', 'N', 'CKT', NULL, 'M', NULL, NULL, 'CKT_MA_040000', 'Manage Contracts', 'Manage Contracts','Manage Contracts','R', '2021-04-14 11:08:00', '2999-12-31 23:59:59', 'A', '2021-04-14 11:08:00', 'SYS', '2021-04-14 11:08:00', 'SYS');</v>
      </c>
    </row>
    <row r="37" spans="1:18" x14ac:dyDescent="0.2">
      <c r="A37" t="s">
        <v>177</v>
      </c>
      <c r="B37" t="s">
        <v>17</v>
      </c>
      <c r="C37" t="s">
        <v>10</v>
      </c>
      <c r="D37" t="s">
        <v>31</v>
      </c>
      <c r="E37" t="s">
        <v>139</v>
      </c>
      <c r="F37" t="s">
        <v>31</v>
      </c>
      <c r="G37" t="s">
        <v>31</v>
      </c>
      <c r="H37" t="s">
        <v>49</v>
      </c>
      <c r="I37" t="s">
        <v>50</v>
      </c>
      <c r="J37" t="s">
        <v>31</v>
      </c>
      <c r="K37" t="s">
        <v>31</v>
      </c>
      <c r="L37" t="s">
        <v>31</v>
      </c>
      <c r="M37" t="s">
        <v>50</v>
      </c>
      <c r="N37" t="s">
        <v>50</v>
      </c>
      <c r="O37" t="s">
        <v>140</v>
      </c>
      <c r="P37" s="9" t="s">
        <v>141</v>
      </c>
      <c r="Q37" s="9" t="str">
        <f t="array" ref="Q37">CONCATENATE(" VALUES ('",A37,"', '",B37,"', '",C37,"', ",IF(D37="NULL","NULL",CONCATENATE("'",D37,"'")),", '",E37,"', ",IFERROR(F37,NULL),", NULL, '",H37,"', '",I37,"', '",M37,"','",N37,"','",O37,"', '2021-04-14 11:08:00', '2999-12-31 23:59:59', 'A', '2021-04-14 11:08:00', 'SYS', '2021-04-14 11:08:00', 'SYS');")</f>
        <v xml:space="preserve"> VALUES ('PM036', 'N', 'CKT', NULL, 'M', NULL, NULL, 'CKT_MA_030500', 'Manage Rate Table', 'Manage Rate Table','Manage Rate Table','R', '2021-04-14 11:08:00', '2999-12-31 23:59:59', 'A', '2021-04-14 11:08:00', 'SYS', '2021-04-14 11:08:00', 'SYS');</v>
      </c>
      <c r="R37" t="str">
        <f t="shared" ref="R37" si="2">CONCATENATE(P37,Q37)</f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('PM036', 'N', 'CKT', NULL, 'M', NULL, NULL, 'CKT_MA_030500', 'Manage Rate Table', 'Manage Rate Table','Manage Rate Table','R', '2021-04-14 11:08:00', '2999-12-31 23:59:59', 'A', '2021-04-14 11:08:00', 'SYS', '2021-04-14 11:08:00', 'SYS');</v>
      </c>
    </row>
    <row r="38" spans="1:18" x14ac:dyDescent="0.2">
      <c r="A38" t="s">
        <v>176</v>
      </c>
      <c r="B38" t="s">
        <v>17</v>
      </c>
      <c r="C38" t="s">
        <v>10</v>
      </c>
      <c r="D38" t="s">
        <v>31</v>
      </c>
      <c r="E38" t="s">
        <v>139</v>
      </c>
      <c r="F38" t="s">
        <v>31</v>
      </c>
      <c r="G38" t="s">
        <v>31</v>
      </c>
      <c r="H38" t="s">
        <v>121</v>
      </c>
      <c r="I38" t="s">
        <v>29</v>
      </c>
      <c r="J38" t="s">
        <v>31</v>
      </c>
      <c r="K38" t="s">
        <v>31</v>
      </c>
      <c r="L38" t="s">
        <v>31</v>
      </c>
      <c r="M38" t="s">
        <v>29</v>
      </c>
      <c r="N38" t="s">
        <v>29</v>
      </c>
      <c r="O38" t="s">
        <v>140</v>
      </c>
      <c r="P38" s="9" t="s">
        <v>141</v>
      </c>
      <c r="Q38" s="9" t="str">
        <f t="array" ref="Q38">CONCATENATE(" VALUES ('",A38,"', '",B38,"', '",C38,"', ",IF(D38="NULL","NULL",CONCATENATE("'",D38,"'")),", '",E38,"', ",IFERROR(F38,NULL),", NULL, '",H38,"', '",I38,"', '",M38,"','",N38,"','",O38,"', '2021-04-14 11:08:00', '2999-12-31 23:59:59', 'A', '2021-04-14 11:08:00', 'SYS', '2021-04-14 11:08:00', 'SYS');")</f>
        <v xml:space="preserve"> VALUES ('PM035', 'N', 'CKT', NULL, 'M', NULL, NULL, 'CKT_MH_080000', 'Help', 'Help','Help','R', '2021-04-14 11:08:00', '2999-12-31 23:59:59', 'A', '2021-04-14 11:08:00', 'SYS', '2021-04-14 11:08:00', 'SYS');</v>
      </c>
      <c r="R38" t="str">
        <f t="shared" si="1"/>
        <v>INSERT INTO `T_CORE_PERM_EX` (`PERM_ID`, `PERM_GROUP`, `PERM_APPS`, `PERM_MODULE`, `PERM_TYPE`, `PERM_SERVICE`, `PERM_SERVICE_URI`, `PERM_MENU`,`PERM_MENU_NAME`,`PERM_DESC`, `PERM_DESC_OTH`, `PERM_ACCESS`, `PERM_DT_ACTIVE`, `PERM_DT_DEACTIVE`, `PERM_STATUS`, `PERM_DT_CREATE`, `PERM_UID_CREATE`,`PERM_DT_LUPD`, `PERM_UID_LUPD`) VALUES ('PM035', 'N', 'CKT', NULL, 'M', NULL, NULL, 'CKT_MH_080000', 'Help', 'Help','Help','R', '2021-04-14 11:08:00', '2999-12-31 23:59:59', 'A', '2021-04-14 11:08:00', 'SYS', '2021-04-14 11:08:00', 'SYS');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2"/>
  <sheetViews>
    <sheetView tabSelected="1" topLeftCell="D1" zoomScale="127" zoomScaleNormal="127" workbookViewId="0">
      <pane ySplit="1" topLeftCell="A30" activePane="bottomLeft" state="frozen"/>
      <selection pane="bottomLeft" activeCell="T60" sqref="T60"/>
    </sheetView>
  </sheetViews>
  <sheetFormatPr baseColWidth="10" defaultColWidth="11" defaultRowHeight="16" x14ac:dyDescent="0.2"/>
  <cols>
    <col min="1" max="1" width="33.5" customWidth="1"/>
    <col min="2" max="2" width="18.33203125" customWidth="1"/>
    <col min="3" max="4" width="17.5" customWidth="1"/>
    <col min="24" max="24" width="11" style="5"/>
  </cols>
  <sheetData>
    <row r="1" spans="1:24" x14ac:dyDescent="0.2">
      <c r="A1" s="6" t="s">
        <v>192</v>
      </c>
      <c r="B1" s="6" t="s">
        <v>199</v>
      </c>
      <c r="C1" s="6" t="s">
        <v>234</v>
      </c>
      <c r="D1" s="6" t="s">
        <v>235</v>
      </c>
      <c r="E1" s="6" t="s">
        <v>236</v>
      </c>
      <c r="F1" s="6" t="s">
        <v>219</v>
      </c>
      <c r="G1" s="17" t="s">
        <v>237</v>
      </c>
      <c r="H1" s="17" t="s">
        <v>238</v>
      </c>
      <c r="I1" s="17" t="s">
        <v>239</v>
      </c>
      <c r="J1" s="17" t="s">
        <v>240</v>
      </c>
      <c r="K1" s="17" t="s">
        <v>241</v>
      </c>
      <c r="L1" s="17" t="s">
        <v>242</v>
      </c>
      <c r="M1" s="17" t="s">
        <v>243</v>
      </c>
      <c r="N1" s="17" t="s">
        <v>244</v>
      </c>
      <c r="O1" s="17" t="s">
        <v>245</v>
      </c>
      <c r="P1" s="17" t="s">
        <v>246</v>
      </c>
      <c r="Q1" s="17" t="s">
        <v>247</v>
      </c>
      <c r="R1" s="17" t="s">
        <v>248</v>
      </c>
      <c r="S1" s="17" t="s">
        <v>198</v>
      </c>
      <c r="T1" s="17" t="s">
        <v>249</v>
      </c>
      <c r="U1" s="5"/>
      <c r="V1" s="5"/>
      <c r="W1" s="5"/>
    </row>
    <row r="2" spans="1:24" x14ac:dyDescent="0.2">
      <c r="A2" s="21" t="s">
        <v>280</v>
      </c>
      <c r="B2" s="20" t="s">
        <v>183</v>
      </c>
      <c r="C2">
        <v>0</v>
      </c>
      <c r="D2">
        <v>1</v>
      </c>
      <c r="E2" s="16" t="s">
        <v>250</v>
      </c>
      <c r="F2" s="16" t="s">
        <v>260</v>
      </c>
      <c r="G2" s="16" t="s">
        <v>274</v>
      </c>
      <c r="H2">
        <v>0</v>
      </c>
      <c r="I2" s="16" t="s">
        <v>17</v>
      </c>
      <c r="J2">
        <v>0</v>
      </c>
      <c r="K2" s="16" t="s">
        <v>17</v>
      </c>
      <c r="L2" s="16" t="s">
        <v>17</v>
      </c>
      <c r="M2" s="16" t="s">
        <v>17</v>
      </c>
      <c r="N2" s="16" t="s">
        <v>17</v>
      </c>
      <c r="O2" s="16" t="s">
        <v>17</v>
      </c>
      <c r="P2">
        <v>50</v>
      </c>
      <c r="Q2">
        <v>1</v>
      </c>
      <c r="R2">
        <v>2</v>
      </c>
      <c r="S2" s="16" t="s">
        <v>138</v>
      </c>
      <c r="T2">
        <v>-1</v>
      </c>
      <c r="U2" t="str">
        <f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2" t="str">
        <f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2" t="str">
        <f>CONCATENATE(" VALUES('",A2,"','",B2,"','",C2,"','",D2,"','",E2,"','",F2,"','",G2,"','",H2,"','",I2,"','",J2,"','",K2,"','",L2,"','",M2,"','",N2,"','",O2,"','",P2,"','",Q2,"','",R2,"','",S2,"','",T2,"');")</f>
        <v xml:space="preserve"> VALUES('RPT_ALL_JOBS_TO','ACC_TYPE_TO','0','1','JOB_ID','Truck Job ID','T','0','N','0','N','N','N','N','N','50','1','2','Y','-1');</v>
      </c>
      <c r="X2" s="5" t="str">
        <f>CONCATENATE(U2,V2,W2)</f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VALUES('RPT_ALL_JOBS_TO','ACC_TYPE_TO','0','1','JOB_ID','Truck Job ID','T','0','N','0','N','N','N','N','N','50','1','2','Y','-1');</v>
      </c>
    </row>
    <row r="3" spans="1:24" x14ac:dyDescent="0.2">
      <c r="A3" s="21" t="s">
        <v>280</v>
      </c>
      <c r="B3" s="20" t="s">
        <v>183</v>
      </c>
      <c r="C3">
        <v>0</v>
      </c>
      <c r="D3">
        <v>2</v>
      </c>
      <c r="E3" s="28" t="s">
        <v>251</v>
      </c>
      <c r="F3" s="16" t="s">
        <v>261</v>
      </c>
      <c r="G3" s="16" t="s">
        <v>274</v>
      </c>
      <c r="H3">
        <v>0</v>
      </c>
      <c r="I3" s="16" t="s">
        <v>17</v>
      </c>
      <c r="J3">
        <v>0</v>
      </c>
      <c r="K3" s="16" t="s">
        <v>17</v>
      </c>
      <c r="L3" s="16" t="s">
        <v>17</v>
      </c>
      <c r="M3" s="16" t="s">
        <v>17</v>
      </c>
      <c r="N3" s="16" t="s">
        <v>17</v>
      </c>
      <c r="O3" s="16" t="s">
        <v>17</v>
      </c>
      <c r="P3">
        <v>50</v>
      </c>
      <c r="Q3">
        <v>1</v>
      </c>
      <c r="R3">
        <v>2</v>
      </c>
      <c r="S3" s="16" t="s">
        <v>138</v>
      </c>
      <c r="T3">
        <v>-1</v>
      </c>
      <c r="U3" t="str">
        <f t="shared" ref="U3:U31" si="0"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3" t="str">
        <f t="shared" ref="V3:V31" si="1"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3" t="str">
        <f t="shared" ref="W3:W16" si="2">CONCATENATE(" VALUES('",A3,"','",B3,"','",C3,"','",D3,"','",E3,"','",F3,"','",G3,"','",H3,"','",I3,"','",J3,"','",K3,"','",L3,"','",M3,"','",N3,"','",O3,"','",P3,"','",Q3,"','",R3,"','",S3,"','",T3,"');")</f>
        <v xml:space="preserve"> VALUES('RPT_ALL_JOBS_TO','ACC_TYPE_TO','0','2','SHIPMENT_TYPE','Shipment Type','T','0','N','0','N','N','N','N','N','50','1','2','Y','-1');</v>
      </c>
      <c r="X3" s="5" t="str">
        <f t="shared" ref="X3:X54" si="3">CONCATENATE(U3,V3,W3)</f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VALUES('RPT_ALL_JOBS_TO','ACC_TYPE_TO','0','2','SHIPMENT_TYPE','Shipment Type','T','0','N','0','N','N','N','N','N','50','1','2','Y','-1');</v>
      </c>
    </row>
    <row r="4" spans="1:24" x14ac:dyDescent="0.2">
      <c r="A4" s="21" t="s">
        <v>280</v>
      </c>
      <c r="B4" s="20" t="s">
        <v>183</v>
      </c>
      <c r="C4">
        <v>0</v>
      </c>
      <c r="D4">
        <v>3</v>
      </c>
      <c r="E4" t="s">
        <v>252</v>
      </c>
      <c r="F4" s="16" t="s">
        <v>262</v>
      </c>
      <c r="G4" s="16" t="s">
        <v>275</v>
      </c>
      <c r="H4">
        <v>0</v>
      </c>
      <c r="I4" s="16" t="s">
        <v>17</v>
      </c>
      <c r="J4">
        <v>0</v>
      </c>
      <c r="K4" s="16" t="s">
        <v>17</v>
      </c>
      <c r="L4" s="16" t="s">
        <v>17</v>
      </c>
      <c r="M4" s="16" t="s">
        <v>17</v>
      </c>
      <c r="N4" s="16" t="s">
        <v>17</v>
      </c>
      <c r="O4" s="16" t="s">
        <v>17</v>
      </c>
      <c r="P4">
        <v>50</v>
      </c>
      <c r="Q4">
        <v>1</v>
      </c>
      <c r="R4">
        <v>2</v>
      </c>
      <c r="S4" s="16" t="s">
        <v>138</v>
      </c>
      <c r="T4">
        <v>-1</v>
      </c>
      <c r="U4" t="str">
        <f t="shared" si="0"/>
        <v>INSERT INTO `T_CORE_RPT_COLUMN`(`RPTCO_RPTID`,`RPTCO_ACCN_TYPE`,`RPTCO_TBL_IDX`,`RPTCO_IDX`,`RPTCO_DBCOL`,`RPTCO_CAPTION`,`RPTCO_COLTYPE`,`RPTCO_NUM_PRECISION`,`RPTCO_NUM_NO_ZERO`,</v>
      </c>
      <c r="V4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4" t="str">
        <f t="shared" si="2"/>
        <v xml:space="preserve"> VALUES('RPT_ALL_JOBS_TO','ACC_TYPE_TO','0','3','JOB_DT_BOOKING','Booking Date','D','0','N','0','N','N','N','N','N','50','1','2','Y','-1');</v>
      </c>
      <c r="X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VALUES('RPT_ALL_JOBS_TO','ACC_TYPE_TO','0','3','JOB_DT_BOOKING','Booking Date','D','0','N','0','N','N','N','N','N','50','1','2','Y','-1');</v>
      </c>
    </row>
    <row r="5" spans="1:24" x14ac:dyDescent="0.2">
      <c r="A5" s="21" t="s">
        <v>280</v>
      </c>
      <c r="B5" s="20" t="s">
        <v>183</v>
      </c>
      <c r="C5">
        <v>0</v>
      </c>
      <c r="D5">
        <v>4</v>
      </c>
      <c r="E5" s="16" t="s">
        <v>208</v>
      </c>
      <c r="F5" s="16" t="s">
        <v>221</v>
      </c>
      <c r="G5" s="4" t="s">
        <v>274</v>
      </c>
      <c r="H5">
        <v>0</v>
      </c>
      <c r="I5" s="16" t="s">
        <v>17</v>
      </c>
      <c r="J5">
        <v>0</v>
      </c>
      <c r="K5" s="16" t="s">
        <v>17</v>
      </c>
      <c r="L5" s="16" t="s">
        <v>17</v>
      </c>
      <c r="M5" s="16" t="s">
        <v>17</v>
      </c>
      <c r="N5" s="16" t="s">
        <v>17</v>
      </c>
      <c r="O5" s="16" t="s">
        <v>17</v>
      </c>
      <c r="P5">
        <v>50</v>
      </c>
      <c r="Q5">
        <v>1</v>
      </c>
      <c r="R5">
        <v>2</v>
      </c>
      <c r="S5" s="16" t="s">
        <v>138</v>
      </c>
      <c r="T5">
        <v>-1</v>
      </c>
      <c r="U5" t="str">
        <f t="shared" si="0"/>
        <v>INSERT INTO `T_CORE_RPT_COLUMN`(`RPTCO_RPTID`,`RPTCO_ACCN_TYPE`,`RPTCO_TBL_IDX`,`RPTCO_IDX`,`RPTCO_DBCOL`,`RPTCO_CAPTION`,`RPTCO_COLTYPE`,`RPTCO_NUM_PRECISION`,`RPTCO_NUM_NO_ZERO`,</v>
      </c>
      <c r="V5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5" t="str">
        <f t="shared" si="2"/>
        <v xml:space="preserve"> VALUES('RPT_ALL_JOBS_TO','ACC_TYPE_TO','0','4','JOB_STATE','Job State','T','0','N','0','N','N','N','N','N','50','1','2','Y','-1');</v>
      </c>
      <c r="X5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VALUES('RPT_ALL_JOBS_TO','ACC_TYPE_TO','0','4','JOB_STATE','Job State','T','0','N','0','N','N','N','N','N','50','1','2','Y','-1');</v>
      </c>
    </row>
    <row r="6" spans="1:24" x14ac:dyDescent="0.2">
      <c r="A6" s="21" t="s">
        <v>280</v>
      </c>
      <c r="B6" s="20" t="s">
        <v>183</v>
      </c>
      <c r="C6">
        <v>0</v>
      </c>
      <c r="D6">
        <v>5</v>
      </c>
      <c r="E6" s="16" t="s">
        <v>253</v>
      </c>
      <c r="F6" s="16" t="s">
        <v>263</v>
      </c>
      <c r="G6" s="4" t="s">
        <v>274</v>
      </c>
      <c r="H6">
        <v>0</v>
      </c>
      <c r="I6" s="16" t="s">
        <v>17</v>
      </c>
      <c r="J6">
        <v>0</v>
      </c>
      <c r="K6" s="16" t="s">
        <v>17</v>
      </c>
      <c r="L6" s="16" t="s">
        <v>17</v>
      </c>
      <c r="M6" s="16" t="s">
        <v>17</v>
      </c>
      <c r="N6" s="16" t="s">
        <v>17</v>
      </c>
      <c r="O6" s="16" t="s">
        <v>17</v>
      </c>
      <c r="P6">
        <v>50</v>
      </c>
      <c r="Q6">
        <v>1</v>
      </c>
      <c r="R6">
        <v>2</v>
      </c>
      <c r="S6" s="16" t="s">
        <v>138</v>
      </c>
      <c r="T6">
        <v>-1</v>
      </c>
      <c r="U6" t="str">
        <f t="shared" si="0"/>
        <v>INSERT INTO `T_CORE_RPT_COLUMN`(`RPTCO_RPTID`,`RPTCO_ACCN_TYPE`,`RPTCO_TBL_IDX`,`RPTCO_IDX`,`RPTCO_DBCOL`,`RPTCO_CAPTION`,`RPTCO_COLTYPE`,`RPTCO_NUM_PRECISION`,`RPTCO_NUM_NO_ZERO`,</v>
      </c>
      <c r="V6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6" t="str">
        <f t="shared" si="2"/>
        <v xml:space="preserve"> VALUES('RPT_ALL_JOBS_TO','ACC_TYPE_TO','0','5','CO_FF_ACCN','Cargo Owner','T','0','N','0','N','N','N','N','N','50','1','2','Y','-1');</v>
      </c>
      <c r="X6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VALUES('RPT_ALL_JOBS_TO','ACC_TYPE_TO','0','5','CO_FF_ACCN','Cargo Owner','T','0','N','0','N','N','N','N','N','50','1','2','Y','-1');</v>
      </c>
    </row>
    <row r="7" spans="1:24" x14ac:dyDescent="0.2">
      <c r="A7" s="21" t="s">
        <v>280</v>
      </c>
      <c r="B7" s="20" t="s">
        <v>183</v>
      </c>
      <c r="C7">
        <v>0</v>
      </c>
      <c r="D7">
        <v>6</v>
      </c>
      <c r="E7" t="s">
        <v>254</v>
      </c>
      <c r="F7" s="16" t="s">
        <v>264</v>
      </c>
      <c r="G7" s="16" t="s">
        <v>274</v>
      </c>
      <c r="H7">
        <v>0</v>
      </c>
      <c r="I7" s="16" t="s">
        <v>17</v>
      </c>
      <c r="J7">
        <v>0</v>
      </c>
      <c r="K7" s="16" t="s">
        <v>17</v>
      </c>
      <c r="L7" s="16" t="s">
        <v>17</v>
      </c>
      <c r="M7" s="16" t="s">
        <v>17</v>
      </c>
      <c r="N7" s="16" t="s">
        <v>17</v>
      </c>
      <c r="O7" s="16" t="s">
        <v>17</v>
      </c>
      <c r="P7">
        <v>50</v>
      </c>
      <c r="Q7">
        <v>1</v>
      </c>
      <c r="R7">
        <v>2</v>
      </c>
      <c r="S7" s="16" t="s">
        <v>138</v>
      </c>
      <c r="T7">
        <v>-1</v>
      </c>
      <c r="U7" t="str">
        <f t="shared" si="0"/>
        <v>INSERT INTO `T_CORE_RPT_COLUMN`(`RPTCO_RPTID`,`RPTCO_ACCN_TYPE`,`RPTCO_TBL_IDX`,`RPTCO_IDX`,`RPTCO_DBCOL`,`RPTCO_CAPTION`,`RPTCO_COLTYPE`,`RPTCO_NUM_PRECISION`,`RPTCO_NUM_NO_ZERO`,</v>
      </c>
      <c r="V7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7" t="str">
        <f t="shared" si="2"/>
        <v xml:space="preserve"> VALUES('RPT_ALL_JOBS_TO','ACC_TYPE_TO','0','6','TO_ACCN','Trucker Operator','T','0','N','0','N','N','N','N','N','50','1','2','Y','-1');</v>
      </c>
      <c r="X7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VALUES('RPT_ALL_JOBS_TO','ACC_TYPE_TO','0','6','TO_ACCN','Trucker Operator','T','0','N','0','N','N','N','N','N','50','1','2','Y','-1');</v>
      </c>
    </row>
    <row r="8" spans="1:24" x14ac:dyDescent="0.2">
      <c r="A8" s="21" t="s">
        <v>280</v>
      </c>
      <c r="B8" s="20" t="s">
        <v>183</v>
      </c>
      <c r="C8">
        <v>0</v>
      </c>
      <c r="D8">
        <v>7</v>
      </c>
      <c r="E8" t="s">
        <v>255</v>
      </c>
      <c r="F8" s="16" t="s">
        <v>265</v>
      </c>
      <c r="G8" s="16" t="s">
        <v>274</v>
      </c>
      <c r="H8">
        <v>0</v>
      </c>
      <c r="I8" s="16" t="s">
        <v>17</v>
      </c>
      <c r="J8">
        <v>0</v>
      </c>
      <c r="K8" s="16" t="s">
        <v>17</v>
      </c>
      <c r="L8" s="16" t="s">
        <v>17</v>
      </c>
      <c r="M8" s="16" t="s">
        <v>17</v>
      </c>
      <c r="N8" s="16" t="s">
        <v>17</v>
      </c>
      <c r="O8" s="16" t="s">
        <v>17</v>
      </c>
      <c r="P8">
        <v>50</v>
      </c>
      <c r="Q8">
        <v>1</v>
      </c>
      <c r="R8">
        <v>2</v>
      </c>
      <c r="S8" s="16" t="s">
        <v>138</v>
      </c>
      <c r="T8">
        <v>-1</v>
      </c>
      <c r="U8" t="str">
        <f t="shared" si="0"/>
        <v>INSERT INTO `T_CORE_RPT_COLUMN`(`RPTCO_RPTID`,`RPTCO_ACCN_TYPE`,`RPTCO_TBL_IDX`,`RPTCO_IDX`,`RPTCO_DBCOL`,`RPTCO_CAPTION`,`RPTCO_COLTYPE`,`RPTCO_NUM_PRECISION`,`RPTCO_NUM_NO_ZERO`,</v>
      </c>
      <c r="V8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8" t="str">
        <f t="shared" si="2"/>
        <v xml:space="preserve"> VALUES('RPT_ALL_JOBS_TO','ACC_TYPE_TO','0','7','TLOC_LOC_NAME_FROM','Trip From','T','0','N','0','N','N','N','N','N','50','1','2','Y','-1');</v>
      </c>
      <c r="X8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VALUES('RPT_ALL_JOBS_TO','ACC_TYPE_TO','0','7','TLOC_LOC_NAME_FROM','Trip From','T','0','N','0','N','N','N','N','N','50','1','2','Y','-1');</v>
      </c>
    </row>
    <row r="9" spans="1:24" x14ac:dyDescent="0.2">
      <c r="A9" s="21" t="s">
        <v>280</v>
      </c>
      <c r="B9" s="20" t="s">
        <v>183</v>
      </c>
      <c r="C9">
        <v>0</v>
      </c>
      <c r="D9">
        <v>8</v>
      </c>
      <c r="E9" t="s">
        <v>256</v>
      </c>
      <c r="F9" s="16" t="s">
        <v>266</v>
      </c>
      <c r="G9" s="16" t="s">
        <v>274</v>
      </c>
      <c r="H9">
        <v>0</v>
      </c>
      <c r="I9" s="16" t="s">
        <v>17</v>
      </c>
      <c r="J9">
        <v>0</v>
      </c>
      <c r="K9" s="16" t="s">
        <v>17</v>
      </c>
      <c r="L9" s="16" t="s">
        <v>17</v>
      </c>
      <c r="M9" s="16" t="s">
        <v>17</v>
      </c>
      <c r="N9" s="16" t="s">
        <v>17</v>
      </c>
      <c r="O9" s="16" t="s">
        <v>17</v>
      </c>
      <c r="P9">
        <v>50</v>
      </c>
      <c r="Q9">
        <v>1</v>
      </c>
      <c r="R9">
        <v>2</v>
      </c>
      <c r="S9" s="16" t="s">
        <v>138</v>
      </c>
      <c r="T9">
        <v>-1</v>
      </c>
      <c r="U9" t="str">
        <f t="shared" si="0"/>
        <v>INSERT INTO `T_CORE_RPT_COLUMN`(`RPTCO_RPTID`,`RPTCO_ACCN_TYPE`,`RPTCO_TBL_IDX`,`RPTCO_IDX`,`RPTCO_DBCOL`,`RPTCO_CAPTION`,`RPTCO_COLTYPE`,`RPTCO_NUM_PRECISION`,`RPTCO_NUM_NO_ZERO`,</v>
      </c>
      <c r="V9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9" t="str">
        <f t="shared" si="2"/>
        <v xml:space="preserve"> VALUES('RPT_ALL_JOBS_TO','ACC_TYPE_TO','0','8','TLOC_LOC_NAME_TO','Trip To','T','0','N','0','N','N','N','N','N','50','1','2','Y','-1');</v>
      </c>
      <c r="X9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VALUES('RPT_ALL_JOBS_TO','ACC_TYPE_TO','0','8','TLOC_LOC_NAME_TO','Trip To','T','0','N','0','N','N','N','N','N','50','1','2','Y','-1');</v>
      </c>
    </row>
    <row r="10" spans="1:24" x14ac:dyDescent="0.2">
      <c r="A10" s="21" t="s">
        <v>280</v>
      </c>
      <c r="B10" s="20" t="s">
        <v>183</v>
      </c>
      <c r="C10">
        <v>0</v>
      </c>
      <c r="D10">
        <v>9</v>
      </c>
      <c r="E10" t="s">
        <v>257</v>
      </c>
      <c r="F10" s="16" t="s">
        <v>267</v>
      </c>
      <c r="G10" s="16" t="s">
        <v>274</v>
      </c>
      <c r="H10">
        <v>0</v>
      </c>
      <c r="I10" s="16" t="s">
        <v>17</v>
      </c>
      <c r="J10">
        <v>0</v>
      </c>
      <c r="K10" s="16" t="s">
        <v>17</v>
      </c>
      <c r="L10" s="16" t="s">
        <v>17</v>
      </c>
      <c r="M10" s="16" t="s">
        <v>17</v>
      </c>
      <c r="N10" s="16" t="s">
        <v>17</v>
      </c>
      <c r="O10" s="16" t="s">
        <v>17</v>
      </c>
      <c r="P10">
        <v>50</v>
      </c>
      <c r="Q10">
        <v>1</v>
      </c>
      <c r="R10">
        <v>2</v>
      </c>
      <c r="S10" s="16" t="s">
        <v>138</v>
      </c>
      <c r="T10">
        <v>-1</v>
      </c>
      <c r="U10" t="str">
        <f t="shared" si="0"/>
        <v>INSERT INTO `T_CORE_RPT_COLUMN`(`RPTCO_RPTID`,`RPTCO_ACCN_TYPE`,`RPTCO_TBL_IDX`,`RPTCO_IDX`,`RPTCO_DBCOL`,`RPTCO_CAPTION`,`RPTCO_COLTYPE`,`RPTCO_NUM_PRECISION`,`RPTCO_NUM_NO_ZERO`,</v>
      </c>
      <c r="V10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0" t="str">
        <f t="shared" si="2"/>
        <v xml:space="preserve"> VALUES('RPT_ALL_JOBS_TO','ACC_TYPE_TO','0','9','DRV_NAME','Driver Name','T','0','N','0','N','N','N','N','N','50','1','2','Y','-1');</v>
      </c>
      <c r="X10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VALUES('RPT_ALL_JOBS_TO','ACC_TYPE_TO','0','9','DRV_NAME','Driver Name','T','0','N','0','N','N','N','N','N','50','1','2','Y','-1');</v>
      </c>
    </row>
    <row r="11" spans="1:24" x14ac:dyDescent="0.2">
      <c r="A11" s="21" t="s">
        <v>280</v>
      </c>
      <c r="B11" s="20" t="s">
        <v>183</v>
      </c>
      <c r="C11">
        <v>0</v>
      </c>
      <c r="D11">
        <v>10</v>
      </c>
      <c r="E11" s="16" t="s">
        <v>258</v>
      </c>
      <c r="F11" s="16" t="s">
        <v>268</v>
      </c>
      <c r="G11" s="16" t="s">
        <v>274</v>
      </c>
      <c r="H11">
        <v>0</v>
      </c>
      <c r="I11" s="16" t="s">
        <v>17</v>
      </c>
      <c r="J11">
        <v>0</v>
      </c>
      <c r="K11" s="16" t="s">
        <v>17</v>
      </c>
      <c r="L11" s="16" t="s">
        <v>17</v>
      </c>
      <c r="M11" s="16" t="s">
        <v>17</v>
      </c>
      <c r="N11" s="16" t="s">
        <v>17</v>
      </c>
      <c r="O11" s="16" t="s">
        <v>17</v>
      </c>
      <c r="P11">
        <v>50</v>
      </c>
      <c r="Q11">
        <v>1</v>
      </c>
      <c r="R11">
        <v>2</v>
      </c>
      <c r="S11" s="16" t="s">
        <v>138</v>
      </c>
      <c r="T11">
        <v>-1</v>
      </c>
      <c r="U11" t="str">
        <f t="shared" si="0"/>
        <v>INSERT INTO `T_CORE_RPT_COLUMN`(`RPTCO_RPTID`,`RPTCO_ACCN_TYPE`,`RPTCO_TBL_IDX`,`RPTCO_IDX`,`RPTCO_DBCOL`,`RPTCO_CAPTION`,`RPTCO_COLTYPE`,`RPTCO_NUM_PRECISION`,`RPTCO_NUM_NO_ZERO`,</v>
      </c>
      <c r="V11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1" t="str">
        <f t="shared" si="2"/>
        <v xml:space="preserve"> VALUES('RPT_ALL_JOBS_TO','ACC_TYPE_TO','0','10','VH_PLATE_NO','Truck Plate No.','T','0','N','0','N','N','N','N','N','50','1','2','Y','-1');</v>
      </c>
      <c r="X11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VALUES('RPT_ALL_JOBS_TO','ACC_TYPE_TO','0','10','VH_PLATE_NO','Truck Plate No.','T','0','N','0','N','N','N','N','N','50','1','2','Y','-1');</v>
      </c>
    </row>
    <row r="12" spans="1:24" x14ac:dyDescent="0.2">
      <c r="A12" s="21" t="s">
        <v>280</v>
      </c>
      <c r="B12" s="20" t="s">
        <v>183</v>
      </c>
      <c r="C12">
        <v>0</v>
      </c>
      <c r="D12">
        <v>11</v>
      </c>
      <c r="E12" s="16" t="s">
        <v>259</v>
      </c>
      <c r="F12" s="16" t="s">
        <v>269</v>
      </c>
      <c r="G12" s="16" t="s">
        <v>275</v>
      </c>
      <c r="H12">
        <v>0</v>
      </c>
      <c r="I12" s="16" t="s">
        <v>17</v>
      </c>
      <c r="J12">
        <v>0</v>
      </c>
      <c r="K12" s="16" t="s">
        <v>17</v>
      </c>
      <c r="L12" s="16" t="s">
        <v>17</v>
      </c>
      <c r="M12" s="16" t="s">
        <v>17</v>
      </c>
      <c r="N12" s="16" t="s">
        <v>17</v>
      </c>
      <c r="O12" s="16" t="s">
        <v>17</v>
      </c>
      <c r="P12">
        <v>50</v>
      </c>
      <c r="Q12">
        <v>1</v>
      </c>
      <c r="R12">
        <v>2</v>
      </c>
      <c r="S12" s="16" t="s">
        <v>138</v>
      </c>
      <c r="T12">
        <v>-1</v>
      </c>
      <c r="U12" t="str">
        <f t="shared" si="0"/>
        <v>INSERT INTO `T_CORE_RPT_COLUMN`(`RPTCO_RPTID`,`RPTCO_ACCN_TYPE`,`RPTCO_TBL_IDX`,`RPTCO_IDX`,`RPTCO_DBCOL`,`RPTCO_CAPTION`,`RPTCO_COLTYPE`,`RPTCO_NUM_PRECISION`,`RPTCO_NUM_NO_ZERO`,</v>
      </c>
      <c r="V12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2" t="str">
        <f t="shared" si="2"/>
        <v xml:space="preserve"> VALUES('RPT_ALL_JOBS_TO','ACC_TYPE_TO','0','11','RCD_DT_SUBMIT','Submitted Date','D','0','N','0','N','N','N','N','N','50','1','2','Y','-1');</v>
      </c>
      <c r="X12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VALUES('RPT_ALL_JOBS_TO','ACC_TYPE_TO','0','11','RCD_DT_SUBMIT','Submitted Date','D','0','N','0','N','N','N','N','N','50','1','2','Y','-1');</v>
      </c>
    </row>
    <row r="13" spans="1:24" x14ac:dyDescent="0.2">
      <c r="A13" s="21" t="s">
        <v>280</v>
      </c>
      <c r="B13" s="20" t="s">
        <v>183</v>
      </c>
      <c r="C13">
        <v>0</v>
      </c>
      <c r="D13">
        <v>12</v>
      </c>
      <c r="E13" s="16" t="s">
        <v>216</v>
      </c>
      <c r="F13" s="16" t="s">
        <v>270</v>
      </c>
      <c r="G13" s="16" t="s">
        <v>275</v>
      </c>
      <c r="H13">
        <v>0</v>
      </c>
      <c r="I13" s="16" t="s">
        <v>17</v>
      </c>
      <c r="J13">
        <v>0</v>
      </c>
      <c r="K13" s="16" t="s">
        <v>17</v>
      </c>
      <c r="L13" s="16" t="s">
        <v>17</v>
      </c>
      <c r="M13" s="16" t="s">
        <v>17</v>
      </c>
      <c r="N13" s="16" t="s">
        <v>17</v>
      </c>
      <c r="O13" s="16" t="s">
        <v>17</v>
      </c>
      <c r="P13">
        <v>50</v>
      </c>
      <c r="Q13">
        <v>1</v>
      </c>
      <c r="R13">
        <v>2</v>
      </c>
      <c r="S13" s="16" t="s">
        <v>138</v>
      </c>
      <c r="T13">
        <v>-1</v>
      </c>
      <c r="U13" t="str">
        <f t="shared" si="0"/>
        <v>INSERT INTO `T_CORE_RPT_COLUMN`(`RPTCO_RPTID`,`RPTCO_ACCN_TYPE`,`RPTCO_TBL_IDX`,`RPTCO_IDX`,`RPTCO_DBCOL`,`RPTCO_CAPTION`,`RPTCO_COLTYPE`,`RPTCO_NUM_PRECISION`,`RPTCO_NUM_NO_ZERO`,</v>
      </c>
      <c r="V13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3" t="str">
        <f t="shared" si="2"/>
        <v xml:space="preserve"> VALUES('RPT_ALL_JOBS_TO','ACC_TYPE_TO','0','12','RCD_DT_CANCEL','Cancelled Date','D','0','N','0','N','N','N','N','N','50','1','2','Y','-1');</v>
      </c>
      <c r="X13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VALUES('RPT_ALL_JOBS_TO','ACC_TYPE_TO','0','12','RCD_DT_CANCEL','Cancelled Date','D','0','N','0','N','N','N','N','N','50','1','2','Y','-1');</v>
      </c>
    </row>
    <row r="14" spans="1:24" x14ac:dyDescent="0.2">
      <c r="A14" s="21" t="s">
        <v>280</v>
      </c>
      <c r="B14" s="20" t="s">
        <v>183</v>
      </c>
      <c r="C14">
        <v>0</v>
      </c>
      <c r="D14">
        <v>13</v>
      </c>
      <c r="E14" s="16" t="s">
        <v>217</v>
      </c>
      <c r="F14" s="16" t="s">
        <v>271</v>
      </c>
      <c r="G14" s="16" t="s">
        <v>275</v>
      </c>
      <c r="H14">
        <v>0</v>
      </c>
      <c r="I14" s="16" t="s">
        <v>17</v>
      </c>
      <c r="J14">
        <v>0</v>
      </c>
      <c r="K14" s="16" t="s">
        <v>17</v>
      </c>
      <c r="L14" s="16" t="s">
        <v>17</v>
      </c>
      <c r="M14" s="16" t="s">
        <v>17</v>
      </c>
      <c r="N14" s="16" t="s">
        <v>17</v>
      </c>
      <c r="O14" s="16" t="s">
        <v>17</v>
      </c>
      <c r="P14">
        <v>50</v>
      </c>
      <c r="Q14">
        <v>1</v>
      </c>
      <c r="R14">
        <v>2</v>
      </c>
      <c r="S14" s="16" t="s">
        <v>138</v>
      </c>
      <c r="T14">
        <v>-1</v>
      </c>
      <c r="U14" t="str">
        <f t="shared" si="0"/>
        <v>INSERT INTO `T_CORE_RPT_COLUMN`(`RPTCO_RPTID`,`RPTCO_ACCN_TYPE`,`RPTCO_TBL_IDX`,`RPTCO_IDX`,`RPTCO_DBCOL`,`RPTCO_CAPTION`,`RPTCO_COLTYPE`,`RPTCO_NUM_PRECISION`,`RPTCO_NUM_NO_ZERO`,</v>
      </c>
      <c r="V14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4" t="str">
        <f t="shared" si="2"/>
        <v xml:space="preserve"> VALUES('RPT_ALL_JOBS_TO','ACC_TYPE_TO','0','13','RCD_DT_ACCEPTED','Accepted Date','D','0','N','0','N','N','N','N','N','50','1','2','Y','-1');</v>
      </c>
      <c r="X1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VALUES('RPT_ALL_JOBS_TO','ACC_TYPE_TO','0','13','RCD_DT_ACCEPTED','Accepted Date','D','0','N','0','N','N','N','N','N','50','1','2','Y','-1');</v>
      </c>
    </row>
    <row r="15" spans="1:24" x14ac:dyDescent="0.2">
      <c r="A15" s="21" t="s">
        <v>280</v>
      </c>
      <c r="B15" s="20" t="s">
        <v>183</v>
      </c>
      <c r="C15">
        <v>0</v>
      </c>
      <c r="D15">
        <v>14</v>
      </c>
      <c r="E15" s="16" t="s">
        <v>218</v>
      </c>
      <c r="F15" s="16" t="s">
        <v>272</v>
      </c>
      <c r="G15" s="16" t="s">
        <v>275</v>
      </c>
      <c r="H15">
        <v>0</v>
      </c>
      <c r="I15" s="16" t="s">
        <v>17</v>
      </c>
      <c r="J15">
        <v>0</v>
      </c>
      <c r="K15" s="16" t="s">
        <v>17</v>
      </c>
      <c r="L15" s="16" t="s">
        <v>17</v>
      </c>
      <c r="M15" s="16" t="s">
        <v>17</v>
      </c>
      <c r="N15" s="16" t="s">
        <v>17</v>
      </c>
      <c r="O15" s="16" t="s">
        <v>17</v>
      </c>
      <c r="P15">
        <v>50</v>
      </c>
      <c r="Q15">
        <v>1</v>
      </c>
      <c r="R15">
        <v>2</v>
      </c>
      <c r="S15" s="16" t="s">
        <v>138</v>
      </c>
      <c r="T15">
        <v>-1</v>
      </c>
      <c r="U15" t="str">
        <f t="shared" si="0"/>
        <v>INSERT INTO `T_CORE_RPT_COLUMN`(`RPTCO_RPTID`,`RPTCO_ACCN_TYPE`,`RPTCO_TBL_IDX`,`RPTCO_IDX`,`RPTCO_DBCOL`,`RPTCO_CAPTION`,`RPTCO_COLTYPE`,`RPTCO_NUM_PRECISION`,`RPTCO_NUM_NO_ZERO`,</v>
      </c>
      <c r="V15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5" t="str">
        <f t="shared" si="2"/>
        <v xml:space="preserve"> VALUES('RPT_ALL_JOBS_TO','ACC_TYPE_TO','0','14','RCD_DT_START','Start Date','D','0','N','0','N','N','N','N','N','50','1','2','Y','-1');</v>
      </c>
      <c r="X15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VALUES('RPT_ALL_JOBS_TO','ACC_TYPE_TO','0','14','RCD_DT_START','Start Date','D','0','N','0','N','N','N','N','N','50','1','2','Y','-1');</v>
      </c>
    </row>
    <row r="16" spans="1:24" x14ac:dyDescent="0.2">
      <c r="A16" s="21" t="s">
        <v>280</v>
      </c>
      <c r="B16" s="20" t="s">
        <v>183</v>
      </c>
      <c r="C16">
        <v>0</v>
      </c>
      <c r="D16">
        <v>15</v>
      </c>
      <c r="E16" s="16" t="s">
        <v>215</v>
      </c>
      <c r="F16" s="16" t="s">
        <v>273</v>
      </c>
      <c r="G16" s="16" t="s">
        <v>275</v>
      </c>
      <c r="H16">
        <v>0</v>
      </c>
      <c r="I16" s="16" t="s">
        <v>17</v>
      </c>
      <c r="J16">
        <v>0</v>
      </c>
      <c r="K16" s="16" t="s">
        <v>17</v>
      </c>
      <c r="L16" s="16" t="s">
        <v>17</v>
      </c>
      <c r="M16" s="16" t="s">
        <v>17</v>
      </c>
      <c r="N16" s="16" t="s">
        <v>17</v>
      </c>
      <c r="O16" s="16" t="s">
        <v>17</v>
      </c>
      <c r="P16">
        <v>50</v>
      </c>
      <c r="Q16">
        <v>1</v>
      </c>
      <c r="R16">
        <v>2</v>
      </c>
      <c r="S16" s="16" t="s">
        <v>138</v>
      </c>
      <c r="T16">
        <v>-1</v>
      </c>
      <c r="U16" t="str">
        <f t="shared" si="0"/>
        <v>INSERT INTO `T_CORE_RPT_COLUMN`(`RPTCO_RPTID`,`RPTCO_ACCN_TYPE`,`RPTCO_TBL_IDX`,`RPTCO_IDX`,`RPTCO_DBCOL`,`RPTCO_CAPTION`,`RPTCO_COLTYPE`,`RPTCO_NUM_PRECISION`,`RPTCO_NUM_NO_ZERO`,</v>
      </c>
      <c r="V16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6" t="str">
        <f t="shared" si="2"/>
        <v xml:space="preserve"> VALUES('RPT_ALL_JOBS_TO','ACC_TYPE_TO','0','15','RCD_DT_COMPLETE','Completed Date','D','0','N','0','N','N','N','N','N','50','1','2','Y','-1');</v>
      </c>
      <c r="X16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VALUES('RPT_ALL_JOBS_TO','ACC_TYPE_TO','0','15','RCD_DT_COMPLETE','Completed Date','D','0','N','0','N','N','N','N','N','50','1','2','Y','-1');</v>
      </c>
    </row>
    <row r="17" spans="1:24" x14ac:dyDescent="0.2">
      <c r="A17" s="16" t="s">
        <v>281</v>
      </c>
      <c r="B17" s="21" t="s">
        <v>16</v>
      </c>
      <c r="C17">
        <v>0</v>
      </c>
      <c r="D17">
        <v>1</v>
      </c>
      <c r="E17" s="16" t="s">
        <v>250</v>
      </c>
      <c r="F17" s="16" t="s">
        <v>260</v>
      </c>
      <c r="G17" s="16" t="s">
        <v>274</v>
      </c>
      <c r="H17">
        <v>0</v>
      </c>
      <c r="I17" s="16" t="s">
        <v>17</v>
      </c>
      <c r="J17">
        <v>0</v>
      </c>
      <c r="K17" s="16" t="s">
        <v>17</v>
      </c>
      <c r="L17" s="16" t="s">
        <v>17</v>
      </c>
      <c r="M17" s="16" t="s">
        <v>17</v>
      </c>
      <c r="N17" s="16" t="s">
        <v>17</v>
      </c>
      <c r="O17" s="16" t="s">
        <v>17</v>
      </c>
      <c r="P17">
        <v>50</v>
      </c>
      <c r="Q17">
        <v>1</v>
      </c>
      <c r="R17">
        <v>2</v>
      </c>
      <c r="S17" s="16" t="s">
        <v>138</v>
      </c>
      <c r="T17">
        <v>-1</v>
      </c>
      <c r="U17" t="str">
        <f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17" t="str">
        <f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17" t="str">
        <f>CONCATENATE(" VALUES('",A17,"','",B17,"','",C17,"','",D17,"','",E17,"','",F17,"','",G17,"','",H17,"','",I17,"','",J17,"','",K17,"','",L17,"','",M17,"','",N17,"','",O17,"','",P17,"','",Q17,"','",R17,"','",S17,"','",T17,"');")</f>
        <v xml:space="preserve"> VALUES('RPT_ALL_JOBS_CO','ACC_TYPE_CO','0','1','JOB_ID','Truck Job ID','T','0','N','0','N','N','N','N','N','50','1','2','Y','-1');</v>
      </c>
      <c r="X17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VALUES('RPT_ALL_JOBS_CO','ACC_TYPE_CO','0','1','JOB_ID','Truck Job ID','T','0','N','0','N','N','N','N','N','50','1','2','Y','-1');</v>
      </c>
    </row>
    <row r="18" spans="1:24" x14ac:dyDescent="0.2">
      <c r="A18" s="16" t="s">
        <v>281</v>
      </c>
      <c r="B18" s="21" t="s">
        <v>16</v>
      </c>
      <c r="C18">
        <v>0</v>
      </c>
      <c r="D18">
        <v>2</v>
      </c>
      <c r="E18" s="28" t="s">
        <v>251</v>
      </c>
      <c r="F18" s="16" t="s">
        <v>261</v>
      </c>
      <c r="G18" s="16" t="s">
        <v>274</v>
      </c>
      <c r="H18">
        <v>0</v>
      </c>
      <c r="I18" s="16" t="s">
        <v>17</v>
      </c>
      <c r="J18">
        <v>0</v>
      </c>
      <c r="K18" s="16" t="s">
        <v>17</v>
      </c>
      <c r="L18" s="16" t="s">
        <v>17</v>
      </c>
      <c r="M18" s="16" t="s">
        <v>17</v>
      </c>
      <c r="N18" s="16" t="s">
        <v>17</v>
      </c>
      <c r="O18" s="16" t="s">
        <v>17</v>
      </c>
      <c r="P18">
        <v>50</v>
      </c>
      <c r="Q18">
        <v>1</v>
      </c>
      <c r="R18">
        <v>2</v>
      </c>
      <c r="S18" s="16" t="s">
        <v>138</v>
      </c>
      <c r="T18">
        <v>-1</v>
      </c>
      <c r="U18" t="str">
        <f t="shared" si="0"/>
        <v>INSERT INTO `T_CORE_RPT_COLUMN`(`RPTCO_RPTID`,`RPTCO_ACCN_TYPE`,`RPTCO_TBL_IDX`,`RPTCO_IDX`,`RPTCO_DBCOL`,`RPTCO_CAPTION`,`RPTCO_COLTYPE`,`RPTCO_NUM_PRECISION`,`RPTCO_NUM_NO_ZERO`,</v>
      </c>
      <c r="V18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8" t="str">
        <f t="shared" ref="W18:W31" si="4">CONCATENATE(" VALUES('",A18,"','",B18,"','",C18,"','",D18,"','",E18,"','",F18,"','",G18,"','",H18,"','",I18,"','",J18,"','",K18,"','",L18,"','",M18,"','",N18,"','",O18,"','",P18,"','",Q18,"','",R18,"','",S18,"','",T18,"');")</f>
        <v xml:space="preserve"> VALUES('RPT_ALL_JOBS_CO','ACC_TYPE_CO','0','2','SHIPMENT_TYPE','Shipment Type','T','0','N','0','N','N','N','N','N','50','1','2','Y','-1');</v>
      </c>
      <c r="X18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VALUES('RPT_ALL_JOBS_CO','ACC_TYPE_CO','0','2','SHIPMENT_TYPE','Shipment Type','T','0','N','0','N','N','N','N','N','50','1','2','Y','-1');</v>
      </c>
    </row>
    <row r="19" spans="1:24" x14ac:dyDescent="0.2">
      <c r="A19" s="16" t="s">
        <v>281</v>
      </c>
      <c r="B19" s="21" t="s">
        <v>16</v>
      </c>
      <c r="C19">
        <v>0</v>
      </c>
      <c r="D19">
        <v>3</v>
      </c>
      <c r="E19" t="s">
        <v>252</v>
      </c>
      <c r="F19" s="16" t="s">
        <v>262</v>
      </c>
      <c r="G19" s="16" t="s">
        <v>275</v>
      </c>
      <c r="H19">
        <v>0</v>
      </c>
      <c r="I19" s="16" t="s">
        <v>17</v>
      </c>
      <c r="J19">
        <v>0</v>
      </c>
      <c r="K19" s="16" t="s">
        <v>17</v>
      </c>
      <c r="L19" s="16" t="s">
        <v>17</v>
      </c>
      <c r="M19" s="16" t="s">
        <v>17</v>
      </c>
      <c r="N19" s="16" t="s">
        <v>17</v>
      </c>
      <c r="O19" s="16" t="s">
        <v>17</v>
      </c>
      <c r="P19">
        <v>50</v>
      </c>
      <c r="Q19">
        <v>1</v>
      </c>
      <c r="R19">
        <v>2</v>
      </c>
      <c r="S19" s="16" t="s">
        <v>138</v>
      </c>
      <c r="T19">
        <v>-1</v>
      </c>
      <c r="U19" t="str">
        <f t="shared" si="0"/>
        <v>INSERT INTO `T_CORE_RPT_COLUMN`(`RPTCO_RPTID`,`RPTCO_ACCN_TYPE`,`RPTCO_TBL_IDX`,`RPTCO_IDX`,`RPTCO_DBCOL`,`RPTCO_CAPTION`,`RPTCO_COLTYPE`,`RPTCO_NUM_PRECISION`,`RPTCO_NUM_NO_ZERO`,</v>
      </c>
      <c r="V19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19" t="str">
        <f t="shared" si="4"/>
        <v xml:space="preserve"> VALUES('RPT_ALL_JOBS_CO','ACC_TYPE_CO','0','3','JOB_DT_BOOKING','Booking Date','D','0','N','0','N','N','N','N','N','50','1','2','Y','-1');</v>
      </c>
      <c r="X19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VALUES('RPT_ALL_JOBS_CO','ACC_TYPE_CO','0','3','JOB_DT_BOOKING','Booking Date','D','0','N','0','N','N','N','N','N','50','1','2','Y','-1');</v>
      </c>
    </row>
    <row r="20" spans="1:24" x14ac:dyDescent="0.2">
      <c r="A20" s="16" t="s">
        <v>281</v>
      </c>
      <c r="B20" s="21" t="s">
        <v>16</v>
      </c>
      <c r="C20">
        <v>0</v>
      </c>
      <c r="D20">
        <v>4</v>
      </c>
      <c r="E20" s="16" t="s">
        <v>208</v>
      </c>
      <c r="F20" s="16" t="s">
        <v>221</v>
      </c>
      <c r="G20" s="4" t="s">
        <v>274</v>
      </c>
      <c r="H20">
        <v>0</v>
      </c>
      <c r="I20" s="16" t="s">
        <v>17</v>
      </c>
      <c r="J20">
        <v>0</v>
      </c>
      <c r="K20" s="16" t="s">
        <v>17</v>
      </c>
      <c r="L20" s="16" t="s">
        <v>17</v>
      </c>
      <c r="M20" s="16" t="s">
        <v>17</v>
      </c>
      <c r="N20" s="16" t="s">
        <v>17</v>
      </c>
      <c r="O20" s="16" t="s">
        <v>17</v>
      </c>
      <c r="P20">
        <v>50</v>
      </c>
      <c r="Q20">
        <v>1</v>
      </c>
      <c r="R20">
        <v>2</v>
      </c>
      <c r="S20" s="16" t="s">
        <v>138</v>
      </c>
      <c r="T20">
        <v>-1</v>
      </c>
      <c r="U20" t="str">
        <f t="shared" si="0"/>
        <v>INSERT INTO `T_CORE_RPT_COLUMN`(`RPTCO_RPTID`,`RPTCO_ACCN_TYPE`,`RPTCO_TBL_IDX`,`RPTCO_IDX`,`RPTCO_DBCOL`,`RPTCO_CAPTION`,`RPTCO_COLTYPE`,`RPTCO_NUM_PRECISION`,`RPTCO_NUM_NO_ZERO`,</v>
      </c>
      <c r="V20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0" t="str">
        <f t="shared" si="4"/>
        <v xml:space="preserve"> VALUES('RPT_ALL_JOBS_CO','ACC_TYPE_CO','0','4','JOB_STATE','Job State','T','0','N','0','N','N','N','N','N','50','1','2','Y','-1');</v>
      </c>
      <c r="X20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VALUES('RPT_ALL_JOBS_CO','ACC_TYPE_CO','0','4','JOB_STATE','Job State','T','0','N','0','N','N','N','N','N','50','1','2','Y','-1');</v>
      </c>
    </row>
    <row r="21" spans="1:24" x14ac:dyDescent="0.2">
      <c r="A21" s="16" t="s">
        <v>281</v>
      </c>
      <c r="B21" s="21" t="s">
        <v>16</v>
      </c>
      <c r="C21">
        <v>0</v>
      </c>
      <c r="D21">
        <v>5</v>
      </c>
      <c r="E21" s="16" t="s">
        <v>253</v>
      </c>
      <c r="F21" s="16" t="s">
        <v>263</v>
      </c>
      <c r="G21" s="4" t="s">
        <v>274</v>
      </c>
      <c r="H21">
        <v>0</v>
      </c>
      <c r="I21" s="16" t="s">
        <v>17</v>
      </c>
      <c r="J21">
        <v>0</v>
      </c>
      <c r="K21" s="16" t="s">
        <v>17</v>
      </c>
      <c r="L21" s="16" t="s">
        <v>17</v>
      </c>
      <c r="M21" s="16" t="s">
        <v>17</v>
      </c>
      <c r="N21" s="16" t="s">
        <v>17</v>
      </c>
      <c r="O21" s="16" t="s">
        <v>17</v>
      </c>
      <c r="P21">
        <v>50</v>
      </c>
      <c r="Q21">
        <v>1</v>
      </c>
      <c r="R21">
        <v>2</v>
      </c>
      <c r="S21" s="16" t="s">
        <v>138</v>
      </c>
      <c r="T21">
        <v>-1</v>
      </c>
      <c r="U21" t="str">
        <f t="shared" si="0"/>
        <v>INSERT INTO `T_CORE_RPT_COLUMN`(`RPTCO_RPTID`,`RPTCO_ACCN_TYPE`,`RPTCO_TBL_IDX`,`RPTCO_IDX`,`RPTCO_DBCOL`,`RPTCO_CAPTION`,`RPTCO_COLTYPE`,`RPTCO_NUM_PRECISION`,`RPTCO_NUM_NO_ZERO`,</v>
      </c>
      <c r="V21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1" t="str">
        <f t="shared" si="4"/>
        <v xml:space="preserve"> VALUES('RPT_ALL_JOBS_CO','ACC_TYPE_CO','0','5','CO_FF_ACCN','Cargo Owner','T','0','N','0','N','N','N','N','N','50','1','2','Y','-1');</v>
      </c>
      <c r="X21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VALUES('RPT_ALL_JOBS_CO','ACC_TYPE_CO','0','5','CO_FF_ACCN','Cargo Owner','T','0','N','0','N','N','N','N','N','50','1','2','Y','-1');</v>
      </c>
    </row>
    <row r="22" spans="1:24" x14ac:dyDescent="0.2">
      <c r="A22" s="16" t="s">
        <v>281</v>
      </c>
      <c r="B22" s="21" t="s">
        <v>16</v>
      </c>
      <c r="C22">
        <v>0</v>
      </c>
      <c r="D22">
        <v>6</v>
      </c>
      <c r="E22" t="s">
        <v>254</v>
      </c>
      <c r="F22" s="16" t="s">
        <v>264</v>
      </c>
      <c r="G22" s="16" t="s">
        <v>274</v>
      </c>
      <c r="H22">
        <v>0</v>
      </c>
      <c r="I22" s="16" t="s">
        <v>17</v>
      </c>
      <c r="J22">
        <v>0</v>
      </c>
      <c r="K22" s="16" t="s">
        <v>17</v>
      </c>
      <c r="L22" s="16" t="s">
        <v>17</v>
      </c>
      <c r="M22" s="16" t="s">
        <v>17</v>
      </c>
      <c r="N22" s="16" t="s">
        <v>17</v>
      </c>
      <c r="O22" s="16" t="s">
        <v>17</v>
      </c>
      <c r="P22">
        <v>50</v>
      </c>
      <c r="Q22">
        <v>1</v>
      </c>
      <c r="R22">
        <v>2</v>
      </c>
      <c r="S22" s="16" t="s">
        <v>138</v>
      </c>
      <c r="T22">
        <v>-1</v>
      </c>
      <c r="U22" t="str">
        <f t="shared" si="0"/>
        <v>INSERT INTO `T_CORE_RPT_COLUMN`(`RPTCO_RPTID`,`RPTCO_ACCN_TYPE`,`RPTCO_TBL_IDX`,`RPTCO_IDX`,`RPTCO_DBCOL`,`RPTCO_CAPTION`,`RPTCO_COLTYPE`,`RPTCO_NUM_PRECISION`,`RPTCO_NUM_NO_ZERO`,</v>
      </c>
      <c r="V22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2" t="str">
        <f t="shared" si="4"/>
        <v xml:space="preserve"> VALUES('RPT_ALL_JOBS_CO','ACC_TYPE_CO','0','6','TO_ACCN','Trucker Operator','T','0','N','0','N','N','N','N','N','50','1','2','Y','-1');</v>
      </c>
      <c r="X22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VALUES('RPT_ALL_JOBS_CO','ACC_TYPE_CO','0','6','TO_ACCN','Trucker Operator','T','0','N','0','N','N','N','N','N','50','1','2','Y','-1');</v>
      </c>
    </row>
    <row r="23" spans="1:24" x14ac:dyDescent="0.2">
      <c r="A23" s="16" t="s">
        <v>281</v>
      </c>
      <c r="B23" s="21" t="s">
        <v>16</v>
      </c>
      <c r="C23">
        <v>0</v>
      </c>
      <c r="D23">
        <v>7</v>
      </c>
      <c r="E23" t="s">
        <v>255</v>
      </c>
      <c r="F23" s="16" t="s">
        <v>265</v>
      </c>
      <c r="G23" s="16" t="s">
        <v>274</v>
      </c>
      <c r="H23">
        <v>0</v>
      </c>
      <c r="I23" s="16" t="s">
        <v>17</v>
      </c>
      <c r="J23">
        <v>0</v>
      </c>
      <c r="K23" s="16" t="s">
        <v>17</v>
      </c>
      <c r="L23" s="16" t="s">
        <v>17</v>
      </c>
      <c r="M23" s="16" t="s">
        <v>17</v>
      </c>
      <c r="N23" s="16" t="s">
        <v>17</v>
      </c>
      <c r="O23" s="16" t="s">
        <v>17</v>
      </c>
      <c r="P23">
        <v>50</v>
      </c>
      <c r="Q23">
        <v>1</v>
      </c>
      <c r="R23">
        <v>2</v>
      </c>
      <c r="S23" s="16" t="s">
        <v>138</v>
      </c>
      <c r="T23">
        <v>-1</v>
      </c>
      <c r="U23" t="str">
        <f t="shared" si="0"/>
        <v>INSERT INTO `T_CORE_RPT_COLUMN`(`RPTCO_RPTID`,`RPTCO_ACCN_TYPE`,`RPTCO_TBL_IDX`,`RPTCO_IDX`,`RPTCO_DBCOL`,`RPTCO_CAPTION`,`RPTCO_COLTYPE`,`RPTCO_NUM_PRECISION`,`RPTCO_NUM_NO_ZERO`,</v>
      </c>
      <c r="V23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3" t="str">
        <f t="shared" si="4"/>
        <v xml:space="preserve"> VALUES('RPT_ALL_JOBS_CO','ACC_TYPE_CO','0','7','TLOC_LOC_NAME_FROM','Trip From','T','0','N','0','N','N','N','N','N','50','1','2','Y','-1');</v>
      </c>
      <c r="X23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VALUES('RPT_ALL_JOBS_CO','ACC_TYPE_CO','0','7','TLOC_LOC_NAME_FROM','Trip From','T','0','N','0','N','N','N','N','N','50','1','2','Y','-1');</v>
      </c>
    </row>
    <row r="24" spans="1:24" x14ac:dyDescent="0.2">
      <c r="A24" s="16" t="s">
        <v>281</v>
      </c>
      <c r="B24" s="21" t="s">
        <v>16</v>
      </c>
      <c r="C24">
        <v>0</v>
      </c>
      <c r="D24">
        <v>8</v>
      </c>
      <c r="E24" t="s">
        <v>256</v>
      </c>
      <c r="F24" s="16" t="s">
        <v>266</v>
      </c>
      <c r="G24" s="16" t="s">
        <v>274</v>
      </c>
      <c r="H24">
        <v>0</v>
      </c>
      <c r="I24" s="16" t="s">
        <v>17</v>
      </c>
      <c r="J24">
        <v>0</v>
      </c>
      <c r="K24" s="16" t="s">
        <v>17</v>
      </c>
      <c r="L24" s="16" t="s">
        <v>17</v>
      </c>
      <c r="M24" s="16" t="s">
        <v>17</v>
      </c>
      <c r="N24" s="16" t="s">
        <v>17</v>
      </c>
      <c r="O24" s="16" t="s">
        <v>17</v>
      </c>
      <c r="P24">
        <v>50</v>
      </c>
      <c r="Q24">
        <v>1</v>
      </c>
      <c r="R24">
        <v>2</v>
      </c>
      <c r="S24" s="16" t="s">
        <v>138</v>
      </c>
      <c r="T24">
        <v>-1</v>
      </c>
      <c r="U24" t="str">
        <f t="shared" si="0"/>
        <v>INSERT INTO `T_CORE_RPT_COLUMN`(`RPTCO_RPTID`,`RPTCO_ACCN_TYPE`,`RPTCO_TBL_IDX`,`RPTCO_IDX`,`RPTCO_DBCOL`,`RPTCO_CAPTION`,`RPTCO_COLTYPE`,`RPTCO_NUM_PRECISION`,`RPTCO_NUM_NO_ZERO`,</v>
      </c>
      <c r="V24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4" t="str">
        <f t="shared" si="4"/>
        <v xml:space="preserve"> VALUES('RPT_ALL_JOBS_CO','ACC_TYPE_CO','0','8','TLOC_LOC_NAME_TO','Trip To','T','0','N','0','N','N','N','N','N','50','1','2','Y','-1');</v>
      </c>
      <c r="X2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VALUES('RPT_ALL_JOBS_CO','ACC_TYPE_CO','0','8','TLOC_LOC_NAME_TO','Trip To','T','0','N','0','N','N','N','N','N','50','1','2','Y','-1');</v>
      </c>
    </row>
    <row r="25" spans="1:24" x14ac:dyDescent="0.2">
      <c r="A25" s="16" t="s">
        <v>281</v>
      </c>
      <c r="B25" s="21" t="s">
        <v>16</v>
      </c>
      <c r="C25">
        <v>0</v>
      </c>
      <c r="D25">
        <v>9</v>
      </c>
      <c r="E25" t="s">
        <v>257</v>
      </c>
      <c r="F25" s="16" t="s">
        <v>267</v>
      </c>
      <c r="G25" s="16" t="s">
        <v>274</v>
      </c>
      <c r="H25">
        <v>0</v>
      </c>
      <c r="I25" s="16" t="s">
        <v>17</v>
      </c>
      <c r="J25">
        <v>0</v>
      </c>
      <c r="K25" s="16" t="s">
        <v>17</v>
      </c>
      <c r="L25" s="16" t="s">
        <v>17</v>
      </c>
      <c r="M25" s="16" t="s">
        <v>17</v>
      </c>
      <c r="N25" s="16" t="s">
        <v>17</v>
      </c>
      <c r="O25" s="16" t="s">
        <v>17</v>
      </c>
      <c r="P25">
        <v>50</v>
      </c>
      <c r="Q25">
        <v>1</v>
      </c>
      <c r="R25">
        <v>2</v>
      </c>
      <c r="S25" s="16" t="s">
        <v>138</v>
      </c>
      <c r="T25">
        <v>-1</v>
      </c>
      <c r="U25" t="str">
        <f t="shared" si="0"/>
        <v>INSERT INTO `T_CORE_RPT_COLUMN`(`RPTCO_RPTID`,`RPTCO_ACCN_TYPE`,`RPTCO_TBL_IDX`,`RPTCO_IDX`,`RPTCO_DBCOL`,`RPTCO_CAPTION`,`RPTCO_COLTYPE`,`RPTCO_NUM_PRECISION`,`RPTCO_NUM_NO_ZERO`,</v>
      </c>
      <c r="V25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5" t="str">
        <f t="shared" si="4"/>
        <v xml:space="preserve"> VALUES('RPT_ALL_JOBS_CO','ACC_TYPE_CO','0','9','DRV_NAME','Driver Name','T','0','N','0','N','N','N','N','N','50','1','2','Y','-1');</v>
      </c>
      <c r="X25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VALUES('RPT_ALL_JOBS_CO','ACC_TYPE_CO','0','9','DRV_NAME','Driver Name','T','0','N','0','N','N','N','N','N','50','1','2','Y','-1');</v>
      </c>
    </row>
    <row r="26" spans="1:24" x14ac:dyDescent="0.2">
      <c r="A26" s="16" t="s">
        <v>281</v>
      </c>
      <c r="B26" s="21" t="s">
        <v>16</v>
      </c>
      <c r="C26">
        <v>0</v>
      </c>
      <c r="D26">
        <v>10</v>
      </c>
      <c r="E26" s="16" t="s">
        <v>258</v>
      </c>
      <c r="F26" s="16" t="s">
        <v>268</v>
      </c>
      <c r="G26" s="16" t="s">
        <v>274</v>
      </c>
      <c r="H26">
        <v>0</v>
      </c>
      <c r="I26" s="16" t="s">
        <v>17</v>
      </c>
      <c r="J26">
        <v>0</v>
      </c>
      <c r="K26" s="16" t="s">
        <v>17</v>
      </c>
      <c r="L26" s="16" t="s">
        <v>17</v>
      </c>
      <c r="M26" s="16" t="s">
        <v>17</v>
      </c>
      <c r="N26" s="16" t="s">
        <v>17</v>
      </c>
      <c r="O26" s="16" t="s">
        <v>17</v>
      </c>
      <c r="P26">
        <v>50</v>
      </c>
      <c r="Q26">
        <v>1</v>
      </c>
      <c r="R26">
        <v>2</v>
      </c>
      <c r="S26" s="16" t="s">
        <v>138</v>
      </c>
      <c r="T26">
        <v>-1</v>
      </c>
      <c r="U26" t="str">
        <f t="shared" si="0"/>
        <v>INSERT INTO `T_CORE_RPT_COLUMN`(`RPTCO_RPTID`,`RPTCO_ACCN_TYPE`,`RPTCO_TBL_IDX`,`RPTCO_IDX`,`RPTCO_DBCOL`,`RPTCO_CAPTION`,`RPTCO_COLTYPE`,`RPTCO_NUM_PRECISION`,`RPTCO_NUM_NO_ZERO`,</v>
      </c>
      <c r="V26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6" t="str">
        <f t="shared" si="4"/>
        <v xml:space="preserve"> VALUES('RPT_ALL_JOBS_CO','ACC_TYPE_CO','0','10','VH_PLATE_NO','Truck Plate No.','T','0','N','0','N','N','N','N','N','50','1','2','Y','-1');</v>
      </c>
      <c r="X26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VALUES('RPT_ALL_JOBS_CO','ACC_TYPE_CO','0','10','VH_PLATE_NO','Truck Plate No.','T','0','N','0','N','N','N','N','N','50','1','2','Y','-1');</v>
      </c>
    </row>
    <row r="27" spans="1:24" x14ac:dyDescent="0.2">
      <c r="A27" s="16" t="s">
        <v>281</v>
      </c>
      <c r="B27" s="21" t="s">
        <v>16</v>
      </c>
      <c r="C27">
        <v>0</v>
      </c>
      <c r="D27">
        <v>11</v>
      </c>
      <c r="E27" s="16" t="s">
        <v>259</v>
      </c>
      <c r="F27" s="16" t="s">
        <v>269</v>
      </c>
      <c r="G27" s="16" t="s">
        <v>275</v>
      </c>
      <c r="H27">
        <v>0</v>
      </c>
      <c r="I27" s="16" t="s">
        <v>17</v>
      </c>
      <c r="J27">
        <v>0</v>
      </c>
      <c r="K27" s="16" t="s">
        <v>17</v>
      </c>
      <c r="L27" s="16" t="s">
        <v>17</v>
      </c>
      <c r="M27" s="16" t="s">
        <v>17</v>
      </c>
      <c r="N27" s="16" t="s">
        <v>17</v>
      </c>
      <c r="O27" s="16" t="s">
        <v>17</v>
      </c>
      <c r="P27">
        <v>50</v>
      </c>
      <c r="Q27">
        <v>1</v>
      </c>
      <c r="R27">
        <v>2</v>
      </c>
      <c r="S27" s="16" t="s">
        <v>138</v>
      </c>
      <c r="T27">
        <v>-1</v>
      </c>
      <c r="U27" t="str">
        <f t="shared" si="0"/>
        <v>INSERT INTO `T_CORE_RPT_COLUMN`(`RPTCO_RPTID`,`RPTCO_ACCN_TYPE`,`RPTCO_TBL_IDX`,`RPTCO_IDX`,`RPTCO_DBCOL`,`RPTCO_CAPTION`,`RPTCO_COLTYPE`,`RPTCO_NUM_PRECISION`,`RPTCO_NUM_NO_ZERO`,</v>
      </c>
      <c r="V27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7" t="str">
        <f t="shared" si="4"/>
        <v xml:space="preserve"> VALUES('RPT_ALL_JOBS_CO','ACC_TYPE_CO','0','11','RCD_DT_SUBMIT','Submitted Date','D','0','N','0','N','N','N','N','N','50','1','2','Y','-1');</v>
      </c>
      <c r="X27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VALUES('RPT_ALL_JOBS_CO','ACC_TYPE_CO','0','11','RCD_DT_SUBMIT','Submitted Date','D','0','N','0','N','N','N','N','N','50','1','2','Y','-1');</v>
      </c>
    </row>
    <row r="28" spans="1:24" x14ac:dyDescent="0.2">
      <c r="A28" s="16" t="s">
        <v>281</v>
      </c>
      <c r="B28" s="21" t="s">
        <v>16</v>
      </c>
      <c r="C28">
        <v>0</v>
      </c>
      <c r="D28">
        <v>12</v>
      </c>
      <c r="E28" s="16" t="s">
        <v>216</v>
      </c>
      <c r="F28" s="16" t="s">
        <v>270</v>
      </c>
      <c r="G28" s="16" t="s">
        <v>275</v>
      </c>
      <c r="H28">
        <v>0</v>
      </c>
      <c r="I28" s="16" t="s">
        <v>17</v>
      </c>
      <c r="J28">
        <v>0</v>
      </c>
      <c r="K28" s="16" t="s">
        <v>17</v>
      </c>
      <c r="L28" s="16" t="s">
        <v>17</v>
      </c>
      <c r="M28" s="16" t="s">
        <v>17</v>
      </c>
      <c r="N28" s="16" t="s">
        <v>17</v>
      </c>
      <c r="O28" s="16" t="s">
        <v>17</v>
      </c>
      <c r="P28">
        <v>50</v>
      </c>
      <c r="Q28">
        <v>1</v>
      </c>
      <c r="R28">
        <v>2</v>
      </c>
      <c r="S28" s="16" t="s">
        <v>138</v>
      </c>
      <c r="T28">
        <v>-1</v>
      </c>
      <c r="U28" t="str">
        <f t="shared" si="0"/>
        <v>INSERT INTO `T_CORE_RPT_COLUMN`(`RPTCO_RPTID`,`RPTCO_ACCN_TYPE`,`RPTCO_TBL_IDX`,`RPTCO_IDX`,`RPTCO_DBCOL`,`RPTCO_CAPTION`,`RPTCO_COLTYPE`,`RPTCO_NUM_PRECISION`,`RPTCO_NUM_NO_ZERO`,</v>
      </c>
      <c r="V28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8" t="str">
        <f t="shared" si="4"/>
        <v xml:space="preserve"> VALUES('RPT_ALL_JOBS_CO','ACC_TYPE_CO','0','12','RCD_DT_CANCEL','Cancelled Date','D','0','N','0','N','N','N','N','N','50','1','2','Y','-1');</v>
      </c>
      <c r="X28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VALUES('RPT_ALL_JOBS_CO','ACC_TYPE_CO','0','12','RCD_DT_CANCEL','Cancelled Date','D','0','N','0','N','N','N','N','N','50','1','2','Y','-1');</v>
      </c>
    </row>
    <row r="29" spans="1:24" x14ac:dyDescent="0.2">
      <c r="A29" s="16" t="s">
        <v>281</v>
      </c>
      <c r="B29" s="21" t="s">
        <v>16</v>
      </c>
      <c r="C29">
        <v>0</v>
      </c>
      <c r="D29">
        <v>13</v>
      </c>
      <c r="E29" s="16" t="s">
        <v>217</v>
      </c>
      <c r="F29" s="16" t="s">
        <v>271</v>
      </c>
      <c r="G29" s="16" t="s">
        <v>275</v>
      </c>
      <c r="H29">
        <v>0</v>
      </c>
      <c r="I29" s="16" t="s">
        <v>17</v>
      </c>
      <c r="J29">
        <v>0</v>
      </c>
      <c r="K29" s="16" t="s">
        <v>17</v>
      </c>
      <c r="L29" s="16" t="s">
        <v>17</v>
      </c>
      <c r="M29" s="16" t="s">
        <v>17</v>
      </c>
      <c r="N29" s="16" t="s">
        <v>17</v>
      </c>
      <c r="O29" s="16" t="s">
        <v>17</v>
      </c>
      <c r="P29">
        <v>50</v>
      </c>
      <c r="Q29">
        <v>1</v>
      </c>
      <c r="R29">
        <v>2</v>
      </c>
      <c r="S29" s="16" t="s">
        <v>138</v>
      </c>
      <c r="T29">
        <v>-1</v>
      </c>
      <c r="U29" t="str">
        <f t="shared" si="0"/>
        <v>INSERT INTO `T_CORE_RPT_COLUMN`(`RPTCO_RPTID`,`RPTCO_ACCN_TYPE`,`RPTCO_TBL_IDX`,`RPTCO_IDX`,`RPTCO_DBCOL`,`RPTCO_CAPTION`,`RPTCO_COLTYPE`,`RPTCO_NUM_PRECISION`,`RPTCO_NUM_NO_ZERO`,</v>
      </c>
      <c r="V29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29" t="str">
        <f t="shared" si="4"/>
        <v xml:space="preserve"> VALUES('RPT_ALL_JOBS_CO','ACC_TYPE_CO','0','13','RCD_DT_ACCEPTED','Accepted Date','D','0','N','0','N','N','N','N','N','50','1','2','Y','-1');</v>
      </c>
      <c r="X29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VALUES('RPT_ALL_JOBS_CO','ACC_TYPE_CO','0','13','RCD_DT_ACCEPTED','Accepted Date','D','0','N','0','N','N','N','N','N','50','1','2','Y','-1');</v>
      </c>
    </row>
    <row r="30" spans="1:24" x14ac:dyDescent="0.2">
      <c r="A30" s="16" t="s">
        <v>281</v>
      </c>
      <c r="B30" s="21" t="s">
        <v>16</v>
      </c>
      <c r="C30">
        <v>0</v>
      </c>
      <c r="D30">
        <v>14</v>
      </c>
      <c r="E30" s="16" t="s">
        <v>218</v>
      </c>
      <c r="F30" s="16" t="s">
        <v>272</v>
      </c>
      <c r="G30" s="16" t="s">
        <v>275</v>
      </c>
      <c r="H30">
        <v>0</v>
      </c>
      <c r="I30" s="16" t="s">
        <v>17</v>
      </c>
      <c r="J30">
        <v>0</v>
      </c>
      <c r="K30" s="16" t="s">
        <v>17</v>
      </c>
      <c r="L30" s="16" t="s">
        <v>17</v>
      </c>
      <c r="M30" s="16" t="s">
        <v>17</v>
      </c>
      <c r="N30" s="16" t="s">
        <v>17</v>
      </c>
      <c r="O30" s="16" t="s">
        <v>17</v>
      </c>
      <c r="P30">
        <v>50</v>
      </c>
      <c r="Q30">
        <v>1</v>
      </c>
      <c r="R30">
        <v>2</v>
      </c>
      <c r="S30" s="16" t="s">
        <v>138</v>
      </c>
      <c r="T30">
        <v>-1</v>
      </c>
      <c r="U30" t="str">
        <f t="shared" si="0"/>
        <v>INSERT INTO `T_CORE_RPT_COLUMN`(`RPTCO_RPTID`,`RPTCO_ACCN_TYPE`,`RPTCO_TBL_IDX`,`RPTCO_IDX`,`RPTCO_DBCOL`,`RPTCO_CAPTION`,`RPTCO_COLTYPE`,`RPTCO_NUM_PRECISION`,`RPTCO_NUM_NO_ZERO`,</v>
      </c>
      <c r="V30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30" t="str">
        <f t="shared" si="4"/>
        <v xml:space="preserve"> VALUES('RPT_ALL_JOBS_CO','ACC_TYPE_CO','0','14','RCD_DT_START','Start Date','D','0','N','0','N','N','N','N','N','50','1','2','Y','-1');</v>
      </c>
      <c r="X30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VALUES('RPT_ALL_JOBS_CO','ACC_TYPE_CO','0','14','RCD_DT_START','Start Date','D','0','N','0','N','N','N','N','N','50','1','2','Y','-1');</v>
      </c>
    </row>
    <row r="31" spans="1:24" x14ac:dyDescent="0.2">
      <c r="A31" s="16" t="s">
        <v>281</v>
      </c>
      <c r="B31" s="21" t="s">
        <v>16</v>
      </c>
      <c r="C31">
        <v>0</v>
      </c>
      <c r="D31">
        <v>15</v>
      </c>
      <c r="E31" s="16" t="s">
        <v>215</v>
      </c>
      <c r="F31" s="16" t="s">
        <v>273</v>
      </c>
      <c r="G31" s="16" t="s">
        <v>275</v>
      </c>
      <c r="H31">
        <v>0</v>
      </c>
      <c r="I31" s="16" t="s">
        <v>17</v>
      </c>
      <c r="J31">
        <v>0</v>
      </c>
      <c r="K31" s="16" t="s">
        <v>17</v>
      </c>
      <c r="L31" s="16" t="s">
        <v>17</v>
      </c>
      <c r="M31" s="16" t="s">
        <v>17</v>
      </c>
      <c r="N31" s="16" t="s">
        <v>17</v>
      </c>
      <c r="O31" s="16" t="s">
        <v>17</v>
      </c>
      <c r="P31">
        <v>50</v>
      </c>
      <c r="Q31">
        <v>1</v>
      </c>
      <c r="R31">
        <v>2</v>
      </c>
      <c r="S31" s="16" t="s">
        <v>138</v>
      </c>
      <c r="T31">
        <v>-1</v>
      </c>
      <c r="U31" t="str">
        <f t="shared" si="0"/>
        <v>INSERT INTO `T_CORE_RPT_COLUMN`(`RPTCO_RPTID`,`RPTCO_ACCN_TYPE`,`RPTCO_TBL_IDX`,`RPTCO_IDX`,`RPTCO_DBCOL`,`RPTCO_CAPTION`,`RPTCO_COLTYPE`,`RPTCO_NUM_PRECISION`,`RPTCO_NUM_NO_ZERO`,</v>
      </c>
      <c r="V31" t="str">
        <f t="shared" si="1"/>
        <v xml:space="preserve">`RPTCO_NUM_ACCFORMAT`,`RPTCO_NUM_NEG_ONLY`,`RPTCO_NUM_POS_ONLY`,`RPTCO_NUM_NOSIGN`,`RPTCO_IN_SUBTOTAL`,`RPTCO_IN_TOTAL`,`RPTCO_WIDTH`,`RPTCO_ROW_IDX`,`RPTCO_COL_IDX`,`RPTCO_SHOW`,`RPTCO_SORT_IDX`)  </v>
      </c>
      <c r="W31" t="str">
        <f t="shared" si="4"/>
        <v xml:space="preserve"> VALUES('RPT_ALL_JOBS_CO','ACC_TYPE_CO','0','15','RCD_DT_COMPLETE','Completed Date','D','0','N','0','N','N','N','N','N','50','1','2','Y','-1');</v>
      </c>
      <c r="X31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VALUES('RPT_ALL_JOBS_CO','ACC_TYPE_CO','0','15','RCD_DT_COMPLETE','Completed Date','D','0','N','0','N','N','N','N','N','50','1','2','Y','-1');</v>
      </c>
    </row>
    <row r="32" spans="1:24" hidden="1" x14ac:dyDescent="0.2">
      <c r="X32" s="5" t="str">
        <f t="shared" si="3"/>
        <v/>
      </c>
    </row>
    <row r="33" spans="1:24" x14ac:dyDescent="0.2">
      <c r="A33" s="31" t="s">
        <v>284</v>
      </c>
      <c r="B33" s="20" t="s">
        <v>183</v>
      </c>
      <c r="C33">
        <v>0</v>
      </c>
      <c r="D33">
        <v>1</v>
      </c>
      <c r="E33" s="16" t="s">
        <v>250</v>
      </c>
      <c r="F33" s="16" t="s">
        <v>260</v>
      </c>
      <c r="G33" s="16" t="s">
        <v>274</v>
      </c>
      <c r="H33">
        <v>0</v>
      </c>
      <c r="I33" s="16" t="s">
        <v>17</v>
      </c>
      <c r="J33">
        <v>0</v>
      </c>
      <c r="K33" s="16" t="s">
        <v>17</v>
      </c>
      <c r="L33" s="16" t="s">
        <v>17</v>
      </c>
      <c r="M33" s="16" t="s">
        <v>17</v>
      </c>
      <c r="N33" s="16" t="s">
        <v>17</v>
      </c>
      <c r="O33" s="16" t="s">
        <v>17</v>
      </c>
      <c r="P33">
        <v>50</v>
      </c>
      <c r="Q33">
        <v>1</v>
      </c>
      <c r="R33">
        <v>2</v>
      </c>
      <c r="S33" s="16" t="s">
        <v>138</v>
      </c>
      <c r="T33">
        <v>-1</v>
      </c>
      <c r="U33" t="str">
        <f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33" t="str">
        <f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33" t="str">
        <f>CONCATENATE(" VALUES('",A33,"','",B33,"','",C33,"','",D33,"','",E33,"','",F33,"','",G33,"','",H33,"','",I33,"','",J33,"','",K33,"','",L33,"','",M33,"','",N33,"','",O33,"','",P33,"','",Q33,"','",R33,"','",S33,"','",T33,"');")</f>
        <v xml:space="preserve"> VALUES('RPT_JOBS_DISCREPANCY_TO','ACC_TYPE_TO','0','1','JOB_ID','Truck Job ID','T','0','N','0','N','N','N','N','N','50','1','2','Y','-1');</v>
      </c>
      <c r="X33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VALUES('RPT_JOBS_DISCREPANCY_TO','ACC_TYPE_TO','0','1','JOB_ID','Truck Job ID','T','0','N','0','N','N','N','N','N','50','1','2','Y','-1');</v>
      </c>
    </row>
    <row r="34" spans="1:24" x14ac:dyDescent="0.2">
      <c r="A34" s="31" t="s">
        <v>284</v>
      </c>
      <c r="B34" s="20" t="s">
        <v>183</v>
      </c>
      <c r="C34">
        <v>0</v>
      </c>
      <c r="D34">
        <v>2</v>
      </c>
      <c r="E34" s="28" t="s">
        <v>251</v>
      </c>
      <c r="F34" s="16" t="s">
        <v>261</v>
      </c>
      <c r="G34" s="16" t="s">
        <v>274</v>
      </c>
      <c r="H34">
        <v>0</v>
      </c>
      <c r="I34" s="16" t="s">
        <v>17</v>
      </c>
      <c r="J34">
        <v>0</v>
      </c>
      <c r="K34" s="16" t="s">
        <v>17</v>
      </c>
      <c r="L34" s="16" t="s">
        <v>17</v>
      </c>
      <c r="M34" s="16" t="s">
        <v>17</v>
      </c>
      <c r="N34" s="16" t="s">
        <v>17</v>
      </c>
      <c r="O34" s="16" t="s">
        <v>17</v>
      </c>
      <c r="P34">
        <v>50</v>
      </c>
      <c r="Q34">
        <v>1</v>
      </c>
      <c r="R34">
        <v>2</v>
      </c>
      <c r="S34" s="16" t="s">
        <v>138</v>
      </c>
      <c r="T34">
        <v>-1</v>
      </c>
      <c r="U34" t="str">
        <f t="shared" ref="U34:U54" si="5"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34" t="str">
        <f t="shared" ref="V34:V54" si="6"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34" t="str">
        <f t="shared" ref="W34:W43" si="7">CONCATENATE(" VALUES('",A34,"','",B34,"','",C34,"','",D34,"','",E34,"','",F34,"','",G34,"','",H34,"','",I34,"','",J34,"','",K34,"','",L34,"','",M34,"','",N34,"','",O34,"','",P34,"','",Q34,"','",R34,"','",S34,"','",T34,"');")</f>
        <v xml:space="preserve"> VALUES('RPT_JOBS_DISCREPANCY_TO','ACC_TYPE_TO','0','2','SHIPMENT_TYPE','Shipment Type','T','0','N','0','N','N','N','N','N','50','1','2','Y','-1');</v>
      </c>
      <c r="X3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VALUES('RPT_JOBS_DISCREPANCY_TO','ACC_TYPE_TO','0','2','SHIPMENT_TYPE','Shipment Type','T','0','N','0','N','N','N','N','N','50','1','2','Y','-1');</v>
      </c>
    </row>
    <row r="35" spans="1:24" x14ac:dyDescent="0.2">
      <c r="A35" s="31" t="s">
        <v>284</v>
      </c>
      <c r="B35" s="20" t="s">
        <v>183</v>
      </c>
      <c r="C35">
        <v>0</v>
      </c>
      <c r="D35">
        <v>3</v>
      </c>
      <c r="E35" t="s">
        <v>252</v>
      </c>
      <c r="F35" s="16" t="s">
        <v>262</v>
      </c>
      <c r="G35" s="16" t="s">
        <v>275</v>
      </c>
      <c r="H35">
        <v>0</v>
      </c>
      <c r="I35" s="16" t="s">
        <v>17</v>
      </c>
      <c r="J35">
        <v>0</v>
      </c>
      <c r="K35" s="16" t="s">
        <v>17</v>
      </c>
      <c r="L35" s="16" t="s">
        <v>17</v>
      </c>
      <c r="M35" s="16" t="s">
        <v>17</v>
      </c>
      <c r="N35" s="16" t="s">
        <v>17</v>
      </c>
      <c r="O35" s="16" t="s">
        <v>17</v>
      </c>
      <c r="P35">
        <v>50</v>
      </c>
      <c r="Q35">
        <v>1</v>
      </c>
      <c r="R35">
        <v>2</v>
      </c>
      <c r="S35" s="16" t="s">
        <v>138</v>
      </c>
      <c r="T35">
        <v>-1</v>
      </c>
      <c r="U35" t="str">
        <f t="shared" si="5"/>
        <v>INSERT INTO `T_CORE_RPT_COLUMN`(`RPTCO_RPTID`,`RPTCO_ACCN_TYPE`,`RPTCO_TBL_IDX`,`RPTCO_IDX`,`RPTCO_DBCOL`,`RPTCO_CAPTION`,`RPTCO_COLTYPE`,`RPTCO_NUM_PRECISION`,`RPTCO_NUM_NO_ZERO`,</v>
      </c>
      <c r="V35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35" t="str">
        <f t="shared" si="7"/>
        <v xml:space="preserve"> VALUES('RPT_JOBS_DISCREPANCY_TO','ACC_TYPE_TO','0','3','JOB_DT_BOOKING','Booking Date','D','0','N','0','N','N','N','N','N','50','1','2','Y','-1');</v>
      </c>
      <c r="X35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VALUES('RPT_JOBS_DISCREPANCY_TO','ACC_TYPE_TO','0','3','JOB_DT_BOOKING','Booking Date','D','0','N','0','N','N','N','N','N','50','1','2','Y','-1');</v>
      </c>
    </row>
    <row r="36" spans="1:24" x14ac:dyDescent="0.2">
      <c r="A36" s="31" t="s">
        <v>284</v>
      </c>
      <c r="B36" s="20" t="s">
        <v>183</v>
      </c>
      <c r="C36">
        <v>0</v>
      </c>
      <c r="D36">
        <v>4</v>
      </c>
      <c r="E36" s="16" t="s">
        <v>208</v>
      </c>
      <c r="F36" s="16" t="s">
        <v>221</v>
      </c>
      <c r="G36" s="4" t="s">
        <v>274</v>
      </c>
      <c r="H36">
        <v>0</v>
      </c>
      <c r="I36" s="16" t="s">
        <v>17</v>
      </c>
      <c r="J36">
        <v>0</v>
      </c>
      <c r="K36" s="16" t="s">
        <v>17</v>
      </c>
      <c r="L36" s="16" t="s">
        <v>17</v>
      </c>
      <c r="M36" s="16" t="s">
        <v>17</v>
      </c>
      <c r="N36" s="16" t="s">
        <v>17</v>
      </c>
      <c r="O36" s="16" t="s">
        <v>17</v>
      </c>
      <c r="P36">
        <v>50</v>
      </c>
      <c r="Q36">
        <v>1</v>
      </c>
      <c r="R36">
        <v>2</v>
      </c>
      <c r="S36" s="16" t="s">
        <v>138</v>
      </c>
      <c r="T36">
        <v>-1</v>
      </c>
      <c r="U36" t="str">
        <f t="shared" si="5"/>
        <v>INSERT INTO `T_CORE_RPT_COLUMN`(`RPTCO_RPTID`,`RPTCO_ACCN_TYPE`,`RPTCO_TBL_IDX`,`RPTCO_IDX`,`RPTCO_DBCOL`,`RPTCO_CAPTION`,`RPTCO_COLTYPE`,`RPTCO_NUM_PRECISION`,`RPTCO_NUM_NO_ZERO`,</v>
      </c>
      <c r="V36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36" t="str">
        <f t="shared" si="7"/>
        <v xml:space="preserve"> VALUES('RPT_JOBS_DISCREPANCY_TO','ACC_TYPE_TO','0','4','JOB_STATE','Job State','T','0','N','0','N','N','N','N','N','50','1','2','Y','-1');</v>
      </c>
      <c r="X36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VALUES('RPT_JOBS_DISCREPANCY_TO','ACC_TYPE_TO','0','4','JOB_STATE','Job State','T','0','N','0','N','N','N','N','N','50','1','2','Y','-1');</v>
      </c>
    </row>
    <row r="37" spans="1:24" x14ac:dyDescent="0.2">
      <c r="A37" s="31" t="s">
        <v>284</v>
      </c>
      <c r="B37" s="20" t="s">
        <v>183</v>
      </c>
      <c r="C37">
        <v>0</v>
      </c>
      <c r="D37">
        <v>5</v>
      </c>
      <c r="E37" s="16" t="s">
        <v>253</v>
      </c>
      <c r="F37" s="16" t="s">
        <v>263</v>
      </c>
      <c r="G37" s="4" t="s">
        <v>274</v>
      </c>
      <c r="H37">
        <v>0</v>
      </c>
      <c r="I37" s="16" t="s">
        <v>17</v>
      </c>
      <c r="J37">
        <v>0</v>
      </c>
      <c r="K37" s="16" t="s">
        <v>17</v>
      </c>
      <c r="L37" s="16" t="s">
        <v>17</v>
      </c>
      <c r="M37" s="16" t="s">
        <v>17</v>
      </c>
      <c r="N37" s="16" t="s">
        <v>17</v>
      </c>
      <c r="O37" s="16" t="s">
        <v>17</v>
      </c>
      <c r="P37">
        <v>50</v>
      </c>
      <c r="Q37">
        <v>1</v>
      </c>
      <c r="R37">
        <v>2</v>
      </c>
      <c r="S37" s="16" t="s">
        <v>138</v>
      </c>
      <c r="T37">
        <v>-1</v>
      </c>
      <c r="U37" t="str">
        <f t="shared" si="5"/>
        <v>INSERT INTO `T_CORE_RPT_COLUMN`(`RPTCO_RPTID`,`RPTCO_ACCN_TYPE`,`RPTCO_TBL_IDX`,`RPTCO_IDX`,`RPTCO_DBCOL`,`RPTCO_CAPTION`,`RPTCO_COLTYPE`,`RPTCO_NUM_PRECISION`,`RPTCO_NUM_NO_ZERO`,</v>
      </c>
      <c r="V37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37" t="str">
        <f t="shared" si="7"/>
        <v xml:space="preserve"> VALUES('RPT_JOBS_DISCREPANCY_TO','ACC_TYPE_TO','0','5','CO_FF_ACCN','Cargo Owner','T','0','N','0','N','N','N','N','N','50','1','2','Y','-1');</v>
      </c>
      <c r="X37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VALUES('RPT_JOBS_DISCREPANCY_TO','ACC_TYPE_TO','0','5','CO_FF_ACCN','Cargo Owner','T','0','N','0','N','N','N','N','N','50','1','2','Y','-1');</v>
      </c>
    </row>
    <row r="38" spans="1:24" x14ac:dyDescent="0.2">
      <c r="A38" s="31" t="s">
        <v>284</v>
      </c>
      <c r="B38" s="20" t="s">
        <v>183</v>
      </c>
      <c r="C38">
        <v>0</v>
      </c>
      <c r="D38">
        <v>6</v>
      </c>
      <c r="E38" t="s">
        <v>254</v>
      </c>
      <c r="F38" s="16" t="s">
        <v>264</v>
      </c>
      <c r="G38" s="16" t="s">
        <v>274</v>
      </c>
      <c r="H38">
        <v>0</v>
      </c>
      <c r="I38" s="16" t="s">
        <v>17</v>
      </c>
      <c r="J38">
        <v>0</v>
      </c>
      <c r="K38" s="16" t="s">
        <v>17</v>
      </c>
      <c r="L38" s="16" t="s">
        <v>17</v>
      </c>
      <c r="M38" s="16" t="s">
        <v>17</v>
      </c>
      <c r="N38" s="16" t="s">
        <v>17</v>
      </c>
      <c r="O38" s="16" t="s">
        <v>17</v>
      </c>
      <c r="P38">
        <v>50</v>
      </c>
      <c r="Q38">
        <v>1</v>
      </c>
      <c r="R38">
        <v>2</v>
      </c>
      <c r="S38" s="16" t="s">
        <v>138</v>
      </c>
      <c r="T38">
        <v>-1</v>
      </c>
      <c r="U38" t="str">
        <f t="shared" si="5"/>
        <v>INSERT INTO `T_CORE_RPT_COLUMN`(`RPTCO_RPTID`,`RPTCO_ACCN_TYPE`,`RPTCO_TBL_IDX`,`RPTCO_IDX`,`RPTCO_DBCOL`,`RPTCO_CAPTION`,`RPTCO_COLTYPE`,`RPTCO_NUM_PRECISION`,`RPTCO_NUM_NO_ZERO`,</v>
      </c>
      <c r="V38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38" t="str">
        <f t="shared" si="7"/>
        <v xml:space="preserve"> VALUES('RPT_JOBS_DISCREPANCY_TO','ACC_TYPE_TO','0','6','TO_ACCN','Trucker Operator','T','0','N','0','N','N','N','N','N','50','1','2','Y','-1');</v>
      </c>
      <c r="X38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VALUES('RPT_JOBS_DISCREPANCY_TO','ACC_TYPE_TO','0','6','TO_ACCN','Trucker Operator','T','0','N','0','N','N','N','N','N','50','1','2','Y','-1');</v>
      </c>
    </row>
    <row r="39" spans="1:24" x14ac:dyDescent="0.2">
      <c r="A39" s="31" t="s">
        <v>284</v>
      </c>
      <c r="B39" s="20" t="s">
        <v>183</v>
      </c>
      <c r="C39">
        <v>0</v>
      </c>
      <c r="D39">
        <v>7</v>
      </c>
      <c r="E39" t="s">
        <v>255</v>
      </c>
      <c r="F39" s="16" t="s">
        <v>265</v>
      </c>
      <c r="G39" s="16" t="s">
        <v>274</v>
      </c>
      <c r="H39">
        <v>0</v>
      </c>
      <c r="I39" s="16" t="s">
        <v>17</v>
      </c>
      <c r="J39">
        <v>0</v>
      </c>
      <c r="K39" s="16" t="s">
        <v>17</v>
      </c>
      <c r="L39" s="16" t="s">
        <v>17</v>
      </c>
      <c r="M39" s="16" t="s">
        <v>17</v>
      </c>
      <c r="N39" s="16" t="s">
        <v>17</v>
      </c>
      <c r="O39" s="16" t="s">
        <v>17</v>
      </c>
      <c r="P39">
        <v>50</v>
      </c>
      <c r="Q39">
        <v>1</v>
      </c>
      <c r="R39">
        <v>2</v>
      </c>
      <c r="S39" s="16" t="s">
        <v>138</v>
      </c>
      <c r="T39">
        <v>-1</v>
      </c>
      <c r="U39" t="str">
        <f t="shared" si="5"/>
        <v>INSERT INTO `T_CORE_RPT_COLUMN`(`RPTCO_RPTID`,`RPTCO_ACCN_TYPE`,`RPTCO_TBL_IDX`,`RPTCO_IDX`,`RPTCO_DBCOL`,`RPTCO_CAPTION`,`RPTCO_COLTYPE`,`RPTCO_NUM_PRECISION`,`RPTCO_NUM_NO_ZERO`,</v>
      </c>
      <c r="V39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39" t="str">
        <f t="shared" si="7"/>
        <v xml:space="preserve"> VALUES('RPT_JOBS_DISCREPANCY_TO','ACC_TYPE_TO','0','7','TLOC_LOC_NAME_FROM','Trip From','T','0','N','0','N','N','N','N','N','50','1','2','Y','-1');</v>
      </c>
      <c r="X39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VALUES('RPT_JOBS_DISCREPANCY_TO','ACC_TYPE_TO','0','7','TLOC_LOC_NAME_FROM','Trip From','T','0','N','0','N','N','N','N','N','50','1','2','Y','-1');</v>
      </c>
    </row>
    <row r="40" spans="1:24" x14ac:dyDescent="0.2">
      <c r="A40" s="31" t="s">
        <v>284</v>
      </c>
      <c r="B40" s="20" t="s">
        <v>183</v>
      </c>
      <c r="C40">
        <v>0</v>
      </c>
      <c r="D40">
        <v>8</v>
      </c>
      <c r="E40" t="s">
        <v>256</v>
      </c>
      <c r="F40" s="16" t="s">
        <v>266</v>
      </c>
      <c r="G40" s="16" t="s">
        <v>274</v>
      </c>
      <c r="H40">
        <v>0</v>
      </c>
      <c r="I40" s="16" t="s">
        <v>17</v>
      </c>
      <c r="J40">
        <v>0</v>
      </c>
      <c r="K40" s="16" t="s">
        <v>17</v>
      </c>
      <c r="L40" s="16" t="s">
        <v>17</v>
      </c>
      <c r="M40" s="16" t="s">
        <v>17</v>
      </c>
      <c r="N40" s="16" t="s">
        <v>17</v>
      </c>
      <c r="O40" s="16" t="s">
        <v>17</v>
      </c>
      <c r="P40">
        <v>50</v>
      </c>
      <c r="Q40">
        <v>1</v>
      </c>
      <c r="R40">
        <v>2</v>
      </c>
      <c r="S40" s="16" t="s">
        <v>138</v>
      </c>
      <c r="T40">
        <v>-1</v>
      </c>
      <c r="U40" t="str">
        <f t="shared" si="5"/>
        <v>INSERT INTO `T_CORE_RPT_COLUMN`(`RPTCO_RPTID`,`RPTCO_ACCN_TYPE`,`RPTCO_TBL_IDX`,`RPTCO_IDX`,`RPTCO_DBCOL`,`RPTCO_CAPTION`,`RPTCO_COLTYPE`,`RPTCO_NUM_PRECISION`,`RPTCO_NUM_NO_ZERO`,</v>
      </c>
      <c r="V40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0" t="str">
        <f t="shared" si="7"/>
        <v xml:space="preserve"> VALUES('RPT_JOBS_DISCREPANCY_TO','ACC_TYPE_TO','0','8','TLOC_LOC_NAME_TO','Trip To','T','0','N','0','N','N','N','N','N','50','1','2','Y','-1');</v>
      </c>
      <c r="X40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VALUES('RPT_JOBS_DISCREPANCY_TO','ACC_TYPE_TO','0','8','TLOC_LOC_NAME_TO','Trip To','T','0','N','0','N','N','N','N','N','50','1','2','Y','-1');</v>
      </c>
    </row>
    <row r="41" spans="1:24" x14ac:dyDescent="0.2">
      <c r="A41" s="31" t="s">
        <v>284</v>
      </c>
      <c r="B41" s="20" t="s">
        <v>183</v>
      </c>
      <c r="C41">
        <v>0</v>
      </c>
      <c r="D41">
        <v>9</v>
      </c>
      <c r="E41" t="s">
        <v>257</v>
      </c>
      <c r="F41" s="16" t="s">
        <v>267</v>
      </c>
      <c r="G41" s="16" t="s">
        <v>274</v>
      </c>
      <c r="H41">
        <v>0</v>
      </c>
      <c r="I41" s="16" t="s">
        <v>17</v>
      </c>
      <c r="J41">
        <v>0</v>
      </c>
      <c r="K41" s="16" t="s">
        <v>17</v>
      </c>
      <c r="L41" s="16" t="s">
        <v>17</v>
      </c>
      <c r="M41" s="16" t="s">
        <v>17</v>
      </c>
      <c r="N41" s="16" t="s">
        <v>17</v>
      </c>
      <c r="O41" s="16" t="s">
        <v>17</v>
      </c>
      <c r="P41">
        <v>50</v>
      </c>
      <c r="Q41">
        <v>1</v>
      </c>
      <c r="R41">
        <v>2</v>
      </c>
      <c r="S41" s="16" t="s">
        <v>138</v>
      </c>
      <c r="T41">
        <v>-1</v>
      </c>
      <c r="U41" t="str">
        <f t="shared" si="5"/>
        <v>INSERT INTO `T_CORE_RPT_COLUMN`(`RPTCO_RPTID`,`RPTCO_ACCN_TYPE`,`RPTCO_TBL_IDX`,`RPTCO_IDX`,`RPTCO_DBCOL`,`RPTCO_CAPTION`,`RPTCO_COLTYPE`,`RPTCO_NUM_PRECISION`,`RPTCO_NUM_NO_ZERO`,</v>
      </c>
      <c r="V41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1" t="str">
        <f t="shared" si="7"/>
        <v xml:space="preserve"> VALUES('RPT_JOBS_DISCREPANCY_TO','ACC_TYPE_TO','0','9','DRV_NAME','Driver Name','T','0','N','0','N','N','N','N','N','50','1','2','Y','-1');</v>
      </c>
      <c r="X41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VALUES('RPT_JOBS_DISCREPANCY_TO','ACC_TYPE_TO','0','9','DRV_NAME','Driver Name','T','0','N','0','N','N','N','N','N','50','1','2','Y','-1');</v>
      </c>
    </row>
    <row r="42" spans="1:24" x14ac:dyDescent="0.2">
      <c r="A42" s="31" t="s">
        <v>284</v>
      </c>
      <c r="B42" s="20" t="s">
        <v>183</v>
      </c>
      <c r="C42">
        <v>0</v>
      </c>
      <c r="D42">
        <v>10</v>
      </c>
      <c r="E42" s="16" t="s">
        <v>258</v>
      </c>
      <c r="F42" s="16" t="s">
        <v>268</v>
      </c>
      <c r="G42" s="16" t="s">
        <v>274</v>
      </c>
      <c r="H42">
        <v>0</v>
      </c>
      <c r="I42" s="16" t="s">
        <v>17</v>
      </c>
      <c r="J42">
        <v>0</v>
      </c>
      <c r="K42" s="16" t="s">
        <v>17</v>
      </c>
      <c r="L42" s="16" t="s">
        <v>17</v>
      </c>
      <c r="M42" s="16" t="s">
        <v>17</v>
      </c>
      <c r="N42" s="16" t="s">
        <v>17</v>
      </c>
      <c r="O42" s="16" t="s">
        <v>17</v>
      </c>
      <c r="P42">
        <v>50</v>
      </c>
      <c r="Q42">
        <v>1</v>
      </c>
      <c r="R42">
        <v>2</v>
      </c>
      <c r="S42" s="16" t="s">
        <v>138</v>
      </c>
      <c r="T42">
        <v>-1</v>
      </c>
      <c r="U42" t="str">
        <f t="shared" si="5"/>
        <v>INSERT INTO `T_CORE_RPT_COLUMN`(`RPTCO_RPTID`,`RPTCO_ACCN_TYPE`,`RPTCO_TBL_IDX`,`RPTCO_IDX`,`RPTCO_DBCOL`,`RPTCO_CAPTION`,`RPTCO_COLTYPE`,`RPTCO_NUM_PRECISION`,`RPTCO_NUM_NO_ZERO`,</v>
      </c>
      <c r="V42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2" t="str">
        <f t="shared" si="7"/>
        <v xml:space="preserve"> VALUES('RPT_JOBS_DISCREPANCY_TO','ACC_TYPE_TO','0','10','VH_PLATE_NO','Truck Plate No.','T','0','N','0','N','N','N','N','N','50','1','2','Y','-1');</v>
      </c>
      <c r="X42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VALUES('RPT_JOBS_DISCREPANCY_TO','ACC_TYPE_TO','0','10','VH_PLATE_NO','Truck Plate No.','T','0','N','0','N','N','N','N','N','50','1','2','Y','-1');</v>
      </c>
    </row>
    <row r="43" spans="1:24" x14ac:dyDescent="0.2">
      <c r="A43" s="31" t="s">
        <v>284</v>
      </c>
      <c r="B43" s="20" t="s">
        <v>183</v>
      </c>
      <c r="C43">
        <v>0</v>
      </c>
      <c r="D43">
        <v>11</v>
      </c>
      <c r="E43" s="16" t="s">
        <v>215</v>
      </c>
      <c r="F43" s="16" t="s">
        <v>273</v>
      </c>
      <c r="G43" s="16" t="s">
        <v>275</v>
      </c>
      <c r="H43">
        <v>0</v>
      </c>
      <c r="I43" s="16" t="s">
        <v>17</v>
      </c>
      <c r="J43">
        <v>0</v>
      </c>
      <c r="K43" s="16" t="s">
        <v>17</v>
      </c>
      <c r="L43" s="16" t="s">
        <v>17</v>
      </c>
      <c r="M43" s="16" t="s">
        <v>17</v>
      </c>
      <c r="N43" s="16" t="s">
        <v>17</v>
      </c>
      <c r="O43" s="16" t="s">
        <v>17</v>
      </c>
      <c r="P43">
        <v>50</v>
      </c>
      <c r="Q43">
        <v>1</v>
      </c>
      <c r="R43">
        <v>2</v>
      </c>
      <c r="S43" s="16" t="s">
        <v>138</v>
      </c>
      <c r="T43">
        <v>-1</v>
      </c>
      <c r="U43" t="str">
        <f t="shared" si="5"/>
        <v>INSERT INTO `T_CORE_RPT_COLUMN`(`RPTCO_RPTID`,`RPTCO_ACCN_TYPE`,`RPTCO_TBL_IDX`,`RPTCO_IDX`,`RPTCO_DBCOL`,`RPTCO_CAPTION`,`RPTCO_COLTYPE`,`RPTCO_NUM_PRECISION`,`RPTCO_NUM_NO_ZERO`,</v>
      </c>
      <c r="V43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3" t="str">
        <f t="shared" si="7"/>
        <v xml:space="preserve"> VALUES('RPT_JOBS_DISCREPANCY_TO','ACC_TYPE_TO','0','11','RCD_DT_COMPLETE','Completed Date','D','0','N','0','N','N','N','N','N','50','1','2','Y','-1');</v>
      </c>
      <c r="X43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VALUES('RPT_JOBS_DISCREPANCY_TO','ACC_TYPE_TO','0','11','RCD_DT_COMPLETE','Completed Date','D','0','N','0','N','N','N','N','N','50','1','2','Y','-1');</v>
      </c>
    </row>
    <row r="44" spans="1:24" x14ac:dyDescent="0.2">
      <c r="A44" s="31" t="s">
        <v>299</v>
      </c>
      <c r="B44" s="21" t="s">
        <v>16</v>
      </c>
      <c r="C44">
        <v>0</v>
      </c>
      <c r="D44">
        <v>1</v>
      </c>
      <c r="E44" s="16" t="s">
        <v>250</v>
      </c>
      <c r="F44" s="16" t="s">
        <v>260</v>
      </c>
      <c r="G44" s="16" t="s">
        <v>274</v>
      </c>
      <c r="H44">
        <v>0</v>
      </c>
      <c r="I44" s="16" t="s">
        <v>17</v>
      </c>
      <c r="J44">
        <v>0</v>
      </c>
      <c r="K44" s="16" t="s">
        <v>17</v>
      </c>
      <c r="L44" s="16" t="s">
        <v>17</v>
      </c>
      <c r="M44" s="16" t="s">
        <v>17</v>
      </c>
      <c r="N44" s="16" t="s">
        <v>17</v>
      </c>
      <c r="O44" s="16" t="s">
        <v>17</v>
      </c>
      <c r="P44">
        <v>50</v>
      </c>
      <c r="Q44">
        <v>1</v>
      </c>
      <c r="R44">
        <v>2</v>
      </c>
      <c r="S44" s="16" t="s">
        <v>138</v>
      </c>
      <c r="T44">
        <v>-1</v>
      </c>
      <c r="U44" t="str">
        <f>CONCATENATE("INSERT INTO `T_CORE_RPT_COLUMN`(`RPTCO_RPTID`,`RPTCO_ACCN_TYPE`,`RPTCO_TBL_IDX`,`RPTCO_IDX`,`RPTCO_DBCOL`,`RPTCO_CAPTION`,`RPTCO_COLTYPE`,`RPTCO_NUM_PRECISION`,`RPTCO_NUM_NO_ZERO`,")</f>
        <v>INSERT INTO `T_CORE_RPT_COLUMN`(`RPTCO_RPTID`,`RPTCO_ACCN_TYPE`,`RPTCO_TBL_IDX`,`RPTCO_IDX`,`RPTCO_DBCOL`,`RPTCO_CAPTION`,`RPTCO_COLTYPE`,`RPTCO_NUM_PRECISION`,`RPTCO_NUM_NO_ZERO`,</v>
      </c>
      <c r="V44" t="str">
        <f>CONCATENATE("`RPTCO_NUM_ACCFORMAT`,`RPTCO_NUM_NEG_ONLY`,`RPTCO_NUM_POS_ONLY`,`RPTCO_NUM_NOSIGN`,`RPTCO_IN_SUBTOTAL`,`RPTCO_IN_TOTAL`,`RPTCO_WIDTH`,`RPTCO_ROW_IDX`,`RPTCO_COL_IDX`,`RPTCO_SHOW`,`RPTCO_SORT_IDX`)  ")</f>
        <v xml:space="preserve">`RPTCO_NUM_ACCFORMAT`,`RPTCO_NUM_NEG_ONLY`,`RPTCO_NUM_POS_ONLY`,`RPTCO_NUM_NOSIGN`,`RPTCO_IN_SUBTOTAL`,`RPTCO_IN_TOTAL`,`RPTCO_WIDTH`,`RPTCO_ROW_IDX`,`RPTCO_COL_IDX`,`RPTCO_SHOW`,`RPTCO_SORT_IDX`)  </v>
      </c>
      <c r="W44" t="str">
        <f>CONCATENATE(" VALUES('",A44,"','",B44,"','",C44,"','",D44,"','",E44,"','",F44,"','",G44,"','",H44,"','",I44,"','",J44,"','",K44,"','",L44,"','",M44,"','",N44,"','",O44,"','",P44,"','",Q44,"','",R44,"','",S44,"','",T44,"');")</f>
        <v xml:space="preserve"> VALUES('RPT_JOBS_DISCREPANCY_CO','ACC_TYPE_CO','0','1','JOB_ID','Truck Job ID','T','0','N','0','N','N','N','N','N','50','1','2','Y','-1');</v>
      </c>
      <c r="X4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VALUES('RPT_JOBS_DISCREPANCY_CO','ACC_TYPE_CO','0','1','JOB_ID','Truck Job ID','T','0','N','0','N','N','N','N','N','50','1','2','Y','-1');</v>
      </c>
    </row>
    <row r="45" spans="1:24" x14ac:dyDescent="0.2">
      <c r="A45" s="31" t="s">
        <v>299</v>
      </c>
      <c r="B45" s="21" t="s">
        <v>16</v>
      </c>
      <c r="C45">
        <v>0</v>
      </c>
      <c r="D45">
        <v>2</v>
      </c>
      <c r="E45" s="28" t="s">
        <v>251</v>
      </c>
      <c r="F45" s="16" t="s">
        <v>261</v>
      </c>
      <c r="G45" s="16" t="s">
        <v>274</v>
      </c>
      <c r="H45">
        <v>0</v>
      </c>
      <c r="I45" s="16" t="s">
        <v>17</v>
      </c>
      <c r="J45">
        <v>0</v>
      </c>
      <c r="K45" s="16" t="s">
        <v>17</v>
      </c>
      <c r="L45" s="16" t="s">
        <v>17</v>
      </c>
      <c r="M45" s="16" t="s">
        <v>17</v>
      </c>
      <c r="N45" s="16" t="s">
        <v>17</v>
      </c>
      <c r="O45" s="16" t="s">
        <v>17</v>
      </c>
      <c r="P45">
        <v>50</v>
      </c>
      <c r="Q45">
        <v>1</v>
      </c>
      <c r="R45">
        <v>2</v>
      </c>
      <c r="S45" s="16" t="s">
        <v>138</v>
      </c>
      <c r="T45">
        <v>-1</v>
      </c>
      <c r="U45" t="str">
        <f t="shared" si="5"/>
        <v>INSERT INTO `T_CORE_RPT_COLUMN`(`RPTCO_RPTID`,`RPTCO_ACCN_TYPE`,`RPTCO_TBL_IDX`,`RPTCO_IDX`,`RPTCO_DBCOL`,`RPTCO_CAPTION`,`RPTCO_COLTYPE`,`RPTCO_NUM_PRECISION`,`RPTCO_NUM_NO_ZERO`,</v>
      </c>
      <c r="V45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5" t="str">
        <f t="shared" ref="W45:W54" si="8">CONCATENATE(" VALUES('",A45,"','",B45,"','",C45,"','",D45,"','",E45,"','",F45,"','",G45,"','",H45,"','",I45,"','",J45,"','",K45,"','",L45,"','",M45,"','",N45,"','",O45,"','",P45,"','",Q45,"','",R45,"','",S45,"','",T45,"');")</f>
        <v xml:space="preserve"> VALUES('RPT_JOBS_DISCREPANCY_CO','ACC_TYPE_CO','0','2','SHIPMENT_TYPE','Shipment Type','T','0','N','0','N','N','N','N','N','50','1','2','Y','-1');</v>
      </c>
      <c r="X45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VALUES('RPT_JOBS_DISCREPANCY_CO','ACC_TYPE_CO','0','2','SHIPMENT_TYPE','Shipment Type','T','0','N','0','N','N','N','N','N','50','1','2','Y','-1');</v>
      </c>
    </row>
    <row r="46" spans="1:24" x14ac:dyDescent="0.2">
      <c r="A46" s="31" t="s">
        <v>299</v>
      </c>
      <c r="B46" s="21" t="s">
        <v>16</v>
      </c>
      <c r="C46">
        <v>0</v>
      </c>
      <c r="D46">
        <v>3</v>
      </c>
      <c r="E46" t="s">
        <v>252</v>
      </c>
      <c r="F46" s="16" t="s">
        <v>262</v>
      </c>
      <c r="G46" s="16" t="s">
        <v>275</v>
      </c>
      <c r="H46">
        <v>0</v>
      </c>
      <c r="I46" s="16" t="s">
        <v>17</v>
      </c>
      <c r="J46">
        <v>0</v>
      </c>
      <c r="K46" s="16" t="s">
        <v>17</v>
      </c>
      <c r="L46" s="16" t="s">
        <v>17</v>
      </c>
      <c r="M46" s="16" t="s">
        <v>17</v>
      </c>
      <c r="N46" s="16" t="s">
        <v>17</v>
      </c>
      <c r="O46" s="16" t="s">
        <v>17</v>
      </c>
      <c r="P46">
        <v>50</v>
      </c>
      <c r="Q46">
        <v>1</v>
      </c>
      <c r="R46">
        <v>2</v>
      </c>
      <c r="S46" s="16" t="s">
        <v>138</v>
      </c>
      <c r="T46">
        <v>-1</v>
      </c>
      <c r="U46" t="str">
        <f t="shared" si="5"/>
        <v>INSERT INTO `T_CORE_RPT_COLUMN`(`RPTCO_RPTID`,`RPTCO_ACCN_TYPE`,`RPTCO_TBL_IDX`,`RPTCO_IDX`,`RPTCO_DBCOL`,`RPTCO_CAPTION`,`RPTCO_COLTYPE`,`RPTCO_NUM_PRECISION`,`RPTCO_NUM_NO_ZERO`,</v>
      </c>
      <c r="V46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6" t="str">
        <f t="shared" si="8"/>
        <v xml:space="preserve"> VALUES('RPT_JOBS_DISCREPANCY_CO','ACC_TYPE_CO','0','3','JOB_DT_BOOKING','Booking Date','D','0','N','0','N','N','N','N','N','50','1','2','Y','-1');</v>
      </c>
      <c r="X46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VALUES('RPT_JOBS_DISCREPANCY_CO','ACC_TYPE_CO','0','3','JOB_DT_BOOKING','Booking Date','D','0','N','0','N','N','N','N','N','50','1','2','Y','-1');</v>
      </c>
    </row>
    <row r="47" spans="1:24" x14ac:dyDescent="0.2">
      <c r="A47" s="31" t="s">
        <v>299</v>
      </c>
      <c r="B47" s="21" t="s">
        <v>16</v>
      </c>
      <c r="C47">
        <v>0</v>
      </c>
      <c r="D47">
        <v>4</v>
      </c>
      <c r="E47" s="16" t="s">
        <v>208</v>
      </c>
      <c r="F47" s="16" t="s">
        <v>221</v>
      </c>
      <c r="G47" s="4" t="s">
        <v>274</v>
      </c>
      <c r="H47">
        <v>0</v>
      </c>
      <c r="I47" s="16" t="s">
        <v>17</v>
      </c>
      <c r="J47">
        <v>0</v>
      </c>
      <c r="K47" s="16" t="s">
        <v>17</v>
      </c>
      <c r="L47" s="16" t="s">
        <v>17</v>
      </c>
      <c r="M47" s="16" t="s">
        <v>17</v>
      </c>
      <c r="N47" s="16" t="s">
        <v>17</v>
      </c>
      <c r="O47" s="16" t="s">
        <v>17</v>
      </c>
      <c r="P47">
        <v>50</v>
      </c>
      <c r="Q47">
        <v>1</v>
      </c>
      <c r="R47">
        <v>2</v>
      </c>
      <c r="S47" s="16" t="s">
        <v>138</v>
      </c>
      <c r="T47">
        <v>-1</v>
      </c>
      <c r="U47" t="str">
        <f t="shared" si="5"/>
        <v>INSERT INTO `T_CORE_RPT_COLUMN`(`RPTCO_RPTID`,`RPTCO_ACCN_TYPE`,`RPTCO_TBL_IDX`,`RPTCO_IDX`,`RPTCO_DBCOL`,`RPTCO_CAPTION`,`RPTCO_COLTYPE`,`RPTCO_NUM_PRECISION`,`RPTCO_NUM_NO_ZERO`,</v>
      </c>
      <c r="V47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7" t="str">
        <f t="shared" si="8"/>
        <v xml:space="preserve"> VALUES('RPT_JOBS_DISCREPANCY_CO','ACC_TYPE_CO','0','4','JOB_STATE','Job State','T','0','N','0','N','N','N','N','N','50','1','2','Y','-1');</v>
      </c>
      <c r="X47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VALUES('RPT_JOBS_DISCREPANCY_CO','ACC_TYPE_CO','0','4','JOB_STATE','Job State','T','0','N','0','N','N','N','N','N','50','1','2','Y','-1');</v>
      </c>
    </row>
    <row r="48" spans="1:24" x14ac:dyDescent="0.2">
      <c r="A48" s="31" t="s">
        <v>299</v>
      </c>
      <c r="B48" s="21" t="s">
        <v>16</v>
      </c>
      <c r="C48">
        <v>0</v>
      </c>
      <c r="D48">
        <v>5</v>
      </c>
      <c r="E48" s="16" t="s">
        <v>253</v>
      </c>
      <c r="F48" s="16" t="s">
        <v>263</v>
      </c>
      <c r="G48" s="4" t="s">
        <v>274</v>
      </c>
      <c r="H48">
        <v>0</v>
      </c>
      <c r="I48" s="16" t="s">
        <v>17</v>
      </c>
      <c r="J48">
        <v>0</v>
      </c>
      <c r="K48" s="16" t="s">
        <v>17</v>
      </c>
      <c r="L48" s="16" t="s">
        <v>17</v>
      </c>
      <c r="M48" s="16" t="s">
        <v>17</v>
      </c>
      <c r="N48" s="16" t="s">
        <v>17</v>
      </c>
      <c r="O48" s="16" t="s">
        <v>17</v>
      </c>
      <c r="P48">
        <v>50</v>
      </c>
      <c r="Q48">
        <v>1</v>
      </c>
      <c r="R48">
        <v>2</v>
      </c>
      <c r="S48" s="16" t="s">
        <v>138</v>
      </c>
      <c r="T48">
        <v>-1</v>
      </c>
      <c r="U48" t="str">
        <f t="shared" si="5"/>
        <v>INSERT INTO `T_CORE_RPT_COLUMN`(`RPTCO_RPTID`,`RPTCO_ACCN_TYPE`,`RPTCO_TBL_IDX`,`RPTCO_IDX`,`RPTCO_DBCOL`,`RPTCO_CAPTION`,`RPTCO_COLTYPE`,`RPTCO_NUM_PRECISION`,`RPTCO_NUM_NO_ZERO`,</v>
      </c>
      <c r="V48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8" t="str">
        <f t="shared" si="8"/>
        <v xml:space="preserve"> VALUES('RPT_JOBS_DISCREPANCY_CO','ACC_TYPE_CO','0','5','CO_FF_ACCN','Cargo Owner','T','0','N','0','N','N','N','N','N','50','1','2','Y','-1');</v>
      </c>
      <c r="X48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VALUES('RPT_JOBS_DISCREPANCY_CO','ACC_TYPE_CO','0','5','CO_FF_ACCN','Cargo Owner','T','0','N','0','N','N','N','N','N','50','1','2','Y','-1');</v>
      </c>
    </row>
    <row r="49" spans="1:24" x14ac:dyDescent="0.2">
      <c r="A49" s="31" t="s">
        <v>299</v>
      </c>
      <c r="B49" s="21" t="s">
        <v>16</v>
      </c>
      <c r="C49">
        <v>0</v>
      </c>
      <c r="D49">
        <v>6</v>
      </c>
      <c r="E49" t="s">
        <v>254</v>
      </c>
      <c r="F49" s="16" t="s">
        <v>264</v>
      </c>
      <c r="G49" s="16" t="s">
        <v>274</v>
      </c>
      <c r="H49">
        <v>0</v>
      </c>
      <c r="I49" s="16" t="s">
        <v>17</v>
      </c>
      <c r="J49">
        <v>0</v>
      </c>
      <c r="K49" s="16" t="s">
        <v>17</v>
      </c>
      <c r="L49" s="16" t="s">
        <v>17</v>
      </c>
      <c r="M49" s="16" t="s">
        <v>17</v>
      </c>
      <c r="N49" s="16" t="s">
        <v>17</v>
      </c>
      <c r="O49" s="16" t="s">
        <v>17</v>
      </c>
      <c r="P49">
        <v>50</v>
      </c>
      <c r="Q49">
        <v>1</v>
      </c>
      <c r="R49">
        <v>2</v>
      </c>
      <c r="S49" s="16" t="s">
        <v>138</v>
      </c>
      <c r="T49">
        <v>-1</v>
      </c>
      <c r="U49" t="str">
        <f t="shared" si="5"/>
        <v>INSERT INTO `T_CORE_RPT_COLUMN`(`RPTCO_RPTID`,`RPTCO_ACCN_TYPE`,`RPTCO_TBL_IDX`,`RPTCO_IDX`,`RPTCO_DBCOL`,`RPTCO_CAPTION`,`RPTCO_COLTYPE`,`RPTCO_NUM_PRECISION`,`RPTCO_NUM_NO_ZERO`,</v>
      </c>
      <c r="V49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49" t="str">
        <f t="shared" si="8"/>
        <v xml:space="preserve"> VALUES('RPT_JOBS_DISCREPANCY_CO','ACC_TYPE_CO','0','6','TO_ACCN','Trucker Operator','T','0','N','0','N','N','N','N','N','50','1','2','Y','-1');</v>
      </c>
      <c r="X49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VALUES('RPT_JOBS_DISCREPANCY_CO','ACC_TYPE_CO','0','6','TO_ACCN','Trucker Operator','T','0','N','0','N','N','N','N','N','50','1','2','Y','-1');</v>
      </c>
    </row>
    <row r="50" spans="1:24" x14ac:dyDescent="0.2">
      <c r="A50" s="31" t="s">
        <v>299</v>
      </c>
      <c r="B50" s="21" t="s">
        <v>16</v>
      </c>
      <c r="C50">
        <v>0</v>
      </c>
      <c r="D50">
        <v>7</v>
      </c>
      <c r="E50" t="s">
        <v>255</v>
      </c>
      <c r="F50" s="16" t="s">
        <v>265</v>
      </c>
      <c r="G50" s="16" t="s">
        <v>274</v>
      </c>
      <c r="H50">
        <v>0</v>
      </c>
      <c r="I50" s="16" t="s">
        <v>17</v>
      </c>
      <c r="J50">
        <v>0</v>
      </c>
      <c r="K50" s="16" t="s">
        <v>17</v>
      </c>
      <c r="L50" s="16" t="s">
        <v>17</v>
      </c>
      <c r="M50" s="16" t="s">
        <v>17</v>
      </c>
      <c r="N50" s="16" t="s">
        <v>17</v>
      </c>
      <c r="O50" s="16" t="s">
        <v>17</v>
      </c>
      <c r="P50">
        <v>50</v>
      </c>
      <c r="Q50">
        <v>1</v>
      </c>
      <c r="R50">
        <v>2</v>
      </c>
      <c r="S50" s="16" t="s">
        <v>138</v>
      </c>
      <c r="T50">
        <v>-1</v>
      </c>
      <c r="U50" t="str">
        <f t="shared" si="5"/>
        <v>INSERT INTO `T_CORE_RPT_COLUMN`(`RPTCO_RPTID`,`RPTCO_ACCN_TYPE`,`RPTCO_TBL_IDX`,`RPTCO_IDX`,`RPTCO_DBCOL`,`RPTCO_CAPTION`,`RPTCO_COLTYPE`,`RPTCO_NUM_PRECISION`,`RPTCO_NUM_NO_ZERO`,</v>
      </c>
      <c r="V50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50" t="str">
        <f t="shared" si="8"/>
        <v xml:space="preserve"> VALUES('RPT_JOBS_DISCREPANCY_CO','ACC_TYPE_CO','0','7','TLOC_LOC_NAME_FROM','Trip From','T','0','N','0','N','N','N','N','N','50','1','2','Y','-1');</v>
      </c>
      <c r="X50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VALUES('RPT_JOBS_DISCREPANCY_CO','ACC_TYPE_CO','0','7','TLOC_LOC_NAME_FROM','Trip From','T','0','N','0','N','N','N','N','N','50','1','2','Y','-1');</v>
      </c>
    </row>
    <row r="51" spans="1:24" x14ac:dyDescent="0.2">
      <c r="A51" s="31" t="s">
        <v>299</v>
      </c>
      <c r="B51" s="21" t="s">
        <v>16</v>
      </c>
      <c r="C51">
        <v>0</v>
      </c>
      <c r="D51">
        <v>8</v>
      </c>
      <c r="E51" t="s">
        <v>256</v>
      </c>
      <c r="F51" s="16" t="s">
        <v>266</v>
      </c>
      <c r="G51" s="16" t="s">
        <v>274</v>
      </c>
      <c r="H51">
        <v>0</v>
      </c>
      <c r="I51" s="16" t="s">
        <v>17</v>
      </c>
      <c r="J51">
        <v>0</v>
      </c>
      <c r="K51" s="16" t="s">
        <v>17</v>
      </c>
      <c r="L51" s="16" t="s">
        <v>17</v>
      </c>
      <c r="M51" s="16" t="s">
        <v>17</v>
      </c>
      <c r="N51" s="16" t="s">
        <v>17</v>
      </c>
      <c r="O51" s="16" t="s">
        <v>17</v>
      </c>
      <c r="P51">
        <v>50</v>
      </c>
      <c r="Q51">
        <v>1</v>
      </c>
      <c r="R51">
        <v>2</v>
      </c>
      <c r="S51" s="16" t="s">
        <v>138</v>
      </c>
      <c r="T51">
        <v>-1</v>
      </c>
      <c r="U51" t="str">
        <f t="shared" si="5"/>
        <v>INSERT INTO `T_CORE_RPT_COLUMN`(`RPTCO_RPTID`,`RPTCO_ACCN_TYPE`,`RPTCO_TBL_IDX`,`RPTCO_IDX`,`RPTCO_DBCOL`,`RPTCO_CAPTION`,`RPTCO_COLTYPE`,`RPTCO_NUM_PRECISION`,`RPTCO_NUM_NO_ZERO`,</v>
      </c>
      <c r="V51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51" t="str">
        <f t="shared" si="8"/>
        <v xml:space="preserve"> VALUES('RPT_JOBS_DISCREPANCY_CO','ACC_TYPE_CO','0','8','TLOC_LOC_NAME_TO','Trip To','T','0','N','0','N','N','N','N','N','50','1','2','Y','-1');</v>
      </c>
      <c r="X51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VALUES('RPT_JOBS_DISCREPANCY_CO','ACC_TYPE_CO','0','8','TLOC_LOC_NAME_TO','Trip To','T','0','N','0','N','N','N','N','N','50','1','2','Y','-1');</v>
      </c>
    </row>
    <row r="52" spans="1:24" x14ac:dyDescent="0.2">
      <c r="A52" s="31" t="s">
        <v>299</v>
      </c>
      <c r="B52" s="21" t="s">
        <v>16</v>
      </c>
      <c r="C52">
        <v>0</v>
      </c>
      <c r="D52">
        <v>9</v>
      </c>
      <c r="E52" t="s">
        <v>257</v>
      </c>
      <c r="F52" s="16" t="s">
        <v>267</v>
      </c>
      <c r="G52" s="16" t="s">
        <v>274</v>
      </c>
      <c r="H52">
        <v>0</v>
      </c>
      <c r="I52" s="16" t="s">
        <v>17</v>
      </c>
      <c r="J52">
        <v>0</v>
      </c>
      <c r="K52" s="16" t="s">
        <v>17</v>
      </c>
      <c r="L52" s="16" t="s">
        <v>17</v>
      </c>
      <c r="M52" s="16" t="s">
        <v>17</v>
      </c>
      <c r="N52" s="16" t="s">
        <v>17</v>
      </c>
      <c r="O52" s="16" t="s">
        <v>17</v>
      </c>
      <c r="P52">
        <v>50</v>
      </c>
      <c r="Q52">
        <v>1</v>
      </c>
      <c r="R52">
        <v>2</v>
      </c>
      <c r="S52" s="16" t="s">
        <v>138</v>
      </c>
      <c r="T52">
        <v>-1</v>
      </c>
      <c r="U52" t="str">
        <f t="shared" si="5"/>
        <v>INSERT INTO `T_CORE_RPT_COLUMN`(`RPTCO_RPTID`,`RPTCO_ACCN_TYPE`,`RPTCO_TBL_IDX`,`RPTCO_IDX`,`RPTCO_DBCOL`,`RPTCO_CAPTION`,`RPTCO_COLTYPE`,`RPTCO_NUM_PRECISION`,`RPTCO_NUM_NO_ZERO`,</v>
      </c>
      <c r="V52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52" t="str">
        <f t="shared" si="8"/>
        <v xml:space="preserve"> VALUES('RPT_JOBS_DISCREPANCY_CO','ACC_TYPE_CO','0','9','DRV_NAME','Driver Name','T','0','N','0','N','N','N','N','N','50','1','2','Y','-1');</v>
      </c>
      <c r="X52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VALUES('RPT_JOBS_DISCREPANCY_CO','ACC_TYPE_CO','0','9','DRV_NAME','Driver Name','T','0','N','0','N','N','N','N','N','50','1','2','Y','-1');</v>
      </c>
    </row>
    <row r="53" spans="1:24" x14ac:dyDescent="0.2">
      <c r="A53" s="31" t="s">
        <v>299</v>
      </c>
      <c r="B53" s="21" t="s">
        <v>16</v>
      </c>
      <c r="C53">
        <v>0</v>
      </c>
      <c r="D53">
        <v>10</v>
      </c>
      <c r="E53" s="16" t="s">
        <v>258</v>
      </c>
      <c r="F53" s="16" t="s">
        <v>268</v>
      </c>
      <c r="G53" s="16" t="s">
        <v>274</v>
      </c>
      <c r="H53">
        <v>0</v>
      </c>
      <c r="I53" s="16" t="s">
        <v>17</v>
      </c>
      <c r="J53">
        <v>0</v>
      </c>
      <c r="K53" s="16" t="s">
        <v>17</v>
      </c>
      <c r="L53" s="16" t="s">
        <v>17</v>
      </c>
      <c r="M53" s="16" t="s">
        <v>17</v>
      </c>
      <c r="N53" s="16" t="s">
        <v>17</v>
      </c>
      <c r="O53" s="16" t="s">
        <v>17</v>
      </c>
      <c r="P53">
        <v>50</v>
      </c>
      <c r="Q53">
        <v>1</v>
      </c>
      <c r="R53">
        <v>2</v>
      </c>
      <c r="S53" s="16" t="s">
        <v>138</v>
      </c>
      <c r="T53">
        <v>-1</v>
      </c>
      <c r="U53" t="str">
        <f t="shared" si="5"/>
        <v>INSERT INTO `T_CORE_RPT_COLUMN`(`RPTCO_RPTID`,`RPTCO_ACCN_TYPE`,`RPTCO_TBL_IDX`,`RPTCO_IDX`,`RPTCO_DBCOL`,`RPTCO_CAPTION`,`RPTCO_COLTYPE`,`RPTCO_NUM_PRECISION`,`RPTCO_NUM_NO_ZERO`,</v>
      </c>
      <c r="V53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53" t="str">
        <f t="shared" si="8"/>
        <v xml:space="preserve"> VALUES('RPT_JOBS_DISCREPANCY_CO','ACC_TYPE_CO','0','10','VH_PLATE_NO','Truck Plate No.','T','0','N','0','N','N','N','N','N','50','1','2','Y','-1');</v>
      </c>
      <c r="X53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VALUES('RPT_JOBS_DISCREPANCY_CO','ACC_TYPE_CO','0','10','VH_PLATE_NO','Truck Plate No.','T','0','N','0','N','N','N','N','N','50','1','2','Y','-1');</v>
      </c>
    </row>
    <row r="54" spans="1:24" x14ac:dyDescent="0.2">
      <c r="A54" s="31" t="s">
        <v>299</v>
      </c>
      <c r="B54" s="21" t="s">
        <v>16</v>
      </c>
      <c r="C54">
        <v>0</v>
      </c>
      <c r="D54">
        <v>11</v>
      </c>
      <c r="E54" s="16" t="s">
        <v>215</v>
      </c>
      <c r="F54" s="16" t="s">
        <v>273</v>
      </c>
      <c r="G54" s="16" t="s">
        <v>275</v>
      </c>
      <c r="H54">
        <v>0</v>
      </c>
      <c r="I54" s="16" t="s">
        <v>17</v>
      </c>
      <c r="J54">
        <v>0</v>
      </c>
      <c r="K54" s="16" t="s">
        <v>17</v>
      </c>
      <c r="L54" s="16" t="s">
        <v>17</v>
      </c>
      <c r="M54" s="16" t="s">
        <v>17</v>
      </c>
      <c r="N54" s="16" t="s">
        <v>17</v>
      </c>
      <c r="O54" s="16" t="s">
        <v>17</v>
      </c>
      <c r="P54">
        <v>50</v>
      </c>
      <c r="Q54">
        <v>1</v>
      </c>
      <c r="R54">
        <v>2</v>
      </c>
      <c r="S54" s="16" t="s">
        <v>138</v>
      </c>
      <c r="T54">
        <v>-1</v>
      </c>
      <c r="U54" t="str">
        <f t="shared" si="5"/>
        <v>INSERT INTO `T_CORE_RPT_COLUMN`(`RPTCO_RPTID`,`RPTCO_ACCN_TYPE`,`RPTCO_TBL_IDX`,`RPTCO_IDX`,`RPTCO_DBCOL`,`RPTCO_CAPTION`,`RPTCO_COLTYPE`,`RPTCO_NUM_PRECISION`,`RPTCO_NUM_NO_ZERO`,</v>
      </c>
      <c r="V54" t="str">
        <f t="shared" si="6"/>
        <v xml:space="preserve">`RPTCO_NUM_ACCFORMAT`,`RPTCO_NUM_NEG_ONLY`,`RPTCO_NUM_POS_ONLY`,`RPTCO_NUM_NOSIGN`,`RPTCO_IN_SUBTOTAL`,`RPTCO_IN_TOTAL`,`RPTCO_WIDTH`,`RPTCO_ROW_IDX`,`RPTCO_COL_IDX`,`RPTCO_SHOW`,`RPTCO_SORT_IDX`)  </v>
      </c>
      <c r="W54" t="str">
        <f t="shared" si="8"/>
        <v xml:space="preserve"> VALUES('RPT_JOBS_DISCREPANCY_CO','ACC_TYPE_CO','0','11','RCD_DT_COMPLETE','Completed Date','D','0','N','0','N','N','N','N','N','50','1','2','Y','-1');</v>
      </c>
      <c r="X54" s="5" t="str">
        <f t="shared" si="3"/>
        <v>INSERT INTO `T_CORE_RPT_COLUMN`(`RPTCO_RPTID`,`RPTCO_ACCN_TYPE`,`RPTCO_TBL_IDX`,`RPTCO_IDX`,`RPTCO_DBCOL`,`RPTCO_CAPTION`,`RPTCO_COLTYPE`,`RPTCO_NUM_PRECISION`,`RPTCO_NUM_NO_ZERO`,`RPTCO_NUM_ACCFORMAT`,`RPTCO_NUM_NEG_ONLY`,`RPTCO_NUM_POS_ONLY`,`RPTCO_NUM_NOSIGN`,`RPTCO_IN_SUBTOTAL`,`RPTCO_IN_TOTAL`,`RPTCO_WIDTH`,`RPTCO_ROW_IDX`,`RPTCO_COL_IDX`,`RPTCO_SHOW`,`RPTCO_SORT_IDX`)   VALUES('RPT_JOBS_DISCREPANCY_CO','ACC_TYPE_CO','0','11','RCD_DT_COMPLETE','Completed Date','D','0','N','0','N','N','N','N','N','50','1','2','Y','-1');</v>
      </c>
    </row>
    <row r="71" spans="1:24" s="7" customFormat="1" x14ac:dyDescent="0.2">
      <c r="D71"/>
      <c r="F71"/>
      <c r="X71" s="14"/>
    </row>
    <row r="72" spans="1:24" s="7" customFormat="1" x14ac:dyDescent="0.2">
      <c r="D72"/>
      <c r="F72"/>
      <c r="X72" s="14"/>
    </row>
    <row r="73" spans="1:24" s="7" customFormat="1" x14ac:dyDescent="0.2">
      <c r="D73"/>
      <c r="F73"/>
      <c r="X73" s="14"/>
    </row>
    <row r="74" spans="1:24" s="7" customFormat="1" x14ac:dyDescent="0.2">
      <c r="D74"/>
      <c r="F74"/>
      <c r="X74" s="14"/>
    </row>
    <row r="75" spans="1:24" s="7" customFormat="1" x14ac:dyDescent="0.2">
      <c r="D75"/>
      <c r="F75"/>
      <c r="X75" s="14"/>
    </row>
    <row r="76" spans="1:24" s="7" customFormat="1" x14ac:dyDescent="0.2">
      <c r="D76"/>
      <c r="F76"/>
      <c r="X76" s="14"/>
    </row>
    <row r="77" spans="1:24" s="7" customFormat="1" x14ac:dyDescent="0.2">
      <c r="D77"/>
      <c r="F77"/>
      <c r="X77" s="14"/>
    </row>
    <row r="78" spans="1:24" s="8" customFormat="1" x14ac:dyDescent="0.2">
      <c r="A78" s="7"/>
      <c r="B78" s="7"/>
      <c r="C78"/>
      <c r="D78"/>
      <c r="E78" s="7"/>
      <c r="F78"/>
      <c r="X78" s="29"/>
    </row>
    <row r="79" spans="1:24" s="8" customFormat="1" x14ac:dyDescent="0.2">
      <c r="A79" s="7"/>
      <c r="B79" s="7"/>
      <c r="C79"/>
      <c r="D79"/>
      <c r="E79" s="7"/>
      <c r="F79"/>
      <c r="X79" s="29"/>
    </row>
    <row r="80" spans="1:24" s="8" customFormat="1" x14ac:dyDescent="0.2">
      <c r="A80" s="7"/>
      <c r="B80" s="7"/>
      <c r="C80"/>
      <c r="D80"/>
      <c r="E80" s="7"/>
      <c r="F80"/>
      <c r="X80" s="29"/>
    </row>
    <row r="84" spans="2:24" x14ac:dyDescent="0.2">
      <c r="B84" s="2"/>
      <c r="C84" s="2"/>
    </row>
    <row r="85" spans="2:24" x14ac:dyDescent="0.2">
      <c r="B85" s="2"/>
      <c r="C85" s="2"/>
    </row>
    <row r="87" spans="2:24" s="8" customFormat="1" x14ac:dyDescent="0.2">
      <c r="B87"/>
      <c r="D87"/>
      <c r="F87"/>
      <c r="X87" s="29"/>
    </row>
    <row r="88" spans="2:24" s="8" customFormat="1" x14ac:dyDescent="0.2">
      <c r="B88"/>
      <c r="D88"/>
      <c r="F88"/>
      <c r="X88" s="29"/>
    </row>
    <row r="89" spans="2:24" s="8" customFormat="1" x14ac:dyDescent="0.2">
      <c r="D89"/>
      <c r="F89"/>
      <c r="X89" s="29"/>
    </row>
    <row r="90" spans="2:24" s="8" customFormat="1" x14ac:dyDescent="0.2">
      <c r="D90"/>
      <c r="F90"/>
      <c r="X90" s="29"/>
    </row>
    <row r="91" spans="2:24" s="8" customFormat="1" x14ac:dyDescent="0.2">
      <c r="D91"/>
      <c r="F91"/>
      <c r="X91" s="29"/>
    </row>
    <row r="92" spans="2:24" s="8" customFormat="1" x14ac:dyDescent="0.2">
      <c r="D92"/>
      <c r="F92"/>
      <c r="X92" s="2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8"/>
  <sheetViews>
    <sheetView topLeftCell="A16" workbookViewId="0">
      <selection activeCell="D36" sqref="D36"/>
    </sheetView>
  </sheetViews>
  <sheetFormatPr baseColWidth="10" defaultColWidth="11" defaultRowHeight="16" x14ac:dyDescent="0.2"/>
  <cols>
    <col min="1" max="1" width="19.6640625" customWidth="1"/>
    <col min="2" max="2" width="18.33203125" customWidth="1"/>
    <col min="3" max="4" width="17.5" customWidth="1"/>
  </cols>
  <sheetData>
    <row r="1" spans="1:6" x14ac:dyDescent="0.2">
      <c r="A1" s="6" t="s">
        <v>178</v>
      </c>
      <c r="B1" s="6" t="s">
        <v>179</v>
      </c>
      <c r="C1" s="6" t="s">
        <v>180</v>
      </c>
      <c r="D1" s="6" t="s">
        <v>181</v>
      </c>
      <c r="E1" s="6" t="s">
        <v>182</v>
      </c>
      <c r="F1" s="6" t="s">
        <v>2</v>
      </c>
    </row>
    <row r="2" spans="1:6" x14ac:dyDescent="0.2">
      <c r="A2" s="4" t="s">
        <v>3</v>
      </c>
      <c r="B2" s="4" t="s">
        <v>9</v>
      </c>
      <c r="C2" t="s">
        <v>149</v>
      </c>
      <c r="D2" t="str">
        <f>VLOOKUP(C2,PermEx!$A$1:$I$25,9,FALSE)</f>
        <v>Announcement Type</v>
      </c>
      <c r="E2" s="4" t="s">
        <v>5</v>
      </c>
      <c r="F2" t="str">
        <f>CONCATENATE("INSERT INTO `T_CORE_GRANT_ROLE_EX` (`GNTRLEX_APPS_CODE`, `GNTRLEX_ROLE_ID`, `GNTRLEX_PERM_ID`, `GNTRLEX_STATUS`, `GNTRLEX_DT_CREATE`, `GNTRLEX_UID_CREATE`) VALUES ('",A2,"', '",B2,"', '",C2,"', 'A', NOW(), 'SYS');")</f>
        <v>INSERT INTO `T_CORE_GRANT_ROLE_EX` (`GNTRLEX_APPS_CODE`, `GNTRLEX_ROLE_ID`, `GNTRLEX_PERM_ID`, `GNTRLEX_STATUS`, `GNTRLEX_DT_CREATE`, `GNTRLEX_UID_CREATE`) VALUES ('CK', 'SYS_SUPER_ADMIN', 'PM008', 'A', NOW(), 'SYS');</v>
      </c>
    </row>
    <row r="3" spans="1:6" x14ac:dyDescent="0.2">
      <c r="A3" s="4" t="s">
        <v>3</v>
      </c>
      <c r="B3" s="4" t="s">
        <v>9</v>
      </c>
      <c r="C3" t="s">
        <v>150</v>
      </c>
      <c r="D3" t="str">
        <f>VLOOKUP(C3,PermEx!$A$1:$I$25,9,FALSE)</f>
        <v>Country Codes</v>
      </c>
      <c r="E3" s="4" t="s">
        <v>5</v>
      </c>
      <c r="F3" t="str">
        <f t="shared" ref="F3:F34" si="0">CONCATENATE("INSERT INTO `T_CORE_GRANT_ROLE_EX` (`GNTRLEX_APPS_CODE`, `GNTRLEX_ROLE_ID`, `GNTRLEX_PERM_ID`, `GNTRLEX_STATUS`, `GNTRLEX_DT_CREATE`, `GNTRLEX_UID_CREATE`) VALUES ('",A3,"', '",B3,"', '",C3,"', 'A', NOW(), 'SYS');")</f>
        <v>INSERT INTO `T_CORE_GRANT_ROLE_EX` (`GNTRLEX_APPS_CODE`, `GNTRLEX_ROLE_ID`, `GNTRLEX_PERM_ID`, `GNTRLEX_STATUS`, `GNTRLEX_DT_CREATE`, `GNTRLEX_UID_CREATE`) VALUES ('CK', 'SYS_SUPER_ADMIN', 'PM009', 'A', NOW(), 'SYS');</v>
      </c>
    </row>
    <row r="4" spans="1:6" x14ac:dyDescent="0.2">
      <c r="A4" s="4" t="s">
        <v>3</v>
      </c>
      <c r="B4" s="4" t="s">
        <v>9</v>
      </c>
      <c r="C4" t="s">
        <v>151</v>
      </c>
      <c r="D4" t="str">
        <f>VLOOKUP(C4,PermEx!$A$1:$I$25,9,FALSE)</f>
        <v>Currency Code</v>
      </c>
      <c r="E4" s="4" t="s">
        <v>5</v>
      </c>
      <c r="F4" t="str">
        <f t="shared" si="0"/>
        <v>INSERT INTO `T_CORE_GRANT_ROLE_EX` (`GNTRLEX_APPS_CODE`, `GNTRLEX_ROLE_ID`, `GNTRLEX_PERM_ID`, `GNTRLEX_STATUS`, `GNTRLEX_DT_CREATE`, `GNTRLEX_UID_CREATE`) VALUES ('CK', 'SYS_SUPER_ADMIN', 'PM010', 'A', NOW(), 'SYS');</v>
      </c>
    </row>
    <row r="5" spans="1:6" x14ac:dyDescent="0.2">
      <c r="A5" s="4" t="s">
        <v>3</v>
      </c>
      <c r="B5" s="4" t="s">
        <v>9</v>
      </c>
      <c r="C5" t="s">
        <v>152</v>
      </c>
      <c r="D5" t="str">
        <f>VLOOKUP(C5,PermEx!$A$1:$I$25,9,FALSE)</f>
        <v>Harmonized System Codes</v>
      </c>
      <c r="E5" s="4" t="s">
        <v>5</v>
      </c>
      <c r="F5" t="str">
        <f t="shared" si="0"/>
        <v>INSERT INTO `T_CORE_GRANT_ROLE_EX` (`GNTRLEX_APPS_CODE`, `GNTRLEX_ROLE_ID`, `GNTRLEX_PERM_ID`, `GNTRLEX_STATUS`, `GNTRLEX_DT_CREATE`, `GNTRLEX_UID_CREATE`) VALUES ('CK', 'SYS_SUPER_ADMIN', 'PM011', 'A', NOW(), 'SYS');</v>
      </c>
    </row>
    <row r="6" spans="1:6" x14ac:dyDescent="0.2">
      <c r="A6" s="4" t="s">
        <v>3</v>
      </c>
      <c r="B6" s="4" t="s">
        <v>9</v>
      </c>
      <c r="C6" t="s">
        <v>153</v>
      </c>
      <c r="D6" t="str">
        <f>VLOOKUP(C6,PermEx!$A$1:$I$25,9,FALSE)</f>
        <v>Notification Templates</v>
      </c>
      <c r="E6" s="4" t="s">
        <v>5</v>
      </c>
      <c r="F6" t="str">
        <f t="shared" si="0"/>
        <v>INSERT INTO `T_CORE_GRANT_ROLE_EX` (`GNTRLEX_APPS_CODE`, `GNTRLEX_ROLE_ID`, `GNTRLEX_PERM_ID`, `GNTRLEX_STATUS`, `GNTRLEX_DT_CREATE`, `GNTRLEX_UID_CREATE`) VALUES ('CK', 'SYS_SUPER_ADMIN', 'PM012', 'A', NOW(), 'SYS');</v>
      </c>
    </row>
    <row r="7" spans="1:6" x14ac:dyDescent="0.2">
      <c r="A7" s="4" t="s">
        <v>3</v>
      </c>
      <c r="B7" s="4" t="s">
        <v>9</v>
      </c>
      <c r="C7" t="s">
        <v>154</v>
      </c>
      <c r="D7" t="str">
        <f>VLOOKUP(C7,PermEx!$A$1:$I$25,9,FALSE)</f>
        <v>Port Codes</v>
      </c>
      <c r="E7" s="4" t="s">
        <v>5</v>
      </c>
      <c r="F7" t="str">
        <f t="shared" si="0"/>
        <v>INSERT INTO `T_CORE_GRANT_ROLE_EX` (`GNTRLEX_APPS_CODE`, `GNTRLEX_ROLE_ID`, `GNTRLEX_PERM_ID`, `GNTRLEX_STATUS`, `GNTRLEX_DT_CREATE`, `GNTRLEX_UID_CREATE`) VALUES ('CK', 'SYS_SUPER_ADMIN', 'PM013', 'A', NOW(), 'SYS');</v>
      </c>
    </row>
    <row r="8" spans="1:6" x14ac:dyDescent="0.2">
      <c r="A8" s="4" t="s">
        <v>3</v>
      </c>
      <c r="B8" s="4" t="s">
        <v>9</v>
      </c>
      <c r="C8" t="s">
        <v>155</v>
      </c>
      <c r="D8" t="str">
        <f>VLOOKUP(C8,PermEx!$A$1:$I$25,9,FALSE)</f>
        <v>Port Terminal</v>
      </c>
      <c r="E8" s="4" t="s">
        <v>5</v>
      </c>
      <c r="F8" t="str">
        <f t="shared" si="0"/>
        <v>INSERT INTO `T_CORE_GRANT_ROLE_EX` (`GNTRLEX_APPS_CODE`, `GNTRLEX_ROLE_ID`, `GNTRLEX_PERM_ID`, `GNTRLEX_STATUS`, `GNTRLEX_DT_CREATE`, `GNTRLEX_UID_CREATE`) VALUES ('CK', 'SYS_SUPER_ADMIN', 'PM014', 'A', NOW(), 'SYS');</v>
      </c>
    </row>
    <row r="9" spans="1:6" x14ac:dyDescent="0.2">
      <c r="A9" s="4" t="s">
        <v>3</v>
      </c>
      <c r="B9" s="4" t="s">
        <v>9</v>
      </c>
      <c r="C9" t="s">
        <v>156</v>
      </c>
      <c r="D9" t="str">
        <f>VLOOKUP(C9,PermEx!$A$1:$I$25,9,FALSE)</f>
        <v>UOM Codes</v>
      </c>
      <c r="E9" s="4" t="s">
        <v>5</v>
      </c>
      <c r="F9" t="str">
        <f t="shared" si="0"/>
        <v>INSERT INTO `T_CORE_GRANT_ROLE_EX` (`GNTRLEX_APPS_CODE`, `GNTRLEX_ROLE_ID`, `GNTRLEX_PERM_ID`, `GNTRLEX_STATUS`, `GNTRLEX_DT_CREATE`, `GNTRLEX_UID_CREATE`) VALUES ('CK', 'SYS_SUPER_ADMIN', 'PM015', 'A', NOW(), 'SYS');</v>
      </c>
    </row>
    <row r="10" spans="1:6" x14ac:dyDescent="0.2">
      <c r="A10" s="4" t="s">
        <v>3</v>
      </c>
      <c r="B10" s="4" t="s">
        <v>9</v>
      </c>
      <c r="C10" t="s">
        <v>157</v>
      </c>
      <c r="D10" t="str">
        <f>VLOOKUP(C10,PermEx!$A$1:$I$25,9,FALSE)</f>
        <v>System Administrations</v>
      </c>
      <c r="E10" s="4" t="s">
        <v>5</v>
      </c>
      <c r="F10" t="str">
        <f t="shared" si="0"/>
        <v>INSERT INTO `T_CORE_GRANT_ROLE_EX` (`GNTRLEX_APPS_CODE`, `GNTRLEX_ROLE_ID`, `GNTRLEX_PERM_ID`, `GNTRLEX_STATUS`, `GNTRLEX_DT_CREATE`, `GNTRLEX_UID_CREATE`) VALUES ('CK', 'SYS_SUPER_ADMIN', 'PM016', 'A', NOW(), 'SYS');</v>
      </c>
    </row>
    <row r="11" spans="1:6" x14ac:dyDescent="0.2">
      <c r="A11" s="4" t="s">
        <v>3</v>
      </c>
      <c r="B11" s="4" t="s">
        <v>9</v>
      </c>
      <c r="C11" t="s">
        <v>158</v>
      </c>
      <c r="D11" t="str">
        <f>VLOOKUP(C11,PermEx!$A$1:$I$25,9,FALSE)</f>
        <v>Announcement Setup</v>
      </c>
      <c r="E11" s="4" t="s">
        <v>5</v>
      </c>
      <c r="F11" t="str">
        <f t="shared" si="0"/>
        <v>INSERT INTO `T_CORE_GRANT_ROLE_EX` (`GNTRLEX_APPS_CODE`, `GNTRLEX_ROLE_ID`, `GNTRLEX_PERM_ID`, `GNTRLEX_STATUS`, `GNTRLEX_DT_CREATE`, `GNTRLEX_UID_CREATE`) VALUES ('CK', 'SYS_SUPER_ADMIN', 'PM017', 'A', NOW(), 'SYS');</v>
      </c>
    </row>
    <row r="12" spans="1:6" x14ac:dyDescent="0.2">
      <c r="A12" s="4" t="s">
        <v>3</v>
      </c>
      <c r="B12" s="4" t="s">
        <v>9</v>
      </c>
      <c r="C12" t="s">
        <v>159</v>
      </c>
      <c r="D12" t="str">
        <f>VLOOKUP(C12,PermEx!$A$1:$I$25,9,FALSE)</f>
        <v>Notification Preferences</v>
      </c>
      <c r="E12" s="4" t="s">
        <v>5</v>
      </c>
      <c r="F12" t="str">
        <f t="shared" si="0"/>
        <v>INSERT INTO `T_CORE_GRANT_ROLE_EX` (`GNTRLEX_APPS_CODE`, `GNTRLEX_ROLE_ID`, `GNTRLEX_PERM_ID`, `GNTRLEX_STATUS`, `GNTRLEX_DT_CREATE`, `GNTRLEX_UID_CREATE`) VALUES ('CK', 'SYS_SUPER_ADMIN', 'PM018', 'A', NOW(), 'SYS');</v>
      </c>
    </row>
    <row r="13" spans="1:6" x14ac:dyDescent="0.2">
      <c r="A13" s="4" t="s">
        <v>3</v>
      </c>
      <c r="B13" s="4" t="s">
        <v>9</v>
      </c>
      <c r="C13" t="s">
        <v>160</v>
      </c>
      <c r="D13" t="str">
        <f>VLOOKUP(C13,PermEx!$A$1:$I$25,9,FALSE)</f>
        <v>System Parameters</v>
      </c>
      <c r="E13" s="4" t="s">
        <v>5</v>
      </c>
      <c r="F13" t="str">
        <f t="shared" si="0"/>
        <v>INSERT INTO `T_CORE_GRANT_ROLE_EX` (`GNTRLEX_APPS_CODE`, `GNTRLEX_ROLE_ID`, `GNTRLEX_PERM_ID`, `GNTRLEX_STATUS`, `GNTRLEX_DT_CREATE`, `GNTRLEX_UID_CREATE`) VALUES ('CK', 'SYS_SUPER_ADMIN', 'PM019', 'A', NOW(), 'SYS');</v>
      </c>
    </row>
    <row r="14" spans="1:6" x14ac:dyDescent="0.2">
      <c r="A14" s="4" t="s">
        <v>3</v>
      </c>
      <c r="B14" s="4" t="s">
        <v>9</v>
      </c>
      <c r="C14" t="s">
        <v>161</v>
      </c>
      <c r="D14" t="str">
        <f>VLOOKUP(C14,PermEx!$A$1:$I$25,9,FALSE)</f>
        <v>Audit Logs</v>
      </c>
      <c r="E14" s="4" t="s">
        <v>5</v>
      </c>
      <c r="F14" t="str">
        <f t="shared" si="0"/>
        <v>INSERT INTO `T_CORE_GRANT_ROLE_EX` (`GNTRLEX_APPS_CODE`, `GNTRLEX_ROLE_ID`, `GNTRLEX_PERM_ID`, `GNTRLEX_STATUS`, `GNTRLEX_DT_CREATE`, `GNTRLEX_UID_CREATE`) VALUES ('CK', 'SYS_SUPER_ADMIN', 'PM020', 'A', NOW(), 'SYS');</v>
      </c>
    </row>
    <row r="15" spans="1:6" x14ac:dyDescent="0.2">
      <c r="A15" s="4" t="s">
        <v>3</v>
      </c>
      <c r="B15" s="4" t="s">
        <v>9</v>
      </c>
      <c r="C15" t="s">
        <v>162</v>
      </c>
      <c r="D15" t="str">
        <f>VLOOKUP(C15,PermEx!$A$1:$I$25,9,FALSE)</f>
        <v>Exceptions</v>
      </c>
      <c r="E15" s="4" t="s">
        <v>5</v>
      </c>
      <c r="F15" t="str">
        <f t="shared" si="0"/>
        <v>INSERT INTO `T_CORE_GRANT_ROLE_EX` (`GNTRLEX_APPS_CODE`, `GNTRLEX_ROLE_ID`, `GNTRLEX_PERM_ID`, `GNTRLEX_STATUS`, `GNTRLEX_DT_CREATE`, `GNTRLEX_UID_CREATE`) VALUES ('CK', 'SYS_SUPER_ADMIN', 'PM021', 'A', NOW(), 'SYS');</v>
      </c>
    </row>
    <row r="16" spans="1:6" x14ac:dyDescent="0.2">
      <c r="A16" s="4" t="s">
        <v>3</v>
      </c>
      <c r="B16" s="4" t="s">
        <v>9</v>
      </c>
      <c r="C16" t="s">
        <v>163</v>
      </c>
      <c r="D16" t="str">
        <f>VLOOKUP(C16,PermEx!$A$1:$I$25,9,FALSE)</f>
        <v>Manage All Users</v>
      </c>
      <c r="E16" s="4" t="s">
        <v>5</v>
      </c>
      <c r="F16" t="str">
        <f t="shared" si="0"/>
        <v>INSERT INTO `T_CORE_GRANT_ROLE_EX` (`GNTRLEX_APPS_CODE`, `GNTRLEX_ROLE_ID`, `GNTRLEX_PERM_ID`, `GNTRLEX_STATUS`, `GNTRLEX_DT_CREATE`, `GNTRLEX_UID_CREATE`) VALUES ('CK', 'SYS_SUPER_ADMIN', 'PM022', 'A', NOW(), 'SYS');</v>
      </c>
    </row>
    <row r="17" spans="1:6" x14ac:dyDescent="0.2">
      <c r="A17" s="4" t="s">
        <v>3</v>
      </c>
      <c r="B17" s="4" t="s">
        <v>9</v>
      </c>
      <c r="C17" t="s">
        <v>164</v>
      </c>
      <c r="D17" t="str">
        <f>VLOOKUP(C17,PermEx!$A$1:$I$25,9,FALSE)</f>
        <v>Manage All Accounts</v>
      </c>
      <c r="E17" s="4" t="s">
        <v>5</v>
      </c>
      <c r="F17" t="str">
        <f t="shared" si="0"/>
        <v>INSERT INTO `T_CORE_GRANT_ROLE_EX` (`GNTRLEX_APPS_CODE`, `GNTRLEX_ROLE_ID`, `GNTRLEX_PERM_ID`, `GNTRLEX_STATUS`, `GNTRLEX_DT_CREATE`, `GNTRLEX_UID_CREATE`) VALUES ('CK', 'SYS_SUPER_ADMIN', 'PM023', 'A', NOW(), 'SYS');</v>
      </c>
    </row>
    <row r="18" spans="1:6" x14ac:dyDescent="0.2">
      <c r="A18" s="4" t="s">
        <v>3</v>
      </c>
      <c r="B18" s="4" t="s">
        <v>9</v>
      </c>
      <c r="C18" t="s">
        <v>147</v>
      </c>
      <c r="D18" t="str">
        <f>VLOOKUP(C18,PermEx!$A$1:$I$25,9,FALSE)</f>
        <v>Help</v>
      </c>
      <c r="E18" s="4" t="s">
        <v>5</v>
      </c>
      <c r="F18" t="str">
        <f t="shared" si="0"/>
        <v>INSERT INTO `T_CORE_GRANT_ROLE_EX` (`GNTRLEX_APPS_CODE`, `GNTRLEX_ROLE_ID`, `GNTRLEX_PERM_ID`, `GNTRLEX_STATUS`, `GNTRLEX_DT_CREATE`, `GNTRLEX_UID_CREATE`) VALUES ('CK', 'SYS_SUPER_ADMIN', 'PM006', 'A', NOW(), 'SYS');</v>
      </c>
    </row>
    <row r="19" spans="1:6" x14ac:dyDescent="0.2">
      <c r="A19" s="4" t="s">
        <v>3</v>
      </c>
      <c r="B19" s="4" t="s">
        <v>4</v>
      </c>
      <c r="C19" t="s">
        <v>143</v>
      </c>
      <c r="D19" t="str">
        <f>VLOOKUP(C19,PermEx!$A$1:$I$25,9,FALSE)</f>
        <v>Administrations</v>
      </c>
      <c r="E19" s="4" t="s">
        <v>5</v>
      </c>
      <c r="F19" t="str">
        <f t="shared" si="0"/>
        <v>INSERT INTO `T_CORE_GRANT_ROLE_EX` (`GNTRLEX_APPS_CODE`, `GNTRLEX_ROLE_ID`, `GNTRLEX_PERM_ID`, `GNTRLEX_STATUS`, `GNTRLEX_DT_CREATE`, `GNTRLEX_UID_CREATE`) VALUES ('CK', 'ADMIN', 'PM002', 'A', NOW(), 'SYS');</v>
      </c>
    </row>
    <row r="20" spans="1:6" x14ac:dyDescent="0.2">
      <c r="A20" s="4" t="s">
        <v>3</v>
      </c>
      <c r="B20" s="4" t="s">
        <v>4</v>
      </c>
      <c r="C20" t="s">
        <v>144</v>
      </c>
      <c r="D20" t="str">
        <f>VLOOKUP(C20,PermEx!$A$1:$I$25,9,FALSE)</f>
        <v>Account Profile</v>
      </c>
      <c r="E20" s="4" t="s">
        <v>5</v>
      </c>
      <c r="F20" t="str">
        <f t="shared" si="0"/>
        <v>INSERT INTO `T_CORE_GRANT_ROLE_EX` (`GNTRLEX_APPS_CODE`, `GNTRLEX_ROLE_ID`, `GNTRLEX_PERM_ID`, `GNTRLEX_STATUS`, `GNTRLEX_DT_CREATE`, `GNTRLEX_UID_CREATE`) VALUES ('CK', 'ADMIN', 'PM003', 'A', NOW(), 'SYS');</v>
      </c>
    </row>
    <row r="21" spans="1:6" x14ac:dyDescent="0.2">
      <c r="A21" s="4" t="s">
        <v>3</v>
      </c>
      <c r="B21" s="4" t="s">
        <v>4</v>
      </c>
      <c r="C21" t="s">
        <v>145</v>
      </c>
      <c r="D21" t="str">
        <f>VLOOKUP(C21,PermEx!$A$1:$I$25,9,FALSE)</f>
        <v>Users</v>
      </c>
      <c r="E21" s="4" t="s">
        <v>5</v>
      </c>
      <c r="F21" t="str">
        <f t="shared" si="0"/>
        <v>INSERT INTO `T_CORE_GRANT_ROLE_EX` (`GNTRLEX_APPS_CODE`, `GNTRLEX_ROLE_ID`, `GNTRLEX_PERM_ID`, `GNTRLEX_STATUS`, `GNTRLEX_DT_CREATE`, `GNTRLEX_UID_CREATE`) VALUES ('CK', 'ADMIN', 'PM004', 'A', NOW(), 'SYS');</v>
      </c>
    </row>
    <row r="22" spans="1:6" x14ac:dyDescent="0.2">
      <c r="A22" s="4" t="s">
        <v>3</v>
      </c>
      <c r="B22" s="4" t="s">
        <v>4</v>
      </c>
      <c r="C22" t="s">
        <v>146</v>
      </c>
      <c r="D22" t="str">
        <f>VLOOKUP(C22,PermEx!$A$1:$I$25,9,FALSE)</f>
        <v>Authorisations</v>
      </c>
      <c r="E22" s="4" t="s">
        <v>5</v>
      </c>
      <c r="F22" t="str">
        <f t="shared" si="0"/>
        <v>INSERT INTO `T_CORE_GRANT_ROLE_EX` (`GNTRLEX_APPS_CODE`, `GNTRLEX_ROLE_ID`, `GNTRLEX_PERM_ID`, `GNTRLEX_STATUS`, `GNTRLEX_DT_CREATE`, `GNTRLEX_UID_CREATE`) VALUES ('CK', 'ADMIN', 'PM005', 'A', NOW(), 'SYS');</v>
      </c>
    </row>
    <row r="23" spans="1:6" x14ac:dyDescent="0.2">
      <c r="A23" s="4" t="s">
        <v>3</v>
      </c>
      <c r="B23" s="4" t="s">
        <v>4</v>
      </c>
      <c r="C23" t="s">
        <v>147</v>
      </c>
      <c r="D23" t="str">
        <f>VLOOKUP(C23,PermEx!$A$1:$I$25,9,FALSE)</f>
        <v>Help</v>
      </c>
      <c r="E23" s="4" t="s">
        <v>5</v>
      </c>
      <c r="F23" t="str">
        <f t="shared" si="0"/>
        <v>INSERT INTO `T_CORE_GRANT_ROLE_EX` (`GNTRLEX_APPS_CODE`, `GNTRLEX_ROLE_ID`, `GNTRLEX_PERM_ID`, `GNTRLEX_STATUS`, `GNTRLEX_DT_CREATE`, `GNTRLEX_UID_CREATE`) VALUES ('CK', 'ADMIN', 'PM006', 'A', NOW(), 'SYS');</v>
      </c>
    </row>
    <row r="24" spans="1:6" x14ac:dyDescent="0.2">
      <c r="A24" s="4" t="s">
        <v>3</v>
      </c>
      <c r="B24" s="4" t="s">
        <v>4</v>
      </c>
      <c r="C24" t="s">
        <v>148</v>
      </c>
      <c r="D24" t="str">
        <f>VLOOKUP(C24,PermEx!$A$1:$I$25,9,FALSE)</f>
        <v>Master Table</v>
      </c>
      <c r="E24" s="4" t="s">
        <v>5</v>
      </c>
      <c r="F24" t="str">
        <f t="shared" si="0"/>
        <v>INSERT INTO `T_CORE_GRANT_ROLE_EX` (`GNTRLEX_APPS_CODE`, `GNTRLEX_ROLE_ID`, `GNTRLEX_PERM_ID`, `GNTRLEX_STATUS`, `GNTRLEX_DT_CREATE`, `GNTRLEX_UID_CREATE`) VALUES ('CK', 'ADMIN', 'PM007', 'A', NOW(), 'SYS');</v>
      </c>
    </row>
    <row r="25" spans="1:6" x14ac:dyDescent="0.2">
      <c r="A25" s="4" t="s">
        <v>3</v>
      </c>
      <c r="B25" t="s">
        <v>6</v>
      </c>
      <c r="C25" t="s">
        <v>137</v>
      </c>
      <c r="D25" t="str">
        <f>VLOOKUP(C25,PermEx!$A$1:$I$25,9,FALSE)</f>
        <v>Services</v>
      </c>
      <c r="E25" s="4" t="s">
        <v>5</v>
      </c>
      <c r="F25" t="str">
        <f t="shared" si="0"/>
        <v>INSERT INTO `T_CORE_GRANT_ROLE_EX` (`GNTRLEX_APPS_CODE`, `GNTRLEX_ROLE_ID`, `GNTRLEX_PERM_ID`, `GNTRLEX_STATUS`, `GNTRLEX_DT_CREATE`, `GNTRLEX_UID_CREATE`) VALUES ('CK', 'OFFICER', 'PM000', 'A', NOW(), 'SYS');</v>
      </c>
    </row>
    <row r="26" spans="1:6" x14ac:dyDescent="0.2">
      <c r="A26" s="4" t="s">
        <v>3</v>
      </c>
      <c r="B26" s="4" t="s">
        <v>8</v>
      </c>
      <c r="C26" t="s">
        <v>142</v>
      </c>
      <c r="D26" t="str">
        <f>VLOOKUP(C26,PermEx!$A$1:$I$25,9,FALSE)</f>
        <v>Payments</v>
      </c>
      <c r="E26" s="4" t="s">
        <v>5</v>
      </c>
      <c r="F26" t="str">
        <f t="shared" si="0"/>
        <v>INSERT INTO `T_CORE_GRANT_ROLE_EX` (`GNTRLEX_APPS_CODE`, `GNTRLEX_ROLE_ID`, `GNTRLEX_PERM_ID`, `GNTRLEX_STATUS`, `GNTRLEX_DT_CREATE`, `GNTRLEX_UID_CREATE`) VALUES ('CK', 'FINANCE', 'PM001', 'A', NOW(), 'SYS');</v>
      </c>
    </row>
    <row r="27" spans="1:6" x14ac:dyDescent="0.2">
      <c r="A27" s="4" t="s">
        <v>3</v>
      </c>
      <c r="B27" s="4" t="s">
        <v>6</v>
      </c>
      <c r="C27" t="s">
        <v>147</v>
      </c>
      <c r="D27" t="str">
        <f>VLOOKUP(C27,PermEx!$A$1:$I$25,9,FALSE)</f>
        <v>Help</v>
      </c>
      <c r="E27" s="4"/>
      <c r="F27" t="str">
        <f t="shared" si="0"/>
        <v>INSERT INTO `T_CORE_GRANT_ROLE_EX` (`GNTRLEX_APPS_CODE`, `GNTRLEX_ROLE_ID`, `GNTRLEX_PERM_ID`, `GNTRLEX_STATUS`, `GNTRLEX_DT_CREATE`, `GNTRLEX_UID_CREATE`) VALUES ('CK', 'OFFICER', 'PM006', 'A', NOW(), 'SYS');</v>
      </c>
    </row>
    <row r="28" spans="1:6" x14ac:dyDescent="0.2">
      <c r="A28" s="4" t="s">
        <v>3</v>
      </c>
      <c r="B28" s="4" t="s">
        <v>6</v>
      </c>
      <c r="C28" t="s">
        <v>148</v>
      </c>
      <c r="D28" t="str">
        <f>VLOOKUP(C28,PermEx!$A$1:$I$25,9,FALSE)</f>
        <v>Master Table</v>
      </c>
      <c r="E28" s="4" t="s">
        <v>5</v>
      </c>
      <c r="F28" t="str">
        <f t="shared" si="0"/>
        <v>INSERT INTO `T_CORE_GRANT_ROLE_EX` (`GNTRLEX_APPS_CODE`, `GNTRLEX_ROLE_ID`, `GNTRLEX_PERM_ID`, `GNTRLEX_STATUS`, `GNTRLEX_DT_CREATE`, `GNTRLEX_UID_CREATE`) VALUES ('CK', 'OFFICER', 'PM007', 'A', NOW(), 'SYS');</v>
      </c>
    </row>
    <row r="29" spans="1:6" x14ac:dyDescent="0.2">
      <c r="A29" s="4" t="s">
        <v>3</v>
      </c>
      <c r="B29" s="4" t="s">
        <v>13</v>
      </c>
      <c r="C29" t="s">
        <v>142</v>
      </c>
      <c r="D29" t="str">
        <f>VLOOKUP(C29,PermEx!$A$1:$I$25,9,FALSE)</f>
        <v>Payments</v>
      </c>
      <c r="E29" s="4" t="s">
        <v>5</v>
      </c>
      <c r="F29" t="str">
        <f t="shared" si="0"/>
        <v>INSERT INTO `T_CORE_GRANT_ROLE_EX` (`GNTRLEX_APPS_CODE`, `GNTRLEX_ROLE_ID`, `GNTRLEX_PERM_ID`, `GNTRLEX_STATUS`, `GNTRLEX_DT_CREATE`, `GNTRLEX_UID_CREATE`) VALUES ('CK', 'OFFICER_FINANCE', 'PM001', 'A', NOW(), 'SYS');</v>
      </c>
    </row>
    <row r="30" spans="1:6" x14ac:dyDescent="0.2">
      <c r="A30" s="4" t="s">
        <v>3</v>
      </c>
      <c r="B30" s="4" t="s">
        <v>8</v>
      </c>
      <c r="C30" t="s">
        <v>137</v>
      </c>
      <c r="D30" t="str">
        <f>VLOOKUP(C30,PermEx!$A$1:$I$25,9,FALSE)</f>
        <v>Services</v>
      </c>
      <c r="E30" s="4" t="s">
        <v>5</v>
      </c>
      <c r="F30" t="str">
        <f t="shared" si="0"/>
        <v>INSERT INTO `T_CORE_GRANT_ROLE_EX` (`GNTRLEX_APPS_CODE`, `GNTRLEX_ROLE_ID`, `GNTRLEX_PERM_ID`, `GNTRLEX_STATUS`, `GNTRLEX_DT_CREATE`, `GNTRLEX_UID_CREATE`) VALUES ('CK', 'FINANCE', 'PM000', 'A', NOW(), 'SYS');</v>
      </c>
    </row>
    <row r="31" spans="1:6" x14ac:dyDescent="0.2">
      <c r="A31" s="4" t="s">
        <v>3</v>
      </c>
      <c r="B31" s="4" t="s">
        <v>8</v>
      </c>
      <c r="C31" t="s">
        <v>147</v>
      </c>
      <c r="D31" t="str">
        <f>VLOOKUP(C31,PermEx!$A$1:$I$25,9,FALSE)</f>
        <v>Help</v>
      </c>
      <c r="E31" s="4"/>
      <c r="F31" t="str">
        <f t="shared" si="0"/>
        <v>INSERT INTO `T_CORE_GRANT_ROLE_EX` (`GNTRLEX_APPS_CODE`, `GNTRLEX_ROLE_ID`, `GNTRLEX_PERM_ID`, `GNTRLEX_STATUS`, `GNTRLEX_DT_CREATE`, `GNTRLEX_UID_CREATE`) VALUES ('CK', 'FINANCE', 'PM006', 'A', NOW(), 'SYS');</v>
      </c>
    </row>
    <row r="32" spans="1:6" x14ac:dyDescent="0.2">
      <c r="A32" s="4" t="s">
        <v>3</v>
      </c>
      <c r="B32" s="4" t="s">
        <v>7</v>
      </c>
      <c r="C32" t="s">
        <v>142</v>
      </c>
      <c r="D32" t="str">
        <f>VLOOKUP(C32,PermEx!$A$1:$I$25,9,FALSE)</f>
        <v>Payments</v>
      </c>
      <c r="E32" s="4" t="s">
        <v>5</v>
      </c>
      <c r="F32" t="str">
        <f t="shared" si="0"/>
        <v>INSERT INTO `T_CORE_GRANT_ROLE_EX` (`GNTRLEX_APPS_CODE`, `GNTRLEX_ROLE_ID`, `GNTRLEX_PERM_ID`, `GNTRLEX_STATUS`, `GNTRLEX_DT_CREATE`, `GNTRLEX_UID_CREATE`) VALUES ('CK', 'OPERATIONS', 'PM001', 'A', NOW(), 'SYS');</v>
      </c>
    </row>
    <row r="33" spans="1:6" x14ac:dyDescent="0.2">
      <c r="A33" s="4" t="s">
        <v>3</v>
      </c>
      <c r="B33" s="4" t="s">
        <v>7</v>
      </c>
      <c r="C33" t="s">
        <v>147</v>
      </c>
      <c r="D33" t="str">
        <f>VLOOKUP(C33,PermEx!$A$1:$I$25,9,FALSE)</f>
        <v>Help</v>
      </c>
      <c r="E33" s="4"/>
      <c r="F33" t="str">
        <f t="shared" si="0"/>
        <v>INSERT INTO `T_CORE_GRANT_ROLE_EX` (`GNTRLEX_APPS_CODE`, `GNTRLEX_ROLE_ID`, `GNTRLEX_PERM_ID`, `GNTRLEX_STATUS`, `GNTRLEX_DT_CREATE`, `GNTRLEX_UID_CREATE`) VALUES ('CK', 'OPERATIONS', 'PM006', 'A', NOW(), 'SYS');</v>
      </c>
    </row>
    <row r="34" spans="1:6" x14ac:dyDescent="0.2">
      <c r="A34" s="4" t="s">
        <v>3</v>
      </c>
      <c r="B34" s="4" t="s">
        <v>7</v>
      </c>
      <c r="C34" t="s">
        <v>137</v>
      </c>
      <c r="D34" t="str">
        <f>VLOOKUP(C34,PermEx!$A$1:$I$25,9,FALSE)</f>
        <v>Services</v>
      </c>
      <c r="E34" s="4" t="s">
        <v>5</v>
      </c>
      <c r="F34" t="str">
        <f t="shared" si="0"/>
        <v>INSERT INTO `T_CORE_GRANT_ROLE_EX` (`GNTRLEX_APPS_CODE`, `GNTRLEX_ROLE_ID`, `GNTRLEX_PERM_ID`, `GNTRLEX_STATUS`, `GNTRLEX_DT_CREATE`, `GNTRLEX_UID_CREATE`) VALUES ('CK', 'OPERATIONS', 'PM000', 'A', NOW(), 'SYS');</v>
      </c>
    </row>
    <row r="36" spans="1:6" x14ac:dyDescent="0.2">
      <c r="A36" s="4" t="s">
        <v>10</v>
      </c>
      <c r="B36" s="4" t="s">
        <v>6</v>
      </c>
      <c r="C36" t="s">
        <v>169</v>
      </c>
      <c r="D36" t="str">
        <f>VLOOKUP(C36,PermEx!$A$1:$I$38,9,FALSE)</f>
        <v>Services</v>
      </c>
      <c r="E36" s="4" t="s">
        <v>5</v>
      </c>
      <c r="F36" t="str">
        <f t="shared" ref="F36:F46" si="1">CONCATENATE("INSERT INTO `T_CORE_GRANT_ROLE_EX` (`GNTRLEX_APPS_CODE`, `GNTRLEX_ROLE_ID`, `GNTRLEX_PERM_ID`, `GNTRLEX_STATUS`, `GNTRLEX_DT_CREATE`, `GNTRLEX_UID_CREATE`) VALUES ('",A36,"', '",B36,"', '",C36,"', 'A', NOW(), 'SYS');")</f>
        <v>INSERT INTO `T_CORE_GRANT_ROLE_EX` (`GNTRLEX_APPS_CODE`, `GNTRLEX_ROLE_ID`, `GNTRLEX_PERM_ID`, `GNTRLEX_STATUS`, `GNTRLEX_DT_CREATE`, `GNTRLEX_UID_CREATE`) VALUES ('CKT', 'OFFICER', 'PM028', 'A', NOW(), 'SYS');</v>
      </c>
    </row>
    <row r="37" spans="1:6" x14ac:dyDescent="0.2">
      <c r="A37" s="4" t="s">
        <v>10</v>
      </c>
      <c r="B37" s="4" t="s">
        <v>4</v>
      </c>
      <c r="C37" t="s">
        <v>169</v>
      </c>
      <c r="D37" t="str">
        <f>VLOOKUP(C37,PermEx!$A$1:$I$38,9,FALSE)</f>
        <v>Services</v>
      </c>
      <c r="E37" s="4" t="s">
        <v>5</v>
      </c>
      <c r="F37" t="str">
        <f t="shared" si="1"/>
        <v>INSERT INTO `T_CORE_GRANT_ROLE_EX` (`GNTRLEX_APPS_CODE`, `GNTRLEX_ROLE_ID`, `GNTRLEX_PERM_ID`, `GNTRLEX_STATUS`, `GNTRLEX_DT_CREATE`, `GNTRLEX_UID_CREATE`) VALUES ('CKT', 'ADMIN', 'PM028', 'A', NOW(), 'SYS');</v>
      </c>
    </row>
    <row r="38" spans="1:6" x14ac:dyDescent="0.2">
      <c r="A38" s="4" t="s">
        <v>10</v>
      </c>
      <c r="B38" s="4" t="s">
        <v>4</v>
      </c>
      <c r="C38" t="s">
        <v>170</v>
      </c>
      <c r="D38" t="str">
        <f>VLOOKUP(C38,PermEx!$A$1:$I$38,9,FALSE)</f>
        <v>Administrations</v>
      </c>
      <c r="E38" s="4" t="s">
        <v>5</v>
      </c>
      <c r="F38" t="str">
        <f t="shared" si="1"/>
        <v>INSERT INTO `T_CORE_GRANT_ROLE_EX` (`GNTRLEX_APPS_CODE`, `GNTRLEX_ROLE_ID`, `GNTRLEX_PERM_ID`, `GNTRLEX_STATUS`, `GNTRLEX_DT_CREATE`, `GNTRLEX_UID_CREATE`) VALUES ('CKT', 'ADMIN', 'PM029', 'A', NOW(), 'SYS');</v>
      </c>
    </row>
    <row r="39" spans="1:6" x14ac:dyDescent="0.2">
      <c r="A39" s="4" t="s">
        <v>10</v>
      </c>
      <c r="B39" s="4" t="s">
        <v>4</v>
      </c>
      <c r="C39" t="s">
        <v>171</v>
      </c>
      <c r="D39" t="str">
        <f>VLOOKUP(C39,PermEx!$A$1:$I$38,9,FALSE)</f>
        <v>Manage Trucks</v>
      </c>
      <c r="E39" s="4" t="s">
        <v>5</v>
      </c>
      <c r="F39" t="str">
        <f t="shared" si="1"/>
        <v>INSERT INTO `T_CORE_GRANT_ROLE_EX` (`GNTRLEX_APPS_CODE`, `GNTRLEX_ROLE_ID`, `GNTRLEX_PERM_ID`, `GNTRLEX_STATUS`, `GNTRLEX_DT_CREATE`, `GNTRLEX_UID_CREATE`) VALUES ('CKT', 'ADMIN', 'PM030', 'A', NOW(), 'SYS');</v>
      </c>
    </row>
    <row r="40" spans="1:6" x14ac:dyDescent="0.2">
      <c r="A40" s="4" t="s">
        <v>10</v>
      </c>
      <c r="B40" s="4" t="s">
        <v>4</v>
      </c>
      <c r="C40" t="s">
        <v>172</v>
      </c>
      <c r="D40" t="str">
        <f>VLOOKUP(C40,PermEx!$A$1:$I$38,9,FALSE)</f>
        <v>Manage Drivers</v>
      </c>
      <c r="E40" s="4" t="s">
        <v>5</v>
      </c>
      <c r="F40" t="str">
        <f t="shared" si="1"/>
        <v>INSERT INTO `T_CORE_GRANT_ROLE_EX` (`GNTRLEX_APPS_CODE`, `GNTRLEX_ROLE_ID`, `GNTRLEX_PERM_ID`, `GNTRLEX_STATUS`, `GNTRLEX_DT_CREATE`, `GNTRLEX_UID_CREATE`) VALUES ('CKT', 'ADMIN', 'PM031', 'A', NOW(), 'SYS');</v>
      </c>
    </row>
    <row r="41" spans="1:6" x14ac:dyDescent="0.2">
      <c r="A41" s="4" t="s">
        <v>10</v>
      </c>
      <c r="B41" s="4" t="s">
        <v>4</v>
      </c>
      <c r="C41" t="s">
        <v>173</v>
      </c>
      <c r="D41" t="str">
        <f>VLOOKUP(C41,PermEx!$A$1:$I$38,9,FALSE)</f>
        <v>Manage Locations</v>
      </c>
      <c r="E41" s="4" t="s">
        <v>5</v>
      </c>
      <c r="F41" t="str">
        <f t="shared" si="1"/>
        <v>INSERT INTO `T_CORE_GRANT_ROLE_EX` (`GNTRLEX_APPS_CODE`, `GNTRLEX_ROLE_ID`, `GNTRLEX_PERM_ID`, `GNTRLEX_STATUS`, `GNTRLEX_DT_CREATE`, `GNTRLEX_UID_CREATE`) VALUES ('CKT', 'ADMIN', 'PM032', 'A', NOW(), 'SYS');</v>
      </c>
    </row>
    <row r="42" spans="1:6" x14ac:dyDescent="0.2">
      <c r="A42" s="4" t="s">
        <v>10</v>
      </c>
      <c r="B42" s="4" t="s">
        <v>4</v>
      </c>
      <c r="C42" t="s">
        <v>174</v>
      </c>
      <c r="D42" t="str">
        <f>VLOOKUP(C42,PermEx!$A$1:$I$38,9,FALSE)</f>
        <v>Manage Rentals</v>
      </c>
      <c r="E42" s="4" t="s">
        <v>5</v>
      </c>
      <c r="F42" t="str">
        <f t="shared" si="1"/>
        <v>INSERT INTO `T_CORE_GRANT_ROLE_EX` (`GNTRLEX_APPS_CODE`, `GNTRLEX_ROLE_ID`, `GNTRLEX_PERM_ID`, `GNTRLEX_STATUS`, `GNTRLEX_DT_CREATE`, `GNTRLEX_UID_CREATE`) VALUES ('CKT', 'ADMIN', 'PM033', 'A', NOW(), 'SYS');</v>
      </c>
    </row>
    <row r="43" spans="1:6" x14ac:dyDescent="0.2">
      <c r="A43" s="4" t="s">
        <v>10</v>
      </c>
      <c r="B43" s="4" t="s">
        <v>4</v>
      </c>
      <c r="C43" t="s">
        <v>175</v>
      </c>
      <c r="D43" t="str">
        <f>VLOOKUP(C43,PermEx!$A$1:$I$38,9,FALSE)</f>
        <v>Manage Contracts</v>
      </c>
      <c r="E43" s="4" t="s">
        <v>5</v>
      </c>
      <c r="F43" t="str">
        <f t="shared" si="1"/>
        <v>INSERT INTO `T_CORE_GRANT_ROLE_EX` (`GNTRLEX_APPS_CODE`, `GNTRLEX_ROLE_ID`, `GNTRLEX_PERM_ID`, `GNTRLEX_STATUS`, `GNTRLEX_DT_CREATE`, `GNTRLEX_UID_CREATE`) VALUES ('CKT', 'ADMIN', 'PM034', 'A', NOW(), 'SYS');</v>
      </c>
    </row>
    <row r="44" spans="1:6" x14ac:dyDescent="0.2">
      <c r="A44" s="4" t="s">
        <v>10</v>
      </c>
      <c r="B44" s="4" t="s">
        <v>4</v>
      </c>
      <c r="C44" t="s">
        <v>177</v>
      </c>
      <c r="D44" t="str">
        <f>VLOOKUP(C44,PermEx!$A$1:$I$38,9,FALSE)</f>
        <v>Manage Rate Table</v>
      </c>
      <c r="E44" s="4" t="s">
        <v>5</v>
      </c>
      <c r="F44" t="str">
        <f t="shared" ref="F44" si="2">CONCATENATE("INSERT INTO `T_CORE_GRANT_ROLE_EX` (`GNTRLEX_APPS_CODE`, `GNTRLEX_ROLE_ID`, `GNTRLEX_PERM_ID`, `GNTRLEX_STATUS`, `GNTRLEX_DT_CREATE`, `GNTRLEX_UID_CREATE`) VALUES ('",A44,"', '",B44,"', '",C44,"', 'A', NOW(), 'SYS');")</f>
        <v>INSERT INTO `T_CORE_GRANT_ROLE_EX` (`GNTRLEX_APPS_CODE`, `GNTRLEX_ROLE_ID`, `GNTRLEX_PERM_ID`, `GNTRLEX_STATUS`, `GNTRLEX_DT_CREATE`, `GNTRLEX_UID_CREATE`) VALUES ('CKT', 'ADMIN', 'PM036', 'A', NOW(), 'SYS');</v>
      </c>
    </row>
    <row r="45" spans="1:6" x14ac:dyDescent="0.2">
      <c r="A45" s="4" t="s">
        <v>10</v>
      </c>
      <c r="B45" s="4" t="s">
        <v>6</v>
      </c>
      <c r="C45" t="s">
        <v>176</v>
      </c>
      <c r="D45" t="str">
        <f>VLOOKUP(C45,PermEx!$A$1:$I$38,9,FALSE)</f>
        <v>Help</v>
      </c>
      <c r="E45" s="4" t="s">
        <v>5</v>
      </c>
      <c r="F45" t="str">
        <f t="shared" si="1"/>
        <v>INSERT INTO `T_CORE_GRANT_ROLE_EX` (`GNTRLEX_APPS_CODE`, `GNTRLEX_ROLE_ID`, `GNTRLEX_PERM_ID`, `GNTRLEX_STATUS`, `GNTRLEX_DT_CREATE`, `GNTRLEX_UID_CREATE`) VALUES ('CKT', 'OFFICER', 'PM035', 'A', NOW(), 'SYS');</v>
      </c>
    </row>
    <row r="46" spans="1:6" x14ac:dyDescent="0.2">
      <c r="A46" s="4" t="s">
        <v>10</v>
      </c>
      <c r="B46" s="4" t="s">
        <v>4</v>
      </c>
      <c r="C46" t="s">
        <v>176</v>
      </c>
      <c r="D46" t="str">
        <f>VLOOKUP(C46,PermEx!$A$1:$I$38,9,FALSE)</f>
        <v>Help</v>
      </c>
      <c r="E46" s="4" t="s">
        <v>5</v>
      </c>
      <c r="F46" t="str">
        <f t="shared" si="1"/>
        <v>INSERT INTO `T_CORE_GRANT_ROLE_EX` (`GNTRLEX_APPS_CODE`, `GNTRLEX_ROLE_ID`, `GNTRLEX_PERM_ID`, `GNTRLEX_STATUS`, `GNTRLEX_DT_CREATE`, `GNTRLEX_UID_CREATE`) VALUES ('CKT', 'ADMIN', 'PM035', 'A', NOW(), 'SYS');</v>
      </c>
    </row>
    <row r="47" spans="1:6" x14ac:dyDescent="0.2">
      <c r="A47" s="4" t="s">
        <v>10</v>
      </c>
      <c r="B47" s="4" t="s">
        <v>11</v>
      </c>
      <c r="C47" t="s">
        <v>169</v>
      </c>
      <c r="D47" t="str">
        <f>VLOOKUP(C47,PermEx!$A$1:$I$38,9,FALSE)</f>
        <v>Services</v>
      </c>
      <c r="E47" s="4" t="s">
        <v>5</v>
      </c>
      <c r="F47" t="str">
        <f t="shared" ref="F47:F48" si="3">CONCATENATE("INSERT INTO `T_CORE_GRANT_ROLE_EX` (`GNTRLEX_APPS_CODE`, `GNTRLEX_ROLE_ID`, `GNTRLEX_PERM_ID`, `GNTRLEX_STATUS`, `GNTRLEX_DT_CREATE`, `GNTRLEX_UID_CREATE`) VALUES ('",A47,"', '",B47,"', '",C47,"', 'A', NOW(), 'SYS');")</f>
        <v>INSERT INTO `T_CORE_GRANT_ROLE_EX` (`GNTRLEX_APPS_CODE`, `GNTRLEX_ROLE_ID`, `GNTRLEX_PERM_ID`, `GNTRLEX_STATUS`, `GNTRLEX_DT_CREATE`, `GNTRLEX_UID_CREATE`) VALUES ('CKT', 'FF_FINANCE', 'PM028', 'A', NOW(), 'SYS');</v>
      </c>
    </row>
    <row r="48" spans="1:6" x14ac:dyDescent="0.2">
      <c r="A48" s="4" t="s">
        <v>10</v>
      </c>
      <c r="B48" s="4" t="s">
        <v>11</v>
      </c>
      <c r="C48" t="s">
        <v>176</v>
      </c>
      <c r="D48" t="str">
        <f>VLOOKUP(C48,PermEx!$A$1:$I$38,9,FALSE)</f>
        <v>Help</v>
      </c>
      <c r="E48" s="4" t="s">
        <v>5</v>
      </c>
      <c r="F48" t="str">
        <f t="shared" si="3"/>
        <v>INSERT INTO `T_CORE_GRANT_ROLE_EX` (`GNTRLEX_APPS_CODE`, `GNTRLEX_ROLE_ID`, `GNTRLEX_PERM_ID`, `GNTRLEX_STATUS`, `GNTRLEX_DT_CREATE`, `GNTRLEX_UID_CREATE`) VALUES ('CKT', 'FF_FINANCE', 'PM035', 'A', NOW(), 'SYS');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T_MST_RPT_CAT</vt:lpstr>
      <vt:lpstr>T_CORE_RPT</vt:lpstr>
      <vt:lpstr>T_CORE_RPT_ACL</vt:lpstr>
      <vt:lpstr>T_CORE_RPT_FILTER</vt:lpstr>
      <vt:lpstr>Menu_EX</vt:lpstr>
      <vt:lpstr>T_CORE_RPT_TABLE</vt:lpstr>
      <vt:lpstr>PermEx</vt:lpstr>
      <vt:lpstr>T_CORE_RPT_COLUMN</vt:lpstr>
      <vt:lpstr>GrantRoleEx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Nina Catudio</cp:lastModifiedBy>
  <dcterms:created xsi:type="dcterms:W3CDTF">2022-11-07T08:27:00Z</dcterms:created>
  <dcterms:modified xsi:type="dcterms:W3CDTF">2024-01-11T03:24:51Z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C0F8BB07093443DDBFE84990ACD1417A_12</vt:lpwstr>
  </property>
  <property fmtid="{D5CDD505-2E9C-101B-9397-08002B2CF9AE}" pid="3" name="KSOProductBuildVer">
    <vt:lpwstr>1033-12.2.0.13306</vt:lpwstr>
  </property>
</Properties>
</file>