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ji/Documents/workspace_github/workspace_github_CLI2/scrips/scrips/SageBankAccount/"/>
    </mc:Choice>
  </mc:AlternateContent>
  <xr:revisionPtr revIDLastSave="0" documentId="13_ncr:1_{13676644-1A26-B844-A5AA-980950372CFA}" xr6:coauthVersionLast="47" xr6:coauthVersionMax="47" xr10:uidLastSave="{00000000-0000-0000-0000-000000000000}"/>
  <bookViews>
    <workbookView xWindow="0" yWindow="500" windowWidth="38400" windowHeight="19880" xr2:uid="{8C8A588E-DC17-42BC-80B9-4F6738F16FBE}"/>
  </bookViews>
  <sheets>
    <sheet name="Summary" sheetId="1" r:id="rId1"/>
    <sheet name="Sheet2" sheetId="2" r:id="rId2"/>
    <sheet name="CO Trx" sheetId="4" r:id="rId3"/>
    <sheet name="TV Trx" sheetId="5" r:id="rId4"/>
    <sheet name="CLT Data" sheetId="3" r:id="rId5"/>
  </sheets>
  <definedNames>
    <definedName name="_xlnm._FilterDatabase" localSheetId="0" hidden="1">Summary!$A$1:$Y$312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2" i="1" l="1"/>
  <c r="U98" i="1"/>
  <c r="V98" i="1" s="1"/>
  <c r="U58" i="1"/>
  <c r="U185" i="1"/>
  <c r="V185" i="1" s="1"/>
  <c r="U288" i="1"/>
  <c r="V288" i="1" s="1"/>
  <c r="U37" i="1"/>
  <c r="V37" i="1" s="1"/>
  <c r="U5" i="1"/>
  <c r="U264" i="1"/>
  <c r="U188" i="1"/>
  <c r="U115" i="1"/>
  <c r="U299" i="1"/>
  <c r="V299" i="1" s="1"/>
  <c r="U219" i="1"/>
  <c r="V219" i="1" s="1"/>
  <c r="U68" i="1"/>
  <c r="V68" i="1" s="1"/>
  <c r="U233" i="1"/>
  <c r="V233" i="1" s="1"/>
  <c r="U237" i="1"/>
  <c r="V237" i="1" s="1"/>
  <c r="U224" i="1"/>
  <c r="V224" i="1" s="1"/>
  <c r="U39" i="1"/>
  <c r="V39" i="1" s="1"/>
  <c r="U128" i="1"/>
  <c r="U66" i="1"/>
  <c r="V66" i="1" s="1"/>
  <c r="U6" i="1"/>
  <c r="U220" i="1"/>
  <c r="V220" i="1" s="1"/>
  <c r="U184" i="1"/>
  <c r="V184" i="1" s="1"/>
  <c r="U77" i="1"/>
  <c r="U225" i="1"/>
  <c r="V225" i="1" s="1"/>
  <c r="U189" i="1"/>
  <c r="U135" i="1"/>
  <c r="V135" i="1" s="1"/>
  <c r="U8" i="1"/>
  <c r="U59" i="1"/>
  <c r="V59" i="1" s="1"/>
  <c r="U191" i="1"/>
  <c r="U259" i="1"/>
  <c r="V259" i="1" s="1"/>
  <c r="U152" i="1"/>
  <c r="U2" i="1"/>
  <c r="V2" i="1" s="1"/>
  <c r="U71" i="1"/>
  <c r="U50" i="1"/>
  <c r="V50" i="1" s="1"/>
  <c r="U16" i="1"/>
  <c r="V16" i="1" s="1"/>
  <c r="U232" i="1"/>
  <c r="V232" i="1" s="1"/>
  <c r="U312" i="1"/>
  <c r="U72" i="1"/>
  <c r="U286" i="1"/>
  <c r="U267" i="1"/>
  <c r="V267" i="1" s="1"/>
  <c r="U199" i="1"/>
  <c r="U209" i="1"/>
  <c r="V209" i="1" s="1"/>
  <c r="U28" i="1"/>
  <c r="V28" i="1" s="1"/>
  <c r="U285" i="1"/>
  <c r="V285" i="1" s="1"/>
  <c r="U206" i="1"/>
  <c r="V206" i="1" s="1"/>
  <c r="U75" i="1"/>
  <c r="U44" i="1"/>
  <c r="U274" i="1"/>
  <c r="V274" i="1" s="1"/>
  <c r="U210" i="1"/>
  <c r="U129" i="1"/>
  <c r="V129" i="1" s="1"/>
  <c r="U241" i="1"/>
  <c r="V241" i="1" s="1"/>
  <c r="U82" i="1"/>
  <c r="U244" i="1"/>
  <c r="V244" i="1" s="1"/>
  <c r="U179" i="1"/>
  <c r="V179" i="1" s="1"/>
  <c r="U41" i="1"/>
  <c r="V41" i="1" s="1"/>
  <c r="U245" i="1"/>
  <c r="V245" i="1" s="1"/>
  <c r="U160" i="1"/>
  <c r="U136" i="1"/>
  <c r="V136" i="1" s="1"/>
  <c r="U301" i="1"/>
  <c r="V301" i="1" s="1"/>
  <c r="U156" i="1"/>
  <c r="U55" i="1"/>
  <c r="U251" i="1"/>
  <c r="V251" i="1" s="1"/>
  <c r="U51" i="1"/>
  <c r="V51" i="1" s="1"/>
  <c r="U125" i="1"/>
  <c r="V125" i="1" s="1"/>
  <c r="U187" i="1"/>
  <c r="V187" i="1" s="1"/>
  <c r="U228" i="1"/>
  <c r="V228" i="1" s="1"/>
  <c r="U110" i="1"/>
  <c r="V110" i="1" s="1"/>
  <c r="U18" i="1"/>
  <c r="V18" i="1" s="1"/>
  <c r="U175" i="1"/>
  <c r="V175" i="1" s="1"/>
  <c r="U256" i="1"/>
  <c r="V256" i="1" s="1"/>
  <c r="U104" i="1"/>
  <c r="U79" i="1"/>
  <c r="V79" i="1" s="1"/>
  <c r="U270" i="1"/>
  <c r="U146" i="1"/>
  <c r="U212" i="1"/>
  <c r="U218" i="1"/>
  <c r="U197" i="1"/>
  <c r="U101" i="1"/>
  <c r="U20" i="1"/>
  <c r="V20" i="1" s="1"/>
  <c r="U201" i="1"/>
  <c r="V201" i="1" s="1"/>
  <c r="U7" i="1"/>
  <c r="V7" i="1" s="1"/>
  <c r="U52" i="1"/>
  <c r="V52" i="1" s="1"/>
  <c r="U25" i="1"/>
  <c r="U164" i="1"/>
  <c r="V164" i="1" s="1"/>
  <c r="U40" i="1"/>
  <c r="V40" i="1" s="1"/>
  <c r="U90" i="1"/>
  <c r="U195" i="1"/>
  <c r="V195" i="1" s="1"/>
  <c r="U181" i="1"/>
  <c r="U148" i="1"/>
  <c r="V148" i="1" s="1"/>
  <c r="U117" i="1"/>
  <c r="U165" i="1"/>
  <c r="U67" i="1"/>
  <c r="V67" i="1" s="1"/>
  <c r="U281" i="1"/>
  <c r="U137" i="1"/>
  <c r="V137" i="1" s="1"/>
  <c r="U208" i="1"/>
  <c r="V208" i="1" s="1"/>
  <c r="U284" i="1"/>
  <c r="U89" i="1"/>
  <c r="V89" i="1" s="1"/>
  <c r="U121" i="1"/>
  <c r="V121" i="1" s="1"/>
  <c r="U236" i="1"/>
  <c r="V236" i="1" s="1"/>
  <c r="U203" i="1"/>
  <c r="U248" i="1"/>
  <c r="U106" i="1"/>
  <c r="V106" i="1" s="1"/>
  <c r="U178" i="1"/>
  <c r="V178" i="1" s="1"/>
  <c r="U255" i="1"/>
  <c r="V255" i="1" s="1"/>
  <c r="U200" i="1"/>
  <c r="U48" i="1"/>
  <c r="U161" i="1"/>
  <c r="U27" i="1"/>
  <c r="U214" i="1"/>
  <c r="U311" i="1"/>
  <c r="U60" i="1"/>
  <c r="V60" i="1" s="1"/>
  <c r="U172" i="1"/>
  <c r="V172" i="1" s="1"/>
  <c r="U54" i="1"/>
  <c r="V54" i="1" s="1"/>
  <c r="U229" i="1"/>
  <c r="V229" i="1" s="1"/>
  <c r="U308" i="1"/>
  <c r="V308" i="1" s="1"/>
  <c r="U65" i="1"/>
  <c r="U162" i="1"/>
  <c r="U38" i="1"/>
  <c r="V38" i="1" s="1"/>
  <c r="U268" i="1"/>
  <c r="U296" i="1"/>
  <c r="V296" i="1" s="1"/>
  <c r="U163" i="1"/>
  <c r="U63" i="1"/>
  <c r="V63" i="1" s="1"/>
  <c r="U263" i="1"/>
  <c r="U111" i="1"/>
  <c r="V111" i="1" s="1"/>
  <c r="U29" i="1"/>
  <c r="V29" i="1" s="1"/>
  <c r="U277" i="1"/>
  <c r="U183" i="1"/>
  <c r="U297" i="1"/>
  <c r="U192" i="1"/>
  <c r="U252" i="1"/>
  <c r="U102" i="1"/>
  <c r="U306" i="1"/>
  <c r="V306" i="1" s="1"/>
  <c r="U291" i="1"/>
  <c r="V291" i="1" s="1"/>
  <c r="U140" i="1"/>
  <c r="V140" i="1" s="1"/>
  <c r="U53" i="1"/>
  <c r="U217" i="1"/>
  <c r="U167" i="1"/>
  <c r="V167" i="1" s="1"/>
  <c r="U276" i="1"/>
  <c r="V276" i="1" s="1"/>
  <c r="U280" i="1"/>
  <c r="V280" i="1" s="1"/>
  <c r="U31" i="1"/>
  <c r="U305" i="1"/>
  <c r="V305" i="1" s="1"/>
  <c r="U151" i="1"/>
  <c r="U177" i="1"/>
  <c r="V177" i="1" s="1"/>
  <c r="U43" i="1"/>
  <c r="V43" i="1" s="1"/>
  <c r="U80" i="1"/>
  <c r="V80" i="1" s="1"/>
  <c r="U94" i="1"/>
  <c r="U131" i="1"/>
  <c r="V131" i="1" s="1"/>
  <c r="U303" i="1"/>
  <c r="V303" i="1" s="1"/>
  <c r="U132" i="1"/>
  <c r="V132" i="1" s="1"/>
  <c r="U226" i="1"/>
  <c r="V226" i="1" s="1"/>
  <c r="U261" i="1"/>
  <c r="U19" i="1"/>
  <c r="V19" i="1" s="1"/>
  <c r="U202" i="1"/>
  <c r="U78" i="1"/>
  <c r="U176" i="1"/>
  <c r="V176" i="1" s="1"/>
  <c r="U113" i="1"/>
  <c r="V113" i="1" s="1"/>
  <c r="U246" i="1"/>
  <c r="U95" i="1"/>
  <c r="V95" i="1" s="1"/>
  <c r="U193" i="1"/>
  <c r="U134" i="1"/>
  <c r="V134" i="1" s="1"/>
  <c r="U260" i="1"/>
  <c r="U36" i="1"/>
  <c r="V36" i="1" s="1"/>
  <c r="U122" i="1"/>
  <c r="U130" i="1"/>
  <c r="U30" i="1"/>
  <c r="U61" i="1"/>
  <c r="V61" i="1" s="1"/>
  <c r="U64" i="1"/>
  <c r="V64" i="1" s="1"/>
  <c r="U243" i="1"/>
  <c r="U310" i="1"/>
  <c r="U295" i="1"/>
  <c r="V295" i="1" s="1"/>
  <c r="U143" i="1"/>
  <c r="V143" i="1" s="1"/>
  <c r="U26" i="1"/>
  <c r="V26" i="1" s="1"/>
  <c r="U116" i="1"/>
  <c r="V116" i="1" s="1"/>
  <c r="U265" i="1"/>
  <c r="U221" i="1"/>
  <c r="U118" i="1"/>
  <c r="U114" i="1"/>
  <c r="V114" i="1" s="1"/>
  <c r="U97" i="1"/>
  <c r="V97" i="1" s="1"/>
  <c r="U223" i="1"/>
  <c r="V223" i="1" s="1"/>
  <c r="U81" i="1"/>
  <c r="U119" i="1"/>
  <c r="V119" i="1" s="1"/>
  <c r="U124" i="1"/>
  <c r="V124" i="1" s="1"/>
  <c r="U213" i="1"/>
  <c r="V213" i="1" s="1"/>
  <c r="U304" i="1"/>
  <c r="U240" i="1"/>
  <c r="U144" i="1"/>
  <c r="V144" i="1" s="1"/>
  <c r="U307" i="1"/>
  <c r="V307" i="1" s="1"/>
  <c r="U287" i="1"/>
  <c r="V287" i="1" s="1"/>
  <c r="U3" i="1"/>
  <c r="V3" i="1" s="1"/>
  <c r="U168" i="1"/>
  <c r="U145" i="1"/>
  <c r="V145" i="1" s="1"/>
  <c r="U170" i="1"/>
  <c r="U253" i="1"/>
  <c r="V253" i="1" s="1"/>
  <c r="U33" i="1"/>
  <c r="U234" i="1"/>
  <c r="V234" i="1" s="1"/>
  <c r="U242" i="1"/>
  <c r="V242" i="1" s="1"/>
  <c r="U73" i="1"/>
  <c r="U211" i="1"/>
  <c r="U109" i="1"/>
  <c r="V109" i="1" s="1"/>
  <c r="U180" i="1"/>
  <c r="U293" i="1"/>
  <c r="V293" i="1" s="1"/>
  <c r="U194" i="1"/>
  <c r="V194" i="1" s="1"/>
  <c r="U35" i="1"/>
  <c r="U182" i="1"/>
  <c r="U74" i="1"/>
  <c r="V74" i="1" s="1"/>
  <c r="U309" i="1"/>
  <c r="V309" i="1" s="1"/>
  <c r="U169" i="1"/>
  <c r="U23" i="1"/>
  <c r="U231" i="1"/>
  <c r="V231" i="1" s="1"/>
  <c r="U127" i="1"/>
  <c r="U17" i="1"/>
  <c r="V17" i="1" s="1"/>
  <c r="U173" i="1"/>
  <c r="U198" i="1"/>
  <c r="V198" i="1" s="1"/>
  <c r="U257" i="1"/>
  <c r="U99" i="1"/>
  <c r="V99" i="1" s="1"/>
  <c r="U154" i="1"/>
  <c r="U153" i="1"/>
  <c r="U289" i="1"/>
  <c r="U142" i="1"/>
  <c r="V142" i="1" s="1"/>
  <c r="U10" i="1"/>
  <c r="U22" i="1"/>
  <c r="V22" i="1" s="1"/>
  <c r="U57" i="1"/>
  <c r="V57" i="1" s="1"/>
  <c r="U69" i="1"/>
  <c r="V69" i="1" s="1"/>
  <c r="U42" i="1"/>
  <c r="V42" i="1" s="1"/>
  <c r="U12" i="1"/>
  <c r="V12" i="1" s="1"/>
  <c r="U204" i="1"/>
  <c r="U272" i="1"/>
  <c r="U190" i="1"/>
  <c r="U123" i="1"/>
  <c r="U141" i="1"/>
  <c r="U298" i="1"/>
  <c r="U155" i="1"/>
  <c r="U91" i="1"/>
  <c r="V91" i="1" s="1"/>
  <c r="U166" i="1"/>
  <c r="V166" i="1" s="1"/>
  <c r="U34" i="1"/>
  <c r="U107" i="1"/>
  <c r="U126" i="1"/>
  <c r="V126" i="1" s="1"/>
  <c r="U105" i="1"/>
  <c r="U171" i="1"/>
  <c r="U76" i="1"/>
  <c r="U21" i="1"/>
  <c r="V21" i="1" s="1"/>
  <c r="U96" i="1"/>
  <c r="V96" i="1" s="1"/>
  <c r="U222" i="1"/>
  <c r="U147" i="1"/>
  <c r="U138" i="1"/>
  <c r="U150" i="1"/>
  <c r="V150" i="1" s="1"/>
  <c r="U15" i="1"/>
  <c r="U133" i="1"/>
  <c r="U250" i="1"/>
  <c r="V250" i="1" s="1"/>
  <c r="U103" i="1"/>
  <c r="U108" i="1"/>
  <c r="V108" i="1" s="1"/>
  <c r="U46" i="1"/>
  <c r="U239" i="1"/>
  <c r="V239" i="1" s="1"/>
  <c r="U266" i="1"/>
  <c r="U205" i="1"/>
  <c r="V205" i="1" s="1"/>
  <c r="U216" i="1"/>
  <c r="U4" i="1"/>
  <c r="V4" i="1" s="1"/>
  <c r="U292" i="1"/>
  <c r="V292" i="1" s="1"/>
  <c r="U302" i="1"/>
  <c r="U157" i="1"/>
  <c r="U227" i="1"/>
  <c r="U230" i="1"/>
  <c r="V230" i="1" s="1"/>
  <c r="U273" i="1"/>
  <c r="U294" i="1"/>
  <c r="V294" i="1" s="1"/>
  <c r="U215" i="1"/>
  <c r="V215" i="1" s="1"/>
  <c r="U279" i="1"/>
  <c r="V279" i="1" s="1"/>
  <c r="U186" i="1"/>
  <c r="V186" i="1" s="1"/>
  <c r="U278" i="1"/>
  <c r="V278" i="1" s="1"/>
  <c r="U174" i="1"/>
  <c r="U283" i="1"/>
  <c r="U271" i="1"/>
  <c r="V271" i="1" s="1"/>
  <c r="U47" i="1"/>
  <c r="V47" i="1" s="1"/>
  <c r="U45" i="1"/>
  <c r="U254" i="1"/>
  <c r="V254" i="1" s="1"/>
  <c r="U83" i="1"/>
  <c r="U24" i="1"/>
  <c r="U159" i="1"/>
  <c r="V159" i="1" s="1"/>
  <c r="U258" i="1"/>
  <c r="U92" i="1"/>
  <c r="V92" i="1" s="1"/>
  <c r="U120" i="1"/>
  <c r="U290" i="1"/>
  <c r="V290" i="1" s="1"/>
  <c r="U32" i="1"/>
  <c r="V32" i="1" s="1"/>
  <c r="U56" i="1"/>
  <c r="U85" i="1"/>
  <c r="U247" i="1"/>
  <c r="V247" i="1" s="1"/>
  <c r="U139" i="1"/>
  <c r="U9" i="1"/>
  <c r="V9" i="1" s="1"/>
  <c r="U207" i="1"/>
  <c r="U86" i="1"/>
  <c r="V86" i="1" s="1"/>
  <c r="U88" i="1"/>
  <c r="U14" i="1"/>
  <c r="U158" i="1"/>
  <c r="U13" i="1"/>
  <c r="U249" i="1"/>
  <c r="V249" i="1" s="1"/>
  <c r="U87" i="1"/>
  <c r="U112" i="1"/>
  <c r="V112" i="1" s="1"/>
  <c r="U62" i="1"/>
  <c r="V62" i="1" s="1"/>
  <c r="U100" i="1"/>
  <c r="U269" i="1"/>
  <c r="U300" i="1"/>
  <c r="V300" i="1" s="1"/>
  <c r="U262" i="1"/>
  <c r="U84" i="1"/>
  <c r="V84" i="1" s="1"/>
  <c r="U149" i="1"/>
  <c r="U235" i="1"/>
  <c r="U196" i="1"/>
  <c r="U93" i="1"/>
  <c r="V93" i="1" s="1"/>
  <c r="U238" i="1"/>
  <c r="U11" i="1"/>
  <c r="V11" i="1" s="1"/>
  <c r="U70" i="1"/>
  <c r="U275" i="1"/>
  <c r="V275" i="1" s="1"/>
  <c r="U49" i="1"/>
  <c r="W282" i="1"/>
  <c r="X282" i="1"/>
  <c r="W98" i="1"/>
  <c r="X98" i="1"/>
  <c r="W58" i="1"/>
  <c r="X58" i="1"/>
  <c r="W185" i="1"/>
  <c r="X185" i="1"/>
  <c r="W288" i="1"/>
  <c r="X288" i="1"/>
  <c r="W37" i="1"/>
  <c r="X37" i="1"/>
  <c r="W5" i="1"/>
  <c r="X5" i="1"/>
  <c r="W264" i="1"/>
  <c r="X264" i="1"/>
  <c r="W188" i="1"/>
  <c r="X188" i="1"/>
  <c r="W115" i="1"/>
  <c r="X115" i="1"/>
  <c r="W299" i="1"/>
  <c r="X299" i="1"/>
  <c r="W219" i="1"/>
  <c r="X219" i="1"/>
  <c r="W68" i="1"/>
  <c r="X68" i="1"/>
  <c r="W233" i="1"/>
  <c r="X233" i="1"/>
  <c r="W237" i="1"/>
  <c r="X237" i="1"/>
  <c r="W224" i="1"/>
  <c r="X224" i="1"/>
  <c r="W39" i="1"/>
  <c r="X39" i="1"/>
  <c r="W128" i="1"/>
  <c r="X128" i="1"/>
  <c r="W66" i="1"/>
  <c r="X66" i="1"/>
  <c r="W6" i="1"/>
  <c r="X6" i="1"/>
  <c r="W220" i="1"/>
  <c r="X220" i="1"/>
  <c r="W184" i="1"/>
  <c r="X184" i="1"/>
  <c r="W77" i="1"/>
  <c r="X77" i="1"/>
  <c r="W225" i="1"/>
  <c r="X225" i="1"/>
  <c r="W189" i="1"/>
  <c r="X189" i="1"/>
  <c r="W135" i="1"/>
  <c r="X135" i="1"/>
  <c r="W8" i="1"/>
  <c r="X8" i="1"/>
  <c r="W59" i="1"/>
  <c r="X59" i="1"/>
  <c r="W191" i="1"/>
  <c r="X191" i="1"/>
  <c r="W259" i="1"/>
  <c r="X259" i="1"/>
  <c r="W152" i="1"/>
  <c r="X152" i="1"/>
  <c r="W2" i="1"/>
  <c r="X2" i="1"/>
  <c r="W71" i="1"/>
  <c r="X71" i="1"/>
  <c r="W50" i="1"/>
  <c r="X50" i="1"/>
  <c r="W16" i="1"/>
  <c r="X16" i="1"/>
  <c r="W232" i="1"/>
  <c r="X232" i="1"/>
  <c r="W312" i="1"/>
  <c r="X312" i="1"/>
  <c r="W72" i="1"/>
  <c r="X72" i="1"/>
  <c r="W286" i="1"/>
  <c r="X286" i="1"/>
  <c r="W267" i="1"/>
  <c r="X267" i="1"/>
  <c r="W199" i="1"/>
  <c r="X199" i="1"/>
  <c r="W209" i="1"/>
  <c r="X209" i="1"/>
  <c r="W28" i="1"/>
  <c r="X28" i="1"/>
  <c r="W285" i="1"/>
  <c r="X285" i="1"/>
  <c r="W206" i="1"/>
  <c r="X206" i="1"/>
  <c r="W75" i="1"/>
  <c r="X75" i="1"/>
  <c r="W44" i="1"/>
  <c r="X44" i="1"/>
  <c r="W274" i="1"/>
  <c r="X274" i="1"/>
  <c r="W210" i="1"/>
  <c r="X210" i="1"/>
  <c r="W129" i="1"/>
  <c r="X129" i="1"/>
  <c r="W241" i="1"/>
  <c r="X241" i="1"/>
  <c r="W82" i="1"/>
  <c r="X82" i="1"/>
  <c r="W244" i="1"/>
  <c r="X244" i="1"/>
  <c r="W179" i="1"/>
  <c r="X179" i="1"/>
  <c r="W41" i="1"/>
  <c r="X41" i="1"/>
  <c r="W245" i="1"/>
  <c r="X245" i="1"/>
  <c r="W160" i="1"/>
  <c r="X160" i="1"/>
  <c r="W136" i="1"/>
  <c r="X136" i="1"/>
  <c r="W301" i="1"/>
  <c r="X301" i="1"/>
  <c r="W156" i="1"/>
  <c r="X156" i="1"/>
  <c r="W55" i="1"/>
  <c r="X55" i="1"/>
  <c r="W251" i="1"/>
  <c r="X251" i="1"/>
  <c r="W51" i="1"/>
  <c r="X51" i="1"/>
  <c r="W125" i="1"/>
  <c r="X125" i="1"/>
  <c r="W187" i="1"/>
  <c r="X187" i="1"/>
  <c r="W228" i="1"/>
  <c r="X228" i="1"/>
  <c r="W110" i="1"/>
  <c r="X110" i="1"/>
  <c r="W18" i="1"/>
  <c r="X18" i="1"/>
  <c r="W175" i="1"/>
  <c r="X175" i="1"/>
  <c r="W256" i="1"/>
  <c r="X256" i="1"/>
  <c r="W104" i="1"/>
  <c r="X104" i="1"/>
  <c r="W79" i="1"/>
  <c r="X79" i="1"/>
  <c r="W270" i="1"/>
  <c r="X270" i="1"/>
  <c r="W146" i="1"/>
  <c r="X146" i="1"/>
  <c r="W212" i="1"/>
  <c r="X212" i="1"/>
  <c r="W218" i="1"/>
  <c r="X218" i="1"/>
  <c r="W197" i="1"/>
  <c r="X197" i="1"/>
  <c r="W101" i="1"/>
  <c r="X101" i="1"/>
  <c r="W20" i="1"/>
  <c r="X20" i="1"/>
  <c r="W201" i="1"/>
  <c r="X201" i="1"/>
  <c r="W7" i="1"/>
  <c r="X7" i="1"/>
  <c r="W52" i="1"/>
  <c r="X52" i="1"/>
  <c r="W25" i="1"/>
  <c r="X25" i="1"/>
  <c r="W164" i="1"/>
  <c r="X164" i="1"/>
  <c r="W40" i="1"/>
  <c r="X40" i="1"/>
  <c r="W90" i="1"/>
  <c r="X90" i="1"/>
  <c r="W195" i="1"/>
  <c r="X195" i="1"/>
  <c r="W181" i="1"/>
  <c r="X181" i="1"/>
  <c r="W148" i="1"/>
  <c r="X148" i="1"/>
  <c r="W117" i="1"/>
  <c r="X117" i="1"/>
  <c r="W165" i="1"/>
  <c r="X165" i="1"/>
  <c r="W67" i="1"/>
  <c r="X67" i="1"/>
  <c r="W281" i="1"/>
  <c r="X281" i="1"/>
  <c r="W137" i="1"/>
  <c r="X137" i="1"/>
  <c r="W208" i="1"/>
  <c r="X208" i="1"/>
  <c r="W284" i="1"/>
  <c r="X284" i="1"/>
  <c r="W89" i="1"/>
  <c r="X89" i="1"/>
  <c r="W121" i="1"/>
  <c r="X121" i="1"/>
  <c r="W236" i="1"/>
  <c r="X236" i="1"/>
  <c r="W203" i="1"/>
  <c r="X203" i="1"/>
  <c r="W248" i="1"/>
  <c r="X248" i="1"/>
  <c r="W106" i="1"/>
  <c r="X106" i="1"/>
  <c r="W178" i="1"/>
  <c r="X178" i="1"/>
  <c r="W255" i="1"/>
  <c r="X255" i="1"/>
  <c r="W200" i="1"/>
  <c r="X200" i="1"/>
  <c r="W48" i="1"/>
  <c r="X48" i="1"/>
  <c r="W161" i="1"/>
  <c r="X161" i="1"/>
  <c r="W27" i="1"/>
  <c r="X27" i="1"/>
  <c r="W214" i="1"/>
  <c r="X214" i="1"/>
  <c r="W311" i="1"/>
  <c r="X311" i="1"/>
  <c r="W60" i="1"/>
  <c r="X60" i="1"/>
  <c r="W172" i="1"/>
  <c r="X172" i="1"/>
  <c r="W54" i="1"/>
  <c r="X54" i="1"/>
  <c r="W229" i="1"/>
  <c r="X229" i="1"/>
  <c r="W308" i="1"/>
  <c r="X308" i="1"/>
  <c r="W65" i="1"/>
  <c r="X65" i="1"/>
  <c r="W162" i="1"/>
  <c r="X162" i="1"/>
  <c r="W38" i="1"/>
  <c r="X38" i="1"/>
  <c r="W268" i="1"/>
  <c r="X268" i="1"/>
  <c r="W296" i="1"/>
  <c r="X296" i="1"/>
  <c r="W163" i="1"/>
  <c r="X163" i="1"/>
  <c r="W63" i="1"/>
  <c r="X63" i="1"/>
  <c r="W263" i="1"/>
  <c r="X263" i="1"/>
  <c r="W111" i="1"/>
  <c r="X111" i="1"/>
  <c r="W29" i="1"/>
  <c r="X29" i="1"/>
  <c r="W277" i="1"/>
  <c r="X277" i="1"/>
  <c r="W183" i="1"/>
  <c r="X183" i="1"/>
  <c r="W297" i="1"/>
  <c r="X297" i="1"/>
  <c r="W192" i="1"/>
  <c r="X192" i="1"/>
  <c r="W252" i="1"/>
  <c r="X252" i="1"/>
  <c r="W102" i="1"/>
  <c r="X102" i="1"/>
  <c r="W306" i="1"/>
  <c r="X306" i="1"/>
  <c r="W291" i="1"/>
  <c r="X291" i="1"/>
  <c r="W140" i="1"/>
  <c r="X140" i="1"/>
  <c r="W53" i="1"/>
  <c r="X53" i="1"/>
  <c r="W217" i="1"/>
  <c r="X217" i="1"/>
  <c r="W167" i="1"/>
  <c r="X167" i="1"/>
  <c r="W276" i="1"/>
  <c r="X276" i="1"/>
  <c r="W280" i="1"/>
  <c r="X280" i="1"/>
  <c r="W31" i="1"/>
  <c r="X31" i="1"/>
  <c r="W305" i="1"/>
  <c r="X305" i="1"/>
  <c r="W151" i="1"/>
  <c r="X151" i="1"/>
  <c r="W177" i="1"/>
  <c r="X177" i="1"/>
  <c r="W43" i="1"/>
  <c r="X43" i="1"/>
  <c r="W80" i="1"/>
  <c r="X80" i="1"/>
  <c r="W94" i="1"/>
  <c r="X94" i="1"/>
  <c r="W131" i="1"/>
  <c r="X131" i="1"/>
  <c r="W303" i="1"/>
  <c r="X303" i="1"/>
  <c r="W132" i="1"/>
  <c r="X132" i="1"/>
  <c r="W226" i="1"/>
  <c r="X226" i="1"/>
  <c r="W261" i="1"/>
  <c r="X261" i="1"/>
  <c r="W19" i="1"/>
  <c r="X19" i="1"/>
  <c r="W202" i="1"/>
  <c r="X202" i="1"/>
  <c r="W78" i="1"/>
  <c r="X78" i="1"/>
  <c r="W176" i="1"/>
  <c r="X176" i="1"/>
  <c r="W113" i="1"/>
  <c r="X113" i="1"/>
  <c r="W246" i="1"/>
  <c r="X246" i="1"/>
  <c r="W95" i="1"/>
  <c r="X95" i="1"/>
  <c r="W193" i="1"/>
  <c r="X193" i="1"/>
  <c r="W134" i="1"/>
  <c r="X134" i="1"/>
  <c r="W260" i="1"/>
  <c r="X260" i="1"/>
  <c r="W36" i="1"/>
  <c r="X36" i="1"/>
  <c r="W122" i="1"/>
  <c r="X122" i="1"/>
  <c r="W130" i="1"/>
  <c r="X130" i="1"/>
  <c r="W30" i="1"/>
  <c r="X30" i="1"/>
  <c r="W61" i="1"/>
  <c r="X61" i="1"/>
  <c r="W64" i="1"/>
  <c r="X64" i="1"/>
  <c r="W243" i="1"/>
  <c r="X243" i="1"/>
  <c r="W310" i="1"/>
  <c r="X310" i="1"/>
  <c r="W295" i="1"/>
  <c r="X295" i="1"/>
  <c r="W143" i="1"/>
  <c r="X143" i="1"/>
  <c r="W26" i="1"/>
  <c r="X26" i="1"/>
  <c r="W116" i="1"/>
  <c r="X116" i="1"/>
  <c r="W265" i="1"/>
  <c r="X265" i="1"/>
  <c r="W221" i="1"/>
  <c r="X221" i="1"/>
  <c r="W118" i="1"/>
  <c r="X118" i="1"/>
  <c r="W114" i="1"/>
  <c r="X114" i="1"/>
  <c r="W97" i="1"/>
  <c r="X97" i="1"/>
  <c r="W223" i="1"/>
  <c r="X223" i="1"/>
  <c r="W81" i="1"/>
  <c r="X81" i="1"/>
  <c r="W119" i="1"/>
  <c r="X119" i="1"/>
  <c r="W124" i="1"/>
  <c r="X124" i="1"/>
  <c r="W213" i="1"/>
  <c r="X213" i="1"/>
  <c r="W304" i="1"/>
  <c r="X304" i="1"/>
  <c r="W240" i="1"/>
  <c r="X240" i="1"/>
  <c r="W144" i="1"/>
  <c r="X144" i="1"/>
  <c r="W307" i="1"/>
  <c r="X307" i="1"/>
  <c r="W287" i="1"/>
  <c r="X287" i="1"/>
  <c r="W3" i="1"/>
  <c r="X3" i="1"/>
  <c r="W168" i="1"/>
  <c r="X168" i="1"/>
  <c r="W145" i="1"/>
  <c r="X145" i="1"/>
  <c r="W170" i="1"/>
  <c r="X170" i="1"/>
  <c r="W253" i="1"/>
  <c r="X253" i="1"/>
  <c r="W33" i="1"/>
  <c r="X33" i="1"/>
  <c r="W234" i="1"/>
  <c r="X234" i="1"/>
  <c r="W242" i="1"/>
  <c r="X242" i="1"/>
  <c r="W73" i="1"/>
  <c r="X73" i="1"/>
  <c r="W211" i="1"/>
  <c r="X211" i="1"/>
  <c r="W109" i="1"/>
  <c r="X109" i="1"/>
  <c r="W180" i="1"/>
  <c r="X180" i="1"/>
  <c r="W293" i="1"/>
  <c r="X293" i="1"/>
  <c r="W194" i="1"/>
  <c r="X194" i="1"/>
  <c r="W35" i="1"/>
  <c r="X35" i="1"/>
  <c r="W182" i="1"/>
  <c r="X182" i="1"/>
  <c r="W74" i="1"/>
  <c r="X74" i="1"/>
  <c r="W309" i="1"/>
  <c r="X309" i="1"/>
  <c r="W169" i="1"/>
  <c r="X169" i="1"/>
  <c r="W23" i="1"/>
  <c r="X23" i="1"/>
  <c r="W231" i="1"/>
  <c r="X231" i="1"/>
  <c r="W127" i="1"/>
  <c r="X127" i="1"/>
  <c r="W17" i="1"/>
  <c r="X17" i="1"/>
  <c r="W173" i="1"/>
  <c r="X173" i="1"/>
  <c r="W198" i="1"/>
  <c r="X198" i="1"/>
  <c r="W257" i="1"/>
  <c r="X257" i="1"/>
  <c r="W99" i="1"/>
  <c r="X99" i="1"/>
  <c r="W154" i="1"/>
  <c r="X154" i="1"/>
  <c r="W153" i="1"/>
  <c r="X153" i="1"/>
  <c r="W289" i="1"/>
  <c r="X289" i="1"/>
  <c r="W142" i="1"/>
  <c r="X142" i="1"/>
  <c r="W10" i="1"/>
  <c r="X10" i="1"/>
  <c r="W22" i="1"/>
  <c r="X22" i="1"/>
  <c r="W57" i="1"/>
  <c r="X57" i="1"/>
  <c r="W69" i="1"/>
  <c r="X69" i="1"/>
  <c r="W42" i="1"/>
  <c r="X42" i="1"/>
  <c r="W12" i="1"/>
  <c r="X12" i="1"/>
  <c r="W204" i="1"/>
  <c r="X204" i="1"/>
  <c r="W272" i="1"/>
  <c r="X272" i="1"/>
  <c r="W190" i="1"/>
  <c r="X190" i="1"/>
  <c r="W123" i="1"/>
  <c r="X123" i="1"/>
  <c r="W141" i="1"/>
  <c r="X141" i="1"/>
  <c r="W298" i="1"/>
  <c r="X298" i="1"/>
  <c r="W155" i="1"/>
  <c r="X155" i="1"/>
  <c r="W91" i="1"/>
  <c r="X91" i="1"/>
  <c r="W166" i="1"/>
  <c r="X166" i="1"/>
  <c r="W34" i="1"/>
  <c r="X34" i="1"/>
  <c r="W107" i="1"/>
  <c r="X107" i="1"/>
  <c r="W126" i="1"/>
  <c r="X126" i="1"/>
  <c r="W105" i="1"/>
  <c r="X105" i="1"/>
  <c r="W171" i="1"/>
  <c r="X171" i="1"/>
  <c r="W76" i="1"/>
  <c r="X76" i="1"/>
  <c r="W21" i="1"/>
  <c r="X21" i="1"/>
  <c r="W96" i="1"/>
  <c r="X96" i="1"/>
  <c r="W222" i="1"/>
  <c r="X222" i="1"/>
  <c r="W147" i="1"/>
  <c r="X147" i="1"/>
  <c r="W138" i="1"/>
  <c r="X138" i="1"/>
  <c r="W150" i="1"/>
  <c r="X150" i="1"/>
  <c r="W15" i="1"/>
  <c r="X15" i="1"/>
  <c r="W133" i="1"/>
  <c r="X133" i="1"/>
  <c r="W250" i="1"/>
  <c r="X250" i="1"/>
  <c r="W103" i="1"/>
  <c r="X103" i="1"/>
  <c r="W108" i="1"/>
  <c r="X108" i="1"/>
  <c r="W46" i="1"/>
  <c r="X46" i="1"/>
  <c r="W239" i="1"/>
  <c r="X239" i="1"/>
  <c r="W266" i="1"/>
  <c r="X266" i="1"/>
  <c r="W205" i="1"/>
  <c r="X205" i="1"/>
  <c r="W216" i="1"/>
  <c r="X216" i="1"/>
  <c r="W4" i="1"/>
  <c r="X4" i="1"/>
  <c r="W292" i="1"/>
  <c r="X292" i="1"/>
  <c r="W302" i="1"/>
  <c r="X302" i="1"/>
  <c r="W157" i="1"/>
  <c r="X157" i="1"/>
  <c r="W227" i="1"/>
  <c r="X227" i="1"/>
  <c r="W230" i="1"/>
  <c r="X230" i="1"/>
  <c r="W273" i="1"/>
  <c r="X273" i="1"/>
  <c r="W294" i="1"/>
  <c r="X294" i="1"/>
  <c r="W215" i="1"/>
  <c r="X215" i="1"/>
  <c r="W279" i="1"/>
  <c r="X279" i="1"/>
  <c r="W186" i="1"/>
  <c r="X186" i="1"/>
  <c r="W278" i="1"/>
  <c r="X278" i="1"/>
  <c r="W174" i="1"/>
  <c r="X174" i="1"/>
  <c r="W283" i="1"/>
  <c r="X283" i="1"/>
  <c r="W271" i="1"/>
  <c r="X271" i="1"/>
  <c r="W47" i="1"/>
  <c r="X47" i="1"/>
  <c r="W45" i="1"/>
  <c r="X45" i="1"/>
  <c r="W254" i="1"/>
  <c r="X254" i="1"/>
  <c r="W83" i="1"/>
  <c r="X83" i="1"/>
  <c r="W24" i="1"/>
  <c r="X24" i="1"/>
  <c r="W159" i="1"/>
  <c r="X159" i="1"/>
  <c r="W258" i="1"/>
  <c r="X258" i="1"/>
  <c r="W92" i="1"/>
  <c r="X92" i="1"/>
  <c r="W120" i="1"/>
  <c r="X120" i="1"/>
  <c r="W290" i="1"/>
  <c r="X290" i="1"/>
  <c r="W32" i="1"/>
  <c r="X32" i="1"/>
  <c r="W56" i="1"/>
  <c r="X56" i="1"/>
  <c r="W85" i="1"/>
  <c r="X85" i="1"/>
  <c r="W247" i="1"/>
  <c r="X247" i="1"/>
  <c r="W139" i="1"/>
  <c r="X139" i="1"/>
  <c r="W9" i="1"/>
  <c r="X9" i="1"/>
  <c r="W207" i="1"/>
  <c r="X207" i="1"/>
  <c r="W86" i="1"/>
  <c r="X86" i="1"/>
  <c r="W88" i="1"/>
  <c r="X88" i="1"/>
  <c r="W14" i="1"/>
  <c r="X14" i="1"/>
  <c r="W158" i="1"/>
  <c r="X158" i="1"/>
  <c r="W13" i="1"/>
  <c r="X13" i="1"/>
  <c r="W249" i="1"/>
  <c r="X249" i="1"/>
  <c r="W87" i="1"/>
  <c r="X87" i="1"/>
  <c r="W112" i="1"/>
  <c r="X112" i="1"/>
  <c r="W62" i="1"/>
  <c r="X62" i="1"/>
  <c r="W100" i="1"/>
  <c r="X100" i="1"/>
  <c r="W269" i="1"/>
  <c r="X269" i="1"/>
  <c r="W300" i="1"/>
  <c r="X300" i="1"/>
  <c r="W262" i="1"/>
  <c r="X262" i="1"/>
  <c r="W84" i="1"/>
  <c r="X84" i="1"/>
  <c r="W149" i="1"/>
  <c r="X149" i="1"/>
  <c r="W235" i="1"/>
  <c r="X235" i="1"/>
  <c r="W196" i="1"/>
  <c r="X196" i="1"/>
  <c r="W93" i="1"/>
  <c r="X93" i="1"/>
  <c r="W238" i="1"/>
  <c r="X238" i="1"/>
  <c r="W11" i="1"/>
  <c r="X11" i="1"/>
  <c r="W70" i="1"/>
  <c r="X70" i="1"/>
  <c r="W275" i="1"/>
  <c r="X275" i="1"/>
  <c r="X49" i="1"/>
  <c r="W49" i="1"/>
  <c r="T49" i="1"/>
  <c r="V49" i="1" s="1"/>
  <c r="T282" i="1"/>
  <c r="V282" i="1" s="1"/>
  <c r="T98" i="1"/>
  <c r="T58" i="1"/>
  <c r="V58" i="1" s="1"/>
  <c r="T185" i="1"/>
  <c r="T288" i="1"/>
  <c r="T37" i="1"/>
  <c r="T5" i="1"/>
  <c r="V5" i="1" s="1"/>
  <c r="T264" i="1"/>
  <c r="V264" i="1" s="1"/>
  <c r="T188" i="1"/>
  <c r="V188" i="1" s="1"/>
  <c r="T115" i="1"/>
  <c r="V115" i="1" s="1"/>
  <c r="T299" i="1"/>
  <c r="T219" i="1"/>
  <c r="T68" i="1"/>
  <c r="T233" i="1"/>
  <c r="T237" i="1"/>
  <c r="T224" i="1"/>
  <c r="T39" i="1"/>
  <c r="T128" i="1"/>
  <c r="V128" i="1" s="1"/>
  <c r="T66" i="1"/>
  <c r="T6" i="1"/>
  <c r="V6" i="1" s="1"/>
  <c r="T220" i="1"/>
  <c r="T184" i="1"/>
  <c r="T77" i="1"/>
  <c r="V77" i="1" s="1"/>
  <c r="T225" i="1"/>
  <c r="T189" i="1"/>
  <c r="V189" i="1" s="1"/>
  <c r="T135" i="1"/>
  <c r="T8" i="1"/>
  <c r="V8" i="1" s="1"/>
  <c r="T59" i="1"/>
  <c r="T191" i="1"/>
  <c r="V191" i="1" s="1"/>
  <c r="T259" i="1"/>
  <c r="T152" i="1"/>
  <c r="V152" i="1" s="1"/>
  <c r="T2" i="1"/>
  <c r="T71" i="1"/>
  <c r="V71" i="1" s="1"/>
  <c r="T50" i="1"/>
  <c r="T16" i="1"/>
  <c r="T232" i="1"/>
  <c r="T312" i="1"/>
  <c r="V312" i="1" s="1"/>
  <c r="T72" i="1"/>
  <c r="V72" i="1" s="1"/>
  <c r="T286" i="1"/>
  <c r="V286" i="1" s="1"/>
  <c r="T267" i="1"/>
  <c r="T199" i="1"/>
  <c r="V199" i="1" s="1"/>
  <c r="T209" i="1"/>
  <c r="T28" i="1"/>
  <c r="T285" i="1"/>
  <c r="T206" i="1"/>
  <c r="T75" i="1"/>
  <c r="V75" i="1" s="1"/>
  <c r="T44" i="1"/>
  <c r="V44" i="1" s="1"/>
  <c r="T274" i="1"/>
  <c r="T210" i="1"/>
  <c r="V210" i="1" s="1"/>
  <c r="T129" i="1"/>
  <c r="T241" i="1"/>
  <c r="T82" i="1"/>
  <c r="V82" i="1" s="1"/>
  <c r="T244" i="1"/>
  <c r="T179" i="1"/>
  <c r="T41" i="1"/>
  <c r="T245" i="1"/>
  <c r="T160" i="1"/>
  <c r="V160" i="1" s="1"/>
  <c r="T136" i="1"/>
  <c r="T301" i="1"/>
  <c r="T156" i="1"/>
  <c r="V156" i="1" s="1"/>
  <c r="T55" i="1"/>
  <c r="V55" i="1" s="1"/>
  <c r="T251" i="1"/>
  <c r="T51" i="1"/>
  <c r="T125" i="1"/>
  <c r="T187" i="1"/>
  <c r="T228" i="1"/>
  <c r="T110" i="1"/>
  <c r="T18" i="1"/>
  <c r="T175" i="1"/>
  <c r="T256" i="1"/>
  <c r="T104" i="1"/>
  <c r="V104" i="1" s="1"/>
  <c r="T79" i="1"/>
  <c r="T270" i="1"/>
  <c r="V270" i="1" s="1"/>
  <c r="T146" i="1"/>
  <c r="V146" i="1" s="1"/>
  <c r="T212" i="1"/>
  <c r="V212" i="1" s="1"/>
  <c r="T218" i="1"/>
  <c r="V218" i="1" s="1"/>
  <c r="T197" i="1"/>
  <c r="V197" i="1" s="1"/>
  <c r="T101" i="1"/>
  <c r="V101" i="1" s="1"/>
  <c r="T20" i="1"/>
  <c r="T201" i="1"/>
  <c r="T7" i="1"/>
  <c r="T52" i="1"/>
  <c r="T25" i="1"/>
  <c r="V25" i="1" s="1"/>
  <c r="T164" i="1"/>
  <c r="T40" i="1"/>
  <c r="T90" i="1"/>
  <c r="V90" i="1" s="1"/>
  <c r="T195" i="1"/>
  <c r="T181" i="1"/>
  <c r="V181" i="1" s="1"/>
  <c r="T148" i="1"/>
  <c r="T117" i="1"/>
  <c r="V117" i="1" s="1"/>
  <c r="T165" i="1"/>
  <c r="V165" i="1" s="1"/>
  <c r="T67" i="1"/>
  <c r="T281" i="1"/>
  <c r="V281" i="1" s="1"/>
  <c r="T137" i="1"/>
  <c r="T208" i="1"/>
  <c r="T284" i="1"/>
  <c r="V284" i="1" s="1"/>
  <c r="T89" i="1"/>
  <c r="T121" i="1"/>
  <c r="T236" i="1"/>
  <c r="T203" i="1"/>
  <c r="V203" i="1" s="1"/>
  <c r="T248" i="1"/>
  <c r="V248" i="1" s="1"/>
  <c r="T106" i="1"/>
  <c r="T178" i="1"/>
  <c r="T255" i="1"/>
  <c r="T200" i="1"/>
  <c r="V200" i="1" s="1"/>
  <c r="T48" i="1"/>
  <c r="V48" i="1" s="1"/>
  <c r="T161" i="1"/>
  <c r="V161" i="1" s="1"/>
  <c r="T27" i="1"/>
  <c r="V27" i="1" s="1"/>
  <c r="T214" i="1"/>
  <c r="V214" i="1" s="1"/>
  <c r="T311" i="1"/>
  <c r="V311" i="1" s="1"/>
  <c r="T60" i="1"/>
  <c r="T172" i="1"/>
  <c r="T54" i="1"/>
  <c r="T229" i="1"/>
  <c r="T308" i="1"/>
  <c r="T65" i="1"/>
  <c r="V65" i="1" s="1"/>
  <c r="T162" i="1"/>
  <c r="V162" i="1" s="1"/>
  <c r="T38" i="1"/>
  <c r="T268" i="1"/>
  <c r="V268" i="1" s="1"/>
  <c r="T296" i="1"/>
  <c r="T163" i="1"/>
  <c r="V163" i="1" s="1"/>
  <c r="T63" i="1"/>
  <c r="T263" i="1"/>
  <c r="V263" i="1" s="1"/>
  <c r="T111" i="1"/>
  <c r="T29" i="1"/>
  <c r="T277" i="1"/>
  <c r="V277" i="1" s="1"/>
  <c r="T183" i="1"/>
  <c r="V183" i="1" s="1"/>
  <c r="T297" i="1"/>
  <c r="V297" i="1" s="1"/>
  <c r="T192" i="1"/>
  <c r="V192" i="1" s="1"/>
  <c r="T252" i="1"/>
  <c r="V252" i="1" s="1"/>
  <c r="T102" i="1"/>
  <c r="V102" i="1" s="1"/>
  <c r="T306" i="1"/>
  <c r="T291" i="1"/>
  <c r="T140" i="1"/>
  <c r="T53" i="1"/>
  <c r="V53" i="1" s="1"/>
  <c r="T217" i="1"/>
  <c r="V217" i="1" s="1"/>
  <c r="T167" i="1"/>
  <c r="T276" i="1"/>
  <c r="T280" i="1"/>
  <c r="T31" i="1"/>
  <c r="V31" i="1" s="1"/>
  <c r="T305" i="1"/>
  <c r="T151" i="1"/>
  <c r="V151" i="1" s="1"/>
  <c r="T177" i="1"/>
  <c r="T43" i="1"/>
  <c r="T80" i="1"/>
  <c r="T94" i="1"/>
  <c r="V94" i="1" s="1"/>
  <c r="T131" i="1"/>
  <c r="T303" i="1"/>
  <c r="T132" i="1"/>
  <c r="T226" i="1"/>
  <c r="T261" i="1"/>
  <c r="V261" i="1" s="1"/>
  <c r="T19" i="1"/>
  <c r="T202" i="1"/>
  <c r="V202" i="1" s="1"/>
  <c r="T78" i="1"/>
  <c r="V78" i="1" s="1"/>
  <c r="T176" i="1"/>
  <c r="T113" i="1"/>
  <c r="T246" i="1"/>
  <c r="V246" i="1" s="1"/>
  <c r="T95" i="1"/>
  <c r="T193" i="1"/>
  <c r="V193" i="1" s="1"/>
  <c r="T134" i="1"/>
  <c r="T260" i="1"/>
  <c r="V260" i="1" s="1"/>
  <c r="T36" i="1"/>
  <c r="T122" i="1"/>
  <c r="V122" i="1" s="1"/>
  <c r="T130" i="1"/>
  <c r="V130" i="1" s="1"/>
  <c r="T30" i="1"/>
  <c r="V30" i="1" s="1"/>
  <c r="T61" i="1"/>
  <c r="T64" i="1"/>
  <c r="T243" i="1"/>
  <c r="V243" i="1" s="1"/>
  <c r="T310" i="1"/>
  <c r="V310" i="1" s="1"/>
  <c r="T295" i="1"/>
  <c r="T143" i="1"/>
  <c r="T26" i="1"/>
  <c r="T116" i="1"/>
  <c r="T265" i="1"/>
  <c r="V265" i="1" s="1"/>
  <c r="T221" i="1"/>
  <c r="V221" i="1" s="1"/>
  <c r="T118" i="1"/>
  <c r="V118" i="1" s="1"/>
  <c r="T114" i="1"/>
  <c r="T97" i="1"/>
  <c r="T223" i="1"/>
  <c r="T81" i="1"/>
  <c r="V81" i="1" s="1"/>
  <c r="T119" i="1"/>
  <c r="T124" i="1"/>
  <c r="T213" i="1"/>
  <c r="T304" i="1"/>
  <c r="V304" i="1" s="1"/>
  <c r="T240" i="1"/>
  <c r="V240" i="1" s="1"/>
  <c r="T144" i="1"/>
  <c r="T307" i="1"/>
  <c r="T287" i="1"/>
  <c r="T3" i="1"/>
  <c r="T168" i="1"/>
  <c r="V168" i="1" s="1"/>
  <c r="T145" i="1"/>
  <c r="T170" i="1"/>
  <c r="V170" i="1" s="1"/>
  <c r="T253" i="1"/>
  <c r="T33" i="1"/>
  <c r="V33" i="1" s="1"/>
  <c r="T234" i="1"/>
  <c r="T242" i="1"/>
  <c r="T73" i="1"/>
  <c r="V73" i="1" s="1"/>
  <c r="T211" i="1"/>
  <c r="V211" i="1" s="1"/>
  <c r="T109" i="1"/>
  <c r="T180" i="1"/>
  <c r="V180" i="1" s="1"/>
  <c r="T293" i="1"/>
  <c r="T194" i="1"/>
  <c r="T35" i="1"/>
  <c r="V35" i="1" s="1"/>
  <c r="T182" i="1"/>
  <c r="V182" i="1" s="1"/>
  <c r="T74" i="1"/>
  <c r="T309" i="1"/>
  <c r="T169" i="1"/>
  <c r="V169" i="1" s="1"/>
  <c r="T23" i="1"/>
  <c r="T231" i="1"/>
  <c r="T127" i="1"/>
  <c r="V127" i="1" s="1"/>
  <c r="T17" i="1"/>
  <c r="T173" i="1"/>
  <c r="V173" i="1" s="1"/>
  <c r="T198" i="1"/>
  <c r="T257" i="1"/>
  <c r="V257" i="1" s="1"/>
  <c r="T99" i="1"/>
  <c r="T154" i="1"/>
  <c r="V154" i="1" s="1"/>
  <c r="T153" i="1"/>
  <c r="V153" i="1" s="1"/>
  <c r="T289" i="1"/>
  <c r="V289" i="1" s="1"/>
  <c r="T142" i="1"/>
  <c r="T10" i="1"/>
  <c r="V10" i="1" s="1"/>
  <c r="T22" i="1"/>
  <c r="T57" i="1"/>
  <c r="T69" i="1"/>
  <c r="T42" i="1"/>
  <c r="T12" i="1"/>
  <c r="T204" i="1"/>
  <c r="V204" i="1" s="1"/>
  <c r="T272" i="1"/>
  <c r="V272" i="1" s="1"/>
  <c r="T190" i="1"/>
  <c r="V190" i="1" s="1"/>
  <c r="T123" i="1"/>
  <c r="V123" i="1" s="1"/>
  <c r="T141" i="1"/>
  <c r="V141" i="1" s="1"/>
  <c r="T298" i="1"/>
  <c r="V298" i="1" s="1"/>
  <c r="T155" i="1"/>
  <c r="V155" i="1" s="1"/>
  <c r="T91" i="1"/>
  <c r="T166" i="1"/>
  <c r="T34" i="1"/>
  <c r="V34" i="1" s="1"/>
  <c r="T107" i="1"/>
  <c r="V107" i="1" s="1"/>
  <c r="T126" i="1"/>
  <c r="T105" i="1"/>
  <c r="V105" i="1" s="1"/>
  <c r="T171" i="1"/>
  <c r="V171" i="1" s="1"/>
  <c r="T76" i="1"/>
  <c r="V76" i="1" s="1"/>
  <c r="T21" i="1"/>
  <c r="T96" i="1"/>
  <c r="T222" i="1"/>
  <c r="V222" i="1" s="1"/>
  <c r="T147" i="1"/>
  <c r="V147" i="1" s="1"/>
  <c r="T138" i="1"/>
  <c r="V138" i="1" s="1"/>
  <c r="T150" i="1"/>
  <c r="T15" i="1"/>
  <c r="V15" i="1" s="1"/>
  <c r="T133" i="1"/>
  <c r="V133" i="1" s="1"/>
  <c r="T250" i="1"/>
  <c r="T103" i="1"/>
  <c r="V103" i="1" s="1"/>
  <c r="T108" i="1"/>
  <c r="T46" i="1"/>
  <c r="V46" i="1" s="1"/>
  <c r="T239" i="1"/>
  <c r="T266" i="1"/>
  <c r="V266" i="1" s="1"/>
  <c r="T205" i="1"/>
  <c r="T216" i="1"/>
  <c r="V216" i="1" s="1"/>
  <c r="T4" i="1"/>
  <c r="T292" i="1"/>
  <c r="T302" i="1"/>
  <c r="V302" i="1" s="1"/>
  <c r="T157" i="1"/>
  <c r="V157" i="1" s="1"/>
  <c r="T227" i="1"/>
  <c r="V227" i="1" s="1"/>
  <c r="T230" i="1"/>
  <c r="T273" i="1"/>
  <c r="V273" i="1" s="1"/>
  <c r="T294" i="1"/>
  <c r="T215" i="1"/>
  <c r="T279" i="1"/>
  <c r="T186" i="1"/>
  <c r="T278" i="1"/>
  <c r="T174" i="1"/>
  <c r="V174" i="1" s="1"/>
  <c r="T283" i="1"/>
  <c r="V283" i="1" s="1"/>
  <c r="T271" i="1"/>
  <c r="T47" i="1"/>
  <c r="T45" i="1"/>
  <c r="V45" i="1" s="1"/>
  <c r="T254" i="1"/>
  <c r="T83" i="1"/>
  <c r="V83" i="1" s="1"/>
  <c r="T24" i="1"/>
  <c r="V24" i="1" s="1"/>
  <c r="T159" i="1"/>
  <c r="T258" i="1"/>
  <c r="V258" i="1" s="1"/>
  <c r="T92" i="1"/>
  <c r="T120" i="1"/>
  <c r="V120" i="1" s="1"/>
  <c r="T290" i="1"/>
  <c r="T32" i="1"/>
  <c r="T56" i="1"/>
  <c r="V56" i="1" s="1"/>
  <c r="T85" i="1"/>
  <c r="V85" i="1" s="1"/>
  <c r="T247" i="1"/>
  <c r="T139" i="1"/>
  <c r="V139" i="1" s="1"/>
  <c r="T9" i="1"/>
  <c r="T207" i="1"/>
  <c r="V207" i="1" s="1"/>
  <c r="T86" i="1"/>
  <c r="T88" i="1"/>
  <c r="V88" i="1" s="1"/>
  <c r="T14" i="1"/>
  <c r="V14" i="1" s="1"/>
  <c r="T158" i="1"/>
  <c r="V158" i="1" s="1"/>
  <c r="T13" i="1"/>
  <c r="V13" i="1" s="1"/>
  <c r="T249" i="1"/>
  <c r="T87" i="1"/>
  <c r="V87" i="1" s="1"/>
  <c r="T112" i="1"/>
  <c r="T62" i="1"/>
  <c r="T100" i="1"/>
  <c r="V100" i="1" s="1"/>
  <c r="T269" i="1"/>
  <c r="V269" i="1" s="1"/>
  <c r="T300" i="1"/>
  <c r="T262" i="1"/>
  <c r="V262" i="1" s="1"/>
  <c r="T84" i="1"/>
  <c r="T149" i="1"/>
  <c r="V149" i="1" s="1"/>
  <c r="T235" i="1"/>
  <c r="V235" i="1" s="1"/>
  <c r="T196" i="1"/>
  <c r="V196" i="1" s="1"/>
  <c r="T93" i="1"/>
  <c r="T238" i="1"/>
  <c r="V238" i="1" s="1"/>
  <c r="T11" i="1"/>
  <c r="T70" i="1"/>
  <c r="V70" i="1" s="1"/>
  <c r="T275" i="1"/>
</calcChain>
</file>

<file path=xl/sharedStrings.xml><?xml version="1.0" encoding="utf-8"?>
<sst xmlns="http://schemas.openxmlformats.org/spreadsheetml/2006/main" count="51862" uniqueCount="8318">
  <si>
    <t>ACCN_ID</t>
  </si>
  <si>
    <t>NAME</t>
  </si>
  <si>
    <t>ACCN_TYPE</t>
  </si>
  <si>
    <t>VAT_NO</t>
  </si>
  <si>
    <t>CK0074</t>
  </si>
  <si>
    <t>DSV SINGAPORE</t>
  </si>
  <si>
    <t>ACC_TYPE_CO</t>
  </si>
  <si>
    <t>111</t>
  </si>
  <si>
    <t>CK0102</t>
  </si>
  <si>
    <t>PT. YUSEN LOGISTICS INDONESIA</t>
  </si>
  <si>
    <t>013311865058000</t>
  </si>
  <si>
    <t>CK0037</t>
  </si>
  <si>
    <t>PT MERAPI DUNIA TEKSTIL</t>
  </si>
  <si>
    <t>ACC_TYPE_TO</t>
  </si>
  <si>
    <t>913733838527000</t>
  </si>
  <si>
    <t>CK0164</t>
  </si>
  <si>
    <t>INESIA KARGOTAMA INDONESIA</t>
  </si>
  <si>
    <t>032829947001000</t>
  </si>
  <si>
    <t>CK0261</t>
  </si>
  <si>
    <t>PT. KUANTUM LOGISTIK INDONESIA</t>
  </si>
  <si>
    <t>662108869043000</t>
  </si>
  <si>
    <t>CK0112</t>
  </si>
  <si>
    <t>RAMS D.O.O.</t>
  </si>
  <si>
    <t>ACC_TYPE_FF</t>
  </si>
  <si>
    <t>92240895</t>
  </si>
  <si>
    <t>CK0221</t>
  </si>
  <si>
    <t>CV. NAWASENA BERKAH MANDIRI</t>
  </si>
  <si>
    <t>436406961435000</t>
  </si>
  <si>
    <t>CK0045</t>
  </si>
  <si>
    <t>23523523</t>
  </si>
  <si>
    <t>523464363423523</t>
  </si>
  <si>
    <t>CK0281</t>
  </si>
  <si>
    <t>PT. SURYA PERSADA MANDIRI</t>
  </si>
  <si>
    <t>024213464439000</t>
  </si>
  <si>
    <t>CK0295</t>
  </si>
  <si>
    <t>PT. LASMINI BADRA PERKASA</t>
  </si>
  <si>
    <t>957931074433000</t>
  </si>
  <si>
    <t>CK0256</t>
  </si>
  <si>
    <t>PT. ALD LOGISTIK INDONESIA</t>
  </si>
  <si>
    <t>660465048416000</t>
  </si>
  <si>
    <t>CK0140</t>
  </si>
  <si>
    <t>SUDI TRUCKERS</t>
  </si>
  <si>
    <t>11232218234</t>
  </si>
  <si>
    <t>CK0147</t>
  </si>
  <si>
    <t>PT. PARI PURA RAYA</t>
  </si>
  <si>
    <t>023232911407000</t>
  </si>
  <si>
    <t>CK0087</t>
  </si>
  <si>
    <t>MAHAKARYA SAMUDRA PERKASA</t>
  </si>
  <si>
    <t>956192413044000</t>
  </si>
  <si>
    <t>CK0237</t>
  </si>
  <si>
    <t>PT. RAHYANG KALYSTA BERJAYA</t>
  </si>
  <si>
    <t>911426773447000</t>
  </si>
  <si>
    <t>CK0113</t>
  </si>
  <si>
    <t>PT. REAL ACCESS INTERNATIONAL</t>
  </si>
  <si>
    <t>026838292048000</t>
  </si>
  <si>
    <t>CK0243</t>
  </si>
  <si>
    <t>PT. PRAJA LAKSANA GROUP</t>
  </si>
  <si>
    <t>533816781447000</t>
  </si>
  <si>
    <t>CK0232</t>
  </si>
  <si>
    <t>CV. PAMUNGKAS SAKTI LOGISTIK</t>
  </si>
  <si>
    <t>413745878505000</t>
  </si>
  <si>
    <t>CK0207</t>
  </si>
  <si>
    <t>PT. ATRI DISTRIBUSINDO</t>
  </si>
  <si>
    <t>017442930085000</t>
  </si>
  <si>
    <t>CK0067</t>
  </si>
  <si>
    <t>LINFOX TRUCKING</t>
  </si>
  <si>
    <t>000000</t>
  </si>
  <si>
    <t>CK0092</t>
  </si>
  <si>
    <t>ABIZARD NIAGA UTAMA</t>
  </si>
  <si>
    <t>418860896406000</t>
  </si>
  <si>
    <t>CK0274</t>
  </si>
  <si>
    <t>PT. PARI PURA TRANS</t>
  </si>
  <si>
    <t>401821517407000</t>
  </si>
  <si>
    <t>CK0238</t>
  </si>
  <si>
    <t>PT. KITA KAYA LOGISTIK</t>
  </si>
  <si>
    <t>962706933411000</t>
  </si>
  <si>
    <t>CK0010</t>
  </si>
  <si>
    <t>PHC INDONESIA</t>
  </si>
  <si>
    <t>010815769055000</t>
  </si>
  <si>
    <t>CK0133</t>
  </si>
  <si>
    <t>PT. PRAMONO MULTI TRANS</t>
  </si>
  <si>
    <t>739769297504000</t>
  </si>
  <si>
    <t>CK0287</t>
  </si>
  <si>
    <t>PT. LAZUARDO VITTORIO INDONESIA</t>
  </si>
  <si>
    <t>926586116016000</t>
  </si>
  <si>
    <t>CK0335</t>
  </si>
  <si>
    <t>PT. BICEPT BANGUN JAYA</t>
  </si>
  <si>
    <t>938148673447000</t>
  </si>
  <si>
    <t>CK0026</t>
  </si>
  <si>
    <t>AGUNG PRAS</t>
  </si>
  <si>
    <t>704142322402000</t>
  </si>
  <si>
    <t>CK0181</t>
  </si>
  <si>
    <t>INTERNAL YUSEN TRUCKING</t>
  </si>
  <si>
    <t>111111111111111</t>
  </si>
  <si>
    <t>CK0250</t>
  </si>
  <si>
    <t>PT. LIMA SARANA TRANS</t>
  </si>
  <si>
    <t>958056780006000</t>
  </si>
  <si>
    <t>CK0252</t>
  </si>
  <si>
    <t>PT. SONYA BUANA SEJAHTERA</t>
  </si>
  <si>
    <t>627438484012000</t>
  </si>
  <si>
    <t>CK0222</t>
  </si>
  <si>
    <t>PT. EKSPEDISI SEHATI ABADI</t>
  </si>
  <si>
    <t>958846396043000</t>
  </si>
  <si>
    <t>CK0173</t>
  </si>
  <si>
    <t>[TRIAL] PT. BERKAT ANAK BANGSA</t>
  </si>
  <si>
    <t>919845255541000</t>
  </si>
  <si>
    <t>CK0106</t>
  </si>
  <si>
    <t>MITSUIANDCO GLOBAL LOGISTICS INDONESIA</t>
  </si>
  <si>
    <t>018700146058000</t>
  </si>
  <si>
    <t>CK0190</t>
  </si>
  <si>
    <t>DSVS-KFC DELIVERY</t>
  </si>
  <si>
    <t>76654</t>
  </si>
  <si>
    <t>CK0030</t>
  </si>
  <si>
    <t>CICILIA SANTOSO</t>
  </si>
  <si>
    <t>210297685025000</t>
  </si>
  <si>
    <t>CK0298</t>
  </si>
  <si>
    <t>PT. RAFAY ANUGRAH LOGISTIK INDONESIA</t>
  </si>
  <si>
    <t>627299217435000</t>
  </si>
  <si>
    <t>CK0128</t>
  </si>
  <si>
    <t>YOTO LTD</t>
  </si>
  <si>
    <t>150055385</t>
  </si>
  <si>
    <t>CK0218</t>
  </si>
  <si>
    <t>MOBILITAS DIGITAL INDONESIA</t>
  </si>
  <si>
    <t>21312312</t>
  </si>
  <si>
    <t>CK0161</t>
  </si>
  <si>
    <t>PT.GLOBAL PUTRA INDOLOGISTICS</t>
  </si>
  <si>
    <t>013437918074000</t>
  </si>
  <si>
    <t>CK0260</t>
  </si>
  <si>
    <t>PT. TAMBUN JAYA ABADI</t>
  </si>
  <si>
    <t>765196860435000</t>
  </si>
  <si>
    <t>CK0283</t>
  </si>
  <si>
    <t>PT. MARIYANA TRANSPORTASI LOGISTIK</t>
  </si>
  <si>
    <t>404564395435000</t>
  </si>
  <si>
    <t>CK0245</t>
  </si>
  <si>
    <t>PT. NADJA TRANS LOGISTIK</t>
  </si>
  <si>
    <t>655289221427000</t>
  </si>
  <si>
    <t>CK0146</t>
  </si>
  <si>
    <t>CV. FAEYZA PUTRA MANDIRI</t>
  </si>
  <si>
    <t>032471914008000</t>
  </si>
  <si>
    <t>CK0216</t>
  </si>
  <si>
    <t>PT. ZENSHIN TECHNOLOGY INTERNATIONAL</t>
  </si>
  <si>
    <t>639336536061000</t>
  </si>
  <si>
    <t>CK0072</t>
  </si>
  <si>
    <t>PT. MORA MULTI BERKAH</t>
  </si>
  <si>
    <t>960208833125000</t>
  </si>
  <si>
    <t>CK0090</t>
  </si>
  <si>
    <t>OCEAN GLOBAL SHIPPING LOGISTICS</t>
  </si>
  <si>
    <t>010708105058000</t>
  </si>
  <si>
    <t>CK0058</t>
  </si>
  <si>
    <t>DHL GLOBAL FORWARDING INDONESIA</t>
  </si>
  <si>
    <t>019579218058000</t>
  </si>
  <si>
    <t>CK0014</t>
  </si>
  <si>
    <t>PT. TRISINDO PRIMA CARGO</t>
  </si>
  <si>
    <t>017776626048000</t>
  </si>
  <si>
    <t>CK0275</t>
  </si>
  <si>
    <t>PT. NADJA TRANS LOGISTIK [CARGO OWNER]</t>
  </si>
  <si>
    <t>CK0268</t>
  </si>
  <si>
    <t>PT. AWANI SEJAHTERA ANUGERAH</t>
  </si>
  <si>
    <t>608135448407000</t>
  </si>
  <si>
    <t>CK0278</t>
  </si>
  <si>
    <t>PT. ROKET EKSPRES DIRGANTARA</t>
  </si>
  <si>
    <t>933808560901000</t>
  </si>
  <si>
    <t>CK0111</t>
  </si>
  <si>
    <t>PT CRANE WORLDWIDE LOGISTICS INDONESIA</t>
  </si>
  <si>
    <t>211227434013000</t>
  </si>
  <si>
    <t>CK0223</t>
  </si>
  <si>
    <t>PT. SAUDARA SUKSES ABADI</t>
  </si>
  <si>
    <t>724542097045000</t>
  </si>
  <si>
    <t>CK0110</t>
  </si>
  <si>
    <t>PT. KENCANA AGRO MEGAH GEMILANG</t>
  </si>
  <si>
    <t>412510240414000</t>
  </si>
  <si>
    <t>CK0142</t>
  </si>
  <si>
    <t>CV. SATRIA JAYA BAN</t>
  </si>
  <si>
    <t>704231547435000</t>
  </si>
  <si>
    <t>CK0276</t>
  </si>
  <si>
    <t>PT. SAWARGI ESA PERKASA</t>
  </si>
  <si>
    <t>628528283408000</t>
  </si>
  <si>
    <t>CK0120</t>
  </si>
  <si>
    <t>PT. GOOD LOGISTICS TERMINAL</t>
  </si>
  <si>
    <t>949652564045000</t>
  </si>
  <si>
    <t>CK0194</t>
  </si>
  <si>
    <t>PT. BINA MITRA SEGARA SETIA</t>
  </si>
  <si>
    <t>016036253043000</t>
  </si>
  <si>
    <t>CK0082</t>
  </si>
  <si>
    <t>SZETO GLOBAL INDONESIA</t>
  </si>
  <si>
    <t>755605938045000</t>
  </si>
  <si>
    <t>CK0091</t>
  </si>
  <si>
    <t>PT. GAMA LOGISTICS</t>
  </si>
  <si>
    <t>023417793086000</t>
  </si>
  <si>
    <t>CK0018</t>
  </si>
  <si>
    <t>GREEN HARMONY INDONESIA</t>
  </si>
  <si>
    <t>843436072704000</t>
  </si>
  <si>
    <t>CK0084</t>
  </si>
  <si>
    <t>PT. SEMI BERKAH JAYA</t>
  </si>
  <si>
    <t>969821800432000</t>
  </si>
  <si>
    <t>CK0019</t>
  </si>
  <si>
    <t>GATOTKACA TRANS SYSTEMINDO (TRUCKING)</t>
  </si>
  <si>
    <t>020404224435000</t>
  </si>
  <si>
    <t>CK0197</t>
  </si>
  <si>
    <t>PT. ARMADA BERJAYA TRANS, TBK</t>
  </si>
  <si>
    <t>032504334047000</t>
  </si>
  <si>
    <t>CK0100</t>
  </si>
  <si>
    <t>PT. KWE TRUCKING</t>
  </si>
  <si>
    <t>123</t>
  </si>
  <si>
    <t>CK0233</t>
  </si>
  <si>
    <t>PT. PROMOTER JAYA MANDIRI</t>
  </si>
  <si>
    <t>931056311013000</t>
  </si>
  <si>
    <t>CK0171</t>
  </si>
  <si>
    <t>PT WANGSA JAYA MANDIRI</t>
  </si>
  <si>
    <t>832968630444000</t>
  </si>
  <si>
    <t>CK0313</t>
  </si>
  <si>
    <t>CV ALI TRANS</t>
  </si>
  <si>
    <t>742770878542000</t>
  </si>
  <si>
    <t>CK0191</t>
  </si>
  <si>
    <t>PT. KARYA ABADI SEJATI</t>
  </si>
  <si>
    <t>21872130045000</t>
  </si>
  <si>
    <t>CK0265</t>
  </si>
  <si>
    <t>PT. SINAR TUNGGAL JAYA UTAMA GEMILANG</t>
  </si>
  <si>
    <t>613248046445000</t>
  </si>
  <si>
    <t>CK0002</t>
  </si>
  <si>
    <t>PT PANASONIC MANUFACTURING INDONESIA</t>
  </si>
  <si>
    <t>010006047092000</t>
  </si>
  <si>
    <t>CK0029</t>
  </si>
  <si>
    <t>PRATAMA AMIRAH SENTOSA</t>
  </si>
  <si>
    <t>922124995225000</t>
  </si>
  <si>
    <t>CK0210</t>
  </si>
  <si>
    <t>PT. TRANSINDO JAYATAMA LOGISTIK</t>
  </si>
  <si>
    <t>741541080034000</t>
  </si>
  <si>
    <t>CK0325</t>
  </si>
  <si>
    <t>PT. DELTA UTAMA GEMILANG [CARGO OWNER]</t>
  </si>
  <si>
    <t>530684018517000</t>
  </si>
  <si>
    <t>CK0331</t>
  </si>
  <si>
    <t>PT. NAWA PATRA LOGISTIK</t>
  </si>
  <si>
    <t>611747403042000</t>
  </si>
  <si>
    <t>CK0107</t>
  </si>
  <si>
    <t>PT. PANDU USAHA JAYA</t>
  </si>
  <si>
    <t>023644131045000</t>
  </si>
  <si>
    <t>CK0304</t>
  </si>
  <si>
    <t>PT. MANDALA SELA EKSPRES</t>
  </si>
  <si>
    <t>906636022045000</t>
  </si>
  <si>
    <t>CK0028</t>
  </si>
  <si>
    <t>PT NATURA KARUNIA AGUNG</t>
  </si>
  <si>
    <t>940348311028000</t>
  </si>
  <si>
    <t>CK0174</t>
  </si>
  <si>
    <t>CV DUTA ANDALAN PERKASA</t>
  </si>
  <si>
    <t>652595596427000</t>
  </si>
  <si>
    <t>CK0145</t>
  </si>
  <si>
    <t>PT. MEGA RIZKI NUSANTARA</t>
  </si>
  <si>
    <t>416514743413000</t>
  </si>
  <si>
    <t>CK0123</t>
  </si>
  <si>
    <t>ADATRANS LTD</t>
  </si>
  <si>
    <t>100013778517</t>
  </si>
  <si>
    <t>CK0017</t>
  </si>
  <si>
    <t>GLOBAL PUTRA INTERNATIONAL</t>
  </si>
  <si>
    <t>020974002074000</t>
  </si>
  <si>
    <t>CK0314</t>
  </si>
  <si>
    <t>CV. AWAL LESTARI REZEKI</t>
  </si>
  <si>
    <t>539833020455000</t>
  </si>
  <si>
    <t>CK0022</t>
  </si>
  <si>
    <t>PT. HANTARAN KURIER NUSANTARA / KURIERID</t>
  </si>
  <si>
    <t>837799998411000</t>
  </si>
  <si>
    <t>CK0327</t>
  </si>
  <si>
    <t>CV. RAFA PRATAMA MANDIRI</t>
  </si>
  <si>
    <t>854536075643000</t>
  </si>
  <si>
    <t>CK0066</t>
  </si>
  <si>
    <t>PT HACACA CENTRAL LOGISTICS</t>
  </si>
  <si>
    <t>312773328435000</t>
  </si>
  <si>
    <t>CK0324</t>
  </si>
  <si>
    <t>PT. MAJU ABADI LOGISTIK</t>
  </si>
  <si>
    <t>390159192421000</t>
  </si>
  <si>
    <t>CK0315</t>
  </si>
  <si>
    <t>PT. KHALID BERKAH TRANSPORTASI</t>
  </si>
  <si>
    <t>409243698435000</t>
  </si>
  <si>
    <t>CK0272</t>
  </si>
  <si>
    <t>PT. DIAN GIRI SELARAS</t>
  </si>
  <si>
    <t>715728424008000</t>
  </si>
  <si>
    <t>CK0253</t>
  </si>
  <si>
    <t>PT. ALIRA JAYA TRANPORTASI</t>
  </si>
  <si>
    <t>436263396503000</t>
  </si>
  <si>
    <t>CK0255</t>
  </si>
  <si>
    <t>PT. INESIA FOOD INDONESIA</t>
  </si>
  <si>
    <t>967640251001000</t>
  </si>
  <si>
    <t>CK0023</t>
  </si>
  <si>
    <t>LINK PASIPIK INDONUSA</t>
  </si>
  <si>
    <t>025047176043000</t>
  </si>
  <si>
    <t>CK0230</t>
  </si>
  <si>
    <t>PT. YANG KEE LOGISTICS INDONESIA</t>
  </si>
  <si>
    <t>825566425063000</t>
  </si>
  <si>
    <t>CK0337</t>
  </si>
  <si>
    <t>PT. BINTANG INDONESIA GEMPITA</t>
  </si>
  <si>
    <t>032015422613000</t>
  </si>
  <si>
    <t>CK0290</t>
  </si>
  <si>
    <t>PT. MULIA CAHAYA WIGUNA</t>
  </si>
  <si>
    <t>962634101044000</t>
  </si>
  <si>
    <t>CK0215</t>
  </si>
  <si>
    <t>PT. ZEN INDOTAMA LOGISTIK</t>
  </si>
  <si>
    <t>960261956016000</t>
  </si>
  <si>
    <t>CK0105</t>
  </si>
  <si>
    <t>PT HACACA CENTRAL LOGISTIC</t>
  </si>
  <si>
    <t>CK0101</t>
  </si>
  <si>
    <t>PT. ANINDYA JIFA PERDANA (TRUCKING)</t>
  </si>
  <si>
    <t>916441256042000</t>
  </si>
  <si>
    <t>CK0316</t>
  </si>
  <si>
    <t>PT. RALIANS MULTI SOLUSINDO</t>
  </si>
  <si>
    <t>650667272447000</t>
  </si>
  <si>
    <t>CK0341</t>
  </si>
  <si>
    <t>PT. MITRA INTI TRANS</t>
  </si>
  <si>
    <t>904363520002000</t>
  </si>
  <si>
    <t>CK0263</t>
  </si>
  <si>
    <t>PT. SEKAR ARUM JAYA BERSAUDARA</t>
  </si>
  <si>
    <t>819248204408000</t>
  </si>
  <si>
    <t>CK0209</t>
  </si>
  <si>
    <t>PT RODA DJATI TRANS LOGISTIK</t>
  </si>
  <si>
    <t>613805100527000</t>
  </si>
  <si>
    <t>CK0115</t>
  </si>
  <si>
    <t>PT. KENARA TRANSPORTASI NUSANTARA</t>
  </si>
  <si>
    <t>422311480034000</t>
  </si>
  <si>
    <t>CK0340</t>
  </si>
  <si>
    <t>PT. SINAR LINTAS MAJU</t>
  </si>
  <si>
    <t>854379344508000</t>
  </si>
  <si>
    <t>CK0320</t>
  </si>
  <si>
    <t>PT. MEGA PRIMA LUMINTU</t>
  </si>
  <si>
    <t>821275013435000</t>
  </si>
  <si>
    <t>CK0070</t>
  </si>
  <si>
    <t>DHL SUPPLY CHAIN (CARGO OWNER)</t>
  </si>
  <si>
    <t>123456123456</t>
  </si>
  <si>
    <t>CK0013</t>
  </si>
  <si>
    <t>PT. GPI LOGISTICS</t>
  </si>
  <si>
    <t>CK0310</t>
  </si>
  <si>
    <t>CV. DATUAK LANSANO MAJU BERSAMA NAYAKA</t>
  </si>
  <si>
    <t>614528925005000</t>
  </si>
  <si>
    <t>CK0188</t>
  </si>
  <si>
    <t>PT. NOAH LOGISTIK INDONESIA</t>
  </si>
  <si>
    <t>032231532047000</t>
  </si>
  <si>
    <t>CK0038</t>
  </si>
  <si>
    <t>YAYASAN YAYASAN HIDAYATUL IBTIDA</t>
  </si>
  <si>
    <t>964146179434000</t>
  </si>
  <si>
    <t>CK0130</t>
  </si>
  <si>
    <t>INTEROFFICE DUMMY SIN - FDA</t>
  </si>
  <si>
    <t>99887</t>
  </si>
  <si>
    <t>CK0267</t>
  </si>
  <si>
    <t>PT. JENA SOLUSI TRANSPORT</t>
  </si>
  <si>
    <t>532694668643000</t>
  </si>
  <si>
    <t>CK0079</t>
  </si>
  <si>
    <t>GPI TRUCKING</t>
  </si>
  <si>
    <t>123456789012345</t>
  </si>
  <si>
    <t>CK0254</t>
  </si>
  <si>
    <t>PT. PURNA  ABDI LOGISTIK</t>
  </si>
  <si>
    <t>633958400606000</t>
  </si>
  <si>
    <t>CK0178</t>
  </si>
  <si>
    <t>TRY LOGISTICS</t>
  </si>
  <si>
    <t>199991199991</t>
  </si>
  <si>
    <t>CK0068</t>
  </si>
  <si>
    <t>LINFOX</t>
  </si>
  <si>
    <t>0000000</t>
  </si>
  <si>
    <t>CK0339</t>
  </si>
  <si>
    <t>PT. GUBAH MITRA INDONESIA</t>
  </si>
  <si>
    <t>733153431011000</t>
  </si>
  <si>
    <t>CK0303</t>
  </si>
  <si>
    <t>CV. NUSANTARA CITRA JAYA</t>
  </si>
  <si>
    <t>926500935619000</t>
  </si>
  <si>
    <t>CK0125</t>
  </si>
  <si>
    <t>PT. TERA EXPORT INDONESIA</t>
  </si>
  <si>
    <t>539069229408000</t>
  </si>
  <si>
    <t>CK0009</t>
  </si>
  <si>
    <t>SOLI DEO GRATIA</t>
  </si>
  <si>
    <t>312156946071000</t>
  </si>
  <si>
    <t>CK0259</t>
  </si>
  <si>
    <t>PT. HANDAL DELIVERI LOGISTIK</t>
  </si>
  <si>
    <t>636846966447000</t>
  </si>
  <si>
    <t>CK0035</t>
  </si>
  <si>
    <t>KOPERASI</t>
  </si>
  <si>
    <t>181818181818</t>
  </si>
  <si>
    <t>CK0307</t>
  </si>
  <si>
    <t>PT. SURYA KENCANA PRATAMA</t>
  </si>
  <si>
    <t>737582510045000</t>
  </si>
  <si>
    <t>CK0262</t>
  </si>
  <si>
    <t>PT.  INESIA KARGOTAMA INDONESIA [TRUCKING]</t>
  </si>
  <si>
    <t>CK0333</t>
  </si>
  <si>
    <t>CV. HAMETRA JAYA TRANS</t>
  </si>
  <si>
    <t>400555579532000</t>
  </si>
  <si>
    <t>CK0269</t>
  </si>
  <si>
    <t>PT. VEKTRUCK TRANS DIGILOGISTIK</t>
  </si>
  <si>
    <t>614863173643000</t>
  </si>
  <si>
    <t>CK0042</t>
  </si>
  <si>
    <t>PT. KINTETSU WORLD EXPRESS INDONESIA</t>
  </si>
  <si>
    <t>021940507058000</t>
  </si>
  <si>
    <t>CK0052</t>
  </si>
  <si>
    <t>STARK</t>
  </si>
  <si>
    <t>43535676</t>
  </si>
  <si>
    <t>CK0317</t>
  </si>
  <si>
    <t>PT. LINTAS PRIMA INDONESIA</t>
  </si>
  <si>
    <t>813783461432000</t>
  </si>
  <si>
    <t>CK0292</t>
  </si>
  <si>
    <t>PT. SEMULTIC WTP LOGISTICS INDO</t>
  </si>
  <si>
    <t>030840011005000</t>
  </si>
  <si>
    <t>CK0109</t>
  </si>
  <si>
    <t>PT NUSANTARA SOURCING HUB</t>
  </si>
  <si>
    <t>534611207014000</t>
  </si>
  <si>
    <t>CK0176</t>
  </si>
  <si>
    <t>TRIPLE A EXPRESS LOGISTIC</t>
  </si>
  <si>
    <t>202003355764</t>
  </si>
  <si>
    <t>CK0078</t>
  </si>
  <si>
    <t>SG SAGAWA AMEROID PTE LTD</t>
  </si>
  <si>
    <t>11212</t>
  </si>
  <si>
    <t>CK0199</t>
  </si>
  <si>
    <t>PT. CERINDO PRIMA LOGISTIK</t>
  </si>
  <si>
    <t>000000000000000</t>
  </si>
  <si>
    <t>CK0073</t>
  </si>
  <si>
    <t>GLOBAL TRANSPORTASI NUSANTARA</t>
  </si>
  <si>
    <t>018497396074000</t>
  </si>
  <si>
    <t>CK0089</t>
  </si>
  <si>
    <t>PT. PANAH PERDANA LOGISINDO</t>
  </si>
  <si>
    <t>018241182073000</t>
  </si>
  <si>
    <t>CK0220</t>
  </si>
  <si>
    <t>PT. INTERMODA NATAMA TRANS</t>
  </si>
  <si>
    <t>019332071003000</t>
  </si>
  <si>
    <t>CK0095</t>
  </si>
  <si>
    <t>PT. UNILEVER INDONESIA TBK</t>
  </si>
  <si>
    <t>010017010092000</t>
  </si>
  <si>
    <t>CK0044</t>
  </si>
  <si>
    <t>PT. WORLDWIDE LOGISTICS SOLUTION</t>
  </si>
  <si>
    <t>858809908031000</t>
  </si>
  <si>
    <t>CK0322</t>
  </si>
  <si>
    <t>CV. KHAROMAH BERKAH TRANS</t>
  </si>
  <si>
    <t>428988133427000</t>
  </si>
  <si>
    <t>CK0034</t>
  </si>
  <si>
    <t>TRIMASAJIJAYA</t>
  </si>
  <si>
    <t>720681709435000</t>
  </si>
  <si>
    <t>CK0192</t>
  </si>
  <si>
    <t>PT. DUTA LESTARI SEGARA</t>
  </si>
  <si>
    <t>017499104043000</t>
  </si>
  <si>
    <t>CK0132</t>
  </si>
  <si>
    <t>PT. KARYA KENCANA</t>
  </si>
  <si>
    <t>024020992518000</t>
  </si>
  <si>
    <t>CK0143</t>
  </si>
  <si>
    <t>CV. SUMBER SEJAHTERA ABADI</t>
  </si>
  <si>
    <t>619171747413000</t>
  </si>
  <si>
    <t>CK0099</t>
  </si>
  <si>
    <t>PT . KARO RAYA TRANS</t>
  </si>
  <si>
    <t>426714689043000</t>
  </si>
  <si>
    <t>CK0138</t>
  </si>
  <si>
    <t>PT KINARYA MANDIRI TRANS</t>
  </si>
  <si>
    <t>023964182503000</t>
  </si>
  <si>
    <t>CK0185</t>
  </si>
  <si>
    <t>PT. BENA MULIA KARINA</t>
  </si>
  <si>
    <t>017439795048000</t>
  </si>
  <si>
    <t>CK0065</t>
  </si>
  <si>
    <t>TESTING COMPANY</t>
  </si>
  <si>
    <t>7325561819211</t>
  </si>
  <si>
    <t>CK0217</t>
  </si>
  <si>
    <t>PT. BERKAH GLOBAL PRATAMA</t>
  </si>
  <si>
    <t>709516835412000</t>
  </si>
  <si>
    <t>CK0257</t>
  </si>
  <si>
    <t>PT. PREMIUMTRANS LINTAS NUSANTARA</t>
  </si>
  <si>
    <t>723480232403000</t>
  </si>
  <si>
    <t>CK0001</t>
  </si>
  <si>
    <t>PT. SUMI RUBBER INDONESIA</t>
  </si>
  <si>
    <t>010711521052000</t>
  </si>
  <si>
    <t>CK0200</t>
  </si>
  <si>
    <t>CV ANANDHI</t>
  </si>
  <si>
    <t>000000000000001</t>
  </si>
  <si>
    <t>CK0208</t>
  </si>
  <si>
    <t>PT. MITRA ANDALAN SEGARA</t>
  </si>
  <si>
    <t>031911688048000</t>
  </si>
  <si>
    <t>CK0033</t>
  </si>
  <si>
    <t>PILARMEDIA</t>
  </si>
  <si>
    <t>1234</t>
  </si>
  <si>
    <t>CK0308</t>
  </si>
  <si>
    <t>PT. KARYA DUA BINTANG</t>
  </si>
  <si>
    <t>408039717042000</t>
  </si>
  <si>
    <t>CK0050</t>
  </si>
  <si>
    <t>PT. ADHIKA MAJU MANDIRI</t>
  </si>
  <si>
    <t/>
  </si>
  <si>
    <t>025045030042000</t>
  </si>
  <si>
    <t>CK0204</t>
  </si>
  <si>
    <t>PT. SAYAP MAS UTAMA</t>
  </si>
  <si>
    <t>013046511092000</t>
  </si>
  <si>
    <t>CK0180</t>
  </si>
  <si>
    <t>PT KUMALA LOGISTICS</t>
  </si>
  <si>
    <t>026673491033000</t>
  </si>
  <si>
    <t>CK0346</t>
  </si>
  <si>
    <t>PT. LUKS PRIMA SARANA</t>
  </si>
  <si>
    <t>412253882005000</t>
  </si>
  <si>
    <t>CK0139</t>
  </si>
  <si>
    <t>PT. BERKAH JAYA LESTARINDO</t>
  </si>
  <si>
    <t>729598128503000</t>
  </si>
  <si>
    <t>CK0205</t>
  </si>
  <si>
    <t>PT. SUGAR LABINTA</t>
  </si>
  <si>
    <t>020446449325000</t>
  </si>
  <si>
    <t>CK0286</t>
  </si>
  <si>
    <t>CV. MULIA MARETNO ABADI - TRUCKING VENDOR</t>
  </si>
  <si>
    <t>316646967616009</t>
  </si>
  <si>
    <t>CK0195</t>
  </si>
  <si>
    <t>PT. ANUGERAH AGUNG ABADI LOGISTICS</t>
  </si>
  <si>
    <t>018770719042000</t>
  </si>
  <si>
    <t>CK0343</t>
  </si>
  <si>
    <t>PT. AWANI SEJAHTERA ANUGERAH [CARGO OWNER]</t>
  </si>
  <si>
    <t>CK0312</t>
  </si>
  <si>
    <t>CV. HARBA LOGISTICS</t>
  </si>
  <si>
    <t>808863609525000</t>
  </si>
  <si>
    <t>CK0049</t>
  </si>
  <si>
    <t>INVESTAMA GEMILANG INDONESIA</t>
  </si>
  <si>
    <t>033349788215000</t>
  </si>
  <si>
    <t>CK0075</t>
  </si>
  <si>
    <t>LIAN LEE WOODEN CASE MAKER CO PTE LTD</t>
  </si>
  <si>
    <t>1121</t>
  </si>
  <si>
    <t>CK0206</t>
  </si>
  <si>
    <t>PT. SARI AGRO MANUNGGAL</t>
  </si>
  <si>
    <t>818691537326000</t>
  </si>
  <si>
    <t>CK0083</t>
  </si>
  <si>
    <t>VIKRAMA MAUNA ABADI</t>
  </si>
  <si>
    <t>954217949042000</t>
  </si>
  <si>
    <t>CK0039</t>
  </si>
  <si>
    <t>SINAR KARUNIA ABADI, PT.</t>
  </si>
  <si>
    <t>841463003604000</t>
  </si>
  <si>
    <t>CK0270</t>
  </si>
  <si>
    <t>PT. DANAN ANUGRAH SEJAHTERA</t>
  </si>
  <si>
    <t>843979303603000</t>
  </si>
  <si>
    <t>CK0282</t>
  </si>
  <si>
    <t>CV. BINTANG TRIJAYA SUKSESINDO</t>
  </si>
  <si>
    <t>604619452423000</t>
  </si>
  <si>
    <t>CK0344</t>
  </si>
  <si>
    <t>PT. ALI SARANA ABADI</t>
  </si>
  <si>
    <t>608489845407000</t>
  </si>
  <si>
    <t>CK0214</t>
  </si>
  <si>
    <t>PT. SWAKARYA KENCANA LOGISTIK</t>
  </si>
  <si>
    <t>941177123011000</t>
  </si>
  <si>
    <t>CK0334</t>
  </si>
  <si>
    <t>PT. PERSADA LINTAS EXPEDISI</t>
  </si>
  <si>
    <t>91498505008000</t>
  </si>
  <si>
    <t>CK0336</t>
  </si>
  <si>
    <t>PT. ANDALAN NIAGA INDONESIA LOGISTIC</t>
  </si>
  <si>
    <t>733741664613000</t>
  </si>
  <si>
    <t>CK0136</t>
  </si>
  <si>
    <t>PT. ADINDA TRAN KARGO</t>
  </si>
  <si>
    <t>662691146509000</t>
  </si>
  <si>
    <t>CK0104</t>
  </si>
  <si>
    <t>PT MAHKOTA LOGISTIK INDORAYA</t>
  </si>
  <si>
    <t>032209967048000</t>
  </si>
  <si>
    <t>CK0219</t>
  </si>
  <si>
    <t>PT. PRAGER KENCANA SERVIS</t>
  </si>
  <si>
    <t>844673087043000</t>
  </si>
  <si>
    <t>CK0231</t>
  </si>
  <si>
    <t>PT BERATUSTIRTA GIRIAGUNG</t>
  </si>
  <si>
    <t>016193112726000</t>
  </si>
  <si>
    <t>CK0118</t>
  </si>
  <si>
    <t>PT. ANDALAN SAMUDERA MANDIRI</t>
  </si>
  <si>
    <t>828249904042000</t>
  </si>
  <si>
    <t>CK0249</t>
  </si>
  <si>
    <t>PT. ARIYANTO TUNAS LANGGENG</t>
  </si>
  <si>
    <t>608901476513000</t>
  </si>
  <si>
    <t>CK0309</t>
  </si>
  <si>
    <t>PT. NAYAKA LANSANO SEJAHTERA</t>
  </si>
  <si>
    <t>408942829005000</t>
  </si>
  <si>
    <t>CK0103</t>
  </si>
  <si>
    <t>THEO TRANSINDO WIRATAMA</t>
  </si>
  <si>
    <t>968612812615000</t>
  </si>
  <si>
    <t>CK0277</t>
  </si>
  <si>
    <t>PT. ROKET DELAPAN DELAPAN</t>
  </si>
  <si>
    <t>933411662901000</t>
  </si>
  <si>
    <t>CK0134</t>
  </si>
  <si>
    <t>PT. DELIVIO INDO PERKASA`</t>
  </si>
  <si>
    <t>930066857432000</t>
  </si>
  <si>
    <t>CK0177</t>
  </si>
  <si>
    <t>TRIPLE A EXPRESS LOGISTICS</t>
  </si>
  <si>
    <t>2020033557123</t>
  </si>
  <si>
    <t>CK0061</t>
  </si>
  <si>
    <t>RAHADIAN LINTAS UTAMA</t>
  </si>
  <si>
    <t>912509999045000</t>
  </si>
  <si>
    <t>CK0046</t>
  </si>
  <si>
    <t>1231231231</t>
  </si>
  <si>
    <t>7897129387</t>
  </si>
  <si>
    <t>CK0063</t>
  </si>
  <si>
    <t>PT. INTERTRANS GLOBAL LOGISTICS</t>
  </si>
  <si>
    <t>712458579421000</t>
  </si>
  <si>
    <t>CK0258</t>
  </si>
  <si>
    <t>PT. DELTA UTAMA GEMILANG</t>
  </si>
  <si>
    <t>CK0235</t>
  </si>
  <si>
    <t>PT. JEFIRA INTI PERKASA</t>
  </si>
  <si>
    <t>602768285416000</t>
  </si>
  <si>
    <t>CK0297</t>
  </si>
  <si>
    <t>PT. SENTRAL KREASI GEMILANG</t>
  </si>
  <si>
    <t>846510808071000</t>
  </si>
  <si>
    <t>CK0247</t>
  </si>
  <si>
    <t>CV. MEGA JAYA EXPRES</t>
  </si>
  <si>
    <t>820805398513000</t>
  </si>
  <si>
    <t>CK0330</t>
  </si>
  <si>
    <t>PT. RAIZZANIE AIMEER INDO</t>
  </si>
  <si>
    <t>924426240086000</t>
  </si>
  <si>
    <t>CK0319</t>
  </si>
  <si>
    <t>PT. RTS LINTAS LOGISTICS</t>
  </si>
  <si>
    <t>426977674447000</t>
  </si>
  <si>
    <t>CK0007</t>
  </si>
  <si>
    <t>NAGASE IMPOR EKSPOR INDONESIA</t>
  </si>
  <si>
    <t>018245894059000</t>
  </si>
  <si>
    <t>CK0071</t>
  </si>
  <si>
    <t>PT. NAKU FREIGHT INDONESIA</t>
  </si>
  <si>
    <t>019362490058000</t>
  </si>
  <si>
    <t>CK0096</t>
  </si>
  <si>
    <t>PT SHOPEE INTERNASIONAL INDONESIA</t>
  </si>
  <si>
    <t>321321321</t>
  </si>
  <si>
    <t>CK0241</t>
  </si>
  <si>
    <t>PT. KGL INDONESIA</t>
  </si>
  <si>
    <t>029832938043000</t>
  </si>
  <si>
    <t>CK0024</t>
  </si>
  <si>
    <t>SIDABUTAR JAYA TRANS</t>
  </si>
  <si>
    <t>945645950045000</t>
  </si>
  <si>
    <t>CK0345</t>
  </si>
  <si>
    <t>PT. LUXENA VICTORY INDONESIA</t>
  </si>
  <si>
    <t>746570449016000</t>
  </si>
  <si>
    <t>CK0246</t>
  </si>
  <si>
    <t>CV. MULIA MARETNO ABADI</t>
  </si>
  <si>
    <t>316646967616000</t>
  </si>
  <si>
    <t>CK0187</t>
  </si>
  <si>
    <t>PT. KHRISNA KATON BAJASKARA</t>
  </si>
  <si>
    <t>602505182032000</t>
  </si>
  <si>
    <t>CK0229</t>
  </si>
  <si>
    <t>NURZAKIMUBAROK PROJECT</t>
  </si>
  <si>
    <t>654473461443000</t>
  </si>
  <si>
    <t>CK0119</t>
  </si>
  <si>
    <t>VAN DER VAART SERVICES</t>
  </si>
  <si>
    <t>00355426193</t>
  </si>
  <si>
    <t>CK0302</t>
  </si>
  <si>
    <t>PT. JANGKAR SAMUDERA NUSANTARA</t>
  </si>
  <si>
    <t>907010359002000</t>
  </si>
  <si>
    <t>CK0306</t>
  </si>
  <si>
    <t>CV. ABADI JAYA</t>
  </si>
  <si>
    <t>020001186511000</t>
  </si>
  <si>
    <t>CK0338</t>
  </si>
  <si>
    <t>PT. PUTRI LINTAS INDONESIA</t>
  </si>
  <si>
    <t>391879350447000</t>
  </si>
  <si>
    <t>CK0244</t>
  </si>
  <si>
    <t>PT. ASHAKA JAYA MANDIRI</t>
  </si>
  <si>
    <t>827787813427000</t>
  </si>
  <si>
    <t>CK0051</t>
  </si>
  <si>
    <t>CIPTA SINERGI BISNIS</t>
  </si>
  <si>
    <t>732914643606000</t>
  </si>
  <si>
    <t>CK0236</t>
  </si>
  <si>
    <t>PT. JOY MITRA ANDALAN</t>
  </si>
  <si>
    <t>635383714418000</t>
  </si>
  <si>
    <t>CK0040</t>
  </si>
  <si>
    <t>PT. MARCAPADA SUKSES BERSAMA</t>
  </si>
  <si>
    <t>946408622609000</t>
  </si>
  <si>
    <t>CK0080</t>
  </si>
  <si>
    <t>PT. SINCRON GLOBAL LOGISTICS</t>
  </si>
  <si>
    <t>025903105048000</t>
  </si>
  <si>
    <t>CK0162</t>
  </si>
  <si>
    <t>PT MILENIA ARMADA EKSPRES SEMARANG</t>
  </si>
  <si>
    <t>802861922503000</t>
  </si>
  <si>
    <t>CK0294</t>
  </si>
  <si>
    <t>PT. ERAJAYA KARUNIA LOGISTIK</t>
  </si>
  <si>
    <t>622282788435000</t>
  </si>
  <si>
    <t>CK0005</t>
  </si>
  <si>
    <t>PT. EPSON INDONESIA</t>
  </si>
  <si>
    <t>020053708056000</t>
  </si>
  <si>
    <t>CK0043</t>
  </si>
  <si>
    <t>RUZZIQ LTD</t>
  </si>
  <si>
    <t>9769936</t>
  </si>
  <si>
    <t>CK0098</t>
  </si>
  <si>
    <t>PT. CKB TRUCKING</t>
  </si>
  <si>
    <t>123456</t>
  </si>
  <si>
    <t>CK0055</t>
  </si>
  <si>
    <t>ANJAY LTD</t>
  </si>
  <si>
    <t>15945645646</t>
  </si>
  <si>
    <t>CK0189</t>
  </si>
  <si>
    <t>CV VAHANA ORION LOGISTICS DAN TRANSPORTATION</t>
  </si>
  <si>
    <t>702961244526000</t>
  </si>
  <si>
    <t>CK0167</t>
  </si>
  <si>
    <t>INDON TEST TV</t>
  </si>
  <si>
    <t>3490</t>
  </si>
  <si>
    <t>CK0048</t>
  </si>
  <si>
    <t>MEGADUTA ARTHA MEGAH</t>
  </si>
  <si>
    <t>027032333003000</t>
  </si>
  <si>
    <t>CK0328</t>
  </si>
  <si>
    <t>CV. SKY XPRESS</t>
  </si>
  <si>
    <t>033318585643000</t>
  </si>
  <si>
    <t>CK0094</t>
  </si>
  <si>
    <t>AZON TRANSPORT PTE LTD</t>
  </si>
  <si>
    <t>1211</t>
  </si>
  <si>
    <t>CK0131</t>
  </si>
  <si>
    <t>PT. MITRASARANA INDONIPPON LOGISTICS</t>
  </si>
  <si>
    <t>022501027073000</t>
  </si>
  <si>
    <t>CK0285</t>
  </si>
  <si>
    <t>PT. TRI ARTHA LOGISTIC - CARGO OWNER</t>
  </si>
  <si>
    <t>428937668603009</t>
  </si>
  <si>
    <t>CK0318</t>
  </si>
  <si>
    <t>PT. LIMA PILAR EXPRESS</t>
  </si>
  <si>
    <t>659536643447000</t>
  </si>
  <si>
    <t>CK0293</t>
  </si>
  <si>
    <t>PT. ARETE LOGISTIK INDONESIA</t>
  </si>
  <si>
    <t>957685621043000</t>
  </si>
  <si>
    <t>CK0289</t>
  </si>
  <si>
    <t>PT. CITRA BUANA NUSANTARA</t>
  </si>
  <si>
    <t>711284760044000</t>
  </si>
  <si>
    <t>CK0057</t>
  </si>
  <si>
    <t>STARK LTD</t>
  </si>
  <si>
    <t>2424234234234</t>
  </si>
  <si>
    <t>CK0021</t>
  </si>
  <si>
    <t>PT. FREIGHT SOLUTION INDONUSA</t>
  </si>
  <si>
    <t>026839571001000</t>
  </si>
  <si>
    <t>CK0135</t>
  </si>
  <si>
    <t>PT JASINDO TRANS SAMUDERA</t>
  </si>
  <si>
    <t>027670090528000</t>
  </si>
  <si>
    <t>CK0041</t>
  </si>
  <si>
    <t>PT. INFINITI INTERNATIONAL LOGISTIC</t>
  </si>
  <si>
    <t>812095636121000</t>
  </si>
  <si>
    <t>CK0240</t>
  </si>
  <si>
    <t>CV. MM LINE</t>
  </si>
  <si>
    <t>86912152551300</t>
  </si>
  <si>
    <t>CK0003</t>
  </si>
  <si>
    <t>PT SAKAI INDONESIA</t>
  </si>
  <si>
    <t>010710820055000</t>
  </si>
  <si>
    <t>CK0202</t>
  </si>
  <si>
    <t>PT. ARMADA GEMILANG SENTOSA</t>
  </si>
  <si>
    <t>00000000000003</t>
  </si>
  <si>
    <t>CK0264</t>
  </si>
  <si>
    <t>PT RASKITA WIRA JAYA</t>
  </si>
  <si>
    <t>849097456542000</t>
  </si>
  <si>
    <t>CK0266</t>
  </si>
  <si>
    <t>PT. JENA MANDIRI TRANSPORT</t>
  </si>
  <si>
    <t>030253173643000</t>
  </si>
  <si>
    <t>CK0088</t>
  </si>
  <si>
    <t>PERUSAHAAN PERSEROAN (PERSERO) PT. TELEKOMUNIKASI INDONESIA</t>
  </si>
  <si>
    <t>010000131093000</t>
  </si>
  <si>
    <t>CK0124</t>
  </si>
  <si>
    <t>CV OKTAMA TRANS LOGISTIC</t>
  </si>
  <si>
    <t>411268410613000</t>
  </si>
  <si>
    <t>CK0284</t>
  </si>
  <si>
    <t>PT LOGOL JAKARTA MITRAINDO</t>
  </si>
  <si>
    <t>915189088043000</t>
  </si>
  <si>
    <t>CK0004</t>
  </si>
  <si>
    <t>PT. PHC INDONESIA</t>
  </si>
  <si>
    <t>CK0212</t>
  </si>
  <si>
    <t>PT. DEWATA FREIGHT INTERNATIONAL</t>
  </si>
  <si>
    <t>016960544904000</t>
  </si>
  <si>
    <t>CK0228</t>
  </si>
  <si>
    <t>PT. CARAKA SAKTI NUSANTARA</t>
  </si>
  <si>
    <t>533934683505000</t>
  </si>
  <si>
    <t>CK0288</t>
  </si>
  <si>
    <t>PT. DUO ROMO TRANS</t>
  </si>
  <si>
    <t>639032473027000</t>
  </si>
  <si>
    <t>CK0015</t>
  </si>
  <si>
    <t>CARGO TEST</t>
  </si>
  <si>
    <t>12345</t>
  </si>
  <si>
    <t>CK0329</t>
  </si>
  <si>
    <t>PT. BERKAH INTI PERKASA</t>
  </si>
  <si>
    <t>531250082603000</t>
  </si>
  <si>
    <t>CK0053</t>
  </si>
  <si>
    <t>PT. SELARAS JAYA TRANSPORT</t>
  </si>
  <si>
    <t>422557215642000</t>
  </si>
  <si>
    <t>CK0179</t>
  </si>
  <si>
    <t>PT NX LEMO INDONESIA LOGISTIK</t>
  </si>
  <si>
    <t>018245118058000</t>
  </si>
  <si>
    <t>CK0144</t>
  </si>
  <si>
    <t>PT SAMUDERA PERDANA SELARAS</t>
  </si>
  <si>
    <t>0240507675111000</t>
  </si>
  <si>
    <t>CK0165</t>
  </si>
  <si>
    <t>DHL GLOBAL FORWARDING INDONESIA (TDS SEA FREIGHT)</t>
  </si>
  <si>
    <t>019579218058001</t>
  </si>
  <si>
    <t>CK0296</t>
  </si>
  <si>
    <t>PT. RIZKI BERLIAN PERKASA</t>
  </si>
  <si>
    <t>920669793409000</t>
  </si>
  <si>
    <t>CK0224</t>
  </si>
  <si>
    <t>PT. SWAKARYA KENCANA SERVIS</t>
  </si>
  <si>
    <t>932599152018000</t>
  </si>
  <si>
    <t>CK0342</t>
  </si>
  <si>
    <t>PT. MODA INTI TRANSPORTINDO</t>
  </si>
  <si>
    <t>390581668436000</t>
  </si>
  <si>
    <t>CK0062</t>
  </si>
  <si>
    <t>PT. OLAK KEMANG LOGISTIK</t>
  </si>
  <si>
    <t>013123138042000</t>
  </si>
  <si>
    <t>CK0047</t>
  </si>
  <si>
    <t>172371231</t>
  </si>
  <si>
    <t>631782687</t>
  </si>
  <si>
    <t>CK0025</t>
  </si>
  <si>
    <t>SIDABUTAR JAYA</t>
  </si>
  <si>
    <t>CK0032</t>
  </si>
  <si>
    <t>TEST</t>
  </si>
  <si>
    <t>78178478124781</t>
  </si>
  <si>
    <t>CK0291</t>
  </si>
  <si>
    <t>PT. GEMILANG LOGISTIK TERMINAL</t>
  </si>
  <si>
    <t>532839057045000</t>
  </si>
  <si>
    <t>CK0280</t>
  </si>
  <si>
    <t>PT. PREMIUMTRANS LINTAS NUSANTARA [CARGO OWNER]</t>
  </si>
  <si>
    <t>723480232403001</t>
  </si>
  <si>
    <t>CK0137</t>
  </si>
  <si>
    <t>PT. PUTRA SRIKATON LOGISTICS</t>
  </si>
  <si>
    <t>751943994503000</t>
  </si>
  <si>
    <t>CK0271</t>
  </si>
  <si>
    <t>PT. TRILOKA SUMBER MAKMUR</t>
  </si>
  <si>
    <t>866753387437000</t>
  </si>
  <si>
    <t>CK0093</t>
  </si>
  <si>
    <t>SIN HIN HANG LOGISTICS PTE LTD</t>
  </si>
  <si>
    <t>112</t>
  </si>
  <si>
    <t>CK0234</t>
  </si>
  <si>
    <t>PT. NUR GOJALIAN LESTARI</t>
  </si>
  <si>
    <t>655083640404000</t>
  </si>
  <si>
    <t>CK0031</t>
  </si>
  <si>
    <t>PT. WAHYU GEMILANG MANDIRI</t>
  </si>
  <si>
    <t>82558292701300</t>
  </si>
  <si>
    <t>CK0279</t>
  </si>
  <si>
    <t>PT. KUMM TRANS NUSANTARA</t>
  </si>
  <si>
    <t>948032222023000</t>
  </si>
  <si>
    <t>CK0175</t>
  </si>
  <si>
    <t>PT. WAHANA MULTI LOGISTICS</t>
  </si>
  <si>
    <t>930504295045000</t>
  </si>
  <si>
    <t>CK0172</t>
  </si>
  <si>
    <t>PT. KALDU SARI NABATI INDONESIA</t>
  </si>
  <si>
    <t>021620562441000</t>
  </si>
  <si>
    <t>CK0114</t>
  </si>
  <si>
    <t>PT. YUSEN LOGISTICS INDONESIA (AIR FREIGHT)</t>
  </si>
  <si>
    <t>CK0248</t>
  </si>
  <si>
    <t>PT. TRI ARTHA LOGISTIC</t>
  </si>
  <si>
    <t>428937668603000</t>
  </si>
  <si>
    <t>CK0069</t>
  </si>
  <si>
    <t>DHL SUPPLY CHAIN</t>
  </si>
  <si>
    <t>111222333444</t>
  </si>
  <si>
    <t>CK0148</t>
  </si>
  <si>
    <t>DHL GLOBAL FORWARDING INDONESIA (AIR FREIGHT)</t>
  </si>
  <si>
    <t>CK0321</t>
  </si>
  <si>
    <t>PT. SIDOMULYO SAPTA PERSADA</t>
  </si>
  <si>
    <t>906477617044000</t>
  </si>
  <si>
    <t>CK0211</t>
  </si>
  <si>
    <t>PT DENSO INDONESIA</t>
  </si>
  <si>
    <t>010002301092000</t>
  </si>
  <si>
    <t>CK0299</t>
  </si>
  <si>
    <t>CV. AL-ONE GUNAWAN JAYA SENTOSA</t>
  </si>
  <si>
    <t>753416049425000</t>
  </si>
  <si>
    <t>CK0129</t>
  </si>
  <si>
    <t>PT. GILANG RAHMAT SENTOSA RAYA</t>
  </si>
  <si>
    <t>860728260005000</t>
  </si>
  <si>
    <t>CK0326</t>
  </si>
  <si>
    <t>PT. SINERGI SEMESTA LOGISTINDO</t>
  </si>
  <si>
    <t>423185990617000</t>
  </si>
  <si>
    <t>CK0186</t>
  </si>
  <si>
    <t>PT JAYA PRATAMA PERKASA</t>
  </si>
  <si>
    <t>024930430077000</t>
  </si>
  <si>
    <t>CK0117</t>
  </si>
  <si>
    <t>PT. ANINDYA JIFA PERDANA</t>
  </si>
  <si>
    <t>CK0086</t>
  </si>
  <si>
    <t>SAMSUDIN</t>
  </si>
  <si>
    <t>880875893045000</t>
  </si>
  <si>
    <t>CK0251</t>
  </si>
  <si>
    <t>CV. MAHKOTA EMAS</t>
  </si>
  <si>
    <t>812391142503000</t>
  </si>
  <si>
    <t>CK0122</t>
  </si>
  <si>
    <t>HERU WULANTORO</t>
  </si>
  <si>
    <t>591760905407000</t>
  </si>
  <si>
    <t>CK0108</t>
  </si>
  <si>
    <t>PT FREEPORT INDONESIA</t>
  </si>
  <si>
    <t>010695369091000</t>
  </si>
  <si>
    <t>CK0201</t>
  </si>
  <si>
    <t>PT. SEGORO KEDUNG AGUNG</t>
  </si>
  <si>
    <t>000000000000002</t>
  </si>
  <si>
    <t>CK0193</t>
  </si>
  <si>
    <t>PT. CENTRAL JASA MITRA BAHARI</t>
  </si>
  <si>
    <t>024364184003000</t>
  </si>
  <si>
    <t>CK0163</t>
  </si>
  <si>
    <t>ALPHA GREAT FORWARDERS</t>
  </si>
  <si>
    <t>96234</t>
  </si>
  <si>
    <t>CK0198</t>
  </si>
  <si>
    <t>PT. MUHEKO BINTANG EXPORT</t>
  </si>
  <si>
    <t>013434287048000</t>
  </si>
  <si>
    <t>CK0097</t>
  </si>
  <si>
    <t>PT GAMA LOGISTICS - TRUCKING</t>
  </si>
  <si>
    <t>452342232523</t>
  </si>
  <si>
    <t>CK0081</t>
  </si>
  <si>
    <t>PT GUUD LOGISTICS INDONESIA</t>
  </si>
  <si>
    <t>020404224435009</t>
  </si>
  <si>
    <t>CK0027</t>
  </si>
  <si>
    <t>BUKIT ALAM HIJAU</t>
  </si>
  <si>
    <t>313983249405000</t>
  </si>
  <si>
    <t>CK0127</t>
  </si>
  <si>
    <t>PT. GEODIS WILSON INDONESIA</t>
  </si>
  <si>
    <t>021939426058000</t>
  </si>
  <si>
    <t>CK0006</t>
  </si>
  <si>
    <t>B &amp; J EXPRESS INT COMPANY LTD</t>
  </si>
  <si>
    <t>2213134800011198</t>
  </si>
  <si>
    <t>CK0305</t>
  </si>
  <si>
    <t>PT. SELAPURA KARGO EKSPRES</t>
  </si>
  <si>
    <t>703799148045000</t>
  </si>
  <si>
    <t>CK0036</t>
  </si>
  <si>
    <t>PT GLOBAL FAJAR INDONESIA</t>
  </si>
  <si>
    <t>954940631061000</t>
  </si>
  <si>
    <t>CK0300</t>
  </si>
  <si>
    <t>PT. ADAM PUTRA LOGISTIC</t>
  </si>
  <si>
    <t>631354230421000</t>
  </si>
  <si>
    <t>CK0301</t>
  </si>
  <si>
    <t>KLG EUROPE</t>
  </si>
  <si>
    <t>80179962401</t>
  </si>
  <si>
    <t>CK0126</t>
  </si>
  <si>
    <t>PT MONICA LESTARI</t>
  </si>
  <si>
    <t>014841407411000</t>
  </si>
  <si>
    <t>CK0213</t>
  </si>
  <si>
    <t>PT. TIRTA INDRAKENCANA</t>
  </si>
  <si>
    <t>016025769046000</t>
  </si>
  <si>
    <t>CK0020</t>
  </si>
  <si>
    <t>SUNGGONG LOGISTICS</t>
  </si>
  <si>
    <t>028365005429000</t>
  </si>
  <si>
    <t>CK0196</t>
  </si>
  <si>
    <t>PT. SURYA INDOTAMA LOGISTIK</t>
  </si>
  <si>
    <t>734907710036000</t>
  </si>
  <si>
    <t>CK0149</t>
  </si>
  <si>
    <t>PT ELEMEN TRANS LOGISTIK</t>
  </si>
  <si>
    <t>534791348045000</t>
  </si>
  <si>
    <t>CK0239</t>
  </si>
  <si>
    <t>PT. DISTRIBUSI SOLUSI BERSAMA</t>
  </si>
  <si>
    <t>424288579061000</t>
  </si>
  <si>
    <t>CK0203</t>
  </si>
  <si>
    <t>PT. RAJAWALI PERSADA LOGISTIK</t>
  </si>
  <si>
    <t>956134753006000</t>
  </si>
  <si>
    <t>CK0332</t>
  </si>
  <si>
    <t>PT. MAKNA LOGISTIK INTERNASIONAL</t>
  </si>
  <si>
    <t>969617109603000</t>
  </si>
  <si>
    <t>CK0121</t>
  </si>
  <si>
    <t>PT KINARI JAYA TRANS</t>
  </si>
  <si>
    <t>743119174503000</t>
  </si>
  <si>
    <t>CK0311</t>
  </si>
  <si>
    <t>PT. RHENUS LOGISTICS INDONESIA</t>
  </si>
  <si>
    <t>736457722017000</t>
  </si>
  <si>
    <t>CK0011</t>
  </si>
  <si>
    <t>ANUGRAH MULIA TRANSINDO</t>
  </si>
  <si>
    <t>026951053043000</t>
  </si>
  <si>
    <t>CK0012</t>
  </si>
  <si>
    <t>MERAH TEKNIK INDONESIA</t>
  </si>
  <si>
    <t>022525133906000</t>
  </si>
  <si>
    <t>CK0273</t>
  </si>
  <si>
    <t>PT. TUGU WISATA TRANSLOKA</t>
  </si>
  <si>
    <t>946249968542000</t>
  </si>
  <si>
    <t>SAGE CUTOMER ID</t>
  </si>
  <si>
    <t>VA</t>
  </si>
  <si>
    <t>BANK ACCOUNT</t>
  </si>
  <si>
    <t>Customer</t>
  </si>
  <si>
    <t>AM</t>
  </si>
  <si>
    <t>Active Date</t>
  </si>
  <si>
    <t>Latest Booking Date</t>
  </si>
  <si>
    <t>Remaining Credit</t>
  </si>
  <si>
    <t>Credit Limit</t>
  </si>
  <si>
    <t>CL Ratio</t>
  </si>
  <si>
    <t>CLD Total</t>
  </si>
  <si>
    <t>CLG Total</t>
  </si>
  <si>
    <t>CLT Total</t>
  </si>
  <si>
    <t>Last Job Number</t>
  </si>
  <si>
    <t>Debit Note</t>
  </si>
  <si>
    <t>Total PF</t>
  </si>
  <si>
    <t>PT. Transindo Jayatama Logistik</t>
  </si>
  <si>
    <t>Ame</t>
  </si>
  <si>
    <t>CLICTRUCK-048929</t>
  </si>
  <si>
    <t>PT. Inesia Food Indonesia</t>
  </si>
  <si>
    <t>Dyah</t>
  </si>
  <si>
    <t>CLICTRUCK-048426</t>
  </si>
  <si>
    <t>PT. Roket Delapan Delapan</t>
  </si>
  <si>
    <t>Raiyan</t>
  </si>
  <si>
    <t>CLICTRUCK-049189</t>
  </si>
  <si>
    <t>Beny</t>
  </si>
  <si>
    <t>CLICTRUCK-049273</t>
  </si>
  <si>
    <t>CLICTRUCK-049381</t>
  </si>
  <si>
    <t>PT. Ekspedisi Sehati Abadi</t>
  </si>
  <si>
    <t>CLICTRUCK-049454</t>
  </si>
  <si>
    <t>PT. Lima Sarana Trans</t>
  </si>
  <si>
    <t>CLICTRUCK-048431</t>
  </si>
  <si>
    <t>PT. Nadja Trans Logistik [Cargo Owner]</t>
  </si>
  <si>
    <t>CLICTRUCK-047248</t>
  </si>
  <si>
    <t>PT. Rajawali Persada Logistik</t>
  </si>
  <si>
    <t>CLICTRUCK-046638</t>
  </si>
  <si>
    <t>PT. Distribusi Solusi Bersama</t>
  </si>
  <si>
    <t>CLICTRUCK-048734</t>
  </si>
  <si>
    <t>PT. Central Jasa Mitra Bahari</t>
  </si>
  <si>
    <t>CLICTRUCK-049036</t>
  </si>
  <si>
    <t>PT. Lazuardo Vittorio Indonesia</t>
  </si>
  <si>
    <t>CLICTRUCK-049303</t>
  </si>
  <si>
    <t>PT. Jena Mandiri Transport</t>
  </si>
  <si>
    <t>Lena</t>
  </si>
  <si>
    <t>CLICTRUCK-049188</t>
  </si>
  <si>
    <t>PT. Jefira Inti Perkasa</t>
  </si>
  <si>
    <t>CLICTRUCK-044187</t>
  </si>
  <si>
    <t>PT. ALD Logistik Indonesia</t>
  </si>
  <si>
    <t>CLICTRUCK-048853</t>
  </si>
  <si>
    <t>PT Raskita Wira Jaya</t>
  </si>
  <si>
    <t>CLICTRUCK-048013</t>
  </si>
  <si>
    <t>PT. Sekar Arum Jaya Bersaudara</t>
  </si>
  <si>
    <t>CLICTRUCK-049172</t>
  </si>
  <si>
    <t>PT. Caraka Sakti Nusantara</t>
  </si>
  <si>
    <t>CLICTRUCK-047869</t>
  </si>
  <si>
    <t>CV. Mega Jaya Expres</t>
  </si>
  <si>
    <t>CLICTRUCK-049169</t>
  </si>
  <si>
    <t>CLICTRUCK-049398</t>
  </si>
  <si>
    <t>PT. Joy Mitra Andalan</t>
  </si>
  <si>
    <t>CLICTRUCK-047577</t>
  </si>
  <si>
    <t>PT. Premiumtrans Lintas Nusantara [Cargo Owner]</t>
  </si>
  <si>
    <t>CLICTRUCK-049279</t>
  </si>
  <si>
    <t>PT. ZEN Indotama Logistik</t>
  </si>
  <si>
    <t>CLICTRUCK-049010</t>
  </si>
  <si>
    <t>CLICTRUCK-048210</t>
  </si>
  <si>
    <t>CLICTRUCK-049336</t>
  </si>
  <si>
    <t>PT. Handal Deliveri Logistik</t>
  </si>
  <si>
    <t>CLICTRUCK-048658</t>
  </si>
  <si>
    <t>CV. Mulia Maretno Abadi</t>
  </si>
  <si>
    <t>CLICTRUCK-047901</t>
  </si>
  <si>
    <t>CLICTRUCK-049050</t>
  </si>
  <si>
    <t>PT. Tri Artha Logistic - CARGO OWNER</t>
  </si>
  <si>
    <t>CLICTRUCK-048951</t>
  </si>
  <si>
    <t>CV. Harba Logistics</t>
  </si>
  <si>
    <t>CLICTRUCK-049026</t>
  </si>
  <si>
    <t>PT. Surya Kencana Pratama</t>
  </si>
  <si>
    <t>CLICTRUCK-048615</t>
  </si>
  <si>
    <t>CV. AL-One Gunawan Jaya Sentosa</t>
  </si>
  <si>
    <t>CLICTRUCK-049260</t>
  </si>
  <si>
    <t>PT. Triloka Sumber Makmur</t>
  </si>
  <si>
    <t>CLICTRUCK-048938</t>
  </si>
  <si>
    <t>CLICTRUCK-048983</t>
  </si>
  <si>
    <t>CV. Awal Lestari Rezeki</t>
  </si>
  <si>
    <t>CLICTRUCK-049132</t>
  </si>
  <si>
    <t>PT. Alira Jaya Tranportasi</t>
  </si>
  <si>
    <t>CLICTRUCK-045947</t>
  </si>
  <si>
    <t>CLICTRUCK-047290</t>
  </si>
  <si>
    <t>PT. Citra Buana Nusantara</t>
  </si>
  <si>
    <t>CLICTRUCK-048105</t>
  </si>
  <si>
    <t>CLICTRUCK-049081</t>
  </si>
  <si>
    <t>PT. Andalan Niaga Indonesia Logistic</t>
  </si>
  <si>
    <t>CLICTRUCK-049342</t>
  </si>
  <si>
    <t>PT. Duta Lestari Segara</t>
  </si>
  <si>
    <t>CLICTRUCK-047136</t>
  </si>
  <si>
    <t>PT. Lasmini Badra Perkasa</t>
  </si>
  <si>
    <t>CLICTRUCK-048209</t>
  </si>
  <si>
    <t>CLICTRUCK-049353</t>
  </si>
  <si>
    <t>PT. Mandala Sela Ekspres</t>
  </si>
  <si>
    <t>CLICTRUCK-049329</t>
  </si>
  <si>
    <t>CLICTRUCK-048417</t>
  </si>
  <si>
    <t>PT. Swakarya Kencana Logistik</t>
  </si>
  <si>
    <t>CLICTRUCK-043478</t>
  </si>
  <si>
    <t>CLICTRUCK-049304</t>
  </si>
  <si>
    <t>CLICTRUCK-049173</t>
  </si>
  <si>
    <t>CLICTRUCK-049277</t>
  </si>
  <si>
    <t>PT. Delta Utama Gemilang [CARGO OWNER]</t>
  </si>
  <si>
    <t>CLICTRUCK-049362</t>
  </si>
  <si>
    <t>PT. MItra Andalan Segara</t>
  </si>
  <si>
    <t>CLICTRUCK-048088</t>
  </si>
  <si>
    <t>CLICTRUCK-049370</t>
  </si>
  <si>
    <t>CV. Datuak Lansano Maju Bersama Nayaka</t>
  </si>
  <si>
    <t>CLICTRUCK-048956</t>
  </si>
  <si>
    <t>PT. Gemilang Logistik Terminal</t>
  </si>
  <si>
    <t>CLICTRUCK-049332</t>
  </si>
  <si>
    <t>PT. Vektruck Trans Digilogistik</t>
  </si>
  <si>
    <t>CLICTRUCK-047222</t>
  </si>
  <si>
    <t>CV. Abadi Jaya</t>
  </si>
  <si>
    <t>LAST DATE TRX</t>
  </si>
  <si>
    <t>LAST DATE CO TRX</t>
  </si>
  <si>
    <t>Order Number</t>
  </si>
  <si>
    <t>Type</t>
  </si>
  <si>
    <t>Booking Date'</t>
  </si>
  <si>
    <t>Cargo Owner</t>
  </si>
  <si>
    <t>CO Platform Fee</t>
  </si>
  <si>
    <t>Invoice Date</t>
  </si>
  <si>
    <t>Status</t>
  </si>
  <si>
    <t>Trucking Vendor</t>
  </si>
  <si>
    <t>TV Platform Fee</t>
  </si>
  <si>
    <t>JML</t>
  </si>
  <si>
    <t>Country</t>
  </si>
  <si>
    <t>Contract ID</t>
  </si>
  <si>
    <t>CLICTRUCK-043054</t>
  </si>
  <si>
    <t>export</t>
  </si>
  <si>
    <t>PAID</t>
  </si>
  <si>
    <t>Indonesia</t>
  </si>
  <si>
    <t>KMT-KJT</t>
  </si>
  <si>
    <t>CLICTRUCK-043068</t>
  </si>
  <si>
    <t>CLICTRUCK-043069</t>
  </si>
  <si>
    <t>CLICTRUCK-043070</t>
  </si>
  <si>
    <t>import</t>
  </si>
  <si>
    <t>CLICTRUCK-043071</t>
  </si>
  <si>
    <t>CLICTRUCK-043072</t>
  </si>
  <si>
    <t>CLICTRUCK-043073</t>
  </si>
  <si>
    <t>CLICTRUCK-043075</t>
  </si>
  <si>
    <t>PT. Saudara Sukses Abadi</t>
  </si>
  <si>
    <t>ESA - SASA</t>
  </si>
  <si>
    <t>CLICTRUCK-043078</t>
  </si>
  <si>
    <t>CLICTRUCK-043079</t>
  </si>
  <si>
    <t>CLICTRUCK-043080</t>
  </si>
  <si>
    <t>CLICTRUCK-043081</t>
  </si>
  <si>
    <t>CLICTRUCK-043082</t>
  </si>
  <si>
    <t>CLICTRUCK-043083</t>
  </si>
  <si>
    <t>CLICTRUCK-043084</t>
  </si>
  <si>
    <t>CLICTRUCK-043085</t>
  </si>
  <si>
    <t>CLICTRUCK-043092</t>
  </si>
  <si>
    <t>CLICTRUCK-043093</t>
  </si>
  <si>
    <t>CLICTRUCK-043094</t>
  </si>
  <si>
    <t>CLICTRUCK-043095</t>
  </si>
  <si>
    <t>CLICTRUCK-043096</t>
  </si>
  <si>
    <t>CLICTRUCK-043097</t>
  </si>
  <si>
    <t>CLICTRUCK-043098</t>
  </si>
  <si>
    <t>CLICTRUCK-043099</t>
  </si>
  <si>
    <t>CLICTRUCK-043100</t>
  </si>
  <si>
    <t>CLICTRUCK-043101</t>
  </si>
  <si>
    <t>CLICTRUCK-043102</t>
  </si>
  <si>
    <t>CLICTRUCK-043103</t>
  </si>
  <si>
    <t>CLICTRUCK-043104</t>
  </si>
  <si>
    <t>CLICTRUCK-043161</t>
  </si>
  <si>
    <t>CLICTRUCK-043162</t>
  </si>
  <si>
    <t>CLICTRUCK-043163</t>
  </si>
  <si>
    <t>CLICTRUCK-043164</t>
  </si>
  <si>
    <t>CLICTRUCK-043165</t>
  </si>
  <si>
    <t>CLICTRUCK-043166</t>
  </si>
  <si>
    <t>CLICTRUCK-043167</t>
  </si>
  <si>
    <t>CLICTRUCK-043168</t>
  </si>
  <si>
    <t>CLICTRUCK-043169</t>
  </si>
  <si>
    <t>CLICTRUCK-043174</t>
  </si>
  <si>
    <t>MAS-KAS</t>
  </si>
  <si>
    <t>CLICTRUCK-043175</t>
  </si>
  <si>
    <t>CLICTRUCK-043179</t>
  </si>
  <si>
    <t>CLICTRUCK-043180</t>
  </si>
  <si>
    <t>UNPAID</t>
  </si>
  <si>
    <t>DLS-KAS</t>
  </si>
  <si>
    <t>CLICTRUCK-043181</t>
  </si>
  <si>
    <t>CLICTRUCK-043182</t>
  </si>
  <si>
    <t>CLICTRUCK-043183</t>
  </si>
  <si>
    <t>CLICTRUCK-043184</t>
  </si>
  <si>
    <t>CLICTRUCK-043185</t>
  </si>
  <si>
    <t>CLICTRUCK-043186</t>
  </si>
  <si>
    <t>CLICTRUCK-043187</t>
  </si>
  <si>
    <t>CLICTRUCK-043188</t>
  </si>
  <si>
    <t>CLICTRUCK-043189</t>
  </si>
  <si>
    <t>CLICTRUCK-043190</t>
  </si>
  <si>
    <t>CLICTRUCK-043191</t>
  </si>
  <si>
    <t>CLICTRUCK-043192</t>
  </si>
  <si>
    <t>CLICTRUCK-043193</t>
  </si>
  <si>
    <t>CLICTRUCK-043194</t>
  </si>
  <si>
    <t>CLICTRUCK-043195</t>
  </si>
  <si>
    <t>CLICTRUCK-043196</t>
  </si>
  <si>
    <t>CLICTRUCK-043197</t>
  </si>
  <si>
    <t>CLICTRUCK-043198</t>
  </si>
  <si>
    <t>CLICTRUCK-043199</t>
  </si>
  <si>
    <t>CLICTRUCK-043200</t>
  </si>
  <si>
    <t>CLICTRUCK-043201</t>
  </si>
  <si>
    <t>CLICTRUCK-043202</t>
  </si>
  <si>
    <t>CLICTRUCK-043203</t>
  </si>
  <si>
    <t>CLICTRUCK-043204</t>
  </si>
  <si>
    <t>PT. Bina Mitra Segara Setia</t>
  </si>
  <si>
    <t>CJM-BMS</t>
  </si>
  <si>
    <t>CLICTRUCK-043205</t>
  </si>
  <si>
    <t>CLICTRUCK-043206</t>
  </si>
  <si>
    <t>CLICTRUCK-043207</t>
  </si>
  <si>
    <t>CLICTRUCK-043208</t>
  </si>
  <si>
    <t>CLICTRUCK-043209</t>
  </si>
  <si>
    <t>CLICTRUCK-043210</t>
  </si>
  <si>
    <t>CLICTRUCK-043211</t>
  </si>
  <si>
    <t>CLICTRUCK-043212</t>
  </si>
  <si>
    <t>CLICTRUCK-043213</t>
  </si>
  <si>
    <t>CLICTRUCK-043214</t>
  </si>
  <si>
    <t>CLICTRUCK-043215</t>
  </si>
  <si>
    <t>CLICTRUCK-043216</t>
  </si>
  <si>
    <t>CLICTRUCK-043217</t>
  </si>
  <si>
    <t>CLICTRUCK-043218</t>
  </si>
  <si>
    <t>CLICTRUCK-043219</t>
  </si>
  <si>
    <t>CLICTRUCK-043220</t>
  </si>
  <si>
    <t>CLICTRUCK-043221</t>
  </si>
  <si>
    <t>CLICTRUCK-043222</t>
  </si>
  <si>
    <t>CLICTRUCK-043223</t>
  </si>
  <si>
    <t>CLICTRUCK-043224</t>
  </si>
  <si>
    <t>CLICTRUCK-043225</t>
  </si>
  <si>
    <t>CLICTRUCK-043226</t>
  </si>
  <si>
    <t>CLICTRUCK-043227</t>
  </si>
  <si>
    <t>CLICTRUCK-043228</t>
  </si>
  <si>
    <t>CLICTRUCK-043230</t>
  </si>
  <si>
    <t>GLT-Elemen</t>
  </si>
  <si>
    <t>CLICTRUCK-043231</t>
  </si>
  <si>
    <t>CLICTRUCK-043233</t>
  </si>
  <si>
    <t>CLICTRUCK-043235</t>
  </si>
  <si>
    <t>CLICTRUCK-043236</t>
  </si>
  <si>
    <t>CLICTRUCK-043237</t>
  </si>
  <si>
    <t>CLICTRUCK-043238</t>
  </si>
  <si>
    <t>CLICTRUCK-043239</t>
  </si>
  <si>
    <t>CLICTRUCK-043240</t>
  </si>
  <si>
    <t>CLICTRUCK-043252</t>
  </si>
  <si>
    <t>CLICTRUCK-043263</t>
  </si>
  <si>
    <t>CLICTRUCK-043264</t>
  </si>
  <si>
    <t>CLICTRUCK-043266</t>
  </si>
  <si>
    <t>CLICTRUCK-043267</t>
  </si>
  <si>
    <t>CLICTRUCK-043268</t>
  </si>
  <si>
    <t>CLICTRUCK-043269</t>
  </si>
  <si>
    <t>CLICTRUCK-043270</t>
  </si>
  <si>
    <t>CLICTRUCK-043271</t>
  </si>
  <si>
    <t>CLICTRUCK-043322</t>
  </si>
  <si>
    <t>CLICTRUCK-043323</t>
  </si>
  <si>
    <t>CLICTRUCK-043324</t>
  </si>
  <si>
    <t>NEW</t>
  </si>
  <si>
    <t>CLICTRUCK-043325</t>
  </si>
  <si>
    <t>CLICTRUCK-043326</t>
  </si>
  <si>
    <t>CLICTRUCK-043327</t>
  </si>
  <si>
    <t>CLICTRUCK-043334</t>
  </si>
  <si>
    <t>CLICTRUCK-043345</t>
  </si>
  <si>
    <t>CLICTRUCK-043346</t>
  </si>
  <si>
    <t>CLICTRUCK-043347</t>
  </si>
  <si>
    <t>CLICTRUCK-043348</t>
  </si>
  <si>
    <t>CLICTRUCK-043349</t>
  </si>
  <si>
    <t>CLICTRUCK-043350</t>
  </si>
  <si>
    <t>CLICTRUCK-043351</t>
  </si>
  <si>
    <t>CLICTRUCK-043352</t>
  </si>
  <si>
    <t>CLICTRUCK-043353</t>
  </si>
  <si>
    <t>CLICTRUCK-043354</t>
  </si>
  <si>
    <t>CLICTRUCK-043355</t>
  </si>
  <si>
    <t>CLICTRUCK-043356</t>
  </si>
  <si>
    <t>CLICTRUCK-043357</t>
  </si>
  <si>
    <t>CLICTRUCK-043358</t>
  </si>
  <si>
    <t>CLICTRUCK-043359</t>
  </si>
  <si>
    <t>CLICTRUCK-043360</t>
  </si>
  <si>
    <t>CLICTRUCK-043361</t>
  </si>
  <si>
    <t>CLICTRUCK-043362</t>
  </si>
  <si>
    <t>CLICTRUCK-043363</t>
  </si>
  <si>
    <t>CLICTRUCK-043364</t>
  </si>
  <si>
    <t>CLICTRUCK-043365</t>
  </si>
  <si>
    <t>CLICTRUCK-043370</t>
  </si>
  <si>
    <t>CLICTRUCK-043371</t>
  </si>
  <si>
    <t>CLICTRUCK-043372</t>
  </si>
  <si>
    <t>CLICTRUCK-043373</t>
  </si>
  <si>
    <t>CLICTRUCK-043374</t>
  </si>
  <si>
    <t>CLICTRUCK-043375</t>
  </si>
  <si>
    <t>CLICTRUCK-043376</t>
  </si>
  <si>
    <t>CLICTRUCK-043377</t>
  </si>
  <si>
    <t>CLICTRUCK-043378</t>
  </si>
  <si>
    <t>CLICTRUCK-043379</t>
  </si>
  <si>
    <t>CLICTRUCK-043380</t>
  </si>
  <si>
    <t>CLICTRUCK-043381</t>
  </si>
  <si>
    <t>CLICTRUCK-043382</t>
  </si>
  <si>
    <t>CLICTRUCK-043383</t>
  </si>
  <si>
    <t>CLICTRUCK-043384</t>
  </si>
  <si>
    <t>CLICTRUCK-043385</t>
  </si>
  <si>
    <t>CLICTRUCK-043386</t>
  </si>
  <si>
    <t>CLICTRUCK-043387</t>
  </si>
  <si>
    <t>CLICTRUCK-043388</t>
  </si>
  <si>
    <t>CLICTRUCK-043389</t>
  </si>
  <si>
    <t>CLICTRUCK-043390</t>
  </si>
  <si>
    <t>CLICTRUCK-043391</t>
  </si>
  <si>
    <t>CLICTRUCK-043392</t>
  </si>
  <si>
    <t>CLICTRUCK-043393</t>
  </si>
  <si>
    <t>CLICTRUCK-043394</t>
  </si>
  <si>
    <t>CLICTRUCK-043395</t>
  </si>
  <si>
    <t>CLICTRUCK-043396</t>
  </si>
  <si>
    <t>CLICTRUCK-043397</t>
  </si>
  <si>
    <t>CLICTRUCK-043398</t>
  </si>
  <si>
    <t>CLICTRUCK-043399</t>
  </si>
  <si>
    <t>CLICTRUCK-043400</t>
  </si>
  <si>
    <t>CLICTRUCK-043401</t>
  </si>
  <si>
    <t>CLICTRUCK-043402</t>
  </si>
  <si>
    <t>CLICTRUCK-043403</t>
  </si>
  <si>
    <t>CLICTRUCK-043404</t>
  </si>
  <si>
    <t>CLICTRUCK-043405</t>
  </si>
  <si>
    <t>CLICTRUCK-043406</t>
  </si>
  <si>
    <t>CLICTRUCK-043407</t>
  </si>
  <si>
    <t>CLICTRUCK-043408</t>
  </si>
  <si>
    <t>CLICTRUCK-043409</t>
  </si>
  <si>
    <t>CLICTRUCK-043410</t>
  </si>
  <si>
    <t>CLICTRUCK-043411</t>
  </si>
  <si>
    <t>CLICTRUCK-043412</t>
  </si>
  <si>
    <t>CLICTRUCK-043413</t>
  </si>
  <si>
    <t>CLICTRUCK-043422</t>
  </si>
  <si>
    <t>CLICTRUCK-043423</t>
  </si>
  <si>
    <t>CLICTRUCK-043424</t>
  </si>
  <si>
    <t>CLICTRUCK-043425</t>
  </si>
  <si>
    <t>CLICTRUCK-043426</t>
  </si>
  <si>
    <t>CLICTRUCK-043446</t>
  </si>
  <si>
    <t>CLICTRUCK-043452</t>
  </si>
  <si>
    <t>CLICTRUCK-043455</t>
  </si>
  <si>
    <t>CLICTRUCK-043457</t>
  </si>
  <si>
    <t>CLICTRUCK-043458</t>
  </si>
  <si>
    <t>CLICTRUCK-043459</t>
  </si>
  <si>
    <t>CLICTRUCK-043461</t>
  </si>
  <si>
    <t>CLICTRUCK-043463</t>
  </si>
  <si>
    <t>CLICTRUCK-043467</t>
  </si>
  <si>
    <t>CLICTRUCK-043468</t>
  </si>
  <si>
    <t>CLICTRUCK-043469</t>
  </si>
  <si>
    <t>CLICTRUCK-043470</t>
  </si>
  <si>
    <t>CLICTRUCK-043475</t>
  </si>
  <si>
    <t>CLICTRUCK-043479</t>
  </si>
  <si>
    <t>CLICTRUCK-043480</t>
  </si>
  <si>
    <t>CLICTRUCK-043481</t>
  </si>
  <si>
    <t>CLICTRUCK-043510</t>
  </si>
  <si>
    <t>CLICTRUCK-043511</t>
  </si>
  <si>
    <t>CLICTRUCK-043513</t>
  </si>
  <si>
    <t>CLICTRUCK-043514</t>
  </si>
  <si>
    <t>CLICTRUCK-043517</t>
  </si>
  <si>
    <t>CLICTRUCK-043518</t>
  </si>
  <si>
    <t>CLICTRUCK-043519</t>
  </si>
  <si>
    <t>CLICTRUCK-043520</t>
  </si>
  <si>
    <t>CLICTRUCK-043524</t>
  </si>
  <si>
    <t>CLICTRUCK-043548</t>
  </si>
  <si>
    <t>CLICTRUCK-043549</t>
  </si>
  <si>
    <t>CLICTRUCK-043552</t>
  </si>
  <si>
    <t>CLICTRUCK-043553</t>
  </si>
  <si>
    <t>CLICTRUCK-043555</t>
  </si>
  <si>
    <t>CLICTRUCK-043556</t>
  </si>
  <si>
    <t>CLICTRUCK-043557</t>
  </si>
  <si>
    <t>CLICTRUCK-043558</t>
  </si>
  <si>
    <t>CLICTRUCK-043559</t>
  </si>
  <si>
    <t>CLICTRUCK-043560</t>
  </si>
  <si>
    <t>CLICTRUCK-043561</t>
  </si>
  <si>
    <t>CLICTRUCK-043562</t>
  </si>
  <si>
    <t>CLICTRUCK-043563</t>
  </si>
  <si>
    <t>CLICTRUCK-043565</t>
  </si>
  <si>
    <t>CLICTRUCK-043571</t>
  </si>
  <si>
    <t>CLICTRUCK-043572</t>
  </si>
  <si>
    <t>CLICTRUCK-043573</t>
  </si>
  <si>
    <t>CLICTRUCK-043575</t>
  </si>
  <si>
    <t>CLICTRUCK-043576</t>
  </si>
  <si>
    <t>CLICTRUCK-043577</t>
  </si>
  <si>
    <t>CLICTRUCK-043627</t>
  </si>
  <si>
    <t>CLICTRUCK-043628</t>
  </si>
  <si>
    <t>CLICTRUCK-043629</t>
  </si>
  <si>
    <t>CLICTRUCK-043660</t>
  </si>
  <si>
    <t>CLICTRUCK-043661</t>
  </si>
  <si>
    <t>CLICTRUCK-043662</t>
  </si>
  <si>
    <t>CLICTRUCK-043663</t>
  </si>
  <si>
    <t>CLICTRUCK-043664</t>
  </si>
  <si>
    <t>CLICTRUCK-043665</t>
  </si>
  <si>
    <t>CLICTRUCK-043666</t>
  </si>
  <si>
    <t>CLICTRUCK-043667</t>
  </si>
  <si>
    <t>CLICTRUCK-043672</t>
  </si>
  <si>
    <t>CLICTRUCK-043673</t>
  </si>
  <si>
    <t>CLICTRUCK-043674</t>
  </si>
  <si>
    <t>CLICTRUCK-043675</t>
  </si>
  <si>
    <t>CLICTRUCK-043678</t>
  </si>
  <si>
    <t>CLICTRUCK-043679</t>
  </si>
  <si>
    <t>CLICTRUCK-043680</t>
  </si>
  <si>
    <t>CLICTRUCK-043681</t>
  </si>
  <si>
    <t>CLICTRUCK-043682</t>
  </si>
  <si>
    <t>CLICTRUCK-043683</t>
  </si>
  <si>
    <t>CLICTRUCK-043684</t>
  </si>
  <si>
    <t>CLICTRUCK-043685</t>
  </si>
  <si>
    <t>CLICTRUCK-043686</t>
  </si>
  <si>
    <t>CLICTRUCK-043687</t>
  </si>
  <si>
    <t>CLICTRUCK-043688</t>
  </si>
  <si>
    <t>CLICTRUCK-043689</t>
  </si>
  <si>
    <t>CLICTRUCK-043690</t>
  </si>
  <si>
    <t>CLICTRUCK-043691</t>
  </si>
  <si>
    <t>CLICTRUCK-043705</t>
  </si>
  <si>
    <t>CLICTRUCK-043706</t>
  </si>
  <si>
    <t>CLICTRUCK-043713</t>
  </si>
  <si>
    <t>CLICTRUCK-043714</t>
  </si>
  <si>
    <t>CLICTRUCK-043715</t>
  </si>
  <si>
    <t>CLICTRUCK-043718</t>
  </si>
  <si>
    <t>CLICTRUCK-043719</t>
  </si>
  <si>
    <t>CLICTRUCK-043720</t>
  </si>
  <si>
    <t>CLICTRUCK-043721</t>
  </si>
  <si>
    <t>CLICTRUCK-043722</t>
  </si>
  <si>
    <t>CLICTRUCK-043723</t>
  </si>
  <si>
    <t>CLICTRUCK-043724</t>
  </si>
  <si>
    <t>CLICTRUCK-043725</t>
  </si>
  <si>
    <t>CLICTRUCK-043726</t>
  </si>
  <si>
    <t>CLICTRUCK-043727</t>
  </si>
  <si>
    <t>CLICTRUCK-043728</t>
  </si>
  <si>
    <t>CLICTRUCK-043731</t>
  </si>
  <si>
    <t>CLICTRUCK-043732</t>
  </si>
  <si>
    <t>CLICTRUCK-043733</t>
  </si>
  <si>
    <t>CLICTRUCK-043734</t>
  </si>
  <si>
    <t>CLICTRUCK-043735</t>
  </si>
  <si>
    <t>CLICTRUCK-043736</t>
  </si>
  <si>
    <t>CLICTRUCK-043737</t>
  </si>
  <si>
    <t>CLICTRUCK-043740</t>
  </si>
  <si>
    <t>CLICTRUCK-043741</t>
  </si>
  <si>
    <t>CLICTRUCK-043742</t>
  </si>
  <si>
    <t>CLICTRUCK-043743</t>
  </si>
  <si>
    <t>CLICTRUCK-043744</t>
  </si>
  <si>
    <t>CLICTRUCK-043750</t>
  </si>
  <si>
    <t>CLICTRUCK-043751</t>
  </si>
  <si>
    <t>CLICTRUCK-043758</t>
  </si>
  <si>
    <t>CLICTRUCK-043761</t>
  </si>
  <si>
    <t>CLICTRUCK-043815</t>
  </si>
  <si>
    <t>CLICTRUCK-043816</t>
  </si>
  <si>
    <t>CLICTRUCK-043817</t>
  </si>
  <si>
    <t>CLICTRUCK-043818</t>
  </si>
  <si>
    <t>CLICTRUCK-043819</t>
  </si>
  <si>
    <t>CLICTRUCK-043820</t>
  </si>
  <si>
    <t>CLICTRUCK-043821</t>
  </si>
  <si>
    <t>CLICTRUCK-043822</t>
  </si>
  <si>
    <t>CLICTRUCK-043823</t>
  </si>
  <si>
    <t>CLICTRUCK-043824</t>
  </si>
  <si>
    <t>CLICTRUCK-043825</t>
  </si>
  <si>
    <t>CLICTRUCK-043826</t>
  </si>
  <si>
    <t>CLICTRUCK-043849</t>
  </si>
  <si>
    <t>CLICTRUCK-043850</t>
  </si>
  <si>
    <t>CLICTRUCK-043851</t>
  </si>
  <si>
    <t>CLICTRUCK-043852</t>
  </si>
  <si>
    <t>CLICTRUCK-043853</t>
  </si>
  <si>
    <t>CLICTRUCK-043854</t>
  </si>
  <si>
    <t>CLICTRUCK-043855</t>
  </si>
  <si>
    <t>CLICTRUCK-043856</t>
  </si>
  <si>
    <t>CLICTRUCK-043857</t>
  </si>
  <si>
    <t>CLICTRUCK-043858</t>
  </si>
  <si>
    <t>CLICTRUCK-043859</t>
  </si>
  <si>
    <t>CLICTRUCK-043860</t>
  </si>
  <si>
    <t>CLICTRUCK-043861</t>
  </si>
  <si>
    <t>CLICTRUCK-043862</t>
  </si>
  <si>
    <t>CLICTRUCK-043866</t>
  </si>
  <si>
    <t>CLICTRUCK-043867</t>
  </si>
  <si>
    <t>CLICTRUCK-043868</t>
  </si>
  <si>
    <t>CLICTRUCK-043875</t>
  </si>
  <si>
    <t>CLICTRUCK-043877</t>
  </si>
  <si>
    <t>CLICTRUCK-043879</t>
  </si>
  <si>
    <t>CLICTRUCK-043882</t>
  </si>
  <si>
    <t>CLICTRUCK-043884</t>
  </si>
  <si>
    <t>CLICTRUCK-043888</t>
  </si>
  <si>
    <t>CLICTRUCK-043889</t>
  </si>
  <si>
    <t>CLICTRUCK-043892</t>
  </si>
  <si>
    <t>CLICTRUCK-043893</t>
  </si>
  <si>
    <t>CLICTRUCK-043896</t>
  </si>
  <si>
    <t>CLICTRUCK-043898</t>
  </si>
  <si>
    <t>CLICTRUCK-043901</t>
  </si>
  <si>
    <t>CLICTRUCK-043904</t>
  </si>
  <si>
    <t>CLICTRUCK-043906</t>
  </si>
  <si>
    <t>CLICTRUCK-043908</t>
  </si>
  <si>
    <t>CLICTRUCK-043911</t>
  </si>
  <si>
    <t>CLICTRUCK-043913</t>
  </si>
  <si>
    <t>CLICTRUCK-043915</t>
  </si>
  <si>
    <t>CLICTRUCK-043917</t>
  </si>
  <si>
    <t>CLICTRUCK-043919</t>
  </si>
  <si>
    <t>CLICTRUCK-043962</t>
  </si>
  <si>
    <t>CLICTRUCK-043963</t>
  </si>
  <si>
    <t>CLICTRUCK-043964</t>
  </si>
  <si>
    <t>CLICTRUCK-043965</t>
  </si>
  <si>
    <t>CLICTRUCK-043966</t>
  </si>
  <si>
    <t>CLICTRUCK-043967</t>
  </si>
  <si>
    <t>CLICTRUCK-043970</t>
  </si>
  <si>
    <t>CLICTRUCK-043975</t>
  </si>
  <si>
    <t>CLICTRUCK-043976</t>
  </si>
  <si>
    <t>CLICTRUCK-043979</t>
  </si>
  <si>
    <t>CLICTRUCK-043980</t>
  </si>
  <si>
    <t>CLICTRUCK-043985</t>
  </si>
  <si>
    <t>CLICTRUCK-043986</t>
  </si>
  <si>
    <t>CLICTRUCK-043987</t>
  </si>
  <si>
    <t>CLICTRUCK-043988</t>
  </si>
  <si>
    <t>CLICTRUCK-043989</t>
  </si>
  <si>
    <t>CLICTRUCK-043990</t>
  </si>
  <si>
    <t>CLICTRUCK-043998</t>
  </si>
  <si>
    <t>CLICTRUCK-043999</t>
  </si>
  <si>
    <t>CLICTRUCK-044000</t>
  </si>
  <si>
    <t>CLICTRUCK-044001</t>
  </si>
  <si>
    <t>CLICTRUCK-044002</t>
  </si>
  <si>
    <t>CLICTRUCK-044003</t>
  </si>
  <si>
    <t>CLICTRUCK-044018</t>
  </si>
  <si>
    <t>CLICTRUCK-044022</t>
  </si>
  <si>
    <t>CLICTRUCK-044025</t>
  </si>
  <si>
    <t>CLICTRUCK-044028</t>
  </si>
  <si>
    <t>CLICTRUCK-044033</t>
  </si>
  <si>
    <t>CLICTRUCK-044034</t>
  </si>
  <si>
    <t>CLICTRUCK-044036</t>
  </si>
  <si>
    <t>CLICTRUCK-044041</t>
  </si>
  <si>
    <t>CLICTRUCK-044044</t>
  </si>
  <si>
    <t>CLICTRUCK-044047</t>
  </si>
  <si>
    <t>CLICTRUCK-044051</t>
  </si>
  <si>
    <t>CLICTRUCK-044052</t>
  </si>
  <si>
    <t>CLICTRUCK-044053</t>
  </si>
  <si>
    <t>CLICTRUCK-044054</t>
  </si>
  <si>
    <t>CLICTRUCK-044055</t>
  </si>
  <si>
    <t>CLICTRUCK-044056</t>
  </si>
  <si>
    <t>CLICTRUCK-044058</t>
  </si>
  <si>
    <t>CLICTRUCK-044063</t>
  </si>
  <si>
    <t>CLICTRUCK-044064</t>
  </si>
  <si>
    <t>CLICTRUCK-044065</t>
  </si>
  <si>
    <t>CLICTRUCK-044066</t>
  </si>
  <si>
    <t>CLICTRUCK-044067</t>
  </si>
  <si>
    <t>CLICTRUCK-044069</t>
  </si>
  <si>
    <t>CLICTRUCK-044070</t>
  </si>
  <si>
    <t>CLICTRUCK-044072</t>
  </si>
  <si>
    <t>CLICTRUCK-044073</t>
  </si>
  <si>
    <t>CLICTRUCK-044074</t>
  </si>
  <si>
    <t>CLICTRUCK-044075</t>
  </si>
  <si>
    <t>CLICTRUCK-044076</t>
  </si>
  <si>
    <t>CLICTRUCK-044086</t>
  </si>
  <si>
    <t>CLICTRUCK-044087</t>
  </si>
  <si>
    <t>CLICTRUCK-044088</t>
  </si>
  <si>
    <t>CLICTRUCK-044089</t>
  </si>
  <si>
    <t>CLICTRUCK-044090</t>
  </si>
  <si>
    <t>CLICTRUCK-044091</t>
  </si>
  <si>
    <t>CLICTRUCK-044092</t>
  </si>
  <si>
    <t>CLICTRUCK-044093</t>
  </si>
  <si>
    <t>CLICTRUCK-044094</t>
  </si>
  <si>
    <t>CLICTRUCK-044097</t>
  </si>
  <si>
    <t>CLICTRUCK-044100</t>
  </si>
  <si>
    <t>CLICTRUCK-044103</t>
  </si>
  <si>
    <t>CLICTRUCK-044107</t>
  </si>
  <si>
    <t>CLICTRUCK-044108</t>
  </si>
  <si>
    <t>CLICTRUCK-044109</t>
  </si>
  <si>
    <t>CLICTRUCK-044110</t>
  </si>
  <si>
    <t>CLICTRUCK-044111</t>
  </si>
  <si>
    <t>CLICTRUCK-044114</t>
  </si>
  <si>
    <t>CLICTRUCK-044115</t>
  </si>
  <si>
    <t>CLICTRUCK-044116</t>
  </si>
  <si>
    <t>CLICTRUCK-044117</t>
  </si>
  <si>
    <t>CLICTRUCK-044118</t>
  </si>
  <si>
    <t>CLICTRUCK-044128</t>
  </si>
  <si>
    <t>CLICTRUCK-044129</t>
  </si>
  <si>
    <t>CLICTRUCK-044130</t>
  </si>
  <si>
    <t>CLICTRUCK-044141</t>
  </si>
  <si>
    <t>CLICTRUCK-044142</t>
  </si>
  <si>
    <t>CLICTRUCK-044143</t>
  </si>
  <si>
    <t>CLICTRUCK-044144</t>
  </si>
  <si>
    <t>CLICTRUCK-044145</t>
  </si>
  <si>
    <t>CLICTRUCK-044155</t>
  </si>
  <si>
    <t>CLICTRUCK-044156</t>
  </si>
  <si>
    <t>CLICTRUCK-044157</t>
  </si>
  <si>
    <t>CLICTRUCK-044158</t>
  </si>
  <si>
    <t>CLICTRUCK-044159</t>
  </si>
  <si>
    <t>CLICTRUCK-044160</t>
  </si>
  <si>
    <t>CLICTRUCK-044179</t>
  </si>
  <si>
    <t>CLICTRUCK-044180</t>
  </si>
  <si>
    <t>CLICTRUCK-044181</t>
  </si>
  <si>
    <t>CLICTRUCK-044188</t>
  </si>
  <si>
    <t>CLICTRUCK-044191</t>
  </si>
  <si>
    <t>CLICTRUCK-044193</t>
  </si>
  <si>
    <t>CLICTRUCK-044195</t>
  </si>
  <si>
    <t>CLICTRUCK-044197</t>
  </si>
  <si>
    <t>CLICTRUCK-044200</t>
  </si>
  <si>
    <t>CLICTRUCK-044204</t>
  </si>
  <si>
    <t>CLICTRUCK-044205</t>
  </si>
  <si>
    <t>CLICTRUCK-044207</t>
  </si>
  <si>
    <t>PT. Praja Laksana Group</t>
  </si>
  <si>
    <t>DSB - PLG</t>
  </si>
  <si>
    <t>CLICTRUCK-044208</t>
  </si>
  <si>
    <t>CLICTRUCK-044209</t>
  </si>
  <si>
    <t>CLICTRUCK-044210</t>
  </si>
  <si>
    <t>CLICTRUCK-044211</t>
  </si>
  <si>
    <t>CLICTRUCK-044212</t>
  </si>
  <si>
    <t>CLICTRUCK-044213</t>
  </si>
  <si>
    <t>CLICTRUCK-044214</t>
  </si>
  <si>
    <t>CLICTRUCK-044215</t>
  </si>
  <si>
    <t>CLICTRUCK-044216</t>
  </si>
  <si>
    <t>CLICTRUCK-044217</t>
  </si>
  <si>
    <t>CLICTRUCK-044218</t>
  </si>
  <si>
    <t>CLICTRUCK-044219</t>
  </si>
  <si>
    <t>CLICTRUCK-044220</t>
  </si>
  <si>
    <t>CLICTRUCK-044221</t>
  </si>
  <si>
    <t>CLICTRUCK-044222</t>
  </si>
  <si>
    <t>CLICTRUCK-044224</t>
  </si>
  <si>
    <t>CLICTRUCK-044225</t>
  </si>
  <si>
    <t>CLICTRUCK-044226</t>
  </si>
  <si>
    <t>CLICTRUCK-044227</t>
  </si>
  <si>
    <t>CLICTRUCK-044232</t>
  </si>
  <si>
    <t>CLICTRUCK-044234</t>
  </si>
  <si>
    <t>CLICTRUCK-044235</t>
  </si>
  <si>
    <t>CLICTRUCK-044236</t>
  </si>
  <si>
    <t>CLICTRUCK-044237</t>
  </si>
  <si>
    <t>CLICTRUCK-044238</t>
  </si>
  <si>
    <t>CLICTRUCK-044239</t>
  </si>
  <si>
    <t>CLICTRUCK-044240</t>
  </si>
  <si>
    <t>CLICTRUCK-044241</t>
  </si>
  <si>
    <t>CLICTRUCK-044242</t>
  </si>
  <si>
    <t>CLICTRUCK-044243</t>
  </si>
  <si>
    <t>CLICTRUCK-044244</t>
  </si>
  <si>
    <t>CLICTRUCK-044245</t>
  </si>
  <si>
    <t>CLICTRUCK-044246</t>
  </si>
  <si>
    <t>CLICTRUCK-044247</t>
  </si>
  <si>
    <t>CLICTRUCK-044248</t>
  </si>
  <si>
    <t>CLICTRUCK-044249</t>
  </si>
  <si>
    <t>CLICTRUCK-044250</t>
  </si>
  <si>
    <t>CLICTRUCK-044256</t>
  </si>
  <si>
    <t>CLICTRUCK-044257</t>
  </si>
  <si>
    <t>CLICTRUCK-044258</t>
  </si>
  <si>
    <t>CLICTRUCK-044259</t>
  </si>
  <si>
    <t>CLICTRUCK-044260</t>
  </si>
  <si>
    <t>CLICTRUCK-044262</t>
  </si>
  <si>
    <t>CLICTRUCK-044266</t>
  </si>
  <si>
    <t>CLICTRUCK-044267</t>
  </si>
  <si>
    <t>CLICTRUCK-044268</t>
  </si>
  <si>
    <t>CLICTRUCK-044269</t>
  </si>
  <si>
    <t>CLICTRUCK-044270</t>
  </si>
  <si>
    <t>CLICTRUCK-044271</t>
  </si>
  <si>
    <t>CLICTRUCK-044272</t>
  </si>
  <si>
    <t>CLICTRUCK-044273</t>
  </si>
  <si>
    <t>CLICTRUCK-044274</t>
  </si>
  <si>
    <t>CLICTRUCK-044275</t>
  </si>
  <si>
    <t>CLICTRUCK-044276</t>
  </si>
  <si>
    <t>CLICTRUCK-044277</t>
  </si>
  <si>
    <t>CLICTRUCK-044278</t>
  </si>
  <si>
    <t>CLICTRUCK-044279</t>
  </si>
  <si>
    <t>CLICTRUCK-044280</t>
  </si>
  <si>
    <t>CLICTRUCK-044281</t>
  </si>
  <si>
    <t>CLICTRUCK-044295</t>
  </si>
  <si>
    <t>CLICTRUCK-044296</t>
  </si>
  <si>
    <t>CLICTRUCK-044297</t>
  </si>
  <si>
    <t>CLICTRUCK-044298</t>
  </si>
  <si>
    <t>CLICTRUCK-044299</t>
  </si>
  <si>
    <t>CLICTRUCK-044304</t>
  </si>
  <si>
    <t>CLICTRUCK-044305</t>
  </si>
  <si>
    <t>CLICTRUCK-044306</t>
  </si>
  <si>
    <t>CLICTRUCK-044307</t>
  </si>
  <si>
    <t>CLICTRUCK-044308</t>
  </si>
  <si>
    <t>CLICTRUCK-044309</t>
  </si>
  <si>
    <t>CLICTRUCK-044310</t>
  </si>
  <si>
    <t>CLICTRUCK-044311</t>
  </si>
  <si>
    <t>CLICTRUCK-044312</t>
  </si>
  <si>
    <t>CLICTRUCK-044313</t>
  </si>
  <si>
    <t>CLICTRUCK-044314</t>
  </si>
  <si>
    <t>CLICTRUCK-044315</t>
  </si>
  <si>
    <t>CLICTRUCK-044316</t>
  </si>
  <si>
    <t>CLICTRUCK-044317</t>
  </si>
  <si>
    <t>CLICTRUCK-044318</t>
  </si>
  <si>
    <t>CLICTRUCK-044319</t>
  </si>
  <si>
    <t>CLICTRUCK-044325</t>
  </si>
  <si>
    <t>CLICTRUCK-044326</t>
  </si>
  <si>
    <t>CLICTRUCK-044327</t>
  </si>
  <si>
    <t>CLICTRUCK-044328</t>
  </si>
  <si>
    <t>CLICTRUCK-044329</t>
  </si>
  <si>
    <t>CLICTRUCK-044330</t>
  </si>
  <si>
    <t>CLICTRUCK-044331</t>
  </si>
  <si>
    <t>CLICTRUCK-044332</t>
  </si>
  <si>
    <t>CLICTRUCK-044333</t>
  </si>
  <si>
    <t>CLICTRUCK-044334</t>
  </si>
  <si>
    <t>CLICTRUCK-044336</t>
  </si>
  <si>
    <t>CLICTRUCK-044338</t>
  </si>
  <si>
    <t>CLICTRUCK-044339</t>
  </si>
  <si>
    <t>CLICTRUCK-044340</t>
  </si>
  <si>
    <t>CLICTRUCK-044341</t>
  </si>
  <si>
    <t>CLICTRUCK-044342</t>
  </si>
  <si>
    <t>CLICTRUCK-044343</t>
  </si>
  <si>
    <t>CLICTRUCK-044344</t>
  </si>
  <si>
    <t>CLICTRUCK-044347</t>
  </si>
  <si>
    <t>CLICTRUCK-044348</t>
  </si>
  <si>
    <t>CLICTRUCK-044349</t>
  </si>
  <si>
    <t>CLICTRUCK-044353</t>
  </si>
  <si>
    <t>CLICTRUCK-044357</t>
  </si>
  <si>
    <t>CLICTRUCK-044358</t>
  </si>
  <si>
    <t>CLICTRUCK-044359</t>
  </si>
  <si>
    <t>CLICTRUCK-044360</t>
  </si>
  <si>
    <t>CLICTRUCK-044361</t>
  </si>
  <si>
    <t>CLICTRUCK-044362</t>
  </si>
  <si>
    <t>CLICTRUCK-044363</t>
  </si>
  <si>
    <t>CLICTRUCK-044364</t>
  </si>
  <si>
    <t>CLICTRUCK-044365</t>
  </si>
  <si>
    <t>CLICTRUCK-044366</t>
  </si>
  <si>
    <t>CLICTRUCK-044367</t>
  </si>
  <si>
    <t>CLICTRUCK-044368</t>
  </si>
  <si>
    <t>CLICTRUCK-044369</t>
  </si>
  <si>
    <t>CLICTRUCK-044370</t>
  </si>
  <si>
    <t>CLICTRUCK-044371</t>
  </si>
  <si>
    <t>CLICTRUCK-044372</t>
  </si>
  <si>
    <t>CLICTRUCK-044373</t>
  </si>
  <si>
    <t>CLICTRUCK-044374</t>
  </si>
  <si>
    <t>CLICTRUCK-044376</t>
  </si>
  <si>
    <t>CLICTRUCK-044377</t>
  </si>
  <si>
    <t>CLICTRUCK-044378</t>
  </si>
  <si>
    <t>CLICTRUCK-044379</t>
  </si>
  <si>
    <t>CLICTRUCK-044380</t>
  </si>
  <si>
    <t>CLICTRUCK-044381</t>
  </si>
  <si>
    <t>CLICTRUCK-044383</t>
  </si>
  <si>
    <t>CLICTRUCK-044385</t>
  </si>
  <si>
    <t>CLICTRUCK-044386</t>
  </si>
  <si>
    <t>CLICTRUCK-044387</t>
  </si>
  <si>
    <t>CLICTRUCK-044388</t>
  </si>
  <si>
    <t>CLICTRUCK-044389</t>
  </si>
  <si>
    <t>CLICTRUCK-044397</t>
  </si>
  <si>
    <t>CLICTRUCK-044399</t>
  </si>
  <si>
    <t>CLICTRUCK-044401</t>
  </si>
  <si>
    <t>CLICTRUCK-044402</t>
  </si>
  <si>
    <t>CLICTRUCK-044403</t>
  </si>
  <si>
    <t>CLICTRUCK-044435</t>
  </si>
  <si>
    <t>CLICTRUCK-044436</t>
  </si>
  <si>
    <t>CLICTRUCK-044437</t>
  </si>
  <si>
    <t>CLICTRUCK-044438</t>
  </si>
  <si>
    <t>CLICTRUCK-044439</t>
  </si>
  <si>
    <t>PENDING APPROVAL</t>
  </si>
  <si>
    <t>CLICTRUCK-044440</t>
  </si>
  <si>
    <t>CLICTRUCK-044441</t>
  </si>
  <si>
    <t>CLICTRUCK-044444</t>
  </si>
  <si>
    <t>CLICTRUCK-044445</t>
  </si>
  <si>
    <t>CLICTRUCK-044446</t>
  </si>
  <si>
    <t>CLICTRUCK-044447</t>
  </si>
  <si>
    <t>CLICTRUCK-044448</t>
  </si>
  <si>
    <t>CLICTRUCK-044467</t>
  </si>
  <si>
    <t>CLICTRUCK-044469</t>
  </si>
  <si>
    <t>CLICTRUCK-044470</t>
  </si>
  <si>
    <t>CLICTRUCK-044471</t>
  </si>
  <si>
    <t>CLICTRUCK-044472</t>
  </si>
  <si>
    <t>CLICTRUCK-044473</t>
  </si>
  <si>
    <t>CLICTRUCK-044475</t>
  </si>
  <si>
    <t>CLICTRUCK-044478</t>
  </si>
  <si>
    <t>CLICTRUCK-044479</t>
  </si>
  <si>
    <t>CLICTRUCK-044480</t>
  </si>
  <si>
    <t>CLICTRUCK-044481</t>
  </si>
  <si>
    <t>CLICTRUCK-044482</t>
  </si>
  <si>
    <t>CLICTRUCK-044483</t>
  </si>
  <si>
    <t>CLICTRUCK-044484</t>
  </si>
  <si>
    <t>CLICTRUCK-044510</t>
  </si>
  <si>
    <t>CLICTRUCK-044511</t>
  </si>
  <si>
    <t>CLICTRUCK-044512</t>
  </si>
  <si>
    <t>CLICTRUCK-044513</t>
  </si>
  <si>
    <t>CLICTRUCK-044514</t>
  </si>
  <si>
    <t>CLICTRUCK-044515</t>
  </si>
  <si>
    <t>CLICTRUCK-044516</t>
  </si>
  <si>
    <t>CLICTRUCK-044517</t>
  </si>
  <si>
    <t>CLICTRUCK-044518</t>
  </si>
  <si>
    <t>CLICTRUCK-044519</t>
  </si>
  <si>
    <t>CLICTRUCK-044520</t>
  </si>
  <si>
    <t>CLICTRUCK-044521</t>
  </si>
  <si>
    <t>CLICTRUCK-044522</t>
  </si>
  <si>
    <t>CLICTRUCK-044523</t>
  </si>
  <si>
    <t>CLICTRUCK-044524</t>
  </si>
  <si>
    <t>CLICTRUCK-044525</t>
  </si>
  <si>
    <t>CLICTRUCK-044526</t>
  </si>
  <si>
    <t>CLICTRUCK-044527</t>
  </si>
  <si>
    <t>CLICTRUCK-044528</t>
  </si>
  <si>
    <t>CLICTRUCK-044537</t>
  </si>
  <si>
    <t>CLICTRUCK-044538</t>
  </si>
  <si>
    <t>CLICTRUCK-044539</t>
  </si>
  <si>
    <t>CLICTRUCK-044540</t>
  </si>
  <si>
    <t>CLICTRUCK-044541</t>
  </si>
  <si>
    <t>CLICTRUCK-044542</t>
  </si>
  <si>
    <t>CLICTRUCK-044543</t>
  </si>
  <si>
    <t>CLICTRUCK-044544</t>
  </si>
  <si>
    <t>CLICTRUCK-044545</t>
  </si>
  <si>
    <t>CLICTRUCK-044548</t>
  </si>
  <si>
    <t>CLICTRUCK-044549</t>
  </si>
  <si>
    <t>CLICTRUCK-044550</t>
  </si>
  <si>
    <t>CLICTRUCK-044551</t>
  </si>
  <si>
    <t>CLICTRUCK-044552</t>
  </si>
  <si>
    <t>CLICTRUCK-044553</t>
  </si>
  <si>
    <t>CLICTRUCK-044554</t>
  </si>
  <si>
    <t>CLICTRUCK-044555</t>
  </si>
  <si>
    <t>CLICTRUCK-044556</t>
  </si>
  <si>
    <t>CLICTRUCK-044557</t>
  </si>
  <si>
    <t>CLICTRUCK-044558</t>
  </si>
  <si>
    <t>CLICTRUCK-044559</t>
  </si>
  <si>
    <t>CLICTRUCK-044562</t>
  </si>
  <si>
    <t>CLICTRUCK-044563</t>
  </si>
  <si>
    <t>CLICTRUCK-044565</t>
  </si>
  <si>
    <t>CLICTRUCK-044566</t>
  </si>
  <si>
    <t>CLICTRUCK-044567</t>
  </si>
  <si>
    <t>CLICTRUCK-044568</t>
  </si>
  <si>
    <t>CLICTRUCK-044569</t>
  </si>
  <si>
    <t>CLICTRUCK-044578</t>
  </si>
  <si>
    <t>CLICTRUCK-044579</t>
  </si>
  <si>
    <t>CLICTRUCK-044580</t>
  </si>
  <si>
    <t>CLICTRUCK-044581</t>
  </si>
  <si>
    <t>CLICTRUCK-044585</t>
  </si>
  <si>
    <t>CLICTRUCK-044607</t>
  </si>
  <si>
    <t>CLICTRUCK-044608</t>
  </si>
  <si>
    <t>CLICTRUCK-044609</t>
  </si>
  <si>
    <t>CLICTRUCK-044610</t>
  </si>
  <si>
    <t>CLICTRUCK-044612</t>
  </si>
  <si>
    <t>CLICTRUCK-044614</t>
  </si>
  <si>
    <t>CLICTRUCK-044615</t>
  </si>
  <si>
    <t>CLICTRUCK-044616</t>
  </si>
  <si>
    <t>CLICTRUCK-044617</t>
  </si>
  <si>
    <t>CLICTRUCK-044618</t>
  </si>
  <si>
    <t>CLICTRUCK-044619</t>
  </si>
  <si>
    <t>CLICTRUCK-044620</t>
  </si>
  <si>
    <t>CLICTRUCK-044622</t>
  </si>
  <si>
    <t>PT.  Inesia Kargotama Indonesia [TRUCKING]</t>
  </si>
  <si>
    <t>IFI - IKI</t>
  </si>
  <si>
    <t>CLICTRUCK-044623</t>
  </si>
  <si>
    <t>CLICTRUCK-044640</t>
  </si>
  <si>
    <t>CLICTRUCK-044642</t>
  </si>
  <si>
    <t>CLICTRUCK-044651</t>
  </si>
  <si>
    <t>CLICTRUCK-044652</t>
  </si>
  <si>
    <t>CLICTRUCK-044653</t>
  </si>
  <si>
    <t>CLICTRUCK-044654</t>
  </si>
  <si>
    <t>CLICTRUCK-044655</t>
  </si>
  <si>
    <t>CLICTRUCK-044656</t>
  </si>
  <si>
    <t>CLICTRUCK-044657</t>
  </si>
  <si>
    <t>CLICTRUCK-044658</t>
  </si>
  <si>
    <t>CLICTRUCK-044659</t>
  </si>
  <si>
    <t>CLICTRUCK-044669</t>
  </si>
  <si>
    <t>CLICTRUCK-044670</t>
  </si>
  <si>
    <t>CLICTRUCK-044671</t>
  </si>
  <si>
    <t>CLICTRUCK-044672</t>
  </si>
  <si>
    <t>CLICTRUCK-044674</t>
  </si>
  <si>
    <t>CLICTRUCK-044675</t>
  </si>
  <si>
    <t>CLICTRUCK-044676</t>
  </si>
  <si>
    <t>CLICTRUCK-044677</t>
  </si>
  <si>
    <t>CLICTRUCK-044678</t>
  </si>
  <si>
    <t>CLICTRUCK-044679</t>
  </si>
  <si>
    <t>CLICTRUCK-044680</t>
  </si>
  <si>
    <t>CLICTRUCK-044681</t>
  </si>
  <si>
    <t>CLICTRUCK-044682</t>
  </si>
  <si>
    <t>CLICTRUCK-044683</t>
  </si>
  <si>
    <t>CLICTRUCK-044684</t>
  </si>
  <si>
    <t>CLICTRUCK-044685</t>
  </si>
  <si>
    <t>CLICTRUCK-044686</t>
  </si>
  <si>
    <t>CLICTRUCK-044687</t>
  </si>
  <si>
    <t>CLICTRUCK-044688</t>
  </si>
  <si>
    <t>CLICTRUCK-044689</t>
  </si>
  <si>
    <t>CLICTRUCK-044690</t>
  </si>
  <si>
    <t>CLICTRUCK-044724</t>
  </si>
  <si>
    <t>CLICTRUCK-044725</t>
  </si>
  <si>
    <t>CLICTRUCK-044726</t>
  </si>
  <si>
    <t>CLICTRUCK-044727</t>
  </si>
  <si>
    <t>CLICTRUCK-044728</t>
  </si>
  <si>
    <t>CLICTRUCK-044729</t>
  </si>
  <si>
    <t>CLICTRUCK-044746</t>
  </si>
  <si>
    <t>CLICTRUCK-044747</t>
  </si>
  <si>
    <t>CLICTRUCK-044748</t>
  </si>
  <si>
    <t>CLICTRUCK-044749</t>
  </si>
  <si>
    <t>CLICTRUCK-044750</t>
  </si>
  <si>
    <t>CLICTRUCK-044760</t>
  </si>
  <si>
    <t>CLICTRUCK-044763</t>
  </si>
  <si>
    <t>CLICTRUCK-044764</t>
  </si>
  <si>
    <t>CLICTRUCK-044765</t>
  </si>
  <si>
    <t>CLICTRUCK-044766</t>
  </si>
  <si>
    <t>CLICTRUCK-044767</t>
  </si>
  <si>
    <t>CLICTRUCK-044768</t>
  </si>
  <si>
    <t>CLICTRUCK-044773</t>
  </si>
  <si>
    <t>CLICTRUCK-044774</t>
  </si>
  <si>
    <t>CLICTRUCK-044775</t>
  </si>
  <si>
    <t>CLICTRUCK-044776</t>
  </si>
  <si>
    <t>CLICTRUCK-044880</t>
  </si>
  <si>
    <t>CLICTRUCK-044881</t>
  </si>
  <si>
    <t>CLICTRUCK-044882</t>
  </si>
  <si>
    <t>CLICTRUCK-045222</t>
  </si>
  <si>
    <t>CLICTRUCK-045224</t>
  </si>
  <si>
    <t>CLICTRUCK-045226</t>
  </si>
  <si>
    <t>CLICTRUCK-045227</t>
  </si>
  <si>
    <t>CLICTRUCK-045228</t>
  </si>
  <si>
    <t>CLICTRUCK-045259</t>
  </si>
  <si>
    <t>CLICTRUCK-045260</t>
  </si>
  <si>
    <t>CLICTRUCK-045261</t>
  </si>
  <si>
    <t>CLICTRUCK-045262</t>
  </si>
  <si>
    <t>CLICTRUCK-045263</t>
  </si>
  <si>
    <t>CLICTRUCK-045264</t>
  </si>
  <si>
    <t>CLICTRUCK-045265</t>
  </si>
  <si>
    <t>CLICTRUCK-045266</t>
  </si>
  <si>
    <t>CLICTRUCK-045267</t>
  </si>
  <si>
    <t>CLICTRUCK-045268</t>
  </si>
  <si>
    <t>CLICTRUCK-045269</t>
  </si>
  <si>
    <t>CLICTRUCK-045270</t>
  </si>
  <si>
    <t>CLICTRUCK-045461</t>
  </si>
  <si>
    <t>CLICTRUCK-045464</t>
  </si>
  <si>
    <t>CLICTRUCK-045465</t>
  </si>
  <si>
    <t>CLICTRUCK-045466</t>
  </si>
  <si>
    <t>CLICTRUCK-045467</t>
  </si>
  <si>
    <t>CLICTRUCK-045468</t>
  </si>
  <si>
    <t>CLICTRUCK-045469</t>
  </si>
  <si>
    <t>CLICTRUCK-045470</t>
  </si>
  <si>
    <t>CLICTRUCK-045471</t>
  </si>
  <si>
    <t>CLICTRUCK-045472</t>
  </si>
  <si>
    <t>CLICTRUCK-045473</t>
  </si>
  <si>
    <t>CLICTRUCK-045474</t>
  </si>
  <si>
    <t>CLICTRUCK-045475</t>
  </si>
  <si>
    <t>CLICTRUCK-045476</t>
  </si>
  <si>
    <t>CLICTRUCK-045477</t>
  </si>
  <si>
    <t>CLICTRUCK-045478</t>
  </si>
  <si>
    <t>CLICTRUCK-045479</t>
  </si>
  <si>
    <t>CLICTRUCK-045480</t>
  </si>
  <si>
    <t>CLICTRUCK-045481</t>
  </si>
  <si>
    <t>CLICTRUCK-045482</t>
  </si>
  <si>
    <t>CLICTRUCK-045483</t>
  </si>
  <si>
    <t>CLICTRUCK-045579</t>
  </si>
  <si>
    <t>CLICTRUCK-045792</t>
  </si>
  <si>
    <t>CLICTRUCK-045793</t>
  </si>
  <si>
    <t>CLICTRUCK-045794</t>
  </si>
  <si>
    <t>CLICTRUCK-045795</t>
  </si>
  <si>
    <t>CLICTRUCK-045830</t>
  </si>
  <si>
    <t>CLICTRUCK-045833</t>
  </si>
  <si>
    <t>CLICTRUCK-045850</t>
  </si>
  <si>
    <t>CLICTRUCK-045851</t>
  </si>
  <si>
    <t>CLICTRUCK-045852</t>
  </si>
  <si>
    <t>CLICTRUCK-045854</t>
  </si>
  <si>
    <t>CLICTRUCK-045855</t>
  </si>
  <si>
    <t>CLICTRUCK-045856</t>
  </si>
  <si>
    <t>CLICTRUCK-045857</t>
  </si>
  <si>
    <t>CLICTRUCK-045858</t>
  </si>
  <si>
    <t>CLICTRUCK-045868</t>
  </si>
  <si>
    <t>CLICTRUCK-045869</t>
  </si>
  <si>
    <t>CLICTRUCK-045905</t>
  </si>
  <si>
    <t>CLICTRUCK-045906</t>
  </si>
  <si>
    <t>CLICTRUCK-045912</t>
  </si>
  <si>
    <t>CLICTRUCK-045913</t>
  </si>
  <si>
    <t>CLICTRUCK-045914</t>
  </si>
  <si>
    <t>CLICTRUCK-045915</t>
  </si>
  <si>
    <t>CLICTRUCK-045916</t>
  </si>
  <si>
    <t>CLICTRUCK-045917</t>
  </si>
  <si>
    <t>CLICTRUCK-045918</t>
  </si>
  <si>
    <t>CLICTRUCK-045919</t>
  </si>
  <si>
    <t>CLICTRUCK-045920</t>
  </si>
  <si>
    <t>CLICTRUCK-045921</t>
  </si>
  <si>
    <t>CLICTRUCK-045922</t>
  </si>
  <si>
    <t>CLICTRUCK-045923</t>
  </si>
  <si>
    <t>CLICTRUCK-045924</t>
  </si>
  <si>
    <t>CLICTRUCK-045925</t>
  </si>
  <si>
    <t>CLICTRUCK-045926</t>
  </si>
  <si>
    <t>CLICTRUCK-045927</t>
  </si>
  <si>
    <t>CLICTRUCK-045928</t>
  </si>
  <si>
    <t>CLICTRUCK-045929</t>
  </si>
  <si>
    <t>CLICTRUCK-045930</t>
  </si>
  <si>
    <t>CLICTRUCK-045948</t>
  </si>
  <si>
    <t>CLICTRUCK-045949</t>
  </si>
  <si>
    <t>CLICTRUCK-045951</t>
  </si>
  <si>
    <t>CLICTRUCK-045957</t>
  </si>
  <si>
    <t>CLICTRUCK-045959</t>
  </si>
  <si>
    <t>CLICTRUCK-045960</t>
  </si>
  <si>
    <t>CLICTRUCK-045961</t>
  </si>
  <si>
    <t>CLICTRUCK-045963</t>
  </si>
  <si>
    <t>CLICTRUCK-045964</t>
  </si>
  <si>
    <t>CLICTRUCK-045965</t>
  </si>
  <si>
    <t>CLICTRUCK-045966</t>
  </si>
  <si>
    <t>CLICTRUCK-045967</t>
  </si>
  <si>
    <t>CLICTRUCK-045968</t>
  </si>
  <si>
    <t>CLICTRUCK-045969</t>
  </si>
  <si>
    <t>CLICTRUCK-045970</t>
  </si>
  <si>
    <t>CLICTRUCK-045971</t>
  </si>
  <si>
    <t>CLICTRUCK-045972</t>
  </si>
  <si>
    <t>CLICTRUCK-045973</t>
  </si>
  <si>
    <t>CLICTRUCK-045974</t>
  </si>
  <si>
    <t>CLICTRUCK-045976</t>
  </si>
  <si>
    <t>CLICTRUCK-045978</t>
  </si>
  <si>
    <t>CLICTRUCK-045980</t>
  </si>
  <si>
    <t>CLICTRUCK-045981</t>
  </si>
  <si>
    <t>CLICTRUCK-045982</t>
  </si>
  <si>
    <t>CLICTRUCK-045983</t>
  </si>
  <si>
    <t>CLICTRUCK-045984</t>
  </si>
  <si>
    <t>CLICTRUCK-045985</t>
  </si>
  <si>
    <t>CLICTRUCK-045987</t>
  </si>
  <si>
    <t>CLICTRUCK-046015</t>
  </si>
  <si>
    <t>CLICTRUCK-046016</t>
  </si>
  <si>
    <t>CLICTRUCK-046017</t>
  </si>
  <si>
    <t>CLICTRUCK-046018</t>
  </si>
  <si>
    <t>CLICTRUCK-046031</t>
  </si>
  <si>
    <t>CLICTRUCK-046032</t>
  </si>
  <si>
    <t>CLICTRUCK-046033</t>
  </si>
  <si>
    <t>CLICTRUCK-046034</t>
  </si>
  <si>
    <t>CLICTRUCK-046035</t>
  </si>
  <si>
    <t>CLICTRUCK-046036</t>
  </si>
  <si>
    <t>CLICTRUCK-046037</t>
  </si>
  <si>
    <t>CLICTRUCK-046038</t>
  </si>
  <si>
    <t>CLICTRUCK-046039</t>
  </si>
  <si>
    <t>CLICTRUCK-046040</t>
  </si>
  <si>
    <t>CLICTRUCK-046041</t>
  </si>
  <si>
    <t>CLICTRUCK-046042</t>
  </si>
  <si>
    <t>CLICTRUCK-046043</t>
  </si>
  <si>
    <t>CLICTRUCK-046044</t>
  </si>
  <si>
    <t>CLICTRUCK-046045</t>
  </si>
  <si>
    <t>CLICTRUCK-046046</t>
  </si>
  <si>
    <t>CLICTRUCK-046047</t>
  </si>
  <si>
    <t>CLICTRUCK-046048</t>
  </si>
  <si>
    <t>CLICTRUCK-046049</t>
  </si>
  <si>
    <t>CLICTRUCK-046050</t>
  </si>
  <si>
    <t>CLICTRUCK-046051</t>
  </si>
  <si>
    <t>CLICTRUCK-046052</t>
  </si>
  <si>
    <t>CLICTRUCK-046053</t>
  </si>
  <si>
    <t>CLICTRUCK-046056</t>
  </si>
  <si>
    <t>CLICTRUCK-046057</t>
  </si>
  <si>
    <t>CLICTRUCK-046060</t>
  </si>
  <si>
    <t>CLICTRUCK-046062</t>
  </si>
  <si>
    <t>CLICTRUCK-046140</t>
  </si>
  <si>
    <t>CLICTRUCK-046211</t>
  </si>
  <si>
    <t>CLICTRUCK-046212</t>
  </si>
  <si>
    <t>CLICTRUCK-046213</t>
  </si>
  <si>
    <t>CLICTRUCK-046214</t>
  </si>
  <si>
    <t>CLICTRUCK-046215</t>
  </si>
  <si>
    <t>CLICTRUCK-046216</t>
  </si>
  <si>
    <t>CLICTRUCK-046217</t>
  </si>
  <si>
    <t>CLICTRUCK-046218</t>
  </si>
  <si>
    <t>CLICTRUCK-046219</t>
  </si>
  <si>
    <t>CLICTRUCK-046220</t>
  </si>
  <si>
    <t>CLICTRUCK-046222</t>
  </si>
  <si>
    <t>CLICTRUCK-046223</t>
  </si>
  <si>
    <t>CLICTRUCK-046224</t>
  </si>
  <si>
    <t>CLICTRUCK-046226</t>
  </si>
  <si>
    <t>CLICTRUCK-046228</t>
  </si>
  <si>
    <t>CLICTRUCK-046246</t>
  </si>
  <si>
    <t>CLICTRUCK-046251</t>
  </si>
  <si>
    <t>CLICTRUCK-046283</t>
  </si>
  <si>
    <t>CLICTRUCK-046298</t>
  </si>
  <si>
    <t>CLICTRUCK-046299</t>
  </si>
  <si>
    <t>CLICTRUCK-046300</t>
  </si>
  <si>
    <t>CLICTRUCK-046301</t>
  </si>
  <si>
    <t>CLICTRUCK-046302</t>
  </si>
  <si>
    <t>CLICTRUCK-046320</t>
  </si>
  <si>
    <t>CLICTRUCK-046321</t>
  </si>
  <si>
    <t>CLICTRUCK-046322</t>
  </si>
  <si>
    <t>CLICTRUCK-046402</t>
  </si>
  <si>
    <t>CLICTRUCK-046403</t>
  </si>
  <si>
    <t>CLICTRUCK-046404</t>
  </si>
  <si>
    <t>CLICTRUCK-046405</t>
  </si>
  <si>
    <t>CLICTRUCK-046406</t>
  </si>
  <si>
    <t>CLICTRUCK-046407</t>
  </si>
  <si>
    <t>CLICTRUCK-046408</t>
  </si>
  <si>
    <t>CLICTRUCK-046409</t>
  </si>
  <si>
    <t>CLICTRUCK-046411</t>
  </si>
  <si>
    <t>CLICTRUCK-046412</t>
  </si>
  <si>
    <t>CLICTRUCK-046413</t>
  </si>
  <si>
    <t>CLICTRUCK-046414</t>
  </si>
  <si>
    <t>CLICTRUCK-046415</t>
  </si>
  <si>
    <t>CLICTRUCK-046572</t>
  </si>
  <si>
    <t>CLICTRUCK-046573</t>
  </si>
  <si>
    <t>CLICTRUCK-046574</t>
  </si>
  <si>
    <t>CLICTRUCK-046575</t>
  </si>
  <si>
    <t>CLICTRUCK-046576</t>
  </si>
  <si>
    <t>CLICTRUCK-046577</t>
  </si>
  <si>
    <t>CLICTRUCK-046578</t>
  </si>
  <si>
    <t>CLICTRUCK-046583</t>
  </si>
  <si>
    <t>CLICTRUCK-046591</t>
  </si>
  <si>
    <t>CLICTRUCK-046592</t>
  </si>
  <si>
    <t>CLICTRUCK-046593</t>
  </si>
  <si>
    <t>CLICTRUCK-046594</t>
  </si>
  <si>
    <t>CLICTRUCK-046595</t>
  </si>
  <si>
    <t>CLICTRUCK-046596</t>
  </si>
  <si>
    <t>CLICTRUCK-046627</t>
  </si>
  <si>
    <t>CLICTRUCK-046640</t>
  </si>
  <si>
    <t>CLICTRUCK-046641</t>
  </si>
  <si>
    <t>CLICTRUCK-046642</t>
  </si>
  <si>
    <t>CLICTRUCK-046643</t>
  </si>
  <si>
    <t>CLICTRUCK-046644</t>
  </si>
  <si>
    <t>CLICTRUCK-046645</t>
  </si>
  <si>
    <t>CLICTRUCK-046646</t>
  </si>
  <si>
    <t>CLICTRUCK-046647</t>
  </si>
  <si>
    <t>CLICTRUCK-046648</t>
  </si>
  <si>
    <t>CLICTRUCK-046649</t>
  </si>
  <si>
    <t>CLICTRUCK-046650</t>
  </si>
  <si>
    <t>CLICTRUCK-046667</t>
  </si>
  <si>
    <t>CLICTRUCK-046668</t>
  </si>
  <si>
    <t>CLICTRUCK-046670</t>
  </si>
  <si>
    <t>CLICTRUCK-046671</t>
  </si>
  <si>
    <t>CLICTRUCK-046672</t>
  </si>
  <si>
    <t>CLICTRUCK-046673</t>
  </si>
  <si>
    <t>CLICTRUCK-046674</t>
  </si>
  <si>
    <t>CLICTRUCK-046675</t>
  </si>
  <si>
    <t>CLICTRUCK-046762</t>
  </si>
  <si>
    <t>CLICTRUCK-046780</t>
  </si>
  <si>
    <t>CLICTRUCK-046782</t>
  </si>
  <si>
    <t>CLICTRUCK-046783</t>
  </si>
  <si>
    <t>CLICTRUCK-046784</t>
  </si>
  <si>
    <t>CLICTRUCK-046785</t>
  </si>
  <si>
    <t>CLICTRUCK-046787</t>
  </si>
  <si>
    <t>CLICTRUCK-046856</t>
  </si>
  <si>
    <t>CLICTRUCK-046857</t>
  </si>
  <si>
    <t>CLICTRUCK-046859</t>
  </si>
  <si>
    <t>CLICTRUCK-046863</t>
  </si>
  <si>
    <t>CLICTRUCK-046878</t>
  </si>
  <si>
    <t>CLICTRUCK-047037</t>
  </si>
  <si>
    <t>CLICTRUCK-047084</t>
  </si>
  <si>
    <t>CLICTRUCK-047095</t>
  </si>
  <si>
    <t>CLICTRUCK-047098</t>
  </si>
  <si>
    <t>CLICTRUCK-047099</t>
  </si>
  <si>
    <t>CLICTRUCK-047100</t>
  </si>
  <si>
    <t>CLICTRUCK-047120</t>
  </si>
  <si>
    <t>CLICTRUCK-047121</t>
  </si>
  <si>
    <t>CLICTRUCK-047132</t>
  </si>
  <si>
    <t>CLICTRUCK-047133</t>
  </si>
  <si>
    <t>CLICTRUCK-047134</t>
  </si>
  <si>
    <t>CLICTRUCK-047135</t>
  </si>
  <si>
    <t>CLICTRUCK-047149</t>
  </si>
  <si>
    <t>CLICTRUCK-047214</t>
  </si>
  <si>
    <t>CLICTRUCK-047215</t>
  </si>
  <si>
    <t>CLICTRUCK-047216</t>
  </si>
  <si>
    <t>CLICTRUCK-047252</t>
  </si>
  <si>
    <t>CLICTRUCK-047253</t>
  </si>
  <si>
    <t>CLICTRUCK-047254</t>
  </si>
  <si>
    <t>CLICTRUCK-047255</t>
  </si>
  <si>
    <t>CLICTRUCK-047256</t>
  </si>
  <si>
    <t>CLICTRUCK-047257</t>
  </si>
  <si>
    <t>CLICTRUCK-047258</t>
  </si>
  <si>
    <t>CLICTRUCK-047259</t>
  </si>
  <si>
    <t>CLICTRUCK-047260</t>
  </si>
  <si>
    <t>CLICTRUCK-047262</t>
  </si>
  <si>
    <t>CLICTRUCK-047263</t>
  </si>
  <si>
    <t>CLICTRUCK-047264</t>
  </si>
  <si>
    <t>CLICTRUCK-047265</t>
  </si>
  <si>
    <t>CLICTRUCK-047266</t>
  </si>
  <si>
    <t>CLICTRUCK-047267</t>
  </si>
  <si>
    <t>CLICTRUCK-047268</t>
  </si>
  <si>
    <t>CLICTRUCK-047293</t>
  </si>
  <si>
    <t>CLICTRUCK-047294</t>
  </si>
  <si>
    <t>CLICTRUCK-047295</t>
  </si>
  <si>
    <t>CLICTRUCK-047296</t>
  </si>
  <si>
    <t>CLICTRUCK-047297</t>
  </si>
  <si>
    <t>CLICTRUCK-047298</t>
  </si>
  <si>
    <t>CLICTRUCK-047299</t>
  </si>
  <si>
    <t>CLICTRUCK-047300</t>
  </si>
  <si>
    <t>CLICTRUCK-047301</t>
  </si>
  <si>
    <t>CLICTRUCK-047302</t>
  </si>
  <si>
    <t>CLICTRUCK-047303</t>
  </si>
  <si>
    <t>CLICTRUCK-047304</t>
  </si>
  <si>
    <t>CLICTRUCK-047351</t>
  </si>
  <si>
    <t>CLICTRUCK-047352</t>
  </si>
  <si>
    <t>CLICTRUCK-047483</t>
  </si>
  <si>
    <t>CLICTRUCK-047484</t>
  </si>
  <si>
    <t>CLICTRUCK-047485</t>
  </si>
  <si>
    <t>CLICTRUCK-047494</t>
  </si>
  <si>
    <t>CLICTRUCK-047502</t>
  </si>
  <si>
    <t>CLICTRUCK-047511</t>
  </si>
  <si>
    <t>CLICTRUCK-047521</t>
  </si>
  <si>
    <t>CLICTRUCK-047527</t>
  </si>
  <si>
    <t>CLICTRUCK-047544</t>
  </si>
  <si>
    <t>CLICTRUCK-047545</t>
  </si>
  <si>
    <t>CLICTRUCK-047546</t>
  </si>
  <si>
    <t>CLICTRUCK-047547</t>
  </si>
  <si>
    <t>CLICTRUCK-047548</t>
  </si>
  <si>
    <t>CLICTRUCK-047558</t>
  </si>
  <si>
    <t>CLICTRUCK-047559</t>
  </si>
  <si>
    <t>CLICTRUCK-047560</t>
  </si>
  <si>
    <t>CLICTRUCK-047561</t>
  </si>
  <si>
    <t>CLICTRUCK-047562</t>
  </si>
  <si>
    <t>CLICTRUCK-047563</t>
  </si>
  <si>
    <t>CLICTRUCK-047564</t>
  </si>
  <si>
    <t>CLICTRUCK-047565</t>
  </si>
  <si>
    <t>CLICTRUCK-047570</t>
  </si>
  <si>
    <t>CLICTRUCK-047572</t>
  </si>
  <si>
    <t>CLICTRUCK-047574</t>
  </si>
  <si>
    <t>CLICTRUCK-047576</t>
  </si>
  <si>
    <t>CLICTRUCK-047582</t>
  </si>
  <si>
    <t>CLICTRUCK-047584</t>
  </si>
  <si>
    <t>CLICTRUCK-047585</t>
  </si>
  <si>
    <t>CLICTRUCK-047589</t>
  </si>
  <si>
    <t>CLICTRUCK-047591</t>
  </si>
  <si>
    <t>CLICTRUCK-047593</t>
  </si>
  <si>
    <t>CLICTRUCK-047594</t>
  </si>
  <si>
    <t>CLICTRUCK-047599</t>
  </si>
  <si>
    <t>CLICTRUCK-047600</t>
  </si>
  <si>
    <t>CLICTRUCK-047601</t>
  </si>
  <si>
    <t>CLICTRUCK-047602</t>
  </si>
  <si>
    <t>CLICTRUCK-047608</t>
  </si>
  <si>
    <t>CLICTRUCK-047609</t>
  </si>
  <si>
    <t>CLICTRUCK-047610</t>
  </si>
  <si>
    <t>CLICTRUCK-047611</t>
  </si>
  <si>
    <t>CLICTRUCK-047612</t>
  </si>
  <si>
    <t>CLICTRUCK-047613</t>
  </si>
  <si>
    <t>CLICTRUCK-047614</t>
  </si>
  <si>
    <t>CLICTRUCK-047615</t>
  </si>
  <si>
    <t>CLICTRUCK-047632</t>
  </si>
  <si>
    <t>CLICTRUCK-047636</t>
  </si>
  <si>
    <t>CLICTRUCK-047637</t>
  </si>
  <si>
    <t>CLICTRUCK-047638</t>
  </si>
  <si>
    <t>CLICTRUCK-047668</t>
  </si>
  <si>
    <t>CLICTRUCK-047669</t>
  </si>
  <si>
    <t>CLICTRUCK-047670</t>
  </si>
  <si>
    <t>CLICTRUCK-047671</t>
  </si>
  <si>
    <t>CLICTRUCK-047672</t>
  </si>
  <si>
    <t>CLICTRUCK-047673</t>
  </si>
  <si>
    <t>CLICTRUCK-047674</t>
  </si>
  <si>
    <t>CLICTRUCK-047675</t>
  </si>
  <si>
    <t>CLICTRUCK-047676</t>
  </si>
  <si>
    <t>CLICTRUCK-047677</t>
  </si>
  <si>
    <t>CLICTRUCK-047678</t>
  </si>
  <si>
    <t>CLICTRUCK-047679</t>
  </si>
  <si>
    <t>CLICTRUCK-047680</t>
  </si>
  <si>
    <t>CLICTRUCK-047681</t>
  </si>
  <si>
    <t>CLICTRUCK-047682</t>
  </si>
  <si>
    <t>CLICTRUCK-047683</t>
  </si>
  <si>
    <t>CLICTRUCK-047684</t>
  </si>
  <si>
    <t>CLICTRUCK-047685</t>
  </si>
  <si>
    <t>CLICTRUCK-047686</t>
  </si>
  <si>
    <t>CLICTRUCK-047687</t>
  </si>
  <si>
    <t>CLICTRUCK-047688</t>
  </si>
  <si>
    <t>CLICTRUCK-047689</t>
  </si>
  <si>
    <t>CLICTRUCK-047690</t>
  </si>
  <si>
    <t>CLICTRUCK-047691</t>
  </si>
  <si>
    <t>CLICTRUCK-047692</t>
  </si>
  <si>
    <t>CLICTRUCK-047694</t>
  </si>
  <si>
    <t>CLICTRUCK-047695</t>
  </si>
  <si>
    <t>CLICTRUCK-047697</t>
  </si>
  <si>
    <t>CLICTRUCK-047698</t>
  </si>
  <si>
    <t>CLICTRUCK-047701</t>
  </si>
  <si>
    <t>CLICTRUCK-047900</t>
  </si>
  <si>
    <t>CLICTRUCK-047945</t>
  </si>
  <si>
    <t>CLICTRUCK-047946</t>
  </si>
  <si>
    <t>CLICTRUCK-047947</t>
  </si>
  <si>
    <t>CLICTRUCK-047948</t>
  </si>
  <si>
    <t>CLICTRUCK-047949</t>
  </si>
  <si>
    <t>CLICTRUCK-047950</t>
  </si>
  <si>
    <t>CLICTRUCK-047951</t>
  </si>
  <si>
    <t>CLICTRUCK-047952</t>
  </si>
  <si>
    <t>CLICTRUCK-047953</t>
  </si>
  <si>
    <t>CLICTRUCK-047954</t>
  </si>
  <si>
    <t>CLICTRUCK-047955</t>
  </si>
  <si>
    <t>CLICTRUCK-047956</t>
  </si>
  <si>
    <t>CLICTRUCK-048079</t>
  </si>
  <si>
    <t>CLICTRUCK-048081</t>
  </si>
  <si>
    <t>CLICTRUCK-048084</t>
  </si>
  <si>
    <t>CLICTRUCK-048090</t>
  </si>
  <si>
    <t>CLICTRUCK-048091</t>
  </si>
  <si>
    <t>CLICTRUCK-048092</t>
  </si>
  <si>
    <t>CLICTRUCK-048127</t>
  </si>
  <si>
    <t>CLICTRUCK-048129</t>
  </si>
  <si>
    <t>CLICTRUCK-048130</t>
  </si>
  <si>
    <t>CLICTRUCK-048131</t>
  </si>
  <si>
    <t>CLICTRUCK-048132</t>
  </si>
  <si>
    <t>CLICTRUCK-048133</t>
  </si>
  <si>
    <t>CLICTRUCK-048134</t>
  </si>
  <si>
    <t>CLICTRUCK-048135</t>
  </si>
  <si>
    <t>CLICTRUCK-048136</t>
  </si>
  <si>
    <t>CLICTRUCK-048137</t>
  </si>
  <si>
    <t>CLICTRUCK-048138</t>
  </si>
  <si>
    <t>CLICTRUCK-048139</t>
  </si>
  <si>
    <t>CLICTRUCK-048141</t>
  </si>
  <si>
    <t>CLICTRUCK-048143</t>
  </si>
  <si>
    <t>DELIVERED</t>
  </si>
  <si>
    <t>CLICTRUCK-048144</t>
  </si>
  <si>
    <t>CLICTRUCK-048145</t>
  </si>
  <si>
    <t>CLICTRUCK-048146</t>
  </si>
  <si>
    <t>CLICTRUCK-048147</t>
  </si>
  <si>
    <t>CLICTRUCK-048148</t>
  </si>
  <si>
    <t>CLICTRUCK-048149</t>
  </si>
  <si>
    <t>CLICTRUCK-048150</t>
  </si>
  <si>
    <t>CLICTRUCK-048575</t>
  </si>
  <si>
    <t>CLICTRUCK-048576</t>
  </si>
  <si>
    <t>CLICTRUCK-048577</t>
  </si>
  <si>
    <t>CLICTRUCK-048578</t>
  </si>
  <si>
    <t>CLICTRUCK-048579</t>
  </si>
  <si>
    <t>CLICTRUCK-048580</t>
  </si>
  <si>
    <t>CLICTRUCK-048581</t>
  </si>
  <si>
    <t>CLICTRUCK-048582</t>
  </si>
  <si>
    <t>CLICTRUCK-048583</t>
  </si>
  <si>
    <t>CLICTRUCK-048584</t>
  </si>
  <si>
    <t>CLICTRUCK-048585</t>
  </si>
  <si>
    <t>CLICTRUCK-048855</t>
  </si>
  <si>
    <t>CLICTRUCK-048856</t>
  </si>
  <si>
    <t>CLICTRUCK-048857</t>
  </si>
  <si>
    <t>CLICTRUCK-048858</t>
  </si>
  <si>
    <t>CLICTRUCK-048859</t>
  </si>
  <si>
    <t>CLICTRUCK-048861</t>
  </si>
  <si>
    <t>CLICTRUCK-048862</t>
  </si>
  <si>
    <t>CLICTRUCK-048863</t>
  </si>
  <si>
    <t>CLICTRUCK-048864</t>
  </si>
  <si>
    <t>CLICTRUCK-048865</t>
  </si>
  <si>
    <t>CLICTRUCK-048866</t>
  </si>
  <si>
    <t>CLICTRUCK-048867</t>
  </si>
  <si>
    <t>CLICTRUCK-048868</t>
  </si>
  <si>
    <t>CLICTRUCK-048869</t>
  </si>
  <si>
    <t>CLICTRUCK-048870</t>
  </si>
  <si>
    <t>CLICTRUCK-048874</t>
  </si>
  <si>
    <t>CLICTRUCK-048883</t>
  </si>
  <si>
    <t>GemiLOG - Eltrans</t>
  </si>
  <si>
    <t>CLICTRUCK-048924</t>
  </si>
  <si>
    <t>CLICTRUCK-048925</t>
  </si>
  <si>
    <t>CLICTRUCK-048926</t>
  </si>
  <si>
    <t>CLICTRUCK-048930</t>
  </si>
  <si>
    <t>CLICTRUCK-048932</t>
  </si>
  <si>
    <t>CLICTRUCK-048937</t>
  </si>
  <si>
    <t>CLICTRUCK-048941</t>
  </si>
  <si>
    <t>CLICTRUCK-048943</t>
  </si>
  <si>
    <t>CLICTRUCK-048944</t>
  </si>
  <si>
    <t>CLICTRUCK-048946</t>
  </si>
  <si>
    <t>CLICTRUCK-048947</t>
  </si>
  <si>
    <t>CLICTRUCK-048948</t>
  </si>
  <si>
    <t>CLICTRUCK-048949</t>
  </si>
  <si>
    <t>CLICTRUCK-048950</t>
  </si>
  <si>
    <t>CLICTRUCK-048952</t>
  </si>
  <si>
    <t>CLICTRUCK-048953</t>
  </si>
  <si>
    <t>CLICTRUCK-048954</t>
  </si>
  <si>
    <t>CLICTRUCK-048955</t>
  </si>
  <si>
    <t>CLICTRUCK-048987</t>
  </si>
  <si>
    <t>CLICTRUCK-048988</t>
  </si>
  <si>
    <t>CLICTRUCK-048989</t>
  </si>
  <si>
    <t>CLICTRUCK-048990</t>
  </si>
  <si>
    <t>CLICTRUCK-049030</t>
  </si>
  <si>
    <t>CLICTRUCK-049031</t>
  </si>
  <si>
    <t>CLICTRUCK-049032</t>
  </si>
  <si>
    <t>CLICTRUCK-049033</t>
  </si>
  <si>
    <t>CLICTRUCK-049034</t>
  </si>
  <si>
    <t>CLICTRUCK-049035</t>
  </si>
  <si>
    <t>CLICTRUCK-049051</t>
  </si>
  <si>
    <t>CLICTRUCK-049056</t>
  </si>
  <si>
    <t>CLICTRUCK-049060</t>
  </si>
  <si>
    <t>CLICTRUCK-049092</t>
  </si>
  <si>
    <t>CLICTRUCK-049101</t>
  </si>
  <si>
    <t>CLICTRUCK-049133</t>
  </si>
  <si>
    <t>CLICTRUCK-049138</t>
  </si>
  <si>
    <t>CLICTRUCK-049143</t>
  </si>
  <si>
    <t>CLICTRUCK-049144</t>
  </si>
  <si>
    <t>CLICTRUCK-049145</t>
  </si>
  <si>
    <t>CLICTRUCK-049147</t>
  </si>
  <si>
    <t>CLICTRUCK-049150</t>
  </si>
  <si>
    <t>CLICTRUCK-049162</t>
  </si>
  <si>
    <t>CLICTRUCK-049174</t>
  </si>
  <si>
    <t>CLICTRUCK-049191</t>
  </si>
  <si>
    <t>CLICTRUCK-049192</t>
  </si>
  <si>
    <t>CLICTRUCK-049193</t>
  </si>
  <si>
    <t>CLICTRUCK-049194</t>
  </si>
  <si>
    <t>CLICTRUCK-049196</t>
  </si>
  <si>
    <t>CLICTRUCK-049200</t>
  </si>
  <si>
    <t>CLICTRUCK-049203</t>
  </si>
  <si>
    <t>CLICTRUCK-049206</t>
  </si>
  <si>
    <t>CLICTRUCK-049261</t>
  </si>
  <si>
    <t>ONGOING</t>
  </si>
  <si>
    <t>CLICTRUCK-049262</t>
  </si>
  <si>
    <t>CLICTRUCK-049263</t>
  </si>
  <si>
    <t>CLICTRUCK-049264</t>
  </si>
  <si>
    <t>CLICTRUCK-049265</t>
  </si>
  <si>
    <t>CLICTRUCK-049266</t>
  </si>
  <si>
    <t>CLICTRUCK-049267</t>
  </si>
  <si>
    <t>CLICTRUCK-049268</t>
  </si>
  <si>
    <t>CLICTRUCK-049269</t>
  </si>
  <si>
    <t>CLICTRUCK-049270</t>
  </si>
  <si>
    <t>CLICTRUCK-049271</t>
  </si>
  <si>
    <t>CLICTRUCK-049272</t>
  </si>
  <si>
    <t>CLICTRUCK-049331</t>
  </si>
  <si>
    <t>PT. ANINDYA JIFA PERDANA (Trucking)</t>
  </si>
  <si>
    <t>GemiLOG - AJIP</t>
  </si>
  <si>
    <t>CLICTRUCK-049363</t>
  </si>
  <si>
    <t>CLICTRUCK-049364</t>
  </si>
  <si>
    <t>CLICTRUCK-049365</t>
  </si>
  <si>
    <t>CLICTRUCK-049366</t>
  </si>
  <si>
    <t>CLICTRUCK-049368</t>
  </si>
  <si>
    <t>CLICTRUCK-049369</t>
  </si>
  <si>
    <t>CLICTRUCK-049371</t>
  </si>
  <si>
    <t>CLICTRUCK-049382</t>
  </si>
  <si>
    <t>CLICTRUCK-049383</t>
  </si>
  <si>
    <t>CLICTRUCK-049384</t>
  </si>
  <si>
    <t>CLICTRUCK-049385</t>
  </si>
  <si>
    <t>CLICTRUCK-049386</t>
  </si>
  <si>
    <t>CLICTRUCK-049387</t>
  </si>
  <si>
    <t>CLICTRUCK-049389</t>
  </si>
  <si>
    <t>CLICTRUCK-049390</t>
  </si>
  <si>
    <t>CLICTRUCK-049391</t>
  </si>
  <si>
    <t>CLICTRUCK-049392</t>
  </si>
  <si>
    <t>CLICTRUCK-049393</t>
  </si>
  <si>
    <t>CLICTRUCK-049394</t>
  </si>
  <si>
    <t>CLICTRUCK-049395</t>
  </si>
  <si>
    <t>CLICTRUCK-049399</t>
  </si>
  <si>
    <t>CLICTRUCK-049400</t>
  </si>
  <si>
    <t>CLICTRUCK-049401</t>
  </si>
  <si>
    <t>CLICTRUCK-049402</t>
  </si>
  <si>
    <t>CLICTRUCK-049403</t>
  </si>
  <si>
    <t>CLICTRUCK-049404</t>
  </si>
  <si>
    <t>CLICTRUCK-049405</t>
  </si>
  <si>
    <t>CLICTRUCK-049406</t>
  </si>
  <si>
    <t>CLICTRUCK-049407</t>
  </si>
  <si>
    <t>CLICTRUCK-049408</t>
  </si>
  <si>
    <t>CLICTRUCK-049409</t>
  </si>
  <si>
    <t>CLICTRUCK-049410</t>
  </si>
  <si>
    <t>CLICTRUCK-049411</t>
  </si>
  <si>
    <t>CLICTRUCK-049412</t>
  </si>
  <si>
    <t>CLICTRUCK-049413</t>
  </si>
  <si>
    <t>CLICTRUCK-049414</t>
  </si>
  <si>
    <t>CLICTRUCK-049415</t>
  </si>
  <si>
    <t>CLICTRUCK-049416</t>
  </si>
  <si>
    <t>CLICTRUCK-049417</t>
  </si>
  <si>
    <t>CLICTRUCK-049418</t>
  </si>
  <si>
    <t>CLICTRUCK-049419</t>
  </si>
  <si>
    <t>CLICTRUCK-049420</t>
  </si>
  <si>
    <t>CLICTRUCK-049421</t>
  </si>
  <si>
    <t>CLICTRUCK-049422</t>
  </si>
  <si>
    <t>CLICTRUCK-049423</t>
  </si>
  <si>
    <t>CLICTRUCK-049424</t>
  </si>
  <si>
    <t>CLICTRUCK-049425</t>
  </si>
  <si>
    <t>CLICTRUCK-049426</t>
  </si>
  <si>
    <t>CLICTRUCK-049427</t>
  </si>
  <si>
    <t>CLICTRUCK-049428</t>
  </si>
  <si>
    <t>CLICTRUCK-049429</t>
  </si>
  <si>
    <t>CLICTRUCK-049430</t>
  </si>
  <si>
    <t>CLICTRUCK-049431</t>
  </si>
  <si>
    <t>CLICTRUCK-049433</t>
  </si>
  <si>
    <t>CLICTRUCK-049434</t>
  </si>
  <si>
    <t>CLICTRUCK-049435</t>
  </si>
  <si>
    <t>CLICTRUCK-049437</t>
  </si>
  <si>
    <t>CLICTRUCK-049438</t>
  </si>
  <si>
    <t>CLICTRUCK-049439</t>
  </si>
  <si>
    <t>CLICTRUCK-049440</t>
  </si>
  <si>
    <t>CLICTRUCK-049441</t>
  </si>
  <si>
    <t>CLICTRUCK-049442</t>
  </si>
  <si>
    <t>CLICTRUCK-049443</t>
  </si>
  <si>
    <t>CLICTRUCK-049444</t>
  </si>
  <si>
    <t>CLICTRUCK-049445</t>
  </si>
  <si>
    <t>CLICTRUCK-049447</t>
  </si>
  <si>
    <t>CLICTRUCK-049448</t>
  </si>
  <si>
    <t>CLICTRUCK-049449</t>
  </si>
  <si>
    <t>CLICTRUCK-049450</t>
  </si>
  <si>
    <t>CLICTRUCK-049451</t>
  </si>
  <si>
    <t>CLICTRUCK-049452</t>
  </si>
  <si>
    <t>CLICTRUCK-049453</t>
  </si>
  <si>
    <t>CLICTRUCK-043051</t>
  </si>
  <si>
    <t>domestic</t>
  </si>
  <si>
    <t>CV. Faeyza Putra Mandiri</t>
  </si>
  <si>
    <t>YSN-FPM</t>
  </si>
  <si>
    <t>CLICTRUCK-043052</t>
  </si>
  <si>
    <t>YSN-SSA</t>
  </si>
  <si>
    <t>CLICTRUCK-043053</t>
  </si>
  <si>
    <t>CLICTRUCK-043060</t>
  </si>
  <si>
    <t>CLICTRUCK-043061</t>
  </si>
  <si>
    <t>CLICTRUCK-043062</t>
  </si>
  <si>
    <t>CLICTRUCK-043064</t>
  </si>
  <si>
    <t>PT. ZENSHIN Technology International</t>
  </si>
  <si>
    <t>ZLog-ZENSHIN</t>
  </si>
  <si>
    <t>CLICTRUCK-043065</t>
  </si>
  <si>
    <t>CLICTRUCK-043076</t>
  </si>
  <si>
    <t>CLICTRUCK-043077</t>
  </si>
  <si>
    <t>CLICTRUCK-043086</t>
  </si>
  <si>
    <t>CLICTRUCK-043087</t>
  </si>
  <si>
    <t>CLICTRUCK-043088</t>
  </si>
  <si>
    <t>CLICTRUCK-043089</t>
  </si>
  <si>
    <t>CLICTRUCK-043090</t>
  </si>
  <si>
    <t>CLICTRUCK-043091</t>
  </si>
  <si>
    <t>CLICTRUCK-043105</t>
  </si>
  <si>
    <t>PT Jaya Pratama Perkasa</t>
  </si>
  <si>
    <t>TJL - JPP</t>
  </si>
  <si>
    <t>CLICTRUCK-043106</t>
  </si>
  <si>
    <t>CLICTRUCK-043107</t>
  </si>
  <si>
    <t>CLICTRUCK-043108</t>
  </si>
  <si>
    <t>CLICTRUCK-043109</t>
  </si>
  <si>
    <t>CLICTRUCK-043110</t>
  </si>
  <si>
    <t>CLICTRUCK-043111</t>
  </si>
  <si>
    <t>CLICTRUCK-043112</t>
  </si>
  <si>
    <t>CLICTRUCK-043113</t>
  </si>
  <si>
    <t>CLICTRUCK-043114</t>
  </si>
  <si>
    <t>CLICTRUCK-043115</t>
  </si>
  <si>
    <t>CLICTRUCK-043116</t>
  </si>
  <si>
    <t>CLICTRUCK-043117</t>
  </si>
  <si>
    <t>CLICTRUCK-043118</t>
  </si>
  <si>
    <t>CLICTRUCK-043119</t>
  </si>
  <si>
    <t>CLICTRUCK-043120</t>
  </si>
  <si>
    <t>CLICTRUCK-043121</t>
  </si>
  <si>
    <t>CLICTRUCK-043122</t>
  </si>
  <si>
    <t>CLICTRUCK-043123</t>
  </si>
  <si>
    <t>CLICTRUCK-043124</t>
  </si>
  <si>
    <t>CLICTRUCK-043125</t>
  </si>
  <si>
    <t>CLICTRUCK-043126</t>
  </si>
  <si>
    <t>CLICTRUCK-043127</t>
  </si>
  <si>
    <t>CLICTRUCK-043128</t>
  </si>
  <si>
    <t>CLICTRUCK-043129</t>
  </si>
  <si>
    <t>CLICTRUCK-043130</t>
  </si>
  <si>
    <t>CLICTRUCK-043131</t>
  </si>
  <si>
    <t>CLICTRUCK-043132</t>
  </si>
  <si>
    <t>CLICTRUCK-043133</t>
  </si>
  <si>
    <t>CLICTRUCK-043134</t>
  </si>
  <si>
    <t>CLICTRUCK-043135</t>
  </si>
  <si>
    <t>CLICTRUCK-043136</t>
  </si>
  <si>
    <t>CLICTRUCK-043137</t>
  </si>
  <si>
    <t>CLICTRUCK-043138</t>
  </si>
  <si>
    <t>CLICTRUCK-043139</t>
  </si>
  <si>
    <t>CLICTRUCK-043140</t>
  </si>
  <si>
    <t>CLICTRUCK-043141</t>
  </si>
  <si>
    <t>CLICTRUCK-043142</t>
  </si>
  <si>
    <t>CLICTRUCK-043143</t>
  </si>
  <si>
    <t>CLICTRUCK-043144</t>
  </si>
  <si>
    <t>CLICTRUCK-043145</t>
  </si>
  <si>
    <t>CLICTRUCK-043146</t>
  </si>
  <si>
    <t>CLICTRUCK-043147</t>
  </si>
  <si>
    <t>CLICTRUCK-043148</t>
  </si>
  <si>
    <t>CLICTRUCK-043149</t>
  </si>
  <si>
    <t>CLICTRUCK-043150</t>
  </si>
  <si>
    <t>CLICTRUCK-043151</t>
  </si>
  <si>
    <t>CLICTRUCK-043152</t>
  </si>
  <si>
    <t>CLICTRUCK-043153</t>
  </si>
  <si>
    <t>CLICTRUCK-043154</t>
  </si>
  <si>
    <t>CLICTRUCK-043155</t>
  </si>
  <si>
    <t>CLICTRUCK-043156</t>
  </si>
  <si>
    <t>CLICTRUCK-043157</t>
  </si>
  <si>
    <t>CLICTRUCK-043158</t>
  </si>
  <si>
    <t>CLICTRUCK-043159</t>
  </si>
  <si>
    <t>PT. Mega Rizki Nusantara</t>
  </si>
  <si>
    <t>YSN-MRN</t>
  </si>
  <si>
    <t>CLICTRUCK-043160</t>
  </si>
  <si>
    <t>CLICTRUCK-043170</t>
  </si>
  <si>
    <t>CLICTRUCK-043171</t>
  </si>
  <si>
    <t>CLICTRUCK-043172</t>
  </si>
  <si>
    <t>CLICTRUCK-043173</t>
  </si>
  <si>
    <t>CLICTRUCK-043176</t>
  </si>
  <si>
    <t>CLICTRUCK-043177</t>
  </si>
  <si>
    <t>CLICTRUCK-043178</t>
  </si>
  <si>
    <t>CLICTRUCK-043241</t>
  </si>
  <si>
    <t>CLICTRUCK-043242</t>
  </si>
  <si>
    <t>CLICTRUCK-043243</t>
  </si>
  <si>
    <t>CLICTRUCK-043244</t>
  </si>
  <si>
    <t>CLICTRUCK-043245</t>
  </si>
  <si>
    <t>CLICTRUCK-043246</t>
  </si>
  <si>
    <t>CLICTRUCK-043247</t>
  </si>
  <si>
    <t>CLICTRUCK-043248</t>
  </si>
  <si>
    <t>CLICTRUCK-043249</t>
  </si>
  <si>
    <t>CLICTRUCK-043250</t>
  </si>
  <si>
    <t>CLICTRUCK-043251</t>
  </si>
  <si>
    <t>CLICTRUCK-043255</t>
  </si>
  <si>
    <t>CLICTRUCK-043256</t>
  </si>
  <si>
    <t>CLICTRUCK-043258</t>
  </si>
  <si>
    <t>CLICTRUCK-043259</t>
  </si>
  <si>
    <t>CLICTRUCK-043260</t>
  </si>
  <si>
    <t>CLICTRUCK-043261</t>
  </si>
  <si>
    <t>CLICTRUCK-043262</t>
  </si>
  <si>
    <t>CLICTRUCK-043272</t>
  </si>
  <si>
    <t>CLICTRUCK-043273</t>
  </si>
  <si>
    <t>CLICTRUCK-043274</t>
  </si>
  <si>
    <t>CLICTRUCK-043275</t>
  </si>
  <si>
    <t>CLICTRUCK-043276</t>
  </si>
  <si>
    <t>CLICTRUCK-043277</t>
  </si>
  <si>
    <t>CLICTRUCK-043278</t>
  </si>
  <si>
    <t>CLICTRUCK-043279</t>
  </si>
  <si>
    <t>CLICTRUCK-043280</t>
  </si>
  <si>
    <t>CLICTRUCK-043281</t>
  </si>
  <si>
    <t>CLICTRUCK-043282</t>
  </si>
  <si>
    <t>CLICTRUCK-043283</t>
  </si>
  <si>
    <t>CLICTRUCK-043284</t>
  </si>
  <si>
    <t>CLICTRUCK-043285</t>
  </si>
  <si>
    <t>CLICTRUCK-043286</t>
  </si>
  <si>
    <t>CLICTRUCK-043287</t>
  </si>
  <si>
    <t>CLICTRUCK-043288</t>
  </si>
  <si>
    <t>CLICTRUCK-043289</t>
  </si>
  <si>
    <t>CLICTRUCK-043290</t>
  </si>
  <si>
    <t>CLICTRUCK-043291</t>
  </si>
  <si>
    <t>CLICTRUCK-043292</t>
  </si>
  <si>
    <t>CLICTRUCK-043293</t>
  </si>
  <si>
    <t>CLICTRUCK-043294</t>
  </si>
  <si>
    <t>CLICTRUCK-043295</t>
  </si>
  <si>
    <t>CLICTRUCK-043296</t>
  </si>
  <si>
    <t>CLICTRUCK-043297</t>
  </si>
  <si>
    <t>CLICTRUCK-043298</t>
  </si>
  <si>
    <t>CLICTRUCK-043299</t>
  </si>
  <si>
    <t>CLICTRUCK-043300</t>
  </si>
  <si>
    <t>CLICTRUCK-043301</t>
  </si>
  <si>
    <t>CLICTRUCK-043302</t>
  </si>
  <si>
    <t>CLICTRUCK-043303</t>
  </si>
  <si>
    <t>CLICTRUCK-043304</t>
  </si>
  <si>
    <t>CLICTRUCK-043305</t>
  </si>
  <si>
    <t>CLICTRUCK-043306</t>
  </si>
  <si>
    <t>CLICTRUCK-043307</t>
  </si>
  <si>
    <t>CLICTRUCK-043308</t>
  </si>
  <si>
    <t>CLICTRUCK-043309</t>
  </si>
  <si>
    <t>CLICTRUCK-043310</t>
  </si>
  <si>
    <t>CLICTRUCK-043311</t>
  </si>
  <si>
    <t>CLICTRUCK-043312</t>
  </si>
  <si>
    <t>CLICTRUCK-043313</t>
  </si>
  <si>
    <t>CLICTRUCK-043314</t>
  </si>
  <si>
    <t>CLICTRUCK-043315</t>
  </si>
  <si>
    <t>CLICTRUCK-043316</t>
  </si>
  <si>
    <t>CLICTRUCK-043317</t>
  </si>
  <si>
    <t>CLICTRUCK-043318</t>
  </si>
  <si>
    <t>CLICTRUCK-043319</t>
  </si>
  <si>
    <t>CLICTRUCK-043320</t>
  </si>
  <si>
    <t>CLICTRUCK-043321</t>
  </si>
  <si>
    <t>CLICTRUCK-043328</t>
  </si>
  <si>
    <t>CLICTRUCK-043329</t>
  </si>
  <si>
    <t>CLICTRUCK-043330</t>
  </si>
  <si>
    <t>CLICTRUCK-043331</t>
  </si>
  <si>
    <t>CV. Nawasena Berkah Mandiri</t>
  </si>
  <si>
    <t>RPL - NBM</t>
  </si>
  <si>
    <t>CLICTRUCK-043332</t>
  </si>
  <si>
    <t>CLICTRUCK-043333</t>
  </si>
  <si>
    <t>CLICTRUCK-043335</t>
  </si>
  <si>
    <t>CLICTRUCK-043336</t>
  </si>
  <si>
    <t>CLICTRUCK-043337</t>
  </si>
  <si>
    <t>CLICTRUCK-043338</t>
  </si>
  <si>
    <t>CLICTRUCK-043339</t>
  </si>
  <si>
    <t>CLICTRUCK-043340</t>
  </si>
  <si>
    <t>CLICTRUCK-043341</t>
  </si>
  <si>
    <t>CLICTRUCK-043342</t>
  </si>
  <si>
    <t>CLICTRUCK-043343</t>
  </si>
  <si>
    <t>CLICTRUCK-043344</t>
  </si>
  <si>
    <t>CLICTRUCK-043366</t>
  </si>
  <si>
    <t>CLICTRUCK-043367</t>
  </si>
  <si>
    <t>CLICTRUCK-043368</t>
  </si>
  <si>
    <t>CLICTRUCK-043369</t>
  </si>
  <si>
    <t>CLICTRUCK-043414</t>
  </si>
  <si>
    <t>CLICTRUCK-043415</t>
  </si>
  <si>
    <t>CLICTRUCK-043416</t>
  </si>
  <si>
    <t>CLICTRUCK-043417</t>
  </si>
  <si>
    <t>CLICTRUCK-043418</t>
  </si>
  <si>
    <t>CLICTRUCK-043419</t>
  </si>
  <si>
    <t>CLICTRUCK-043421</t>
  </si>
  <si>
    <t>CLICTRUCK-043427</t>
  </si>
  <si>
    <t>CLICTRUCK-043428</t>
  </si>
  <si>
    <t>CLICTRUCK-043429</t>
  </si>
  <si>
    <t>CLICTRUCK-043430</t>
  </si>
  <si>
    <t>CLICTRUCK-043431</t>
  </si>
  <si>
    <t>CLICTRUCK-043432</t>
  </si>
  <si>
    <t>CLICTRUCK-043433</t>
  </si>
  <si>
    <t>CLICTRUCK-043434</t>
  </si>
  <si>
    <t>CLICTRUCK-043440</t>
  </si>
  <si>
    <t>JIP - PJM</t>
  </si>
  <si>
    <t>CLICTRUCK-043442</t>
  </si>
  <si>
    <t>CLICTRUCK-043443</t>
  </si>
  <si>
    <t>CLICTRUCK-043444</t>
  </si>
  <si>
    <t>CLICTRUCK-043445</t>
  </si>
  <si>
    <t>CLICTRUCK-043447</t>
  </si>
  <si>
    <t>CLICTRUCK-043448</t>
  </si>
  <si>
    <t>CLICTRUCK-043449</t>
  </si>
  <si>
    <t>CLICTRUCK-043450</t>
  </si>
  <si>
    <t>CLICTRUCK-043451</t>
  </si>
  <si>
    <t>CLICTRUCK-043453</t>
  </si>
  <si>
    <t>CLICTRUCK-043454</t>
  </si>
  <si>
    <t>CLICTRUCK-043456</t>
  </si>
  <si>
    <t>CLICTRUCK-043460</t>
  </si>
  <si>
    <t>CLICTRUCK-043462</t>
  </si>
  <si>
    <t>CLICTRUCK-043465</t>
  </si>
  <si>
    <t>CLICTRUCK-043471</t>
  </si>
  <si>
    <t>CLICTRUCK-043473</t>
  </si>
  <si>
    <t>CLICTRUCK-043474</t>
  </si>
  <si>
    <t>CLICTRUCK-043476</t>
  </si>
  <si>
    <t>PT. Prager Kencana Servis</t>
  </si>
  <si>
    <t>SKA - PKS</t>
  </si>
  <si>
    <t>CLICTRUCK-043477</t>
  </si>
  <si>
    <t>CLICTRUCK-043482</t>
  </si>
  <si>
    <t>CLICTRUCK-043483</t>
  </si>
  <si>
    <t>CLICTRUCK-043484</t>
  </si>
  <si>
    <t>PT. Dewata Freight International</t>
  </si>
  <si>
    <t>PT. Berkah Global Pratama</t>
  </si>
  <si>
    <t>DFI-BGP</t>
  </si>
  <si>
    <t>CLICTRUCK-043485</t>
  </si>
  <si>
    <t>CLICTRUCK-043486</t>
  </si>
  <si>
    <t>CLICTRUCK-043487</t>
  </si>
  <si>
    <t>CLICTRUCK-043488</t>
  </si>
  <si>
    <t>CLICTRUCK-043489</t>
  </si>
  <si>
    <t>CLICTRUCK-043490</t>
  </si>
  <si>
    <t>CLICTRUCK-043491</t>
  </si>
  <si>
    <t>CLICTRUCK-043492</t>
  </si>
  <si>
    <t>CLICTRUCK-043493</t>
  </si>
  <si>
    <t>CLICTRUCK-043494</t>
  </si>
  <si>
    <t>CLICTRUCK-043495</t>
  </si>
  <si>
    <t>CLICTRUCK-043496</t>
  </si>
  <si>
    <t>CLICTRUCK-043497</t>
  </si>
  <si>
    <t>CLICTRUCK-043498</t>
  </si>
  <si>
    <t>CLICTRUCK-043499</t>
  </si>
  <si>
    <t>CLICTRUCK-043500</t>
  </si>
  <si>
    <t>CLICTRUCK-043501</t>
  </si>
  <si>
    <t>CLICTRUCK-043502</t>
  </si>
  <si>
    <t>CLICTRUCK-043503</t>
  </si>
  <si>
    <t>CLICTRUCK-043504</t>
  </si>
  <si>
    <t>CLICTRUCK-043505</t>
  </si>
  <si>
    <t>CLICTRUCK-043506</t>
  </si>
  <si>
    <t>CLICTRUCK-043507</t>
  </si>
  <si>
    <t>CLICTRUCK-043508</t>
  </si>
  <si>
    <t>CLICTRUCK-043509</t>
  </si>
  <si>
    <t>CLICTRUCK-043512</t>
  </si>
  <si>
    <t>CLICTRUCK-043521</t>
  </si>
  <si>
    <t>PT. Rahyang Kalysta Berjaya</t>
  </si>
  <si>
    <t>JMA - RKB</t>
  </si>
  <si>
    <t>CLICTRUCK-043522</t>
  </si>
  <si>
    <t>CLICTRUCK-043523</t>
  </si>
  <si>
    <t>CLICTRUCK-043525</t>
  </si>
  <si>
    <t>CLICTRUCK-043526</t>
  </si>
  <si>
    <t>CLICTRUCK-043527</t>
  </si>
  <si>
    <t>CLICTRUCK-043528</t>
  </si>
  <si>
    <t>CLICTRUCK-043529</t>
  </si>
  <si>
    <t>CLICTRUCK-043530</t>
  </si>
  <si>
    <t>CLICTRUCK-043531</t>
  </si>
  <si>
    <t>CLICTRUCK-043532</t>
  </si>
  <si>
    <t>CLICTRUCK-043533</t>
  </si>
  <si>
    <t>CLICTRUCK-043534</t>
  </si>
  <si>
    <t>CLICTRUCK-043535</t>
  </si>
  <si>
    <t>CLICTRUCK-043536</t>
  </si>
  <si>
    <t>CLICTRUCK-043537</t>
  </si>
  <si>
    <t>CLICTRUCK-043538</t>
  </si>
  <si>
    <t>CLICTRUCK-043539</t>
  </si>
  <si>
    <t>CLICTRUCK-043540</t>
  </si>
  <si>
    <t>CLICTRUCK-043541</t>
  </si>
  <si>
    <t>CLICTRUCK-043542</t>
  </si>
  <si>
    <t>CLICTRUCK-043543</t>
  </si>
  <si>
    <t>CLICTRUCK-043544</t>
  </si>
  <si>
    <t>CLICTRUCK-043545</t>
  </si>
  <si>
    <t>CLICTRUCK-043546</t>
  </si>
  <si>
    <t>CLICTRUCK-043547</t>
  </si>
  <si>
    <t>CLICTRUCK-043564</t>
  </si>
  <si>
    <t>CLICTRUCK-043566</t>
  </si>
  <si>
    <t>CLICTRUCK-043568</t>
  </si>
  <si>
    <t>CLICTRUCK-043578</t>
  </si>
  <si>
    <t>PT. Kita Kaya Logistik</t>
  </si>
  <si>
    <t>JIP - KKL</t>
  </si>
  <si>
    <t>CLICTRUCK-043579</t>
  </si>
  <si>
    <t>CLICTRUCK-043580</t>
  </si>
  <si>
    <t>CLICTRUCK-043581</t>
  </si>
  <si>
    <t>CLICTRUCK-043582</t>
  </si>
  <si>
    <t>CLICTRUCK-043583</t>
  </si>
  <si>
    <t>CLICTRUCK-043584</t>
  </si>
  <si>
    <t>CLICTRUCK-043585</t>
  </si>
  <si>
    <t>CLICTRUCK-043586</t>
  </si>
  <si>
    <t>CLICTRUCK-043587</t>
  </si>
  <si>
    <t>CLICTRUCK-043588</t>
  </si>
  <si>
    <t>CLICTRUCK-043589</t>
  </si>
  <si>
    <t>CLICTRUCK-043590</t>
  </si>
  <si>
    <t>CLICTRUCK-043591</t>
  </si>
  <si>
    <t>CLICTRUCK-043592</t>
  </si>
  <si>
    <t>CLICTRUCK-043593</t>
  </si>
  <si>
    <t>CLICTRUCK-043594</t>
  </si>
  <si>
    <t>CLICTRUCK-043595</t>
  </si>
  <si>
    <t>CLICTRUCK-043596</t>
  </si>
  <si>
    <t>CLICTRUCK-043597</t>
  </si>
  <si>
    <t>CLICTRUCK-043598</t>
  </si>
  <si>
    <t>CLICTRUCK-043599</t>
  </si>
  <si>
    <t>CLICTRUCK-043600</t>
  </si>
  <si>
    <t>CLICTRUCK-043601</t>
  </si>
  <si>
    <t>CLICTRUCK-043602</t>
  </si>
  <si>
    <t>CLICTRUCK-043603</t>
  </si>
  <si>
    <t>CLICTRUCK-043604</t>
  </si>
  <si>
    <t>CLICTRUCK-043605</t>
  </si>
  <si>
    <t>CLICTRUCK-043606</t>
  </si>
  <si>
    <t>CLICTRUCK-043607</t>
  </si>
  <si>
    <t>CLICTRUCK-043608</t>
  </si>
  <si>
    <t>CLICTRUCK-043609</t>
  </si>
  <si>
    <t>CLICTRUCK-043610</t>
  </si>
  <si>
    <t>CLICTRUCK-043611</t>
  </si>
  <si>
    <t>CLICTRUCK-043612</t>
  </si>
  <si>
    <t>CLICTRUCK-043613</t>
  </si>
  <si>
    <t>CLICTRUCK-043614</t>
  </si>
  <si>
    <t>CLICTRUCK-043615</t>
  </si>
  <si>
    <t>CLICTRUCK-043616</t>
  </si>
  <si>
    <t>CLICTRUCK-043617</t>
  </si>
  <si>
    <t>CLICTRUCK-043618</t>
  </si>
  <si>
    <t>CLICTRUCK-043619</t>
  </si>
  <si>
    <t>CLICTRUCK-043620</t>
  </si>
  <si>
    <t>CLICTRUCK-043621</t>
  </si>
  <si>
    <t>CLICTRUCK-043622</t>
  </si>
  <si>
    <t>CLICTRUCK-043623</t>
  </si>
  <si>
    <t>CLICTRUCK-043624</t>
  </si>
  <si>
    <t>CLICTRUCK-043625</t>
  </si>
  <si>
    <t>CLICTRUCK-043626</t>
  </si>
  <si>
    <t>CLICTRUCK-043630</t>
  </si>
  <si>
    <t>CLICTRUCK-043631</t>
  </si>
  <si>
    <t>CLICTRUCK-043632</t>
  </si>
  <si>
    <t>CLICTRUCK-043633</t>
  </si>
  <si>
    <t>CLICTRUCK-043634</t>
  </si>
  <si>
    <t>CLICTRUCK-043635</t>
  </si>
  <si>
    <t>CLICTRUCK-043636</t>
  </si>
  <si>
    <t>CLICTRUCK-043637</t>
  </si>
  <si>
    <t>CLICTRUCK-043638</t>
  </si>
  <si>
    <t>CLICTRUCK-043639</t>
  </si>
  <si>
    <t>CLICTRUCK-043640</t>
  </si>
  <si>
    <t>CLICTRUCK-043641</t>
  </si>
  <si>
    <t>CLICTRUCK-043642</t>
  </si>
  <si>
    <t>CLICTRUCK-043643</t>
  </si>
  <si>
    <t>CLICTRUCK-043644</t>
  </si>
  <si>
    <t>CLICTRUCK-043645</t>
  </si>
  <si>
    <t>CLICTRUCK-043646</t>
  </si>
  <si>
    <t>CLICTRUCK-043647</t>
  </si>
  <si>
    <t>CLICTRUCK-043648</t>
  </si>
  <si>
    <t>CLICTRUCK-043649</t>
  </si>
  <si>
    <t>CLICTRUCK-043650</t>
  </si>
  <si>
    <t>CLICTRUCK-043651</t>
  </si>
  <si>
    <t>CLICTRUCK-043652</t>
  </si>
  <si>
    <t>CLICTRUCK-043653</t>
  </si>
  <si>
    <t>CLICTRUCK-043654</t>
  </si>
  <si>
    <t>CLICTRUCK-043655</t>
  </si>
  <si>
    <t>CLICTRUCK-043656</t>
  </si>
  <si>
    <t>CLICTRUCK-043657</t>
  </si>
  <si>
    <t>CLICTRUCK-043658</t>
  </si>
  <si>
    <t>CLICTRUCK-043659</t>
  </si>
  <si>
    <t>CLICTRUCK-043676</t>
  </si>
  <si>
    <t>CLICTRUCK-043677</t>
  </si>
  <si>
    <t>CLICTRUCK-043692</t>
  </si>
  <si>
    <t>CLICTRUCK-043693</t>
  </si>
  <si>
    <t>CLICTRUCK-043694</t>
  </si>
  <si>
    <t>CLICTRUCK-043695</t>
  </si>
  <si>
    <t>CLICTRUCK-043696</t>
  </si>
  <si>
    <t>CLICTRUCK-043697</t>
  </si>
  <si>
    <t>CLICTRUCK-043698</t>
  </si>
  <si>
    <t>CLICTRUCK-043699</t>
  </si>
  <si>
    <t>CLICTRUCK-043700</t>
  </si>
  <si>
    <t>CLICTRUCK-043701</t>
  </si>
  <si>
    <t>CLICTRUCK-043702</t>
  </si>
  <si>
    <t>CLICTRUCK-043703</t>
  </si>
  <si>
    <t>CLICTRUCK-043704</t>
  </si>
  <si>
    <t>CLICTRUCK-043707</t>
  </si>
  <si>
    <t>CLICTRUCK-043708</t>
  </si>
  <si>
    <t>CLICTRUCK-043709</t>
  </si>
  <si>
    <t>CLICTRUCK-043710</t>
  </si>
  <si>
    <t>CLICTRUCK-043711</t>
  </si>
  <si>
    <t>CLICTRUCK-043712</t>
  </si>
  <si>
    <t>CLICTRUCK-043716</t>
  </si>
  <si>
    <t>CLICTRUCK-043717</t>
  </si>
  <si>
    <t>CLICTRUCK-043729</t>
  </si>
  <si>
    <t>CLICTRUCK-043730</t>
  </si>
  <si>
    <t>CLICTRUCK-043739</t>
  </si>
  <si>
    <t>CLICTRUCK-043745</t>
  </si>
  <si>
    <t>PT. Nadja Trans Logistik</t>
  </si>
  <si>
    <t>AJM - NTL</t>
  </si>
  <si>
    <t>CLICTRUCK-043746</t>
  </si>
  <si>
    <t>CLICTRUCK-043747</t>
  </si>
  <si>
    <t>CLICTRUCK-043748</t>
  </si>
  <si>
    <t>CLICTRUCK-043749</t>
  </si>
  <si>
    <t>CLICTRUCK-043752</t>
  </si>
  <si>
    <t>CLICTRUCK-043753</t>
  </si>
  <si>
    <t>CLICTRUCK-043754</t>
  </si>
  <si>
    <t>CLICTRUCK-043755</t>
  </si>
  <si>
    <t>CLICTRUCK-043756</t>
  </si>
  <si>
    <t>CLICTRUCK-043757</t>
  </si>
  <si>
    <t>CLICTRUCK-043759</t>
  </si>
  <si>
    <t>CLICTRUCK-043760</t>
  </si>
  <si>
    <t>CLICTRUCK-043762</t>
  </si>
  <si>
    <t>CLICTRUCK-043763</t>
  </si>
  <si>
    <t>CLICTRUCK-043764</t>
  </si>
  <si>
    <t>CLICTRUCK-043765</t>
  </si>
  <si>
    <t>CLICTRUCK-043766</t>
  </si>
  <si>
    <t>CLICTRUCK-043767</t>
  </si>
  <si>
    <t>CLICTRUCK-043768</t>
  </si>
  <si>
    <t>CLICTRUCK-043769</t>
  </si>
  <si>
    <t>CLICTRUCK-043770</t>
  </si>
  <si>
    <t>CLICTRUCK-043771</t>
  </si>
  <si>
    <t>CLICTRUCK-043772</t>
  </si>
  <si>
    <t>CLICTRUCK-043773</t>
  </si>
  <si>
    <t>CLICTRUCK-043774</t>
  </si>
  <si>
    <t>CLICTRUCK-043775</t>
  </si>
  <si>
    <t>CLICTRUCK-043776</t>
  </si>
  <si>
    <t>CLICTRUCK-043777</t>
  </si>
  <si>
    <t>CLICTRUCK-043778</t>
  </si>
  <si>
    <t>CLICTRUCK-043779</t>
  </si>
  <si>
    <t>CLICTRUCK-043780</t>
  </si>
  <si>
    <t>CLICTRUCK-043781</t>
  </si>
  <si>
    <t>CLICTRUCK-043782</t>
  </si>
  <si>
    <t>CLICTRUCK-043783</t>
  </si>
  <si>
    <t>CLICTRUCK-043784</t>
  </si>
  <si>
    <t>CLICTRUCK-043785</t>
  </si>
  <si>
    <t>CLICTRUCK-043786</t>
  </si>
  <si>
    <t>CLICTRUCK-043787</t>
  </si>
  <si>
    <t>CLICTRUCK-043788</t>
  </si>
  <si>
    <t>CLICTRUCK-043789</t>
  </si>
  <si>
    <t>CLICTRUCK-043790</t>
  </si>
  <si>
    <t>CLICTRUCK-043791</t>
  </si>
  <si>
    <t>CLICTRUCK-043792</t>
  </si>
  <si>
    <t>CLICTRUCK-043793</t>
  </si>
  <si>
    <t>CLICTRUCK-043794</t>
  </si>
  <si>
    <t>CLICTRUCK-043795</t>
  </si>
  <si>
    <t>CLICTRUCK-043796</t>
  </si>
  <si>
    <t>CLICTRUCK-043797</t>
  </si>
  <si>
    <t>CLICTRUCK-043798</t>
  </si>
  <si>
    <t>CLICTRUCK-043799</t>
  </si>
  <si>
    <t>CLICTRUCK-043800</t>
  </si>
  <si>
    <t>CLICTRUCK-043801</t>
  </si>
  <si>
    <t>CLICTRUCK-043802</t>
  </si>
  <si>
    <t>CLICTRUCK-043803</t>
  </si>
  <si>
    <t>CLICTRUCK-043804</t>
  </si>
  <si>
    <t>CLICTRUCK-043805</t>
  </si>
  <si>
    <t>CLICTRUCK-043806</t>
  </si>
  <si>
    <t>CLICTRUCK-043807</t>
  </si>
  <si>
    <t>CLICTRUCK-043808</t>
  </si>
  <si>
    <t>CLICTRUCK-043809</t>
  </si>
  <si>
    <t>CLICTRUCK-043810</t>
  </si>
  <si>
    <t>CLICTRUCK-043811</t>
  </si>
  <si>
    <t>CLICTRUCK-043812</t>
  </si>
  <si>
    <t>CLICTRUCK-043813</t>
  </si>
  <si>
    <t>CLICTRUCK-043814</t>
  </si>
  <si>
    <t>CLICTRUCK-043827</t>
  </si>
  <si>
    <t>CLICTRUCK-043828</t>
  </si>
  <si>
    <t>CLICTRUCK-043829</t>
  </si>
  <si>
    <t>CLICTRUCK-043830</t>
  </si>
  <si>
    <t>CLICTRUCK-043831</t>
  </si>
  <si>
    <t>CLICTRUCK-043832</t>
  </si>
  <si>
    <t>CLICTRUCK-043833</t>
  </si>
  <si>
    <t>CLICTRUCK-043834</t>
  </si>
  <si>
    <t>CLICTRUCK-043835</t>
  </si>
  <si>
    <t>CLICTRUCK-043836</t>
  </si>
  <si>
    <t>CLICTRUCK-043837</t>
  </si>
  <si>
    <t>CLICTRUCK-043838</t>
  </si>
  <si>
    <t>CLICTRUCK-043839</t>
  </si>
  <si>
    <t>CLICTRUCK-043840</t>
  </si>
  <si>
    <t>CLICTRUCK-043841</t>
  </si>
  <si>
    <t>CLICTRUCK-043842</t>
  </si>
  <si>
    <t>CLICTRUCK-043843</t>
  </si>
  <si>
    <t>CLICTRUCK-043844</t>
  </si>
  <si>
    <t>CLICTRUCK-043846</t>
  </si>
  <si>
    <t>CLICTRUCK-043847</t>
  </si>
  <si>
    <t>CLICTRUCK-043848</t>
  </si>
  <si>
    <t>CLICTRUCK-043864</t>
  </si>
  <si>
    <t>CLICTRUCK-043869</t>
  </si>
  <si>
    <t>CLICTRUCK-043870</t>
  </si>
  <si>
    <t>CLICTRUCK-043871</t>
  </si>
  <si>
    <t>CLICTRUCK-043872</t>
  </si>
  <si>
    <t>CLICTRUCK-043873</t>
  </si>
  <si>
    <t>CLICTRUCK-043874</t>
  </si>
  <si>
    <t>CLICTRUCK-043876</t>
  </si>
  <si>
    <t>CLICTRUCK-043878</t>
  </si>
  <si>
    <t>CLICTRUCK-043880</t>
  </si>
  <si>
    <t>CLICTRUCK-043881</t>
  </si>
  <si>
    <t>CLICTRUCK-043883</t>
  </si>
  <si>
    <t>CLICTRUCK-043885</t>
  </si>
  <si>
    <t>CLICTRUCK-043886</t>
  </si>
  <si>
    <t>CLICTRUCK-043887</t>
  </si>
  <si>
    <t>CLICTRUCK-043890</t>
  </si>
  <si>
    <t>CLICTRUCK-043891</t>
  </si>
  <si>
    <t>CLICTRUCK-043894</t>
  </si>
  <si>
    <t>CLICTRUCK-043895</t>
  </si>
  <si>
    <t>CLICTRUCK-043897</t>
  </si>
  <si>
    <t>CLICTRUCK-043899</t>
  </si>
  <si>
    <t>CLICTRUCK-043900</t>
  </si>
  <si>
    <t>CLICTRUCK-043902</t>
  </si>
  <si>
    <t>CLICTRUCK-043903</t>
  </si>
  <si>
    <t>CLICTRUCK-043905</t>
  </si>
  <si>
    <t>CLICTRUCK-043907</t>
  </si>
  <si>
    <t>CLICTRUCK-043909</t>
  </si>
  <si>
    <t>CLICTRUCK-043910</t>
  </si>
  <si>
    <t>CLICTRUCK-043912</t>
  </si>
  <si>
    <t>CLICTRUCK-043914</t>
  </si>
  <si>
    <t>CLICTRUCK-043916</t>
  </si>
  <si>
    <t>CLICTRUCK-043918</t>
  </si>
  <si>
    <t>CLICTRUCK-043920</t>
  </si>
  <si>
    <t>CLICTRUCK-043921</t>
  </si>
  <si>
    <t>CLICTRUCK-043922</t>
  </si>
  <si>
    <t>CLICTRUCK-043923</t>
  </si>
  <si>
    <t>CLICTRUCK-043924</t>
  </si>
  <si>
    <t>CLICTRUCK-043925</t>
  </si>
  <si>
    <t>CLICTRUCK-043926</t>
  </si>
  <si>
    <t>CLICTRUCK-043948</t>
  </si>
  <si>
    <t>CLICTRUCK-043949</t>
  </si>
  <si>
    <t>CLICTRUCK-043950</t>
  </si>
  <si>
    <t>CLICTRUCK-043951</t>
  </si>
  <si>
    <t>CLICTRUCK-043952</t>
  </si>
  <si>
    <t>CLICTRUCK-043953</t>
  </si>
  <si>
    <t>CLICTRUCK-043954</t>
  </si>
  <si>
    <t>CLICTRUCK-043955</t>
  </si>
  <si>
    <t>CLICTRUCK-043956</t>
  </si>
  <si>
    <t>CLICTRUCK-043957</t>
  </si>
  <si>
    <t>CLICTRUCK-043958</t>
  </si>
  <si>
    <t>CLICTRUCK-043959</t>
  </si>
  <si>
    <t>CLICTRUCK-043960</t>
  </si>
  <si>
    <t>CLICTRUCK-043961</t>
  </si>
  <si>
    <t>CLICTRUCK-043968</t>
  </si>
  <si>
    <t>CLICTRUCK-043969</t>
  </si>
  <si>
    <t>CLICTRUCK-043971</t>
  </si>
  <si>
    <t>CLICTRUCK-043972</t>
  </si>
  <si>
    <t>CLICTRUCK-043973</t>
  </si>
  <si>
    <t>CLICTRUCK-043974</t>
  </si>
  <si>
    <t>CLICTRUCK-043981</t>
  </si>
  <si>
    <t>CV. Pamungkas Sakti Logistik</t>
  </si>
  <si>
    <t>CSN - PSL</t>
  </si>
  <si>
    <t>CLICTRUCK-043982</t>
  </si>
  <si>
    <t>CLICTRUCK-043983</t>
  </si>
  <si>
    <t>CLICTRUCK-043984</t>
  </si>
  <si>
    <t>CLICTRUCK-043991</t>
  </si>
  <si>
    <t>PT. Tri Artha Logistic</t>
  </si>
  <si>
    <t>MMA - TAL</t>
  </si>
  <si>
    <t>CLICTRUCK-043992</t>
  </si>
  <si>
    <t>CLICTRUCK-043993</t>
  </si>
  <si>
    <t>CLICTRUCK-043994</t>
  </si>
  <si>
    <t>CLICTRUCK-043995</t>
  </si>
  <si>
    <t>CLICTRUCK-043996</t>
  </si>
  <si>
    <t>CLICTRUCK-043997</t>
  </si>
  <si>
    <t>CLICTRUCK-044004</t>
  </si>
  <si>
    <t>CLICTRUCK-044005</t>
  </si>
  <si>
    <t>CLICTRUCK-044006</t>
  </si>
  <si>
    <t>CLICTRUCK-044007</t>
  </si>
  <si>
    <t>CLICTRUCK-044008</t>
  </si>
  <si>
    <t>CLICTRUCK-044009</t>
  </si>
  <si>
    <t>CLICTRUCK-044010</t>
  </si>
  <si>
    <t>CLICTRUCK-044011</t>
  </si>
  <si>
    <t>CLICTRUCK-044012</t>
  </si>
  <si>
    <t>CLICTRUCK-044013</t>
  </si>
  <si>
    <t>CLICTRUCK-044014</t>
  </si>
  <si>
    <t>CLICTRUCK-044015</t>
  </si>
  <si>
    <t>CLICTRUCK-044016</t>
  </si>
  <si>
    <t>CLICTRUCK-044017</t>
  </si>
  <si>
    <t>CLICTRUCK-044019</t>
  </si>
  <si>
    <t>CLICTRUCK-044020</t>
  </si>
  <si>
    <t>CLICTRUCK-044021</t>
  </si>
  <si>
    <t>CLICTRUCK-044023</t>
  </si>
  <si>
    <t>CLICTRUCK-044024</t>
  </si>
  <si>
    <t>CLICTRUCK-044026</t>
  </si>
  <si>
    <t>CLICTRUCK-044027</t>
  </si>
  <si>
    <t>CLICTRUCK-044029</t>
  </si>
  <si>
    <t>CLICTRUCK-044030</t>
  </si>
  <si>
    <t>CLICTRUCK-044031</t>
  </si>
  <si>
    <t>CLICTRUCK-044032</t>
  </si>
  <si>
    <t>CLICTRUCK-044035</t>
  </si>
  <si>
    <t>CLICTRUCK-044037</t>
  </si>
  <si>
    <t>CLICTRUCK-044038</t>
  </si>
  <si>
    <t>CLICTRUCK-044039</t>
  </si>
  <si>
    <t>CLICTRUCK-044040</t>
  </si>
  <si>
    <t>CLICTRUCK-044042</t>
  </si>
  <si>
    <t>CLICTRUCK-044043</t>
  </si>
  <si>
    <t>CLICTRUCK-044045</t>
  </si>
  <si>
    <t>CLICTRUCK-044046</t>
  </si>
  <si>
    <t>CLICTRUCK-044048</t>
  </si>
  <si>
    <t>CLICTRUCK-044049</t>
  </si>
  <si>
    <t>CLICTRUCK-044050</t>
  </si>
  <si>
    <t>CLICTRUCK-044057</t>
  </si>
  <si>
    <t>CLICTRUCK-044059</t>
  </si>
  <si>
    <t>CLICTRUCK-044060</t>
  </si>
  <si>
    <t>CLICTRUCK-044061</t>
  </si>
  <si>
    <t>CLICTRUCK-044062</t>
  </si>
  <si>
    <t>CLICTRUCK-044068</t>
  </si>
  <si>
    <t>CLICTRUCK-044071</t>
  </si>
  <si>
    <t>CLICTRUCK-044078</t>
  </si>
  <si>
    <t>CLICTRUCK-044079</t>
  </si>
  <si>
    <t>CLICTRUCK-044080</t>
  </si>
  <si>
    <t>CLICTRUCK-044081</t>
  </si>
  <si>
    <t>CLICTRUCK-044082</t>
  </si>
  <si>
    <t>CLICTRUCK-044083</t>
  </si>
  <si>
    <t>CLICTRUCK-044084</t>
  </si>
  <si>
    <t>CLICTRUCK-044085</t>
  </si>
  <si>
    <t>CLICTRUCK-044096</t>
  </si>
  <si>
    <t>CLICTRUCK-044098</t>
  </si>
  <si>
    <t>CLICTRUCK-044099</t>
  </si>
  <si>
    <t>CLICTRUCK-044102</t>
  </si>
  <si>
    <t>CLICTRUCK-044104</t>
  </si>
  <si>
    <t>CLICTRUCK-044105</t>
  </si>
  <si>
    <t>CLICTRUCK-044106</t>
  </si>
  <si>
    <t>CLICTRUCK-044112</t>
  </si>
  <si>
    <t>CLICTRUCK-044113</t>
  </si>
  <si>
    <t>CLICTRUCK-044119</t>
  </si>
  <si>
    <t>CLICTRUCK-044120</t>
  </si>
  <si>
    <t>CLICTRUCK-044121</t>
  </si>
  <si>
    <t>CLICTRUCK-044122</t>
  </si>
  <si>
    <t>CLICTRUCK-044123</t>
  </si>
  <si>
    <t>CLICTRUCK-044124</t>
  </si>
  <si>
    <t>CLICTRUCK-044125</t>
  </si>
  <si>
    <t>CLICTRUCK-044126</t>
  </si>
  <si>
    <t>CLICTRUCK-044127</t>
  </si>
  <si>
    <t>CLICTRUCK-044131</t>
  </si>
  <si>
    <t>CLICTRUCK-044132</t>
  </si>
  <si>
    <t>CLICTRUCK-044133</t>
  </si>
  <si>
    <t>CLICTRUCK-044134</t>
  </si>
  <si>
    <t>CLICTRUCK-044135</t>
  </si>
  <si>
    <t>CLICTRUCK-044136</t>
  </si>
  <si>
    <t>CLICTRUCK-044137</t>
  </si>
  <si>
    <t>CLICTRUCK-044138</t>
  </si>
  <si>
    <t>CLICTRUCK-044139</t>
  </si>
  <si>
    <t>CLICTRUCK-044140</t>
  </si>
  <si>
    <t>CLICTRUCK-044147</t>
  </si>
  <si>
    <t>CLICTRUCK-044148</t>
  </si>
  <si>
    <t>CLICTRUCK-044149</t>
  </si>
  <si>
    <t>CLICTRUCK-044150</t>
  </si>
  <si>
    <t>CLICTRUCK-044152</t>
  </si>
  <si>
    <t>CLICTRUCK-044153</t>
  </si>
  <si>
    <t>CLICTRUCK-044154</t>
  </si>
  <si>
    <t>CLICTRUCK-044161</t>
  </si>
  <si>
    <t>CLICTRUCK-044162</t>
  </si>
  <si>
    <t>CLICTRUCK-044163</t>
  </si>
  <si>
    <t>CLICTRUCK-044164</t>
  </si>
  <si>
    <t>CLICTRUCK-044165</t>
  </si>
  <si>
    <t>CLICTRUCK-044166</t>
  </si>
  <si>
    <t>CLICTRUCK-044167</t>
  </si>
  <si>
    <t>CLICTRUCK-044168</t>
  </si>
  <si>
    <t>CLICTRUCK-044169</t>
  </si>
  <si>
    <t>CLICTRUCK-044170</t>
  </si>
  <si>
    <t>CLICTRUCK-044171</t>
  </si>
  <si>
    <t>CLICTRUCK-044172</t>
  </si>
  <si>
    <t>CLICTRUCK-044173</t>
  </si>
  <si>
    <t>CLICTRUCK-044174</t>
  </si>
  <si>
    <t>CLICTRUCK-044175</t>
  </si>
  <si>
    <t>CLICTRUCK-044176</t>
  </si>
  <si>
    <t>CLICTRUCK-044177</t>
  </si>
  <si>
    <t>CLICTRUCK-044182</t>
  </si>
  <si>
    <t>CLICTRUCK-044183</t>
  </si>
  <si>
    <t>CLICTRUCK-044184</t>
  </si>
  <si>
    <t>CLICTRUCK-044185</t>
  </si>
  <si>
    <t>CLICTRUCK-044189</t>
  </si>
  <si>
    <t>CLICTRUCK-044190</t>
  </si>
  <si>
    <t>CLICTRUCK-044192</t>
  </si>
  <si>
    <t>CLICTRUCK-044194</t>
  </si>
  <si>
    <t>CLICTRUCK-044196</t>
  </si>
  <si>
    <t>CLICTRUCK-044198</t>
  </si>
  <si>
    <t>CLICTRUCK-044199</t>
  </si>
  <si>
    <t>CLICTRUCK-044201</t>
  </si>
  <si>
    <t>CLICTRUCK-044228</t>
  </si>
  <si>
    <t>CLICTRUCK-044229</t>
  </si>
  <si>
    <t>CLICTRUCK-044230</t>
  </si>
  <si>
    <t>CLICTRUCK-044231</t>
  </si>
  <si>
    <t>CLICTRUCK-044233</t>
  </si>
  <si>
    <t>CLICTRUCK-044251</t>
  </si>
  <si>
    <t>CLICTRUCK-044252</t>
  </si>
  <si>
    <t>CLICTRUCK-044253</t>
  </si>
  <si>
    <t>CLICTRUCK-044254</t>
  </si>
  <si>
    <t>CLICTRUCK-044255</t>
  </si>
  <si>
    <t>CLICTRUCK-044261</t>
  </si>
  <si>
    <t>CLICTRUCK-044263</t>
  </si>
  <si>
    <t>CLICTRUCK-044264</t>
  </si>
  <si>
    <t>CLICTRUCK-044265</t>
  </si>
  <si>
    <t>CLICTRUCK-044282</t>
  </si>
  <si>
    <t>CLICTRUCK-044283</t>
  </si>
  <si>
    <t>CLICTRUCK-044285</t>
  </si>
  <si>
    <t>CLICTRUCK-044286</t>
  </si>
  <si>
    <t>CLICTRUCK-044287</t>
  </si>
  <si>
    <t>CLICTRUCK-044288</t>
  </si>
  <si>
    <t>CLICTRUCK-044289</t>
  </si>
  <si>
    <t>CLICTRUCK-044290</t>
  </si>
  <si>
    <t>CLICTRUCK-044291</t>
  </si>
  <si>
    <t>CLICTRUCK-044292</t>
  </si>
  <si>
    <t>CLICTRUCK-044293</t>
  </si>
  <si>
    <t>CLICTRUCK-044294</t>
  </si>
  <si>
    <t>CLICTRUCK-044300</t>
  </si>
  <si>
    <t>CV. Mahkota Emas</t>
  </si>
  <si>
    <t>AJT - ME</t>
  </si>
  <si>
    <t>CLICTRUCK-044301</t>
  </si>
  <si>
    <t>CLICTRUCK-044302</t>
  </si>
  <si>
    <t>CLICTRUCK-044303</t>
  </si>
  <si>
    <t>CLICTRUCK-044320</t>
  </si>
  <si>
    <t>CLICTRUCK-044321</t>
  </si>
  <si>
    <t>CLICTRUCK-044322</t>
  </si>
  <si>
    <t>CLICTRUCK-044323</t>
  </si>
  <si>
    <t>CLICTRUCK-044324</t>
  </si>
  <si>
    <t>PT. Ariyanto Tunas Langgeng</t>
  </si>
  <si>
    <t>MJE - ATL</t>
  </si>
  <si>
    <t>CLICTRUCK-044335</t>
  </si>
  <si>
    <t>CLICTRUCK-044337</t>
  </si>
  <si>
    <t>CLICTRUCK-044345</t>
  </si>
  <si>
    <t>CLICTRUCK-044346</t>
  </si>
  <si>
    <t>CLICTRUCK-044350</t>
  </si>
  <si>
    <t>CLICTRUCK-044351</t>
  </si>
  <si>
    <t>CLICTRUCK-044352</t>
  </si>
  <si>
    <t>CLICTRUCK-044354</t>
  </si>
  <si>
    <t>CLICTRUCK-044355</t>
  </si>
  <si>
    <t>CLICTRUCK-044356</t>
  </si>
  <si>
    <t>CLICTRUCK-044375</t>
  </si>
  <si>
    <t>CLICTRUCK-044382</t>
  </si>
  <si>
    <t>CLICTRUCK-044384</t>
  </si>
  <si>
    <t>CLICTRUCK-044390</t>
  </si>
  <si>
    <t>CLICTRUCK-044391</t>
  </si>
  <si>
    <t>CLICTRUCK-044392</t>
  </si>
  <si>
    <t>CLICTRUCK-044393</t>
  </si>
  <si>
    <t>CLICTRUCK-044394</t>
  </si>
  <si>
    <t>CLICTRUCK-044395</t>
  </si>
  <si>
    <t>CLICTRUCK-044396</t>
  </si>
  <si>
    <t>CLICTRUCK-044398</t>
  </si>
  <si>
    <t>CLICTRUCK-044400</t>
  </si>
  <si>
    <t>CLICTRUCK-044404</t>
  </si>
  <si>
    <t>CLICTRUCK-044405</t>
  </si>
  <si>
    <t>CLICTRUCK-044408</t>
  </si>
  <si>
    <t>CLICTRUCK-044425</t>
  </si>
  <si>
    <t>CLICTRUCK-044427</t>
  </si>
  <si>
    <t>CLICTRUCK-044428</t>
  </si>
  <si>
    <t>CLICTRUCK-044429</t>
  </si>
  <si>
    <t>CLICTRUCK-044430</t>
  </si>
  <si>
    <t>CLICTRUCK-044431</t>
  </si>
  <si>
    <t>CLICTRUCK-044432</t>
  </si>
  <si>
    <t>CLICTRUCK-044442</t>
  </si>
  <si>
    <t>CLICTRUCK-044443</t>
  </si>
  <si>
    <t>CLICTRUCK-044449</t>
  </si>
  <si>
    <t>CLICTRUCK-044450</t>
  </si>
  <si>
    <t>CLICTRUCK-044451</t>
  </si>
  <si>
    <t>CLICTRUCK-044452</t>
  </si>
  <si>
    <t>CLICTRUCK-044453</t>
  </si>
  <si>
    <t>CLICTRUCK-044454</t>
  </si>
  <si>
    <t>CLICTRUCK-044455</t>
  </si>
  <si>
    <t>CLICTRUCK-044456</t>
  </si>
  <si>
    <t>CLICTRUCK-044457</t>
  </si>
  <si>
    <t>CLICTRUCK-044458</t>
  </si>
  <si>
    <t>CLICTRUCK-044459</t>
  </si>
  <si>
    <t>CLICTRUCK-044460</t>
  </si>
  <si>
    <t>CLICTRUCK-044462</t>
  </si>
  <si>
    <t>CLICTRUCK-044463</t>
  </si>
  <si>
    <t>CLICTRUCK-044464</t>
  </si>
  <si>
    <t>CLICTRUCK-044465</t>
  </si>
  <si>
    <t>CLICTRUCK-044466</t>
  </si>
  <si>
    <t>CLICTRUCK-044468</t>
  </si>
  <si>
    <t>CLICTRUCK-044474</t>
  </si>
  <si>
    <t>CLICTRUCK-044476</t>
  </si>
  <si>
    <t>CLICTRUCK-044477</t>
  </si>
  <si>
    <t>CLICTRUCK-044485</t>
  </si>
  <si>
    <t>CLICTRUCK-044486</t>
  </si>
  <si>
    <t>CLICTRUCK-044487</t>
  </si>
  <si>
    <t>CLICTRUCK-044488</t>
  </si>
  <si>
    <t>CLICTRUCK-044489</t>
  </si>
  <si>
    <t>CLICTRUCK-044490</t>
  </si>
  <si>
    <t>CLICTRUCK-044491</t>
  </si>
  <si>
    <t>CLICTRUCK-044492</t>
  </si>
  <si>
    <t>CLICTRUCK-044493</t>
  </si>
  <si>
    <t>CLICTRUCK-044494</t>
  </si>
  <si>
    <t>CLICTRUCK-044495</t>
  </si>
  <si>
    <t>CLICTRUCK-044496</t>
  </si>
  <si>
    <t>CLICTRUCK-044497</t>
  </si>
  <si>
    <t>CLICTRUCK-044498</t>
  </si>
  <si>
    <t>CLICTRUCK-044499</t>
  </si>
  <si>
    <t>CLICTRUCK-044500</t>
  </si>
  <si>
    <t>CLICTRUCK-044501</t>
  </si>
  <si>
    <t>CLICTRUCK-044502</t>
  </si>
  <si>
    <t>CLICTRUCK-044503</t>
  </si>
  <si>
    <t>CLICTRUCK-044504</t>
  </si>
  <si>
    <t>CLICTRUCK-044505</t>
  </si>
  <si>
    <t>CLICTRUCK-044506</t>
  </si>
  <si>
    <t>CLICTRUCK-044507</t>
  </si>
  <si>
    <t>CLICTRUCK-044508</t>
  </si>
  <si>
    <t>CLICTRUCK-044509</t>
  </si>
  <si>
    <t>CLICTRUCK-044529</t>
  </si>
  <si>
    <t>CLICTRUCK-044530</t>
  </si>
  <si>
    <t>PT. Premiumtrans Lintas Nusantara</t>
  </si>
  <si>
    <t>ALD - PLI</t>
  </si>
  <si>
    <t>CLICTRUCK-044531</t>
  </si>
  <si>
    <t>CLICTRUCK-044532</t>
  </si>
  <si>
    <t>CLICTRUCK-044533</t>
  </si>
  <si>
    <t>CLICTRUCK-044534</t>
  </si>
  <si>
    <t>CLICTRUCK-044535</t>
  </si>
  <si>
    <t>CLICTRUCK-044536</t>
  </si>
  <si>
    <t>CLICTRUCK-044546</t>
  </si>
  <si>
    <t>CLICTRUCK-044547</t>
  </si>
  <si>
    <t>CLICTRUCK-044561</t>
  </si>
  <si>
    <t>CLICTRUCK-044564</t>
  </si>
  <si>
    <t>CLICTRUCK-044570</t>
  </si>
  <si>
    <t>CLICTRUCK-044571</t>
  </si>
  <si>
    <t>CLICTRUCK-044573</t>
  </si>
  <si>
    <t>CLICTRUCK-044574</t>
  </si>
  <si>
    <t>CLICTRUCK-044575</t>
  </si>
  <si>
    <t>CLICTRUCK-044576</t>
  </si>
  <si>
    <t>CLICTRUCK-044577</t>
  </si>
  <si>
    <t>CLICTRUCK-044582</t>
  </si>
  <si>
    <t>CLICTRUCK-044583</t>
  </si>
  <si>
    <t>CLICTRUCK-044584</t>
  </si>
  <si>
    <t>CLICTRUCK-044586</t>
  </si>
  <si>
    <t>CLICTRUCK-044587</t>
  </si>
  <si>
    <t>CLICTRUCK-044588</t>
  </si>
  <si>
    <t>CLICTRUCK-044589</t>
  </si>
  <si>
    <t>CLICTRUCK-044590</t>
  </si>
  <si>
    <t>CLICTRUCK-044591</t>
  </si>
  <si>
    <t>CLICTRUCK-044592</t>
  </si>
  <si>
    <t>CLICTRUCK-044593</t>
  </si>
  <si>
    <t>CLICTRUCK-044594</t>
  </si>
  <si>
    <t>CLICTRUCK-044595</t>
  </si>
  <si>
    <t>CLICTRUCK-044596</t>
  </si>
  <si>
    <t>CLICTRUCK-044597</t>
  </si>
  <si>
    <t>CLICTRUCK-044598</t>
  </si>
  <si>
    <t>CLICTRUCK-044599</t>
  </si>
  <si>
    <t>CLICTRUCK-044600</t>
  </si>
  <si>
    <t>CLICTRUCK-044601</t>
  </si>
  <si>
    <t>CLICTRUCK-044602</t>
  </si>
  <si>
    <t>CLICTRUCK-044603</t>
  </si>
  <si>
    <t>CLICTRUCK-044604</t>
  </si>
  <si>
    <t>CLICTRUCK-044605</t>
  </si>
  <si>
    <t>CLICTRUCK-044606</t>
  </si>
  <si>
    <t>CLICTRUCK-044613</t>
  </si>
  <si>
    <t>PT. Delta Utama Gemilang</t>
  </si>
  <si>
    <t>HDL - DUG</t>
  </si>
  <si>
    <t>CLICTRUCK-044621</t>
  </si>
  <si>
    <t>CLICTRUCK-044624</t>
  </si>
  <si>
    <t>CLICTRUCK-044625</t>
  </si>
  <si>
    <t>CLICTRUCK-044626</t>
  </si>
  <si>
    <t>CLICTRUCK-044627</t>
  </si>
  <si>
    <t>CLICTRUCK-044628</t>
  </si>
  <si>
    <t>CLICTRUCK-044629</t>
  </si>
  <si>
    <t>CLICTRUCK-044630</t>
  </si>
  <si>
    <t>CLICTRUCK-044631</t>
  </si>
  <si>
    <t>CLICTRUCK-044632</t>
  </si>
  <si>
    <t>CLICTRUCK-044633</t>
  </si>
  <si>
    <t>CLICTRUCK-044634</t>
  </si>
  <si>
    <t>CLICTRUCK-044635</t>
  </si>
  <si>
    <t>CLICTRUCK-044636</t>
  </si>
  <si>
    <t>CLICTRUCK-044638</t>
  </si>
  <si>
    <t>CLICTRUCK-044639</t>
  </si>
  <si>
    <t>CLICTRUCK-044641</t>
  </si>
  <si>
    <t>CLICTRUCK-044643</t>
  </si>
  <si>
    <t>CLICTRUCK-044644</t>
  </si>
  <si>
    <t>CLICTRUCK-044645</t>
  </si>
  <si>
    <t>CLICTRUCK-044646</t>
  </si>
  <si>
    <t>CLICTRUCK-044647</t>
  </si>
  <si>
    <t>CLICTRUCK-044648</t>
  </si>
  <si>
    <t>CLICTRUCK-044649</t>
  </si>
  <si>
    <t>CLICTRUCK-044650</t>
  </si>
  <si>
    <t>CLICTRUCK-044660</t>
  </si>
  <si>
    <t>CLICTRUCK-044661</t>
  </si>
  <si>
    <t>CLICTRUCK-044662</t>
  </si>
  <si>
    <t>CLICTRUCK-044663</t>
  </si>
  <si>
    <t>CLICTRUCK-044664</t>
  </si>
  <si>
    <t>CLICTRUCK-044666</t>
  </si>
  <si>
    <t>CLICTRUCK-044667</t>
  </si>
  <si>
    <t>CLICTRUCK-044668</t>
  </si>
  <si>
    <t>CLICTRUCK-044691</t>
  </si>
  <si>
    <t>CLICTRUCK-044692</t>
  </si>
  <si>
    <t>CLICTRUCK-044693</t>
  </si>
  <si>
    <t>CLICTRUCK-044694</t>
  </si>
  <si>
    <t>CLICTRUCK-044695</t>
  </si>
  <si>
    <t>CLICTRUCK-044696</t>
  </si>
  <si>
    <t>CLICTRUCK-044697</t>
  </si>
  <si>
    <t>CLICTRUCK-044698</t>
  </si>
  <si>
    <t>CLICTRUCK-044699</t>
  </si>
  <si>
    <t>CLICTRUCK-044700</t>
  </si>
  <si>
    <t>CLICTRUCK-044701</t>
  </si>
  <si>
    <t>CLICTRUCK-044703</t>
  </si>
  <si>
    <t>CLICTRUCK-044704</t>
  </si>
  <si>
    <t>CLICTRUCK-044705</t>
  </si>
  <si>
    <t>CLICTRUCK-044706</t>
  </si>
  <si>
    <t>CLICTRUCK-044707</t>
  </si>
  <si>
    <t>CLICTRUCK-044708</t>
  </si>
  <si>
    <t>CLICTRUCK-044709</t>
  </si>
  <si>
    <t>CLICTRUCK-044710</t>
  </si>
  <si>
    <t>CLICTRUCK-044713</t>
  </si>
  <si>
    <t>CLICTRUCK-044714</t>
  </si>
  <si>
    <t>CLICTRUCK-044716</t>
  </si>
  <si>
    <t>CLICTRUCK-044717</t>
  </si>
  <si>
    <t>CLICTRUCK-044718</t>
  </si>
  <si>
    <t>CLICTRUCK-044719</t>
  </si>
  <si>
    <t>CLICTRUCK-044720</t>
  </si>
  <si>
    <t>CLICTRUCK-044721</t>
  </si>
  <si>
    <t>CLICTRUCK-044722</t>
  </si>
  <si>
    <t>CLICTRUCK-044723</t>
  </si>
  <si>
    <t>CLICTRUCK-044730</t>
  </si>
  <si>
    <t>CLICTRUCK-044731</t>
  </si>
  <si>
    <t>CLICTRUCK-044732</t>
  </si>
  <si>
    <t>CLICTRUCK-044733</t>
  </si>
  <si>
    <t>CLICTRUCK-044734</t>
  </si>
  <si>
    <t>CLICTRUCK-044735</t>
  </si>
  <si>
    <t>CLICTRUCK-044736</t>
  </si>
  <si>
    <t>CLICTRUCK-044737</t>
  </si>
  <si>
    <t>CLICTRUCK-044738</t>
  </si>
  <si>
    <t>CLICTRUCK-044739</t>
  </si>
  <si>
    <t>CLICTRUCK-044740</t>
  </si>
  <si>
    <t>CLICTRUCK-044741</t>
  </si>
  <si>
    <t>CLICTRUCK-044742</t>
  </si>
  <si>
    <t>CLICTRUCK-044743</t>
  </si>
  <si>
    <t>CLICTRUCK-044744</t>
  </si>
  <si>
    <t>CLICTRUCK-044745</t>
  </si>
  <si>
    <t>CLICTRUCK-044751</t>
  </si>
  <si>
    <t>CLICTRUCK-044752</t>
  </si>
  <si>
    <t>CLICTRUCK-044753</t>
  </si>
  <si>
    <t>CLICTRUCK-044754</t>
  </si>
  <si>
    <t>CLICTRUCK-044755</t>
  </si>
  <si>
    <t>CLICTRUCK-044756</t>
  </si>
  <si>
    <t>CLICTRUCK-044757</t>
  </si>
  <si>
    <t>CLICTRUCK-044758</t>
  </si>
  <si>
    <t>CLICTRUCK-044759</t>
  </si>
  <si>
    <t>CLICTRUCK-044761</t>
  </si>
  <si>
    <t>CLICTRUCK-044762</t>
  </si>
  <si>
    <t>CLICTRUCK-044769</t>
  </si>
  <si>
    <t>CLICTRUCK-044770</t>
  </si>
  <si>
    <t>CLICTRUCK-044771</t>
  </si>
  <si>
    <t>CLICTRUCK-044772</t>
  </si>
  <si>
    <t>PT. Pari Pura Raya</t>
  </si>
  <si>
    <t>YSN-PPR</t>
  </si>
  <si>
    <t>CLICTRUCK-044777</t>
  </si>
  <si>
    <t>CLICTRUCK-044778</t>
  </si>
  <si>
    <t>CLICTRUCK-044779</t>
  </si>
  <si>
    <t>CLICTRUCK-044780</t>
  </si>
  <si>
    <t>CLICTRUCK-044781</t>
  </si>
  <si>
    <t>CLICTRUCK-044782</t>
  </si>
  <si>
    <t>CLICTRUCK-044783</t>
  </si>
  <si>
    <t>CLICTRUCK-044784</t>
  </si>
  <si>
    <t>CLICTRUCK-044785</t>
  </si>
  <si>
    <t>CLICTRUCK-044786</t>
  </si>
  <si>
    <t>CLICTRUCK-044787</t>
  </si>
  <si>
    <t>CLICTRUCK-044788</t>
  </si>
  <si>
    <t>CLICTRUCK-044789</t>
  </si>
  <si>
    <t>CLICTRUCK-044790</t>
  </si>
  <si>
    <t>CLICTRUCK-044791</t>
  </si>
  <si>
    <t>CLICTRUCK-044792</t>
  </si>
  <si>
    <t>CLICTRUCK-044793</t>
  </si>
  <si>
    <t>CLICTRUCK-044794</t>
  </si>
  <si>
    <t>CLICTRUCK-044795</t>
  </si>
  <si>
    <t>CLICTRUCK-044796</t>
  </si>
  <si>
    <t>CLICTRUCK-044797</t>
  </si>
  <si>
    <t>CLICTRUCK-044798</t>
  </si>
  <si>
    <t>CLICTRUCK-044799</t>
  </si>
  <si>
    <t>CLICTRUCK-044800</t>
  </si>
  <si>
    <t>CLICTRUCK-044801</t>
  </si>
  <si>
    <t>CLICTRUCK-044802</t>
  </si>
  <si>
    <t>CLICTRUCK-044803</t>
  </si>
  <si>
    <t>CLICTRUCK-044804</t>
  </si>
  <si>
    <t>CLICTRUCK-044805</t>
  </si>
  <si>
    <t>CLICTRUCK-044806</t>
  </si>
  <si>
    <t>CLICTRUCK-044807</t>
  </si>
  <si>
    <t>CLICTRUCK-044808</t>
  </si>
  <si>
    <t>CLICTRUCK-044809</t>
  </si>
  <si>
    <t>CLICTRUCK-044810</t>
  </si>
  <si>
    <t>CLICTRUCK-044811</t>
  </si>
  <si>
    <t>CLICTRUCK-044812</t>
  </si>
  <si>
    <t>CLICTRUCK-044813</t>
  </si>
  <si>
    <t>CLICTRUCK-044814</t>
  </si>
  <si>
    <t>CLICTRUCK-044815</t>
  </si>
  <si>
    <t>CLICTRUCK-044816</t>
  </si>
  <si>
    <t>CLICTRUCK-044817</t>
  </si>
  <si>
    <t>CLICTRUCK-044818</t>
  </si>
  <si>
    <t>CLICTRUCK-044819</t>
  </si>
  <si>
    <t>CLICTRUCK-044820</t>
  </si>
  <si>
    <t>CLICTRUCK-044821</t>
  </si>
  <si>
    <t>CLICTRUCK-044822</t>
  </si>
  <si>
    <t>CLICTRUCK-044823</t>
  </si>
  <si>
    <t>CLICTRUCK-044824</t>
  </si>
  <si>
    <t>CLICTRUCK-044825</t>
  </si>
  <si>
    <t>CLICTRUCK-044826</t>
  </si>
  <si>
    <t>CLICTRUCK-044827</t>
  </si>
  <si>
    <t>CLICTRUCK-044828</t>
  </si>
  <si>
    <t>CLICTRUCK-044829</t>
  </si>
  <si>
    <t>CLICTRUCK-044830</t>
  </si>
  <si>
    <t>CLICTRUCK-044831</t>
  </si>
  <si>
    <t>CLICTRUCK-044832</t>
  </si>
  <si>
    <t>CLICTRUCK-044833</t>
  </si>
  <si>
    <t>CLICTRUCK-044834</t>
  </si>
  <si>
    <t>CLICTRUCK-044835</t>
  </si>
  <si>
    <t>CLICTRUCK-044836</t>
  </si>
  <si>
    <t>CLICTRUCK-044837</t>
  </si>
  <si>
    <t>CLICTRUCK-044838</t>
  </si>
  <si>
    <t>CLICTRUCK-044839</t>
  </si>
  <si>
    <t>CLICTRUCK-044840</t>
  </si>
  <si>
    <t>CLICTRUCK-044841</t>
  </si>
  <si>
    <t>CLICTRUCK-044842</t>
  </si>
  <si>
    <t>CLICTRUCK-044843</t>
  </si>
  <si>
    <t>CLICTRUCK-044844</t>
  </si>
  <si>
    <t>CLICTRUCK-044845</t>
  </si>
  <si>
    <t>CLICTRUCK-044846</t>
  </si>
  <si>
    <t>CLICTRUCK-044847</t>
  </si>
  <si>
    <t>CLICTRUCK-044848</t>
  </si>
  <si>
    <t>CLICTRUCK-044849</t>
  </si>
  <si>
    <t>CLICTRUCK-044850</t>
  </si>
  <si>
    <t>CLICTRUCK-044851</t>
  </si>
  <si>
    <t>CLICTRUCK-044852</t>
  </si>
  <si>
    <t>CLICTRUCK-044853</t>
  </si>
  <si>
    <t>CLICTRUCK-044854</t>
  </si>
  <si>
    <t>CLICTRUCK-044855</t>
  </si>
  <si>
    <t>CLICTRUCK-044856</t>
  </si>
  <si>
    <t>CLICTRUCK-044857</t>
  </si>
  <si>
    <t>CLICTRUCK-044858</t>
  </si>
  <si>
    <t>CLICTRUCK-044859</t>
  </si>
  <si>
    <t>CLICTRUCK-044860</t>
  </si>
  <si>
    <t>CLICTRUCK-044861</t>
  </si>
  <si>
    <t>CLICTRUCK-044862</t>
  </si>
  <si>
    <t>CLICTRUCK-044863</t>
  </si>
  <si>
    <t>CLICTRUCK-044864</t>
  </si>
  <si>
    <t>CLICTRUCK-044865</t>
  </si>
  <si>
    <t>CLICTRUCK-044866</t>
  </si>
  <si>
    <t>CLICTRUCK-044867</t>
  </si>
  <si>
    <t>CLICTRUCK-044868</t>
  </si>
  <si>
    <t>CLICTRUCK-044869</t>
  </si>
  <si>
    <t>CLICTRUCK-044870</t>
  </si>
  <si>
    <t>CLICTRUCK-044871</t>
  </si>
  <si>
    <t>CLICTRUCK-044872</t>
  </si>
  <si>
    <t>CLICTRUCK-044873</t>
  </si>
  <si>
    <t>CLICTRUCK-044874</t>
  </si>
  <si>
    <t>CLICTRUCK-044875</t>
  </si>
  <si>
    <t>CLICTRUCK-044876</t>
  </si>
  <si>
    <t>CLICTRUCK-044877</t>
  </si>
  <si>
    <t>CLICTRUCK-044879</t>
  </si>
  <si>
    <t>CLICTRUCK-044883</t>
  </si>
  <si>
    <t>CLICTRUCK-044884</t>
  </si>
  <si>
    <t>CLICTRUCK-044885</t>
  </si>
  <si>
    <t>CLICTRUCK-044889</t>
  </si>
  <si>
    <t>CLICTRUCK-044891</t>
  </si>
  <si>
    <t>CLICTRUCK-044893</t>
  </si>
  <si>
    <t>CLICTRUCK-044895</t>
  </si>
  <si>
    <t>CLICTRUCK-044898</t>
  </si>
  <si>
    <t>CLICTRUCK-044899</t>
  </si>
  <si>
    <t>CLICTRUCK-044901</t>
  </si>
  <si>
    <t>CLICTRUCK-044902</t>
  </si>
  <si>
    <t>CLICTRUCK-044908</t>
  </si>
  <si>
    <t>CLICTRUCK-044992</t>
  </si>
  <si>
    <t>CLICTRUCK-044993</t>
  </si>
  <si>
    <t>CLICTRUCK-044994</t>
  </si>
  <si>
    <t>CLICTRUCK-044995</t>
  </si>
  <si>
    <t>CLICTRUCK-044996</t>
  </si>
  <si>
    <t>CLICTRUCK-044998</t>
  </si>
  <si>
    <t>CLICTRUCK-044999</t>
  </si>
  <si>
    <t>CLICTRUCK-045000</t>
  </si>
  <si>
    <t>CLICTRUCK-045001</t>
  </si>
  <si>
    <t>CLICTRUCK-045002</t>
  </si>
  <si>
    <t>CLICTRUCK-045003</t>
  </si>
  <si>
    <t>CLICTRUCK-045004</t>
  </si>
  <si>
    <t>CLICTRUCK-045005</t>
  </si>
  <si>
    <t>CLICTRUCK-045007</t>
  </si>
  <si>
    <t>CLICTRUCK-045008</t>
  </si>
  <si>
    <t>CLICTRUCK-045009</t>
  </si>
  <si>
    <t>CLICTRUCK-045010</t>
  </si>
  <si>
    <t>CLICTRUCK-045011</t>
  </si>
  <si>
    <t>CLICTRUCK-045012</t>
  </si>
  <si>
    <t>CLICTRUCK-045013</t>
  </si>
  <si>
    <t>CLICTRUCK-045014</t>
  </si>
  <si>
    <t>CLICTRUCK-045015</t>
  </si>
  <si>
    <t>CLICTRUCK-045016</t>
  </si>
  <si>
    <t>CLICTRUCK-045017</t>
  </si>
  <si>
    <t>CLICTRUCK-045018</t>
  </si>
  <si>
    <t>CLICTRUCK-045019</t>
  </si>
  <si>
    <t>CLICTRUCK-045020</t>
  </si>
  <si>
    <t>CLICTRUCK-045021</t>
  </si>
  <si>
    <t>CLICTRUCK-045022</t>
  </si>
  <si>
    <t>CLICTRUCK-045023</t>
  </si>
  <si>
    <t>CLICTRUCK-045024</t>
  </si>
  <si>
    <t>CLICTRUCK-045025</t>
  </si>
  <si>
    <t>CLICTRUCK-045026</t>
  </si>
  <si>
    <t>CLICTRUCK-045027</t>
  </si>
  <si>
    <t>CLICTRUCK-045028</t>
  </si>
  <si>
    <t>CLICTRUCK-045029</t>
  </si>
  <si>
    <t>CLICTRUCK-045031</t>
  </si>
  <si>
    <t>CLICTRUCK-045032</t>
  </si>
  <si>
    <t>CLICTRUCK-045033</t>
  </si>
  <si>
    <t>CLICTRUCK-045034</t>
  </si>
  <si>
    <t>CLICTRUCK-045035</t>
  </si>
  <si>
    <t>CLICTRUCK-045036</t>
  </si>
  <si>
    <t>CLICTRUCK-045038</t>
  </si>
  <si>
    <t>CLICTRUCK-045039</t>
  </si>
  <si>
    <t>CLICTRUCK-045040</t>
  </si>
  <si>
    <t>CLICTRUCK-045041</t>
  </si>
  <si>
    <t>CLICTRUCK-045042</t>
  </si>
  <si>
    <t>CLICTRUCK-045043</t>
  </si>
  <si>
    <t>CLICTRUCK-045044</t>
  </si>
  <si>
    <t>CLICTRUCK-045045</t>
  </si>
  <si>
    <t>CLICTRUCK-045046</t>
  </si>
  <si>
    <t>CLICTRUCK-045047</t>
  </si>
  <si>
    <t>CLICTRUCK-045049</t>
  </si>
  <si>
    <t>CLICTRUCK-045050</t>
  </si>
  <si>
    <t>CLICTRUCK-045051</t>
  </si>
  <si>
    <t>CLICTRUCK-045052</t>
  </si>
  <si>
    <t>CLICTRUCK-045053</t>
  </si>
  <si>
    <t>CLICTRUCK-045054</t>
  </si>
  <si>
    <t>CLICTRUCK-045055</t>
  </si>
  <si>
    <t>CLICTRUCK-045056</t>
  </si>
  <si>
    <t>CLICTRUCK-045057</t>
  </si>
  <si>
    <t>CLICTRUCK-045058</t>
  </si>
  <si>
    <t>CLICTRUCK-045059</t>
  </si>
  <si>
    <t>CLICTRUCK-045060</t>
  </si>
  <si>
    <t>CLICTRUCK-045061</t>
  </si>
  <si>
    <t>CLICTRUCK-045062</t>
  </si>
  <si>
    <t>CLICTRUCK-045063</t>
  </si>
  <si>
    <t>CLICTRUCK-045064</t>
  </si>
  <si>
    <t>CLICTRUCK-045065</t>
  </si>
  <si>
    <t>CLICTRUCK-045066</t>
  </si>
  <si>
    <t>CLICTRUCK-045067</t>
  </si>
  <si>
    <t>CLICTRUCK-045068</t>
  </si>
  <si>
    <t>CLICTRUCK-045069</t>
  </si>
  <si>
    <t>CLICTRUCK-045070</t>
  </si>
  <si>
    <t>CLICTRUCK-045071</t>
  </si>
  <si>
    <t>CLICTRUCK-045072</t>
  </si>
  <si>
    <t>CLICTRUCK-045073</t>
  </si>
  <si>
    <t>CLICTRUCK-045074</t>
  </si>
  <si>
    <t>CLICTRUCK-045075</t>
  </si>
  <si>
    <t>CLICTRUCK-045076</t>
  </si>
  <si>
    <t>CLICTRUCK-045077</t>
  </si>
  <si>
    <t>CLICTRUCK-045078</t>
  </si>
  <si>
    <t>CLICTRUCK-045079</t>
  </si>
  <si>
    <t>CLICTRUCK-045080</t>
  </si>
  <si>
    <t>CLICTRUCK-045081</t>
  </si>
  <si>
    <t>CLICTRUCK-045082</t>
  </si>
  <si>
    <t>CLICTRUCK-045083</t>
  </si>
  <si>
    <t>CLICTRUCK-045084</t>
  </si>
  <si>
    <t>CLICTRUCK-045085</t>
  </si>
  <si>
    <t>CLICTRUCK-045086</t>
  </si>
  <si>
    <t>CLICTRUCK-045087</t>
  </si>
  <si>
    <t>CLICTRUCK-045088</t>
  </si>
  <si>
    <t>CLICTRUCK-045089</t>
  </si>
  <si>
    <t>CLICTRUCK-045090</t>
  </si>
  <si>
    <t>CLICTRUCK-045093</t>
  </si>
  <si>
    <t>CLICTRUCK-045094</t>
  </si>
  <si>
    <t>CLICTRUCK-045095</t>
  </si>
  <si>
    <t>CLICTRUCK-045096</t>
  </si>
  <si>
    <t>CLICTRUCK-045097</t>
  </si>
  <si>
    <t>CLICTRUCK-045098</t>
  </si>
  <si>
    <t>CLICTRUCK-045099</t>
  </si>
  <si>
    <t>CLICTRUCK-045100</t>
  </si>
  <si>
    <t>CLICTRUCK-045101</t>
  </si>
  <si>
    <t>CLICTRUCK-045102</t>
  </si>
  <si>
    <t>CLICTRUCK-045103</t>
  </si>
  <si>
    <t>CLICTRUCK-045109</t>
  </si>
  <si>
    <t>CLICTRUCK-045110</t>
  </si>
  <si>
    <t>CLICTRUCK-045111</t>
  </si>
  <si>
    <t>CLICTRUCK-045112</t>
  </si>
  <si>
    <t>CLICTRUCK-045113</t>
  </si>
  <si>
    <t>CLICTRUCK-045114</t>
  </si>
  <si>
    <t>CLICTRUCK-045115</t>
  </si>
  <si>
    <t>CLICTRUCK-045116</t>
  </si>
  <si>
    <t>CLICTRUCK-045117</t>
  </si>
  <si>
    <t>CLICTRUCK-045118</t>
  </si>
  <si>
    <t>CLICTRUCK-045119</t>
  </si>
  <si>
    <t>CLICTRUCK-045120</t>
  </si>
  <si>
    <t>CLICTRUCK-045121</t>
  </si>
  <si>
    <t>CLICTRUCK-045122</t>
  </si>
  <si>
    <t>CLICTRUCK-045123</t>
  </si>
  <si>
    <t>CLICTRUCK-045124</t>
  </si>
  <si>
    <t>CLICTRUCK-045125</t>
  </si>
  <si>
    <t>CLICTRUCK-045126</t>
  </si>
  <si>
    <t>CLICTRUCK-045127</t>
  </si>
  <si>
    <t>CLICTRUCK-045128</t>
  </si>
  <si>
    <t>CLICTRUCK-045129</t>
  </si>
  <si>
    <t>CLICTRUCK-045130</t>
  </si>
  <si>
    <t>CLICTRUCK-045131</t>
  </si>
  <si>
    <t>CLICTRUCK-045133</t>
  </si>
  <si>
    <t>CLICTRUCK-045134</t>
  </si>
  <si>
    <t>CLICTRUCK-045135</t>
  </si>
  <si>
    <t>CLICTRUCK-045146</t>
  </si>
  <si>
    <t>CLICTRUCK-045158</t>
  </si>
  <si>
    <t>CLICTRUCK-045159</t>
  </si>
  <si>
    <t>CLICTRUCK-045160</t>
  </si>
  <si>
    <t>CLICTRUCK-045161</t>
  </si>
  <si>
    <t>CLICTRUCK-045162</t>
  </si>
  <si>
    <t>CLICTRUCK-045165</t>
  </si>
  <si>
    <t>CLICTRUCK-045166</t>
  </si>
  <si>
    <t>CLICTRUCK-045167</t>
  </si>
  <si>
    <t>CLICTRUCK-045168</t>
  </si>
  <si>
    <t>CLICTRUCK-045169</t>
  </si>
  <si>
    <t>CLICTRUCK-045170</t>
  </si>
  <si>
    <t>CLICTRUCK-045171</t>
  </si>
  <si>
    <t>CLICTRUCK-045172</t>
  </si>
  <si>
    <t>CLICTRUCK-045173</t>
  </si>
  <si>
    <t>CLICTRUCK-045174</t>
  </si>
  <si>
    <t>CLICTRUCK-045175</t>
  </si>
  <si>
    <t>CLICTRUCK-045176</t>
  </si>
  <si>
    <t>CLICTRUCK-045177</t>
  </si>
  <si>
    <t>CLICTRUCK-045178</t>
  </si>
  <si>
    <t>CLICTRUCK-045179</t>
  </si>
  <si>
    <t>CLICTRUCK-045180</t>
  </si>
  <si>
    <t>CLICTRUCK-045181</t>
  </si>
  <si>
    <t>CLICTRUCK-045182</t>
  </si>
  <si>
    <t>CLICTRUCK-045183</t>
  </si>
  <si>
    <t>CLICTRUCK-045184</t>
  </si>
  <si>
    <t>CLICTRUCK-045185</t>
  </si>
  <si>
    <t>CLICTRUCK-045186</t>
  </si>
  <si>
    <t>CLICTRUCK-045187</t>
  </si>
  <si>
    <t>CLICTRUCK-045188</t>
  </si>
  <si>
    <t>CLICTRUCK-045189</t>
  </si>
  <si>
    <t>CLICTRUCK-045190</t>
  </si>
  <si>
    <t>CLICTRUCK-045191</t>
  </si>
  <si>
    <t>CLICTRUCK-045192</t>
  </si>
  <si>
    <t>CLICTRUCK-045193</t>
  </si>
  <si>
    <t>CLICTRUCK-045194</t>
  </si>
  <si>
    <t>CLICTRUCK-045195</t>
  </si>
  <si>
    <t>CLICTRUCK-045196</t>
  </si>
  <si>
    <t>CLICTRUCK-045197</t>
  </si>
  <si>
    <t>CLICTRUCK-045198</t>
  </si>
  <si>
    <t>CLICTRUCK-045199</t>
  </si>
  <si>
    <t>CLICTRUCK-045200</t>
  </si>
  <si>
    <t>CLICTRUCK-045201</t>
  </si>
  <si>
    <t>CLICTRUCK-045202</t>
  </si>
  <si>
    <t>CLICTRUCK-045203</t>
  </si>
  <si>
    <t>CLICTRUCK-045204</t>
  </si>
  <si>
    <t>CLICTRUCK-045205</t>
  </si>
  <si>
    <t>CLICTRUCK-045206</t>
  </si>
  <si>
    <t>CLICTRUCK-045207</t>
  </si>
  <si>
    <t>CLICTRUCK-045208</t>
  </si>
  <si>
    <t>CLICTRUCK-045209</t>
  </si>
  <si>
    <t>CLICTRUCK-045210</t>
  </si>
  <si>
    <t>CLICTRUCK-045211</t>
  </si>
  <si>
    <t>CLICTRUCK-045212</t>
  </si>
  <si>
    <t>CLICTRUCK-045213</t>
  </si>
  <si>
    <t>CLICTRUCK-045214</t>
  </si>
  <si>
    <t>CLICTRUCK-045215</t>
  </si>
  <si>
    <t>CLICTRUCK-045216</t>
  </si>
  <si>
    <t>CLICTRUCK-045217</t>
  </si>
  <si>
    <t>CLICTRUCK-045218</t>
  </si>
  <si>
    <t>CLICTRUCK-045219</t>
  </si>
  <si>
    <t>CLICTRUCK-045220</t>
  </si>
  <si>
    <t>CLICTRUCK-045221</t>
  </si>
  <si>
    <t>CLICTRUCK-045223</t>
  </si>
  <si>
    <t>CLICTRUCK-045230</t>
  </si>
  <si>
    <t>CLICTRUCK-045231</t>
  </si>
  <si>
    <t>CLICTRUCK-045232</t>
  </si>
  <si>
    <t>CLICTRUCK-045233</t>
  </si>
  <si>
    <t>CLICTRUCK-045234</t>
  </si>
  <si>
    <t>CLICTRUCK-045235</t>
  </si>
  <si>
    <t>CLICTRUCK-045236</t>
  </si>
  <si>
    <t>CLICTRUCK-045237</t>
  </si>
  <si>
    <t>CLICTRUCK-045238</t>
  </si>
  <si>
    <t>CLICTRUCK-045239</t>
  </si>
  <si>
    <t>CLICTRUCK-045240</t>
  </si>
  <si>
    <t>CLICTRUCK-045241</t>
  </si>
  <si>
    <t>CLICTRUCK-045242</t>
  </si>
  <si>
    <t>CLICTRUCK-045243</t>
  </si>
  <si>
    <t>CLICTRUCK-045244</t>
  </si>
  <si>
    <t>CLICTRUCK-045245</t>
  </si>
  <si>
    <t>CLICTRUCK-045246</t>
  </si>
  <si>
    <t>CLICTRUCK-045247</t>
  </si>
  <si>
    <t>CLICTRUCK-045248</t>
  </si>
  <si>
    <t>CLICTRUCK-045249</t>
  </si>
  <si>
    <t>CLICTRUCK-045250</t>
  </si>
  <si>
    <t>CLICTRUCK-045251</t>
  </si>
  <si>
    <t>CLICTRUCK-045252</t>
  </si>
  <si>
    <t>CLICTRUCK-045253</t>
  </si>
  <si>
    <t>CLICTRUCK-045254</t>
  </si>
  <si>
    <t>CLICTRUCK-045255</t>
  </si>
  <si>
    <t>CLICTRUCK-045256</t>
  </si>
  <si>
    <t>CLICTRUCK-045257</t>
  </si>
  <si>
    <t>CLICTRUCK-045271</t>
  </si>
  <si>
    <t>CLICTRUCK-045272</t>
  </si>
  <si>
    <t>CLICTRUCK-045273</t>
  </si>
  <si>
    <t>CLICTRUCK-045274</t>
  </si>
  <si>
    <t>CLICTRUCK-045275</t>
  </si>
  <si>
    <t>CLICTRUCK-045276</t>
  </si>
  <si>
    <t>CLICTRUCK-045277</t>
  </si>
  <si>
    <t>CLICTRUCK-045278</t>
  </si>
  <si>
    <t>CLICTRUCK-045279</t>
  </si>
  <si>
    <t>CLICTRUCK-045280</t>
  </si>
  <si>
    <t>CLICTRUCK-045281</t>
  </si>
  <si>
    <t>CLICTRUCK-045282</t>
  </si>
  <si>
    <t>CLICTRUCK-045283</t>
  </si>
  <si>
    <t>CLICTRUCK-045284</t>
  </si>
  <si>
    <t>CLICTRUCK-045285</t>
  </si>
  <si>
    <t>CLICTRUCK-045286</t>
  </si>
  <si>
    <t>CLICTRUCK-045287</t>
  </si>
  <si>
    <t>CLICTRUCK-045288</t>
  </si>
  <si>
    <t>CLICTRUCK-045289</t>
  </si>
  <si>
    <t>CLICTRUCK-045290</t>
  </si>
  <si>
    <t>CLICTRUCK-045291</t>
  </si>
  <si>
    <t>CLICTRUCK-045292</t>
  </si>
  <si>
    <t>CLICTRUCK-045293</t>
  </si>
  <si>
    <t>CLICTRUCK-045294</t>
  </si>
  <si>
    <t>CLICTRUCK-045324</t>
  </si>
  <si>
    <t>CLICTRUCK-045325</t>
  </si>
  <si>
    <t>CLICTRUCK-045326</t>
  </si>
  <si>
    <t>CLICTRUCK-045327</t>
  </si>
  <si>
    <t>CLICTRUCK-045328</t>
  </si>
  <si>
    <t>CLICTRUCK-045329</t>
  </si>
  <si>
    <t>CLICTRUCK-045330</t>
  </si>
  <si>
    <t>CLICTRUCK-045331</t>
  </si>
  <si>
    <t>CLICTRUCK-045332</t>
  </si>
  <si>
    <t>CLICTRUCK-045333</t>
  </si>
  <si>
    <t>CLICTRUCK-045334</t>
  </si>
  <si>
    <t>CLICTRUCK-045335</t>
  </si>
  <si>
    <t>CLICTRUCK-045336</t>
  </si>
  <si>
    <t>CLICTRUCK-045337</t>
  </si>
  <si>
    <t>CLICTRUCK-045338</t>
  </si>
  <si>
    <t>CLICTRUCK-045339</t>
  </si>
  <si>
    <t>CLICTRUCK-045340</t>
  </si>
  <si>
    <t>CLICTRUCK-045341</t>
  </si>
  <si>
    <t>CLICTRUCK-045342</t>
  </si>
  <si>
    <t>CLICTRUCK-045343</t>
  </si>
  <si>
    <t>CLICTRUCK-045344</t>
  </si>
  <si>
    <t>CLICTRUCK-045345</t>
  </si>
  <si>
    <t>CLICTRUCK-045346</t>
  </si>
  <si>
    <t>CLICTRUCK-045347</t>
  </si>
  <si>
    <t>CLICTRUCK-045348</t>
  </si>
  <si>
    <t>CLICTRUCK-045349</t>
  </si>
  <si>
    <t>CLICTRUCK-045350</t>
  </si>
  <si>
    <t>CLICTRUCK-045351</t>
  </si>
  <si>
    <t>CLICTRUCK-045352</t>
  </si>
  <si>
    <t>CLICTRUCK-045353</t>
  </si>
  <si>
    <t>CLICTRUCK-045354</t>
  </si>
  <si>
    <t>CLICTRUCK-045355</t>
  </si>
  <si>
    <t>CLICTRUCK-045356</t>
  </si>
  <si>
    <t>CLICTRUCK-045357</t>
  </si>
  <si>
    <t>CLICTRUCK-045358</t>
  </si>
  <si>
    <t>CLICTRUCK-045359</t>
  </si>
  <si>
    <t>CLICTRUCK-045360</t>
  </si>
  <si>
    <t>CLICTRUCK-045361</t>
  </si>
  <si>
    <t>CLICTRUCK-045362</t>
  </si>
  <si>
    <t>CLICTRUCK-045363</t>
  </si>
  <si>
    <t>CLICTRUCK-045364</t>
  </si>
  <si>
    <t>CLICTRUCK-045365</t>
  </si>
  <si>
    <t>CLICTRUCK-045366</t>
  </si>
  <si>
    <t>CLICTRUCK-045367</t>
  </si>
  <si>
    <t>CLICTRUCK-045368</t>
  </si>
  <si>
    <t>CLICTRUCK-045369</t>
  </si>
  <si>
    <t>CLICTRUCK-045370</t>
  </si>
  <si>
    <t>CLICTRUCK-045371</t>
  </si>
  <si>
    <t>CLICTRUCK-045372</t>
  </si>
  <si>
    <t>CLICTRUCK-045373</t>
  </si>
  <si>
    <t>CLICTRUCK-045374</t>
  </si>
  <si>
    <t>CLICTRUCK-045375</t>
  </si>
  <si>
    <t>CLICTRUCK-045376</t>
  </si>
  <si>
    <t>CLICTRUCK-045377</t>
  </si>
  <si>
    <t>CLICTRUCK-045378</t>
  </si>
  <si>
    <t>CLICTRUCK-045379</t>
  </si>
  <si>
    <t>CLICTRUCK-045380</t>
  </si>
  <si>
    <t>CLICTRUCK-045381</t>
  </si>
  <si>
    <t>CLICTRUCK-045382</t>
  </si>
  <si>
    <t>CLICTRUCK-045383</t>
  </si>
  <si>
    <t>CLICTRUCK-045384</t>
  </si>
  <si>
    <t>CLICTRUCK-045385</t>
  </si>
  <si>
    <t>CLICTRUCK-045386</t>
  </si>
  <si>
    <t>CLICTRUCK-045387</t>
  </si>
  <si>
    <t>CLICTRUCK-045388</t>
  </si>
  <si>
    <t>CLICTRUCK-045389</t>
  </si>
  <si>
    <t>CLICTRUCK-045390</t>
  </si>
  <si>
    <t>CLICTRUCK-045391</t>
  </si>
  <si>
    <t>CLICTRUCK-045392</t>
  </si>
  <si>
    <t>CLICTRUCK-045393</t>
  </si>
  <si>
    <t>CLICTRUCK-045394</t>
  </si>
  <si>
    <t>CLICTRUCK-045395</t>
  </si>
  <si>
    <t>CLICTRUCK-045396</t>
  </si>
  <si>
    <t>CLICTRUCK-045397</t>
  </si>
  <si>
    <t>CLICTRUCK-045398</t>
  </si>
  <si>
    <t>CLICTRUCK-045399</t>
  </si>
  <si>
    <t>CLICTRUCK-045400</t>
  </si>
  <si>
    <t>CLICTRUCK-045401</t>
  </si>
  <si>
    <t>CLICTRUCK-045402</t>
  </si>
  <si>
    <t>CLICTRUCK-045403</t>
  </si>
  <si>
    <t>CLICTRUCK-045404</t>
  </si>
  <si>
    <t>CLICTRUCK-045405</t>
  </si>
  <si>
    <t>CLICTRUCK-045406</t>
  </si>
  <si>
    <t>CLICTRUCK-045407</t>
  </si>
  <si>
    <t>CLICTRUCK-045408</t>
  </si>
  <si>
    <t>CLICTRUCK-045409</t>
  </si>
  <si>
    <t>CLICTRUCK-045410</t>
  </si>
  <si>
    <t>CLICTRUCK-045411</t>
  </si>
  <si>
    <t>CLICTRUCK-045412</t>
  </si>
  <si>
    <t>CLICTRUCK-045413</t>
  </si>
  <si>
    <t>CLICTRUCK-045414</t>
  </si>
  <si>
    <t>CLICTRUCK-045415</t>
  </si>
  <si>
    <t>CLICTRUCK-045416</t>
  </si>
  <si>
    <t>CLICTRUCK-045417</t>
  </si>
  <si>
    <t>CLICTRUCK-045418</t>
  </si>
  <si>
    <t>CLICTRUCK-045419</t>
  </si>
  <si>
    <t>CLICTRUCK-045420</t>
  </si>
  <si>
    <t>CLICTRUCK-045421</t>
  </si>
  <si>
    <t>CLICTRUCK-045422</t>
  </si>
  <si>
    <t>CLICTRUCK-045423</t>
  </si>
  <si>
    <t>CLICTRUCK-045424</t>
  </si>
  <si>
    <t>CLICTRUCK-045425</t>
  </si>
  <si>
    <t>CLICTRUCK-045426</t>
  </si>
  <si>
    <t>CLICTRUCK-045427</t>
  </si>
  <si>
    <t>CLICTRUCK-045428</t>
  </si>
  <si>
    <t>CLICTRUCK-045429</t>
  </si>
  <si>
    <t>CLICTRUCK-045430</t>
  </si>
  <si>
    <t>CLICTRUCK-045431</t>
  </si>
  <si>
    <t>CLICTRUCK-045432</t>
  </si>
  <si>
    <t>CLICTRUCK-045433</t>
  </si>
  <si>
    <t>CLICTRUCK-045434</t>
  </si>
  <si>
    <t>CLICTRUCK-045435</t>
  </si>
  <si>
    <t>CLICTRUCK-045436</t>
  </si>
  <si>
    <t>CLICTRUCK-045437</t>
  </si>
  <si>
    <t>CLICTRUCK-045438</t>
  </si>
  <si>
    <t>CLICTRUCK-045439</t>
  </si>
  <si>
    <t>CLICTRUCK-045440</t>
  </si>
  <si>
    <t>CLICTRUCK-045441</t>
  </si>
  <si>
    <t>CLICTRUCK-045442</t>
  </si>
  <si>
    <t>CLICTRUCK-045443</t>
  </si>
  <si>
    <t>CLICTRUCK-045444</t>
  </si>
  <si>
    <t>CLICTRUCK-045445</t>
  </si>
  <si>
    <t>CLICTRUCK-045446</t>
  </si>
  <si>
    <t>CLICTRUCK-045447</t>
  </si>
  <si>
    <t>CLICTRUCK-045448</t>
  </si>
  <si>
    <t>CLICTRUCK-045449</t>
  </si>
  <si>
    <t>CLICTRUCK-045450</t>
  </si>
  <si>
    <t>CLICTRUCK-045451</t>
  </si>
  <si>
    <t>CLICTRUCK-045452</t>
  </si>
  <si>
    <t>CLICTRUCK-045453</t>
  </si>
  <si>
    <t>CLICTRUCK-045454</t>
  </si>
  <si>
    <t>CLICTRUCK-045455</t>
  </si>
  <si>
    <t>CLICTRUCK-045456</t>
  </si>
  <si>
    <t>CLICTRUCK-045457</t>
  </si>
  <si>
    <t>CLICTRUCK-045458</t>
  </si>
  <si>
    <t>CLICTRUCK-045459</t>
  </si>
  <si>
    <t>CLICTRUCK-045463</t>
  </si>
  <si>
    <t>CLICTRUCK-045484</t>
  </si>
  <si>
    <t>CLICTRUCK-045485</t>
  </si>
  <si>
    <t>CLICTRUCK-045486</t>
  </si>
  <si>
    <t>CLICTRUCK-045487</t>
  </si>
  <si>
    <t>CLICTRUCK-045488</t>
  </si>
  <si>
    <t>CLICTRUCK-045489</t>
  </si>
  <si>
    <t>CLICTRUCK-045490</t>
  </si>
  <si>
    <t>CLICTRUCK-045491</t>
  </si>
  <si>
    <t>CLICTRUCK-045492</t>
  </si>
  <si>
    <t>CLICTRUCK-045493</t>
  </si>
  <si>
    <t>CLICTRUCK-045494</t>
  </si>
  <si>
    <t>CLICTRUCK-045495</t>
  </si>
  <si>
    <t>CLICTRUCK-045496</t>
  </si>
  <si>
    <t>CLICTRUCK-045497</t>
  </si>
  <si>
    <t>CLICTRUCK-045498</t>
  </si>
  <si>
    <t>CLICTRUCK-045499</t>
  </si>
  <si>
    <t>CLICTRUCK-045500</t>
  </si>
  <si>
    <t>CLICTRUCK-045501</t>
  </si>
  <si>
    <t>CLICTRUCK-045502</t>
  </si>
  <si>
    <t>CLICTRUCK-045503</t>
  </si>
  <si>
    <t>CLICTRUCK-045504</t>
  </si>
  <si>
    <t>CLICTRUCK-045505</t>
  </si>
  <si>
    <t>CLICTRUCK-045506</t>
  </si>
  <si>
    <t>CLICTRUCK-045507</t>
  </si>
  <si>
    <t>CLICTRUCK-045508</t>
  </si>
  <si>
    <t>CLICTRUCK-045509</t>
  </si>
  <si>
    <t>CLICTRUCK-045510</t>
  </si>
  <si>
    <t>CLICTRUCK-045511</t>
  </si>
  <si>
    <t>PT. Tambun Jaya Abadi</t>
  </si>
  <si>
    <t>LST - TJA</t>
  </si>
  <si>
    <t>CLICTRUCK-045512</t>
  </si>
  <si>
    <t>CLICTRUCK-045513</t>
  </si>
  <si>
    <t>CLICTRUCK-045514</t>
  </si>
  <si>
    <t>CLICTRUCK-045515</t>
  </si>
  <si>
    <t>CLICTRUCK-045516</t>
  </si>
  <si>
    <t>CLICTRUCK-045517</t>
  </si>
  <si>
    <t>CLICTRUCK-045518</t>
  </si>
  <si>
    <t>CLICTRUCK-045519</t>
  </si>
  <si>
    <t>CLICTRUCK-045520</t>
  </si>
  <si>
    <t>CLICTRUCK-045521</t>
  </si>
  <si>
    <t>CLICTRUCK-045522</t>
  </si>
  <si>
    <t>CLICTRUCK-045523</t>
  </si>
  <si>
    <t>CLICTRUCK-045524</t>
  </si>
  <si>
    <t>CLICTRUCK-045525</t>
  </si>
  <si>
    <t>CLICTRUCK-045526</t>
  </si>
  <si>
    <t>CLICTRUCK-045527</t>
  </si>
  <si>
    <t>CLICTRUCK-045528</t>
  </si>
  <si>
    <t>CLICTRUCK-045529</t>
  </si>
  <si>
    <t>CLICTRUCK-045530</t>
  </si>
  <si>
    <t>CLICTRUCK-045531</t>
  </si>
  <si>
    <t>CLICTRUCK-045532</t>
  </si>
  <si>
    <t>CLICTRUCK-045533</t>
  </si>
  <si>
    <t>CLICTRUCK-045534</t>
  </si>
  <si>
    <t>CLICTRUCK-045535</t>
  </si>
  <si>
    <t>CLICTRUCK-045536</t>
  </si>
  <si>
    <t>CLICTRUCK-045537</t>
  </si>
  <si>
    <t>CLICTRUCK-045538</t>
  </si>
  <si>
    <t>CLICTRUCK-045539</t>
  </si>
  <si>
    <t>CLICTRUCK-045540</t>
  </si>
  <si>
    <t>CLICTRUCK-045541</t>
  </si>
  <si>
    <t>CLICTRUCK-045542</t>
  </si>
  <si>
    <t>CLICTRUCK-045543</t>
  </si>
  <si>
    <t>CLICTRUCK-045544</t>
  </si>
  <si>
    <t>CLICTRUCK-045545</t>
  </si>
  <si>
    <t>CLICTRUCK-045546</t>
  </si>
  <si>
    <t>CLICTRUCK-045547</t>
  </si>
  <si>
    <t>CLICTRUCK-045548</t>
  </si>
  <si>
    <t>CLICTRUCK-045549</t>
  </si>
  <si>
    <t>CLICTRUCK-045550</t>
  </si>
  <si>
    <t>CLICTRUCK-045551</t>
  </si>
  <si>
    <t>CLICTRUCK-045552</t>
  </si>
  <si>
    <t>CLICTRUCK-045553</t>
  </si>
  <si>
    <t>CLICTRUCK-045554</t>
  </si>
  <si>
    <t>CLICTRUCK-045555</t>
  </si>
  <si>
    <t>CLICTRUCK-045556</t>
  </si>
  <si>
    <t>CLICTRUCK-045557</t>
  </si>
  <si>
    <t>CLICTRUCK-045558</t>
  </si>
  <si>
    <t>CLICTRUCK-045559</t>
  </si>
  <si>
    <t>CLICTRUCK-045560</t>
  </si>
  <si>
    <t>CLICTRUCK-045561</t>
  </si>
  <si>
    <t>CLICTRUCK-045562</t>
  </si>
  <si>
    <t>CLICTRUCK-045563</t>
  </si>
  <si>
    <t>CLICTRUCK-045564</t>
  </si>
  <si>
    <t>CLICTRUCK-045565</t>
  </si>
  <si>
    <t>CLICTRUCK-045566</t>
  </si>
  <si>
    <t>CLICTRUCK-045567</t>
  </si>
  <si>
    <t>CLICTRUCK-045568</t>
  </si>
  <si>
    <t>CLICTRUCK-045569</t>
  </si>
  <si>
    <t>CLICTRUCK-045570</t>
  </si>
  <si>
    <t>CLICTRUCK-045571</t>
  </si>
  <si>
    <t>CLICTRUCK-045572</t>
  </si>
  <si>
    <t>CLICTRUCK-045573</t>
  </si>
  <si>
    <t>CLICTRUCK-045574</t>
  </si>
  <si>
    <t>CLICTRUCK-045575</t>
  </si>
  <si>
    <t>CLICTRUCK-045576</t>
  </si>
  <si>
    <t>CLICTRUCK-045577</t>
  </si>
  <si>
    <t>CLICTRUCK-045578</t>
  </si>
  <si>
    <t>CLICTRUCK-045580</t>
  </si>
  <si>
    <t>CLICTRUCK-045581</t>
  </si>
  <si>
    <t>CLICTRUCK-045582</t>
  </si>
  <si>
    <t>CLICTRUCK-045583</t>
  </si>
  <si>
    <t>CLICTRUCK-045584</t>
  </si>
  <si>
    <t>CLICTRUCK-045585</t>
  </si>
  <si>
    <t>CLICTRUCK-045586</t>
  </si>
  <si>
    <t>CLICTRUCK-045587</t>
  </si>
  <si>
    <t>CLICTRUCK-045588</t>
  </si>
  <si>
    <t>CLICTRUCK-045589</t>
  </si>
  <si>
    <t>CLICTRUCK-045590</t>
  </si>
  <si>
    <t>CLICTRUCK-045591</t>
  </si>
  <si>
    <t>CLICTRUCK-045592</t>
  </si>
  <si>
    <t>CLICTRUCK-045593</t>
  </si>
  <si>
    <t>CLICTRUCK-045594</t>
  </si>
  <si>
    <t>CLICTRUCK-045595</t>
  </si>
  <si>
    <t>CLICTRUCK-045596</t>
  </si>
  <si>
    <t>CLICTRUCK-045597</t>
  </si>
  <si>
    <t>CLICTRUCK-045598</t>
  </si>
  <si>
    <t>CLICTRUCK-045599</t>
  </si>
  <si>
    <t>CLICTRUCK-045600</t>
  </si>
  <si>
    <t>CLICTRUCK-045601</t>
  </si>
  <si>
    <t>CLICTRUCK-045602</t>
  </si>
  <si>
    <t>CLICTRUCK-045603</t>
  </si>
  <si>
    <t>CLICTRUCK-045604</t>
  </si>
  <si>
    <t>CLICTRUCK-045605</t>
  </si>
  <si>
    <t>CLICTRUCK-045606</t>
  </si>
  <si>
    <t>CLICTRUCK-045607</t>
  </si>
  <si>
    <t>CLICTRUCK-045608</t>
  </si>
  <si>
    <t>CLICTRUCK-045609</t>
  </si>
  <si>
    <t>CLICTRUCK-045610</t>
  </si>
  <si>
    <t>CLICTRUCK-045611</t>
  </si>
  <si>
    <t>CLICTRUCK-045612</t>
  </si>
  <si>
    <t>CLICTRUCK-045613</t>
  </si>
  <si>
    <t>CLICTRUCK-045614</t>
  </si>
  <si>
    <t>CLICTRUCK-045615</t>
  </si>
  <si>
    <t>CLICTRUCK-045616</t>
  </si>
  <si>
    <t>CLICTRUCK-045617</t>
  </si>
  <si>
    <t>CLICTRUCK-045618</t>
  </si>
  <si>
    <t>CLICTRUCK-045619</t>
  </si>
  <si>
    <t>CLICTRUCK-045620</t>
  </si>
  <si>
    <t>CLICTRUCK-045621</t>
  </si>
  <si>
    <t>CLICTRUCK-045622</t>
  </si>
  <si>
    <t>CLICTRUCK-045623</t>
  </si>
  <si>
    <t>CLICTRUCK-045624</t>
  </si>
  <si>
    <t>CLICTRUCK-045625</t>
  </si>
  <si>
    <t>CLICTRUCK-045626</t>
  </si>
  <si>
    <t>CLICTRUCK-045627</t>
  </si>
  <si>
    <t>CLICTRUCK-045628</t>
  </si>
  <si>
    <t>CLICTRUCK-045629</t>
  </si>
  <si>
    <t>CLICTRUCK-045630</t>
  </si>
  <si>
    <t>CLICTRUCK-045631</t>
  </si>
  <si>
    <t>CLICTRUCK-045632</t>
  </si>
  <si>
    <t>CLICTRUCK-045633</t>
  </si>
  <si>
    <t>CLICTRUCK-045634</t>
  </si>
  <si>
    <t>CLICTRUCK-045635</t>
  </si>
  <si>
    <t>CLICTRUCK-045636</t>
  </si>
  <si>
    <t>CLICTRUCK-045637</t>
  </si>
  <si>
    <t>CLICTRUCK-045638</t>
  </si>
  <si>
    <t>CLICTRUCK-045639</t>
  </si>
  <si>
    <t>CLICTRUCK-045640</t>
  </si>
  <si>
    <t>CLICTRUCK-045641</t>
  </si>
  <si>
    <t>CLICTRUCK-045642</t>
  </si>
  <si>
    <t>CLICTRUCK-045643</t>
  </si>
  <si>
    <t>CLICTRUCK-045644</t>
  </si>
  <si>
    <t>CLICTRUCK-045645</t>
  </si>
  <si>
    <t>CLICTRUCK-045646</t>
  </si>
  <si>
    <t>CLICTRUCK-045647</t>
  </si>
  <si>
    <t>CLICTRUCK-045648</t>
  </si>
  <si>
    <t>CLICTRUCK-045649</t>
  </si>
  <si>
    <t>CLICTRUCK-045650</t>
  </si>
  <si>
    <t>CLICTRUCK-045651</t>
  </si>
  <si>
    <t>CLICTRUCK-045652</t>
  </si>
  <si>
    <t>CLICTRUCK-045653</t>
  </si>
  <si>
    <t>CLICTRUCK-045654</t>
  </si>
  <si>
    <t>CLICTRUCK-045655</t>
  </si>
  <si>
    <t>CLICTRUCK-045656</t>
  </si>
  <si>
    <t>CLICTRUCK-045657</t>
  </si>
  <si>
    <t>CLICTRUCK-045658</t>
  </si>
  <si>
    <t>CLICTRUCK-045659</t>
  </si>
  <si>
    <t>CLICTRUCK-045660</t>
  </si>
  <si>
    <t>CLICTRUCK-045661</t>
  </si>
  <si>
    <t>CLICTRUCK-045662</t>
  </si>
  <si>
    <t>CLICTRUCK-045663</t>
  </si>
  <si>
    <t>CLICTRUCK-045664</t>
  </si>
  <si>
    <t>CLICTRUCK-045665</t>
  </si>
  <si>
    <t>CLICTRUCK-045666</t>
  </si>
  <si>
    <t>CLICTRUCK-045667</t>
  </si>
  <si>
    <t>CLICTRUCK-045668</t>
  </si>
  <si>
    <t>CLICTRUCK-045669</t>
  </si>
  <si>
    <t>CLICTRUCK-045670</t>
  </si>
  <si>
    <t>CLICTRUCK-045671</t>
  </si>
  <si>
    <t>CLICTRUCK-045672</t>
  </si>
  <si>
    <t>CLICTRUCK-045673</t>
  </si>
  <si>
    <t>CLICTRUCK-045674</t>
  </si>
  <si>
    <t>CLICTRUCK-045675</t>
  </si>
  <si>
    <t>CLICTRUCK-045676</t>
  </si>
  <si>
    <t>CLICTRUCK-045677</t>
  </si>
  <si>
    <t>CLICTRUCK-045678</t>
  </si>
  <si>
    <t>CLICTRUCK-045679</t>
  </si>
  <si>
    <t>CLICTRUCK-045680</t>
  </si>
  <si>
    <t>CLICTRUCK-045681</t>
  </si>
  <si>
    <t>CLICTRUCK-045682</t>
  </si>
  <si>
    <t>CLICTRUCK-045683</t>
  </si>
  <si>
    <t>CLICTRUCK-045684</t>
  </si>
  <si>
    <t>CLICTRUCK-045685</t>
  </si>
  <si>
    <t>CLICTRUCK-045686</t>
  </si>
  <si>
    <t>CLICTRUCK-045687</t>
  </si>
  <si>
    <t>CLICTRUCK-045688</t>
  </si>
  <si>
    <t>CLICTRUCK-045689</t>
  </si>
  <si>
    <t>CLICTRUCK-045690</t>
  </si>
  <si>
    <t>CLICTRUCK-045691</t>
  </si>
  <si>
    <t>CLICTRUCK-045692</t>
  </si>
  <si>
    <t>CLICTRUCK-045693</t>
  </si>
  <si>
    <t>CLICTRUCK-045694</t>
  </si>
  <si>
    <t>CLICTRUCK-045695</t>
  </si>
  <si>
    <t>CLICTRUCK-045696</t>
  </si>
  <si>
    <t>CLICTRUCK-045697</t>
  </si>
  <si>
    <t>CLICTRUCK-045698</t>
  </si>
  <si>
    <t>CLICTRUCK-045699</t>
  </si>
  <si>
    <t>CLICTRUCK-045700</t>
  </si>
  <si>
    <t>CLICTRUCK-045701</t>
  </si>
  <si>
    <t>CLICTRUCK-045702</t>
  </si>
  <si>
    <t>CLICTRUCK-045703</t>
  </si>
  <si>
    <t>CLICTRUCK-045704</t>
  </si>
  <si>
    <t>CLICTRUCK-045705</t>
  </si>
  <si>
    <t>CLICTRUCK-045706</t>
  </si>
  <si>
    <t>CLICTRUCK-045707</t>
  </si>
  <si>
    <t>CLICTRUCK-045708</t>
  </si>
  <si>
    <t>CLICTRUCK-045709</t>
  </si>
  <si>
    <t>CLICTRUCK-045710</t>
  </si>
  <si>
    <t>CLICTRUCK-045711</t>
  </si>
  <si>
    <t>CLICTRUCK-045712</t>
  </si>
  <si>
    <t>CLICTRUCK-045713</t>
  </si>
  <si>
    <t>CLICTRUCK-045714</t>
  </si>
  <si>
    <t>CLICTRUCK-045715</t>
  </si>
  <si>
    <t>CLICTRUCK-045716</t>
  </si>
  <si>
    <t>CLICTRUCK-045717</t>
  </si>
  <si>
    <t>CLICTRUCK-045718</t>
  </si>
  <si>
    <t>CLICTRUCK-045719</t>
  </si>
  <si>
    <t>CLICTRUCK-045720</t>
  </si>
  <si>
    <t>CLICTRUCK-045721</t>
  </si>
  <si>
    <t>CLICTRUCK-045722</t>
  </si>
  <si>
    <t>CLICTRUCK-045723</t>
  </si>
  <si>
    <t>CLICTRUCK-045724</t>
  </si>
  <si>
    <t>CLICTRUCK-045725</t>
  </si>
  <si>
    <t>CLICTRUCK-045726</t>
  </si>
  <si>
    <t>CLICTRUCK-045727</t>
  </si>
  <si>
    <t>CLICTRUCK-045728</t>
  </si>
  <si>
    <t>CLICTRUCK-045729</t>
  </si>
  <si>
    <t>CLICTRUCK-045730</t>
  </si>
  <si>
    <t>CLICTRUCK-045731</t>
  </si>
  <si>
    <t>CLICTRUCK-045732</t>
  </si>
  <si>
    <t>CLICTRUCK-045733</t>
  </si>
  <si>
    <t>CLICTRUCK-045734</t>
  </si>
  <si>
    <t>CLICTRUCK-045735</t>
  </si>
  <si>
    <t>CLICTRUCK-045736</t>
  </si>
  <si>
    <t>CLICTRUCK-045737</t>
  </si>
  <si>
    <t>CLICTRUCK-045738</t>
  </si>
  <si>
    <t>CLICTRUCK-045739</t>
  </si>
  <si>
    <t>CLICTRUCK-045741</t>
  </si>
  <si>
    <t>CLICTRUCK-045742</t>
  </si>
  <si>
    <t>CLICTRUCK-045743</t>
  </si>
  <si>
    <t>CLICTRUCK-045744</t>
  </si>
  <si>
    <t>CLICTRUCK-045745</t>
  </si>
  <si>
    <t>CLICTRUCK-045746</t>
  </si>
  <si>
    <t>CLICTRUCK-045747</t>
  </si>
  <si>
    <t>CLICTRUCK-045748</t>
  </si>
  <si>
    <t>CLICTRUCK-045749</t>
  </si>
  <si>
    <t>CLICTRUCK-045750</t>
  </si>
  <si>
    <t>CLICTRUCK-045751</t>
  </si>
  <si>
    <t>CLICTRUCK-045752</t>
  </si>
  <si>
    <t>CLICTRUCK-045753</t>
  </si>
  <si>
    <t>CLICTRUCK-045754</t>
  </si>
  <si>
    <t>CLICTRUCK-045755</t>
  </si>
  <si>
    <t>CLICTRUCK-045756</t>
  </si>
  <si>
    <t>CLICTRUCK-045757</t>
  </si>
  <si>
    <t>CLICTRUCK-045758</t>
  </si>
  <si>
    <t>CLICTRUCK-045764</t>
  </si>
  <si>
    <t>CLICTRUCK-045765</t>
  </si>
  <si>
    <t>CLICTRUCK-045766</t>
  </si>
  <si>
    <t>CLICTRUCK-045767</t>
  </si>
  <si>
    <t>CLICTRUCK-045768</t>
  </si>
  <si>
    <t>CLICTRUCK-045769</t>
  </si>
  <si>
    <t>CLICTRUCK-045770</t>
  </si>
  <si>
    <t>CLICTRUCK-045771</t>
  </si>
  <si>
    <t>CLICTRUCK-045772</t>
  </si>
  <si>
    <t>CLICTRUCK-045773</t>
  </si>
  <si>
    <t>CLICTRUCK-045774</t>
  </si>
  <si>
    <t>CLICTRUCK-045775</t>
  </si>
  <si>
    <t>CLICTRUCK-045776</t>
  </si>
  <si>
    <t>CLICTRUCK-045777</t>
  </si>
  <si>
    <t>CLICTRUCK-045778</t>
  </si>
  <si>
    <t>CLICTRUCK-045779</t>
  </si>
  <si>
    <t>CLICTRUCK-045780</t>
  </si>
  <si>
    <t>CLICTRUCK-045781</t>
  </si>
  <si>
    <t>CLICTRUCK-045782</t>
  </si>
  <si>
    <t>CLICTRUCK-045783</t>
  </si>
  <si>
    <t>CLICTRUCK-045784</t>
  </si>
  <si>
    <t>CLICTRUCK-045785</t>
  </si>
  <si>
    <t>CLICTRUCK-045786</t>
  </si>
  <si>
    <t>CLICTRUCK-045787</t>
  </si>
  <si>
    <t>CLICTRUCK-045788</t>
  </si>
  <si>
    <t>CLICTRUCK-045789</t>
  </si>
  <si>
    <t>CLICTRUCK-045790</t>
  </si>
  <si>
    <t>CLICTRUCK-045796</t>
  </si>
  <si>
    <t>CLICTRUCK-045797</t>
  </si>
  <si>
    <t>CLICTRUCK-045798</t>
  </si>
  <si>
    <t>CLICTRUCK-045799</t>
  </si>
  <si>
    <t>CLICTRUCK-045800</t>
  </si>
  <si>
    <t>CLICTRUCK-045801</t>
  </si>
  <si>
    <t>CLICTRUCK-045802</t>
  </si>
  <si>
    <t>CLICTRUCK-045803</t>
  </si>
  <si>
    <t>CLICTRUCK-045804</t>
  </si>
  <si>
    <t>CLICTRUCK-045805</t>
  </si>
  <si>
    <t>CLICTRUCK-045806</t>
  </si>
  <si>
    <t>CLICTRUCK-045807</t>
  </si>
  <si>
    <t>CLICTRUCK-045808</t>
  </si>
  <si>
    <t>CLICTRUCK-045809</t>
  </si>
  <si>
    <t>CLICTRUCK-045810</t>
  </si>
  <si>
    <t>CLICTRUCK-045811</t>
  </si>
  <si>
    <t>CLICTRUCK-045812</t>
  </si>
  <si>
    <t>CLICTRUCK-045813</t>
  </si>
  <si>
    <t>CLICTRUCK-045814</t>
  </si>
  <si>
    <t>CLICTRUCK-045815</t>
  </si>
  <si>
    <t>CLICTRUCK-045816</t>
  </si>
  <si>
    <t>CLICTRUCK-045817</t>
  </si>
  <si>
    <t>CLICTRUCK-045818</t>
  </si>
  <si>
    <t>CLICTRUCK-045819</t>
  </si>
  <si>
    <t>CLICTRUCK-045820</t>
  </si>
  <si>
    <t>CLICTRUCK-045821</t>
  </si>
  <si>
    <t>CLICTRUCK-045822</t>
  </si>
  <si>
    <t>CLICTRUCK-045823</t>
  </si>
  <si>
    <t>CLICTRUCK-045824</t>
  </si>
  <si>
    <t>CLICTRUCK-045826</t>
  </si>
  <si>
    <t>CLICTRUCK-045827</t>
  </si>
  <si>
    <t>CLICTRUCK-045828</t>
  </si>
  <si>
    <t>CLICTRUCK-045831</t>
  </si>
  <si>
    <t>CLICTRUCK-045832</t>
  </si>
  <si>
    <t>CLICTRUCK-045834</t>
  </si>
  <si>
    <t>CLICTRUCK-045835</t>
  </si>
  <si>
    <t>CLICTRUCK-045836</t>
  </si>
  <si>
    <t>CLICTRUCK-045837</t>
  </si>
  <si>
    <t>CLICTRUCK-045838</t>
  </si>
  <si>
    <t>CLICTRUCK-045839</t>
  </si>
  <si>
    <t>CLICTRUCK-045840</t>
  </si>
  <si>
    <t>CLICTRUCK-045841</t>
  </si>
  <si>
    <t>CLICTRUCK-045842</t>
  </si>
  <si>
    <t>CLICTRUCK-045843</t>
  </si>
  <si>
    <t>CLICTRUCK-045844</t>
  </si>
  <si>
    <t>CLICTRUCK-045845</t>
  </si>
  <si>
    <t>CLICTRUCK-045846</t>
  </si>
  <si>
    <t>CLICTRUCK-045849</t>
  </si>
  <si>
    <t>CLICTRUCK-045853</t>
  </si>
  <si>
    <t>CLICTRUCK-045859</t>
  </si>
  <si>
    <t>CLICTRUCK-045860</t>
  </si>
  <si>
    <t>CLICTRUCK-045861</t>
  </si>
  <si>
    <t>CLICTRUCK-045862</t>
  </si>
  <si>
    <t>CLICTRUCK-045863</t>
  </si>
  <si>
    <t>CLICTRUCK-045864</t>
  </si>
  <si>
    <t>CLICTRUCK-045865</t>
  </si>
  <si>
    <t>CLICTRUCK-045866</t>
  </si>
  <si>
    <t>CLICTRUCK-045867</t>
  </si>
  <si>
    <t>CLICTRUCK-045870</t>
  </si>
  <si>
    <t>CLICTRUCK-045871</t>
  </si>
  <si>
    <t>CLICTRUCK-045872</t>
  </si>
  <si>
    <t>CLICTRUCK-045907</t>
  </si>
  <si>
    <t>CLICTRUCK-045908</t>
  </si>
  <si>
    <t>CLICTRUCK-045909</t>
  </si>
  <si>
    <t>CLICTRUCK-045910</t>
  </si>
  <si>
    <t>CLICTRUCK-045911</t>
  </si>
  <si>
    <t>CLICTRUCK-045931</t>
  </si>
  <si>
    <t>CLICTRUCK-045932</t>
  </si>
  <si>
    <t>CLICTRUCK-045933</t>
  </si>
  <si>
    <t>CLICTRUCK-045934</t>
  </si>
  <si>
    <t>CLICTRUCK-045935</t>
  </si>
  <si>
    <t>CLICTRUCK-045936</t>
  </si>
  <si>
    <t>CLICTRUCK-045937</t>
  </si>
  <si>
    <t>CLICTRUCK-045938</t>
  </si>
  <si>
    <t>CLICTRUCK-045940</t>
  </si>
  <si>
    <t>CLICTRUCK-045941</t>
  </si>
  <si>
    <t>CLICTRUCK-045942</t>
  </si>
  <si>
    <t>CLICTRUCK-045943</t>
  </si>
  <si>
    <t>CLICTRUCK-045944</t>
  </si>
  <si>
    <t>CLICTRUCK-045945</t>
  </si>
  <si>
    <t>CLICTRUCK-045946</t>
  </si>
  <si>
    <t>CLICTRUCK-045950</t>
  </si>
  <si>
    <t>CLICTRUCK-045952</t>
  </si>
  <si>
    <t>CLICTRUCK-045953</t>
  </si>
  <si>
    <t>CLICTRUCK-045954</t>
  </si>
  <si>
    <t>CLICTRUCK-045955</t>
  </si>
  <si>
    <t>CLICTRUCK-045956</t>
  </si>
  <si>
    <t>CLICTRUCK-045958</t>
  </si>
  <si>
    <t>CLICTRUCK-045962</t>
  </si>
  <si>
    <t>CLICTRUCK-045977</t>
  </si>
  <si>
    <t>CLICTRUCK-045979</t>
  </si>
  <si>
    <t>CLICTRUCK-045986</t>
  </si>
  <si>
    <t>CLICTRUCK-045993</t>
  </si>
  <si>
    <t>CLICTRUCK-045994</t>
  </si>
  <si>
    <t>CLICTRUCK-045995</t>
  </si>
  <si>
    <t>CLICTRUCK-045996</t>
  </si>
  <si>
    <t>CLICTRUCK-045997</t>
  </si>
  <si>
    <t>CLICTRUCK-045998</t>
  </si>
  <si>
    <t>CLICTRUCK-045999</t>
  </si>
  <si>
    <t>CLICTRUCK-046000</t>
  </si>
  <si>
    <t>CLICTRUCK-046001</t>
  </si>
  <si>
    <t>CLICTRUCK-046002</t>
  </si>
  <si>
    <t>CLICTRUCK-046003</t>
  </si>
  <si>
    <t>CLICTRUCK-046004</t>
  </si>
  <si>
    <t>CLICTRUCK-046005</t>
  </si>
  <si>
    <t>CLICTRUCK-046006</t>
  </si>
  <si>
    <t>CLICTRUCK-046007</t>
  </si>
  <si>
    <t>CLICTRUCK-046008</t>
  </si>
  <si>
    <t>CLICTRUCK-046009</t>
  </si>
  <si>
    <t>CLICTRUCK-046010</t>
  </si>
  <si>
    <t>CLICTRUCK-046011</t>
  </si>
  <si>
    <t>CLICTRUCK-046012</t>
  </si>
  <si>
    <t>CLICTRUCK-046013</t>
  </si>
  <si>
    <t>CLICTRUCK-046014</t>
  </si>
  <si>
    <t>CLICTRUCK-046020</t>
  </si>
  <si>
    <t>CLICTRUCK-046021</t>
  </si>
  <si>
    <t>CLICTRUCK-046022</t>
  </si>
  <si>
    <t>CLICTRUCK-046023</t>
  </si>
  <si>
    <t>CLICTRUCK-046024</t>
  </si>
  <si>
    <t>CLICTRUCK-046025</t>
  </si>
  <si>
    <t>CLICTRUCK-046026</t>
  </si>
  <si>
    <t>CLICTRUCK-046027</t>
  </si>
  <si>
    <t>CLICTRUCK-046028</t>
  </si>
  <si>
    <t>CLICTRUCK-046029</t>
  </si>
  <si>
    <t>CLICTRUCK-046030</t>
  </si>
  <si>
    <t>CLICTRUCK-046054</t>
  </si>
  <si>
    <t>CLICTRUCK-046055</t>
  </si>
  <si>
    <t>CLICTRUCK-046058</t>
  </si>
  <si>
    <t>CLICTRUCK-046059</t>
  </si>
  <si>
    <t>CLICTRUCK-046061</t>
  </si>
  <si>
    <t>CLICTRUCK-046063</t>
  </si>
  <si>
    <t>CLICTRUCK-046064</t>
  </si>
  <si>
    <t>CLICTRUCK-046067</t>
  </si>
  <si>
    <t>CLICTRUCK-046068</t>
  </si>
  <si>
    <t>PT. Sawargi Esa Perkasa</t>
  </si>
  <si>
    <t>SAJB - SEP</t>
  </si>
  <si>
    <t>CLICTRUCK-046069</t>
  </si>
  <si>
    <t>CLICTRUCK-046071</t>
  </si>
  <si>
    <t>CLICTRUCK-046072</t>
  </si>
  <si>
    <t>CLICTRUCK-046075</t>
  </si>
  <si>
    <t>CLICTRUCK-046076</t>
  </si>
  <si>
    <t>CLICTRUCK-046077</t>
  </si>
  <si>
    <t>CLICTRUCK-046078</t>
  </si>
  <si>
    <t>CLICTRUCK-046084</t>
  </si>
  <si>
    <t>CLICTRUCK-046089</t>
  </si>
  <si>
    <t>CLICTRUCK-046090</t>
  </si>
  <si>
    <t>CLICTRUCK-046091</t>
  </si>
  <si>
    <t>CLICTRUCK-046096</t>
  </si>
  <si>
    <t>CLICTRUCK-046101</t>
  </si>
  <si>
    <t>CLICTRUCK-046102</t>
  </si>
  <si>
    <t>CLICTRUCK-046103</t>
  </si>
  <si>
    <t>CLICTRUCK-046105</t>
  </si>
  <si>
    <t>CLICTRUCK-046106</t>
  </si>
  <si>
    <t>CLICTRUCK-046113</t>
  </si>
  <si>
    <t>CLICTRUCK-046118</t>
  </si>
  <si>
    <t>CLICTRUCK-046137</t>
  </si>
  <si>
    <t>CLICTRUCK-046138</t>
  </si>
  <si>
    <t>CLICTRUCK-046139</t>
  </si>
  <si>
    <t>CLICTRUCK-046141</t>
  </si>
  <si>
    <t>PT. Nadja Trans Logistik [Cargo owner]</t>
  </si>
  <si>
    <t>PT. Awani Sejahtera Anugerah</t>
  </si>
  <si>
    <t>NTL - ASA</t>
  </si>
  <si>
    <t>CLICTRUCK-046142</t>
  </si>
  <si>
    <t>CLICTRUCK-046143</t>
  </si>
  <si>
    <t>CLICTRUCK-046144</t>
  </si>
  <si>
    <t>CLICTRUCK-046145</t>
  </si>
  <si>
    <t>CLICTRUCK-046146</t>
  </si>
  <si>
    <t>CLICTRUCK-046147</t>
  </si>
  <si>
    <t>CLICTRUCK-046148</t>
  </si>
  <si>
    <t>CLICTRUCK-046149</t>
  </si>
  <si>
    <t>CLICTRUCK-046150</t>
  </si>
  <si>
    <t>CLICTRUCK-046151</t>
  </si>
  <si>
    <t>CLICTRUCK-046152</t>
  </si>
  <si>
    <t>CLICTRUCK-046153</t>
  </si>
  <si>
    <t>CLICTRUCK-046154</t>
  </si>
  <si>
    <t>CLICTRUCK-046155</t>
  </si>
  <si>
    <t>CLICTRUCK-046156</t>
  </si>
  <si>
    <t>CLICTRUCK-046157</t>
  </si>
  <si>
    <t>CLICTRUCK-046158</t>
  </si>
  <si>
    <t>CLICTRUCK-046159</t>
  </si>
  <si>
    <t>CLICTRUCK-046160</t>
  </si>
  <si>
    <t>CLICTRUCK-046161</t>
  </si>
  <si>
    <t>CLICTRUCK-046162</t>
  </si>
  <si>
    <t>CLICTRUCK-046163</t>
  </si>
  <si>
    <t>CLICTRUCK-046164</t>
  </si>
  <si>
    <t>CLICTRUCK-046165</t>
  </si>
  <si>
    <t>CLICTRUCK-046166</t>
  </si>
  <si>
    <t>CLICTRUCK-046167</t>
  </si>
  <si>
    <t>CLICTRUCK-046168</t>
  </si>
  <si>
    <t>CLICTRUCK-046169</t>
  </si>
  <si>
    <t>CLICTRUCK-046170</t>
  </si>
  <si>
    <t>CLICTRUCK-046171</t>
  </si>
  <si>
    <t>CLICTRUCK-046172</t>
  </si>
  <si>
    <t>CLICTRUCK-046173</t>
  </si>
  <si>
    <t>CLICTRUCK-046174</t>
  </si>
  <si>
    <t>CLICTRUCK-046175</t>
  </si>
  <si>
    <t>CLICTRUCK-046176</t>
  </si>
  <si>
    <t>CLICTRUCK-046177</t>
  </si>
  <si>
    <t>CLICTRUCK-046178</t>
  </si>
  <si>
    <t>CLICTRUCK-046179</t>
  </si>
  <si>
    <t>CLICTRUCK-046180</t>
  </si>
  <si>
    <t>CLICTRUCK-046181</t>
  </si>
  <si>
    <t>CLICTRUCK-046182</t>
  </si>
  <si>
    <t>CLICTRUCK-046183</t>
  </si>
  <si>
    <t>CLICTRUCK-046184</t>
  </si>
  <si>
    <t>CLICTRUCK-046185</t>
  </si>
  <si>
    <t>CLICTRUCK-046186</t>
  </si>
  <si>
    <t>CLICTRUCK-046187</t>
  </si>
  <si>
    <t>CLICTRUCK-046188</t>
  </si>
  <si>
    <t>CLICTRUCK-046189</t>
  </si>
  <si>
    <t>CLICTRUCK-046190</t>
  </si>
  <si>
    <t>CLICTRUCK-046191</t>
  </si>
  <si>
    <t>CLICTRUCK-046192</t>
  </si>
  <si>
    <t>CLICTRUCK-046193</t>
  </si>
  <si>
    <t>CLICTRUCK-046194</t>
  </si>
  <si>
    <t>CLICTRUCK-046195</t>
  </si>
  <si>
    <t>CLICTRUCK-046196</t>
  </si>
  <si>
    <t>CLICTRUCK-046197</t>
  </si>
  <si>
    <t>CLICTRUCK-046198</t>
  </si>
  <si>
    <t>CLICTRUCK-046200</t>
  </si>
  <si>
    <t>CLICTRUCK-046201</t>
  </si>
  <si>
    <t>CLICTRUCK-046202</t>
  </si>
  <si>
    <t>CLICTRUCK-046203</t>
  </si>
  <si>
    <t>CLICTRUCK-046204</t>
  </si>
  <si>
    <t>CLICTRUCK-046205</t>
  </si>
  <si>
    <t>CLICTRUCK-046206</t>
  </si>
  <si>
    <t>CLICTRUCK-046207</t>
  </si>
  <si>
    <t>CLICTRUCK-046208</t>
  </si>
  <si>
    <t>CLICTRUCK-046209</t>
  </si>
  <si>
    <t>CLICTRUCK-046210</t>
  </si>
  <si>
    <t>CLICTRUCK-046221</t>
  </si>
  <si>
    <t>CLICTRUCK-046225</t>
  </si>
  <si>
    <t>CLICTRUCK-046227</t>
  </si>
  <si>
    <t>CLICTRUCK-046229</t>
  </si>
  <si>
    <t>CLICTRUCK-046231</t>
  </si>
  <si>
    <t>CLICTRUCK-046232</t>
  </si>
  <si>
    <t>CLICTRUCK-046240</t>
  </si>
  <si>
    <t>CLICTRUCK-046241</t>
  </si>
  <si>
    <t>CLICTRUCK-046245</t>
  </si>
  <si>
    <t>CLICTRUCK-046247</t>
  </si>
  <si>
    <t>CLICTRUCK-046248</t>
  </si>
  <si>
    <t>CLICTRUCK-046249</t>
  </si>
  <si>
    <t>CLICTRUCK-046250</t>
  </si>
  <si>
    <t>CLICTRUCK-046252</t>
  </si>
  <si>
    <t>CLICTRUCK-046255</t>
  </si>
  <si>
    <t>CLICTRUCK-046257</t>
  </si>
  <si>
    <t>CLICTRUCK-046258</t>
  </si>
  <si>
    <t>CLICTRUCK-046259</t>
  </si>
  <si>
    <t>CLICTRUCK-046260</t>
  </si>
  <si>
    <t>CLICTRUCK-046262</t>
  </si>
  <si>
    <t>CLICTRUCK-046265</t>
  </si>
  <si>
    <t>CLICTRUCK-046266</t>
  </si>
  <si>
    <t>CLICTRUCK-046267</t>
  </si>
  <si>
    <t>CLICTRUCK-046268</t>
  </si>
  <si>
    <t>CLICTRUCK-046269</t>
  </si>
  <si>
    <t>CLICTRUCK-046270</t>
  </si>
  <si>
    <t>CLICTRUCK-046271</t>
  </si>
  <si>
    <t>CLICTRUCK-046273</t>
  </si>
  <si>
    <t>CLICTRUCK-046274</t>
  </si>
  <si>
    <t>CLICTRUCK-046275</t>
  </si>
  <si>
    <t>CLICTRUCK-046276</t>
  </si>
  <si>
    <t>CLICTRUCK-046277</t>
  </si>
  <si>
    <t>CLICTRUCK-046278</t>
  </si>
  <si>
    <t>CLICTRUCK-046279</t>
  </si>
  <si>
    <t>CLICTRUCK-046280</t>
  </si>
  <si>
    <t>CLICTRUCK-046281</t>
  </si>
  <si>
    <t>CLICTRUCK-046282</t>
  </si>
  <si>
    <t>CLICTRUCK-046286</t>
  </si>
  <si>
    <t>CLICTRUCK-046287</t>
  </si>
  <si>
    <t>CLICTRUCK-046288</t>
  </si>
  <si>
    <t>CLICTRUCK-046289</t>
  </si>
  <si>
    <t>CLICTRUCK-046290</t>
  </si>
  <si>
    <t>CLICTRUCK-046291</t>
  </si>
  <si>
    <t>CLICTRUCK-046292</t>
  </si>
  <si>
    <t>CLICTRUCK-046293</t>
  </si>
  <si>
    <t>CLICTRUCK-046294</t>
  </si>
  <si>
    <t>CLICTRUCK-046295</t>
  </si>
  <si>
    <t>CLICTRUCK-046296</t>
  </si>
  <si>
    <t>CLICTRUCK-046297</t>
  </si>
  <si>
    <t>CLICTRUCK-046303</t>
  </si>
  <si>
    <t>PT. Tugu Wisata Transloka</t>
  </si>
  <si>
    <t>RWJ - TWT</t>
  </si>
  <si>
    <t>CLICTRUCK-046304</t>
  </si>
  <si>
    <t>CLICTRUCK-046305</t>
  </si>
  <si>
    <t>CLICTRUCK-046309</t>
  </si>
  <si>
    <t>CLICTRUCK-046310</t>
  </si>
  <si>
    <t>CLICTRUCK-046311</t>
  </si>
  <si>
    <t>CLICTRUCK-046314</t>
  </si>
  <si>
    <t>CLICTRUCK-046316</t>
  </si>
  <si>
    <t>CLICTRUCK-046323</t>
  </si>
  <si>
    <t>CLICTRUCK-046334</t>
  </si>
  <si>
    <t>CLICTRUCK-046337</t>
  </si>
  <si>
    <t>CLICTRUCK-046338</t>
  </si>
  <si>
    <t>CLICTRUCK-046339</t>
  </si>
  <si>
    <t>CLICTRUCK-046340</t>
  </si>
  <si>
    <t>CLICTRUCK-046341</t>
  </si>
  <si>
    <t>CLICTRUCK-046342</t>
  </si>
  <si>
    <t>CLICTRUCK-046343</t>
  </si>
  <si>
    <t>CLICTRUCK-046344</t>
  </si>
  <si>
    <t>CLICTRUCK-046345</t>
  </si>
  <si>
    <t>CLICTRUCK-046346</t>
  </si>
  <si>
    <t>CLICTRUCK-046347</t>
  </si>
  <si>
    <t>CLICTRUCK-046348</t>
  </si>
  <si>
    <t>CLICTRUCK-046349</t>
  </si>
  <si>
    <t>CLICTRUCK-046350</t>
  </si>
  <si>
    <t>CLICTRUCK-046351</t>
  </si>
  <si>
    <t>CLICTRUCK-046352</t>
  </si>
  <si>
    <t>CLICTRUCK-046353</t>
  </si>
  <si>
    <t>CLICTRUCK-046354</t>
  </si>
  <si>
    <t>CLICTRUCK-046355</t>
  </si>
  <si>
    <t>CLICTRUCK-046356</t>
  </si>
  <si>
    <t>CLICTRUCK-046357</t>
  </si>
  <si>
    <t>CLICTRUCK-046358</t>
  </si>
  <si>
    <t>CLICTRUCK-046359</t>
  </si>
  <si>
    <t>CLICTRUCK-046360</t>
  </si>
  <si>
    <t>CLICTRUCK-046361</t>
  </si>
  <si>
    <t>CLICTRUCK-046362</t>
  </si>
  <si>
    <t>CLICTRUCK-046363</t>
  </si>
  <si>
    <t>CLICTRUCK-046364</t>
  </si>
  <si>
    <t>CLICTRUCK-046365</t>
  </si>
  <si>
    <t>CLICTRUCK-046366</t>
  </si>
  <si>
    <t>CLICTRUCK-046367</t>
  </si>
  <si>
    <t>CLICTRUCK-046368</t>
  </si>
  <si>
    <t>CLICTRUCK-046369</t>
  </si>
  <si>
    <t>CLICTRUCK-046370</t>
  </si>
  <si>
    <t>CLICTRUCK-046371</t>
  </si>
  <si>
    <t>CLICTRUCK-046372</t>
  </si>
  <si>
    <t>CLICTRUCK-046373</t>
  </si>
  <si>
    <t>CLICTRUCK-046374</t>
  </si>
  <si>
    <t>CLICTRUCK-046375</t>
  </si>
  <si>
    <t>CLICTRUCK-046376</t>
  </si>
  <si>
    <t>CLICTRUCK-046377</t>
  </si>
  <si>
    <t>CLICTRUCK-046378</t>
  </si>
  <si>
    <t>CLICTRUCK-046379</t>
  </si>
  <si>
    <t>CLICTRUCK-046380</t>
  </si>
  <si>
    <t>CLICTRUCK-046381</t>
  </si>
  <si>
    <t>CLICTRUCK-046382</t>
  </si>
  <si>
    <t>CLICTRUCK-046383</t>
  </si>
  <si>
    <t>CLICTRUCK-046384</t>
  </si>
  <si>
    <t>CLICTRUCK-046385</t>
  </si>
  <si>
    <t>CLICTRUCK-046386</t>
  </si>
  <si>
    <t>CLICTRUCK-046387</t>
  </si>
  <si>
    <t>CLICTRUCK-046388</t>
  </si>
  <si>
    <t>CLICTRUCK-046389</t>
  </si>
  <si>
    <t>CLICTRUCK-046390</t>
  </si>
  <si>
    <t>CLICTRUCK-046391</t>
  </si>
  <si>
    <t>CLICTRUCK-046392</t>
  </si>
  <si>
    <t>CLICTRUCK-046394</t>
  </si>
  <si>
    <t>CLICTRUCK-046395</t>
  </si>
  <si>
    <t>CLICTRUCK-046396</t>
  </si>
  <si>
    <t>CLICTRUCK-046397</t>
  </si>
  <si>
    <t>CLICTRUCK-046398</t>
  </si>
  <si>
    <t>CLICTRUCK-046399</t>
  </si>
  <si>
    <t>CLICTRUCK-046400</t>
  </si>
  <si>
    <t>CLICTRUCK-046416</t>
  </si>
  <si>
    <t>CLICTRUCK-046417</t>
  </si>
  <si>
    <t>CLICTRUCK-046418</t>
  </si>
  <si>
    <t>CLICTRUCK-046419</t>
  </si>
  <si>
    <t>CLICTRUCK-046420</t>
  </si>
  <si>
    <t>CLICTRUCK-046421</t>
  </si>
  <si>
    <t>CLICTRUCK-046422</t>
  </si>
  <si>
    <t>CLICTRUCK-046423</t>
  </si>
  <si>
    <t>CLICTRUCK-046424</t>
  </si>
  <si>
    <t>CLICTRUCK-046426</t>
  </si>
  <si>
    <t>CLICTRUCK-046427</t>
  </si>
  <si>
    <t>CLICTRUCK-046428</t>
  </si>
  <si>
    <t>CLICTRUCK-046429</t>
  </si>
  <si>
    <t>CLICTRUCK-046430</t>
  </si>
  <si>
    <t>CLICTRUCK-046431</t>
  </si>
  <si>
    <t>CLICTRUCK-046432</t>
  </si>
  <si>
    <t>CLICTRUCK-046433</t>
  </si>
  <si>
    <t>CLICTRUCK-046434</t>
  </si>
  <si>
    <t>CLICTRUCK-046435</t>
  </si>
  <si>
    <t>CLICTRUCK-046436</t>
  </si>
  <si>
    <t>CLICTRUCK-046437</t>
  </si>
  <si>
    <t>CLICTRUCK-046438</t>
  </si>
  <si>
    <t>CLICTRUCK-046439</t>
  </si>
  <si>
    <t>CLICTRUCK-046440</t>
  </si>
  <si>
    <t>CLICTRUCK-046441</t>
  </si>
  <si>
    <t>CLICTRUCK-046442</t>
  </si>
  <si>
    <t>CLICTRUCK-046443</t>
  </si>
  <si>
    <t>CLICTRUCK-046445</t>
  </si>
  <si>
    <t>CLICTRUCK-046446</t>
  </si>
  <si>
    <t>CLICTRUCK-046448</t>
  </si>
  <si>
    <t>CLICTRUCK-046449</t>
  </si>
  <si>
    <t>CLICTRUCK-046450</t>
  </si>
  <si>
    <t>CLICTRUCK-046451</t>
  </si>
  <si>
    <t>CLICTRUCK-046452</t>
  </si>
  <si>
    <t>CLICTRUCK-046453</t>
  </si>
  <si>
    <t>CLICTRUCK-046454</t>
  </si>
  <si>
    <t>CLICTRUCK-046455</t>
  </si>
  <si>
    <t>CLICTRUCK-046456</t>
  </si>
  <si>
    <t>CLICTRUCK-046457</t>
  </si>
  <si>
    <t>CLICTRUCK-046458</t>
  </si>
  <si>
    <t>CLICTRUCK-046459</t>
  </si>
  <si>
    <t>CLICTRUCK-046460</t>
  </si>
  <si>
    <t>CLICTRUCK-046461</t>
  </si>
  <si>
    <t>CLICTRUCK-046462</t>
  </si>
  <si>
    <t>CLICTRUCK-046463</t>
  </si>
  <si>
    <t>CLICTRUCK-046464</t>
  </si>
  <si>
    <t>CLICTRUCK-046467</t>
  </si>
  <si>
    <t>CLICTRUCK-046468</t>
  </si>
  <si>
    <t>CLICTRUCK-046469</t>
  </si>
  <si>
    <t>CLICTRUCK-046470</t>
  </si>
  <si>
    <t>CLICTRUCK-046471</t>
  </si>
  <si>
    <t>CLICTRUCK-046472</t>
  </si>
  <si>
    <t>CLICTRUCK-046473</t>
  </si>
  <si>
    <t>CLICTRUCK-046474</t>
  </si>
  <si>
    <t>CLICTRUCK-046475</t>
  </si>
  <si>
    <t>CLICTRUCK-046476</t>
  </si>
  <si>
    <t>CLICTRUCK-046477</t>
  </si>
  <si>
    <t>CLICTRUCK-046478</t>
  </si>
  <si>
    <t>CLICTRUCK-046479</t>
  </si>
  <si>
    <t>CLICTRUCK-046480</t>
  </si>
  <si>
    <t>CLICTRUCK-046481</t>
  </si>
  <si>
    <t>CLICTRUCK-046482</t>
  </si>
  <si>
    <t>CLICTRUCK-046483</t>
  </si>
  <si>
    <t>CLICTRUCK-046484</t>
  </si>
  <si>
    <t>CLICTRUCK-046485</t>
  </si>
  <si>
    <t>CLICTRUCK-046486</t>
  </si>
  <si>
    <t>CLICTRUCK-046487</t>
  </si>
  <si>
    <t>CLICTRUCK-046488</t>
  </si>
  <si>
    <t>CLICTRUCK-046489</t>
  </si>
  <si>
    <t>CLICTRUCK-046490</t>
  </si>
  <si>
    <t>CLICTRUCK-046491</t>
  </si>
  <si>
    <t>CLICTRUCK-046492</t>
  </si>
  <si>
    <t>CLICTRUCK-046493</t>
  </si>
  <si>
    <t>CLICTRUCK-046494</t>
  </si>
  <si>
    <t>CLICTRUCK-046496</t>
  </si>
  <si>
    <t>CLICTRUCK-046497</t>
  </si>
  <si>
    <t>CLICTRUCK-046498</t>
  </si>
  <si>
    <t>CLICTRUCK-046499</t>
  </si>
  <si>
    <t>CLICTRUCK-046500</t>
  </si>
  <si>
    <t>CLICTRUCK-046501</t>
  </si>
  <si>
    <t>CLICTRUCK-046502</t>
  </si>
  <si>
    <t>CLICTRUCK-046503</t>
  </si>
  <si>
    <t>CLICTRUCK-046504</t>
  </si>
  <si>
    <t>CLICTRUCK-046506</t>
  </si>
  <si>
    <t>CLICTRUCK-046507</t>
  </si>
  <si>
    <t>CLICTRUCK-046508</t>
  </si>
  <si>
    <t>CLICTRUCK-046509</t>
  </si>
  <si>
    <t>CLICTRUCK-046510</t>
  </si>
  <si>
    <t>CLICTRUCK-046511</t>
  </si>
  <si>
    <t>CLICTRUCK-046512</t>
  </si>
  <si>
    <t>CLICTRUCK-046514</t>
  </si>
  <si>
    <t>CLICTRUCK-046515</t>
  </si>
  <si>
    <t>CLICTRUCK-046516</t>
  </si>
  <si>
    <t>CLICTRUCK-046518</t>
  </si>
  <si>
    <t>CLICTRUCK-046523</t>
  </si>
  <si>
    <t>CLICTRUCK-046524</t>
  </si>
  <si>
    <t>CLICTRUCK-046525</t>
  </si>
  <si>
    <t>CLICTRUCK-046526</t>
  </si>
  <si>
    <t>CLICTRUCK-046531</t>
  </si>
  <si>
    <t>CLICTRUCK-046534</t>
  </si>
  <si>
    <t>CLICTRUCK-046545</t>
  </si>
  <si>
    <t>CLICTRUCK-046546</t>
  </si>
  <si>
    <t>CLICTRUCK-046547</t>
  </si>
  <si>
    <t>CLICTRUCK-046548</t>
  </si>
  <si>
    <t>CLICTRUCK-046549</t>
  </si>
  <si>
    <t>CLICTRUCK-046550</t>
  </si>
  <si>
    <t>CLICTRUCK-046551</t>
  </si>
  <si>
    <t>CLICTRUCK-046552</t>
  </si>
  <si>
    <t>CLICTRUCK-046553</t>
  </si>
  <si>
    <t>CLICTRUCK-046554</t>
  </si>
  <si>
    <t>CLICTRUCK-046555</t>
  </si>
  <si>
    <t>CLICTRUCK-046556</t>
  </si>
  <si>
    <t>CLICTRUCK-046564</t>
  </si>
  <si>
    <t>CLICTRUCK-046565</t>
  </si>
  <si>
    <t>CLICTRUCK-046566</t>
  </si>
  <si>
    <t>CLICTRUCK-046567</t>
  </si>
  <si>
    <t>CLICTRUCK-046568</t>
  </si>
  <si>
    <t>CLICTRUCK-046569</t>
  </si>
  <si>
    <t>CLICTRUCK-046570</t>
  </si>
  <si>
    <t>CLICTRUCK-046571</t>
  </si>
  <si>
    <t>PT. Dian Giri Selaras</t>
  </si>
  <si>
    <t>TSM - DGS</t>
  </si>
  <si>
    <t>CLICTRUCK-046579</t>
  </si>
  <si>
    <t>CLICTRUCK-046580</t>
  </si>
  <si>
    <t>CLICTRUCK-046582</t>
  </si>
  <si>
    <t>CLICTRUCK-046584</t>
  </si>
  <si>
    <t>CLICTRUCK-046585</t>
  </si>
  <si>
    <t>CLICTRUCK-046586</t>
  </si>
  <si>
    <t>CLICTRUCK-046587</t>
  </si>
  <si>
    <t>CLICTRUCK-046588</t>
  </si>
  <si>
    <t>CLICTRUCK-046589</t>
  </si>
  <si>
    <t>CLICTRUCK-046590</t>
  </si>
  <si>
    <t>CLICTRUCK-046598</t>
  </si>
  <si>
    <t>CLICTRUCK-046600</t>
  </si>
  <si>
    <t>CLICTRUCK-046601</t>
  </si>
  <si>
    <t>CLICTRUCK-046602</t>
  </si>
  <si>
    <t>CLICTRUCK-046603</t>
  </si>
  <si>
    <t>CLICTRUCK-046604</t>
  </si>
  <si>
    <t>CLICTRUCK-046605</t>
  </si>
  <si>
    <t>CLICTRUCK-046606</t>
  </si>
  <si>
    <t>CLICTRUCK-046607</t>
  </si>
  <si>
    <t>CLICTRUCK-046608</t>
  </si>
  <si>
    <t>CLICTRUCK-046609</t>
  </si>
  <si>
    <t>CLICTRUCK-046610</t>
  </si>
  <si>
    <t>CLICTRUCK-046611</t>
  </si>
  <si>
    <t>CLICTRUCK-046612</t>
  </si>
  <si>
    <t>CLICTRUCK-046613</t>
  </si>
  <si>
    <t>CLICTRUCK-046614</t>
  </si>
  <si>
    <t>CLICTRUCK-046615</t>
  </si>
  <si>
    <t>CLICTRUCK-046616</t>
  </si>
  <si>
    <t>CLICTRUCK-046617</t>
  </si>
  <si>
    <t>CLICTRUCK-046618</t>
  </si>
  <si>
    <t>CLICTRUCK-046619</t>
  </si>
  <si>
    <t>CLICTRUCK-046620</t>
  </si>
  <si>
    <t>CLICTRUCK-046621</t>
  </si>
  <si>
    <t>CLICTRUCK-046622</t>
  </si>
  <si>
    <t>CLICTRUCK-046623</t>
  </si>
  <si>
    <t>CLICTRUCK-046624</t>
  </si>
  <si>
    <t>CLICTRUCK-046625</t>
  </si>
  <si>
    <t>CLICTRUCK-046626</t>
  </si>
  <si>
    <t>CLICTRUCK-046628</t>
  </si>
  <si>
    <t>CLICTRUCK-046629</t>
  </si>
  <si>
    <t>CLICTRUCK-046630</t>
  </si>
  <si>
    <t>CLICTRUCK-046631</t>
  </si>
  <si>
    <t>CLICTRUCK-046632</t>
  </si>
  <si>
    <t>CLICTRUCK-046633</t>
  </si>
  <si>
    <t>CLICTRUCK-046634</t>
  </si>
  <si>
    <t>CLICTRUCK-046635</t>
  </si>
  <si>
    <t>CLICTRUCK-046636</t>
  </si>
  <si>
    <t>CLICTRUCK-046637</t>
  </si>
  <si>
    <t>CLICTRUCK-046639</t>
  </si>
  <si>
    <t>CLICTRUCK-046660</t>
  </si>
  <si>
    <t>CLICTRUCK-046661</t>
  </si>
  <si>
    <t>CLICTRUCK-046662</t>
  </si>
  <si>
    <t>CLICTRUCK-046663</t>
  </si>
  <si>
    <t>CLICTRUCK-046664</t>
  </si>
  <si>
    <t>CLICTRUCK-046665</t>
  </si>
  <si>
    <t>CLICTRUCK-046666</t>
  </si>
  <si>
    <t>PT. Jena Solusi Transport</t>
  </si>
  <si>
    <t>JMT - JST</t>
  </si>
  <si>
    <t>CLICTRUCK-046669</t>
  </si>
  <si>
    <t>CLICTRUCK-046676</t>
  </si>
  <si>
    <t>CLICTRUCK-046677</t>
  </si>
  <si>
    <t>CLICTRUCK-046678</t>
  </si>
  <si>
    <t>PT. Roket Ekspres Dirgantara</t>
  </si>
  <si>
    <t>RDD - RED</t>
  </si>
  <si>
    <t>CLICTRUCK-046679</t>
  </si>
  <si>
    <t>CLICTRUCK-046680</t>
  </si>
  <si>
    <t>CLICTRUCK-046681</t>
  </si>
  <si>
    <t>CLICTRUCK-046682</t>
  </si>
  <si>
    <t>CLICTRUCK-046683</t>
  </si>
  <si>
    <t>CLICTRUCK-046684</t>
  </si>
  <si>
    <t>CLICTRUCK-046685</t>
  </si>
  <si>
    <t>CLICTRUCK-046686</t>
  </si>
  <si>
    <t>CLICTRUCK-046687</t>
  </si>
  <si>
    <t>CLICTRUCK-046688</t>
  </si>
  <si>
    <t>CLICTRUCK-046689</t>
  </si>
  <si>
    <t>CLICTRUCK-046690</t>
  </si>
  <si>
    <t>CLICTRUCK-046691</t>
  </si>
  <si>
    <t>CLICTRUCK-046692</t>
  </si>
  <si>
    <t>CLICTRUCK-046693</t>
  </si>
  <si>
    <t>CLICTRUCK-046694</t>
  </si>
  <si>
    <t>CLICTRUCK-046695</t>
  </si>
  <si>
    <t>CLICTRUCK-046696</t>
  </si>
  <si>
    <t>CLICTRUCK-046697</t>
  </si>
  <si>
    <t>CLICTRUCK-046698</t>
  </si>
  <si>
    <t>CLICTRUCK-046699</t>
  </si>
  <si>
    <t>CLICTRUCK-046700</t>
  </si>
  <si>
    <t>CLICTRUCK-046701</t>
  </si>
  <si>
    <t>CLICTRUCK-046702</t>
  </si>
  <si>
    <t>CLICTRUCK-046703</t>
  </si>
  <si>
    <t>CLICTRUCK-046704</t>
  </si>
  <si>
    <t>CLICTRUCK-046705</t>
  </si>
  <si>
    <t>CLICTRUCK-046706</t>
  </si>
  <si>
    <t>CLICTRUCK-046707</t>
  </si>
  <si>
    <t>CLICTRUCK-046708</t>
  </si>
  <si>
    <t>CLICTRUCK-046709</t>
  </si>
  <si>
    <t>PT. Pari Pura Trans</t>
  </si>
  <si>
    <t>YSN - PPT</t>
  </si>
  <si>
    <t>CLICTRUCK-046710</t>
  </si>
  <si>
    <t>CLICTRUCK-046711</t>
  </si>
  <si>
    <t>CLICTRUCK-046712</t>
  </si>
  <si>
    <t>CLICTRUCK-046713</t>
  </si>
  <si>
    <t>CLICTRUCK-046714</t>
  </si>
  <si>
    <t>CLICTRUCK-046715</t>
  </si>
  <si>
    <t>CLICTRUCK-046716</t>
  </si>
  <si>
    <t>CLICTRUCK-046717</t>
  </si>
  <si>
    <t>CLICTRUCK-046718</t>
  </si>
  <si>
    <t>CLICTRUCK-046719</t>
  </si>
  <si>
    <t>CLICTRUCK-046720</t>
  </si>
  <si>
    <t>CLICTRUCK-046721</t>
  </si>
  <si>
    <t>CLICTRUCK-046722</t>
  </si>
  <si>
    <t>CLICTRUCK-046723</t>
  </si>
  <si>
    <t>CLICTRUCK-046724</t>
  </si>
  <si>
    <t>CLICTRUCK-046725</t>
  </si>
  <si>
    <t>CLICTRUCK-046726</t>
  </si>
  <si>
    <t>CLICTRUCK-046727</t>
  </si>
  <si>
    <t>CLICTRUCK-046728</t>
  </si>
  <si>
    <t>CLICTRUCK-046729</t>
  </si>
  <si>
    <t>CLICTRUCK-046730</t>
  </si>
  <si>
    <t>CLICTRUCK-046731</t>
  </si>
  <si>
    <t>CLICTRUCK-046732</t>
  </si>
  <si>
    <t>CLICTRUCK-046733</t>
  </si>
  <si>
    <t>CLICTRUCK-046734</t>
  </si>
  <si>
    <t>CLICTRUCK-046735</t>
  </si>
  <si>
    <t>CLICTRUCK-046736</t>
  </si>
  <si>
    <t>CLICTRUCK-046737</t>
  </si>
  <si>
    <t>CLICTRUCK-046738</t>
  </si>
  <si>
    <t>CLICTRUCK-046739</t>
  </si>
  <si>
    <t>CLICTRUCK-046740</t>
  </si>
  <si>
    <t>CLICTRUCK-046741</t>
  </si>
  <si>
    <t>CLICTRUCK-046742</t>
  </si>
  <si>
    <t>CLICTRUCK-046743</t>
  </si>
  <si>
    <t>CLICTRUCK-046744</t>
  </si>
  <si>
    <t>CLICTRUCK-046745</t>
  </si>
  <si>
    <t>CLICTRUCK-046746</t>
  </si>
  <si>
    <t>CLICTRUCK-046747</t>
  </si>
  <si>
    <t>CLICTRUCK-046748</t>
  </si>
  <si>
    <t>CLICTRUCK-046749</t>
  </si>
  <si>
    <t>CLICTRUCK-046750</t>
  </si>
  <si>
    <t>CLICTRUCK-046751</t>
  </si>
  <si>
    <t>CLICTRUCK-046752</t>
  </si>
  <si>
    <t>CLICTRUCK-046753</t>
  </si>
  <si>
    <t>CLICTRUCK-046754</t>
  </si>
  <si>
    <t>CLICTRUCK-046755</t>
  </si>
  <si>
    <t>CLICTRUCK-046756</t>
  </si>
  <si>
    <t>CLICTRUCK-046757</t>
  </si>
  <si>
    <t>CLICTRUCK-046758</t>
  </si>
  <si>
    <t>CLICTRUCK-046759</t>
  </si>
  <si>
    <t>CLICTRUCK-046760</t>
  </si>
  <si>
    <t>CLICTRUCK-046761</t>
  </si>
  <si>
    <t>CLICTRUCK-046763</t>
  </si>
  <si>
    <t>CLICTRUCK-046764</t>
  </si>
  <si>
    <t>CLICTRUCK-046765</t>
  </si>
  <si>
    <t>CLICTRUCK-046766</t>
  </si>
  <si>
    <t>CLICTRUCK-046767</t>
  </si>
  <si>
    <t>CLICTRUCK-046768</t>
  </si>
  <si>
    <t>CLICTRUCK-046769</t>
  </si>
  <si>
    <t>CLICTRUCK-046770</t>
  </si>
  <si>
    <t>CLICTRUCK-046771</t>
  </si>
  <si>
    <t>CLICTRUCK-046772</t>
  </si>
  <si>
    <t>CLICTRUCK-046773</t>
  </si>
  <si>
    <t>CLICTRUCK-046774</t>
  </si>
  <si>
    <t>CLICTRUCK-046775</t>
  </si>
  <si>
    <t>CLICTRUCK-046776</t>
  </si>
  <si>
    <t>CLICTRUCK-046777</t>
  </si>
  <si>
    <t>CLICTRUCK-046778</t>
  </si>
  <si>
    <t>CLICTRUCK-046779</t>
  </si>
  <si>
    <t>CLICTRUCK-046781</t>
  </si>
  <si>
    <t>CLICTRUCK-046786</t>
  </si>
  <si>
    <t>PT. KUMM Trans Nusantara</t>
  </si>
  <si>
    <t>PLI - KTN</t>
  </si>
  <si>
    <t>CLICTRUCK-046788</t>
  </si>
  <si>
    <t>CLICTRUCK-046790</t>
  </si>
  <si>
    <t>CLICTRUCK-046791</t>
  </si>
  <si>
    <t>CLICTRUCK-046794</t>
  </si>
  <si>
    <t>CLICTRUCK-046795</t>
  </si>
  <si>
    <t>CLICTRUCK-046796</t>
  </si>
  <si>
    <t>CLICTRUCK-046797</t>
  </si>
  <si>
    <t>CLICTRUCK-046798</t>
  </si>
  <si>
    <t>CLICTRUCK-046799</t>
  </si>
  <si>
    <t>CLICTRUCK-046801</t>
  </si>
  <si>
    <t>CLICTRUCK-046802</t>
  </si>
  <si>
    <t>CLICTRUCK-046803</t>
  </si>
  <si>
    <t>CLICTRUCK-046804</t>
  </si>
  <si>
    <t>CLICTRUCK-046805</t>
  </si>
  <si>
    <t>CLICTRUCK-046806</t>
  </si>
  <si>
    <t>CLICTRUCK-046807</t>
  </si>
  <si>
    <t>CLICTRUCK-046808</t>
  </si>
  <si>
    <t>CLICTRUCK-046809</t>
  </si>
  <si>
    <t>CLICTRUCK-046810</t>
  </si>
  <si>
    <t>CLICTRUCK-046813</t>
  </si>
  <si>
    <t>CLICTRUCK-046814</t>
  </si>
  <si>
    <t>CLICTRUCK-046815</t>
  </si>
  <si>
    <t>CLICTRUCK-046816</t>
  </si>
  <si>
    <t>CLICTRUCK-046817</t>
  </si>
  <si>
    <t>CLICTRUCK-046818</t>
  </si>
  <si>
    <t>CLICTRUCK-046819</t>
  </si>
  <si>
    <t>CLICTRUCK-046820</t>
  </si>
  <si>
    <t>CLICTRUCK-046821</t>
  </si>
  <si>
    <t>CLICTRUCK-046822</t>
  </si>
  <si>
    <t>CLICTRUCK-046823</t>
  </si>
  <si>
    <t>CLICTRUCK-046824</t>
  </si>
  <si>
    <t>CLICTRUCK-046825</t>
  </si>
  <si>
    <t>CLICTRUCK-046826</t>
  </si>
  <si>
    <t>CLICTRUCK-046827</t>
  </si>
  <si>
    <t>CLICTRUCK-046828</t>
  </si>
  <si>
    <t>CLICTRUCK-046829</t>
  </si>
  <si>
    <t>CLICTRUCK-046830</t>
  </si>
  <si>
    <t>CLICTRUCK-046832</t>
  </si>
  <si>
    <t>CLICTRUCK-046833</t>
  </si>
  <si>
    <t>CLICTRUCK-046834</t>
  </si>
  <si>
    <t>CLICTRUCK-046835</t>
  </si>
  <si>
    <t>CLICTRUCK-046836</t>
  </si>
  <si>
    <t>CLICTRUCK-046837</t>
  </si>
  <si>
    <t>CLICTRUCK-046840</t>
  </si>
  <si>
    <t>CLICTRUCK-046841</t>
  </si>
  <si>
    <t>CLICTRUCK-046842</t>
  </si>
  <si>
    <t>CLICTRUCK-046843</t>
  </si>
  <si>
    <t>CLICTRUCK-046844</t>
  </si>
  <si>
    <t>CLICTRUCK-046845</t>
  </si>
  <si>
    <t>CLICTRUCK-046846</t>
  </si>
  <si>
    <t>CLICTRUCK-046847</t>
  </si>
  <si>
    <t>CLICTRUCK-046848</t>
  </si>
  <si>
    <t>CLICTRUCK-046849</t>
  </si>
  <si>
    <t>CLICTRUCK-046850</t>
  </si>
  <si>
    <t>CLICTRUCK-046851</t>
  </si>
  <si>
    <t>CLICTRUCK-046852</t>
  </si>
  <si>
    <t>CLICTRUCK-046853</t>
  </si>
  <si>
    <t>CLICTRUCK-046860</t>
  </si>
  <si>
    <t>CLICTRUCK-046861</t>
  </si>
  <si>
    <t>CLICTRUCK-046862</t>
  </si>
  <si>
    <t>CLICTRUCK-046864</t>
  </si>
  <si>
    <t>CLICTRUCK-046865</t>
  </si>
  <si>
    <t>CLICTRUCK-046867</t>
  </si>
  <si>
    <t>CLICTRUCK-046868</t>
  </si>
  <si>
    <t>CLICTRUCK-046869</t>
  </si>
  <si>
    <t>CLICTRUCK-046870</t>
  </si>
  <si>
    <t>CLICTRUCK-046871</t>
  </si>
  <si>
    <t>CLICTRUCK-046872</t>
  </si>
  <si>
    <t>CLICTRUCK-046873</t>
  </si>
  <si>
    <t>CLICTRUCK-046874</t>
  </si>
  <si>
    <t>CLICTRUCK-046875</t>
  </si>
  <si>
    <t>CLICTRUCK-046876</t>
  </si>
  <si>
    <t>CLICTRUCK-046877</t>
  </si>
  <si>
    <t>CLICTRUCK-046879</t>
  </si>
  <si>
    <t>CLICTRUCK-046882</t>
  </si>
  <si>
    <t>CLICTRUCK-046883</t>
  </si>
  <si>
    <t>CLICTRUCK-046884</t>
  </si>
  <si>
    <t>CLICTRUCK-046885</t>
  </si>
  <si>
    <t>CLICTRUCK-046886</t>
  </si>
  <si>
    <t>CLICTRUCK-046887</t>
  </si>
  <si>
    <t>CLICTRUCK-046888</t>
  </si>
  <si>
    <t>CLICTRUCK-046889</t>
  </si>
  <si>
    <t>CLICTRUCK-046890</t>
  </si>
  <si>
    <t>CLICTRUCK-046892</t>
  </si>
  <si>
    <t>CLICTRUCK-046895</t>
  </si>
  <si>
    <t>CLICTRUCK-046896</t>
  </si>
  <si>
    <t>CLICTRUCK-046897</t>
  </si>
  <si>
    <t>CLICTRUCK-046898</t>
  </si>
  <si>
    <t>CLICTRUCK-046899</t>
  </si>
  <si>
    <t>CLICTRUCK-046900</t>
  </si>
  <si>
    <t>CLICTRUCK-046901</t>
  </si>
  <si>
    <t>CLICTRUCK-046903</t>
  </si>
  <si>
    <t>CLICTRUCK-046905</t>
  </si>
  <si>
    <t>CLICTRUCK-046907</t>
  </si>
  <si>
    <t>CLICTRUCK-046911</t>
  </si>
  <si>
    <t>CLICTRUCK-046912</t>
  </si>
  <si>
    <t>CLICTRUCK-046913</t>
  </si>
  <si>
    <t>CLICTRUCK-046914</t>
  </si>
  <si>
    <t>CLICTRUCK-046915</t>
  </si>
  <si>
    <t>CLICTRUCK-046916</t>
  </si>
  <si>
    <t>CLICTRUCK-046917</t>
  </si>
  <si>
    <t>CLICTRUCK-046918</t>
  </si>
  <si>
    <t>CLICTRUCK-046919</t>
  </si>
  <si>
    <t>CLICTRUCK-046920</t>
  </si>
  <si>
    <t>CLICTRUCK-046921</t>
  </si>
  <si>
    <t>CLICTRUCK-046922</t>
  </si>
  <si>
    <t>CLICTRUCK-046923</t>
  </si>
  <si>
    <t>CLICTRUCK-046924</t>
  </si>
  <si>
    <t>CLICTRUCK-046925</t>
  </si>
  <si>
    <t>CLICTRUCK-046927</t>
  </si>
  <si>
    <t>CLICTRUCK-046928</t>
  </si>
  <si>
    <t>CLICTRUCK-046929</t>
  </si>
  <si>
    <t>CLICTRUCK-046930</t>
  </si>
  <si>
    <t>CLICTRUCK-046931</t>
  </si>
  <si>
    <t>CLICTRUCK-046933</t>
  </si>
  <si>
    <t>CLICTRUCK-046934</t>
  </si>
  <si>
    <t>CLICTRUCK-046935</t>
  </si>
  <si>
    <t>CLICTRUCK-046936</t>
  </si>
  <si>
    <t>CLICTRUCK-046937</t>
  </si>
  <si>
    <t>CLICTRUCK-046938</t>
  </si>
  <si>
    <t>CLICTRUCK-046939</t>
  </si>
  <si>
    <t>CLICTRUCK-046940</t>
  </si>
  <si>
    <t>CLICTRUCK-046941</t>
  </si>
  <si>
    <t>CLICTRUCK-046942</t>
  </si>
  <si>
    <t>CLICTRUCK-046943</t>
  </si>
  <si>
    <t>CLICTRUCK-046944</t>
  </si>
  <si>
    <t>CLICTRUCK-046945</t>
  </si>
  <si>
    <t>CLICTRUCK-046946</t>
  </si>
  <si>
    <t>CLICTRUCK-046947</t>
  </si>
  <si>
    <t>CLICTRUCK-046948</t>
  </si>
  <si>
    <t>CLICTRUCK-046950</t>
  </si>
  <si>
    <t>CLICTRUCK-046951</t>
  </si>
  <si>
    <t>CLICTRUCK-046952</t>
  </si>
  <si>
    <t>CLICTRUCK-046953</t>
  </si>
  <si>
    <t>CLICTRUCK-046954</t>
  </si>
  <si>
    <t>CLICTRUCK-046955</t>
  </si>
  <si>
    <t>CLICTRUCK-046956</t>
  </si>
  <si>
    <t>CLICTRUCK-046957</t>
  </si>
  <si>
    <t>CLICTRUCK-046958</t>
  </si>
  <si>
    <t>CLICTRUCK-046959</t>
  </si>
  <si>
    <t>CLICTRUCK-046960</t>
  </si>
  <si>
    <t>CLICTRUCK-046961</t>
  </si>
  <si>
    <t>CLICTRUCK-046962</t>
  </si>
  <si>
    <t>CLICTRUCK-046963</t>
  </si>
  <si>
    <t>CLICTRUCK-046964</t>
  </si>
  <si>
    <t>CLICTRUCK-046965</t>
  </si>
  <si>
    <t>CLICTRUCK-046966</t>
  </si>
  <si>
    <t>CLICTRUCK-046967</t>
  </si>
  <si>
    <t>CLICTRUCK-046968</t>
  </si>
  <si>
    <t>CLICTRUCK-046969</t>
  </si>
  <si>
    <t>CLICTRUCK-046970</t>
  </si>
  <si>
    <t>CLICTRUCK-046971</t>
  </si>
  <si>
    <t>CLICTRUCK-046972</t>
  </si>
  <si>
    <t>CLICTRUCK-046973</t>
  </si>
  <si>
    <t>CLICTRUCK-046974</t>
  </si>
  <si>
    <t>CLICTRUCK-046975</t>
  </si>
  <si>
    <t>CLICTRUCK-046976</t>
  </si>
  <si>
    <t>CLICTRUCK-046977</t>
  </si>
  <si>
    <t>CLICTRUCK-046978</t>
  </si>
  <si>
    <t>CLICTRUCK-046979</t>
  </si>
  <si>
    <t>CLICTRUCK-046980</t>
  </si>
  <si>
    <t>CLICTRUCK-046981</t>
  </si>
  <si>
    <t>CLICTRUCK-046982</t>
  </si>
  <si>
    <t>CLICTRUCK-046983</t>
  </si>
  <si>
    <t>CLICTRUCK-046984</t>
  </si>
  <si>
    <t>CLICTRUCK-046985</t>
  </si>
  <si>
    <t>CLICTRUCK-046986</t>
  </si>
  <si>
    <t>CLICTRUCK-046987</t>
  </si>
  <si>
    <t>CLICTRUCK-046988</t>
  </si>
  <si>
    <t>CLICTRUCK-046989</t>
  </si>
  <si>
    <t>CLICTRUCK-046990</t>
  </si>
  <si>
    <t>CLICTRUCK-046991</t>
  </si>
  <si>
    <t>CLICTRUCK-046993</t>
  </si>
  <si>
    <t>CLICTRUCK-046995</t>
  </si>
  <si>
    <t>CLICTRUCK-046997</t>
  </si>
  <si>
    <t>CLICTRUCK-046998</t>
  </si>
  <si>
    <t>CLICTRUCK-046999</t>
  </si>
  <si>
    <t>CLICTRUCK-047000</t>
  </si>
  <si>
    <t>CLICTRUCK-047001</t>
  </si>
  <si>
    <t>CLICTRUCK-047002</t>
  </si>
  <si>
    <t>CLICTRUCK-047003</t>
  </si>
  <si>
    <t>CLICTRUCK-047004</t>
  </si>
  <si>
    <t>CLICTRUCK-047005</t>
  </si>
  <si>
    <t>CLICTRUCK-047007</t>
  </si>
  <si>
    <t>CLICTRUCK-047008</t>
  </si>
  <si>
    <t>CLICTRUCK-047009</t>
  </si>
  <si>
    <t>CLICTRUCK-047010</t>
  </si>
  <si>
    <t>CLICTRUCK-047011</t>
  </si>
  <si>
    <t>CLICTRUCK-047012</t>
  </si>
  <si>
    <t>CLICTRUCK-047013</t>
  </si>
  <si>
    <t>CLICTRUCK-047014</t>
  </si>
  <si>
    <t>CLICTRUCK-047015</t>
  </si>
  <si>
    <t>CLICTRUCK-047016</t>
  </si>
  <si>
    <t>CLICTRUCK-047017</t>
  </si>
  <si>
    <t>CLICTRUCK-047018</t>
  </si>
  <si>
    <t>CLICTRUCK-047019</t>
  </si>
  <si>
    <t>CLICTRUCK-047020</t>
  </si>
  <si>
    <t>CLICTRUCK-047021</t>
  </si>
  <si>
    <t>CLICTRUCK-047022</t>
  </si>
  <si>
    <t>CLICTRUCK-047023</t>
  </si>
  <si>
    <t>CLICTRUCK-047024</t>
  </si>
  <si>
    <t>CLICTRUCK-047025</t>
  </si>
  <si>
    <t>CLICTRUCK-047026</t>
  </si>
  <si>
    <t>CLICTRUCK-047027</t>
  </si>
  <si>
    <t>CLICTRUCK-047028</t>
  </si>
  <si>
    <t>CLICTRUCK-047029</t>
  </si>
  <si>
    <t>CLICTRUCK-047030</t>
  </si>
  <si>
    <t>CLICTRUCK-047031</t>
  </si>
  <si>
    <t>CLICTRUCK-047032</t>
  </si>
  <si>
    <t>CLICTRUCK-047033</t>
  </si>
  <si>
    <t>CLICTRUCK-047034</t>
  </si>
  <si>
    <t>CLICTRUCK-047035</t>
  </si>
  <si>
    <t>CLICTRUCK-047036</t>
  </si>
  <si>
    <t>CLICTRUCK-047038</t>
  </si>
  <si>
    <t>CLICTRUCK-047039</t>
  </si>
  <si>
    <t>CLICTRUCK-047040</t>
  </si>
  <si>
    <t>CLICTRUCK-047041</t>
  </si>
  <si>
    <t>CLICTRUCK-047042</t>
  </si>
  <si>
    <t>CLICTRUCK-047043</t>
  </si>
  <si>
    <t>CLICTRUCK-047044</t>
  </si>
  <si>
    <t>CLICTRUCK-047045</t>
  </si>
  <si>
    <t>CLICTRUCK-047046</t>
  </si>
  <si>
    <t>CLICTRUCK-047047</t>
  </si>
  <si>
    <t>CLICTRUCK-047048</t>
  </si>
  <si>
    <t>CLICTRUCK-047049</t>
  </si>
  <si>
    <t>CLICTRUCK-047050</t>
  </si>
  <si>
    <t>CLICTRUCK-047051</t>
  </si>
  <si>
    <t>CLICTRUCK-047052</t>
  </si>
  <si>
    <t>CLICTRUCK-047053</t>
  </si>
  <si>
    <t>CLICTRUCK-047054</t>
  </si>
  <si>
    <t>CLICTRUCK-047055</t>
  </si>
  <si>
    <t>CLICTRUCK-047056</t>
  </si>
  <si>
    <t>CLICTRUCK-047058</t>
  </si>
  <si>
    <t>CLICTRUCK-047059</t>
  </si>
  <si>
    <t>CLICTRUCK-047060</t>
  </si>
  <si>
    <t>CLICTRUCK-047061</t>
  </si>
  <si>
    <t>CLICTRUCK-047062</t>
  </si>
  <si>
    <t>CLICTRUCK-047063</t>
  </si>
  <si>
    <t>CLICTRUCK-047064</t>
  </si>
  <si>
    <t>CLICTRUCK-047065</t>
  </si>
  <si>
    <t>CLICTRUCK-047066</t>
  </si>
  <si>
    <t>CLICTRUCK-047067</t>
  </si>
  <si>
    <t>CLICTRUCK-047068</t>
  </si>
  <si>
    <t>CLICTRUCK-047069</t>
  </si>
  <si>
    <t>CLICTRUCK-047070</t>
  </si>
  <si>
    <t>CLICTRUCK-047071</t>
  </si>
  <si>
    <t>CLICTRUCK-047072</t>
  </si>
  <si>
    <t>CLICTRUCK-047073</t>
  </si>
  <si>
    <t>CLICTRUCK-047074</t>
  </si>
  <si>
    <t>CLICTRUCK-047075</t>
  </si>
  <si>
    <t>CLICTRUCK-047076</t>
  </si>
  <si>
    <t>CLICTRUCK-047077</t>
  </si>
  <si>
    <t>CLICTRUCK-047078</t>
  </si>
  <si>
    <t>CLICTRUCK-047079</t>
  </si>
  <si>
    <t>CLICTRUCK-047080</t>
  </si>
  <si>
    <t>CLICTRUCK-047081</t>
  </si>
  <si>
    <t>CLICTRUCK-047082</t>
  </si>
  <si>
    <t>CLICTRUCK-047083</t>
  </si>
  <si>
    <t>CLICTRUCK-047085</t>
  </si>
  <si>
    <t>CLICTRUCK-047086</t>
  </si>
  <si>
    <t>CLICTRUCK-047087</t>
  </si>
  <si>
    <t>CLICTRUCK-047088</t>
  </si>
  <si>
    <t>CLICTRUCK-047089</t>
  </si>
  <si>
    <t>CLICTRUCK-047090</t>
  </si>
  <si>
    <t>CLICTRUCK-047091</t>
  </si>
  <si>
    <t>CLICTRUCK-047092</t>
  </si>
  <si>
    <t>CLICTRUCK-047093</t>
  </si>
  <si>
    <t>CLICTRUCK-047094</t>
  </si>
  <si>
    <t>CLICTRUCK-047096</t>
  </si>
  <si>
    <t>CLICTRUCK-047097</t>
  </si>
  <si>
    <t>CLICTRUCK-047101</t>
  </si>
  <si>
    <t>SPM - BTS</t>
  </si>
  <si>
    <t>CLICTRUCK-047102</t>
  </si>
  <si>
    <t>CLICTRUCK-047103</t>
  </si>
  <si>
    <t>CLICTRUCK-047104</t>
  </si>
  <si>
    <t>CLICTRUCK-047105</t>
  </si>
  <si>
    <t>CLICTRUCK-047106</t>
  </si>
  <si>
    <t>CLICTRUCK-047107</t>
  </si>
  <si>
    <t>CLICTRUCK-047108</t>
  </si>
  <si>
    <t>CLICTRUCK-047109</t>
  </si>
  <si>
    <t>CLICTRUCK-047110</t>
  </si>
  <si>
    <t>CLICTRUCK-047111</t>
  </si>
  <si>
    <t>CLICTRUCK-047112</t>
  </si>
  <si>
    <t>CLICTRUCK-047113</t>
  </si>
  <si>
    <t>CLICTRUCK-047114</t>
  </si>
  <si>
    <t>CLICTRUCK-047115</t>
  </si>
  <si>
    <t>CLICTRUCK-047116</t>
  </si>
  <si>
    <t>CLICTRUCK-047117</t>
  </si>
  <si>
    <t>CLICTRUCK-047118</t>
  </si>
  <si>
    <t>CLICTRUCK-047119</t>
  </si>
  <si>
    <t>CLICTRUCK-047122</t>
  </si>
  <si>
    <t>CLICTRUCK-047123</t>
  </si>
  <si>
    <t>CLICTRUCK-047124</t>
  </si>
  <si>
    <t>CLICTRUCK-047125</t>
  </si>
  <si>
    <t>CLICTRUCK-047126</t>
  </si>
  <si>
    <t>CLICTRUCK-047127</t>
  </si>
  <si>
    <t>CLICTRUCK-047128</t>
  </si>
  <si>
    <t>CLICTRUCK-047129</t>
  </si>
  <si>
    <t>CLICTRUCK-047130</t>
  </si>
  <si>
    <t>CLICTRUCK-047131</t>
  </si>
  <si>
    <t>CLICTRUCK-047137</t>
  </si>
  <si>
    <t>CLICTRUCK-047138</t>
  </si>
  <si>
    <t>CLICTRUCK-047139</t>
  </si>
  <si>
    <t>CLICTRUCK-047140</t>
  </si>
  <si>
    <t>CLICTRUCK-047141</t>
  </si>
  <si>
    <t>CLICTRUCK-047142</t>
  </si>
  <si>
    <t>CLICTRUCK-047143</t>
  </si>
  <si>
    <t>CLICTRUCK-047145</t>
  </si>
  <si>
    <t>CLICTRUCK-047146</t>
  </si>
  <si>
    <t>CLICTRUCK-047147</t>
  </si>
  <si>
    <t>CLICTRUCK-047148</t>
  </si>
  <si>
    <t>CLICTRUCK-047150</t>
  </si>
  <si>
    <t>CLICTRUCK-047151</t>
  </si>
  <si>
    <t>CLICTRUCK-047152</t>
  </si>
  <si>
    <t>CLICTRUCK-047153</t>
  </si>
  <si>
    <t>CLICTRUCK-047154</t>
  </si>
  <si>
    <t>CLICTRUCK-047155</t>
  </si>
  <si>
    <t>CLICTRUCK-047156</t>
  </si>
  <si>
    <t>CLICTRUCK-047157</t>
  </si>
  <si>
    <t>CLICTRUCK-047158</t>
  </si>
  <si>
    <t>CLICTRUCK-047159</t>
  </si>
  <si>
    <t>CLICTRUCK-047160</t>
  </si>
  <si>
    <t>CLICTRUCK-047161</t>
  </si>
  <si>
    <t>CLICTRUCK-047162</t>
  </si>
  <si>
    <t>CLICTRUCK-047163</t>
  </si>
  <si>
    <t>CLICTRUCK-047164</t>
  </si>
  <si>
    <t>CLICTRUCK-047165</t>
  </si>
  <si>
    <t>CLICTRUCK-047166</t>
  </si>
  <si>
    <t>CLICTRUCK-047167</t>
  </si>
  <si>
    <t>CLICTRUCK-047168</t>
  </si>
  <si>
    <t>CLICTRUCK-047169</t>
  </si>
  <si>
    <t>CLICTRUCK-047170</t>
  </si>
  <si>
    <t>CLICTRUCK-047171</t>
  </si>
  <si>
    <t>CLICTRUCK-047172</t>
  </si>
  <si>
    <t>CLICTRUCK-047173</t>
  </si>
  <si>
    <t>CLICTRUCK-047174</t>
  </si>
  <si>
    <t>CLICTRUCK-047194</t>
  </si>
  <si>
    <t>CLICTRUCK-047195</t>
  </si>
  <si>
    <t>CLICTRUCK-047196</t>
  </si>
  <si>
    <t>CLICTRUCK-047197</t>
  </si>
  <si>
    <t>CLICTRUCK-047198</t>
  </si>
  <si>
    <t>CLICTRUCK-047199</t>
  </si>
  <si>
    <t>CLICTRUCK-047200</t>
  </si>
  <si>
    <t>CLICTRUCK-047201</t>
  </si>
  <si>
    <t>CLICTRUCK-047202</t>
  </si>
  <si>
    <t>CLICTRUCK-047203</t>
  </si>
  <si>
    <t>CLICTRUCK-047204</t>
  </si>
  <si>
    <t>CLICTRUCK-047205</t>
  </si>
  <si>
    <t>CLICTRUCK-047206</t>
  </si>
  <si>
    <t>CLICTRUCK-047207</t>
  </si>
  <si>
    <t>CLICTRUCK-047208</t>
  </si>
  <si>
    <t>CLICTRUCK-047209</t>
  </si>
  <si>
    <t>CLICTRUCK-047210</t>
  </si>
  <si>
    <t>CLICTRUCK-047211</t>
  </si>
  <si>
    <t>CLICTRUCK-047212</t>
  </si>
  <si>
    <t>CLICTRUCK-047213</t>
  </si>
  <si>
    <t>CLICTRUCK-047217</t>
  </si>
  <si>
    <t>CLICTRUCK-047218</t>
  </si>
  <si>
    <t>CLICTRUCK-047219</t>
  </si>
  <si>
    <t>CLICTRUCK-047220</t>
  </si>
  <si>
    <t>CLICTRUCK-047221</t>
  </si>
  <si>
    <t>PT. Danan Anugrah Sejahtera</t>
  </si>
  <si>
    <t>VTD - DAS</t>
  </si>
  <si>
    <t>CLICTRUCK-047223</t>
  </si>
  <si>
    <t>CLICTRUCK-047224</t>
  </si>
  <si>
    <t>CLICTRUCK-047225</t>
  </si>
  <si>
    <t>CLICTRUCK-047226</t>
  </si>
  <si>
    <t>CLICTRUCK-047227</t>
  </si>
  <si>
    <t>CLICTRUCK-047228</t>
  </si>
  <si>
    <t>CLICTRUCK-047229</t>
  </si>
  <si>
    <t>CLICTRUCK-047230</t>
  </si>
  <si>
    <t>CLICTRUCK-047231</t>
  </si>
  <si>
    <t>CLICTRUCK-047232</t>
  </si>
  <si>
    <t>CLICTRUCK-047233</t>
  </si>
  <si>
    <t>CLICTRUCK-047234</t>
  </si>
  <si>
    <t>CLICTRUCK-047235</t>
  </si>
  <si>
    <t>CLICTRUCK-047236</t>
  </si>
  <si>
    <t>CLICTRUCK-047237</t>
  </si>
  <si>
    <t>CLICTRUCK-047238</t>
  </si>
  <si>
    <t>CLICTRUCK-047239</t>
  </si>
  <si>
    <t>CLICTRUCK-047240</t>
  </si>
  <si>
    <t>CLICTRUCK-047241</t>
  </si>
  <si>
    <t>CLICTRUCK-047242</t>
  </si>
  <si>
    <t>CLICTRUCK-047243</t>
  </si>
  <si>
    <t>CLICTRUCK-047244</t>
  </si>
  <si>
    <t>CLICTRUCK-047245</t>
  </si>
  <si>
    <t>CLICTRUCK-047246</t>
  </si>
  <si>
    <t>CLICTRUCK-047247</t>
  </si>
  <si>
    <t>CLICTRUCK-047249</t>
  </si>
  <si>
    <t>CLICTRUCK-047250</t>
  </si>
  <si>
    <t>CLICTRUCK-047251</t>
  </si>
  <si>
    <t>CLICTRUCK-047261</t>
  </si>
  <si>
    <t>MTL - TJA</t>
  </si>
  <si>
    <t>CLICTRUCK-047269</t>
  </si>
  <si>
    <t>CLICTRUCK-047270</t>
  </si>
  <si>
    <t>CLICTRUCK-047271</t>
  </si>
  <si>
    <t>CLICTRUCK-047272</t>
  </si>
  <si>
    <t>CLICTRUCK-047273</t>
  </si>
  <si>
    <t>CLICTRUCK-047274</t>
  </si>
  <si>
    <t>CLICTRUCK-047275</t>
  </si>
  <si>
    <t>CLICTRUCK-047276</t>
  </si>
  <si>
    <t>CLICTRUCK-047277</t>
  </si>
  <si>
    <t>CLICTRUCK-047278</t>
  </si>
  <si>
    <t>CLICTRUCK-047279</t>
  </si>
  <si>
    <t>CLICTRUCK-047280</t>
  </si>
  <si>
    <t>CLICTRUCK-047281</t>
  </si>
  <si>
    <t>CLICTRUCK-047282</t>
  </si>
  <si>
    <t>CLICTRUCK-047283</t>
  </si>
  <si>
    <t>CLICTRUCK-047284</t>
  </si>
  <si>
    <t>CLICTRUCK-047285</t>
  </si>
  <si>
    <t>CLICTRUCK-047286</t>
  </si>
  <si>
    <t>CLICTRUCK-047287</t>
  </si>
  <si>
    <t>CLICTRUCK-047288</t>
  </si>
  <si>
    <t>CLICTRUCK-047289</t>
  </si>
  <si>
    <t>CLICTRUCK-047291</t>
  </si>
  <si>
    <t>CLICTRUCK-047292</t>
  </si>
  <si>
    <t>CLICTRUCK-047305</t>
  </si>
  <si>
    <t>CLICTRUCK-047306</t>
  </si>
  <si>
    <t>CLICTRUCK-047307</t>
  </si>
  <si>
    <t>CLICTRUCK-047308</t>
  </si>
  <si>
    <t>CLICTRUCK-047309</t>
  </si>
  <si>
    <t>CLICTRUCK-047310</t>
  </si>
  <si>
    <t>CLICTRUCK-047311</t>
  </si>
  <si>
    <t>CLICTRUCK-047312</t>
  </si>
  <si>
    <t>CLICTRUCK-047313</t>
  </si>
  <si>
    <t>CLICTRUCK-047314</t>
  </si>
  <si>
    <t>CLICTRUCK-047315</t>
  </si>
  <si>
    <t>CLICTRUCK-047316</t>
  </si>
  <si>
    <t>CLICTRUCK-047317</t>
  </si>
  <si>
    <t>CLICTRUCK-047318</t>
  </si>
  <si>
    <t>CLICTRUCK-047319</t>
  </si>
  <si>
    <t>CLICTRUCK-047320</t>
  </si>
  <si>
    <t>CLICTRUCK-047321</t>
  </si>
  <si>
    <t>CLICTRUCK-047322</t>
  </si>
  <si>
    <t>CLICTRUCK-047323</t>
  </si>
  <si>
    <t>CLICTRUCK-047324</t>
  </si>
  <si>
    <t>CLICTRUCK-047325</t>
  </si>
  <si>
    <t>CLICTRUCK-047328</t>
  </si>
  <si>
    <t>CLICTRUCK-047329</t>
  </si>
  <si>
    <t>CLICTRUCK-047330</t>
  </si>
  <si>
    <t>CLICTRUCK-047331</t>
  </si>
  <si>
    <t>CLICTRUCK-047332</t>
  </si>
  <si>
    <t>CLICTRUCK-047333</t>
  </si>
  <si>
    <t>CLICTRUCK-047334</t>
  </si>
  <si>
    <t>CLICTRUCK-047335</t>
  </si>
  <si>
    <t>CLICTRUCK-047336</t>
  </si>
  <si>
    <t>CLICTRUCK-047337</t>
  </si>
  <si>
    <t>CLICTRUCK-047338</t>
  </si>
  <si>
    <t>CLICTRUCK-047339</t>
  </si>
  <si>
    <t>CLICTRUCK-047340</t>
  </si>
  <si>
    <t>CLICTRUCK-047341</t>
  </si>
  <si>
    <t>CLICTRUCK-047342</t>
  </si>
  <si>
    <t>CLICTRUCK-047343</t>
  </si>
  <si>
    <t>CLICTRUCK-047344</t>
  </si>
  <si>
    <t>CLICTRUCK-047345</t>
  </si>
  <si>
    <t>CLICTRUCK-047346</t>
  </si>
  <si>
    <t>CLICTRUCK-047347</t>
  </si>
  <si>
    <t>CLICTRUCK-047348</t>
  </si>
  <si>
    <t>CLICTRUCK-047349</t>
  </si>
  <si>
    <t>CLICTRUCK-047350</t>
  </si>
  <si>
    <t>CLICTRUCK-047353</t>
  </si>
  <si>
    <t>CLICTRUCK-047354</t>
  </si>
  <si>
    <t>CLICTRUCK-047355</t>
  </si>
  <si>
    <t>CLICTRUCK-047356</t>
  </si>
  <si>
    <t>CLICTRUCK-047357</t>
  </si>
  <si>
    <t>CLICTRUCK-047358</t>
  </si>
  <si>
    <t>CLICTRUCK-047359</t>
  </si>
  <si>
    <t>CLICTRUCK-047360</t>
  </si>
  <si>
    <t>CLICTRUCK-047379</t>
  </si>
  <si>
    <t>CLICTRUCK-047380</t>
  </si>
  <si>
    <t>CLICTRUCK-047381</t>
  </si>
  <si>
    <t>CLICTRUCK-047382</t>
  </si>
  <si>
    <t>CLICTRUCK-047383</t>
  </si>
  <si>
    <t>CLICTRUCK-047384</t>
  </si>
  <si>
    <t>CLICTRUCK-047385</t>
  </si>
  <si>
    <t>CLICTRUCK-047388</t>
  </si>
  <si>
    <t>CLICTRUCK-047392</t>
  </si>
  <si>
    <t>CLICTRUCK-047395</t>
  </si>
  <si>
    <t>CLICTRUCK-047396</t>
  </si>
  <si>
    <t>CLICTRUCK-047397</t>
  </si>
  <si>
    <t>CLICTRUCK-047398</t>
  </si>
  <si>
    <t>CLICTRUCK-047399</t>
  </si>
  <si>
    <t>CLICTRUCK-047400</t>
  </si>
  <si>
    <t>CLICTRUCK-047401</t>
  </si>
  <si>
    <t>CLICTRUCK-047402</t>
  </si>
  <si>
    <t>CLICTRUCK-047403</t>
  </si>
  <si>
    <t>CLICTRUCK-047404</t>
  </si>
  <si>
    <t>CLICTRUCK-047405</t>
  </si>
  <si>
    <t>CLICTRUCK-047406</t>
  </si>
  <si>
    <t>CLICTRUCK-047407</t>
  </si>
  <si>
    <t>CLICTRUCK-047414</t>
  </si>
  <si>
    <t>CLICTRUCK-047415</t>
  </si>
  <si>
    <t>CLICTRUCK-047416</t>
  </si>
  <si>
    <t>CLICTRUCK-047418</t>
  </si>
  <si>
    <t>CLICTRUCK-047419</t>
  </si>
  <si>
    <t>CLICTRUCK-047420</t>
  </si>
  <si>
    <t>CLICTRUCK-047421</t>
  </si>
  <si>
    <t>CLICTRUCK-047422</t>
  </si>
  <si>
    <t>CLICTRUCK-047423</t>
  </si>
  <si>
    <t>CLICTRUCK-047424</t>
  </si>
  <si>
    <t>CLICTRUCK-047425</t>
  </si>
  <si>
    <t>CLICTRUCK-047426</t>
  </si>
  <si>
    <t>CLICTRUCK-047427</t>
  </si>
  <si>
    <t>CLICTRUCK-047429</t>
  </si>
  <si>
    <t>CLICTRUCK-047431</t>
  </si>
  <si>
    <t>CLICTRUCK-047432</t>
  </si>
  <si>
    <t>CLICTRUCK-047433</t>
  </si>
  <si>
    <t>CLICTRUCK-047434</t>
  </si>
  <si>
    <t>CLICTRUCK-047435</t>
  </si>
  <si>
    <t>CLICTRUCK-047436</t>
  </si>
  <si>
    <t>CLICTRUCK-047437</t>
  </si>
  <si>
    <t>CLICTRUCK-047438</t>
  </si>
  <si>
    <t>CLICTRUCK-047439</t>
  </si>
  <si>
    <t>CLICTRUCK-047440</t>
  </si>
  <si>
    <t>CLICTRUCK-047441</t>
  </si>
  <si>
    <t>CLICTRUCK-047442</t>
  </si>
  <si>
    <t>CLICTRUCK-047443</t>
  </si>
  <si>
    <t>CLICTRUCK-047444</t>
  </si>
  <si>
    <t>CLICTRUCK-047445</t>
  </si>
  <si>
    <t>CLICTRUCK-047446</t>
  </si>
  <si>
    <t>CLICTRUCK-047447</t>
  </si>
  <si>
    <t>CLICTRUCK-047448</t>
  </si>
  <si>
    <t>CLICTRUCK-047449</t>
  </si>
  <si>
    <t>CLICTRUCK-047450</t>
  </si>
  <si>
    <t>CLICTRUCK-047451</t>
  </si>
  <si>
    <t>CLICTRUCK-047452</t>
  </si>
  <si>
    <t>CLICTRUCK-047453</t>
  </si>
  <si>
    <t>CLICTRUCK-047454</t>
  </si>
  <si>
    <t>CLICTRUCK-047455</t>
  </si>
  <si>
    <t>CLICTRUCK-047456</t>
  </si>
  <si>
    <t>CLICTRUCK-047457</t>
  </si>
  <si>
    <t>CLICTRUCK-047458</t>
  </si>
  <si>
    <t>CLICTRUCK-047459</t>
  </si>
  <si>
    <t>CLICTRUCK-047460</t>
  </si>
  <si>
    <t>CLICTRUCK-047461</t>
  </si>
  <si>
    <t>CLICTRUCK-047462</t>
  </si>
  <si>
    <t>CLICTRUCK-047463</t>
  </si>
  <si>
    <t>CLICTRUCK-047464</t>
  </si>
  <si>
    <t>CLICTRUCK-047465</t>
  </si>
  <si>
    <t>CLICTRUCK-047466</t>
  </si>
  <si>
    <t>CLICTRUCK-047467</t>
  </si>
  <si>
    <t>CLICTRUCK-047468</t>
  </si>
  <si>
    <t>CLICTRUCK-047469</t>
  </si>
  <si>
    <t>CLICTRUCK-047470</t>
  </si>
  <si>
    <t>CLICTRUCK-047471</t>
  </si>
  <si>
    <t>CLICTRUCK-047472</t>
  </si>
  <si>
    <t>CLICTRUCK-047473</t>
  </si>
  <si>
    <t>CLICTRUCK-047474</t>
  </si>
  <si>
    <t>CLICTRUCK-047475</t>
  </si>
  <si>
    <t>CLICTRUCK-047476</t>
  </si>
  <si>
    <t>CLICTRUCK-047477</t>
  </si>
  <si>
    <t>CLICTRUCK-047478</t>
  </si>
  <si>
    <t>CLICTRUCK-047479</t>
  </si>
  <si>
    <t>CLICTRUCK-047480</t>
  </si>
  <si>
    <t>CLICTRUCK-047481</t>
  </si>
  <si>
    <t>CLICTRUCK-047482</t>
  </si>
  <si>
    <t>CLICTRUCK-047486</t>
  </si>
  <si>
    <t>CLICTRUCK-047487</t>
  </si>
  <si>
    <t>CLICTRUCK-047488</t>
  </si>
  <si>
    <t>CLICTRUCK-047489</t>
  </si>
  <si>
    <t>CLICTRUCK-047490</t>
  </si>
  <si>
    <t>CLICTRUCK-047491</t>
  </si>
  <si>
    <t>CLICTRUCK-047492</t>
  </si>
  <si>
    <t>CLICTRUCK-047493</t>
  </si>
  <si>
    <t>CLICTRUCK-047495</t>
  </si>
  <si>
    <t>CLICTRUCK-047496</t>
  </si>
  <si>
    <t>CLICTRUCK-047497</t>
  </si>
  <si>
    <t>CLICTRUCK-047498</t>
  </si>
  <si>
    <t>CLICTRUCK-047499</t>
  </si>
  <si>
    <t>CLICTRUCK-047500</t>
  </si>
  <si>
    <t>CLICTRUCK-047501</t>
  </si>
  <si>
    <t>CLICTRUCK-047503</t>
  </si>
  <si>
    <t>CLICTRUCK-047504</t>
  </si>
  <si>
    <t>CLICTRUCK-047505</t>
  </si>
  <si>
    <t>CLICTRUCK-047506</t>
  </si>
  <si>
    <t>CLICTRUCK-047507</t>
  </si>
  <si>
    <t>CLICTRUCK-047508</t>
  </si>
  <si>
    <t>CLICTRUCK-047509</t>
  </si>
  <si>
    <t>CLICTRUCK-047510</t>
  </si>
  <si>
    <t>CLICTRUCK-047512</t>
  </si>
  <si>
    <t>CLICTRUCK-047513</t>
  </si>
  <si>
    <t>CLICTRUCK-047514</t>
  </si>
  <si>
    <t>CLICTRUCK-047515</t>
  </si>
  <si>
    <t>CLICTRUCK-047516</t>
  </si>
  <si>
    <t>CLICTRUCK-047517</t>
  </si>
  <si>
    <t>CLICTRUCK-047518</t>
  </si>
  <si>
    <t>CLICTRUCK-047519</t>
  </si>
  <si>
    <t>CLICTRUCK-047522</t>
  </si>
  <si>
    <t>CLICTRUCK-047523</t>
  </si>
  <si>
    <t>CLICTRUCK-047524</t>
  </si>
  <si>
    <t>CLICTRUCK-047525</t>
  </si>
  <si>
    <t>CLICTRUCK-047526</t>
  </si>
  <si>
    <t>CLICTRUCK-047528</t>
  </si>
  <si>
    <t>CLICTRUCK-047529</t>
  </si>
  <si>
    <t>CLICTRUCK-047530</t>
  </si>
  <si>
    <t>CLICTRUCK-047531</t>
  </si>
  <si>
    <t>CLICTRUCK-047532</t>
  </si>
  <si>
    <t>CLICTRUCK-047533</t>
  </si>
  <si>
    <t>CLICTRUCK-047534</t>
  </si>
  <si>
    <t>CLICTRUCK-047535</t>
  </si>
  <si>
    <t>CLICTRUCK-047536</t>
  </si>
  <si>
    <t>CLICTRUCK-047537</t>
  </si>
  <si>
    <t>CLICTRUCK-047538</t>
  </si>
  <si>
    <t>CLICTRUCK-047539</t>
  </si>
  <si>
    <t>CLICTRUCK-047540</t>
  </si>
  <si>
    <t>CLICTRUCK-047541</t>
  </si>
  <si>
    <t>CLICTRUCK-047542</t>
  </si>
  <si>
    <t>CLICTRUCK-047543</t>
  </si>
  <si>
    <t>CLICTRUCK-047549</t>
  </si>
  <si>
    <t>CLICTRUCK-047550</t>
  </si>
  <si>
    <t>CLICTRUCK-047551</t>
  </si>
  <si>
    <t>CLICTRUCK-047552</t>
  </si>
  <si>
    <t>CLICTRUCK-047553</t>
  </si>
  <si>
    <t>CLICTRUCK-047554</t>
  </si>
  <si>
    <t>CLICTRUCK-047555</t>
  </si>
  <si>
    <t>CLICTRUCK-047556</t>
  </si>
  <si>
    <t>CLICTRUCK-047557</t>
  </si>
  <si>
    <t>CLICTRUCK-047566</t>
  </si>
  <si>
    <t>CLICTRUCK-047567</t>
  </si>
  <si>
    <t>CLICTRUCK-047568</t>
  </si>
  <si>
    <t>CLICTRUCK-047569</t>
  </si>
  <si>
    <t>CLICTRUCK-047571</t>
  </si>
  <si>
    <t>CLICTRUCK-047573</t>
  </si>
  <si>
    <t>CLICTRUCK-047575</t>
  </si>
  <si>
    <t>CLICTRUCK-047578</t>
  </si>
  <si>
    <t>CLICTRUCK-047579</t>
  </si>
  <si>
    <t>CLICTRUCK-047580</t>
  </si>
  <si>
    <t>CLICTRUCK-047581</t>
  </si>
  <si>
    <t>CLICTRUCK-047583</t>
  </si>
  <si>
    <t>CLICTRUCK-047586</t>
  </si>
  <si>
    <t>CLICTRUCK-047587</t>
  </si>
  <si>
    <t>CLICTRUCK-047588</t>
  </si>
  <si>
    <t>CLICTRUCK-047590</t>
  </si>
  <si>
    <t>CLICTRUCK-047592</t>
  </si>
  <si>
    <t>CLICTRUCK-047595</t>
  </si>
  <si>
    <t>CLICTRUCK-047596</t>
  </si>
  <si>
    <t>CLICTRUCK-047597</t>
  </si>
  <si>
    <t>CLICTRUCK-047598</t>
  </si>
  <si>
    <t>CLICTRUCK-047603</t>
  </si>
  <si>
    <t>CLICTRUCK-047604</t>
  </si>
  <si>
    <t>CLICTRUCK-047605</t>
  </si>
  <si>
    <t>CLICTRUCK-047606</t>
  </si>
  <si>
    <t>CLICTRUCK-047607</t>
  </si>
  <si>
    <t>CLICTRUCK-047616</t>
  </si>
  <si>
    <t>CLICTRUCK-047617</t>
  </si>
  <si>
    <t>CLICTRUCK-047618</t>
  </si>
  <si>
    <t>CLICTRUCK-047619</t>
  </si>
  <si>
    <t>CLICTRUCK-047620</t>
  </si>
  <si>
    <t>CLICTRUCK-047621</t>
  </si>
  <si>
    <t>CLICTRUCK-047622</t>
  </si>
  <si>
    <t>CLICTRUCK-047623</t>
  </si>
  <si>
    <t>CLICTRUCK-047624</t>
  </si>
  <si>
    <t>CLICTRUCK-047625</t>
  </si>
  <si>
    <t>CLICTRUCK-047626</t>
  </si>
  <si>
    <t>CLICTRUCK-047627</t>
  </si>
  <si>
    <t>CLICTRUCK-047628</t>
  </si>
  <si>
    <t>CLICTRUCK-047629</t>
  </si>
  <si>
    <t>CLICTRUCK-047630</t>
  </si>
  <si>
    <t>CLICTRUCK-047631</t>
  </si>
  <si>
    <t>CLICTRUCK-047633</t>
  </si>
  <si>
    <t>CLICTRUCK-047634</t>
  </si>
  <si>
    <t>CLICTRUCK-047635</t>
  </si>
  <si>
    <t>CLICTRUCK-047639</t>
  </si>
  <si>
    <t>CLICTRUCK-047640</t>
  </si>
  <si>
    <t>CLICTRUCK-047641</t>
  </si>
  <si>
    <t>CLICTRUCK-047642</t>
  </si>
  <si>
    <t>CLICTRUCK-047643</t>
  </si>
  <si>
    <t>CLICTRUCK-047644</t>
  </si>
  <si>
    <t>CLICTRUCK-047645</t>
  </si>
  <si>
    <t>CLICTRUCK-047646</t>
  </si>
  <si>
    <t>CLICTRUCK-047647</t>
  </si>
  <si>
    <t>CLICTRUCK-047648</t>
  </si>
  <si>
    <t>CLICTRUCK-047649</t>
  </si>
  <si>
    <t>CLICTRUCK-047650</t>
  </si>
  <si>
    <t>CLICTRUCK-047651</t>
  </si>
  <si>
    <t>CLICTRUCK-047652</t>
  </si>
  <si>
    <t>CLICTRUCK-047653</t>
  </si>
  <si>
    <t>CLICTRUCK-047654</t>
  </si>
  <si>
    <t>CLICTRUCK-047655</t>
  </si>
  <si>
    <t>CLICTRUCK-047656</t>
  </si>
  <si>
    <t>CLICTRUCK-047657</t>
  </si>
  <si>
    <t>CLICTRUCK-047658</t>
  </si>
  <si>
    <t>CLICTRUCK-047659</t>
  </si>
  <si>
    <t>CLICTRUCK-047660</t>
  </si>
  <si>
    <t>CLICTRUCK-047661</t>
  </si>
  <si>
    <t>CLICTRUCK-047662</t>
  </si>
  <si>
    <t>CLICTRUCK-047663</t>
  </si>
  <si>
    <t>CLICTRUCK-047664</t>
  </si>
  <si>
    <t>CLICTRUCK-047665</t>
  </si>
  <si>
    <t>CLICTRUCK-047666</t>
  </si>
  <si>
    <t>CLICTRUCK-047693</t>
  </si>
  <si>
    <t>CLICTRUCK-047696</t>
  </si>
  <si>
    <t>CLICTRUCK-047699</t>
  </si>
  <si>
    <t>CLICTRUCK-047700</t>
  </si>
  <si>
    <t>CLICTRUCK-047702</t>
  </si>
  <si>
    <t>CLICTRUCK-047703</t>
  </si>
  <si>
    <t>CLICTRUCK-047704</t>
  </si>
  <si>
    <t>CLICTRUCK-047705</t>
  </si>
  <si>
    <t>CLICTRUCK-047706</t>
  </si>
  <si>
    <t>CLICTRUCK-047707</t>
  </si>
  <si>
    <t>CLICTRUCK-047708</t>
  </si>
  <si>
    <t>CLICTRUCK-047709</t>
  </si>
  <si>
    <t>CLICTRUCK-047710</t>
  </si>
  <si>
    <t>CLICTRUCK-047711</t>
  </si>
  <si>
    <t>CLICTRUCK-047712</t>
  </si>
  <si>
    <t>CLICTRUCK-047715</t>
  </si>
  <si>
    <t>CLICTRUCK-047716</t>
  </si>
  <si>
    <t>CLICTRUCK-047717</t>
  </si>
  <si>
    <t>CLICTRUCK-047718</t>
  </si>
  <si>
    <t>CLICTRUCK-047719</t>
  </si>
  <si>
    <t>CLICTRUCK-047720</t>
  </si>
  <si>
    <t>CLICTRUCK-047721</t>
  </si>
  <si>
    <t>CLICTRUCK-047722</t>
  </si>
  <si>
    <t>CLICTRUCK-047723</t>
  </si>
  <si>
    <t>CLICTRUCK-047724</t>
  </si>
  <si>
    <t>CLICTRUCK-047725</t>
  </si>
  <si>
    <t>CLICTRUCK-047726</t>
  </si>
  <si>
    <t>CLICTRUCK-047727</t>
  </si>
  <si>
    <t>CLICTRUCK-047728</t>
  </si>
  <si>
    <t>CLICTRUCK-047729</t>
  </si>
  <si>
    <t>CLICTRUCK-047730</t>
  </si>
  <si>
    <t>CLICTRUCK-047731</t>
  </si>
  <si>
    <t>CLICTRUCK-047732</t>
  </si>
  <si>
    <t>CLICTRUCK-047733</t>
  </si>
  <si>
    <t>CLICTRUCK-047734</t>
  </si>
  <si>
    <t>CLICTRUCK-047735</t>
  </si>
  <si>
    <t>CLICTRUCK-047736</t>
  </si>
  <si>
    <t>CLICTRUCK-047737</t>
  </si>
  <si>
    <t>CLICTRUCK-047738</t>
  </si>
  <si>
    <t>CLICTRUCK-047739</t>
  </si>
  <si>
    <t>CLICTRUCK-047740</t>
  </si>
  <si>
    <t>CLICTRUCK-047741</t>
  </si>
  <si>
    <t>CLICTRUCK-047742</t>
  </si>
  <si>
    <t>CLICTRUCK-047743</t>
  </si>
  <si>
    <t>CLICTRUCK-047744</t>
  </si>
  <si>
    <t>CLICTRUCK-047745</t>
  </si>
  <si>
    <t>CLICTRUCK-047746</t>
  </si>
  <si>
    <t>CLICTRUCK-047747</t>
  </si>
  <si>
    <t>CLICTRUCK-047748</t>
  </si>
  <si>
    <t>CLICTRUCK-047750</t>
  </si>
  <si>
    <t>CLICTRUCK-047751</t>
  </si>
  <si>
    <t>CLICTRUCK-047752</t>
  </si>
  <si>
    <t>CLICTRUCK-047753</t>
  </si>
  <si>
    <t>CLICTRUCK-047754</t>
  </si>
  <si>
    <t>CLICTRUCK-047755</t>
  </si>
  <si>
    <t>CLICTRUCK-047756</t>
  </si>
  <si>
    <t>CLICTRUCK-047757</t>
  </si>
  <si>
    <t>CLICTRUCK-047758</t>
  </si>
  <si>
    <t>CLICTRUCK-047759</t>
  </si>
  <si>
    <t>CLICTRUCK-047760</t>
  </si>
  <si>
    <t>CLICTRUCK-047761</t>
  </si>
  <si>
    <t>CLICTRUCK-047762</t>
  </si>
  <si>
    <t>CLICTRUCK-047763</t>
  </si>
  <si>
    <t>CLICTRUCK-047764</t>
  </si>
  <si>
    <t>CLICTRUCK-047765</t>
  </si>
  <si>
    <t>CLICTRUCK-047766</t>
  </si>
  <si>
    <t>CLICTRUCK-047767</t>
  </si>
  <si>
    <t>CLICTRUCK-047768</t>
  </si>
  <si>
    <t>CLICTRUCK-047769</t>
  </si>
  <si>
    <t>CLICTRUCK-047770</t>
  </si>
  <si>
    <t>CLICTRUCK-047771</t>
  </si>
  <si>
    <t>CLICTRUCK-047773</t>
  </si>
  <si>
    <t>CLICTRUCK-047774</t>
  </si>
  <si>
    <t>CLICTRUCK-047775</t>
  </si>
  <si>
    <t>CLICTRUCK-047776</t>
  </si>
  <si>
    <t>CLICTRUCK-047777</t>
  </si>
  <si>
    <t>CLICTRUCK-047778</t>
  </si>
  <si>
    <t>CLICTRUCK-047779</t>
  </si>
  <si>
    <t>CLICTRUCK-047780</t>
  </si>
  <si>
    <t>CLICTRUCK-047781</t>
  </si>
  <si>
    <t>CLICTRUCK-047782</t>
  </si>
  <si>
    <t>CLICTRUCK-047783</t>
  </si>
  <si>
    <t>CLICTRUCK-047784</t>
  </si>
  <si>
    <t>CLICTRUCK-047785</t>
  </si>
  <si>
    <t>CLICTRUCK-047786</t>
  </si>
  <si>
    <t>CLICTRUCK-047787</t>
  </si>
  <si>
    <t>CLICTRUCK-047788</t>
  </si>
  <si>
    <t>CLICTRUCK-047789</t>
  </si>
  <si>
    <t>CLICTRUCK-047790</t>
  </si>
  <si>
    <t>CLICTRUCK-047791</t>
  </si>
  <si>
    <t>CLICTRUCK-047792</t>
  </si>
  <si>
    <t>CLICTRUCK-047793</t>
  </si>
  <si>
    <t>CLICTRUCK-047795</t>
  </si>
  <si>
    <t>CLICTRUCK-047796</t>
  </si>
  <si>
    <t>CLICTRUCK-047797</t>
  </si>
  <si>
    <t>CLICTRUCK-047798</t>
  </si>
  <si>
    <t>CLICTRUCK-047799</t>
  </si>
  <si>
    <t>CLICTRUCK-047800</t>
  </si>
  <si>
    <t>CLICTRUCK-047801</t>
  </si>
  <si>
    <t>CLICTRUCK-047802</t>
  </si>
  <si>
    <t>CLICTRUCK-047803</t>
  </si>
  <si>
    <t>CLICTRUCK-047804</t>
  </si>
  <si>
    <t>CLICTRUCK-047805</t>
  </si>
  <si>
    <t>CLICTRUCK-047806</t>
  </si>
  <si>
    <t>CLICTRUCK-047807</t>
  </si>
  <si>
    <t>CLICTRUCK-047808</t>
  </si>
  <si>
    <t>CLICTRUCK-047809</t>
  </si>
  <si>
    <t>CLICTRUCK-047810</t>
  </si>
  <si>
    <t>CLICTRUCK-047811</t>
  </si>
  <si>
    <t>CLICTRUCK-047812</t>
  </si>
  <si>
    <t>CLICTRUCK-047813</t>
  </si>
  <si>
    <t>CLICTRUCK-047814</t>
  </si>
  <si>
    <t>CLICTRUCK-047815</t>
  </si>
  <si>
    <t>CLICTRUCK-047816</t>
  </si>
  <si>
    <t>CLICTRUCK-047817</t>
  </si>
  <si>
    <t>CLICTRUCK-047818</t>
  </si>
  <si>
    <t>CLICTRUCK-047819</t>
  </si>
  <si>
    <t>CLICTRUCK-047820</t>
  </si>
  <si>
    <t>CLICTRUCK-047821</t>
  </si>
  <si>
    <t>CLICTRUCK-047822</t>
  </si>
  <si>
    <t>CLICTRUCK-047823</t>
  </si>
  <si>
    <t>CLICTRUCK-047824</t>
  </si>
  <si>
    <t>CLICTRUCK-047825</t>
  </si>
  <si>
    <t>CLICTRUCK-047826</t>
  </si>
  <si>
    <t>CLICTRUCK-047827</t>
  </si>
  <si>
    <t>CLICTRUCK-047828</t>
  </si>
  <si>
    <t>CLICTRUCK-047829</t>
  </si>
  <si>
    <t>CLICTRUCK-047830</t>
  </si>
  <si>
    <t>CLICTRUCK-047831</t>
  </si>
  <si>
    <t>CLICTRUCK-047832</t>
  </si>
  <si>
    <t>CLICTRUCK-047833</t>
  </si>
  <si>
    <t>CLICTRUCK-047834</t>
  </si>
  <si>
    <t>CLICTRUCK-047835</t>
  </si>
  <si>
    <t>CLICTRUCK-047836</t>
  </si>
  <si>
    <t>CLICTRUCK-047837</t>
  </si>
  <si>
    <t>CLICTRUCK-047838</t>
  </si>
  <si>
    <t>CLICTRUCK-047839</t>
  </si>
  <si>
    <t>CLICTRUCK-047840</t>
  </si>
  <si>
    <t>CLICTRUCK-047841</t>
  </si>
  <si>
    <t>CLICTRUCK-047842</t>
  </si>
  <si>
    <t>CLICTRUCK-047843</t>
  </si>
  <si>
    <t>CLICTRUCK-047844</t>
  </si>
  <si>
    <t>CLICTRUCK-047845</t>
  </si>
  <si>
    <t>CLICTRUCK-047846</t>
  </si>
  <si>
    <t>CLICTRUCK-047848</t>
  </si>
  <si>
    <t>CLICTRUCK-047849</t>
  </si>
  <si>
    <t>CLICTRUCK-047850</t>
  </si>
  <si>
    <t>CLICTRUCK-047851</t>
  </si>
  <si>
    <t>CLICTRUCK-047852</t>
  </si>
  <si>
    <t>CLICTRUCK-047853</t>
  </si>
  <si>
    <t>CLICTRUCK-047854</t>
  </si>
  <si>
    <t>CLICTRUCK-047855</t>
  </si>
  <si>
    <t>CLICTRUCK-047856</t>
  </si>
  <si>
    <t>CLICTRUCK-047857</t>
  </si>
  <si>
    <t>CLICTRUCK-047858</t>
  </si>
  <si>
    <t>CLICTRUCK-047859</t>
  </si>
  <si>
    <t>CLICTRUCK-047860</t>
  </si>
  <si>
    <t>CLICTRUCK-047861</t>
  </si>
  <si>
    <t>CLICTRUCK-047862</t>
  </si>
  <si>
    <t>CLICTRUCK-047863</t>
  </si>
  <si>
    <t>CLICTRUCK-047864</t>
  </si>
  <si>
    <t>CLICTRUCK-047865</t>
  </si>
  <si>
    <t>CLICTRUCK-047866</t>
  </si>
  <si>
    <t>CLICTRUCK-047867</t>
  </si>
  <si>
    <t>CLICTRUCK-047868</t>
  </si>
  <si>
    <t>CLICTRUCK-047870</t>
  </si>
  <si>
    <t>CLICTRUCK-047871</t>
  </si>
  <si>
    <t>CLICTRUCK-047872</t>
  </si>
  <si>
    <t>CLICTRUCK-047873</t>
  </si>
  <si>
    <t>CLICTRUCK-047874</t>
  </si>
  <si>
    <t>CLICTRUCK-047875</t>
  </si>
  <si>
    <t>CLICTRUCK-047876</t>
  </si>
  <si>
    <t>CLICTRUCK-047877</t>
  </si>
  <si>
    <t>CLICTRUCK-047878</t>
  </si>
  <si>
    <t>CLICTRUCK-047879</t>
  </si>
  <si>
    <t>CLICTRUCK-047880</t>
  </si>
  <si>
    <t>CLICTRUCK-047881</t>
  </si>
  <si>
    <t>CLICTRUCK-047882</t>
  </si>
  <si>
    <t>CLICTRUCK-047883</t>
  </si>
  <si>
    <t>CLICTRUCK-047884</t>
  </si>
  <si>
    <t>CLICTRUCK-047885</t>
  </si>
  <si>
    <t>CLICTRUCK-047886</t>
  </si>
  <si>
    <t>CLICTRUCK-047887</t>
  </si>
  <si>
    <t>CLICTRUCK-047888</t>
  </si>
  <si>
    <t>CLICTRUCK-047889</t>
  </si>
  <si>
    <t>CLICTRUCK-047890</t>
  </si>
  <si>
    <t>CLICTRUCK-047891</t>
  </si>
  <si>
    <t>CLICTRUCK-047892</t>
  </si>
  <si>
    <t>CLICTRUCK-047893</t>
  </si>
  <si>
    <t>CLICTRUCK-047894</t>
  </si>
  <si>
    <t>CLICTRUCK-047895</t>
  </si>
  <si>
    <t>CLICTRUCK-047896</t>
  </si>
  <si>
    <t>CLICTRUCK-047897</t>
  </si>
  <si>
    <t>CLICTRUCK-047898</t>
  </si>
  <si>
    <t>CLICTRUCK-047899</t>
  </si>
  <si>
    <t>CLICTRUCK-047903</t>
  </si>
  <si>
    <t>CLICTRUCK-047905</t>
  </si>
  <si>
    <t>CLICTRUCK-047907</t>
  </si>
  <si>
    <t>CLICTRUCK-047908</t>
  </si>
  <si>
    <t>CLICTRUCK-047909</t>
  </si>
  <si>
    <t>CLICTRUCK-047910</t>
  </si>
  <si>
    <t>CLICTRUCK-047911</t>
  </si>
  <si>
    <t>CLICTRUCK-047912</t>
  </si>
  <si>
    <t>CLICTRUCK-047913</t>
  </si>
  <si>
    <t>CLICTRUCK-047914</t>
  </si>
  <si>
    <t>CLICTRUCK-047915</t>
  </si>
  <si>
    <t>CLICTRUCK-047916</t>
  </si>
  <si>
    <t>CLICTRUCK-047917</t>
  </si>
  <si>
    <t>CLICTRUCK-047918</t>
  </si>
  <si>
    <t>CLICTRUCK-047919</t>
  </si>
  <si>
    <t>CLICTRUCK-047920</t>
  </si>
  <si>
    <t>CLICTRUCK-047930</t>
  </si>
  <si>
    <t>CLICTRUCK-047931</t>
  </si>
  <si>
    <t>CLICTRUCK-047932</t>
  </si>
  <si>
    <t>CLICTRUCK-047933</t>
  </si>
  <si>
    <t>CLICTRUCK-047934</t>
  </si>
  <si>
    <t>CLICTRUCK-047935</t>
  </si>
  <si>
    <t>CLICTRUCK-047936</t>
  </si>
  <si>
    <t>CLICTRUCK-047937</t>
  </si>
  <si>
    <t>CLICTRUCK-047938</t>
  </si>
  <si>
    <t>CLICTRUCK-047939</t>
  </si>
  <si>
    <t>CLICTRUCK-047940</t>
  </si>
  <si>
    <t>CLICTRUCK-047941</t>
  </si>
  <si>
    <t>CLICTRUCK-047942</t>
  </si>
  <si>
    <t>CLICTRUCK-047943</t>
  </si>
  <si>
    <t>CLICTRUCK-047944</t>
  </si>
  <si>
    <t>CLICTRUCK-047957</t>
  </si>
  <si>
    <t>CLICTRUCK-047958</t>
  </si>
  <si>
    <t>CLICTRUCK-047959</t>
  </si>
  <si>
    <t>CLICTRUCK-047960</t>
  </si>
  <si>
    <t>CLICTRUCK-047961</t>
  </si>
  <si>
    <t>CLICTRUCK-047966</t>
  </si>
  <si>
    <t>CLICTRUCK-047967</t>
  </si>
  <si>
    <t>CLICTRUCK-047968</t>
  </si>
  <si>
    <t>CLICTRUCK-047969</t>
  </si>
  <si>
    <t>CLICTRUCK-047970</t>
  </si>
  <si>
    <t>CLICTRUCK-047971</t>
  </si>
  <si>
    <t>CLICTRUCK-047972</t>
  </si>
  <si>
    <t>CLICTRUCK-047973</t>
  </si>
  <si>
    <t>CLICTRUCK-047974</t>
  </si>
  <si>
    <t>CLICTRUCK-047975</t>
  </si>
  <si>
    <t>CLICTRUCK-047976</t>
  </si>
  <si>
    <t>CLICTRUCK-047977</t>
  </si>
  <si>
    <t>CLICTRUCK-047978</t>
  </si>
  <si>
    <t>CLICTRUCK-047979</t>
  </si>
  <si>
    <t>CLICTRUCK-047980</t>
  </si>
  <si>
    <t>CLICTRUCK-047981</t>
  </si>
  <si>
    <t>CLICTRUCK-047982</t>
  </si>
  <si>
    <t>CLICTRUCK-047983</t>
  </si>
  <si>
    <t>CLICTRUCK-047984</t>
  </si>
  <si>
    <t>CLICTRUCK-047985</t>
  </si>
  <si>
    <t>CLICTRUCK-047986</t>
  </si>
  <si>
    <t>CLICTRUCK-047987</t>
  </si>
  <si>
    <t>CLICTRUCK-047988</t>
  </si>
  <si>
    <t>CLICTRUCK-047989</t>
  </si>
  <si>
    <t>CLICTRUCK-047990</t>
  </si>
  <si>
    <t>CLICTRUCK-047991</t>
  </si>
  <si>
    <t>CLICTRUCK-047992</t>
  </si>
  <si>
    <t>CLICTRUCK-047993</t>
  </si>
  <si>
    <t>CLICTRUCK-047994</t>
  </si>
  <si>
    <t>CLICTRUCK-047995</t>
  </si>
  <si>
    <t>CLICTRUCK-047996</t>
  </si>
  <si>
    <t>CLICTRUCK-047997</t>
  </si>
  <si>
    <t>CLICTRUCK-047998</t>
  </si>
  <si>
    <t>CLICTRUCK-047999</t>
  </si>
  <si>
    <t>CLICTRUCK-048000</t>
  </si>
  <si>
    <t>CLICTRUCK-048001</t>
  </si>
  <si>
    <t>CLICTRUCK-048002</t>
  </si>
  <si>
    <t>CLICTRUCK-048003</t>
  </si>
  <si>
    <t>CLICTRUCK-048004</t>
  </si>
  <si>
    <t>CLICTRUCK-048005</t>
  </si>
  <si>
    <t>CLICTRUCK-048006</t>
  </si>
  <si>
    <t>CLICTRUCK-048007</t>
  </si>
  <si>
    <t>CLICTRUCK-048008</t>
  </si>
  <si>
    <t>CLICTRUCK-048009</t>
  </si>
  <si>
    <t>CLICTRUCK-048010</t>
  </si>
  <si>
    <t>CLICTRUCK-048011</t>
  </si>
  <si>
    <t>CLICTRUCK-048012</t>
  </si>
  <si>
    <t>CLICTRUCK-048014</t>
  </si>
  <si>
    <t>CLICTRUCK-048015</t>
  </si>
  <si>
    <t>CLICTRUCK-048016</t>
  </si>
  <si>
    <t>CLICTRUCK-048017</t>
  </si>
  <si>
    <t>CLICTRUCK-048018</t>
  </si>
  <si>
    <t>CLICTRUCK-048019</t>
  </si>
  <si>
    <t>CLICTRUCK-048020</t>
  </si>
  <si>
    <t>CLICTRUCK-048021</t>
  </si>
  <si>
    <t>CLICTRUCK-048022</t>
  </si>
  <si>
    <t>CLICTRUCK-048023</t>
  </si>
  <si>
    <t>CLICTRUCK-048024</t>
  </si>
  <si>
    <t>CLICTRUCK-048025</t>
  </si>
  <si>
    <t>CLICTRUCK-048026</t>
  </si>
  <si>
    <t>CLICTRUCK-048027</t>
  </si>
  <si>
    <t>CLICTRUCK-048028</t>
  </si>
  <si>
    <t>CLICTRUCK-048029</t>
  </si>
  <si>
    <t>CLICTRUCK-048030</t>
  </si>
  <si>
    <t>CLICTRUCK-048031</t>
  </si>
  <si>
    <t>CLICTRUCK-048032</t>
  </si>
  <si>
    <t>CLICTRUCK-048033</t>
  </si>
  <si>
    <t>CLICTRUCK-048034</t>
  </si>
  <si>
    <t>CLICTRUCK-048035</t>
  </si>
  <si>
    <t>CLICTRUCK-048036</t>
  </si>
  <si>
    <t>CLICTRUCK-048037</t>
  </si>
  <si>
    <t>CLICTRUCK-048038</t>
  </si>
  <si>
    <t>CLICTRUCK-048039</t>
  </si>
  <si>
    <t>CLICTRUCK-048040</t>
  </si>
  <si>
    <t>CLICTRUCK-048041</t>
  </si>
  <si>
    <t>CLICTRUCK-048042</t>
  </si>
  <si>
    <t>CLICTRUCK-048043</t>
  </si>
  <si>
    <t>CLICTRUCK-048044</t>
  </si>
  <si>
    <t>CLICTRUCK-048045</t>
  </si>
  <si>
    <t>CLICTRUCK-048046</t>
  </si>
  <si>
    <t>CLICTRUCK-048047</t>
  </si>
  <si>
    <t>CLICTRUCK-048048</t>
  </si>
  <si>
    <t>CLICTRUCK-048049</t>
  </si>
  <si>
    <t>CLICTRUCK-048050</t>
  </si>
  <si>
    <t>CLICTRUCK-048051</t>
  </si>
  <si>
    <t>CLICTRUCK-048052</t>
  </si>
  <si>
    <t>CLICTRUCK-048053</t>
  </si>
  <si>
    <t>CLICTRUCK-048054</t>
  </si>
  <si>
    <t>CLICTRUCK-048055</t>
  </si>
  <si>
    <t>CLICTRUCK-048056</t>
  </si>
  <si>
    <t>CLICTRUCK-048057</t>
  </si>
  <si>
    <t>CLICTRUCK-048058</t>
  </si>
  <si>
    <t>CLICTRUCK-048059</t>
  </si>
  <si>
    <t>CLICTRUCK-048060</t>
  </si>
  <si>
    <t>CLICTRUCK-048061</t>
  </si>
  <si>
    <t>CLICTRUCK-048062</t>
  </si>
  <si>
    <t>CLICTRUCK-048063</t>
  </si>
  <si>
    <t>CLICTRUCK-048064</t>
  </si>
  <si>
    <t>CLICTRUCK-048067</t>
  </si>
  <si>
    <t>CLICTRUCK-048068</t>
  </si>
  <si>
    <t>CLICTRUCK-048069</t>
  </si>
  <si>
    <t>CLICTRUCK-048071</t>
  </si>
  <si>
    <t>CLICTRUCK-048072</t>
  </si>
  <si>
    <t>CLICTRUCK-048073</t>
  </si>
  <si>
    <t>CLICTRUCK-048074</t>
  </si>
  <si>
    <t>CLICTRUCK-048075</t>
  </si>
  <si>
    <t>CLICTRUCK-048076</t>
  </si>
  <si>
    <t>CLICTRUCK-048077</t>
  </si>
  <si>
    <t>CLICTRUCK-048078</t>
  </si>
  <si>
    <t>CLICTRUCK-048080</t>
  </si>
  <si>
    <t>CLICTRUCK-048082</t>
  </si>
  <si>
    <t>CLICTRUCK-048083</t>
  </si>
  <si>
    <t>CLICTRUCK-048085</t>
  </si>
  <si>
    <t>CLICTRUCK-048086</t>
  </si>
  <si>
    <t>CLICTRUCK-048087</t>
  </si>
  <si>
    <t>CLICTRUCK-048089</t>
  </si>
  <si>
    <t>CLICTRUCK-048094</t>
  </si>
  <si>
    <t>CLICTRUCK-048095</t>
  </si>
  <si>
    <t>CLICTRUCK-048096</t>
  </si>
  <si>
    <t>CLICTRUCK-048097</t>
  </si>
  <si>
    <t>CLICTRUCK-048098</t>
  </si>
  <si>
    <t>CLICTRUCK-048099</t>
  </si>
  <si>
    <t>PT. Mulia Cahaya Wiguna</t>
  </si>
  <si>
    <t>CBN - MCW</t>
  </si>
  <si>
    <t>CLICTRUCK-048101</t>
  </si>
  <si>
    <t>PT. Duo Romo Trans</t>
  </si>
  <si>
    <t>LVI - DRT</t>
  </si>
  <si>
    <t>CLICTRUCK-048102</t>
  </si>
  <si>
    <t>CLICTRUCK-048103</t>
  </si>
  <si>
    <t>CLICTRUCK-048104</t>
  </si>
  <si>
    <t>CLICTRUCK-048106</t>
  </si>
  <si>
    <t>CLICTRUCK-048107</t>
  </si>
  <si>
    <t>CLICTRUCK-048108</t>
  </si>
  <si>
    <t>CLICTRUCK-048109</t>
  </si>
  <si>
    <t>CLICTRUCK-048110</t>
  </si>
  <si>
    <t>CLICTRUCK-048111</t>
  </si>
  <si>
    <t>CLICTRUCK-048112</t>
  </si>
  <si>
    <t>CLICTRUCK-048113</t>
  </si>
  <si>
    <t>CLICTRUCK-048114</t>
  </si>
  <si>
    <t>CLICTRUCK-048115</t>
  </si>
  <si>
    <t>CLICTRUCK-048116</t>
  </si>
  <si>
    <t>CLICTRUCK-048117</t>
  </si>
  <si>
    <t>CLICTRUCK-048118</t>
  </si>
  <si>
    <t>CLICTRUCK-048119</t>
  </si>
  <si>
    <t>CLICTRUCK-048120</t>
  </si>
  <si>
    <t>CLICTRUCK-048121</t>
  </si>
  <si>
    <t>CLICTRUCK-048122</t>
  </si>
  <si>
    <t>CLICTRUCK-048123</t>
  </si>
  <si>
    <t>CLICTRUCK-048124</t>
  </si>
  <si>
    <t>CLICTRUCK-048125</t>
  </si>
  <si>
    <t>CLICTRUCK-048126</t>
  </si>
  <si>
    <t>CLICTRUCK-048128</t>
  </si>
  <si>
    <t>CLICTRUCK-048140</t>
  </si>
  <si>
    <t>CLICTRUCK-048142</t>
  </si>
  <si>
    <t>PT. Sentral Kreasi Gemilang</t>
  </si>
  <si>
    <t>EKL-SKG</t>
  </si>
  <si>
    <t>CLICTRUCK-048151</t>
  </si>
  <si>
    <t>CLICTRUCK-048152</t>
  </si>
  <si>
    <t>CLICTRUCK-048169</t>
  </si>
  <si>
    <t>PT. Rizki Berlian Perkasa</t>
  </si>
  <si>
    <t>LBP - RBP</t>
  </si>
  <si>
    <t>CLICTRUCK-048170</t>
  </si>
  <si>
    <t>CLICTRUCK-048171</t>
  </si>
  <si>
    <t>CLICTRUCK-048172</t>
  </si>
  <si>
    <t>CLICTRUCK-048173</t>
  </si>
  <si>
    <t>CLICTRUCK-048174</t>
  </si>
  <si>
    <t>CLICTRUCK-048175</t>
  </si>
  <si>
    <t>CLICTRUCK-048176</t>
  </si>
  <si>
    <t>CLICTRUCK-048177</t>
  </si>
  <si>
    <t>CLICTRUCK-048178</t>
  </si>
  <si>
    <t>CLICTRUCK-048179</t>
  </si>
  <si>
    <t>CLICTRUCK-048180</t>
  </si>
  <si>
    <t>CLICTRUCK-048181</t>
  </si>
  <si>
    <t>CLICTRUCK-048182</t>
  </si>
  <si>
    <t>CLICTRUCK-048183</t>
  </si>
  <si>
    <t>CLICTRUCK-048184</t>
  </si>
  <si>
    <t>CLICTRUCK-048185</t>
  </si>
  <si>
    <t>CLICTRUCK-048186</t>
  </si>
  <si>
    <t>CLICTRUCK-048187</t>
  </si>
  <si>
    <t>CLICTRUCK-048188</t>
  </si>
  <si>
    <t>CLICTRUCK-048190</t>
  </si>
  <si>
    <t>CLICTRUCK-048191</t>
  </si>
  <si>
    <t>CLICTRUCK-048192</t>
  </si>
  <si>
    <t>CLICTRUCK-048193</t>
  </si>
  <si>
    <t>CLICTRUCK-048194</t>
  </si>
  <si>
    <t>CLICTRUCK-048195</t>
  </si>
  <si>
    <t>CLICTRUCK-048196</t>
  </si>
  <si>
    <t>CLICTRUCK-048197</t>
  </si>
  <si>
    <t>CLICTRUCK-048198</t>
  </si>
  <si>
    <t>CLICTRUCK-048199</t>
  </si>
  <si>
    <t>CLICTRUCK-048200</t>
  </si>
  <si>
    <t>CLICTRUCK-048201</t>
  </si>
  <si>
    <t>CLICTRUCK-048202</t>
  </si>
  <si>
    <t>CLICTRUCK-048203</t>
  </si>
  <si>
    <t>CLICTRUCK-048204</t>
  </si>
  <si>
    <t>CLICTRUCK-048205</t>
  </si>
  <si>
    <t>CLICTRUCK-048206</t>
  </si>
  <si>
    <t>CLICTRUCK-048207</t>
  </si>
  <si>
    <t>CLICTRUCK-048208</t>
  </si>
  <si>
    <t>CLICTRUCK-048211</t>
  </si>
  <si>
    <t>CLICTRUCK-048212</t>
  </si>
  <si>
    <t>CLICTRUCK-048213</t>
  </si>
  <si>
    <t>CLICTRUCK-048214</t>
  </si>
  <si>
    <t>CLICTRUCK-048215</t>
  </si>
  <si>
    <t>CLICTRUCK-048216</t>
  </si>
  <si>
    <t>CLICTRUCK-048217</t>
  </si>
  <si>
    <t>CLICTRUCK-048218</t>
  </si>
  <si>
    <t>CLICTRUCK-048219</t>
  </si>
  <si>
    <t>CLICTRUCK-048220</t>
  </si>
  <si>
    <t>CLICTRUCK-048221</t>
  </si>
  <si>
    <t>CLICTRUCK-048222</t>
  </si>
  <si>
    <t>CLICTRUCK-048223</t>
  </si>
  <si>
    <t>CLICTRUCK-048224</t>
  </si>
  <si>
    <t>CLICTRUCK-048225</t>
  </si>
  <si>
    <t>CLICTRUCK-048226</t>
  </si>
  <si>
    <t>CLICTRUCK-048227</t>
  </si>
  <si>
    <t>CLICTRUCK-048228</t>
  </si>
  <si>
    <t>CLICTRUCK-048229</t>
  </si>
  <si>
    <t>CLICTRUCK-048230</t>
  </si>
  <si>
    <t>CLICTRUCK-048231</t>
  </si>
  <si>
    <t>CLICTRUCK-048232</t>
  </si>
  <si>
    <t>CLICTRUCK-048233</t>
  </si>
  <si>
    <t>CLICTRUCK-048234</t>
  </si>
  <si>
    <t>CLICTRUCK-048235</t>
  </si>
  <si>
    <t>CLICTRUCK-048236</t>
  </si>
  <si>
    <t>CLICTRUCK-048237</t>
  </si>
  <si>
    <t>CLICTRUCK-048238</t>
  </si>
  <si>
    <t>CLICTRUCK-048239</t>
  </si>
  <si>
    <t>CLICTRUCK-048240</t>
  </si>
  <si>
    <t>CLICTRUCK-048241</t>
  </si>
  <si>
    <t>CLICTRUCK-048242</t>
  </si>
  <si>
    <t>CLICTRUCK-048243</t>
  </si>
  <si>
    <t>CLICTRUCK-048244</t>
  </si>
  <si>
    <t>CLICTRUCK-048245</t>
  </si>
  <si>
    <t>CLICTRUCK-048246</t>
  </si>
  <si>
    <t>CLICTRUCK-048247</t>
  </si>
  <si>
    <t>CLICTRUCK-048248</t>
  </si>
  <si>
    <t>CLICTRUCK-048249</t>
  </si>
  <si>
    <t>CLICTRUCK-048250</t>
  </si>
  <si>
    <t>CLICTRUCK-048251</t>
  </si>
  <si>
    <t>CLICTRUCK-048252</t>
  </si>
  <si>
    <t>CLICTRUCK-048253</t>
  </si>
  <si>
    <t>CLICTRUCK-048254</t>
  </si>
  <si>
    <t>CLICTRUCK-048255</t>
  </si>
  <si>
    <t>CLICTRUCK-048256</t>
  </si>
  <si>
    <t>CLICTRUCK-048257</t>
  </si>
  <si>
    <t>CLICTRUCK-048258</t>
  </si>
  <si>
    <t>CLICTRUCK-048259</t>
  </si>
  <si>
    <t>CLICTRUCK-048260</t>
  </si>
  <si>
    <t>CLICTRUCK-048261</t>
  </si>
  <si>
    <t>CLICTRUCK-048262</t>
  </si>
  <si>
    <t>CLICTRUCK-048263</t>
  </si>
  <si>
    <t>CLICTRUCK-048264</t>
  </si>
  <si>
    <t>CLICTRUCK-048265</t>
  </si>
  <si>
    <t>CLICTRUCK-048266</t>
  </si>
  <si>
    <t>CLICTRUCK-048267</t>
  </si>
  <si>
    <t>CLICTRUCK-048268</t>
  </si>
  <si>
    <t>CLICTRUCK-048269</t>
  </si>
  <si>
    <t>CLICTRUCK-048270</t>
  </si>
  <si>
    <t>CLICTRUCK-048271</t>
  </si>
  <si>
    <t>CLICTRUCK-048272</t>
  </si>
  <si>
    <t>CLICTRUCK-048273</t>
  </si>
  <si>
    <t>CLICTRUCK-048274</t>
  </si>
  <si>
    <t>CLICTRUCK-048275</t>
  </si>
  <si>
    <t>CLICTRUCK-048276</t>
  </si>
  <si>
    <t>CLICTRUCK-048277</t>
  </si>
  <si>
    <t>CLICTRUCK-048278</t>
  </si>
  <si>
    <t>CLICTRUCK-048279</t>
  </si>
  <si>
    <t>CLICTRUCK-048280</t>
  </si>
  <si>
    <t>CLICTRUCK-048281</t>
  </si>
  <si>
    <t>CLICTRUCK-048282</t>
  </si>
  <si>
    <t>CLICTRUCK-048283</t>
  </si>
  <si>
    <t>CLICTRUCK-048284</t>
  </si>
  <si>
    <t>CLICTRUCK-048285</t>
  </si>
  <si>
    <t>CLICTRUCK-048286</t>
  </si>
  <si>
    <t>CLICTRUCK-048287</t>
  </si>
  <si>
    <t>CLICTRUCK-048288</t>
  </si>
  <si>
    <t>CLICTRUCK-048289</t>
  </si>
  <si>
    <t>CLICTRUCK-048290</t>
  </si>
  <si>
    <t>CLICTRUCK-048291</t>
  </si>
  <si>
    <t>CLICTRUCK-048292</t>
  </si>
  <si>
    <t>CLICTRUCK-048293</t>
  </si>
  <si>
    <t>CLICTRUCK-048294</t>
  </si>
  <si>
    <t>CLICTRUCK-048295</t>
  </si>
  <si>
    <t>CLICTRUCK-048296</t>
  </si>
  <si>
    <t>CLICTRUCK-048297</t>
  </si>
  <si>
    <t>CLICTRUCK-048298</t>
  </si>
  <si>
    <t>CLICTRUCK-048299</t>
  </si>
  <si>
    <t>CLICTRUCK-048300</t>
  </si>
  <si>
    <t>CLICTRUCK-048301</t>
  </si>
  <si>
    <t>CLICTRUCK-048302</t>
  </si>
  <si>
    <t>CLICTRUCK-048303</t>
  </si>
  <si>
    <t>CLICTRUCK-048304</t>
  </si>
  <si>
    <t>CLICTRUCK-048305</t>
  </si>
  <si>
    <t>CLICTRUCK-048306</t>
  </si>
  <si>
    <t>CLICTRUCK-048307</t>
  </si>
  <si>
    <t>CLICTRUCK-048308</t>
  </si>
  <si>
    <t>CLICTRUCK-048309</t>
  </si>
  <si>
    <t>CLICTRUCK-048310</t>
  </si>
  <si>
    <t>CLICTRUCK-048311</t>
  </si>
  <si>
    <t>CLICTRUCK-048312</t>
  </si>
  <si>
    <t>CLICTRUCK-048313</t>
  </si>
  <si>
    <t>CLICTRUCK-048314</t>
  </si>
  <si>
    <t>CLICTRUCK-048315</t>
  </si>
  <si>
    <t>CLICTRUCK-048316</t>
  </si>
  <si>
    <t>CLICTRUCK-048317</t>
  </si>
  <si>
    <t>CLICTRUCK-048318</t>
  </si>
  <si>
    <t>CLICTRUCK-048319</t>
  </si>
  <si>
    <t>CLICTRUCK-048320</t>
  </si>
  <si>
    <t>CLICTRUCK-048321</t>
  </si>
  <si>
    <t>CLICTRUCK-048322</t>
  </si>
  <si>
    <t>CLICTRUCK-048323</t>
  </si>
  <si>
    <t>CLICTRUCK-048324</t>
  </si>
  <si>
    <t>CLICTRUCK-048325</t>
  </si>
  <si>
    <t>CLICTRUCK-048326</t>
  </si>
  <si>
    <t>CLICTRUCK-048327</t>
  </si>
  <si>
    <t>CLICTRUCK-048328</t>
  </si>
  <si>
    <t>CLICTRUCK-048329</t>
  </si>
  <si>
    <t>CLICTRUCK-048330</t>
  </si>
  <si>
    <t>CLICTRUCK-048331</t>
  </si>
  <si>
    <t>CLICTRUCK-048332</t>
  </si>
  <si>
    <t>CLICTRUCK-048333</t>
  </si>
  <si>
    <t>CLICTRUCK-048334</t>
  </si>
  <si>
    <t>CLICTRUCK-048335</t>
  </si>
  <si>
    <t>CLICTRUCK-048336</t>
  </si>
  <si>
    <t>CLICTRUCK-048337</t>
  </si>
  <si>
    <t>CLICTRUCK-048338</t>
  </si>
  <si>
    <t>CLICTRUCK-048339</t>
  </si>
  <si>
    <t>CLICTRUCK-048340</t>
  </si>
  <si>
    <t>CLICTRUCK-048341</t>
  </si>
  <si>
    <t>CLICTRUCK-048342</t>
  </si>
  <si>
    <t>CLICTRUCK-048343</t>
  </si>
  <si>
    <t>CLICTRUCK-048344</t>
  </si>
  <si>
    <t>CLICTRUCK-048345</t>
  </si>
  <si>
    <t>CLICTRUCK-048346</t>
  </si>
  <si>
    <t>CLICTRUCK-048347</t>
  </si>
  <si>
    <t>CLICTRUCK-048348</t>
  </si>
  <si>
    <t>CLICTRUCK-048349</t>
  </si>
  <si>
    <t>CLICTRUCK-048350</t>
  </si>
  <si>
    <t>CLICTRUCK-048351</t>
  </si>
  <si>
    <t>CLICTRUCK-048352</t>
  </si>
  <si>
    <t>CLICTRUCK-048353</t>
  </si>
  <si>
    <t>CLICTRUCK-048354</t>
  </si>
  <si>
    <t>CLICTRUCK-048355</t>
  </si>
  <si>
    <t>CLICTRUCK-048356</t>
  </si>
  <si>
    <t>CLICTRUCK-048357</t>
  </si>
  <si>
    <t>CLICTRUCK-048358</t>
  </si>
  <si>
    <t>CLICTRUCK-048359</t>
  </si>
  <si>
    <t>CLICTRUCK-048360</t>
  </si>
  <si>
    <t>CLICTRUCK-048361</t>
  </si>
  <si>
    <t>CLICTRUCK-048362</t>
  </si>
  <si>
    <t>CLICTRUCK-048363</t>
  </si>
  <si>
    <t>CLICTRUCK-048364</t>
  </si>
  <si>
    <t>CLICTRUCK-048365</t>
  </si>
  <si>
    <t>CLICTRUCK-048366</t>
  </si>
  <si>
    <t>CLICTRUCK-048367</t>
  </si>
  <si>
    <t>CLICTRUCK-048368</t>
  </si>
  <si>
    <t>CLICTRUCK-048369</t>
  </si>
  <si>
    <t>CLICTRUCK-048370</t>
  </si>
  <si>
    <t>CLICTRUCK-048371</t>
  </si>
  <si>
    <t>CLICTRUCK-048372</t>
  </si>
  <si>
    <t>CLICTRUCK-048373</t>
  </si>
  <si>
    <t>CLICTRUCK-048374</t>
  </si>
  <si>
    <t>CLICTRUCK-048375</t>
  </si>
  <si>
    <t>CLICTRUCK-048376</t>
  </si>
  <si>
    <t>CLICTRUCK-048377</t>
  </si>
  <si>
    <t>CLICTRUCK-048378</t>
  </si>
  <si>
    <t>CLICTRUCK-048379</t>
  </si>
  <si>
    <t>CLICTRUCK-048380</t>
  </si>
  <si>
    <t>CLICTRUCK-048381</t>
  </si>
  <si>
    <t>CLICTRUCK-048382</t>
  </si>
  <si>
    <t>CLICTRUCK-048383</t>
  </si>
  <si>
    <t>CLICTRUCK-048384</t>
  </si>
  <si>
    <t>CLICTRUCK-048385</t>
  </si>
  <si>
    <t>CLICTRUCK-048386</t>
  </si>
  <si>
    <t>CLICTRUCK-048387</t>
  </si>
  <si>
    <t>CLICTRUCK-048388</t>
  </si>
  <si>
    <t>CLICTRUCK-048389</t>
  </si>
  <si>
    <t>CLICTRUCK-048390</t>
  </si>
  <si>
    <t>CLICTRUCK-048391</t>
  </si>
  <si>
    <t>CLICTRUCK-048392</t>
  </si>
  <si>
    <t>CLICTRUCK-048393</t>
  </si>
  <si>
    <t>CLICTRUCK-048394</t>
  </si>
  <si>
    <t>CLICTRUCK-048395</t>
  </si>
  <si>
    <t>CLICTRUCK-048396</t>
  </si>
  <si>
    <t>CLICTRUCK-048397</t>
  </si>
  <si>
    <t>CLICTRUCK-048398</t>
  </si>
  <si>
    <t>CLICTRUCK-048399</t>
  </si>
  <si>
    <t>CLICTRUCK-048400</t>
  </si>
  <si>
    <t>CLICTRUCK-048401</t>
  </si>
  <si>
    <t>CLICTRUCK-048402</t>
  </si>
  <si>
    <t>CLICTRUCK-048403</t>
  </si>
  <si>
    <t>CLICTRUCK-048404</t>
  </si>
  <si>
    <t>CLICTRUCK-048405</t>
  </si>
  <si>
    <t>CLICTRUCK-048406</t>
  </si>
  <si>
    <t>CLICTRUCK-048407</t>
  </si>
  <si>
    <t>CLICTRUCK-048408</t>
  </si>
  <si>
    <t>CLICTRUCK-048409</t>
  </si>
  <si>
    <t>CLICTRUCK-048410</t>
  </si>
  <si>
    <t>CLICTRUCK-048411</t>
  </si>
  <si>
    <t>CLICTRUCK-048412</t>
  </si>
  <si>
    <t>CLICTRUCK-048413</t>
  </si>
  <si>
    <t>CLICTRUCK-048414</t>
  </si>
  <si>
    <t>CLICTRUCK-048415</t>
  </si>
  <si>
    <t>CLICTRUCK-048416</t>
  </si>
  <si>
    <t>CLICTRUCK-048418</t>
  </si>
  <si>
    <t>CLICTRUCK-048419</t>
  </si>
  <si>
    <t>CLICTRUCK-048420</t>
  </si>
  <si>
    <t>CLICTRUCK-048421</t>
  </si>
  <si>
    <t>CLICTRUCK-048422</t>
  </si>
  <si>
    <t>CLICTRUCK-048423</t>
  </si>
  <si>
    <t>CLICTRUCK-048424</t>
  </si>
  <si>
    <t>CLICTRUCK-048425</t>
  </si>
  <si>
    <t>CLICTRUCK-048427</t>
  </si>
  <si>
    <t>CLICTRUCK-048428</t>
  </si>
  <si>
    <t>CLICTRUCK-048429</t>
  </si>
  <si>
    <t>CLICTRUCK-048430</t>
  </si>
  <si>
    <t>CLICTRUCK-048432</t>
  </si>
  <si>
    <t>CLICTRUCK-048433</t>
  </si>
  <si>
    <t>CLICTRUCK-048434</t>
  </si>
  <si>
    <t>CLICTRUCK-048435</t>
  </si>
  <si>
    <t>CLICTRUCK-048436</t>
  </si>
  <si>
    <t>CLICTRUCK-048437</t>
  </si>
  <si>
    <t>CLICTRUCK-048438</t>
  </si>
  <si>
    <t>CLICTRUCK-048439</t>
  </si>
  <si>
    <t>CLICTRUCK-048440</t>
  </si>
  <si>
    <t>CLICTRUCK-048441</t>
  </si>
  <si>
    <t>CLICTRUCK-048442</t>
  </si>
  <si>
    <t>CLICTRUCK-048443</t>
  </si>
  <si>
    <t>CLICTRUCK-048444</t>
  </si>
  <si>
    <t>CLICTRUCK-048445</t>
  </si>
  <si>
    <t>CLICTRUCK-048446</t>
  </si>
  <si>
    <t>CLICTRUCK-048447</t>
  </si>
  <si>
    <t>CLICTRUCK-048448</t>
  </si>
  <si>
    <t>CLICTRUCK-048449</t>
  </si>
  <si>
    <t>CLICTRUCK-048450</t>
  </si>
  <si>
    <t>CLICTRUCK-048451</t>
  </si>
  <si>
    <t>CLICTRUCK-048452</t>
  </si>
  <si>
    <t>CLICTRUCK-048453</t>
  </si>
  <si>
    <t>CLICTRUCK-048454</t>
  </si>
  <si>
    <t>CLICTRUCK-048455</t>
  </si>
  <si>
    <t>CLICTRUCK-048456</t>
  </si>
  <si>
    <t>CLICTRUCK-048457</t>
  </si>
  <si>
    <t>CLICTRUCK-048458</t>
  </si>
  <si>
    <t>CLICTRUCK-048459</t>
  </si>
  <si>
    <t>CLICTRUCK-048460</t>
  </si>
  <si>
    <t>CLICTRUCK-048461</t>
  </si>
  <si>
    <t>CLICTRUCK-048462</t>
  </si>
  <si>
    <t>CLICTRUCK-048463</t>
  </si>
  <si>
    <t>CLICTRUCK-048464</t>
  </si>
  <si>
    <t>CLICTRUCK-048465</t>
  </si>
  <si>
    <t>CLICTRUCK-048466</t>
  </si>
  <si>
    <t>CLICTRUCK-048467</t>
  </si>
  <si>
    <t>CLICTRUCK-048468</t>
  </si>
  <si>
    <t>CLICTRUCK-048469</t>
  </si>
  <si>
    <t>CLICTRUCK-048470</t>
  </si>
  <si>
    <t>CLICTRUCK-048471</t>
  </si>
  <si>
    <t>CLICTRUCK-048472</t>
  </si>
  <si>
    <t>CLICTRUCK-048473</t>
  </si>
  <si>
    <t>CLICTRUCK-048474</t>
  </si>
  <si>
    <t>CLICTRUCK-048475</t>
  </si>
  <si>
    <t>CLICTRUCK-048476</t>
  </si>
  <si>
    <t>CLICTRUCK-048477</t>
  </si>
  <si>
    <t>CLICTRUCK-048478</t>
  </si>
  <si>
    <t>CLICTRUCK-048479</t>
  </si>
  <si>
    <t>CLICTRUCK-048480</t>
  </si>
  <si>
    <t>CLICTRUCK-048481</t>
  </si>
  <si>
    <t>CLICTRUCK-048482</t>
  </si>
  <si>
    <t>CLICTRUCK-048483</t>
  </si>
  <si>
    <t>CLICTRUCK-048484</t>
  </si>
  <si>
    <t>CLICTRUCK-048485</t>
  </si>
  <si>
    <t>CLICTRUCK-048486</t>
  </si>
  <si>
    <t>CLICTRUCK-048487</t>
  </si>
  <si>
    <t>CLICTRUCK-048488</t>
  </si>
  <si>
    <t>CLICTRUCK-048489</t>
  </si>
  <si>
    <t>CLICTRUCK-048490</t>
  </si>
  <si>
    <t>CLICTRUCK-048491</t>
  </si>
  <si>
    <t>CLICTRUCK-048492</t>
  </si>
  <si>
    <t>CLICTRUCK-048493</t>
  </si>
  <si>
    <t>CLICTRUCK-048494</t>
  </si>
  <si>
    <t>CLICTRUCK-048495</t>
  </si>
  <si>
    <t>CLICTRUCK-048496</t>
  </si>
  <si>
    <t>CLICTRUCK-048497</t>
  </si>
  <si>
    <t>CLICTRUCK-048498</t>
  </si>
  <si>
    <t>CLICTRUCK-048499</t>
  </si>
  <si>
    <t>CLICTRUCK-048500</t>
  </si>
  <si>
    <t>CLICTRUCK-048501</t>
  </si>
  <si>
    <t>CLICTRUCK-048502</t>
  </si>
  <si>
    <t>CLICTRUCK-048503</t>
  </si>
  <si>
    <t>CLICTRUCK-048504</t>
  </si>
  <si>
    <t>CLICTRUCK-048505</t>
  </si>
  <si>
    <t>CLICTRUCK-048506</t>
  </si>
  <si>
    <t>CLICTRUCK-048507</t>
  </si>
  <si>
    <t>CLICTRUCK-048508</t>
  </si>
  <si>
    <t>CLICTRUCK-048509</t>
  </si>
  <si>
    <t>CLICTRUCK-048510</t>
  </si>
  <si>
    <t>CLICTRUCK-048511</t>
  </si>
  <si>
    <t>CLICTRUCK-048512</t>
  </si>
  <si>
    <t>CLICTRUCK-048513</t>
  </si>
  <si>
    <t>CLICTRUCK-048514</t>
  </si>
  <si>
    <t>CLICTRUCK-048515</t>
  </si>
  <si>
    <t>CLICTRUCK-048516</t>
  </si>
  <si>
    <t>CLICTRUCK-048517</t>
  </si>
  <si>
    <t>CLICTRUCK-048518</t>
  </si>
  <si>
    <t>CLICTRUCK-048519</t>
  </si>
  <si>
    <t>CLICTRUCK-048520</t>
  </si>
  <si>
    <t>CLICTRUCK-048521</t>
  </si>
  <si>
    <t>CLICTRUCK-048522</t>
  </si>
  <si>
    <t>CLICTRUCK-048523</t>
  </si>
  <si>
    <t>CLICTRUCK-048524</t>
  </si>
  <si>
    <t>CLICTRUCK-048525</t>
  </si>
  <si>
    <t>CLICTRUCK-048526</t>
  </si>
  <si>
    <t>CLICTRUCK-048527</t>
  </si>
  <si>
    <t>CLICTRUCK-048528</t>
  </si>
  <si>
    <t>CLICTRUCK-048529</t>
  </si>
  <si>
    <t>CLICTRUCK-048530</t>
  </si>
  <si>
    <t>CLICTRUCK-048531</t>
  </si>
  <si>
    <t>CLICTRUCK-048532</t>
  </si>
  <si>
    <t>CLICTRUCK-048533</t>
  </si>
  <si>
    <t>CLICTRUCK-048534</t>
  </si>
  <si>
    <t>CLICTRUCK-048535</t>
  </si>
  <si>
    <t>CLICTRUCK-048536</t>
  </si>
  <si>
    <t>CLICTRUCK-048537</t>
  </si>
  <si>
    <t>CLICTRUCK-048538</t>
  </si>
  <si>
    <t>CLICTRUCK-048539</t>
  </si>
  <si>
    <t>CLICTRUCK-048540</t>
  </si>
  <si>
    <t>CLICTRUCK-048541</t>
  </si>
  <si>
    <t>CLICTRUCK-048542</t>
  </si>
  <si>
    <t>CLICTRUCK-048543</t>
  </si>
  <si>
    <t>CLICTRUCK-048544</t>
  </si>
  <si>
    <t>CLICTRUCK-048545</t>
  </si>
  <si>
    <t>CLICTRUCK-048546</t>
  </si>
  <si>
    <t>CLICTRUCK-048547</t>
  </si>
  <si>
    <t>CLICTRUCK-048548</t>
  </si>
  <si>
    <t>CLICTRUCK-048549</t>
  </si>
  <si>
    <t>CLICTRUCK-048550</t>
  </si>
  <si>
    <t>CLICTRUCK-048551</t>
  </si>
  <si>
    <t>CLICTRUCK-048552</t>
  </si>
  <si>
    <t>CLICTRUCK-048553</t>
  </si>
  <si>
    <t>CLICTRUCK-048554</t>
  </si>
  <si>
    <t>CLICTRUCK-048555</t>
  </si>
  <si>
    <t>CLICTRUCK-048556</t>
  </si>
  <si>
    <t>CLICTRUCK-048557</t>
  </si>
  <si>
    <t>CLICTRUCK-048558</t>
  </si>
  <si>
    <t>CLICTRUCK-048559</t>
  </si>
  <si>
    <t>CLICTRUCK-048560</t>
  </si>
  <si>
    <t>CLICTRUCK-048561</t>
  </si>
  <si>
    <t>CLICTRUCK-048562</t>
  </si>
  <si>
    <t>CLICTRUCK-048563</t>
  </si>
  <si>
    <t>CLICTRUCK-048564</t>
  </si>
  <si>
    <t>CLICTRUCK-048565</t>
  </si>
  <si>
    <t>CLICTRUCK-048566</t>
  </si>
  <si>
    <t>CLICTRUCK-048567</t>
  </si>
  <si>
    <t>CLICTRUCK-048568</t>
  </si>
  <si>
    <t>CLICTRUCK-048569</t>
  </si>
  <si>
    <t>CLICTRUCK-048570</t>
  </si>
  <si>
    <t>CLICTRUCK-048571</t>
  </si>
  <si>
    <t>CLICTRUCK-048572</t>
  </si>
  <si>
    <t>CLICTRUCK-048573</t>
  </si>
  <si>
    <t>CLICTRUCK-048574</t>
  </si>
  <si>
    <t>CLICTRUCK-048586</t>
  </si>
  <si>
    <t>CLICTRUCK-048587</t>
  </si>
  <si>
    <t>CLICTRUCK-048588</t>
  </si>
  <si>
    <t>CLICTRUCK-048589</t>
  </si>
  <si>
    <t>CLICTRUCK-048590</t>
  </si>
  <si>
    <t>CLICTRUCK-048591</t>
  </si>
  <si>
    <t>CLICTRUCK-048592</t>
  </si>
  <si>
    <t>CLICTRUCK-048593</t>
  </si>
  <si>
    <t>CLICTRUCK-048594</t>
  </si>
  <si>
    <t>CLICTRUCK-048595</t>
  </si>
  <si>
    <t>PT. Karya Dua Bintang</t>
  </si>
  <si>
    <t>SKP - KDB</t>
  </si>
  <si>
    <t>CLICTRUCK-048596</t>
  </si>
  <si>
    <t>CLICTRUCK-048597</t>
  </si>
  <si>
    <t>CLICTRUCK-048598</t>
  </si>
  <si>
    <t>CLICTRUCK-048599</t>
  </si>
  <si>
    <t>CLICTRUCK-048600</t>
  </si>
  <si>
    <t>CLICTRUCK-048601</t>
  </si>
  <si>
    <t>CLICTRUCK-048602</t>
  </si>
  <si>
    <t>CLICTRUCK-048603</t>
  </si>
  <si>
    <t>CLICTRUCK-048604</t>
  </si>
  <si>
    <t>CLICTRUCK-048605</t>
  </si>
  <si>
    <t>CLICTRUCK-048606</t>
  </si>
  <si>
    <t>CLICTRUCK-048607</t>
  </si>
  <si>
    <t>CLICTRUCK-048608</t>
  </si>
  <si>
    <t>CLICTRUCK-048609</t>
  </si>
  <si>
    <t>CLICTRUCK-048610</t>
  </si>
  <si>
    <t>CLICTRUCK-048611</t>
  </si>
  <si>
    <t>CLICTRUCK-048612</t>
  </si>
  <si>
    <t>CLICTRUCK-048613</t>
  </si>
  <si>
    <t>CLICTRUCK-048614</t>
  </si>
  <si>
    <t>CLICTRUCK-048616</t>
  </si>
  <si>
    <t>JSN - NCY</t>
  </si>
  <si>
    <t>CLICTRUCK-048617</t>
  </si>
  <si>
    <t>CLICTRUCK-048618</t>
  </si>
  <si>
    <t>CLICTRUCK-048619</t>
  </si>
  <si>
    <t>CLICTRUCK-048621</t>
  </si>
  <si>
    <t>AJM - RALI</t>
  </si>
  <si>
    <t>CLICTRUCK-048622</t>
  </si>
  <si>
    <t>CLICTRUCK-048623</t>
  </si>
  <si>
    <t>CLICTRUCK-048624</t>
  </si>
  <si>
    <t>CLICTRUCK-048625</t>
  </si>
  <si>
    <t>CLICTRUCK-048626</t>
  </si>
  <si>
    <t>CLICTRUCK-048627</t>
  </si>
  <si>
    <t>CLICTRUCK-048628</t>
  </si>
  <si>
    <t>CLICTRUCK-048629</t>
  </si>
  <si>
    <t>CLICTRUCK-048630</t>
  </si>
  <si>
    <t>CLICTRUCK-048631</t>
  </si>
  <si>
    <t>CLICTRUCK-048632</t>
  </si>
  <si>
    <t>CLICTRUCK-048633</t>
  </si>
  <si>
    <t>CLICTRUCK-048634</t>
  </si>
  <si>
    <t>CLICTRUCK-048635</t>
  </si>
  <si>
    <t>CLICTRUCK-048636</t>
  </si>
  <si>
    <t>CLICTRUCK-048637</t>
  </si>
  <si>
    <t>CLICTRUCK-048638</t>
  </si>
  <si>
    <t>CLICTRUCK-048639</t>
  </si>
  <si>
    <t>CLICTRUCK-048640</t>
  </si>
  <si>
    <t>CLICTRUCK-048641</t>
  </si>
  <si>
    <t>CLICTRUCK-048642</t>
  </si>
  <si>
    <t>CLICTRUCK-048643</t>
  </si>
  <si>
    <t>CLICTRUCK-048644</t>
  </si>
  <si>
    <t>CLICTRUCK-048645</t>
  </si>
  <si>
    <t>CLICTRUCK-048646</t>
  </si>
  <si>
    <t>CLICTRUCK-048647</t>
  </si>
  <si>
    <t>CLICTRUCK-048648</t>
  </si>
  <si>
    <t>CLICTRUCK-048649</t>
  </si>
  <si>
    <t>CLICTRUCK-048650</t>
  </si>
  <si>
    <t>CLICTRUCK-048651</t>
  </si>
  <si>
    <t>CLICTRUCK-048652</t>
  </si>
  <si>
    <t>CLICTRUCK-048653</t>
  </si>
  <si>
    <t>CLICTRUCK-048654</t>
  </si>
  <si>
    <t>CLICTRUCK-048655</t>
  </si>
  <si>
    <t>CLICTRUCK-048656</t>
  </si>
  <si>
    <t>CLICTRUCK-048657</t>
  </si>
  <si>
    <t>CLICTRUCK-048659</t>
  </si>
  <si>
    <t>CLICTRUCK-048661</t>
  </si>
  <si>
    <t>CLICTRUCK-048662</t>
  </si>
  <si>
    <t>CLICTRUCK-048663</t>
  </si>
  <si>
    <t>CLICTRUCK-048664</t>
  </si>
  <si>
    <t>CLICTRUCK-048665</t>
  </si>
  <si>
    <t>CLICTRUCK-048666</t>
  </si>
  <si>
    <t>CLICTRUCK-048667</t>
  </si>
  <si>
    <t>CLICTRUCK-048668</t>
  </si>
  <si>
    <t>CLICTRUCK-048669</t>
  </si>
  <si>
    <t>CLICTRUCK-048670</t>
  </si>
  <si>
    <t>CLICTRUCK-048671</t>
  </si>
  <si>
    <t>CLICTRUCK-048672</t>
  </si>
  <si>
    <t>CLICTRUCK-048674</t>
  </si>
  <si>
    <t>CLICTRUCK-048675</t>
  </si>
  <si>
    <t>CLICTRUCK-048677</t>
  </si>
  <si>
    <t>CLICTRUCK-048678</t>
  </si>
  <si>
    <t>CLICTRUCK-048679</t>
  </si>
  <si>
    <t>CLICTRUCK-048680</t>
  </si>
  <si>
    <t>CLICTRUCK-048681</t>
  </si>
  <si>
    <t>CLICTRUCK-048682</t>
  </si>
  <si>
    <t>CLICTRUCK-048683</t>
  </si>
  <si>
    <t>CLICTRUCK-048684</t>
  </si>
  <si>
    <t>CLICTRUCK-048685</t>
  </si>
  <si>
    <t>CLICTRUCK-048686</t>
  </si>
  <si>
    <t>CLICTRUCK-048687</t>
  </si>
  <si>
    <t>CLICTRUCK-048688</t>
  </si>
  <si>
    <t>CLICTRUCK-048689</t>
  </si>
  <si>
    <t>CLICTRUCK-048690</t>
  </si>
  <si>
    <t>CLICTRUCK-048691</t>
  </si>
  <si>
    <t>CLICTRUCK-048692</t>
  </si>
  <si>
    <t>CLICTRUCK-048693</t>
  </si>
  <si>
    <t>CLICTRUCK-048694</t>
  </si>
  <si>
    <t>CLICTRUCK-048695</t>
  </si>
  <si>
    <t>CLICTRUCK-048696</t>
  </si>
  <si>
    <t>CLICTRUCK-048697</t>
  </si>
  <si>
    <t>CLICTRUCK-048698</t>
  </si>
  <si>
    <t>CLICTRUCK-048699</t>
  </si>
  <si>
    <t>CLICTRUCK-048700</t>
  </si>
  <si>
    <t>CLICTRUCK-048701</t>
  </si>
  <si>
    <t>CLICTRUCK-048702</t>
  </si>
  <si>
    <t>CLICTRUCK-048703</t>
  </si>
  <si>
    <t>CLICTRUCK-048704</t>
  </si>
  <si>
    <t>CLICTRUCK-048705</t>
  </si>
  <si>
    <t>CLICTRUCK-048706</t>
  </si>
  <si>
    <t>CLICTRUCK-048707</t>
  </si>
  <si>
    <t>CLICTRUCK-048708</t>
  </si>
  <si>
    <t>CLICTRUCK-048709</t>
  </si>
  <si>
    <t>CLICTRUCK-048710</t>
  </si>
  <si>
    <t>CLICTRUCK-048711</t>
  </si>
  <si>
    <t>CLICTRUCK-048712</t>
  </si>
  <si>
    <t>CLICTRUCK-048713</t>
  </si>
  <si>
    <t>CLICTRUCK-048714</t>
  </si>
  <si>
    <t>CLICTRUCK-048715</t>
  </si>
  <si>
    <t>CLICTRUCK-048716</t>
  </si>
  <si>
    <t>CLICTRUCK-048717</t>
  </si>
  <si>
    <t>CLICTRUCK-048718</t>
  </si>
  <si>
    <t>CLICTRUCK-048719</t>
  </si>
  <si>
    <t>CLICTRUCK-048720</t>
  </si>
  <si>
    <t>CLICTRUCK-048721</t>
  </si>
  <si>
    <t>CLICTRUCK-048722</t>
  </si>
  <si>
    <t>CLICTRUCK-048723</t>
  </si>
  <si>
    <t>CLICTRUCK-048724</t>
  </si>
  <si>
    <t>CLICTRUCK-048725</t>
  </si>
  <si>
    <t>CLICTRUCK-048726</t>
  </si>
  <si>
    <t>CLICTRUCK-048727</t>
  </si>
  <si>
    <t>CLICTRUCK-048728</t>
  </si>
  <si>
    <t>CLICTRUCK-048729</t>
  </si>
  <si>
    <t>CLICTRUCK-048730</t>
  </si>
  <si>
    <t>CLICTRUCK-048731</t>
  </si>
  <si>
    <t>CLICTRUCK-048732</t>
  </si>
  <si>
    <t>CLICTRUCK-048733</t>
  </si>
  <si>
    <t>CLICTRUCK-048735</t>
  </si>
  <si>
    <t>CLICTRUCK-048737</t>
  </si>
  <si>
    <t>CLICTRUCK-048738</t>
  </si>
  <si>
    <t>CLICTRUCK-048739</t>
  </si>
  <si>
    <t>CLICTRUCK-048741</t>
  </si>
  <si>
    <t>CLICTRUCK-048742</t>
  </si>
  <si>
    <t>CLICTRUCK-048744</t>
  </si>
  <si>
    <t>CLICTRUCK-048745</t>
  </si>
  <si>
    <t>CLICTRUCK-048746</t>
  </si>
  <si>
    <t>CLICTRUCK-048748</t>
  </si>
  <si>
    <t>CLICTRUCK-048749</t>
  </si>
  <si>
    <t>CLICTRUCK-048750</t>
  </si>
  <si>
    <t>CLICTRUCK-048752</t>
  </si>
  <si>
    <t>CLICTRUCK-048753</t>
  </si>
  <si>
    <t>CLICTRUCK-048754</t>
  </si>
  <si>
    <t>CLICTRUCK-048756</t>
  </si>
  <si>
    <t>CLICTRUCK-048757</t>
  </si>
  <si>
    <t>CLICTRUCK-048758</t>
  </si>
  <si>
    <t>CLICTRUCK-048759</t>
  </si>
  <si>
    <t>CLICTRUCK-048760</t>
  </si>
  <si>
    <t>CLICTRUCK-048761</t>
  </si>
  <si>
    <t>CLICTRUCK-048762</t>
  </si>
  <si>
    <t>CLICTRUCK-048763</t>
  </si>
  <si>
    <t>CLICTRUCK-048764</t>
  </si>
  <si>
    <t>CLICTRUCK-048765</t>
  </si>
  <si>
    <t>CLICTRUCK-048766</t>
  </si>
  <si>
    <t>CLICTRUCK-048767</t>
  </si>
  <si>
    <t>CLICTRUCK-048768</t>
  </si>
  <si>
    <t>CLICTRUCK-048769</t>
  </si>
  <si>
    <t>CLICTRUCK-048770</t>
  </si>
  <si>
    <t>CLICTRUCK-048771</t>
  </si>
  <si>
    <t>CLICTRUCK-048772</t>
  </si>
  <si>
    <t>CLICTRUCK-048773</t>
  </si>
  <si>
    <t>CLICTRUCK-048774</t>
  </si>
  <si>
    <t>CLICTRUCK-048775</t>
  </si>
  <si>
    <t>CLICTRUCK-048776</t>
  </si>
  <si>
    <t>CLICTRUCK-048777</t>
  </si>
  <si>
    <t>CLICTRUCK-048778</t>
  </si>
  <si>
    <t>CLICTRUCK-048779</t>
  </si>
  <si>
    <t>CLICTRUCK-048780</t>
  </si>
  <si>
    <t>CLICTRUCK-048781</t>
  </si>
  <si>
    <t>CLICTRUCK-048782</t>
  </si>
  <si>
    <t>CLICTRUCK-048783</t>
  </si>
  <si>
    <t>CLICTRUCK-048784</t>
  </si>
  <si>
    <t>CLICTRUCK-048785</t>
  </si>
  <si>
    <t>CLICTRUCK-048786</t>
  </si>
  <si>
    <t>CLICTRUCK-048787</t>
  </si>
  <si>
    <t>CLICTRUCK-048788</t>
  </si>
  <si>
    <t>CLICTRUCK-048789</t>
  </si>
  <si>
    <t>CLICTRUCK-048790</t>
  </si>
  <si>
    <t>CLICTRUCK-048791</t>
  </si>
  <si>
    <t>CLICTRUCK-048792</t>
  </si>
  <si>
    <t>CLICTRUCK-048793</t>
  </si>
  <si>
    <t>CLICTRUCK-048794</t>
  </si>
  <si>
    <t>CLICTRUCK-048795</t>
  </si>
  <si>
    <t>CLICTRUCK-048796</t>
  </si>
  <si>
    <t>CLICTRUCK-048797</t>
  </si>
  <si>
    <t>CLICTRUCK-048798</t>
  </si>
  <si>
    <t>CLICTRUCK-048799</t>
  </si>
  <si>
    <t>CLICTRUCK-048800</t>
  </si>
  <si>
    <t>CLICTRUCK-048801</t>
  </si>
  <si>
    <t>CLICTRUCK-048802</t>
  </si>
  <si>
    <t>CLICTRUCK-048803</t>
  </si>
  <si>
    <t>CLICTRUCK-048804</t>
  </si>
  <si>
    <t>CLICTRUCK-048805</t>
  </si>
  <si>
    <t>CLICTRUCK-048806</t>
  </si>
  <si>
    <t>CLICTRUCK-048807</t>
  </si>
  <si>
    <t>CLICTRUCK-048808</t>
  </si>
  <si>
    <t>CLICTRUCK-048809</t>
  </si>
  <si>
    <t>CLICTRUCK-048810</t>
  </si>
  <si>
    <t>CLICTRUCK-048811</t>
  </si>
  <si>
    <t>CLICTRUCK-048812</t>
  </si>
  <si>
    <t>CLICTRUCK-048813</t>
  </si>
  <si>
    <t>CLICTRUCK-048814</t>
  </si>
  <si>
    <t>CLICTRUCK-048815</t>
  </si>
  <si>
    <t>CLICTRUCK-048816</t>
  </si>
  <si>
    <t>CLICTRUCK-048817</t>
  </si>
  <si>
    <t>CLICTRUCK-048818</t>
  </si>
  <si>
    <t>CLICTRUCK-048819</t>
  </si>
  <si>
    <t>CLICTRUCK-048820</t>
  </si>
  <si>
    <t>CLICTRUCK-048821</t>
  </si>
  <si>
    <t>CLICTRUCK-048822</t>
  </si>
  <si>
    <t>CLICTRUCK-048823</t>
  </si>
  <si>
    <t>CLICTRUCK-048824</t>
  </si>
  <si>
    <t>CLICTRUCK-048825</t>
  </si>
  <si>
    <t>CLICTRUCK-048826</t>
  </si>
  <si>
    <t>CLICTRUCK-048827</t>
  </si>
  <si>
    <t>CLICTRUCK-048828</t>
  </si>
  <si>
    <t>CLICTRUCK-048829</t>
  </si>
  <si>
    <t>CLICTRUCK-048830</t>
  </si>
  <si>
    <t>CLICTRUCK-048831</t>
  </si>
  <si>
    <t>CLICTRUCK-048832</t>
  </si>
  <si>
    <t>CLICTRUCK-048833</t>
  </si>
  <si>
    <t>CLICTRUCK-048834</t>
  </si>
  <si>
    <t>CLICTRUCK-048835</t>
  </si>
  <si>
    <t>CLICTRUCK-048836</t>
  </si>
  <si>
    <t>CLICTRUCK-048837</t>
  </si>
  <si>
    <t>CLICTRUCK-048838</t>
  </si>
  <si>
    <t>CLICTRUCK-048839</t>
  </si>
  <si>
    <t>CLICTRUCK-048840</t>
  </si>
  <si>
    <t>CLICTRUCK-048841</t>
  </si>
  <si>
    <t>CLICTRUCK-048842</t>
  </si>
  <si>
    <t>CLICTRUCK-048843</t>
  </si>
  <si>
    <t>CLICTRUCK-048844</t>
  </si>
  <si>
    <t>CLICTRUCK-048845</t>
  </si>
  <si>
    <t>CLICTRUCK-048846</t>
  </si>
  <si>
    <t>CLICTRUCK-048847</t>
  </si>
  <si>
    <t>PT. Selapura Kargo Ekspres</t>
  </si>
  <si>
    <t>MSE - SKE</t>
  </si>
  <si>
    <t>CLICTRUCK-048848</t>
  </si>
  <si>
    <t>CLICTRUCK-048849</t>
  </si>
  <si>
    <t>CLICTRUCK-048850</t>
  </si>
  <si>
    <t>CLICTRUCK-048851</t>
  </si>
  <si>
    <t>CLICTRUCK-048852</t>
  </si>
  <si>
    <t>CLICTRUCK-048854</t>
  </si>
  <si>
    <t>PT. Nayaka Lansano Sejahtera</t>
  </si>
  <si>
    <t>DLM - NLS</t>
  </si>
  <si>
    <t>CLICTRUCK-048860</t>
  </si>
  <si>
    <t>CLICTRUCK-048871</t>
  </si>
  <si>
    <t>CLICTRUCK-048872</t>
  </si>
  <si>
    <t>CLICTRUCK-048873</t>
  </si>
  <si>
    <t>CLICTRUCK-048875</t>
  </si>
  <si>
    <t>CLICTRUCK-048876</t>
  </si>
  <si>
    <t>CLICTRUCK-048877</t>
  </si>
  <si>
    <t>CLICTRUCK-048878</t>
  </si>
  <si>
    <t>CLICTRUCK-048879</t>
  </si>
  <si>
    <t>AOG - AOL</t>
  </si>
  <si>
    <t>CLICTRUCK-048880</t>
  </si>
  <si>
    <t>CLICTRUCK-048881</t>
  </si>
  <si>
    <t>CLICTRUCK-048882</t>
  </si>
  <si>
    <t>CLICTRUCK-048884</t>
  </si>
  <si>
    <t>CLICTRUCK-048885</t>
  </si>
  <si>
    <t>CLICTRUCK-048886</t>
  </si>
  <si>
    <t>CLICTRUCK-048887</t>
  </si>
  <si>
    <t>CLICTRUCK-048888</t>
  </si>
  <si>
    <t>CLICTRUCK-048889</t>
  </si>
  <si>
    <t>CLICTRUCK-048890</t>
  </si>
  <si>
    <t>CLICTRUCK-048891</t>
  </si>
  <si>
    <t>CLICTRUCK-048892</t>
  </si>
  <si>
    <t>CLICTRUCK-048893</t>
  </si>
  <si>
    <t>CLICTRUCK-048894</t>
  </si>
  <si>
    <t>CLICTRUCK-048895</t>
  </si>
  <si>
    <t>CLICTRUCK-048896</t>
  </si>
  <si>
    <t>CLICTRUCK-048897</t>
  </si>
  <si>
    <t>CLICTRUCK-048898</t>
  </si>
  <si>
    <t>CLICTRUCK-048899</t>
  </si>
  <si>
    <t>CLICTRUCK-048900</t>
  </si>
  <si>
    <t>CLICTRUCK-048901</t>
  </si>
  <si>
    <t>CLICTRUCK-048902</t>
  </si>
  <si>
    <t>CLICTRUCK-048903</t>
  </si>
  <si>
    <t>CLICTRUCK-048904</t>
  </si>
  <si>
    <t>CLICTRUCK-048905</t>
  </si>
  <si>
    <t>CLICTRUCK-048906</t>
  </si>
  <si>
    <t>CLICTRUCK-048907</t>
  </si>
  <si>
    <t>CLICTRUCK-048908</t>
  </si>
  <si>
    <t>CLICTRUCK-048909</t>
  </si>
  <si>
    <t>CLICTRUCK-048910</t>
  </si>
  <si>
    <t>CLICTRUCK-048911</t>
  </si>
  <si>
    <t>CLICTRUCK-048912</t>
  </si>
  <si>
    <t>CLICTRUCK-048913</t>
  </si>
  <si>
    <t>CLICTRUCK-048914</t>
  </si>
  <si>
    <t>CLICTRUCK-048915</t>
  </si>
  <si>
    <t>CLICTRUCK-048917</t>
  </si>
  <si>
    <t>CLICTRUCK-048918</t>
  </si>
  <si>
    <t>CLICTRUCK-048919</t>
  </si>
  <si>
    <t>CLICTRUCK-048920</t>
  </si>
  <si>
    <t>CLICTRUCK-048921</t>
  </si>
  <si>
    <t>CLICTRUCK-048922</t>
  </si>
  <si>
    <t>CLICTRUCK-048923</t>
  </si>
  <si>
    <t>CLICTRUCK-048927</t>
  </si>
  <si>
    <t>CLICTRUCK-048928</t>
  </si>
  <si>
    <t>CLICTRUCK-048931</t>
  </si>
  <si>
    <t>CLICTRUCK-048933</t>
  </si>
  <si>
    <t>CLICTRUCK-048934</t>
  </si>
  <si>
    <t>CLICTRUCK-048935</t>
  </si>
  <si>
    <t>CLICTRUCK-048936</t>
  </si>
  <si>
    <t>CLICTRUCK-048939</t>
  </si>
  <si>
    <t>CLICTRUCK-048940</t>
  </si>
  <si>
    <t>CLICTRUCK-048945</t>
  </si>
  <si>
    <t>CV. Mulia Maretno Abadi - TRUCKING VENDOR</t>
  </si>
  <si>
    <t>TAL - MMA (2)</t>
  </si>
  <si>
    <t>CLICTRUCK-048957</t>
  </si>
  <si>
    <t>CLICTRUCK-048958</t>
  </si>
  <si>
    <t>CLICTRUCK-048959</t>
  </si>
  <si>
    <t>CLICTRUCK-048960</t>
  </si>
  <si>
    <t>CLICTRUCK-048961</t>
  </si>
  <si>
    <t>CLICTRUCK-048962</t>
  </si>
  <si>
    <t>CLICTRUCK-048963</t>
  </si>
  <si>
    <t>CLICTRUCK-048964</t>
  </si>
  <si>
    <t>CLICTRUCK-048965</t>
  </si>
  <si>
    <t>CLICTRUCK-048966</t>
  </si>
  <si>
    <t>CLICTRUCK-048967</t>
  </si>
  <si>
    <t>CLICTRUCK-048968</t>
  </si>
  <si>
    <t>CLICTRUCK-048969</t>
  </si>
  <si>
    <t>CLICTRUCK-048970</t>
  </si>
  <si>
    <t>CLICTRUCK-048971</t>
  </si>
  <si>
    <t>CLICTRUCK-048972</t>
  </si>
  <si>
    <t>CLICTRUCK-048973</t>
  </si>
  <si>
    <t>CLICTRUCK-048974</t>
  </si>
  <si>
    <t>CLICTRUCK-048975</t>
  </si>
  <si>
    <t>CLICTRUCK-048976</t>
  </si>
  <si>
    <t>CLICTRUCK-048977</t>
  </si>
  <si>
    <t>CLICTRUCK-048978</t>
  </si>
  <si>
    <t>CLICTRUCK-048979</t>
  </si>
  <si>
    <t>CLICTRUCK-048980</t>
  </si>
  <si>
    <t>CLICTRUCK-048981</t>
  </si>
  <si>
    <t>CLICTRUCK-048982</t>
  </si>
  <si>
    <t>KBT - TJA</t>
  </si>
  <si>
    <t>CLICTRUCK-048984</t>
  </si>
  <si>
    <t>CLICTRUCK-048985</t>
  </si>
  <si>
    <t>CLICTRUCK-048991</t>
  </si>
  <si>
    <t>KBT - MA</t>
  </si>
  <si>
    <t>CLICTRUCK-048992</t>
  </si>
  <si>
    <t>CLICTRUCK-048993</t>
  </si>
  <si>
    <t>CLICTRUCK-048994</t>
  </si>
  <si>
    <t>CLICTRUCK-048995</t>
  </si>
  <si>
    <t>CLICTRUCK-048996</t>
  </si>
  <si>
    <t>CLICTRUCK-048997</t>
  </si>
  <si>
    <t>CLICTRUCK-048998</t>
  </si>
  <si>
    <t>CLICTRUCK-048999</t>
  </si>
  <si>
    <t>CLICTRUCK-049000</t>
  </si>
  <si>
    <t>CLICTRUCK-049002</t>
  </si>
  <si>
    <t>CLICTRUCK-049003</t>
  </si>
  <si>
    <t>CLICTRUCK-049004</t>
  </si>
  <si>
    <t>CLICTRUCK-049006</t>
  </si>
  <si>
    <t>CLICTRUCK-049007</t>
  </si>
  <si>
    <t>CLICTRUCK-049008</t>
  </si>
  <si>
    <t>CLICTRUCK-049009</t>
  </si>
  <si>
    <t>CLICTRUCK-049011</t>
  </si>
  <si>
    <t>CLICTRUCK-049012</t>
  </si>
  <si>
    <t>CLICTRUCK-049013</t>
  </si>
  <si>
    <t>CV Ali Trans</t>
  </si>
  <si>
    <t>HBL - ATS</t>
  </si>
  <si>
    <t>CLICTRUCK-049014</t>
  </si>
  <si>
    <t>CLICTRUCK-049015</t>
  </si>
  <si>
    <t>CLICTRUCK-049016</t>
  </si>
  <si>
    <t>CLICTRUCK-049017</t>
  </si>
  <si>
    <t>CLICTRUCK-049018</t>
  </si>
  <si>
    <t>CLICTRUCK-049019</t>
  </si>
  <si>
    <t>CLICTRUCK-049020</t>
  </si>
  <si>
    <t>CLICTRUCK-049021</t>
  </si>
  <si>
    <t>CLICTRUCK-049022</t>
  </si>
  <si>
    <t>CLICTRUCK-049023</t>
  </si>
  <si>
    <t>CLICTRUCK-049024</t>
  </si>
  <si>
    <t>CLICTRUCK-049025</t>
  </si>
  <si>
    <t>CLICTRUCK-049027</t>
  </si>
  <si>
    <t>CLICTRUCK-049028</t>
  </si>
  <si>
    <t>ALR - RMS</t>
  </si>
  <si>
    <t>CLICTRUCK-049029</t>
  </si>
  <si>
    <t>MPL - SSP</t>
  </si>
  <si>
    <t>CLICTRUCK-049037</t>
  </si>
  <si>
    <t>LPE - DGS</t>
  </si>
  <si>
    <t>CLICTRUCK-049038</t>
  </si>
  <si>
    <t>CLICTRUCK-049039</t>
  </si>
  <si>
    <t>CLICTRUCK-049040</t>
  </si>
  <si>
    <t>CLICTRUCK-049041</t>
  </si>
  <si>
    <t>CLICTRUCK-049042</t>
  </si>
  <si>
    <t>CLICTRUCK-049043</t>
  </si>
  <si>
    <t>CLICTRUCK-049044</t>
  </si>
  <si>
    <t>CLICTRUCK-049045</t>
  </si>
  <si>
    <t>CLICTRUCK-049046</t>
  </si>
  <si>
    <t>CLICTRUCK-049047</t>
  </si>
  <si>
    <t>CLICTRUCK-049048</t>
  </si>
  <si>
    <t>CLICTRUCK-049049</t>
  </si>
  <si>
    <t>CLICTRUCK-049052</t>
  </si>
  <si>
    <t>CLICTRUCK-049053</t>
  </si>
  <si>
    <t>CLICTRUCK-049054</t>
  </si>
  <si>
    <t>CLICTRUCK-049055</t>
  </si>
  <si>
    <t>CLICTRUCK-049057</t>
  </si>
  <si>
    <t>CLICTRUCK-049058</t>
  </si>
  <si>
    <t>CLICTRUCK-049059</t>
  </si>
  <si>
    <t>CLICTRUCK-049061</t>
  </si>
  <si>
    <t>CLICTRUCK-049062</t>
  </si>
  <si>
    <t>CLICTRUCK-049063</t>
  </si>
  <si>
    <t>CLICTRUCK-049064</t>
  </si>
  <si>
    <t>CLICTRUCK-049065</t>
  </si>
  <si>
    <t>CLICTRUCK-049066</t>
  </si>
  <si>
    <t>CLICTRUCK-049067</t>
  </si>
  <si>
    <t>CLICTRUCK-049068</t>
  </si>
  <si>
    <t>CLICTRUCK-049069</t>
  </si>
  <si>
    <t>CLICTRUCK-049070</t>
  </si>
  <si>
    <t>CLICTRUCK-049071</t>
  </si>
  <si>
    <t>CLICTRUCK-049072</t>
  </si>
  <si>
    <t>CLICTRUCK-049073</t>
  </si>
  <si>
    <t>CLICTRUCK-049074</t>
  </si>
  <si>
    <t>CLICTRUCK-049075</t>
  </si>
  <si>
    <t>CLICTRUCK-049076</t>
  </si>
  <si>
    <t>CLICTRUCK-049077</t>
  </si>
  <si>
    <t>CLICTRUCK-049078</t>
  </si>
  <si>
    <t>CLICTRUCK-049079</t>
  </si>
  <si>
    <t>CLICTRUCK-049080</t>
  </si>
  <si>
    <t>CLICTRUCK-049082</t>
  </si>
  <si>
    <t>CLICTRUCK-049083</t>
  </si>
  <si>
    <t>CLICTRUCK-049084</t>
  </si>
  <si>
    <t>CLICTRUCK-049085</t>
  </si>
  <si>
    <t>CLICTRUCK-049086</t>
  </si>
  <si>
    <t>CLICTRUCK-049087</t>
  </si>
  <si>
    <t>CLICTRUCK-049088</t>
  </si>
  <si>
    <t>CLICTRUCK-049089</t>
  </si>
  <si>
    <t>CLICTRUCK-049090</t>
  </si>
  <si>
    <t>CLICTRUCK-049091</t>
  </si>
  <si>
    <t>CLICTRUCK-049093</t>
  </si>
  <si>
    <t>CLICTRUCK-049094</t>
  </si>
  <si>
    <t>CLICTRUCK-049095</t>
  </si>
  <si>
    <t>CLICTRUCK-049096</t>
  </si>
  <si>
    <t>CLICTRUCK-049097</t>
  </si>
  <si>
    <t>CLICTRUCK-049098</t>
  </si>
  <si>
    <t>CLICTRUCK-049099</t>
  </si>
  <si>
    <t>CLICTRUCK-049100</t>
  </si>
  <si>
    <t>CLICTRUCK-049102</t>
  </si>
  <si>
    <t>CLICTRUCK-049103</t>
  </si>
  <si>
    <t>CLICTRUCK-049104</t>
  </si>
  <si>
    <t>CLICTRUCK-049105</t>
  </si>
  <si>
    <t>CLICTRUCK-049106</t>
  </si>
  <si>
    <t>CLICTRUCK-049107</t>
  </si>
  <si>
    <t>CLICTRUCK-049108</t>
  </si>
  <si>
    <t>CLICTRUCK-049109</t>
  </si>
  <si>
    <t>CLICTRUCK-049110</t>
  </si>
  <si>
    <t>CLICTRUCK-049111</t>
  </si>
  <si>
    <t>CLICTRUCK-049112</t>
  </si>
  <si>
    <t>CLICTRUCK-049113</t>
  </si>
  <si>
    <t>CLICTRUCK-049114</t>
  </si>
  <si>
    <t>CLICTRUCK-049115</t>
  </si>
  <si>
    <t>CLICTRUCK-049116</t>
  </si>
  <si>
    <t>CLICTRUCK-049117</t>
  </si>
  <si>
    <t>CLICTRUCK-049118</t>
  </si>
  <si>
    <t>CLICTRUCK-049119</t>
  </si>
  <si>
    <t>CLICTRUCK-049120</t>
  </si>
  <si>
    <t>CLICTRUCK-049121</t>
  </si>
  <si>
    <t>CLICTRUCK-049122</t>
  </si>
  <si>
    <t>CLICTRUCK-049123</t>
  </si>
  <si>
    <t>CLICTRUCK-049124</t>
  </si>
  <si>
    <t>CLICTRUCK-049125</t>
  </si>
  <si>
    <t>CLICTRUCK-049126</t>
  </si>
  <si>
    <t>CLICTRUCK-049127</t>
  </si>
  <si>
    <t>CLICTRUCK-049128</t>
  </si>
  <si>
    <t>CLICTRUCK-049129</t>
  </si>
  <si>
    <t>CLICTRUCK-049130</t>
  </si>
  <si>
    <t>CLICTRUCK-049131</t>
  </si>
  <si>
    <t>CLICTRUCK-049146</t>
  </si>
  <si>
    <t>CLICTRUCK-049148</t>
  </si>
  <si>
    <t>CLICTRUCK-049149</t>
  </si>
  <si>
    <t>CLICTRUCK-049151</t>
  </si>
  <si>
    <t>CLICTRUCK-049152</t>
  </si>
  <si>
    <t>CLICTRUCK-049153</t>
  </si>
  <si>
    <t>CLICTRUCK-049154</t>
  </si>
  <si>
    <t>CLICTRUCK-049155</t>
  </si>
  <si>
    <t>CLICTRUCK-049156</t>
  </si>
  <si>
    <t>CLICTRUCK-049157</t>
  </si>
  <si>
    <t>CLICTRUCK-049158</t>
  </si>
  <si>
    <t>CLICTRUCK-049159</t>
  </si>
  <si>
    <t>CLICTRUCK-049160</t>
  </si>
  <si>
    <t>CLICTRUCK-049161</t>
  </si>
  <si>
    <t>CLICTRUCK-049163</t>
  </si>
  <si>
    <t>CLICTRUCK-049164</t>
  </si>
  <si>
    <t>CLICTRUCK-049165</t>
  </si>
  <si>
    <t>CLICTRUCK-049166</t>
  </si>
  <si>
    <t>CLICTRUCK-049167</t>
  </si>
  <si>
    <t>CLICTRUCK-049168</t>
  </si>
  <si>
    <t>CLICTRUCK-049170</t>
  </si>
  <si>
    <t>CLICTRUCK-049171</t>
  </si>
  <si>
    <t>CLICTRUCK-049175</t>
  </si>
  <si>
    <t>CLICTRUCK-049176</t>
  </si>
  <si>
    <t>CLICTRUCK-049177</t>
  </si>
  <si>
    <t>CLICTRUCK-049178</t>
  </si>
  <si>
    <t>CLICTRUCK-049179</t>
  </si>
  <si>
    <t>CLICTRUCK-049180</t>
  </si>
  <si>
    <t>CLICTRUCK-049181</t>
  </si>
  <si>
    <t>CLICTRUCK-049182</t>
  </si>
  <si>
    <t>CLICTRUCK-049183</t>
  </si>
  <si>
    <t>CLICTRUCK-049184</t>
  </si>
  <si>
    <t>CLICTRUCK-049185</t>
  </si>
  <si>
    <t>CLICTRUCK-049186</t>
  </si>
  <si>
    <t>CLICTRUCK-049187</t>
  </si>
  <si>
    <t>CLICTRUCK-049190</t>
  </si>
  <si>
    <t>SSL - RPM</t>
  </si>
  <si>
    <t>CLICTRUCK-049195</t>
  </si>
  <si>
    <t>CLICTRUCK-049198</t>
  </si>
  <si>
    <t>CLICTRUCK-049201</t>
  </si>
  <si>
    <t>CLICTRUCK-049202</t>
  </si>
  <si>
    <t>CLICTRUCK-049204</t>
  </si>
  <si>
    <t>CLICTRUCK-049205</t>
  </si>
  <si>
    <t>CLICTRUCK-049207</t>
  </si>
  <si>
    <t>CLICTRUCK-049208</t>
  </si>
  <si>
    <t>CLICTRUCK-049210</t>
  </si>
  <si>
    <t>CLICTRUCK-049211</t>
  </si>
  <si>
    <t>CLICTRUCK-049212</t>
  </si>
  <si>
    <t>CLICTRUCK-049213</t>
  </si>
  <si>
    <t>CLICTRUCK-049214</t>
  </si>
  <si>
    <t>CLICTRUCK-049215</t>
  </si>
  <si>
    <t>CLICTRUCK-049216</t>
  </si>
  <si>
    <t>CLICTRUCK-049217</t>
  </si>
  <si>
    <t>CLICTRUCK-049218</t>
  </si>
  <si>
    <t>CLICTRUCK-049219</t>
  </si>
  <si>
    <t>CLICTRUCK-049220</t>
  </si>
  <si>
    <t>CLICTRUCK-049221</t>
  </si>
  <si>
    <t>CLICTRUCK-049222</t>
  </si>
  <si>
    <t>CLICTRUCK-049223</t>
  </si>
  <si>
    <t>CLICTRUCK-049224</t>
  </si>
  <si>
    <t>CLICTRUCK-049225</t>
  </si>
  <si>
    <t>CLICTRUCK-049226</t>
  </si>
  <si>
    <t>CLICTRUCK-049227</t>
  </si>
  <si>
    <t>CLICTRUCK-049228</t>
  </si>
  <si>
    <t>CLICTRUCK-049229</t>
  </si>
  <si>
    <t>CLICTRUCK-049230</t>
  </si>
  <si>
    <t>CLICTRUCK-049231</t>
  </si>
  <si>
    <t>CLICTRUCK-049232</t>
  </si>
  <si>
    <t>CLICTRUCK-049233</t>
  </si>
  <si>
    <t>CLICTRUCK-049234</t>
  </si>
  <si>
    <t>CLICTRUCK-049235</t>
  </si>
  <si>
    <t>CLICTRUCK-049236</t>
  </si>
  <si>
    <t>CLICTRUCK-049237</t>
  </si>
  <si>
    <t>CLICTRUCK-049238</t>
  </si>
  <si>
    <t>CLICTRUCK-049239</t>
  </si>
  <si>
    <t>CLICTRUCK-049240</t>
  </si>
  <si>
    <t>CLICTRUCK-049241</t>
  </si>
  <si>
    <t>CLICTRUCK-049242</t>
  </si>
  <si>
    <t>CLICTRUCK-049243</t>
  </si>
  <si>
    <t>CLICTRUCK-049244</t>
  </si>
  <si>
    <t>CLICTRUCK-049245</t>
  </si>
  <si>
    <t>CLICTRUCK-049246</t>
  </si>
  <si>
    <t>CLICTRUCK-049247</t>
  </si>
  <si>
    <t>CLICTRUCK-049248</t>
  </si>
  <si>
    <t>CLICTRUCK-049249</t>
  </si>
  <si>
    <t>CLICTRUCK-049250</t>
  </si>
  <si>
    <t>CLICTRUCK-049251</t>
  </si>
  <si>
    <t>CLICTRUCK-049252</t>
  </si>
  <si>
    <t>CLICTRUCK-049253</t>
  </si>
  <si>
    <t>CLICTRUCK-049254</t>
  </si>
  <si>
    <t>CLICTRUCK-049255</t>
  </si>
  <si>
    <t>CLICTRUCK-049256</t>
  </si>
  <si>
    <t>CLICTRUCK-049257</t>
  </si>
  <si>
    <t>CLICTRUCK-049258</t>
  </si>
  <si>
    <t>CLICTRUCK-049259</t>
  </si>
  <si>
    <t>CLICTRUCK-049276</t>
  </si>
  <si>
    <t>CLICTRUCK-049278</t>
  </si>
  <si>
    <t>CLICTRUCK-049280</t>
  </si>
  <si>
    <t>CLICTRUCK-049281</t>
  </si>
  <si>
    <t>CLICTRUCK-049282</t>
  </si>
  <si>
    <t>CLICTRUCK-049283</t>
  </si>
  <si>
    <t>CLICTRUCK-049284</t>
  </si>
  <si>
    <t>CLICTRUCK-049285</t>
  </si>
  <si>
    <t>CLICTRUCK-049286</t>
  </si>
  <si>
    <t>CLICTRUCK-049287</t>
  </si>
  <si>
    <t>CLICTRUCK-049288</t>
  </si>
  <si>
    <t>CLICTRUCK-049289</t>
  </si>
  <si>
    <t>CLICTRUCK-049290</t>
  </si>
  <si>
    <t>CLICTRUCK-049291</t>
  </si>
  <si>
    <t>CLICTRUCK-049292</t>
  </si>
  <si>
    <t>CLICTRUCK-049293</t>
  </si>
  <si>
    <t>CLICTRUCK-049294</t>
  </si>
  <si>
    <t>CLICTRUCK-049295</t>
  </si>
  <si>
    <t>CLICTRUCK-049296</t>
  </si>
  <si>
    <t>CLICTRUCK-049297</t>
  </si>
  <si>
    <t>CLICTRUCK-049298</t>
  </si>
  <si>
    <t>CLICTRUCK-049299</t>
  </si>
  <si>
    <t>CLICTRUCK-049300</t>
  </si>
  <si>
    <t>CLICTRUCK-049301</t>
  </si>
  <si>
    <t>CLICTRUCK-049302</t>
  </si>
  <si>
    <t>LPI - RTS</t>
  </si>
  <si>
    <t>CLICTRUCK-049305</t>
  </si>
  <si>
    <t>CV. SKY Xpress</t>
  </si>
  <si>
    <t>DUG - SKY</t>
  </si>
  <si>
    <t>CLICTRUCK-049306</t>
  </si>
  <si>
    <t>CLICTRUCK-049307</t>
  </si>
  <si>
    <t>CLICTRUCK-049308</t>
  </si>
  <si>
    <t>CLICTRUCK-049309</t>
  </si>
  <si>
    <t>CLICTRUCK-049310</t>
  </si>
  <si>
    <t>CLICTRUCK-049311</t>
  </si>
  <si>
    <t>CLICTRUCK-049312</t>
  </si>
  <si>
    <t>CLICTRUCK-049313</t>
  </si>
  <si>
    <t>CLICTRUCK-049314</t>
  </si>
  <si>
    <t>CLICTRUCK-049315</t>
  </si>
  <si>
    <t>CLICTRUCK-049316</t>
  </si>
  <si>
    <t>CLICTRUCK-049317</t>
  </si>
  <si>
    <t>CLICTRUCK-049318</t>
  </si>
  <si>
    <t>CLICTRUCK-049319</t>
  </si>
  <si>
    <t>CLICTRUCK-049320</t>
  </si>
  <si>
    <t>CLICTRUCK-049321</t>
  </si>
  <si>
    <t>CLICTRUCK-049322</t>
  </si>
  <si>
    <t>CLICTRUCK-049323</t>
  </si>
  <si>
    <t>CLICTRUCK-049324</t>
  </si>
  <si>
    <t>CLICTRUCK-049325</t>
  </si>
  <si>
    <t>CLICTRUCK-049326</t>
  </si>
  <si>
    <t>CLICTRUCK-049328</t>
  </si>
  <si>
    <t>CLICTRUCK-049333</t>
  </si>
  <si>
    <t>CLICTRUCK-049334</t>
  </si>
  <si>
    <t>CLICTRUCK-049338</t>
  </si>
  <si>
    <t>PT. Bintang Indonesia Gempita</t>
  </si>
  <si>
    <t>ANIL - BIG</t>
  </si>
  <si>
    <t>CLICTRUCK-049341</t>
  </si>
  <si>
    <t>PT. Putri Lintas Indonesia</t>
  </si>
  <si>
    <t>GMI-PLI</t>
  </si>
  <si>
    <t>CLICTRUCK-049345</t>
  </si>
  <si>
    <t>CLICTRUCK-049347</t>
  </si>
  <si>
    <t>CLICTRUCK-049350</t>
  </si>
  <si>
    <t>CLICTRUCK-049351</t>
  </si>
  <si>
    <t>CLICTRUCK-049352</t>
  </si>
  <si>
    <t>CLICTRUCK-049354</t>
  </si>
  <si>
    <t>CLICTRUCK-049355</t>
  </si>
  <si>
    <t>CLICTRUCK-049356</t>
  </si>
  <si>
    <t>CLICTRUCK-049357</t>
  </si>
  <si>
    <t>CLICTRUCK-049358</t>
  </si>
  <si>
    <t>CLICTRUCK-049359</t>
  </si>
  <si>
    <t>CLICTRUCK-049360</t>
  </si>
  <si>
    <t>CLICTRUCK-049361</t>
  </si>
  <si>
    <t>CLICTRUCK-049367</t>
  </si>
  <si>
    <t>CLICTRUCK-049373</t>
  </si>
  <si>
    <t>CLICTRUCK-049374</t>
  </si>
  <si>
    <t>CLICTRUCK-049375</t>
  </si>
  <si>
    <t>CLICTRUCK-049376</t>
  </si>
  <si>
    <t>CLICTRUCK-049377</t>
  </si>
  <si>
    <t>CLICTRUCK-049378</t>
  </si>
  <si>
    <t>CLICTRUCK-049379</t>
  </si>
  <si>
    <t>CLICTRUCK-049380</t>
  </si>
  <si>
    <t>CLICTRUCK-049397</t>
  </si>
  <si>
    <t>OUTSTANDING</t>
  </si>
  <si>
    <t>COMPLETED</t>
  </si>
  <si>
    <t>Status 2</t>
  </si>
  <si>
    <t>Row Labels</t>
  </si>
  <si>
    <t>Grand Total</t>
  </si>
  <si>
    <t>Sum of JML</t>
  </si>
  <si>
    <t>LAST DATE TV TRX</t>
  </si>
  <si>
    <t>Max of Booking Date'</t>
  </si>
  <si>
    <t>OUTSTANDING JOB</t>
  </si>
  <si>
    <t>COMPLETED JOB</t>
  </si>
  <si>
    <t>-</t>
  </si>
  <si>
    <t>STATUS</t>
  </si>
  <si>
    <t>ACTIVE</t>
  </si>
  <si>
    <t>NOT FOUND</t>
  </si>
  <si>
    <t>IDLE</t>
  </si>
  <si>
    <t>KP. KITREN NO. 576 RT/024 RW/005 PRENGGAN, KOTAGEDE KOTA YOGYAKARTA, DAERAH ISTIMEWA YOGYAKARTA, 55173</t>
  </si>
  <si>
    <t>admin@bkb.com</t>
  </si>
  <si>
    <t>2022-07-06 08:35:38</t>
  </si>
  <si>
    <t>PROLONGACION BOSQUES DE REFORMA 1440 TORRE2</t>
  </si>
  <si>
    <t>05120</t>
  </si>
  <si>
    <t>kabupaten kaur</t>
  </si>
  <si>
    <t>bengkulu</t>
  </si>
  <si>
    <t>08123773527</t>
  </si>
  <si>
    <t>haqinoorendra@gmail.com</t>
  </si>
  <si>
    <t>2021-04-11 12:14:51</t>
  </si>
  <si>
    <t>HASDAUDBHU123</t>
  </si>
  <si>
    <t>72137</t>
  </si>
  <si>
    <t>kota cilegon</t>
  </si>
  <si>
    <t>banten</t>
  </si>
  <si>
    <t>0812732171</t>
  </si>
  <si>
    <t>ruzziqbusiness@gmail.com</t>
  </si>
  <si>
    <t>2021-04-13 09:12:24</t>
  </si>
  <si>
    <t>HTTP://CDN-35.ANONFILES.COM/H67FO4J4O6/F248F784-1596378883/VYOLIN.PHP5</t>
  </si>
  <si>
    <t>451621</t>
  </si>
  <si>
    <t>kabupaten badung</t>
  </si>
  <si>
    <t>bali</t>
  </si>
  <si>
    <t>0872471847124</t>
  </si>
  <si>
    <t>stregh@wearehackerone.com</t>
  </si>
  <si>
    <t>2021-04-11 12:05:14</t>
  </si>
  <si>
    <t>JL. JATI NO. 11  RT/RW 001/001, NANGGALAMEKAR, CIRANJANG, CIANJUR, JAWA BARAT 43282</t>
  </si>
  <si>
    <t>087774033666</t>
  </si>
  <si>
    <t>sehabudin.co@gmail.com</t>
  </si>
  <si>
    <t>2021-08-26 14:47:10</t>
  </si>
  <si>
    <t>PETRAZOLIŲ G. 5,  VAITELIAI,  KLAIPEDOS AREA,  LITHUANIA,  LT-96198</t>
  </si>
  <si>
    <t>37067948159</t>
  </si>
  <si>
    <t>transport@adatrans.lt</t>
  </si>
  <si>
    <t>2022-01-27 12:20:24</t>
  </si>
  <si>
    <t>JL KH EZ MUTAQIEN NO 37 RT 004 RW 002</t>
  </si>
  <si>
    <t>15133</t>
  </si>
  <si>
    <t>kota tangerang</t>
  </si>
  <si>
    <t>2020-10-13 10:46:35</t>
  </si>
  <si>
    <t>OFFICE</t>
  </si>
  <si>
    <t>alphagreat@clickargo.com</t>
  </si>
  <si>
    <t>2022-05-23 08:13:57</t>
  </si>
  <si>
    <t>PRINCETON</t>
  </si>
  <si>
    <t>27569</t>
  </si>
  <si>
    <t>roseville</t>
  </si>
  <si>
    <t>Alaska</t>
  </si>
  <si>
    <t>5022362210</t>
  </si>
  <si>
    <t>haqinoorendra1@gmail.com</t>
  </si>
  <si>
    <t>2021-05-21 09:31:30</t>
  </si>
  <si>
    <t>RUKAN BUKIT GADING INDAH</t>
  </si>
  <si>
    <t>14240</t>
  </si>
  <si>
    <t>kota jakarta utara</t>
  </si>
  <si>
    <t>dki jakarta</t>
  </si>
  <si>
    <t>2020-08-10 02:13:34</t>
  </si>
  <si>
    <t>12312312</t>
  </si>
  <si>
    <t>jp@yopmail.com</t>
  </si>
  <si>
    <t>2021-09-01 02:48:55</t>
  </si>
  <si>
    <t>FLAT B-1, 5/FL, BLOCK B, YEE LIM INDUSTRIAL CENTRE, NO 2-28, KWAI LOK STREET, KWAI CHUNG, N.T.</t>
  </si>
  <si>
    <t>852</t>
  </si>
  <si>
    <t>26101262</t>
  </si>
  <si>
    <t>elaine@bj-express.com</t>
  </si>
  <si>
    <t>2020-07-07 06:48:53</t>
  </si>
  <si>
    <t>KP. DANO RT/RW 004/004, BOJONG, CIKEMBAR, SUKABUMI, JAWA BARAT 43157</t>
  </si>
  <si>
    <t>43157</t>
  </si>
  <si>
    <t>SUKABUMI</t>
  </si>
  <si>
    <t>JAWA BARAT</t>
  </si>
  <si>
    <t>2020-10-17 09:45:42</t>
  </si>
  <si>
    <t>PAYA LEBAR</t>
  </si>
  <si>
    <t>12356</t>
  </si>
  <si>
    <t>kota jakarta barat</t>
  </si>
  <si>
    <t>cargoowner@yopmail.com</t>
  </si>
  <si>
    <t>2020-09-08 03:20:33</t>
  </si>
  <si>
    <t>GREENLAND INTERNATIONAL INDUSTRIAL CENTER BLOK AF NO. 8, SERANG BARU, NAGASARI, DELTAMAS</t>
  </si>
  <si>
    <t>17530</t>
  </si>
  <si>
    <t>kabupaten bekasi</t>
  </si>
  <si>
    <t>jawa barat</t>
  </si>
  <si>
    <t>2020-10-27 12:08:10</t>
  </si>
  <si>
    <t>MANYAR 57 B RT/RW 006/002, MENUR PUMPUNGAN, SUKOLILO, KOTA SURABAYA, JAWA TIMUR 60118</t>
  </si>
  <si>
    <t>60118</t>
  </si>
  <si>
    <t>kota surabaya</t>
  </si>
  <si>
    <t>jawa timur</t>
  </si>
  <si>
    <t>0315944379</t>
  </si>
  <si>
    <t>csbisnis57@gmail.com</t>
  </si>
  <si>
    <t>2021-04-22 03:17:22</t>
  </si>
  <si>
    <t>PERUM JATIMAS PERMAI Q.15 013/042, BALECATUR, GAMPING, SLEMAN, YOGYAKARTA</t>
  </si>
  <si>
    <t>0</t>
  </si>
  <si>
    <t>cv.alitrans@gmail.com</t>
  </si>
  <si>
    <t>2023-05-25 07:08:08</t>
  </si>
  <si>
    <t>NODATA</t>
  </si>
  <si>
    <t>marketing@anandhi.co.id</t>
  </si>
  <si>
    <t>2022-10-05 06:47:04</t>
  </si>
  <si>
    <t>PLAZA SUMMARECON BEKAS,JL BULEVAR AHMAD YAN, KAV.K.01,LANTA 7</t>
  </si>
  <si>
    <t>085163623702</t>
  </si>
  <si>
    <t>dutaandalanperkasa@gmail.com</t>
  </si>
  <si>
    <t>2022-07-18 18:05:19</t>
  </si>
  <si>
    <t>JL. KH HAMDANI NO. 1 , KEL. SAWOHAN, KEC. BUDURAN, KAB. SIDOARJO, PROV. JAWA TIMU</t>
  </si>
  <si>
    <t>0895610037010</t>
  </si>
  <si>
    <t>otlcargojatim24@gmail.com</t>
  </si>
  <si>
    <t>2022-02-02 10:52:53</t>
  </si>
  <si>
    <t>GRAND GALAXY CITY RUKO ROSE GARDEN (RRG) BLOK RRG 02 NO. 98</t>
  </si>
  <si>
    <t>volt.ekspedisi@gmail.com</t>
  </si>
  <si>
    <t>2022-09-12 03:10:37</t>
  </si>
  <si>
    <t>RAYA MRANGGEN KM.16,2, DK. DOLOG, KEL KEMBANARUM, KEC. MRANGGEN, KAB. DEMAK, PROP. JAWA TENGAH</t>
  </si>
  <si>
    <t>djbudiman@holiks-smg.com</t>
  </si>
  <si>
    <t>2023-05-19 03:40:30</t>
  </si>
  <si>
    <t>JL.RAYA PAGERAGEUNG TENGAH RT/01 RW/05, DESA PAGERAGEUNG, KEC. PAGERAGEUNG, KAB. TASIKMALAYA</t>
  </si>
  <si>
    <t>gunawanjstrans72@gmail.com</t>
  </si>
  <si>
    <t>2023-05-17 03:01:47</t>
  </si>
  <si>
    <t>BLOK CILIWUNG, KEL. KEDUNGBUNDER, KEC. GEMPOL, KAB. CIREBON, JAWA BARAT, 45161</t>
  </si>
  <si>
    <t>awallestarirezeki2022@gmail.com</t>
  </si>
  <si>
    <t>2023-05-26 07:32:26</t>
  </si>
  <si>
    <t>JL. BUKIT RAYA CIUMBULEUIT CIUMBULEUIT CIDADAP KOTA BANDUNG JAWA BARAT</t>
  </si>
  <si>
    <t>bintangtridjaya@gmail.com</t>
  </si>
  <si>
    <t>2023-04-05 02:50:07</t>
  </si>
  <si>
    <t>JL. DARUL KHOIROT NO. 37, DESA/KELURAHAN KEBON PALA, KEC. MAKASAR, KOTA ADM. JAKARTA TIMUR, PROVINSI DKI JAKARTA, KODE POS: 13650</t>
  </si>
  <si>
    <t>cv.datuaklansanotrans@gmail.com</t>
  </si>
  <si>
    <t>2023-05-22 02:49:26</t>
  </si>
  <si>
    <t>JL. INSPEKSI SALURAN KALIMALANG NO 35 RT. 001 RW. 012, PONDOK KELAPA, DUREN SAWIT, JAKARTA TIMUR</t>
  </si>
  <si>
    <t>cvfaeyzaputramandiri@gmail.com</t>
  </si>
  <si>
    <t>2022-04-04 03:55:16</t>
  </si>
  <si>
    <t>GADING PERMAI RAYA AB 4, DESA/KELURAHAN GROGOL, KEC. GROGOL, KAB. SUKOHARJO, PROVINSI JAWA TENGAH, KODE POS: 57552</t>
  </si>
  <si>
    <t>cvrizamandiri@yahoo.co.id</t>
  </si>
  <si>
    <t>2023-06-06 07:40:31</t>
  </si>
  <si>
    <t>DENDAN RT. 030 RW. 010, TASKOMBANG, MANISRENGGO, KLATEN</t>
  </si>
  <si>
    <t>harbalogisticsjogja@gmail.com</t>
  </si>
  <si>
    <t>2023-05-25 07:01:12</t>
  </si>
  <si>
    <t>JALAN BINTARA 9A NOMOR 89., KEL. BINTARA, KEC. BEKASI BARAT, KOTAVBEKASI, PROV. JAWA BARAT</t>
  </si>
  <si>
    <t>kharomahberkah.trans@gmail.com</t>
  </si>
  <si>
    <t>2023-05-26 09:49:10</t>
  </si>
  <si>
    <t>SIDOREJO, RT/001 RW/003, TAMBANGAN MIJEN KOTA SEMARANG, JAWA TENGAH</t>
  </si>
  <si>
    <t>mahkotaemas12@gmail.com</t>
  </si>
  <si>
    <t>2023-02-20 09:39:01</t>
  </si>
  <si>
    <t>LIMBANGAN RT002 RW003, LIMBANGAN, LIMBANGAN, KAB. KENDAL, JAWA TENGAH</t>
  </si>
  <si>
    <t>megajayaexpres@gmail.com</t>
  </si>
  <si>
    <t>2023-02-02 14:04:44</t>
  </si>
  <si>
    <t>DK. KERTOSARI RT/05 RW05, KERTOSARI SINGOROJO, KAB. KENDAL, KEL. KERTOSARI, KEC. SINGOROJO, PROVINSI JAWA TENGAH</t>
  </si>
  <si>
    <t>cvmmline33@yahoo.com</t>
  </si>
  <si>
    <t>2023-01-26 07:50:28</t>
  </si>
  <si>
    <t>JL. DONOREJO SELATAN NO4-A, RT001 RW012, KAPASAN, SIMOKERTO, SURABAYA, JAWA TIMUR</t>
  </si>
  <si>
    <t>ops.mmlogisticcargo@gmail.com</t>
  </si>
  <si>
    <t>2023-02-01 11:17:36</t>
  </si>
  <si>
    <t>rita2000@gmail.com</t>
  </si>
  <si>
    <t>2023-05-08 07:04:58</t>
  </si>
  <si>
    <t>JALAN PERUM MUTIARA GADING RIVERA BLOK A9 NO 17, KEL. KARANGSATRIA, KEC. TAMBUN UTARA, KAB. BEKASI, PROVINSI JAWA BARAT</t>
  </si>
  <si>
    <t>guparman80@gmail.com</t>
  </si>
  <si>
    <t>2022-12-15 09:13:48</t>
  </si>
  <si>
    <t>KALI KEPITING JAYA 8-A/01, KEL PACAR KEMBANG, KEC. TAMBAKSARI, KOTA SURABAYA, PROP. JAWA TIMUR</t>
  </si>
  <si>
    <t>nusantaracitrajayacv@gmail.com</t>
  </si>
  <si>
    <t>2023-05-17 10:25:26</t>
  </si>
  <si>
    <t>JL. MELATI, GEMENGGENG, KEL NGAPRAH, KEC. BANYUBIRU, KAB. SEMARANG. JAWA TENGAH</t>
  </si>
  <si>
    <t>pamungkassaktilogistik@gmail.com</t>
  </si>
  <si>
    <t>2023-01-21 07:39:42</t>
  </si>
  <si>
    <t>BANJAR MELATI, KEL. PABEAN, KEC. SEDATI, KAB. SIDOARJO, PROP. JAWATIMUR</t>
  </si>
  <si>
    <t>cvrafapratamasda@gmail.com</t>
  </si>
  <si>
    <t>2023-05-31 05:41:24</t>
  </si>
  <si>
    <t>sjbzul@gmail.com</t>
  </si>
  <si>
    <t>2022-03-28 05:58:55</t>
  </si>
  <si>
    <t>PASAR WISATA BANDARA JUANDA BLOK Q NO.06 PABEAN, SEDATI, SIDOARJO, JAWA TIMUR, 61253</t>
  </si>
  <si>
    <t>belumdikasih@sales.com</t>
  </si>
  <si>
    <t>2023-06-05 02:32:38</t>
  </si>
  <si>
    <t>JL. TELAGA ASIH BLOK - NO. 117 RT.004 RW.002 TELAGA ASIH, CIKARANG BARAT BEKASI</t>
  </si>
  <si>
    <t>ssa@clickargo.com</t>
  </si>
  <si>
    <t>2022-03-28 12:55:12</t>
  </si>
  <si>
    <t>SOEWARNA BUSINESS PARK BLOK A LOT 8, BANDARA SOEKARNO HATTA RT/RW -, PAJANG, BENDA, KOTA TANGERANG, BANTEN 15126</t>
  </si>
  <si>
    <t>15126</t>
  </si>
  <si>
    <t>02155919900</t>
  </si>
  <si>
    <t>sarmauli.lumbantobing@dhl.com</t>
  </si>
  <si>
    <t>2021-05-24 04:46:17</t>
  </si>
  <si>
    <t>08561566563</t>
  </si>
  <si>
    <t>anwar.musyaddad@dhl.com</t>
  </si>
  <si>
    <t>2022-04-05 02:16:44</t>
  </si>
  <si>
    <t>0811845192</t>
  </si>
  <si>
    <t>dgf_seafreight@gmail.com</t>
  </si>
  <si>
    <t>2022-05-30 05:31:44</t>
  </si>
  <si>
    <t>kabupaten kulon progo</t>
  </si>
  <si>
    <t>di yogyakarta</t>
  </si>
  <si>
    <t>dhl.wingbox@clickargo.com</t>
  </si>
  <si>
    <t>2021-07-05 14:41:30</t>
  </si>
  <si>
    <t>DHL WINGBOX CARGO OWNER</t>
  </si>
  <si>
    <t>kabupaten bangli</t>
  </si>
  <si>
    <t>dhl.wingbox.cargo@clickargo.com</t>
  </si>
  <si>
    <t>2021-07-05 15:17:10</t>
  </si>
  <si>
    <t>DSV</t>
  </si>
  <si>
    <t>1111</t>
  </si>
  <si>
    <t>delacruz.eileen@sg.dsv.com</t>
  </si>
  <si>
    <t>2021-07-22 05:48:38</t>
  </si>
  <si>
    <t>6, CHANGI NORTH WAY</t>
  </si>
  <si>
    <t>siew.hoon.chua@dsv.com</t>
  </si>
  <si>
    <t>2022-09-13 02:28:46</t>
  </si>
  <si>
    <t>JL. ENGGANO NO.40-C, RT8, RT.8/RW.16, TANJUNG PRIOK, NORTH JAKARTA CITY, JAKARTA 14310</t>
  </si>
  <si>
    <t>14310</t>
  </si>
  <si>
    <t>2020-09-14 10:34:13</t>
  </si>
  <si>
    <t>JL. IR. H. JUANDA III NO.26 A-B, KEBON KELAPA, GAMBIR, JAKARTA PUSAT</t>
  </si>
  <si>
    <t>2020-09-09 03:37:48</t>
  </si>
  <si>
    <t>JL IR H JUANDA III, KEBON KELAPA, GAMBIR, KOTA ADM. JAKARTA PUSAT, DKI JAKARTA, 10120</t>
  </si>
  <si>
    <t>081280846728</t>
  </si>
  <si>
    <t>legal@gpi-g.com</t>
  </si>
  <si>
    <t>2021-07-19 07:47:39</t>
  </si>
  <si>
    <t>vin.rony@gpilog.com</t>
  </si>
  <si>
    <t>2021-08-02 07:19:25</t>
  </si>
  <si>
    <t>KOMP. PONDOK INDAH LESTARI BLOK D5 NO.12B RT/RW 004/011, SUNGAIRAYA, SUNGAI RAYA, KUBU RAYA, KALIMANTAN BARAT 78391</t>
  </si>
  <si>
    <t>78391</t>
  </si>
  <si>
    <t>KUBU RAYA</t>
  </si>
  <si>
    <t>KALIMANTAN BARAT</t>
  </si>
  <si>
    <t>2020-09-12 05:13:12</t>
  </si>
  <si>
    <t>DUSUN SUKAMAJU</t>
  </si>
  <si>
    <t>628996222907</t>
  </si>
  <si>
    <t>b6092ktq@yahoo.co.id</t>
  </si>
  <si>
    <t>2022-01-26 02:35:48</t>
  </si>
  <si>
    <t>67796218</t>
  </si>
  <si>
    <t>indon_tv1@yopmail.com</t>
  </si>
  <si>
    <t>2022-06-01 11:04:13</t>
  </si>
  <si>
    <t>ASKRIDA TOWER LT. 4  R. 401 A  JL. PRAMUKA RAYA KAV. 151 RT 009 RW 005 UTAN KAYU UTARA MATRAMAN JAKARTA TIMUR, DKI JAKARTA 13120</t>
  </si>
  <si>
    <t>08170817411</t>
  </si>
  <si>
    <t>cs@inesialogistics.com</t>
  </si>
  <si>
    <t>2022-05-25 10:43:45</t>
  </si>
  <si>
    <t>JL. YOS SUDARSO NO.33, RT.10/RW.11, SUNTER JAYA, KEC. TJ. PRIOK, KOTA JKT UTARA, DAERAH KHUSUS IBUKOTA JAKARTA 14360</t>
  </si>
  <si>
    <t>02122651000</t>
  </si>
  <si>
    <t>yusen_trucking@gmail.com</t>
  </si>
  <si>
    <t>2022-08-08 03:05:59</t>
  </si>
  <si>
    <t>SINGAPORE</t>
  </si>
  <si>
    <t>roger.foo@dsv.com</t>
  </si>
  <si>
    <t>2022-03-07 13:05:11</t>
  </si>
  <si>
    <t>JALAN DUYUNG, GRAHA TIBERIAS RT/RW 003/006, SUNGAI JODOH, BATU AMPAR, KOTA BATAM, KEPULAUAN  RIAU 29453</t>
  </si>
  <si>
    <t>29453</t>
  </si>
  <si>
    <t>kota batam</t>
  </si>
  <si>
    <t>kepulauan riau</t>
  </si>
  <si>
    <t>0811696902</t>
  </si>
  <si>
    <t>ferdyap@hotmail.com</t>
  </si>
  <si>
    <t>2021-04-14 07:07:42</t>
  </si>
  <si>
    <t>ABEL TASMANSTRAAT 33 3165AM ROTTERDAM</t>
  </si>
  <si>
    <t>0031108702437</t>
  </si>
  <si>
    <t>l.vanvugt@rotterdam.klgeurope.com</t>
  </si>
  <si>
    <t>2023-05-17 06:46:36</t>
  </si>
  <si>
    <t>PULOMERAK</t>
  </si>
  <si>
    <t>13555</t>
  </si>
  <si>
    <t>2020-12-16 06:47:17</t>
  </si>
  <si>
    <t>LIAN LEE WOODEN</t>
  </si>
  <si>
    <t>1</t>
  </si>
  <si>
    <t>josephine@lianleewooden.com.sg</t>
  </si>
  <si>
    <t>2021-07-22 06:06:42</t>
  </si>
  <si>
    <t>linfox.ops@clickargo.com</t>
  </si>
  <si>
    <t>2021-07-05 01:31:05</t>
  </si>
  <si>
    <t>linfox.trucks@clickargo.com</t>
  </si>
  <si>
    <t>2021-07-05 01:29:28</t>
  </si>
  <si>
    <t>RUKAN ELANG NEW GADING BATAVIA BLOK L/C 11/7 KELAPA GADING</t>
  </si>
  <si>
    <t>Jakarta Utara</t>
  </si>
  <si>
    <t>DKI Jakarta</t>
  </si>
  <si>
    <t>2020-09-24 08:38:13</t>
  </si>
  <si>
    <t>TOWER FONTANA, CLUSTER BOUGENVILLE 50TH FLOOR, SUITE  50B2 JL. TREMBESI BLOK B BANDAR BARU KEMAYORAN  RT/RW 000/000, PADEMANGAN  TIMUR, PADEMANGAN, KOTA ADM. JAKARTA UTARA, DKI JAKARTA 14410</t>
  </si>
  <si>
    <t>08111991983</t>
  </si>
  <si>
    <t>rhandy@group-mahakarya.com</t>
  </si>
  <si>
    <t>2021-08-22 12:39:23</t>
  </si>
  <si>
    <t>PERKANTORAN PULO MAS I GD.V LT.3, KAYU PUTIH RT/RW -, KAYU PUTIH, PULOGADUNG, KOTA ADM. JAKARTA TIMUR, DKI JAKARTA 13120</t>
  </si>
  <si>
    <t>13120</t>
  </si>
  <si>
    <t>kota jakarta timur</t>
  </si>
  <si>
    <t>02129833208</t>
  </si>
  <si>
    <t>ilyas@megaduta.co.id</t>
  </si>
  <si>
    <t>2021-04-14 03:57:13</t>
  </si>
  <si>
    <t>BR.TANDEG ,DS.TIBUBENENG,KEC.KUTA UTARA,KAB.BADUNG,PROP.BALI</t>
  </si>
  <si>
    <t>80361</t>
  </si>
  <si>
    <t>2020-08-17 16:03:07</t>
  </si>
  <si>
    <t>GEDUNG MENARA BCA, GRAND INDONESIA LT.51 JL.MH.THAMRIN, MENTENG, MENTENG, KOTA ADM. JAKARTA PUSAT, DKI JAKARTA, 10310</t>
  </si>
  <si>
    <t>e.prasetyo@mitsui.com</t>
  </si>
  <si>
    <t>2021-10-27 06:14:52</t>
  </si>
  <si>
    <t>JL. RAYA BEKASI, CAKUNG, JAKARTA TIMUR</t>
  </si>
  <si>
    <t>21908319203</t>
  </si>
  <si>
    <t>sajbndjkasbj@gmail.com</t>
  </si>
  <si>
    <t>2022-11-29 02:58:58</t>
  </si>
  <si>
    <t>WISMA KEIAI LT. 12, JL. JEND. SUDIRMAN KAV 3 RT/RW /, KARET TENGSIN, TANAH ABANG, KOTA ADM. JAKARTA PUSAT, DKI JAKARTA 10220</t>
  </si>
  <si>
    <t>10220</t>
  </si>
  <si>
    <t>KOTA ADM. JAKARTA PUSAT</t>
  </si>
  <si>
    <t>DKI JAKARTA</t>
  </si>
  <si>
    <t>2020-07-23 03:34:16</t>
  </si>
  <si>
    <t>KP.KIARA LAWANG RT/RW/003/011 KEL/DESA.SUKAMUKTI KEC.BANYURESMI KAB.GARUT PROV.JAWA BARAT JABAR WEST JAVA ZIP CODE POST.44191 IDN INDONESIA SOUTHEAST ASIAN COUNTRY</t>
  </si>
  <si>
    <t>085172241298</t>
  </si>
  <si>
    <t>nurzakiyahmubarokah@gmail.com</t>
  </si>
  <si>
    <t>2023-01-18 04:32:50</t>
  </si>
  <si>
    <t>IR. H JUANDA III NOMOR 23 C-D-E  KEBON KELAPA GAMBIR  KOTA ADM. JAKARTA PUSAT DKI JAKARTA 10120</t>
  </si>
  <si>
    <t>02122057980</t>
  </si>
  <si>
    <t>logistic@cosco-ogs.com</t>
  </si>
  <si>
    <t>2021-08-25 02:47:09</t>
  </si>
  <si>
    <t>JL JAPATI NO.1 SADANG SERANG - COBLONG RT/RW -, SADANGSERANG, COBLONG, KOTA BANDUNG, JAWA BARAT 40133</t>
  </si>
  <si>
    <t>082240352066</t>
  </si>
  <si>
    <t>irfan.salman@telkom.co.id</t>
  </si>
  <si>
    <t>2021-08-23 05:35:34</t>
  </si>
  <si>
    <t>KAWASAN INDUSTRI MM2100 BLOK O-1, CIKARANG BARAT BEKASI 17520</t>
  </si>
  <si>
    <t>17520</t>
  </si>
  <si>
    <t>BEKASI</t>
  </si>
  <si>
    <t>2020-08-06 04:04:20</t>
  </si>
  <si>
    <t>GUNUNG ANYAR HARAPAN ZF 7</t>
  </si>
  <si>
    <t>60294</t>
  </si>
  <si>
    <t>2020-12-10 06:08:22</t>
  </si>
  <si>
    <t>CLUSTER MARBELLA RESIDENCE, BLOK G3, NOMOR 23 RT/RW 003/039, BELIAN, BATAM KOTA, KOTA BATAM, KEPULAUAN  RIAU 29464</t>
  </si>
  <si>
    <t>29464</t>
  </si>
  <si>
    <t>KOTA BATAM</t>
  </si>
  <si>
    <t>KEPULAUAN  RIAU</t>
  </si>
  <si>
    <t>2020-10-25 03:16:22</t>
  </si>
  <si>
    <t>karorayatrans@gmail.com</t>
  </si>
  <si>
    <t>2021-09-22 06:59:05</t>
  </si>
  <si>
    <t>JL SOEKARNO HATTA KM 32 RT 23 NO 01, KEL KARYA MERDEKA, KEC SAMBOJA BARAT, KAB KUTAI KARTANEGARA</t>
  </si>
  <si>
    <t>081253328969</t>
  </si>
  <si>
    <t>ptbtga@gmail.com</t>
  </si>
  <si>
    <t>2023-01-19 07:38:31</t>
  </si>
  <si>
    <t>02129036550</t>
  </si>
  <si>
    <t>jkt.info@craneww.com</t>
  </si>
  <si>
    <t>2021-12-21 03:18:50</t>
  </si>
  <si>
    <t>JL. KALIMANTAN BLOK E1-2, KAWASAN INDUSTRI MM2100, DESA/KELURAHAN GANDAMEKAR, KEC. CIKARANG BARAT, KAB. BEKASI, PROVINSI JAWA BARAT, KODE POS: 17530</t>
  </si>
  <si>
    <t>6281289495299</t>
  </si>
  <si>
    <t>anrihal.fajari.a3u@ap.denso.com</t>
  </si>
  <si>
    <t>2022-10-24 02:07:25</t>
  </si>
  <si>
    <t>eltranslogis@gmail.com</t>
  </si>
  <si>
    <t>2022-04-06 03:58:49</t>
  </si>
  <si>
    <t>aandrian@fmi.com</t>
  </si>
  <si>
    <t>2021-11-19 02:26:58</t>
  </si>
  <si>
    <t>helpdesk-ck-truck@gamalogistics.com</t>
  </si>
  <si>
    <t>2021-09-14 08:27:40</t>
  </si>
  <si>
    <t>GRAHA MAMPANG 3RD FLOOR, SUITE 305, JL. MAMPANG PRAPATAN RAYA KAV. 100, KEL. DUREN TIGA, KEC. PANCORAN, JAKARTA SELATAN, DKI JAKARTA 12760</t>
  </si>
  <si>
    <t>12760</t>
  </si>
  <si>
    <t>Jakarta Selatan</t>
  </si>
  <si>
    <t>2020-12-21 06:10:55</t>
  </si>
  <si>
    <t>THE PRIME OFFICE SUITES LANTAI 7 JALAN YOS SUDARSO BLOK SUITE C NO KAV.30 RT 009 RW 011 SUNTER JAYA TANJUNG PRIOK JAKARTA UTARA DKI JAKARTA</t>
  </si>
  <si>
    <t>admin.tds@guud.company</t>
  </si>
  <si>
    <t>2021-08-09 03:27:57</t>
  </si>
  <si>
    <t>admintruck@hacaca.co.id</t>
  </si>
  <si>
    <t>2021-10-22 03:10:05</t>
  </si>
  <si>
    <t>JALAN MARUNDA RAYA NO.3, KEL. SEGARA MAKMUR, KEC. TARUMAJAYA</t>
  </si>
  <si>
    <t>17211</t>
  </si>
  <si>
    <t>02188991019</t>
  </si>
  <si>
    <t>info@hacaca.com</t>
  </si>
  <si>
    <t>2021-06-23 07:36:10</t>
  </si>
  <si>
    <t>marketingjasindo@gmail.com</t>
  </si>
  <si>
    <t>2022-03-21 09:55:47</t>
  </si>
  <si>
    <t>TAMAN PALEM LESTARI, KOMPLEK RUKO GALAXY, JL. KAMAL RAYA OUTER RINGROAD BLOK R NO.01, RT.013 RW.008, KEL. CENGKARENG BARAT, KEC. CENGKARENG</t>
  </si>
  <si>
    <t>wahyudi_jpp@yahoo.com</t>
  </si>
  <si>
    <t>2022-08-22 02:53:29</t>
  </si>
  <si>
    <t>JL CANDI TEMBAGA SELATAN NO.995 RT.012 RW.005 KALIPANCUR, NGALIYAN KOTA SEMARANG JAWA TENGAH</t>
  </si>
  <si>
    <t>082225847727</t>
  </si>
  <si>
    <t>kinarya.mimi@gmail.com</t>
  </si>
  <si>
    <t>2022-01-24 08:10:04</t>
  </si>
  <si>
    <t>JL PUSPANJOLO TIMUR X/26 RT 06 RW 02 SEMARANG JAWA TENGAH 50141</t>
  </si>
  <si>
    <t>085740931255</t>
  </si>
  <si>
    <t>kinaryamandiri.trans@gmail.com</t>
  </si>
  <si>
    <t>2022-03-21 14:33:20</t>
  </si>
  <si>
    <t>JL. PEKOJAN RAYA NO.88 &amp; 89, PEKOJAN, TAMBORA, KEL.PEKOJAN KEC. TAMBORA, KOTA ADM JAKARTA BARAT, PROP. DKI JAKARTA</t>
  </si>
  <si>
    <t>02143901037</t>
  </si>
  <si>
    <t>nelly@kumlog.co.id</t>
  </si>
  <si>
    <t>2022-08-04 04:57:14</t>
  </si>
  <si>
    <t>GADING BUKIT INDAH BLOK TB NOMOR 6, JALAN RAYA GADING KIRANA, KEL. KELAPA GADING BARAT, KEC. KELAPA GADING, KOTA ADM. JAKARTA UTARA, PROV. DKI JAKARTA</t>
  </si>
  <si>
    <t>logoljakartamitraindo@gmail.com</t>
  </si>
  <si>
    <t>2023-04-18 02:24:14</t>
  </si>
  <si>
    <t>cs@mahkotalogistik.com</t>
  </si>
  <si>
    <t>2021-10-19 07:04:43</t>
  </si>
  <si>
    <t>KUNCEN RT06 RW03 DOPLANG TERAS BOYOLALI</t>
  </si>
  <si>
    <t>57372</t>
  </si>
  <si>
    <t>kabupaten boyolali</t>
  </si>
  <si>
    <t>jawa tengah</t>
  </si>
  <si>
    <t>2020-12-27 07:54:56</t>
  </si>
  <si>
    <t>JL. ANJASMORO RAYA NO. 6A RT 003 RW 003 KARANG AYU, SEMARANG BARAT, SEMARANG, JAWA TENGAH</t>
  </si>
  <si>
    <t>02476490857</t>
  </si>
  <si>
    <t>sebastian@mileniaexpress.com</t>
  </si>
  <si>
    <t>2022-05-12 07:50:20</t>
  </si>
  <si>
    <t>PROF. DR. SATRIO A3 NO. 5  PONDOK JAYA PONDOK AREN</t>
  </si>
  <si>
    <t>02174864567</t>
  </si>
  <si>
    <t>legal-ml@tbsgroup.co.id</t>
  </si>
  <si>
    <t>2022-02-18 02:16:17</t>
  </si>
  <si>
    <t>JL. KAMAL MUARA VII NO. 85 KAMAL MUARA, JAKARTA UTARA DKI JAKARTA 14470 INDONESIA</t>
  </si>
  <si>
    <t>14470</t>
  </si>
  <si>
    <t>2020-10-22 04:41:10</t>
  </si>
  <si>
    <t>GEDUNG MASINDO, JL. MAMPANG PRAPATAN RAYA NO. 73A LANTAI 3 , KEL. TEGAL PARANG, KEC. MAMPANG PRAPATAN, KOTA ADM. JAKARTA SELATAN, PROVINSI DKI JAKARTA</t>
  </si>
  <si>
    <t>0816272411</t>
  </si>
  <si>
    <t>helmi@nusantarahub.com</t>
  </si>
  <si>
    <t>2021-12-13 02:45:52</t>
  </si>
  <si>
    <t>JL. RAYA CAKUNG CILINCING KAV. 14, KEL. CAKUNG TIMUR, KEC. CAKUNG, KOTA ADM. JAKARTA TIMUR, PROP. DKI JAKARTA</t>
  </si>
  <si>
    <t>02146823912</t>
  </si>
  <si>
    <t>nlil-gena@nittsu.com.hk</t>
  </si>
  <si>
    <t>2022-08-02 09:54:21</t>
  </si>
  <si>
    <t>JL. RAYA BOGOR KM.29</t>
  </si>
  <si>
    <t>13710</t>
  </si>
  <si>
    <t>021871022</t>
  </si>
  <si>
    <t>clickargo.pmi@gatotkaca.co.id</t>
  </si>
  <si>
    <t>2020-03-02 10:24:59</t>
  </si>
  <si>
    <t>JL. KARITAS JOMBOR KIDUL NO. 01 , KEL. SINDUADI, KEC. MLATI, KAB. SLEMAN, PROV. DAERAH ISTIMEWA YOGYAKARTA</t>
  </si>
  <si>
    <t>pt.raskitawirajaya.jogja@gmail.com</t>
  </si>
  <si>
    <t>2023-03-14 13:41:06</t>
  </si>
  <si>
    <t>99NINETYNINE PARK BUILDING NO. 06 /C, ROOM 21, KUNCEN, DOPLANG, TERAS, BOYOLALI</t>
  </si>
  <si>
    <t>081227240010</t>
  </si>
  <si>
    <t>rodadjati@gmail.com</t>
  </si>
  <si>
    <t>2022-10-19 10:17:15</t>
  </si>
  <si>
    <t>EJIP INDUSTRIAL PARK PLOT 6G</t>
  </si>
  <si>
    <t>2020-03-02 10:35:54</t>
  </si>
  <si>
    <t>ops.impor@spsgroup.co.id</t>
  </si>
  <si>
    <t>2022-03-29 11:02:28</t>
  </si>
  <si>
    <t>2021-09-08 05:49:29</t>
  </si>
  <si>
    <t>JL. RAYA SAPAN NO. 222 RT. 004 RW. 009 TEGAL LUAR, BOJONGSOANG KAB. BANDUNG JAWA BARAT</t>
  </si>
  <si>
    <t>022284221344</t>
  </si>
  <si>
    <t>wangsajayamandiri@gmail.com</t>
  </si>
  <si>
    <t>2022-06-27 04:36:14</t>
  </si>
  <si>
    <t>ASKRIDA TOWER LT. 4  R. 401 A   JL. PRAMUKA RAYA KAV. 151 RT 009 RW 005  UTAN KAYU UTARA MATRAMAN  JAKARTA TIMUR, DKI JAKARTA 13120</t>
  </si>
  <si>
    <t>cs_trucking@inesialogistics.com</t>
  </si>
  <si>
    <t>2023-03-03 03:00:27</t>
  </si>
  <si>
    <t>KP. RAWA GIRANG NO.53, DESA/KELURAHAN TANIMULYA, KEC. NGAMPRAH, KAB. BANDUNG BARAT, PROVINSI JAWA BARAT,KODE POS: 40552</t>
  </si>
  <si>
    <t>adamputralogistic@gmail.com</t>
  </si>
  <si>
    <t>2023-05-17 03:06:16</t>
  </si>
  <si>
    <t>JL. EDAM II NO.15A KEL. TANJUNG PRIOK RT.002 RW.016 KEC. TANJUNG PRIOK JAKARTA UTARA</t>
  </si>
  <si>
    <t>02143938867</t>
  </si>
  <si>
    <t>yosuasuryadhika@gmail.com</t>
  </si>
  <si>
    <t>2021-04-14 16:27:11</t>
  </si>
  <si>
    <t>adindatranscargo.smg@gmail.com</t>
  </si>
  <si>
    <t>2022-03-21 10:32:38</t>
  </si>
  <si>
    <t>JL. MAULANA HASANUDIN, SIMPRUG DIPORIS, BLOK B7/06, KEL./KEC. TANGERANG. PROVINSI BANTEN</t>
  </si>
  <si>
    <t>emilbahri.nasution@yahoo.com</t>
  </si>
  <si>
    <t>2023-02-28 02:41:18</t>
  </si>
  <si>
    <t>JALAN BAWANG 5 NO 27A , DESA/KELURAHAN CIMUNING, KEC. MUSTIKAJAYA,KOTA BEKASI, PROVINSI JAWA BARAT, 17155</t>
  </si>
  <si>
    <t>alisaranaabadi@gmail.com</t>
  </si>
  <si>
    <t>2023-06-12 09:31:54</t>
  </si>
  <si>
    <t>JL. SIDOREJO, DESA/KELURAHAN TAMBANGAN, KEC. MIJEN, KOTA SEMARANG, PROVINSI JAWA TENGAH,</t>
  </si>
  <si>
    <t>aliratransportasi@gmail.com</t>
  </si>
  <si>
    <t>2023-02-20 10:15:41</t>
  </si>
  <si>
    <t>JL. PERAK BARAT NO.229, KEL. PERAK UTARA, KEC. PABEAN CANTIAN, KOTA SURABAYA, JAWA TIMUR, 60165</t>
  </si>
  <si>
    <t>andalanlogistic123@gmail.com</t>
  </si>
  <si>
    <t>2023-06-06 07:50:35</t>
  </si>
  <si>
    <t>JL. EDAM II NO.15B RT. 000 RW. 000 TANJUNG PRIOK TANJUNG PRIOK JAKARTA UTARA DKI JAKARTA</t>
  </si>
  <si>
    <t>081212999448</t>
  </si>
  <si>
    <t>aab@asamudera.co.id</t>
  </si>
  <si>
    <t>2022-01-19 10:58:14</t>
  </si>
  <si>
    <t>GRAHA MAHLIGAI PUTRA, JALAN ENDE NOMOR 27 RT. 008 RW. 016</t>
  </si>
  <si>
    <t>0811171300</t>
  </si>
  <si>
    <t>admin@anindya.com</t>
  </si>
  <si>
    <t>2022-01-13 08:03:15</t>
  </si>
  <si>
    <t>anindya.jifa@gmail.com</t>
  </si>
  <si>
    <t>2021-10-06 09:09:05</t>
  </si>
  <si>
    <t>JL. YOS SUDARSO LORONG 101 NO. 51, KEL. KOJA, KEC. KOJA, KOTA ADM. JAKARTA UTARA, PROVINSI DKI JAKARTA,</t>
  </si>
  <si>
    <t>082125650896</t>
  </si>
  <si>
    <t>obey@anugerahlogistics.com</t>
  </si>
  <si>
    <t>2022-10-03 08:04:54</t>
  </si>
  <si>
    <t>JL. GADING KIRANA TIMUR IX NO.22, KEL. KELAPA GADING BARAT, KEC. KELAPA GADING, KOTA JAKARTA UTARA, DKI JAKARTA</t>
  </si>
  <si>
    <t>aretelogistik@gmail.com</t>
  </si>
  <si>
    <t>2023-05-11 02:29:49</t>
  </si>
  <si>
    <t>LIMBANGAN, KEL. LIMBANGAN, KEC. LIMBANGAN, KAB. KENDAL, JAWA TENGAH</t>
  </si>
  <si>
    <t>ariyanto.tunas.langgeng@gmail.com</t>
  </si>
  <si>
    <t>2023-02-09 07:02:07</t>
  </si>
  <si>
    <t>SEDAYU BIZZPARK, CAWANG, JAKARTA TIMUR GS.7 NO.19</t>
  </si>
  <si>
    <t>corporate@armadaberjaya.com</t>
  </si>
  <si>
    <t>2022-10-05 04:30:35</t>
  </si>
  <si>
    <t>JL. PINUS IV NO.38, TAMAN ROYAL, INDONESIA</t>
  </si>
  <si>
    <t>armadagemilangsentosa@gmail.com</t>
  </si>
  <si>
    <t>2022-10-05 06:57:07</t>
  </si>
  <si>
    <t>KOMPLEK SENTRA BISNIS JALAN HARAPAN INDAH RAYA BLOK SS 21-19 , DESA/KELURAHAN MEDANSATRIA, KEC. MEDANSATRIA, KOTA BEKASI, PROVINSI JAWA BARAT, KODE POS: 17132</t>
  </si>
  <si>
    <t>ashakalogistik@gmail.com</t>
  </si>
  <si>
    <t>2023-02-01 07:37:02</t>
  </si>
  <si>
    <t>"ALFA TOWER BUILDING, 23RD FLOOR JL. JALUR SUTERA BARAT KAV 7-9 ALAM SUTERA, PINANG (PENANG), TANGERANG, BANTEN"</t>
  </si>
  <si>
    <t>admin@atri-jpp.com</t>
  </si>
  <si>
    <t>2022-10-07 08:11:56</t>
  </si>
  <si>
    <t>JALAN BAWANG 5 NO. 27A, DESA/KELURAHAN CIMUNING, KEC. MUSTIKAJAYA, KOTA BEKASI, PROVINSI JAWA BARAT,17155</t>
  </si>
  <si>
    <t>awani123789@gmail.com</t>
  </si>
  <si>
    <t>2023-03-21 15:33:06</t>
  </si>
  <si>
    <t>awani@co.com</t>
  </si>
  <si>
    <t>2023-06-12 08:59:47</t>
  </si>
  <si>
    <t>JL. YOS SUDARSO KAV 89 MITRA SUNTER BUILDING</t>
  </si>
  <si>
    <t>benamuliakarina@gmail.com</t>
  </si>
  <si>
    <t>2022-08-16 08:01:09</t>
  </si>
  <si>
    <t>RUKO BUKIT GADING INDAH SB 03 JALAN BUKIT GADING INDAH KELAPA GADING, DESA/KELURAHAN PEGANGSAAN DUA, KEC. KELAPA GADING, KOTA ADM. JAKARTA UTARA, PROVINSI DKI JAKARTA, KODE POS: 14240</t>
  </si>
  <si>
    <t>berkahglobalpratama.jkt@gmail.com</t>
  </si>
  <si>
    <t>2022-11-26 10:35:22</t>
  </si>
  <si>
    <t>KALIJATEN, KEL. KALIJATEN, KEC. TAMAN, KAB. SIDOARJO, PROVINSI JAWA TIMUR, 61257</t>
  </si>
  <si>
    <t>berkahintiperkasa@gmail.com</t>
  </si>
  <si>
    <t>2023-06-05 07:38:21</t>
  </si>
  <si>
    <t>berkahjayalestarindo@yahoo.com</t>
  </si>
  <si>
    <t>2022-03-22 10:31:02</t>
  </si>
  <si>
    <t>JALAN TRANSFORMATOR RAYA NOMOR 218, KEL. JATICEMPAKA, KEC. PONDOKGEDE, KOTA BEKASI, PROV. JAWA BARAT</t>
  </si>
  <si>
    <t>pt.biceptbangunjaya@gmail.com</t>
  </si>
  <si>
    <t>2023-06-06 07:48:50</t>
  </si>
  <si>
    <t>JL. RAYA LOGISTIK RT/005 RW/004 TUGU SELATAN, KOJA</t>
  </si>
  <si>
    <t>081807203335</t>
  </si>
  <si>
    <t>cindy.meilissa89@gmail.com</t>
  </si>
  <si>
    <t>2022-09-30 09:32:24</t>
  </si>
  <si>
    <t>JL. PERAK BARAT 229, KEL. PERAK UTARA, KEC. PABEAN CANTIAN, KOTA SURABAYA, PROV. JAWA TIMUR</t>
  </si>
  <si>
    <t>ptbigsby@gmail.com</t>
  </si>
  <si>
    <t>2023-06-06 07:52:05</t>
  </si>
  <si>
    <t>DSN. GEMENGGENG, , KAB. SEMARANG, PROVINSI JAWA TENGAH, KODE POS: 50664</t>
  </si>
  <si>
    <t>carakasaktinusantara@gmail.com</t>
  </si>
  <si>
    <t>2023-01-11 08:25:29</t>
  </si>
  <si>
    <t>GADING MEDITERANIA RESIDENCE TOWE C SELATAN LT.1 JL BOULEVARD BUKIT GADING RAYA RT.000 RW.000 KELAPA GADING BARAT, KELAPA GADING JAKARTA UTARA, DKI JAKARTA</t>
  </si>
  <si>
    <t>central_bahari@yahoo.com</t>
  </si>
  <si>
    <t>2022-09-29 09:00:07</t>
  </si>
  <si>
    <t>company@cpl.com</t>
  </si>
  <si>
    <t>2022-10-05 06:42:05</t>
  </si>
  <si>
    <t>MALL MANGGA DUA SQUARE LANTAI 2 BLOK A, NO.2B , JL. GUNUNG SAHARI RAYA NO.1, KEL. ANCOL, KEC. PADEMANGAN, JAKARTA UTARA</t>
  </si>
  <si>
    <t>citrabuana.nusantara@yahoo.com</t>
  </si>
  <si>
    <t>2023-05-09 07:33:45</t>
  </si>
  <si>
    <t>ckbtrucking@clickargo.com</t>
  </si>
  <si>
    <t>2021-09-22 02:10:40</t>
  </si>
  <si>
    <t>TAMAN PERMATA INDAH BLOK D-24, KEL. KALIJATEN, KEC. TAMAN, KAB. SIDOARJO, PROVINSI JAWA TIMUR, 61257</t>
  </si>
  <si>
    <t>zxdsd@gmail.com</t>
  </si>
  <si>
    <t>2023-03-23 12:29:41</t>
  </si>
  <si>
    <t>delivioperkasa@gmail.com</t>
  </si>
  <si>
    <t>2022-03-21 04:20:04</t>
  </si>
  <si>
    <t>JL. TEUKU UMAR NO.27, RT/002 RW/001, KARANGREJO, GAJAHMUNGKUR.</t>
  </si>
  <si>
    <t>deltautamagemilang@gmail.com</t>
  </si>
  <si>
    <t>2023-02-28 10:14:44</t>
  </si>
  <si>
    <t>dug@gmail.com</t>
  </si>
  <si>
    <t>2023-05-30 02:41:06</t>
  </si>
  <si>
    <t>KIRANA TWO 12 A&amp;B, JL. BOULEVARD TIMUR NO. 88, KEL. PEGANGSAAN DUA, KEC. KELAPA GADING, KOTA ADM. JAKARTA UTARA, PROP. DKI JAKARTA</t>
  </si>
  <si>
    <t>corsec@dfilogistics.com</t>
  </si>
  <si>
    <t>2022-11-03 03:15:23</t>
  </si>
  <si>
    <t>JL. I GUSTI NGURAH RAI, RUKO MALL KLENDER B3 NO.9, RT.008 RW.006, KEL. KLENDER, KEC DUREN SAWIT, JAKARTA TIMUR</t>
  </si>
  <si>
    <t>ptdiangiriselaras.digascargo@gmail.com</t>
  </si>
  <si>
    <t>2023-03-23 14:56:38</t>
  </si>
  <si>
    <t>GRAHA MAMPANG LT.3 , SUITE 305, JL. MAMPANG PRAPATAN RAYA KAV.100, KELDUREN TIGA, KEC. PANCORAN, JAKARTA SELATAN. DKI JAKARTA</t>
  </si>
  <si>
    <t>dimaspratama1296@gmail.com</t>
  </si>
  <si>
    <t>2023-01-26 07:40:44</t>
  </si>
  <si>
    <t>CIPUTRA CITRA TOWERS, LANTAI 3, UNIT H1 BLOK A6, JL. BENYAMIN SUEB JL. CASA NO.170, DESA/KELURAHAN KEBON KOSONG, KEC. KEMAYORAN, KOTA ADM. JAKARTA PUSAT, PROVINSI DKI JAKARTA, KODE POS: 10630</t>
  </si>
  <si>
    <t>duoromotrans@gmail.com</t>
  </si>
  <si>
    <t>2023-05-09 04:45:25</t>
  </si>
  <si>
    <t>JALAN KELAPA KOPYOR BARAT VII CL2, NOMOR 24, KEL. KELAPA GADING TIMUR, KEC. KELAPA GADING, KOTA ADM. JAKARTA UTARA, DKI JAKARTA</t>
  </si>
  <si>
    <t>0123</t>
  </si>
  <si>
    <t>budidls1@yahoo.com</t>
  </si>
  <si>
    <t>2022-09-23 06:27:58</t>
  </si>
  <si>
    <t>RUKO GADING LAVENDER PEGANGSAAN DUA, NO.88A PEGANGSAAN DUA, KELAPA GADING</t>
  </si>
  <si>
    <t>verasammy01@gmail.com</t>
  </si>
  <si>
    <t>2022-12-21 08:41:47</t>
  </si>
  <si>
    <t>CIBIS TOWER 9, 3RD FLOOR, CIBIS BUSINESS PARK JL.T.B. SIMATUPANG NO. 2</t>
  </si>
  <si>
    <t>12560</t>
  </si>
  <si>
    <t>kota jakarta selatan</t>
  </si>
  <si>
    <t>2020-07-02 07:18:58</t>
  </si>
  <si>
    <t>JL. TAMAN HARAPAN INDAH, RUKO TAMAN CEMARA BLOK U8 NOMOR 9, DESA/KELURAHAN PUSAKA RAKYAT, KEC. TARUMAJAYA, KAB. BEKASI, PROVINSI JAWA BARAT, KODE POS: 1721</t>
  </si>
  <si>
    <t>erajayakarunialogistik@gmail.com</t>
  </si>
  <si>
    <t>2023-05-11 02:41:27</t>
  </si>
  <si>
    <t>GEDUNG QUANTUM, 3RD FLOOR, ROOM 3A JL. PEMUDA NO. 34  RAWAMANGUN JAKARTA 13220</t>
  </si>
  <si>
    <t>13220</t>
  </si>
  <si>
    <t>2020-09-21 09:21:42</t>
  </si>
  <si>
    <t>BUSINESS PARK KBN JERUK BLK C.2/12, JL. RAYA M MERUYA UTARA KEMBANGAN</t>
  </si>
  <si>
    <t>02130067855</t>
  </si>
  <si>
    <t>jody.heriawan@gamalogistics.com</t>
  </si>
  <si>
    <t>2021-08-25 02:51:31</t>
  </si>
  <si>
    <t>JALAN RAYA CAKUNG CILINCING PAL II , KEL. SUKAPURA, KEC. CILINCING, KOTA ADM. JAKARTA UTARA, PROVINSI DKI JAKARTA, KODE POS: 14140</t>
  </si>
  <si>
    <t>rudy@glterminal.com</t>
  </si>
  <si>
    <t>2023-05-11 02:19:57</t>
  </si>
  <si>
    <t>GEDUNG ALAMANDA TOWERE LT. 17 UNIT E-G JL TB SIMATUPANG KAV 23-24 CILANDAK BARAT CILANDAK KOTA ADM. JAKARTA SELATAN DKI JAKARTA 12430</t>
  </si>
  <si>
    <t>02127811107</t>
  </si>
  <si>
    <t>seacustoms.ff.id@geodis.com</t>
  </si>
  <si>
    <t>2022-03-01 06:55:08</t>
  </si>
  <si>
    <t>IDEAL BUSINESS CENTER LT.4 JL. MANUNGGAL PRATAMA, CIPINANG JAKARTA TIMUR</t>
  </si>
  <si>
    <t>02121381721</t>
  </si>
  <si>
    <t>ptgilangciptasentosa@gmail.com</t>
  </si>
  <si>
    <t>2022-03-02 03:16:26</t>
  </si>
  <si>
    <t>JALAN RAYA CAKUNG CILINCING PAL II  RT. 002 RW.003 SUKAPURA, CILINCING</t>
  </si>
  <si>
    <t>081380328234</t>
  </si>
  <si>
    <t>info@glterminal.com</t>
  </si>
  <si>
    <t>2022-01-20 04:07:45</t>
  </si>
  <si>
    <t>0213807882</t>
  </si>
  <si>
    <t>traffic@gpilog.com</t>
  </si>
  <si>
    <t>2020-09-01 03:12:15</t>
  </si>
  <si>
    <t>GD. EPICENTRUM WALK LT.5 OFFICE SUITE SOUTH 529A, RASUNA EPICENTRUM CBD, JL. HR. RASUNA SAID KARET KUNINGAN - SETIABUDI, JAKARTA SELATAN</t>
  </si>
  <si>
    <t>gubahindonesia@gmail.com</t>
  </si>
  <si>
    <t>2023-06-08 10:17:40</t>
  </si>
  <si>
    <t>JL. SINAR ASIH 1 NO.8, KEL. JATIASIH, KEC. JATIASIH, KOTA BEKASI, JAWA BARAT.</t>
  </si>
  <si>
    <t>handellog.07@gmail.com</t>
  </si>
  <si>
    <t>2023-02-28 10:43:10</t>
  </si>
  <si>
    <t>MAISONETTE REGENCY RUKO COPYLAS NO. 12-15 2ND FLOOR JL. JOGLO RAYA KEMBANGAN JAKARTA BARAT</t>
  </si>
  <si>
    <t>11640</t>
  </si>
  <si>
    <t>2020-09-22 05:44:56</t>
  </si>
  <si>
    <t>ASKRIDA TOWER LT.4, RUANG 402 JL. RAYA PRAMUKA KAV 151, KEL. UTAN KAYU, KEC. MATRAMAN, KOTA ADM. JAKARTA TIMUR, DKI JAKARTA</t>
  </si>
  <si>
    <t>inesiafood0@gmail.com</t>
  </si>
  <si>
    <t>2023-02-27 08:03:59</t>
  </si>
  <si>
    <t>RUKO CORDOBA A26, PIK, JAKARTA UTARA</t>
  </si>
  <si>
    <t>2021-03-01 07:41:28</t>
  </si>
  <si>
    <t>JL. KAYU PUTIH IV BLOK C5, PULOGADUNG KEL. PULOGADUNG, KEC. PULOGADUNG, JAKARTA TIMUR DKI JAKARTA</t>
  </si>
  <si>
    <t>novitapetite@gmail.com</t>
  </si>
  <si>
    <t>2022-12-05 04:14:31</t>
  </si>
  <si>
    <t>GEDUNG PERKANTORAN PULOMAS SATU GEDUNG 2 LT 3 R 10 JL JENDRAL AHMAD YANI NO.2 RT. 003 RW. 013 KAYU PUTIH PULOGADUNG KOTA ADM. JAKARTA TIMUR DKI JAKARTA 13210</t>
  </si>
  <si>
    <t>02122861657</t>
  </si>
  <si>
    <t>amd.sugiono@ptigl.com</t>
  </si>
  <si>
    <t>2021-06-14 06:08:20</t>
  </si>
  <si>
    <t>GEDUNG MARIBAYA LT. 3, JL. OTISTA RAYA NO. 141,  KOTA ADM. JAKARTA TIMUR, PROP. DKI JAKARTA</t>
  </si>
  <si>
    <t>admin@jangkarsamudera.co.id</t>
  </si>
  <si>
    <t>2023-05-17 10:05:36</t>
  </si>
  <si>
    <t>PERUMAHAN PURI MEGAH BLOK C2 NO.6, KEL.CIPONDOH , KEC.COPONDOH, KOTA TANGERANG, PROVINSI BANTEN</t>
  </si>
  <si>
    <t>ptjefiraintiperkasa@gmail.com</t>
  </si>
  <si>
    <t>2023-01-24 03:52:33</t>
  </si>
  <si>
    <t>RUKO DELTA FORTUNA NO.48, RT.31 RW.L 1, KEL. NGINGAS, KEC. WARU, KAB. SIDOARJO, PROV. JAWA TIMUR</t>
  </si>
  <si>
    <t>admin_ar@jenarent.com</t>
  </si>
  <si>
    <t>2023-03-20 08:17:18</t>
  </si>
  <si>
    <t>RUKO DELTA FORTUNA NO.48, KEL. NGINGAS, KEC. WARU, KAB. SIDOARJO, PROVINSI JAWA TIMUR, 61256</t>
  </si>
  <si>
    <t>ptjenasolusitransport@gmail.com</t>
  </si>
  <si>
    <t>2023-03-20 08:21:30</t>
  </si>
  <si>
    <t>VILLA TOMANG BARU BLOK C4 NO. 5A, KEL. GELAM JAYA, KEC. PASAR KEMIS, KAB. TANGERANG, PROVINSI BANTEN</t>
  </si>
  <si>
    <t>joymitraandalan@gmail.com</t>
  </si>
  <si>
    <t>2023-01-24 09:19:21</t>
  </si>
  <si>
    <t>JL. CICALENGKA - MAJALAYA KM. 1,6 CIKUYA  CIKUYA CICALENGKA KAB. BANDUNG JAWA BARAT 90398</t>
  </si>
  <si>
    <t>0226000666</t>
  </si>
  <si>
    <t>jadiid.ilham@nabatisnack.co.id</t>
  </si>
  <si>
    <t>2022-07-01 08:49:41</t>
  </si>
  <si>
    <t>JL.RAYA TUGU NO 32, SEMPER, JAKARTA UTARA</t>
  </si>
  <si>
    <t>karyaabadisejati@gmail.com</t>
  </si>
  <si>
    <t>2022-09-16 06:35:43</t>
  </si>
  <si>
    <t>JL. BUGIS RAYA NO.33 RT. 12 RW. 6 KEBON BAWANG, TANJUNG PRIOK KOTA ADM. JAKARTA UTARA DKI JAKARTA</t>
  </si>
  <si>
    <t>adminkdb@notready.com</t>
  </si>
  <si>
    <t>2023-05-19 07:17:16</t>
  </si>
  <si>
    <t>izalyosi@gmail.com</t>
  </si>
  <si>
    <t>2022-03-15 10:58:54</t>
  </si>
  <si>
    <t>truck@pt-ktrans.co.id</t>
  </si>
  <si>
    <t>2022-01-06 16:18:08</t>
  </si>
  <si>
    <t>KP. TELUK HAUR RT.002 RW.005 KERTAJAYA PEBAYURAN KAB. BEKASI JAWA BARAT</t>
  </si>
  <si>
    <t>02678421682</t>
  </si>
  <si>
    <t>corporate@kencanagemilang.com</t>
  </si>
  <si>
    <t>2021-12-18 02:10:57</t>
  </si>
  <si>
    <t>THE PRIME - OFFICE SUITES LT. 7 - SUITES A JL. YOS SUDARSO BLOK O5 NO. 30, DESA/KELURAHAN SUNTER JAYA, KEC. TANJUNG PRIOK, KOTA ADM. JAKARTA UTARA, PROVINSI DKI JAKARTA</t>
  </si>
  <si>
    <t>02122654188</t>
  </si>
  <si>
    <t>admin@kgljkt.com</t>
  </si>
  <si>
    <t>2023-01-30 08:40:32</t>
  </si>
  <si>
    <t>MEKARSARI BARAT AL-BAROKAH NO. 62 RT. 005 RW. MEKARSARI, TAMBUN SELATAN KAB. BEKASI JAWA BARAT</t>
  </si>
  <si>
    <t>ptberkahkhalid939@gmail.com</t>
  </si>
  <si>
    <t>2023-05-26 07:42:40</t>
  </si>
  <si>
    <t>WORK.INC BUILDING, JALAN HAYAM WURUK NO. 111 ZC MAPHAR, TAMAN SARI KOTA ADM JAKARTA BARAT DKI JAKARTA</t>
  </si>
  <si>
    <t>081318557892</t>
  </si>
  <si>
    <t>info.khrisnakatonbajaskara@gmail.com</t>
  </si>
  <si>
    <t>2022-08-22 10:49:15</t>
  </si>
  <si>
    <t>ALTIRA OFFICE TOWER, LANTAI 23, UNIT D-G, JL. YOS SUDARSO KAV.85, RT 009 RW 011,  SUNTER JAYA, TANJUNG PRIOK, KOTA ADM. JAKARTA UTARA, DKI JAKARTA, 14350</t>
  </si>
  <si>
    <t>62811861417</t>
  </si>
  <si>
    <t>kintetsuworld@yopmail.com</t>
  </si>
  <si>
    <t>2021-03-23 07:48:34</t>
  </si>
  <si>
    <t>VILA DAGO TOL, BLOK C NO.03, KEL. CIATER, KEC. SERPONG, TANGERANG SELATAN, BANTEN</t>
  </si>
  <si>
    <t>kitakaya.logistik@gmail.com</t>
  </si>
  <si>
    <t>2023-01-26 07:20:51</t>
  </si>
  <si>
    <t>SENTRA BISNIS ARTHA GADING BLOK A6B NO.22/1, DESA/KELURAHAN KELAPA GADING BARAT, KEC. KELAPA GADING, KOTA ADM. JAKARTA UTARA, PROVINSI DKI JAKARTA, KODE POS: 14240</t>
  </si>
  <si>
    <t>klikuantum@yahoo.com</t>
  </si>
  <si>
    <t>2023-03-01 10:33:36</t>
  </si>
  <si>
    <t>JL. BUNGUR BESAR RAYA NO.9, KEL.SENEN, KEC. SENEN, KOTA ADM. JAKARTA PUSAT, DKI JAKARTA</t>
  </si>
  <si>
    <t>ptkummtrans@gmail.com</t>
  </si>
  <si>
    <t>2023-03-31 02:48:52</t>
  </si>
  <si>
    <t>kwetrucking@clickargo.com</t>
  </si>
  <si>
    <t>2021-09-23 04:23:47</t>
  </si>
  <si>
    <t>JALAN RAYA KOSAMBI - CURUG, DUSUN KEBON KACANG, KEL, CIMAHI, KEC. KLARI, KAB. KARAWANG, PROV. JAWA BARAT</t>
  </si>
  <si>
    <t>lasminibadraperkasa@gmail.com</t>
  </si>
  <si>
    <t>2023-05-11 04:25:31</t>
  </si>
  <si>
    <t>SOUTH QUARTER TOWER A, 18TH FLOOR, DESA/KELURAHAN CILANDAK BARAT, KEC. CILANDAK, KOTA ADM. JAKARTA SELATAN, PROVINSI DKI JAKARTA, KODE POS: 12430</t>
  </si>
  <si>
    <t>lazuardovictory@gmail.com</t>
  </si>
  <si>
    <t>2023-05-09 04:40:00</t>
  </si>
  <si>
    <t>RUKO CBD CIBUBUR CITRA GRAND NO. FR.01/29 LT. 2, JL. TRANSYOGI, ALTERNATIF CIBUBUR KM. 5, RT. 002 RW. 003, DESA/KELURAHAN JATIRANGGA, KEC. JATISAMPURNA, KOTA BEKASI, PROVINSI JAWA BARAT,  KODE POS: 17434</t>
  </si>
  <si>
    <t>info@lipress.co.id</t>
  </si>
  <si>
    <t>2023-05-26 08:05:14</t>
  </si>
  <si>
    <t>JAKARTA GARDEN CITY RUKAN THE AVENUE BLOK C8 NO. 53, , KOTA ADM. JAKARTA TIMUR, PROVINSI DKI JAKARTA,</t>
  </si>
  <si>
    <t>limasaranatrans@gmail.com</t>
  </si>
  <si>
    <t>2023-02-17 08:49:42</t>
  </si>
  <si>
    <t>GRAND GALAXY CITY BLOK RRG 5 NO. 58 JAKA SETIA BEKASI SELATAN KOTA BEKASI JAWA BARAT</t>
  </si>
  <si>
    <t>syarif@lintasprimaindonesia.com</t>
  </si>
  <si>
    <t>2023-05-26 08:00:52</t>
  </si>
  <si>
    <t>INFINITI OFFICE, MTH SQUARE GROUNDFLOOR A4/A, JL. LETJEN MT HARYONO KAV10, KEL. BIDARA CINA, KEC.JATINEGARA, KOTA ADM.JAKARTA TIMUR, DKI JAKARTA</t>
  </si>
  <si>
    <t>adminlps@dummy.com</t>
  </si>
  <si>
    <t>2023-06-13 04:53:34</t>
  </si>
  <si>
    <t>TALAVERA OFFICE PARK LT.28, JL. TB SIMATUPANG KAV 22-26, RT/01 RW/01, CILANDAK BARAT.</t>
  </si>
  <si>
    <t>luxenavictory@gmail.com</t>
  </si>
  <si>
    <t>2023-06-12 09:33:18</t>
  </si>
  <si>
    <t>JL. CADAS NGAMPAR, KAB. BANDUNG BARAT, JAWA BARAT</t>
  </si>
  <si>
    <t>majuabadi.logistik@gmail.com</t>
  </si>
  <si>
    <t>2023-05-29 04:53:20</t>
  </si>
  <si>
    <t>KLOPOSEPULUH RT.006 RW.002, KEL. KLOPOSEPULUH, KEC. SUKODONO, KAB. SIDOARJO, PROV. JAWA TIMUR</t>
  </si>
  <si>
    <t>maknalogisticpt@gmail.com</t>
  </si>
  <si>
    <t>2023-06-06 07:37:38</t>
  </si>
  <si>
    <t>JL. JAMPEA NOMOR 70A, DESA/KELURAHAN KOJA, KEE. KOJA, KOTA ADM. JAKARTA UTARA, PROVINSI OKI JAKARTA,  KODE POS: 14220</t>
  </si>
  <si>
    <t>indojahetai.indonesia@gmail.com</t>
  </si>
  <si>
    <t>2023-05-19 02:31:10</t>
  </si>
  <si>
    <t>JL. TAMBAK LANGON INDAH NO.10, TAMBAK LANGON, KEC. ASEMROWO, KOTA SBY, JAWA TIMUR 60184</t>
  </si>
  <si>
    <t>60184</t>
  </si>
  <si>
    <t>Surabaya</t>
  </si>
  <si>
    <t>Jawa Timur</t>
  </si>
  <si>
    <t>2021-02-19 09:33:34</t>
  </si>
  <si>
    <t>KP SILUMAN RT. 006 RW. 003 MANGUNJAYA, TAMBUN SELATAN KAB. BEKASI JAWA BARAT</t>
  </si>
  <si>
    <t>ptmtl02@gmail.com</t>
  </si>
  <si>
    <t>2023-04-05 03:06:50</t>
  </si>
  <si>
    <t>JL. RAYA MARUNDA MAKMUR NO.1B , RT/009 RW/007, DESA SEGARAMAKMUR, KEC. TARUMAJAYA, BEKASI</t>
  </si>
  <si>
    <t>sidiqariwibowo@siaplogistik.com</t>
  </si>
  <si>
    <t>2023-05-26 08:21:42</t>
  </si>
  <si>
    <t>KAMPUNG CIBARENGKOK RT. 002 RW. 002, JATIWANGI, CIKARANG BARAT</t>
  </si>
  <si>
    <t>admin-mrn@clickargo.com</t>
  </si>
  <si>
    <t>2022-03-31 02:36:55</t>
  </si>
  <si>
    <t>JL.RAYA TUGU NO.32 KEL.TUGU KEC.KOJA JAKARTA UTARA 14260</t>
  </si>
  <si>
    <t>kptmas20@gmail.com</t>
  </si>
  <si>
    <t>2022-10-19 02:37:37</t>
  </si>
  <si>
    <t>GEDUNG MARIBAYA LT3, JL. OTISTA RAYA NO141, KEL. KEC. KOTA JAKARTA TIMUR, DKI JAKARTA</t>
  </si>
  <si>
    <t>andry.irawan@mitrans.biz</t>
  </si>
  <si>
    <t>2023-06-12 02:26:21</t>
  </si>
  <si>
    <t>JL TIMOR, KAWASAN INDUSTRI MM 2100 C3 NO. 12 MEKAR WANGI CIKARANG BARAT KAB. BEKASI JAWA BARAT</t>
  </si>
  <si>
    <t>0218981070</t>
  </si>
  <si>
    <t>oky@mil.co.id</t>
  </si>
  <si>
    <t>2022-03-09 05:30:56</t>
  </si>
  <si>
    <t>KOMPLEK ASSUNNAH 2 BLOK E7, JL. PAHLAWAN KAMPUNG TENGAH, DESA/KELURAHAN CILEUNGSI, KEC. CILEUNGSI, KAB. BOGOR, PROVINSI JAWA BARAT, 16820</t>
  </si>
  <si>
    <t>modainti.transportindo@gmail.com</t>
  </si>
  <si>
    <t>2023-06-12 02:32:44</t>
  </si>
  <si>
    <t>JL. KAPTEN SUMARSONO KOMPLEK GRAHA METROPOLITAN BLOK G NOMOR 24 - MEDAN</t>
  </si>
  <si>
    <t>20114</t>
  </si>
  <si>
    <t>kota medan</t>
  </si>
  <si>
    <t>sumatera utara</t>
  </si>
  <si>
    <t>0618471898</t>
  </si>
  <si>
    <t>info@m2b.co.id</t>
  </si>
  <si>
    <t>2021-07-17 00:54:59</t>
  </si>
  <si>
    <t>JL. PARADISE TIMUR RAYA, BLOK F21 NO.60 SUNTER, PODOMORO</t>
  </si>
  <si>
    <t>muheko@cbn.net.id</t>
  </si>
  <si>
    <t>2022-10-05 04:42:47</t>
  </si>
  <si>
    <t>MALL MANGGA DUA SQUARE LT 2 BLOK A NO. 2B JL. GUNUNG SAHARI RAYA NO. 1, KEL. ANCOL, KEC. PADEMANGAN, KOTA ADM. JAKARTA UTARA, PROV. DKI JAKARTA</t>
  </si>
  <si>
    <t>muliacahayawiguna@gmail.com</t>
  </si>
  <si>
    <t>2023-05-09 07:37:39</t>
  </si>
  <si>
    <t>GRAHA TABAYAMA,JL. AHMAD YANI NO.75, KEL. MARGAJAYA, KEC. BEKASI SELATAN, KOTA BEKASI, JAWA BARAT, 17141.</t>
  </si>
  <si>
    <t>neni.auroraexpedisi@gmail.com</t>
  </si>
  <si>
    <t>2023-02-01 10:51:58</t>
  </si>
  <si>
    <t>GRAHA TABAYAMA,JL. AHMAD YANI NO.75, KEL. MARGAJAYA, KEC. BEKASI SELATAN, KOTA BEKASI, JAWA BARAT, 17141</t>
  </si>
  <si>
    <t>abhe.three@gmail.com</t>
  </si>
  <si>
    <t>2023-03-24 08:40:53</t>
  </si>
  <si>
    <t>GD. NOBLE HOUSE LT.17 JL. DR IDE ANAK AGUNG GDE AGUNG KAV E.4.2 NO 2 RT/RW 00/00, KUNINGAN TIMUR, SETIABUDI, KOTA ADM. JAKARTA SELATAN, DKI JAKARTA 12950</t>
  </si>
  <si>
    <t>12950</t>
  </si>
  <si>
    <t>02129783108</t>
  </si>
  <si>
    <t>sofi.darmawan@kuehne-nagel.com</t>
  </si>
  <si>
    <t>2021-07-14 06:39:59</t>
  </si>
  <si>
    <t>DANAU SUNTER UTARA BLOK. G7 NO. 18, SUNTER AGUNG TANJUNG PRIOK, KOTA ADM. JAKARTA UTARA DKI JAKARTA</t>
  </si>
  <si>
    <t>apep.maulana@nawapatra.com</t>
  </si>
  <si>
    <t>2023-06-06 02:39:23</t>
  </si>
  <si>
    <t>JL. DARUL KHOIROT NO. 49, DESA/KELURAHAN KEBON PALA, KEC. MAKASAR, KOTA ADM. JAKARTA TIMUR, PROVINSI DKI JAKARTA,KODE POS: 13650</t>
  </si>
  <si>
    <t>nayaka.lansanotrans@gmail.com</t>
  </si>
  <si>
    <t>2023-05-22 02:41:55</t>
  </si>
  <si>
    <t>KOMPLEK PLUIT JUNTION BLOK SH 18-19. JL. RAYA PLUIT SELATAN NO.1, JAKARTA UTARA 14450</t>
  </si>
  <si>
    <t>02166674727</t>
  </si>
  <si>
    <t>irsyad@noahind.com</t>
  </si>
  <si>
    <t>2022-09-07 02:40:55</t>
  </si>
  <si>
    <t>JL. AHMAD YANI GANG BINASATWA NOMOR 7, DESA/KELURAHAN TANAH SAREAL, KEC. TANAH SAREAL, KOTA BOGOR, PROVINSI JAWA BARAT</t>
  </si>
  <si>
    <t>nurgojalian@gmail.com</t>
  </si>
  <si>
    <t>2023-01-24 02:59:19</t>
  </si>
  <si>
    <t>JALAN ENDE NO. 37 TANJUNG PRIOK TANJUNG PRIOK</t>
  </si>
  <si>
    <t>0214373737</t>
  </si>
  <si>
    <t>harry.purwoko@okatrans.com</t>
  </si>
  <si>
    <t>2021-06-03 04:06:40</t>
  </si>
  <si>
    <t>DIPO TOWER BUILDING LT 15,JL JEND GATOT SUBROTO KAV 51-52 PETAMBURAN,TANAH ABANG,JAKARTA PUSAT,DKI JAKARTA 10260</t>
  </si>
  <si>
    <t>02129866160</t>
  </si>
  <si>
    <t>ratna.dewi@hartrodt.id</t>
  </si>
  <si>
    <t>2021-08-23 08:12:34</t>
  </si>
  <si>
    <t>pt.panduusahajaya@yahoo.co.id</t>
  </si>
  <si>
    <t>2021-11-11 07:07:26</t>
  </si>
  <si>
    <t>paripuraraya_ppr@yahoo.com</t>
  </si>
  <si>
    <t>2022-04-04 05:07:40</t>
  </si>
  <si>
    <t>JALAN RA KARTINI RAYA NOMOR 80, KEL. MARGAHAYU, KEC. BEKASI TIMUR, KOTA BEKASI, PROVISNSI JAWA BARAT, 17113</t>
  </si>
  <si>
    <t>paripura.trans@gmail.com</t>
  </si>
  <si>
    <t>2023-03-24 07:31:24</t>
  </si>
  <si>
    <t>JALAN PONDOK BAMBU BATAS NOMOR 4, KEL. PONDOK BAMBU, KEC. DUREN SAWIT, KOTA ADM. JAKARTA TIMUR, PROVINSI DKI JAKARTA</t>
  </si>
  <si>
    <t>ekspersadat@gmail.com</t>
  </si>
  <si>
    <t>2023-06-06 07:45:38</t>
  </si>
  <si>
    <t>O/B PHC CORPORATION</t>
  </si>
  <si>
    <t>62218980005</t>
  </si>
  <si>
    <t>raja.singam@phchd.com</t>
  </si>
  <si>
    <t>2020-04-30 03:52:42</t>
  </si>
  <si>
    <t>RUKO INKOPAL JL. BOULEVARD BARAT RAYA, BLOK G.21 KELURAHAN KELAPA GADING BARAT, KECAMATAN JAKARTA UTARA, DKI JAKARTA</t>
  </si>
  <si>
    <t>prana@kencanacorp.com</t>
  </si>
  <si>
    <t>2022-12-05 02:14:13</t>
  </si>
  <si>
    <t>JL JATIWARINGIN RAYA NO.5 KEL. JATIWARINGIN, KEC. PONDOK GEDE, KOTA BEKASI, PROVINSI JAWA BARAT</t>
  </si>
  <si>
    <t>ptprajalaksanagroup@gmail.com</t>
  </si>
  <si>
    <t>2023-01-31 12:40:50</t>
  </si>
  <si>
    <t>pramonomt10@gmail.com</t>
  </si>
  <si>
    <t>2022-03-16 08:13:48</t>
  </si>
  <si>
    <t>JL. RAYA UTAN MALANG NO. 25C, SUKMAJAYA, TAJURHALANG, CIBINONG, KAB. BOGOR, JAWA BARAT</t>
  </si>
  <si>
    <t>premiumlogistics.ho@gmail.com</t>
  </si>
  <si>
    <t>2023-02-28 02:52:31</t>
  </si>
  <si>
    <t>dewirimadiani@gmail.com</t>
  </si>
  <si>
    <t>2023-04-03 02:03:17</t>
  </si>
  <si>
    <t>PLAZA KOLAM RENANG SECTOR 3, JL . GRIYA LOKA RAYA BLOK C NO.2, BSD CITY, TANGERANG SELATAN</t>
  </si>
  <si>
    <t>promoter.jayamandiri@gmail.com</t>
  </si>
  <si>
    <t>2023-01-21 08:42:27</t>
  </si>
  <si>
    <t>KLAMPIS SEMOLO BARAT 9/40, DESA/KELURAHAN SEMOLOWARU, KEC. SUKOLILO, KOTA SURABAYA, PROVINSI JAWA TIMUR, 60119</t>
  </si>
  <si>
    <t>hally.hanafiah@yahoo.com</t>
  </si>
  <si>
    <t>2023-02-20 10:21:21</t>
  </si>
  <si>
    <t>psltrucks8@gmail.com</t>
  </si>
  <si>
    <t>2022-03-21 11:56:15</t>
  </si>
  <si>
    <t>TAMAN MIANA BLOK B5 RT 3 RW. 8 JATI BENING, PONDOK GEDE, KOTE BEKASI, JAWA BARAT</t>
  </si>
  <si>
    <t>hermylina@yahoo.co.id</t>
  </si>
  <si>
    <t>2023-06-08 09:01:52</t>
  </si>
  <si>
    <t>RUKO SYMPHONI BLOK HX2 NO 56, KOTA HARAPAN INDAH, , KAB. BEKASI, PROVINSI JAWA BARAT, KODE POS: 17214</t>
  </si>
  <si>
    <t>ral.indonesia03@gmail.com</t>
  </si>
  <si>
    <t>2023-05-13 04:03:17</t>
  </si>
  <si>
    <t>PERUM ABDAT RESIDENCE III, RUKO NO2, LT.3, KOTA BEKASI, PROVINSI JAWA BARAT</t>
  </si>
  <si>
    <t>notif@rkb.com</t>
  </si>
  <si>
    <t>2023-01-24 11:05:53</t>
  </si>
  <si>
    <t>INFINITI OFFICE RUKO PERMATA REGENCY D JL. HAJI KELIK NO. 37 RT 001 RW 006, SRENGSENG, KEMBANGAN, JAKARTA BARAT 11630</t>
  </si>
  <si>
    <t>munawir.mendoza62@yahoo.com</t>
  </si>
  <si>
    <t>2023-06-05 07:40:30</t>
  </si>
  <si>
    <t>JL. TAMBUN RENGAS NO.75 RT/016 RW/001 CAKUNG TIMUR, CAKUNG JAKARTA TIMUR, DKI JAKARTA</t>
  </si>
  <si>
    <t>admin@rajawaliperkasalogistik.com</t>
  </si>
  <si>
    <t>2022-10-05 07:00:51</t>
  </si>
  <si>
    <t>KOMPLEK PONDOK MITRA LESTARI, JALAN INDAH LESTARI RAYA BLOK E1 NO.12 , DESA/KELURAHAN JATIRASA, KEC. JATIASIH, KOTA BEKASI, PROVINSI JAWA BARAT, KODE POS: 17424</t>
  </si>
  <si>
    <t>pt.raliansmultisolisindo@gmail.com</t>
  </si>
  <si>
    <t>2023-05-26 07:43:06</t>
  </si>
  <si>
    <t>GD. WISMA MITRA SUNTER LT. 6 UNIT 06-06, JL.YOS SUDARSO KAV. 89, BLOK C2 BOULEVAR MITRA SUNTER, KEL. SUNTER AGUNG, KEC. TANJUNG PRIOK, JAKARTA UTARA, DKI JAKARTA</t>
  </si>
  <si>
    <t>622165310393</t>
  </si>
  <si>
    <t>ask@real.co.id</t>
  </si>
  <si>
    <t>2021-12-23 13:40:24</t>
  </si>
  <si>
    <t>18 OFFICE PARK TOWER A UNIT 10C JL. TB. SIMATUPANG NO. 18, KEL. KEBAGUSAN, KEC. PASAR MINGGU, KOTA ADM. JAKARTA SELATAN, PROP. DKI JAKARTA</t>
  </si>
  <si>
    <t>rhenuslogistics1@yahoo.com</t>
  </si>
  <si>
    <t>2023-05-23 07:23:18</t>
  </si>
  <si>
    <t>KP. CITENJO, KEL. , KEC. , KAB. PURWAKARTA, PROP. JAWA BARAT</t>
  </si>
  <si>
    <t>adminrbp@notready.com</t>
  </si>
  <si>
    <t>2023-05-11 04:44:21</t>
  </si>
  <si>
    <t>JL. PULAU MOYO GG. CEMARA NO.5, DESA/KELURAHAN PEDUNGAN, KEC. DENPASAR SELATAN, KOTA DENPASAR, PROVINSI BALI, 80222</t>
  </si>
  <si>
    <t>dedy.suroso@rdd-logistics.com</t>
  </si>
  <si>
    <t>2023-03-30 03:47:55</t>
  </si>
  <si>
    <t>JL. PULAU MOYO GG. CEMARA NO. 5, KEL. PEDUNGAN, KEC. DENPASAR SELATAN, KOTA DENPASAR, PROV. BALI</t>
  </si>
  <si>
    <t>yudhi@jetforwarding.com</t>
  </si>
  <si>
    <t>2023-03-30 03:50:44</t>
  </si>
  <si>
    <t>KOMP PEMDA JALAN ASIH PERMAI III BLOK C3 NOMOR 13 RT. 01 RW 011</t>
  </si>
  <si>
    <t>syarifhidayatullah060539@gmail.com</t>
  </si>
  <si>
    <t>2023-05-26 08:05:27</t>
  </si>
  <si>
    <t>JL. BOULEVARD GADING SERPONG RUKO PARAMOUNT RODEO BLOK C21/C22 PAKULONAN BARAT / TANGERANG</t>
  </si>
  <si>
    <t>admin@sam-jpp.com</t>
  </si>
  <si>
    <t>2022-10-07 08:04:10</t>
  </si>
  <si>
    <t>JL. LOGISTIK NO.84 RT/007 RW.004 KEL. TUGU, SELATAN, KEC. KOJA   JAKARTA UTARA, DKI JAKARTA</t>
  </si>
  <si>
    <t>pt.saudarasuksesabadi@yahoo.com</t>
  </si>
  <si>
    <t>2022-12-21 08:52:05</t>
  </si>
  <si>
    <t>PERUM. PALUMBON TESSA BLOK A1/2, RT.001 RW.002, TEGAL SAWAH, KARAWANG TIMUR, KARAWANG, JAWA BARAT.</t>
  </si>
  <si>
    <t>aparidsal@gmail.com</t>
  </si>
  <si>
    <t>2023-03-25 04:25:27</t>
  </si>
  <si>
    <t>JL. TIPAR CAKUNG KAV. F5-7 JAKARTA</t>
  </si>
  <si>
    <t>admin@smu-jpp.com</t>
  </si>
  <si>
    <t>2022-10-07 07:50:20</t>
  </si>
  <si>
    <t>JL. GRIYA AGUNG, BLOK O, NO.10</t>
  </si>
  <si>
    <t>imamsubiyanto_ska@yahoo.com</t>
  </si>
  <si>
    <t>2022-10-05 06:50:04</t>
  </si>
  <si>
    <t>THE GREEN SIDE E-3 NO 23, DESA/KELURAHAN NAGASARI, KEC. KARAWANG BARAT, KAB. KARAWANG, PROVINSI JAWA BARAT, 41312</t>
  </si>
  <si>
    <t>pt.saj.bersaudara@gmail.com</t>
  </si>
  <si>
    <t>2023-03-14 13:25:21</t>
  </si>
  <si>
    <t>JL. LORONG O, GG V/13 , KEL. KOJA, KEC. KOJA, KOTA ADM. JAKARTA UTARA, PROV. DKI JAKARTA</t>
  </si>
  <si>
    <t>scpriok@gmail.com</t>
  </si>
  <si>
    <t>2023-05-19 02:52:27</t>
  </si>
  <si>
    <t>PERUMAHAN GRAHA MUTIARA INDAH BLOK A-8 NO. 14 MOJOSARI REJO, DRIYOREJO KABUPATEN GRESIK, JAWA TIMUR</t>
  </si>
  <si>
    <t>61177</t>
  </si>
  <si>
    <t>kabupaten gresik</t>
  </si>
  <si>
    <t>081259354901</t>
  </si>
  <si>
    <t>selaras.jaya.transport@gmail.com</t>
  </si>
  <si>
    <t>2021-04-26 05:46:54</t>
  </si>
  <si>
    <t>PONDOK SURYA MANDALA BLOK E/7 RT/RW 014/013, JAKAMULYA, BEKASI SELATAN, KOTA BEKASI, JAWA BARAT 17146</t>
  </si>
  <si>
    <t>087788457770</t>
  </si>
  <si>
    <t>pt.semiberkah@outlook.com</t>
  </si>
  <si>
    <t>2021-08-18 05:03:25</t>
  </si>
  <si>
    <t>GEDUNG CEVROLET (SANDJUNGAN) LANTAI 3 RUANG 3 &amp; 4, JALAN DEWI SARTIKA NOMOR 295, KEL. , KEC. , KOTA ADM. JAKARTA TIMUR, PROP. DKI JAKARTA</t>
  </si>
  <si>
    <t>adminswl@notready.com</t>
  </si>
  <si>
    <t>2023-05-11 02:24:42</t>
  </si>
  <si>
    <t>GEDUNG GONDANGDIA LAMA 25 JL. RP SOEROSO NO.25, KEL. CIKINI, KEC. MENTENG, KOTA ADM. JAKARTA PUSAT, PROV. DKI JAKARTA</t>
  </si>
  <si>
    <t>agungp.skg@gmail.com</t>
  </si>
  <si>
    <t>2023-05-12 03:03:07</t>
  </si>
  <si>
    <t>JL PARANG TRITIS BLOK B-7/A NO 111, KEL. , KEC. , KOTA ADM. JAKARTA UTARA, PROP. DKI JAKARTA</t>
  </si>
  <si>
    <t>admin@siaplogistik.com</t>
  </si>
  <si>
    <t>2023-05-26 08:34:22</t>
  </si>
  <si>
    <t>JL. BLIMBING RAYA NO.62, KEL. PETERONGAN, KEC. SEMARANG SELATAN, SEMARANG, JAWA TENGAH</t>
  </si>
  <si>
    <t>adminslm@notready.com</t>
  </si>
  <si>
    <t>2023-06-09 04:04:54</t>
  </si>
  <si>
    <t>KOMP. MARGAHAYU RAYA JL. OERMAI 32 MC 2 NO.10, RT.2 RW.9, MEKAR RAHAYU, MARGA ASIH, BANDUNG, JAWA BARAT</t>
  </si>
  <si>
    <t>agung-dbm25@yahoo.co.id</t>
  </si>
  <si>
    <t>2023-03-20 06:56:57</t>
  </si>
  <si>
    <t>JL. GRIYA SEJAHTERA, SUNTER ICON BLOK D NO. 21 RT.008 RW.004 KEL. SUNTER AGUNG KEC.TANJUNG PRIOK JAKARTA UTARA, DKI JAKARTA</t>
  </si>
  <si>
    <t>14350</t>
  </si>
  <si>
    <t>0216514748</t>
  </si>
  <si>
    <t>finance@sincron.co.id</t>
  </si>
  <si>
    <t>2021-08-03 04:12:07</t>
  </si>
  <si>
    <t>GRIYA SAQEENAH REGENCY E-23, KEL. KALIPECABEAN, KEC. CANDI, KAB. SIDOARJO, PROVINSI JAWA TIMUR, KODE POS: 61271</t>
  </si>
  <si>
    <t>valentinoadityarizky@gmail.com</t>
  </si>
  <si>
    <t>2023-05-31 05:37:23</t>
  </si>
  <si>
    <t>WISMA PMI WRI INDONESIA JL. WIJAYA NO, 63 ,  KEL.PETOGOGAN, KEC. KEBAYORAN BARU, KOTA ADM. JAKARTA SELATAN, PROVINSI DKI JAKARTA, 12170</t>
  </si>
  <si>
    <t>pt.sonyabuanasejahtera@gmail.com</t>
  </si>
  <si>
    <t>2023-02-20 09:44:27</t>
  </si>
  <si>
    <t>WILAYAH GEDONG PANJANG JL. SUKARELA NO.2 RT001/RW10 PENJARINGAN - JAKARTA UTARA</t>
  </si>
  <si>
    <t>admin@sl-jpp.com</t>
  </si>
  <si>
    <t>2022-10-07 07:59:51</t>
  </si>
  <si>
    <t>WISMA INDOMOBIL LT. 12 JL MT HARYONO KAV.8 BIDARA CINA JATINEGARA JAKARTA TIMUR, DKI JAKARTA RAYA 13330</t>
  </si>
  <si>
    <t>02143291630</t>
  </si>
  <si>
    <t>admin@sumirubber.co.id</t>
  </si>
  <si>
    <t>2020-02-10 03:35:02</t>
  </si>
  <si>
    <t>GREENLAKE CITY RUKAN CBD BLOK D. NO,10 GONDRONG, CIPONDOH, KOTA TANGERANG, 15146</t>
  </si>
  <si>
    <t>08111909882</t>
  </si>
  <si>
    <t>payment@suryaindotamalogistik.co.id</t>
  </si>
  <si>
    <t>2022-10-04 13:50:07</t>
  </si>
  <si>
    <t>JL. LORONG Y TIMUR NO. 02 RT. 006 RW. 01, KEL. KOJA, KEC. KOJA, JAKARTA UTARA</t>
  </si>
  <si>
    <t>skp_trans@yahoo.com</t>
  </si>
  <si>
    <t>2023-05-19 07:15:07</t>
  </si>
  <si>
    <t>JL. RAYA CIPEUNDEUY NO. 17 RT. 021 RW.006 CIPEUNDEUY CIPEUNDEUY KAB. SUBANG JAWA BARAT 41272</t>
  </si>
  <si>
    <t>pusat@pt-spm.co.id</t>
  </si>
  <si>
    <t>2023-04-05 02:43:35</t>
  </si>
  <si>
    <t>KINANTI BUILDING LANTAI 2 JL. EPICENTRUM TENGAH NO.3 KAWASAN RASUNA EPICENTRUM, KEL. KARET KUNINGAN, KEC. SETIABUDI KOTA JAKARTA SELATAN, DKI JAKARTA</t>
  </si>
  <si>
    <t>swalogistik@kencanacorp.com</t>
  </si>
  <si>
    <t>2022-11-21 10:13:54</t>
  </si>
  <si>
    <t>KINANTI BUILDING LT.2 JL. EPICENTRUM TENGAH NO.3, KARET KUNINGAN, SETIABUDI JAKARTA SELATAN, JAKARTA</t>
  </si>
  <si>
    <t>swarna@kencanacorp.com</t>
  </si>
  <si>
    <t>2022-12-23 08:01:08</t>
  </si>
  <si>
    <t>PERUM CLUSTER GRIYA PRIMA GALAXY 3, BLOK A.5 NO.7, KEL. MEKARSARI, KEC. TAMBUN SELATAN. KAB. BEKASI, JAWA BARAT</t>
  </si>
  <si>
    <t>pttjabadi10@gmail.com</t>
  </si>
  <si>
    <t>2023-03-01 08:19:45</t>
  </si>
  <si>
    <t>DUSUN SUKAMAJU DESA WARUNGBAMBU KECAMATAN KARAWANG TIMUR KARAWANG 41371</t>
  </si>
  <si>
    <t>sales@teraexport.my.id</t>
  </si>
  <si>
    <t>2022-02-12 14:13:41</t>
  </si>
  <si>
    <t>KOMPLEK RUKAN ARTHA GADING NIAGA BLOK B, KAV. NO.21-22 KELAPA GADING JAKARTA UTARA, DKI JAKARTA - 00000</t>
  </si>
  <si>
    <t>admin@tik.co.id</t>
  </si>
  <si>
    <t>2022-11-07 04:49:01</t>
  </si>
  <si>
    <t>KOMPLEK TAMAN PALEM LESTARI BLOK R NO.1 KEL.CENGKARENG BARAT KEC.CENGKARENG JAKARTA BARAT, KEL. CENGKARENG BARAT, KEC. CENGKARENG, KOTA ADM. JAKARTA BARAT, PROV. DKI JAKARTA</t>
  </si>
  <si>
    <t>dickyanton.jpp@gmail.com</t>
  </si>
  <si>
    <t>2022-10-20 04:58:45</t>
  </si>
  <si>
    <t>WONOKUPANG, KEL. WONOKUPANG, KEC. BALONG BENDO, KAB. SIDOARJO, PROV. JAWA TIMUR</t>
  </si>
  <si>
    <t>triarthalogistic@gmail.com</t>
  </si>
  <si>
    <t>2023-02-09 01:59:54</t>
  </si>
  <si>
    <t>melany@gmail.com</t>
  </si>
  <si>
    <t>2023-05-08 07:00:51</t>
  </si>
  <si>
    <t>JALAN LT. JONI RT.022 RW.006, JATIBARANG BARU, JATIBARANG, KAB. INDRAMAYU, JAWA BARAT, 45273</t>
  </si>
  <si>
    <t>juesjuharsa@gmail.com</t>
  </si>
  <si>
    <t>2023-03-23 14:48:46</t>
  </si>
  <si>
    <t>KOMP PERKANTORAN MEGA SUNTER, BLOK C NO. 11 JL. DANAU SUNTER SELATAN JAKARTA UTARA</t>
  </si>
  <si>
    <t>2020-09-08 02:14:01</t>
  </si>
  <si>
    <t>JL. KARITAS NO. 117, JOMBOR KIDUL, GANG MERPATI, KEL. SINDUADI, KEC. MLATI, KAB. SLEMAN, PROV. DAERAH ISTIMEWA YOGYAKARTA</t>
  </si>
  <si>
    <t>pt.tuguwisatatransloka.jogja@gmail.com</t>
  </si>
  <si>
    <t>2023-03-24 03:13:46</t>
  </si>
  <si>
    <t>unilever.trucking@clickargo.com</t>
  </si>
  <si>
    <t>2021-09-06 03:01:29</t>
  </si>
  <si>
    <t>PSJ SYDNEY GARDEN BLOK L5 NO.08, DESA/KELURAHAN PUNGGUL, KEC. GEDANGAN, KAB. SIDOARJO, PROVINSI JAWA TIMUR, 61254</t>
  </si>
  <si>
    <t>hmashoeda@gmail.com</t>
  </si>
  <si>
    <t>2023-03-23 12:24:02</t>
  </si>
  <si>
    <t>JALAN JAWA KBN CAKUNG BLOK A14 NO.6 RT/000 RW/000 SUKAPURA, CILINCING KOTA ADM. JAKARTA UTARA, DKI JAKARTA, 14140</t>
  </si>
  <si>
    <t>wahanamulti16@gmail.com</t>
  </si>
  <si>
    <t>2022-07-26 07:58:19</t>
  </si>
  <si>
    <t>JL. KENANGA NO.20B .2 RW.10, KEL. SEMPER BARAT, KEC. CILINCING, JAKARTA UTARA</t>
  </si>
  <si>
    <t>14130</t>
  </si>
  <si>
    <t>2020-11-02 09:34:03</t>
  </si>
  <si>
    <t>JL. LETJEND S. PARMAN KAV 22-24, KEL. PALMERAH, KEC. PAL MERAH, KOTA ADM. JAKARTA BARAT, PROP. DKI JAKARTA</t>
  </si>
  <si>
    <t>11480</t>
  </si>
  <si>
    <t>2021-03-25 14:08:56</t>
  </si>
  <si>
    <t>MENARA STANDARD CHARTERED, LANTAI 31 JL. PROF. DR. SATRIO NO.164, KEL. KARET SEMANGGI, KEC. SETIABUDI, KOTA ADM. JAKARTA SELATAN, PROVINSI DKI JAKARTA, KODE POS: 12930</t>
  </si>
  <si>
    <t>notif@yangkee.com</t>
  </si>
  <si>
    <t>2023-01-18 08:11:43</t>
  </si>
  <si>
    <t>KAWASAN INDUSTRI MM2100 BLOK EE-4 DESA DANAU INDAH, CIKARANG BARAT BEKASI</t>
  </si>
  <si>
    <t>ylid.ml.se.cc@id.yusen-logistics.com</t>
  </si>
  <si>
    <t>2021-10-07 04:47:20</t>
  </si>
  <si>
    <t>defry.meylano@id.yusen-logistics.com</t>
  </si>
  <si>
    <t>2022-01-04 02:34:41</t>
  </si>
  <si>
    <t>KOMPLEKS GOLDEN PLAZA JL. RS. FATMAWATI 15, BLOK G34, KEL.GANDARIA SELATAN KEC. CILANDAK JAKARTA SELATAN, DKI JAKARTA</t>
  </si>
  <si>
    <t>zenindotamalogistik@gmail.com</t>
  </si>
  <si>
    <t>2022-11-22 03:13:35</t>
  </si>
  <si>
    <t>JL. BUNCIT RAYA NO2 KEL. DUREN TIGA, KEC. PANCORAN JAKARTA SELATAN, DKI JAKARTA INDONESIA 12760</t>
  </si>
  <si>
    <t>zenshinteknologiinternational@gmail.com</t>
  </si>
  <si>
    <t>2022-11-22 04:54:19</t>
  </si>
  <si>
    <t>pib1@gpilog.com</t>
  </si>
  <si>
    <t>2022-05-09 07:39:48</t>
  </si>
  <si>
    <t>PERGUDANGAN CENRTAL  CAKUNG BLOK K NO. 10 RT/RW 000/00, ROROTAN, CILINCING, KOTA ADM. JAKARTA UTARA, DKI JAKARTA 14140</t>
  </si>
  <si>
    <t>14140</t>
  </si>
  <si>
    <t>085281068888</t>
  </si>
  <si>
    <t>rahadianlintasutamacv23@yahoo.com</t>
  </si>
  <si>
    <t>2021-05-25 05:37:46</t>
  </si>
  <si>
    <t>TRŽAŠKA CESTA 31, 2000 MARIBOR</t>
  </si>
  <si>
    <t>38622350880</t>
  </si>
  <si>
    <t>info@rams.si</t>
  </si>
  <si>
    <t>2021-12-21 08:09:34</t>
  </si>
  <si>
    <t>8 DAWSON STREET</t>
  </si>
  <si>
    <t>02767</t>
  </si>
  <si>
    <t>Dublin 2</t>
  </si>
  <si>
    <t>Choose One</t>
  </si>
  <si>
    <t>2021-03-23 14:11:30</t>
  </si>
  <si>
    <t>JL.MUNCANG BLOK N GG II  RT 007/011 NO 6 JAKARTA UTARA</t>
  </si>
  <si>
    <t>0214391558</t>
  </si>
  <si>
    <t>samsudin.cargo1@gmail.om</t>
  </si>
  <si>
    <t>2021-08-21 04:53:11</t>
  </si>
  <si>
    <t>7 AIRLINE ROAD #01-24 CARGO AGENTS BUILDING E CHANGI AIRFREIGHT CENTRE, SINGAPORE 819834</t>
  </si>
  <si>
    <t>dsvbooking@sgh-global.com</t>
  </si>
  <si>
    <t>2021-07-26 02:46:47</t>
  </si>
  <si>
    <t>JL. RAYA CAKUNG CILINCING NO. 95, SEMPER BARAT, CILINCING, JAKARTA UTARA</t>
  </si>
  <si>
    <t>2020-10-05 02:37:13</t>
  </si>
  <si>
    <t>2020-10-02 06:20:54</t>
  </si>
  <si>
    <t>sinhing@clickargo.com</t>
  </si>
  <si>
    <t>2021-09-01 02:46:12</t>
  </si>
  <si>
    <t>BUKIT TELAGA GOLF TA 4/9 CITRALAND SURABAYA</t>
  </si>
  <si>
    <t>60212</t>
  </si>
  <si>
    <t>East Java</t>
  </si>
  <si>
    <t>2021-02-03 09:50:23</t>
  </si>
  <si>
    <t>JL. R.P. SOEROSO NO.25, GONDANGDIA LAMA, MENTENG, JAKARTA PUSAT RT/RW /, CIKINI, MENTENG, KOTA ADM. JAKARTA PUSAT, DKI JAKARTA 10330</t>
  </si>
  <si>
    <t>10330</t>
  </si>
  <si>
    <t>2020-07-24 02:06:50</t>
  </si>
  <si>
    <t>DEPOK</t>
  </si>
  <si>
    <t>646546</t>
  </si>
  <si>
    <t>kota depok</t>
  </si>
  <si>
    <t>089754312565</t>
  </si>
  <si>
    <t>fachryansyah123@gmail.com</t>
  </si>
  <si>
    <t>2021-04-24 12:26:42</t>
  </si>
  <si>
    <t>16045</t>
  </si>
  <si>
    <t>kabupaten aceh barat daya</t>
  </si>
  <si>
    <t>aceh</t>
  </si>
  <si>
    <t>angelawijayanti7@gmail.com</t>
  </si>
  <si>
    <t>2021-05-21 12:58:07</t>
  </si>
  <si>
    <t>123123123</t>
  </si>
  <si>
    <t>sudi@yopmail.com</t>
  </si>
  <si>
    <t>2022-03-23 03:16:13</t>
  </si>
  <si>
    <t>GEDUNG QUANTUM JL. PEMUDA NO. 34 KEL. JATI KEC. PULOGADUNG JAKARTA TIMUR 13220</t>
  </si>
  <si>
    <t>2020-09-21 08:03:03</t>
  </si>
  <si>
    <t>JL RAYA PLUMPAMG SEMPER NO 06 RT/RW 013/003, RAWA BADAK SELATAN, KOJA, KOTA ADM. JAKARTA UTARA, DKI JAKARTA 14230</t>
  </si>
  <si>
    <t>02126081025</t>
  </si>
  <si>
    <t>andi@szetoglobalindo.com</t>
  </si>
  <si>
    <t>2021-08-12 05:58:47</t>
  </si>
  <si>
    <t>352525235252355252</t>
  </si>
  <si>
    <t>21424</t>
  </si>
  <si>
    <t>2020-12-04 10:03:07</t>
  </si>
  <si>
    <t>JL. BANDUNG RAYA</t>
  </si>
  <si>
    <t>78282</t>
  </si>
  <si>
    <t>kota bandung</t>
  </si>
  <si>
    <t>0217762718</t>
  </si>
  <si>
    <t>asimayo99@gmail.com</t>
  </si>
  <si>
    <t>2021-06-20 04:13:19</t>
  </si>
  <si>
    <t>JL. RAYA WIGUNA SELATAN INDAH NO. 32 RT/RW -, GUNUNG ANYAR, GUNUNG ANYAR, KOTA SURABAYA, JAWA TIMUR 60294</t>
  </si>
  <si>
    <t>03187855168</t>
  </si>
  <si>
    <t>ttwsurabaya@gmail.com</t>
  </si>
  <si>
    <t>2021-10-15 04:53:16</t>
  </si>
  <si>
    <t>P.U.P BLOK AE 1/30,KEL,BAHAGIA,KEC.BABELAN,KAB BEKASI,PROV.JAWA BARAT.</t>
  </si>
  <si>
    <t>17610</t>
  </si>
  <si>
    <t>2020-12-11 07:23:49</t>
  </si>
  <si>
    <t>NO.12, JALAN NUSA PUNCAK 2, TAMAN NUSA PUNCAK, 79200, ISKANDAR PUTERI, JOHOR, MALAYSIA</t>
  </si>
  <si>
    <t>0183992210</t>
  </si>
  <si>
    <t>barath.7881@gmail.com</t>
  </si>
  <si>
    <t>2022-07-27 03:15:41</t>
  </si>
  <si>
    <t>barath.7881@yopmail.com</t>
  </si>
  <si>
    <t>2022-07-27 03:21:41</t>
  </si>
  <si>
    <t>trial@yopmail.com</t>
  </si>
  <si>
    <t>2022-07-28 06:15:52</t>
  </si>
  <si>
    <t>BRANSKAMP 2</t>
  </si>
  <si>
    <t>0475565252</t>
  </si>
  <si>
    <t>guy.vandervaart@outlook.com</t>
  </si>
  <si>
    <t>2022-01-19 14:35:09</t>
  </si>
  <si>
    <t>GEDUNG DHAPA LANTAI 2, RUANG 205, JL. KEBON BAWANG VII NO. 7 RT/RW 003/006, KEBON BAWANG, TANJUNG PRIOK, KOTA ADM. JAKARTA UTARA, DKI JAKARTA 14320</t>
  </si>
  <si>
    <t>081932225487</t>
  </si>
  <si>
    <t>waluyo@szetoglobalindo.com</t>
  </si>
  <si>
    <t>2021-08-12 06:11:05</t>
  </si>
  <si>
    <t>KP. CINANGKA RT. 018/004 DS. CIBITUNG TENGAH KEC. TENJOLAYA KAB. BOGOR</t>
  </si>
  <si>
    <t>6371</t>
  </si>
  <si>
    <t>Bogor</t>
  </si>
  <si>
    <t>Jawa Barat</t>
  </si>
  <si>
    <t>2021-01-29 12:56:45</t>
  </si>
  <si>
    <t>JALAN NANGKA RAYA 2 NO 196</t>
  </si>
  <si>
    <t>03129458471</t>
  </si>
  <si>
    <t>yotohimeku1@gmail.com</t>
  </si>
  <si>
    <t>2022-03-01 11:13:08</t>
  </si>
  <si>
    <t>ADDR1</t>
  </si>
  <si>
    <t>ADDR2</t>
  </si>
  <si>
    <t>ADDR3</t>
  </si>
  <si>
    <t>PCODE</t>
  </si>
  <si>
    <t>CITY</t>
  </si>
  <si>
    <t>PROV</t>
  </si>
  <si>
    <t>CTYCODE</t>
  </si>
  <si>
    <t>TEL</t>
  </si>
  <si>
    <t>FAX</t>
  </si>
  <si>
    <t>EMAIL</t>
  </si>
  <si>
    <t>REG_DATE</t>
  </si>
  <si>
    <t>Name Customer mapping ACCpac</t>
  </si>
  <si>
    <t>CV. Ali Trans-PF</t>
  </si>
  <si>
    <t>CV. BINTANG TRIJAYA SUKSESINDO-PF</t>
  </si>
  <si>
    <t>CV FAEYZA PUTRA MANDIRI-PF</t>
  </si>
  <si>
    <t>CV. HAMETRA JAYA TRANS-PF</t>
  </si>
  <si>
    <t>CV. MAHKOTA EMAS-PF</t>
  </si>
  <si>
    <t>CV MULIA MARETNO ABADI-PF</t>
  </si>
  <si>
    <t>CV. NAWASENA BERKAH MANDIRI-PF</t>
  </si>
  <si>
    <t>CV. SKY Xpress-PF</t>
  </si>
  <si>
    <t>CV. NUSANTARA CITRA JAYA-PF</t>
  </si>
  <si>
    <t>CV. PAMUNGKAS SAKTI LOGISTIK-PF</t>
  </si>
  <si>
    <t>CV. RAFA PRATAMA MANDIRI-PF</t>
  </si>
  <si>
    <t>CV SUMBER SEJAHTERA ABADI-PF</t>
  </si>
  <si>
    <t>PT. DHL SUPPLY CHAIN INDONESIA-LOG</t>
  </si>
  <si>
    <t>KARO RAYA TRANS, PT-LOG</t>
  </si>
  <si>
    <t>PT. GAMA LOGISTICS-PF</t>
  </si>
  <si>
    <t>PT. HACACA CENTRAL LOGISTICS-PF</t>
  </si>
  <si>
    <t>PT. JAYA PRATAMA PERKASA-PF</t>
  </si>
  <si>
    <t>PT KINARI JAYA TRANS-PF</t>
  </si>
  <si>
    <t>PT. LOGOL JAKARTA MITRAINDO-PF</t>
  </si>
  <si>
    <t>PT INESIA KARGOTAMA INDONESIA-PF</t>
  </si>
  <si>
    <t>PT ADAM PUTRA LOGISTIC-PF</t>
  </si>
  <si>
    <t>PT. Ali Sarana Abadi-PF</t>
  </si>
  <si>
    <t>PT ANINDYA JIFA PEDANA-LOG</t>
  </si>
  <si>
    <t>PT ARIYANTO TUNAS LANGGENG-PF</t>
  </si>
  <si>
    <t>BINTANG TRIJAYA SUKSESINDO</t>
  </si>
  <si>
    <t>FAEYZA PUTRA</t>
  </si>
  <si>
    <t>MAHKOTA EMAS</t>
  </si>
  <si>
    <t>NAWASENA BERKAH MANDIRI</t>
  </si>
  <si>
    <t>NUSANTARA CITRA JAYA</t>
  </si>
  <si>
    <t>PAMUNGKAS SAKTI LOGISTIK</t>
  </si>
  <si>
    <t>RAFA PRATAMA MANDIRI</t>
  </si>
  <si>
    <t>SKY XPRESS</t>
  </si>
  <si>
    <t>SUMBER SEJAHTERA</t>
  </si>
  <si>
    <t>KARO RAYA</t>
  </si>
  <si>
    <t>JAYA PRATAMA LOGISTIK</t>
  </si>
  <si>
    <t>KINARI JAYA</t>
  </si>
  <si>
    <t>INESIA KARGOTAMA INDONESIA (TRUCKING)</t>
  </si>
  <si>
    <t>ADAM PUTRA LOGISTICS</t>
  </si>
  <si>
    <t>ARIYANTO TUNAS LANGGENG</t>
  </si>
  <si>
    <t>PT AWANI SEJAHTERA ANUGERAH-PF</t>
  </si>
  <si>
    <t>ALI TRANS</t>
  </si>
  <si>
    <t>PT. BERKAH GLOBAL PRATAMA-PF</t>
  </si>
  <si>
    <t>PT. BICEPT Bangun Jaya-PF</t>
  </si>
  <si>
    <t>PT. BINA MITRA SEGARA SETIA-PF</t>
  </si>
  <si>
    <t>PT. Bintang Indonesia Gempita-PF</t>
  </si>
  <si>
    <t>PT DANAN ANUGRAH SEJAHTERA-PF</t>
  </si>
  <si>
    <t>PT DELIVIO INDO PERKASA-LOG</t>
  </si>
  <si>
    <t>PT. DELTA UTAMA GEMILANG-PF</t>
  </si>
  <si>
    <t>PT DIAN GIRI SELARAS-PF</t>
  </si>
  <si>
    <t>PT. Duo Romo Trans-PF</t>
  </si>
  <si>
    <t>PT. INTERMODA NATAMA TRANS-PF</t>
  </si>
  <si>
    <t>PT JENA SOLUSI TRANSPORT</t>
  </si>
  <si>
    <t>PT KARYA ABADI SEJATI-PF</t>
  </si>
  <si>
    <t>PT. KARYA DUA BINTANG-PF</t>
  </si>
  <si>
    <t>PT. KITA KAYA LOGISTIK-PF</t>
  </si>
  <si>
    <t>PT. KUANTUM LOGISTIK INDONESIA-PF</t>
  </si>
  <si>
    <t>PT. KUMM Trans Nusantara-PF</t>
  </si>
  <si>
    <t>PT. Luxena Victory Indonesia-PF</t>
  </si>
  <si>
    <t>PT. MAJU ABADI LOGISTIK-PF</t>
  </si>
  <si>
    <t>PT MEGA RIZKI NUSANTARA</t>
  </si>
  <si>
    <t>PT. MODA INTI TRANSPORTINDO-PF</t>
  </si>
  <si>
    <t>PT. Mulia Cahaya Wiguna-PF</t>
  </si>
  <si>
    <t>PT NADJA TRANS LOGISTIK-PF</t>
  </si>
  <si>
    <t>PT. Nayaka Lansano Sejahtera-PF</t>
  </si>
  <si>
    <t>PT. NUR GOJALIAN LESTARI-PF</t>
  </si>
  <si>
    <t>PT PARI PURA RAYA</t>
  </si>
  <si>
    <t>PT PARI PURA TRANS-PF</t>
  </si>
  <si>
    <t>PT. PRAGER KENCANA SERVIS-PF</t>
  </si>
  <si>
    <t>PT. PRAJA LAKSANA GRUP-PF</t>
  </si>
  <si>
    <t>PT. PREMIUMTRANS LINTAS NUSANTARA-PF</t>
  </si>
  <si>
    <t>PT. PROMOTER JAYA MANDIRI-PF</t>
  </si>
  <si>
    <t>PT. Putri Lintas Indonesia-PF</t>
  </si>
  <si>
    <t>PT. RAFAY ANUGRAH LOGISTIK INDONESIA-PF</t>
  </si>
  <si>
    <t>PT. RAHYANG KALYSTA BERJAYA-PF</t>
  </si>
  <si>
    <t>PT. Raizzanie Aimeer Indo-PF</t>
  </si>
  <si>
    <t>PT. RALIANS MULTI SOLUSINDO-PF</t>
  </si>
  <si>
    <t>PT. Rizki Berlian Perkasa-PF</t>
  </si>
  <si>
    <t>PT. ROKET EKSPRES DIRGANTARA-PF</t>
  </si>
  <si>
    <t>PT. RTS LINTAS LOGISTICS-PF</t>
  </si>
  <si>
    <t>PT. SAUDARA SUKSES ABADI-PF</t>
  </si>
  <si>
    <t>PT SAWARGI ESA PERKASA-PF</t>
  </si>
  <si>
    <t>PT. Selapura Kargo Ekspres-PF</t>
  </si>
  <si>
    <t>PT. Sentral Kreasi Gemilang-PF</t>
  </si>
  <si>
    <t>PT. SIDOMULYO SAPTA PERSADA-PF</t>
  </si>
  <si>
    <t>PT. Sinar Lintas Maju-PF</t>
  </si>
  <si>
    <t>PT. SINAR TUNGGAL JAYA UTAMA GEMILANG-PF</t>
  </si>
  <si>
    <t>PT. SONYA BUANA SEJAHTERA-PF</t>
  </si>
  <si>
    <t>PT. TAMBUN JAYA ABADI-PF</t>
  </si>
  <si>
    <t>PT TRI ARTHA LOGISTIC-PF</t>
  </si>
  <si>
    <t>PT. TUGU WISATA TRANSLOKA-PF</t>
  </si>
  <si>
    <t>PT. UNILEVER INDONESIA TBK-LOG</t>
  </si>
  <si>
    <t>PT WAHANA MULTI LOGISTICS-PF</t>
  </si>
  <si>
    <t>PT. ZENSHIN TECHNOLOGY INTERNATIONAL-PF</t>
  </si>
  <si>
    <t>PT. TRIMAS AJI JAYA-LOG</t>
  </si>
  <si>
    <t>AWANI SEJAHTERA ANUGERAH</t>
  </si>
  <si>
    <t>BERKAH GLOBAL PRATAMA</t>
  </si>
  <si>
    <t>BINA MITRA SEGARA SETIA</t>
  </si>
  <si>
    <t>BINTANG INDONESIA GEMPITA</t>
  </si>
  <si>
    <t>DANAN ANUGRAH SEJAHTERA</t>
  </si>
  <si>
    <t>DELTA UTAMA GEMILANG</t>
  </si>
  <si>
    <t>DIAN GIRI SELARAS</t>
  </si>
  <si>
    <t>DUO ROMO TRABS</t>
  </si>
  <si>
    <t>INTERMODA NATAMA TRANS</t>
  </si>
  <si>
    <t>JENA SOLUSI TRANSPORT</t>
  </si>
  <si>
    <t>KARYA ABADI SEJATI</t>
  </si>
  <si>
    <t>KARYA DUA BINTANG</t>
  </si>
  <si>
    <t>KITA KAYA LOGISTIK</t>
  </si>
  <si>
    <t>KUANTUM LOGISTIK INDONESIA</t>
  </si>
  <si>
    <t>KUMM TRANS NUSANTARA</t>
  </si>
  <si>
    <t>MAJU ABADI</t>
  </si>
  <si>
    <t>MEGA RIZKI</t>
  </si>
  <si>
    <t>MULIA CAHAYA WIGUNA</t>
  </si>
  <si>
    <t>NADJA TRANS LOGISTIK</t>
  </si>
  <si>
    <t>NAYAKA LANSANO</t>
  </si>
  <si>
    <t>PARI PURA TRANS</t>
  </si>
  <si>
    <t>PRAGER KENCANA SERVIS</t>
  </si>
  <si>
    <t>PRAJA LAKSANA GROUP</t>
  </si>
  <si>
    <t>PREMIUMTRANS LINTAS NUSANTARA</t>
  </si>
  <si>
    <t>PUTRI LINTAS INDONESIA</t>
  </si>
  <si>
    <t>RAFAY ANUGERAH LOGISTIK INDONESIA</t>
  </si>
  <si>
    <t>RAHYANG KALYSTA BERJAYA</t>
  </si>
  <si>
    <t>RALIANS MULTI SOLUSINDO</t>
  </si>
  <si>
    <t>RIZKI BERLIAN PERKASA</t>
  </si>
  <si>
    <t>ROKET EKSPRESS DIRGANTARA</t>
  </si>
  <si>
    <t>RTS LINTAS LOGISTICS</t>
  </si>
  <si>
    <t>SAUDARA SUKSES ABADI</t>
  </si>
  <si>
    <t>SAWARGI ESA PERKASA</t>
  </si>
  <si>
    <t>SELAPURA KARGO EXPRESS</t>
  </si>
  <si>
    <t>SENTRAL KREASI GEMILANG</t>
  </si>
  <si>
    <t>SIDOMULYO SAPTA PERSADA</t>
  </si>
  <si>
    <t>SONYA BUANA SEJAHTERA</t>
  </si>
  <si>
    <t>TAMBUN JAYA ABADI</t>
  </si>
  <si>
    <t>TRI ARTHA LOGISTIK</t>
  </si>
  <si>
    <t>TUGU WISATA TRANSLOKA</t>
  </si>
  <si>
    <t>WAHANA MULTI LOGISTICS</t>
  </si>
  <si>
    <t>ZENSHIN TECHNOLOGY INTERNATIONAL</t>
  </si>
  <si>
    <t>Name Customer mapping Bank TV</t>
  </si>
  <si>
    <t>ELEMEN TRANS LOG</t>
  </si>
  <si>
    <t>CV. AL-One Gunawan Jaya Sentosa-PF</t>
  </si>
  <si>
    <t>CV. Awal Lestari Rezeki-PF</t>
  </si>
  <si>
    <t>CV. Datuak Lansano Maju Bersama Nayaka-PF</t>
  </si>
  <si>
    <t>CV. Harba Logistics-PF</t>
  </si>
  <si>
    <t>CV. KHAROMAH BERKAH TRANS-PF</t>
  </si>
  <si>
    <t>CV. MEGA JAYA EXPRES-PF</t>
  </si>
  <si>
    <t>PT KINARYA MANDIRI TRANS-PF</t>
  </si>
  <si>
    <t>PT. RASKITA WIRA JAYA-PF</t>
  </si>
  <si>
    <t>PT. ALD LOGISTIK INDONESIA-PF</t>
  </si>
  <si>
    <t>PT ALIRA JAYA TRANSPORTASI-PF</t>
  </si>
  <si>
    <t>PT. Andalan Niaga Indonesia Logistic-PF</t>
  </si>
  <si>
    <t>PT. ASHAKA JAYA MANDIRI-PF</t>
  </si>
  <si>
    <t>PT. CARAKA SAKTI NUSANTARA-PF</t>
  </si>
  <si>
    <t>PT. CENTRAL JASA MITRA BAHARI-PF</t>
  </si>
  <si>
    <t>PT. Citra Buana Nusantara-PF</t>
  </si>
  <si>
    <t>PT. DEWATA FREIGHT INTERNATIONAL TBK-PF</t>
  </si>
  <si>
    <t>PT. DISTRIBUSI SOLUSI BERSAMA-PF</t>
  </si>
  <si>
    <t>PT DUTA LESTARI SEGARA-PF</t>
  </si>
  <si>
    <t>PT. EKSPEDISI SEHATI ABADI -PF</t>
  </si>
  <si>
    <t>PT. ERAJAYA KARUNIA LOGISTIK-PF</t>
  </si>
  <si>
    <t>PT. Gemilang Logistik Terminal-PF</t>
  </si>
  <si>
    <t>PT GOOD LOGISTICS TERMINAL-PF</t>
  </si>
  <si>
    <t>PT. GUBAH MITRA INDONESIA-PF</t>
  </si>
  <si>
    <t>PT. HANDAL DELIVERI LOGISTIK-PF</t>
  </si>
  <si>
    <t>PT. INESIA FOOD INDONESIA-PF</t>
  </si>
  <si>
    <t>PT. JANGKAR SAMUDERA NUSANTARA-PF</t>
  </si>
  <si>
    <t>PT. JEFIRA INTI PERKASA-PF</t>
  </si>
  <si>
    <t>PT JENA MANDIRI TRANSPORT</t>
  </si>
  <si>
    <t>PT. JOY MITRA ANDALAN-PF</t>
  </si>
  <si>
    <t>PT. KHALID BERKAH TRANSPORTASI-PF</t>
  </si>
  <si>
    <t>PT. Lasmini Badra Perkasa-PF</t>
  </si>
  <si>
    <t>PT. Lazuardo Vittorio Indonesia-PF</t>
  </si>
  <si>
    <t>PT. LIMA PILAR EXPRESS-PF</t>
  </si>
  <si>
    <t>PT. LIMA SARANA TRANS-PF</t>
  </si>
  <si>
    <t>PT. LINTAS PRIMA INDONESIA-PF</t>
  </si>
  <si>
    <t>PT. Mandala Sela Ekspres-PF</t>
  </si>
  <si>
    <t>PT MARIYANA TRANSPORTASI LOGISTIK-PF</t>
  </si>
  <si>
    <t>PT. MEGA PRIMA LUMINTU-PF</t>
  </si>
  <si>
    <t>PT. MITRA ANDALAN SEGARA-PF</t>
  </si>
  <si>
    <t>PT. Premiumtrans Lintas Nusantara-PF</t>
  </si>
  <si>
    <t>PT. ROKET DELAPAN DELAPAN-PF</t>
  </si>
  <si>
    <t>PT. SEKAR ARUM JAYA BERSAUDARA-PF</t>
  </si>
  <si>
    <t>PT. SINERGI SEMESTA LOGISTINDO-PF</t>
  </si>
  <si>
    <t>PT. SURYA KENCANA PRATAMA-PF</t>
  </si>
  <si>
    <t>PT. SURYA PERSADA MANDIRI-PF</t>
  </si>
  <si>
    <t>PT. SWAKARYA KENCANA LOGISTIK-PF</t>
  </si>
  <si>
    <t>PT. TRANSINDO JAYATAMA LOGISTIK-PF</t>
  </si>
  <si>
    <t>PT TRILOKA SUMBER MAKMUR-PF</t>
  </si>
  <si>
    <t>PT VEKTRUCK TRANS DIGILOGISTIK-PF</t>
  </si>
  <si>
    <t>PT. ZEN INDOTAMA LOGISTIK-PF</t>
  </si>
  <si>
    <t>LIA029</t>
  </si>
  <si>
    <t>LI404</t>
  </si>
  <si>
    <t>LI413</t>
  </si>
  <si>
    <t>LIB017</t>
  </si>
  <si>
    <t>LI408</t>
  </si>
  <si>
    <t>LI317</t>
  </si>
  <si>
    <t>LIH001</t>
  </si>
  <si>
    <t>LI410</t>
  </si>
  <si>
    <t>LI416</t>
  </si>
  <si>
    <t>LIM001</t>
  </si>
  <si>
    <t>LI372</t>
  </si>
  <si>
    <t>LI373</t>
  </si>
  <si>
    <t>LIN006</t>
  </si>
  <si>
    <t>LIN009</t>
  </si>
  <si>
    <t>LIP022</t>
  </si>
  <si>
    <t>LIR007</t>
  </si>
  <si>
    <t>LIS008</t>
  </si>
  <si>
    <t>LI318</t>
  </si>
  <si>
    <t>LI251</t>
  </si>
  <si>
    <t>LI271</t>
  </si>
  <si>
    <t>LI277</t>
  </si>
  <si>
    <t>HCC01</t>
  </si>
  <si>
    <t>LIJ008</t>
  </si>
  <si>
    <t>LI320</t>
  </si>
  <si>
    <t>LI319</t>
  </si>
  <si>
    <t>LIL001</t>
  </si>
  <si>
    <t>LI381</t>
  </si>
  <si>
    <t>LI314</t>
  </si>
  <si>
    <t>LIA028</t>
  </si>
  <si>
    <t>LI376</t>
  </si>
  <si>
    <t>LIA030</t>
  </si>
  <si>
    <t>LI375</t>
  </si>
  <si>
    <t>LI426</t>
  </si>
  <si>
    <t>LI287</t>
  </si>
  <si>
    <t>LIA027</t>
  </si>
  <si>
    <t>LI371</t>
  </si>
  <si>
    <t>LIB016</t>
  </si>
  <si>
    <t>LIB018</t>
  </si>
  <si>
    <t>LIB015</t>
  </si>
  <si>
    <t>LIB019</t>
  </si>
  <si>
    <t>LI361</t>
  </si>
  <si>
    <t>LI334</t>
  </si>
  <si>
    <t>LI398</t>
  </si>
  <si>
    <t>LID002</t>
  </si>
  <si>
    <t>LI303</t>
  </si>
  <si>
    <t>LID001</t>
  </si>
  <si>
    <t>LI350</t>
  </si>
  <si>
    <t>LID003</t>
  </si>
  <si>
    <t>LI369</t>
  </si>
  <si>
    <t>LID004</t>
  </si>
  <si>
    <t>LI331</t>
  </si>
  <si>
    <t>LI358</t>
  </si>
  <si>
    <t>LI402</t>
  </si>
  <si>
    <t>LI399</t>
  </si>
  <si>
    <t>LI290</t>
  </si>
  <si>
    <t>LI427</t>
  </si>
  <si>
    <t>LI377</t>
  </si>
  <si>
    <t>LI379</t>
  </si>
  <si>
    <t>LII009</t>
  </si>
  <si>
    <t>LI405</t>
  </si>
  <si>
    <t>LI367</t>
  </si>
  <si>
    <t>LI382</t>
  </si>
  <si>
    <t>LIJ001</t>
  </si>
  <si>
    <t>LI368</t>
  </si>
  <si>
    <t>LI329</t>
  </si>
  <si>
    <t>LIK004</t>
  </si>
  <si>
    <t>LI412</t>
  </si>
  <si>
    <t>LIK001</t>
  </si>
  <si>
    <t>LIK002</t>
  </si>
  <si>
    <t>LIK003</t>
  </si>
  <si>
    <t>LI403</t>
  </si>
  <si>
    <t>LI397</t>
  </si>
  <si>
    <t>LI414</t>
  </si>
  <si>
    <t>LI374</t>
  </si>
  <si>
    <t>LI411</t>
  </si>
  <si>
    <t>LIL002</t>
  </si>
  <si>
    <t>LIM003</t>
  </si>
  <si>
    <t>LI406</t>
  </si>
  <si>
    <t>LI391</t>
  </si>
  <si>
    <t>LI415</t>
  </si>
  <si>
    <t>LI316</t>
  </si>
  <si>
    <t>LI343</t>
  </si>
  <si>
    <t>LIM004</t>
  </si>
  <si>
    <t>LIM002</t>
  </si>
  <si>
    <t>LI385</t>
  </si>
  <si>
    <t>LIN010</t>
  </si>
  <si>
    <t>LIN007</t>
  </si>
  <si>
    <t>LI315</t>
  </si>
  <si>
    <t>LIP001</t>
  </si>
  <si>
    <t>LIP021</t>
  </si>
  <si>
    <t>LIP024</t>
  </si>
  <si>
    <t>LI389</t>
  </si>
  <si>
    <t>LIP023</t>
  </si>
  <si>
    <t>LIP026</t>
  </si>
  <si>
    <t>LIR004</t>
  </si>
  <si>
    <t>LIR001</t>
  </si>
  <si>
    <t>LIR008</t>
  </si>
  <si>
    <t>LIR006</t>
  </si>
  <si>
    <t>LIR003</t>
  </si>
  <si>
    <t>LI386</t>
  </si>
  <si>
    <t>LIR002</t>
  </si>
  <si>
    <t>LIR005</t>
  </si>
  <si>
    <t>LIS001</t>
  </si>
  <si>
    <t>LIS004</t>
  </si>
  <si>
    <t>LI380</t>
  </si>
  <si>
    <t>LIS006</t>
  </si>
  <si>
    <t>LIS005</t>
  </si>
  <si>
    <t>LIS007</t>
  </si>
  <si>
    <t>LIS009</t>
  </si>
  <si>
    <t>LIS003</t>
  </si>
  <si>
    <t>LI418</t>
  </si>
  <si>
    <t>LIS002</t>
  </si>
  <si>
    <t>LI407</t>
  </si>
  <si>
    <t>LI392</t>
  </si>
  <si>
    <t>LI352</t>
  </si>
  <si>
    <t>LIT002</t>
  </si>
  <si>
    <t>LI344</t>
  </si>
  <si>
    <t>LIT001</t>
  </si>
  <si>
    <t>LI384</t>
  </si>
  <si>
    <t>LIT003</t>
  </si>
  <si>
    <t>LI276</t>
  </si>
  <si>
    <t>LI383</t>
  </si>
  <si>
    <t>LI330</t>
  </si>
  <si>
    <t>LI257</t>
  </si>
  <si>
    <t>LI353</t>
  </si>
  <si>
    <t>LIZ027</t>
  </si>
  <si>
    <t>LI245</t>
  </si>
  <si>
    <t>BRI</t>
  </si>
  <si>
    <t>MANDIRI</t>
  </si>
  <si>
    <t>BCA</t>
  </si>
  <si>
    <t>CIMB</t>
  </si>
  <si>
    <t>CV. Abadi Jaya-PF</t>
  </si>
  <si>
    <t>LI428</t>
  </si>
  <si>
    <t>YUSEN AIR &amp; SEA SERVICE INDONESIA-PF</t>
  </si>
  <si>
    <t>LI039</t>
  </si>
  <si>
    <t>PT. RAJAWALI PUTRA LOGISTIK -PF</t>
  </si>
  <si>
    <t>LI357</t>
  </si>
  <si>
    <t>BRI : 219701000099507</t>
  </si>
  <si>
    <t>MANDIRI : 1300022458155</t>
  </si>
  <si>
    <t>BRI : 115301000068307</t>
  </si>
  <si>
    <t>MANDIRI : 1360017220770</t>
  </si>
  <si>
    <t>BCA : 1840698366</t>
  </si>
  <si>
    <t>BCA : 5910069065</t>
  </si>
  <si>
    <t>MANDIRI : 1420021661896</t>
  </si>
  <si>
    <t>BCA : 3207771808</t>
  </si>
  <si>
    <t>BCA : 2711219651</t>
  </si>
  <si>
    <t>BCA : 2465576055</t>
  </si>
  <si>
    <t>MANDIRI : 1560007331285</t>
  </si>
  <si>
    <t>BCA : 0070693151</t>
  </si>
  <si>
    <t>BCA : 8990305588</t>
  </si>
  <si>
    <t>CIMB : 9770100104005</t>
  </si>
  <si>
    <t>MANDIRI : 1230006281861</t>
  </si>
  <si>
    <t>MANDIRI : 1320599454999</t>
  </si>
  <si>
    <t>BCA : 2460823008</t>
  </si>
  <si>
    <t>MANDIRI : 1560019455593</t>
  </si>
  <si>
    <t>CIMB : 860012375800</t>
  </si>
  <si>
    <t>BCA : 6320033568</t>
  </si>
  <si>
    <t>BCA : 4684030304</t>
  </si>
  <si>
    <t>BNI : 1161000000</t>
  </si>
  <si>
    <t>MANDIRI : 1360031960765</t>
  </si>
  <si>
    <t>MANDIRI : 0060011889890</t>
  </si>
  <si>
    <t>MANDIRI : 1210090097977</t>
  </si>
  <si>
    <t>BCA : 7205888829</t>
  </si>
  <si>
    <t>MANDIRI : 1250010636868</t>
  </si>
  <si>
    <t>BCA : 0072354620</t>
  </si>
  <si>
    <t>CIMB : 800169081400</t>
  </si>
  <si>
    <t>BCA : 2761393717</t>
  </si>
  <si>
    <t>MANDIRI : 1310019251539</t>
  </si>
  <si>
    <t>BNI : 1540481282</t>
  </si>
  <si>
    <t>BRI : 119401000346303</t>
  </si>
  <si>
    <t>BCA : 8850804240</t>
  </si>
  <si>
    <t>MANDIRI : 1230007592910</t>
  </si>
  <si>
    <t>MANDIRI : 1250013870639</t>
  </si>
  <si>
    <t>BCA : 6930929393</t>
  </si>
  <si>
    <t>BCA : 5720614938</t>
  </si>
  <si>
    <t>BCA : 2741272522</t>
  </si>
  <si>
    <t>BCA : 7410513441</t>
  </si>
  <si>
    <t>MANDIRI : 1550011619171</t>
  </si>
  <si>
    <t>BCA : 0661914806</t>
  </si>
  <si>
    <t>BCA : 2270185196</t>
  </si>
  <si>
    <t>BNI : 8888998644</t>
  </si>
  <si>
    <t>MANDIRI : 1670004707211</t>
  </si>
  <si>
    <t>BCA : 8710307700</t>
  </si>
  <si>
    <t>MANDIRI : 1730010762368</t>
  </si>
  <si>
    <t>BNI : 910912718</t>
  </si>
  <si>
    <t>MANDIRI : 1670002782745</t>
  </si>
  <si>
    <t>MANDIRI : 1200011731689</t>
  </si>
  <si>
    <t>MANDIRI : 1560020416360</t>
  </si>
  <si>
    <t>BRI : 55301000854305</t>
  </si>
  <si>
    <t>BCA : 0376868600</t>
  </si>
  <si>
    <t>BRI : 200501000368301</t>
  </si>
  <si>
    <t>LIA001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</si>
</sst>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Rp&quot;#,##0;\-&quot;Rp&quot;#,##0"/>
    <numFmt numFmtId="165" formatCode="&quot;Rp&quot;#,##0.00;\-&quot;Rp&quot;#,##0.00"/>
    <numFmt numFmtId="166" formatCode="_-&quot;Rp&quot;* #,##0.00_-;\-&quot;Rp&quot;* #,##0.00_-;_-&quot;Rp&quot;* &quot;-&quot;??_-;_-@_-"/>
    <numFmt numFmtId="167" formatCode="[$-F800]dddd\,\ mmmm\ dd\,\ yyyy"/>
    <numFmt numFmtId="168" formatCode="&quot;Rp&quot;#,##0.###############;\-&quot;Rp&quot;#,##0.###############;&quot;Rp&quot;#,##0.###############"/>
    <numFmt numFmtId="169" formatCode="0.00%;\-0.00%;0.00%"/>
    <numFmt numFmtId="170" formatCode="_-[$Rp-3809]* #,##0.00_-;\-[$Rp-3809]* #,##0.00_-;_-[$Rp-3809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167" fontId="0" fillId="0" borderId="0" xfId="0" applyNumberFormat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165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49" fontId="0" fillId="0" borderId="0" xfId="0" applyNumberFormat="1"/>
    <xf numFmtId="170" fontId="0" fillId="0" borderId="0" xfId="0" applyNumberFormat="1"/>
    <xf numFmtId="166" fontId="0" fillId="0" borderId="0" xfId="1" applyFont="1"/>
    <xf numFmtId="0" fontId="0" fillId="0" borderId="4" xfId="0" applyBorder="1"/>
    <xf numFmtId="0" fontId="0" fillId="0" borderId="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5" borderId="1" xfId="0" applyFill="1" applyBorder="1"/>
    <xf numFmtId="14" fontId="0" fillId="5" borderId="1" xfId="0" applyNumberFormat="1" applyFill="1" applyBorder="1"/>
    <xf numFmtId="0" fontId="2" fillId="2" borderId="1" xfId="2" applyBorder="1"/>
    <xf numFmtId="0" fontId="3" fillId="3" borderId="1" xfId="3" applyBorder="1"/>
    <xf numFmtId="0" fontId="4" fillId="4" borderId="1" xfId="4" applyBorder="1"/>
    <xf numFmtId="0" fontId="5" fillId="6" borderId="1" xfId="0" applyFont="1" applyFill="1" applyBorder="1"/>
    <xf numFmtId="0" fontId="5" fillId="6" borderId="3" xfId="0" applyFont="1" applyFill="1" applyBorder="1"/>
    <xf numFmtId="0" fontId="5" fillId="7" borderId="1" xfId="0" applyFont="1" applyFill="1" applyBorder="1"/>
    <xf numFmtId="0" fontId="5" fillId="6" borderId="6" xfId="0" applyFont="1" applyFill="1" applyBorder="1"/>
    <xf numFmtId="1" fontId="5" fillId="7" borderId="1" xfId="0" applyNumberFormat="1" applyFont="1" applyFill="1" applyBorder="1"/>
    <xf numFmtId="1" fontId="0" fillId="0" borderId="1" xfId="0" applyNumberFormat="1" applyBorder="1"/>
    <xf numFmtId="0" fontId="5" fillId="7" borderId="3" xfId="0" applyFont="1" applyFill="1" applyBorder="1"/>
    <xf numFmtId="0" fontId="0" fillId="8" borderId="0" xfId="0" applyFill="1"/>
    <xf numFmtId="1" fontId="0" fillId="0" borderId="1" xfId="0" quotePrefix="1" applyNumberFormat="1" applyBorder="1"/>
    <xf numFmtId="0" fontId="6" fillId="0" borderId="1" xfId="0" applyFont="1" applyBorder="1"/>
    <xf numFmtId="1" fontId="6" fillId="0" borderId="1" xfId="0" applyNumberFormat="1" applyFont="1" applyBorder="1"/>
    <xf numFmtId="14" fontId="6" fillId="0" borderId="1" xfId="0" applyNumberFormat="1" applyFont="1" applyBorder="1"/>
    <xf numFmtId="0" fontId="6" fillId="3" borderId="1" xfId="3" applyFont="1" applyBorder="1"/>
    <xf numFmtId="0" fontId="6" fillId="0" borderId="0" xfId="0" applyFont="1"/>
  </cellXfs>
  <cellStyles count="5">
    <cellStyle name="Bad" xfId="3" builtinId="27"/>
    <cellStyle name="Currency" xfId="1" builtinId="4"/>
    <cellStyle name="Good" xfId="2" builtinId="26"/>
    <cellStyle name="Neutral" xfId="4" builtinId="28"/>
    <cellStyle name="Normal" xfId="0" builtinId="0"/>
  </cellStyles>
  <dxfs count="20">
    <dxf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71" formatCode="dd/mm/yyyy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6" formatCode="_-&quot;Rp&quot;* #,##0.00_-;\-&quot;Rp&quot;* #,##0.00_-;_-&quot;Rp&quot;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6" formatCode="_-&quot;Rp&quot;* #,##0.00_-;\-&quot;Rp&quot;* #,##0.00_-;_-&quot;Rp&quot;* &quot;-&quot;??_-;_-@_-"/>
    </dxf>
    <dxf>
      <numFmt numFmtId="166" formatCode="_-&quot;Rp&quot;* #,##0.00_-;\-&quot;Rp&quot;* #,##0.00_-;_-&quot;Rp&quot;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71" formatCode="dd/mm/yyyy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bgColor auto="1"/>
        </patternFill>
      </fill>
    </dxf>
    <dxf>
      <numFmt numFmtId="171" formatCode="dd/mm/yyyy"/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man Abdul Aziz" refreshedDate="45092.771984259256" createdVersion="8" refreshedVersion="8" minRefreshableVersion="3" recordCount="5752" xr:uid="{EA7914F4-CFAE-4D0F-A525-A4E3B3A641DA}">
  <cacheSource type="worksheet">
    <worksheetSource name="Table1"/>
  </cacheSource>
  <cacheFields count="16">
    <cacheField name="Order Number" numFmtId="0">
      <sharedItems/>
    </cacheField>
    <cacheField name="Type" numFmtId="0">
      <sharedItems/>
    </cacheField>
    <cacheField name="Booking Date'" numFmtId="14">
      <sharedItems containsSemiMixedTypes="0" containsNonDate="0" containsDate="1" containsString="0" minDate="2023-01-01T00:00:00" maxDate="2023-06-12T00:00:00" count="152">
        <d v="2023-01-02T00:00:00"/>
        <d v="2023-01-03T00:00:00"/>
        <d v="2023-01-04T00:00:00"/>
        <d v="2023-01-06T00:00:00"/>
        <d v="2023-01-07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1T00:00:00"/>
        <d v="2023-01-23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6T00:00:00"/>
        <d v="2023-02-28T00:00:00"/>
        <d v="2023-03-01T00:00:00"/>
        <d v="2023-03-02T00:00:00"/>
        <d v="2023-03-03T00:00:00"/>
        <d v="2023-03-05T00:00:00"/>
        <d v="2023-03-06T00:00:00"/>
        <d v="2023-03-07T00:00:00"/>
        <d v="2023-03-08T00:00:00"/>
        <d v="2023-03-10T00:00:00"/>
        <d v="2023-03-11T00:00:00"/>
        <d v="2023-03-12T00:00:00"/>
        <d v="2023-03-13T00:00:00"/>
        <d v="2023-03-14T00:00:00"/>
        <d v="2023-03-16T00:00:00"/>
        <d v="2023-03-17T00:00:00"/>
        <d v="2023-03-18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29T00:00:00"/>
        <d v="2023-05-05T00:00:00"/>
        <d v="2023-05-10T00:00:00"/>
        <d v="2023-05-11T00:00:00"/>
        <d v="2023-05-12T00:00:00"/>
        <d v="2023-05-13T00:00:00"/>
        <d v="2023-05-16T00:00:00"/>
        <d v="2023-05-23T00:00:00"/>
        <d v="2023-05-24T00:00:00"/>
        <d v="2023-05-25T00:00:00"/>
        <d v="2023-05-26T00:00:00"/>
        <d v="2023-05-29T00:00:00"/>
        <d v="2023-05-31T00:00:00"/>
        <d v="2023-06-01T00:00:00"/>
        <d v="2023-06-02T00:00:00"/>
        <d v="2023-06-03T00:00:00"/>
        <d v="2023-06-05T00:00:00"/>
        <d v="2023-06-06T00:00:00"/>
        <d v="2023-06-08T00:00:00"/>
        <d v="2023-06-09T00:00:00"/>
        <d v="2023-06-10T00:00:00"/>
        <d v="2023-06-11T00:00:00"/>
        <d v="2023-01-01T00:00:00"/>
        <d v="2023-01-05T00:00:00"/>
        <d v="2023-01-08T00:00:00"/>
        <d v="2023-01-14T00:00:00"/>
        <d v="2023-01-15T00:00:00"/>
        <d v="2023-01-22T00:00:00"/>
        <d v="2023-01-24T00:00:00"/>
        <d v="2023-02-04T00:00:00"/>
        <d v="2023-02-11T00:00:00"/>
        <d v="2023-02-27T00:00:00"/>
        <d v="2023-03-04T00:00:00"/>
        <d v="2023-03-09T00:00:00"/>
        <d v="2023-03-15T00:00:00"/>
        <d v="2023-03-19T00:00:00"/>
        <d v="2023-03-30T00:00:00"/>
        <d v="2023-04-18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6T00:00:00"/>
        <d v="2023-05-07T00:00:00"/>
        <d v="2023-05-08T00:00:00"/>
        <d v="2023-05-14T00:00:00"/>
        <d v="2023-05-15T00:00:00"/>
        <d v="2023-05-17T00:00:00"/>
        <d v="2023-05-18T00:00:00"/>
        <d v="2023-05-19T00:00:00"/>
        <d v="2023-05-20T00:00:00"/>
        <d v="2023-05-21T00:00:00"/>
        <d v="2023-05-22T00:00:00"/>
        <d v="2023-05-30T00:00:00"/>
        <d v="2023-05-27T00:00:00"/>
        <d v="2023-05-28T00:00:00"/>
        <d v="2023-06-04T00:00:00"/>
        <d v="2023-06-07T00:00:00"/>
      </sharedItems>
      <fieldGroup par="15"/>
    </cacheField>
    <cacheField name="Cargo Owner" numFmtId="0">
      <sharedItems count="56">
        <s v="PT KINARYA MANDIRI TRANS"/>
        <s v="PT. Ekspedisi Sehati Abadi"/>
        <s v="PT. MItra Andalan Segara"/>
        <s v="PT. Duta Lestari Segara"/>
        <s v="PT. Central Jasa Mitra Bahari"/>
        <s v="PT. GOOD LOGISTICS TERMINAL"/>
        <s v="PT. Distribusi Solusi Bersama"/>
        <s v="PT. Inesia Food Indonesia"/>
        <s v="PT. Gemilang Logistik Terminal"/>
        <s v="PT. YUSEN LOGISTICS INDONESIA"/>
        <s v="PT. ZEN Indotama Logistik"/>
        <s v="PT. Transindo Jayatama Logistik"/>
        <s v="PT. Rajawali Persada Logistik"/>
        <s v="PT. Jefira Inti Perkasa"/>
        <s v="PT. Swakarya Kencana Logistik"/>
        <s v="PT. Dewata Freight International"/>
        <s v="PT. Joy Mitra Andalan"/>
        <s v="PT. ASHAKA JAYA MANDIRI"/>
        <s v="PT. Caraka Sakti Nusantara"/>
        <s v="CV. Mulia Maretno Abadi"/>
        <s v="PT. Alira Jaya Tranportasi"/>
        <s v="CV. Mega Jaya Expres"/>
        <s v="PT. ALD Logistik Indonesia"/>
        <s v="PT. Handal Deliveri Logistik"/>
        <s v="PT. Lima Sarana Trans"/>
        <s v="PT. Sekar Arum Jaya Bersaudara"/>
        <s v="PT. Nadja Trans Logistik [Cargo owner]"/>
        <s v="PT Raskita Wira Jaya"/>
        <s v="PT. Triloka Sumber Makmur"/>
        <s v="PT. Jena Mandiri Transport"/>
        <s v="PT. Roket Delapan Delapan"/>
        <s v="PT. Premiumtrans Lintas Nusantara [Cargo Owner]"/>
        <s v="PT. SURYA PERSADA MANDIRI"/>
        <s v="PT. Vektruck Trans Digilogistik"/>
        <s v="PT. MARIYANA TRANSPORTASI LOGISTIK"/>
        <s v="PT. Citra Buana Nusantara"/>
        <s v="PT. Lazuardo Vittorio Indonesia"/>
        <s v="PT. ERAJAYA KARUNIA LOGISTIK"/>
        <s v="PT. Lasmini Badra Perkasa"/>
        <s v="PT. Surya Kencana Pratama"/>
        <s v="PT. JANGKAR SAMUDERA NUSANTARA"/>
        <s v="PT. Mandala Sela Ekspres"/>
        <s v="CV. Datuak Lansano Maju Bersama Nayaka"/>
        <s v="CV. AL-One Gunawan Jaya Sentosa"/>
        <s v="PT. Tri Artha Logistic - CARGO OWNER"/>
        <s v="PT. KHALID BERKAH TRANSPORTASI"/>
        <s v="CV. KHAROMAH BERKAH TRANS"/>
        <s v="CV. Harba Logistics"/>
        <s v="CV. Awal Lestari Rezeki"/>
        <s v="PT. MEGA PRIMA LUMINTU"/>
        <s v="PT. LIMA PILAR EXPRESS"/>
        <s v="PT. SINERGI SEMESTA LOGISTINDO"/>
        <s v="PT. LINTAS PRIMA INDONESIA"/>
        <s v="PT. Delta Utama Gemilang [CARGO OWNER]"/>
        <s v="PT. Andalan Niaga Indonesia Logistic"/>
        <s v="PT. GUBAH MITRA INDONESIA"/>
      </sharedItems>
    </cacheField>
    <cacheField name="Debit Note" numFmtId="166">
      <sharedItems containsSemiMixedTypes="0" containsString="0" containsNumber="1" containsInteger="1" minValue="0" maxValue="370000000"/>
    </cacheField>
    <cacheField name="CO Platform Fee" numFmtId="166">
      <sharedItems containsString="0" containsBlank="1" containsNumber="1" containsInteger="1" minValue="5550" maxValue="15401250"/>
    </cacheField>
    <cacheField name="Invoice Date" numFmtId="0">
      <sharedItems containsNonDate="0" containsDate="1" containsString="0" containsBlank="1" minDate="2023-01-05T00:00:00" maxDate="2023-06-12T00:00:00"/>
    </cacheField>
    <cacheField name="Status" numFmtId="0">
      <sharedItems/>
    </cacheField>
    <cacheField name="Trucking Vendor" numFmtId="0">
      <sharedItems count="58">
        <s v="PT KINARI JAYA TRANS"/>
        <s v="PT. Saudara Sukses Abadi"/>
        <s v="PT. KARYA ABADI SEJATI"/>
        <s v="PT. Bina Mitra Segara Setia"/>
        <s v="PT ELEMEN TRANS LOGISTIK"/>
        <s v="PT. Praja Laksana Group"/>
        <s v="PT.  Inesia Kargotama Indonesia [TRUCKING]"/>
        <s v="PT. ANINDYA JIFA PERDANA (Trucking)"/>
        <s v="CV. Faeyza Putra Mandiri"/>
        <s v="CV. SUMBER SEJAHTERA ABADI"/>
        <s v="PT. ZENSHIN Technology International"/>
        <s v="PT Jaya Pratama Perkasa"/>
        <s v="PT. Mega Rizki Nusantara"/>
        <s v="CV. Nawasena Berkah Mandiri"/>
        <s v="PT. PROMOTER JAYA MANDIRI"/>
        <s v="PT. Prager Kencana Servis"/>
        <s v="PT. Berkah Global Pratama"/>
        <s v="PT. Rahyang Kalysta Berjaya"/>
        <s v="PT. Kita Kaya Logistik"/>
        <s v="PT. Nadja Trans Logistik"/>
        <s v="CV. Pamungkas Sakti Logistik"/>
        <s v="PT. Tri Artha Logistic"/>
        <s v="CV. Mahkota Emas"/>
        <s v="PT. Ariyanto Tunas Langgeng"/>
        <s v="PT. Premiumtrans Lintas Nusantara"/>
        <s v="PT. Delta Utama Gemilang"/>
        <s v="PT. Pari Pura Raya"/>
        <s v="PT. Tambun Jaya Abadi"/>
        <s v="PT. Sawargi Esa Perkasa"/>
        <s v="PT. Awani Sejahtera Anugerah"/>
        <s v="PT. Tugu Wisata Transloka"/>
        <s v="PT. Dian Giri Selaras"/>
        <s v="PT. Jena Solusi Transport"/>
        <s v="PT. Roket Ekspres Dirgantara"/>
        <s v="PT. Pari Pura Trans"/>
        <s v="PT. KUMM Trans Nusantara"/>
        <s v="CV. BINTANG TRIJAYA SUKSESINDO"/>
        <s v="PT. Danan Anugrah Sejahtera"/>
        <s v="PT. Mulia Cahaya Wiguna"/>
        <s v="PT. Duo Romo Trans"/>
        <s v="PT. Sentral Kreasi Gemilang"/>
        <s v="PT. Rizki Berlian Perkasa"/>
        <s v="PT. Karya Dua Bintang"/>
        <s v="CV. NUSANTARA CITRA JAYA"/>
        <s v="PT. RAFAY ANUGRAH LOGISTIK INDONESIA"/>
        <s v="PT. Selapura Kargo Ekspres"/>
        <s v="PT. Nayaka Lansano Sejahtera"/>
        <s v="PT. ADAM PUTRA LOGISTIC"/>
        <s v="CV. Mulia Maretno Abadi - TRUCKING VENDOR"/>
        <s v="PT. MAJU ABADI LOGISTIK"/>
        <s v="CV Ali Trans"/>
        <s v="PT. RALIANS MULTI SOLUSINDO"/>
        <s v="PT. SIDOMULYO SAPTA PERSADA"/>
        <s v="CV. RAFA PRATAMA MANDIRI"/>
        <s v="PT. RTS LINTAS LOGISTICS"/>
        <s v="CV. SKY Xpress"/>
        <s v="PT. Bintang Indonesia Gempita"/>
        <s v="PT. Putri Lintas Indonesia"/>
      </sharedItems>
    </cacheField>
    <cacheField name="TV Platform Fee" numFmtId="166">
      <sharedItems containsString="0" containsBlank="1" containsNumber="1" containsInteger="1" minValue="0" maxValue="21367500"/>
    </cacheField>
    <cacheField name="JML" numFmtId="0">
      <sharedItems containsSemiMixedTypes="0" containsString="0" containsNumber="1" containsInteger="1" minValue="1" maxValue="20"/>
    </cacheField>
    <cacheField name="Country" numFmtId="0">
      <sharedItems/>
    </cacheField>
    <cacheField name="Contract ID" numFmtId="0">
      <sharedItems/>
    </cacheField>
    <cacheField name="Status 2" numFmtId="0">
      <sharedItems count="2">
        <s v="COMPLETED"/>
        <s v="OUTSTANDING"/>
      </sharedItems>
    </cacheField>
    <cacheField name="Days (Booking Date')" numFmtId="0" databaseField="0">
      <fieldGroup base="2">
        <rangePr groupBy="days" startDate="2023-01-01T00:00:00" endDate="2023-06-12T00:00:00"/>
        <groupItems count="368">
          <s v="&lt;01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06/2023"/>
        </groupItems>
      </fieldGroup>
    </cacheField>
    <cacheField name="Months (Booking Date')" numFmtId="0" databaseField="0">
      <fieldGroup base="2">
        <rangePr groupBy="months" startDate="2023-01-01T00:00:00" endDate="2023-06-12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6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52">
  <r>
    <s v="CLICTRUCK-043054"/>
    <s v="export"/>
    <x v="0"/>
    <x v="0"/>
    <n v="1575000"/>
    <n v="16650"/>
    <d v="2023-01-05T00:00:00"/>
    <s v="PAID"/>
    <x v="0"/>
    <n v="52447"/>
    <n v="1"/>
    <s v="Indonesia"/>
    <s v="KMT-KJT"/>
    <x v="0"/>
  </r>
  <r>
    <s v="CLICTRUCK-043068"/>
    <s v="export"/>
    <x v="1"/>
    <x v="0"/>
    <n v="5225000"/>
    <n v="16650"/>
    <d v="2023-01-05T00:00:00"/>
    <s v="PAID"/>
    <x v="0"/>
    <n v="173992"/>
    <n v="1"/>
    <s v="Indonesia"/>
    <s v="KMT-KJT"/>
    <x v="0"/>
  </r>
  <r>
    <s v="CLICTRUCK-043069"/>
    <s v="export"/>
    <x v="1"/>
    <x v="0"/>
    <n v="2460000"/>
    <n v="16650"/>
    <d v="2023-01-05T00:00:00"/>
    <s v="PAID"/>
    <x v="0"/>
    <n v="81918"/>
    <n v="1"/>
    <s v="Indonesia"/>
    <s v="KMT-KJT"/>
    <x v="0"/>
  </r>
  <r>
    <s v="CLICTRUCK-043070"/>
    <s v="import"/>
    <x v="1"/>
    <x v="0"/>
    <n v="2050000"/>
    <n v="16650"/>
    <d v="2023-01-05T00:00:00"/>
    <s v="PAID"/>
    <x v="0"/>
    <n v="68265"/>
    <n v="1"/>
    <s v="Indonesia"/>
    <s v="KMT-KJT"/>
    <x v="0"/>
  </r>
  <r>
    <s v="CLICTRUCK-043071"/>
    <s v="import"/>
    <x v="1"/>
    <x v="0"/>
    <n v="2050000"/>
    <n v="16650"/>
    <d v="2023-01-05T00:00:00"/>
    <s v="PAID"/>
    <x v="0"/>
    <n v="68265"/>
    <n v="1"/>
    <s v="Indonesia"/>
    <s v="KMT-KJT"/>
    <x v="0"/>
  </r>
  <r>
    <s v="CLICTRUCK-043072"/>
    <s v="import"/>
    <x v="1"/>
    <x v="0"/>
    <n v="2250000"/>
    <n v="16650"/>
    <d v="2023-01-11T00:00:00"/>
    <s v="PAID"/>
    <x v="0"/>
    <n v="74925"/>
    <n v="1"/>
    <s v="Indonesia"/>
    <s v="KMT-KJT"/>
    <x v="0"/>
  </r>
  <r>
    <s v="CLICTRUCK-043073"/>
    <s v="import"/>
    <x v="1"/>
    <x v="0"/>
    <n v="3225000"/>
    <n v="16650"/>
    <d v="2023-01-11T00:00:00"/>
    <s v="PAID"/>
    <x v="0"/>
    <n v="107392"/>
    <n v="1"/>
    <s v="Indonesia"/>
    <s v="KMT-KJT"/>
    <x v="0"/>
  </r>
  <r>
    <s v="CLICTRUCK-043075"/>
    <s v="import"/>
    <x v="1"/>
    <x v="1"/>
    <n v="18855210"/>
    <n v="179820"/>
    <d v="2023-01-06T00:00:00"/>
    <s v="PAID"/>
    <x v="1"/>
    <n v="418585"/>
    <n v="9"/>
    <s v="Indonesia"/>
    <s v="ESA - SASA"/>
    <x v="0"/>
  </r>
  <r>
    <s v="CLICTRUCK-043078"/>
    <s v="import"/>
    <x v="2"/>
    <x v="1"/>
    <n v="12285845"/>
    <n v="139860"/>
    <d v="2023-01-06T00:00:00"/>
    <s v="PAID"/>
    <x v="1"/>
    <n v="272744"/>
    <n v="7"/>
    <s v="Indonesia"/>
    <s v="ESA - SASA"/>
    <x v="0"/>
  </r>
  <r>
    <s v="CLICTRUCK-043079"/>
    <s v="export"/>
    <x v="2"/>
    <x v="0"/>
    <n v="2625000"/>
    <n v="16650"/>
    <d v="2023-01-11T00:00:00"/>
    <s v="PAID"/>
    <x v="0"/>
    <n v="87412"/>
    <n v="1"/>
    <s v="Indonesia"/>
    <s v="KMT-KJT"/>
    <x v="0"/>
  </r>
  <r>
    <s v="CLICTRUCK-043080"/>
    <s v="export"/>
    <x v="2"/>
    <x v="0"/>
    <n v="2625000"/>
    <n v="16650"/>
    <d v="2023-01-11T00:00:00"/>
    <s v="PAID"/>
    <x v="0"/>
    <n v="87412"/>
    <n v="1"/>
    <s v="Indonesia"/>
    <s v="KMT-KJT"/>
    <x v="0"/>
  </r>
  <r>
    <s v="CLICTRUCK-043081"/>
    <s v="export"/>
    <x v="2"/>
    <x v="0"/>
    <n v="1775000"/>
    <n v="16650"/>
    <d v="2023-01-11T00:00:00"/>
    <s v="PAID"/>
    <x v="0"/>
    <n v="59107"/>
    <n v="1"/>
    <s v="Indonesia"/>
    <s v="KMT-KJT"/>
    <x v="0"/>
  </r>
  <r>
    <s v="CLICTRUCK-043082"/>
    <s v="export"/>
    <x v="2"/>
    <x v="0"/>
    <n v="2625000"/>
    <n v="16650"/>
    <d v="2023-01-11T00:00:00"/>
    <s v="PAID"/>
    <x v="0"/>
    <n v="87412"/>
    <n v="1"/>
    <s v="Indonesia"/>
    <s v="KMT-KJT"/>
    <x v="0"/>
  </r>
  <r>
    <s v="CLICTRUCK-043083"/>
    <s v="export"/>
    <x v="2"/>
    <x v="0"/>
    <n v="3250000"/>
    <n v="16650"/>
    <d v="2023-01-11T00:00:00"/>
    <s v="PAID"/>
    <x v="0"/>
    <n v="108225"/>
    <n v="1"/>
    <s v="Indonesia"/>
    <s v="KMT-KJT"/>
    <x v="0"/>
  </r>
  <r>
    <s v="CLICTRUCK-043084"/>
    <s v="import"/>
    <x v="2"/>
    <x v="0"/>
    <n v="1225000"/>
    <n v="16650"/>
    <d v="2023-01-11T00:00:00"/>
    <s v="PAID"/>
    <x v="0"/>
    <n v="40792"/>
    <n v="1"/>
    <s v="Indonesia"/>
    <s v="KMT-KJT"/>
    <x v="0"/>
  </r>
  <r>
    <s v="CLICTRUCK-043085"/>
    <s v="import"/>
    <x v="2"/>
    <x v="0"/>
    <n v="2625000"/>
    <n v="16650"/>
    <d v="2023-01-11T00:00:00"/>
    <s v="PAID"/>
    <x v="0"/>
    <n v="87412"/>
    <n v="1"/>
    <s v="Indonesia"/>
    <s v="KMT-KJT"/>
    <x v="0"/>
  </r>
  <r>
    <s v="CLICTRUCK-043092"/>
    <s v="import"/>
    <x v="3"/>
    <x v="1"/>
    <n v="34830473"/>
    <n v="99900"/>
    <d v="2023-01-18T00:00:00"/>
    <s v="PAID"/>
    <x v="1"/>
    <n v="773235"/>
    <n v="5"/>
    <s v="Indonesia"/>
    <s v="ESA - SASA"/>
    <x v="0"/>
  </r>
  <r>
    <s v="CLICTRUCK-043093"/>
    <s v="import"/>
    <x v="3"/>
    <x v="1"/>
    <n v="5460000"/>
    <n v="259740"/>
    <d v="2023-01-10T00:00:00"/>
    <s v="PAID"/>
    <x v="1"/>
    <n v="121212"/>
    <n v="13"/>
    <s v="Indonesia"/>
    <s v="ESA - SASA"/>
    <x v="0"/>
  </r>
  <r>
    <s v="CLICTRUCK-043094"/>
    <s v="export"/>
    <x v="3"/>
    <x v="0"/>
    <n v="1000000"/>
    <n v="16650"/>
    <d v="2023-01-11T00:00:00"/>
    <s v="PAID"/>
    <x v="0"/>
    <n v="33300"/>
    <n v="1"/>
    <s v="Indonesia"/>
    <s v="KMT-KJT"/>
    <x v="0"/>
  </r>
  <r>
    <s v="CLICTRUCK-043095"/>
    <s v="export"/>
    <x v="3"/>
    <x v="0"/>
    <n v="2625000"/>
    <n v="16650"/>
    <d v="2023-01-11T00:00:00"/>
    <s v="PAID"/>
    <x v="0"/>
    <n v="87412"/>
    <n v="1"/>
    <s v="Indonesia"/>
    <s v="KMT-KJT"/>
    <x v="0"/>
  </r>
  <r>
    <s v="CLICTRUCK-043096"/>
    <s v="export"/>
    <x v="3"/>
    <x v="0"/>
    <n v="2125000"/>
    <n v="16650"/>
    <d v="2023-01-11T00:00:00"/>
    <s v="PAID"/>
    <x v="0"/>
    <n v="70762"/>
    <n v="1"/>
    <s v="Indonesia"/>
    <s v="KMT-KJT"/>
    <x v="0"/>
  </r>
  <r>
    <s v="CLICTRUCK-043097"/>
    <s v="export"/>
    <x v="3"/>
    <x v="0"/>
    <n v="3250000"/>
    <n v="16650"/>
    <d v="2023-01-11T00:00:00"/>
    <s v="PAID"/>
    <x v="0"/>
    <n v="108225"/>
    <n v="1"/>
    <s v="Indonesia"/>
    <s v="KMT-KJT"/>
    <x v="0"/>
  </r>
  <r>
    <s v="CLICTRUCK-043098"/>
    <s v="export"/>
    <x v="3"/>
    <x v="0"/>
    <n v="3250000"/>
    <n v="16650"/>
    <d v="2023-01-11T00:00:00"/>
    <s v="PAID"/>
    <x v="0"/>
    <n v="108225"/>
    <n v="1"/>
    <s v="Indonesia"/>
    <s v="KMT-KJT"/>
    <x v="0"/>
  </r>
  <r>
    <s v="CLICTRUCK-043099"/>
    <s v="export"/>
    <x v="3"/>
    <x v="0"/>
    <n v="2525000"/>
    <n v="16650"/>
    <d v="2023-01-11T00:00:00"/>
    <s v="PAID"/>
    <x v="0"/>
    <n v="84082"/>
    <n v="1"/>
    <s v="Indonesia"/>
    <s v="KMT-KJT"/>
    <x v="0"/>
  </r>
  <r>
    <s v="CLICTRUCK-043100"/>
    <s v="export"/>
    <x v="3"/>
    <x v="0"/>
    <n v="1450000"/>
    <n v="16650"/>
    <d v="2023-01-11T00:00:00"/>
    <s v="PAID"/>
    <x v="0"/>
    <n v="48285"/>
    <n v="1"/>
    <s v="Indonesia"/>
    <s v="KMT-KJT"/>
    <x v="0"/>
  </r>
  <r>
    <s v="CLICTRUCK-043101"/>
    <s v="export"/>
    <x v="3"/>
    <x v="0"/>
    <n v="2787000"/>
    <n v="16650"/>
    <d v="2023-01-11T00:00:00"/>
    <s v="PAID"/>
    <x v="0"/>
    <n v="92807"/>
    <n v="1"/>
    <s v="Indonesia"/>
    <s v="KMT-KJT"/>
    <x v="0"/>
  </r>
  <r>
    <s v="CLICTRUCK-043102"/>
    <s v="export"/>
    <x v="3"/>
    <x v="0"/>
    <n v="1825000"/>
    <n v="16650"/>
    <d v="2023-01-11T00:00:00"/>
    <s v="PAID"/>
    <x v="0"/>
    <n v="60772"/>
    <n v="1"/>
    <s v="Indonesia"/>
    <s v="KMT-KJT"/>
    <x v="0"/>
  </r>
  <r>
    <s v="CLICTRUCK-043103"/>
    <s v="export"/>
    <x v="3"/>
    <x v="0"/>
    <n v="2250000"/>
    <n v="16650"/>
    <d v="2023-01-11T00:00:00"/>
    <s v="PAID"/>
    <x v="0"/>
    <n v="74925"/>
    <n v="1"/>
    <s v="Indonesia"/>
    <s v="KMT-KJT"/>
    <x v="0"/>
  </r>
  <r>
    <s v="CLICTRUCK-043104"/>
    <s v="import"/>
    <x v="4"/>
    <x v="1"/>
    <n v="8987250"/>
    <n v="259740"/>
    <d v="2023-01-10T00:00:00"/>
    <s v="PAID"/>
    <x v="1"/>
    <n v="199516"/>
    <n v="13"/>
    <s v="Indonesia"/>
    <s v="ESA - SASA"/>
    <x v="0"/>
  </r>
  <r>
    <s v="CLICTRUCK-043161"/>
    <s v="export"/>
    <x v="5"/>
    <x v="0"/>
    <n v="2625000"/>
    <n v="16650"/>
    <d v="2023-01-11T00:00:00"/>
    <s v="PAID"/>
    <x v="0"/>
    <n v="87412"/>
    <n v="1"/>
    <s v="Indonesia"/>
    <s v="KMT-KJT"/>
    <x v="0"/>
  </r>
  <r>
    <s v="CLICTRUCK-043162"/>
    <s v="export"/>
    <x v="5"/>
    <x v="0"/>
    <n v="2625000"/>
    <n v="16650"/>
    <d v="2023-01-11T00:00:00"/>
    <s v="PAID"/>
    <x v="0"/>
    <n v="87412"/>
    <n v="1"/>
    <s v="Indonesia"/>
    <s v="KMT-KJT"/>
    <x v="0"/>
  </r>
  <r>
    <s v="CLICTRUCK-043163"/>
    <s v="export"/>
    <x v="5"/>
    <x v="0"/>
    <n v="2625000"/>
    <n v="16650"/>
    <d v="2023-01-11T00:00:00"/>
    <s v="PAID"/>
    <x v="0"/>
    <n v="87412"/>
    <n v="1"/>
    <s v="Indonesia"/>
    <s v="KMT-KJT"/>
    <x v="0"/>
  </r>
  <r>
    <s v="CLICTRUCK-043164"/>
    <s v="export"/>
    <x v="5"/>
    <x v="0"/>
    <n v="2900000"/>
    <n v="16650"/>
    <d v="2023-01-11T00:00:00"/>
    <s v="PAID"/>
    <x v="0"/>
    <n v="96570"/>
    <n v="1"/>
    <s v="Indonesia"/>
    <s v="KMT-KJT"/>
    <x v="0"/>
  </r>
  <r>
    <s v="CLICTRUCK-043165"/>
    <s v="export"/>
    <x v="5"/>
    <x v="0"/>
    <n v="2900000"/>
    <n v="16650"/>
    <d v="2023-01-11T00:00:00"/>
    <s v="PAID"/>
    <x v="0"/>
    <n v="96570"/>
    <n v="1"/>
    <s v="Indonesia"/>
    <s v="KMT-KJT"/>
    <x v="0"/>
  </r>
  <r>
    <s v="CLICTRUCK-043166"/>
    <s v="export"/>
    <x v="5"/>
    <x v="0"/>
    <n v="2900000"/>
    <n v="16650"/>
    <d v="2023-01-17T00:00:00"/>
    <s v="PAID"/>
    <x v="0"/>
    <n v="96570"/>
    <n v="1"/>
    <s v="Indonesia"/>
    <s v="KMT-KJT"/>
    <x v="0"/>
  </r>
  <r>
    <s v="CLICTRUCK-043167"/>
    <s v="export"/>
    <x v="5"/>
    <x v="0"/>
    <n v="2900000"/>
    <n v="16650"/>
    <d v="2023-01-17T00:00:00"/>
    <s v="PAID"/>
    <x v="0"/>
    <n v="96570"/>
    <n v="1"/>
    <s v="Indonesia"/>
    <s v="KMT-KJT"/>
    <x v="0"/>
  </r>
  <r>
    <s v="CLICTRUCK-043168"/>
    <s v="export"/>
    <x v="5"/>
    <x v="0"/>
    <n v="1450000"/>
    <n v="16650"/>
    <d v="2023-01-18T00:00:00"/>
    <s v="PAID"/>
    <x v="0"/>
    <n v="48285"/>
    <n v="1"/>
    <s v="Indonesia"/>
    <s v="KMT-KJT"/>
    <x v="0"/>
  </r>
  <r>
    <s v="CLICTRUCK-043169"/>
    <s v="import"/>
    <x v="5"/>
    <x v="0"/>
    <n v="1175000"/>
    <n v="16650"/>
    <d v="2023-01-18T00:00:00"/>
    <s v="PAID"/>
    <x v="0"/>
    <n v="39127"/>
    <n v="1"/>
    <s v="Indonesia"/>
    <s v="KMT-KJT"/>
    <x v="0"/>
  </r>
  <r>
    <s v="CLICTRUCK-043174"/>
    <s v="import"/>
    <x v="5"/>
    <x v="2"/>
    <n v="1800000"/>
    <n v="27750"/>
    <d v="2023-01-12T00:00:00"/>
    <s v="PAID"/>
    <x v="2"/>
    <n v="39960"/>
    <n v="1"/>
    <s v="Indonesia"/>
    <s v="MAS-KAS"/>
    <x v="0"/>
  </r>
  <r>
    <s v="CLICTRUCK-043175"/>
    <s v="import"/>
    <x v="6"/>
    <x v="1"/>
    <n v="8420367"/>
    <n v="159840"/>
    <d v="2023-01-11T00:00:00"/>
    <s v="PAID"/>
    <x v="1"/>
    <n v="186931"/>
    <n v="8"/>
    <s v="Indonesia"/>
    <s v="ESA - SASA"/>
    <x v="0"/>
  </r>
  <r>
    <s v="CLICTRUCK-043179"/>
    <s v="import"/>
    <x v="7"/>
    <x v="1"/>
    <n v="26498677"/>
    <n v="299700"/>
    <d v="2023-01-12T00:00:00"/>
    <s v="PAID"/>
    <x v="1"/>
    <n v="588270"/>
    <n v="15"/>
    <s v="Indonesia"/>
    <s v="ESA - SASA"/>
    <x v="0"/>
  </r>
  <r>
    <s v="CLICTRUCK-043180"/>
    <s v="export"/>
    <x v="7"/>
    <x v="3"/>
    <n v="2000000"/>
    <n v="27750"/>
    <d v="2023-01-13T00:00:00"/>
    <s v="UNPAID"/>
    <x v="2"/>
    <n v="44400"/>
    <n v="1"/>
    <s v="Indonesia"/>
    <s v="DLS-KAS"/>
    <x v="0"/>
  </r>
  <r>
    <s v="CLICTRUCK-043181"/>
    <s v="export"/>
    <x v="7"/>
    <x v="0"/>
    <n v="2625000"/>
    <n v="16650"/>
    <d v="2023-01-18T00:00:00"/>
    <s v="PAID"/>
    <x v="0"/>
    <n v="87412"/>
    <n v="1"/>
    <s v="Indonesia"/>
    <s v="KMT-KJT"/>
    <x v="0"/>
  </r>
  <r>
    <s v="CLICTRUCK-043182"/>
    <s v="export"/>
    <x v="7"/>
    <x v="0"/>
    <n v="2625000"/>
    <n v="16650"/>
    <d v="2023-01-18T00:00:00"/>
    <s v="PAID"/>
    <x v="0"/>
    <n v="87412"/>
    <n v="1"/>
    <s v="Indonesia"/>
    <s v="KMT-KJT"/>
    <x v="0"/>
  </r>
  <r>
    <s v="CLICTRUCK-043183"/>
    <s v="export"/>
    <x v="7"/>
    <x v="0"/>
    <n v="4125000"/>
    <n v="16650"/>
    <d v="2023-01-18T00:00:00"/>
    <s v="PAID"/>
    <x v="0"/>
    <n v="137362"/>
    <n v="1"/>
    <s v="Indonesia"/>
    <s v="KMT-KJT"/>
    <x v="0"/>
  </r>
  <r>
    <s v="CLICTRUCK-043184"/>
    <s v="export"/>
    <x v="7"/>
    <x v="3"/>
    <n v="2000000"/>
    <n v="27750"/>
    <d v="2023-01-13T00:00:00"/>
    <s v="UNPAID"/>
    <x v="2"/>
    <n v="44400"/>
    <n v="1"/>
    <s v="Indonesia"/>
    <s v="DLS-KAS"/>
    <x v="0"/>
  </r>
  <r>
    <s v="CLICTRUCK-043185"/>
    <s v="export"/>
    <x v="7"/>
    <x v="0"/>
    <n v="2900000"/>
    <n v="16650"/>
    <d v="2023-01-18T00:00:00"/>
    <s v="PAID"/>
    <x v="0"/>
    <n v="96570"/>
    <n v="1"/>
    <s v="Indonesia"/>
    <s v="KMT-KJT"/>
    <x v="0"/>
  </r>
  <r>
    <s v="CLICTRUCK-043186"/>
    <s v="export"/>
    <x v="7"/>
    <x v="0"/>
    <n v="2900000"/>
    <n v="16650"/>
    <d v="2023-01-18T00:00:00"/>
    <s v="PAID"/>
    <x v="0"/>
    <n v="96570"/>
    <n v="1"/>
    <s v="Indonesia"/>
    <s v="KMT-KJT"/>
    <x v="0"/>
  </r>
  <r>
    <s v="CLICTRUCK-043187"/>
    <s v="export"/>
    <x v="7"/>
    <x v="3"/>
    <n v="2000000"/>
    <n v="27750"/>
    <d v="2023-01-13T00:00:00"/>
    <s v="UNPAID"/>
    <x v="2"/>
    <n v="44400"/>
    <n v="1"/>
    <s v="Indonesia"/>
    <s v="DLS-KAS"/>
    <x v="0"/>
  </r>
  <r>
    <s v="CLICTRUCK-043188"/>
    <s v="export"/>
    <x v="7"/>
    <x v="0"/>
    <n v="2900000"/>
    <n v="16650"/>
    <d v="2023-01-18T00:00:00"/>
    <s v="PAID"/>
    <x v="0"/>
    <n v="96570"/>
    <n v="1"/>
    <s v="Indonesia"/>
    <s v="KMT-KJT"/>
    <x v="0"/>
  </r>
  <r>
    <s v="CLICTRUCK-043189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190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191"/>
    <s v="export"/>
    <x v="8"/>
    <x v="3"/>
    <n v="2000000"/>
    <n v="27750"/>
    <d v="2023-01-13T00:00:00"/>
    <s v="UNPAID"/>
    <x v="2"/>
    <n v="44400"/>
    <n v="1"/>
    <s v="Indonesia"/>
    <s v="DLS-KAS"/>
    <x v="0"/>
  </r>
  <r>
    <s v="CLICTRUCK-043192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193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194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195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196"/>
    <s v="export"/>
    <x v="8"/>
    <x v="0"/>
    <n v="4200000"/>
    <n v="16650"/>
    <d v="2023-02-15T00:00:00"/>
    <s v="PAID"/>
    <x v="0"/>
    <n v="139860"/>
    <n v="1"/>
    <s v="Indonesia"/>
    <s v="KMT-KJT"/>
    <x v="0"/>
  </r>
  <r>
    <s v="CLICTRUCK-043197"/>
    <s v="export"/>
    <x v="8"/>
    <x v="3"/>
    <n v="2000000"/>
    <n v="27750"/>
    <d v="2023-01-17T00:00:00"/>
    <s v="UNPAID"/>
    <x v="2"/>
    <n v="44400"/>
    <n v="1"/>
    <s v="Indonesia"/>
    <s v="DLS-KAS"/>
    <x v="0"/>
  </r>
  <r>
    <s v="CLICTRUCK-043198"/>
    <s v="export"/>
    <x v="8"/>
    <x v="0"/>
    <n v="4200000"/>
    <n v="16650"/>
    <d v="2023-02-15T00:00:00"/>
    <s v="PAID"/>
    <x v="0"/>
    <n v="139860"/>
    <n v="1"/>
    <s v="Indonesia"/>
    <s v="KMT-KJT"/>
    <x v="0"/>
  </r>
  <r>
    <s v="CLICTRUCK-043199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200"/>
    <s v="export"/>
    <x v="8"/>
    <x v="3"/>
    <n v="2000000"/>
    <n v="27750"/>
    <d v="2023-01-17T00:00:00"/>
    <s v="UNPAID"/>
    <x v="2"/>
    <n v="44400"/>
    <n v="1"/>
    <s v="Indonesia"/>
    <s v="DLS-KAS"/>
    <x v="0"/>
  </r>
  <r>
    <s v="CLICTRUCK-043201"/>
    <s v="export"/>
    <x v="8"/>
    <x v="3"/>
    <n v="2000000"/>
    <n v="27750"/>
    <d v="2023-01-17T00:00:00"/>
    <s v="UNPAID"/>
    <x v="2"/>
    <n v="44400"/>
    <n v="1"/>
    <s v="Indonesia"/>
    <s v="DLS-KAS"/>
    <x v="0"/>
  </r>
  <r>
    <s v="CLICTRUCK-043202"/>
    <s v="export"/>
    <x v="8"/>
    <x v="3"/>
    <n v="2000000"/>
    <n v="27750"/>
    <d v="2023-01-17T00:00:00"/>
    <s v="UNPAID"/>
    <x v="2"/>
    <n v="44400"/>
    <n v="1"/>
    <s v="Indonesia"/>
    <s v="DLS-KAS"/>
    <x v="0"/>
  </r>
  <r>
    <s v="CLICTRUCK-043203"/>
    <s v="export"/>
    <x v="8"/>
    <x v="0"/>
    <n v="2625000"/>
    <n v="16650"/>
    <d v="2023-01-18T00:00:00"/>
    <s v="PAID"/>
    <x v="0"/>
    <n v="87412"/>
    <n v="1"/>
    <s v="Indonesia"/>
    <s v="KMT-KJT"/>
    <x v="0"/>
  </r>
  <r>
    <s v="CLICTRUCK-043204"/>
    <s v="import"/>
    <x v="8"/>
    <x v="4"/>
    <n v="16000000"/>
    <n v="532800"/>
    <d v="2023-01-13T00:00:00"/>
    <s v="PAID"/>
    <x v="3"/>
    <m/>
    <n v="10"/>
    <s v="Indonesia"/>
    <s v="CJM-BMS"/>
    <x v="0"/>
  </r>
  <r>
    <s v="CLICTRUCK-043205"/>
    <s v="export"/>
    <x v="8"/>
    <x v="0"/>
    <n v="2625000"/>
    <n v="16650"/>
    <d v="2023-01-18T00:00:00"/>
    <s v="PAID"/>
    <x v="0"/>
    <n v="87412"/>
    <n v="1"/>
    <s v="Indonesia"/>
    <s v="KMT-KJT"/>
    <x v="0"/>
  </r>
  <r>
    <s v="CLICTRUCK-043206"/>
    <s v="export"/>
    <x v="8"/>
    <x v="3"/>
    <n v="6000000"/>
    <n v="83250"/>
    <d v="2023-01-13T00:00:00"/>
    <s v="UNPAID"/>
    <x v="2"/>
    <n v="133200"/>
    <n v="3"/>
    <s v="Indonesia"/>
    <s v="DLS-KAS"/>
    <x v="0"/>
  </r>
  <r>
    <s v="CLICTRUCK-043207"/>
    <s v="export"/>
    <x v="8"/>
    <x v="0"/>
    <n v="2575000"/>
    <n v="16650"/>
    <d v="2023-01-18T00:00:00"/>
    <s v="PAID"/>
    <x v="0"/>
    <n v="85747"/>
    <n v="1"/>
    <s v="Indonesia"/>
    <s v="KMT-KJT"/>
    <x v="0"/>
  </r>
  <r>
    <s v="CLICTRUCK-043208"/>
    <s v="import"/>
    <x v="8"/>
    <x v="4"/>
    <n v="16000000"/>
    <n v="532800"/>
    <d v="2023-01-13T00:00:00"/>
    <s v="PAID"/>
    <x v="3"/>
    <m/>
    <n v="10"/>
    <s v="Indonesia"/>
    <s v="CJM-BMS"/>
    <x v="0"/>
  </r>
  <r>
    <s v="CLICTRUCK-043209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210"/>
    <s v="import"/>
    <x v="8"/>
    <x v="4"/>
    <n v="3200000"/>
    <n v="106560"/>
    <d v="2023-01-13T00:00:00"/>
    <s v="PAID"/>
    <x v="3"/>
    <m/>
    <n v="2"/>
    <s v="Indonesia"/>
    <s v="CJM-BMS"/>
    <x v="0"/>
  </r>
  <r>
    <s v="CLICTRUCK-043211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212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213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214"/>
    <s v="import"/>
    <x v="8"/>
    <x v="4"/>
    <n v="16000000"/>
    <n v="532800"/>
    <d v="2023-01-13T00:00:00"/>
    <s v="PAID"/>
    <x v="3"/>
    <m/>
    <n v="10"/>
    <s v="Indonesia"/>
    <s v="CJM-BMS"/>
    <x v="0"/>
  </r>
  <r>
    <s v="CLICTRUCK-043215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216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217"/>
    <s v="export"/>
    <x v="8"/>
    <x v="0"/>
    <n v="2900000"/>
    <n v="16650"/>
    <d v="2023-01-18T00:00:00"/>
    <s v="PAID"/>
    <x v="0"/>
    <n v="96570"/>
    <n v="1"/>
    <s v="Indonesia"/>
    <s v="KMT-KJT"/>
    <x v="0"/>
  </r>
  <r>
    <s v="CLICTRUCK-043218"/>
    <s v="import"/>
    <x v="8"/>
    <x v="4"/>
    <n v="16000000"/>
    <n v="532800"/>
    <d v="2023-01-13T00:00:00"/>
    <s v="PAID"/>
    <x v="3"/>
    <m/>
    <n v="10"/>
    <s v="Indonesia"/>
    <s v="CJM-BMS"/>
    <x v="0"/>
  </r>
  <r>
    <s v="CLICTRUCK-043219"/>
    <s v="export"/>
    <x v="8"/>
    <x v="0"/>
    <n v="2900000"/>
    <n v="16650"/>
    <d v="2023-01-25T00:00:00"/>
    <s v="PAID"/>
    <x v="0"/>
    <n v="96570"/>
    <n v="1"/>
    <s v="Indonesia"/>
    <s v="KMT-KJT"/>
    <x v="0"/>
  </r>
  <r>
    <s v="CLICTRUCK-043220"/>
    <s v="export"/>
    <x v="8"/>
    <x v="0"/>
    <n v="2900000"/>
    <n v="16650"/>
    <d v="2023-01-25T00:00:00"/>
    <s v="PAID"/>
    <x v="0"/>
    <n v="96570"/>
    <n v="1"/>
    <s v="Indonesia"/>
    <s v="KMT-KJT"/>
    <x v="0"/>
  </r>
  <r>
    <s v="CLICTRUCK-043221"/>
    <s v="import"/>
    <x v="8"/>
    <x v="4"/>
    <n v="8000000"/>
    <n v="266400"/>
    <d v="2023-01-13T00:00:00"/>
    <s v="PAID"/>
    <x v="3"/>
    <m/>
    <n v="5"/>
    <s v="Indonesia"/>
    <s v="CJM-BMS"/>
    <x v="0"/>
  </r>
  <r>
    <s v="CLICTRUCK-043222"/>
    <s v="export"/>
    <x v="8"/>
    <x v="0"/>
    <n v="2525000"/>
    <n v="16650"/>
    <d v="2023-01-25T00:00:00"/>
    <s v="PAID"/>
    <x v="0"/>
    <n v="84082"/>
    <n v="1"/>
    <s v="Indonesia"/>
    <s v="KMT-KJT"/>
    <x v="0"/>
  </r>
  <r>
    <s v="CLICTRUCK-043223"/>
    <s v="export"/>
    <x v="8"/>
    <x v="0"/>
    <n v="1950000"/>
    <n v="16650"/>
    <d v="2023-01-25T00:00:00"/>
    <s v="PAID"/>
    <x v="0"/>
    <n v="64935"/>
    <n v="1"/>
    <s v="Indonesia"/>
    <s v="KMT-KJT"/>
    <x v="0"/>
  </r>
  <r>
    <s v="CLICTRUCK-043224"/>
    <s v="export"/>
    <x v="8"/>
    <x v="0"/>
    <n v="3125000"/>
    <n v="16650"/>
    <d v="2023-01-25T00:00:00"/>
    <s v="PAID"/>
    <x v="0"/>
    <n v="104062"/>
    <n v="1"/>
    <s v="Indonesia"/>
    <s v="KMT-KJT"/>
    <x v="0"/>
  </r>
  <r>
    <s v="CLICTRUCK-043225"/>
    <s v="export"/>
    <x v="8"/>
    <x v="0"/>
    <n v="2525000"/>
    <n v="16650"/>
    <d v="2023-01-25T00:00:00"/>
    <s v="PAID"/>
    <x v="0"/>
    <n v="84082"/>
    <n v="1"/>
    <s v="Indonesia"/>
    <s v="KMT-KJT"/>
    <x v="0"/>
  </r>
  <r>
    <s v="CLICTRUCK-043226"/>
    <s v="export"/>
    <x v="8"/>
    <x v="0"/>
    <n v="1000000"/>
    <n v="16650"/>
    <d v="2023-01-25T00:00:00"/>
    <s v="PAID"/>
    <x v="0"/>
    <n v="33300"/>
    <n v="1"/>
    <s v="Indonesia"/>
    <s v="KMT-KJT"/>
    <x v="0"/>
  </r>
  <r>
    <s v="CLICTRUCK-043227"/>
    <s v="import"/>
    <x v="8"/>
    <x v="1"/>
    <n v="1740500"/>
    <n v="19980"/>
    <d v="2023-01-12T00:00:00"/>
    <s v="PAID"/>
    <x v="1"/>
    <n v="38639"/>
    <n v="1"/>
    <s v="Indonesia"/>
    <s v="ESA - SASA"/>
    <x v="0"/>
  </r>
  <r>
    <s v="CLICTRUCK-043228"/>
    <s v="import"/>
    <x v="8"/>
    <x v="1"/>
    <n v="31358019"/>
    <n v="319680"/>
    <d v="2023-01-13T00:00:00"/>
    <s v="PAID"/>
    <x v="1"/>
    <n v="696147"/>
    <n v="16"/>
    <s v="Indonesia"/>
    <s v="ESA - SASA"/>
    <x v="0"/>
  </r>
  <r>
    <s v="CLICTRUCK-043230"/>
    <s v="export"/>
    <x v="9"/>
    <x v="5"/>
    <n v="1176000"/>
    <n v="22200"/>
    <d v="2023-01-14T00:00:00"/>
    <s v="PAID"/>
    <x v="4"/>
    <m/>
    <n v="1"/>
    <s v="Indonesia"/>
    <s v="GLT-Elemen"/>
    <x v="0"/>
  </r>
  <r>
    <s v="CLICTRUCK-043231"/>
    <s v="export"/>
    <x v="9"/>
    <x v="5"/>
    <n v="7644000"/>
    <n v="133200"/>
    <d v="2023-01-14T00:00:00"/>
    <s v="PAID"/>
    <x v="4"/>
    <m/>
    <n v="6"/>
    <s v="Indonesia"/>
    <s v="GLT-Elemen"/>
    <x v="0"/>
  </r>
  <r>
    <s v="CLICTRUCK-043233"/>
    <s v="export"/>
    <x v="9"/>
    <x v="5"/>
    <n v="12642000"/>
    <n v="222000"/>
    <d v="2023-01-14T00:00:00"/>
    <s v="PAID"/>
    <x v="4"/>
    <m/>
    <n v="10"/>
    <s v="Indonesia"/>
    <s v="GLT-Elemen"/>
    <x v="0"/>
  </r>
  <r>
    <s v="CLICTRUCK-043235"/>
    <s v="export"/>
    <x v="9"/>
    <x v="5"/>
    <n v="16072000"/>
    <n v="288600"/>
    <d v="2023-01-14T00:00:00"/>
    <s v="PAID"/>
    <x v="4"/>
    <m/>
    <n v="13"/>
    <s v="Indonesia"/>
    <s v="GLT-Elemen"/>
    <x v="0"/>
  </r>
  <r>
    <s v="CLICTRUCK-043236"/>
    <s v="export"/>
    <x v="9"/>
    <x v="3"/>
    <n v="2000000"/>
    <n v="27750"/>
    <d v="2023-01-17T00:00:00"/>
    <s v="UNPAID"/>
    <x v="2"/>
    <n v="44400"/>
    <n v="1"/>
    <s v="Indonesia"/>
    <s v="DLS-KAS"/>
    <x v="0"/>
  </r>
  <r>
    <s v="CLICTRUCK-043237"/>
    <s v="export"/>
    <x v="9"/>
    <x v="3"/>
    <n v="2000000"/>
    <n v="27750"/>
    <d v="2023-01-17T00:00:00"/>
    <s v="UNPAID"/>
    <x v="2"/>
    <n v="44400"/>
    <n v="1"/>
    <s v="Indonesia"/>
    <s v="DLS-KAS"/>
    <x v="0"/>
  </r>
  <r>
    <s v="CLICTRUCK-043238"/>
    <s v="import"/>
    <x v="9"/>
    <x v="1"/>
    <n v="25161500"/>
    <n v="279720"/>
    <d v="2023-01-18T00:00:00"/>
    <s v="PAID"/>
    <x v="1"/>
    <n v="558585"/>
    <n v="14"/>
    <s v="Indonesia"/>
    <s v="ESA - SASA"/>
    <x v="0"/>
  </r>
  <r>
    <s v="CLICTRUCK-043239"/>
    <s v="export"/>
    <x v="9"/>
    <x v="5"/>
    <n v="3626000"/>
    <n v="66600"/>
    <d v="2023-01-14T00:00:00"/>
    <s v="PAID"/>
    <x v="4"/>
    <m/>
    <n v="3"/>
    <s v="Indonesia"/>
    <s v="GLT-Elemen"/>
    <x v="0"/>
  </r>
  <r>
    <s v="CLICTRUCK-043240"/>
    <s v="export"/>
    <x v="9"/>
    <x v="5"/>
    <n v="6370000"/>
    <n v="111000"/>
    <d v="2023-01-14T00:00:00"/>
    <s v="PAID"/>
    <x v="4"/>
    <m/>
    <n v="5"/>
    <s v="Indonesia"/>
    <s v="GLT-Elemen"/>
    <x v="0"/>
  </r>
  <r>
    <s v="CLICTRUCK-043252"/>
    <s v="import"/>
    <x v="10"/>
    <x v="1"/>
    <n v="14951217"/>
    <n v="159840"/>
    <d v="2023-01-18T00:00:00"/>
    <s v="PAID"/>
    <x v="1"/>
    <n v="331916"/>
    <n v="8"/>
    <s v="Indonesia"/>
    <s v="ESA - SASA"/>
    <x v="0"/>
  </r>
  <r>
    <s v="CLICTRUCK-043263"/>
    <s v="export"/>
    <x v="10"/>
    <x v="3"/>
    <n v="2000000"/>
    <n v="27750"/>
    <d v="2023-02-10T00:00:00"/>
    <s v="UNPAID"/>
    <x v="2"/>
    <n v="44400"/>
    <n v="1"/>
    <s v="Indonesia"/>
    <s v="DLS-KAS"/>
    <x v="0"/>
  </r>
  <r>
    <s v="CLICTRUCK-043264"/>
    <s v="export"/>
    <x v="10"/>
    <x v="3"/>
    <n v="2000000"/>
    <n v="27750"/>
    <d v="2023-02-10T00:00:00"/>
    <s v="UNPAID"/>
    <x v="2"/>
    <n v="44400"/>
    <n v="1"/>
    <s v="Indonesia"/>
    <s v="DLS-KAS"/>
    <x v="0"/>
  </r>
  <r>
    <s v="CLICTRUCK-043266"/>
    <s v="export"/>
    <x v="10"/>
    <x v="3"/>
    <n v="2000000"/>
    <n v="27750"/>
    <d v="2023-02-10T00:00:00"/>
    <s v="UNPAID"/>
    <x v="2"/>
    <n v="44400"/>
    <n v="1"/>
    <s v="Indonesia"/>
    <s v="DLS-KAS"/>
    <x v="0"/>
  </r>
  <r>
    <s v="CLICTRUCK-043267"/>
    <s v="export"/>
    <x v="10"/>
    <x v="3"/>
    <n v="2000000"/>
    <n v="27750"/>
    <d v="2023-02-10T00:00:00"/>
    <s v="UNPAID"/>
    <x v="2"/>
    <n v="44400"/>
    <n v="1"/>
    <s v="Indonesia"/>
    <s v="DLS-KAS"/>
    <x v="0"/>
  </r>
  <r>
    <s v="CLICTRUCK-043268"/>
    <s v="export"/>
    <x v="10"/>
    <x v="3"/>
    <n v="2000000"/>
    <n v="27750"/>
    <d v="2023-02-13T00:00:00"/>
    <s v="UNPAID"/>
    <x v="2"/>
    <n v="44400"/>
    <n v="1"/>
    <s v="Indonesia"/>
    <s v="DLS-KAS"/>
    <x v="0"/>
  </r>
  <r>
    <s v="CLICTRUCK-043269"/>
    <s v="export"/>
    <x v="10"/>
    <x v="3"/>
    <n v="2000000"/>
    <n v="27750"/>
    <d v="2023-02-10T00:00:00"/>
    <s v="UNPAID"/>
    <x v="2"/>
    <n v="44400"/>
    <n v="1"/>
    <s v="Indonesia"/>
    <s v="DLS-KAS"/>
    <x v="0"/>
  </r>
  <r>
    <s v="CLICTRUCK-043270"/>
    <s v="export"/>
    <x v="10"/>
    <x v="3"/>
    <n v="2000000"/>
    <n v="27750"/>
    <d v="2023-02-13T00:00:00"/>
    <s v="UNPAID"/>
    <x v="2"/>
    <n v="44400"/>
    <n v="1"/>
    <s v="Indonesia"/>
    <s v="DLS-KAS"/>
    <x v="0"/>
  </r>
  <r>
    <s v="CLICTRUCK-043271"/>
    <s v="export"/>
    <x v="10"/>
    <x v="3"/>
    <n v="2000000"/>
    <n v="27750"/>
    <d v="2023-02-13T00:00:00"/>
    <s v="UNPAID"/>
    <x v="2"/>
    <n v="44400"/>
    <n v="1"/>
    <s v="Indonesia"/>
    <s v="DLS-KAS"/>
    <x v="0"/>
  </r>
  <r>
    <s v="CLICTRUCK-043322"/>
    <s v="import"/>
    <x v="11"/>
    <x v="1"/>
    <n v="2530000"/>
    <n v="19980"/>
    <d v="2023-02-24T00:00:00"/>
    <s v="PAID"/>
    <x v="1"/>
    <n v="56166"/>
    <n v="1"/>
    <s v="Indonesia"/>
    <s v="ESA - SASA"/>
    <x v="0"/>
  </r>
  <r>
    <s v="CLICTRUCK-043323"/>
    <s v="import"/>
    <x v="11"/>
    <x v="1"/>
    <n v="14290470"/>
    <n v="179820"/>
    <d v="2023-01-18T00:00:00"/>
    <s v="PAID"/>
    <x v="1"/>
    <n v="317247"/>
    <n v="9"/>
    <s v="Indonesia"/>
    <s v="ESA - SASA"/>
    <x v="0"/>
  </r>
  <r>
    <s v="CLICTRUCK-043324"/>
    <s v="import"/>
    <x v="11"/>
    <x v="1"/>
    <n v="6240000"/>
    <n v="18000"/>
    <m/>
    <s v="NEW"/>
    <x v="1"/>
    <n v="0"/>
    <n v="8"/>
    <s v="Indonesia"/>
    <s v="ESA - SASA"/>
    <x v="1"/>
  </r>
  <r>
    <s v="CLICTRUCK-043325"/>
    <s v="export"/>
    <x v="11"/>
    <x v="0"/>
    <n v="2787000"/>
    <n v="16650"/>
    <d v="2023-01-25T00:00:00"/>
    <s v="PAID"/>
    <x v="0"/>
    <n v="92807"/>
    <n v="1"/>
    <s v="Indonesia"/>
    <s v="KMT-KJT"/>
    <x v="0"/>
  </r>
  <r>
    <s v="CLICTRUCK-043326"/>
    <s v="export"/>
    <x v="11"/>
    <x v="0"/>
    <n v="2375000"/>
    <n v="16650"/>
    <d v="2023-01-25T00:00:00"/>
    <s v="PAID"/>
    <x v="0"/>
    <n v="79087"/>
    <n v="1"/>
    <s v="Indonesia"/>
    <s v="KMT-KJT"/>
    <x v="0"/>
  </r>
  <r>
    <s v="CLICTRUCK-043327"/>
    <s v="export"/>
    <x v="11"/>
    <x v="0"/>
    <n v="2525000"/>
    <n v="16650"/>
    <d v="2023-01-25T00:00:00"/>
    <s v="PAID"/>
    <x v="0"/>
    <n v="84082"/>
    <n v="1"/>
    <s v="Indonesia"/>
    <s v="KMT-KJT"/>
    <x v="0"/>
  </r>
  <r>
    <s v="CLICTRUCK-043334"/>
    <s v="import"/>
    <x v="12"/>
    <x v="1"/>
    <n v="14582000"/>
    <n v="159840"/>
    <d v="2023-01-26T00:00:00"/>
    <s v="PAID"/>
    <x v="1"/>
    <n v="323720"/>
    <n v="8"/>
    <s v="Indonesia"/>
    <s v="ESA - SASA"/>
    <x v="0"/>
  </r>
  <r>
    <s v="CLICTRUCK-043345"/>
    <s v="export"/>
    <x v="13"/>
    <x v="0"/>
    <n v="1950000"/>
    <n v="16650"/>
    <d v="2023-01-25T00:00:00"/>
    <s v="PAID"/>
    <x v="0"/>
    <n v="64935"/>
    <n v="1"/>
    <s v="Indonesia"/>
    <s v="KMT-KJT"/>
    <x v="0"/>
  </r>
  <r>
    <s v="CLICTRUCK-043346"/>
    <s v="export"/>
    <x v="13"/>
    <x v="0"/>
    <n v="3187500"/>
    <n v="16650"/>
    <d v="2023-01-25T00:00:00"/>
    <s v="PAID"/>
    <x v="0"/>
    <n v="106143"/>
    <n v="1"/>
    <s v="Indonesia"/>
    <s v="KMT-KJT"/>
    <x v="0"/>
  </r>
  <r>
    <s v="CLICTRUCK-043347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48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49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0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1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2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3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4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5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6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7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8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59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60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61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62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63"/>
    <s v="export"/>
    <x v="13"/>
    <x v="3"/>
    <n v="4000000"/>
    <n v="55500"/>
    <d v="2023-02-13T00:00:00"/>
    <s v="UNPAID"/>
    <x v="2"/>
    <n v="88800"/>
    <n v="2"/>
    <s v="Indonesia"/>
    <s v="DLS-KAS"/>
    <x v="0"/>
  </r>
  <r>
    <s v="CLICTRUCK-043364"/>
    <s v="export"/>
    <x v="13"/>
    <x v="0"/>
    <n v="2900000"/>
    <n v="16650"/>
    <d v="2023-01-25T00:00:00"/>
    <s v="PAID"/>
    <x v="0"/>
    <n v="96570"/>
    <n v="1"/>
    <s v="Indonesia"/>
    <s v="KMT-KJT"/>
    <x v="0"/>
  </r>
  <r>
    <s v="CLICTRUCK-043365"/>
    <s v="export"/>
    <x v="13"/>
    <x v="3"/>
    <n v="4000000"/>
    <n v="55500"/>
    <d v="2023-02-13T00:00:00"/>
    <s v="UNPAID"/>
    <x v="2"/>
    <n v="88800"/>
    <n v="2"/>
    <s v="Indonesia"/>
    <s v="DLS-KAS"/>
    <x v="0"/>
  </r>
  <r>
    <s v="CLICTRUCK-043370"/>
    <s v="export"/>
    <x v="14"/>
    <x v="5"/>
    <n v="17836000"/>
    <n v="310800"/>
    <d v="2023-01-22T00:00:00"/>
    <s v="PAID"/>
    <x v="4"/>
    <m/>
    <n v="14"/>
    <s v="Indonesia"/>
    <s v="GLT-Elemen"/>
    <x v="0"/>
  </r>
  <r>
    <s v="CLICTRUCK-043371"/>
    <s v="export"/>
    <x v="14"/>
    <x v="5"/>
    <n v="1273999"/>
    <n v="22200"/>
    <d v="2023-01-22T00:00:00"/>
    <s v="PAID"/>
    <x v="4"/>
    <m/>
    <n v="1"/>
    <s v="Indonesia"/>
    <s v="GLT-Elemen"/>
    <x v="0"/>
  </r>
  <r>
    <s v="CLICTRUCK-043372"/>
    <s v="export"/>
    <x v="14"/>
    <x v="3"/>
    <n v="6000000"/>
    <n v="83250"/>
    <d v="2023-02-13T00:00:00"/>
    <s v="UNPAID"/>
    <x v="2"/>
    <n v="133200"/>
    <n v="3"/>
    <s v="Indonesia"/>
    <s v="DLS-KAS"/>
    <x v="0"/>
  </r>
  <r>
    <s v="CLICTRUCK-043373"/>
    <s v="export"/>
    <x v="14"/>
    <x v="3"/>
    <n v="2000000"/>
    <n v="27750"/>
    <d v="2023-03-17T00:00:00"/>
    <s v="UNPAID"/>
    <x v="2"/>
    <n v="44400"/>
    <n v="1"/>
    <s v="Indonesia"/>
    <s v="DLS-KAS"/>
    <x v="0"/>
  </r>
  <r>
    <s v="CLICTRUCK-043374"/>
    <s v="export"/>
    <x v="14"/>
    <x v="0"/>
    <n v="2900000"/>
    <n v="16650"/>
    <d v="2023-01-25T00:00:00"/>
    <s v="PAID"/>
    <x v="0"/>
    <n v="96570"/>
    <n v="1"/>
    <s v="Indonesia"/>
    <s v="KMT-KJT"/>
    <x v="0"/>
  </r>
  <r>
    <s v="CLICTRUCK-043375"/>
    <s v="export"/>
    <x v="14"/>
    <x v="0"/>
    <n v="2900000"/>
    <n v="16650"/>
    <d v="2023-01-25T00:00:00"/>
    <s v="PAID"/>
    <x v="0"/>
    <n v="96570"/>
    <n v="1"/>
    <s v="Indonesia"/>
    <s v="KMT-KJT"/>
    <x v="0"/>
  </r>
  <r>
    <s v="CLICTRUCK-043376"/>
    <s v="export"/>
    <x v="14"/>
    <x v="0"/>
    <n v="2900000"/>
    <n v="16650"/>
    <d v="2023-01-25T00:00:00"/>
    <s v="PAID"/>
    <x v="0"/>
    <n v="96570"/>
    <n v="1"/>
    <s v="Indonesia"/>
    <s v="KMT-KJT"/>
    <x v="0"/>
  </r>
  <r>
    <s v="CLICTRUCK-043377"/>
    <s v="export"/>
    <x v="14"/>
    <x v="0"/>
    <n v="2900000"/>
    <n v="16650"/>
    <d v="2023-01-25T00:00:00"/>
    <s v="PAID"/>
    <x v="0"/>
    <n v="96570"/>
    <n v="1"/>
    <s v="Indonesia"/>
    <s v="KMT-KJT"/>
    <x v="0"/>
  </r>
  <r>
    <s v="CLICTRUCK-043378"/>
    <s v="export"/>
    <x v="14"/>
    <x v="0"/>
    <n v="2900000"/>
    <n v="16650"/>
    <d v="2023-01-25T00:00:00"/>
    <s v="PAID"/>
    <x v="0"/>
    <n v="96570"/>
    <n v="1"/>
    <s v="Indonesia"/>
    <s v="KMT-KJT"/>
    <x v="0"/>
  </r>
  <r>
    <s v="CLICTRUCK-043379"/>
    <s v="export"/>
    <x v="14"/>
    <x v="0"/>
    <n v="2900000"/>
    <n v="16650"/>
    <d v="2023-01-25T00:00:00"/>
    <s v="PAID"/>
    <x v="0"/>
    <n v="96570"/>
    <n v="1"/>
    <s v="Indonesia"/>
    <s v="KMT-KJT"/>
    <x v="0"/>
  </r>
  <r>
    <s v="CLICTRUCK-043380"/>
    <s v="export"/>
    <x v="14"/>
    <x v="0"/>
    <n v="2900000"/>
    <n v="16650"/>
    <d v="2023-01-25T00:00:00"/>
    <s v="PAID"/>
    <x v="0"/>
    <n v="96570"/>
    <n v="1"/>
    <s v="Indonesia"/>
    <s v="KMT-KJT"/>
    <x v="0"/>
  </r>
  <r>
    <s v="CLICTRUCK-043381"/>
    <s v="export"/>
    <x v="14"/>
    <x v="0"/>
    <n v="2900000"/>
    <n v="16650"/>
    <d v="2023-01-25T00:00:00"/>
    <s v="PAID"/>
    <x v="0"/>
    <n v="96570"/>
    <n v="1"/>
    <s v="Indonesia"/>
    <s v="KMT-KJT"/>
    <x v="0"/>
  </r>
  <r>
    <s v="CLICTRUCK-043382"/>
    <s v="export"/>
    <x v="14"/>
    <x v="0"/>
    <n v="2450000"/>
    <n v="16650"/>
    <d v="2023-01-26T00:00:00"/>
    <s v="PAID"/>
    <x v="0"/>
    <n v="81585"/>
    <n v="1"/>
    <s v="Indonesia"/>
    <s v="KMT-KJT"/>
    <x v="0"/>
  </r>
  <r>
    <s v="CLICTRUCK-043383"/>
    <s v="export"/>
    <x v="14"/>
    <x v="0"/>
    <n v="2625000"/>
    <n v="16650"/>
    <d v="2023-01-25T00:00:00"/>
    <s v="PAID"/>
    <x v="0"/>
    <n v="87412"/>
    <n v="1"/>
    <s v="Indonesia"/>
    <s v="KMT-KJT"/>
    <x v="0"/>
  </r>
  <r>
    <s v="CLICTRUCK-043384"/>
    <s v="export"/>
    <x v="14"/>
    <x v="0"/>
    <n v="1125000"/>
    <n v="16650"/>
    <d v="2023-01-25T00:00:00"/>
    <s v="PAID"/>
    <x v="0"/>
    <n v="37462"/>
    <n v="1"/>
    <s v="Indonesia"/>
    <s v="KMT-KJT"/>
    <x v="0"/>
  </r>
  <r>
    <s v="CLICTRUCK-043385"/>
    <s v="export"/>
    <x v="14"/>
    <x v="0"/>
    <n v="2381250"/>
    <n v="16650"/>
    <d v="2023-01-31T00:00:00"/>
    <s v="PAID"/>
    <x v="0"/>
    <n v="79295"/>
    <n v="1"/>
    <s v="Indonesia"/>
    <s v="KMT-KJT"/>
    <x v="0"/>
  </r>
  <r>
    <s v="CLICTRUCK-043386"/>
    <s v="export"/>
    <x v="14"/>
    <x v="0"/>
    <n v="2625000"/>
    <n v="16650"/>
    <d v="2023-01-31T00:00:00"/>
    <s v="PAID"/>
    <x v="0"/>
    <n v="87412"/>
    <n v="1"/>
    <s v="Indonesia"/>
    <s v="KMT-KJT"/>
    <x v="0"/>
  </r>
  <r>
    <s v="CLICTRUCK-043387"/>
    <s v="export"/>
    <x v="14"/>
    <x v="0"/>
    <n v="2520000"/>
    <n v="16650"/>
    <d v="2023-01-31T00:00:00"/>
    <s v="PAID"/>
    <x v="0"/>
    <n v="83916"/>
    <n v="1"/>
    <s v="Indonesia"/>
    <s v="KMT-KJT"/>
    <x v="0"/>
  </r>
  <r>
    <s v="CLICTRUCK-043388"/>
    <s v="export"/>
    <x v="14"/>
    <x v="0"/>
    <n v="2450000"/>
    <n v="16650"/>
    <d v="2023-01-31T00:00:00"/>
    <s v="PAID"/>
    <x v="0"/>
    <n v="81585"/>
    <n v="1"/>
    <s v="Indonesia"/>
    <s v="KMT-KJT"/>
    <x v="0"/>
  </r>
  <r>
    <s v="CLICTRUCK-043389"/>
    <s v="export"/>
    <x v="14"/>
    <x v="0"/>
    <n v="2625000"/>
    <n v="16650"/>
    <d v="2023-01-31T00:00:00"/>
    <s v="PAID"/>
    <x v="0"/>
    <n v="87412"/>
    <n v="1"/>
    <s v="Indonesia"/>
    <s v="KMT-KJT"/>
    <x v="0"/>
  </r>
  <r>
    <s v="CLICTRUCK-043390"/>
    <s v="export"/>
    <x v="14"/>
    <x v="0"/>
    <n v="1440000"/>
    <n v="16650"/>
    <d v="2023-01-31T00:00:00"/>
    <s v="PAID"/>
    <x v="0"/>
    <n v="47952"/>
    <n v="1"/>
    <s v="Indonesia"/>
    <s v="KMT-KJT"/>
    <x v="0"/>
  </r>
  <r>
    <s v="CLICTRUCK-043391"/>
    <s v="import"/>
    <x v="14"/>
    <x v="0"/>
    <n v="1225000"/>
    <n v="16650"/>
    <d v="2023-01-31T00:00:00"/>
    <s v="PAID"/>
    <x v="0"/>
    <n v="40792"/>
    <n v="1"/>
    <s v="Indonesia"/>
    <s v="KMT-KJT"/>
    <x v="0"/>
  </r>
  <r>
    <s v="CLICTRUCK-043392"/>
    <s v="import"/>
    <x v="14"/>
    <x v="0"/>
    <n v="1225000"/>
    <n v="16650"/>
    <d v="2023-02-23T00:00:00"/>
    <s v="PAID"/>
    <x v="0"/>
    <n v="40792"/>
    <n v="1"/>
    <s v="Indonesia"/>
    <s v="KMT-KJT"/>
    <x v="0"/>
  </r>
  <r>
    <s v="CLICTRUCK-043393"/>
    <s v="export"/>
    <x v="14"/>
    <x v="0"/>
    <n v="2575000"/>
    <n v="16650"/>
    <d v="2023-01-31T00:00:00"/>
    <s v="PAID"/>
    <x v="0"/>
    <n v="85747"/>
    <n v="1"/>
    <s v="Indonesia"/>
    <s v="KMT-KJT"/>
    <x v="0"/>
  </r>
  <r>
    <s v="CLICTRUCK-043394"/>
    <s v="export"/>
    <x v="14"/>
    <x v="0"/>
    <n v="2375000"/>
    <n v="16650"/>
    <d v="2023-01-31T00:00:00"/>
    <s v="PAID"/>
    <x v="0"/>
    <n v="79087"/>
    <n v="1"/>
    <s v="Indonesia"/>
    <s v="KMT-KJT"/>
    <x v="0"/>
  </r>
  <r>
    <s v="CLICTRUCK-043395"/>
    <s v="export"/>
    <x v="14"/>
    <x v="0"/>
    <n v="2625000"/>
    <n v="16650"/>
    <d v="2023-01-31T00:00:00"/>
    <s v="PAID"/>
    <x v="0"/>
    <n v="87412"/>
    <n v="1"/>
    <s v="Indonesia"/>
    <s v="KMT-KJT"/>
    <x v="0"/>
  </r>
  <r>
    <s v="CLICTRUCK-043396"/>
    <s v="export"/>
    <x v="14"/>
    <x v="0"/>
    <n v="1125000"/>
    <n v="16650"/>
    <d v="2023-01-31T00:00:00"/>
    <s v="PAID"/>
    <x v="0"/>
    <n v="37462"/>
    <n v="1"/>
    <s v="Indonesia"/>
    <s v="KMT-KJT"/>
    <x v="0"/>
  </r>
  <r>
    <s v="CLICTRUCK-043397"/>
    <s v="export"/>
    <x v="14"/>
    <x v="0"/>
    <n v="2000000"/>
    <n v="16650"/>
    <d v="2023-02-23T00:00:00"/>
    <s v="PAID"/>
    <x v="0"/>
    <n v="66600"/>
    <n v="1"/>
    <s v="Indonesia"/>
    <s v="KMT-KJT"/>
    <x v="0"/>
  </r>
  <r>
    <s v="CLICTRUCK-043398"/>
    <s v="export"/>
    <x v="14"/>
    <x v="0"/>
    <n v="3075000"/>
    <n v="16650"/>
    <d v="2023-01-31T00:00:00"/>
    <s v="PAID"/>
    <x v="0"/>
    <n v="102397"/>
    <n v="1"/>
    <s v="Indonesia"/>
    <s v="KMT-KJT"/>
    <x v="0"/>
  </r>
  <r>
    <s v="CLICTRUCK-043399"/>
    <s v="export"/>
    <x v="14"/>
    <x v="0"/>
    <n v="3125000"/>
    <n v="16650"/>
    <d v="2023-01-31T00:00:00"/>
    <s v="PAID"/>
    <x v="0"/>
    <n v="104062"/>
    <n v="1"/>
    <s v="Indonesia"/>
    <s v="KMT-KJT"/>
    <x v="0"/>
  </r>
  <r>
    <s v="CLICTRUCK-043400"/>
    <s v="export"/>
    <x v="14"/>
    <x v="0"/>
    <n v="2776500"/>
    <n v="16650"/>
    <d v="2023-01-31T00:00:00"/>
    <s v="PAID"/>
    <x v="0"/>
    <n v="92457"/>
    <n v="1"/>
    <s v="Indonesia"/>
    <s v="KMT-KJT"/>
    <x v="0"/>
  </r>
  <r>
    <s v="CLICTRUCK-043401"/>
    <s v="export"/>
    <x v="14"/>
    <x v="0"/>
    <n v="1075000"/>
    <n v="16650"/>
    <d v="2023-01-31T00:00:00"/>
    <s v="PAID"/>
    <x v="0"/>
    <n v="35797"/>
    <n v="1"/>
    <s v="Indonesia"/>
    <s v="KMT-KJT"/>
    <x v="0"/>
  </r>
  <r>
    <s v="CLICTRUCK-043402"/>
    <s v="export"/>
    <x v="14"/>
    <x v="0"/>
    <n v="2787000"/>
    <n v="16650"/>
    <d v="2023-01-31T00:00:00"/>
    <s v="PAID"/>
    <x v="0"/>
    <n v="92807"/>
    <n v="1"/>
    <s v="Indonesia"/>
    <s v="KMT-KJT"/>
    <x v="0"/>
  </r>
  <r>
    <s v="CLICTRUCK-043403"/>
    <s v="export"/>
    <x v="14"/>
    <x v="0"/>
    <n v="2000000"/>
    <n v="16650"/>
    <d v="2023-01-31T00:00:00"/>
    <s v="PAID"/>
    <x v="0"/>
    <n v="66600"/>
    <n v="1"/>
    <s v="Indonesia"/>
    <s v="KMT-KJT"/>
    <x v="0"/>
  </r>
  <r>
    <s v="CLICTRUCK-043404"/>
    <s v="export"/>
    <x v="14"/>
    <x v="0"/>
    <n v="2325000"/>
    <n v="16650"/>
    <d v="2023-01-31T00:00:00"/>
    <s v="PAID"/>
    <x v="0"/>
    <n v="77422"/>
    <n v="1"/>
    <s v="Indonesia"/>
    <s v="KMT-KJT"/>
    <x v="0"/>
  </r>
  <r>
    <s v="CLICTRUCK-043405"/>
    <s v="export"/>
    <x v="14"/>
    <x v="0"/>
    <n v="1250000"/>
    <n v="16650"/>
    <d v="2023-01-31T00:00:00"/>
    <s v="PAID"/>
    <x v="0"/>
    <n v="41625"/>
    <n v="1"/>
    <s v="Indonesia"/>
    <s v="KMT-KJT"/>
    <x v="0"/>
  </r>
  <r>
    <s v="CLICTRUCK-043406"/>
    <s v="export"/>
    <x v="14"/>
    <x v="0"/>
    <n v="3325000"/>
    <n v="16650"/>
    <d v="2023-02-01T00:00:00"/>
    <s v="PAID"/>
    <x v="0"/>
    <n v="110722"/>
    <n v="1"/>
    <s v="Indonesia"/>
    <s v="KMT-KJT"/>
    <x v="0"/>
  </r>
  <r>
    <s v="CLICTRUCK-043407"/>
    <s v="export"/>
    <x v="14"/>
    <x v="0"/>
    <n v="2000000"/>
    <n v="16650"/>
    <d v="2023-02-01T00:00:00"/>
    <s v="PAID"/>
    <x v="0"/>
    <n v="66600"/>
    <n v="1"/>
    <s v="Indonesia"/>
    <s v="KMT-KJT"/>
    <x v="0"/>
  </r>
  <r>
    <s v="CLICTRUCK-043408"/>
    <s v="export"/>
    <x v="15"/>
    <x v="0"/>
    <n v="1075000"/>
    <n v="16650"/>
    <d v="2023-02-01T00:00:00"/>
    <s v="PAID"/>
    <x v="0"/>
    <n v="35797"/>
    <n v="1"/>
    <s v="Indonesia"/>
    <s v="KMT-KJT"/>
    <x v="0"/>
  </r>
  <r>
    <s v="CLICTRUCK-043409"/>
    <s v="export"/>
    <x v="15"/>
    <x v="0"/>
    <n v="1125000"/>
    <n v="16650"/>
    <d v="2023-02-01T00:00:00"/>
    <s v="PAID"/>
    <x v="0"/>
    <n v="37462"/>
    <n v="1"/>
    <s v="Indonesia"/>
    <s v="KMT-KJT"/>
    <x v="0"/>
  </r>
  <r>
    <s v="CLICTRUCK-043410"/>
    <s v="export"/>
    <x v="15"/>
    <x v="0"/>
    <n v="1000000"/>
    <n v="16650"/>
    <d v="2023-02-01T00:00:00"/>
    <s v="PAID"/>
    <x v="0"/>
    <n v="33300"/>
    <n v="1"/>
    <s v="Indonesia"/>
    <s v="KMT-KJT"/>
    <x v="0"/>
  </r>
  <r>
    <s v="CLICTRUCK-043411"/>
    <s v="export"/>
    <x v="15"/>
    <x v="0"/>
    <n v="2900000"/>
    <n v="16650"/>
    <d v="2023-02-01T00:00:00"/>
    <s v="PAID"/>
    <x v="0"/>
    <n v="96570"/>
    <n v="1"/>
    <s v="Indonesia"/>
    <s v="KMT-KJT"/>
    <x v="0"/>
  </r>
  <r>
    <s v="CLICTRUCK-043412"/>
    <s v="export"/>
    <x v="15"/>
    <x v="0"/>
    <n v="4325000"/>
    <n v="16650"/>
    <d v="2023-02-01T00:00:00"/>
    <s v="PAID"/>
    <x v="0"/>
    <n v="144022"/>
    <n v="1"/>
    <s v="Indonesia"/>
    <s v="KMT-KJT"/>
    <x v="0"/>
  </r>
  <r>
    <s v="CLICTRUCK-043413"/>
    <s v="export"/>
    <x v="15"/>
    <x v="0"/>
    <n v="4250000"/>
    <n v="16650"/>
    <d v="2023-02-01T00:00:00"/>
    <s v="PAID"/>
    <x v="0"/>
    <n v="141525"/>
    <n v="1"/>
    <s v="Indonesia"/>
    <s v="KMT-KJT"/>
    <x v="0"/>
  </r>
  <r>
    <s v="CLICTRUCK-043422"/>
    <s v="export"/>
    <x v="16"/>
    <x v="0"/>
    <n v="2625000"/>
    <n v="16650"/>
    <d v="2023-02-01T00:00:00"/>
    <s v="PAID"/>
    <x v="0"/>
    <n v="87412"/>
    <n v="1"/>
    <s v="Indonesia"/>
    <s v="KMT-KJT"/>
    <x v="0"/>
  </r>
  <r>
    <s v="CLICTRUCK-043423"/>
    <s v="export"/>
    <x v="16"/>
    <x v="0"/>
    <n v="2625000"/>
    <n v="16650"/>
    <d v="2023-02-01T00:00:00"/>
    <s v="PAID"/>
    <x v="0"/>
    <n v="87412"/>
    <n v="1"/>
    <s v="Indonesia"/>
    <s v="KMT-KJT"/>
    <x v="0"/>
  </r>
  <r>
    <s v="CLICTRUCK-043424"/>
    <s v="export"/>
    <x v="16"/>
    <x v="0"/>
    <n v="2625000"/>
    <n v="16650"/>
    <d v="2023-02-06T00:00:00"/>
    <s v="PAID"/>
    <x v="0"/>
    <n v="87412"/>
    <n v="1"/>
    <s v="Indonesia"/>
    <s v="KMT-KJT"/>
    <x v="0"/>
  </r>
  <r>
    <s v="CLICTRUCK-043425"/>
    <s v="export"/>
    <x v="16"/>
    <x v="0"/>
    <n v="2625000"/>
    <n v="16650"/>
    <d v="2023-02-06T00:00:00"/>
    <s v="PAID"/>
    <x v="0"/>
    <n v="87412"/>
    <n v="1"/>
    <s v="Indonesia"/>
    <s v="KMT-KJT"/>
    <x v="0"/>
  </r>
  <r>
    <s v="CLICTRUCK-043426"/>
    <s v="export"/>
    <x v="16"/>
    <x v="0"/>
    <n v="1440000"/>
    <n v="16650"/>
    <d v="2023-02-06T00:00:00"/>
    <s v="PAID"/>
    <x v="0"/>
    <n v="47952"/>
    <n v="1"/>
    <s v="Indonesia"/>
    <s v="KMT-KJT"/>
    <x v="0"/>
  </r>
  <r>
    <s v="CLICTRUCK-043446"/>
    <s v="export"/>
    <x v="17"/>
    <x v="0"/>
    <n v="1575000"/>
    <n v="16650"/>
    <d v="2023-02-06T00:00:00"/>
    <s v="PAID"/>
    <x v="0"/>
    <n v="52447"/>
    <n v="1"/>
    <s v="Indonesia"/>
    <s v="KMT-KJT"/>
    <x v="0"/>
  </r>
  <r>
    <s v="CLICTRUCK-043452"/>
    <s v="export"/>
    <x v="17"/>
    <x v="0"/>
    <n v="2625000"/>
    <n v="16650"/>
    <d v="2023-02-06T00:00:00"/>
    <s v="PAID"/>
    <x v="0"/>
    <n v="87412"/>
    <n v="1"/>
    <s v="Indonesia"/>
    <s v="KMT-KJT"/>
    <x v="0"/>
  </r>
  <r>
    <s v="CLICTRUCK-043455"/>
    <s v="export"/>
    <x v="17"/>
    <x v="0"/>
    <n v="2625000"/>
    <n v="16650"/>
    <d v="2023-02-04T00:00:00"/>
    <s v="PAID"/>
    <x v="0"/>
    <n v="87412"/>
    <n v="1"/>
    <s v="Indonesia"/>
    <s v="KMT-KJT"/>
    <x v="0"/>
  </r>
  <r>
    <s v="CLICTRUCK-043457"/>
    <s v="export"/>
    <x v="17"/>
    <x v="0"/>
    <n v="2900000"/>
    <n v="16650"/>
    <d v="2023-02-13T00:00:00"/>
    <s v="PAID"/>
    <x v="0"/>
    <n v="96570"/>
    <n v="1"/>
    <s v="Indonesia"/>
    <s v="KMT-KJT"/>
    <x v="0"/>
  </r>
  <r>
    <s v="CLICTRUCK-043458"/>
    <s v="export"/>
    <x v="17"/>
    <x v="0"/>
    <n v="2900000"/>
    <n v="16650"/>
    <d v="2023-02-04T00:00:00"/>
    <s v="PAID"/>
    <x v="0"/>
    <n v="96570"/>
    <n v="1"/>
    <s v="Indonesia"/>
    <s v="KMT-KJT"/>
    <x v="0"/>
  </r>
  <r>
    <s v="CLICTRUCK-043459"/>
    <s v="export"/>
    <x v="17"/>
    <x v="0"/>
    <n v="2900000"/>
    <n v="16650"/>
    <d v="2023-02-04T00:00:00"/>
    <s v="PAID"/>
    <x v="0"/>
    <n v="96570"/>
    <n v="1"/>
    <s v="Indonesia"/>
    <s v="KMT-KJT"/>
    <x v="0"/>
  </r>
  <r>
    <s v="CLICTRUCK-043461"/>
    <s v="export"/>
    <x v="17"/>
    <x v="0"/>
    <n v="2900000"/>
    <n v="16650"/>
    <d v="2023-02-04T00:00:00"/>
    <s v="PAID"/>
    <x v="0"/>
    <n v="96570"/>
    <n v="1"/>
    <s v="Indonesia"/>
    <s v="KMT-KJT"/>
    <x v="0"/>
  </r>
  <r>
    <s v="CLICTRUCK-043463"/>
    <s v="export"/>
    <x v="17"/>
    <x v="0"/>
    <n v="2900000"/>
    <n v="16650"/>
    <d v="2023-02-04T00:00:00"/>
    <s v="PAID"/>
    <x v="0"/>
    <n v="96570"/>
    <n v="1"/>
    <s v="Indonesia"/>
    <s v="KMT-KJT"/>
    <x v="0"/>
  </r>
  <r>
    <s v="CLICTRUCK-043467"/>
    <s v="export"/>
    <x v="17"/>
    <x v="0"/>
    <n v="2900000"/>
    <n v="16650"/>
    <d v="2023-02-04T00:00:00"/>
    <s v="PAID"/>
    <x v="0"/>
    <n v="96570"/>
    <n v="1"/>
    <s v="Indonesia"/>
    <s v="KMT-KJT"/>
    <x v="0"/>
  </r>
  <r>
    <s v="CLICTRUCK-043468"/>
    <s v="export"/>
    <x v="17"/>
    <x v="0"/>
    <n v="2900000"/>
    <n v="16650"/>
    <d v="2023-02-04T00:00:00"/>
    <s v="PAID"/>
    <x v="0"/>
    <n v="96570"/>
    <n v="1"/>
    <s v="Indonesia"/>
    <s v="KMT-KJT"/>
    <x v="0"/>
  </r>
  <r>
    <s v="CLICTRUCK-043469"/>
    <s v="export"/>
    <x v="17"/>
    <x v="0"/>
    <n v="2900000"/>
    <n v="16650"/>
    <d v="2023-02-04T00:00:00"/>
    <s v="PAID"/>
    <x v="0"/>
    <n v="96570"/>
    <n v="1"/>
    <s v="Indonesia"/>
    <s v="KMT-KJT"/>
    <x v="0"/>
  </r>
  <r>
    <s v="CLICTRUCK-043470"/>
    <s v="export"/>
    <x v="17"/>
    <x v="0"/>
    <n v="2900000"/>
    <n v="16650"/>
    <d v="2023-02-04T00:00:00"/>
    <s v="PAID"/>
    <x v="0"/>
    <n v="96570"/>
    <n v="1"/>
    <s v="Indonesia"/>
    <s v="KMT-KJT"/>
    <x v="0"/>
  </r>
  <r>
    <s v="CLICTRUCK-043475"/>
    <s v="export"/>
    <x v="17"/>
    <x v="0"/>
    <n v="1700000"/>
    <n v="16650"/>
    <d v="2023-02-04T00:00:00"/>
    <s v="PAID"/>
    <x v="0"/>
    <n v="56610"/>
    <n v="1"/>
    <s v="Indonesia"/>
    <s v="KMT-KJT"/>
    <x v="0"/>
  </r>
  <r>
    <s v="CLICTRUCK-043479"/>
    <s v="export"/>
    <x v="17"/>
    <x v="0"/>
    <n v="2450000"/>
    <n v="16650"/>
    <d v="2023-02-04T00:00:00"/>
    <s v="PAID"/>
    <x v="0"/>
    <n v="81585"/>
    <n v="1"/>
    <s v="Indonesia"/>
    <s v="KMT-KJT"/>
    <x v="0"/>
  </r>
  <r>
    <s v="CLICTRUCK-043480"/>
    <s v="import"/>
    <x v="17"/>
    <x v="0"/>
    <n v="2475000"/>
    <n v="16650"/>
    <d v="2023-02-04T00:00:00"/>
    <s v="PAID"/>
    <x v="0"/>
    <n v="82417"/>
    <n v="1"/>
    <s v="Indonesia"/>
    <s v="KMT-KJT"/>
    <x v="0"/>
  </r>
  <r>
    <s v="CLICTRUCK-043481"/>
    <s v="import"/>
    <x v="17"/>
    <x v="0"/>
    <n v="2675000"/>
    <n v="16650"/>
    <d v="2023-02-04T00:00:00"/>
    <s v="PAID"/>
    <x v="0"/>
    <n v="89077"/>
    <n v="1"/>
    <s v="Indonesia"/>
    <s v="KMT-KJT"/>
    <x v="0"/>
  </r>
  <r>
    <s v="CLICTRUCK-043510"/>
    <s v="export"/>
    <x v="17"/>
    <x v="0"/>
    <n v="2625000"/>
    <n v="16650"/>
    <d v="2023-02-04T00:00:00"/>
    <s v="PAID"/>
    <x v="0"/>
    <n v="87412"/>
    <n v="1"/>
    <s v="Indonesia"/>
    <s v="KMT-KJT"/>
    <x v="0"/>
  </r>
  <r>
    <s v="CLICTRUCK-043511"/>
    <s v="export"/>
    <x v="17"/>
    <x v="0"/>
    <n v="2575000"/>
    <n v="16650"/>
    <d v="2023-02-04T00:00:00"/>
    <s v="PAID"/>
    <x v="0"/>
    <n v="85747"/>
    <n v="1"/>
    <s v="Indonesia"/>
    <s v="KMT-KJT"/>
    <x v="0"/>
  </r>
  <r>
    <s v="CLICTRUCK-043513"/>
    <s v="export"/>
    <x v="17"/>
    <x v="0"/>
    <n v="1500000"/>
    <n v="16650"/>
    <d v="2023-02-04T00:00:00"/>
    <s v="PAID"/>
    <x v="0"/>
    <n v="49950"/>
    <n v="1"/>
    <s v="Indonesia"/>
    <s v="KMT-KJT"/>
    <x v="0"/>
  </r>
  <r>
    <s v="CLICTRUCK-043514"/>
    <s v="export"/>
    <x v="18"/>
    <x v="0"/>
    <n v="3100000"/>
    <n v="16650"/>
    <d v="2023-02-04T00:00:00"/>
    <s v="PAID"/>
    <x v="0"/>
    <n v="103230"/>
    <n v="1"/>
    <s v="Indonesia"/>
    <s v="KMT-KJT"/>
    <x v="0"/>
  </r>
  <r>
    <s v="CLICTRUCK-043517"/>
    <s v="export"/>
    <x v="18"/>
    <x v="0"/>
    <n v="2575000"/>
    <n v="16650"/>
    <d v="2023-02-08T00:00:00"/>
    <s v="PAID"/>
    <x v="0"/>
    <n v="85747"/>
    <n v="1"/>
    <s v="Indonesia"/>
    <s v="KMT-KJT"/>
    <x v="0"/>
  </r>
  <r>
    <s v="CLICTRUCK-043518"/>
    <s v="export"/>
    <x v="18"/>
    <x v="0"/>
    <n v="1875000"/>
    <n v="16650"/>
    <d v="2023-02-08T00:00:00"/>
    <s v="PAID"/>
    <x v="0"/>
    <n v="62437"/>
    <n v="1"/>
    <s v="Indonesia"/>
    <s v="KMT-KJT"/>
    <x v="0"/>
  </r>
  <r>
    <s v="CLICTRUCK-043519"/>
    <s v="export"/>
    <x v="18"/>
    <x v="0"/>
    <n v="1575000"/>
    <n v="16650"/>
    <d v="2023-02-08T00:00:00"/>
    <s v="PAID"/>
    <x v="0"/>
    <n v="52447"/>
    <n v="1"/>
    <s v="Indonesia"/>
    <s v="KMT-KJT"/>
    <x v="0"/>
  </r>
  <r>
    <s v="CLICTRUCK-043520"/>
    <s v="export"/>
    <x v="18"/>
    <x v="0"/>
    <n v="1440000"/>
    <n v="16650"/>
    <d v="2023-02-08T00:00:00"/>
    <s v="PAID"/>
    <x v="0"/>
    <n v="47952"/>
    <n v="1"/>
    <s v="Indonesia"/>
    <s v="KMT-KJT"/>
    <x v="0"/>
  </r>
  <r>
    <s v="CLICTRUCK-043524"/>
    <s v="import"/>
    <x v="18"/>
    <x v="1"/>
    <n v="30480438"/>
    <n v="319680"/>
    <d v="2023-01-26T00:00:00"/>
    <s v="PAID"/>
    <x v="1"/>
    <n v="676664"/>
    <n v="16"/>
    <s v="Indonesia"/>
    <s v="ESA - SASA"/>
    <x v="0"/>
  </r>
  <r>
    <s v="CLICTRUCK-043548"/>
    <s v="export"/>
    <x v="19"/>
    <x v="0"/>
    <n v="2900000"/>
    <n v="16650"/>
    <d v="2023-02-08T00:00:00"/>
    <s v="PAID"/>
    <x v="0"/>
    <n v="96570"/>
    <n v="1"/>
    <s v="Indonesia"/>
    <s v="KMT-KJT"/>
    <x v="0"/>
  </r>
  <r>
    <s v="CLICTRUCK-043549"/>
    <s v="export"/>
    <x v="19"/>
    <x v="0"/>
    <n v="2900000"/>
    <n v="16650"/>
    <d v="2023-02-08T00:00:00"/>
    <s v="PAID"/>
    <x v="0"/>
    <n v="96570"/>
    <n v="1"/>
    <s v="Indonesia"/>
    <s v="KMT-KJT"/>
    <x v="0"/>
  </r>
  <r>
    <s v="CLICTRUCK-043552"/>
    <s v="export"/>
    <x v="19"/>
    <x v="0"/>
    <n v="2900000"/>
    <n v="16650"/>
    <d v="2023-02-08T00:00:00"/>
    <s v="PAID"/>
    <x v="0"/>
    <n v="96570"/>
    <n v="1"/>
    <s v="Indonesia"/>
    <s v="KMT-KJT"/>
    <x v="0"/>
  </r>
  <r>
    <s v="CLICTRUCK-043553"/>
    <s v="export"/>
    <x v="19"/>
    <x v="0"/>
    <n v="2900000"/>
    <n v="16650"/>
    <d v="2023-02-08T00:00:00"/>
    <s v="PAID"/>
    <x v="0"/>
    <n v="96570"/>
    <n v="1"/>
    <s v="Indonesia"/>
    <s v="KMT-KJT"/>
    <x v="0"/>
  </r>
  <r>
    <s v="CLICTRUCK-043555"/>
    <s v="export"/>
    <x v="19"/>
    <x v="0"/>
    <n v="2900000"/>
    <n v="16650"/>
    <d v="2023-02-08T00:00:00"/>
    <s v="PAID"/>
    <x v="0"/>
    <n v="96570"/>
    <n v="1"/>
    <s v="Indonesia"/>
    <s v="KMT-KJT"/>
    <x v="0"/>
  </r>
  <r>
    <s v="CLICTRUCK-043556"/>
    <s v="export"/>
    <x v="19"/>
    <x v="0"/>
    <n v="2900000"/>
    <n v="16650"/>
    <d v="2023-02-08T00:00:00"/>
    <s v="PAID"/>
    <x v="0"/>
    <n v="96570"/>
    <n v="1"/>
    <s v="Indonesia"/>
    <s v="KMT-KJT"/>
    <x v="0"/>
  </r>
  <r>
    <s v="CLICTRUCK-043557"/>
    <s v="export"/>
    <x v="19"/>
    <x v="0"/>
    <n v="2900000"/>
    <n v="16650"/>
    <d v="2023-02-08T00:00:00"/>
    <s v="PAID"/>
    <x v="0"/>
    <n v="96570"/>
    <n v="1"/>
    <s v="Indonesia"/>
    <s v="KMT-KJT"/>
    <x v="0"/>
  </r>
  <r>
    <s v="CLICTRUCK-043558"/>
    <s v="export"/>
    <x v="19"/>
    <x v="0"/>
    <n v="2900000"/>
    <n v="16650"/>
    <d v="2023-02-08T00:00:00"/>
    <s v="PAID"/>
    <x v="0"/>
    <n v="96570"/>
    <n v="1"/>
    <s v="Indonesia"/>
    <s v="KMT-KJT"/>
    <x v="0"/>
  </r>
  <r>
    <s v="CLICTRUCK-043559"/>
    <s v="export"/>
    <x v="19"/>
    <x v="0"/>
    <n v="2900000"/>
    <n v="16650"/>
    <d v="2023-02-08T00:00:00"/>
    <s v="PAID"/>
    <x v="0"/>
    <n v="96570"/>
    <n v="1"/>
    <s v="Indonesia"/>
    <s v="KMT-KJT"/>
    <x v="0"/>
  </r>
  <r>
    <s v="CLICTRUCK-043560"/>
    <s v="export"/>
    <x v="19"/>
    <x v="3"/>
    <n v="2000000"/>
    <n v="27750"/>
    <d v="2023-03-17T00:00:00"/>
    <s v="UNPAID"/>
    <x v="2"/>
    <n v="44400"/>
    <n v="1"/>
    <s v="Indonesia"/>
    <s v="DLS-KAS"/>
    <x v="0"/>
  </r>
  <r>
    <s v="CLICTRUCK-043561"/>
    <s v="export"/>
    <x v="19"/>
    <x v="3"/>
    <n v="2000000"/>
    <n v="27750"/>
    <d v="2023-03-17T00:00:00"/>
    <s v="UNPAID"/>
    <x v="2"/>
    <n v="44400"/>
    <n v="1"/>
    <s v="Indonesia"/>
    <s v="DLS-KAS"/>
    <x v="0"/>
  </r>
  <r>
    <s v="CLICTRUCK-043562"/>
    <s v="export"/>
    <x v="19"/>
    <x v="0"/>
    <n v="2625000"/>
    <n v="16650"/>
    <d v="2023-02-08T00:00:00"/>
    <s v="PAID"/>
    <x v="0"/>
    <n v="87412"/>
    <n v="1"/>
    <s v="Indonesia"/>
    <s v="KMT-KJT"/>
    <x v="0"/>
  </r>
  <r>
    <s v="CLICTRUCK-043563"/>
    <s v="export"/>
    <x v="19"/>
    <x v="3"/>
    <n v="2000000"/>
    <n v="27750"/>
    <d v="2023-03-17T00:00:00"/>
    <s v="UNPAID"/>
    <x v="2"/>
    <n v="44400"/>
    <n v="1"/>
    <s v="Indonesia"/>
    <s v="DLS-KAS"/>
    <x v="0"/>
  </r>
  <r>
    <s v="CLICTRUCK-043565"/>
    <s v="export"/>
    <x v="19"/>
    <x v="0"/>
    <n v="2787000"/>
    <n v="16650"/>
    <d v="2023-02-08T00:00:00"/>
    <s v="PAID"/>
    <x v="0"/>
    <n v="92807"/>
    <n v="1"/>
    <s v="Indonesia"/>
    <s v="KMT-KJT"/>
    <x v="0"/>
  </r>
  <r>
    <s v="CLICTRUCK-043571"/>
    <s v="export"/>
    <x v="19"/>
    <x v="0"/>
    <n v="3250000"/>
    <n v="16650"/>
    <d v="2023-02-08T00:00:00"/>
    <s v="PAID"/>
    <x v="0"/>
    <n v="108225"/>
    <n v="1"/>
    <s v="Indonesia"/>
    <s v="KMT-KJT"/>
    <x v="0"/>
  </r>
  <r>
    <s v="CLICTRUCK-043572"/>
    <s v="export"/>
    <x v="19"/>
    <x v="0"/>
    <n v="3100000"/>
    <n v="16650"/>
    <d v="2023-02-13T00:00:00"/>
    <s v="PAID"/>
    <x v="0"/>
    <n v="103230"/>
    <n v="1"/>
    <s v="Indonesia"/>
    <s v="KMT-KJT"/>
    <x v="0"/>
  </r>
  <r>
    <s v="CLICTRUCK-043573"/>
    <s v="export"/>
    <x v="19"/>
    <x v="0"/>
    <n v="1250000"/>
    <n v="16650"/>
    <d v="2023-02-08T00:00:00"/>
    <s v="PAID"/>
    <x v="0"/>
    <n v="41625"/>
    <n v="1"/>
    <s v="Indonesia"/>
    <s v="KMT-KJT"/>
    <x v="0"/>
  </r>
  <r>
    <s v="CLICTRUCK-043575"/>
    <s v="import"/>
    <x v="19"/>
    <x v="1"/>
    <n v="17557602"/>
    <n v="159840"/>
    <d v="2023-01-27T00:00:00"/>
    <s v="PAID"/>
    <x v="1"/>
    <n v="389778"/>
    <n v="8"/>
    <s v="Indonesia"/>
    <s v="ESA - SASA"/>
    <x v="0"/>
  </r>
  <r>
    <s v="CLICTRUCK-043576"/>
    <s v="import"/>
    <x v="19"/>
    <x v="1"/>
    <n v="6606000"/>
    <n v="99900"/>
    <d v="2023-01-27T00:00:00"/>
    <s v="PAID"/>
    <x v="1"/>
    <n v="146653"/>
    <n v="5"/>
    <s v="Indonesia"/>
    <s v="ESA - SASA"/>
    <x v="0"/>
  </r>
  <r>
    <s v="CLICTRUCK-043577"/>
    <s v="import"/>
    <x v="19"/>
    <x v="1"/>
    <n v="2415750"/>
    <n v="39960"/>
    <d v="2023-01-27T00:00:00"/>
    <s v="PAID"/>
    <x v="1"/>
    <n v="53629"/>
    <n v="2"/>
    <s v="Indonesia"/>
    <s v="ESA - SASA"/>
    <x v="0"/>
  </r>
  <r>
    <s v="CLICTRUCK-043627"/>
    <s v="export"/>
    <x v="20"/>
    <x v="5"/>
    <n v="12740000"/>
    <n v="222000"/>
    <d v="2023-01-28T00:00:00"/>
    <s v="PAID"/>
    <x v="4"/>
    <m/>
    <n v="10"/>
    <s v="Indonesia"/>
    <s v="GLT-Elemen"/>
    <x v="0"/>
  </r>
  <r>
    <s v="CLICTRUCK-043628"/>
    <s v="export"/>
    <x v="20"/>
    <x v="5"/>
    <n v="3822000"/>
    <n v="66600"/>
    <d v="2023-01-28T00:00:00"/>
    <s v="PAID"/>
    <x v="4"/>
    <m/>
    <n v="3"/>
    <s v="Indonesia"/>
    <s v="GLT-Elemen"/>
    <x v="0"/>
  </r>
  <r>
    <s v="CLICTRUCK-043629"/>
    <s v="export"/>
    <x v="20"/>
    <x v="5"/>
    <n v="1176000"/>
    <n v="22200"/>
    <d v="2023-01-28T00:00:00"/>
    <s v="PAID"/>
    <x v="4"/>
    <m/>
    <n v="1"/>
    <s v="Indonesia"/>
    <s v="GLT-Elemen"/>
    <x v="0"/>
  </r>
  <r>
    <s v="CLICTRUCK-043660"/>
    <s v="export"/>
    <x v="21"/>
    <x v="0"/>
    <n v="2900000"/>
    <n v="16650"/>
    <d v="2023-02-08T00:00:00"/>
    <s v="PAID"/>
    <x v="0"/>
    <n v="96570"/>
    <n v="1"/>
    <s v="Indonesia"/>
    <s v="KMT-KJT"/>
    <x v="0"/>
  </r>
  <r>
    <s v="CLICTRUCK-043661"/>
    <s v="export"/>
    <x v="21"/>
    <x v="0"/>
    <n v="2900000"/>
    <n v="16650"/>
    <d v="2023-02-08T00:00:00"/>
    <s v="PAID"/>
    <x v="0"/>
    <n v="96570"/>
    <n v="1"/>
    <s v="Indonesia"/>
    <s v="KMT-KJT"/>
    <x v="0"/>
  </r>
  <r>
    <s v="CLICTRUCK-043662"/>
    <s v="export"/>
    <x v="21"/>
    <x v="0"/>
    <n v="2900000"/>
    <n v="16650"/>
    <d v="2023-02-08T00:00:00"/>
    <s v="PAID"/>
    <x v="0"/>
    <n v="96570"/>
    <n v="1"/>
    <s v="Indonesia"/>
    <s v="KMT-KJT"/>
    <x v="0"/>
  </r>
  <r>
    <s v="CLICTRUCK-043663"/>
    <s v="export"/>
    <x v="21"/>
    <x v="0"/>
    <n v="2900000"/>
    <n v="16650"/>
    <d v="2023-02-08T00:00:00"/>
    <s v="PAID"/>
    <x v="0"/>
    <n v="96570"/>
    <n v="1"/>
    <s v="Indonesia"/>
    <s v="KMT-KJT"/>
    <x v="0"/>
  </r>
  <r>
    <s v="CLICTRUCK-043664"/>
    <s v="export"/>
    <x v="21"/>
    <x v="0"/>
    <n v="2900000"/>
    <n v="16650"/>
    <d v="2023-02-08T00:00:00"/>
    <s v="PAID"/>
    <x v="0"/>
    <n v="96570"/>
    <n v="1"/>
    <s v="Indonesia"/>
    <s v="KMT-KJT"/>
    <x v="0"/>
  </r>
  <r>
    <s v="CLICTRUCK-043665"/>
    <s v="export"/>
    <x v="21"/>
    <x v="0"/>
    <n v="2900000"/>
    <n v="16650"/>
    <d v="2023-02-08T00:00:00"/>
    <s v="PAID"/>
    <x v="0"/>
    <n v="96570"/>
    <n v="1"/>
    <s v="Indonesia"/>
    <s v="KMT-KJT"/>
    <x v="0"/>
  </r>
  <r>
    <s v="CLICTRUCK-043666"/>
    <s v="export"/>
    <x v="21"/>
    <x v="0"/>
    <n v="2900000"/>
    <n v="16650"/>
    <d v="2023-02-08T00:00:00"/>
    <s v="PAID"/>
    <x v="0"/>
    <n v="96570"/>
    <n v="1"/>
    <s v="Indonesia"/>
    <s v="KMT-KJT"/>
    <x v="0"/>
  </r>
  <r>
    <s v="CLICTRUCK-043667"/>
    <s v="export"/>
    <x v="21"/>
    <x v="0"/>
    <n v="2500000"/>
    <n v="16650"/>
    <d v="2023-02-09T00:00:00"/>
    <s v="PAID"/>
    <x v="0"/>
    <n v="83250"/>
    <n v="1"/>
    <s v="Indonesia"/>
    <s v="KMT-KJT"/>
    <x v="0"/>
  </r>
  <r>
    <s v="CLICTRUCK-043672"/>
    <s v="export"/>
    <x v="22"/>
    <x v="0"/>
    <n v="2375000"/>
    <n v="16650"/>
    <d v="2023-02-09T00:00:00"/>
    <s v="PAID"/>
    <x v="0"/>
    <n v="79087"/>
    <n v="1"/>
    <s v="Indonesia"/>
    <s v="KMT-KJT"/>
    <x v="0"/>
  </r>
  <r>
    <s v="CLICTRUCK-043673"/>
    <s v="export"/>
    <x v="22"/>
    <x v="0"/>
    <n v="2625000"/>
    <n v="16650"/>
    <d v="2023-02-09T00:00:00"/>
    <s v="PAID"/>
    <x v="0"/>
    <n v="87412"/>
    <n v="1"/>
    <s v="Indonesia"/>
    <s v="KMT-KJT"/>
    <x v="0"/>
  </r>
  <r>
    <s v="CLICTRUCK-043674"/>
    <s v="export"/>
    <x v="22"/>
    <x v="0"/>
    <n v="2520000"/>
    <n v="16650"/>
    <d v="2023-02-09T00:00:00"/>
    <s v="PAID"/>
    <x v="0"/>
    <n v="83916"/>
    <n v="1"/>
    <s v="Indonesia"/>
    <s v="KMT-KJT"/>
    <x v="0"/>
  </r>
  <r>
    <s v="CLICTRUCK-043675"/>
    <s v="export"/>
    <x v="22"/>
    <x v="0"/>
    <n v="2520000"/>
    <n v="16650"/>
    <d v="2023-02-09T00:00:00"/>
    <s v="PAID"/>
    <x v="0"/>
    <n v="83916"/>
    <n v="1"/>
    <s v="Indonesia"/>
    <s v="KMT-KJT"/>
    <x v="0"/>
  </r>
  <r>
    <s v="CLICTRUCK-043678"/>
    <s v="export"/>
    <x v="22"/>
    <x v="0"/>
    <n v="2625000"/>
    <n v="16650"/>
    <d v="2023-02-09T00:00:00"/>
    <s v="PAID"/>
    <x v="0"/>
    <n v="87412"/>
    <n v="1"/>
    <s v="Indonesia"/>
    <s v="KMT-KJT"/>
    <x v="0"/>
  </r>
  <r>
    <s v="CLICTRUCK-043679"/>
    <s v="export"/>
    <x v="22"/>
    <x v="0"/>
    <n v="2900000"/>
    <n v="16650"/>
    <d v="2023-02-09T00:00:00"/>
    <s v="PAID"/>
    <x v="0"/>
    <n v="96570"/>
    <n v="1"/>
    <s v="Indonesia"/>
    <s v="KMT-KJT"/>
    <x v="0"/>
  </r>
  <r>
    <s v="CLICTRUCK-043680"/>
    <s v="export"/>
    <x v="22"/>
    <x v="0"/>
    <n v="2900000"/>
    <n v="16650"/>
    <d v="2023-02-09T00:00:00"/>
    <s v="PAID"/>
    <x v="0"/>
    <n v="96570"/>
    <n v="1"/>
    <s v="Indonesia"/>
    <s v="KMT-KJT"/>
    <x v="0"/>
  </r>
  <r>
    <s v="CLICTRUCK-043681"/>
    <s v="export"/>
    <x v="22"/>
    <x v="0"/>
    <n v="2900000"/>
    <n v="16650"/>
    <d v="2023-02-08T00:00:00"/>
    <s v="PAID"/>
    <x v="0"/>
    <n v="96570"/>
    <n v="1"/>
    <s v="Indonesia"/>
    <s v="KMT-KJT"/>
    <x v="0"/>
  </r>
  <r>
    <s v="CLICTRUCK-043682"/>
    <s v="export"/>
    <x v="22"/>
    <x v="0"/>
    <n v="2900000"/>
    <n v="16650"/>
    <d v="2023-02-08T00:00:00"/>
    <s v="PAID"/>
    <x v="0"/>
    <n v="96570"/>
    <n v="1"/>
    <s v="Indonesia"/>
    <s v="KMT-KJT"/>
    <x v="0"/>
  </r>
  <r>
    <s v="CLICTRUCK-043683"/>
    <s v="export"/>
    <x v="22"/>
    <x v="0"/>
    <n v="2900000"/>
    <n v="16650"/>
    <d v="2023-02-08T00:00:00"/>
    <s v="PAID"/>
    <x v="0"/>
    <n v="96570"/>
    <n v="1"/>
    <s v="Indonesia"/>
    <s v="KMT-KJT"/>
    <x v="0"/>
  </r>
  <r>
    <s v="CLICTRUCK-043684"/>
    <s v="export"/>
    <x v="22"/>
    <x v="0"/>
    <n v="2900000"/>
    <n v="16650"/>
    <d v="2023-02-08T00:00:00"/>
    <s v="PAID"/>
    <x v="0"/>
    <n v="96570"/>
    <n v="1"/>
    <s v="Indonesia"/>
    <s v="KMT-KJT"/>
    <x v="0"/>
  </r>
  <r>
    <s v="CLICTRUCK-043685"/>
    <s v="export"/>
    <x v="22"/>
    <x v="0"/>
    <n v="2900000"/>
    <n v="16650"/>
    <d v="2023-02-08T00:00:00"/>
    <s v="PAID"/>
    <x v="0"/>
    <n v="96570"/>
    <n v="1"/>
    <s v="Indonesia"/>
    <s v="KMT-KJT"/>
    <x v="0"/>
  </r>
  <r>
    <s v="CLICTRUCK-043686"/>
    <s v="export"/>
    <x v="22"/>
    <x v="0"/>
    <n v="2900000"/>
    <n v="16650"/>
    <d v="2023-02-08T00:00:00"/>
    <s v="PAID"/>
    <x v="0"/>
    <n v="96570"/>
    <n v="1"/>
    <s v="Indonesia"/>
    <s v="KMT-KJT"/>
    <x v="0"/>
  </r>
  <r>
    <s v="CLICTRUCK-043687"/>
    <s v="export"/>
    <x v="22"/>
    <x v="0"/>
    <n v="2900000"/>
    <n v="16650"/>
    <d v="2023-02-08T00:00:00"/>
    <s v="PAID"/>
    <x v="0"/>
    <n v="96570"/>
    <n v="1"/>
    <s v="Indonesia"/>
    <s v="KMT-KJT"/>
    <x v="0"/>
  </r>
  <r>
    <s v="CLICTRUCK-043688"/>
    <s v="export"/>
    <x v="22"/>
    <x v="0"/>
    <n v="2900000"/>
    <n v="16650"/>
    <d v="2023-02-08T00:00:00"/>
    <s v="PAID"/>
    <x v="0"/>
    <n v="96570"/>
    <n v="1"/>
    <s v="Indonesia"/>
    <s v="KMT-KJT"/>
    <x v="0"/>
  </r>
  <r>
    <s v="CLICTRUCK-043689"/>
    <s v="export"/>
    <x v="23"/>
    <x v="3"/>
    <n v="2000000"/>
    <n v="27750"/>
    <d v="2023-03-17T00:00:00"/>
    <s v="UNPAID"/>
    <x v="2"/>
    <n v="44400"/>
    <n v="1"/>
    <s v="Indonesia"/>
    <s v="DLS-KAS"/>
    <x v="0"/>
  </r>
  <r>
    <s v="CLICTRUCK-043690"/>
    <s v="export"/>
    <x v="23"/>
    <x v="3"/>
    <n v="8000000"/>
    <n v="111000"/>
    <d v="2023-03-17T00:00:00"/>
    <s v="UNPAID"/>
    <x v="2"/>
    <n v="177600"/>
    <n v="4"/>
    <s v="Indonesia"/>
    <s v="DLS-KAS"/>
    <x v="0"/>
  </r>
  <r>
    <s v="CLICTRUCK-043691"/>
    <s v="export"/>
    <x v="23"/>
    <x v="3"/>
    <n v="2000000"/>
    <n v="27750"/>
    <d v="2023-03-17T00:00:00"/>
    <s v="UNPAID"/>
    <x v="2"/>
    <n v="44400"/>
    <n v="1"/>
    <s v="Indonesia"/>
    <s v="DLS-KAS"/>
    <x v="0"/>
  </r>
  <r>
    <s v="CLICTRUCK-043705"/>
    <s v="import"/>
    <x v="23"/>
    <x v="0"/>
    <n v="2050000"/>
    <n v="16650"/>
    <d v="2023-02-09T00:00:00"/>
    <s v="PAID"/>
    <x v="0"/>
    <n v="68265"/>
    <n v="1"/>
    <s v="Indonesia"/>
    <s v="KMT-KJT"/>
    <x v="0"/>
  </r>
  <r>
    <s v="CLICTRUCK-043706"/>
    <s v="import"/>
    <x v="23"/>
    <x v="0"/>
    <n v="2050000"/>
    <n v="16650"/>
    <d v="2023-02-09T00:00:00"/>
    <s v="PAID"/>
    <x v="0"/>
    <n v="68265"/>
    <n v="1"/>
    <s v="Indonesia"/>
    <s v="KMT-KJT"/>
    <x v="0"/>
  </r>
  <r>
    <s v="CLICTRUCK-043713"/>
    <s v="export"/>
    <x v="23"/>
    <x v="0"/>
    <n v="2625000"/>
    <n v="16650"/>
    <d v="2023-02-11T00:00:00"/>
    <s v="PAID"/>
    <x v="0"/>
    <n v="87412"/>
    <n v="1"/>
    <s v="Indonesia"/>
    <s v="KMT-KJT"/>
    <x v="0"/>
  </r>
  <r>
    <s v="CLICTRUCK-043714"/>
    <s v="export"/>
    <x v="23"/>
    <x v="0"/>
    <n v="2625000"/>
    <n v="16650"/>
    <d v="2023-02-11T00:00:00"/>
    <s v="PAID"/>
    <x v="0"/>
    <n v="87412"/>
    <n v="1"/>
    <s v="Indonesia"/>
    <s v="KMT-KJT"/>
    <x v="0"/>
  </r>
  <r>
    <s v="CLICTRUCK-043715"/>
    <s v="export"/>
    <x v="23"/>
    <x v="0"/>
    <n v="2450000"/>
    <n v="16650"/>
    <d v="2023-02-11T00:00:00"/>
    <s v="PAID"/>
    <x v="0"/>
    <n v="81585"/>
    <n v="1"/>
    <s v="Indonesia"/>
    <s v="KMT-KJT"/>
    <x v="0"/>
  </r>
  <r>
    <s v="CLICTRUCK-043718"/>
    <s v="export"/>
    <x v="24"/>
    <x v="0"/>
    <n v="2900000"/>
    <n v="16650"/>
    <d v="2023-02-11T00:00:00"/>
    <s v="PAID"/>
    <x v="0"/>
    <n v="96570"/>
    <n v="1"/>
    <s v="Indonesia"/>
    <s v="KMT-KJT"/>
    <x v="0"/>
  </r>
  <r>
    <s v="CLICTRUCK-043719"/>
    <s v="export"/>
    <x v="24"/>
    <x v="0"/>
    <n v="2900000"/>
    <n v="16650"/>
    <d v="2023-02-11T00:00:00"/>
    <s v="PAID"/>
    <x v="0"/>
    <n v="96570"/>
    <n v="1"/>
    <s v="Indonesia"/>
    <s v="KMT-KJT"/>
    <x v="0"/>
  </r>
  <r>
    <s v="CLICTRUCK-043720"/>
    <s v="export"/>
    <x v="24"/>
    <x v="0"/>
    <n v="2900000"/>
    <n v="16650"/>
    <d v="2023-02-11T00:00:00"/>
    <s v="PAID"/>
    <x v="0"/>
    <n v="96570"/>
    <n v="1"/>
    <s v="Indonesia"/>
    <s v="KMT-KJT"/>
    <x v="0"/>
  </r>
  <r>
    <s v="CLICTRUCK-043721"/>
    <s v="export"/>
    <x v="24"/>
    <x v="0"/>
    <n v="2900000"/>
    <n v="16650"/>
    <d v="2023-02-11T00:00:00"/>
    <s v="PAID"/>
    <x v="0"/>
    <n v="96570"/>
    <n v="1"/>
    <s v="Indonesia"/>
    <s v="KMT-KJT"/>
    <x v="0"/>
  </r>
  <r>
    <s v="CLICTRUCK-043722"/>
    <s v="export"/>
    <x v="24"/>
    <x v="0"/>
    <n v="2900000"/>
    <n v="16650"/>
    <d v="2023-02-11T00:00:00"/>
    <s v="PAID"/>
    <x v="0"/>
    <n v="96570"/>
    <n v="1"/>
    <s v="Indonesia"/>
    <s v="KMT-KJT"/>
    <x v="0"/>
  </r>
  <r>
    <s v="CLICTRUCK-043723"/>
    <s v="export"/>
    <x v="24"/>
    <x v="0"/>
    <n v="2900000"/>
    <n v="16650"/>
    <d v="2023-02-10T00:00:00"/>
    <s v="PAID"/>
    <x v="0"/>
    <n v="96570"/>
    <n v="1"/>
    <s v="Indonesia"/>
    <s v="KMT-KJT"/>
    <x v="0"/>
  </r>
  <r>
    <s v="CLICTRUCK-043724"/>
    <s v="export"/>
    <x v="24"/>
    <x v="0"/>
    <n v="2900000"/>
    <n v="16650"/>
    <d v="2023-02-10T00:00:00"/>
    <s v="PAID"/>
    <x v="0"/>
    <n v="96570"/>
    <n v="1"/>
    <s v="Indonesia"/>
    <s v="KMT-KJT"/>
    <x v="0"/>
  </r>
  <r>
    <s v="CLICTRUCK-043725"/>
    <s v="export"/>
    <x v="24"/>
    <x v="0"/>
    <n v="2900000"/>
    <n v="16650"/>
    <d v="2023-02-10T00:00:00"/>
    <s v="PAID"/>
    <x v="0"/>
    <n v="96570"/>
    <n v="1"/>
    <s v="Indonesia"/>
    <s v="KMT-KJT"/>
    <x v="0"/>
  </r>
  <r>
    <s v="CLICTRUCK-043726"/>
    <s v="export"/>
    <x v="24"/>
    <x v="0"/>
    <n v="2900000"/>
    <n v="16650"/>
    <d v="2023-02-10T00:00:00"/>
    <s v="PAID"/>
    <x v="0"/>
    <n v="96570"/>
    <n v="1"/>
    <s v="Indonesia"/>
    <s v="KMT-KJT"/>
    <x v="0"/>
  </r>
  <r>
    <s v="CLICTRUCK-043727"/>
    <s v="export"/>
    <x v="24"/>
    <x v="0"/>
    <n v="2900000"/>
    <n v="16650"/>
    <d v="2023-02-10T00:00:00"/>
    <s v="PAID"/>
    <x v="0"/>
    <n v="96570"/>
    <n v="1"/>
    <s v="Indonesia"/>
    <s v="KMT-KJT"/>
    <x v="0"/>
  </r>
  <r>
    <s v="CLICTRUCK-043728"/>
    <s v="export"/>
    <x v="24"/>
    <x v="0"/>
    <n v="1000000"/>
    <n v="16650"/>
    <d v="2023-02-10T00:00:00"/>
    <s v="PAID"/>
    <x v="0"/>
    <n v="33300"/>
    <n v="1"/>
    <s v="Indonesia"/>
    <s v="KMT-KJT"/>
    <x v="0"/>
  </r>
  <r>
    <s v="CLICTRUCK-043731"/>
    <s v="export"/>
    <x v="24"/>
    <x v="0"/>
    <n v="2625000"/>
    <n v="16650"/>
    <d v="2023-02-14T00:00:00"/>
    <s v="PAID"/>
    <x v="0"/>
    <n v="87412"/>
    <n v="1"/>
    <s v="Indonesia"/>
    <s v="KMT-KJT"/>
    <x v="0"/>
  </r>
  <r>
    <s v="CLICTRUCK-043732"/>
    <s v="export"/>
    <x v="24"/>
    <x v="0"/>
    <n v="2625000"/>
    <n v="16650"/>
    <d v="2023-02-13T00:00:00"/>
    <s v="PAID"/>
    <x v="0"/>
    <n v="87412"/>
    <n v="1"/>
    <s v="Indonesia"/>
    <s v="KMT-KJT"/>
    <x v="0"/>
  </r>
  <r>
    <s v="CLICTRUCK-043733"/>
    <s v="export"/>
    <x v="24"/>
    <x v="0"/>
    <n v="2900000"/>
    <n v="16650"/>
    <d v="2023-02-14T00:00:00"/>
    <s v="PAID"/>
    <x v="0"/>
    <n v="96570"/>
    <n v="1"/>
    <s v="Indonesia"/>
    <s v="KMT-KJT"/>
    <x v="0"/>
  </r>
  <r>
    <s v="CLICTRUCK-043734"/>
    <s v="export"/>
    <x v="24"/>
    <x v="0"/>
    <n v="2900000"/>
    <n v="16650"/>
    <d v="2023-02-14T00:00:00"/>
    <s v="PAID"/>
    <x v="0"/>
    <n v="96570"/>
    <n v="1"/>
    <s v="Indonesia"/>
    <s v="KMT-KJT"/>
    <x v="0"/>
  </r>
  <r>
    <s v="CLICTRUCK-043735"/>
    <s v="export"/>
    <x v="24"/>
    <x v="0"/>
    <n v="2900000"/>
    <n v="16650"/>
    <d v="2023-02-14T00:00:00"/>
    <s v="PAID"/>
    <x v="0"/>
    <n v="96570"/>
    <n v="1"/>
    <s v="Indonesia"/>
    <s v="KMT-KJT"/>
    <x v="0"/>
  </r>
  <r>
    <s v="CLICTRUCK-043736"/>
    <s v="export"/>
    <x v="24"/>
    <x v="0"/>
    <n v="2900000"/>
    <n v="16650"/>
    <d v="2023-03-10T00:00:00"/>
    <s v="PAID"/>
    <x v="0"/>
    <n v="96570"/>
    <n v="1"/>
    <s v="Indonesia"/>
    <s v="KMT-KJT"/>
    <x v="0"/>
  </r>
  <r>
    <s v="CLICTRUCK-043737"/>
    <s v="export"/>
    <x v="24"/>
    <x v="0"/>
    <n v="2900000"/>
    <n v="16650"/>
    <d v="2023-02-14T00:00:00"/>
    <s v="PAID"/>
    <x v="0"/>
    <n v="96570"/>
    <n v="1"/>
    <s v="Indonesia"/>
    <s v="KMT-KJT"/>
    <x v="0"/>
  </r>
  <r>
    <s v="CLICTRUCK-043740"/>
    <s v="export"/>
    <x v="24"/>
    <x v="0"/>
    <n v="1950000"/>
    <n v="16650"/>
    <d v="2023-02-14T00:00:00"/>
    <s v="PAID"/>
    <x v="0"/>
    <n v="64935"/>
    <n v="1"/>
    <s v="Indonesia"/>
    <s v="KMT-KJT"/>
    <x v="0"/>
  </r>
  <r>
    <s v="CLICTRUCK-043741"/>
    <s v="export"/>
    <x v="24"/>
    <x v="0"/>
    <n v="2525000"/>
    <n v="16650"/>
    <d v="2023-02-14T00:00:00"/>
    <s v="PAID"/>
    <x v="0"/>
    <n v="84082"/>
    <n v="1"/>
    <s v="Indonesia"/>
    <s v="KMT-KJT"/>
    <x v="0"/>
  </r>
  <r>
    <s v="CLICTRUCK-043742"/>
    <s v="export"/>
    <x v="24"/>
    <x v="0"/>
    <n v="1000000"/>
    <n v="16650"/>
    <d v="2023-02-13T00:00:00"/>
    <s v="PAID"/>
    <x v="0"/>
    <n v="33300"/>
    <n v="1"/>
    <s v="Indonesia"/>
    <s v="KMT-KJT"/>
    <x v="0"/>
  </r>
  <r>
    <s v="CLICTRUCK-043743"/>
    <s v="import"/>
    <x v="24"/>
    <x v="1"/>
    <n v="19212500"/>
    <n v="319680"/>
    <d v="2023-02-02T00:00:00"/>
    <s v="PAID"/>
    <x v="1"/>
    <n v="426517"/>
    <n v="16"/>
    <s v="Indonesia"/>
    <s v="ESA - SASA"/>
    <x v="0"/>
  </r>
  <r>
    <s v="CLICTRUCK-043744"/>
    <s v="import"/>
    <x v="25"/>
    <x v="2"/>
    <n v="1800000"/>
    <n v="27750"/>
    <d v="2023-02-06T00:00:00"/>
    <s v="PAID"/>
    <x v="2"/>
    <n v="39960"/>
    <n v="1"/>
    <s v="Indonesia"/>
    <s v="MAS-KAS"/>
    <x v="0"/>
  </r>
  <r>
    <s v="CLICTRUCK-043750"/>
    <s v="import"/>
    <x v="25"/>
    <x v="1"/>
    <n v="8546137"/>
    <n v="119880"/>
    <d v="2023-02-02T00:00:00"/>
    <s v="PAID"/>
    <x v="1"/>
    <n v="189723"/>
    <n v="6"/>
    <s v="Indonesia"/>
    <s v="ESA - SASA"/>
    <x v="0"/>
  </r>
  <r>
    <s v="CLICTRUCK-043751"/>
    <s v="import"/>
    <x v="25"/>
    <x v="1"/>
    <n v="8051550"/>
    <n v="139860"/>
    <d v="2023-02-02T00:00:00"/>
    <s v="PAID"/>
    <x v="1"/>
    <n v="178744"/>
    <n v="7"/>
    <s v="Indonesia"/>
    <s v="ESA - SASA"/>
    <x v="0"/>
  </r>
  <r>
    <s v="CLICTRUCK-043758"/>
    <s v="import"/>
    <x v="25"/>
    <x v="1"/>
    <n v="13859616"/>
    <n v="159840"/>
    <d v="2023-02-02T00:00:00"/>
    <s v="PAID"/>
    <x v="1"/>
    <n v="307683"/>
    <n v="8"/>
    <s v="Indonesia"/>
    <s v="ESA - SASA"/>
    <x v="0"/>
  </r>
  <r>
    <s v="CLICTRUCK-043761"/>
    <s v="export"/>
    <x v="25"/>
    <x v="3"/>
    <n v="2000000"/>
    <n v="27750"/>
    <d v="2023-03-17T00:00:00"/>
    <s v="UNPAID"/>
    <x v="2"/>
    <n v="44400"/>
    <n v="1"/>
    <s v="Indonesia"/>
    <s v="DLS-KAS"/>
    <x v="0"/>
  </r>
  <r>
    <s v="CLICTRUCK-043815"/>
    <s v="export"/>
    <x v="26"/>
    <x v="0"/>
    <n v="6134500"/>
    <n v="16650"/>
    <d v="2023-03-09T00:00:00"/>
    <s v="PAID"/>
    <x v="0"/>
    <n v="204278"/>
    <n v="1"/>
    <s v="Indonesia"/>
    <s v="KMT-KJT"/>
    <x v="0"/>
  </r>
  <r>
    <s v="CLICTRUCK-043816"/>
    <s v="export"/>
    <x v="26"/>
    <x v="5"/>
    <n v="11074000"/>
    <n v="199800"/>
    <d v="2023-02-04T00:00:00"/>
    <s v="PAID"/>
    <x v="4"/>
    <m/>
    <n v="9"/>
    <s v="Indonesia"/>
    <s v="GLT-Elemen"/>
    <x v="0"/>
  </r>
  <r>
    <s v="CLICTRUCK-043817"/>
    <s v="export"/>
    <x v="26"/>
    <x v="0"/>
    <n v="2625000"/>
    <n v="16650"/>
    <d v="2023-02-14T00:00:00"/>
    <s v="PAID"/>
    <x v="0"/>
    <n v="87412"/>
    <n v="1"/>
    <s v="Indonesia"/>
    <s v="KMT-KJT"/>
    <x v="0"/>
  </r>
  <r>
    <s v="CLICTRUCK-043818"/>
    <s v="export"/>
    <x v="26"/>
    <x v="5"/>
    <n v="3822000"/>
    <n v="66600"/>
    <d v="2023-02-04T00:00:00"/>
    <s v="PAID"/>
    <x v="4"/>
    <m/>
    <n v="3"/>
    <s v="Indonesia"/>
    <s v="GLT-Elemen"/>
    <x v="0"/>
  </r>
  <r>
    <s v="CLICTRUCK-043819"/>
    <s v="export"/>
    <x v="26"/>
    <x v="0"/>
    <n v="3250000"/>
    <n v="16650"/>
    <d v="2023-02-14T00:00:00"/>
    <s v="PAID"/>
    <x v="0"/>
    <n v="108225"/>
    <n v="1"/>
    <s v="Indonesia"/>
    <s v="KMT-KJT"/>
    <x v="0"/>
  </r>
  <r>
    <s v="CLICTRUCK-043820"/>
    <s v="export"/>
    <x v="26"/>
    <x v="0"/>
    <n v="2525000"/>
    <n v="16650"/>
    <d v="2023-02-14T00:00:00"/>
    <s v="PAID"/>
    <x v="0"/>
    <n v="84082"/>
    <n v="1"/>
    <s v="Indonesia"/>
    <s v="KMT-KJT"/>
    <x v="0"/>
  </r>
  <r>
    <s v="CLICTRUCK-043821"/>
    <s v="export"/>
    <x v="26"/>
    <x v="5"/>
    <n v="7644000"/>
    <n v="133200"/>
    <d v="2023-02-04T00:00:00"/>
    <s v="PAID"/>
    <x v="4"/>
    <m/>
    <n v="6"/>
    <s v="Indonesia"/>
    <s v="GLT-Elemen"/>
    <x v="0"/>
  </r>
  <r>
    <s v="CLICTRUCK-043822"/>
    <s v="export"/>
    <x v="26"/>
    <x v="0"/>
    <n v="2710000"/>
    <n v="16650"/>
    <d v="2023-02-14T00:00:00"/>
    <s v="PAID"/>
    <x v="0"/>
    <n v="90243"/>
    <n v="1"/>
    <s v="Indonesia"/>
    <s v="KMT-KJT"/>
    <x v="0"/>
  </r>
  <r>
    <s v="CLICTRUCK-043823"/>
    <s v="export"/>
    <x v="26"/>
    <x v="0"/>
    <n v="1950000"/>
    <n v="16650"/>
    <d v="2023-02-15T00:00:00"/>
    <s v="PAID"/>
    <x v="0"/>
    <n v="64935"/>
    <n v="1"/>
    <s v="Indonesia"/>
    <s v="KMT-KJT"/>
    <x v="0"/>
  </r>
  <r>
    <s v="CLICTRUCK-043824"/>
    <s v="export"/>
    <x v="26"/>
    <x v="0"/>
    <n v="2000000"/>
    <n v="16650"/>
    <d v="2023-02-14T00:00:00"/>
    <s v="PAID"/>
    <x v="0"/>
    <n v="66600"/>
    <n v="1"/>
    <s v="Indonesia"/>
    <s v="KMT-KJT"/>
    <x v="0"/>
  </r>
  <r>
    <s v="CLICTRUCK-043825"/>
    <s v="export"/>
    <x v="26"/>
    <x v="0"/>
    <n v="2000000"/>
    <n v="16650"/>
    <d v="2023-02-14T00:00:00"/>
    <s v="PAID"/>
    <x v="0"/>
    <n v="66600"/>
    <n v="1"/>
    <s v="Indonesia"/>
    <s v="KMT-KJT"/>
    <x v="0"/>
  </r>
  <r>
    <s v="CLICTRUCK-043826"/>
    <s v="export"/>
    <x v="26"/>
    <x v="0"/>
    <n v="1500000"/>
    <n v="16650"/>
    <d v="2023-02-14T00:00:00"/>
    <s v="PAID"/>
    <x v="0"/>
    <n v="49950"/>
    <n v="1"/>
    <s v="Indonesia"/>
    <s v="KMT-KJT"/>
    <x v="0"/>
  </r>
  <r>
    <s v="CLICTRUCK-043849"/>
    <s v="export"/>
    <x v="27"/>
    <x v="3"/>
    <n v="4000000"/>
    <n v="55500"/>
    <d v="2023-03-29T00:00:00"/>
    <s v="UNPAID"/>
    <x v="2"/>
    <n v="88800"/>
    <n v="2"/>
    <s v="Indonesia"/>
    <s v="DLS-KAS"/>
    <x v="0"/>
  </r>
  <r>
    <s v="CLICTRUCK-043850"/>
    <s v="export"/>
    <x v="27"/>
    <x v="3"/>
    <n v="6000000"/>
    <n v="83250"/>
    <d v="2023-03-29T00:00:00"/>
    <s v="UNPAID"/>
    <x v="2"/>
    <n v="133200"/>
    <n v="3"/>
    <s v="Indonesia"/>
    <s v="DLS-KAS"/>
    <x v="0"/>
  </r>
  <r>
    <s v="CLICTRUCK-043851"/>
    <s v="export"/>
    <x v="27"/>
    <x v="0"/>
    <n v="2625000"/>
    <n v="16650"/>
    <d v="2023-02-15T00:00:00"/>
    <s v="PAID"/>
    <x v="0"/>
    <n v="87412"/>
    <n v="1"/>
    <s v="Indonesia"/>
    <s v="KMT-KJT"/>
    <x v="0"/>
  </r>
  <r>
    <s v="CLICTRUCK-043852"/>
    <s v="export"/>
    <x v="27"/>
    <x v="3"/>
    <n v="6000000"/>
    <n v="83250"/>
    <d v="2023-03-29T00:00:00"/>
    <s v="UNPAID"/>
    <x v="2"/>
    <n v="133200"/>
    <n v="3"/>
    <s v="Indonesia"/>
    <s v="DLS-KAS"/>
    <x v="0"/>
  </r>
  <r>
    <s v="CLICTRUCK-043853"/>
    <s v="export"/>
    <x v="27"/>
    <x v="0"/>
    <n v="2770000"/>
    <n v="16650"/>
    <d v="2023-02-22T00:00:00"/>
    <s v="PAID"/>
    <x v="0"/>
    <n v="92241"/>
    <n v="1"/>
    <s v="Indonesia"/>
    <s v="KMT-KJT"/>
    <x v="0"/>
  </r>
  <r>
    <s v="CLICTRUCK-043854"/>
    <s v="export"/>
    <x v="27"/>
    <x v="3"/>
    <n v="4000000"/>
    <n v="55500"/>
    <d v="2023-03-29T00:00:00"/>
    <s v="UNPAID"/>
    <x v="2"/>
    <n v="88800"/>
    <n v="2"/>
    <s v="Indonesia"/>
    <s v="DLS-KAS"/>
    <x v="0"/>
  </r>
  <r>
    <s v="CLICTRUCK-043855"/>
    <s v="export"/>
    <x v="27"/>
    <x v="3"/>
    <n v="2000000"/>
    <n v="27750"/>
    <d v="2023-03-29T00:00:00"/>
    <s v="UNPAID"/>
    <x v="2"/>
    <n v="44400"/>
    <n v="1"/>
    <s v="Indonesia"/>
    <s v="DLS-KAS"/>
    <x v="0"/>
  </r>
  <r>
    <s v="CLICTRUCK-043856"/>
    <s v="export"/>
    <x v="27"/>
    <x v="0"/>
    <n v="1575000"/>
    <n v="16650"/>
    <d v="2023-02-16T00:00:00"/>
    <s v="PAID"/>
    <x v="0"/>
    <n v="52447"/>
    <n v="1"/>
    <s v="Indonesia"/>
    <s v="KMT-KJT"/>
    <x v="0"/>
  </r>
  <r>
    <s v="CLICTRUCK-043857"/>
    <s v="export"/>
    <x v="27"/>
    <x v="0"/>
    <n v="2625000"/>
    <n v="16650"/>
    <d v="2023-02-16T00:00:00"/>
    <s v="PAID"/>
    <x v="0"/>
    <n v="87412"/>
    <n v="1"/>
    <s v="Indonesia"/>
    <s v="KMT-KJT"/>
    <x v="0"/>
  </r>
  <r>
    <s v="CLICTRUCK-043858"/>
    <s v="export"/>
    <x v="27"/>
    <x v="0"/>
    <n v="2625000"/>
    <n v="16650"/>
    <d v="2023-02-16T00:00:00"/>
    <s v="PAID"/>
    <x v="0"/>
    <n v="87412"/>
    <n v="1"/>
    <s v="Indonesia"/>
    <s v="KMT-KJT"/>
    <x v="0"/>
  </r>
  <r>
    <s v="CLICTRUCK-043859"/>
    <s v="export"/>
    <x v="27"/>
    <x v="0"/>
    <n v="2625000"/>
    <n v="16650"/>
    <d v="2023-02-16T00:00:00"/>
    <s v="PAID"/>
    <x v="0"/>
    <n v="87412"/>
    <n v="1"/>
    <s v="Indonesia"/>
    <s v="KMT-KJT"/>
    <x v="0"/>
  </r>
  <r>
    <s v="CLICTRUCK-043860"/>
    <s v="export"/>
    <x v="27"/>
    <x v="0"/>
    <n v="2970000"/>
    <n v="16650"/>
    <d v="2023-02-16T00:00:00"/>
    <s v="PAID"/>
    <x v="0"/>
    <n v="98901"/>
    <n v="1"/>
    <s v="Indonesia"/>
    <s v="KMT-KJT"/>
    <x v="0"/>
  </r>
  <r>
    <s v="CLICTRUCK-043861"/>
    <s v="export"/>
    <x v="27"/>
    <x v="0"/>
    <n v="2520000"/>
    <n v="16650"/>
    <d v="2023-02-16T00:00:00"/>
    <s v="PAID"/>
    <x v="0"/>
    <n v="83916"/>
    <n v="1"/>
    <s v="Indonesia"/>
    <s v="KMT-KJT"/>
    <x v="0"/>
  </r>
  <r>
    <s v="CLICTRUCK-043862"/>
    <s v="export"/>
    <x v="27"/>
    <x v="0"/>
    <n v="2625000"/>
    <n v="16650"/>
    <d v="2023-02-16T00:00:00"/>
    <s v="PAID"/>
    <x v="0"/>
    <n v="87412"/>
    <n v="1"/>
    <s v="Indonesia"/>
    <s v="KMT-KJT"/>
    <x v="0"/>
  </r>
  <r>
    <s v="CLICTRUCK-043866"/>
    <s v="import"/>
    <x v="28"/>
    <x v="0"/>
    <n v="2050000"/>
    <n v="16650"/>
    <d v="2023-02-16T00:00:00"/>
    <s v="PAID"/>
    <x v="0"/>
    <n v="68265"/>
    <n v="1"/>
    <s v="Indonesia"/>
    <s v="KMT-KJT"/>
    <x v="0"/>
  </r>
  <r>
    <s v="CLICTRUCK-043867"/>
    <s v="import"/>
    <x v="28"/>
    <x v="0"/>
    <n v="3025000"/>
    <n v="16650"/>
    <d v="2023-02-22T00:00:00"/>
    <s v="PAID"/>
    <x v="0"/>
    <n v="100732"/>
    <n v="1"/>
    <s v="Indonesia"/>
    <s v="KMT-KJT"/>
    <x v="0"/>
  </r>
  <r>
    <s v="CLICTRUCK-043868"/>
    <s v="import"/>
    <x v="28"/>
    <x v="0"/>
    <n v="2050000"/>
    <n v="16650"/>
    <d v="2023-02-17T00:00:00"/>
    <s v="PAID"/>
    <x v="0"/>
    <n v="68265"/>
    <n v="1"/>
    <s v="Indonesia"/>
    <s v="KMT-KJT"/>
    <x v="0"/>
  </r>
  <r>
    <s v="CLICTRUCK-043875"/>
    <s v="export"/>
    <x v="28"/>
    <x v="0"/>
    <n v="3075000"/>
    <n v="16650"/>
    <d v="2023-02-22T00:00:00"/>
    <s v="PAID"/>
    <x v="0"/>
    <n v="102397"/>
    <n v="1"/>
    <s v="Indonesia"/>
    <s v="KMT-KJT"/>
    <x v="0"/>
  </r>
  <r>
    <s v="CLICTRUCK-043877"/>
    <s v="export"/>
    <x v="28"/>
    <x v="0"/>
    <n v="2900000"/>
    <n v="16650"/>
    <d v="2023-02-22T00:00:00"/>
    <s v="PAID"/>
    <x v="0"/>
    <n v="96570"/>
    <n v="1"/>
    <s v="Indonesia"/>
    <s v="KMT-KJT"/>
    <x v="0"/>
  </r>
  <r>
    <s v="CLICTRUCK-043879"/>
    <s v="export"/>
    <x v="28"/>
    <x v="0"/>
    <n v="2900000"/>
    <n v="16650"/>
    <d v="2023-02-22T00:00:00"/>
    <s v="PAID"/>
    <x v="0"/>
    <n v="96570"/>
    <n v="1"/>
    <s v="Indonesia"/>
    <s v="KMT-KJT"/>
    <x v="0"/>
  </r>
  <r>
    <s v="CLICTRUCK-043882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884"/>
    <s v="export"/>
    <x v="28"/>
    <x v="0"/>
    <n v="3700000"/>
    <n v="16650"/>
    <d v="2023-02-17T00:00:00"/>
    <s v="PAID"/>
    <x v="0"/>
    <n v="123210"/>
    <n v="1"/>
    <s v="Indonesia"/>
    <s v="KMT-KJT"/>
    <x v="0"/>
  </r>
  <r>
    <s v="CLICTRUCK-043888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889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892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893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896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898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901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904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906"/>
    <s v="export"/>
    <x v="28"/>
    <x v="0"/>
    <n v="2900000"/>
    <n v="16650"/>
    <d v="2023-02-17T00:00:00"/>
    <s v="PAID"/>
    <x v="0"/>
    <n v="96570"/>
    <n v="1"/>
    <s v="Indonesia"/>
    <s v="KMT-KJT"/>
    <x v="0"/>
  </r>
  <r>
    <s v="CLICTRUCK-043908"/>
    <s v="export"/>
    <x v="28"/>
    <x v="0"/>
    <n v="2900000"/>
    <n v="16650"/>
    <d v="2023-02-23T00:00:00"/>
    <s v="PAID"/>
    <x v="0"/>
    <n v="96570"/>
    <n v="1"/>
    <s v="Indonesia"/>
    <s v="KMT-KJT"/>
    <x v="0"/>
  </r>
  <r>
    <s v="CLICTRUCK-043911"/>
    <s v="export"/>
    <x v="28"/>
    <x v="0"/>
    <n v="2900000"/>
    <n v="16650"/>
    <d v="2023-02-23T00:00:00"/>
    <s v="PAID"/>
    <x v="0"/>
    <n v="96570"/>
    <n v="1"/>
    <s v="Indonesia"/>
    <s v="KMT-KJT"/>
    <x v="0"/>
  </r>
  <r>
    <s v="CLICTRUCK-043913"/>
    <s v="export"/>
    <x v="28"/>
    <x v="0"/>
    <n v="2900000"/>
    <n v="16650"/>
    <d v="2023-02-23T00:00:00"/>
    <s v="PAID"/>
    <x v="0"/>
    <n v="96570"/>
    <n v="1"/>
    <s v="Indonesia"/>
    <s v="KMT-KJT"/>
    <x v="0"/>
  </r>
  <r>
    <s v="CLICTRUCK-043915"/>
    <s v="export"/>
    <x v="28"/>
    <x v="0"/>
    <n v="2900000"/>
    <n v="16650"/>
    <d v="2023-02-23T00:00:00"/>
    <s v="PAID"/>
    <x v="0"/>
    <n v="96570"/>
    <n v="1"/>
    <s v="Indonesia"/>
    <s v="KMT-KJT"/>
    <x v="0"/>
  </r>
  <r>
    <s v="CLICTRUCK-043917"/>
    <s v="export"/>
    <x v="28"/>
    <x v="0"/>
    <n v="2900000"/>
    <n v="16650"/>
    <d v="2023-02-23T00:00:00"/>
    <s v="PAID"/>
    <x v="0"/>
    <n v="96570"/>
    <n v="1"/>
    <s v="Indonesia"/>
    <s v="KMT-KJT"/>
    <x v="0"/>
  </r>
  <r>
    <s v="CLICTRUCK-043919"/>
    <s v="export"/>
    <x v="28"/>
    <x v="0"/>
    <n v="2900000"/>
    <n v="16650"/>
    <d v="2023-02-23T00:00:00"/>
    <s v="PAID"/>
    <x v="0"/>
    <n v="96570"/>
    <n v="1"/>
    <s v="Indonesia"/>
    <s v="KMT-KJT"/>
    <x v="0"/>
  </r>
  <r>
    <s v="CLICTRUCK-043962"/>
    <s v="export"/>
    <x v="29"/>
    <x v="0"/>
    <n v="1500000"/>
    <n v="16650"/>
    <d v="2023-02-23T00:00:00"/>
    <s v="PAID"/>
    <x v="0"/>
    <n v="49950"/>
    <n v="1"/>
    <s v="Indonesia"/>
    <s v="KMT-KJT"/>
    <x v="0"/>
  </r>
  <r>
    <s v="CLICTRUCK-043963"/>
    <s v="export"/>
    <x v="29"/>
    <x v="0"/>
    <n v="2625000"/>
    <n v="16650"/>
    <d v="2023-02-23T00:00:00"/>
    <s v="PAID"/>
    <x v="0"/>
    <n v="87412"/>
    <n v="1"/>
    <s v="Indonesia"/>
    <s v="KMT-KJT"/>
    <x v="0"/>
  </r>
  <r>
    <s v="CLICTRUCK-043964"/>
    <s v="export"/>
    <x v="29"/>
    <x v="0"/>
    <n v="2625000"/>
    <n v="16650"/>
    <d v="2023-02-23T00:00:00"/>
    <s v="PAID"/>
    <x v="0"/>
    <n v="87412"/>
    <n v="1"/>
    <s v="Indonesia"/>
    <s v="KMT-KJT"/>
    <x v="0"/>
  </r>
  <r>
    <s v="CLICTRUCK-043965"/>
    <s v="import"/>
    <x v="29"/>
    <x v="0"/>
    <n v="2100000"/>
    <n v="16650"/>
    <d v="2023-02-23T00:00:00"/>
    <s v="PAID"/>
    <x v="0"/>
    <n v="69930"/>
    <n v="1"/>
    <s v="Indonesia"/>
    <s v="KMT-KJT"/>
    <x v="0"/>
  </r>
  <r>
    <s v="CLICTRUCK-043966"/>
    <s v="import"/>
    <x v="29"/>
    <x v="0"/>
    <n v="2100000"/>
    <n v="16650"/>
    <d v="2023-02-23T00:00:00"/>
    <s v="PAID"/>
    <x v="0"/>
    <n v="69930"/>
    <n v="1"/>
    <s v="Indonesia"/>
    <s v="KMT-KJT"/>
    <x v="0"/>
  </r>
  <r>
    <s v="CLICTRUCK-043967"/>
    <s v="export"/>
    <x v="29"/>
    <x v="0"/>
    <n v="2450000"/>
    <n v="16650"/>
    <d v="2023-03-09T00:00:00"/>
    <s v="PAID"/>
    <x v="0"/>
    <n v="81585"/>
    <n v="1"/>
    <s v="Indonesia"/>
    <s v="KMT-KJT"/>
    <x v="0"/>
  </r>
  <r>
    <s v="CLICTRUCK-043970"/>
    <s v="import"/>
    <x v="29"/>
    <x v="0"/>
    <n v="2675000"/>
    <n v="16650"/>
    <d v="2023-02-23T00:00:00"/>
    <s v="PAID"/>
    <x v="0"/>
    <n v="89077"/>
    <n v="1"/>
    <s v="Indonesia"/>
    <s v="KMT-KJT"/>
    <x v="0"/>
  </r>
  <r>
    <s v="CLICTRUCK-043975"/>
    <s v="export"/>
    <x v="29"/>
    <x v="0"/>
    <n v="2900000"/>
    <n v="16650"/>
    <d v="2023-03-06T00:00:00"/>
    <s v="PAID"/>
    <x v="0"/>
    <n v="96570"/>
    <n v="1"/>
    <s v="Indonesia"/>
    <s v="KMT-KJT"/>
    <x v="0"/>
  </r>
  <r>
    <s v="CLICTRUCK-043976"/>
    <s v="export"/>
    <x v="29"/>
    <x v="0"/>
    <n v="2900000"/>
    <n v="16650"/>
    <d v="2023-02-24T00:00:00"/>
    <s v="PAID"/>
    <x v="0"/>
    <n v="96570"/>
    <n v="1"/>
    <s v="Indonesia"/>
    <s v="KMT-KJT"/>
    <x v="0"/>
  </r>
  <r>
    <s v="CLICTRUCK-043979"/>
    <s v="export"/>
    <x v="29"/>
    <x v="0"/>
    <n v="2900000"/>
    <n v="16650"/>
    <d v="2023-02-24T00:00:00"/>
    <s v="PAID"/>
    <x v="0"/>
    <n v="96570"/>
    <n v="1"/>
    <s v="Indonesia"/>
    <s v="KMT-KJT"/>
    <x v="0"/>
  </r>
  <r>
    <s v="CLICTRUCK-043980"/>
    <s v="export"/>
    <x v="29"/>
    <x v="0"/>
    <n v="2900000"/>
    <n v="16650"/>
    <d v="2023-03-06T00:00:00"/>
    <s v="PAID"/>
    <x v="0"/>
    <n v="96570"/>
    <n v="1"/>
    <s v="Indonesia"/>
    <s v="KMT-KJT"/>
    <x v="0"/>
  </r>
  <r>
    <s v="CLICTRUCK-043985"/>
    <s v="export"/>
    <x v="29"/>
    <x v="0"/>
    <n v="2900000"/>
    <n v="16650"/>
    <d v="2023-02-24T00:00:00"/>
    <s v="PAID"/>
    <x v="0"/>
    <n v="96570"/>
    <n v="1"/>
    <s v="Indonesia"/>
    <s v="KMT-KJT"/>
    <x v="0"/>
  </r>
  <r>
    <s v="CLICTRUCK-043986"/>
    <s v="export"/>
    <x v="29"/>
    <x v="0"/>
    <n v="2900000"/>
    <n v="16650"/>
    <d v="2023-02-24T00:00:00"/>
    <s v="PAID"/>
    <x v="0"/>
    <n v="96570"/>
    <n v="1"/>
    <s v="Indonesia"/>
    <s v="KMT-KJT"/>
    <x v="0"/>
  </r>
  <r>
    <s v="CLICTRUCK-043987"/>
    <s v="export"/>
    <x v="29"/>
    <x v="0"/>
    <n v="2900000"/>
    <n v="16650"/>
    <d v="2023-02-24T00:00:00"/>
    <s v="PAID"/>
    <x v="0"/>
    <n v="96570"/>
    <n v="1"/>
    <s v="Indonesia"/>
    <s v="KMT-KJT"/>
    <x v="0"/>
  </r>
  <r>
    <s v="CLICTRUCK-043988"/>
    <s v="export"/>
    <x v="29"/>
    <x v="0"/>
    <n v="2900000"/>
    <n v="16650"/>
    <d v="2023-02-24T00:00:00"/>
    <s v="PAID"/>
    <x v="0"/>
    <n v="96570"/>
    <n v="1"/>
    <s v="Indonesia"/>
    <s v="KMT-KJT"/>
    <x v="0"/>
  </r>
  <r>
    <s v="CLICTRUCK-043989"/>
    <s v="export"/>
    <x v="29"/>
    <x v="0"/>
    <n v="2900000"/>
    <n v="16650"/>
    <d v="2023-02-23T00:00:00"/>
    <s v="PAID"/>
    <x v="0"/>
    <n v="96570"/>
    <n v="1"/>
    <s v="Indonesia"/>
    <s v="KMT-KJT"/>
    <x v="0"/>
  </r>
  <r>
    <s v="CLICTRUCK-043990"/>
    <s v="export"/>
    <x v="29"/>
    <x v="0"/>
    <n v="2900000"/>
    <n v="16650"/>
    <d v="2023-02-23T00:00:00"/>
    <s v="PAID"/>
    <x v="0"/>
    <n v="96570"/>
    <n v="1"/>
    <s v="Indonesia"/>
    <s v="KMT-KJT"/>
    <x v="0"/>
  </r>
  <r>
    <s v="CLICTRUCK-043998"/>
    <s v="export"/>
    <x v="29"/>
    <x v="0"/>
    <n v="2900000"/>
    <n v="16650"/>
    <d v="2023-02-24T00:00:00"/>
    <s v="PAID"/>
    <x v="0"/>
    <n v="96570"/>
    <n v="1"/>
    <s v="Indonesia"/>
    <s v="KMT-KJT"/>
    <x v="0"/>
  </r>
  <r>
    <s v="CLICTRUCK-043999"/>
    <s v="export"/>
    <x v="29"/>
    <x v="0"/>
    <n v="2900000"/>
    <n v="16650"/>
    <d v="2023-03-01T00:00:00"/>
    <s v="PAID"/>
    <x v="0"/>
    <n v="96570"/>
    <n v="1"/>
    <s v="Indonesia"/>
    <s v="KMT-KJT"/>
    <x v="0"/>
  </r>
  <r>
    <s v="CLICTRUCK-044000"/>
    <s v="export"/>
    <x v="29"/>
    <x v="0"/>
    <n v="2900000"/>
    <n v="16650"/>
    <d v="2023-03-01T00:00:00"/>
    <s v="PAID"/>
    <x v="0"/>
    <n v="96570"/>
    <n v="1"/>
    <s v="Indonesia"/>
    <s v="KMT-KJT"/>
    <x v="0"/>
  </r>
  <r>
    <s v="CLICTRUCK-044001"/>
    <s v="export"/>
    <x v="29"/>
    <x v="0"/>
    <n v="2900000"/>
    <n v="16650"/>
    <d v="2023-03-01T00:00:00"/>
    <s v="PAID"/>
    <x v="0"/>
    <n v="96570"/>
    <n v="1"/>
    <s v="Indonesia"/>
    <s v="KMT-KJT"/>
    <x v="0"/>
  </r>
  <r>
    <s v="CLICTRUCK-044002"/>
    <s v="export"/>
    <x v="29"/>
    <x v="0"/>
    <n v="2900000"/>
    <n v="16650"/>
    <d v="2023-03-01T00:00:00"/>
    <s v="PAID"/>
    <x v="0"/>
    <n v="96570"/>
    <n v="1"/>
    <s v="Indonesia"/>
    <s v="KMT-KJT"/>
    <x v="0"/>
  </r>
  <r>
    <s v="CLICTRUCK-044003"/>
    <s v="export"/>
    <x v="30"/>
    <x v="0"/>
    <n v="2900000"/>
    <n v="16650"/>
    <d v="2023-02-24T00:00:00"/>
    <s v="PAID"/>
    <x v="0"/>
    <n v="96570"/>
    <n v="1"/>
    <s v="Indonesia"/>
    <s v="KMT-KJT"/>
    <x v="0"/>
  </r>
  <r>
    <s v="CLICTRUCK-044018"/>
    <s v="export"/>
    <x v="30"/>
    <x v="0"/>
    <n v="2625000"/>
    <n v="16650"/>
    <d v="2023-03-01T00:00:00"/>
    <s v="PAID"/>
    <x v="0"/>
    <n v="87412"/>
    <n v="1"/>
    <s v="Indonesia"/>
    <s v="KMT-KJT"/>
    <x v="0"/>
  </r>
  <r>
    <s v="CLICTRUCK-044022"/>
    <s v="export"/>
    <x v="30"/>
    <x v="0"/>
    <n v="3062500"/>
    <n v="16650"/>
    <d v="2023-03-01T00:00:00"/>
    <s v="PAID"/>
    <x v="0"/>
    <n v="101981"/>
    <n v="1"/>
    <s v="Indonesia"/>
    <s v="KMT-KJT"/>
    <x v="0"/>
  </r>
  <r>
    <s v="CLICTRUCK-044025"/>
    <s v="export"/>
    <x v="30"/>
    <x v="0"/>
    <n v="2900000"/>
    <n v="16650"/>
    <d v="2023-03-01T00:00:00"/>
    <s v="PAID"/>
    <x v="0"/>
    <n v="96570"/>
    <n v="1"/>
    <s v="Indonesia"/>
    <s v="KMT-KJT"/>
    <x v="0"/>
  </r>
  <r>
    <s v="CLICTRUCK-044028"/>
    <s v="export"/>
    <x v="30"/>
    <x v="0"/>
    <n v="3062500"/>
    <n v="16650"/>
    <d v="2023-03-01T00:00:00"/>
    <s v="PAID"/>
    <x v="0"/>
    <n v="101981"/>
    <n v="1"/>
    <s v="Indonesia"/>
    <s v="KMT-KJT"/>
    <x v="0"/>
  </r>
  <r>
    <s v="CLICTRUCK-044033"/>
    <s v="export"/>
    <x v="30"/>
    <x v="0"/>
    <n v="2900000"/>
    <n v="16650"/>
    <d v="2023-03-01T00:00:00"/>
    <s v="PAID"/>
    <x v="0"/>
    <n v="96570"/>
    <n v="1"/>
    <s v="Indonesia"/>
    <s v="KMT-KJT"/>
    <x v="0"/>
  </r>
  <r>
    <s v="CLICTRUCK-044034"/>
    <s v="export"/>
    <x v="30"/>
    <x v="0"/>
    <n v="3062500"/>
    <n v="16650"/>
    <d v="2023-03-06T00:00:00"/>
    <s v="PAID"/>
    <x v="0"/>
    <n v="101981"/>
    <n v="1"/>
    <s v="Indonesia"/>
    <s v="KMT-KJT"/>
    <x v="0"/>
  </r>
  <r>
    <s v="CLICTRUCK-044036"/>
    <s v="export"/>
    <x v="30"/>
    <x v="0"/>
    <n v="3062500"/>
    <n v="16650"/>
    <d v="2023-03-01T00:00:00"/>
    <s v="PAID"/>
    <x v="0"/>
    <n v="101981"/>
    <n v="1"/>
    <s v="Indonesia"/>
    <s v="KMT-KJT"/>
    <x v="0"/>
  </r>
  <r>
    <s v="CLICTRUCK-044041"/>
    <s v="export"/>
    <x v="30"/>
    <x v="0"/>
    <n v="1125000"/>
    <n v="16650"/>
    <d v="2023-03-01T00:00:00"/>
    <s v="PAID"/>
    <x v="0"/>
    <n v="37462"/>
    <n v="1"/>
    <s v="Indonesia"/>
    <s v="KMT-KJT"/>
    <x v="0"/>
  </r>
  <r>
    <s v="CLICTRUCK-044044"/>
    <s v="export"/>
    <x v="30"/>
    <x v="0"/>
    <n v="2525000"/>
    <n v="16650"/>
    <d v="2023-03-01T00:00:00"/>
    <s v="PAID"/>
    <x v="0"/>
    <n v="84082"/>
    <n v="1"/>
    <s v="Indonesia"/>
    <s v="KMT-KJT"/>
    <x v="0"/>
  </r>
  <r>
    <s v="CLICTRUCK-044047"/>
    <s v="export"/>
    <x v="30"/>
    <x v="0"/>
    <n v="3125000"/>
    <n v="16650"/>
    <d v="2023-03-01T00:00:00"/>
    <s v="PAID"/>
    <x v="0"/>
    <n v="104062"/>
    <n v="1"/>
    <s v="Indonesia"/>
    <s v="KMT-KJT"/>
    <x v="0"/>
  </r>
  <r>
    <s v="CLICTRUCK-044051"/>
    <s v="export"/>
    <x v="30"/>
    <x v="0"/>
    <n v="1950000"/>
    <n v="16650"/>
    <d v="2023-03-06T00:00:00"/>
    <s v="PAID"/>
    <x v="0"/>
    <n v="64935"/>
    <n v="1"/>
    <s v="Indonesia"/>
    <s v="KMT-KJT"/>
    <x v="0"/>
  </r>
  <r>
    <s v="CLICTRUCK-044052"/>
    <s v="export"/>
    <x v="30"/>
    <x v="0"/>
    <n v="2460000"/>
    <n v="16650"/>
    <d v="2023-03-06T00:00:00"/>
    <s v="PAID"/>
    <x v="0"/>
    <n v="81918"/>
    <n v="1"/>
    <s v="Indonesia"/>
    <s v="KMT-KJT"/>
    <x v="0"/>
  </r>
  <r>
    <s v="CLICTRUCK-044053"/>
    <s v="export"/>
    <x v="30"/>
    <x v="0"/>
    <n v="2520000"/>
    <n v="16650"/>
    <d v="2023-03-01T00:00:00"/>
    <s v="PAID"/>
    <x v="0"/>
    <n v="83916"/>
    <n v="1"/>
    <s v="Indonesia"/>
    <s v="KMT-KJT"/>
    <x v="0"/>
  </r>
  <r>
    <s v="CLICTRUCK-044054"/>
    <s v="export"/>
    <x v="30"/>
    <x v="0"/>
    <n v="2520000"/>
    <n v="16650"/>
    <d v="2023-03-01T00:00:00"/>
    <s v="PAID"/>
    <x v="0"/>
    <n v="83916"/>
    <n v="1"/>
    <s v="Indonesia"/>
    <s v="KMT-KJT"/>
    <x v="0"/>
  </r>
  <r>
    <s v="CLICTRUCK-044055"/>
    <s v="export"/>
    <x v="30"/>
    <x v="0"/>
    <n v="1575000"/>
    <n v="16650"/>
    <d v="2023-03-06T00:00:00"/>
    <s v="PAID"/>
    <x v="0"/>
    <n v="52447"/>
    <n v="1"/>
    <s v="Indonesia"/>
    <s v="KMT-KJT"/>
    <x v="0"/>
  </r>
  <r>
    <s v="CLICTRUCK-044056"/>
    <s v="export"/>
    <x v="30"/>
    <x v="0"/>
    <n v="1000000"/>
    <n v="16650"/>
    <d v="2023-03-01T00:00:00"/>
    <s v="PAID"/>
    <x v="0"/>
    <n v="33300"/>
    <n v="1"/>
    <s v="Indonesia"/>
    <s v="KMT-KJT"/>
    <x v="0"/>
  </r>
  <r>
    <s v="CLICTRUCK-044058"/>
    <s v="import"/>
    <x v="30"/>
    <x v="1"/>
    <n v="11358540"/>
    <n v="139860"/>
    <d v="2023-02-10T00:00:00"/>
    <s v="PAID"/>
    <x v="1"/>
    <n v="252158"/>
    <n v="7"/>
    <s v="Indonesia"/>
    <s v="ESA - SASA"/>
    <x v="0"/>
  </r>
  <r>
    <s v="CLICTRUCK-044063"/>
    <s v="export"/>
    <x v="30"/>
    <x v="0"/>
    <n v="2787500"/>
    <n v="16650"/>
    <d v="2023-03-06T00:00:00"/>
    <s v="PAID"/>
    <x v="0"/>
    <n v="92823"/>
    <n v="1"/>
    <s v="Indonesia"/>
    <s v="KMT-KJT"/>
    <x v="0"/>
  </r>
  <r>
    <s v="CLICTRUCK-044064"/>
    <s v="import"/>
    <x v="30"/>
    <x v="1"/>
    <n v="1695750"/>
    <n v="19980"/>
    <d v="2023-02-10T00:00:00"/>
    <s v="PAID"/>
    <x v="1"/>
    <n v="37645"/>
    <n v="1"/>
    <s v="Indonesia"/>
    <s v="ESA - SASA"/>
    <x v="0"/>
  </r>
  <r>
    <s v="CLICTRUCK-044065"/>
    <s v="export"/>
    <x v="30"/>
    <x v="0"/>
    <n v="2625000"/>
    <n v="16650"/>
    <d v="2023-03-09T00:00:00"/>
    <s v="PAID"/>
    <x v="0"/>
    <n v="87412"/>
    <n v="1"/>
    <s v="Indonesia"/>
    <s v="KMT-KJT"/>
    <x v="0"/>
  </r>
  <r>
    <s v="CLICTRUCK-044066"/>
    <s v="export"/>
    <x v="30"/>
    <x v="0"/>
    <n v="2625000"/>
    <n v="16650"/>
    <d v="2023-03-06T00:00:00"/>
    <s v="PAID"/>
    <x v="0"/>
    <n v="87412"/>
    <n v="1"/>
    <s v="Indonesia"/>
    <s v="KMT-KJT"/>
    <x v="0"/>
  </r>
  <r>
    <s v="CLICTRUCK-044067"/>
    <s v="export"/>
    <x v="30"/>
    <x v="0"/>
    <n v="2525000"/>
    <n v="16650"/>
    <d v="2023-03-06T00:00:00"/>
    <s v="PAID"/>
    <x v="0"/>
    <n v="84082"/>
    <n v="1"/>
    <s v="Indonesia"/>
    <s v="KMT-KJT"/>
    <x v="0"/>
  </r>
  <r>
    <s v="CLICTRUCK-044069"/>
    <s v="export"/>
    <x v="30"/>
    <x v="0"/>
    <n v="1325000"/>
    <n v="16650"/>
    <d v="2023-03-06T00:00:00"/>
    <s v="PAID"/>
    <x v="0"/>
    <n v="44122"/>
    <n v="1"/>
    <s v="Indonesia"/>
    <s v="KMT-KJT"/>
    <x v="0"/>
  </r>
  <r>
    <s v="CLICTRUCK-044070"/>
    <s v="export"/>
    <x v="30"/>
    <x v="0"/>
    <n v="4650000"/>
    <n v="16650"/>
    <d v="2023-03-06T00:00:00"/>
    <s v="PAID"/>
    <x v="0"/>
    <n v="154845"/>
    <n v="1"/>
    <s v="Indonesia"/>
    <s v="KMT-KJT"/>
    <x v="0"/>
  </r>
  <r>
    <s v="CLICTRUCK-044072"/>
    <s v="export"/>
    <x v="30"/>
    <x v="0"/>
    <n v="2475000"/>
    <n v="16650"/>
    <d v="2023-03-06T00:00:00"/>
    <s v="PAID"/>
    <x v="0"/>
    <n v="82417"/>
    <n v="1"/>
    <s v="Indonesia"/>
    <s v="KMT-KJT"/>
    <x v="0"/>
  </r>
  <r>
    <s v="CLICTRUCK-044073"/>
    <s v="export"/>
    <x v="30"/>
    <x v="0"/>
    <n v="3125000"/>
    <n v="16650"/>
    <d v="2023-03-06T00:00:00"/>
    <s v="PAID"/>
    <x v="0"/>
    <n v="104062"/>
    <n v="1"/>
    <s v="Indonesia"/>
    <s v="KMT-KJT"/>
    <x v="0"/>
  </r>
  <r>
    <s v="CLICTRUCK-044074"/>
    <s v="export"/>
    <x v="30"/>
    <x v="0"/>
    <n v="1875000"/>
    <n v="16650"/>
    <d v="2023-03-06T00:00:00"/>
    <s v="PAID"/>
    <x v="0"/>
    <n v="62437"/>
    <n v="1"/>
    <s v="Indonesia"/>
    <s v="KMT-KJT"/>
    <x v="0"/>
  </r>
  <r>
    <s v="CLICTRUCK-044075"/>
    <s v="export"/>
    <x v="30"/>
    <x v="0"/>
    <n v="2475000"/>
    <n v="16650"/>
    <d v="2023-03-06T00:00:00"/>
    <s v="PAID"/>
    <x v="0"/>
    <n v="82417"/>
    <n v="1"/>
    <s v="Indonesia"/>
    <s v="KMT-KJT"/>
    <x v="0"/>
  </r>
  <r>
    <s v="CLICTRUCK-044076"/>
    <s v="export"/>
    <x v="30"/>
    <x v="0"/>
    <n v="1575000"/>
    <n v="16650"/>
    <d v="2023-03-06T00:00:00"/>
    <s v="PAID"/>
    <x v="0"/>
    <n v="52447"/>
    <n v="1"/>
    <s v="Indonesia"/>
    <s v="KMT-KJT"/>
    <x v="0"/>
  </r>
  <r>
    <s v="CLICTRUCK-044086"/>
    <s v="import"/>
    <x v="30"/>
    <x v="1"/>
    <n v="13359935"/>
    <n v="159840"/>
    <d v="2023-02-10T00:00:00"/>
    <s v="PAID"/>
    <x v="1"/>
    <n v="296589"/>
    <n v="8"/>
    <s v="Indonesia"/>
    <s v="ESA - SASA"/>
    <x v="0"/>
  </r>
  <r>
    <s v="CLICTRUCK-044087"/>
    <s v="export"/>
    <x v="31"/>
    <x v="3"/>
    <n v="2000000"/>
    <n v="27750"/>
    <d v="2023-04-06T00:00:00"/>
    <s v="UNPAID"/>
    <x v="2"/>
    <n v="44400"/>
    <n v="1"/>
    <s v="Indonesia"/>
    <s v="DLS-KAS"/>
    <x v="0"/>
  </r>
  <r>
    <s v="CLICTRUCK-044088"/>
    <s v="export"/>
    <x v="31"/>
    <x v="3"/>
    <n v="6000000"/>
    <n v="83250"/>
    <d v="2023-04-06T00:00:00"/>
    <s v="UNPAID"/>
    <x v="2"/>
    <n v="133200"/>
    <n v="3"/>
    <s v="Indonesia"/>
    <s v="DLS-KAS"/>
    <x v="0"/>
  </r>
  <r>
    <s v="CLICTRUCK-044089"/>
    <s v="export"/>
    <x v="31"/>
    <x v="3"/>
    <n v="2000000"/>
    <n v="27750"/>
    <d v="2023-04-06T00:00:00"/>
    <s v="UNPAID"/>
    <x v="2"/>
    <n v="44400"/>
    <n v="1"/>
    <s v="Indonesia"/>
    <s v="DLS-KAS"/>
    <x v="0"/>
  </r>
  <r>
    <s v="CLICTRUCK-044090"/>
    <s v="export"/>
    <x v="31"/>
    <x v="3"/>
    <n v="2000000"/>
    <n v="27750"/>
    <d v="2023-04-06T00:00:00"/>
    <s v="UNPAID"/>
    <x v="2"/>
    <n v="44400"/>
    <n v="1"/>
    <s v="Indonesia"/>
    <s v="DLS-KAS"/>
    <x v="0"/>
  </r>
  <r>
    <s v="CLICTRUCK-044091"/>
    <s v="import"/>
    <x v="31"/>
    <x v="1"/>
    <n v="12450267"/>
    <n v="159840"/>
    <d v="2023-02-10T00:00:00"/>
    <s v="PAID"/>
    <x v="1"/>
    <n v="276395"/>
    <n v="8"/>
    <s v="Indonesia"/>
    <s v="ESA - SASA"/>
    <x v="0"/>
  </r>
  <r>
    <s v="CLICTRUCK-044092"/>
    <s v="export"/>
    <x v="31"/>
    <x v="0"/>
    <n v="3250000"/>
    <n v="16650"/>
    <d v="2023-03-06T00:00:00"/>
    <s v="PAID"/>
    <x v="0"/>
    <n v="108225"/>
    <n v="1"/>
    <s v="Indonesia"/>
    <s v="KMT-KJT"/>
    <x v="0"/>
  </r>
  <r>
    <s v="CLICTRUCK-044093"/>
    <s v="export"/>
    <x v="31"/>
    <x v="0"/>
    <n v="3250000"/>
    <n v="16650"/>
    <d v="2023-03-06T00:00:00"/>
    <s v="PAID"/>
    <x v="0"/>
    <n v="108225"/>
    <n v="1"/>
    <s v="Indonesia"/>
    <s v="KMT-KJT"/>
    <x v="0"/>
  </r>
  <r>
    <s v="CLICTRUCK-044094"/>
    <s v="import"/>
    <x v="31"/>
    <x v="1"/>
    <n v="15671843"/>
    <n v="259740"/>
    <d v="2023-02-10T00:00:00"/>
    <s v="PAID"/>
    <x v="1"/>
    <n v="347913"/>
    <n v="13"/>
    <s v="Indonesia"/>
    <s v="ESA - SASA"/>
    <x v="0"/>
  </r>
  <r>
    <s v="CLICTRUCK-044097"/>
    <s v="import"/>
    <x v="31"/>
    <x v="1"/>
    <n v="2340000"/>
    <n v="59940"/>
    <d v="2023-02-10T00:00:00"/>
    <s v="PAID"/>
    <x v="1"/>
    <n v="51948"/>
    <n v="3"/>
    <s v="Indonesia"/>
    <s v="ESA - SASA"/>
    <x v="0"/>
  </r>
  <r>
    <s v="CLICTRUCK-044100"/>
    <s v="import"/>
    <x v="31"/>
    <x v="1"/>
    <n v="13913250"/>
    <n v="159840"/>
    <d v="2023-02-10T00:00:00"/>
    <s v="PAID"/>
    <x v="1"/>
    <n v="308874"/>
    <n v="8"/>
    <s v="Indonesia"/>
    <s v="ESA - SASA"/>
    <x v="0"/>
  </r>
  <r>
    <s v="CLICTRUCK-044103"/>
    <s v="export"/>
    <x v="32"/>
    <x v="0"/>
    <n v="875000"/>
    <n v="16650"/>
    <d v="2023-03-06T00:00:00"/>
    <s v="PAID"/>
    <x v="0"/>
    <n v="29137"/>
    <n v="1"/>
    <s v="Indonesia"/>
    <s v="KMT-KJT"/>
    <x v="0"/>
  </r>
  <r>
    <s v="CLICTRUCK-044107"/>
    <s v="export"/>
    <x v="32"/>
    <x v="0"/>
    <n v="1125000"/>
    <n v="16650"/>
    <d v="2023-03-06T00:00:00"/>
    <s v="PAID"/>
    <x v="0"/>
    <n v="37462"/>
    <n v="1"/>
    <s v="Indonesia"/>
    <s v="KMT-KJT"/>
    <x v="0"/>
  </r>
  <r>
    <s v="CLICTRUCK-044108"/>
    <s v="export"/>
    <x v="32"/>
    <x v="3"/>
    <n v="2000000"/>
    <n v="27750"/>
    <d v="2023-04-06T00:00:00"/>
    <s v="UNPAID"/>
    <x v="2"/>
    <n v="44400"/>
    <n v="1"/>
    <s v="Indonesia"/>
    <s v="DLS-KAS"/>
    <x v="0"/>
  </r>
  <r>
    <s v="CLICTRUCK-044109"/>
    <s v="export"/>
    <x v="32"/>
    <x v="3"/>
    <n v="2000000"/>
    <n v="27750"/>
    <d v="2023-04-06T00:00:00"/>
    <s v="UNPAID"/>
    <x v="2"/>
    <n v="44400"/>
    <n v="1"/>
    <s v="Indonesia"/>
    <s v="DLS-KAS"/>
    <x v="0"/>
  </r>
  <r>
    <s v="CLICTRUCK-044110"/>
    <s v="export"/>
    <x v="32"/>
    <x v="3"/>
    <n v="2000000"/>
    <n v="27750"/>
    <d v="2023-04-06T00:00:00"/>
    <s v="UNPAID"/>
    <x v="2"/>
    <n v="44400"/>
    <n v="1"/>
    <s v="Indonesia"/>
    <s v="DLS-KAS"/>
    <x v="0"/>
  </r>
  <r>
    <s v="CLICTRUCK-044111"/>
    <s v="export"/>
    <x v="32"/>
    <x v="3"/>
    <n v="4000000"/>
    <n v="55500"/>
    <d v="2023-04-06T00:00:00"/>
    <s v="UNPAID"/>
    <x v="2"/>
    <n v="88800"/>
    <n v="2"/>
    <s v="Indonesia"/>
    <s v="DLS-KAS"/>
    <x v="0"/>
  </r>
  <r>
    <s v="CLICTRUCK-044114"/>
    <s v="import"/>
    <x v="33"/>
    <x v="2"/>
    <n v="3840000"/>
    <n v="55500"/>
    <d v="2023-02-14T00:00:00"/>
    <s v="PAID"/>
    <x v="2"/>
    <n v="85248"/>
    <n v="2"/>
    <s v="Indonesia"/>
    <s v="MAS-KAS"/>
    <x v="0"/>
  </r>
  <r>
    <s v="CLICTRUCK-044115"/>
    <s v="export"/>
    <x v="33"/>
    <x v="0"/>
    <n v="2625000"/>
    <n v="16650"/>
    <d v="2023-03-06T00:00:00"/>
    <s v="PAID"/>
    <x v="0"/>
    <n v="87412"/>
    <n v="1"/>
    <s v="Indonesia"/>
    <s v="KMT-KJT"/>
    <x v="0"/>
  </r>
  <r>
    <s v="CLICTRUCK-044116"/>
    <s v="export"/>
    <x v="33"/>
    <x v="0"/>
    <n v="2625000"/>
    <n v="16650"/>
    <d v="2023-03-06T00:00:00"/>
    <s v="PAID"/>
    <x v="0"/>
    <n v="87412"/>
    <n v="1"/>
    <s v="Indonesia"/>
    <s v="KMT-KJT"/>
    <x v="0"/>
  </r>
  <r>
    <s v="CLICTRUCK-044117"/>
    <s v="export"/>
    <x v="33"/>
    <x v="0"/>
    <n v="1440000"/>
    <n v="16650"/>
    <d v="2023-03-06T00:00:00"/>
    <s v="PAID"/>
    <x v="0"/>
    <n v="47952"/>
    <n v="1"/>
    <s v="Indonesia"/>
    <s v="KMT-KJT"/>
    <x v="0"/>
  </r>
  <r>
    <s v="CLICTRUCK-044118"/>
    <s v="export"/>
    <x v="33"/>
    <x v="0"/>
    <n v="2520000"/>
    <n v="16650"/>
    <d v="2023-03-09T00:00:00"/>
    <s v="PAID"/>
    <x v="0"/>
    <n v="83916"/>
    <n v="1"/>
    <s v="Indonesia"/>
    <s v="KMT-KJT"/>
    <x v="0"/>
  </r>
  <r>
    <s v="CLICTRUCK-044128"/>
    <s v="import"/>
    <x v="34"/>
    <x v="0"/>
    <n v="3000000"/>
    <n v="16650"/>
    <d v="2023-03-09T00:00:00"/>
    <s v="PAID"/>
    <x v="0"/>
    <n v="99900"/>
    <n v="1"/>
    <s v="Indonesia"/>
    <s v="KMT-KJT"/>
    <x v="0"/>
  </r>
  <r>
    <s v="CLICTRUCK-044129"/>
    <s v="export"/>
    <x v="34"/>
    <x v="0"/>
    <n v="2250000"/>
    <n v="16650"/>
    <d v="2023-03-09T00:00:00"/>
    <s v="PAID"/>
    <x v="0"/>
    <n v="74925"/>
    <n v="1"/>
    <s v="Indonesia"/>
    <s v="KMT-KJT"/>
    <x v="0"/>
  </r>
  <r>
    <s v="CLICTRUCK-044130"/>
    <s v="import"/>
    <x v="34"/>
    <x v="0"/>
    <n v="1175000"/>
    <n v="16650"/>
    <d v="2023-03-06T00:00:00"/>
    <s v="PAID"/>
    <x v="0"/>
    <n v="39127"/>
    <n v="1"/>
    <s v="Indonesia"/>
    <s v="KMT-KJT"/>
    <x v="0"/>
  </r>
  <r>
    <s v="CLICTRUCK-044141"/>
    <s v="export"/>
    <x v="34"/>
    <x v="0"/>
    <n v="2625000"/>
    <n v="16650"/>
    <d v="2023-03-06T00:00:00"/>
    <s v="PAID"/>
    <x v="0"/>
    <n v="87412"/>
    <n v="1"/>
    <s v="Indonesia"/>
    <s v="KMT-KJT"/>
    <x v="0"/>
  </r>
  <r>
    <s v="CLICTRUCK-044142"/>
    <s v="export"/>
    <x v="34"/>
    <x v="0"/>
    <n v="3000000"/>
    <n v="16650"/>
    <d v="2023-03-06T00:00:00"/>
    <s v="PAID"/>
    <x v="0"/>
    <n v="99900"/>
    <n v="1"/>
    <s v="Indonesia"/>
    <s v="KMT-KJT"/>
    <x v="0"/>
  </r>
  <r>
    <s v="CLICTRUCK-044143"/>
    <s v="export"/>
    <x v="34"/>
    <x v="0"/>
    <n v="2520000"/>
    <n v="16650"/>
    <d v="2023-03-06T00:00:00"/>
    <s v="PAID"/>
    <x v="0"/>
    <n v="83916"/>
    <n v="1"/>
    <s v="Indonesia"/>
    <s v="KMT-KJT"/>
    <x v="0"/>
  </r>
  <r>
    <s v="CLICTRUCK-044144"/>
    <s v="export"/>
    <x v="34"/>
    <x v="0"/>
    <n v="1500000"/>
    <n v="16650"/>
    <d v="2023-03-06T00:00:00"/>
    <s v="PAID"/>
    <x v="0"/>
    <n v="49950"/>
    <n v="1"/>
    <s v="Indonesia"/>
    <s v="KMT-KJT"/>
    <x v="0"/>
  </r>
  <r>
    <s v="CLICTRUCK-044145"/>
    <s v="export"/>
    <x v="34"/>
    <x v="0"/>
    <n v="2625000"/>
    <n v="16650"/>
    <d v="2023-03-10T00:00:00"/>
    <s v="PAID"/>
    <x v="0"/>
    <n v="87412"/>
    <n v="1"/>
    <s v="Indonesia"/>
    <s v="KMT-KJT"/>
    <x v="0"/>
  </r>
  <r>
    <s v="CLICTRUCK-044155"/>
    <s v="export"/>
    <x v="35"/>
    <x v="0"/>
    <n v="1950000"/>
    <n v="16650"/>
    <d v="2023-03-10T00:00:00"/>
    <s v="PAID"/>
    <x v="0"/>
    <n v="64935"/>
    <n v="1"/>
    <s v="Indonesia"/>
    <s v="KMT-KJT"/>
    <x v="0"/>
  </r>
  <r>
    <s v="CLICTRUCK-044156"/>
    <s v="export"/>
    <x v="35"/>
    <x v="0"/>
    <n v="2625000"/>
    <n v="16650"/>
    <d v="2023-03-10T00:00:00"/>
    <s v="PAID"/>
    <x v="0"/>
    <n v="87412"/>
    <n v="1"/>
    <s v="Indonesia"/>
    <s v="KMT-KJT"/>
    <x v="0"/>
  </r>
  <r>
    <s v="CLICTRUCK-044157"/>
    <s v="export"/>
    <x v="35"/>
    <x v="0"/>
    <n v="2575000"/>
    <n v="16650"/>
    <d v="2023-03-10T00:00:00"/>
    <s v="PAID"/>
    <x v="0"/>
    <n v="85747"/>
    <n v="1"/>
    <s v="Indonesia"/>
    <s v="KMT-KJT"/>
    <x v="0"/>
  </r>
  <r>
    <s v="CLICTRUCK-044158"/>
    <s v="export"/>
    <x v="35"/>
    <x v="0"/>
    <n v="1125000"/>
    <n v="16650"/>
    <d v="2023-03-10T00:00:00"/>
    <s v="PAID"/>
    <x v="0"/>
    <n v="37462"/>
    <n v="1"/>
    <s v="Indonesia"/>
    <s v="KMT-KJT"/>
    <x v="0"/>
  </r>
  <r>
    <s v="CLICTRUCK-044159"/>
    <s v="export"/>
    <x v="35"/>
    <x v="0"/>
    <n v="1700000"/>
    <n v="16650"/>
    <d v="2023-03-10T00:00:00"/>
    <s v="PAID"/>
    <x v="0"/>
    <n v="56610"/>
    <n v="1"/>
    <s v="Indonesia"/>
    <s v="KMT-KJT"/>
    <x v="0"/>
  </r>
  <r>
    <s v="CLICTRUCK-044160"/>
    <s v="export"/>
    <x v="35"/>
    <x v="0"/>
    <n v="1440000"/>
    <n v="16650"/>
    <d v="2023-03-09T00:00:00"/>
    <s v="PAID"/>
    <x v="0"/>
    <n v="47952"/>
    <n v="1"/>
    <s v="Indonesia"/>
    <s v="KMT-KJT"/>
    <x v="0"/>
  </r>
  <r>
    <s v="CLICTRUCK-044179"/>
    <s v="export"/>
    <x v="36"/>
    <x v="0"/>
    <n v="2787500"/>
    <n v="16650"/>
    <d v="2023-03-09T00:00:00"/>
    <s v="PAID"/>
    <x v="0"/>
    <n v="92823"/>
    <n v="1"/>
    <s v="Indonesia"/>
    <s v="KMT-KJT"/>
    <x v="0"/>
  </r>
  <r>
    <s v="CLICTRUCK-044180"/>
    <s v="export"/>
    <x v="36"/>
    <x v="0"/>
    <n v="2625000"/>
    <n v="16650"/>
    <d v="2023-03-09T00:00:00"/>
    <s v="PAID"/>
    <x v="0"/>
    <n v="87412"/>
    <n v="1"/>
    <s v="Indonesia"/>
    <s v="KMT-KJT"/>
    <x v="0"/>
  </r>
  <r>
    <s v="CLICTRUCK-044181"/>
    <s v="export"/>
    <x v="36"/>
    <x v="0"/>
    <n v="2787500"/>
    <n v="16650"/>
    <d v="2023-03-09T00:00:00"/>
    <s v="PAID"/>
    <x v="0"/>
    <n v="92823"/>
    <n v="1"/>
    <s v="Indonesia"/>
    <s v="KMT-KJT"/>
    <x v="0"/>
  </r>
  <r>
    <s v="CLICTRUCK-044188"/>
    <s v="export"/>
    <x v="36"/>
    <x v="0"/>
    <n v="3250000"/>
    <n v="16650"/>
    <d v="2023-03-09T00:00:00"/>
    <s v="PAID"/>
    <x v="0"/>
    <n v="108225"/>
    <n v="1"/>
    <s v="Indonesia"/>
    <s v="KMT-KJT"/>
    <x v="0"/>
  </r>
  <r>
    <s v="CLICTRUCK-044191"/>
    <s v="export"/>
    <x v="37"/>
    <x v="0"/>
    <n v="2950000"/>
    <n v="16650"/>
    <d v="2023-03-09T00:00:00"/>
    <s v="PAID"/>
    <x v="0"/>
    <n v="98235"/>
    <n v="1"/>
    <s v="Indonesia"/>
    <s v="KMT-KJT"/>
    <x v="0"/>
  </r>
  <r>
    <s v="CLICTRUCK-044193"/>
    <s v="export"/>
    <x v="37"/>
    <x v="0"/>
    <n v="2950000"/>
    <n v="16650"/>
    <d v="2023-03-09T00:00:00"/>
    <s v="PAID"/>
    <x v="0"/>
    <n v="98235"/>
    <n v="1"/>
    <s v="Indonesia"/>
    <s v="KMT-KJT"/>
    <x v="0"/>
  </r>
  <r>
    <s v="CLICTRUCK-044195"/>
    <s v="export"/>
    <x v="37"/>
    <x v="0"/>
    <n v="2950000"/>
    <n v="16650"/>
    <d v="2023-03-09T00:00:00"/>
    <s v="PAID"/>
    <x v="0"/>
    <n v="98235"/>
    <n v="1"/>
    <s v="Indonesia"/>
    <s v="KMT-KJT"/>
    <x v="0"/>
  </r>
  <r>
    <s v="CLICTRUCK-044197"/>
    <s v="export"/>
    <x v="37"/>
    <x v="0"/>
    <n v="1950000"/>
    <n v="16650"/>
    <d v="2023-03-09T00:00:00"/>
    <s v="PAID"/>
    <x v="0"/>
    <n v="64935"/>
    <n v="1"/>
    <s v="Indonesia"/>
    <s v="KMT-KJT"/>
    <x v="0"/>
  </r>
  <r>
    <s v="CLICTRUCK-044200"/>
    <s v="export"/>
    <x v="37"/>
    <x v="0"/>
    <n v="3075000"/>
    <n v="16650"/>
    <d v="2023-03-09T00:00:00"/>
    <s v="PAID"/>
    <x v="0"/>
    <n v="102397"/>
    <n v="1"/>
    <s v="Indonesia"/>
    <s v="KMT-KJT"/>
    <x v="0"/>
  </r>
  <r>
    <s v="CLICTRUCK-044204"/>
    <s v="import"/>
    <x v="37"/>
    <x v="4"/>
    <n v="8000000"/>
    <n v="266400"/>
    <d v="2023-03-10T00:00:00"/>
    <s v="PAID"/>
    <x v="3"/>
    <m/>
    <n v="5"/>
    <s v="Indonesia"/>
    <s v="CJM-BMS"/>
    <x v="0"/>
  </r>
  <r>
    <s v="CLICTRUCK-044205"/>
    <s v="import"/>
    <x v="37"/>
    <x v="4"/>
    <n v="16000000"/>
    <n v="532800"/>
    <d v="2023-03-10T00:00:00"/>
    <s v="PAID"/>
    <x v="3"/>
    <m/>
    <n v="10"/>
    <s v="Indonesia"/>
    <s v="CJM-BMS"/>
    <x v="0"/>
  </r>
  <r>
    <s v="CLICTRUCK-044207"/>
    <s v="export"/>
    <x v="37"/>
    <x v="6"/>
    <n v="45500000"/>
    <n v="27750"/>
    <d v="2023-02-19T00:00:00"/>
    <s v="PAID"/>
    <x v="5"/>
    <n v="2020200"/>
    <n v="1"/>
    <s v="Indonesia"/>
    <s v="DSB - PLG"/>
    <x v="0"/>
  </r>
  <r>
    <s v="CLICTRUCK-044208"/>
    <s v="import"/>
    <x v="37"/>
    <x v="1"/>
    <n v="12508500"/>
    <n v="139860"/>
    <d v="2023-02-18T00:00:00"/>
    <s v="PAID"/>
    <x v="1"/>
    <n v="277688"/>
    <n v="7"/>
    <s v="Indonesia"/>
    <s v="ESA - SASA"/>
    <x v="0"/>
  </r>
  <r>
    <s v="CLICTRUCK-044209"/>
    <s v="import"/>
    <x v="37"/>
    <x v="1"/>
    <n v="14051650"/>
    <n v="159840"/>
    <d v="2023-02-18T00:00:00"/>
    <s v="PAID"/>
    <x v="1"/>
    <n v="311946"/>
    <n v="8"/>
    <s v="Indonesia"/>
    <s v="ESA - SASA"/>
    <x v="0"/>
  </r>
  <r>
    <s v="CLICTRUCK-044210"/>
    <s v="import"/>
    <x v="37"/>
    <x v="1"/>
    <n v="8080150"/>
    <n v="139860"/>
    <d v="2023-02-18T00:00:00"/>
    <s v="PAID"/>
    <x v="1"/>
    <n v="179379"/>
    <n v="7"/>
    <s v="Indonesia"/>
    <s v="ESA - SASA"/>
    <x v="0"/>
  </r>
  <r>
    <s v="CLICTRUCK-044211"/>
    <s v="import"/>
    <x v="37"/>
    <x v="1"/>
    <n v="780000"/>
    <n v="19980"/>
    <d v="2023-02-18T00:00:00"/>
    <s v="PAID"/>
    <x v="1"/>
    <n v="17316"/>
    <n v="1"/>
    <s v="Indonesia"/>
    <s v="ESA - SASA"/>
    <x v="0"/>
  </r>
  <r>
    <s v="CLICTRUCK-044212"/>
    <s v="import"/>
    <x v="37"/>
    <x v="1"/>
    <n v="13102680"/>
    <n v="119880"/>
    <d v="2023-02-18T00:00:00"/>
    <s v="PAID"/>
    <x v="1"/>
    <n v="290878"/>
    <n v="6"/>
    <s v="Indonesia"/>
    <s v="ESA - SASA"/>
    <x v="0"/>
  </r>
  <r>
    <s v="CLICTRUCK-044213"/>
    <s v="export"/>
    <x v="38"/>
    <x v="5"/>
    <n v="4998000"/>
    <n v="88800"/>
    <d v="2023-02-18T00:00:00"/>
    <s v="PAID"/>
    <x v="4"/>
    <m/>
    <n v="4"/>
    <s v="Indonesia"/>
    <s v="GLT-Elemen"/>
    <x v="0"/>
  </r>
  <r>
    <s v="CLICTRUCK-044214"/>
    <s v="export"/>
    <x v="38"/>
    <x v="5"/>
    <n v="17444000"/>
    <n v="310800"/>
    <d v="2023-02-18T00:00:00"/>
    <s v="PAID"/>
    <x v="4"/>
    <m/>
    <n v="14"/>
    <s v="Indonesia"/>
    <s v="GLT-Elemen"/>
    <x v="0"/>
  </r>
  <r>
    <s v="CLICTRUCK-044215"/>
    <s v="import"/>
    <x v="38"/>
    <x v="1"/>
    <n v="2481500"/>
    <n v="19980"/>
    <d v="2023-02-19T00:00:00"/>
    <s v="PAID"/>
    <x v="1"/>
    <n v="55089"/>
    <n v="1"/>
    <s v="Indonesia"/>
    <s v="ESA - SASA"/>
    <x v="0"/>
  </r>
  <r>
    <s v="CLICTRUCK-044216"/>
    <s v="import"/>
    <x v="38"/>
    <x v="1"/>
    <n v="5271000"/>
    <n v="39960"/>
    <d v="2023-02-19T00:00:00"/>
    <s v="PAID"/>
    <x v="1"/>
    <n v="117016"/>
    <n v="2"/>
    <s v="Indonesia"/>
    <s v="ESA - SASA"/>
    <x v="0"/>
  </r>
  <r>
    <s v="CLICTRUCK-044217"/>
    <s v="import"/>
    <x v="38"/>
    <x v="1"/>
    <n v="2449000"/>
    <n v="19980"/>
    <d v="2023-02-19T00:00:00"/>
    <s v="PAID"/>
    <x v="1"/>
    <n v="54367"/>
    <n v="1"/>
    <s v="Indonesia"/>
    <s v="ESA - SASA"/>
    <x v="0"/>
  </r>
  <r>
    <s v="CLICTRUCK-044218"/>
    <s v="import"/>
    <x v="38"/>
    <x v="1"/>
    <n v="2363000"/>
    <n v="19980"/>
    <d v="2023-02-19T00:00:00"/>
    <s v="PAID"/>
    <x v="1"/>
    <n v="52458"/>
    <n v="1"/>
    <s v="Indonesia"/>
    <s v="ESA - SASA"/>
    <x v="0"/>
  </r>
  <r>
    <s v="CLICTRUCK-044219"/>
    <s v="import"/>
    <x v="38"/>
    <x v="1"/>
    <n v="2514500"/>
    <n v="19980"/>
    <d v="2023-02-19T00:00:00"/>
    <s v="PAID"/>
    <x v="1"/>
    <n v="55821"/>
    <n v="1"/>
    <s v="Indonesia"/>
    <s v="ESA - SASA"/>
    <x v="0"/>
  </r>
  <r>
    <s v="CLICTRUCK-044220"/>
    <s v="import"/>
    <x v="38"/>
    <x v="1"/>
    <n v="2536500"/>
    <n v="19980"/>
    <d v="2023-02-19T00:00:00"/>
    <s v="PAID"/>
    <x v="1"/>
    <n v="56310"/>
    <n v="1"/>
    <s v="Indonesia"/>
    <s v="ESA - SASA"/>
    <x v="0"/>
  </r>
  <r>
    <s v="CLICTRUCK-044221"/>
    <s v="import"/>
    <x v="38"/>
    <x v="1"/>
    <n v="1955100"/>
    <n v="19980"/>
    <d v="2023-02-19T00:00:00"/>
    <s v="PAID"/>
    <x v="1"/>
    <n v="43403"/>
    <n v="1"/>
    <s v="Indonesia"/>
    <s v="ESA - SASA"/>
    <x v="0"/>
  </r>
  <r>
    <s v="CLICTRUCK-044222"/>
    <s v="export"/>
    <x v="38"/>
    <x v="1"/>
    <n v="1815000"/>
    <n v="19980"/>
    <d v="2023-02-19T00:00:00"/>
    <s v="PAID"/>
    <x v="1"/>
    <n v="40293"/>
    <n v="1"/>
    <s v="Indonesia"/>
    <s v="ESA - SASA"/>
    <x v="0"/>
  </r>
  <r>
    <s v="CLICTRUCK-044224"/>
    <s v="import"/>
    <x v="38"/>
    <x v="1"/>
    <n v="4193200"/>
    <n v="39960"/>
    <d v="2023-02-19T00:00:00"/>
    <s v="PAID"/>
    <x v="1"/>
    <n v="93089"/>
    <n v="2"/>
    <s v="Indonesia"/>
    <s v="ESA - SASA"/>
    <x v="0"/>
  </r>
  <r>
    <s v="CLICTRUCK-044225"/>
    <s v="export"/>
    <x v="39"/>
    <x v="1"/>
    <n v="5060000"/>
    <n v="39960"/>
    <d v="2023-02-19T00:00:00"/>
    <s v="PAID"/>
    <x v="1"/>
    <n v="112332"/>
    <n v="2"/>
    <s v="Indonesia"/>
    <s v="ESA - SASA"/>
    <x v="0"/>
  </r>
  <r>
    <s v="CLICTRUCK-044226"/>
    <s v="import"/>
    <x v="39"/>
    <x v="1"/>
    <n v="1909500"/>
    <n v="19980"/>
    <d v="2023-02-19T00:00:00"/>
    <s v="PAID"/>
    <x v="1"/>
    <n v="42390"/>
    <n v="1"/>
    <s v="Indonesia"/>
    <s v="ESA - SASA"/>
    <x v="0"/>
  </r>
  <r>
    <s v="CLICTRUCK-044227"/>
    <s v="export"/>
    <x v="39"/>
    <x v="0"/>
    <n v="1950000"/>
    <n v="16650"/>
    <d v="2023-03-10T00:00:00"/>
    <s v="PAID"/>
    <x v="0"/>
    <n v="64935"/>
    <n v="1"/>
    <s v="Indonesia"/>
    <s v="KMT-KJT"/>
    <x v="0"/>
  </r>
  <r>
    <s v="CLICTRUCK-044232"/>
    <s v="export"/>
    <x v="39"/>
    <x v="0"/>
    <n v="2900000"/>
    <n v="16650"/>
    <d v="2023-03-10T00:00:00"/>
    <s v="PAID"/>
    <x v="0"/>
    <n v="96570"/>
    <n v="1"/>
    <s v="Indonesia"/>
    <s v="KMT-KJT"/>
    <x v="0"/>
  </r>
  <r>
    <s v="CLICTRUCK-044234"/>
    <s v="export"/>
    <x v="39"/>
    <x v="0"/>
    <n v="2900000"/>
    <n v="16650"/>
    <d v="2023-03-10T00:00:00"/>
    <s v="PAID"/>
    <x v="0"/>
    <n v="96570"/>
    <n v="1"/>
    <s v="Indonesia"/>
    <s v="KMT-KJT"/>
    <x v="0"/>
  </r>
  <r>
    <s v="CLICTRUCK-044235"/>
    <s v="export"/>
    <x v="39"/>
    <x v="0"/>
    <n v="2900000"/>
    <n v="16650"/>
    <d v="2023-03-10T00:00:00"/>
    <s v="PAID"/>
    <x v="0"/>
    <n v="96570"/>
    <n v="1"/>
    <s v="Indonesia"/>
    <s v="KMT-KJT"/>
    <x v="0"/>
  </r>
  <r>
    <s v="CLICTRUCK-044236"/>
    <s v="export"/>
    <x v="39"/>
    <x v="0"/>
    <n v="2900000"/>
    <n v="16650"/>
    <d v="2023-03-10T00:00:00"/>
    <s v="PAID"/>
    <x v="0"/>
    <n v="96570"/>
    <n v="1"/>
    <s v="Indonesia"/>
    <s v="KMT-KJT"/>
    <x v="0"/>
  </r>
  <r>
    <s v="CLICTRUCK-044237"/>
    <s v="export"/>
    <x v="39"/>
    <x v="0"/>
    <n v="2900000"/>
    <n v="16650"/>
    <d v="2023-03-10T00:00:00"/>
    <s v="PAID"/>
    <x v="0"/>
    <n v="96570"/>
    <n v="1"/>
    <s v="Indonesia"/>
    <s v="KMT-KJT"/>
    <x v="0"/>
  </r>
  <r>
    <s v="CLICTRUCK-044238"/>
    <s v="export"/>
    <x v="39"/>
    <x v="0"/>
    <n v="2900000"/>
    <n v="16650"/>
    <d v="2023-03-10T00:00:00"/>
    <s v="PAID"/>
    <x v="0"/>
    <n v="96570"/>
    <n v="1"/>
    <s v="Indonesia"/>
    <s v="KMT-KJT"/>
    <x v="0"/>
  </r>
  <r>
    <s v="CLICTRUCK-044239"/>
    <s v="export"/>
    <x v="39"/>
    <x v="0"/>
    <n v="2900000"/>
    <n v="16650"/>
    <d v="2023-03-10T00:00:00"/>
    <s v="PAID"/>
    <x v="0"/>
    <n v="96570"/>
    <n v="1"/>
    <s v="Indonesia"/>
    <s v="KMT-KJT"/>
    <x v="0"/>
  </r>
  <r>
    <s v="CLICTRUCK-044240"/>
    <s v="export"/>
    <x v="39"/>
    <x v="0"/>
    <n v="2900000"/>
    <n v="16650"/>
    <d v="2023-03-10T00:00:00"/>
    <s v="PAID"/>
    <x v="0"/>
    <n v="96570"/>
    <n v="1"/>
    <s v="Indonesia"/>
    <s v="KMT-KJT"/>
    <x v="0"/>
  </r>
  <r>
    <s v="CLICTRUCK-044241"/>
    <s v="export"/>
    <x v="39"/>
    <x v="0"/>
    <n v="2900000"/>
    <n v="16650"/>
    <d v="2023-03-13T00:00:00"/>
    <s v="UNPAID"/>
    <x v="0"/>
    <n v="96570"/>
    <n v="1"/>
    <s v="Indonesia"/>
    <s v="KMT-KJT"/>
    <x v="0"/>
  </r>
  <r>
    <s v="CLICTRUCK-044242"/>
    <s v="export"/>
    <x v="39"/>
    <x v="0"/>
    <n v="2900000"/>
    <n v="16650"/>
    <d v="2023-03-13T00:00:00"/>
    <s v="UNPAID"/>
    <x v="0"/>
    <n v="96570"/>
    <n v="1"/>
    <s v="Indonesia"/>
    <s v="KMT-KJT"/>
    <x v="0"/>
  </r>
  <r>
    <s v="CLICTRUCK-044243"/>
    <s v="export"/>
    <x v="39"/>
    <x v="0"/>
    <n v="2900000"/>
    <n v="16650"/>
    <d v="2023-03-13T00:00:00"/>
    <s v="UNPAID"/>
    <x v="0"/>
    <n v="96570"/>
    <n v="1"/>
    <s v="Indonesia"/>
    <s v="KMT-KJT"/>
    <x v="0"/>
  </r>
  <r>
    <s v="CLICTRUCK-044244"/>
    <s v="export"/>
    <x v="39"/>
    <x v="0"/>
    <n v="2900000"/>
    <n v="16650"/>
    <d v="2023-03-13T00:00:00"/>
    <s v="UNPAID"/>
    <x v="0"/>
    <n v="96570"/>
    <n v="1"/>
    <s v="Indonesia"/>
    <s v="KMT-KJT"/>
    <x v="0"/>
  </r>
  <r>
    <s v="CLICTRUCK-044245"/>
    <s v="export"/>
    <x v="39"/>
    <x v="0"/>
    <n v="2900000"/>
    <n v="16650"/>
    <d v="2023-03-13T00:00:00"/>
    <s v="UNPAID"/>
    <x v="0"/>
    <n v="96570"/>
    <n v="1"/>
    <s v="Indonesia"/>
    <s v="KMT-KJT"/>
    <x v="0"/>
  </r>
  <r>
    <s v="CLICTRUCK-044246"/>
    <s v="export"/>
    <x v="39"/>
    <x v="0"/>
    <n v="2900000"/>
    <n v="16650"/>
    <d v="2023-03-13T00:00:00"/>
    <s v="UNPAID"/>
    <x v="0"/>
    <n v="96570"/>
    <n v="1"/>
    <s v="Indonesia"/>
    <s v="KMT-KJT"/>
    <x v="0"/>
  </r>
  <r>
    <s v="CLICTRUCK-044247"/>
    <s v="export"/>
    <x v="39"/>
    <x v="0"/>
    <n v="2900000"/>
    <n v="16650"/>
    <d v="2023-03-13T00:00:00"/>
    <s v="UNPAID"/>
    <x v="0"/>
    <n v="96570"/>
    <n v="1"/>
    <s v="Indonesia"/>
    <s v="KMT-KJT"/>
    <x v="0"/>
  </r>
  <r>
    <s v="CLICTRUCK-044248"/>
    <s v="export"/>
    <x v="39"/>
    <x v="0"/>
    <n v="2900000"/>
    <n v="16650"/>
    <d v="2023-03-13T00:00:00"/>
    <s v="PAID"/>
    <x v="0"/>
    <n v="96570"/>
    <n v="1"/>
    <s v="Indonesia"/>
    <s v="KMT-KJT"/>
    <x v="0"/>
  </r>
  <r>
    <s v="CLICTRUCK-044249"/>
    <s v="export"/>
    <x v="39"/>
    <x v="0"/>
    <n v="2900000"/>
    <n v="16650"/>
    <d v="2023-03-13T00:00:00"/>
    <s v="PAID"/>
    <x v="0"/>
    <n v="96570"/>
    <n v="1"/>
    <s v="Indonesia"/>
    <s v="KMT-KJT"/>
    <x v="0"/>
  </r>
  <r>
    <s v="CLICTRUCK-044250"/>
    <s v="export"/>
    <x v="39"/>
    <x v="0"/>
    <n v="2900000"/>
    <n v="16650"/>
    <d v="2023-03-13T00:00:00"/>
    <s v="PAID"/>
    <x v="0"/>
    <n v="96570"/>
    <n v="1"/>
    <s v="Indonesia"/>
    <s v="KMT-KJT"/>
    <x v="0"/>
  </r>
  <r>
    <s v="CLICTRUCK-044256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57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58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59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60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62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66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67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68"/>
    <s v="export"/>
    <x v="40"/>
    <x v="0"/>
    <n v="2900000"/>
    <n v="16650"/>
    <d v="2023-03-20T00:00:00"/>
    <s v="UNPAID"/>
    <x v="0"/>
    <n v="96570"/>
    <n v="1"/>
    <s v="Indonesia"/>
    <s v="KMT-KJT"/>
    <x v="0"/>
  </r>
  <r>
    <s v="CLICTRUCK-044269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70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71"/>
    <s v="export"/>
    <x v="40"/>
    <x v="0"/>
    <n v="2900000"/>
    <n v="16650"/>
    <d v="2023-03-13T00:00:00"/>
    <s v="UNPAID"/>
    <x v="0"/>
    <n v="96570"/>
    <n v="1"/>
    <s v="Indonesia"/>
    <s v="KMT-KJT"/>
    <x v="0"/>
  </r>
  <r>
    <s v="CLICTRUCK-044272"/>
    <s v="export"/>
    <x v="40"/>
    <x v="0"/>
    <n v="1293875"/>
    <n v="16650"/>
    <d v="2023-03-20T00:00:00"/>
    <s v="UNPAID"/>
    <x v="0"/>
    <n v="43085"/>
    <n v="1"/>
    <s v="Indonesia"/>
    <s v="KMT-KJT"/>
    <x v="0"/>
  </r>
  <r>
    <s v="CLICTRUCK-044273"/>
    <s v="export"/>
    <x v="40"/>
    <x v="0"/>
    <n v="1125000"/>
    <n v="16650"/>
    <d v="2023-03-13T00:00:00"/>
    <s v="UNPAID"/>
    <x v="0"/>
    <n v="37462"/>
    <n v="1"/>
    <s v="Indonesia"/>
    <s v="KMT-KJT"/>
    <x v="0"/>
  </r>
  <r>
    <s v="CLICTRUCK-044274"/>
    <s v="export"/>
    <x v="41"/>
    <x v="0"/>
    <n v="1125000"/>
    <n v="16650"/>
    <d v="2023-03-13T00:00:00"/>
    <s v="UNPAID"/>
    <x v="0"/>
    <n v="37462"/>
    <n v="1"/>
    <s v="Indonesia"/>
    <s v="KMT-KJT"/>
    <x v="0"/>
  </r>
  <r>
    <s v="CLICTRUCK-044275"/>
    <s v="export"/>
    <x v="41"/>
    <x v="0"/>
    <n v="1125000"/>
    <n v="16650"/>
    <d v="2023-03-20T00:00:00"/>
    <s v="UNPAID"/>
    <x v="0"/>
    <n v="37462"/>
    <n v="1"/>
    <s v="Indonesia"/>
    <s v="KMT-KJT"/>
    <x v="0"/>
  </r>
  <r>
    <s v="CLICTRUCK-044276"/>
    <s v="export"/>
    <x v="41"/>
    <x v="0"/>
    <n v="2900000"/>
    <n v="16650"/>
    <d v="2023-03-13T00:00:00"/>
    <s v="UNPAID"/>
    <x v="0"/>
    <n v="96570"/>
    <n v="1"/>
    <s v="Indonesia"/>
    <s v="KMT-KJT"/>
    <x v="0"/>
  </r>
  <r>
    <s v="CLICTRUCK-044277"/>
    <s v="export"/>
    <x v="41"/>
    <x v="0"/>
    <n v="2900000"/>
    <n v="16650"/>
    <d v="2023-03-13T00:00:00"/>
    <s v="UNPAID"/>
    <x v="0"/>
    <n v="96570"/>
    <n v="1"/>
    <s v="Indonesia"/>
    <s v="KMT-KJT"/>
    <x v="0"/>
  </r>
  <r>
    <s v="CLICTRUCK-044278"/>
    <s v="export"/>
    <x v="41"/>
    <x v="0"/>
    <n v="2900000"/>
    <n v="16650"/>
    <d v="2023-03-13T00:00:00"/>
    <s v="UNPAID"/>
    <x v="0"/>
    <n v="96570"/>
    <n v="1"/>
    <s v="Indonesia"/>
    <s v="KMT-KJT"/>
    <x v="0"/>
  </r>
  <r>
    <s v="CLICTRUCK-044279"/>
    <s v="export"/>
    <x v="41"/>
    <x v="0"/>
    <n v="2900000"/>
    <n v="16650"/>
    <d v="2023-03-13T00:00:00"/>
    <s v="UNPAID"/>
    <x v="0"/>
    <n v="96570"/>
    <n v="1"/>
    <s v="Indonesia"/>
    <s v="KMT-KJT"/>
    <x v="0"/>
  </r>
  <r>
    <s v="CLICTRUCK-044280"/>
    <s v="export"/>
    <x v="41"/>
    <x v="0"/>
    <n v="2900000"/>
    <n v="16650"/>
    <d v="2023-03-21T00:00:00"/>
    <s v="UNPAID"/>
    <x v="0"/>
    <n v="96570"/>
    <n v="1"/>
    <s v="Indonesia"/>
    <s v="KMT-KJT"/>
    <x v="0"/>
  </r>
  <r>
    <s v="CLICTRUCK-044281"/>
    <s v="export"/>
    <x v="41"/>
    <x v="0"/>
    <n v="2900000"/>
    <n v="16650"/>
    <d v="2023-03-13T00:00:00"/>
    <s v="UNPAID"/>
    <x v="0"/>
    <n v="96570"/>
    <n v="1"/>
    <s v="Indonesia"/>
    <s v="KMT-KJT"/>
    <x v="0"/>
  </r>
  <r>
    <s v="CLICTRUCK-044295"/>
    <s v="export"/>
    <x v="41"/>
    <x v="0"/>
    <n v="2625000"/>
    <n v="16650"/>
    <d v="2023-03-13T00:00:00"/>
    <s v="UNPAID"/>
    <x v="0"/>
    <n v="87412"/>
    <n v="1"/>
    <s v="Indonesia"/>
    <s v="KMT-KJT"/>
    <x v="0"/>
  </r>
  <r>
    <s v="CLICTRUCK-044296"/>
    <s v="import"/>
    <x v="41"/>
    <x v="0"/>
    <n v="1225000"/>
    <n v="16650"/>
    <d v="2023-03-20T00:00:00"/>
    <s v="UNPAID"/>
    <x v="0"/>
    <n v="40792"/>
    <n v="1"/>
    <s v="Indonesia"/>
    <s v="KMT-KJT"/>
    <x v="0"/>
  </r>
  <r>
    <s v="CLICTRUCK-044297"/>
    <s v="import"/>
    <x v="41"/>
    <x v="0"/>
    <n v="1175000"/>
    <n v="16650"/>
    <d v="2023-03-20T00:00:00"/>
    <s v="UNPAID"/>
    <x v="0"/>
    <n v="39127"/>
    <n v="1"/>
    <s v="Indonesia"/>
    <s v="KMT-KJT"/>
    <x v="0"/>
  </r>
  <r>
    <s v="CLICTRUCK-044298"/>
    <s v="export"/>
    <x v="41"/>
    <x v="0"/>
    <n v="2200000"/>
    <n v="16650"/>
    <d v="2023-03-20T00:00:00"/>
    <s v="UNPAID"/>
    <x v="0"/>
    <n v="73260"/>
    <n v="1"/>
    <s v="Indonesia"/>
    <s v="KMT-KJT"/>
    <x v="0"/>
  </r>
  <r>
    <s v="CLICTRUCK-044299"/>
    <s v="export"/>
    <x v="41"/>
    <x v="0"/>
    <n v="1125000"/>
    <n v="16650"/>
    <d v="2023-03-20T00:00:00"/>
    <s v="UNPAID"/>
    <x v="0"/>
    <n v="37462"/>
    <n v="1"/>
    <s v="Indonesia"/>
    <s v="KMT-KJT"/>
    <x v="0"/>
  </r>
  <r>
    <s v="CLICTRUCK-044304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05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06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07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08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09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0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1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2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3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4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5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6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7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8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19"/>
    <s v="export"/>
    <x v="42"/>
    <x v="0"/>
    <n v="2900000"/>
    <n v="16650"/>
    <d v="2023-03-20T00:00:00"/>
    <s v="UNPAID"/>
    <x v="0"/>
    <n v="96570"/>
    <n v="1"/>
    <s v="Indonesia"/>
    <s v="KMT-KJT"/>
    <x v="0"/>
  </r>
  <r>
    <s v="CLICTRUCK-044325"/>
    <s v="export"/>
    <x v="43"/>
    <x v="0"/>
    <n v="2575000"/>
    <n v="16650"/>
    <d v="2023-03-20T00:00:00"/>
    <s v="UNPAID"/>
    <x v="0"/>
    <n v="85747"/>
    <n v="1"/>
    <s v="Indonesia"/>
    <s v="KMT-KJT"/>
    <x v="0"/>
  </r>
  <r>
    <s v="CLICTRUCK-044326"/>
    <s v="export"/>
    <x v="43"/>
    <x v="0"/>
    <n v="2625000"/>
    <n v="16650"/>
    <d v="2023-03-20T00:00:00"/>
    <s v="UNPAID"/>
    <x v="0"/>
    <n v="87412"/>
    <n v="1"/>
    <s v="Indonesia"/>
    <s v="KMT-KJT"/>
    <x v="0"/>
  </r>
  <r>
    <s v="CLICTRUCK-044327"/>
    <s v="export"/>
    <x v="43"/>
    <x v="0"/>
    <n v="2900000"/>
    <n v="16650"/>
    <d v="2023-03-20T00:00:00"/>
    <s v="UNPAID"/>
    <x v="0"/>
    <n v="96570"/>
    <n v="1"/>
    <s v="Indonesia"/>
    <s v="KMT-KJT"/>
    <x v="0"/>
  </r>
  <r>
    <s v="CLICTRUCK-044328"/>
    <s v="export"/>
    <x v="43"/>
    <x v="0"/>
    <n v="2900000"/>
    <n v="16650"/>
    <d v="2023-03-20T00:00:00"/>
    <s v="UNPAID"/>
    <x v="0"/>
    <n v="96570"/>
    <n v="1"/>
    <s v="Indonesia"/>
    <s v="KMT-KJT"/>
    <x v="0"/>
  </r>
  <r>
    <s v="CLICTRUCK-044329"/>
    <s v="export"/>
    <x v="43"/>
    <x v="0"/>
    <n v="4200000"/>
    <n v="16650"/>
    <d v="2023-03-21T00:00:00"/>
    <s v="UNPAID"/>
    <x v="0"/>
    <n v="139860"/>
    <n v="1"/>
    <s v="Indonesia"/>
    <s v="KMT-KJT"/>
    <x v="0"/>
  </r>
  <r>
    <s v="CLICTRUCK-044330"/>
    <s v="export"/>
    <x v="43"/>
    <x v="0"/>
    <n v="1440000"/>
    <n v="16650"/>
    <d v="2023-03-21T00:00:00"/>
    <s v="UNPAID"/>
    <x v="0"/>
    <n v="47952"/>
    <n v="1"/>
    <s v="Indonesia"/>
    <s v="KMT-KJT"/>
    <x v="0"/>
  </r>
  <r>
    <s v="CLICTRUCK-044331"/>
    <s v="export"/>
    <x v="43"/>
    <x v="0"/>
    <n v="2250000"/>
    <n v="16650"/>
    <d v="2023-03-21T00:00:00"/>
    <s v="UNPAID"/>
    <x v="0"/>
    <n v="74925"/>
    <n v="1"/>
    <s v="Indonesia"/>
    <s v="KMT-KJT"/>
    <x v="0"/>
  </r>
  <r>
    <s v="CLICTRUCK-044332"/>
    <s v="export"/>
    <x v="43"/>
    <x v="0"/>
    <n v="1000000"/>
    <n v="16650"/>
    <d v="2023-03-21T00:00:00"/>
    <s v="UNPAID"/>
    <x v="0"/>
    <n v="33300"/>
    <n v="1"/>
    <s v="Indonesia"/>
    <s v="KMT-KJT"/>
    <x v="0"/>
  </r>
  <r>
    <s v="CLICTRUCK-044333"/>
    <s v="export"/>
    <x v="43"/>
    <x v="0"/>
    <n v="2625000"/>
    <n v="16650"/>
    <d v="2023-03-21T00:00:00"/>
    <s v="UNPAID"/>
    <x v="0"/>
    <n v="87412"/>
    <n v="1"/>
    <s v="Indonesia"/>
    <s v="KMT-KJT"/>
    <x v="0"/>
  </r>
  <r>
    <s v="CLICTRUCK-044334"/>
    <s v="export"/>
    <x v="43"/>
    <x v="0"/>
    <n v="2625000"/>
    <n v="16650"/>
    <d v="2023-03-21T00:00:00"/>
    <s v="UNPAID"/>
    <x v="0"/>
    <n v="87412"/>
    <n v="1"/>
    <s v="Indonesia"/>
    <s v="KMT-KJT"/>
    <x v="0"/>
  </r>
  <r>
    <s v="CLICTRUCK-044336"/>
    <s v="export"/>
    <x v="43"/>
    <x v="0"/>
    <n v="2575000"/>
    <n v="16650"/>
    <d v="2023-03-21T00:00:00"/>
    <s v="UNPAID"/>
    <x v="0"/>
    <n v="85747"/>
    <n v="1"/>
    <s v="Indonesia"/>
    <s v="KMT-KJT"/>
    <x v="0"/>
  </r>
  <r>
    <s v="CLICTRUCK-044338"/>
    <s v="export"/>
    <x v="43"/>
    <x v="0"/>
    <n v="1450000"/>
    <n v="16650"/>
    <d v="2023-03-21T00:00:00"/>
    <s v="UNPAID"/>
    <x v="0"/>
    <n v="48285"/>
    <n v="1"/>
    <s v="Indonesia"/>
    <s v="KMT-KJT"/>
    <x v="0"/>
  </r>
  <r>
    <s v="CLICTRUCK-044339"/>
    <s v="export"/>
    <x v="43"/>
    <x v="0"/>
    <n v="2250000"/>
    <n v="16650"/>
    <d v="2023-03-21T00:00:00"/>
    <s v="UNPAID"/>
    <x v="0"/>
    <n v="74925"/>
    <n v="1"/>
    <s v="Indonesia"/>
    <s v="KMT-KJT"/>
    <x v="0"/>
  </r>
  <r>
    <s v="CLICTRUCK-044340"/>
    <s v="export"/>
    <x v="43"/>
    <x v="0"/>
    <n v="1075000"/>
    <n v="16650"/>
    <d v="2023-03-21T00:00:00"/>
    <s v="UNPAID"/>
    <x v="0"/>
    <n v="35797"/>
    <n v="1"/>
    <s v="Indonesia"/>
    <s v="KMT-KJT"/>
    <x v="0"/>
  </r>
  <r>
    <s v="CLICTRUCK-044341"/>
    <s v="export"/>
    <x v="43"/>
    <x v="0"/>
    <n v="1125000"/>
    <n v="16650"/>
    <d v="2023-03-21T00:00:00"/>
    <s v="UNPAID"/>
    <x v="0"/>
    <n v="37462"/>
    <n v="1"/>
    <s v="Indonesia"/>
    <s v="KMT-KJT"/>
    <x v="0"/>
  </r>
  <r>
    <s v="CLICTRUCK-044342"/>
    <s v="import"/>
    <x v="43"/>
    <x v="1"/>
    <n v="3669000"/>
    <n v="39960"/>
    <d v="2023-02-24T00:00:00"/>
    <s v="PAID"/>
    <x v="1"/>
    <n v="81451"/>
    <n v="2"/>
    <s v="Indonesia"/>
    <s v="ESA - SASA"/>
    <x v="0"/>
  </r>
  <r>
    <s v="CLICTRUCK-044343"/>
    <s v="import"/>
    <x v="43"/>
    <x v="1"/>
    <n v="14666852"/>
    <n v="159840"/>
    <d v="2023-02-24T00:00:00"/>
    <s v="PAID"/>
    <x v="1"/>
    <n v="325604"/>
    <n v="8"/>
    <s v="Indonesia"/>
    <s v="ESA - SASA"/>
    <x v="0"/>
  </r>
  <r>
    <s v="CLICTRUCK-044344"/>
    <s v="import"/>
    <x v="43"/>
    <x v="1"/>
    <n v="3120000"/>
    <n v="79920"/>
    <d v="2023-02-24T00:00:00"/>
    <s v="PAID"/>
    <x v="1"/>
    <n v="69264"/>
    <n v="4"/>
    <s v="Indonesia"/>
    <s v="ESA - SASA"/>
    <x v="0"/>
  </r>
  <r>
    <s v="CLICTRUCK-044347"/>
    <s v="import"/>
    <x v="43"/>
    <x v="1"/>
    <n v="6872500"/>
    <n v="79920"/>
    <d v="2023-02-24T00:00:00"/>
    <s v="PAID"/>
    <x v="1"/>
    <n v="152569"/>
    <n v="4"/>
    <s v="Indonesia"/>
    <s v="ESA - SASA"/>
    <x v="0"/>
  </r>
  <r>
    <s v="CLICTRUCK-044348"/>
    <s v="import"/>
    <x v="43"/>
    <x v="1"/>
    <n v="29880924"/>
    <n v="319680"/>
    <d v="2023-02-24T00:00:00"/>
    <s v="PAID"/>
    <x v="1"/>
    <n v="663355"/>
    <n v="16"/>
    <s v="Indonesia"/>
    <s v="ESA - SASA"/>
    <x v="0"/>
  </r>
  <r>
    <s v="CLICTRUCK-044349"/>
    <s v="import"/>
    <x v="44"/>
    <x v="1"/>
    <n v="11824000"/>
    <n v="159840"/>
    <d v="2023-02-24T00:00:00"/>
    <s v="PAID"/>
    <x v="1"/>
    <n v="262492"/>
    <n v="8"/>
    <s v="Indonesia"/>
    <s v="ESA - SASA"/>
    <x v="0"/>
  </r>
  <r>
    <s v="CLICTRUCK-044353"/>
    <s v="export"/>
    <x v="44"/>
    <x v="0"/>
    <n v="2625000"/>
    <n v="16650"/>
    <d v="2023-03-21T00:00:00"/>
    <s v="UNPAID"/>
    <x v="0"/>
    <n v="87412"/>
    <n v="1"/>
    <s v="Indonesia"/>
    <s v="KMT-KJT"/>
    <x v="0"/>
  </r>
  <r>
    <s v="CLICTRUCK-044357"/>
    <s v="import"/>
    <x v="44"/>
    <x v="1"/>
    <n v="7155750"/>
    <n v="159840"/>
    <d v="2023-02-24T00:00:00"/>
    <s v="PAID"/>
    <x v="1"/>
    <n v="158857"/>
    <n v="8"/>
    <s v="Indonesia"/>
    <s v="ESA - SASA"/>
    <x v="0"/>
  </r>
  <r>
    <s v="CLICTRUCK-044358"/>
    <s v="export"/>
    <x v="44"/>
    <x v="0"/>
    <n v="3250000"/>
    <n v="16650"/>
    <d v="2023-03-21T00:00:00"/>
    <s v="UNPAID"/>
    <x v="0"/>
    <n v="108225"/>
    <n v="1"/>
    <s v="Indonesia"/>
    <s v="KMT-KJT"/>
    <x v="0"/>
  </r>
  <r>
    <s v="CLICTRUCK-044359"/>
    <s v="export"/>
    <x v="44"/>
    <x v="0"/>
    <n v="2950000"/>
    <n v="16650"/>
    <d v="2023-03-21T00:00:00"/>
    <s v="UNPAID"/>
    <x v="0"/>
    <n v="98235"/>
    <n v="1"/>
    <s v="Indonesia"/>
    <s v="KMT-KJT"/>
    <x v="0"/>
  </r>
  <r>
    <s v="CLICTRUCK-044360"/>
    <s v="export"/>
    <x v="44"/>
    <x v="0"/>
    <n v="2950000"/>
    <n v="16650"/>
    <d v="2023-03-25T00:00:00"/>
    <s v="UNPAID"/>
    <x v="0"/>
    <n v="98235"/>
    <n v="1"/>
    <s v="Indonesia"/>
    <s v="KMT-KJT"/>
    <x v="0"/>
  </r>
  <r>
    <s v="CLICTRUCK-044361"/>
    <s v="export"/>
    <x v="44"/>
    <x v="0"/>
    <n v="1125000"/>
    <n v="16650"/>
    <d v="2023-03-20T00:00:00"/>
    <s v="UNPAID"/>
    <x v="0"/>
    <n v="37462"/>
    <n v="1"/>
    <s v="Indonesia"/>
    <s v="KMT-KJT"/>
    <x v="0"/>
  </r>
  <r>
    <s v="CLICTRUCK-044362"/>
    <s v="export"/>
    <x v="44"/>
    <x v="0"/>
    <n v="1000000"/>
    <n v="16650"/>
    <d v="2023-03-20T00:00:00"/>
    <s v="UNPAID"/>
    <x v="0"/>
    <n v="33300"/>
    <n v="1"/>
    <s v="Indonesia"/>
    <s v="KMT-KJT"/>
    <x v="0"/>
  </r>
  <r>
    <s v="CLICTRUCK-044363"/>
    <s v="export"/>
    <x v="44"/>
    <x v="0"/>
    <n v="2787500"/>
    <n v="16650"/>
    <d v="2023-03-25T00:00:00"/>
    <s v="UNPAID"/>
    <x v="0"/>
    <n v="92823"/>
    <n v="1"/>
    <s v="Indonesia"/>
    <s v="KMT-KJT"/>
    <x v="0"/>
  </r>
  <r>
    <s v="CLICTRUCK-044364"/>
    <s v="import"/>
    <x v="44"/>
    <x v="1"/>
    <n v="20021726"/>
    <n v="319680"/>
    <d v="2023-02-24T00:00:00"/>
    <s v="PAID"/>
    <x v="1"/>
    <n v="444481"/>
    <n v="16"/>
    <s v="Indonesia"/>
    <s v="ESA - SASA"/>
    <x v="0"/>
  </r>
  <r>
    <s v="CLICTRUCK-044365"/>
    <s v="export"/>
    <x v="44"/>
    <x v="0"/>
    <n v="2250000"/>
    <n v="16650"/>
    <d v="2023-03-20T00:00:00"/>
    <s v="UNPAID"/>
    <x v="0"/>
    <n v="74925"/>
    <n v="1"/>
    <s v="Indonesia"/>
    <s v="KMT-KJT"/>
    <x v="0"/>
  </r>
  <r>
    <s v="CLICTRUCK-044366"/>
    <s v="export"/>
    <x v="44"/>
    <x v="0"/>
    <n v="1875000"/>
    <n v="16650"/>
    <d v="2023-03-20T00:00:00"/>
    <s v="UNPAID"/>
    <x v="0"/>
    <n v="62437"/>
    <n v="1"/>
    <s v="Indonesia"/>
    <s v="KMT-KJT"/>
    <x v="0"/>
  </r>
  <r>
    <s v="CLICTRUCK-044367"/>
    <s v="export"/>
    <x v="44"/>
    <x v="5"/>
    <n v="1274000"/>
    <n v="22200"/>
    <d v="2023-02-24T00:00:00"/>
    <s v="PAID"/>
    <x v="4"/>
    <m/>
    <n v="1"/>
    <s v="Indonesia"/>
    <s v="GLT-Elemen"/>
    <x v="0"/>
  </r>
  <r>
    <s v="CLICTRUCK-044368"/>
    <s v="export"/>
    <x v="44"/>
    <x v="5"/>
    <n v="1274000"/>
    <n v="22200"/>
    <d v="2023-02-24T00:00:00"/>
    <s v="PAID"/>
    <x v="4"/>
    <m/>
    <n v="1"/>
    <s v="Indonesia"/>
    <s v="GLT-Elemen"/>
    <x v="0"/>
  </r>
  <r>
    <s v="CLICTRUCK-044369"/>
    <s v="import"/>
    <x v="44"/>
    <x v="1"/>
    <n v="26821513"/>
    <n v="319680"/>
    <d v="2023-02-24T00:00:00"/>
    <s v="PAID"/>
    <x v="1"/>
    <n v="595437"/>
    <n v="16"/>
    <s v="Indonesia"/>
    <s v="ESA - SASA"/>
    <x v="0"/>
  </r>
  <r>
    <s v="CLICTRUCK-044370"/>
    <s v="export"/>
    <x v="44"/>
    <x v="1"/>
    <n v="4000000"/>
    <n v="79920"/>
    <d v="2023-02-24T00:00:00"/>
    <s v="PAID"/>
    <x v="1"/>
    <n v="88800"/>
    <n v="4"/>
    <s v="Indonesia"/>
    <s v="ESA - SASA"/>
    <x v="0"/>
  </r>
  <r>
    <s v="CLICTRUCK-044371"/>
    <s v="import"/>
    <x v="44"/>
    <x v="1"/>
    <n v="1848000"/>
    <n v="19980"/>
    <d v="2023-02-24T00:00:00"/>
    <s v="PAID"/>
    <x v="1"/>
    <n v="41025"/>
    <n v="1"/>
    <s v="Indonesia"/>
    <s v="ESA - SASA"/>
    <x v="0"/>
  </r>
  <r>
    <s v="CLICTRUCK-044372"/>
    <s v="import"/>
    <x v="44"/>
    <x v="1"/>
    <n v="3007300"/>
    <n v="19980"/>
    <d v="2023-02-24T00:00:00"/>
    <s v="PAID"/>
    <x v="1"/>
    <n v="66762"/>
    <n v="1"/>
    <s v="Indonesia"/>
    <s v="ESA - SASA"/>
    <x v="0"/>
  </r>
  <r>
    <s v="CLICTRUCK-044373"/>
    <s v="export"/>
    <x v="44"/>
    <x v="1"/>
    <n v="5060000"/>
    <n v="39960"/>
    <d v="2023-02-24T00:00:00"/>
    <s v="PAID"/>
    <x v="1"/>
    <n v="112332"/>
    <n v="2"/>
    <s v="Indonesia"/>
    <s v="ESA - SASA"/>
    <x v="0"/>
  </r>
  <r>
    <s v="CLICTRUCK-044374"/>
    <s v="export"/>
    <x v="44"/>
    <x v="1"/>
    <n v="2530000"/>
    <n v="19980"/>
    <d v="2023-02-24T00:00:00"/>
    <s v="PAID"/>
    <x v="1"/>
    <n v="56166"/>
    <n v="1"/>
    <s v="Indonesia"/>
    <s v="ESA - SASA"/>
    <x v="0"/>
  </r>
  <r>
    <s v="CLICTRUCK-044376"/>
    <s v="export"/>
    <x v="44"/>
    <x v="1"/>
    <n v="6000000"/>
    <n v="119880"/>
    <d v="2023-02-24T00:00:00"/>
    <s v="PAID"/>
    <x v="1"/>
    <n v="133200"/>
    <n v="6"/>
    <s v="Indonesia"/>
    <s v="ESA - SASA"/>
    <x v="0"/>
  </r>
  <r>
    <s v="CLICTRUCK-044377"/>
    <s v="export"/>
    <x v="44"/>
    <x v="1"/>
    <n v="1450000"/>
    <n v="39960"/>
    <d v="2023-02-24T00:00:00"/>
    <s v="PAID"/>
    <x v="1"/>
    <n v="32190"/>
    <n v="2"/>
    <s v="Indonesia"/>
    <s v="ESA - SASA"/>
    <x v="0"/>
  </r>
  <r>
    <s v="CLICTRUCK-044378"/>
    <s v="import"/>
    <x v="44"/>
    <x v="1"/>
    <n v="1595000"/>
    <n v="19980"/>
    <d v="2023-02-24T00:00:00"/>
    <s v="PAID"/>
    <x v="1"/>
    <n v="35409"/>
    <n v="1"/>
    <s v="Indonesia"/>
    <s v="ESA - SASA"/>
    <x v="0"/>
  </r>
  <r>
    <s v="CLICTRUCK-044379"/>
    <s v="export"/>
    <x v="44"/>
    <x v="1"/>
    <n v="7590000"/>
    <n v="59940"/>
    <d v="2023-02-24T00:00:00"/>
    <s v="PAID"/>
    <x v="1"/>
    <n v="168498"/>
    <n v="3"/>
    <s v="Indonesia"/>
    <s v="ESA - SASA"/>
    <x v="0"/>
  </r>
  <r>
    <s v="CLICTRUCK-044380"/>
    <s v="import"/>
    <x v="44"/>
    <x v="1"/>
    <n v="1848450"/>
    <n v="19980"/>
    <d v="2023-02-24T00:00:00"/>
    <s v="PAID"/>
    <x v="1"/>
    <n v="41035"/>
    <n v="1"/>
    <s v="Indonesia"/>
    <s v="ESA - SASA"/>
    <x v="0"/>
  </r>
  <r>
    <s v="CLICTRUCK-044381"/>
    <s v="import"/>
    <x v="44"/>
    <x v="1"/>
    <n v="1909500"/>
    <n v="19980"/>
    <d v="2023-02-24T00:00:00"/>
    <s v="PAID"/>
    <x v="1"/>
    <n v="42390"/>
    <n v="1"/>
    <s v="Indonesia"/>
    <s v="ESA - SASA"/>
    <x v="0"/>
  </r>
  <r>
    <s v="CLICTRUCK-044383"/>
    <s v="import"/>
    <x v="44"/>
    <x v="1"/>
    <n v="2392200"/>
    <n v="19980"/>
    <d v="2023-02-24T00:00:00"/>
    <s v="PAID"/>
    <x v="1"/>
    <n v="53106"/>
    <n v="1"/>
    <s v="Indonesia"/>
    <s v="ESA - SASA"/>
    <x v="0"/>
  </r>
  <r>
    <s v="CLICTRUCK-044385"/>
    <s v="export"/>
    <x v="44"/>
    <x v="1"/>
    <n v="2530000"/>
    <n v="19980"/>
    <d v="2023-02-24T00:00:00"/>
    <s v="PAID"/>
    <x v="1"/>
    <n v="56166"/>
    <n v="1"/>
    <s v="Indonesia"/>
    <s v="ESA - SASA"/>
    <x v="0"/>
  </r>
  <r>
    <s v="CLICTRUCK-044386"/>
    <s v="export"/>
    <x v="44"/>
    <x v="1"/>
    <n v="5060000"/>
    <n v="39960"/>
    <d v="2023-02-24T00:00:00"/>
    <s v="PAID"/>
    <x v="1"/>
    <n v="112332"/>
    <n v="2"/>
    <s v="Indonesia"/>
    <s v="ESA - SASA"/>
    <x v="0"/>
  </r>
  <r>
    <s v="CLICTRUCK-044387"/>
    <s v="export"/>
    <x v="44"/>
    <x v="1"/>
    <n v="7590000"/>
    <n v="59940"/>
    <d v="2023-02-24T00:00:00"/>
    <s v="PAID"/>
    <x v="1"/>
    <n v="168498"/>
    <n v="3"/>
    <s v="Indonesia"/>
    <s v="ESA - SASA"/>
    <x v="0"/>
  </r>
  <r>
    <s v="CLICTRUCK-044388"/>
    <s v="export"/>
    <x v="44"/>
    <x v="1"/>
    <n v="7590000"/>
    <n v="59940"/>
    <d v="2023-02-24T00:00:00"/>
    <s v="PAID"/>
    <x v="1"/>
    <n v="168498"/>
    <n v="3"/>
    <s v="Indonesia"/>
    <s v="ESA - SASA"/>
    <x v="0"/>
  </r>
  <r>
    <s v="CLICTRUCK-044389"/>
    <s v="export"/>
    <x v="44"/>
    <x v="1"/>
    <n v="2530000"/>
    <n v="19980"/>
    <d v="2023-02-24T00:00:00"/>
    <s v="PAID"/>
    <x v="1"/>
    <n v="56166"/>
    <n v="1"/>
    <s v="Indonesia"/>
    <s v="ESA - SASA"/>
    <x v="0"/>
  </r>
  <r>
    <s v="CLICTRUCK-044397"/>
    <s v="export"/>
    <x v="44"/>
    <x v="0"/>
    <n v="3100000"/>
    <n v="16650"/>
    <d v="2023-03-20T00:00:00"/>
    <s v="UNPAID"/>
    <x v="0"/>
    <n v="103230"/>
    <n v="1"/>
    <s v="Indonesia"/>
    <s v="KMT-KJT"/>
    <x v="0"/>
  </r>
  <r>
    <s v="CLICTRUCK-044399"/>
    <s v="export"/>
    <x v="44"/>
    <x v="0"/>
    <n v="3100000"/>
    <n v="16650"/>
    <d v="2023-03-09T00:00:00"/>
    <s v="PAID"/>
    <x v="0"/>
    <n v="103230"/>
    <n v="1"/>
    <s v="Indonesia"/>
    <s v="KMT-KJT"/>
    <x v="0"/>
  </r>
  <r>
    <s v="CLICTRUCK-044401"/>
    <s v="export"/>
    <x v="44"/>
    <x v="0"/>
    <n v="4325000"/>
    <n v="16650"/>
    <d v="2023-03-09T00:00:00"/>
    <s v="PAID"/>
    <x v="0"/>
    <n v="144022"/>
    <n v="1"/>
    <s v="Indonesia"/>
    <s v="KMT-KJT"/>
    <x v="0"/>
  </r>
  <r>
    <s v="CLICTRUCK-044402"/>
    <s v="import"/>
    <x v="44"/>
    <x v="0"/>
    <n v="2675000"/>
    <n v="16650"/>
    <d v="2023-03-20T00:00:00"/>
    <s v="UNPAID"/>
    <x v="0"/>
    <n v="89077"/>
    <n v="1"/>
    <s v="Indonesia"/>
    <s v="KMT-KJT"/>
    <x v="0"/>
  </r>
  <r>
    <s v="CLICTRUCK-044403"/>
    <s v="export"/>
    <x v="44"/>
    <x v="0"/>
    <n v="1950000"/>
    <n v="16650"/>
    <d v="2023-03-09T00:00:00"/>
    <s v="PAID"/>
    <x v="0"/>
    <n v="64935"/>
    <n v="1"/>
    <s v="Indonesia"/>
    <s v="KMT-KJT"/>
    <x v="0"/>
  </r>
  <r>
    <s v="CLICTRUCK-044435"/>
    <s v="export"/>
    <x v="45"/>
    <x v="3"/>
    <n v="2000000"/>
    <n v="27750"/>
    <d v="2023-04-06T00:00:00"/>
    <s v="UNPAID"/>
    <x v="2"/>
    <n v="44400"/>
    <n v="1"/>
    <s v="Indonesia"/>
    <s v="DLS-KAS"/>
    <x v="0"/>
  </r>
  <r>
    <s v="CLICTRUCK-044436"/>
    <s v="export"/>
    <x v="45"/>
    <x v="3"/>
    <n v="2000000"/>
    <n v="27750"/>
    <d v="2023-04-06T00:00:00"/>
    <s v="UNPAID"/>
    <x v="2"/>
    <n v="44400"/>
    <n v="1"/>
    <s v="Indonesia"/>
    <s v="DLS-KAS"/>
    <x v="0"/>
  </r>
  <r>
    <s v="CLICTRUCK-044437"/>
    <s v="export"/>
    <x v="45"/>
    <x v="3"/>
    <n v="6000000"/>
    <n v="83250"/>
    <d v="2023-04-06T00:00:00"/>
    <s v="UNPAID"/>
    <x v="2"/>
    <n v="133200"/>
    <n v="3"/>
    <s v="Indonesia"/>
    <s v="DLS-KAS"/>
    <x v="0"/>
  </r>
  <r>
    <s v="CLICTRUCK-044438"/>
    <s v="export"/>
    <x v="45"/>
    <x v="3"/>
    <n v="2000000"/>
    <n v="27750"/>
    <d v="2023-04-06T00:00:00"/>
    <s v="UNPAID"/>
    <x v="2"/>
    <n v="44400"/>
    <n v="1"/>
    <s v="Indonesia"/>
    <s v="DLS-KAS"/>
    <x v="0"/>
  </r>
  <r>
    <s v="CLICTRUCK-044439"/>
    <s v="export"/>
    <x v="45"/>
    <x v="3"/>
    <n v="2000000"/>
    <n v="25000"/>
    <m/>
    <s v="PENDING APPROVAL"/>
    <x v="2"/>
    <n v="0"/>
    <n v="1"/>
    <s v="Indonesia"/>
    <s v="DLS-KAS"/>
    <x v="1"/>
  </r>
  <r>
    <s v="CLICTRUCK-044440"/>
    <s v="export"/>
    <x v="45"/>
    <x v="3"/>
    <n v="2000000"/>
    <n v="25000"/>
    <m/>
    <s v="PENDING APPROVAL"/>
    <x v="2"/>
    <n v="0"/>
    <n v="1"/>
    <s v="Indonesia"/>
    <s v="DLS-KAS"/>
    <x v="1"/>
  </r>
  <r>
    <s v="CLICTRUCK-044441"/>
    <s v="export"/>
    <x v="45"/>
    <x v="3"/>
    <n v="2000000"/>
    <n v="25000"/>
    <m/>
    <s v="PENDING APPROVAL"/>
    <x v="2"/>
    <n v="0"/>
    <n v="1"/>
    <s v="Indonesia"/>
    <s v="DLS-KAS"/>
    <x v="1"/>
  </r>
  <r>
    <s v="CLICTRUCK-044444"/>
    <s v="export"/>
    <x v="45"/>
    <x v="3"/>
    <n v="6000000"/>
    <n v="25000"/>
    <m/>
    <s v="PENDING APPROVAL"/>
    <x v="2"/>
    <n v="0"/>
    <n v="3"/>
    <s v="Indonesia"/>
    <s v="DLS-KAS"/>
    <x v="1"/>
  </r>
  <r>
    <s v="CLICTRUCK-044445"/>
    <s v="export"/>
    <x v="45"/>
    <x v="3"/>
    <n v="2000000"/>
    <n v="25000"/>
    <m/>
    <s v="PENDING APPROVAL"/>
    <x v="2"/>
    <n v="0"/>
    <n v="1"/>
    <s v="Indonesia"/>
    <s v="DLS-KAS"/>
    <x v="1"/>
  </r>
  <r>
    <s v="CLICTRUCK-044446"/>
    <s v="export"/>
    <x v="45"/>
    <x v="3"/>
    <n v="2000000"/>
    <n v="25000"/>
    <m/>
    <s v="PENDING APPROVAL"/>
    <x v="2"/>
    <n v="0"/>
    <n v="1"/>
    <s v="Indonesia"/>
    <s v="DLS-KAS"/>
    <x v="1"/>
  </r>
  <r>
    <s v="CLICTRUCK-044447"/>
    <s v="export"/>
    <x v="45"/>
    <x v="3"/>
    <n v="2000000"/>
    <n v="25000"/>
    <m/>
    <s v="PENDING APPROVAL"/>
    <x v="2"/>
    <n v="0"/>
    <n v="1"/>
    <s v="Indonesia"/>
    <s v="DLS-KAS"/>
    <x v="1"/>
  </r>
  <r>
    <s v="CLICTRUCK-044448"/>
    <s v="export"/>
    <x v="45"/>
    <x v="3"/>
    <n v="2000000"/>
    <n v="25000"/>
    <m/>
    <s v="PENDING APPROVAL"/>
    <x v="2"/>
    <n v="0"/>
    <n v="1"/>
    <s v="Indonesia"/>
    <s v="DLS-KAS"/>
    <x v="1"/>
  </r>
  <r>
    <s v="CLICTRUCK-044467"/>
    <s v="export"/>
    <x v="46"/>
    <x v="0"/>
    <n v="1825000"/>
    <n v="16650"/>
    <d v="2023-03-09T00:00:00"/>
    <s v="PAID"/>
    <x v="0"/>
    <n v="60772"/>
    <n v="1"/>
    <s v="Indonesia"/>
    <s v="KMT-KJT"/>
    <x v="0"/>
  </r>
  <r>
    <s v="CLICTRUCK-044469"/>
    <s v="export"/>
    <x v="46"/>
    <x v="0"/>
    <n v="2625000"/>
    <n v="16650"/>
    <d v="2023-03-20T00:00:00"/>
    <s v="UNPAID"/>
    <x v="0"/>
    <n v="87412"/>
    <n v="1"/>
    <s v="Indonesia"/>
    <s v="KMT-KJT"/>
    <x v="0"/>
  </r>
  <r>
    <s v="CLICTRUCK-044470"/>
    <s v="export"/>
    <x v="46"/>
    <x v="0"/>
    <n v="875000"/>
    <n v="16650"/>
    <d v="2023-03-25T00:00:00"/>
    <s v="UNPAID"/>
    <x v="0"/>
    <n v="29137"/>
    <n v="1"/>
    <s v="Indonesia"/>
    <s v="KMT-KJT"/>
    <x v="0"/>
  </r>
  <r>
    <s v="CLICTRUCK-044471"/>
    <s v="export"/>
    <x v="46"/>
    <x v="0"/>
    <n v="2160000"/>
    <n v="16650"/>
    <d v="2023-03-25T00:00:00"/>
    <s v="UNPAID"/>
    <x v="0"/>
    <n v="71928"/>
    <n v="1"/>
    <s v="Indonesia"/>
    <s v="KMT-KJT"/>
    <x v="0"/>
  </r>
  <r>
    <s v="CLICTRUCK-044472"/>
    <s v="export"/>
    <x v="46"/>
    <x v="0"/>
    <n v="1000000"/>
    <n v="16650"/>
    <d v="2023-03-25T00:00:00"/>
    <s v="UNPAID"/>
    <x v="0"/>
    <n v="33300"/>
    <n v="1"/>
    <s v="Indonesia"/>
    <s v="KMT-KJT"/>
    <x v="0"/>
  </r>
  <r>
    <s v="CLICTRUCK-044473"/>
    <s v="import"/>
    <x v="46"/>
    <x v="0"/>
    <n v="1225000"/>
    <n v="16650"/>
    <d v="2023-03-25T00:00:00"/>
    <s v="UNPAID"/>
    <x v="0"/>
    <n v="40792"/>
    <n v="1"/>
    <s v="Indonesia"/>
    <s v="KMT-KJT"/>
    <x v="0"/>
  </r>
  <r>
    <s v="CLICTRUCK-044475"/>
    <s v="export"/>
    <x v="46"/>
    <x v="0"/>
    <n v="2625000"/>
    <n v="16650"/>
    <d v="2023-03-09T00:00:00"/>
    <s v="UNPAID"/>
    <x v="0"/>
    <n v="87412"/>
    <n v="1"/>
    <s v="Indonesia"/>
    <s v="KMT-KJT"/>
    <x v="0"/>
  </r>
  <r>
    <s v="CLICTRUCK-044478"/>
    <s v="export"/>
    <x v="46"/>
    <x v="3"/>
    <n v="2000000"/>
    <n v="25000"/>
    <m/>
    <s v="PENDING APPROVAL"/>
    <x v="2"/>
    <n v="0"/>
    <n v="1"/>
    <s v="Indonesia"/>
    <s v="DLS-KAS"/>
    <x v="1"/>
  </r>
  <r>
    <s v="CLICTRUCK-044479"/>
    <s v="export"/>
    <x v="46"/>
    <x v="3"/>
    <n v="2000000"/>
    <n v="25000"/>
    <m/>
    <s v="PENDING APPROVAL"/>
    <x v="2"/>
    <n v="0"/>
    <n v="1"/>
    <s v="Indonesia"/>
    <s v="DLS-KAS"/>
    <x v="1"/>
  </r>
  <r>
    <s v="CLICTRUCK-044480"/>
    <s v="export"/>
    <x v="46"/>
    <x v="3"/>
    <n v="2000000"/>
    <n v="25000"/>
    <m/>
    <s v="PENDING APPROVAL"/>
    <x v="2"/>
    <n v="0"/>
    <n v="1"/>
    <s v="Indonesia"/>
    <s v="DLS-KAS"/>
    <x v="1"/>
  </r>
  <r>
    <s v="CLICTRUCK-044481"/>
    <s v="export"/>
    <x v="46"/>
    <x v="0"/>
    <n v="1000000"/>
    <n v="16650"/>
    <d v="2023-03-09T00:00:00"/>
    <s v="PAID"/>
    <x v="0"/>
    <n v="33300"/>
    <n v="1"/>
    <s v="Indonesia"/>
    <s v="KMT-KJT"/>
    <x v="0"/>
  </r>
  <r>
    <s v="CLICTRUCK-044482"/>
    <s v="export"/>
    <x v="46"/>
    <x v="3"/>
    <n v="2000000"/>
    <n v="25000"/>
    <m/>
    <s v="PENDING APPROVAL"/>
    <x v="2"/>
    <n v="0"/>
    <n v="1"/>
    <s v="Indonesia"/>
    <s v="DLS-KAS"/>
    <x v="1"/>
  </r>
  <r>
    <s v="CLICTRUCK-044483"/>
    <s v="export"/>
    <x v="46"/>
    <x v="3"/>
    <n v="2000000"/>
    <n v="25000"/>
    <m/>
    <s v="PENDING APPROVAL"/>
    <x v="2"/>
    <n v="0"/>
    <n v="1"/>
    <s v="Indonesia"/>
    <s v="DLS-KAS"/>
    <x v="1"/>
  </r>
  <r>
    <s v="CLICTRUCK-044484"/>
    <s v="export"/>
    <x v="46"/>
    <x v="3"/>
    <n v="2000000"/>
    <n v="25000"/>
    <m/>
    <s v="PENDING APPROVAL"/>
    <x v="2"/>
    <n v="0"/>
    <n v="1"/>
    <s v="Indonesia"/>
    <s v="DLS-KAS"/>
    <x v="1"/>
  </r>
  <r>
    <s v="CLICTRUCK-044510"/>
    <s v="export"/>
    <x v="47"/>
    <x v="0"/>
    <n v="2625000"/>
    <n v="16650"/>
    <d v="2023-03-25T00:00:00"/>
    <s v="UNPAID"/>
    <x v="0"/>
    <n v="87412"/>
    <n v="1"/>
    <s v="Indonesia"/>
    <s v="KMT-KJT"/>
    <x v="0"/>
  </r>
  <r>
    <s v="CLICTRUCK-044511"/>
    <s v="export"/>
    <x v="47"/>
    <x v="0"/>
    <n v="2625000"/>
    <n v="16650"/>
    <d v="2023-03-25T00:00:00"/>
    <s v="UNPAID"/>
    <x v="0"/>
    <n v="87412"/>
    <n v="1"/>
    <s v="Indonesia"/>
    <s v="KMT-KJT"/>
    <x v="0"/>
  </r>
  <r>
    <s v="CLICTRUCK-044512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13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14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15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16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17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18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19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20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21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22"/>
    <s v="export"/>
    <x v="47"/>
    <x v="0"/>
    <n v="2900000"/>
    <n v="16650"/>
    <d v="2023-03-25T00:00:00"/>
    <s v="UNPAID"/>
    <x v="0"/>
    <n v="96570"/>
    <n v="1"/>
    <s v="Indonesia"/>
    <s v="KMT-KJT"/>
    <x v="0"/>
  </r>
  <r>
    <s v="CLICTRUCK-044523"/>
    <s v="export"/>
    <x v="48"/>
    <x v="0"/>
    <n v="2900000"/>
    <n v="16650"/>
    <d v="2023-03-25T00:00:00"/>
    <s v="UNPAID"/>
    <x v="0"/>
    <n v="96570"/>
    <n v="1"/>
    <s v="Indonesia"/>
    <s v="KMT-KJT"/>
    <x v="0"/>
  </r>
  <r>
    <s v="CLICTRUCK-044524"/>
    <s v="export"/>
    <x v="48"/>
    <x v="0"/>
    <n v="1050000"/>
    <n v="16650"/>
    <d v="2023-03-25T00:00:00"/>
    <s v="UNPAID"/>
    <x v="0"/>
    <n v="34965"/>
    <n v="1"/>
    <s v="Indonesia"/>
    <s v="KMT-KJT"/>
    <x v="0"/>
  </r>
  <r>
    <s v="CLICTRUCK-044525"/>
    <s v="export"/>
    <x v="48"/>
    <x v="0"/>
    <n v="2625000"/>
    <n v="16650"/>
    <d v="2023-03-25T00:00:00"/>
    <s v="UNPAID"/>
    <x v="0"/>
    <n v="87412"/>
    <n v="1"/>
    <s v="Indonesia"/>
    <s v="KMT-KJT"/>
    <x v="0"/>
  </r>
  <r>
    <s v="CLICTRUCK-044526"/>
    <s v="export"/>
    <x v="48"/>
    <x v="0"/>
    <n v="2250000"/>
    <n v="16650"/>
    <d v="2023-03-25T00:00:00"/>
    <s v="UNPAID"/>
    <x v="0"/>
    <n v="74925"/>
    <n v="1"/>
    <s v="Indonesia"/>
    <s v="KMT-KJT"/>
    <x v="0"/>
  </r>
  <r>
    <s v="CLICTRUCK-044527"/>
    <s v="export"/>
    <x v="48"/>
    <x v="0"/>
    <n v="2250000"/>
    <n v="16650"/>
    <d v="2023-03-25T00:00:00"/>
    <s v="UNPAID"/>
    <x v="0"/>
    <n v="74925"/>
    <n v="1"/>
    <s v="Indonesia"/>
    <s v="KMT-KJT"/>
    <x v="0"/>
  </r>
  <r>
    <s v="CLICTRUCK-044528"/>
    <s v="import"/>
    <x v="48"/>
    <x v="0"/>
    <n v="1600000"/>
    <n v="16650"/>
    <d v="2023-03-25T00:00:00"/>
    <s v="UNPAID"/>
    <x v="0"/>
    <n v="53280"/>
    <n v="1"/>
    <s v="Indonesia"/>
    <s v="KMT-KJT"/>
    <x v="0"/>
  </r>
  <r>
    <s v="CLICTRUCK-044537"/>
    <s v="export"/>
    <x v="49"/>
    <x v="0"/>
    <n v="2625000"/>
    <n v="16650"/>
    <d v="2023-03-25T00:00:00"/>
    <s v="UNPAID"/>
    <x v="0"/>
    <n v="87412"/>
    <n v="1"/>
    <s v="Indonesia"/>
    <s v="KMT-KJT"/>
    <x v="0"/>
  </r>
  <r>
    <s v="CLICTRUCK-044538"/>
    <s v="import"/>
    <x v="49"/>
    <x v="0"/>
    <n v="2725000"/>
    <n v="16650"/>
    <d v="2023-03-25T00:00:00"/>
    <s v="UNPAID"/>
    <x v="0"/>
    <n v="90742"/>
    <n v="1"/>
    <s v="Indonesia"/>
    <s v="KMT-KJT"/>
    <x v="0"/>
  </r>
  <r>
    <s v="CLICTRUCK-044539"/>
    <s v="export"/>
    <x v="49"/>
    <x v="0"/>
    <n v="2575000"/>
    <n v="16650"/>
    <d v="2023-03-25T00:00:00"/>
    <s v="UNPAID"/>
    <x v="0"/>
    <n v="85747"/>
    <n v="1"/>
    <s v="Indonesia"/>
    <s v="KMT-KJT"/>
    <x v="0"/>
  </r>
  <r>
    <s v="CLICTRUCK-044540"/>
    <s v="export"/>
    <x v="49"/>
    <x v="0"/>
    <n v="2737500"/>
    <n v="16650"/>
    <d v="2023-03-25T00:00:00"/>
    <s v="UNPAID"/>
    <x v="0"/>
    <n v="91158"/>
    <n v="1"/>
    <s v="Indonesia"/>
    <s v="KMT-KJT"/>
    <x v="0"/>
  </r>
  <r>
    <s v="CLICTRUCK-044541"/>
    <s v="export"/>
    <x v="49"/>
    <x v="0"/>
    <n v="2400000"/>
    <n v="16650"/>
    <d v="2023-03-25T00:00:00"/>
    <s v="UNPAID"/>
    <x v="0"/>
    <n v="79920"/>
    <n v="1"/>
    <s v="Indonesia"/>
    <s v="KMT-KJT"/>
    <x v="0"/>
  </r>
  <r>
    <s v="CLICTRUCK-044542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43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44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45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48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49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50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51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52"/>
    <s v="export"/>
    <x v="49"/>
    <x v="0"/>
    <n v="2900000"/>
    <n v="16650"/>
    <d v="2023-03-29T00:00:00"/>
    <s v="UNPAID"/>
    <x v="0"/>
    <n v="96570"/>
    <n v="1"/>
    <s v="Indonesia"/>
    <s v="KMT-KJT"/>
    <x v="0"/>
  </r>
  <r>
    <s v="CLICTRUCK-044553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54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55"/>
    <s v="export"/>
    <x v="49"/>
    <x v="0"/>
    <n v="2900000"/>
    <n v="16650"/>
    <d v="2023-03-25T00:00:00"/>
    <s v="UNPAID"/>
    <x v="0"/>
    <n v="96570"/>
    <n v="1"/>
    <s v="Indonesia"/>
    <s v="KMT-KJT"/>
    <x v="0"/>
  </r>
  <r>
    <s v="CLICTRUCK-044556"/>
    <s v="export"/>
    <x v="49"/>
    <x v="0"/>
    <n v="1440000"/>
    <n v="16650"/>
    <d v="2023-03-29T00:00:00"/>
    <s v="UNPAID"/>
    <x v="0"/>
    <n v="47952"/>
    <n v="1"/>
    <s v="Indonesia"/>
    <s v="KMT-KJT"/>
    <x v="0"/>
  </r>
  <r>
    <s v="CLICTRUCK-044557"/>
    <s v="export"/>
    <x v="49"/>
    <x v="0"/>
    <n v="2250000"/>
    <n v="16650"/>
    <d v="2023-03-29T00:00:00"/>
    <s v="UNPAID"/>
    <x v="0"/>
    <n v="74925"/>
    <n v="1"/>
    <s v="Indonesia"/>
    <s v="KMT-KJT"/>
    <x v="0"/>
  </r>
  <r>
    <s v="CLICTRUCK-044558"/>
    <s v="export"/>
    <x v="49"/>
    <x v="0"/>
    <n v="2250000"/>
    <n v="16650"/>
    <d v="2023-03-29T00:00:00"/>
    <s v="UNPAID"/>
    <x v="0"/>
    <n v="74925"/>
    <n v="1"/>
    <s v="Indonesia"/>
    <s v="KMT-KJT"/>
    <x v="0"/>
  </r>
  <r>
    <s v="CLICTRUCK-044559"/>
    <s v="export"/>
    <x v="49"/>
    <x v="0"/>
    <n v="2625000"/>
    <n v="16650"/>
    <d v="2023-03-29T00:00:00"/>
    <s v="UNPAID"/>
    <x v="0"/>
    <n v="87412"/>
    <n v="1"/>
    <s v="Indonesia"/>
    <s v="KMT-KJT"/>
    <x v="0"/>
  </r>
  <r>
    <s v="CLICTRUCK-044562"/>
    <s v="export"/>
    <x v="49"/>
    <x v="0"/>
    <n v="1700000"/>
    <n v="16650"/>
    <d v="2023-03-29T00:00:00"/>
    <s v="UNPAID"/>
    <x v="0"/>
    <n v="56610"/>
    <n v="1"/>
    <s v="Indonesia"/>
    <s v="KMT-KJT"/>
    <x v="0"/>
  </r>
  <r>
    <s v="CLICTRUCK-044563"/>
    <s v="export"/>
    <x v="49"/>
    <x v="0"/>
    <n v="1350000"/>
    <n v="16650"/>
    <d v="2023-04-05T00:00:00"/>
    <s v="UNPAID"/>
    <x v="0"/>
    <n v="44955"/>
    <n v="1"/>
    <s v="Indonesia"/>
    <s v="KMT-KJT"/>
    <x v="0"/>
  </r>
  <r>
    <s v="CLICTRUCK-044565"/>
    <s v="export"/>
    <x v="49"/>
    <x v="5"/>
    <n v="7644000"/>
    <n v="133200"/>
    <d v="2023-03-03T00:00:00"/>
    <s v="PAID"/>
    <x v="4"/>
    <m/>
    <n v="6"/>
    <s v="Indonesia"/>
    <s v="GLT-Elemen"/>
    <x v="0"/>
  </r>
  <r>
    <s v="CLICTRUCK-044566"/>
    <s v="export"/>
    <x v="49"/>
    <x v="0"/>
    <n v="825000"/>
    <n v="16650"/>
    <d v="2023-04-05T00:00:00"/>
    <s v="UNPAID"/>
    <x v="0"/>
    <n v="27472"/>
    <n v="1"/>
    <s v="Indonesia"/>
    <s v="KMT-KJT"/>
    <x v="0"/>
  </r>
  <r>
    <s v="CLICTRUCK-044567"/>
    <s v="export"/>
    <x v="49"/>
    <x v="5"/>
    <n v="2547998"/>
    <n v="44400"/>
    <d v="2023-03-03T00:00:00"/>
    <s v="PAID"/>
    <x v="4"/>
    <m/>
    <n v="2"/>
    <s v="Indonesia"/>
    <s v="GLT-Elemen"/>
    <x v="0"/>
  </r>
  <r>
    <s v="CLICTRUCK-044568"/>
    <s v="export"/>
    <x v="49"/>
    <x v="5"/>
    <n v="11171997"/>
    <n v="199800"/>
    <d v="2023-03-03T00:00:00"/>
    <s v="PAID"/>
    <x v="4"/>
    <m/>
    <n v="9"/>
    <s v="Indonesia"/>
    <s v="GLT-Elemen"/>
    <x v="0"/>
  </r>
  <r>
    <s v="CLICTRUCK-044569"/>
    <s v="export"/>
    <x v="49"/>
    <x v="5"/>
    <n v="3626000"/>
    <n v="66600"/>
    <d v="2023-03-03T00:00:00"/>
    <s v="PAID"/>
    <x v="4"/>
    <m/>
    <n v="3"/>
    <s v="Indonesia"/>
    <s v="GLT-Elemen"/>
    <x v="0"/>
  </r>
  <r>
    <s v="CLICTRUCK-044578"/>
    <s v="import"/>
    <x v="49"/>
    <x v="1"/>
    <n v="5440483"/>
    <n v="59940"/>
    <d v="2023-03-03T00:00:00"/>
    <s v="PAID"/>
    <x v="1"/>
    <n v="120777"/>
    <n v="3"/>
    <s v="Indonesia"/>
    <s v="ESA - SASA"/>
    <x v="0"/>
  </r>
  <r>
    <s v="CLICTRUCK-044579"/>
    <s v="import"/>
    <x v="49"/>
    <x v="1"/>
    <n v="7654800"/>
    <n v="119880"/>
    <d v="2023-03-03T00:00:00"/>
    <s v="PAID"/>
    <x v="1"/>
    <n v="169936"/>
    <n v="6"/>
    <s v="Indonesia"/>
    <s v="ESA - SASA"/>
    <x v="0"/>
  </r>
  <r>
    <s v="CLICTRUCK-044580"/>
    <s v="import"/>
    <x v="49"/>
    <x v="1"/>
    <n v="25097103"/>
    <n v="199800"/>
    <d v="2023-03-03T00:00:00"/>
    <s v="PAID"/>
    <x v="1"/>
    <n v="557155"/>
    <n v="10"/>
    <s v="Indonesia"/>
    <s v="ESA - SASA"/>
    <x v="0"/>
  </r>
  <r>
    <s v="CLICTRUCK-044581"/>
    <s v="import"/>
    <x v="49"/>
    <x v="1"/>
    <n v="13395750"/>
    <n v="319680"/>
    <d v="2023-03-03T00:00:00"/>
    <s v="PAID"/>
    <x v="1"/>
    <n v="297385"/>
    <n v="16"/>
    <s v="Indonesia"/>
    <s v="ESA - SASA"/>
    <x v="0"/>
  </r>
  <r>
    <s v="CLICTRUCK-044585"/>
    <s v="import"/>
    <x v="49"/>
    <x v="1"/>
    <n v="3085000"/>
    <n v="19980"/>
    <d v="2023-03-03T00:00:00"/>
    <s v="PAID"/>
    <x v="1"/>
    <n v="68487"/>
    <n v="1"/>
    <s v="Indonesia"/>
    <s v="ESA - SASA"/>
    <x v="0"/>
  </r>
  <r>
    <s v="CLICTRUCK-044607"/>
    <s v="export"/>
    <x v="50"/>
    <x v="0"/>
    <n v="2900000"/>
    <n v="16650"/>
    <d v="2023-03-29T00:00:00"/>
    <s v="UNPAID"/>
    <x v="0"/>
    <n v="96570"/>
    <n v="1"/>
    <s v="Indonesia"/>
    <s v="KMT-KJT"/>
    <x v="0"/>
  </r>
  <r>
    <s v="CLICTRUCK-044608"/>
    <s v="export"/>
    <x v="50"/>
    <x v="0"/>
    <n v="2900000"/>
    <n v="16650"/>
    <d v="2023-03-29T00:00:00"/>
    <s v="UNPAID"/>
    <x v="0"/>
    <n v="96570"/>
    <n v="1"/>
    <s v="Indonesia"/>
    <s v="KMT-KJT"/>
    <x v="0"/>
  </r>
  <r>
    <s v="CLICTRUCK-044609"/>
    <s v="export"/>
    <x v="50"/>
    <x v="0"/>
    <n v="2900000"/>
    <n v="16650"/>
    <d v="2023-03-29T00:00:00"/>
    <s v="UNPAID"/>
    <x v="0"/>
    <n v="96570"/>
    <n v="1"/>
    <s v="Indonesia"/>
    <s v="KMT-KJT"/>
    <x v="0"/>
  </r>
  <r>
    <s v="CLICTRUCK-044610"/>
    <s v="export"/>
    <x v="50"/>
    <x v="0"/>
    <n v="2900000"/>
    <n v="16650"/>
    <d v="2023-03-29T00:00:00"/>
    <s v="UNPAID"/>
    <x v="0"/>
    <n v="96570"/>
    <n v="1"/>
    <s v="Indonesia"/>
    <s v="KMT-KJT"/>
    <x v="0"/>
  </r>
  <r>
    <s v="CLICTRUCK-044612"/>
    <s v="export"/>
    <x v="50"/>
    <x v="0"/>
    <n v="2625000"/>
    <n v="16650"/>
    <d v="2023-03-29T00:00:00"/>
    <s v="UNPAID"/>
    <x v="0"/>
    <n v="87412"/>
    <n v="1"/>
    <s v="Indonesia"/>
    <s v="KMT-KJT"/>
    <x v="0"/>
  </r>
  <r>
    <s v="CLICTRUCK-044614"/>
    <s v="export"/>
    <x v="50"/>
    <x v="0"/>
    <n v="2250000"/>
    <n v="16650"/>
    <d v="2023-03-29T00:00:00"/>
    <s v="UNPAID"/>
    <x v="0"/>
    <n v="74925"/>
    <n v="1"/>
    <s v="Indonesia"/>
    <s v="KMT-KJT"/>
    <x v="0"/>
  </r>
  <r>
    <s v="CLICTRUCK-044615"/>
    <s v="import"/>
    <x v="51"/>
    <x v="0"/>
    <n v="2600000"/>
    <n v="16650"/>
    <d v="2023-03-29T00:00:00"/>
    <s v="UNPAID"/>
    <x v="0"/>
    <n v="86580"/>
    <n v="1"/>
    <s v="Indonesia"/>
    <s v="KMT-KJT"/>
    <x v="0"/>
  </r>
  <r>
    <s v="CLICTRUCK-044616"/>
    <s v="export"/>
    <x v="51"/>
    <x v="0"/>
    <n v="2575000"/>
    <n v="16650"/>
    <d v="2023-03-30T00:00:00"/>
    <s v="UNPAID"/>
    <x v="0"/>
    <n v="85747"/>
    <n v="1"/>
    <s v="Indonesia"/>
    <s v="KMT-KJT"/>
    <x v="0"/>
  </r>
  <r>
    <s v="CLICTRUCK-044617"/>
    <s v="import"/>
    <x v="51"/>
    <x v="0"/>
    <n v="1225000"/>
    <n v="16650"/>
    <d v="2023-03-29T00:00:00"/>
    <s v="UNPAID"/>
    <x v="0"/>
    <n v="40792"/>
    <n v="1"/>
    <s v="Indonesia"/>
    <s v="KMT-KJT"/>
    <x v="0"/>
  </r>
  <r>
    <s v="CLICTRUCK-044618"/>
    <s v="export"/>
    <x v="51"/>
    <x v="0"/>
    <n v="3575000"/>
    <n v="16650"/>
    <d v="2023-03-29T00:00:00"/>
    <s v="UNPAID"/>
    <x v="0"/>
    <n v="119047"/>
    <n v="1"/>
    <s v="Indonesia"/>
    <s v="KMT-KJT"/>
    <x v="0"/>
  </r>
  <r>
    <s v="CLICTRUCK-044619"/>
    <s v="import"/>
    <x v="51"/>
    <x v="0"/>
    <n v="1225000"/>
    <n v="16650"/>
    <d v="2023-03-29T00:00:00"/>
    <s v="UNPAID"/>
    <x v="0"/>
    <n v="40792"/>
    <n v="1"/>
    <s v="Indonesia"/>
    <s v="KMT-KJT"/>
    <x v="0"/>
  </r>
  <r>
    <s v="CLICTRUCK-044620"/>
    <s v="export"/>
    <x v="51"/>
    <x v="0"/>
    <n v="2575000"/>
    <n v="16650"/>
    <d v="2023-03-29T00:00:00"/>
    <s v="UNPAID"/>
    <x v="0"/>
    <n v="85747"/>
    <n v="1"/>
    <s v="Indonesia"/>
    <s v="KMT-KJT"/>
    <x v="0"/>
  </r>
  <r>
    <s v="CLICTRUCK-044622"/>
    <s v="import"/>
    <x v="51"/>
    <x v="7"/>
    <n v="14750000"/>
    <n v="22200"/>
    <d v="2023-03-06T00:00:00"/>
    <s v="PAID"/>
    <x v="6"/>
    <n v="409312"/>
    <n v="1"/>
    <s v="Indonesia"/>
    <s v="IFI - IKI"/>
    <x v="0"/>
  </r>
  <r>
    <s v="CLICTRUCK-044623"/>
    <s v="import"/>
    <x v="51"/>
    <x v="7"/>
    <n v="130980000"/>
    <n v="22200"/>
    <d v="2023-03-06T00:00:00"/>
    <s v="PAID"/>
    <x v="6"/>
    <n v="3634695"/>
    <n v="1"/>
    <s v="Indonesia"/>
    <s v="IFI - IKI"/>
    <x v="0"/>
  </r>
  <r>
    <s v="CLICTRUCK-044640"/>
    <s v="export"/>
    <x v="52"/>
    <x v="0"/>
    <n v="6750000"/>
    <n v="16650"/>
    <d v="2023-03-29T00:00:00"/>
    <s v="UNPAID"/>
    <x v="0"/>
    <n v="224775"/>
    <n v="1"/>
    <s v="Indonesia"/>
    <s v="KMT-KJT"/>
    <x v="0"/>
  </r>
  <r>
    <s v="CLICTRUCK-044642"/>
    <s v="export"/>
    <x v="52"/>
    <x v="0"/>
    <n v="3250000"/>
    <n v="16650"/>
    <d v="2023-03-30T00:00:00"/>
    <s v="UNPAID"/>
    <x v="0"/>
    <n v="108225"/>
    <n v="1"/>
    <s v="Indonesia"/>
    <s v="KMT-KJT"/>
    <x v="0"/>
  </r>
  <r>
    <s v="CLICTRUCK-044651"/>
    <s v="export"/>
    <x v="52"/>
    <x v="0"/>
    <n v="1575000"/>
    <n v="16650"/>
    <d v="2023-03-30T00:00:00"/>
    <s v="UNPAID"/>
    <x v="0"/>
    <n v="52447"/>
    <n v="1"/>
    <s v="Indonesia"/>
    <s v="KMT-KJT"/>
    <x v="0"/>
  </r>
  <r>
    <s v="CLICTRUCK-044652"/>
    <s v="export"/>
    <x v="52"/>
    <x v="0"/>
    <n v="1125000"/>
    <n v="16650"/>
    <d v="2023-03-30T00:00:00"/>
    <s v="UNPAID"/>
    <x v="0"/>
    <n v="37462"/>
    <n v="1"/>
    <s v="Indonesia"/>
    <s v="KMT-KJT"/>
    <x v="0"/>
  </r>
  <r>
    <s v="CLICTRUCK-044653"/>
    <s v="import"/>
    <x v="52"/>
    <x v="0"/>
    <n v="1175000"/>
    <n v="16650"/>
    <d v="2023-03-30T00:00:00"/>
    <s v="UNPAID"/>
    <x v="0"/>
    <n v="39127"/>
    <n v="1"/>
    <s v="Indonesia"/>
    <s v="KMT-KJT"/>
    <x v="0"/>
  </r>
  <r>
    <s v="CLICTRUCK-044654"/>
    <s v="export"/>
    <x v="52"/>
    <x v="0"/>
    <n v="1890000"/>
    <n v="16650"/>
    <d v="2023-03-30T00:00:00"/>
    <s v="UNPAID"/>
    <x v="0"/>
    <n v="62937"/>
    <n v="1"/>
    <s v="Indonesia"/>
    <s v="KMT-KJT"/>
    <x v="0"/>
  </r>
  <r>
    <s v="CLICTRUCK-044655"/>
    <s v="export"/>
    <x v="52"/>
    <x v="0"/>
    <n v="2625000"/>
    <n v="16650"/>
    <d v="2023-03-30T00:00:00"/>
    <s v="UNPAID"/>
    <x v="0"/>
    <n v="87412"/>
    <n v="1"/>
    <s v="Indonesia"/>
    <s v="KMT-KJT"/>
    <x v="0"/>
  </r>
  <r>
    <s v="CLICTRUCK-044656"/>
    <s v="export"/>
    <x v="52"/>
    <x v="0"/>
    <n v="1050000"/>
    <n v="16650"/>
    <d v="2023-03-30T00:00:00"/>
    <s v="UNPAID"/>
    <x v="0"/>
    <n v="34965"/>
    <n v="1"/>
    <s v="Indonesia"/>
    <s v="KMT-KJT"/>
    <x v="0"/>
  </r>
  <r>
    <s v="CLICTRUCK-044657"/>
    <s v="export"/>
    <x v="52"/>
    <x v="0"/>
    <n v="2575000"/>
    <n v="16650"/>
    <d v="2023-03-30T00:00:00"/>
    <s v="UNPAID"/>
    <x v="0"/>
    <n v="85747"/>
    <n v="1"/>
    <s v="Indonesia"/>
    <s v="KMT-KJT"/>
    <x v="0"/>
  </r>
  <r>
    <s v="CLICTRUCK-044658"/>
    <s v="export"/>
    <x v="52"/>
    <x v="0"/>
    <n v="2625000"/>
    <n v="16650"/>
    <d v="2023-03-31T00:00:00"/>
    <s v="UNPAID"/>
    <x v="0"/>
    <n v="87412"/>
    <n v="1"/>
    <s v="Indonesia"/>
    <s v="KMT-KJT"/>
    <x v="0"/>
  </r>
  <r>
    <s v="CLICTRUCK-044659"/>
    <s v="export"/>
    <x v="52"/>
    <x v="0"/>
    <n v="2575000"/>
    <n v="16650"/>
    <d v="2023-03-31T00:00:00"/>
    <s v="UNPAID"/>
    <x v="0"/>
    <n v="85747"/>
    <n v="1"/>
    <s v="Indonesia"/>
    <s v="KMT-KJT"/>
    <x v="0"/>
  </r>
  <r>
    <s v="CLICTRUCK-044669"/>
    <s v="import"/>
    <x v="53"/>
    <x v="4"/>
    <n v="16000000"/>
    <n v="532800"/>
    <d v="2023-03-10T00:00:00"/>
    <s v="PAID"/>
    <x v="3"/>
    <m/>
    <n v="10"/>
    <s v="Indonesia"/>
    <s v="CJM-BMS"/>
    <x v="0"/>
  </r>
  <r>
    <s v="CLICTRUCK-044670"/>
    <s v="import"/>
    <x v="53"/>
    <x v="4"/>
    <n v="9600000"/>
    <n v="319680"/>
    <d v="2023-03-10T00:00:00"/>
    <s v="PAID"/>
    <x v="3"/>
    <m/>
    <n v="6"/>
    <s v="Indonesia"/>
    <s v="CJM-BMS"/>
    <x v="0"/>
  </r>
  <r>
    <s v="CLICTRUCK-044671"/>
    <s v="import"/>
    <x v="53"/>
    <x v="4"/>
    <n v="16000000"/>
    <n v="532800"/>
    <d v="2023-03-10T00:00:00"/>
    <s v="PAID"/>
    <x v="3"/>
    <m/>
    <n v="10"/>
    <s v="Indonesia"/>
    <s v="CJM-BMS"/>
    <x v="0"/>
  </r>
  <r>
    <s v="CLICTRUCK-044672"/>
    <s v="import"/>
    <x v="53"/>
    <x v="4"/>
    <n v="16000000"/>
    <n v="532800"/>
    <d v="2023-03-10T00:00:00"/>
    <s v="PAID"/>
    <x v="3"/>
    <m/>
    <n v="10"/>
    <s v="Indonesia"/>
    <s v="CJM-BMS"/>
    <x v="0"/>
  </r>
  <r>
    <s v="CLICTRUCK-044674"/>
    <s v="import"/>
    <x v="53"/>
    <x v="4"/>
    <n v="32000000"/>
    <n v="1065600"/>
    <d v="2023-03-17T00:00:00"/>
    <s v="UNPAID"/>
    <x v="3"/>
    <m/>
    <n v="20"/>
    <s v="Indonesia"/>
    <s v="CJM-BMS"/>
    <x v="0"/>
  </r>
  <r>
    <s v="CLICTRUCK-044675"/>
    <s v="import"/>
    <x v="53"/>
    <x v="4"/>
    <n v="32000000"/>
    <n v="1065600"/>
    <d v="2023-03-10T00:00:00"/>
    <s v="PAID"/>
    <x v="3"/>
    <m/>
    <n v="20"/>
    <s v="Indonesia"/>
    <s v="CJM-BMS"/>
    <x v="0"/>
  </r>
  <r>
    <s v="CLICTRUCK-044676"/>
    <s v="import"/>
    <x v="53"/>
    <x v="0"/>
    <n v="2050000"/>
    <n v="16650"/>
    <d v="2023-03-31T00:00:00"/>
    <s v="UNPAID"/>
    <x v="0"/>
    <n v="68265"/>
    <n v="1"/>
    <s v="Indonesia"/>
    <s v="KMT-KJT"/>
    <x v="0"/>
  </r>
  <r>
    <s v="CLICTRUCK-044677"/>
    <s v="import"/>
    <x v="53"/>
    <x v="0"/>
    <n v="2050000"/>
    <n v="16650"/>
    <d v="2023-03-31T00:00:00"/>
    <s v="UNPAID"/>
    <x v="0"/>
    <n v="68265"/>
    <n v="1"/>
    <s v="Indonesia"/>
    <s v="KMT-KJT"/>
    <x v="0"/>
  </r>
  <r>
    <s v="CLICTRUCK-044678"/>
    <s v="export"/>
    <x v="53"/>
    <x v="0"/>
    <n v="2625000"/>
    <n v="16650"/>
    <d v="2023-03-31T00:00:00"/>
    <s v="UNPAID"/>
    <x v="0"/>
    <n v="87412"/>
    <n v="1"/>
    <s v="Indonesia"/>
    <s v="KMT-KJT"/>
    <x v="0"/>
  </r>
  <r>
    <s v="CLICTRUCK-044679"/>
    <s v="export"/>
    <x v="53"/>
    <x v="0"/>
    <n v="2625000"/>
    <n v="16650"/>
    <d v="2023-03-31T00:00:00"/>
    <s v="UNPAID"/>
    <x v="0"/>
    <n v="87412"/>
    <n v="1"/>
    <s v="Indonesia"/>
    <s v="KMT-KJT"/>
    <x v="0"/>
  </r>
  <r>
    <s v="CLICTRUCK-044680"/>
    <s v="export"/>
    <x v="53"/>
    <x v="0"/>
    <n v="2625000"/>
    <n v="16650"/>
    <d v="2023-03-31T00:00:00"/>
    <s v="UNPAID"/>
    <x v="0"/>
    <n v="87412"/>
    <n v="1"/>
    <s v="Indonesia"/>
    <s v="KMT-KJT"/>
    <x v="0"/>
  </r>
  <r>
    <s v="CLICTRUCK-044681"/>
    <s v="export"/>
    <x v="53"/>
    <x v="0"/>
    <n v="2675000"/>
    <n v="16650"/>
    <d v="2023-03-31T00:00:00"/>
    <s v="UNPAID"/>
    <x v="0"/>
    <n v="89077"/>
    <n v="1"/>
    <s v="Indonesia"/>
    <s v="KMT-KJT"/>
    <x v="0"/>
  </r>
  <r>
    <s v="CLICTRUCK-044682"/>
    <s v="export"/>
    <x v="53"/>
    <x v="0"/>
    <n v="2375000"/>
    <n v="16650"/>
    <d v="2023-03-31T00:00:00"/>
    <s v="UNPAID"/>
    <x v="0"/>
    <n v="79087"/>
    <n v="1"/>
    <s v="Indonesia"/>
    <s v="KMT-KJT"/>
    <x v="0"/>
  </r>
  <r>
    <s v="CLICTRUCK-044683"/>
    <s v="export"/>
    <x v="53"/>
    <x v="0"/>
    <n v="2000000"/>
    <n v="16650"/>
    <d v="2023-03-31T00:00:00"/>
    <s v="UNPAID"/>
    <x v="0"/>
    <n v="66600"/>
    <n v="1"/>
    <s v="Indonesia"/>
    <s v="KMT-KJT"/>
    <x v="0"/>
  </r>
  <r>
    <s v="CLICTRUCK-044684"/>
    <s v="export"/>
    <x v="53"/>
    <x v="0"/>
    <n v="2625000"/>
    <n v="16650"/>
    <d v="2023-03-31T00:00:00"/>
    <s v="UNPAID"/>
    <x v="0"/>
    <n v="87412"/>
    <n v="1"/>
    <s v="Indonesia"/>
    <s v="KMT-KJT"/>
    <x v="0"/>
  </r>
  <r>
    <s v="CLICTRUCK-044685"/>
    <s v="export"/>
    <x v="53"/>
    <x v="0"/>
    <n v="1125000"/>
    <n v="16650"/>
    <d v="2023-03-31T00:00:00"/>
    <s v="UNPAID"/>
    <x v="0"/>
    <n v="37462"/>
    <n v="1"/>
    <s v="Indonesia"/>
    <s v="KMT-KJT"/>
    <x v="0"/>
  </r>
  <r>
    <s v="CLICTRUCK-044686"/>
    <s v="export"/>
    <x v="53"/>
    <x v="0"/>
    <n v="2625000"/>
    <n v="16650"/>
    <d v="2023-03-31T00:00:00"/>
    <s v="UNPAID"/>
    <x v="0"/>
    <n v="87412"/>
    <n v="1"/>
    <s v="Indonesia"/>
    <s v="KMT-KJT"/>
    <x v="0"/>
  </r>
  <r>
    <s v="CLICTRUCK-044687"/>
    <s v="export"/>
    <x v="53"/>
    <x v="0"/>
    <n v="2460000"/>
    <n v="16650"/>
    <d v="2023-03-31T00:00:00"/>
    <s v="UNPAID"/>
    <x v="0"/>
    <n v="81918"/>
    <n v="1"/>
    <s v="Indonesia"/>
    <s v="KMT-KJT"/>
    <x v="0"/>
  </r>
  <r>
    <s v="CLICTRUCK-044688"/>
    <s v="export"/>
    <x v="53"/>
    <x v="0"/>
    <n v="1350000"/>
    <n v="16650"/>
    <d v="2023-03-31T00:00:00"/>
    <s v="UNPAID"/>
    <x v="0"/>
    <n v="44955"/>
    <n v="1"/>
    <s v="Indonesia"/>
    <s v="KMT-KJT"/>
    <x v="0"/>
  </r>
  <r>
    <s v="CLICTRUCK-044689"/>
    <s v="export"/>
    <x v="53"/>
    <x v="0"/>
    <n v="1050000"/>
    <n v="16650"/>
    <d v="2023-04-01T00:00:00"/>
    <s v="UNPAID"/>
    <x v="0"/>
    <n v="34965"/>
    <n v="1"/>
    <s v="Indonesia"/>
    <s v="KMT-KJT"/>
    <x v="0"/>
  </r>
  <r>
    <s v="CLICTRUCK-044690"/>
    <s v="import"/>
    <x v="53"/>
    <x v="0"/>
    <n v="1600000"/>
    <n v="16650"/>
    <d v="2023-04-01T00:00:00"/>
    <s v="UNPAID"/>
    <x v="0"/>
    <n v="53280"/>
    <n v="1"/>
    <s v="Indonesia"/>
    <s v="KMT-KJT"/>
    <x v="0"/>
  </r>
  <r>
    <s v="CLICTRUCK-044724"/>
    <s v="export"/>
    <x v="54"/>
    <x v="0"/>
    <n v="2625000"/>
    <n v="16650"/>
    <d v="2023-04-01T00:00:00"/>
    <s v="UNPAID"/>
    <x v="0"/>
    <n v="87412"/>
    <n v="1"/>
    <s v="Indonesia"/>
    <s v="KMT-KJT"/>
    <x v="0"/>
  </r>
  <r>
    <s v="CLICTRUCK-044725"/>
    <s v="export"/>
    <x v="54"/>
    <x v="0"/>
    <n v="2787500"/>
    <n v="16650"/>
    <d v="2023-04-01T00:00:00"/>
    <s v="UNPAID"/>
    <x v="0"/>
    <n v="92823"/>
    <n v="1"/>
    <s v="Indonesia"/>
    <s v="KMT-KJT"/>
    <x v="0"/>
  </r>
  <r>
    <s v="CLICTRUCK-044726"/>
    <s v="export"/>
    <x v="54"/>
    <x v="0"/>
    <n v="2787500"/>
    <n v="16650"/>
    <d v="2023-04-01T00:00:00"/>
    <s v="UNPAID"/>
    <x v="0"/>
    <n v="92823"/>
    <n v="1"/>
    <s v="Indonesia"/>
    <s v="KMT-KJT"/>
    <x v="0"/>
  </r>
  <r>
    <s v="CLICTRUCK-044727"/>
    <s v="export"/>
    <x v="54"/>
    <x v="0"/>
    <n v="1500000"/>
    <n v="16650"/>
    <d v="2023-04-01T00:00:00"/>
    <s v="UNPAID"/>
    <x v="0"/>
    <n v="49950"/>
    <n v="1"/>
    <s v="Indonesia"/>
    <s v="KMT-KJT"/>
    <x v="0"/>
  </r>
  <r>
    <s v="CLICTRUCK-044728"/>
    <s v="export"/>
    <x v="54"/>
    <x v="0"/>
    <n v="2950000"/>
    <n v="16650"/>
    <d v="2023-04-01T00:00:00"/>
    <s v="UNPAID"/>
    <x v="0"/>
    <n v="98235"/>
    <n v="1"/>
    <s v="Indonesia"/>
    <s v="KMT-KJT"/>
    <x v="0"/>
  </r>
  <r>
    <s v="CLICTRUCK-044729"/>
    <s v="export"/>
    <x v="54"/>
    <x v="0"/>
    <n v="1875000"/>
    <n v="16650"/>
    <d v="2023-04-01T00:00:00"/>
    <s v="UNPAID"/>
    <x v="0"/>
    <n v="62437"/>
    <n v="1"/>
    <s v="Indonesia"/>
    <s v="KMT-KJT"/>
    <x v="0"/>
  </r>
  <r>
    <s v="CLICTRUCK-044746"/>
    <s v="export"/>
    <x v="54"/>
    <x v="5"/>
    <n v="1274000"/>
    <n v="22200"/>
    <d v="2023-03-10T00:00:00"/>
    <s v="PAID"/>
    <x v="4"/>
    <m/>
    <n v="1"/>
    <s v="Indonesia"/>
    <s v="GLT-Elemen"/>
    <x v="0"/>
  </r>
  <r>
    <s v="CLICTRUCK-044747"/>
    <s v="import"/>
    <x v="54"/>
    <x v="1"/>
    <n v="15103015"/>
    <n v="299700"/>
    <d v="2023-03-11T00:00:00"/>
    <s v="PAID"/>
    <x v="1"/>
    <n v="335286"/>
    <n v="15"/>
    <s v="Indonesia"/>
    <s v="ESA - SASA"/>
    <x v="0"/>
  </r>
  <r>
    <s v="CLICTRUCK-044748"/>
    <s v="import"/>
    <x v="54"/>
    <x v="1"/>
    <n v="5460000"/>
    <n v="139860"/>
    <d v="2023-03-11T00:00:00"/>
    <s v="PAID"/>
    <x v="1"/>
    <n v="121212"/>
    <n v="7"/>
    <s v="Indonesia"/>
    <s v="ESA - SASA"/>
    <x v="0"/>
  </r>
  <r>
    <s v="CLICTRUCK-044749"/>
    <s v="import"/>
    <x v="54"/>
    <x v="1"/>
    <n v="7800000"/>
    <n v="199800"/>
    <d v="2023-03-11T00:00:00"/>
    <s v="PAID"/>
    <x v="1"/>
    <n v="173160"/>
    <n v="10"/>
    <s v="Indonesia"/>
    <s v="ESA - SASA"/>
    <x v="0"/>
  </r>
  <r>
    <s v="CLICTRUCK-044750"/>
    <s v="import"/>
    <x v="55"/>
    <x v="1"/>
    <n v="14052330"/>
    <n v="199800"/>
    <d v="2023-03-11T00:00:00"/>
    <s v="PAID"/>
    <x v="1"/>
    <n v="311961"/>
    <n v="10"/>
    <s v="Indonesia"/>
    <s v="ESA - SASA"/>
    <x v="0"/>
  </r>
  <r>
    <s v="CLICTRUCK-044760"/>
    <s v="import"/>
    <x v="55"/>
    <x v="1"/>
    <n v="9039714"/>
    <n v="99900"/>
    <d v="2023-03-11T00:00:00"/>
    <s v="PAID"/>
    <x v="1"/>
    <n v="200681"/>
    <n v="5"/>
    <s v="Indonesia"/>
    <s v="ESA - SASA"/>
    <x v="0"/>
  </r>
  <r>
    <s v="CLICTRUCK-044763"/>
    <s v="export"/>
    <x v="56"/>
    <x v="0"/>
    <n v="3100000"/>
    <n v="16650"/>
    <d v="2023-04-01T00:00:00"/>
    <s v="UNPAID"/>
    <x v="0"/>
    <n v="103230"/>
    <n v="1"/>
    <s v="Indonesia"/>
    <s v="KMT-KJT"/>
    <x v="0"/>
  </r>
  <r>
    <s v="CLICTRUCK-044764"/>
    <s v="export"/>
    <x v="56"/>
    <x v="0"/>
    <n v="3250000"/>
    <n v="16650"/>
    <d v="2023-04-01T00:00:00"/>
    <s v="UNPAID"/>
    <x v="0"/>
    <n v="108225"/>
    <n v="1"/>
    <s v="Indonesia"/>
    <s v="KMT-KJT"/>
    <x v="0"/>
  </r>
  <r>
    <s v="CLICTRUCK-044765"/>
    <s v="export"/>
    <x v="56"/>
    <x v="0"/>
    <n v="2950000"/>
    <n v="16650"/>
    <d v="2023-04-01T00:00:00"/>
    <s v="UNPAID"/>
    <x v="0"/>
    <n v="98235"/>
    <n v="1"/>
    <s v="Indonesia"/>
    <s v="KMT-KJT"/>
    <x v="0"/>
  </r>
  <r>
    <s v="CLICTRUCK-044766"/>
    <s v="export"/>
    <x v="56"/>
    <x v="0"/>
    <n v="1950000"/>
    <n v="16650"/>
    <d v="2023-04-05T00:00:00"/>
    <s v="UNPAID"/>
    <x v="0"/>
    <n v="64935"/>
    <n v="1"/>
    <s v="Indonesia"/>
    <s v="KMT-KJT"/>
    <x v="0"/>
  </r>
  <r>
    <s v="CLICTRUCK-044767"/>
    <s v="export"/>
    <x v="56"/>
    <x v="0"/>
    <n v="1700000"/>
    <n v="16650"/>
    <d v="2023-04-01T00:00:00"/>
    <s v="UNPAID"/>
    <x v="0"/>
    <n v="56610"/>
    <n v="1"/>
    <s v="Indonesia"/>
    <s v="KMT-KJT"/>
    <x v="0"/>
  </r>
  <r>
    <s v="CLICTRUCK-044768"/>
    <s v="export"/>
    <x v="56"/>
    <x v="0"/>
    <n v="3500000"/>
    <n v="16650"/>
    <d v="2023-04-04T00:00:00"/>
    <s v="UNPAID"/>
    <x v="0"/>
    <n v="116550"/>
    <n v="1"/>
    <s v="Indonesia"/>
    <s v="KMT-KJT"/>
    <x v="0"/>
  </r>
  <r>
    <s v="CLICTRUCK-044773"/>
    <s v="export"/>
    <x v="57"/>
    <x v="0"/>
    <n v="2575000"/>
    <n v="16650"/>
    <d v="2023-04-01T00:00:00"/>
    <s v="UNPAID"/>
    <x v="0"/>
    <n v="85747"/>
    <n v="1"/>
    <s v="Indonesia"/>
    <s v="KMT-KJT"/>
    <x v="0"/>
  </r>
  <r>
    <s v="CLICTRUCK-044774"/>
    <s v="export"/>
    <x v="57"/>
    <x v="0"/>
    <n v="2625000"/>
    <n v="16650"/>
    <d v="2023-04-01T00:00:00"/>
    <s v="UNPAID"/>
    <x v="0"/>
    <n v="87412"/>
    <n v="1"/>
    <s v="Indonesia"/>
    <s v="KMT-KJT"/>
    <x v="0"/>
  </r>
  <r>
    <s v="CLICTRUCK-044775"/>
    <s v="export"/>
    <x v="57"/>
    <x v="0"/>
    <n v="1575000"/>
    <n v="16650"/>
    <d v="2023-04-01T00:00:00"/>
    <s v="UNPAID"/>
    <x v="0"/>
    <n v="52447"/>
    <n v="1"/>
    <s v="Indonesia"/>
    <s v="KMT-KJT"/>
    <x v="0"/>
  </r>
  <r>
    <s v="CLICTRUCK-044776"/>
    <s v="export"/>
    <x v="57"/>
    <x v="0"/>
    <n v="1325000"/>
    <n v="16650"/>
    <d v="2023-04-01T00:00:00"/>
    <s v="UNPAID"/>
    <x v="0"/>
    <n v="44122"/>
    <n v="1"/>
    <s v="Indonesia"/>
    <s v="KMT-KJT"/>
    <x v="0"/>
  </r>
  <r>
    <s v="CLICTRUCK-044880"/>
    <s v="export"/>
    <x v="58"/>
    <x v="0"/>
    <n v="2625000"/>
    <n v="16650"/>
    <d v="2023-04-01T00:00:00"/>
    <s v="UNPAID"/>
    <x v="0"/>
    <n v="87412"/>
    <n v="1"/>
    <s v="Indonesia"/>
    <s v="KMT-KJT"/>
    <x v="0"/>
  </r>
  <r>
    <s v="CLICTRUCK-044881"/>
    <s v="export"/>
    <x v="58"/>
    <x v="0"/>
    <n v="1050000"/>
    <n v="16650"/>
    <d v="2023-04-01T00:00:00"/>
    <s v="UNPAID"/>
    <x v="0"/>
    <n v="34965"/>
    <n v="1"/>
    <s v="Indonesia"/>
    <s v="KMT-KJT"/>
    <x v="0"/>
  </r>
  <r>
    <s v="CLICTRUCK-044882"/>
    <s v="export"/>
    <x v="58"/>
    <x v="0"/>
    <n v="800000"/>
    <n v="16650"/>
    <d v="2023-04-01T00:00:00"/>
    <s v="UNPAID"/>
    <x v="0"/>
    <n v="26640"/>
    <n v="1"/>
    <s v="Indonesia"/>
    <s v="KMT-KJT"/>
    <x v="0"/>
  </r>
  <r>
    <s v="CLICTRUCK-045222"/>
    <s v="import"/>
    <x v="58"/>
    <x v="4"/>
    <n v="14400000"/>
    <n v="479520"/>
    <d v="2023-03-17T00:00:00"/>
    <s v="UNPAID"/>
    <x v="3"/>
    <m/>
    <n v="9"/>
    <s v="Indonesia"/>
    <s v="CJM-BMS"/>
    <x v="0"/>
  </r>
  <r>
    <s v="CLICTRUCK-045224"/>
    <s v="import"/>
    <x v="58"/>
    <x v="4"/>
    <n v="22400000"/>
    <n v="745920"/>
    <d v="2023-03-17T00:00:00"/>
    <s v="UNPAID"/>
    <x v="3"/>
    <m/>
    <n v="14"/>
    <s v="Indonesia"/>
    <s v="CJM-BMS"/>
    <x v="0"/>
  </r>
  <r>
    <s v="CLICTRUCK-045226"/>
    <s v="import"/>
    <x v="58"/>
    <x v="4"/>
    <n v="16000000"/>
    <n v="532800"/>
    <d v="2023-03-17T00:00:00"/>
    <s v="UNPAID"/>
    <x v="3"/>
    <m/>
    <n v="10"/>
    <s v="Indonesia"/>
    <s v="CJM-BMS"/>
    <x v="0"/>
  </r>
  <r>
    <s v="CLICTRUCK-045227"/>
    <s v="import"/>
    <x v="58"/>
    <x v="4"/>
    <n v="4800000"/>
    <n v="159840"/>
    <d v="2023-03-17T00:00:00"/>
    <s v="UNPAID"/>
    <x v="3"/>
    <m/>
    <n v="3"/>
    <s v="Indonesia"/>
    <s v="CJM-BMS"/>
    <x v="0"/>
  </r>
  <r>
    <s v="CLICTRUCK-045228"/>
    <s v="import"/>
    <x v="58"/>
    <x v="4"/>
    <n v="6400000"/>
    <n v="213120"/>
    <d v="2023-03-17T00:00:00"/>
    <s v="UNPAID"/>
    <x v="3"/>
    <m/>
    <n v="4"/>
    <s v="Indonesia"/>
    <s v="CJM-BMS"/>
    <x v="0"/>
  </r>
  <r>
    <s v="CLICTRUCK-045259"/>
    <s v="export"/>
    <x v="59"/>
    <x v="0"/>
    <n v="2625000"/>
    <n v="16650"/>
    <d v="2023-04-01T00:00:00"/>
    <s v="UNPAID"/>
    <x v="0"/>
    <n v="87412"/>
    <n v="1"/>
    <s v="Indonesia"/>
    <s v="KMT-KJT"/>
    <x v="0"/>
  </r>
  <r>
    <s v="CLICTRUCK-045260"/>
    <s v="export"/>
    <x v="59"/>
    <x v="0"/>
    <n v="1575000"/>
    <n v="16650"/>
    <d v="2023-04-01T00:00:00"/>
    <s v="UNPAID"/>
    <x v="0"/>
    <n v="52447"/>
    <n v="1"/>
    <s v="Indonesia"/>
    <s v="KMT-KJT"/>
    <x v="0"/>
  </r>
  <r>
    <s v="CLICTRUCK-045261"/>
    <s v="export"/>
    <x v="59"/>
    <x v="0"/>
    <n v="2625000"/>
    <n v="16650"/>
    <d v="2023-04-04T00:00:00"/>
    <s v="UNPAID"/>
    <x v="0"/>
    <n v="87412"/>
    <n v="1"/>
    <s v="Indonesia"/>
    <s v="KMT-KJT"/>
    <x v="0"/>
  </r>
  <r>
    <s v="CLICTRUCK-045262"/>
    <s v="export"/>
    <x v="59"/>
    <x v="0"/>
    <n v="2625000"/>
    <n v="16650"/>
    <d v="2023-04-04T00:00:00"/>
    <s v="UNPAID"/>
    <x v="0"/>
    <n v="87412"/>
    <n v="1"/>
    <s v="Indonesia"/>
    <s v="KMT-KJT"/>
    <x v="0"/>
  </r>
  <r>
    <s v="CLICTRUCK-045263"/>
    <s v="export"/>
    <x v="59"/>
    <x v="0"/>
    <n v="2625000"/>
    <n v="16650"/>
    <d v="2023-04-04T00:00:00"/>
    <s v="UNPAID"/>
    <x v="0"/>
    <n v="87412"/>
    <n v="1"/>
    <s v="Indonesia"/>
    <s v="KMT-KJT"/>
    <x v="0"/>
  </r>
  <r>
    <s v="CLICTRUCK-045264"/>
    <s v="export"/>
    <x v="59"/>
    <x v="0"/>
    <n v="2675000"/>
    <n v="16650"/>
    <d v="2023-04-04T00:00:00"/>
    <s v="UNPAID"/>
    <x v="0"/>
    <n v="89077"/>
    <n v="1"/>
    <s v="Indonesia"/>
    <s v="KMT-KJT"/>
    <x v="0"/>
  </r>
  <r>
    <s v="CLICTRUCK-045265"/>
    <s v="export"/>
    <x v="59"/>
    <x v="0"/>
    <n v="3250000"/>
    <n v="16650"/>
    <d v="2023-04-04T00:00:00"/>
    <s v="UNPAID"/>
    <x v="0"/>
    <n v="108225"/>
    <n v="1"/>
    <s v="Indonesia"/>
    <s v="KMT-KJT"/>
    <x v="0"/>
  </r>
  <r>
    <s v="CLICTRUCK-045266"/>
    <s v="export"/>
    <x v="59"/>
    <x v="0"/>
    <n v="3250000"/>
    <n v="16650"/>
    <d v="2023-04-04T00:00:00"/>
    <s v="UNPAID"/>
    <x v="0"/>
    <n v="108225"/>
    <n v="1"/>
    <s v="Indonesia"/>
    <s v="KMT-KJT"/>
    <x v="0"/>
  </r>
  <r>
    <s v="CLICTRUCK-045267"/>
    <s v="export"/>
    <x v="59"/>
    <x v="0"/>
    <n v="1825000"/>
    <n v="16650"/>
    <d v="2023-04-04T00:00:00"/>
    <s v="UNPAID"/>
    <x v="0"/>
    <n v="60772"/>
    <n v="1"/>
    <s v="Indonesia"/>
    <s v="KMT-KJT"/>
    <x v="0"/>
  </r>
  <r>
    <s v="CLICTRUCK-045268"/>
    <s v="export"/>
    <x v="59"/>
    <x v="0"/>
    <n v="3075000"/>
    <n v="16650"/>
    <d v="2023-04-05T00:00:00"/>
    <s v="UNPAID"/>
    <x v="0"/>
    <n v="102397"/>
    <n v="1"/>
    <s v="Indonesia"/>
    <s v="KMT-KJT"/>
    <x v="0"/>
  </r>
  <r>
    <s v="CLICTRUCK-045269"/>
    <s v="export"/>
    <x v="59"/>
    <x v="0"/>
    <n v="825000"/>
    <n v="16650"/>
    <d v="2023-04-08T00:00:00"/>
    <s v="UNPAID"/>
    <x v="0"/>
    <n v="27472"/>
    <n v="1"/>
    <s v="Indonesia"/>
    <s v="KMT-KJT"/>
    <x v="0"/>
  </r>
  <r>
    <s v="CLICTRUCK-045270"/>
    <s v="export"/>
    <x v="59"/>
    <x v="0"/>
    <n v="1050000"/>
    <n v="16650"/>
    <d v="2023-04-05T00:00:00"/>
    <s v="UNPAID"/>
    <x v="0"/>
    <n v="34965"/>
    <n v="1"/>
    <s v="Indonesia"/>
    <s v="KMT-KJT"/>
    <x v="0"/>
  </r>
  <r>
    <s v="CLICTRUCK-045461"/>
    <s v="export"/>
    <x v="59"/>
    <x v="0"/>
    <n v="3250000"/>
    <n v="16650"/>
    <d v="2023-03-20T00:00:00"/>
    <s v="UNPAID"/>
    <x v="0"/>
    <n v="108225"/>
    <n v="1"/>
    <s v="Indonesia"/>
    <s v="KMT-KJT"/>
    <x v="0"/>
  </r>
  <r>
    <s v="CLICTRUCK-045464"/>
    <s v="export"/>
    <x v="59"/>
    <x v="3"/>
    <n v="2000000"/>
    <n v="25000"/>
    <m/>
    <s v="PENDING APPROVAL"/>
    <x v="2"/>
    <n v="0"/>
    <n v="1"/>
    <s v="Indonesia"/>
    <s v="DLS-KAS"/>
    <x v="1"/>
  </r>
  <r>
    <s v="CLICTRUCK-045465"/>
    <s v="export"/>
    <x v="59"/>
    <x v="3"/>
    <n v="2000000"/>
    <n v="25000"/>
    <m/>
    <s v="PENDING APPROVAL"/>
    <x v="2"/>
    <n v="0"/>
    <n v="1"/>
    <s v="Indonesia"/>
    <s v="DLS-KAS"/>
    <x v="1"/>
  </r>
  <r>
    <s v="CLICTRUCK-045466"/>
    <s v="export"/>
    <x v="59"/>
    <x v="3"/>
    <n v="6000000"/>
    <n v="25000"/>
    <m/>
    <s v="PENDING APPROVAL"/>
    <x v="2"/>
    <n v="0"/>
    <n v="3"/>
    <s v="Indonesia"/>
    <s v="DLS-KAS"/>
    <x v="1"/>
  </r>
  <r>
    <s v="CLICTRUCK-045467"/>
    <s v="export"/>
    <x v="59"/>
    <x v="3"/>
    <n v="2000000"/>
    <n v="25000"/>
    <m/>
    <s v="PENDING APPROVAL"/>
    <x v="2"/>
    <n v="0"/>
    <n v="1"/>
    <s v="Indonesia"/>
    <s v="DLS-KAS"/>
    <x v="1"/>
  </r>
  <r>
    <s v="CLICTRUCK-045468"/>
    <s v="export"/>
    <x v="59"/>
    <x v="3"/>
    <n v="4000000"/>
    <n v="25000"/>
    <m/>
    <s v="PENDING APPROVAL"/>
    <x v="2"/>
    <n v="0"/>
    <n v="2"/>
    <s v="Indonesia"/>
    <s v="DLS-KAS"/>
    <x v="1"/>
  </r>
  <r>
    <s v="CLICTRUCK-045469"/>
    <s v="export"/>
    <x v="59"/>
    <x v="3"/>
    <n v="2000000"/>
    <n v="25000"/>
    <m/>
    <s v="PENDING APPROVAL"/>
    <x v="2"/>
    <n v="0"/>
    <n v="1"/>
    <s v="Indonesia"/>
    <s v="DLS-KAS"/>
    <x v="1"/>
  </r>
  <r>
    <s v="CLICTRUCK-045470"/>
    <s v="export"/>
    <x v="59"/>
    <x v="3"/>
    <n v="2000000"/>
    <n v="25000"/>
    <m/>
    <s v="PENDING APPROVAL"/>
    <x v="2"/>
    <n v="0"/>
    <n v="1"/>
    <s v="Indonesia"/>
    <s v="DLS-KAS"/>
    <x v="1"/>
  </r>
  <r>
    <s v="CLICTRUCK-045471"/>
    <s v="export"/>
    <x v="59"/>
    <x v="3"/>
    <n v="2000000"/>
    <n v="25000"/>
    <m/>
    <s v="PENDING APPROVAL"/>
    <x v="2"/>
    <n v="0"/>
    <n v="1"/>
    <s v="Indonesia"/>
    <s v="DLS-KAS"/>
    <x v="1"/>
  </r>
  <r>
    <s v="CLICTRUCK-045472"/>
    <s v="export"/>
    <x v="59"/>
    <x v="3"/>
    <n v="2000000"/>
    <n v="25000"/>
    <m/>
    <s v="PENDING APPROVAL"/>
    <x v="2"/>
    <n v="0"/>
    <n v="1"/>
    <s v="Indonesia"/>
    <s v="DLS-KAS"/>
    <x v="1"/>
  </r>
  <r>
    <s v="CLICTRUCK-045473"/>
    <s v="export"/>
    <x v="59"/>
    <x v="3"/>
    <n v="2000000"/>
    <n v="25000"/>
    <m/>
    <s v="PENDING APPROVAL"/>
    <x v="2"/>
    <n v="0"/>
    <n v="1"/>
    <s v="Indonesia"/>
    <s v="DLS-KAS"/>
    <x v="1"/>
  </r>
  <r>
    <s v="CLICTRUCK-045474"/>
    <s v="export"/>
    <x v="60"/>
    <x v="0"/>
    <n v="2787500"/>
    <n v="16650"/>
    <d v="2023-04-05T00:00:00"/>
    <s v="UNPAID"/>
    <x v="0"/>
    <n v="92823"/>
    <n v="1"/>
    <s v="Indonesia"/>
    <s v="KMT-KJT"/>
    <x v="0"/>
  </r>
  <r>
    <s v="CLICTRUCK-045475"/>
    <s v="export"/>
    <x v="60"/>
    <x v="0"/>
    <n v="2625000"/>
    <n v="16650"/>
    <d v="2023-04-05T00:00:00"/>
    <s v="UNPAID"/>
    <x v="0"/>
    <n v="87412"/>
    <n v="1"/>
    <s v="Indonesia"/>
    <s v="KMT-KJT"/>
    <x v="0"/>
  </r>
  <r>
    <s v="CLICTRUCK-045476"/>
    <s v="export"/>
    <x v="60"/>
    <x v="0"/>
    <n v="2625000"/>
    <n v="16650"/>
    <d v="2023-04-05T00:00:00"/>
    <s v="UNPAID"/>
    <x v="0"/>
    <n v="87412"/>
    <n v="1"/>
    <s v="Indonesia"/>
    <s v="KMT-KJT"/>
    <x v="0"/>
  </r>
  <r>
    <s v="CLICTRUCK-045477"/>
    <s v="export"/>
    <x v="60"/>
    <x v="0"/>
    <n v="1825000"/>
    <n v="16650"/>
    <d v="2023-04-05T00:00:00"/>
    <s v="UNPAID"/>
    <x v="0"/>
    <n v="60772"/>
    <n v="1"/>
    <s v="Indonesia"/>
    <s v="KMT-KJT"/>
    <x v="0"/>
  </r>
  <r>
    <s v="CLICTRUCK-045478"/>
    <s v="export"/>
    <x v="60"/>
    <x v="0"/>
    <n v="3250000"/>
    <n v="16650"/>
    <d v="2023-04-05T00:00:00"/>
    <s v="UNPAID"/>
    <x v="0"/>
    <n v="108225"/>
    <n v="1"/>
    <s v="Indonesia"/>
    <s v="KMT-KJT"/>
    <x v="0"/>
  </r>
  <r>
    <s v="CLICTRUCK-045479"/>
    <s v="export"/>
    <x v="60"/>
    <x v="0"/>
    <n v="2000000"/>
    <n v="16650"/>
    <d v="2023-04-05T00:00:00"/>
    <s v="UNPAID"/>
    <x v="0"/>
    <n v="66600"/>
    <n v="1"/>
    <s v="Indonesia"/>
    <s v="KMT-KJT"/>
    <x v="0"/>
  </r>
  <r>
    <s v="CLICTRUCK-045480"/>
    <s v="export"/>
    <x v="60"/>
    <x v="0"/>
    <n v="1125000"/>
    <n v="16650"/>
    <d v="2023-04-05T00:00:00"/>
    <s v="UNPAID"/>
    <x v="0"/>
    <n v="37462"/>
    <n v="1"/>
    <s v="Indonesia"/>
    <s v="KMT-KJT"/>
    <x v="0"/>
  </r>
  <r>
    <s v="CLICTRUCK-045481"/>
    <s v="export"/>
    <x v="60"/>
    <x v="0"/>
    <n v="1875000"/>
    <n v="16650"/>
    <d v="2023-04-05T00:00:00"/>
    <s v="UNPAID"/>
    <x v="0"/>
    <n v="62437"/>
    <n v="1"/>
    <s v="Indonesia"/>
    <s v="KMT-KJT"/>
    <x v="0"/>
  </r>
  <r>
    <s v="CLICTRUCK-045482"/>
    <s v="export"/>
    <x v="60"/>
    <x v="0"/>
    <n v="2500000"/>
    <n v="16650"/>
    <d v="2023-04-05T00:00:00"/>
    <s v="UNPAID"/>
    <x v="0"/>
    <n v="83250"/>
    <n v="1"/>
    <s v="Indonesia"/>
    <s v="KMT-KJT"/>
    <x v="0"/>
  </r>
  <r>
    <s v="CLICTRUCK-045483"/>
    <s v="export"/>
    <x v="60"/>
    <x v="0"/>
    <n v="1440000"/>
    <n v="16650"/>
    <d v="2023-04-05T00:00:00"/>
    <s v="UNPAID"/>
    <x v="0"/>
    <n v="47952"/>
    <n v="1"/>
    <s v="Indonesia"/>
    <s v="KMT-KJT"/>
    <x v="0"/>
  </r>
  <r>
    <s v="CLICTRUCK-045579"/>
    <s v="import"/>
    <x v="60"/>
    <x v="4"/>
    <n v="16000000"/>
    <n v="532800"/>
    <d v="2023-03-17T00:00:00"/>
    <s v="UNPAID"/>
    <x v="3"/>
    <m/>
    <n v="10"/>
    <s v="Indonesia"/>
    <s v="CJM-BMS"/>
    <x v="0"/>
  </r>
  <r>
    <s v="CLICTRUCK-045792"/>
    <s v="export"/>
    <x v="60"/>
    <x v="5"/>
    <n v="1687625"/>
    <n v="22200"/>
    <d v="2023-03-18T00:00:00"/>
    <s v="PAID"/>
    <x v="4"/>
    <m/>
    <n v="1"/>
    <s v="Indonesia"/>
    <s v="GLT-Elemen"/>
    <x v="0"/>
  </r>
  <r>
    <s v="CLICTRUCK-045793"/>
    <s v="export"/>
    <x v="60"/>
    <x v="5"/>
    <n v="1175999"/>
    <n v="22200"/>
    <d v="2023-03-18T00:00:00"/>
    <s v="PAID"/>
    <x v="4"/>
    <m/>
    <n v="1"/>
    <s v="Indonesia"/>
    <s v="GLT-Elemen"/>
    <x v="0"/>
  </r>
  <r>
    <s v="CLICTRUCK-045794"/>
    <s v="export"/>
    <x v="60"/>
    <x v="5"/>
    <n v="3314999"/>
    <n v="44400"/>
    <d v="2023-03-18T00:00:00"/>
    <s v="PAID"/>
    <x v="4"/>
    <m/>
    <n v="2"/>
    <s v="Indonesia"/>
    <s v="GLT-Elemen"/>
    <x v="0"/>
  </r>
  <r>
    <s v="CLICTRUCK-045795"/>
    <s v="export"/>
    <x v="60"/>
    <x v="5"/>
    <n v="6370000"/>
    <n v="111000"/>
    <d v="2023-03-18T00:00:00"/>
    <s v="PAID"/>
    <x v="4"/>
    <m/>
    <n v="5"/>
    <s v="Indonesia"/>
    <s v="GLT-Elemen"/>
    <x v="0"/>
  </r>
  <r>
    <s v="CLICTRUCK-045830"/>
    <s v="export"/>
    <x v="61"/>
    <x v="5"/>
    <n v="6806400"/>
    <n v="88800"/>
    <d v="2023-03-18T00:00:00"/>
    <s v="PAID"/>
    <x v="4"/>
    <m/>
    <n v="4"/>
    <s v="Indonesia"/>
    <s v="GLT-Elemen"/>
    <x v="0"/>
  </r>
  <r>
    <s v="CLICTRUCK-045833"/>
    <s v="export"/>
    <x v="61"/>
    <x v="5"/>
    <n v="9702500"/>
    <n v="111000"/>
    <d v="2023-03-18T00:00:00"/>
    <s v="PAID"/>
    <x v="4"/>
    <m/>
    <n v="5"/>
    <s v="Indonesia"/>
    <s v="GLT-Elemen"/>
    <x v="0"/>
  </r>
  <r>
    <s v="CLICTRUCK-045850"/>
    <s v="import"/>
    <x v="61"/>
    <x v="1"/>
    <n v="12484754"/>
    <n v="199800"/>
    <d v="2023-03-18T00:00:00"/>
    <s v="PAID"/>
    <x v="1"/>
    <n v="277161"/>
    <n v="10"/>
    <s v="Indonesia"/>
    <s v="ESA - SASA"/>
    <x v="0"/>
  </r>
  <r>
    <s v="CLICTRUCK-045851"/>
    <s v="import"/>
    <x v="61"/>
    <x v="7"/>
    <n v="88500000"/>
    <n v="133200"/>
    <d v="2023-03-18T00:00:00"/>
    <s v="PAID"/>
    <x v="6"/>
    <n v="2455875"/>
    <n v="6"/>
    <s v="Indonesia"/>
    <s v="IFI - IKI"/>
    <x v="0"/>
  </r>
  <r>
    <s v="CLICTRUCK-045852"/>
    <s v="import"/>
    <x v="61"/>
    <x v="7"/>
    <n v="88500000"/>
    <n v="133200"/>
    <d v="2023-03-18T00:00:00"/>
    <s v="PAID"/>
    <x v="6"/>
    <n v="2455875"/>
    <n v="6"/>
    <s v="Indonesia"/>
    <s v="IFI - IKI"/>
    <x v="0"/>
  </r>
  <r>
    <s v="CLICTRUCK-045854"/>
    <s v="import"/>
    <x v="61"/>
    <x v="1"/>
    <n v="1745700"/>
    <n v="19980"/>
    <d v="2023-03-19T00:00:00"/>
    <s v="PAID"/>
    <x v="1"/>
    <n v="38754"/>
    <n v="1"/>
    <s v="Indonesia"/>
    <s v="ESA - SASA"/>
    <x v="0"/>
  </r>
  <r>
    <s v="CLICTRUCK-045855"/>
    <s v="import"/>
    <x v="61"/>
    <x v="1"/>
    <n v="3900000"/>
    <n v="99900"/>
    <d v="2023-03-19T00:00:00"/>
    <s v="PAID"/>
    <x v="1"/>
    <n v="86580"/>
    <n v="5"/>
    <s v="Indonesia"/>
    <s v="ESA - SASA"/>
    <x v="0"/>
  </r>
  <r>
    <s v="CLICTRUCK-045856"/>
    <s v="import"/>
    <x v="61"/>
    <x v="1"/>
    <n v="13953530"/>
    <n v="99900"/>
    <d v="2023-04-01T00:00:00"/>
    <s v="PAID"/>
    <x v="1"/>
    <n v="309767"/>
    <n v="5"/>
    <s v="Indonesia"/>
    <s v="ESA - SASA"/>
    <x v="0"/>
  </r>
  <r>
    <s v="CLICTRUCK-045857"/>
    <s v="import"/>
    <x v="61"/>
    <x v="1"/>
    <n v="3900000"/>
    <n v="99900"/>
    <d v="2023-03-19T00:00:00"/>
    <s v="PAID"/>
    <x v="1"/>
    <n v="86580"/>
    <n v="5"/>
    <s v="Indonesia"/>
    <s v="ESA - SASA"/>
    <x v="0"/>
  </r>
  <r>
    <s v="CLICTRUCK-045858"/>
    <s v="import"/>
    <x v="61"/>
    <x v="1"/>
    <n v="8801000"/>
    <n v="99900"/>
    <d v="2023-03-19T00:00:00"/>
    <s v="PAID"/>
    <x v="1"/>
    <n v="195382"/>
    <n v="5"/>
    <s v="Indonesia"/>
    <s v="ESA - SASA"/>
    <x v="0"/>
  </r>
  <r>
    <s v="CLICTRUCK-045868"/>
    <s v="import"/>
    <x v="62"/>
    <x v="4"/>
    <n v="16000000"/>
    <n v="532800"/>
    <d v="2023-03-24T00:00:00"/>
    <s v="UNPAID"/>
    <x v="3"/>
    <m/>
    <n v="10"/>
    <s v="Indonesia"/>
    <s v="CJM-BMS"/>
    <x v="0"/>
  </r>
  <r>
    <s v="CLICTRUCK-045869"/>
    <s v="import"/>
    <x v="62"/>
    <x v="4"/>
    <n v="12800000"/>
    <n v="426240"/>
    <d v="2023-03-24T00:00:00"/>
    <s v="UNPAID"/>
    <x v="3"/>
    <m/>
    <n v="8"/>
    <s v="Indonesia"/>
    <s v="CJM-BMS"/>
    <x v="0"/>
  </r>
  <r>
    <s v="CLICTRUCK-045905"/>
    <s v="import"/>
    <x v="63"/>
    <x v="4"/>
    <n v="8000000"/>
    <n v="266400"/>
    <d v="2023-03-24T00:00:00"/>
    <s v="UNPAID"/>
    <x v="3"/>
    <m/>
    <n v="5"/>
    <s v="Indonesia"/>
    <s v="CJM-BMS"/>
    <x v="0"/>
  </r>
  <r>
    <s v="CLICTRUCK-045906"/>
    <s v="import"/>
    <x v="63"/>
    <x v="4"/>
    <n v="16000000"/>
    <n v="532800"/>
    <d v="2023-04-01T00:00:00"/>
    <s v="UNPAID"/>
    <x v="3"/>
    <m/>
    <n v="10"/>
    <s v="Indonesia"/>
    <s v="CJM-BMS"/>
    <x v="0"/>
  </r>
  <r>
    <s v="CLICTRUCK-045912"/>
    <s v="import"/>
    <x v="64"/>
    <x v="4"/>
    <n v="24000000"/>
    <n v="799200"/>
    <d v="2023-03-24T00:00:00"/>
    <s v="UNPAID"/>
    <x v="3"/>
    <m/>
    <n v="15"/>
    <s v="Indonesia"/>
    <s v="CJM-BMS"/>
    <x v="0"/>
  </r>
  <r>
    <s v="CLICTRUCK-045913"/>
    <s v="import"/>
    <x v="64"/>
    <x v="4"/>
    <n v="32000000"/>
    <n v="1065600"/>
    <d v="2023-03-24T00:00:00"/>
    <s v="UNPAID"/>
    <x v="3"/>
    <m/>
    <n v="20"/>
    <s v="Indonesia"/>
    <s v="CJM-BMS"/>
    <x v="0"/>
  </r>
  <r>
    <s v="CLICTRUCK-045914"/>
    <s v="import"/>
    <x v="64"/>
    <x v="4"/>
    <n v="17600000"/>
    <n v="586080"/>
    <d v="2023-03-24T00:00:00"/>
    <s v="UNPAID"/>
    <x v="3"/>
    <m/>
    <n v="11"/>
    <s v="Indonesia"/>
    <s v="CJM-BMS"/>
    <x v="0"/>
  </r>
  <r>
    <s v="CLICTRUCK-045915"/>
    <s v="export"/>
    <x v="64"/>
    <x v="0"/>
    <n v="1700000"/>
    <n v="16650"/>
    <d v="2023-04-05T00:00:00"/>
    <s v="UNPAID"/>
    <x v="0"/>
    <n v="56610"/>
    <n v="1"/>
    <s v="Indonesia"/>
    <s v="KMT-KJT"/>
    <x v="0"/>
  </r>
  <r>
    <s v="CLICTRUCK-045916"/>
    <s v="export"/>
    <x v="64"/>
    <x v="0"/>
    <n v="2500000"/>
    <n v="16650"/>
    <d v="2023-04-05T00:00:00"/>
    <s v="UNPAID"/>
    <x v="0"/>
    <n v="83250"/>
    <n v="1"/>
    <s v="Indonesia"/>
    <s v="KMT-KJT"/>
    <x v="0"/>
  </r>
  <r>
    <s v="CLICTRUCK-045917"/>
    <s v="export"/>
    <x v="64"/>
    <x v="0"/>
    <n v="2625000"/>
    <n v="16650"/>
    <d v="2023-04-05T00:00:00"/>
    <s v="UNPAID"/>
    <x v="0"/>
    <n v="87412"/>
    <n v="1"/>
    <s v="Indonesia"/>
    <s v="KMT-KJT"/>
    <x v="0"/>
  </r>
  <r>
    <s v="CLICTRUCK-045918"/>
    <s v="export"/>
    <x v="64"/>
    <x v="0"/>
    <n v="2925000"/>
    <n v="16650"/>
    <d v="2023-04-06T00:00:00"/>
    <s v="UNPAID"/>
    <x v="0"/>
    <n v="97402"/>
    <n v="1"/>
    <s v="Indonesia"/>
    <s v="KMT-KJT"/>
    <x v="0"/>
  </r>
  <r>
    <s v="CLICTRUCK-045919"/>
    <s v="export"/>
    <x v="64"/>
    <x v="0"/>
    <n v="2450000"/>
    <n v="16650"/>
    <d v="2023-04-12T00:00:00"/>
    <s v="UNPAID"/>
    <x v="0"/>
    <n v="81585"/>
    <n v="1"/>
    <s v="Indonesia"/>
    <s v="KMT-KJT"/>
    <x v="0"/>
  </r>
  <r>
    <s v="CLICTRUCK-045920"/>
    <s v="export"/>
    <x v="64"/>
    <x v="0"/>
    <n v="2625000"/>
    <n v="16650"/>
    <d v="2023-04-05T00:00:00"/>
    <s v="UNPAID"/>
    <x v="0"/>
    <n v="87412"/>
    <n v="1"/>
    <s v="Indonesia"/>
    <s v="KMT-KJT"/>
    <x v="0"/>
  </r>
  <r>
    <s v="CLICTRUCK-045921"/>
    <s v="export"/>
    <x v="64"/>
    <x v="0"/>
    <n v="2200000"/>
    <n v="16650"/>
    <d v="2023-04-05T00:00:00"/>
    <s v="UNPAID"/>
    <x v="0"/>
    <n v="73260"/>
    <n v="1"/>
    <s v="Indonesia"/>
    <s v="KMT-KJT"/>
    <x v="0"/>
  </r>
  <r>
    <s v="CLICTRUCK-045922"/>
    <s v="export"/>
    <x v="64"/>
    <x v="0"/>
    <n v="2200000"/>
    <n v="16650"/>
    <d v="2023-04-05T00:00:00"/>
    <s v="UNPAID"/>
    <x v="0"/>
    <n v="73260"/>
    <n v="1"/>
    <s v="Indonesia"/>
    <s v="KMT-KJT"/>
    <x v="0"/>
  </r>
  <r>
    <s v="CLICTRUCK-045923"/>
    <s v="export"/>
    <x v="64"/>
    <x v="0"/>
    <n v="2200000"/>
    <n v="16650"/>
    <d v="2023-04-05T00:00:00"/>
    <s v="UNPAID"/>
    <x v="0"/>
    <n v="73260"/>
    <n v="1"/>
    <s v="Indonesia"/>
    <s v="KMT-KJT"/>
    <x v="0"/>
  </r>
  <r>
    <s v="CLICTRUCK-045924"/>
    <s v="export"/>
    <x v="64"/>
    <x v="0"/>
    <n v="1025000"/>
    <n v="16650"/>
    <d v="2023-04-12T00:00:00"/>
    <s v="UNPAID"/>
    <x v="0"/>
    <n v="34132"/>
    <n v="1"/>
    <s v="Indonesia"/>
    <s v="KMT-KJT"/>
    <x v="0"/>
  </r>
  <r>
    <s v="CLICTRUCK-045925"/>
    <s v="export"/>
    <x v="64"/>
    <x v="0"/>
    <n v="3075000"/>
    <n v="16650"/>
    <d v="2023-04-05T00:00:00"/>
    <s v="UNPAID"/>
    <x v="0"/>
    <n v="102397"/>
    <n v="1"/>
    <s v="Indonesia"/>
    <s v="KMT-KJT"/>
    <x v="0"/>
  </r>
  <r>
    <s v="CLICTRUCK-045926"/>
    <s v="import"/>
    <x v="64"/>
    <x v="0"/>
    <n v="2675000"/>
    <n v="16650"/>
    <d v="2023-04-05T00:00:00"/>
    <s v="UNPAID"/>
    <x v="0"/>
    <n v="89077"/>
    <n v="1"/>
    <s v="Indonesia"/>
    <s v="KMT-KJT"/>
    <x v="0"/>
  </r>
  <r>
    <s v="CLICTRUCK-045927"/>
    <s v="import"/>
    <x v="64"/>
    <x v="0"/>
    <n v="2675000"/>
    <n v="16650"/>
    <d v="2023-04-05T00:00:00"/>
    <s v="UNPAID"/>
    <x v="0"/>
    <n v="89077"/>
    <n v="1"/>
    <s v="Indonesia"/>
    <s v="KMT-KJT"/>
    <x v="0"/>
  </r>
  <r>
    <s v="CLICTRUCK-045928"/>
    <s v="import"/>
    <x v="64"/>
    <x v="0"/>
    <n v="825000"/>
    <n v="16650"/>
    <d v="2023-04-06T00:00:00"/>
    <s v="UNPAID"/>
    <x v="0"/>
    <n v="27472"/>
    <n v="1"/>
    <s v="Indonesia"/>
    <s v="KMT-KJT"/>
    <x v="0"/>
  </r>
  <r>
    <s v="CLICTRUCK-045929"/>
    <s v="export"/>
    <x v="64"/>
    <x v="0"/>
    <n v="1875000"/>
    <n v="16650"/>
    <d v="2023-04-06T00:00:00"/>
    <s v="UNPAID"/>
    <x v="0"/>
    <n v="62437"/>
    <n v="1"/>
    <s v="Indonesia"/>
    <s v="KMT-KJT"/>
    <x v="0"/>
  </r>
  <r>
    <s v="CLICTRUCK-045930"/>
    <s v="export"/>
    <x v="64"/>
    <x v="0"/>
    <n v="1000000"/>
    <n v="16650"/>
    <d v="2023-04-12T00:00:00"/>
    <s v="UNPAID"/>
    <x v="0"/>
    <n v="33300"/>
    <n v="1"/>
    <s v="Indonesia"/>
    <s v="KMT-KJT"/>
    <x v="0"/>
  </r>
  <r>
    <s v="CLICTRUCK-045948"/>
    <s v="export"/>
    <x v="65"/>
    <x v="0"/>
    <n v="2900000"/>
    <n v="16650"/>
    <d v="2023-04-12T00:00:00"/>
    <s v="UNPAID"/>
    <x v="0"/>
    <n v="96570"/>
    <n v="1"/>
    <s v="Indonesia"/>
    <s v="KMT-KJT"/>
    <x v="0"/>
  </r>
  <r>
    <s v="CLICTRUCK-045949"/>
    <s v="export"/>
    <x v="65"/>
    <x v="0"/>
    <n v="2900000"/>
    <n v="16650"/>
    <d v="2023-04-12T00:00:00"/>
    <s v="UNPAID"/>
    <x v="0"/>
    <n v="96570"/>
    <n v="1"/>
    <s v="Indonesia"/>
    <s v="KMT-KJT"/>
    <x v="0"/>
  </r>
  <r>
    <s v="CLICTRUCK-045951"/>
    <s v="import"/>
    <x v="66"/>
    <x v="2"/>
    <n v="1920000"/>
    <n v="27750"/>
    <d v="2023-03-24T00:00:00"/>
    <s v="PAID"/>
    <x v="2"/>
    <n v="42624"/>
    <n v="1"/>
    <s v="Indonesia"/>
    <s v="MAS-KAS"/>
    <x v="0"/>
  </r>
  <r>
    <s v="CLICTRUCK-045957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59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60"/>
    <s v="export"/>
    <x v="66"/>
    <x v="0"/>
    <n v="2900000"/>
    <n v="16650"/>
    <d v="2023-05-03T00:00:00"/>
    <s v="UNPAID"/>
    <x v="0"/>
    <n v="96570"/>
    <n v="1"/>
    <s v="Indonesia"/>
    <s v="KMT-KJT"/>
    <x v="0"/>
  </r>
  <r>
    <s v="CLICTRUCK-045961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63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64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65"/>
    <s v="export"/>
    <x v="66"/>
    <x v="0"/>
    <n v="2787500"/>
    <n v="16650"/>
    <d v="2023-04-06T00:00:00"/>
    <s v="UNPAID"/>
    <x v="0"/>
    <n v="92823"/>
    <n v="1"/>
    <s v="Indonesia"/>
    <s v="KMT-KJT"/>
    <x v="0"/>
  </r>
  <r>
    <s v="CLICTRUCK-045966"/>
    <s v="import"/>
    <x v="66"/>
    <x v="2"/>
    <n v="2160000"/>
    <n v="27750"/>
    <d v="2023-03-24T00:00:00"/>
    <s v="PAID"/>
    <x v="2"/>
    <n v="47952"/>
    <n v="1"/>
    <s v="Indonesia"/>
    <s v="MAS-KAS"/>
    <x v="0"/>
  </r>
  <r>
    <s v="CLICTRUCK-045967"/>
    <s v="export"/>
    <x v="66"/>
    <x v="0"/>
    <n v="2575000"/>
    <n v="16650"/>
    <d v="2023-04-06T00:00:00"/>
    <s v="UNPAID"/>
    <x v="0"/>
    <n v="85747"/>
    <n v="1"/>
    <s v="Indonesia"/>
    <s v="KMT-KJT"/>
    <x v="0"/>
  </r>
  <r>
    <s v="CLICTRUCK-045968"/>
    <s v="export"/>
    <x v="66"/>
    <x v="0"/>
    <n v="2575000"/>
    <n v="16650"/>
    <d v="2023-04-06T00:00:00"/>
    <s v="UNPAID"/>
    <x v="0"/>
    <n v="85747"/>
    <n v="1"/>
    <s v="Indonesia"/>
    <s v="KMT-KJT"/>
    <x v="0"/>
  </r>
  <r>
    <s v="CLICTRUCK-045969"/>
    <s v="export"/>
    <x v="66"/>
    <x v="0"/>
    <n v="2950000"/>
    <n v="16650"/>
    <d v="2023-04-06T00:00:00"/>
    <s v="UNPAID"/>
    <x v="0"/>
    <n v="98235"/>
    <n v="1"/>
    <s v="Indonesia"/>
    <s v="KMT-KJT"/>
    <x v="0"/>
  </r>
  <r>
    <s v="CLICTRUCK-045970"/>
    <s v="export"/>
    <x v="66"/>
    <x v="0"/>
    <n v="5175000"/>
    <n v="16650"/>
    <d v="2023-04-06T00:00:00"/>
    <s v="UNPAID"/>
    <x v="0"/>
    <n v="172327"/>
    <n v="1"/>
    <s v="Indonesia"/>
    <s v="KMT-KJT"/>
    <x v="0"/>
  </r>
  <r>
    <s v="CLICTRUCK-045971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72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73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74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76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78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80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81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82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83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84"/>
    <s v="export"/>
    <x v="66"/>
    <x v="0"/>
    <n v="2900000"/>
    <n v="16650"/>
    <d v="2023-04-12T00:00:00"/>
    <s v="UNPAID"/>
    <x v="0"/>
    <n v="96570"/>
    <n v="1"/>
    <s v="Indonesia"/>
    <s v="KMT-KJT"/>
    <x v="0"/>
  </r>
  <r>
    <s v="CLICTRUCK-045985"/>
    <s v="export"/>
    <x v="66"/>
    <x v="0"/>
    <n v="2900000"/>
    <n v="16650"/>
    <d v="2023-04-28T00:00:00"/>
    <s v="UNPAID"/>
    <x v="0"/>
    <n v="96570"/>
    <n v="1"/>
    <s v="Indonesia"/>
    <s v="KMT-KJT"/>
    <x v="0"/>
  </r>
  <r>
    <s v="CLICTRUCK-045987"/>
    <s v="export"/>
    <x v="66"/>
    <x v="0"/>
    <n v="2900000"/>
    <n v="16650"/>
    <d v="2023-04-17T00:00:00"/>
    <s v="UNPAID"/>
    <x v="0"/>
    <n v="96570"/>
    <n v="1"/>
    <s v="Indonesia"/>
    <s v="KMT-KJT"/>
    <x v="0"/>
  </r>
  <r>
    <s v="CLICTRUCK-046015"/>
    <s v="export"/>
    <x v="67"/>
    <x v="5"/>
    <n v="1826375"/>
    <n v="22200"/>
    <d v="2023-03-25T00:00:00"/>
    <s v="PAID"/>
    <x v="4"/>
    <m/>
    <n v="1"/>
    <s v="Indonesia"/>
    <s v="GLT-Elemen"/>
    <x v="0"/>
  </r>
  <r>
    <s v="CLICTRUCK-046016"/>
    <s v="export"/>
    <x v="67"/>
    <x v="5"/>
    <n v="2548000"/>
    <n v="44400"/>
    <d v="2023-03-25T00:00:00"/>
    <s v="PAID"/>
    <x v="4"/>
    <m/>
    <n v="2"/>
    <s v="Indonesia"/>
    <s v="GLT-Elemen"/>
    <x v="0"/>
  </r>
  <r>
    <s v="CLICTRUCK-046017"/>
    <s v="import"/>
    <x v="67"/>
    <x v="7"/>
    <n v="147500000"/>
    <n v="222000"/>
    <d v="2023-03-25T00:00:00"/>
    <s v="PAID"/>
    <x v="6"/>
    <n v="4093125"/>
    <n v="10"/>
    <s v="Indonesia"/>
    <s v="IFI - IKI"/>
    <x v="0"/>
  </r>
  <r>
    <s v="CLICTRUCK-046018"/>
    <s v="import"/>
    <x v="67"/>
    <x v="7"/>
    <n v="88500000"/>
    <n v="133200"/>
    <d v="2023-03-25T00:00:00"/>
    <s v="PAID"/>
    <x v="6"/>
    <n v="2455875"/>
    <n v="6"/>
    <s v="Indonesia"/>
    <s v="IFI - IKI"/>
    <x v="0"/>
  </r>
  <r>
    <s v="CLICTRUCK-046031"/>
    <s v="export"/>
    <x v="68"/>
    <x v="0"/>
    <n v="1875000"/>
    <n v="16650"/>
    <d v="2023-04-06T00:00:00"/>
    <s v="UNPAID"/>
    <x v="0"/>
    <n v="62437"/>
    <n v="1"/>
    <s v="Indonesia"/>
    <s v="KMT-KJT"/>
    <x v="0"/>
  </r>
  <r>
    <s v="CLICTRUCK-046032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33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34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35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36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37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38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39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40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41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42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43"/>
    <s v="export"/>
    <x v="68"/>
    <x v="0"/>
    <n v="2900000"/>
    <n v="16650"/>
    <d v="2023-04-28T00:00:00"/>
    <s v="UNPAID"/>
    <x v="0"/>
    <n v="96570"/>
    <n v="1"/>
    <s v="Indonesia"/>
    <s v="KMT-KJT"/>
    <x v="0"/>
  </r>
  <r>
    <s v="CLICTRUCK-046044"/>
    <s v="export"/>
    <x v="68"/>
    <x v="0"/>
    <n v="2900000"/>
    <n v="16650"/>
    <d v="2023-04-27T00:00:00"/>
    <s v="UNPAID"/>
    <x v="0"/>
    <n v="96570"/>
    <n v="1"/>
    <s v="Indonesia"/>
    <s v="KMT-KJT"/>
    <x v="0"/>
  </r>
  <r>
    <s v="CLICTRUCK-046045"/>
    <s v="export"/>
    <x v="68"/>
    <x v="0"/>
    <n v="2900000"/>
    <n v="16650"/>
    <d v="2023-04-27T00:00:00"/>
    <s v="UNPAID"/>
    <x v="0"/>
    <n v="96570"/>
    <n v="1"/>
    <s v="Indonesia"/>
    <s v="KMT-KJT"/>
    <x v="0"/>
  </r>
  <r>
    <s v="CLICTRUCK-046046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47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48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49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50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51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52"/>
    <s v="export"/>
    <x v="68"/>
    <x v="0"/>
    <n v="2900000"/>
    <n v="16650"/>
    <d v="2023-04-17T00:00:00"/>
    <s v="UNPAID"/>
    <x v="0"/>
    <n v="96570"/>
    <n v="1"/>
    <s v="Indonesia"/>
    <s v="KMT-KJT"/>
    <x v="0"/>
  </r>
  <r>
    <s v="CLICTRUCK-046053"/>
    <s v="export"/>
    <x v="68"/>
    <x v="3"/>
    <n v="2000000"/>
    <n v="25000"/>
    <m/>
    <s v="PENDING APPROVAL"/>
    <x v="2"/>
    <n v="0"/>
    <n v="1"/>
    <s v="Indonesia"/>
    <s v="DLS-KAS"/>
    <x v="1"/>
  </r>
  <r>
    <s v="CLICTRUCK-046056"/>
    <s v="export"/>
    <x v="68"/>
    <x v="3"/>
    <n v="2000000"/>
    <n v="25000"/>
    <m/>
    <s v="PENDING APPROVAL"/>
    <x v="2"/>
    <n v="0"/>
    <n v="1"/>
    <s v="Indonesia"/>
    <s v="DLS-KAS"/>
    <x v="1"/>
  </r>
  <r>
    <s v="CLICTRUCK-046057"/>
    <s v="export"/>
    <x v="68"/>
    <x v="3"/>
    <n v="2000000"/>
    <n v="25000"/>
    <m/>
    <s v="PENDING APPROVAL"/>
    <x v="2"/>
    <n v="0"/>
    <n v="1"/>
    <s v="Indonesia"/>
    <s v="DLS-KAS"/>
    <x v="1"/>
  </r>
  <r>
    <s v="CLICTRUCK-046060"/>
    <s v="export"/>
    <x v="68"/>
    <x v="3"/>
    <n v="2000000"/>
    <n v="25000"/>
    <m/>
    <s v="PENDING APPROVAL"/>
    <x v="2"/>
    <n v="0"/>
    <n v="1"/>
    <s v="Indonesia"/>
    <s v="DLS-KAS"/>
    <x v="1"/>
  </r>
  <r>
    <s v="CLICTRUCK-046062"/>
    <s v="export"/>
    <x v="68"/>
    <x v="3"/>
    <n v="2000000"/>
    <n v="25000"/>
    <m/>
    <s v="PENDING APPROVAL"/>
    <x v="2"/>
    <n v="0"/>
    <n v="1"/>
    <s v="Indonesia"/>
    <s v="DLS-KAS"/>
    <x v="1"/>
  </r>
  <r>
    <s v="CLICTRUCK-046140"/>
    <s v="export"/>
    <x v="69"/>
    <x v="0"/>
    <n v="2625000"/>
    <n v="16650"/>
    <d v="2023-04-06T00:00:00"/>
    <s v="UNPAID"/>
    <x v="0"/>
    <n v="87412"/>
    <n v="1"/>
    <s v="Indonesia"/>
    <s v="KMT-KJT"/>
    <x v="0"/>
  </r>
  <r>
    <s v="CLICTRUCK-046211"/>
    <s v="export"/>
    <x v="69"/>
    <x v="0"/>
    <n v="2625000"/>
    <n v="16650"/>
    <d v="2023-04-06T00:00:00"/>
    <s v="UNPAID"/>
    <x v="0"/>
    <n v="87412"/>
    <n v="1"/>
    <s v="Indonesia"/>
    <s v="KMT-KJT"/>
    <x v="0"/>
  </r>
  <r>
    <s v="CLICTRUCK-046212"/>
    <s v="export"/>
    <x v="69"/>
    <x v="0"/>
    <n v="2200000"/>
    <n v="16650"/>
    <d v="2023-04-06T00:00:00"/>
    <s v="UNPAID"/>
    <x v="0"/>
    <n v="73260"/>
    <n v="1"/>
    <s v="Indonesia"/>
    <s v="KMT-KJT"/>
    <x v="0"/>
  </r>
  <r>
    <s v="CLICTRUCK-046213"/>
    <s v="export"/>
    <x v="69"/>
    <x v="0"/>
    <n v="1125000"/>
    <n v="16650"/>
    <d v="2023-04-06T00:00:00"/>
    <s v="UNPAID"/>
    <x v="0"/>
    <n v="37462"/>
    <n v="1"/>
    <s v="Indonesia"/>
    <s v="KMT-KJT"/>
    <x v="0"/>
  </r>
  <r>
    <s v="CLICTRUCK-046214"/>
    <s v="export"/>
    <x v="69"/>
    <x v="0"/>
    <n v="2450000"/>
    <n v="16650"/>
    <d v="2023-04-27T00:00:00"/>
    <s v="UNPAID"/>
    <x v="0"/>
    <n v="81585"/>
    <n v="1"/>
    <s v="Indonesia"/>
    <s v="KMT-KJT"/>
    <x v="0"/>
  </r>
  <r>
    <s v="CLICTRUCK-046215"/>
    <s v="export"/>
    <x v="69"/>
    <x v="0"/>
    <n v="1125000"/>
    <n v="16650"/>
    <d v="2023-05-03T00:00:00"/>
    <s v="UNPAID"/>
    <x v="0"/>
    <n v="37462"/>
    <n v="1"/>
    <s v="Indonesia"/>
    <s v="KMT-KJT"/>
    <x v="0"/>
  </r>
  <r>
    <s v="CLICTRUCK-046216"/>
    <s v="export"/>
    <x v="69"/>
    <x v="0"/>
    <n v="1125000"/>
    <n v="16650"/>
    <d v="2023-04-08T00:00:00"/>
    <s v="UNPAID"/>
    <x v="0"/>
    <n v="37462"/>
    <n v="1"/>
    <s v="Indonesia"/>
    <s v="KMT-KJT"/>
    <x v="0"/>
  </r>
  <r>
    <s v="CLICTRUCK-046217"/>
    <s v="export"/>
    <x v="70"/>
    <x v="0"/>
    <n v="1440000"/>
    <n v="16650"/>
    <d v="2023-05-03T00:00:00"/>
    <s v="UNPAID"/>
    <x v="0"/>
    <n v="47952"/>
    <n v="1"/>
    <s v="Indonesia"/>
    <s v="KMT-KJT"/>
    <x v="0"/>
  </r>
  <r>
    <s v="CLICTRUCK-046218"/>
    <s v="export"/>
    <x v="70"/>
    <x v="0"/>
    <n v="2250000"/>
    <n v="16650"/>
    <d v="2023-04-08T00:00:00"/>
    <s v="UNPAID"/>
    <x v="0"/>
    <n v="74925"/>
    <n v="1"/>
    <s v="Indonesia"/>
    <s v="KMT-KJT"/>
    <x v="0"/>
  </r>
  <r>
    <s v="CLICTRUCK-046219"/>
    <s v="export"/>
    <x v="70"/>
    <x v="0"/>
    <n v="1575000"/>
    <n v="16650"/>
    <d v="2023-04-08T00:00:00"/>
    <s v="UNPAID"/>
    <x v="0"/>
    <n v="52447"/>
    <n v="1"/>
    <s v="Indonesia"/>
    <s v="KMT-KJT"/>
    <x v="0"/>
  </r>
  <r>
    <s v="CLICTRUCK-046220"/>
    <s v="export"/>
    <x v="70"/>
    <x v="0"/>
    <n v="1500000"/>
    <n v="16650"/>
    <d v="2023-04-08T00:00:00"/>
    <s v="UNPAID"/>
    <x v="0"/>
    <n v="49950"/>
    <n v="1"/>
    <s v="Indonesia"/>
    <s v="KMT-KJT"/>
    <x v="0"/>
  </r>
  <r>
    <s v="CLICTRUCK-046222"/>
    <s v="export"/>
    <x v="70"/>
    <x v="0"/>
    <n v="1125000"/>
    <n v="16650"/>
    <d v="2023-04-08T00:00:00"/>
    <s v="UNPAID"/>
    <x v="0"/>
    <n v="37462"/>
    <n v="1"/>
    <s v="Indonesia"/>
    <s v="KMT-KJT"/>
    <x v="0"/>
  </r>
  <r>
    <s v="CLICTRUCK-046223"/>
    <s v="export"/>
    <x v="70"/>
    <x v="0"/>
    <n v="2625000"/>
    <n v="16650"/>
    <d v="2023-04-08T00:00:00"/>
    <s v="UNPAID"/>
    <x v="0"/>
    <n v="87412"/>
    <n v="1"/>
    <s v="Indonesia"/>
    <s v="KMT-KJT"/>
    <x v="0"/>
  </r>
  <r>
    <s v="CLICTRUCK-046224"/>
    <s v="export"/>
    <x v="70"/>
    <x v="0"/>
    <n v="2450000"/>
    <n v="16650"/>
    <d v="2023-04-27T00:00:00"/>
    <s v="UNPAID"/>
    <x v="0"/>
    <n v="81585"/>
    <n v="1"/>
    <s v="Indonesia"/>
    <s v="KMT-KJT"/>
    <x v="0"/>
  </r>
  <r>
    <s v="CLICTRUCK-046226"/>
    <s v="export"/>
    <x v="70"/>
    <x v="0"/>
    <n v="2450000"/>
    <n v="16650"/>
    <d v="2023-04-27T00:00:00"/>
    <s v="UNPAID"/>
    <x v="0"/>
    <n v="81585"/>
    <n v="1"/>
    <s v="Indonesia"/>
    <s v="KMT-KJT"/>
    <x v="0"/>
  </r>
  <r>
    <s v="CLICTRUCK-046228"/>
    <s v="export"/>
    <x v="70"/>
    <x v="0"/>
    <n v="2450000"/>
    <n v="16650"/>
    <d v="2023-04-27T00:00:00"/>
    <s v="UNPAID"/>
    <x v="0"/>
    <n v="81585"/>
    <n v="1"/>
    <s v="Indonesia"/>
    <s v="KMT-KJT"/>
    <x v="0"/>
  </r>
  <r>
    <s v="CLICTRUCK-046246"/>
    <s v="export"/>
    <x v="70"/>
    <x v="0"/>
    <n v="1000000"/>
    <n v="16650"/>
    <d v="2023-04-27T00:00:00"/>
    <s v="UNPAID"/>
    <x v="0"/>
    <n v="33300"/>
    <n v="1"/>
    <s v="Indonesia"/>
    <s v="KMT-KJT"/>
    <x v="0"/>
  </r>
  <r>
    <s v="CLICTRUCK-046251"/>
    <s v="import"/>
    <x v="70"/>
    <x v="0"/>
    <n v="6350000"/>
    <n v="16650"/>
    <d v="2023-04-27T00:00:00"/>
    <s v="UNPAID"/>
    <x v="0"/>
    <n v="211455"/>
    <n v="1"/>
    <s v="Indonesia"/>
    <s v="KMT-KJT"/>
    <x v="0"/>
  </r>
  <r>
    <s v="CLICTRUCK-046283"/>
    <s v="import"/>
    <x v="70"/>
    <x v="0"/>
    <n v="1475000"/>
    <n v="16650"/>
    <d v="2023-04-06T00:00:00"/>
    <s v="UNPAID"/>
    <x v="0"/>
    <n v="49117"/>
    <n v="1"/>
    <s v="Indonesia"/>
    <s v="KMT-KJT"/>
    <x v="0"/>
  </r>
  <r>
    <s v="CLICTRUCK-046298"/>
    <s v="import"/>
    <x v="70"/>
    <x v="4"/>
    <n v="16000000"/>
    <n v="532800"/>
    <d v="2023-04-01T00:00:00"/>
    <s v="UNPAID"/>
    <x v="3"/>
    <m/>
    <n v="10"/>
    <s v="Indonesia"/>
    <s v="CJM-BMS"/>
    <x v="0"/>
  </r>
  <r>
    <s v="CLICTRUCK-046299"/>
    <s v="import"/>
    <x v="70"/>
    <x v="4"/>
    <n v="24000000"/>
    <n v="799200"/>
    <d v="2023-04-01T00:00:00"/>
    <s v="UNPAID"/>
    <x v="3"/>
    <m/>
    <n v="15"/>
    <s v="Indonesia"/>
    <s v="CJM-BMS"/>
    <x v="0"/>
  </r>
  <r>
    <s v="CLICTRUCK-046300"/>
    <s v="import"/>
    <x v="70"/>
    <x v="4"/>
    <n v="8000000"/>
    <n v="266400"/>
    <d v="2023-04-01T00:00:00"/>
    <s v="UNPAID"/>
    <x v="3"/>
    <m/>
    <n v="5"/>
    <s v="Indonesia"/>
    <s v="CJM-BMS"/>
    <x v="0"/>
  </r>
  <r>
    <s v="CLICTRUCK-046301"/>
    <s v="import"/>
    <x v="70"/>
    <x v="4"/>
    <n v="8000000"/>
    <n v="266400"/>
    <d v="2023-04-01T00:00:00"/>
    <s v="UNPAID"/>
    <x v="3"/>
    <m/>
    <n v="5"/>
    <s v="Indonesia"/>
    <s v="CJM-BMS"/>
    <x v="0"/>
  </r>
  <r>
    <s v="CLICTRUCK-046302"/>
    <s v="import"/>
    <x v="70"/>
    <x v="4"/>
    <n v="32000000"/>
    <n v="1065600"/>
    <d v="2023-04-01T00:00:00"/>
    <s v="UNPAID"/>
    <x v="3"/>
    <m/>
    <n v="20"/>
    <s v="Indonesia"/>
    <s v="CJM-BMS"/>
    <x v="0"/>
  </r>
  <r>
    <s v="CLICTRUCK-046320"/>
    <s v="export"/>
    <x v="71"/>
    <x v="3"/>
    <n v="2000000"/>
    <n v="25000"/>
    <m/>
    <s v="PENDING APPROVAL"/>
    <x v="2"/>
    <n v="0"/>
    <n v="1"/>
    <s v="Indonesia"/>
    <s v="DLS-KAS"/>
    <x v="1"/>
  </r>
  <r>
    <s v="CLICTRUCK-046321"/>
    <s v="export"/>
    <x v="71"/>
    <x v="3"/>
    <n v="2000000"/>
    <n v="25000"/>
    <m/>
    <s v="PENDING APPROVAL"/>
    <x v="2"/>
    <n v="0"/>
    <n v="1"/>
    <s v="Indonesia"/>
    <s v="DLS-KAS"/>
    <x v="1"/>
  </r>
  <r>
    <s v="CLICTRUCK-046322"/>
    <s v="export"/>
    <x v="71"/>
    <x v="3"/>
    <n v="2000000"/>
    <n v="25000"/>
    <m/>
    <s v="PENDING APPROVAL"/>
    <x v="2"/>
    <n v="0"/>
    <n v="1"/>
    <s v="Indonesia"/>
    <s v="DLS-KAS"/>
    <x v="1"/>
  </r>
  <r>
    <s v="CLICTRUCK-046402"/>
    <s v="export"/>
    <x v="71"/>
    <x v="0"/>
    <n v="2575000"/>
    <n v="16650"/>
    <d v="2023-04-08T00:00:00"/>
    <s v="UNPAID"/>
    <x v="0"/>
    <n v="85747"/>
    <n v="1"/>
    <s v="Indonesia"/>
    <s v="KMT-KJT"/>
    <x v="0"/>
  </r>
  <r>
    <s v="CLICTRUCK-046403"/>
    <s v="export"/>
    <x v="71"/>
    <x v="0"/>
    <n v="1500000"/>
    <n v="16650"/>
    <d v="2023-04-08T00:00:00"/>
    <s v="UNPAID"/>
    <x v="0"/>
    <n v="49950"/>
    <n v="1"/>
    <s v="Indonesia"/>
    <s v="KMT-KJT"/>
    <x v="0"/>
  </r>
  <r>
    <s v="CLICTRUCK-046404"/>
    <s v="export"/>
    <x v="71"/>
    <x v="0"/>
    <n v="2450000"/>
    <n v="16650"/>
    <d v="2023-04-27T00:00:00"/>
    <s v="UNPAID"/>
    <x v="0"/>
    <n v="81585"/>
    <n v="1"/>
    <s v="Indonesia"/>
    <s v="KMT-KJT"/>
    <x v="0"/>
  </r>
  <r>
    <s v="CLICTRUCK-046405"/>
    <s v="export"/>
    <x v="71"/>
    <x v="0"/>
    <n v="2575000"/>
    <n v="16650"/>
    <d v="2023-04-08T00:00:00"/>
    <s v="UNPAID"/>
    <x v="0"/>
    <n v="85747"/>
    <n v="1"/>
    <s v="Indonesia"/>
    <s v="KMT-KJT"/>
    <x v="0"/>
  </r>
  <r>
    <s v="CLICTRUCK-046406"/>
    <s v="export"/>
    <x v="71"/>
    <x v="0"/>
    <n v="2575000"/>
    <n v="16650"/>
    <d v="2023-04-08T00:00:00"/>
    <s v="UNPAID"/>
    <x v="0"/>
    <n v="85747"/>
    <n v="1"/>
    <s v="Indonesia"/>
    <s v="KMT-KJT"/>
    <x v="0"/>
  </r>
  <r>
    <s v="CLICTRUCK-046407"/>
    <s v="export"/>
    <x v="71"/>
    <x v="0"/>
    <n v="2575000"/>
    <n v="16650"/>
    <d v="2023-04-08T00:00:00"/>
    <s v="UNPAID"/>
    <x v="0"/>
    <n v="85747"/>
    <n v="1"/>
    <s v="Indonesia"/>
    <s v="KMT-KJT"/>
    <x v="0"/>
  </r>
  <r>
    <s v="CLICTRUCK-046408"/>
    <s v="export"/>
    <x v="71"/>
    <x v="0"/>
    <n v="2625000"/>
    <n v="16650"/>
    <d v="2023-04-08T00:00:00"/>
    <s v="UNPAID"/>
    <x v="0"/>
    <n v="87412"/>
    <n v="1"/>
    <s v="Indonesia"/>
    <s v="KMT-KJT"/>
    <x v="0"/>
  </r>
  <r>
    <s v="CLICTRUCK-046409"/>
    <s v="export"/>
    <x v="71"/>
    <x v="0"/>
    <n v="2950000"/>
    <n v="16650"/>
    <d v="2023-04-08T00:00:00"/>
    <s v="UNPAID"/>
    <x v="0"/>
    <n v="98235"/>
    <n v="1"/>
    <s v="Indonesia"/>
    <s v="KMT-KJT"/>
    <x v="0"/>
  </r>
  <r>
    <s v="CLICTRUCK-046411"/>
    <s v="export"/>
    <x v="71"/>
    <x v="0"/>
    <n v="5075000"/>
    <n v="16650"/>
    <d v="2023-04-08T00:00:00"/>
    <s v="UNPAID"/>
    <x v="0"/>
    <n v="168997"/>
    <n v="1"/>
    <s v="Indonesia"/>
    <s v="KMT-KJT"/>
    <x v="0"/>
  </r>
  <r>
    <s v="CLICTRUCK-046412"/>
    <s v="export"/>
    <x v="71"/>
    <x v="0"/>
    <n v="1075000"/>
    <n v="16650"/>
    <d v="2023-04-08T00:00:00"/>
    <s v="UNPAID"/>
    <x v="0"/>
    <n v="35797"/>
    <n v="1"/>
    <s v="Indonesia"/>
    <s v="KMT-KJT"/>
    <x v="0"/>
  </r>
  <r>
    <s v="CLICTRUCK-046413"/>
    <s v="export"/>
    <x v="71"/>
    <x v="0"/>
    <n v="1000000"/>
    <n v="16650"/>
    <d v="2023-04-27T00:00:00"/>
    <s v="UNPAID"/>
    <x v="0"/>
    <n v="33300"/>
    <n v="1"/>
    <s v="Indonesia"/>
    <s v="KMT-KJT"/>
    <x v="0"/>
  </r>
  <r>
    <s v="CLICTRUCK-046414"/>
    <s v="export"/>
    <x v="71"/>
    <x v="0"/>
    <n v="2800000"/>
    <n v="16650"/>
    <d v="2023-04-08T00:00:00"/>
    <s v="UNPAID"/>
    <x v="0"/>
    <n v="93240"/>
    <n v="1"/>
    <s v="Indonesia"/>
    <s v="KMT-KJT"/>
    <x v="0"/>
  </r>
  <r>
    <s v="CLICTRUCK-046415"/>
    <s v="export"/>
    <x v="71"/>
    <x v="0"/>
    <n v="4650000"/>
    <n v="16650"/>
    <d v="2023-04-27T00:00:00"/>
    <s v="UNPAID"/>
    <x v="0"/>
    <n v="154845"/>
    <n v="1"/>
    <s v="Indonesia"/>
    <s v="KMT-KJT"/>
    <x v="0"/>
  </r>
  <r>
    <s v="CLICTRUCK-046572"/>
    <s v="export"/>
    <x v="72"/>
    <x v="5"/>
    <n v="11171997"/>
    <n v="199800"/>
    <d v="2023-04-01T00:00:00"/>
    <s v="UNPAID"/>
    <x v="4"/>
    <m/>
    <n v="9"/>
    <s v="Indonesia"/>
    <s v="GLT-Elemen"/>
    <x v="0"/>
  </r>
  <r>
    <s v="CLICTRUCK-046573"/>
    <s v="export"/>
    <x v="72"/>
    <x v="5"/>
    <n v="10094000"/>
    <n v="177600"/>
    <d v="2023-04-01T00:00:00"/>
    <s v="UNPAID"/>
    <x v="4"/>
    <m/>
    <n v="8"/>
    <s v="Indonesia"/>
    <s v="GLT-Elemen"/>
    <x v="0"/>
  </r>
  <r>
    <s v="CLICTRUCK-046574"/>
    <s v="export"/>
    <x v="72"/>
    <x v="0"/>
    <n v="2575000"/>
    <n v="16650"/>
    <d v="2023-04-08T00:00:00"/>
    <s v="UNPAID"/>
    <x v="0"/>
    <n v="85747"/>
    <n v="1"/>
    <s v="Indonesia"/>
    <s v="KMT-KJT"/>
    <x v="0"/>
  </r>
  <r>
    <s v="CLICTRUCK-046575"/>
    <s v="export"/>
    <x v="72"/>
    <x v="0"/>
    <n v="2575000"/>
    <n v="16650"/>
    <d v="2023-04-08T00:00:00"/>
    <s v="UNPAID"/>
    <x v="0"/>
    <n v="85747"/>
    <n v="1"/>
    <s v="Indonesia"/>
    <s v="KMT-KJT"/>
    <x v="0"/>
  </r>
  <r>
    <s v="CLICTRUCK-046576"/>
    <s v="export"/>
    <x v="72"/>
    <x v="0"/>
    <n v="2625000"/>
    <n v="16650"/>
    <d v="2023-04-27T00:00:00"/>
    <s v="UNPAID"/>
    <x v="0"/>
    <n v="87412"/>
    <n v="1"/>
    <s v="Indonesia"/>
    <s v="KMT-KJT"/>
    <x v="0"/>
  </r>
  <r>
    <s v="CLICTRUCK-046577"/>
    <s v="export"/>
    <x v="72"/>
    <x v="0"/>
    <n v="2950000"/>
    <n v="16650"/>
    <d v="2023-04-27T00:00:00"/>
    <s v="UNPAID"/>
    <x v="0"/>
    <n v="98235"/>
    <n v="1"/>
    <s v="Indonesia"/>
    <s v="KMT-KJT"/>
    <x v="0"/>
  </r>
  <r>
    <s v="CLICTRUCK-046578"/>
    <s v="export"/>
    <x v="72"/>
    <x v="0"/>
    <n v="1000000"/>
    <n v="16650"/>
    <d v="2023-05-03T00:00:00"/>
    <s v="UNPAID"/>
    <x v="0"/>
    <n v="33300"/>
    <n v="1"/>
    <s v="Indonesia"/>
    <s v="KMT-KJT"/>
    <x v="0"/>
  </r>
  <r>
    <s v="CLICTRUCK-046583"/>
    <s v="export"/>
    <x v="72"/>
    <x v="0"/>
    <n v="2325000"/>
    <n v="16650"/>
    <d v="2023-05-03T00:00:00"/>
    <s v="UNPAID"/>
    <x v="0"/>
    <n v="77422"/>
    <n v="1"/>
    <s v="Indonesia"/>
    <s v="KMT-KJT"/>
    <x v="0"/>
  </r>
  <r>
    <s v="CLICTRUCK-046591"/>
    <s v="export"/>
    <x v="72"/>
    <x v="3"/>
    <n v="2000000"/>
    <n v="25000"/>
    <m/>
    <s v="PENDING APPROVAL"/>
    <x v="2"/>
    <n v="0"/>
    <n v="1"/>
    <s v="Indonesia"/>
    <s v="DLS-KAS"/>
    <x v="1"/>
  </r>
  <r>
    <s v="CLICTRUCK-046592"/>
    <s v="export"/>
    <x v="72"/>
    <x v="3"/>
    <n v="2000000"/>
    <n v="25000"/>
    <m/>
    <s v="PENDING APPROVAL"/>
    <x v="2"/>
    <n v="0"/>
    <n v="1"/>
    <s v="Indonesia"/>
    <s v="DLS-KAS"/>
    <x v="1"/>
  </r>
  <r>
    <s v="CLICTRUCK-046593"/>
    <s v="export"/>
    <x v="72"/>
    <x v="3"/>
    <n v="2000000"/>
    <n v="25000"/>
    <m/>
    <s v="PENDING APPROVAL"/>
    <x v="2"/>
    <n v="0"/>
    <n v="1"/>
    <s v="Indonesia"/>
    <s v="DLS-KAS"/>
    <x v="1"/>
  </r>
  <r>
    <s v="CLICTRUCK-046594"/>
    <s v="export"/>
    <x v="72"/>
    <x v="3"/>
    <n v="2000000"/>
    <n v="25000"/>
    <m/>
    <s v="PENDING APPROVAL"/>
    <x v="2"/>
    <n v="0"/>
    <n v="1"/>
    <s v="Indonesia"/>
    <s v="DLS-KAS"/>
    <x v="1"/>
  </r>
  <r>
    <s v="CLICTRUCK-046595"/>
    <s v="export"/>
    <x v="72"/>
    <x v="3"/>
    <n v="2000000"/>
    <n v="25000"/>
    <m/>
    <s v="PENDING APPROVAL"/>
    <x v="2"/>
    <n v="0"/>
    <n v="1"/>
    <s v="Indonesia"/>
    <s v="DLS-KAS"/>
    <x v="1"/>
  </r>
  <r>
    <s v="CLICTRUCK-046596"/>
    <s v="export"/>
    <x v="73"/>
    <x v="1"/>
    <n v="6600000"/>
    <n v="99900"/>
    <d v="2023-04-06T00:00:00"/>
    <s v="PAID"/>
    <x v="1"/>
    <n v="146520"/>
    <n v="5"/>
    <s v="Indonesia"/>
    <s v="ESA - SASA"/>
    <x v="0"/>
  </r>
  <r>
    <s v="CLICTRUCK-046627"/>
    <s v="import"/>
    <x v="73"/>
    <x v="7"/>
    <n v="88500000"/>
    <n v="133200"/>
    <d v="2023-04-02T00:00:00"/>
    <s v="UNPAID"/>
    <x v="6"/>
    <n v="2455875"/>
    <n v="6"/>
    <s v="Indonesia"/>
    <s v="IFI - IKI"/>
    <x v="0"/>
  </r>
  <r>
    <s v="CLICTRUCK-046640"/>
    <s v="import"/>
    <x v="74"/>
    <x v="7"/>
    <n v="59000000"/>
    <n v="88800"/>
    <d v="2023-04-05T00:00:00"/>
    <s v="UNPAID"/>
    <x v="6"/>
    <n v="1637250"/>
    <n v="4"/>
    <s v="Indonesia"/>
    <s v="IFI - IKI"/>
    <x v="0"/>
  </r>
  <r>
    <s v="CLICTRUCK-046641"/>
    <s v="import"/>
    <x v="74"/>
    <x v="7"/>
    <n v="14750000"/>
    <n v="22200"/>
    <d v="2023-04-02T00:00:00"/>
    <s v="UNPAID"/>
    <x v="6"/>
    <n v="409312"/>
    <n v="1"/>
    <s v="Indonesia"/>
    <s v="IFI - IKI"/>
    <x v="0"/>
  </r>
  <r>
    <s v="CLICTRUCK-046642"/>
    <s v="import"/>
    <x v="74"/>
    <x v="7"/>
    <n v="14750000"/>
    <n v="22200"/>
    <d v="2023-04-05T00:00:00"/>
    <s v="UNPAID"/>
    <x v="6"/>
    <n v="409312"/>
    <n v="1"/>
    <s v="Indonesia"/>
    <s v="IFI - IKI"/>
    <x v="0"/>
  </r>
  <r>
    <s v="CLICTRUCK-046643"/>
    <s v="import"/>
    <x v="74"/>
    <x v="7"/>
    <n v="14750000"/>
    <n v="22200"/>
    <d v="2023-04-02T00:00:00"/>
    <s v="UNPAID"/>
    <x v="6"/>
    <n v="409312"/>
    <n v="1"/>
    <s v="Indonesia"/>
    <s v="IFI - IKI"/>
    <x v="0"/>
  </r>
  <r>
    <s v="CLICTRUCK-046644"/>
    <s v="import"/>
    <x v="74"/>
    <x v="7"/>
    <n v="14750000"/>
    <n v="22200"/>
    <d v="2023-04-02T00:00:00"/>
    <s v="UNPAID"/>
    <x v="6"/>
    <n v="409312"/>
    <n v="1"/>
    <s v="Indonesia"/>
    <s v="IFI - IKI"/>
    <x v="0"/>
  </r>
  <r>
    <s v="CLICTRUCK-046645"/>
    <s v="export"/>
    <x v="74"/>
    <x v="0"/>
    <n v="1440000"/>
    <n v="16650"/>
    <d v="2023-05-03T00:00:00"/>
    <s v="UNPAID"/>
    <x v="0"/>
    <n v="47952"/>
    <n v="1"/>
    <s v="Indonesia"/>
    <s v="KMT-KJT"/>
    <x v="0"/>
  </r>
  <r>
    <s v="CLICTRUCK-046646"/>
    <s v="export"/>
    <x v="74"/>
    <x v="0"/>
    <n v="2575000"/>
    <n v="16650"/>
    <d v="2023-05-03T00:00:00"/>
    <s v="UNPAID"/>
    <x v="0"/>
    <n v="85747"/>
    <n v="1"/>
    <s v="Indonesia"/>
    <s v="KMT-KJT"/>
    <x v="0"/>
  </r>
  <r>
    <s v="CLICTRUCK-046647"/>
    <s v="export"/>
    <x v="74"/>
    <x v="0"/>
    <n v="2625000"/>
    <n v="16650"/>
    <d v="2023-05-03T00:00:00"/>
    <s v="UNPAID"/>
    <x v="0"/>
    <n v="87412"/>
    <n v="1"/>
    <s v="Indonesia"/>
    <s v="KMT-KJT"/>
    <x v="0"/>
  </r>
  <r>
    <s v="CLICTRUCK-046648"/>
    <s v="export"/>
    <x v="74"/>
    <x v="0"/>
    <n v="1125000"/>
    <n v="16650"/>
    <d v="2023-05-03T00:00:00"/>
    <s v="UNPAID"/>
    <x v="0"/>
    <n v="37462"/>
    <n v="1"/>
    <s v="Indonesia"/>
    <s v="KMT-KJT"/>
    <x v="0"/>
  </r>
  <r>
    <s v="CLICTRUCK-046649"/>
    <s v="export"/>
    <x v="74"/>
    <x v="0"/>
    <n v="2575000"/>
    <n v="16650"/>
    <d v="2023-05-03T00:00:00"/>
    <s v="UNPAID"/>
    <x v="0"/>
    <n v="85747"/>
    <n v="1"/>
    <s v="Indonesia"/>
    <s v="KMT-KJT"/>
    <x v="0"/>
  </r>
  <r>
    <s v="CLICTRUCK-046650"/>
    <s v="export"/>
    <x v="74"/>
    <x v="0"/>
    <n v="2450000"/>
    <n v="16650"/>
    <d v="2023-05-03T00:00:00"/>
    <s v="UNPAID"/>
    <x v="0"/>
    <n v="81585"/>
    <n v="1"/>
    <s v="Indonesia"/>
    <s v="KMT-KJT"/>
    <x v="0"/>
  </r>
  <r>
    <s v="CLICTRUCK-046667"/>
    <s v="import"/>
    <x v="75"/>
    <x v="2"/>
    <n v="3450000"/>
    <n v="55500"/>
    <d v="2023-04-04T00:00:00"/>
    <s v="PAID"/>
    <x v="2"/>
    <n v="76590"/>
    <n v="2"/>
    <s v="Indonesia"/>
    <s v="MAS-KAS"/>
    <x v="0"/>
  </r>
  <r>
    <s v="CLICTRUCK-046668"/>
    <s v="import"/>
    <x v="75"/>
    <x v="2"/>
    <n v="25200000"/>
    <n v="388500"/>
    <d v="2023-04-04T00:00:00"/>
    <s v="PAID"/>
    <x v="2"/>
    <n v="559440"/>
    <n v="14"/>
    <s v="Indonesia"/>
    <s v="MAS-KAS"/>
    <x v="0"/>
  </r>
  <r>
    <s v="CLICTRUCK-046670"/>
    <s v="export"/>
    <x v="75"/>
    <x v="0"/>
    <n v="2625000"/>
    <n v="16650"/>
    <d v="2023-05-03T00:00:00"/>
    <s v="UNPAID"/>
    <x v="0"/>
    <n v="87412"/>
    <n v="1"/>
    <s v="Indonesia"/>
    <s v="KMT-KJT"/>
    <x v="0"/>
  </r>
  <r>
    <s v="CLICTRUCK-046671"/>
    <s v="export"/>
    <x v="75"/>
    <x v="0"/>
    <n v="2625000"/>
    <n v="16650"/>
    <d v="2023-05-03T00:00:00"/>
    <s v="UNPAID"/>
    <x v="0"/>
    <n v="87412"/>
    <n v="1"/>
    <s v="Indonesia"/>
    <s v="KMT-KJT"/>
    <x v="0"/>
  </r>
  <r>
    <s v="CLICTRUCK-046672"/>
    <s v="export"/>
    <x v="75"/>
    <x v="0"/>
    <n v="2250000"/>
    <n v="16650"/>
    <d v="2023-05-03T00:00:00"/>
    <s v="UNPAID"/>
    <x v="0"/>
    <n v="74925"/>
    <n v="1"/>
    <s v="Indonesia"/>
    <s v="KMT-KJT"/>
    <x v="0"/>
  </r>
  <r>
    <s v="CLICTRUCK-046673"/>
    <s v="export"/>
    <x v="75"/>
    <x v="0"/>
    <n v="3100000"/>
    <n v="16650"/>
    <d v="2023-05-06T00:00:00"/>
    <s v="UNPAID"/>
    <x v="0"/>
    <n v="103230"/>
    <n v="1"/>
    <s v="Indonesia"/>
    <s v="KMT-KJT"/>
    <x v="0"/>
  </r>
  <r>
    <s v="CLICTRUCK-046674"/>
    <s v="export"/>
    <x v="75"/>
    <x v="0"/>
    <n v="1125000"/>
    <n v="16650"/>
    <d v="2023-05-06T00:00:00"/>
    <s v="UNPAID"/>
    <x v="0"/>
    <n v="37462"/>
    <n v="1"/>
    <s v="Indonesia"/>
    <s v="KMT-KJT"/>
    <x v="0"/>
  </r>
  <r>
    <s v="CLICTRUCK-046675"/>
    <s v="export"/>
    <x v="75"/>
    <x v="0"/>
    <n v="1000000"/>
    <n v="16650"/>
    <d v="2023-05-06T00:00:00"/>
    <s v="UNPAID"/>
    <x v="0"/>
    <n v="33300"/>
    <n v="1"/>
    <s v="Indonesia"/>
    <s v="KMT-KJT"/>
    <x v="0"/>
  </r>
  <r>
    <s v="CLICTRUCK-046762"/>
    <s v="export"/>
    <x v="76"/>
    <x v="0"/>
    <n v="2450000"/>
    <n v="16650"/>
    <d v="2023-05-06T00:00:00"/>
    <s v="UNPAID"/>
    <x v="0"/>
    <n v="81585"/>
    <n v="1"/>
    <s v="Indonesia"/>
    <s v="KMT-KJT"/>
    <x v="0"/>
  </r>
  <r>
    <s v="CLICTRUCK-046780"/>
    <s v="export"/>
    <x v="76"/>
    <x v="0"/>
    <n v="2575000"/>
    <n v="16650"/>
    <d v="2023-05-06T00:00:00"/>
    <s v="UNPAID"/>
    <x v="0"/>
    <n v="85747"/>
    <n v="1"/>
    <s v="Indonesia"/>
    <s v="KMT-KJT"/>
    <x v="0"/>
  </r>
  <r>
    <s v="CLICTRUCK-046782"/>
    <s v="export"/>
    <x v="76"/>
    <x v="0"/>
    <n v="2625000"/>
    <n v="16650"/>
    <d v="2023-05-06T00:00:00"/>
    <s v="UNPAID"/>
    <x v="0"/>
    <n v="87412"/>
    <n v="1"/>
    <s v="Indonesia"/>
    <s v="KMT-KJT"/>
    <x v="0"/>
  </r>
  <r>
    <s v="CLICTRUCK-046783"/>
    <s v="export"/>
    <x v="76"/>
    <x v="0"/>
    <n v="3250000"/>
    <n v="16650"/>
    <d v="2023-05-06T00:00:00"/>
    <s v="UNPAID"/>
    <x v="0"/>
    <n v="108225"/>
    <n v="1"/>
    <s v="Indonesia"/>
    <s v="KMT-KJT"/>
    <x v="0"/>
  </r>
  <r>
    <s v="CLICTRUCK-046784"/>
    <s v="export"/>
    <x v="77"/>
    <x v="0"/>
    <n v="3250000"/>
    <n v="16650"/>
    <d v="2023-05-06T00:00:00"/>
    <s v="UNPAID"/>
    <x v="0"/>
    <n v="108225"/>
    <n v="1"/>
    <s v="Indonesia"/>
    <s v="KMT-KJT"/>
    <x v="0"/>
  </r>
  <r>
    <s v="CLICTRUCK-046785"/>
    <s v="export"/>
    <x v="77"/>
    <x v="0"/>
    <n v="2575000"/>
    <n v="16650"/>
    <d v="2023-05-06T00:00:00"/>
    <s v="UNPAID"/>
    <x v="0"/>
    <n v="85747"/>
    <n v="1"/>
    <s v="Indonesia"/>
    <s v="KMT-KJT"/>
    <x v="0"/>
  </r>
  <r>
    <s v="CLICTRUCK-046787"/>
    <s v="export"/>
    <x v="77"/>
    <x v="0"/>
    <n v="2475000"/>
    <n v="16650"/>
    <d v="2023-05-06T00:00:00"/>
    <s v="UNPAID"/>
    <x v="0"/>
    <n v="82417"/>
    <n v="1"/>
    <s v="Indonesia"/>
    <s v="KMT-KJT"/>
    <x v="0"/>
  </r>
  <r>
    <s v="CLICTRUCK-046856"/>
    <s v="import"/>
    <x v="77"/>
    <x v="7"/>
    <n v="11110000"/>
    <n v="22200"/>
    <d v="2023-04-06T00:00:00"/>
    <s v="UNPAID"/>
    <x v="6"/>
    <n v="308302"/>
    <n v="1"/>
    <s v="Indonesia"/>
    <s v="IFI - IKI"/>
    <x v="0"/>
  </r>
  <r>
    <s v="CLICTRUCK-046857"/>
    <s v="import"/>
    <x v="77"/>
    <x v="4"/>
    <n v="16000000"/>
    <n v="532800"/>
    <d v="2023-04-06T00:00:00"/>
    <s v="UNPAID"/>
    <x v="3"/>
    <m/>
    <n v="10"/>
    <s v="Indonesia"/>
    <s v="CJM-BMS"/>
    <x v="0"/>
  </r>
  <r>
    <s v="CLICTRUCK-046859"/>
    <s v="import"/>
    <x v="77"/>
    <x v="4"/>
    <n v="16000000"/>
    <n v="532800"/>
    <d v="2023-04-06T00:00:00"/>
    <s v="UNPAID"/>
    <x v="3"/>
    <m/>
    <n v="10"/>
    <s v="Indonesia"/>
    <s v="CJM-BMS"/>
    <x v="0"/>
  </r>
  <r>
    <s v="CLICTRUCK-046863"/>
    <s v="import"/>
    <x v="77"/>
    <x v="4"/>
    <n v="20800000"/>
    <n v="692640"/>
    <d v="2023-04-06T00:00:00"/>
    <s v="UNPAID"/>
    <x v="3"/>
    <m/>
    <n v="13"/>
    <s v="Indonesia"/>
    <s v="CJM-BMS"/>
    <x v="0"/>
  </r>
  <r>
    <s v="CLICTRUCK-046878"/>
    <s v="import"/>
    <x v="77"/>
    <x v="7"/>
    <n v="22210000"/>
    <n v="44400"/>
    <d v="2023-04-06T00:00:00"/>
    <s v="UNPAID"/>
    <x v="6"/>
    <n v="616327"/>
    <n v="2"/>
    <s v="Indonesia"/>
    <s v="IFI - IKI"/>
    <x v="0"/>
  </r>
  <r>
    <s v="CLICTRUCK-047037"/>
    <s v="export"/>
    <x v="77"/>
    <x v="0"/>
    <n v="2500000"/>
    <n v="16650"/>
    <d v="2023-05-06T00:00:00"/>
    <s v="UNPAID"/>
    <x v="0"/>
    <n v="83250"/>
    <n v="1"/>
    <s v="Indonesia"/>
    <s v="KMT-KJT"/>
    <x v="0"/>
  </r>
  <r>
    <s v="CLICTRUCK-047084"/>
    <s v="export"/>
    <x v="78"/>
    <x v="0"/>
    <n v="2625000"/>
    <n v="16650"/>
    <d v="2023-05-06T00:00:00"/>
    <s v="UNPAID"/>
    <x v="0"/>
    <n v="87412"/>
    <n v="1"/>
    <s v="Indonesia"/>
    <s v="KMT-KJT"/>
    <x v="0"/>
  </r>
  <r>
    <s v="CLICTRUCK-047095"/>
    <s v="export"/>
    <x v="78"/>
    <x v="0"/>
    <n v="3125000"/>
    <n v="16650"/>
    <d v="2023-05-06T00:00:00"/>
    <s v="UNPAID"/>
    <x v="0"/>
    <n v="104062"/>
    <n v="1"/>
    <s v="Indonesia"/>
    <s v="KMT-KJT"/>
    <x v="0"/>
  </r>
  <r>
    <s v="CLICTRUCK-047098"/>
    <s v="export"/>
    <x v="78"/>
    <x v="0"/>
    <n v="1500000"/>
    <n v="16650"/>
    <d v="2023-05-06T00:00:00"/>
    <s v="UNPAID"/>
    <x v="0"/>
    <n v="49950"/>
    <n v="1"/>
    <s v="Indonesia"/>
    <s v="KMT-KJT"/>
    <x v="0"/>
  </r>
  <r>
    <s v="CLICTRUCK-047099"/>
    <s v="export"/>
    <x v="78"/>
    <x v="0"/>
    <n v="1500000"/>
    <n v="16650"/>
    <d v="2023-05-06T00:00:00"/>
    <s v="UNPAID"/>
    <x v="0"/>
    <n v="49950"/>
    <n v="1"/>
    <s v="Indonesia"/>
    <s v="KMT-KJT"/>
    <x v="0"/>
  </r>
  <r>
    <s v="CLICTRUCK-047100"/>
    <s v="export"/>
    <x v="78"/>
    <x v="0"/>
    <n v="1950000"/>
    <n v="16650"/>
    <d v="2023-05-06T00:00:00"/>
    <s v="UNPAID"/>
    <x v="0"/>
    <n v="64935"/>
    <n v="1"/>
    <s v="Indonesia"/>
    <s v="KMT-KJT"/>
    <x v="0"/>
  </r>
  <r>
    <s v="CLICTRUCK-047120"/>
    <s v="import"/>
    <x v="78"/>
    <x v="4"/>
    <n v="8000000"/>
    <n v="266400"/>
    <d v="2023-04-06T00:00:00"/>
    <s v="UNPAID"/>
    <x v="3"/>
    <m/>
    <n v="5"/>
    <s v="Indonesia"/>
    <s v="CJM-BMS"/>
    <x v="0"/>
  </r>
  <r>
    <s v="CLICTRUCK-047121"/>
    <s v="import"/>
    <x v="78"/>
    <x v="4"/>
    <n v="24000000"/>
    <n v="799200"/>
    <d v="2023-04-06T00:00:00"/>
    <s v="UNPAID"/>
    <x v="3"/>
    <m/>
    <n v="15"/>
    <s v="Indonesia"/>
    <s v="CJM-BMS"/>
    <x v="0"/>
  </r>
  <r>
    <s v="CLICTRUCK-047132"/>
    <s v="export"/>
    <x v="79"/>
    <x v="3"/>
    <n v="2000000"/>
    <n v="25000"/>
    <m/>
    <s v="PENDING APPROVAL"/>
    <x v="2"/>
    <n v="0"/>
    <n v="1"/>
    <s v="Indonesia"/>
    <s v="DLS-KAS"/>
    <x v="1"/>
  </r>
  <r>
    <s v="CLICTRUCK-047133"/>
    <s v="export"/>
    <x v="79"/>
    <x v="3"/>
    <n v="2000000"/>
    <n v="25000"/>
    <m/>
    <s v="PENDING APPROVAL"/>
    <x v="2"/>
    <n v="0"/>
    <n v="1"/>
    <s v="Indonesia"/>
    <s v="DLS-KAS"/>
    <x v="1"/>
  </r>
  <r>
    <s v="CLICTRUCK-047134"/>
    <s v="export"/>
    <x v="79"/>
    <x v="3"/>
    <n v="2000000"/>
    <n v="25000"/>
    <m/>
    <s v="PENDING APPROVAL"/>
    <x v="2"/>
    <n v="0"/>
    <n v="1"/>
    <s v="Indonesia"/>
    <s v="DLS-KAS"/>
    <x v="1"/>
  </r>
  <r>
    <s v="CLICTRUCK-047135"/>
    <s v="export"/>
    <x v="79"/>
    <x v="3"/>
    <n v="2000000"/>
    <n v="25000"/>
    <m/>
    <s v="PENDING APPROVAL"/>
    <x v="2"/>
    <n v="0"/>
    <n v="1"/>
    <s v="Indonesia"/>
    <s v="DLS-KAS"/>
    <x v="1"/>
  </r>
  <r>
    <s v="CLICTRUCK-047136"/>
    <s v="export"/>
    <x v="79"/>
    <x v="3"/>
    <n v="2000000"/>
    <n v="25000"/>
    <m/>
    <s v="PENDING APPROVAL"/>
    <x v="2"/>
    <n v="0"/>
    <n v="1"/>
    <s v="Indonesia"/>
    <s v="DLS-KAS"/>
    <x v="1"/>
  </r>
  <r>
    <s v="CLICTRUCK-047149"/>
    <s v="export"/>
    <x v="80"/>
    <x v="5"/>
    <n v="1176000"/>
    <n v="22200"/>
    <d v="2023-04-16T00:00:00"/>
    <s v="UNPAID"/>
    <x v="4"/>
    <m/>
    <n v="1"/>
    <s v="Indonesia"/>
    <s v="GLT-Elemen"/>
    <x v="0"/>
  </r>
  <r>
    <s v="CLICTRUCK-047214"/>
    <s v="export"/>
    <x v="80"/>
    <x v="1"/>
    <n v="22700000"/>
    <n v="399600"/>
    <d v="2023-04-09T00:00:00"/>
    <s v="PAID"/>
    <x v="1"/>
    <n v="503940"/>
    <n v="20"/>
    <s v="Indonesia"/>
    <s v="ESA - SASA"/>
    <x v="0"/>
  </r>
  <r>
    <s v="CLICTRUCK-047215"/>
    <s v="export"/>
    <x v="80"/>
    <x v="1"/>
    <n v="15890000"/>
    <n v="279720"/>
    <d v="2023-04-09T00:00:00"/>
    <s v="PAID"/>
    <x v="1"/>
    <n v="352758"/>
    <n v="14"/>
    <s v="Indonesia"/>
    <s v="ESA - SASA"/>
    <x v="0"/>
  </r>
  <r>
    <s v="CLICTRUCK-047216"/>
    <s v="export"/>
    <x v="81"/>
    <x v="1"/>
    <n v="1000000"/>
    <n v="19980"/>
    <d v="2023-04-09T00:00:00"/>
    <s v="PAID"/>
    <x v="1"/>
    <n v="22200"/>
    <n v="1"/>
    <s v="Indonesia"/>
    <s v="ESA - SASA"/>
    <x v="0"/>
  </r>
  <r>
    <s v="CLICTRUCK-047252"/>
    <s v="export"/>
    <x v="81"/>
    <x v="0"/>
    <n v="2575000"/>
    <n v="16650"/>
    <d v="2023-05-06T00:00:00"/>
    <s v="UNPAID"/>
    <x v="0"/>
    <n v="85747"/>
    <n v="1"/>
    <s v="Indonesia"/>
    <s v="KMT-KJT"/>
    <x v="0"/>
  </r>
  <r>
    <s v="CLICTRUCK-047253"/>
    <s v="export"/>
    <x v="81"/>
    <x v="0"/>
    <n v="1000000"/>
    <n v="16650"/>
    <d v="2023-05-06T00:00:00"/>
    <s v="UNPAID"/>
    <x v="0"/>
    <n v="33300"/>
    <n v="1"/>
    <s v="Indonesia"/>
    <s v="KMT-KJT"/>
    <x v="0"/>
  </r>
  <r>
    <s v="CLICTRUCK-047254"/>
    <s v="export"/>
    <x v="81"/>
    <x v="0"/>
    <n v="3125000"/>
    <n v="16650"/>
    <d v="2023-05-09T00:00:00"/>
    <s v="UNPAID"/>
    <x v="0"/>
    <n v="104062"/>
    <n v="1"/>
    <s v="Indonesia"/>
    <s v="KMT-KJT"/>
    <x v="0"/>
  </r>
  <r>
    <s v="CLICTRUCK-047255"/>
    <s v="export"/>
    <x v="81"/>
    <x v="0"/>
    <n v="1875000"/>
    <n v="16650"/>
    <d v="2023-05-06T00:00:00"/>
    <s v="UNPAID"/>
    <x v="0"/>
    <n v="62437"/>
    <n v="1"/>
    <s v="Indonesia"/>
    <s v="KMT-KJT"/>
    <x v="0"/>
  </r>
  <r>
    <s v="CLICTRUCK-047256"/>
    <s v="export"/>
    <x v="81"/>
    <x v="0"/>
    <n v="2787500"/>
    <n v="16650"/>
    <d v="2023-05-06T00:00:00"/>
    <s v="UNPAID"/>
    <x v="0"/>
    <n v="92823"/>
    <n v="1"/>
    <s v="Indonesia"/>
    <s v="KMT-KJT"/>
    <x v="0"/>
  </r>
  <r>
    <s v="CLICTRUCK-047257"/>
    <s v="export"/>
    <x v="81"/>
    <x v="0"/>
    <n v="2625000"/>
    <n v="16650"/>
    <d v="2023-05-09T00:00:00"/>
    <s v="UNPAID"/>
    <x v="0"/>
    <n v="87412"/>
    <n v="1"/>
    <s v="Indonesia"/>
    <s v="KMT-KJT"/>
    <x v="0"/>
  </r>
  <r>
    <s v="CLICTRUCK-047258"/>
    <s v="export"/>
    <x v="81"/>
    <x v="0"/>
    <n v="1700000"/>
    <n v="16650"/>
    <d v="2023-05-06T00:00:00"/>
    <s v="UNPAID"/>
    <x v="0"/>
    <n v="56610"/>
    <n v="1"/>
    <s v="Indonesia"/>
    <s v="KMT-KJT"/>
    <x v="0"/>
  </r>
  <r>
    <s v="CLICTRUCK-047259"/>
    <s v="export"/>
    <x v="81"/>
    <x v="0"/>
    <n v="2950000"/>
    <n v="16650"/>
    <d v="2023-05-09T00:00:00"/>
    <s v="UNPAID"/>
    <x v="0"/>
    <n v="98235"/>
    <n v="1"/>
    <s v="Indonesia"/>
    <s v="KMT-KJT"/>
    <x v="0"/>
  </r>
  <r>
    <s v="CLICTRUCK-047260"/>
    <s v="export"/>
    <x v="82"/>
    <x v="0"/>
    <n v="1000000"/>
    <n v="16650"/>
    <d v="2023-05-09T00:00:00"/>
    <s v="UNPAID"/>
    <x v="0"/>
    <n v="33300"/>
    <n v="1"/>
    <s v="Indonesia"/>
    <s v="KMT-KJT"/>
    <x v="0"/>
  </r>
  <r>
    <s v="CLICTRUCK-047262"/>
    <s v="export"/>
    <x v="82"/>
    <x v="0"/>
    <n v="1450000"/>
    <n v="16650"/>
    <d v="2023-05-09T00:00:00"/>
    <s v="UNPAID"/>
    <x v="0"/>
    <n v="48285"/>
    <n v="1"/>
    <s v="Indonesia"/>
    <s v="KMT-KJT"/>
    <x v="0"/>
  </r>
  <r>
    <s v="CLICTRUCK-047263"/>
    <s v="export"/>
    <x v="82"/>
    <x v="0"/>
    <n v="3125000"/>
    <n v="16650"/>
    <d v="2023-05-09T00:00:00"/>
    <s v="UNPAID"/>
    <x v="0"/>
    <n v="104062"/>
    <n v="1"/>
    <s v="Indonesia"/>
    <s v="KMT-KJT"/>
    <x v="0"/>
  </r>
  <r>
    <s v="CLICTRUCK-047264"/>
    <s v="export"/>
    <x v="82"/>
    <x v="0"/>
    <n v="2575000"/>
    <n v="16650"/>
    <d v="2023-05-09T00:00:00"/>
    <s v="UNPAID"/>
    <x v="0"/>
    <n v="85747"/>
    <n v="1"/>
    <s v="Indonesia"/>
    <s v="KMT-KJT"/>
    <x v="0"/>
  </r>
  <r>
    <s v="CLICTRUCK-047265"/>
    <s v="export"/>
    <x v="82"/>
    <x v="0"/>
    <n v="2625000"/>
    <n v="16650"/>
    <d v="2023-05-09T00:00:00"/>
    <s v="UNPAID"/>
    <x v="0"/>
    <n v="87412"/>
    <n v="1"/>
    <s v="Indonesia"/>
    <s v="KMT-KJT"/>
    <x v="0"/>
  </r>
  <r>
    <s v="CLICTRUCK-047266"/>
    <s v="export"/>
    <x v="82"/>
    <x v="0"/>
    <n v="3250000"/>
    <n v="16650"/>
    <d v="2023-05-09T00:00:00"/>
    <s v="UNPAID"/>
    <x v="0"/>
    <n v="108225"/>
    <n v="1"/>
    <s v="Indonesia"/>
    <s v="KMT-KJT"/>
    <x v="0"/>
  </r>
  <r>
    <s v="CLICTRUCK-047267"/>
    <s v="export"/>
    <x v="82"/>
    <x v="0"/>
    <n v="1450000"/>
    <n v="16650"/>
    <d v="2023-05-09T00:00:00"/>
    <s v="UNPAID"/>
    <x v="0"/>
    <n v="48285"/>
    <n v="1"/>
    <s v="Indonesia"/>
    <s v="KMT-KJT"/>
    <x v="0"/>
  </r>
  <r>
    <s v="CLICTRUCK-047268"/>
    <s v="export"/>
    <x v="82"/>
    <x v="0"/>
    <n v="1000000"/>
    <n v="16650"/>
    <d v="2023-05-09T00:00:00"/>
    <s v="UNPAID"/>
    <x v="0"/>
    <n v="33300"/>
    <n v="1"/>
    <s v="Indonesia"/>
    <s v="KMT-KJT"/>
    <x v="0"/>
  </r>
  <r>
    <s v="CLICTRUCK-047293"/>
    <s v="import"/>
    <x v="82"/>
    <x v="0"/>
    <n v="2725000"/>
    <n v="16650"/>
    <d v="2023-05-09T00:00:00"/>
    <s v="UNPAID"/>
    <x v="0"/>
    <n v="90742"/>
    <n v="1"/>
    <s v="Indonesia"/>
    <s v="KMT-KJT"/>
    <x v="0"/>
  </r>
  <r>
    <s v="CLICTRUCK-047294"/>
    <s v="export"/>
    <x v="82"/>
    <x v="0"/>
    <n v="1450000"/>
    <n v="16650"/>
    <d v="2023-05-09T00:00:00"/>
    <s v="UNPAID"/>
    <x v="0"/>
    <n v="48285"/>
    <n v="1"/>
    <s v="Indonesia"/>
    <s v="KMT-KJT"/>
    <x v="0"/>
  </r>
  <r>
    <s v="CLICTRUCK-047295"/>
    <s v="export"/>
    <x v="82"/>
    <x v="0"/>
    <n v="2625000"/>
    <n v="16650"/>
    <d v="2023-05-09T00:00:00"/>
    <s v="UNPAID"/>
    <x v="0"/>
    <n v="87412"/>
    <n v="1"/>
    <s v="Indonesia"/>
    <s v="KMT-KJT"/>
    <x v="0"/>
  </r>
  <r>
    <s v="CLICTRUCK-047296"/>
    <s v="export"/>
    <x v="82"/>
    <x v="0"/>
    <n v="2625000"/>
    <n v="16650"/>
    <d v="2023-05-09T00:00:00"/>
    <s v="UNPAID"/>
    <x v="0"/>
    <n v="87412"/>
    <n v="1"/>
    <s v="Indonesia"/>
    <s v="KMT-KJT"/>
    <x v="0"/>
  </r>
  <r>
    <s v="CLICTRUCK-047297"/>
    <s v="export"/>
    <x v="82"/>
    <x v="0"/>
    <n v="2625000"/>
    <n v="16650"/>
    <d v="2023-05-09T00:00:00"/>
    <s v="UNPAID"/>
    <x v="0"/>
    <n v="87412"/>
    <n v="1"/>
    <s v="Indonesia"/>
    <s v="KMT-KJT"/>
    <x v="0"/>
  </r>
  <r>
    <s v="CLICTRUCK-047298"/>
    <s v="export"/>
    <x v="82"/>
    <x v="0"/>
    <n v="2250000"/>
    <n v="16650"/>
    <d v="2023-05-09T00:00:00"/>
    <s v="UNPAID"/>
    <x v="0"/>
    <n v="74925"/>
    <n v="1"/>
    <s v="Indonesia"/>
    <s v="KMT-KJT"/>
    <x v="0"/>
  </r>
  <r>
    <s v="CLICTRUCK-047299"/>
    <s v="export"/>
    <x v="82"/>
    <x v="0"/>
    <n v="2000000"/>
    <n v="16650"/>
    <d v="2023-05-09T00:00:00"/>
    <s v="UNPAID"/>
    <x v="0"/>
    <n v="66600"/>
    <n v="1"/>
    <s v="Indonesia"/>
    <s v="KMT-KJT"/>
    <x v="0"/>
  </r>
  <r>
    <s v="CLICTRUCK-047300"/>
    <s v="export"/>
    <x v="82"/>
    <x v="0"/>
    <n v="3250000"/>
    <n v="16650"/>
    <d v="2023-05-09T00:00:00"/>
    <s v="UNPAID"/>
    <x v="0"/>
    <n v="108225"/>
    <n v="1"/>
    <s v="Indonesia"/>
    <s v="KMT-KJT"/>
    <x v="0"/>
  </r>
  <r>
    <s v="CLICTRUCK-047301"/>
    <s v="export"/>
    <x v="82"/>
    <x v="0"/>
    <n v="1500000"/>
    <n v="16650"/>
    <d v="2023-05-09T00:00:00"/>
    <s v="UNPAID"/>
    <x v="0"/>
    <n v="49950"/>
    <n v="1"/>
    <s v="Indonesia"/>
    <s v="KMT-KJT"/>
    <x v="0"/>
  </r>
  <r>
    <s v="CLICTRUCK-047302"/>
    <s v="export"/>
    <x v="82"/>
    <x v="0"/>
    <n v="1500000"/>
    <n v="16650"/>
    <d v="2023-05-09T00:00:00"/>
    <s v="UNPAID"/>
    <x v="0"/>
    <n v="49950"/>
    <n v="1"/>
    <s v="Indonesia"/>
    <s v="KMT-KJT"/>
    <x v="0"/>
  </r>
  <r>
    <s v="CLICTRUCK-047303"/>
    <s v="export"/>
    <x v="82"/>
    <x v="0"/>
    <n v="2325000"/>
    <n v="16650"/>
    <d v="2023-05-09T00:00:00"/>
    <s v="UNPAID"/>
    <x v="0"/>
    <n v="77422"/>
    <n v="1"/>
    <s v="Indonesia"/>
    <s v="KMT-KJT"/>
    <x v="0"/>
  </r>
  <r>
    <s v="CLICTRUCK-047304"/>
    <s v="export"/>
    <x v="82"/>
    <x v="0"/>
    <n v="2650000"/>
    <n v="16650"/>
    <d v="2023-05-09T00:00:00"/>
    <s v="UNPAID"/>
    <x v="0"/>
    <n v="88245"/>
    <n v="1"/>
    <s v="Indonesia"/>
    <s v="KMT-KJT"/>
    <x v="0"/>
  </r>
  <r>
    <s v="CLICTRUCK-047351"/>
    <s v="export"/>
    <x v="83"/>
    <x v="0"/>
    <n v="1625000"/>
    <n v="16650"/>
    <d v="2023-05-09T00:00:00"/>
    <s v="UNPAID"/>
    <x v="0"/>
    <n v="54112"/>
    <n v="1"/>
    <s v="Indonesia"/>
    <s v="KMT-KJT"/>
    <x v="0"/>
  </r>
  <r>
    <s v="CLICTRUCK-047352"/>
    <s v="export"/>
    <x v="83"/>
    <x v="0"/>
    <n v="1625000"/>
    <n v="16650"/>
    <d v="2023-05-09T00:00:00"/>
    <s v="UNPAID"/>
    <x v="0"/>
    <n v="54112"/>
    <n v="1"/>
    <s v="Indonesia"/>
    <s v="KMT-KJT"/>
    <x v="0"/>
  </r>
  <r>
    <s v="CLICTRUCK-047483"/>
    <s v="export"/>
    <x v="83"/>
    <x v="0"/>
    <n v="2575000"/>
    <n v="16650"/>
    <d v="2023-05-09T00:00:00"/>
    <s v="UNPAID"/>
    <x v="0"/>
    <n v="85747"/>
    <n v="1"/>
    <s v="Indonesia"/>
    <s v="KMT-KJT"/>
    <x v="0"/>
  </r>
  <r>
    <s v="CLICTRUCK-047484"/>
    <s v="export"/>
    <x v="83"/>
    <x v="0"/>
    <n v="2625000"/>
    <n v="16650"/>
    <d v="2023-05-09T00:00:00"/>
    <s v="UNPAID"/>
    <x v="0"/>
    <n v="87412"/>
    <n v="1"/>
    <s v="Indonesia"/>
    <s v="KMT-KJT"/>
    <x v="0"/>
  </r>
  <r>
    <s v="CLICTRUCK-047485"/>
    <s v="export"/>
    <x v="83"/>
    <x v="0"/>
    <n v="2625000"/>
    <n v="16650"/>
    <d v="2023-05-09T00:00:00"/>
    <s v="UNPAID"/>
    <x v="0"/>
    <n v="87412"/>
    <n v="1"/>
    <s v="Indonesia"/>
    <s v="KMT-KJT"/>
    <x v="0"/>
  </r>
  <r>
    <s v="CLICTRUCK-047494"/>
    <s v="export"/>
    <x v="83"/>
    <x v="0"/>
    <n v="2625000"/>
    <n v="16650"/>
    <d v="2023-05-09T00:00:00"/>
    <s v="UNPAID"/>
    <x v="0"/>
    <n v="87412"/>
    <n v="1"/>
    <s v="Indonesia"/>
    <s v="KMT-KJT"/>
    <x v="0"/>
  </r>
  <r>
    <s v="CLICTRUCK-047502"/>
    <s v="export"/>
    <x v="83"/>
    <x v="0"/>
    <n v="2400000"/>
    <n v="16650"/>
    <d v="2023-05-09T00:00:00"/>
    <s v="UNPAID"/>
    <x v="0"/>
    <n v="79920"/>
    <n v="1"/>
    <s v="Indonesia"/>
    <s v="KMT-KJT"/>
    <x v="0"/>
  </r>
  <r>
    <s v="CLICTRUCK-047511"/>
    <s v="export"/>
    <x v="83"/>
    <x v="0"/>
    <n v="2625000"/>
    <n v="16650"/>
    <d v="2023-05-09T00:00:00"/>
    <s v="UNPAID"/>
    <x v="0"/>
    <n v="87412"/>
    <n v="1"/>
    <s v="Indonesia"/>
    <s v="KMT-KJT"/>
    <x v="0"/>
  </r>
  <r>
    <s v="CLICTRUCK-047521"/>
    <s v="export"/>
    <x v="83"/>
    <x v="0"/>
    <n v="1950000"/>
    <n v="16650"/>
    <d v="2023-05-09T00:00:00"/>
    <s v="UNPAID"/>
    <x v="0"/>
    <n v="64935"/>
    <n v="1"/>
    <s v="Indonesia"/>
    <s v="KMT-KJT"/>
    <x v="0"/>
  </r>
  <r>
    <s v="CLICTRUCK-047527"/>
    <s v="export"/>
    <x v="83"/>
    <x v="0"/>
    <n v="3325000"/>
    <n v="16650"/>
    <d v="2023-05-09T00:00:00"/>
    <s v="UNPAID"/>
    <x v="0"/>
    <n v="110722"/>
    <n v="1"/>
    <s v="Indonesia"/>
    <s v="KMT-KJT"/>
    <x v="0"/>
  </r>
  <r>
    <s v="CLICTRUCK-047544"/>
    <s v="export"/>
    <x v="83"/>
    <x v="0"/>
    <n v="1575000"/>
    <n v="16650"/>
    <d v="2023-05-09T00:00:00"/>
    <s v="UNPAID"/>
    <x v="0"/>
    <n v="52447"/>
    <n v="1"/>
    <s v="Indonesia"/>
    <s v="KMT-KJT"/>
    <x v="0"/>
  </r>
  <r>
    <s v="CLICTRUCK-047545"/>
    <s v="export"/>
    <x v="83"/>
    <x v="0"/>
    <n v="825000"/>
    <n v="16650"/>
    <d v="2023-05-09T00:00:00"/>
    <s v="UNPAID"/>
    <x v="0"/>
    <n v="27472"/>
    <n v="1"/>
    <s v="Indonesia"/>
    <s v="KMT-KJT"/>
    <x v="0"/>
  </r>
  <r>
    <s v="CLICTRUCK-047546"/>
    <s v="export"/>
    <x v="83"/>
    <x v="0"/>
    <n v="2625000"/>
    <n v="16650"/>
    <d v="2023-05-09T00:00:00"/>
    <s v="UNPAID"/>
    <x v="0"/>
    <n v="87412"/>
    <n v="1"/>
    <s v="Indonesia"/>
    <s v="KMT-KJT"/>
    <x v="0"/>
  </r>
  <r>
    <s v="CLICTRUCK-047547"/>
    <s v="export"/>
    <x v="83"/>
    <x v="0"/>
    <n v="3000000"/>
    <n v="16650"/>
    <d v="2023-05-12T00:00:00"/>
    <s v="UNPAID"/>
    <x v="0"/>
    <n v="99900"/>
    <n v="1"/>
    <s v="Indonesia"/>
    <s v="KMT-KJT"/>
    <x v="0"/>
  </r>
  <r>
    <s v="CLICTRUCK-047548"/>
    <s v="export"/>
    <x v="84"/>
    <x v="0"/>
    <n v="1000000"/>
    <n v="16650"/>
    <d v="2023-05-09T00:00:00"/>
    <s v="UNPAID"/>
    <x v="0"/>
    <n v="33300"/>
    <n v="1"/>
    <s v="Indonesia"/>
    <s v="KMT-KJT"/>
    <x v="0"/>
  </r>
  <r>
    <s v="CLICTRUCK-047558"/>
    <s v="export"/>
    <x v="85"/>
    <x v="0"/>
    <n v="1950000"/>
    <n v="16650"/>
    <d v="2023-05-09T00:00:00"/>
    <s v="UNPAID"/>
    <x v="0"/>
    <n v="64935"/>
    <n v="1"/>
    <s v="Indonesia"/>
    <s v="KMT-KJT"/>
    <x v="0"/>
  </r>
  <r>
    <s v="CLICTRUCK-047559"/>
    <s v="export"/>
    <x v="85"/>
    <x v="0"/>
    <n v="1450000"/>
    <n v="16650"/>
    <d v="2023-05-09T00:00:00"/>
    <s v="UNPAID"/>
    <x v="0"/>
    <n v="48285"/>
    <n v="1"/>
    <s v="Indonesia"/>
    <s v="KMT-KJT"/>
    <x v="0"/>
  </r>
  <r>
    <s v="CLICTRUCK-047560"/>
    <s v="export"/>
    <x v="85"/>
    <x v="0"/>
    <n v="2625000"/>
    <n v="16650"/>
    <d v="2023-05-09T00:00:00"/>
    <s v="UNPAID"/>
    <x v="0"/>
    <n v="87412"/>
    <n v="1"/>
    <s v="Indonesia"/>
    <s v="KMT-KJT"/>
    <x v="0"/>
  </r>
  <r>
    <s v="CLICTRUCK-047561"/>
    <s v="export"/>
    <x v="85"/>
    <x v="0"/>
    <n v="2625000"/>
    <n v="16650"/>
    <d v="2023-05-09T00:00:00"/>
    <s v="UNPAID"/>
    <x v="0"/>
    <n v="87412"/>
    <n v="1"/>
    <s v="Indonesia"/>
    <s v="KMT-KJT"/>
    <x v="0"/>
  </r>
  <r>
    <s v="CLICTRUCK-047562"/>
    <s v="export"/>
    <x v="85"/>
    <x v="0"/>
    <n v="2625000"/>
    <n v="16650"/>
    <d v="2023-05-09T00:00:00"/>
    <s v="UNPAID"/>
    <x v="0"/>
    <n v="87412"/>
    <n v="1"/>
    <s v="Indonesia"/>
    <s v="KMT-KJT"/>
    <x v="0"/>
  </r>
  <r>
    <s v="CLICTRUCK-047563"/>
    <s v="export"/>
    <x v="85"/>
    <x v="0"/>
    <n v="2250000"/>
    <n v="16650"/>
    <d v="2023-05-09T00:00:00"/>
    <s v="UNPAID"/>
    <x v="0"/>
    <n v="74925"/>
    <n v="1"/>
    <s v="Indonesia"/>
    <s v="KMT-KJT"/>
    <x v="0"/>
  </r>
  <r>
    <s v="CLICTRUCK-047564"/>
    <s v="export"/>
    <x v="85"/>
    <x v="0"/>
    <n v="3125000"/>
    <n v="16650"/>
    <d v="2023-05-09T00:00:00"/>
    <s v="UNPAID"/>
    <x v="0"/>
    <n v="104062"/>
    <n v="1"/>
    <s v="Indonesia"/>
    <s v="KMT-KJT"/>
    <x v="0"/>
  </r>
  <r>
    <s v="CLICTRUCK-047565"/>
    <s v="export"/>
    <x v="85"/>
    <x v="0"/>
    <n v="1950000"/>
    <n v="16650"/>
    <d v="2023-05-09T00:00:00"/>
    <s v="UNPAID"/>
    <x v="0"/>
    <n v="64935"/>
    <n v="1"/>
    <s v="Indonesia"/>
    <s v="KMT-KJT"/>
    <x v="0"/>
  </r>
  <r>
    <s v="CLICTRUCK-047570"/>
    <s v="export"/>
    <x v="85"/>
    <x v="0"/>
    <n v="2575000"/>
    <n v="16650"/>
    <d v="2023-05-09T00:00:00"/>
    <s v="UNPAID"/>
    <x v="0"/>
    <n v="85747"/>
    <n v="1"/>
    <s v="Indonesia"/>
    <s v="KMT-KJT"/>
    <x v="0"/>
  </r>
  <r>
    <s v="CLICTRUCK-047572"/>
    <s v="export"/>
    <x v="85"/>
    <x v="0"/>
    <n v="2325000"/>
    <n v="16650"/>
    <d v="2023-05-09T00:00:00"/>
    <s v="UNPAID"/>
    <x v="0"/>
    <n v="77422"/>
    <n v="1"/>
    <s v="Indonesia"/>
    <s v="KMT-KJT"/>
    <x v="0"/>
  </r>
  <r>
    <s v="CLICTRUCK-047574"/>
    <s v="export"/>
    <x v="85"/>
    <x v="0"/>
    <n v="2400000"/>
    <n v="16650"/>
    <d v="2023-05-09T00:00:00"/>
    <s v="UNPAID"/>
    <x v="0"/>
    <n v="79920"/>
    <n v="1"/>
    <s v="Indonesia"/>
    <s v="KMT-KJT"/>
    <x v="0"/>
  </r>
  <r>
    <s v="CLICTRUCK-047576"/>
    <s v="export"/>
    <x v="85"/>
    <x v="0"/>
    <n v="2625000"/>
    <n v="16650"/>
    <d v="2023-05-10T00:00:00"/>
    <s v="UNPAID"/>
    <x v="0"/>
    <n v="87412"/>
    <n v="1"/>
    <s v="Indonesia"/>
    <s v="KMT-KJT"/>
    <x v="0"/>
  </r>
  <r>
    <s v="CLICTRUCK-047582"/>
    <s v="export"/>
    <x v="85"/>
    <x v="0"/>
    <n v="2625000"/>
    <n v="16650"/>
    <d v="2023-05-10T00:00:00"/>
    <s v="UNPAID"/>
    <x v="0"/>
    <n v="87412"/>
    <n v="1"/>
    <s v="Indonesia"/>
    <s v="KMT-KJT"/>
    <x v="0"/>
  </r>
  <r>
    <s v="CLICTRUCK-047584"/>
    <s v="export"/>
    <x v="86"/>
    <x v="0"/>
    <n v="1575000"/>
    <n v="16650"/>
    <d v="2023-05-10T00:00:00"/>
    <s v="UNPAID"/>
    <x v="0"/>
    <n v="52447"/>
    <n v="1"/>
    <s v="Indonesia"/>
    <s v="KMT-KJT"/>
    <x v="0"/>
  </r>
  <r>
    <s v="CLICTRUCK-047585"/>
    <s v="export"/>
    <x v="86"/>
    <x v="0"/>
    <n v="2950000"/>
    <n v="16650"/>
    <d v="2023-05-10T00:00:00"/>
    <s v="UNPAID"/>
    <x v="0"/>
    <n v="98235"/>
    <n v="1"/>
    <s v="Indonesia"/>
    <s v="KMT-KJT"/>
    <x v="0"/>
  </r>
  <r>
    <s v="CLICTRUCK-047589"/>
    <s v="export"/>
    <x v="86"/>
    <x v="0"/>
    <n v="2250000"/>
    <n v="16650"/>
    <d v="2023-05-10T00:00:00"/>
    <s v="UNPAID"/>
    <x v="0"/>
    <n v="74925"/>
    <n v="1"/>
    <s v="Indonesia"/>
    <s v="KMT-KJT"/>
    <x v="0"/>
  </r>
  <r>
    <s v="CLICTRUCK-047591"/>
    <s v="export"/>
    <x v="86"/>
    <x v="0"/>
    <n v="2375000"/>
    <n v="16650"/>
    <d v="2023-05-10T00:00:00"/>
    <s v="UNPAID"/>
    <x v="0"/>
    <n v="79087"/>
    <n v="1"/>
    <s v="Indonesia"/>
    <s v="KMT-KJT"/>
    <x v="0"/>
  </r>
  <r>
    <s v="CLICTRUCK-047593"/>
    <s v="export"/>
    <x v="86"/>
    <x v="0"/>
    <n v="3125000"/>
    <n v="16650"/>
    <d v="2023-05-10T00:00:00"/>
    <s v="UNPAID"/>
    <x v="0"/>
    <n v="104062"/>
    <n v="1"/>
    <s v="Indonesia"/>
    <s v="KMT-KJT"/>
    <x v="0"/>
  </r>
  <r>
    <s v="CLICTRUCK-047594"/>
    <s v="export"/>
    <x v="86"/>
    <x v="0"/>
    <n v="2475000"/>
    <n v="16650"/>
    <d v="2023-05-10T00:00:00"/>
    <s v="UNPAID"/>
    <x v="0"/>
    <n v="82417"/>
    <n v="1"/>
    <s v="Indonesia"/>
    <s v="KMT-KJT"/>
    <x v="0"/>
  </r>
  <r>
    <s v="CLICTRUCK-047599"/>
    <s v="import"/>
    <x v="86"/>
    <x v="4"/>
    <n v="16000000"/>
    <m/>
    <m/>
    <s v="PENDING APPROVAL"/>
    <x v="3"/>
    <n v="0"/>
    <n v="10"/>
    <s v="Indonesia"/>
    <s v="CJM-BMS"/>
    <x v="1"/>
  </r>
  <r>
    <s v="CLICTRUCK-047600"/>
    <s v="import"/>
    <x v="86"/>
    <x v="4"/>
    <n v="16000000"/>
    <n v="532800"/>
    <d v="2023-04-14T00:00:00"/>
    <s v="UNPAID"/>
    <x v="3"/>
    <m/>
    <n v="10"/>
    <s v="Indonesia"/>
    <s v="CJM-BMS"/>
    <x v="0"/>
  </r>
  <r>
    <s v="CLICTRUCK-047601"/>
    <s v="import"/>
    <x v="86"/>
    <x v="4"/>
    <n v="24000000"/>
    <n v="799200"/>
    <d v="2023-04-14T00:00:00"/>
    <s v="UNPAID"/>
    <x v="3"/>
    <m/>
    <n v="15"/>
    <s v="Indonesia"/>
    <s v="CJM-BMS"/>
    <x v="0"/>
  </r>
  <r>
    <s v="CLICTRUCK-047602"/>
    <s v="import"/>
    <x v="86"/>
    <x v="4"/>
    <n v="25500000"/>
    <n v="849150"/>
    <d v="2023-04-14T00:00:00"/>
    <s v="UNPAID"/>
    <x v="3"/>
    <m/>
    <n v="15"/>
    <s v="Indonesia"/>
    <s v="CJM-BMS"/>
    <x v="0"/>
  </r>
  <r>
    <s v="CLICTRUCK-047608"/>
    <s v="import"/>
    <x v="86"/>
    <x v="4"/>
    <n v="6400000"/>
    <n v="213120"/>
    <d v="2023-04-14T00:00:00"/>
    <s v="UNPAID"/>
    <x v="3"/>
    <m/>
    <n v="4"/>
    <s v="Indonesia"/>
    <s v="CJM-BMS"/>
    <x v="0"/>
  </r>
  <r>
    <s v="CLICTRUCK-047609"/>
    <s v="import"/>
    <x v="86"/>
    <x v="4"/>
    <n v="6400000"/>
    <n v="213120"/>
    <d v="2023-04-14T00:00:00"/>
    <s v="UNPAID"/>
    <x v="3"/>
    <m/>
    <n v="4"/>
    <s v="Indonesia"/>
    <s v="CJM-BMS"/>
    <x v="0"/>
  </r>
  <r>
    <s v="CLICTRUCK-047610"/>
    <s v="import"/>
    <x v="87"/>
    <x v="1"/>
    <n v="13500329"/>
    <n v="199800"/>
    <d v="2023-04-16T00:00:00"/>
    <s v="UNPAID"/>
    <x v="1"/>
    <n v="299706"/>
    <n v="10"/>
    <s v="Indonesia"/>
    <s v="ESA - SASA"/>
    <x v="0"/>
  </r>
  <r>
    <s v="CLICTRUCK-047611"/>
    <s v="import"/>
    <x v="87"/>
    <x v="1"/>
    <n v="12296790"/>
    <n v="119880"/>
    <d v="2023-04-16T00:00:00"/>
    <s v="UNPAID"/>
    <x v="1"/>
    <n v="272987"/>
    <n v="6"/>
    <s v="Indonesia"/>
    <s v="ESA - SASA"/>
    <x v="0"/>
  </r>
  <r>
    <s v="CLICTRUCK-047612"/>
    <s v="import"/>
    <x v="87"/>
    <x v="1"/>
    <n v="4951500"/>
    <n v="79920"/>
    <d v="2023-04-16T00:00:00"/>
    <s v="UNPAID"/>
    <x v="1"/>
    <n v="109923"/>
    <n v="4"/>
    <s v="Indonesia"/>
    <s v="ESA - SASA"/>
    <x v="0"/>
  </r>
  <r>
    <s v="CLICTRUCK-047613"/>
    <s v="import"/>
    <x v="87"/>
    <x v="1"/>
    <n v="3900000"/>
    <n v="99900"/>
    <d v="2023-04-16T00:00:00"/>
    <s v="UNPAID"/>
    <x v="1"/>
    <n v="86580"/>
    <n v="5"/>
    <s v="Indonesia"/>
    <s v="ESA - SASA"/>
    <x v="0"/>
  </r>
  <r>
    <s v="CLICTRUCK-047614"/>
    <s v="import"/>
    <x v="87"/>
    <x v="1"/>
    <n v="12402998"/>
    <n v="139860"/>
    <d v="2023-04-16T00:00:00"/>
    <s v="UNPAID"/>
    <x v="1"/>
    <n v="275345"/>
    <n v="7"/>
    <s v="Indonesia"/>
    <s v="ESA - SASA"/>
    <x v="0"/>
  </r>
  <r>
    <s v="CLICTRUCK-047615"/>
    <s v="import"/>
    <x v="87"/>
    <x v="1"/>
    <n v="3900000"/>
    <n v="99900"/>
    <d v="2023-04-16T00:00:00"/>
    <s v="UNPAID"/>
    <x v="1"/>
    <n v="86580"/>
    <n v="5"/>
    <s v="Indonesia"/>
    <s v="ESA - SASA"/>
    <x v="0"/>
  </r>
  <r>
    <s v="CLICTRUCK-047632"/>
    <s v="import"/>
    <x v="87"/>
    <x v="1"/>
    <n v="9172500"/>
    <n v="99900"/>
    <d v="2023-04-16T00:00:00"/>
    <s v="UNPAID"/>
    <x v="1"/>
    <n v="203629"/>
    <n v="5"/>
    <s v="Indonesia"/>
    <s v="ESA - SASA"/>
    <x v="0"/>
  </r>
  <r>
    <s v="CLICTRUCK-047636"/>
    <s v="import"/>
    <x v="87"/>
    <x v="1"/>
    <n v="1832472"/>
    <n v="19980"/>
    <d v="2023-04-16T00:00:00"/>
    <s v="UNPAID"/>
    <x v="1"/>
    <n v="40680"/>
    <n v="1"/>
    <s v="Indonesia"/>
    <s v="ESA - SASA"/>
    <x v="0"/>
  </r>
  <r>
    <s v="CLICTRUCK-047637"/>
    <s v="import"/>
    <x v="87"/>
    <x v="1"/>
    <n v="6723000"/>
    <n v="79920"/>
    <d v="2023-04-16T00:00:00"/>
    <s v="UNPAID"/>
    <x v="1"/>
    <n v="149250"/>
    <n v="4"/>
    <s v="Indonesia"/>
    <s v="ESA - SASA"/>
    <x v="0"/>
  </r>
  <r>
    <s v="CLICTRUCK-047638"/>
    <s v="import"/>
    <x v="87"/>
    <x v="1"/>
    <n v="8639700"/>
    <n v="99900"/>
    <d v="2023-04-16T00:00:00"/>
    <s v="UNPAID"/>
    <x v="1"/>
    <n v="191801"/>
    <n v="5"/>
    <s v="Indonesia"/>
    <s v="ESA - SASA"/>
    <x v="0"/>
  </r>
  <r>
    <s v="CLICTRUCK-047668"/>
    <s v="import"/>
    <x v="88"/>
    <x v="1"/>
    <n v="10641620"/>
    <n v="99900"/>
    <d v="2023-04-16T00:00:00"/>
    <s v="UNPAID"/>
    <x v="1"/>
    <n v="236243"/>
    <n v="5"/>
    <s v="Indonesia"/>
    <s v="ESA - SASA"/>
    <x v="0"/>
  </r>
  <r>
    <s v="CLICTRUCK-047669"/>
    <s v="export"/>
    <x v="88"/>
    <x v="1"/>
    <n v="11350000"/>
    <n v="199800"/>
    <d v="2023-04-16T00:00:00"/>
    <s v="UNPAID"/>
    <x v="1"/>
    <n v="251970"/>
    <n v="10"/>
    <s v="Indonesia"/>
    <s v="ESA - SASA"/>
    <x v="0"/>
  </r>
  <r>
    <s v="CLICTRUCK-047670"/>
    <s v="export"/>
    <x v="88"/>
    <x v="1"/>
    <n v="3450000"/>
    <n v="18000"/>
    <m/>
    <s v="PENDING APPROVAL"/>
    <x v="1"/>
    <n v="0"/>
    <n v="6"/>
    <s v="Indonesia"/>
    <s v="ESA - SASA"/>
    <x v="1"/>
  </r>
  <r>
    <s v="CLICTRUCK-047671"/>
    <s v="export"/>
    <x v="88"/>
    <x v="1"/>
    <n v="22700000"/>
    <n v="399600"/>
    <d v="2023-04-16T00:00:00"/>
    <s v="UNPAID"/>
    <x v="1"/>
    <n v="503940"/>
    <n v="20"/>
    <s v="Indonesia"/>
    <s v="ESA - SASA"/>
    <x v="0"/>
  </r>
  <r>
    <s v="CLICTRUCK-047672"/>
    <s v="export"/>
    <x v="88"/>
    <x v="1"/>
    <n v="11350000"/>
    <n v="199800"/>
    <d v="2023-04-16T00:00:00"/>
    <s v="UNPAID"/>
    <x v="1"/>
    <n v="251970"/>
    <n v="10"/>
    <s v="Indonesia"/>
    <s v="ESA - SASA"/>
    <x v="0"/>
  </r>
  <r>
    <s v="CLICTRUCK-047673"/>
    <s v="export"/>
    <x v="88"/>
    <x v="1"/>
    <n v="22700000"/>
    <n v="399600"/>
    <d v="2023-04-16T00:00:00"/>
    <s v="UNPAID"/>
    <x v="1"/>
    <n v="503940"/>
    <n v="20"/>
    <s v="Indonesia"/>
    <s v="ESA - SASA"/>
    <x v="0"/>
  </r>
  <r>
    <s v="CLICTRUCK-047674"/>
    <s v="export"/>
    <x v="88"/>
    <x v="1"/>
    <n v="10000000"/>
    <n v="199800"/>
    <d v="2023-04-16T00:00:00"/>
    <s v="UNPAID"/>
    <x v="1"/>
    <n v="222000"/>
    <n v="10"/>
    <s v="Indonesia"/>
    <s v="ESA - SASA"/>
    <x v="0"/>
  </r>
  <r>
    <s v="CLICTRUCK-047675"/>
    <s v="export"/>
    <x v="88"/>
    <x v="1"/>
    <n v="11350000"/>
    <n v="199800"/>
    <d v="2023-04-16T00:00:00"/>
    <s v="UNPAID"/>
    <x v="1"/>
    <n v="251970"/>
    <n v="10"/>
    <s v="Indonesia"/>
    <s v="ESA - SASA"/>
    <x v="0"/>
  </r>
  <r>
    <s v="CLICTRUCK-047676"/>
    <s v="export"/>
    <x v="88"/>
    <x v="5"/>
    <n v="13915999"/>
    <n v="244200"/>
    <d v="2023-04-16T00:00:00"/>
    <s v="UNPAID"/>
    <x v="4"/>
    <m/>
    <n v="11"/>
    <s v="Indonesia"/>
    <s v="GLT-Elemen"/>
    <x v="0"/>
  </r>
  <r>
    <s v="CLICTRUCK-047677"/>
    <s v="export"/>
    <x v="88"/>
    <x v="0"/>
    <n v="1000000"/>
    <n v="16650"/>
    <d v="2023-05-10T00:00:00"/>
    <s v="UNPAID"/>
    <x v="0"/>
    <n v="33300"/>
    <n v="1"/>
    <s v="Indonesia"/>
    <s v="KMT-KJT"/>
    <x v="0"/>
  </r>
  <r>
    <s v="CLICTRUCK-047678"/>
    <s v="export"/>
    <x v="88"/>
    <x v="0"/>
    <n v="1575000"/>
    <n v="16650"/>
    <d v="2023-05-12T00:00:00"/>
    <s v="UNPAID"/>
    <x v="0"/>
    <n v="52447"/>
    <n v="1"/>
    <s v="Indonesia"/>
    <s v="KMT-KJT"/>
    <x v="0"/>
  </r>
  <r>
    <s v="CLICTRUCK-047679"/>
    <s v="export"/>
    <x v="88"/>
    <x v="0"/>
    <n v="2710000"/>
    <n v="16650"/>
    <d v="2023-05-10T00:00:00"/>
    <s v="UNPAID"/>
    <x v="0"/>
    <n v="90243"/>
    <n v="1"/>
    <s v="Indonesia"/>
    <s v="KMT-KJT"/>
    <x v="0"/>
  </r>
  <r>
    <s v="CLICTRUCK-047680"/>
    <s v="export"/>
    <x v="88"/>
    <x v="0"/>
    <n v="1440000"/>
    <n v="16650"/>
    <d v="2023-05-10T00:00:00"/>
    <s v="UNPAID"/>
    <x v="0"/>
    <n v="47952"/>
    <n v="1"/>
    <s v="Indonesia"/>
    <s v="KMT-KJT"/>
    <x v="0"/>
  </r>
  <r>
    <s v="CLICTRUCK-047681"/>
    <s v="export"/>
    <x v="88"/>
    <x v="0"/>
    <n v="2520000"/>
    <n v="16650"/>
    <d v="2023-05-10T00:00:00"/>
    <s v="UNPAID"/>
    <x v="0"/>
    <n v="83916"/>
    <n v="1"/>
    <s v="Indonesia"/>
    <s v="KMT-KJT"/>
    <x v="0"/>
  </r>
  <r>
    <s v="CLICTRUCK-047682"/>
    <s v="export"/>
    <x v="88"/>
    <x v="0"/>
    <n v="1440000"/>
    <n v="16650"/>
    <d v="2023-05-10T00:00:00"/>
    <s v="UNPAID"/>
    <x v="0"/>
    <n v="47952"/>
    <n v="1"/>
    <s v="Indonesia"/>
    <s v="KMT-KJT"/>
    <x v="0"/>
  </r>
  <r>
    <s v="CLICTRUCK-047683"/>
    <s v="export"/>
    <x v="88"/>
    <x v="0"/>
    <n v="2250000"/>
    <n v="16650"/>
    <d v="2023-05-10T00:00:00"/>
    <s v="UNPAID"/>
    <x v="0"/>
    <n v="74925"/>
    <n v="1"/>
    <s v="Indonesia"/>
    <s v="KMT-KJT"/>
    <x v="0"/>
  </r>
  <r>
    <s v="CLICTRUCK-047684"/>
    <s v="export"/>
    <x v="88"/>
    <x v="0"/>
    <n v="2250000"/>
    <n v="16650"/>
    <d v="2023-05-10T00:00:00"/>
    <s v="UNPAID"/>
    <x v="0"/>
    <n v="74925"/>
    <n v="1"/>
    <s v="Indonesia"/>
    <s v="KMT-KJT"/>
    <x v="0"/>
  </r>
  <r>
    <s v="CLICTRUCK-047685"/>
    <s v="export"/>
    <x v="88"/>
    <x v="0"/>
    <n v="2375000"/>
    <n v="16650"/>
    <d v="2023-05-10T00:00:00"/>
    <s v="UNPAID"/>
    <x v="0"/>
    <n v="79087"/>
    <n v="1"/>
    <s v="Indonesia"/>
    <s v="KMT-KJT"/>
    <x v="0"/>
  </r>
  <r>
    <s v="CLICTRUCK-047686"/>
    <s v="export"/>
    <x v="88"/>
    <x v="0"/>
    <n v="2475000"/>
    <n v="16650"/>
    <d v="2023-05-10T00:00:00"/>
    <s v="UNPAID"/>
    <x v="0"/>
    <n v="82417"/>
    <n v="1"/>
    <s v="Indonesia"/>
    <s v="KMT-KJT"/>
    <x v="0"/>
  </r>
  <r>
    <s v="CLICTRUCK-047687"/>
    <s v="export"/>
    <x v="88"/>
    <x v="0"/>
    <n v="1575000"/>
    <n v="16650"/>
    <d v="2023-05-10T00:00:00"/>
    <s v="UNPAID"/>
    <x v="0"/>
    <n v="52447"/>
    <n v="1"/>
    <s v="Indonesia"/>
    <s v="KMT-KJT"/>
    <x v="0"/>
  </r>
  <r>
    <s v="CLICTRUCK-047688"/>
    <s v="export"/>
    <x v="88"/>
    <x v="0"/>
    <n v="1125000"/>
    <n v="16650"/>
    <d v="2023-05-10T00:00:00"/>
    <s v="UNPAID"/>
    <x v="0"/>
    <n v="37462"/>
    <n v="1"/>
    <s v="Indonesia"/>
    <s v="KMT-KJT"/>
    <x v="0"/>
  </r>
  <r>
    <s v="CLICTRUCK-047689"/>
    <s v="export"/>
    <x v="88"/>
    <x v="0"/>
    <n v="2625000"/>
    <n v="16650"/>
    <d v="2023-05-10T00:00:00"/>
    <s v="UNPAID"/>
    <x v="0"/>
    <n v="87412"/>
    <n v="1"/>
    <s v="Indonesia"/>
    <s v="KMT-KJT"/>
    <x v="0"/>
  </r>
  <r>
    <s v="CLICTRUCK-047690"/>
    <s v="export"/>
    <x v="88"/>
    <x v="0"/>
    <n v="1125000"/>
    <n v="16650"/>
    <d v="2023-05-10T00:00:00"/>
    <s v="UNPAID"/>
    <x v="0"/>
    <n v="37462"/>
    <n v="1"/>
    <s v="Indonesia"/>
    <s v="KMT-KJT"/>
    <x v="0"/>
  </r>
  <r>
    <s v="CLICTRUCK-047691"/>
    <s v="export"/>
    <x v="88"/>
    <x v="0"/>
    <n v="1500000"/>
    <n v="16650"/>
    <d v="2023-05-10T00:00:00"/>
    <s v="UNPAID"/>
    <x v="0"/>
    <n v="49950"/>
    <n v="1"/>
    <s v="Indonesia"/>
    <s v="KMT-KJT"/>
    <x v="0"/>
  </r>
  <r>
    <s v="CLICTRUCK-047692"/>
    <s v="export"/>
    <x v="88"/>
    <x v="0"/>
    <n v="1000000"/>
    <n v="16650"/>
    <d v="2023-05-10T00:00:00"/>
    <s v="UNPAID"/>
    <x v="0"/>
    <n v="33300"/>
    <n v="1"/>
    <s v="Indonesia"/>
    <s v="KMT-KJT"/>
    <x v="0"/>
  </r>
  <r>
    <s v="CLICTRUCK-047694"/>
    <s v="export"/>
    <x v="88"/>
    <x v="0"/>
    <n v="1500000"/>
    <n v="16650"/>
    <d v="2023-05-10T00:00:00"/>
    <s v="UNPAID"/>
    <x v="0"/>
    <n v="49950"/>
    <n v="1"/>
    <s v="Indonesia"/>
    <s v="KMT-KJT"/>
    <x v="0"/>
  </r>
  <r>
    <s v="CLICTRUCK-047695"/>
    <s v="export"/>
    <x v="88"/>
    <x v="0"/>
    <n v="1440000"/>
    <n v="16650"/>
    <d v="2023-05-10T00:00:00"/>
    <s v="UNPAID"/>
    <x v="0"/>
    <n v="47952"/>
    <n v="1"/>
    <s v="Indonesia"/>
    <s v="KMT-KJT"/>
    <x v="0"/>
  </r>
  <r>
    <s v="CLICTRUCK-047697"/>
    <s v="import"/>
    <x v="89"/>
    <x v="0"/>
    <n v="1175000"/>
    <n v="16650"/>
    <d v="2023-05-10T00:00:00"/>
    <s v="UNPAID"/>
    <x v="0"/>
    <n v="39127"/>
    <n v="1"/>
    <s v="Indonesia"/>
    <s v="KMT-KJT"/>
    <x v="0"/>
  </r>
  <r>
    <s v="CLICTRUCK-047698"/>
    <s v="import"/>
    <x v="89"/>
    <x v="0"/>
    <n v="1225000"/>
    <n v="16650"/>
    <d v="2023-05-10T00:00:00"/>
    <s v="UNPAID"/>
    <x v="0"/>
    <n v="40792"/>
    <n v="1"/>
    <s v="Indonesia"/>
    <s v="KMT-KJT"/>
    <x v="0"/>
  </r>
  <r>
    <s v="CLICTRUCK-047701"/>
    <s v="export"/>
    <x v="89"/>
    <x v="0"/>
    <n v="3025000"/>
    <n v="16650"/>
    <d v="2023-05-09T00:00:00"/>
    <s v="UNPAID"/>
    <x v="0"/>
    <n v="100732"/>
    <n v="1"/>
    <s v="Indonesia"/>
    <s v="KMT-KJT"/>
    <x v="0"/>
  </r>
  <r>
    <s v="CLICTRUCK-047900"/>
    <s v="export"/>
    <x v="90"/>
    <x v="5"/>
    <n v="2548000"/>
    <n v="44400"/>
    <d v="2023-04-30T00:00:00"/>
    <s v="UNPAID"/>
    <x v="4"/>
    <m/>
    <n v="2"/>
    <s v="Indonesia"/>
    <s v="GLT-Elemen"/>
    <x v="0"/>
  </r>
  <r>
    <s v="CLICTRUCK-047945"/>
    <s v="export"/>
    <x v="91"/>
    <x v="0"/>
    <n v="1125000"/>
    <n v="16650"/>
    <d v="2023-05-10T00:00:00"/>
    <s v="UNPAID"/>
    <x v="0"/>
    <n v="37462"/>
    <n v="1"/>
    <s v="Indonesia"/>
    <s v="KMT-KJT"/>
    <x v="0"/>
  </r>
  <r>
    <s v="CLICTRUCK-047946"/>
    <s v="export"/>
    <x v="91"/>
    <x v="0"/>
    <n v="1075000"/>
    <n v="16650"/>
    <d v="2023-05-10T00:00:00"/>
    <s v="UNPAID"/>
    <x v="0"/>
    <n v="35797"/>
    <n v="1"/>
    <s v="Indonesia"/>
    <s v="KMT-KJT"/>
    <x v="0"/>
  </r>
  <r>
    <s v="CLICTRUCK-047947"/>
    <s v="export"/>
    <x v="91"/>
    <x v="0"/>
    <n v="2625000"/>
    <n v="16650"/>
    <d v="2023-05-10T00:00:00"/>
    <s v="UNPAID"/>
    <x v="0"/>
    <n v="87412"/>
    <n v="1"/>
    <s v="Indonesia"/>
    <s v="KMT-KJT"/>
    <x v="0"/>
  </r>
  <r>
    <s v="CLICTRUCK-047948"/>
    <s v="export"/>
    <x v="91"/>
    <x v="0"/>
    <n v="2575000"/>
    <n v="16650"/>
    <d v="2023-05-10T00:00:00"/>
    <s v="UNPAID"/>
    <x v="0"/>
    <n v="85747"/>
    <n v="1"/>
    <s v="Indonesia"/>
    <s v="KMT-KJT"/>
    <x v="0"/>
  </r>
  <r>
    <s v="CLICTRUCK-047949"/>
    <s v="export"/>
    <x v="91"/>
    <x v="0"/>
    <n v="875000"/>
    <n v="16650"/>
    <d v="2023-05-10T00:00:00"/>
    <s v="UNPAID"/>
    <x v="0"/>
    <n v="29137"/>
    <n v="1"/>
    <s v="Indonesia"/>
    <s v="KMT-KJT"/>
    <x v="0"/>
  </r>
  <r>
    <s v="CLICTRUCK-047950"/>
    <s v="export"/>
    <x v="91"/>
    <x v="0"/>
    <n v="1350000"/>
    <n v="16650"/>
    <d v="2023-05-29T00:00:00"/>
    <s v="UNPAID"/>
    <x v="0"/>
    <n v="44955"/>
    <n v="1"/>
    <s v="Indonesia"/>
    <s v="KMT-KJT"/>
    <x v="0"/>
  </r>
  <r>
    <s v="CLICTRUCK-047951"/>
    <s v="export"/>
    <x v="91"/>
    <x v="0"/>
    <n v="2575000"/>
    <n v="16650"/>
    <d v="2023-05-10T00:00:00"/>
    <s v="UNPAID"/>
    <x v="0"/>
    <n v="85747"/>
    <n v="1"/>
    <s v="Indonesia"/>
    <s v="KMT-KJT"/>
    <x v="0"/>
  </r>
  <r>
    <s v="CLICTRUCK-047952"/>
    <s v="export"/>
    <x v="91"/>
    <x v="0"/>
    <n v="2625000"/>
    <n v="16650"/>
    <d v="2023-05-10T00:00:00"/>
    <s v="UNPAID"/>
    <x v="0"/>
    <n v="87412"/>
    <n v="1"/>
    <s v="Indonesia"/>
    <s v="KMT-KJT"/>
    <x v="0"/>
  </r>
  <r>
    <s v="CLICTRUCK-047953"/>
    <s v="export"/>
    <x v="91"/>
    <x v="0"/>
    <n v="2500000"/>
    <n v="16650"/>
    <d v="2023-05-10T00:00:00"/>
    <s v="UNPAID"/>
    <x v="0"/>
    <n v="83250"/>
    <n v="1"/>
    <s v="Indonesia"/>
    <s v="KMT-KJT"/>
    <x v="0"/>
  </r>
  <r>
    <s v="CLICTRUCK-047954"/>
    <s v="export"/>
    <x v="91"/>
    <x v="0"/>
    <n v="2625000"/>
    <n v="16650"/>
    <d v="2023-05-10T00:00:00"/>
    <s v="UNPAID"/>
    <x v="0"/>
    <n v="87412"/>
    <n v="1"/>
    <s v="Indonesia"/>
    <s v="KMT-KJT"/>
    <x v="0"/>
  </r>
  <r>
    <s v="CLICTRUCK-047955"/>
    <s v="export"/>
    <x v="91"/>
    <x v="0"/>
    <n v="2625000"/>
    <n v="16650"/>
    <d v="2023-05-10T00:00:00"/>
    <s v="UNPAID"/>
    <x v="0"/>
    <n v="87412"/>
    <n v="1"/>
    <s v="Indonesia"/>
    <s v="KMT-KJT"/>
    <x v="0"/>
  </r>
  <r>
    <s v="CLICTRUCK-047956"/>
    <s v="import"/>
    <x v="91"/>
    <x v="0"/>
    <n v="2675000"/>
    <n v="16650"/>
    <d v="2023-05-10T00:00:00"/>
    <s v="UNPAID"/>
    <x v="0"/>
    <n v="89077"/>
    <n v="1"/>
    <s v="Indonesia"/>
    <s v="KMT-KJT"/>
    <x v="0"/>
  </r>
  <r>
    <s v="CLICTRUCK-048079"/>
    <s v="import"/>
    <x v="92"/>
    <x v="2"/>
    <n v="5060000"/>
    <n v="55500"/>
    <d v="2023-05-10T00:00:00"/>
    <s v="UNPAID"/>
    <x v="2"/>
    <n v="112332"/>
    <n v="2"/>
    <s v="Indonesia"/>
    <s v="MAS-KAS"/>
    <x v="0"/>
  </r>
  <r>
    <s v="CLICTRUCK-048081"/>
    <s v="import"/>
    <x v="92"/>
    <x v="2"/>
    <n v="1725000"/>
    <n v="27750"/>
    <d v="2023-05-10T00:00:00"/>
    <s v="UNPAID"/>
    <x v="2"/>
    <n v="38295"/>
    <n v="1"/>
    <s v="Indonesia"/>
    <s v="MAS-KAS"/>
    <x v="0"/>
  </r>
  <r>
    <s v="CLICTRUCK-048084"/>
    <s v="import"/>
    <x v="92"/>
    <x v="2"/>
    <n v="5060000"/>
    <n v="55500"/>
    <d v="2023-05-10T00:00:00"/>
    <s v="UNPAID"/>
    <x v="2"/>
    <n v="112332"/>
    <n v="2"/>
    <s v="Indonesia"/>
    <s v="MAS-KAS"/>
    <x v="0"/>
  </r>
  <r>
    <s v="CLICTRUCK-048088"/>
    <s v="import"/>
    <x v="92"/>
    <x v="2"/>
    <n v="1920000"/>
    <n v="27750"/>
    <d v="2023-05-10T00:00:00"/>
    <s v="UNPAID"/>
    <x v="2"/>
    <n v="42624"/>
    <n v="1"/>
    <s v="Indonesia"/>
    <s v="MAS-KAS"/>
    <x v="0"/>
  </r>
  <r>
    <s v="CLICTRUCK-048090"/>
    <s v="export"/>
    <x v="92"/>
    <x v="0"/>
    <n v="2625000"/>
    <n v="16650"/>
    <d v="2023-05-24T00:00:00"/>
    <s v="UNPAID"/>
    <x v="0"/>
    <n v="87412"/>
    <n v="1"/>
    <s v="Indonesia"/>
    <s v="KMT-KJT"/>
    <x v="0"/>
  </r>
  <r>
    <s v="CLICTRUCK-048091"/>
    <s v="export"/>
    <x v="92"/>
    <x v="0"/>
    <n v="2250000"/>
    <n v="16650"/>
    <d v="2023-05-24T00:00:00"/>
    <s v="UNPAID"/>
    <x v="0"/>
    <n v="74925"/>
    <n v="1"/>
    <s v="Indonesia"/>
    <s v="KMT-KJT"/>
    <x v="0"/>
  </r>
  <r>
    <s v="CLICTRUCK-048092"/>
    <s v="import"/>
    <x v="92"/>
    <x v="0"/>
    <n v="2725000"/>
    <n v="16650"/>
    <d v="2023-05-24T00:00:00"/>
    <s v="UNPAID"/>
    <x v="0"/>
    <n v="90742"/>
    <n v="1"/>
    <s v="Indonesia"/>
    <s v="KMT-KJT"/>
    <x v="0"/>
  </r>
  <r>
    <s v="CLICTRUCK-048127"/>
    <s v="export"/>
    <x v="93"/>
    <x v="0"/>
    <n v="2625000"/>
    <n v="16650"/>
    <d v="2023-05-24T00:00:00"/>
    <s v="UNPAID"/>
    <x v="0"/>
    <n v="87412"/>
    <n v="1"/>
    <s v="Indonesia"/>
    <s v="KMT-KJT"/>
    <x v="0"/>
  </r>
  <r>
    <s v="CLICTRUCK-048129"/>
    <s v="export"/>
    <x v="93"/>
    <x v="0"/>
    <n v="3125000"/>
    <n v="16650"/>
    <d v="2023-05-24T00:00:00"/>
    <s v="UNPAID"/>
    <x v="0"/>
    <n v="104062"/>
    <n v="1"/>
    <s v="Indonesia"/>
    <s v="KMT-KJT"/>
    <x v="0"/>
  </r>
  <r>
    <s v="CLICTRUCK-048130"/>
    <s v="export"/>
    <x v="93"/>
    <x v="0"/>
    <n v="2625000"/>
    <n v="16650"/>
    <d v="2023-05-24T00:00:00"/>
    <s v="UNPAID"/>
    <x v="0"/>
    <n v="87412"/>
    <n v="1"/>
    <s v="Indonesia"/>
    <s v="KMT-KJT"/>
    <x v="0"/>
  </r>
  <r>
    <s v="CLICTRUCK-048131"/>
    <s v="export"/>
    <x v="94"/>
    <x v="0"/>
    <n v="3250000"/>
    <n v="16650"/>
    <d v="2023-05-24T00:00:00"/>
    <s v="UNPAID"/>
    <x v="0"/>
    <n v="108225"/>
    <n v="1"/>
    <s v="Indonesia"/>
    <s v="KMT-KJT"/>
    <x v="0"/>
  </r>
  <r>
    <s v="CLICTRUCK-048132"/>
    <s v="export"/>
    <x v="94"/>
    <x v="0"/>
    <n v="3250000"/>
    <n v="16650"/>
    <d v="2023-05-24T00:00:00"/>
    <s v="UNPAID"/>
    <x v="0"/>
    <n v="108225"/>
    <n v="1"/>
    <s v="Indonesia"/>
    <s v="KMT-KJT"/>
    <x v="0"/>
  </r>
  <r>
    <s v="CLICTRUCK-048133"/>
    <s v="export"/>
    <x v="94"/>
    <x v="0"/>
    <n v="2900000"/>
    <n v="16650"/>
    <d v="2023-05-24T00:00:00"/>
    <s v="UNPAID"/>
    <x v="0"/>
    <n v="96570"/>
    <n v="1"/>
    <s v="Indonesia"/>
    <s v="KMT-KJT"/>
    <x v="0"/>
  </r>
  <r>
    <s v="CLICTRUCK-048134"/>
    <s v="export"/>
    <x v="94"/>
    <x v="0"/>
    <n v="2450000"/>
    <n v="16650"/>
    <d v="2023-05-24T00:00:00"/>
    <s v="UNPAID"/>
    <x v="0"/>
    <n v="81585"/>
    <n v="1"/>
    <s v="Indonesia"/>
    <s v="KMT-KJT"/>
    <x v="0"/>
  </r>
  <r>
    <s v="CLICTRUCK-048135"/>
    <s v="export"/>
    <x v="94"/>
    <x v="0"/>
    <n v="2625000"/>
    <n v="16650"/>
    <d v="2023-05-24T00:00:00"/>
    <s v="UNPAID"/>
    <x v="0"/>
    <n v="87412"/>
    <n v="1"/>
    <s v="Indonesia"/>
    <s v="KMT-KJT"/>
    <x v="0"/>
  </r>
  <r>
    <s v="CLICTRUCK-048136"/>
    <s v="export"/>
    <x v="94"/>
    <x v="0"/>
    <n v="2200000"/>
    <n v="16650"/>
    <d v="2023-05-24T00:00:00"/>
    <s v="UNPAID"/>
    <x v="0"/>
    <n v="73260"/>
    <n v="1"/>
    <s v="Indonesia"/>
    <s v="KMT-KJT"/>
    <x v="0"/>
  </r>
  <r>
    <s v="CLICTRUCK-048137"/>
    <s v="export"/>
    <x v="94"/>
    <x v="0"/>
    <n v="2375000"/>
    <n v="16650"/>
    <d v="2023-05-24T00:00:00"/>
    <s v="UNPAID"/>
    <x v="0"/>
    <n v="79087"/>
    <n v="1"/>
    <s v="Indonesia"/>
    <s v="KMT-KJT"/>
    <x v="0"/>
  </r>
  <r>
    <s v="CLICTRUCK-048138"/>
    <s v="export"/>
    <x v="94"/>
    <x v="0"/>
    <n v="1000000"/>
    <n v="16650"/>
    <d v="2023-05-24T00:00:00"/>
    <s v="UNPAID"/>
    <x v="0"/>
    <n v="33300"/>
    <n v="1"/>
    <s v="Indonesia"/>
    <s v="KMT-KJT"/>
    <x v="0"/>
  </r>
  <r>
    <s v="CLICTRUCK-048139"/>
    <s v="export"/>
    <x v="94"/>
    <x v="0"/>
    <n v="2625000"/>
    <n v="16650"/>
    <d v="2023-05-24T00:00:00"/>
    <s v="UNPAID"/>
    <x v="0"/>
    <n v="87412"/>
    <n v="1"/>
    <s v="Indonesia"/>
    <s v="KMT-KJT"/>
    <x v="0"/>
  </r>
  <r>
    <s v="CLICTRUCK-048141"/>
    <s v="export"/>
    <x v="94"/>
    <x v="0"/>
    <n v="1075000"/>
    <n v="16650"/>
    <d v="2023-05-24T00:00:00"/>
    <s v="UNPAID"/>
    <x v="0"/>
    <n v="35797"/>
    <n v="1"/>
    <s v="Indonesia"/>
    <s v="KMT-KJT"/>
    <x v="0"/>
  </r>
  <r>
    <s v="CLICTRUCK-048143"/>
    <s v="export"/>
    <x v="94"/>
    <x v="0"/>
    <n v="2375000"/>
    <n v="15000"/>
    <m/>
    <s v="DELIVERED"/>
    <x v="0"/>
    <n v="0"/>
    <n v="1"/>
    <s v="Indonesia"/>
    <s v="KMT-KJT"/>
    <x v="1"/>
  </r>
  <r>
    <s v="CLICTRUCK-048144"/>
    <s v="export"/>
    <x v="94"/>
    <x v="0"/>
    <n v="2625000"/>
    <n v="16650"/>
    <d v="2023-05-24T00:00:00"/>
    <s v="UNPAID"/>
    <x v="0"/>
    <n v="87412"/>
    <n v="1"/>
    <s v="Indonesia"/>
    <s v="KMT-KJT"/>
    <x v="0"/>
  </r>
  <r>
    <s v="CLICTRUCK-048145"/>
    <s v="export"/>
    <x v="94"/>
    <x v="0"/>
    <n v="2250000"/>
    <n v="16650"/>
    <d v="2023-05-24T00:00:00"/>
    <s v="UNPAID"/>
    <x v="0"/>
    <n v="74925"/>
    <n v="1"/>
    <s v="Indonesia"/>
    <s v="KMT-KJT"/>
    <x v="0"/>
  </r>
  <r>
    <s v="CLICTRUCK-048146"/>
    <s v="export"/>
    <x v="94"/>
    <x v="0"/>
    <n v="875000"/>
    <n v="16650"/>
    <d v="2023-05-24T00:00:00"/>
    <s v="UNPAID"/>
    <x v="0"/>
    <n v="29137"/>
    <n v="1"/>
    <s v="Indonesia"/>
    <s v="KMT-KJT"/>
    <x v="0"/>
  </r>
  <r>
    <s v="CLICTRUCK-048147"/>
    <s v="export"/>
    <x v="94"/>
    <x v="0"/>
    <n v="2625000"/>
    <n v="16650"/>
    <d v="2023-05-24T00:00:00"/>
    <s v="UNPAID"/>
    <x v="0"/>
    <n v="87412"/>
    <n v="1"/>
    <s v="Indonesia"/>
    <s v="KMT-KJT"/>
    <x v="0"/>
  </r>
  <r>
    <s v="CLICTRUCK-048148"/>
    <s v="export"/>
    <x v="94"/>
    <x v="0"/>
    <n v="2250000"/>
    <n v="16650"/>
    <d v="2023-05-24T00:00:00"/>
    <s v="UNPAID"/>
    <x v="0"/>
    <n v="74925"/>
    <n v="1"/>
    <s v="Indonesia"/>
    <s v="KMT-KJT"/>
    <x v="0"/>
  </r>
  <r>
    <s v="CLICTRUCK-048149"/>
    <s v="export"/>
    <x v="94"/>
    <x v="0"/>
    <n v="3000000"/>
    <n v="16650"/>
    <d v="2023-05-24T00:00:00"/>
    <s v="UNPAID"/>
    <x v="0"/>
    <n v="99900"/>
    <n v="1"/>
    <s v="Indonesia"/>
    <s v="KMT-KJT"/>
    <x v="0"/>
  </r>
  <r>
    <s v="CLICTRUCK-048150"/>
    <s v="export"/>
    <x v="94"/>
    <x v="0"/>
    <n v="2950000"/>
    <n v="16650"/>
    <d v="2023-05-24T00:00:00"/>
    <s v="UNPAID"/>
    <x v="0"/>
    <n v="98235"/>
    <n v="1"/>
    <s v="Indonesia"/>
    <s v="KMT-KJT"/>
    <x v="0"/>
  </r>
  <r>
    <s v="CLICTRUCK-048210"/>
    <s v="export"/>
    <x v="95"/>
    <x v="5"/>
    <n v="10192000"/>
    <n v="177600"/>
    <d v="2023-05-14T00:00:00"/>
    <s v="UNPAID"/>
    <x v="4"/>
    <m/>
    <n v="8"/>
    <s v="Indonesia"/>
    <s v="GLT-Elemen"/>
    <x v="0"/>
  </r>
  <r>
    <s v="CLICTRUCK-048575"/>
    <s v="export"/>
    <x v="96"/>
    <x v="0"/>
    <n v="2625000"/>
    <n v="16650"/>
    <d v="2023-05-24T00:00:00"/>
    <s v="UNPAID"/>
    <x v="0"/>
    <n v="87412"/>
    <n v="1"/>
    <s v="Indonesia"/>
    <s v="KMT-KJT"/>
    <x v="0"/>
  </r>
  <r>
    <s v="CLICTRUCK-048576"/>
    <s v="export"/>
    <x v="96"/>
    <x v="0"/>
    <n v="2625000"/>
    <n v="16650"/>
    <d v="2023-05-24T00:00:00"/>
    <s v="UNPAID"/>
    <x v="0"/>
    <n v="87412"/>
    <n v="1"/>
    <s v="Indonesia"/>
    <s v="KMT-KJT"/>
    <x v="0"/>
  </r>
  <r>
    <s v="CLICTRUCK-048577"/>
    <s v="export"/>
    <x v="96"/>
    <x v="0"/>
    <n v="1875000"/>
    <n v="16650"/>
    <d v="2023-05-24T00:00:00"/>
    <s v="UNPAID"/>
    <x v="0"/>
    <n v="62437"/>
    <n v="1"/>
    <s v="Indonesia"/>
    <s v="KMT-KJT"/>
    <x v="0"/>
  </r>
  <r>
    <s v="CLICTRUCK-048578"/>
    <s v="export"/>
    <x v="96"/>
    <x v="0"/>
    <n v="3125000"/>
    <n v="16650"/>
    <d v="2023-05-24T00:00:00"/>
    <s v="UNPAID"/>
    <x v="0"/>
    <n v="104062"/>
    <n v="1"/>
    <s v="Indonesia"/>
    <s v="KMT-KJT"/>
    <x v="0"/>
  </r>
  <r>
    <s v="CLICTRUCK-048579"/>
    <s v="export"/>
    <x v="96"/>
    <x v="0"/>
    <n v="1000000"/>
    <n v="16650"/>
    <d v="2023-05-24T00:00:00"/>
    <s v="UNPAID"/>
    <x v="0"/>
    <n v="33300"/>
    <n v="1"/>
    <s v="Indonesia"/>
    <s v="KMT-KJT"/>
    <x v="0"/>
  </r>
  <r>
    <s v="CLICTRUCK-048580"/>
    <s v="export"/>
    <x v="96"/>
    <x v="0"/>
    <n v="2450000"/>
    <n v="16650"/>
    <d v="2023-05-24T00:00:00"/>
    <s v="UNPAID"/>
    <x v="0"/>
    <n v="81585"/>
    <n v="1"/>
    <s v="Indonesia"/>
    <s v="KMT-KJT"/>
    <x v="0"/>
  </r>
  <r>
    <s v="CLICTRUCK-048581"/>
    <s v="export"/>
    <x v="96"/>
    <x v="0"/>
    <n v="1125000"/>
    <n v="16650"/>
    <d v="2023-05-24T00:00:00"/>
    <s v="UNPAID"/>
    <x v="0"/>
    <n v="37462"/>
    <n v="1"/>
    <s v="Indonesia"/>
    <s v="KMT-KJT"/>
    <x v="0"/>
  </r>
  <r>
    <s v="CLICTRUCK-048582"/>
    <s v="export"/>
    <x v="96"/>
    <x v="0"/>
    <n v="2250000"/>
    <n v="16650"/>
    <d v="2023-05-24T00:00:00"/>
    <s v="UNPAID"/>
    <x v="0"/>
    <n v="74925"/>
    <n v="1"/>
    <s v="Indonesia"/>
    <s v="KMT-KJT"/>
    <x v="0"/>
  </r>
  <r>
    <s v="CLICTRUCK-048583"/>
    <s v="export"/>
    <x v="96"/>
    <x v="0"/>
    <n v="2625000"/>
    <n v="16650"/>
    <d v="2023-05-24T00:00:00"/>
    <s v="UNPAID"/>
    <x v="0"/>
    <n v="87412"/>
    <n v="1"/>
    <s v="Indonesia"/>
    <s v="KMT-KJT"/>
    <x v="0"/>
  </r>
  <r>
    <s v="CLICTRUCK-048584"/>
    <s v="export"/>
    <x v="96"/>
    <x v="0"/>
    <n v="2460000"/>
    <n v="16650"/>
    <d v="2023-05-24T00:00:00"/>
    <s v="UNPAID"/>
    <x v="0"/>
    <n v="81918"/>
    <n v="1"/>
    <s v="Indonesia"/>
    <s v="KMT-KJT"/>
    <x v="0"/>
  </r>
  <r>
    <s v="CLICTRUCK-048585"/>
    <s v="import"/>
    <x v="96"/>
    <x v="0"/>
    <n v="2725000"/>
    <n v="16650"/>
    <d v="2023-05-24T00:00:00"/>
    <s v="UNPAID"/>
    <x v="0"/>
    <n v="90742"/>
    <n v="1"/>
    <s v="Indonesia"/>
    <s v="KMT-KJT"/>
    <x v="0"/>
  </r>
  <r>
    <s v="CLICTRUCK-048855"/>
    <s v="export"/>
    <x v="97"/>
    <x v="0"/>
    <n v="2625000"/>
    <n v="16650"/>
    <d v="2023-05-29T00:00:00"/>
    <s v="UNPAID"/>
    <x v="0"/>
    <n v="87412"/>
    <n v="1"/>
    <s v="Indonesia"/>
    <s v="KMT-KJT"/>
    <x v="0"/>
  </r>
  <r>
    <s v="CLICTRUCK-048856"/>
    <s v="export"/>
    <x v="97"/>
    <x v="0"/>
    <n v="2625000"/>
    <n v="16650"/>
    <d v="2023-05-29T00:00:00"/>
    <s v="UNPAID"/>
    <x v="0"/>
    <n v="87412"/>
    <n v="1"/>
    <s v="Indonesia"/>
    <s v="KMT-KJT"/>
    <x v="0"/>
  </r>
  <r>
    <s v="CLICTRUCK-048857"/>
    <s v="export"/>
    <x v="97"/>
    <x v="0"/>
    <n v="1750000"/>
    <n v="16650"/>
    <d v="2023-05-29T00:00:00"/>
    <s v="UNPAID"/>
    <x v="0"/>
    <n v="58275"/>
    <n v="1"/>
    <s v="Indonesia"/>
    <s v="KMT-KJT"/>
    <x v="0"/>
  </r>
  <r>
    <s v="CLICTRUCK-048858"/>
    <s v="export"/>
    <x v="97"/>
    <x v="0"/>
    <n v="2325000"/>
    <n v="16650"/>
    <d v="2023-05-29T00:00:00"/>
    <s v="UNPAID"/>
    <x v="0"/>
    <n v="77422"/>
    <n v="1"/>
    <s v="Indonesia"/>
    <s v="KMT-KJT"/>
    <x v="0"/>
  </r>
  <r>
    <s v="CLICTRUCK-048859"/>
    <s v="export"/>
    <x v="97"/>
    <x v="0"/>
    <n v="2625000"/>
    <n v="16650"/>
    <d v="2023-05-29T00:00:00"/>
    <s v="UNPAID"/>
    <x v="0"/>
    <n v="87412"/>
    <n v="1"/>
    <s v="Indonesia"/>
    <s v="KMT-KJT"/>
    <x v="0"/>
  </r>
  <r>
    <s v="CLICTRUCK-048861"/>
    <s v="export"/>
    <x v="97"/>
    <x v="0"/>
    <n v="3125000"/>
    <n v="16650"/>
    <d v="2023-05-29T00:00:00"/>
    <s v="UNPAID"/>
    <x v="0"/>
    <n v="104062"/>
    <n v="1"/>
    <s v="Indonesia"/>
    <s v="KMT-KJT"/>
    <x v="0"/>
  </r>
  <r>
    <s v="CLICTRUCK-048862"/>
    <s v="export"/>
    <x v="98"/>
    <x v="0"/>
    <n v="1000000"/>
    <n v="16650"/>
    <d v="2023-05-29T00:00:00"/>
    <s v="UNPAID"/>
    <x v="0"/>
    <n v="33300"/>
    <n v="1"/>
    <s v="Indonesia"/>
    <s v="KMT-KJT"/>
    <x v="0"/>
  </r>
  <r>
    <s v="CLICTRUCK-048863"/>
    <s v="export"/>
    <x v="98"/>
    <x v="0"/>
    <n v="2787500"/>
    <n v="16650"/>
    <d v="2023-05-29T00:00:00"/>
    <s v="UNPAID"/>
    <x v="0"/>
    <n v="92823"/>
    <n v="1"/>
    <s v="Indonesia"/>
    <s v="KMT-KJT"/>
    <x v="0"/>
  </r>
  <r>
    <s v="CLICTRUCK-048864"/>
    <s v="export"/>
    <x v="98"/>
    <x v="0"/>
    <n v="3125000"/>
    <n v="16650"/>
    <d v="2023-06-07T00:00:00"/>
    <s v="UNPAID"/>
    <x v="0"/>
    <n v="104062"/>
    <n v="1"/>
    <s v="Indonesia"/>
    <s v="KMT-KJT"/>
    <x v="0"/>
  </r>
  <r>
    <s v="CLICTRUCK-048865"/>
    <s v="export"/>
    <x v="98"/>
    <x v="0"/>
    <n v="2250000"/>
    <n v="16650"/>
    <d v="2023-05-29T00:00:00"/>
    <s v="UNPAID"/>
    <x v="0"/>
    <n v="74925"/>
    <n v="1"/>
    <s v="Indonesia"/>
    <s v="KMT-KJT"/>
    <x v="0"/>
  </r>
  <r>
    <s v="CLICTRUCK-048866"/>
    <s v="export"/>
    <x v="98"/>
    <x v="0"/>
    <n v="2250000"/>
    <n v="16650"/>
    <d v="2023-05-29T00:00:00"/>
    <s v="UNPAID"/>
    <x v="0"/>
    <n v="74925"/>
    <n v="1"/>
    <s v="Indonesia"/>
    <s v="KMT-KJT"/>
    <x v="0"/>
  </r>
  <r>
    <s v="CLICTRUCK-048867"/>
    <s v="export"/>
    <x v="98"/>
    <x v="0"/>
    <n v="1125000"/>
    <n v="16650"/>
    <d v="2023-05-29T00:00:00"/>
    <s v="UNPAID"/>
    <x v="0"/>
    <n v="37462"/>
    <n v="1"/>
    <s v="Indonesia"/>
    <s v="KMT-KJT"/>
    <x v="0"/>
  </r>
  <r>
    <s v="CLICTRUCK-048868"/>
    <s v="export"/>
    <x v="98"/>
    <x v="0"/>
    <n v="3250000"/>
    <n v="16650"/>
    <d v="2023-05-29T00:00:00"/>
    <s v="UNPAID"/>
    <x v="0"/>
    <n v="108225"/>
    <n v="1"/>
    <s v="Indonesia"/>
    <s v="KMT-KJT"/>
    <x v="0"/>
  </r>
  <r>
    <s v="CLICTRUCK-048869"/>
    <s v="export"/>
    <x v="98"/>
    <x v="0"/>
    <n v="1000000"/>
    <n v="16650"/>
    <d v="2023-05-29T00:00:00"/>
    <s v="UNPAID"/>
    <x v="0"/>
    <n v="33300"/>
    <n v="1"/>
    <s v="Indonesia"/>
    <s v="KMT-KJT"/>
    <x v="0"/>
  </r>
  <r>
    <s v="CLICTRUCK-048870"/>
    <s v="export"/>
    <x v="98"/>
    <x v="0"/>
    <n v="3250000"/>
    <n v="16650"/>
    <d v="2023-05-29T00:00:00"/>
    <s v="UNPAID"/>
    <x v="0"/>
    <n v="108225"/>
    <n v="1"/>
    <s v="Indonesia"/>
    <s v="KMT-KJT"/>
    <x v="0"/>
  </r>
  <r>
    <s v="CLICTRUCK-048874"/>
    <s v="export"/>
    <x v="98"/>
    <x v="0"/>
    <n v="3250000"/>
    <n v="16650"/>
    <d v="2023-05-29T00:00:00"/>
    <s v="UNPAID"/>
    <x v="0"/>
    <n v="108225"/>
    <n v="1"/>
    <s v="Indonesia"/>
    <s v="KMT-KJT"/>
    <x v="0"/>
  </r>
  <r>
    <s v="CLICTRUCK-048883"/>
    <s v="export"/>
    <x v="98"/>
    <x v="8"/>
    <n v="7644000"/>
    <n v="133200"/>
    <d v="2023-05-28T00:00:00"/>
    <s v="UNPAID"/>
    <x v="4"/>
    <m/>
    <n v="6"/>
    <s v="Indonesia"/>
    <s v="GemiLOG - Eltrans"/>
    <x v="0"/>
  </r>
  <r>
    <s v="CLICTRUCK-048924"/>
    <s v="export"/>
    <x v="99"/>
    <x v="0"/>
    <n v="2575000"/>
    <n v="16650"/>
    <d v="2023-05-29T00:00:00"/>
    <s v="UNPAID"/>
    <x v="0"/>
    <n v="85747"/>
    <n v="1"/>
    <s v="Indonesia"/>
    <s v="KMT-KJT"/>
    <x v="0"/>
  </r>
  <r>
    <s v="CLICTRUCK-048925"/>
    <s v="export"/>
    <x v="99"/>
    <x v="0"/>
    <n v="2625000"/>
    <n v="16650"/>
    <d v="2023-05-29T00:00:00"/>
    <s v="UNPAID"/>
    <x v="0"/>
    <n v="87412"/>
    <n v="1"/>
    <s v="Indonesia"/>
    <s v="KMT-KJT"/>
    <x v="0"/>
  </r>
  <r>
    <s v="CLICTRUCK-048926"/>
    <s v="export"/>
    <x v="99"/>
    <x v="0"/>
    <n v="2625000"/>
    <n v="16650"/>
    <d v="2023-05-29T00:00:00"/>
    <s v="UNPAID"/>
    <x v="0"/>
    <n v="87412"/>
    <n v="1"/>
    <s v="Indonesia"/>
    <s v="KMT-KJT"/>
    <x v="0"/>
  </r>
  <r>
    <s v="CLICTRUCK-048930"/>
    <s v="export"/>
    <x v="99"/>
    <x v="8"/>
    <n v="5096000"/>
    <n v="88800"/>
    <d v="2023-05-28T00:00:00"/>
    <s v="UNPAID"/>
    <x v="4"/>
    <m/>
    <n v="4"/>
    <s v="Indonesia"/>
    <s v="GemiLOG - Eltrans"/>
    <x v="0"/>
  </r>
  <r>
    <s v="CLICTRUCK-048932"/>
    <s v="export"/>
    <x v="99"/>
    <x v="0"/>
    <n v="3250000"/>
    <n v="16650"/>
    <d v="2023-05-29T00:00:00"/>
    <s v="UNPAID"/>
    <x v="0"/>
    <n v="108225"/>
    <n v="1"/>
    <s v="Indonesia"/>
    <s v="KMT-KJT"/>
    <x v="0"/>
  </r>
  <r>
    <s v="CLICTRUCK-048937"/>
    <s v="export"/>
    <x v="100"/>
    <x v="0"/>
    <n v="1000000"/>
    <n v="16650"/>
    <d v="2023-05-29T00:00:00"/>
    <s v="UNPAID"/>
    <x v="0"/>
    <n v="33300"/>
    <n v="1"/>
    <s v="Indonesia"/>
    <s v="KMT-KJT"/>
    <x v="0"/>
  </r>
  <r>
    <s v="CLICTRUCK-048941"/>
    <s v="export"/>
    <x v="100"/>
    <x v="0"/>
    <n v="1000000"/>
    <n v="16650"/>
    <d v="2023-05-29T00:00:00"/>
    <s v="UNPAID"/>
    <x v="0"/>
    <n v="33300"/>
    <n v="1"/>
    <s v="Indonesia"/>
    <s v="KMT-KJT"/>
    <x v="0"/>
  </r>
  <r>
    <s v="CLICTRUCK-048943"/>
    <s v="export"/>
    <x v="100"/>
    <x v="0"/>
    <n v="2950000"/>
    <n v="16650"/>
    <d v="2023-05-29T00:00:00"/>
    <s v="UNPAID"/>
    <x v="0"/>
    <n v="98235"/>
    <n v="1"/>
    <s v="Indonesia"/>
    <s v="KMT-KJT"/>
    <x v="0"/>
  </r>
  <r>
    <s v="CLICTRUCK-048944"/>
    <s v="export"/>
    <x v="100"/>
    <x v="0"/>
    <n v="2250000"/>
    <n v="16650"/>
    <d v="2023-05-29T00:00:00"/>
    <s v="UNPAID"/>
    <x v="0"/>
    <n v="74925"/>
    <n v="1"/>
    <s v="Indonesia"/>
    <s v="KMT-KJT"/>
    <x v="0"/>
  </r>
  <r>
    <s v="CLICTRUCK-048946"/>
    <s v="export"/>
    <x v="100"/>
    <x v="0"/>
    <n v="2625000"/>
    <n v="16650"/>
    <d v="2023-05-29T00:00:00"/>
    <s v="UNPAID"/>
    <x v="0"/>
    <n v="87412"/>
    <n v="1"/>
    <s v="Indonesia"/>
    <s v="KMT-KJT"/>
    <x v="0"/>
  </r>
  <r>
    <s v="CLICTRUCK-048947"/>
    <s v="export"/>
    <x v="100"/>
    <x v="0"/>
    <n v="2625000"/>
    <n v="16650"/>
    <d v="2023-05-29T00:00:00"/>
    <s v="UNPAID"/>
    <x v="0"/>
    <n v="87412"/>
    <n v="1"/>
    <s v="Indonesia"/>
    <s v="KMT-KJT"/>
    <x v="0"/>
  </r>
  <r>
    <s v="CLICTRUCK-048948"/>
    <s v="export"/>
    <x v="100"/>
    <x v="0"/>
    <n v="2625000"/>
    <n v="16650"/>
    <d v="2023-05-29T00:00:00"/>
    <s v="UNPAID"/>
    <x v="0"/>
    <n v="87412"/>
    <n v="1"/>
    <s v="Indonesia"/>
    <s v="KMT-KJT"/>
    <x v="0"/>
  </r>
  <r>
    <s v="CLICTRUCK-048949"/>
    <s v="export"/>
    <x v="100"/>
    <x v="0"/>
    <n v="1125000"/>
    <n v="16650"/>
    <d v="2023-05-29T00:00:00"/>
    <s v="UNPAID"/>
    <x v="0"/>
    <n v="37462"/>
    <n v="1"/>
    <s v="Indonesia"/>
    <s v="KMT-KJT"/>
    <x v="0"/>
  </r>
  <r>
    <s v="CLICTRUCK-048950"/>
    <s v="export"/>
    <x v="100"/>
    <x v="0"/>
    <n v="2250000"/>
    <n v="16650"/>
    <d v="2023-05-29T00:00:00"/>
    <s v="UNPAID"/>
    <x v="0"/>
    <n v="74925"/>
    <n v="1"/>
    <s v="Indonesia"/>
    <s v="KMT-KJT"/>
    <x v="0"/>
  </r>
  <r>
    <s v="CLICTRUCK-048952"/>
    <s v="export"/>
    <x v="100"/>
    <x v="0"/>
    <n v="1500000"/>
    <n v="16650"/>
    <d v="2023-05-29T00:00:00"/>
    <s v="UNPAID"/>
    <x v="0"/>
    <n v="49950"/>
    <n v="1"/>
    <s v="Indonesia"/>
    <s v="KMT-KJT"/>
    <x v="0"/>
  </r>
  <r>
    <s v="CLICTRUCK-048953"/>
    <s v="export"/>
    <x v="100"/>
    <x v="0"/>
    <n v="3100000"/>
    <n v="16650"/>
    <d v="2023-05-29T00:00:00"/>
    <s v="UNPAID"/>
    <x v="0"/>
    <n v="103230"/>
    <n v="1"/>
    <s v="Indonesia"/>
    <s v="KMT-KJT"/>
    <x v="0"/>
  </r>
  <r>
    <s v="CLICTRUCK-048954"/>
    <s v="export"/>
    <x v="100"/>
    <x v="0"/>
    <n v="3250000"/>
    <n v="16650"/>
    <d v="2023-05-29T00:00:00"/>
    <s v="UNPAID"/>
    <x v="0"/>
    <n v="108225"/>
    <n v="1"/>
    <s v="Indonesia"/>
    <s v="KMT-KJT"/>
    <x v="0"/>
  </r>
  <r>
    <s v="CLICTRUCK-048955"/>
    <s v="export"/>
    <x v="100"/>
    <x v="0"/>
    <n v="3250000"/>
    <n v="16650"/>
    <d v="2023-05-29T00:00:00"/>
    <s v="UNPAID"/>
    <x v="0"/>
    <n v="108225"/>
    <n v="1"/>
    <s v="Indonesia"/>
    <s v="KMT-KJT"/>
    <x v="0"/>
  </r>
  <r>
    <s v="CLICTRUCK-048987"/>
    <s v="export"/>
    <x v="101"/>
    <x v="0"/>
    <n v="3250000"/>
    <n v="16650"/>
    <d v="2023-06-07T00:00:00"/>
    <s v="UNPAID"/>
    <x v="0"/>
    <n v="108225"/>
    <n v="1"/>
    <s v="Indonesia"/>
    <s v="KMT-KJT"/>
    <x v="0"/>
  </r>
  <r>
    <s v="CLICTRUCK-048988"/>
    <s v="export"/>
    <x v="101"/>
    <x v="0"/>
    <n v="2700000"/>
    <n v="16650"/>
    <d v="2023-06-07T00:00:00"/>
    <s v="UNPAID"/>
    <x v="0"/>
    <n v="89910"/>
    <n v="1"/>
    <s v="Indonesia"/>
    <s v="KMT-KJT"/>
    <x v="0"/>
  </r>
  <r>
    <s v="CLICTRUCK-048989"/>
    <s v="export"/>
    <x v="101"/>
    <x v="0"/>
    <n v="2625000"/>
    <n v="16650"/>
    <d v="2023-06-07T00:00:00"/>
    <s v="UNPAID"/>
    <x v="0"/>
    <n v="87412"/>
    <n v="1"/>
    <s v="Indonesia"/>
    <s v="KMT-KJT"/>
    <x v="0"/>
  </r>
  <r>
    <s v="CLICTRUCK-048990"/>
    <s v="export"/>
    <x v="101"/>
    <x v="0"/>
    <n v="2625000"/>
    <n v="16650"/>
    <d v="2023-06-07T00:00:00"/>
    <s v="UNPAID"/>
    <x v="0"/>
    <n v="87412"/>
    <n v="1"/>
    <s v="Indonesia"/>
    <s v="KMT-KJT"/>
    <x v="0"/>
  </r>
  <r>
    <s v="CLICTRUCK-049030"/>
    <s v="import"/>
    <x v="102"/>
    <x v="4"/>
    <n v="8000000"/>
    <n v="266400"/>
    <d v="2023-06-02T00:00:00"/>
    <s v="UNPAID"/>
    <x v="3"/>
    <m/>
    <n v="5"/>
    <s v="Indonesia"/>
    <s v="CJM-BMS"/>
    <x v="0"/>
  </r>
  <r>
    <s v="CLICTRUCK-049031"/>
    <s v="import"/>
    <x v="102"/>
    <x v="4"/>
    <n v="16000000"/>
    <n v="532800"/>
    <d v="2023-06-02T00:00:00"/>
    <s v="UNPAID"/>
    <x v="3"/>
    <m/>
    <n v="10"/>
    <s v="Indonesia"/>
    <s v="CJM-BMS"/>
    <x v="0"/>
  </r>
  <r>
    <s v="CLICTRUCK-049032"/>
    <s v="import"/>
    <x v="102"/>
    <x v="4"/>
    <n v="16000000"/>
    <n v="532800"/>
    <d v="2023-06-02T00:00:00"/>
    <s v="UNPAID"/>
    <x v="3"/>
    <m/>
    <n v="10"/>
    <s v="Indonesia"/>
    <s v="CJM-BMS"/>
    <x v="0"/>
  </r>
  <r>
    <s v="CLICTRUCK-049033"/>
    <s v="import"/>
    <x v="102"/>
    <x v="4"/>
    <n v="16000000"/>
    <n v="532800"/>
    <d v="2023-06-02T00:00:00"/>
    <s v="UNPAID"/>
    <x v="3"/>
    <m/>
    <n v="10"/>
    <s v="Indonesia"/>
    <s v="CJM-BMS"/>
    <x v="0"/>
  </r>
  <r>
    <s v="CLICTRUCK-049034"/>
    <s v="import"/>
    <x v="102"/>
    <x v="4"/>
    <n v="8000000"/>
    <n v="266400"/>
    <d v="2023-06-02T00:00:00"/>
    <s v="UNPAID"/>
    <x v="3"/>
    <m/>
    <n v="5"/>
    <s v="Indonesia"/>
    <s v="CJM-BMS"/>
    <x v="0"/>
  </r>
  <r>
    <s v="CLICTRUCK-049035"/>
    <s v="import"/>
    <x v="102"/>
    <x v="4"/>
    <n v="8000000"/>
    <n v="266400"/>
    <d v="2023-06-02T00:00:00"/>
    <s v="UNPAID"/>
    <x v="3"/>
    <m/>
    <n v="5"/>
    <s v="Indonesia"/>
    <s v="CJM-BMS"/>
    <x v="0"/>
  </r>
  <r>
    <s v="CLICTRUCK-049036"/>
    <s v="import"/>
    <x v="102"/>
    <x v="4"/>
    <n v="16000000"/>
    <n v="532800"/>
    <d v="2023-06-02T00:00:00"/>
    <s v="UNPAID"/>
    <x v="3"/>
    <m/>
    <n v="10"/>
    <s v="Indonesia"/>
    <s v="CJM-BMS"/>
    <x v="0"/>
  </r>
  <r>
    <s v="CLICTRUCK-049051"/>
    <s v="export"/>
    <x v="103"/>
    <x v="1"/>
    <n v="5100000"/>
    <n v="59940"/>
    <d v="2023-06-02T00:00:00"/>
    <s v="UNPAID"/>
    <x v="1"/>
    <n v="113220"/>
    <n v="3"/>
    <s v="Indonesia"/>
    <s v="ESA - SASA"/>
    <x v="0"/>
  </r>
  <r>
    <s v="CLICTRUCK-049056"/>
    <s v="export"/>
    <x v="103"/>
    <x v="1"/>
    <n v="3400000"/>
    <n v="39960"/>
    <d v="2023-06-02T00:00:00"/>
    <s v="UNPAID"/>
    <x v="1"/>
    <n v="75480"/>
    <n v="2"/>
    <s v="Indonesia"/>
    <s v="ESA - SASA"/>
    <x v="0"/>
  </r>
  <r>
    <s v="CLICTRUCK-049060"/>
    <s v="export"/>
    <x v="103"/>
    <x v="1"/>
    <n v="1188000"/>
    <n v="19980"/>
    <d v="2023-06-02T00:00:00"/>
    <s v="UNPAID"/>
    <x v="1"/>
    <n v="26373"/>
    <n v="1"/>
    <s v="Indonesia"/>
    <s v="ESA - SASA"/>
    <x v="0"/>
  </r>
  <r>
    <s v="CLICTRUCK-049092"/>
    <s v="export"/>
    <x v="104"/>
    <x v="1"/>
    <n v="1320000"/>
    <n v="19980"/>
    <d v="2023-06-02T00:00:00"/>
    <s v="UNPAID"/>
    <x v="1"/>
    <n v="29304"/>
    <n v="1"/>
    <s v="Indonesia"/>
    <s v="ESA - SASA"/>
    <x v="0"/>
  </r>
  <r>
    <s v="CLICTRUCK-049101"/>
    <s v="import"/>
    <x v="104"/>
    <x v="1"/>
    <n v="2206000"/>
    <n v="19980"/>
    <d v="2023-06-02T00:00:00"/>
    <s v="UNPAID"/>
    <x v="1"/>
    <n v="48973"/>
    <n v="1"/>
    <s v="Indonesia"/>
    <s v="ESA - SASA"/>
    <x v="0"/>
  </r>
  <r>
    <s v="CLICTRUCK-049133"/>
    <s v="export"/>
    <x v="104"/>
    <x v="1"/>
    <n v="5280000"/>
    <n v="79920"/>
    <d v="2023-06-02T00:00:00"/>
    <s v="UNPAID"/>
    <x v="1"/>
    <n v="117216"/>
    <n v="4"/>
    <s v="Indonesia"/>
    <s v="ESA - SASA"/>
    <x v="0"/>
  </r>
  <r>
    <s v="CLICTRUCK-049138"/>
    <s v="export"/>
    <x v="104"/>
    <x v="1"/>
    <n v="5060000"/>
    <n v="39960"/>
    <d v="2023-06-03T00:00:00"/>
    <s v="UNPAID"/>
    <x v="1"/>
    <n v="112332"/>
    <n v="2"/>
    <s v="Indonesia"/>
    <s v="ESA - SASA"/>
    <x v="0"/>
  </r>
  <r>
    <s v="CLICTRUCK-049143"/>
    <s v="import"/>
    <x v="104"/>
    <x v="1"/>
    <n v="6366040"/>
    <n v="59940"/>
    <d v="2023-06-03T00:00:00"/>
    <s v="UNPAID"/>
    <x v="1"/>
    <n v="141325"/>
    <n v="3"/>
    <s v="Indonesia"/>
    <s v="ESA - SASA"/>
    <x v="0"/>
  </r>
  <r>
    <s v="CLICTRUCK-049144"/>
    <s v="export"/>
    <x v="105"/>
    <x v="1"/>
    <n v="9600000"/>
    <n v="99900"/>
    <d v="2023-06-03T00:00:00"/>
    <s v="UNPAID"/>
    <x v="1"/>
    <n v="213120"/>
    <n v="5"/>
    <s v="Indonesia"/>
    <s v="ESA - SASA"/>
    <x v="0"/>
  </r>
  <r>
    <s v="CLICTRUCK-049145"/>
    <s v="export"/>
    <x v="105"/>
    <x v="1"/>
    <n v="9600000"/>
    <n v="99900"/>
    <d v="2023-06-03T00:00:00"/>
    <s v="UNPAID"/>
    <x v="1"/>
    <n v="213120"/>
    <n v="5"/>
    <s v="Indonesia"/>
    <s v="ESA - SASA"/>
    <x v="0"/>
  </r>
  <r>
    <s v="CLICTRUCK-049147"/>
    <s v="export"/>
    <x v="105"/>
    <x v="1"/>
    <n v="3840000"/>
    <n v="39960"/>
    <d v="2023-06-03T00:00:00"/>
    <s v="UNPAID"/>
    <x v="1"/>
    <n v="85248"/>
    <n v="2"/>
    <s v="Indonesia"/>
    <s v="ESA - SASA"/>
    <x v="0"/>
  </r>
  <r>
    <s v="CLICTRUCK-049150"/>
    <s v="export"/>
    <x v="105"/>
    <x v="1"/>
    <n v="5760000"/>
    <n v="59940"/>
    <d v="2023-06-03T00:00:00"/>
    <s v="UNPAID"/>
    <x v="1"/>
    <n v="127872"/>
    <n v="3"/>
    <s v="Indonesia"/>
    <s v="ESA - SASA"/>
    <x v="0"/>
  </r>
  <r>
    <s v="CLICTRUCK-049162"/>
    <s v="export"/>
    <x v="105"/>
    <x v="1"/>
    <n v="10000000"/>
    <n v="199800"/>
    <d v="2023-06-03T00:00:00"/>
    <s v="UNPAID"/>
    <x v="1"/>
    <n v="222000"/>
    <n v="10"/>
    <s v="Indonesia"/>
    <s v="ESA - SASA"/>
    <x v="0"/>
  </r>
  <r>
    <s v="CLICTRUCK-049174"/>
    <s v="export"/>
    <x v="105"/>
    <x v="1"/>
    <n v="10000000"/>
    <n v="199800"/>
    <d v="2023-06-03T00:00:00"/>
    <s v="UNPAID"/>
    <x v="1"/>
    <n v="222000"/>
    <n v="10"/>
    <s v="Indonesia"/>
    <s v="ESA - SASA"/>
    <x v="0"/>
  </r>
  <r>
    <s v="CLICTRUCK-049191"/>
    <s v="export"/>
    <x v="106"/>
    <x v="0"/>
    <n v="5035000"/>
    <n v="15000"/>
    <m/>
    <s v="PENDING APPROVAL"/>
    <x v="0"/>
    <n v="0"/>
    <n v="1"/>
    <s v="Indonesia"/>
    <s v="KMT-KJT"/>
    <x v="1"/>
  </r>
  <r>
    <s v="CLICTRUCK-049192"/>
    <s v="export"/>
    <x v="106"/>
    <x v="0"/>
    <n v="2950000"/>
    <n v="16650"/>
    <d v="2023-06-07T00:00:00"/>
    <s v="UNPAID"/>
    <x v="0"/>
    <n v="98235"/>
    <n v="1"/>
    <s v="Indonesia"/>
    <s v="KMT-KJT"/>
    <x v="0"/>
  </r>
  <r>
    <s v="CLICTRUCK-049193"/>
    <s v="export"/>
    <x v="106"/>
    <x v="0"/>
    <n v="2950000"/>
    <n v="16650"/>
    <d v="2023-06-07T00:00:00"/>
    <s v="UNPAID"/>
    <x v="0"/>
    <n v="98235"/>
    <n v="1"/>
    <s v="Indonesia"/>
    <s v="KMT-KJT"/>
    <x v="0"/>
  </r>
  <r>
    <s v="CLICTRUCK-049194"/>
    <s v="export"/>
    <x v="106"/>
    <x v="0"/>
    <n v="1325000"/>
    <n v="16650"/>
    <d v="2023-06-07T00:00:00"/>
    <s v="UNPAID"/>
    <x v="0"/>
    <n v="44122"/>
    <n v="1"/>
    <s v="Indonesia"/>
    <s v="KMT-KJT"/>
    <x v="0"/>
  </r>
  <r>
    <s v="CLICTRUCK-049196"/>
    <s v="export"/>
    <x v="106"/>
    <x v="0"/>
    <n v="2625000"/>
    <n v="16650"/>
    <d v="2023-06-07T00:00:00"/>
    <s v="UNPAID"/>
    <x v="0"/>
    <n v="87412"/>
    <n v="1"/>
    <s v="Indonesia"/>
    <s v="KMT-KJT"/>
    <x v="0"/>
  </r>
  <r>
    <s v="CLICTRUCK-049200"/>
    <s v="export"/>
    <x v="106"/>
    <x v="0"/>
    <n v="3000000"/>
    <n v="16650"/>
    <d v="2023-06-07T00:00:00"/>
    <s v="UNPAID"/>
    <x v="0"/>
    <n v="99900"/>
    <n v="1"/>
    <s v="Indonesia"/>
    <s v="KMT-KJT"/>
    <x v="0"/>
  </r>
  <r>
    <s v="CLICTRUCK-049203"/>
    <s v="export"/>
    <x v="106"/>
    <x v="0"/>
    <n v="2625000"/>
    <n v="16650"/>
    <d v="2023-06-07T00:00:00"/>
    <s v="UNPAID"/>
    <x v="0"/>
    <n v="87412"/>
    <n v="1"/>
    <s v="Indonesia"/>
    <s v="KMT-KJT"/>
    <x v="0"/>
  </r>
  <r>
    <s v="CLICTRUCK-049206"/>
    <s v="export"/>
    <x v="106"/>
    <x v="0"/>
    <n v="1000000"/>
    <n v="16650"/>
    <d v="2023-06-07T00:00:00"/>
    <s v="UNPAID"/>
    <x v="0"/>
    <n v="33300"/>
    <n v="1"/>
    <s v="Indonesia"/>
    <s v="KMT-KJT"/>
    <x v="0"/>
  </r>
  <r>
    <s v="CLICTRUCK-049261"/>
    <s v="export"/>
    <x v="107"/>
    <x v="0"/>
    <n v="1125000"/>
    <n v="15000"/>
    <m/>
    <s v="ONGOING"/>
    <x v="0"/>
    <n v="0"/>
    <n v="1"/>
    <s v="Indonesia"/>
    <s v="KMT-KJT"/>
    <x v="1"/>
  </r>
  <r>
    <s v="CLICTRUCK-049262"/>
    <s v="export"/>
    <x v="107"/>
    <x v="0"/>
    <n v="2625000"/>
    <n v="15000"/>
    <m/>
    <s v="ONGOING"/>
    <x v="0"/>
    <n v="0"/>
    <n v="1"/>
    <s v="Indonesia"/>
    <s v="KMT-KJT"/>
    <x v="1"/>
  </r>
  <r>
    <s v="CLICTRUCK-049263"/>
    <s v="export"/>
    <x v="107"/>
    <x v="0"/>
    <n v="2575000"/>
    <n v="15000"/>
    <m/>
    <s v="ONGOING"/>
    <x v="0"/>
    <n v="0"/>
    <n v="1"/>
    <s v="Indonesia"/>
    <s v="KMT-KJT"/>
    <x v="1"/>
  </r>
  <r>
    <s v="CLICTRUCK-049264"/>
    <s v="export"/>
    <x v="107"/>
    <x v="0"/>
    <n v="2500000"/>
    <n v="15000"/>
    <m/>
    <s v="ONGOING"/>
    <x v="0"/>
    <n v="0"/>
    <n v="1"/>
    <s v="Indonesia"/>
    <s v="KMT-KJT"/>
    <x v="1"/>
  </r>
  <r>
    <s v="CLICTRUCK-049265"/>
    <s v="export"/>
    <x v="107"/>
    <x v="0"/>
    <n v="1562500"/>
    <n v="15000"/>
    <m/>
    <s v="ONGOING"/>
    <x v="0"/>
    <n v="0"/>
    <n v="1"/>
    <s v="Indonesia"/>
    <s v="KMT-KJT"/>
    <x v="1"/>
  </r>
  <r>
    <s v="CLICTRUCK-049266"/>
    <s v="export"/>
    <x v="107"/>
    <x v="0"/>
    <n v="2625000"/>
    <n v="15000"/>
    <m/>
    <s v="ONGOING"/>
    <x v="0"/>
    <n v="0"/>
    <n v="1"/>
    <s v="Indonesia"/>
    <s v="KMT-KJT"/>
    <x v="1"/>
  </r>
  <r>
    <s v="CLICTRUCK-049267"/>
    <s v="export"/>
    <x v="107"/>
    <x v="0"/>
    <n v="2625000"/>
    <n v="15000"/>
    <m/>
    <s v="ONGOING"/>
    <x v="0"/>
    <n v="0"/>
    <n v="1"/>
    <s v="Indonesia"/>
    <s v="KMT-KJT"/>
    <x v="1"/>
  </r>
  <r>
    <s v="CLICTRUCK-049268"/>
    <s v="export"/>
    <x v="107"/>
    <x v="0"/>
    <n v="2375000"/>
    <n v="15000"/>
    <m/>
    <s v="NEW"/>
    <x v="0"/>
    <n v="0"/>
    <n v="1"/>
    <s v="Indonesia"/>
    <s v="KMT-KJT"/>
    <x v="1"/>
  </r>
  <r>
    <s v="CLICTRUCK-049269"/>
    <s v="export"/>
    <x v="107"/>
    <x v="0"/>
    <n v="1450000"/>
    <n v="15000"/>
    <m/>
    <s v="NEW"/>
    <x v="0"/>
    <n v="0"/>
    <n v="1"/>
    <s v="Indonesia"/>
    <s v="KMT-KJT"/>
    <x v="1"/>
  </r>
  <r>
    <s v="CLICTRUCK-049270"/>
    <s v="export"/>
    <x v="107"/>
    <x v="0"/>
    <n v="2625000"/>
    <n v="15000"/>
    <m/>
    <s v="NEW"/>
    <x v="0"/>
    <n v="0"/>
    <n v="1"/>
    <s v="Indonesia"/>
    <s v="KMT-KJT"/>
    <x v="1"/>
  </r>
  <r>
    <s v="CLICTRUCK-049271"/>
    <s v="export"/>
    <x v="107"/>
    <x v="0"/>
    <n v="2625000"/>
    <n v="15000"/>
    <m/>
    <s v="NEW"/>
    <x v="0"/>
    <n v="0"/>
    <n v="1"/>
    <s v="Indonesia"/>
    <s v="KMT-KJT"/>
    <x v="1"/>
  </r>
  <r>
    <s v="CLICTRUCK-049272"/>
    <s v="export"/>
    <x v="107"/>
    <x v="0"/>
    <n v="2575000"/>
    <n v="15000"/>
    <m/>
    <s v="NEW"/>
    <x v="0"/>
    <n v="0"/>
    <n v="1"/>
    <s v="Indonesia"/>
    <s v="KMT-KJT"/>
    <x v="1"/>
  </r>
  <r>
    <s v="CLICTRUCK-049273"/>
    <s v="export"/>
    <x v="107"/>
    <x v="0"/>
    <n v="2375000"/>
    <n v="15000"/>
    <m/>
    <s v="NEW"/>
    <x v="0"/>
    <n v="0"/>
    <n v="1"/>
    <s v="Indonesia"/>
    <s v="KMT-KJT"/>
    <x v="1"/>
  </r>
  <r>
    <s v="CLICTRUCK-049331"/>
    <s v="export"/>
    <x v="108"/>
    <x v="8"/>
    <n v="4000000"/>
    <n v="20000"/>
    <m/>
    <s v="PENDING APPROVAL"/>
    <x v="7"/>
    <n v="0"/>
    <n v="3"/>
    <s v="Indonesia"/>
    <s v="GemiLOG - AJIP"/>
    <x v="1"/>
  </r>
  <r>
    <s v="CLICTRUCK-049332"/>
    <s v="export"/>
    <x v="108"/>
    <x v="8"/>
    <n v="3000000"/>
    <n v="20000"/>
    <m/>
    <s v="PENDING APPROVAL"/>
    <x v="7"/>
    <n v="0"/>
    <n v="3"/>
    <s v="Indonesia"/>
    <s v="GemiLOG - AJIP"/>
    <x v="1"/>
  </r>
  <r>
    <s v="CLICTRUCK-049363"/>
    <s v="export"/>
    <x v="109"/>
    <x v="1"/>
    <n v="1920000"/>
    <n v="19980"/>
    <d v="2023-06-10T00:00:00"/>
    <s v="UNPAID"/>
    <x v="1"/>
    <n v="42624"/>
    <n v="1"/>
    <s v="Indonesia"/>
    <s v="ESA - SASA"/>
    <x v="0"/>
  </r>
  <r>
    <s v="CLICTRUCK-049364"/>
    <s v="export"/>
    <x v="109"/>
    <x v="1"/>
    <n v="1920000"/>
    <n v="19980"/>
    <d v="2023-06-10T00:00:00"/>
    <s v="UNPAID"/>
    <x v="1"/>
    <n v="42624"/>
    <n v="1"/>
    <s v="Indonesia"/>
    <s v="ESA - SASA"/>
    <x v="0"/>
  </r>
  <r>
    <s v="CLICTRUCK-049365"/>
    <s v="export"/>
    <x v="109"/>
    <x v="1"/>
    <n v="2640000"/>
    <n v="39960"/>
    <d v="2023-06-10T00:00:00"/>
    <s v="UNPAID"/>
    <x v="1"/>
    <n v="58608"/>
    <n v="2"/>
    <s v="Indonesia"/>
    <s v="ESA - SASA"/>
    <x v="0"/>
  </r>
  <r>
    <s v="CLICTRUCK-049366"/>
    <s v="export"/>
    <x v="109"/>
    <x v="1"/>
    <n v="7680000"/>
    <n v="79920"/>
    <d v="2023-06-10T00:00:00"/>
    <s v="UNPAID"/>
    <x v="1"/>
    <n v="170496"/>
    <n v="4"/>
    <s v="Indonesia"/>
    <s v="ESA - SASA"/>
    <x v="0"/>
  </r>
  <r>
    <s v="CLICTRUCK-049368"/>
    <s v="export"/>
    <x v="109"/>
    <x v="1"/>
    <n v="4620000"/>
    <n v="39960"/>
    <d v="2023-06-10T00:00:00"/>
    <s v="UNPAID"/>
    <x v="1"/>
    <n v="102564"/>
    <n v="2"/>
    <s v="Indonesia"/>
    <s v="ESA - SASA"/>
    <x v="0"/>
  </r>
  <r>
    <s v="CLICTRUCK-049369"/>
    <s v="export"/>
    <x v="109"/>
    <x v="1"/>
    <n v="3840000"/>
    <n v="39960"/>
    <d v="2023-06-10T00:00:00"/>
    <s v="UNPAID"/>
    <x v="1"/>
    <n v="85248"/>
    <n v="2"/>
    <s v="Indonesia"/>
    <s v="ESA - SASA"/>
    <x v="0"/>
  </r>
  <r>
    <s v="CLICTRUCK-049371"/>
    <s v="export"/>
    <x v="109"/>
    <x v="1"/>
    <n v="6600000"/>
    <n v="99900"/>
    <d v="2023-06-10T00:00:00"/>
    <s v="UNPAID"/>
    <x v="1"/>
    <n v="146520"/>
    <n v="5"/>
    <s v="Indonesia"/>
    <s v="ESA - SASA"/>
    <x v="0"/>
  </r>
  <r>
    <s v="CLICTRUCK-049382"/>
    <s v="export"/>
    <x v="109"/>
    <x v="1"/>
    <n v="10000000"/>
    <n v="199800"/>
    <d v="2023-06-10T00:00:00"/>
    <s v="UNPAID"/>
    <x v="1"/>
    <n v="222000"/>
    <n v="10"/>
    <s v="Indonesia"/>
    <s v="ESA - SASA"/>
    <x v="0"/>
  </r>
  <r>
    <s v="CLICTRUCK-049383"/>
    <s v="export"/>
    <x v="109"/>
    <x v="1"/>
    <n v="2100000"/>
    <n v="39960"/>
    <d v="2023-06-10T00:00:00"/>
    <s v="UNPAID"/>
    <x v="1"/>
    <n v="46620"/>
    <n v="2"/>
    <s v="Indonesia"/>
    <s v="ESA - SASA"/>
    <x v="0"/>
  </r>
  <r>
    <s v="CLICTRUCK-049384"/>
    <s v="export"/>
    <x v="110"/>
    <x v="1"/>
    <n v="2175000"/>
    <n v="59940"/>
    <d v="2023-06-10T00:00:00"/>
    <s v="UNPAID"/>
    <x v="1"/>
    <n v="48285"/>
    <n v="3"/>
    <s v="Indonesia"/>
    <s v="ESA - SASA"/>
    <x v="0"/>
  </r>
  <r>
    <s v="CLICTRUCK-049385"/>
    <s v="export"/>
    <x v="110"/>
    <x v="1"/>
    <n v="1450000"/>
    <n v="39960"/>
    <d v="2023-06-10T00:00:00"/>
    <s v="UNPAID"/>
    <x v="1"/>
    <n v="32190"/>
    <n v="2"/>
    <s v="Indonesia"/>
    <s v="ESA - SASA"/>
    <x v="0"/>
  </r>
  <r>
    <s v="CLICTRUCK-049386"/>
    <s v="export"/>
    <x v="110"/>
    <x v="1"/>
    <n v="3625000"/>
    <n v="139860"/>
    <d v="2023-06-10T00:00:00"/>
    <s v="UNPAID"/>
    <x v="1"/>
    <n v="80475"/>
    <n v="7"/>
    <s v="Indonesia"/>
    <s v="ESA - SASA"/>
    <x v="0"/>
  </r>
  <r>
    <s v="CLICTRUCK-049387"/>
    <s v="export"/>
    <x v="110"/>
    <x v="1"/>
    <n v="2515000"/>
    <n v="39960"/>
    <d v="2023-06-10T00:00:00"/>
    <s v="UNPAID"/>
    <x v="1"/>
    <n v="55833"/>
    <n v="2"/>
    <s v="Indonesia"/>
    <s v="ESA - SASA"/>
    <x v="0"/>
  </r>
  <r>
    <s v="CLICTRUCK-049389"/>
    <s v="export"/>
    <x v="110"/>
    <x v="1"/>
    <n v="8000000"/>
    <n v="159840"/>
    <d v="2023-06-10T00:00:00"/>
    <s v="UNPAID"/>
    <x v="1"/>
    <n v="177600"/>
    <n v="8"/>
    <s v="Indonesia"/>
    <s v="ESA - SASA"/>
    <x v="0"/>
  </r>
  <r>
    <s v="CLICTRUCK-049390"/>
    <s v="export"/>
    <x v="110"/>
    <x v="1"/>
    <n v="10000000"/>
    <n v="199800"/>
    <d v="2023-06-10T00:00:00"/>
    <s v="UNPAID"/>
    <x v="1"/>
    <n v="222000"/>
    <n v="10"/>
    <s v="Indonesia"/>
    <s v="ESA - SASA"/>
    <x v="0"/>
  </r>
  <r>
    <s v="CLICTRUCK-049391"/>
    <s v="export"/>
    <x v="110"/>
    <x v="1"/>
    <n v="4000000"/>
    <n v="79920"/>
    <d v="2023-06-10T00:00:00"/>
    <s v="UNPAID"/>
    <x v="1"/>
    <n v="88800"/>
    <n v="4"/>
    <s v="Indonesia"/>
    <s v="ESA - SASA"/>
    <x v="0"/>
  </r>
  <r>
    <s v="CLICTRUCK-049392"/>
    <s v="export"/>
    <x v="110"/>
    <x v="1"/>
    <n v="7620000"/>
    <n v="119880"/>
    <d v="2023-06-10T00:00:00"/>
    <s v="UNPAID"/>
    <x v="1"/>
    <n v="169164"/>
    <n v="6"/>
    <s v="Indonesia"/>
    <s v="ESA - SASA"/>
    <x v="0"/>
  </r>
  <r>
    <s v="CLICTRUCK-049393"/>
    <s v="export"/>
    <x v="110"/>
    <x v="1"/>
    <n v="2000000"/>
    <n v="39960"/>
    <d v="2023-06-10T00:00:00"/>
    <s v="UNPAID"/>
    <x v="1"/>
    <n v="44400"/>
    <n v="2"/>
    <s v="Indonesia"/>
    <s v="ESA - SASA"/>
    <x v="0"/>
  </r>
  <r>
    <s v="CLICTRUCK-049394"/>
    <s v="export"/>
    <x v="110"/>
    <x v="1"/>
    <n v="2610000"/>
    <n v="39960"/>
    <d v="2023-06-10T00:00:00"/>
    <s v="UNPAID"/>
    <x v="1"/>
    <n v="57942"/>
    <n v="2"/>
    <s v="Indonesia"/>
    <s v="ESA - SASA"/>
    <x v="0"/>
  </r>
  <r>
    <s v="CLICTRUCK-049395"/>
    <s v="export"/>
    <x v="110"/>
    <x v="1"/>
    <n v="5675000"/>
    <n v="99900"/>
    <d v="2023-06-10T00:00:00"/>
    <s v="UNPAID"/>
    <x v="1"/>
    <n v="125985"/>
    <n v="5"/>
    <s v="Indonesia"/>
    <s v="ESA - SASA"/>
    <x v="0"/>
  </r>
  <r>
    <s v="CLICTRUCK-049399"/>
    <s v="export"/>
    <x v="110"/>
    <x v="1"/>
    <n v="11350000"/>
    <n v="199800"/>
    <d v="2023-06-10T00:00:00"/>
    <s v="UNPAID"/>
    <x v="1"/>
    <n v="251970"/>
    <n v="10"/>
    <s v="Indonesia"/>
    <s v="ESA - SASA"/>
    <x v="0"/>
  </r>
  <r>
    <s v="CLICTRUCK-049400"/>
    <s v="export"/>
    <x v="110"/>
    <x v="1"/>
    <n v="5675000"/>
    <n v="99900"/>
    <d v="2023-06-10T00:00:00"/>
    <s v="UNPAID"/>
    <x v="1"/>
    <n v="125985"/>
    <n v="5"/>
    <s v="Indonesia"/>
    <s v="ESA - SASA"/>
    <x v="0"/>
  </r>
  <r>
    <s v="CLICTRUCK-049401"/>
    <s v="import"/>
    <x v="110"/>
    <x v="1"/>
    <n v="3234646"/>
    <n v="19980"/>
    <d v="2023-06-10T00:00:00"/>
    <s v="UNPAID"/>
    <x v="1"/>
    <n v="71808"/>
    <n v="1"/>
    <s v="Indonesia"/>
    <s v="ESA - SASA"/>
    <x v="0"/>
  </r>
  <r>
    <s v="CLICTRUCK-049402"/>
    <s v="import"/>
    <x v="110"/>
    <x v="1"/>
    <n v="2445750"/>
    <n v="19980"/>
    <d v="2023-06-10T00:00:00"/>
    <s v="UNPAID"/>
    <x v="1"/>
    <n v="54295"/>
    <n v="1"/>
    <s v="Indonesia"/>
    <s v="ESA - SASA"/>
    <x v="0"/>
  </r>
  <r>
    <s v="CLICTRUCK-049403"/>
    <s v="import"/>
    <x v="110"/>
    <x v="1"/>
    <n v="3400000"/>
    <n v="39960"/>
    <d v="2023-06-10T00:00:00"/>
    <s v="UNPAID"/>
    <x v="1"/>
    <n v="75480"/>
    <n v="2"/>
    <s v="Indonesia"/>
    <s v="ESA - SASA"/>
    <x v="0"/>
  </r>
  <r>
    <s v="CLICTRUCK-049404"/>
    <s v="import"/>
    <x v="110"/>
    <x v="1"/>
    <n v="1700000"/>
    <n v="19980"/>
    <d v="2023-06-10T00:00:00"/>
    <s v="UNPAID"/>
    <x v="1"/>
    <n v="37740"/>
    <n v="1"/>
    <s v="Indonesia"/>
    <s v="ESA - SASA"/>
    <x v="0"/>
  </r>
  <r>
    <s v="CLICTRUCK-049405"/>
    <s v="import"/>
    <x v="110"/>
    <x v="1"/>
    <n v="5256572"/>
    <n v="39960"/>
    <d v="2023-06-10T00:00:00"/>
    <s v="UNPAID"/>
    <x v="1"/>
    <n v="116695"/>
    <n v="2"/>
    <s v="Indonesia"/>
    <s v="ESA - SASA"/>
    <x v="0"/>
  </r>
  <r>
    <s v="CLICTRUCK-049406"/>
    <s v="import"/>
    <x v="110"/>
    <x v="1"/>
    <n v="5220400"/>
    <n v="39960"/>
    <d v="2023-06-10T00:00:00"/>
    <s v="UNPAID"/>
    <x v="1"/>
    <n v="115892"/>
    <n v="2"/>
    <s v="Indonesia"/>
    <s v="ESA - SASA"/>
    <x v="0"/>
  </r>
  <r>
    <s v="CLICTRUCK-049407"/>
    <s v="import"/>
    <x v="110"/>
    <x v="1"/>
    <n v="1900000"/>
    <n v="19980"/>
    <d v="2023-06-10T00:00:00"/>
    <s v="UNPAID"/>
    <x v="1"/>
    <n v="42180"/>
    <n v="1"/>
    <s v="Indonesia"/>
    <s v="ESA - SASA"/>
    <x v="0"/>
  </r>
  <r>
    <s v="CLICTRUCK-049408"/>
    <s v="import"/>
    <x v="110"/>
    <x v="1"/>
    <n v="5700000"/>
    <n v="59940"/>
    <d v="2023-06-10T00:00:00"/>
    <s v="UNPAID"/>
    <x v="1"/>
    <n v="126540"/>
    <n v="3"/>
    <s v="Indonesia"/>
    <s v="ESA - SASA"/>
    <x v="0"/>
  </r>
  <r>
    <s v="CLICTRUCK-049409"/>
    <s v="export"/>
    <x v="110"/>
    <x v="1"/>
    <n v="4500000"/>
    <n v="199800"/>
    <d v="2023-06-10T00:00:00"/>
    <s v="UNPAID"/>
    <x v="1"/>
    <n v="99900"/>
    <n v="10"/>
    <s v="Indonesia"/>
    <s v="ESA - SASA"/>
    <x v="0"/>
  </r>
  <r>
    <s v="CLICTRUCK-049410"/>
    <s v="export"/>
    <x v="110"/>
    <x v="1"/>
    <n v="3000000"/>
    <n v="59940"/>
    <d v="2023-06-10T00:00:00"/>
    <s v="UNPAID"/>
    <x v="1"/>
    <n v="66600"/>
    <n v="3"/>
    <s v="Indonesia"/>
    <s v="ESA - SASA"/>
    <x v="0"/>
  </r>
  <r>
    <s v="CLICTRUCK-049411"/>
    <s v="export"/>
    <x v="110"/>
    <x v="1"/>
    <n v="7000000"/>
    <n v="139860"/>
    <d v="2023-06-10T00:00:00"/>
    <s v="UNPAID"/>
    <x v="1"/>
    <n v="155400"/>
    <n v="7"/>
    <s v="Indonesia"/>
    <s v="ESA - SASA"/>
    <x v="0"/>
  </r>
  <r>
    <s v="CLICTRUCK-049412"/>
    <s v="export"/>
    <x v="110"/>
    <x v="1"/>
    <n v="3840000"/>
    <n v="39960"/>
    <d v="2023-06-10T00:00:00"/>
    <s v="UNPAID"/>
    <x v="1"/>
    <n v="85248"/>
    <n v="2"/>
    <s v="Indonesia"/>
    <s v="ESA - SASA"/>
    <x v="0"/>
  </r>
  <r>
    <s v="CLICTRUCK-049413"/>
    <s v="export"/>
    <x v="110"/>
    <x v="1"/>
    <n v="15360000"/>
    <n v="159840"/>
    <d v="2023-06-10T00:00:00"/>
    <s v="UNPAID"/>
    <x v="1"/>
    <n v="340992"/>
    <n v="8"/>
    <s v="Indonesia"/>
    <s v="ESA - SASA"/>
    <x v="0"/>
  </r>
  <r>
    <s v="CLICTRUCK-049414"/>
    <s v="export"/>
    <x v="110"/>
    <x v="1"/>
    <n v="4500000"/>
    <n v="199800"/>
    <d v="2023-06-10T00:00:00"/>
    <s v="UNPAID"/>
    <x v="1"/>
    <n v="99900"/>
    <n v="10"/>
    <s v="Indonesia"/>
    <s v="ESA - SASA"/>
    <x v="0"/>
  </r>
  <r>
    <s v="CLICTRUCK-049415"/>
    <s v="export"/>
    <x v="110"/>
    <x v="1"/>
    <n v="4500000"/>
    <n v="199800"/>
    <d v="2023-06-10T00:00:00"/>
    <s v="UNPAID"/>
    <x v="1"/>
    <n v="99900"/>
    <n v="10"/>
    <s v="Indonesia"/>
    <s v="ESA - SASA"/>
    <x v="0"/>
  </r>
  <r>
    <s v="CLICTRUCK-049416"/>
    <s v="export"/>
    <x v="110"/>
    <x v="1"/>
    <n v="4500000"/>
    <n v="199800"/>
    <d v="2023-06-10T00:00:00"/>
    <s v="UNPAID"/>
    <x v="1"/>
    <n v="99900"/>
    <n v="10"/>
    <s v="Indonesia"/>
    <s v="ESA - SASA"/>
    <x v="0"/>
  </r>
  <r>
    <s v="CLICTRUCK-049417"/>
    <s v="export"/>
    <x v="110"/>
    <x v="1"/>
    <n v="900000"/>
    <n v="39960"/>
    <d v="2023-06-10T00:00:00"/>
    <s v="UNPAID"/>
    <x v="1"/>
    <n v="19980"/>
    <n v="2"/>
    <s v="Indonesia"/>
    <s v="ESA - SASA"/>
    <x v="0"/>
  </r>
  <r>
    <s v="CLICTRUCK-049418"/>
    <s v="export"/>
    <x v="110"/>
    <x v="1"/>
    <n v="5000000"/>
    <n v="99900"/>
    <d v="2023-06-10T00:00:00"/>
    <s v="UNPAID"/>
    <x v="1"/>
    <n v="111000"/>
    <n v="5"/>
    <s v="Indonesia"/>
    <s v="ESA - SASA"/>
    <x v="0"/>
  </r>
  <r>
    <s v="CLICTRUCK-049419"/>
    <s v="export"/>
    <x v="110"/>
    <x v="1"/>
    <n v="2175000"/>
    <n v="59940"/>
    <d v="2023-06-11T00:00:00"/>
    <s v="UNPAID"/>
    <x v="1"/>
    <n v="48285"/>
    <n v="3"/>
    <s v="Indonesia"/>
    <s v="ESA - SASA"/>
    <x v="0"/>
  </r>
  <r>
    <s v="CLICTRUCK-049420"/>
    <s v="export"/>
    <x v="110"/>
    <x v="1"/>
    <n v="5075000"/>
    <n v="139860"/>
    <d v="2023-06-11T00:00:00"/>
    <s v="UNPAID"/>
    <x v="1"/>
    <n v="112665"/>
    <n v="7"/>
    <s v="Indonesia"/>
    <s v="ESA - SASA"/>
    <x v="0"/>
  </r>
  <r>
    <s v="CLICTRUCK-049421"/>
    <s v="export"/>
    <x v="110"/>
    <x v="1"/>
    <n v="5185450"/>
    <n v="59940"/>
    <d v="2023-06-11T00:00:00"/>
    <s v="UNPAID"/>
    <x v="1"/>
    <n v="115116"/>
    <n v="3"/>
    <s v="Indonesia"/>
    <s v="ESA - SASA"/>
    <x v="0"/>
  </r>
  <r>
    <s v="CLICTRUCK-049422"/>
    <s v="import"/>
    <x v="110"/>
    <x v="1"/>
    <n v="4838000"/>
    <n v="39960"/>
    <d v="2023-06-11T00:00:00"/>
    <s v="UNPAID"/>
    <x v="1"/>
    <n v="107403"/>
    <n v="2"/>
    <s v="Indonesia"/>
    <s v="ESA - SASA"/>
    <x v="0"/>
  </r>
  <r>
    <s v="CLICTRUCK-049423"/>
    <s v="import"/>
    <x v="110"/>
    <x v="1"/>
    <n v="7257000"/>
    <n v="59940"/>
    <d v="2023-06-11T00:00:00"/>
    <s v="UNPAID"/>
    <x v="1"/>
    <n v="161105"/>
    <n v="3"/>
    <s v="Indonesia"/>
    <s v="ESA - SASA"/>
    <x v="0"/>
  </r>
  <r>
    <s v="CLICTRUCK-049424"/>
    <s v="export"/>
    <x v="110"/>
    <x v="1"/>
    <n v="1000000"/>
    <n v="79920"/>
    <d v="2023-06-11T00:00:00"/>
    <s v="UNPAID"/>
    <x v="1"/>
    <n v="22200"/>
    <n v="4"/>
    <s v="Indonesia"/>
    <s v="ESA - SASA"/>
    <x v="0"/>
  </r>
  <r>
    <s v="CLICTRUCK-049425"/>
    <s v="import"/>
    <x v="110"/>
    <x v="1"/>
    <n v="3753000"/>
    <n v="39960"/>
    <d v="2023-06-11T00:00:00"/>
    <s v="UNPAID"/>
    <x v="1"/>
    <n v="83316"/>
    <n v="2"/>
    <s v="Indonesia"/>
    <s v="ESA - SASA"/>
    <x v="0"/>
  </r>
  <r>
    <s v="CLICTRUCK-049426"/>
    <s v="export"/>
    <x v="110"/>
    <x v="1"/>
    <n v="1200000"/>
    <n v="19980"/>
    <d v="2023-06-11T00:00:00"/>
    <s v="UNPAID"/>
    <x v="1"/>
    <n v="26640"/>
    <n v="1"/>
    <s v="Indonesia"/>
    <s v="ESA - SASA"/>
    <x v="0"/>
  </r>
  <r>
    <s v="CLICTRUCK-049427"/>
    <s v="export"/>
    <x v="110"/>
    <x v="1"/>
    <n v="8000000"/>
    <n v="159840"/>
    <d v="2023-06-11T00:00:00"/>
    <s v="UNPAID"/>
    <x v="1"/>
    <n v="177600"/>
    <n v="8"/>
    <s v="Indonesia"/>
    <s v="ESA - SASA"/>
    <x v="0"/>
  </r>
  <r>
    <s v="CLICTRUCK-049428"/>
    <s v="export"/>
    <x v="110"/>
    <x v="1"/>
    <n v="966000"/>
    <n v="39960"/>
    <d v="2023-06-11T00:00:00"/>
    <s v="UNPAID"/>
    <x v="1"/>
    <n v="21445"/>
    <n v="2"/>
    <s v="Indonesia"/>
    <s v="ESA - SASA"/>
    <x v="0"/>
  </r>
  <r>
    <s v="CLICTRUCK-049429"/>
    <s v="export"/>
    <x v="110"/>
    <x v="1"/>
    <n v="4000000"/>
    <n v="79920"/>
    <d v="2023-06-11T00:00:00"/>
    <s v="UNPAID"/>
    <x v="1"/>
    <n v="88800"/>
    <n v="4"/>
    <s v="Indonesia"/>
    <s v="ESA - SASA"/>
    <x v="0"/>
  </r>
  <r>
    <s v="CLICTRUCK-049430"/>
    <s v="export"/>
    <x v="110"/>
    <x v="1"/>
    <n v="3625000"/>
    <n v="99900"/>
    <d v="2023-06-11T00:00:00"/>
    <s v="UNPAID"/>
    <x v="1"/>
    <n v="80475"/>
    <n v="5"/>
    <s v="Indonesia"/>
    <s v="ESA - SASA"/>
    <x v="0"/>
  </r>
  <r>
    <s v="CLICTRUCK-049431"/>
    <s v="export"/>
    <x v="110"/>
    <x v="1"/>
    <n v="1270000"/>
    <n v="19980"/>
    <d v="2023-06-11T00:00:00"/>
    <s v="UNPAID"/>
    <x v="1"/>
    <n v="28194"/>
    <n v="1"/>
    <s v="Indonesia"/>
    <s v="ESA - SASA"/>
    <x v="0"/>
  </r>
  <r>
    <s v="CLICTRUCK-049433"/>
    <s v="export"/>
    <x v="111"/>
    <x v="1"/>
    <n v="5000000"/>
    <n v="99900"/>
    <d v="2023-06-11T00:00:00"/>
    <s v="UNPAID"/>
    <x v="1"/>
    <n v="111000"/>
    <n v="5"/>
    <s v="Indonesia"/>
    <s v="ESA - SASA"/>
    <x v="0"/>
  </r>
  <r>
    <s v="CLICTRUCK-049434"/>
    <s v="export"/>
    <x v="111"/>
    <x v="1"/>
    <n v="5000000"/>
    <n v="99900"/>
    <d v="2023-06-11T00:00:00"/>
    <s v="UNPAID"/>
    <x v="1"/>
    <n v="111000"/>
    <n v="5"/>
    <s v="Indonesia"/>
    <s v="ESA - SASA"/>
    <x v="0"/>
  </r>
  <r>
    <s v="CLICTRUCK-049435"/>
    <s v="export"/>
    <x v="111"/>
    <x v="1"/>
    <n v="3625000"/>
    <n v="99900"/>
    <d v="2023-06-11T00:00:00"/>
    <s v="UNPAID"/>
    <x v="1"/>
    <n v="80475"/>
    <n v="5"/>
    <s v="Indonesia"/>
    <s v="ESA - SASA"/>
    <x v="0"/>
  </r>
  <r>
    <s v="CLICTRUCK-049437"/>
    <s v="export"/>
    <x v="111"/>
    <x v="1"/>
    <n v="5000000"/>
    <n v="99900"/>
    <d v="2023-06-11T00:00:00"/>
    <s v="UNPAID"/>
    <x v="1"/>
    <n v="111000"/>
    <n v="5"/>
    <s v="Indonesia"/>
    <s v="ESA - SASA"/>
    <x v="0"/>
  </r>
  <r>
    <s v="CLICTRUCK-049438"/>
    <s v="export"/>
    <x v="111"/>
    <x v="1"/>
    <n v="4000000"/>
    <n v="79920"/>
    <d v="2023-06-11T00:00:00"/>
    <s v="UNPAID"/>
    <x v="1"/>
    <n v="88800"/>
    <n v="4"/>
    <s v="Indonesia"/>
    <s v="ESA - SASA"/>
    <x v="0"/>
  </r>
  <r>
    <s v="CLICTRUCK-049439"/>
    <s v="export"/>
    <x v="111"/>
    <x v="1"/>
    <n v="1270000"/>
    <n v="19980"/>
    <d v="2023-06-11T00:00:00"/>
    <s v="UNPAID"/>
    <x v="1"/>
    <n v="28194"/>
    <n v="1"/>
    <s v="Indonesia"/>
    <s v="ESA - SASA"/>
    <x v="0"/>
  </r>
  <r>
    <s v="CLICTRUCK-049440"/>
    <s v="export"/>
    <x v="111"/>
    <x v="1"/>
    <n v="3000000"/>
    <n v="59940"/>
    <d v="2023-06-11T00:00:00"/>
    <s v="UNPAID"/>
    <x v="1"/>
    <n v="66600"/>
    <n v="3"/>
    <s v="Indonesia"/>
    <s v="ESA - SASA"/>
    <x v="0"/>
  </r>
  <r>
    <s v="CLICTRUCK-049441"/>
    <s v="export"/>
    <x v="111"/>
    <x v="1"/>
    <n v="1334000"/>
    <n v="39960"/>
    <d v="2023-06-11T00:00:00"/>
    <s v="UNPAID"/>
    <x v="1"/>
    <n v="29614"/>
    <n v="2"/>
    <s v="Indonesia"/>
    <s v="ESA - SASA"/>
    <x v="0"/>
  </r>
  <r>
    <s v="CLICTRUCK-049442"/>
    <s v="export"/>
    <x v="111"/>
    <x v="1"/>
    <n v="2900000"/>
    <n v="79920"/>
    <d v="2023-06-11T00:00:00"/>
    <s v="UNPAID"/>
    <x v="1"/>
    <n v="64380"/>
    <n v="4"/>
    <s v="Indonesia"/>
    <s v="ESA - SASA"/>
    <x v="0"/>
  </r>
  <r>
    <s v="CLICTRUCK-049443"/>
    <s v="export"/>
    <x v="111"/>
    <x v="1"/>
    <n v="1449000"/>
    <n v="59940"/>
    <d v="2023-06-11T00:00:00"/>
    <s v="UNPAID"/>
    <x v="1"/>
    <n v="32167"/>
    <n v="3"/>
    <s v="Indonesia"/>
    <s v="ESA - SASA"/>
    <x v="0"/>
  </r>
  <r>
    <s v="CLICTRUCK-049444"/>
    <s v="export"/>
    <x v="111"/>
    <x v="1"/>
    <n v="3625000"/>
    <n v="99900"/>
    <d v="2023-06-11T00:00:00"/>
    <s v="UNPAID"/>
    <x v="1"/>
    <n v="80475"/>
    <n v="5"/>
    <s v="Indonesia"/>
    <s v="ESA - SASA"/>
    <x v="0"/>
  </r>
  <r>
    <s v="CLICTRUCK-049445"/>
    <s v="export"/>
    <x v="111"/>
    <x v="1"/>
    <n v="11350000"/>
    <n v="18000"/>
    <m/>
    <s v="NEW"/>
    <x v="1"/>
    <n v="0"/>
    <n v="10"/>
    <s v="Indonesia"/>
    <s v="ESA - SASA"/>
    <x v="1"/>
  </r>
  <r>
    <s v="CLICTRUCK-049447"/>
    <s v="export"/>
    <x v="111"/>
    <x v="1"/>
    <n v="5000000"/>
    <n v="99900"/>
    <d v="2023-06-11T00:00:00"/>
    <s v="UNPAID"/>
    <x v="1"/>
    <n v="111000"/>
    <n v="5"/>
    <s v="Indonesia"/>
    <s v="ESA - SASA"/>
    <x v="0"/>
  </r>
  <r>
    <s v="CLICTRUCK-049448"/>
    <s v="export"/>
    <x v="111"/>
    <x v="1"/>
    <n v="11350000"/>
    <n v="18000"/>
    <m/>
    <s v="DELIVERED"/>
    <x v="1"/>
    <n v="0"/>
    <n v="10"/>
    <s v="Indonesia"/>
    <s v="ESA - SASA"/>
    <x v="1"/>
  </r>
  <r>
    <s v="CLICTRUCK-049449"/>
    <s v="export"/>
    <x v="111"/>
    <x v="1"/>
    <n v="5000000"/>
    <n v="99900"/>
    <d v="2023-06-11T00:00:00"/>
    <s v="UNPAID"/>
    <x v="1"/>
    <n v="111000"/>
    <n v="5"/>
    <s v="Indonesia"/>
    <s v="ESA - SASA"/>
    <x v="0"/>
  </r>
  <r>
    <s v="CLICTRUCK-049450"/>
    <s v="export"/>
    <x v="111"/>
    <x v="1"/>
    <n v="5107500"/>
    <n v="99900"/>
    <d v="2023-06-11T00:00:00"/>
    <s v="UNPAID"/>
    <x v="1"/>
    <n v="113386"/>
    <n v="5"/>
    <s v="Indonesia"/>
    <s v="ESA - SASA"/>
    <x v="0"/>
  </r>
  <r>
    <s v="CLICTRUCK-049451"/>
    <s v="export"/>
    <x v="111"/>
    <x v="1"/>
    <n v="8000000"/>
    <n v="159840"/>
    <d v="2023-06-11T00:00:00"/>
    <s v="UNPAID"/>
    <x v="1"/>
    <n v="177600"/>
    <n v="8"/>
    <s v="Indonesia"/>
    <s v="ESA - SASA"/>
    <x v="0"/>
  </r>
  <r>
    <s v="CLICTRUCK-049452"/>
    <s v="export"/>
    <x v="111"/>
    <x v="1"/>
    <n v="2575000"/>
    <n v="39960"/>
    <d v="2023-06-11T00:00:00"/>
    <s v="UNPAID"/>
    <x v="1"/>
    <n v="57165"/>
    <n v="2"/>
    <s v="Indonesia"/>
    <s v="ESA - SASA"/>
    <x v="0"/>
  </r>
  <r>
    <s v="CLICTRUCK-049453"/>
    <s v="export"/>
    <x v="111"/>
    <x v="1"/>
    <n v="8000000"/>
    <n v="159840"/>
    <d v="2023-06-11T00:00:00"/>
    <s v="UNPAID"/>
    <x v="1"/>
    <n v="177600"/>
    <n v="8"/>
    <s v="Indonesia"/>
    <s v="ESA - SASA"/>
    <x v="0"/>
  </r>
  <r>
    <s v="CLICTRUCK-049454"/>
    <s v="export"/>
    <x v="111"/>
    <x v="1"/>
    <n v="1135000"/>
    <n v="18000"/>
    <m/>
    <s v="DELIVERED"/>
    <x v="1"/>
    <n v="0"/>
    <n v="1"/>
    <s v="Indonesia"/>
    <s v="ESA - SASA"/>
    <x v="1"/>
  </r>
  <r>
    <s v="CLICTRUCK-043051"/>
    <s v="domestic"/>
    <x v="112"/>
    <x v="9"/>
    <n v="3606400"/>
    <n v="24975"/>
    <d v="2023-01-11T00:00:00"/>
    <s v="PAID"/>
    <x v="8"/>
    <n v="120093"/>
    <n v="1"/>
    <s v="Indonesia"/>
    <s v="YSN-FPM"/>
    <x v="0"/>
  </r>
  <r>
    <s v="CLICTRUCK-043052"/>
    <s v="domestic"/>
    <x v="0"/>
    <x v="9"/>
    <n v="340060"/>
    <n v="24975"/>
    <d v="2023-01-10T00:00:00"/>
    <s v="PAID"/>
    <x v="9"/>
    <n v="11323"/>
    <n v="1"/>
    <s v="Indonesia"/>
    <s v="YSN-SSA"/>
    <x v="0"/>
  </r>
  <r>
    <s v="CLICTRUCK-043053"/>
    <s v="domestic"/>
    <x v="0"/>
    <x v="9"/>
    <n v="340060"/>
    <n v="24975"/>
    <d v="2023-01-10T00:00:00"/>
    <s v="PAID"/>
    <x v="9"/>
    <n v="11323"/>
    <n v="1"/>
    <s v="Indonesia"/>
    <s v="YSN-SSA"/>
    <x v="0"/>
  </r>
  <r>
    <s v="CLICTRUCK-043060"/>
    <s v="domestic"/>
    <x v="0"/>
    <x v="9"/>
    <n v="245490"/>
    <n v="24975"/>
    <d v="2023-01-09T00:00:00"/>
    <s v="PAID"/>
    <x v="9"/>
    <n v="8174"/>
    <n v="1"/>
    <s v="Indonesia"/>
    <s v="YSN-SSA"/>
    <x v="0"/>
  </r>
  <r>
    <s v="CLICTRUCK-043061"/>
    <s v="domestic"/>
    <x v="0"/>
    <x v="9"/>
    <n v="265090"/>
    <n v="24975"/>
    <d v="2023-01-09T00:00:00"/>
    <s v="PAID"/>
    <x v="9"/>
    <n v="8826"/>
    <n v="1"/>
    <s v="Indonesia"/>
    <s v="YSN-SSA"/>
    <x v="0"/>
  </r>
  <r>
    <s v="CLICTRUCK-043062"/>
    <s v="domestic"/>
    <x v="0"/>
    <x v="9"/>
    <n v="245490"/>
    <n v="24975"/>
    <d v="2023-01-09T00:00:00"/>
    <s v="PAID"/>
    <x v="9"/>
    <n v="8174"/>
    <n v="1"/>
    <s v="Indonesia"/>
    <s v="YSN-SSA"/>
    <x v="0"/>
  </r>
  <r>
    <s v="CLICTRUCK-043064"/>
    <s v="domestic"/>
    <x v="0"/>
    <x v="10"/>
    <n v="1516500"/>
    <n v="22200"/>
    <d v="2023-01-07T00:00:00"/>
    <s v="PAID"/>
    <x v="10"/>
    <n v="67332"/>
    <n v="1"/>
    <s v="Indonesia"/>
    <s v="ZLog-ZENSHIN"/>
    <x v="0"/>
  </r>
  <r>
    <s v="CLICTRUCK-043065"/>
    <s v="domestic"/>
    <x v="1"/>
    <x v="10"/>
    <n v="3946944"/>
    <n v="22200"/>
    <d v="2023-01-13T00:00:00"/>
    <s v="PAID"/>
    <x v="10"/>
    <n v="175243"/>
    <n v="1"/>
    <s v="Indonesia"/>
    <s v="ZLog-ZENSHIN"/>
    <x v="0"/>
  </r>
  <r>
    <s v="CLICTRUCK-043076"/>
    <s v="domestic"/>
    <x v="1"/>
    <x v="9"/>
    <n v="265090"/>
    <n v="24975"/>
    <d v="2023-01-10T00:00:00"/>
    <s v="PAID"/>
    <x v="9"/>
    <n v="8826"/>
    <n v="1"/>
    <s v="Indonesia"/>
    <s v="YSN-SSA"/>
    <x v="0"/>
  </r>
  <r>
    <s v="CLICTRUCK-043077"/>
    <s v="domestic"/>
    <x v="1"/>
    <x v="9"/>
    <n v="274890"/>
    <n v="24975"/>
    <d v="2023-01-10T00:00:00"/>
    <s v="PAID"/>
    <x v="9"/>
    <n v="9153"/>
    <n v="1"/>
    <s v="Indonesia"/>
    <s v="YSN-SSA"/>
    <x v="0"/>
  </r>
  <r>
    <s v="CLICTRUCK-043086"/>
    <s v="domestic"/>
    <x v="113"/>
    <x v="9"/>
    <n v="340060"/>
    <n v="24975"/>
    <d v="2023-01-10T00:00:00"/>
    <s v="PAID"/>
    <x v="9"/>
    <n v="11323"/>
    <n v="1"/>
    <s v="Indonesia"/>
    <s v="YSN-SSA"/>
    <x v="0"/>
  </r>
  <r>
    <s v="CLICTRUCK-043087"/>
    <s v="domestic"/>
    <x v="113"/>
    <x v="9"/>
    <n v="245490"/>
    <n v="24975"/>
    <d v="2023-01-10T00:00:00"/>
    <s v="PAID"/>
    <x v="9"/>
    <n v="8174"/>
    <n v="1"/>
    <s v="Indonesia"/>
    <s v="YSN-SSA"/>
    <x v="0"/>
  </r>
  <r>
    <s v="CLICTRUCK-043088"/>
    <s v="domestic"/>
    <x v="113"/>
    <x v="9"/>
    <n v="458150"/>
    <n v="24975"/>
    <d v="2023-01-10T00:00:00"/>
    <s v="PAID"/>
    <x v="9"/>
    <n v="15255"/>
    <n v="1"/>
    <s v="Indonesia"/>
    <s v="YSN-SSA"/>
    <x v="0"/>
  </r>
  <r>
    <s v="CLICTRUCK-043089"/>
    <s v="domestic"/>
    <x v="3"/>
    <x v="9"/>
    <n v="798700"/>
    <n v="24975"/>
    <d v="2023-01-10T00:00:00"/>
    <s v="PAID"/>
    <x v="9"/>
    <n v="26596"/>
    <n v="1"/>
    <s v="Indonesia"/>
    <s v="YSN-SSA"/>
    <x v="0"/>
  </r>
  <r>
    <s v="CLICTRUCK-043090"/>
    <s v="domestic"/>
    <x v="3"/>
    <x v="9"/>
    <n v="340060"/>
    <n v="24975"/>
    <d v="2023-01-10T00:00:00"/>
    <s v="PAID"/>
    <x v="9"/>
    <n v="11323"/>
    <n v="1"/>
    <s v="Indonesia"/>
    <s v="YSN-SSA"/>
    <x v="0"/>
  </r>
  <r>
    <s v="CLICTRUCK-043091"/>
    <s v="domestic"/>
    <x v="3"/>
    <x v="10"/>
    <n v="2726000"/>
    <n v="20000"/>
    <m/>
    <s v="DELIVERED"/>
    <x v="10"/>
    <n v="0"/>
    <n v="1"/>
    <s v="Indonesia"/>
    <s v="ZLog-ZENSHIN"/>
    <x v="1"/>
  </r>
  <r>
    <s v="CLICTRUCK-043105"/>
    <s v="domestic"/>
    <x v="114"/>
    <x v="11"/>
    <n v="6549825"/>
    <n v="5550"/>
    <d v="2023-01-11T00:00:00"/>
    <s v="PAID"/>
    <x v="11"/>
    <n v="145405"/>
    <n v="1"/>
    <s v="Indonesia"/>
    <s v="TJL - JPP"/>
    <x v="0"/>
  </r>
  <r>
    <s v="CLICTRUCK-043106"/>
    <s v="domestic"/>
    <x v="114"/>
    <x v="11"/>
    <n v="6549825"/>
    <n v="5550"/>
    <d v="2023-01-11T00:00:00"/>
    <s v="PAID"/>
    <x v="11"/>
    <n v="145405"/>
    <n v="1"/>
    <s v="Indonesia"/>
    <s v="TJL - JPP"/>
    <x v="0"/>
  </r>
  <r>
    <s v="CLICTRUCK-043107"/>
    <s v="domestic"/>
    <x v="114"/>
    <x v="11"/>
    <n v="13541825"/>
    <n v="5550"/>
    <d v="2023-01-11T00:00:00"/>
    <s v="PAID"/>
    <x v="11"/>
    <n v="300627"/>
    <n v="1"/>
    <s v="Indonesia"/>
    <s v="TJL - JPP"/>
    <x v="0"/>
  </r>
  <r>
    <s v="CLICTRUCK-043108"/>
    <s v="domestic"/>
    <x v="114"/>
    <x v="11"/>
    <n v="6549825"/>
    <n v="5550"/>
    <d v="2023-01-11T00:00:00"/>
    <s v="PAID"/>
    <x v="11"/>
    <n v="145405"/>
    <n v="1"/>
    <s v="Indonesia"/>
    <s v="TJL - JPP"/>
    <x v="0"/>
  </r>
  <r>
    <s v="CLICTRUCK-043109"/>
    <s v="domestic"/>
    <x v="114"/>
    <x v="11"/>
    <n v="6549825"/>
    <n v="5550"/>
    <d v="2023-01-11T00:00:00"/>
    <s v="PAID"/>
    <x v="11"/>
    <n v="145405"/>
    <n v="1"/>
    <s v="Indonesia"/>
    <s v="TJL - JPP"/>
    <x v="0"/>
  </r>
  <r>
    <s v="CLICTRUCK-043110"/>
    <s v="domestic"/>
    <x v="114"/>
    <x v="11"/>
    <n v="5511950"/>
    <n v="5550"/>
    <d v="2023-01-11T00:00:00"/>
    <s v="PAID"/>
    <x v="11"/>
    <n v="122365"/>
    <n v="1"/>
    <s v="Indonesia"/>
    <s v="TJL - JPP"/>
    <x v="0"/>
  </r>
  <r>
    <s v="CLICTRUCK-043111"/>
    <s v="domestic"/>
    <x v="114"/>
    <x v="11"/>
    <n v="5511950"/>
    <n v="5550"/>
    <d v="2023-01-11T00:00:00"/>
    <s v="PAID"/>
    <x v="11"/>
    <n v="122365"/>
    <n v="1"/>
    <s v="Indonesia"/>
    <s v="TJL - JPP"/>
    <x v="0"/>
  </r>
  <r>
    <s v="CLICTRUCK-043112"/>
    <s v="domestic"/>
    <x v="114"/>
    <x v="11"/>
    <n v="5511950"/>
    <n v="5550"/>
    <d v="2023-01-11T00:00:00"/>
    <s v="PAID"/>
    <x v="11"/>
    <n v="122365"/>
    <n v="1"/>
    <s v="Indonesia"/>
    <s v="TJL - JPP"/>
    <x v="0"/>
  </r>
  <r>
    <s v="CLICTRUCK-043113"/>
    <s v="domestic"/>
    <x v="114"/>
    <x v="11"/>
    <n v="13541825"/>
    <n v="5550"/>
    <d v="2023-01-11T00:00:00"/>
    <s v="PAID"/>
    <x v="11"/>
    <n v="300627"/>
    <n v="1"/>
    <s v="Indonesia"/>
    <s v="TJL - JPP"/>
    <x v="0"/>
  </r>
  <r>
    <s v="CLICTRUCK-043114"/>
    <s v="domestic"/>
    <x v="114"/>
    <x v="11"/>
    <n v="14688950"/>
    <n v="5550"/>
    <d v="2023-01-11T00:00:00"/>
    <s v="PAID"/>
    <x v="11"/>
    <n v="326094"/>
    <n v="1"/>
    <s v="Indonesia"/>
    <s v="TJL - JPP"/>
    <x v="0"/>
  </r>
  <r>
    <s v="CLICTRUCK-043115"/>
    <s v="domestic"/>
    <x v="114"/>
    <x v="11"/>
    <n v="13541825"/>
    <n v="5550"/>
    <d v="2023-01-11T00:00:00"/>
    <s v="PAID"/>
    <x v="11"/>
    <n v="300627"/>
    <n v="1"/>
    <s v="Indonesia"/>
    <s v="TJL - JPP"/>
    <x v="0"/>
  </r>
  <r>
    <s v="CLICTRUCK-043116"/>
    <s v="domestic"/>
    <x v="114"/>
    <x v="11"/>
    <n v="5511950"/>
    <n v="5550"/>
    <d v="2023-01-11T00:00:00"/>
    <s v="PAID"/>
    <x v="11"/>
    <n v="122365"/>
    <n v="1"/>
    <s v="Indonesia"/>
    <s v="TJL - JPP"/>
    <x v="0"/>
  </r>
  <r>
    <s v="CLICTRUCK-043117"/>
    <s v="domestic"/>
    <x v="114"/>
    <x v="11"/>
    <n v="13541825"/>
    <n v="5550"/>
    <d v="2023-01-11T00:00:00"/>
    <s v="PAID"/>
    <x v="11"/>
    <n v="300627"/>
    <n v="1"/>
    <s v="Indonesia"/>
    <s v="TJL - JPP"/>
    <x v="0"/>
  </r>
  <r>
    <s v="CLICTRUCK-043118"/>
    <s v="domestic"/>
    <x v="114"/>
    <x v="11"/>
    <n v="11209810"/>
    <n v="5550"/>
    <d v="2023-01-11T00:00:00"/>
    <s v="PAID"/>
    <x v="11"/>
    <n v="248857"/>
    <n v="1"/>
    <s v="Indonesia"/>
    <s v="TJL - JPP"/>
    <x v="0"/>
  </r>
  <r>
    <s v="CLICTRUCK-043119"/>
    <s v="domestic"/>
    <x v="5"/>
    <x v="11"/>
    <n v="5293450"/>
    <n v="5550"/>
    <d v="2023-01-11T00:00:00"/>
    <s v="PAID"/>
    <x v="11"/>
    <n v="117514"/>
    <n v="1"/>
    <s v="Indonesia"/>
    <s v="TJL - JPP"/>
    <x v="0"/>
  </r>
  <r>
    <s v="CLICTRUCK-043120"/>
    <s v="domestic"/>
    <x v="5"/>
    <x v="11"/>
    <n v="5293450"/>
    <n v="5550"/>
    <d v="2023-01-11T00:00:00"/>
    <s v="PAID"/>
    <x v="11"/>
    <n v="117514"/>
    <n v="1"/>
    <s v="Indonesia"/>
    <s v="TJL - JPP"/>
    <x v="0"/>
  </r>
  <r>
    <s v="CLICTRUCK-043121"/>
    <s v="domestic"/>
    <x v="5"/>
    <x v="11"/>
    <n v="5293450"/>
    <n v="5550"/>
    <d v="2023-01-11T00:00:00"/>
    <s v="PAID"/>
    <x v="11"/>
    <n v="117514"/>
    <n v="1"/>
    <s v="Indonesia"/>
    <s v="TJL - JPP"/>
    <x v="0"/>
  </r>
  <r>
    <s v="CLICTRUCK-043122"/>
    <s v="domestic"/>
    <x v="5"/>
    <x v="11"/>
    <n v="5293450"/>
    <n v="5550"/>
    <d v="2023-01-11T00:00:00"/>
    <s v="PAID"/>
    <x v="11"/>
    <n v="117514"/>
    <n v="1"/>
    <s v="Indonesia"/>
    <s v="TJL - JPP"/>
    <x v="0"/>
  </r>
  <r>
    <s v="CLICTRUCK-043123"/>
    <s v="domestic"/>
    <x v="5"/>
    <x v="11"/>
    <n v="5293450"/>
    <n v="5550"/>
    <d v="2023-01-11T00:00:00"/>
    <s v="PAID"/>
    <x v="11"/>
    <n v="117514"/>
    <n v="1"/>
    <s v="Indonesia"/>
    <s v="TJL - JPP"/>
    <x v="0"/>
  </r>
  <r>
    <s v="CLICTRUCK-043124"/>
    <s v="domestic"/>
    <x v="5"/>
    <x v="11"/>
    <n v="5293450"/>
    <n v="5550"/>
    <d v="2023-01-11T00:00:00"/>
    <s v="PAID"/>
    <x v="11"/>
    <n v="117514"/>
    <n v="1"/>
    <s v="Indonesia"/>
    <s v="TJL - JPP"/>
    <x v="0"/>
  </r>
  <r>
    <s v="CLICTRUCK-043125"/>
    <s v="domestic"/>
    <x v="5"/>
    <x v="11"/>
    <n v="5293450"/>
    <n v="5550"/>
    <d v="2023-01-11T00:00:00"/>
    <s v="PAID"/>
    <x v="11"/>
    <n v="117514"/>
    <n v="1"/>
    <s v="Indonesia"/>
    <s v="TJL - JPP"/>
    <x v="0"/>
  </r>
  <r>
    <s v="CLICTRUCK-043126"/>
    <s v="domestic"/>
    <x v="5"/>
    <x v="11"/>
    <n v="5713200"/>
    <n v="5550"/>
    <d v="2023-01-11T00:00:00"/>
    <s v="PAID"/>
    <x v="11"/>
    <n v="126833"/>
    <n v="1"/>
    <s v="Indonesia"/>
    <s v="TJL - JPP"/>
    <x v="0"/>
  </r>
  <r>
    <s v="CLICTRUCK-043127"/>
    <s v="domestic"/>
    <x v="5"/>
    <x v="11"/>
    <n v="5045280"/>
    <n v="5550"/>
    <d v="2023-01-11T00:00:00"/>
    <s v="PAID"/>
    <x v="11"/>
    <n v="112004"/>
    <n v="1"/>
    <s v="Indonesia"/>
    <s v="TJL - JPP"/>
    <x v="0"/>
  </r>
  <r>
    <s v="CLICTRUCK-043128"/>
    <s v="domestic"/>
    <x v="5"/>
    <x v="11"/>
    <n v="5655240"/>
    <n v="5550"/>
    <d v="2023-01-11T00:00:00"/>
    <s v="PAID"/>
    <x v="11"/>
    <n v="125545"/>
    <n v="1"/>
    <s v="Indonesia"/>
    <s v="TJL - JPP"/>
    <x v="0"/>
  </r>
  <r>
    <s v="CLICTRUCK-043129"/>
    <s v="domestic"/>
    <x v="5"/>
    <x v="11"/>
    <n v="5293450"/>
    <n v="5550"/>
    <d v="2023-01-11T00:00:00"/>
    <s v="PAID"/>
    <x v="11"/>
    <n v="117514"/>
    <n v="1"/>
    <s v="Indonesia"/>
    <s v="TJL - JPP"/>
    <x v="0"/>
  </r>
  <r>
    <s v="CLICTRUCK-043130"/>
    <s v="domestic"/>
    <x v="5"/>
    <x v="11"/>
    <n v="5293450"/>
    <n v="5550"/>
    <d v="2023-01-11T00:00:00"/>
    <s v="PAID"/>
    <x v="11"/>
    <n v="117514"/>
    <n v="1"/>
    <s v="Indonesia"/>
    <s v="TJL - JPP"/>
    <x v="0"/>
  </r>
  <r>
    <s v="CLICTRUCK-043131"/>
    <s v="domestic"/>
    <x v="5"/>
    <x v="11"/>
    <n v="6549825"/>
    <n v="5550"/>
    <d v="2023-01-11T00:00:00"/>
    <s v="PAID"/>
    <x v="11"/>
    <n v="145405"/>
    <n v="1"/>
    <s v="Indonesia"/>
    <s v="TJL - JPP"/>
    <x v="0"/>
  </r>
  <r>
    <s v="CLICTRUCK-043132"/>
    <s v="domestic"/>
    <x v="5"/>
    <x v="11"/>
    <n v="13541825"/>
    <n v="5550"/>
    <d v="2023-01-11T00:00:00"/>
    <s v="PAID"/>
    <x v="11"/>
    <n v="300627"/>
    <n v="1"/>
    <s v="Indonesia"/>
    <s v="TJL - JPP"/>
    <x v="0"/>
  </r>
  <r>
    <s v="CLICTRUCK-043133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34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35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36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37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38"/>
    <s v="domestic"/>
    <x v="5"/>
    <x v="11"/>
    <n v="3281850"/>
    <n v="5550"/>
    <d v="2023-01-11T00:00:00"/>
    <s v="PAID"/>
    <x v="11"/>
    <n v="72857"/>
    <n v="1"/>
    <s v="Indonesia"/>
    <s v="TJL - JPP"/>
    <x v="0"/>
  </r>
  <r>
    <s v="CLICTRUCK-043139"/>
    <s v="domestic"/>
    <x v="5"/>
    <x v="11"/>
    <n v="11131150"/>
    <n v="5550"/>
    <d v="2023-01-11T00:00:00"/>
    <s v="PAID"/>
    <x v="11"/>
    <n v="247111"/>
    <n v="1"/>
    <s v="Indonesia"/>
    <s v="TJL - JPP"/>
    <x v="0"/>
  </r>
  <r>
    <s v="CLICTRUCK-043140"/>
    <s v="domestic"/>
    <x v="5"/>
    <x v="11"/>
    <n v="10889580"/>
    <n v="5550"/>
    <d v="2023-01-11T00:00:00"/>
    <s v="PAID"/>
    <x v="11"/>
    <n v="241748"/>
    <n v="1"/>
    <s v="Indonesia"/>
    <s v="TJL - JPP"/>
    <x v="0"/>
  </r>
  <r>
    <s v="CLICTRUCK-043141"/>
    <s v="domestic"/>
    <x v="5"/>
    <x v="11"/>
    <n v="10872750"/>
    <n v="5550"/>
    <d v="2023-01-11T00:00:00"/>
    <s v="PAID"/>
    <x v="11"/>
    <n v="241375"/>
    <n v="1"/>
    <s v="Indonesia"/>
    <s v="TJL - JPP"/>
    <x v="0"/>
  </r>
  <r>
    <s v="CLICTRUCK-043142"/>
    <s v="domestic"/>
    <x v="5"/>
    <x v="11"/>
    <n v="6371460"/>
    <n v="5550"/>
    <d v="2023-01-11T00:00:00"/>
    <s v="PAID"/>
    <x v="11"/>
    <n v="141446"/>
    <n v="1"/>
    <s v="Indonesia"/>
    <s v="TJL - JPP"/>
    <x v="0"/>
  </r>
  <r>
    <s v="CLICTRUCK-043143"/>
    <s v="domestic"/>
    <x v="5"/>
    <x v="11"/>
    <n v="5002500"/>
    <n v="5550"/>
    <d v="2023-01-11T00:00:00"/>
    <s v="PAID"/>
    <x v="11"/>
    <n v="111055"/>
    <n v="1"/>
    <s v="Indonesia"/>
    <s v="TJL - JPP"/>
    <x v="0"/>
  </r>
  <r>
    <s v="CLICTRUCK-043144"/>
    <s v="domestic"/>
    <x v="5"/>
    <x v="11"/>
    <n v="6241050"/>
    <n v="5550"/>
    <d v="2023-01-11T00:00:00"/>
    <s v="PAID"/>
    <x v="11"/>
    <n v="138551"/>
    <n v="1"/>
    <s v="Indonesia"/>
    <s v="TJL - JPP"/>
    <x v="0"/>
  </r>
  <r>
    <s v="CLICTRUCK-043145"/>
    <s v="domestic"/>
    <x v="5"/>
    <x v="11"/>
    <n v="4936950"/>
    <n v="5550"/>
    <d v="2023-01-11T00:00:00"/>
    <s v="PAID"/>
    <x v="11"/>
    <n v="109600"/>
    <n v="1"/>
    <s v="Indonesia"/>
    <s v="TJL - JPP"/>
    <x v="0"/>
  </r>
  <r>
    <s v="CLICTRUCK-043146"/>
    <s v="domestic"/>
    <x v="5"/>
    <x v="11"/>
    <n v="6414930"/>
    <n v="5550"/>
    <d v="2023-01-11T00:00:00"/>
    <s v="PAID"/>
    <x v="11"/>
    <n v="142410"/>
    <n v="1"/>
    <s v="Indonesia"/>
    <s v="TJL - JPP"/>
    <x v="0"/>
  </r>
  <r>
    <s v="CLICTRUCK-043147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48"/>
    <s v="domestic"/>
    <x v="5"/>
    <x v="11"/>
    <n v="6549825"/>
    <n v="5550"/>
    <d v="2023-01-11T00:00:00"/>
    <s v="PAID"/>
    <x v="11"/>
    <n v="145405"/>
    <n v="1"/>
    <s v="Indonesia"/>
    <s v="TJL - JPP"/>
    <x v="0"/>
  </r>
  <r>
    <s v="CLICTRUCK-043149"/>
    <s v="domestic"/>
    <x v="5"/>
    <x v="11"/>
    <n v="6549825"/>
    <n v="5550"/>
    <d v="2023-01-11T00:00:00"/>
    <s v="PAID"/>
    <x v="11"/>
    <n v="145405"/>
    <n v="1"/>
    <s v="Indonesia"/>
    <s v="TJL - JPP"/>
    <x v="0"/>
  </r>
  <r>
    <s v="CLICTRUCK-043150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51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52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53"/>
    <s v="domestic"/>
    <x v="5"/>
    <x v="11"/>
    <n v="6549825"/>
    <n v="5550"/>
    <d v="2023-01-11T00:00:00"/>
    <s v="PAID"/>
    <x v="11"/>
    <n v="145405"/>
    <n v="1"/>
    <s v="Indonesia"/>
    <s v="TJL - JPP"/>
    <x v="0"/>
  </r>
  <r>
    <s v="CLICTRUCK-043154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55"/>
    <s v="domestic"/>
    <x v="5"/>
    <x v="11"/>
    <n v="5511950"/>
    <n v="5550"/>
    <d v="2023-01-11T00:00:00"/>
    <s v="PAID"/>
    <x v="11"/>
    <n v="122365"/>
    <n v="1"/>
    <s v="Indonesia"/>
    <s v="TJL - JPP"/>
    <x v="0"/>
  </r>
  <r>
    <s v="CLICTRUCK-043156"/>
    <s v="domestic"/>
    <x v="5"/>
    <x v="11"/>
    <n v="6549825"/>
    <n v="5550"/>
    <d v="2023-01-11T00:00:00"/>
    <s v="PAID"/>
    <x v="11"/>
    <n v="145405"/>
    <n v="1"/>
    <s v="Indonesia"/>
    <s v="TJL - JPP"/>
    <x v="0"/>
  </r>
  <r>
    <s v="CLICTRUCK-043157"/>
    <s v="domestic"/>
    <x v="5"/>
    <x v="11"/>
    <n v="2983500"/>
    <n v="5550"/>
    <d v="2023-01-11T00:00:00"/>
    <s v="PAID"/>
    <x v="11"/>
    <n v="66233"/>
    <n v="1"/>
    <s v="Indonesia"/>
    <s v="TJL - JPP"/>
    <x v="0"/>
  </r>
  <r>
    <s v="CLICTRUCK-043158"/>
    <s v="domestic"/>
    <x v="5"/>
    <x v="9"/>
    <n v="340060"/>
    <n v="24975"/>
    <d v="2023-01-24T00:00:00"/>
    <s v="UNPAID"/>
    <x v="9"/>
    <n v="11323"/>
    <n v="1"/>
    <s v="Indonesia"/>
    <s v="YSN-SSA"/>
    <x v="0"/>
  </r>
  <r>
    <s v="CLICTRUCK-043159"/>
    <s v="domestic"/>
    <x v="5"/>
    <x v="9"/>
    <n v="730953"/>
    <n v="24975"/>
    <d v="2023-01-24T00:00:00"/>
    <s v="PAID"/>
    <x v="12"/>
    <n v="24340"/>
    <n v="1"/>
    <s v="Indonesia"/>
    <s v="YSN-MRN"/>
    <x v="0"/>
  </r>
  <r>
    <s v="CLICTRUCK-043160"/>
    <s v="domestic"/>
    <x v="5"/>
    <x v="9"/>
    <n v="340060"/>
    <n v="24975"/>
    <d v="2023-01-10T00:00:00"/>
    <s v="PAID"/>
    <x v="9"/>
    <n v="11323"/>
    <n v="1"/>
    <s v="Indonesia"/>
    <s v="YSN-SSA"/>
    <x v="0"/>
  </r>
  <r>
    <s v="CLICTRUCK-043170"/>
    <s v="domestic"/>
    <x v="5"/>
    <x v="9"/>
    <n v="848229"/>
    <n v="24975"/>
    <d v="2023-01-24T00:00:00"/>
    <s v="PAID"/>
    <x v="12"/>
    <n v="28245"/>
    <n v="1"/>
    <s v="Indonesia"/>
    <s v="YSN-MRN"/>
    <x v="0"/>
  </r>
  <r>
    <s v="CLICTRUCK-043171"/>
    <s v="domestic"/>
    <x v="5"/>
    <x v="9"/>
    <n v="831042"/>
    <n v="24975"/>
    <d v="2023-01-24T00:00:00"/>
    <s v="PAID"/>
    <x v="12"/>
    <n v="27673"/>
    <n v="1"/>
    <s v="Indonesia"/>
    <s v="YSN-MRN"/>
    <x v="0"/>
  </r>
  <r>
    <s v="CLICTRUCK-043172"/>
    <s v="domestic"/>
    <x v="5"/>
    <x v="9"/>
    <n v="274890"/>
    <n v="24975"/>
    <d v="2023-01-24T00:00:00"/>
    <s v="UNPAID"/>
    <x v="9"/>
    <n v="9153"/>
    <n v="1"/>
    <s v="Indonesia"/>
    <s v="YSN-SSA"/>
    <x v="0"/>
  </r>
  <r>
    <s v="CLICTRUCK-043173"/>
    <s v="domestic"/>
    <x v="5"/>
    <x v="9"/>
    <n v="372400"/>
    <n v="24975"/>
    <d v="2023-01-24T00:00:00"/>
    <s v="UNPAID"/>
    <x v="9"/>
    <n v="12400"/>
    <n v="1"/>
    <s v="Indonesia"/>
    <s v="YSN-SSA"/>
    <x v="0"/>
  </r>
  <r>
    <s v="CLICTRUCK-043176"/>
    <s v="domestic"/>
    <x v="6"/>
    <x v="9"/>
    <n v="340060"/>
    <n v="24975"/>
    <d v="2023-01-24T00:00:00"/>
    <s v="UNPAID"/>
    <x v="9"/>
    <n v="11323"/>
    <n v="1"/>
    <s v="Indonesia"/>
    <s v="YSN-SSA"/>
    <x v="0"/>
  </r>
  <r>
    <s v="CLICTRUCK-043177"/>
    <s v="domestic"/>
    <x v="6"/>
    <x v="9"/>
    <n v="245490"/>
    <n v="24975"/>
    <d v="2023-01-24T00:00:00"/>
    <s v="UNPAID"/>
    <x v="9"/>
    <n v="8174"/>
    <n v="1"/>
    <s v="Indonesia"/>
    <s v="YSN-SSA"/>
    <x v="0"/>
  </r>
  <r>
    <s v="CLICTRUCK-043178"/>
    <s v="domestic"/>
    <x v="6"/>
    <x v="9"/>
    <n v="783323"/>
    <n v="24975"/>
    <d v="2023-01-24T00:00:00"/>
    <s v="PAID"/>
    <x v="12"/>
    <n v="26083"/>
    <n v="1"/>
    <s v="Indonesia"/>
    <s v="YSN-MRN"/>
    <x v="0"/>
  </r>
  <r>
    <s v="CLICTRUCK-043241"/>
    <s v="domestic"/>
    <x v="115"/>
    <x v="10"/>
    <n v="2462796"/>
    <n v="22200"/>
    <d v="2023-01-14T00:00:00"/>
    <s v="PAID"/>
    <x v="10"/>
    <n v="109347"/>
    <n v="1"/>
    <s v="Indonesia"/>
    <s v="ZLog-ZENSHIN"/>
    <x v="0"/>
  </r>
  <r>
    <s v="CLICTRUCK-043242"/>
    <s v="domestic"/>
    <x v="116"/>
    <x v="9"/>
    <n v="315560"/>
    <n v="24975"/>
    <d v="2023-01-24T00:00:00"/>
    <s v="UNPAID"/>
    <x v="9"/>
    <n v="10507"/>
    <n v="1"/>
    <s v="Indonesia"/>
    <s v="YSN-SSA"/>
    <x v="0"/>
  </r>
  <r>
    <s v="CLICTRUCK-043243"/>
    <s v="domestic"/>
    <x v="116"/>
    <x v="9"/>
    <n v="340060"/>
    <n v="24975"/>
    <d v="2023-01-24T00:00:00"/>
    <s v="UNPAID"/>
    <x v="9"/>
    <n v="11323"/>
    <n v="1"/>
    <s v="Indonesia"/>
    <s v="YSN-SSA"/>
    <x v="0"/>
  </r>
  <r>
    <s v="CLICTRUCK-043244"/>
    <s v="domestic"/>
    <x v="116"/>
    <x v="9"/>
    <n v="287630"/>
    <n v="24975"/>
    <d v="2023-01-24T00:00:00"/>
    <s v="UNPAID"/>
    <x v="9"/>
    <n v="9577"/>
    <n v="1"/>
    <s v="Indonesia"/>
    <s v="YSN-SSA"/>
    <x v="0"/>
  </r>
  <r>
    <s v="CLICTRUCK-043245"/>
    <s v="domestic"/>
    <x v="116"/>
    <x v="9"/>
    <n v="287630"/>
    <n v="24975"/>
    <d v="2023-01-24T00:00:00"/>
    <s v="UNPAID"/>
    <x v="9"/>
    <n v="9577"/>
    <n v="1"/>
    <s v="Indonesia"/>
    <s v="YSN-SSA"/>
    <x v="0"/>
  </r>
  <r>
    <s v="CLICTRUCK-043246"/>
    <s v="domestic"/>
    <x v="10"/>
    <x v="9"/>
    <n v="294490"/>
    <n v="24975"/>
    <d v="2023-01-24T00:00:00"/>
    <s v="UNPAID"/>
    <x v="9"/>
    <n v="9805"/>
    <n v="1"/>
    <s v="Indonesia"/>
    <s v="YSN-SSA"/>
    <x v="0"/>
  </r>
  <r>
    <s v="CLICTRUCK-043247"/>
    <s v="domestic"/>
    <x v="10"/>
    <x v="9"/>
    <n v="2704800"/>
    <n v="24975"/>
    <d v="2023-01-24T00:00:00"/>
    <s v="PAID"/>
    <x v="8"/>
    <n v="90069"/>
    <n v="1"/>
    <s v="Indonesia"/>
    <s v="YSN-FPM"/>
    <x v="0"/>
  </r>
  <r>
    <s v="CLICTRUCK-043248"/>
    <s v="domestic"/>
    <x v="10"/>
    <x v="9"/>
    <n v="340060"/>
    <n v="24975"/>
    <d v="2023-01-24T00:00:00"/>
    <s v="UNPAID"/>
    <x v="9"/>
    <n v="11323"/>
    <n v="1"/>
    <s v="Indonesia"/>
    <s v="YSN-SSA"/>
    <x v="0"/>
  </r>
  <r>
    <s v="CLICTRUCK-043249"/>
    <s v="domestic"/>
    <x v="10"/>
    <x v="9"/>
    <n v="340060"/>
    <n v="24975"/>
    <d v="2023-01-24T00:00:00"/>
    <s v="UNPAID"/>
    <x v="9"/>
    <n v="11323"/>
    <n v="1"/>
    <s v="Indonesia"/>
    <s v="YSN-SSA"/>
    <x v="0"/>
  </r>
  <r>
    <s v="CLICTRUCK-043250"/>
    <s v="domestic"/>
    <x v="10"/>
    <x v="10"/>
    <n v="3530000"/>
    <n v="22200"/>
    <d v="2023-01-16T00:00:00"/>
    <s v="PAID"/>
    <x v="10"/>
    <n v="156732"/>
    <n v="1"/>
    <s v="Indonesia"/>
    <s v="ZLog-ZENSHIN"/>
    <x v="0"/>
  </r>
  <r>
    <s v="CLICTRUCK-043251"/>
    <s v="domestic"/>
    <x v="10"/>
    <x v="10"/>
    <n v="4289300"/>
    <n v="22200"/>
    <d v="2023-01-16T00:00:00"/>
    <s v="PAID"/>
    <x v="10"/>
    <n v="190444"/>
    <n v="1"/>
    <s v="Indonesia"/>
    <s v="ZLog-ZENSHIN"/>
    <x v="0"/>
  </r>
  <r>
    <s v="CLICTRUCK-043255"/>
    <s v="domestic"/>
    <x v="10"/>
    <x v="10"/>
    <n v="2462796"/>
    <n v="22200"/>
    <d v="2023-01-27T00:00:00"/>
    <s v="PAID"/>
    <x v="10"/>
    <n v="109347"/>
    <n v="1"/>
    <s v="Indonesia"/>
    <s v="ZLog-ZENSHIN"/>
    <x v="0"/>
  </r>
  <r>
    <s v="CLICTRUCK-043256"/>
    <s v="domestic"/>
    <x v="10"/>
    <x v="10"/>
    <n v="4334517"/>
    <n v="22200"/>
    <d v="2023-01-27T00:00:00"/>
    <s v="PAID"/>
    <x v="10"/>
    <n v="192451"/>
    <n v="1"/>
    <s v="Indonesia"/>
    <s v="ZLog-ZENSHIN"/>
    <x v="0"/>
  </r>
  <r>
    <s v="CLICTRUCK-043258"/>
    <s v="domestic"/>
    <x v="10"/>
    <x v="10"/>
    <n v="4597019"/>
    <n v="22200"/>
    <d v="2023-01-27T00:00:00"/>
    <s v="PAID"/>
    <x v="10"/>
    <n v="204106"/>
    <n v="1"/>
    <s v="Indonesia"/>
    <s v="ZLog-ZENSHIN"/>
    <x v="0"/>
  </r>
  <r>
    <s v="CLICTRUCK-043259"/>
    <s v="domestic"/>
    <x v="10"/>
    <x v="9"/>
    <n v="399350"/>
    <n v="24975"/>
    <d v="2023-01-24T00:00:00"/>
    <s v="UNPAID"/>
    <x v="9"/>
    <n v="13297"/>
    <n v="1"/>
    <s v="Indonesia"/>
    <s v="YSN-SSA"/>
    <x v="0"/>
  </r>
  <r>
    <s v="CLICTRUCK-043260"/>
    <s v="domestic"/>
    <x v="10"/>
    <x v="9"/>
    <n v="3606400"/>
    <n v="24975"/>
    <d v="2023-01-27T00:00:00"/>
    <s v="PAID"/>
    <x v="8"/>
    <n v="120093"/>
    <n v="1"/>
    <s v="Indonesia"/>
    <s v="YSN-FPM"/>
    <x v="0"/>
  </r>
  <r>
    <s v="CLICTRUCK-043261"/>
    <s v="domestic"/>
    <x v="10"/>
    <x v="9"/>
    <n v="458150"/>
    <n v="24975"/>
    <d v="2023-01-24T00:00:00"/>
    <s v="UNPAID"/>
    <x v="9"/>
    <n v="15255"/>
    <n v="1"/>
    <s v="Indonesia"/>
    <s v="YSN-SSA"/>
    <x v="0"/>
  </r>
  <r>
    <s v="CLICTRUCK-043262"/>
    <s v="domestic"/>
    <x v="10"/>
    <x v="9"/>
    <n v="294490"/>
    <n v="24975"/>
    <d v="2023-01-24T00:00:00"/>
    <s v="UNPAID"/>
    <x v="9"/>
    <n v="9805"/>
    <n v="1"/>
    <s v="Indonesia"/>
    <s v="YSN-SSA"/>
    <x v="0"/>
  </r>
  <r>
    <s v="CLICTRUCK-043272"/>
    <s v="domestic"/>
    <x v="11"/>
    <x v="9"/>
    <n v="1080355"/>
    <n v="24975"/>
    <d v="2023-01-24T00:00:00"/>
    <s v="PAID"/>
    <x v="12"/>
    <n v="35975"/>
    <n v="1"/>
    <s v="Indonesia"/>
    <s v="YSN-MRN"/>
    <x v="0"/>
  </r>
  <r>
    <s v="CLICTRUCK-043273"/>
    <s v="domestic"/>
    <x v="11"/>
    <x v="9"/>
    <n v="399350"/>
    <n v="24975"/>
    <d v="2023-01-24T00:00:00"/>
    <s v="UNPAID"/>
    <x v="9"/>
    <n v="13297"/>
    <n v="1"/>
    <s v="Indonesia"/>
    <s v="YSN-SSA"/>
    <x v="0"/>
  </r>
  <r>
    <s v="CLICTRUCK-043274"/>
    <s v="domestic"/>
    <x v="11"/>
    <x v="9"/>
    <n v="268030"/>
    <n v="24975"/>
    <d v="2023-01-24T00:00:00"/>
    <s v="UNPAID"/>
    <x v="9"/>
    <n v="8924"/>
    <n v="1"/>
    <s v="Indonesia"/>
    <s v="YSN-SSA"/>
    <x v="0"/>
  </r>
  <r>
    <s v="CLICTRUCK-043275"/>
    <s v="domestic"/>
    <x v="11"/>
    <x v="9"/>
    <n v="458150"/>
    <n v="49950"/>
    <d v="2023-01-24T00:00:00"/>
    <s v="UNPAID"/>
    <x v="9"/>
    <n v="15255"/>
    <n v="2"/>
    <s v="Indonesia"/>
    <s v="YSN-SSA"/>
    <x v="0"/>
  </r>
  <r>
    <s v="CLICTRUCK-043276"/>
    <s v="domestic"/>
    <x v="11"/>
    <x v="9"/>
    <n v="352800"/>
    <n v="49950"/>
    <d v="2023-01-24T00:00:00"/>
    <s v="UNPAID"/>
    <x v="9"/>
    <n v="11748"/>
    <n v="2"/>
    <s v="Indonesia"/>
    <s v="YSN-SSA"/>
    <x v="0"/>
  </r>
  <r>
    <s v="CLICTRUCK-043277"/>
    <s v="domestic"/>
    <x v="11"/>
    <x v="11"/>
    <n v="13450000"/>
    <n v="5550"/>
    <d v="2023-01-18T00:00:00"/>
    <s v="PAID"/>
    <x v="11"/>
    <n v="298590"/>
    <n v="1"/>
    <s v="Indonesia"/>
    <s v="TJL - JPP"/>
    <x v="0"/>
  </r>
  <r>
    <s v="CLICTRUCK-043278"/>
    <s v="domestic"/>
    <x v="11"/>
    <x v="11"/>
    <n v="7514100"/>
    <n v="5550"/>
    <d v="2023-01-18T00:00:00"/>
    <s v="PAID"/>
    <x v="11"/>
    <n v="166813"/>
    <n v="1"/>
    <s v="Indonesia"/>
    <s v="TJL - JPP"/>
    <x v="0"/>
  </r>
  <r>
    <s v="CLICTRUCK-043279"/>
    <s v="domestic"/>
    <x v="11"/>
    <x v="11"/>
    <n v="6205400"/>
    <n v="5550"/>
    <d v="2023-01-18T00:00:00"/>
    <s v="PAID"/>
    <x v="11"/>
    <n v="137759"/>
    <n v="1"/>
    <s v="Indonesia"/>
    <s v="TJL - JPP"/>
    <x v="0"/>
  </r>
  <r>
    <s v="CLICTRUCK-043280"/>
    <s v="domestic"/>
    <x v="11"/>
    <x v="11"/>
    <n v="6272100"/>
    <n v="5550"/>
    <d v="2023-01-18T00:00:00"/>
    <s v="PAID"/>
    <x v="11"/>
    <n v="139240"/>
    <n v="1"/>
    <s v="Indonesia"/>
    <s v="TJL - JPP"/>
    <x v="0"/>
  </r>
  <r>
    <s v="CLICTRUCK-043281"/>
    <s v="domestic"/>
    <x v="11"/>
    <x v="11"/>
    <n v="5511950"/>
    <n v="5550"/>
    <d v="2023-01-18T00:00:00"/>
    <s v="PAID"/>
    <x v="11"/>
    <n v="122365"/>
    <n v="1"/>
    <s v="Indonesia"/>
    <s v="TJL - JPP"/>
    <x v="0"/>
  </r>
  <r>
    <s v="CLICTRUCK-043282"/>
    <s v="domestic"/>
    <x v="11"/>
    <x v="11"/>
    <n v="5293450"/>
    <n v="5550"/>
    <d v="2023-01-18T00:00:00"/>
    <s v="PAID"/>
    <x v="11"/>
    <n v="117514"/>
    <n v="1"/>
    <s v="Indonesia"/>
    <s v="TJL - JPP"/>
    <x v="0"/>
  </r>
  <r>
    <s v="CLICTRUCK-043283"/>
    <s v="domestic"/>
    <x v="11"/>
    <x v="11"/>
    <n v="2056320"/>
    <n v="5550"/>
    <d v="2023-01-18T00:00:00"/>
    <s v="PAID"/>
    <x v="11"/>
    <n v="45649"/>
    <n v="1"/>
    <s v="Indonesia"/>
    <s v="TJL - JPP"/>
    <x v="0"/>
  </r>
  <r>
    <s v="CLICTRUCK-043284"/>
    <s v="domestic"/>
    <x v="11"/>
    <x v="11"/>
    <n v="5122440"/>
    <n v="5550"/>
    <d v="2023-01-18T00:00:00"/>
    <s v="PAID"/>
    <x v="11"/>
    <n v="113717"/>
    <n v="1"/>
    <s v="Indonesia"/>
    <s v="TJL - JPP"/>
    <x v="0"/>
  </r>
  <r>
    <s v="CLICTRUCK-043285"/>
    <s v="domestic"/>
    <x v="11"/>
    <x v="11"/>
    <n v="5280800"/>
    <n v="5550"/>
    <d v="2023-01-18T00:00:00"/>
    <s v="PAID"/>
    <x v="11"/>
    <n v="117233"/>
    <n v="1"/>
    <s v="Indonesia"/>
    <s v="TJL - JPP"/>
    <x v="0"/>
  </r>
  <r>
    <s v="CLICTRUCK-043286"/>
    <s v="domestic"/>
    <x v="11"/>
    <x v="11"/>
    <n v="5004225"/>
    <n v="5550"/>
    <d v="2023-01-18T00:00:00"/>
    <s v="PAID"/>
    <x v="11"/>
    <n v="111093"/>
    <n v="1"/>
    <s v="Indonesia"/>
    <s v="TJL - JPP"/>
    <x v="0"/>
  </r>
  <r>
    <s v="CLICTRUCK-043287"/>
    <s v="domestic"/>
    <x v="11"/>
    <x v="11"/>
    <n v="5852925"/>
    <n v="5550"/>
    <d v="2023-01-18T00:00:00"/>
    <s v="PAID"/>
    <x v="11"/>
    <n v="129934"/>
    <n v="1"/>
    <s v="Indonesia"/>
    <s v="TJL - JPP"/>
    <x v="0"/>
  </r>
  <r>
    <s v="CLICTRUCK-043288"/>
    <s v="domestic"/>
    <x v="11"/>
    <x v="11"/>
    <n v="7193250"/>
    <n v="5550"/>
    <d v="2023-01-18T00:00:00"/>
    <s v="PAID"/>
    <x v="11"/>
    <n v="159690"/>
    <n v="1"/>
    <s v="Indonesia"/>
    <s v="TJL - JPP"/>
    <x v="0"/>
  </r>
  <r>
    <s v="CLICTRUCK-043289"/>
    <s v="domestic"/>
    <x v="11"/>
    <x v="11"/>
    <n v="5293450"/>
    <n v="5550"/>
    <d v="2023-01-18T00:00:00"/>
    <s v="PAID"/>
    <x v="11"/>
    <n v="117514"/>
    <n v="1"/>
    <s v="Indonesia"/>
    <s v="TJL - JPP"/>
    <x v="0"/>
  </r>
  <r>
    <s v="CLICTRUCK-043290"/>
    <s v="domestic"/>
    <x v="11"/>
    <x v="11"/>
    <n v="5293450"/>
    <n v="5550"/>
    <d v="2023-01-18T00:00:00"/>
    <s v="PAID"/>
    <x v="11"/>
    <n v="117514"/>
    <n v="1"/>
    <s v="Indonesia"/>
    <s v="TJL - JPP"/>
    <x v="0"/>
  </r>
  <r>
    <s v="CLICTRUCK-043291"/>
    <s v="domestic"/>
    <x v="11"/>
    <x v="11"/>
    <n v="5293450"/>
    <n v="5550"/>
    <d v="2023-01-18T00:00:00"/>
    <s v="PAID"/>
    <x v="11"/>
    <n v="117514"/>
    <n v="1"/>
    <s v="Indonesia"/>
    <s v="TJL - JPP"/>
    <x v="0"/>
  </r>
  <r>
    <s v="CLICTRUCK-043292"/>
    <s v="domestic"/>
    <x v="11"/>
    <x v="11"/>
    <n v="5293450"/>
    <n v="5550"/>
    <d v="2023-01-18T00:00:00"/>
    <s v="PAID"/>
    <x v="11"/>
    <n v="117514"/>
    <n v="1"/>
    <s v="Indonesia"/>
    <s v="TJL - JPP"/>
    <x v="0"/>
  </r>
  <r>
    <s v="CLICTRUCK-043293"/>
    <s v="domestic"/>
    <x v="11"/>
    <x v="11"/>
    <n v="14350000"/>
    <n v="5550"/>
    <d v="2023-01-18T00:00:00"/>
    <s v="PAID"/>
    <x v="11"/>
    <n v="318570"/>
    <n v="1"/>
    <s v="Indonesia"/>
    <s v="TJL - JPP"/>
    <x v="0"/>
  </r>
  <r>
    <s v="CLICTRUCK-043294"/>
    <s v="domestic"/>
    <x v="11"/>
    <x v="11"/>
    <n v="13450000"/>
    <n v="5550"/>
    <d v="2023-01-18T00:00:00"/>
    <s v="PAID"/>
    <x v="11"/>
    <n v="298590"/>
    <n v="1"/>
    <s v="Indonesia"/>
    <s v="TJL - JPP"/>
    <x v="0"/>
  </r>
  <r>
    <s v="CLICTRUCK-043295"/>
    <s v="domestic"/>
    <x v="11"/>
    <x v="11"/>
    <n v="6649300"/>
    <n v="5550"/>
    <d v="2023-01-18T00:00:00"/>
    <s v="PAID"/>
    <x v="11"/>
    <n v="147614"/>
    <n v="1"/>
    <s v="Indonesia"/>
    <s v="TJL - JPP"/>
    <x v="0"/>
  </r>
  <r>
    <s v="CLICTRUCK-043296"/>
    <s v="domestic"/>
    <x v="11"/>
    <x v="11"/>
    <n v="6549825"/>
    <n v="5550"/>
    <d v="2023-01-18T00:00:00"/>
    <s v="PAID"/>
    <x v="11"/>
    <n v="145405"/>
    <n v="1"/>
    <s v="Indonesia"/>
    <s v="TJL - JPP"/>
    <x v="0"/>
  </r>
  <r>
    <s v="CLICTRUCK-043297"/>
    <s v="domestic"/>
    <x v="11"/>
    <x v="11"/>
    <n v="5511950"/>
    <n v="5550"/>
    <d v="2023-01-18T00:00:00"/>
    <s v="PAID"/>
    <x v="11"/>
    <n v="122365"/>
    <n v="1"/>
    <s v="Indonesia"/>
    <s v="TJL - JPP"/>
    <x v="0"/>
  </r>
  <r>
    <s v="CLICTRUCK-043298"/>
    <s v="domestic"/>
    <x v="11"/>
    <x v="11"/>
    <n v="6549825"/>
    <n v="5550"/>
    <d v="2023-01-18T00:00:00"/>
    <s v="PAID"/>
    <x v="11"/>
    <n v="145405"/>
    <n v="1"/>
    <s v="Indonesia"/>
    <s v="TJL - JPP"/>
    <x v="0"/>
  </r>
  <r>
    <s v="CLICTRUCK-043299"/>
    <s v="domestic"/>
    <x v="11"/>
    <x v="11"/>
    <n v="6549825"/>
    <n v="5550"/>
    <d v="2023-01-18T00:00:00"/>
    <s v="PAID"/>
    <x v="11"/>
    <n v="145405"/>
    <n v="1"/>
    <s v="Indonesia"/>
    <s v="TJL - JPP"/>
    <x v="0"/>
  </r>
  <r>
    <s v="CLICTRUCK-043300"/>
    <s v="domestic"/>
    <x v="11"/>
    <x v="11"/>
    <n v="5511950"/>
    <n v="5550"/>
    <d v="2023-01-18T00:00:00"/>
    <s v="PAID"/>
    <x v="11"/>
    <n v="122365"/>
    <n v="1"/>
    <s v="Indonesia"/>
    <s v="TJL - JPP"/>
    <x v="0"/>
  </r>
  <r>
    <s v="CLICTRUCK-043301"/>
    <s v="domestic"/>
    <x v="11"/>
    <x v="11"/>
    <n v="5511950"/>
    <n v="5550"/>
    <d v="2023-01-18T00:00:00"/>
    <s v="PAID"/>
    <x v="11"/>
    <n v="122365"/>
    <n v="1"/>
    <s v="Indonesia"/>
    <s v="TJL - JPP"/>
    <x v="0"/>
  </r>
  <r>
    <s v="CLICTRUCK-043302"/>
    <s v="domestic"/>
    <x v="11"/>
    <x v="11"/>
    <n v="5511950"/>
    <n v="5550"/>
    <d v="2023-01-18T00:00:00"/>
    <s v="PAID"/>
    <x v="11"/>
    <n v="122365"/>
    <n v="1"/>
    <s v="Indonesia"/>
    <s v="TJL - JPP"/>
    <x v="0"/>
  </r>
  <r>
    <s v="CLICTRUCK-043303"/>
    <s v="domestic"/>
    <x v="11"/>
    <x v="11"/>
    <n v="6549825"/>
    <n v="5550"/>
    <d v="2023-01-18T00:00:00"/>
    <s v="PAID"/>
    <x v="11"/>
    <n v="145405"/>
    <n v="1"/>
    <s v="Indonesia"/>
    <s v="TJL - JPP"/>
    <x v="0"/>
  </r>
  <r>
    <s v="CLICTRUCK-043304"/>
    <s v="domestic"/>
    <x v="11"/>
    <x v="11"/>
    <n v="5511950"/>
    <n v="5550"/>
    <d v="2023-01-18T00:00:00"/>
    <s v="PAID"/>
    <x v="11"/>
    <n v="122365"/>
    <n v="1"/>
    <s v="Indonesia"/>
    <s v="TJL - JPP"/>
    <x v="0"/>
  </r>
  <r>
    <s v="CLICTRUCK-043305"/>
    <s v="domestic"/>
    <x v="11"/>
    <x v="11"/>
    <n v="6549825"/>
    <n v="5550"/>
    <d v="2023-01-18T00:00:00"/>
    <s v="PAID"/>
    <x v="11"/>
    <n v="145405"/>
    <n v="1"/>
    <s v="Indonesia"/>
    <s v="TJL - JPP"/>
    <x v="0"/>
  </r>
  <r>
    <s v="CLICTRUCK-043306"/>
    <s v="domestic"/>
    <x v="11"/>
    <x v="11"/>
    <n v="1285200"/>
    <n v="5550"/>
    <d v="2023-01-18T00:00:00"/>
    <s v="PAID"/>
    <x v="11"/>
    <n v="28531"/>
    <n v="1"/>
    <s v="Indonesia"/>
    <s v="TJL - JPP"/>
    <x v="0"/>
  </r>
  <r>
    <s v="CLICTRUCK-043307"/>
    <s v="domestic"/>
    <x v="11"/>
    <x v="11"/>
    <n v="6411420"/>
    <n v="5550"/>
    <d v="2023-01-18T00:00:00"/>
    <s v="PAID"/>
    <x v="11"/>
    <n v="142333"/>
    <n v="1"/>
    <s v="Indonesia"/>
    <s v="TJL - JPP"/>
    <x v="0"/>
  </r>
  <r>
    <s v="CLICTRUCK-043308"/>
    <s v="domestic"/>
    <x v="11"/>
    <x v="11"/>
    <n v="10244880"/>
    <n v="5550"/>
    <d v="2023-01-18T00:00:00"/>
    <s v="PAID"/>
    <x v="11"/>
    <n v="227435"/>
    <n v="1"/>
    <s v="Indonesia"/>
    <s v="TJL - JPP"/>
    <x v="0"/>
  </r>
  <r>
    <s v="CLICTRUCK-043309"/>
    <s v="domestic"/>
    <x v="11"/>
    <x v="11"/>
    <n v="9102330"/>
    <n v="5550"/>
    <d v="2023-01-18T00:00:00"/>
    <s v="PAID"/>
    <x v="11"/>
    <n v="202071"/>
    <n v="1"/>
    <s v="Indonesia"/>
    <s v="TJL - JPP"/>
    <x v="0"/>
  </r>
  <r>
    <s v="CLICTRUCK-043310"/>
    <s v="domestic"/>
    <x v="11"/>
    <x v="11"/>
    <n v="14033625"/>
    <n v="5550"/>
    <d v="2023-01-18T00:00:00"/>
    <s v="PAID"/>
    <x v="11"/>
    <n v="311545"/>
    <n v="1"/>
    <s v="Indonesia"/>
    <s v="TJL - JPP"/>
    <x v="0"/>
  </r>
  <r>
    <s v="CLICTRUCK-043311"/>
    <s v="domestic"/>
    <x v="11"/>
    <x v="11"/>
    <n v="5293450"/>
    <n v="5550"/>
    <d v="2023-01-18T00:00:00"/>
    <s v="PAID"/>
    <x v="11"/>
    <n v="117514"/>
    <n v="1"/>
    <s v="Indonesia"/>
    <s v="TJL - JPP"/>
    <x v="0"/>
  </r>
  <r>
    <s v="CLICTRUCK-043312"/>
    <s v="domestic"/>
    <x v="11"/>
    <x v="11"/>
    <n v="5293450"/>
    <n v="5550"/>
    <d v="2023-01-18T00:00:00"/>
    <s v="PAID"/>
    <x v="11"/>
    <n v="117514"/>
    <n v="1"/>
    <s v="Indonesia"/>
    <s v="TJL - JPP"/>
    <x v="0"/>
  </r>
  <r>
    <s v="CLICTRUCK-043313"/>
    <s v="domestic"/>
    <x v="11"/>
    <x v="11"/>
    <n v="13541825"/>
    <n v="5550"/>
    <d v="2023-01-18T00:00:00"/>
    <s v="PAID"/>
    <x v="11"/>
    <n v="300627"/>
    <n v="1"/>
    <s v="Indonesia"/>
    <s v="TJL - JPP"/>
    <x v="0"/>
  </r>
  <r>
    <s v="CLICTRUCK-043314"/>
    <s v="domestic"/>
    <x v="11"/>
    <x v="9"/>
    <n v="340060"/>
    <n v="24975"/>
    <d v="2023-01-24T00:00:00"/>
    <s v="UNPAID"/>
    <x v="9"/>
    <n v="11323"/>
    <n v="1"/>
    <s v="Indonesia"/>
    <s v="YSN-SSA"/>
    <x v="0"/>
  </r>
  <r>
    <s v="CLICTRUCK-043315"/>
    <s v="domestic"/>
    <x v="11"/>
    <x v="11"/>
    <n v="6549825"/>
    <n v="5550"/>
    <d v="2023-01-18T00:00:00"/>
    <s v="PAID"/>
    <x v="11"/>
    <n v="145405"/>
    <n v="1"/>
    <s v="Indonesia"/>
    <s v="TJL - JPP"/>
    <x v="0"/>
  </r>
  <r>
    <s v="CLICTRUCK-043316"/>
    <s v="domestic"/>
    <x v="11"/>
    <x v="11"/>
    <n v="13541825"/>
    <n v="5550"/>
    <d v="2023-01-18T00:00:00"/>
    <s v="PAID"/>
    <x v="11"/>
    <n v="300627"/>
    <n v="1"/>
    <s v="Indonesia"/>
    <s v="TJL - JPP"/>
    <x v="0"/>
  </r>
  <r>
    <s v="CLICTRUCK-043317"/>
    <s v="domestic"/>
    <x v="11"/>
    <x v="11"/>
    <n v="13541825"/>
    <n v="5550"/>
    <d v="2023-01-18T00:00:00"/>
    <s v="PAID"/>
    <x v="11"/>
    <n v="300627"/>
    <n v="1"/>
    <s v="Indonesia"/>
    <s v="TJL - JPP"/>
    <x v="0"/>
  </r>
  <r>
    <s v="CLICTRUCK-043318"/>
    <s v="domestic"/>
    <x v="11"/>
    <x v="11"/>
    <n v="13541825"/>
    <n v="5550"/>
    <d v="2023-01-18T00:00:00"/>
    <s v="PAID"/>
    <x v="11"/>
    <n v="300627"/>
    <n v="1"/>
    <s v="Indonesia"/>
    <s v="TJL - JPP"/>
    <x v="0"/>
  </r>
  <r>
    <s v="CLICTRUCK-043319"/>
    <s v="domestic"/>
    <x v="11"/>
    <x v="11"/>
    <n v="13541825"/>
    <n v="5550"/>
    <d v="2023-01-18T00:00:00"/>
    <s v="PAID"/>
    <x v="11"/>
    <n v="300627"/>
    <n v="1"/>
    <s v="Indonesia"/>
    <s v="TJL - JPP"/>
    <x v="0"/>
  </r>
  <r>
    <s v="CLICTRUCK-043320"/>
    <s v="domestic"/>
    <x v="11"/>
    <x v="11"/>
    <n v="13541825"/>
    <n v="5550"/>
    <d v="2023-01-18T00:00:00"/>
    <s v="PAID"/>
    <x v="11"/>
    <n v="300627"/>
    <n v="1"/>
    <s v="Indonesia"/>
    <s v="TJL - JPP"/>
    <x v="0"/>
  </r>
  <r>
    <s v="CLICTRUCK-043321"/>
    <s v="domestic"/>
    <x v="11"/>
    <x v="11"/>
    <n v="14350000"/>
    <n v="5550"/>
    <d v="2023-01-18T00:00:00"/>
    <s v="PAID"/>
    <x v="11"/>
    <n v="318570"/>
    <n v="1"/>
    <s v="Indonesia"/>
    <s v="TJL - JPP"/>
    <x v="0"/>
  </r>
  <r>
    <s v="CLICTRUCK-043328"/>
    <s v="domestic"/>
    <x v="12"/>
    <x v="10"/>
    <n v="2062440"/>
    <n v="22200"/>
    <d v="2023-01-18T00:00:00"/>
    <s v="PAID"/>
    <x v="10"/>
    <n v="91571"/>
    <n v="1"/>
    <s v="Indonesia"/>
    <s v="ZLog-ZENSHIN"/>
    <x v="0"/>
  </r>
  <r>
    <s v="CLICTRUCK-043329"/>
    <s v="domestic"/>
    <x v="12"/>
    <x v="9"/>
    <n v="340060"/>
    <n v="24975"/>
    <d v="2023-01-24T00:00:00"/>
    <s v="UNPAID"/>
    <x v="9"/>
    <n v="11323"/>
    <n v="1"/>
    <s v="Indonesia"/>
    <s v="YSN-SSA"/>
    <x v="0"/>
  </r>
  <r>
    <s v="CLICTRUCK-043330"/>
    <s v="domestic"/>
    <x v="12"/>
    <x v="9"/>
    <n v="340060"/>
    <n v="24975"/>
    <d v="2023-01-24T00:00:00"/>
    <s v="UNPAID"/>
    <x v="9"/>
    <n v="11323"/>
    <n v="1"/>
    <s v="Indonesia"/>
    <s v="YSN-SSA"/>
    <x v="0"/>
  </r>
  <r>
    <s v="CLICTRUCK-043331"/>
    <s v="domestic"/>
    <x v="12"/>
    <x v="12"/>
    <n v="17500000"/>
    <n v="27750"/>
    <d v="2023-01-19T00:00:00"/>
    <s v="PAID"/>
    <x v="13"/>
    <n v="485625"/>
    <n v="1"/>
    <s v="Indonesia"/>
    <s v="RPL - NBM"/>
    <x v="0"/>
  </r>
  <r>
    <s v="CLICTRUCK-043332"/>
    <s v="domestic"/>
    <x v="12"/>
    <x v="12"/>
    <n v="17500000"/>
    <n v="27750"/>
    <d v="2023-01-22T00:00:00"/>
    <s v="PAID"/>
    <x v="13"/>
    <n v="485625"/>
    <n v="1"/>
    <s v="Indonesia"/>
    <s v="RPL - NBM"/>
    <x v="0"/>
  </r>
  <r>
    <s v="CLICTRUCK-043333"/>
    <s v="domestic"/>
    <x v="12"/>
    <x v="12"/>
    <n v="13500000"/>
    <n v="27750"/>
    <d v="2023-01-22T00:00:00"/>
    <s v="PAID"/>
    <x v="13"/>
    <n v="374625"/>
    <n v="1"/>
    <s v="Indonesia"/>
    <s v="RPL - NBM"/>
    <x v="0"/>
  </r>
  <r>
    <s v="CLICTRUCK-043335"/>
    <s v="domestic"/>
    <x v="12"/>
    <x v="9"/>
    <n v="313600"/>
    <n v="24975"/>
    <d v="2023-01-24T00:00:00"/>
    <s v="UNPAID"/>
    <x v="9"/>
    <n v="10442"/>
    <n v="1"/>
    <s v="Indonesia"/>
    <s v="YSN-SSA"/>
    <x v="0"/>
  </r>
  <r>
    <s v="CLICTRUCK-043336"/>
    <s v="domestic"/>
    <x v="12"/>
    <x v="9"/>
    <n v="1345641"/>
    <n v="24975"/>
    <d v="2023-01-24T00:00:00"/>
    <s v="PAID"/>
    <x v="12"/>
    <n v="44809"/>
    <n v="1"/>
    <s v="Indonesia"/>
    <s v="YSN-MRN"/>
    <x v="0"/>
  </r>
  <r>
    <s v="CLICTRUCK-043337"/>
    <s v="domestic"/>
    <x v="12"/>
    <x v="9"/>
    <n v="602556"/>
    <n v="24975"/>
    <d v="2023-01-24T00:00:00"/>
    <s v="PAID"/>
    <x v="12"/>
    <n v="20064"/>
    <n v="1"/>
    <s v="Indonesia"/>
    <s v="YSN-MRN"/>
    <x v="0"/>
  </r>
  <r>
    <s v="CLICTRUCK-043338"/>
    <s v="domestic"/>
    <x v="13"/>
    <x v="12"/>
    <n v="17500000"/>
    <n v="27750"/>
    <d v="2023-01-23T00:00:00"/>
    <s v="PAID"/>
    <x v="13"/>
    <n v="485625"/>
    <n v="1"/>
    <s v="Indonesia"/>
    <s v="RPL - NBM"/>
    <x v="0"/>
  </r>
  <r>
    <s v="CLICTRUCK-043339"/>
    <s v="domestic"/>
    <x v="13"/>
    <x v="12"/>
    <n v="13500000"/>
    <n v="27750"/>
    <d v="2023-01-22T00:00:00"/>
    <s v="PAID"/>
    <x v="13"/>
    <n v="374625"/>
    <n v="1"/>
    <s v="Indonesia"/>
    <s v="RPL - NBM"/>
    <x v="0"/>
  </r>
  <r>
    <s v="CLICTRUCK-043340"/>
    <s v="domestic"/>
    <x v="13"/>
    <x v="9"/>
    <n v="340060"/>
    <n v="24975"/>
    <d v="2023-01-24T00:00:00"/>
    <s v="UNPAID"/>
    <x v="9"/>
    <n v="11323"/>
    <n v="1"/>
    <s v="Indonesia"/>
    <s v="YSN-SSA"/>
    <x v="0"/>
  </r>
  <r>
    <s v="CLICTRUCK-043341"/>
    <s v="domestic"/>
    <x v="13"/>
    <x v="9"/>
    <n v="848229"/>
    <n v="24975"/>
    <d v="2023-01-24T00:00:00"/>
    <s v="PAID"/>
    <x v="12"/>
    <n v="28245"/>
    <n v="1"/>
    <s v="Indonesia"/>
    <s v="YSN-MRN"/>
    <x v="0"/>
  </r>
  <r>
    <s v="CLICTRUCK-043342"/>
    <s v="domestic"/>
    <x v="13"/>
    <x v="9"/>
    <n v="1152540"/>
    <n v="24975"/>
    <d v="2023-01-24T00:00:00"/>
    <s v="PAID"/>
    <x v="12"/>
    <n v="38379"/>
    <n v="1"/>
    <s v="Indonesia"/>
    <s v="YSN-MRN"/>
    <x v="0"/>
  </r>
  <r>
    <s v="CLICTRUCK-043343"/>
    <s v="domestic"/>
    <x v="13"/>
    <x v="9"/>
    <n v="353290"/>
    <n v="24975"/>
    <d v="2023-01-24T00:00:00"/>
    <s v="UNPAID"/>
    <x v="9"/>
    <n v="11763"/>
    <n v="1"/>
    <s v="Indonesia"/>
    <s v="YSN-SSA"/>
    <x v="0"/>
  </r>
  <r>
    <s v="CLICTRUCK-043344"/>
    <s v="domestic"/>
    <x v="13"/>
    <x v="9"/>
    <n v="831042"/>
    <n v="24975"/>
    <d v="2023-01-24T00:00:00"/>
    <s v="PAID"/>
    <x v="12"/>
    <n v="27673"/>
    <n v="1"/>
    <s v="Indonesia"/>
    <s v="YSN-MRN"/>
    <x v="0"/>
  </r>
  <r>
    <s v="CLICTRUCK-043366"/>
    <s v="domestic"/>
    <x v="13"/>
    <x v="9"/>
    <n v="783323"/>
    <n v="24975"/>
    <d v="2023-01-24T00:00:00"/>
    <s v="PAID"/>
    <x v="12"/>
    <n v="26083"/>
    <n v="1"/>
    <s v="Indonesia"/>
    <s v="YSN-MRN"/>
    <x v="0"/>
  </r>
  <r>
    <s v="CLICTRUCK-043367"/>
    <s v="domestic"/>
    <x v="13"/>
    <x v="9"/>
    <n v="399350"/>
    <n v="24975"/>
    <d v="2023-01-24T00:00:00"/>
    <s v="UNPAID"/>
    <x v="9"/>
    <n v="13297"/>
    <n v="1"/>
    <s v="Indonesia"/>
    <s v="YSN-SSA"/>
    <x v="0"/>
  </r>
  <r>
    <s v="CLICTRUCK-043368"/>
    <s v="domestic"/>
    <x v="14"/>
    <x v="12"/>
    <n v="13500000"/>
    <n v="27750"/>
    <d v="2023-01-23T00:00:00"/>
    <s v="PAID"/>
    <x v="13"/>
    <n v="374625"/>
    <n v="1"/>
    <s v="Indonesia"/>
    <s v="RPL - NBM"/>
    <x v="0"/>
  </r>
  <r>
    <s v="CLICTRUCK-043369"/>
    <s v="domestic"/>
    <x v="14"/>
    <x v="9"/>
    <n v="340060"/>
    <n v="24975"/>
    <d v="2023-01-24T00:00:00"/>
    <s v="UNPAID"/>
    <x v="9"/>
    <n v="11323"/>
    <n v="1"/>
    <s v="Indonesia"/>
    <s v="YSN-SSA"/>
    <x v="0"/>
  </r>
  <r>
    <s v="CLICTRUCK-043414"/>
    <s v="domestic"/>
    <x v="15"/>
    <x v="12"/>
    <n v="13500000"/>
    <n v="27750"/>
    <d v="2023-01-24T00:00:00"/>
    <s v="PAID"/>
    <x v="13"/>
    <n v="374625"/>
    <n v="1"/>
    <s v="Indonesia"/>
    <s v="RPL - NBM"/>
    <x v="0"/>
  </r>
  <r>
    <s v="CLICTRUCK-043415"/>
    <s v="domestic"/>
    <x v="117"/>
    <x v="9"/>
    <n v="340060"/>
    <n v="24975"/>
    <d v="2023-01-24T00:00:00"/>
    <s v="UNPAID"/>
    <x v="9"/>
    <n v="11323"/>
    <n v="1"/>
    <s v="Indonesia"/>
    <s v="YSN-SSA"/>
    <x v="0"/>
  </r>
  <r>
    <s v="CLICTRUCK-043416"/>
    <s v="domestic"/>
    <x v="117"/>
    <x v="10"/>
    <n v="3094924"/>
    <n v="22200"/>
    <d v="2023-01-28T00:00:00"/>
    <s v="PAID"/>
    <x v="10"/>
    <n v="137413"/>
    <n v="1"/>
    <s v="Indonesia"/>
    <s v="ZLog-ZENSHIN"/>
    <x v="0"/>
  </r>
  <r>
    <s v="CLICTRUCK-043417"/>
    <s v="domestic"/>
    <x v="117"/>
    <x v="10"/>
    <n v="4323036"/>
    <n v="22200"/>
    <d v="2023-02-11T00:00:00"/>
    <s v="PAID"/>
    <x v="10"/>
    <n v="191942"/>
    <n v="1"/>
    <s v="Indonesia"/>
    <s v="ZLog-ZENSHIN"/>
    <x v="0"/>
  </r>
  <r>
    <s v="CLICTRUCK-043418"/>
    <s v="domestic"/>
    <x v="117"/>
    <x v="10"/>
    <n v="2773173"/>
    <n v="22200"/>
    <d v="2023-02-10T00:00:00"/>
    <s v="PAID"/>
    <x v="10"/>
    <n v="123127"/>
    <n v="1"/>
    <s v="Indonesia"/>
    <s v="ZLog-ZENSHIN"/>
    <x v="0"/>
  </r>
  <r>
    <s v="CLICTRUCK-043419"/>
    <s v="domestic"/>
    <x v="117"/>
    <x v="9"/>
    <n v="274890"/>
    <n v="24975"/>
    <d v="2023-02-03T00:00:00"/>
    <s v="UNPAID"/>
    <x v="9"/>
    <n v="9153"/>
    <n v="1"/>
    <s v="Indonesia"/>
    <s v="YSN-SSA"/>
    <x v="0"/>
  </r>
  <r>
    <s v="CLICTRUCK-043421"/>
    <s v="domestic"/>
    <x v="16"/>
    <x v="12"/>
    <n v="13500000"/>
    <n v="27750"/>
    <d v="2023-01-25T00:00:00"/>
    <s v="PAID"/>
    <x v="13"/>
    <n v="374625"/>
    <n v="1"/>
    <s v="Indonesia"/>
    <s v="RPL - NBM"/>
    <x v="0"/>
  </r>
  <r>
    <s v="CLICTRUCK-043427"/>
    <s v="domestic"/>
    <x v="118"/>
    <x v="9"/>
    <n v="287630"/>
    <n v="24975"/>
    <d v="2023-02-03T00:00:00"/>
    <s v="UNPAID"/>
    <x v="9"/>
    <n v="9577"/>
    <n v="1"/>
    <s v="Indonesia"/>
    <s v="YSN-SSA"/>
    <x v="0"/>
  </r>
  <r>
    <s v="CLICTRUCK-043428"/>
    <s v="domestic"/>
    <x v="118"/>
    <x v="9"/>
    <n v="245490"/>
    <n v="24975"/>
    <d v="2023-02-03T00:00:00"/>
    <s v="UNPAID"/>
    <x v="9"/>
    <n v="8174"/>
    <n v="1"/>
    <s v="Indonesia"/>
    <s v="YSN-SSA"/>
    <x v="0"/>
  </r>
  <r>
    <s v="CLICTRUCK-043429"/>
    <s v="domestic"/>
    <x v="118"/>
    <x v="9"/>
    <n v="602556"/>
    <n v="24975"/>
    <d v="2023-01-30T00:00:00"/>
    <s v="UNPAID"/>
    <x v="12"/>
    <n v="20064"/>
    <n v="1"/>
    <s v="Indonesia"/>
    <s v="YSN-MRN"/>
    <x v="0"/>
  </r>
  <r>
    <s v="CLICTRUCK-043430"/>
    <s v="domestic"/>
    <x v="118"/>
    <x v="9"/>
    <n v="730953"/>
    <n v="24975"/>
    <d v="2023-01-30T00:00:00"/>
    <s v="UNPAID"/>
    <x v="12"/>
    <n v="24340"/>
    <n v="1"/>
    <s v="Indonesia"/>
    <s v="YSN-MRN"/>
    <x v="0"/>
  </r>
  <r>
    <s v="CLICTRUCK-043431"/>
    <s v="domestic"/>
    <x v="118"/>
    <x v="9"/>
    <n v="340060"/>
    <n v="24975"/>
    <d v="2023-02-03T00:00:00"/>
    <s v="UNPAID"/>
    <x v="9"/>
    <n v="11323"/>
    <n v="1"/>
    <s v="Indonesia"/>
    <s v="YSN-SSA"/>
    <x v="0"/>
  </r>
  <r>
    <s v="CLICTRUCK-043432"/>
    <s v="domestic"/>
    <x v="118"/>
    <x v="9"/>
    <n v="340060"/>
    <n v="24975"/>
    <d v="2023-02-03T00:00:00"/>
    <s v="UNPAID"/>
    <x v="9"/>
    <n v="11323"/>
    <n v="1"/>
    <s v="Indonesia"/>
    <s v="YSN-SSA"/>
    <x v="0"/>
  </r>
  <r>
    <s v="CLICTRUCK-043433"/>
    <s v="domestic"/>
    <x v="118"/>
    <x v="9"/>
    <n v="372400"/>
    <n v="24975"/>
    <d v="2023-02-03T00:00:00"/>
    <s v="UNPAID"/>
    <x v="9"/>
    <n v="12400"/>
    <n v="1"/>
    <s v="Indonesia"/>
    <s v="YSN-SSA"/>
    <x v="0"/>
  </r>
  <r>
    <s v="CLICTRUCK-043434"/>
    <s v="domestic"/>
    <x v="118"/>
    <x v="9"/>
    <n v="458150"/>
    <n v="24975"/>
    <d v="2023-02-03T00:00:00"/>
    <s v="UNPAID"/>
    <x v="9"/>
    <n v="15255"/>
    <n v="1"/>
    <s v="Indonesia"/>
    <s v="YSN-SSA"/>
    <x v="0"/>
  </r>
  <r>
    <s v="CLICTRUCK-043440"/>
    <s v="domestic"/>
    <x v="17"/>
    <x v="13"/>
    <n v="1100000"/>
    <m/>
    <m/>
    <s v="NEW"/>
    <x v="14"/>
    <n v="0"/>
    <n v="1"/>
    <s v="Indonesia"/>
    <s v="JIP - PJM"/>
    <x v="1"/>
  </r>
  <r>
    <s v="CLICTRUCK-043442"/>
    <s v="domestic"/>
    <x v="17"/>
    <x v="9"/>
    <n v="274400"/>
    <n v="24975"/>
    <d v="2023-02-03T00:00:00"/>
    <s v="UNPAID"/>
    <x v="9"/>
    <n v="9137"/>
    <n v="1"/>
    <s v="Indonesia"/>
    <s v="YSN-SSA"/>
    <x v="0"/>
  </r>
  <r>
    <s v="CLICTRUCK-043443"/>
    <s v="domestic"/>
    <x v="17"/>
    <x v="13"/>
    <n v="1100000"/>
    <m/>
    <m/>
    <s v="NEW"/>
    <x v="14"/>
    <n v="0"/>
    <n v="1"/>
    <s v="Indonesia"/>
    <s v="JIP - PJM"/>
    <x v="1"/>
  </r>
  <r>
    <s v="CLICTRUCK-043444"/>
    <s v="domestic"/>
    <x v="17"/>
    <x v="13"/>
    <n v="2400000"/>
    <m/>
    <m/>
    <s v="NEW"/>
    <x v="14"/>
    <n v="0"/>
    <n v="1"/>
    <s v="Indonesia"/>
    <s v="JIP - PJM"/>
    <x v="1"/>
  </r>
  <r>
    <s v="CLICTRUCK-043445"/>
    <s v="domestic"/>
    <x v="17"/>
    <x v="12"/>
    <n v="17500000"/>
    <n v="27750"/>
    <d v="2023-01-28T00:00:00"/>
    <s v="PAID"/>
    <x v="13"/>
    <n v="485625"/>
    <n v="1"/>
    <s v="Indonesia"/>
    <s v="RPL - NBM"/>
    <x v="0"/>
  </r>
  <r>
    <s v="CLICTRUCK-043447"/>
    <s v="domestic"/>
    <x v="17"/>
    <x v="12"/>
    <n v="17500000"/>
    <n v="27750"/>
    <d v="2023-01-28T00:00:00"/>
    <s v="PAID"/>
    <x v="13"/>
    <n v="485625"/>
    <n v="1"/>
    <s v="Indonesia"/>
    <s v="RPL - NBM"/>
    <x v="0"/>
  </r>
  <r>
    <s v="CLICTRUCK-043448"/>
    <s v="domestic"/>
    <x v="17"/>
    <x v="13"/>
    <n v="850000"/>
    <m/>
    <m/>
    <s v="NEW"/>
    <x v="14"/>
    <n v="0"/>
    <n v="1"/>
    <s v="Indonesia"/>
    <s v="JIP - PJM"/>
    <x v="1"/>
  </r>
  <r>
    <s v="CLICTRUCK-043449"/>
    <s v="domestic"/>
    <x v="17"/>
    <x v="12"/>
    <n v="17500000"/>
    <n v="27750"/>
    <d v="2023-01-30T00:00:00"/>
    <s v="PAID"/>
    <x v="13"/>
    <n v="485625"/>
    <n v="1"/>
    <s v="Indonesia"/>
    <s v="RPL - NBM"/>
    <x v="0"/>
  </r>
  <r>
    <s v="CLICTRUCK-043450"/>
    <s v="domestic"/>
    <x v="17"/>
    <x v="13"/>
    <n v="850000"/>
    <m/>
    <m/>
    <s v="NEW"/>
    <x v="14"/>
    <n v="0"/>
    <n v="1"/>
    <s v="Indonesia"/>
    <s v="JIP - PJM"/>
    <x v="1"/>
  </r>
  <r>
    <s v="CLICTRUCK-043451"/>
    <s v="domestic"/>
    <x v="17"/>
    <x v="13"/>
    <n v="850000"/>
    <m/>
    <m/>
    <s v="NEW"/>
    <x v="14"/>
    <n v="0"/>
    <n v="1"/>
    <s v="Indonesia"/>
    <s v="JIP - PJM"/>
    <x v="1"/>
  </r>
  <r>
    <s v="CLICTRUCK-043453"/>
    <s v="domestic"/>
    <x v="17"/>
    <x v="13"/>
    <n v="1100000"/>
    <m/>
    <m/>
    <s v="NEW"/>
    <x v="14"/>
    <n v="0"/>
    <n v="1"/>
    <s v="Indonesia"/>
    <s v="JIP - PJM"/>
    <x v="1"/>
  </r>
  <r>
    <s v="CLICTRUCK-043454"/>
    <s v="domestic"/>
    <x v="17"/>
    <x v="13"/>
    <n v="1100000"/>
    <m/>
    <m/>
    <s v="NEW"/>
    <x v="14"/>
    <n v="0"/>
    <n v="1"/>
    <s v="Indonesia"/>
    <s v="JIP - PJM"/>
    <x v="1"/>
  </r>
  <r>
    <s v="CLICTRUCK-043456"/>
    <s v="domestic"/>
    <x v="17"/>
    <x v="13"/>
    <n v="7000000"/>
    <m/>
    <m/>
    <s v="NEW"/>
    <x v="14"/>
    <n v="0"/>
    <n v="1"/>
    <s v="Indonesia"/>
    <s v="JIP - PJM"/>
    <x v="1"/>
  </r>
  <r>
    <s v="CLICTRUCK-043460"/>
    <s v="domestic"/>
    <x v="17"/>
    <x v="13"/>
    <n v="1100000"/>
    <m/>
    <m/>
    <s v="NEW"/>
    <x v="14"/>
    <n v="0"/>
    <n v="1"/>
    <s v="Indonesia"/>
    <s v="JIP - PJM"/>
    <x v="1"/>
  </r>
  <r>
    <s v="CLICTRUCK-043462"/>
    <s v="domestic"/>
    <x v="17"/>
    <x v="13"/>
    <n v="2400000"/>
    <m/>
    <m/>
    <s v="NEW"/>
    <x v="14"/>
    <n v="0"/>
    <n v="1"/>
    <s v="Indonesia"/>
    <s v="JIP - PJM"/>
    <x v="1"/>
  </r>
  <r>
    <s v="CLICTRUCK-043465"/>
    <s v="domestic"/>
    <x v="17"/>
    <x v="13"/>
    <n v="1100000"/>
    <m/>
    <m/>
    <s v="NEW"/>
    <x v="14"/>
    <n v="0"/>
    <n v="1"/>
    <s v="Indonesia"/>
    <s v="JIP - PJM"/>
    <x v="1"/>
  </r>
  <r>
    <s v="CLICTRUCK-043471"/>
    <s v="domestic"/>
    <x v="17"/>
    <x v="13"/>
    <n v="1100000"/>
    <m/>
    <m/>
    <s v="NEW"/>
    <x v="14"/>
    <n v="0"/>
    <n v="1"/>
    <s v="Indonesia"/>
    <s v="JIP - PJM"/>
    <x v="1"/>
  </r>
  <r>
    <s v="CLICTRUCK-043473"/>
    <s v="domestic"/>
    <x v="17"/>
    <x v="13"/>
    <n v="850000"/>
    <m/>
    <m/>
    <s v="NEW"/>
    <x v="14"/>
    <n v="0"/>
    <n v="1"/>
    <s v="Indonesia"/>
    <s v="JIP - PJM"/>
    <x v="1"/>
  </r>
  <r>
    <s v="CLICTRUCK-043474"/>
    <s v="domestic"/>
    <x v="17"/>
    <x v="13"/>
    <n v="550000"/>
    <m/>
    <m/>
    <s v="NEW"/>
    <x v="14"/>
    <n v="0"/>
    <n v="1"/>
    <s v="Indonesia"/>
    <s v="JIP - PJM"/>
    <x v="1"/>
  </r>
  <r>
    <s v="CLICTRUCK-043476"/>
    <s v="domestic"/>
    <x v="17"/>
    <x v="14"/>
    <n v="16400000"/>
    <n v="910200"/>
    <d v="2023-01-26T00:00:00"/>
    <s v="PAID"/>
    <x v="15"/>
    <n v="55500"/>
    <n v="1"/>
    <s v="Indonesia"/>
    <s v="SKA - PKS"/>
    <x v="0"/>
  </r>
  <r>
    <s v="CLICTRUCK-043477"/>
    <s v="domestic"/>
    <x v="17"/>
    <x v="14"/>
    <n v="16400000"/>
    <n v="910200"/>
    <d v="2023-01-26T00:00:00"/>
    <s v="PAID"/>
    <x v="15"/>
    <n v="55500"/>
    <n v="1"/>
    <s v="Indonesia"/>
    <s v="SKA - PKS"/>
    <x v="0"/>
  </r>
  <r>
    <s v="CLICTRUCK-043478"/>
    <s v="domestic"/>
    <x v="17"/>
    <x v="14"/>
    <n v="48000000"/>
    <n v="2664000"/>
    <d v="2023-01-26T00:00:00"/>
    <s v="PAID"/>
    <x v="15"/>
    <n v="55500"/>
    <n v="1"/>
    <s v="Indonesia"/>
    <s v="SKA - PKS"/>
    <x v="0"/>
  </r>
  <r>
    <s v="CLICTRUCK-043482"/>
    <s v="domestic"/>
    <x v="17"/>
    <x v="13"/>
    <n v="850000"/>
    <m/>
    <m/>
    <s v="NEW"/>
    <x v="14"/>
    <n v="0"/>
    <n v="1"/>
    <s v="Indonesia"/>
    <s v="JIP - PJM"/>
    <x v="1"/>
  </r>
  <r>
    <s v="CLICTRUCK-043483"/>
    <s v="domestic"/>
    <x v="17"/>
    <x v="13"/>
    <n v="850000"/>
    <m/>
    <m/>
    <s v="NEW"/>
    <x v="14"/>
    <n v="0"/>
    <n v="1"/>
    <s v="Indonesia"/>
    <s v="JIP - PJM"/>
    <x v="1"/>
  </r>
  <r>
    <s v="CLICTRUCK-043484"/>
    <s v="domestic"/>
    <x v="17"/>
    <x v="15"/>
    <n v="31210800"/>
    <n v="55500"/>
    <d v="2023-01-26T00:00:00"/>
    <s v="PAID"/>
    <x v="16"/>
    <n v="692879"/>
    <n v="1"/>
    <s v="Indonesia"/>
    <s v="DFI-BGP"/>
    <x v="0"/>
  </r>
  <r>
    <s v="CLICTRUCK-043485"/>
    <s v="domestic"/>
    <x v="17"/>
    <x v="13"/>
    <n v="1100000"/>
    <m/>
    <m/>
    <s v="NEW"/>
    <x v="14"/>
    <n v="0"/>
    <n v="1"/>
    <s v="Indonesia"/>
    <s v="JIP - PJM"/>
    <x v="1"/>
  </r>
  <r>
    <s v="CLICTRUCK-043486"/>
    <s v="domestic"/>
    <x v="17"/>
    <x v="13"/>
    <n v="550000"/>
    <m/>
    <m/>
    <s v="NEW"/>
    <x v="14"/>
    <n v="0"/>
    <n v="1"/>
    <s v="Indonesia"/>
    <s v="JIP - PJM"/>
    <x v="1"/>
  </r>
  <r>
    <s v="CLICTRUCK-043487"/>
    <s v="domestic"/>
    <x v="17"/>
    <x v="13"/>
    <n v="1100000"/>
    <m/>
    <m/>
    <s v="NEW"/>
    <x v="14"/>
    <n v="0"/>
    <n v="1"/>
    <s v="Indonesia"/>
    <s v="JIP - PJM"/>
    <x v="1"/>
  </r>
  <r>
    <s v="CLICTRUCK-043488"/>
    <s v="domestic"/>
    <x v="17"/>
    <x v="13"/>
    <n v="550000"/>
    <m/>
    <m/>
    <s v="NEW"/>
    <x v="14"/>
    <n v="0"/>
    <n v="1"/>
    <s v="Indonesia"/>
    <s v="JIP - PJM"/>
    <x v="1"/>
  </r>
  <r>
    <s v="CLICTRUCK-043489"/>
    <s v="domestic"/>
    <x v="17"/>
    <x v="13"/>
    <n v="1100000"/>
    <m/>
    <m/>
    <s v="NEW"/>
    <x v="14"/>
    <n v="0"/>
    <n v="1"/>
    <s v="Indonesia"/>
    <s v="JIP - PJM"/>
    <x v="1"/>
  </r>
  <r>
    <s v="CLICTRUCK-043490"/>
    <s v="domestic"/>
    <x v="17"/>
    <x v="13"/>
    <n v="1100000"/>
    <m/>
    <m/>
    <s v="NEW"/>
    <x v="14"/>
    <n v="0"/>
    <n v="1"/>
    <s v="Indonesia"/>
    <s v="JIP - PJM"/>
    <x v="1"/>
  </r>
  <r>
    <s v="CLICTRUCK-043491"/>
    <s v="domestic"/>
    <x v="17"/>
    <x v="13"/>
    <n v="850000"/>
    <m/>
    <m/>
    <s v="NEW"/>
    <x v="14"/>
    <n v="0"/>
    <n v="1"/>
    <s v="Indonesia"/>
    <s v="JIP - PJM"/>
    <x v="1"/>
  </r>
  <r>
    <s v="CLICTRUCK-043492"/>
    <s v="domestic"/>
    <x v="17"/>
    <x v="13"/>
    <n v="550000"/>
    <m/>
    <m/>
    <s v="NEW"/>
    <x v="14"/>
    <n v="0"/>
    <n v="1"/>
    <s v="Indonesia"/>
    <s v="JIP - PJM"/>
    <x v="1"/>
  </r>
  <r>
    <s v="CLICTRUCK-043493"/>
    <s v="domestic"/>
    <x v="17"/>
    <x v="13"/>
    <n v="2400000"/>
    <m/>
    <m/>
    <s v="NEW"/>
    <x v="14"/>
    <n v="0"/>
    <n v="1"/>
    <s v="Indonesia"/>
    <s v="JIP - PJM"/>
    <x v="1"/>
  </r>
  <r>
    <s v="CLICTRUCK-043494"/>
    <s v="domestic"/>
    <x v="17"/>
    <x v="13"/>
    <n v="1100000"/>
    <m/>
    <m/>
    <s v="NEW"/>
    <x v="14"/>
    <n v="0"/>
    <n v="1"/>
    <s v="Indonesia"/>
    <s v="JIP - PJM"/>
    <x v="1"/>
  </r>
  <r>
    <s v="CLICTRUCK-043495"/>
    <s v="domestic"/>
    <x v="17"/>
    <x v="13"/>
    <n v="1100000"/>
    <m/>
    <m/>
    <s v="NEW"/>
    <x v="14"/>
    <n v="0"/>
    <n v="1"/>
    <s v="Indonesia"/>
    <s v="JIP - PJM"/>
    <x v="1"/>
  </r>
  <r>
    <s v="CLICTRUCK-043496"/>
    <s v="domestic"/>
    <x v="17"/>
    <x v="13"/>
    <n v="1100000"/>
    <m/>
    <m/>
    <s v="NEW"/>
    <x v="14"/>
    <n v="0"/>
    <n v="1"/>
    <s v="Indonesia"/>
    <s v="JIP - PJM"/>
    <x v="1"/>
  </r>
  <r>
    <s v="CLICTRUCK-043497"/>
    <s v="domestic"/>
    <x v="17"/>
    <x v="13"/>
    <n v="1100000"/>
    <m/>
    <m/>
    <s v="NEW"/>
    <x v="14"/>
    <n v="0"/>
    <n v="1"/>
    <s v="Indonesia"/>
    <s v="JIP - PJM"/>
    <x v="1"/>
  </r>
  <r>
    <s v="CLICTRUCK-043498"/>
    <s v="domestic"/>
    <x v="17"/>
    <x v="13"/>
    <n v="1100000"/>
    <m/>
    <m/>
    <s v="NEW"/>
    <x v="14"/>
    <n v="0"/>
    <n v="1"/>
    <s v="Indonesia"/>
    <s v="JIP - PJM"/>
    <x v="1"/>
  </r>
  <r>
    <s v="CLICTRUCK-043499"/>
    <s v="domestic"/>
    <x v="17"/>
    <x v="13"/>
    <n v="550000"/>
    <m/>
    <m/>
    <s v="NEW"/>
    <x v="14"/>
    <n v="0"/>
    <n v="1"/>
    <s v="Indonesia"/>
    <s v="JIP - PJM"/>
    <x v="1"/>
  </r>
  <r>
    <s v="CLICTRUCK-043500"/>
    <s v="domestic"/>
    <x v="17"/>
    <x v="15"/>
    <n v="35972400"/>
    <n v="55500"/>
    <d v="2023-01-26T00:00:00"/>
    <s v="PAID"/>
    <x v="16"/>
    <n v="798587"/>
    <n v="1"/>
    <s v="Indonesia"/>
    <s v="DFI-BGP"/>
    <x v="0"/>
  </r>
  <r>
    <s v="CLICTRUCK-043501"/>
    <s v="domestic"/>
    <x v="17"/>
    <x v="13"/>
    <n v="1100000"/>
    <m/>
    <m/>
    <s v="NEW"/>
    <x v="14"/>
    <n v="0"/>
    <n v="1"/>
    <s v="Indonesia"/>
    <s v="JIP - PJM"/>
    <x v="1"/>
  </r>
  <r>
    <s v="CLICTRUCK-043502"/>
    <s v="domestic"/>
    <x v="17"/>
    <x v="13"/>
    <n v="1100000"/>
    <m/>
    <m/>
    <s v="NEW"/>
    <x v="14"/>
    <n v="0"/>
    <n v="1"/>
    <s v="Indonesia"/>
    <s v="JIP - PJM"/>
    <x v="1"/>
  </r>
  <r>
    <s v="CLICTRUCK-043503"/>
    <s v="domestic"/>
    <x v="17"/>
    <x v="13"/>
    <n v="2400000"/>
    <m/>
    <m/>
    <s v="NEW"/>
    <x v="14"/>
    <n v="0"/>
    <n v="1"/>
    <s v="Indonesia"/>
    <s v="JIP - PJM"/>
    <x v="1"/>
  </r>
  <r>
    <s v="CLICTRUCK-043504"/>
    <s v="domestic"/>
    <x v="17"/>
    <x v="15"/>
    <n v="24254400"/>
    <n v="55500"/>
    <d v="2023-01-26T00:00:00"/>
    <s v="PAID"/>
    <x v="16"/>
    <n v="538447"/>
    <n v="1"/>
    <s v="Indonesia"/>
    <s v="DFI-BGP"/>
    <x v="0"/>
  </r>
  <r>
    <s v="CLICTRUCK-043505"/>
    <s v="domestic"/>
    <x v="17"/>
    <x v="13"/>
    <n v="2400000"/>
    <m/>
    <m/>
    <s v="NEW"/>
    <x v="14"/>
    <n v="0"/>
    <n v="1"/>
    <s v="Indonesia"/>
    <s v="JIP - PJM"/>
    <x v="1"/>
  </r>
  <r>
    <s v="CLICTRUCK-043506"/>
    <s v="domestic"/>
    <x v="17"/>
    <x v="13"/>
    <n v="7000000"/>
    <m/>
    <m/>
    <s v="NEW"/>
    <x v="14"/>
    <n v="0"/>
    <n v="1"/>
    <s v="Indonesia"/>
    <s v="JIP - PJM"/>
    <x v="1"/>
  </r>
  <r>
    <s v="CLICTRUCK-043507"/>
    <s v="domestic"/>
    <x v="17"/>
    <x v="13"/>
    <n v="7000000"/>
    <m/>
    <m/>
    <s v="NEW"/>
    <x v="14"/>
    <n v="0"/>
    <n v="1"/>
    <s v="Indonesia"/>
    <s v="JIP - PJM"/>
    <x v="1"/>
  </r>
  <r>
    <s v="CLICTRUCK-043508"/>
    <s v="domestic"/>
    <x v="17"/>
    <x v="13"/>
    <n v="7000000"/>
    <m/>
    <m/>
    <s v="NEW"/>
    <x v="14"/>
    <n v="0"/>
    <n v="1"/>
    <s v="Indonesia"/>
    <s v="JIP - PJM"/>
    <x v="1"/>
  </r>
  <r>
    <s v="CLICTRUCK-043509"/>
    <s v="domestic"/>
    <x v="17"/>
    <x v="13"/>
    <n v="7000000"/>
    <m/>
    <m/>
    <s v="NEW"/>
    <x v="14"/>
    <n v="0"/>
    <n v="1"/>
    <s v="Indonesia"/>
    <s v="JIP - PJM"/>
    <x v="1"/>
  </r>
  <r>
    <s v="CLICTRUCK-043512"/>
    <s v="domestic"/>
    <x v="17"/>
    <x v="12"/>
    <n v="17500000"/>
    <n v="27750"/>
    <d v="2023-01-30T00:00:00"/>
    <s v="PAID"/>
    <x v="13"/>
    <n v="485625"/>
    <n v="1"/>
    <s v="Indonesia"/>
    <s v="RPL - NBM"/>
    <x v="0"/>
  </r>
  <r>
    <s v="CLICTRUCK-043521"/>
    <s v="domestic"/>
    <x v="18"/>
    <x v="16"/>
    <n v="7200000"/>
    <n v="199800"/>
    <d v="2023-01-27T00:00:00"/>
    <s v="PAID"/>
    <x v="17"/>
    <n v="27750"/>
    <n v="1"/>
    <s v="Indonesia"/>
    <s v="JMA - RKB"/>
    <x v="0"/>
  </r>
  <r>
    <s v="CLICTRUCK-043522"/>
    <s v="domestic"/>
    <x v="18"/>
    <x v="16"/>
    <n v="2950000"/>
    <n v="81862"/>
    <d v="2023-01-27T00:00:00"/>
    <s v="PAID"/>
    <x v="17"/>
    <n v="27750"/>
    <n v="1"/>
    <s v="Indonesia"/>
    <s v="JMA - RKB"/>
    <x v="0"/>
  </r>
  <r>
    <s v="CLICTRUCK-043523"/>
    <s v="domestic"/>
    <x v="18"/>
    <x v="9"/>
    <n v="340060"/>
    <n v="24975"/>
    <d v="2023-02-03T00:00:00"/>
    <s v="UNPAID"/>
    <x v="9"/>
    <n v="11323"/>
    <n v="1"/>
    <s v="Indonesia"/>
    <s v="YSN-SSA"/>
    <x v="0"/>
  </r>
  <r>
    <s v="CLICTRUCK-043525"/>
    <s v="domestic"/>
    <x v="18"/>
    <x v="13"/>
    <n v="1800000"/>
    <m/>
    <m/>
    <s v="NEW"/>
    <x v="14"/>
    <n v="0"/>
    <n v="1"/>
    <s v="Indonesia"/>
    <s v="JIP - PJM"/>
    <x v="1"/>
  </r>
  <r>
    <s v="CLICTRUCK-043526"/>
    <s v="domestic"/>
    <x v="18"/>
    <x v="13"/>
    <n v="1800000"/>
    <m/>
    <m/>
    <s v="NEW"/>
    <x v="14"/>
    <n v="0"/>
    <n v="1"/>
    <s v="Indonesia"/>
    <s v="JIP - PJM"/>
    <x v="1"/>
  </r>
  <r>
    <s v="CLICTRUCK-043527"/>
    <s v="domestic"/>
    <x v="18"/>
    <x v="13"/>
    <n v="7000000"/>
    <m/>
    <m/>
    <s v="NEW"/>
    <x v="14"/>
    <n v="0"/>
    <n v="1"/>
    <s v="Indonesia"/>
    <s v="JIP - PJM"/>
    <x v="1"/>
  </r>
  <r>
    <s v="CLICTRUCK-043528"/>
    <s v="domestic"/>
    <x v="18"/>
    <x v="13"/>
    <n v="7000000"/>
    <m/>
    <m/>
    <s v="NEW"/>
    <x v="14"/>
    <n v="0"/>
    <n v="1"/>
    <s v="Indonesia"/>
    <s v="JIP - PJM"/>
    <x v="1"/>
  </r>
  <r>
    <s v="CLICTRUCK-043529"/>
    <s v="domestic"/>
    <x v="18"/>
    <x v="9"/>
    <n v="458150"/>
    <n v="49950"/>
    <d v="2023-02-03T00:00:00"/>
    <s v="UNPAID"/>
    <x v="9"/>
    <n v="15255"/>
    <n v="2"/>
    <s v="Indonesia"/>
    <s v="YSN-SSA"/>
    <x v="0"/>
  </r>
  <r>
    <s v="CLICTRUCK-043530"/>
    <s v="domestic"/>
    <x v="18"/>
    <x v="13"/>
    <n v="1100000"/>
    <m/>
    <m/>
    <s v="NEW"/>
    <x v="14"/>
    <n v="0"/>
    <n v="1"/>
    <s v="Indonesia"/>
    <s v="JIP - PJM"/>
    <x v="1"/>
  </r>
  <r>
    <s v="CLICTRUCK-043531"/>
    <s v="domestic"/>
    <x v="18"/>
    <x v="9"/>
    <n v="274890"/>
    <n v="24975"/>
    <d v="2023-02-03T00:00:00"/>
    <s v="UNPAID"/>
    <x v="9"/>
    <n v="9153"/>
    <n v="1"/>
    <s v="Indonesia"/>
    <s v="YSN-SSA"/>
    <x v="0"/>
  </r>
  <r>
    <s v="CLICTRUCK-043532"/>
    <s v="domestic"/>
    <x v="18"/>
    <x v="16"/>
    <n v="2950000"/>
    <n v="81862"/>
    <d v="2023-01-27T00:00:00"/>
    <s v="PAID"/>
    <x v="17"/>
    <n v="27750"/>
    <n v="1"/>
    <s v="Indonesia"/>
    <s v="JMA - RKB"/>
    <x v="0"/>
  </r>
  <r>
    <s v="CLICTRUCK-043533"/>
    <s v="domestic"/>
    <x v="18"/>
    <x v="13"/>
    <n v="7000000"/>
    <m/>
    <m/>
    <s v="NEW"/>
    <x v="14"/>
    <n v="0"/>
    <n v="1"/>
    <s v="Indonesia"/>
    <s v="JIP - PJM"/>
    <x v="1"/>
  </r>
  <r>
    <s v="CLICTRUCK-043534"/>
    <s v="domestic"/>
    <x v="18"/>
    <x v="13"/>
    <n v="1100000"/>
    <m/>
    <m/>
    <s v="NEW"/>
    <x v="14"/>
    <n v="0"/>
    <n v="1"/>
    <s v="Indonesia"/>
    <s v="JIP - PJM"/>
    <x v="1"/>
  </r>
  <r>
    <s v="CLICTRUCK-043535"/>
    <s v="domestic"/>
    <x v="18"/>
    <x v="13"/>
    <n v="800000"/>
    <m/>
    <m/>
    <s v="NEW"/>
    <x v="14"/>
    <n v="0"/>
    <n v="1"/>
    <s v="Indonesia"/>
    <s v="JIP - PJM"/>
    <x v="1"/>
  </r>
  <r>
    <s v="CLICTRUCK-043536"/>
    <s v="domestic"/>
    <x v="18"/>
    <x v="13"/>
    <n v="800000"/>
    <m/>
    <m/>
    <s v="NEW"/>
    <x v="14"/>
    <n v="0"/>
    <n v="1"/>
    <s v="Indonesia"/>
    <s v="JIP - PJM"/>
    <x v="1"/>
  </r>
  <r>
    <s v="CLICTRUCK-043537"/>
    <s v="domestic"/>
    <x v="18"/>
    <x v="13"/>
    <n v="800000"/>
    <m/>
    <m/>
    <s v="NEW"/>
    <x v="14"/>
    <n v="0"/>
    <n v="1"/>
    <s v="Indonesia"/>
    <s v="JIP - PJM"/>
    <x v="1"/>
  </r>
  <r>
    <s v="CLICTRUCK-043538"/>
    <s v="domestic"/>
    <x v="18"/>
    <x v="13"/>
    <n v="800000"/>
    <m/>
    <m/>
    <s v="NEW"/>
    <x v="14"/>
    <n v="0"/>
    <n v="1"/>
    <s v="Indonesia"/>
    <s v="JIP - PJM"/>
    <x v="1"/>
  </r>
  <r>
    <s v="CLICTRUCK-043539"/>
    <s v="domestic"/>
    <x v="18"/>
    <x v="13"/>
    <n v="800000"/>
    <m/>
    <m/>
    <s v="NEW"/>
    <x v="14"/>
    <n v="0"/>
    <n v="1"/>
    <s v="Indonesia"/>
    <s v="JIP - PJM"/>
    <x v="1"/>
  </r>
  <r>
    <s v="CLICTRUCK-043540"/>
    <s v="domestic"/>
    <x v="18"/>
    <x v="13"/>
    <n v="800000"/>
    <m/>
    <m/>
    <s v="NEW"/>
    <x v="14"/>
    <n v="0"/>
    <n v="1"/>
    <s v="Indonesia"/>
    <s v="JIP - PJM"/>
    <x v="1"/>
  </r>
  <r>
    <s v="CLICTRUCK-043541"/>
    <s v="domestic"/>
    <x v="18"/>
    <x v="13"/>
    <n v="800000"/>
    <m/>
    <m/>
    <s v="NEW"/>
    <x v="14"/>
    <n v="0"/>
    <n v="1"/>
    <s v="Indonesia"/>
    <s v="JIP - PJM"/>
    <x v="1"/>
  </r>
  <r>
    <s v="CLICTRUCK-043542"/>
    <s v="domestic"/>
    <x v="18"/>
    <x v="13"/>
    <n v="800000"/>
    <m/>
    <m/>
    <s v="NEW"/>
    <x v="14"/>
    <n v="0"/>
    <n v="1"/>
    <s v="Indonesia"/>
    <s v="JIP - PJM"/>
    <x v="1"/>
  </r>
  <r>
    <s v="CLICTRUCK-043543"/>
    <s v="domestic"/>
    <x v="18"/>
    <x v="13"/>
    <n v="800000"/>
    <m/>
    <m/>
    <s v="NEW"/>
    <x v="14"/>
    <n v="0"/>
    <n v="1"/>
    <s v="Indonesia"/>
    <s v="JIP - PJM"/>
    <x v="1"/>
  </r>
  <r>
    <s v="CLICTRUCK-043544"/>
    <s v="domestic"/>
    <x v="18"/>
    <x v="13"/>
    <n v="800000"/>
    <m/>
    <m/>
    <s v="NEW"/>
    <x v="14"/>
    <n v="0"/>
    <n v="1"/>
    <s v="Indonesia"/>
    <s v="JIP - PJM"/>
    <x v="1"/>
  </r>
  <r>
    <s v="CLICTRUCK-043545"/>
    <s v="domestic"/>
    <x v="19"/>
    <x v="16"/>
    <n v="9370000"/>
    <n v="260017"/>
    <d v="2023-01-27T00:00:00"/>
    <s v="PAID"/>
    <x v="17"/>
    <n v="27750"/>
    <n v="1"/>
    <s v="Indonesia"/>
    <s v="JMA - RKB"/>
    <x v="0"/>
  </r>
  <r>
    <s v="CLICTRUCK-043546"/>
    <s v="domestic"/>
    <x v="19"/>
    <x v="12"/>
    <n v="17500000"/>
    <n v="27750"/>
    <d v="2023-01-31T00:00:00"/>
    <s v="PAID"/>
    <x v="13"/>
    <n v="485625"/>
    <n v="1"/>
    <s v="Indonesia"/>
    <s v="RPL - NBM"/>
    <x v="0"/>
  </r>
  <r>
    <s v="CLICTRUCK-043547"/>
    <s v="domestic"/>
    <x v="19"/>
    <x v="16"/>
    <n v="9370000"/>
    <n v="260017"/>
    <d v="2023-01-27T00:00:00"/>
    <s v="PAID"/>
    <x v="17"/>
    <n v="27750"/>
    <n v="1"/>
    <s v="Indonesia"/>
    <s v="JMA - RKB"/>
    <x v="0"/>
  </r>
  <r>
    <s v="CLICTRUCK-043564"/>
    <s v="domestic"/>
    <x v="19"/>
    <x v="16"/>
    <n v="5370000"/>
    <n v="149017"/>
    <d v="2023-01-27T00:00:00"/>
    <s v="PAID"/>
    <x v="17"/>
    <n v="27750"/>
    <n v="1"/>
    <s v="Indonesia"/>
    <s v="JMA - RKB"/>
    <x v="0"/>
  </r>
  <r>
    <s v="CLICTRUCK-043566"/>
    <s v="domestic"/>
    <x v="19"/>
    <x v="16"/>
    <n v="5370000"/>
    <n v="149017"/>
    <d v="2023-01-27T00:00:00"/>
    <s v="PAID"/>
    <x v="17"/>
    <n v="27750"/>
    <n v="1"/>
    <s v="Indonesia"/>
    <s v="JMA - RKB"/>
    <x v="0"/>
  </r>
  <r>
    <s v="CLICTRUCK-043568"/>
    <s v="domestic"/>
    <x v="19"/>
    <x v="16"/>
    <n v="8460000"/>
    <n v="234765"/>
    <d v="2023-01-27T00:00:00"/>
    <s v="PAID"/>
    <x v="17"/>
    <n v="27750"/>
    <n v="1"/>
    <s v="Indonesia"/>
    <s v="JMA - RKB"/>
    <x v="0"/>
  </r>
  <r>
    <s v="CLICTRUCK-043578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579"/>
    <s v="domestic"/>
    <x v="19"/>
    <x v="13"/>
    <n v="1188000"/>
    <n v="46153"/>
    <d v="2023-01-31T00:00:00"/>
    <s v="UNPAID"/>
    <x v="18"/>
    <n v="27750"/>
    <n v="1"/>
    <s v="Indonesia"/>
    <s v="JIP - KKL"/>
    <x v="0"/>
  </r>
  <r>
    <s v="CLICTRUCK-043580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581"/>
    <s v="domestic"/>
    <x v="19"/>
    <x v="13"/>
    <n v="1188000"/>
    <n v="46153"/>
    <d v="2023-01-31T00:00:00"/>
    <s v="UNPAID"/>
    <x v="18"/>
    <n v="27750"/>
    <n v="1"/>
    <s v="Indonesia"/>
    <s v="JIP - KKL"/>
    <x v="0"/>
  </r>
  <r>
    <s v="CLICTRUCK-043582"/>
    <s v="domestic"/>
    <x v="19"/>
    <x v="13"/>
    <n v="2798400"/>
    <n v="108717"/>
    <d v="2023-01-31T00:00:00"/>
    <s v="UNPAID"/>
    <x v="18"/>
    <n v="27750"/>
    <n v="1"/>
    <s v="Indonesia"/>
    <s v="JIP - KKL"/>
    <x v="0"/>
  </r>
  <r>
    <s v="CLICTRUCK-043583"/>
    <s v="domestic"/>
    <x v="19"/>
    <x v="13"/>
    <n v="1188000"/>
    <n v="46153"/>
    <d v="2023-01-31T00:00:00"/>
    <s v="UNPAID"/>
    <x v="18"/>
    <n v="27750"/>
    <n v="1"/>
    <s v="Indonesia"/>
    <s v="JIP - KKL"/>
    <x v="0"/>
  </r>
  <r>
    <s v="CLICTRUCK-043584"/>
    <s v="domestic"/>
    <x v="19"/>
    <x v="13"/>
    <n v="1188000"/>
    <n v="46153"/>
    <d v="2023-01-31T00:00:00"/>
    <s v="UNPAID"/>
    <x v="18"/>
    <n v="27750"/>
    <n v="1"/>
    <s v="Indonesia"/>
    <s v="JIP - KKL"/>
    <x v="0"/>
  </r>
  <r>
    <s v="CLICTRUCK-043585"/>
    <s v="domestic"/>
    <x v="19"/>
    <x v="13"/>
    <n v="7603200"/>
    <n v="295384"/>
    <d v="2023-01-31T00:00:00"/>
    <s v="UNPAID"/>
    <x v="18"/>
    <n v="27750"/>
    <n v="1"/>
    <s v="Indonesia"/>
    <s v="JIP - KKL"/>
    <x v="0"/>
  </r>
  <r>
    <s v="CLICTRUCK-043586"/>
    <s v="domestic"/>
    <x v="19"/>
    <x v="13"/>
    <n v="704000"/>
    <n v="27350"/>
    <d v="2023-01-31T00:00:00"/>
    <s v="UNPAID"/>
    <x v="18"/>
    <n v="27750"/>
    <n v="1"/>
    <s v="Indonesia"/>
    <s v="JIP - KKL"/>
    <x v="0"/>
  </r>
  <r>
    <s v="CLICTRUCK-043587"/>
    <s v="domestic"/>
    <x v="19"/>
    <x v="13"/>
    <n v="2798400"/>
    <n v="108717"/>
    <d v="2023-01-31T00:00:00"/>
    <s v="UNPAID"/>
    <x v="18"/>
    <n v="27750"/>
    <n v="1"/>
    <s v="Indonesia"/>
    <s v="JIP - KKL"/>
    <x v="0"/>
  </r>
  <r>
    <s v="CLICTRUCK-043588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589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590"/>
    <s v="domestic"/>
    <x v="19"/>
    <x v="13"/>
    <n v="1188000"/>
    <n v="46153"/>
    <d v="2023-01-31T00:00:00"/>
    <s v="UNPAID"/>
    <x v="18"/>
    <n v="27750"/>
    <n v="1"/>
    <s v="Indonesia"/>
    <s v="JIP - KKL"/>
    <x v="0"/>
  </r>
  <r>
    <s v="CLICTRUCK-043591"/>
    <s v="domestic"/>
    <x v="19"/>
    <x v="13"/>
    <n v="1188000"/>
    <n v="46153"/>
    <d v="2023-01-31T00:00:00"/>
    <s v="UNPAID"/>
    <x v="18"/>
    <n v="27750"/>
    <n v="1"/>
    <s v="Indonesia"/>
    <s v="JIP - KKL"/>
    <x v="0"/>
  </r>
  <r>
    <s v="CLICTRUCK-043592"/>
    <s v="domestic"/>
    <x v="19"/>
    <x v="13"/>
    <n v="1188000"/>
    <n v="46153"/>
    <d v="2023-01-31T00:00:00"/>
    <s v="UNPAID"/>
    <x v="18"/>
    <n v="27750"/>
    <n v="1"/>
    <s v="Indonesia"/>
    <s v="JIP - KKL"/>
    <x v="0"/>
  </r>
  <r>
    <s v="CLICTRUCK-043593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594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595"/>
    <s v="domestic"/>
    <x v="19"/>
    <x v="13"/>
    <n v="1452000"/>
    <n v="56410"/>
    <d v="2023-01-31T00:00:00"/>
    <s v="UNPAID"/>
    <x v="18"/>
    <n v="55500"/>
    <n v="2"/>
    <s v="Indonesia"/>
    <s v="JIP - KKL"/>
    <x v="0"/>
  </r>
  <r>
    <s v="CLICTRUCK-043596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597"/>
    <s v="domestic"/>
    <x v="19"/>
    <x v="13"/>
    <n v="704000"/>
    <n v="27350"/>
    <d v="2023-01-31T00:00:00"/>
    <s v="UNPAID"/>
    <x v="18"/>
    <n v="27750"/>
    <n v="1"/>
    <s v="Indonesia"/>
    <s v="JIP - KKL"/>
    <x v="0"/>
  </r>
  <r>
    <s v="CLICTRUCK-043598"/>
    <s v="domestic"/>
    <x v="19"/>
    <x v="13"/>
    <n v="704000"/>
    <n v="27350"/>
    <d v="2023-01-31T00:00:00"/>
    <s v="UNPAID"/>
    <x v="18"/>
    <n v="27750"/>
    <n v="1"/>
    <s v="Indonesia"/>
    <s v="JIP - KKL"/>
    <x v="0"/>
  </r>
  <r>
    <s v="CLICTRUCK-043599"/>
    <s v="domestic"/>
    <x v="19"/>
    <x v="13"/>
    <n v="2798400"/>
    <n v="108717"/>
    <d v="2023-01-31T00:00:00"/>
    <s v="UNPAID"/>
    <x v="18"/>
    <n v="27750"/>
    <n v="1"/>
    <s v="Indonesia"/>
    <s v="JIP - KKL"/>
    <x v="0"/>
  </r>
  <r>
    <s v="CLICTRUCK-043600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601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602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603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604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605"/>
    <s v="domestic"/>
    <x v="19"/>
    <x v="13"/>
    <n v="704000"/>
    <n v="27350"/>
    <d v="2023-01-31T00:00:00"/>
    <s v="UNPAID"/>
    <x v="18"/>
    <n v="27750"/>
    <n v="1"/>
    <s v="Indonesia"/>
    <s v="JIP - KKL"/>
    <x v="0"/>
  </r>
  <r>
    <s v="CLICTRUCK-043606"/>
    <s v="domestic"/>
    <x v="19"/>
    <x v="13"/>
    <n v="800000"/>
    <n v="31080"/>
    <d v="2023-01-31T00:00:00"/>
    <s v="UNPAID"/>
    <x v="18"/>
    <n v="27750"/>
    <n v="1"/>
    <s v="Indonesia"/>
    <s v="JIP - KKL"/>
    <x v="0"/>
  </r>
  <r>
    <s v="CLICTRUCK-043607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608"/>
    <s v="domestic"/>
    <x v="19"/>
    <x v="13"/>
    <n v="800000"/>
    <n v="31080"/>
    <d v="2023-01-31T00:00:00"/>
    <s v="UNPAID"/>
    <x v="18"/>
    <n v="27750"/>
    <n v="1"/>
    <s v="Indonesia"/>
    <s v="JIP - KKL"/>
    <x v="0"/>
  </r>
  <r>
    <s v="CLICTRUCK-043609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610"/>
    <s v="domestic"/>
    <x v="19"/>
    <x v="13"/>
    <n v="2798400"/>
    <n v="108717"/>
    <d v="2023-01-31T00:00:00"/>
    <s v="UNPAID"/>
    <x v="18"/>
    <n v="27750"/>
    <n v="1"/>
    <s v="Indonesia"/>
    <s v="JIP - KKL"/>
    <x v="0"/>
  </r>
  <r>
    <s v="CLICTRUCK-043611"/>
    <s v="domestic"/>
    <x v="19"/>
    <x v="13"/>
    <n v="2798400"/>
    <n v="108717"/>
    <d v="2023-01-31T00:00:00"/>
    <s v="UNPAID"/>
    <x v="18"/>
    <n v="27750"/>
    <n v="1"/>
    <s v="Indonesia"/>
    <s v="JIP - KKL"/>
    <x v="0"/>
  </r>
  <r>
    <s v="CLICTRUCK-043612"/>
    <s v="domestic"/>
    <x v="19"/>
    <x v="13"/>
    <n v="7603200"/>
    <n v="295384"/>
    <d v="2023-01-31T00:00:00"/>
    <s v="UNPAID"/>
    <x v="18"/>
    <n v="27750"/>
    <n v="1"/>
    <s v="Indonesia"/>
    <s v="JIP - KKL"/>
    <x v="0"/>
  </r>
  <r>
    <s v="CLICTRUCK-043613"/>
    <s v="domestic"/>
    <x v="19"/>
    <x v="13"/>
    <n v="7603200"/>
    <n v="295384"/>
    <d v="2023-01-31T00:00:00"/>
    <s v="UNPAID"/>
    <x v="18"/>
    <n v="27750"/>
    <n v="1"/>
    <s v="Indonesia"/>
    <s v="JIP - KKL"/>
    <x v="0"/>
  </r>
  <r>
    <s v="CLICTRUCK-043614"/>
    <s v="domestic"/>
    <x v="19"/>
    <x v="13"/>
    <n v="7603200"/>
    <n v="295384"/>
    <d v="2023-01-31T00:00:00"/>
    <s v="UNPAID"/>
    <x v="18"/>
    <n v="27750"/>
    <n v="1"/>
    <s v="Indonesia"/>
    <s v="JIP - KKL"/>
    <x v="0"/>
  </r>
  <r>
    <s v="CLICTRUCK-043615"/>
    <s v="domestic"/>
    <x v="19"/>
    <x v="13"/>
    <n v="800000"/>
    <n v="31080"/>
    <d v="2023-01-31T00:00:00"/>
    <s v="UNPAID"/>
    <x v="18"/>
    <n v="27750"/>
    <n v="1"/>
    <s v="Indonesia"/>
    <s v="JIP - KKL"/>
    <x v="0"/>
  </r>
  <r>
    <s v="CLICTRUCK-043616"/>
    <s v="domestic"/>
    <x v="19"/>
    <x v="13"/>
    <n v="7603200"/>
    <n v="295384"/>
    <d v="2023-01-31T00:00:00"/>
    <s v="UNPAID"/>
    <x v="18"/>
    <n v="27750"/>
    <n v="1"/>
    <s v="Indonesia"/>
    <s v="JIP - KKL"/>
    <x v="0"/>
  </r>
  <r>
    <s v="CLICTRUCK-043617"/>
    <s v="domestic"/>
    <x v="19"/>
    <x v="13"/>
    <n v="1800000"/>
    <n v="69930"/>
    <d v="2023-01-30T00:00:00"/>
    <s v="UNPAID"/>
    <x v="18"/>
    <n v="27750"/>
    <n v="1"/>
    <s v="Indonesia"/>
    <s v="JIP - KKL"/>
    <x v="0"/>
  </r>
  <r>
    <s v="CLICTRUCK-043618"/>
    <s v="domestic"/>
    <x v="19"/>
    <x v="13"/>
    <n v="2182400"/>
    <n v="84786"/>
    <d v="2023-01-31T00:00:00"/>
    <s v="UNPAID"/>
    <x v="18"/>
    <n v="27750"/>
    <n v="1"/>
    <s v="Indonesia"/>
    <s v="JIP - KKL"/>
    <x v="0"/>
  </r>
  <r>
    <s v="CLICTRUCK-043619"/>
    <s v="domestic"/>
    <x v="19"/>
    <x v="13"/>
    <n v="7000000"/>
    <n v="271950"/>
    <d v="2023-01-30T00:00:00"/>
    <s v="UNPAID"/>
    <x v="18"/>
    <n v="27750"/>
    <n v="1"/>
    <s v="Indonesia"/>
    <s v="JIP - KKL"/>
    <x v="0"/>
  </r>
  <r>
    <s v="CLICTRUCK-043620"/>
    <s v="domestic"/>
    <x v="19"/>
    <x v="13"/>
    <n v="7603200"/>
    <n v="295384"/>
    <d v="2023-01-31T00:00:00"/>
    <s v="UNPAID"/>
    <x v="18"/>
    <n v="27750"/>
    <n v="1"/>
    <s v="Indonesia"/>
    <s v="JIP - KKL"/>
    <x v="0"/>
  </r>
  <r>
    <s v="CLICTRUCK-043621"/>
    <s v="domestic"/>
    <x v="19"/>
    <x v="13"/>
    <n v="1100000"/>
    <n v="42735"/>
    <d v="2023-01-30T00:00:00"/>
    <s v="UNPAID"/>
    <x v="18"/>
    <n v="27750"/>
    <n v="1"/>
    <s v="Indonesia"/>
    <s v="JIP - KKL"/>
    <x v="0"/>
  </r>
  <r>
    <s v="CLICTRUCK-043622"/>
    <s v="domestic"/>
    <x v="19"/>
    <x v="13"/>
    <n v="7603200"/>
    <n v="295384"/>
    <d v="2023-01-31T00:00:00"/>
    <s v="UNPAID"/>
    <x v="18"/>
    <n v="27750"/>
    <n v="1"/>
    <s v="Indonesia"/>
    <s v="JIP - KKL"/>
    <x v="0"/>
  </r>
  <r>
    <s v="CLICTRUCK-043623"/>
    <s v="domestic"/>
    <x v="19"/>
    <x v="13"/>
    <n v="1452000"/>
    <n v="56410"/>
    <d v="2023-01-31T00:00:00"/>
    <s v="UNPAID"/>
    <x v="18"/>
    <n v="27750"/>
    <n v="1"/>
    <s v="Indonesia"/>
    <s v="JIP - KKL"/>
    <x v="0"/>
  </r>
  <r>
    <s v="CLICTRUCK-043624"/>
    <s v="domestic"/>
    <x v="19"/>
    <x v="13"/>
    <n v="3000000"/>
    <n v="116550"/>
    <d v="2023-01-31T00:00:00"/>
    <s v="UNPAID"/>
    <x v="18"/>
    <n v="27750"/>
    <n v="1"/>
    <s v="Indonesia"/>
    <s v="JIP - KKL"/>
    <x v="0"/>
  </r>
  <r>
    <s v="CLICTRUCK-043625"/>
    <s v="domestic"/>
    <x v="19"/>
    <x v="13"/>
    <n v="800000"/>
    <n v="31080"/>
    <d v="2023-01-31T00:00:00"/>
    <s v="UNPAID"/>
    <x v="18"/>
    <n v="27750"/>
    <n v="1"/>
    <s v="Indonesia"/>
    <s v="JIP - KKL"/>
    <x v="0"/>
  </r>
  <r>
    <s v="CLICTRUCK-043626"/>
    <s v="domestic"/>
    <x v="19"/>
    <x v="13"/>
    <n v="2798400"/>
    <n v="108717"/>
    <d v="2023-01-31T00:00:00"/>
    <s v="UNPAID"/>
    <x v="18"/>
    <n v="27750"/>
    <n v="1"/>
    <s v="Indonesia"/>
    <s v="JIP - KKL"/>
    <x v="0"/>
  </r>
  <r>
    <s v="CLICTRUCK-043630"/>
    <s v="domestic"/>
    <x v="20"/>
    <x v="13"/>
    <n v="7603200"/>
    <n v="295384"/>
    <d v="2023-01-31T00:00:00"/>
    <s v="UNPAID"/>
    <x v="18"/>
    <n v="27750"/>
    <n v="1"/>
    <s v="Indonesia"/>
    <s v="JIP - KKL"/>
    <x v="0"/>
  </r>
  <r>
    <s v="CLICTRUCK-043631"/>
    <s v="domestic"/>
    <x v="20"/>
    <x v="13"/>
    <n v="7603200"/>
    <n v="295384"/>
    <d v="2023-01-31T00:00:00"/>
    <s v="UNPAID"/>
    <x v="18"/>
    <n v="27750"/>
    <n v="1"/>
    <s v="Indonesia"/>
    <s v="JIP - KKL"/>
    <x v="0"/>
  </r>
  <r>
    <s v="CLICTRUCK-043632"/>
    <s v="domestic"/>
    <x v="20"/>
    <x v="13"/>
    <n v="7603200"/>
    <n v="295384"/>
    <d v="2023-01-31T00:00:00"/>
    <s v="UNPAID"/>
    <x v="18"/>
    <n v="27750"/>
    <n v="1"/>
    <s v="Indonesia"/>
    <s v="JIP - KKL"/>
    <x v="0"/>
  </r>
  <r>
    <s v="CLICTRUCK-043633"/>
    <s v="domestic"/>
    <x v="20"/>
    <x v="13"/>
    <n v="7603200"/>
    <n v="295384"/>
    <d v="2023-01-31T00:00:00"/>
    <s v="UNPAID"/>
    <x v="18"/>
    <n v="27750"/>
    <n v="1"/>
    <s v="Indonesia"/>
    <s v="JIP - KKL"/>
    <x v="0"/>
  </r>
  <r>
    <s v="CLICTRUCK-043634"/>
    <s v="domestic"/>
    <x v="20"/>
    <x v="13"/>
    <n v="7603200"/>
    <n v="295384"/>
    <d v="2023-01-31T00:00:00"/>
    <s v="UNPAID"/>
    <x v="18"/>
    <n v="27750"/>
    <n v="1"/>
    <s v="Indonesia"/>
    <s v="JIP - KKL"/>
    <x v="0"/>
  </r>
  <r>
    <s v="CLICTRUCK-043635"/>
    <s v="domestic"/>
    <x v="20"/>
    <x v="13"/>
    <n v="7603200"/>
    <n v="295384"/>
    <d v="2023-01-31T00:00:00"/>
    <s v="UNPAID"/>
    <x v="18"/>
    <n v="27750"/>
    <n v="1"/>
    <s v="Indonesia"/>
    <s v="JIP - KKL"/>
    <x v="0"/>
  </r>
  <r>
    <s v="CLICTRUCK-043636"/>
    <s v="domestic"/>
    <x v="20"/>
    <x v="13"/>
    <n v="7603200"/>
    <n v="295384"/>
    <d v="2023-01-31T00:00:00"/>
    <s v="UNPAID"/>
    <x v="18"/>
    <n v="27750"/>
    <n v="1"/>
    <s v="Indonesia"/>
    <s v="JIP - KKL"/>
    <x v="0"/>
  </r>
  <r>
    <s v="CLICTRUCK-043637"/>
    <s v="domestic"/>
    <x v="20"/>
    <x v="13"/>
    <n v="7603200"/>
    <n v="295384"/>
    <d v="2023-01-31T00:00:00"/>
    <s v="UNPAID"/>
    <x v="18"/>
    <n v="27750"/>
    <n v="1"/>
    <s v="Indonesia"/>
    <s v="JIP - KKL"/>
    <x v="0"/>
  </r>
  <r>
    <s v="CLICTRUCK-043638"/>
    <s v="domestic"/>
    <x v="20"/>
    <x v="13"/>
    <n v="1452000"/>
    <n v="56410"/>
    <d v="2023-01-31T00:00:00"/>
    <s v="UNPAID"/>
    <x v="18"/>
    <n v="27750"/>
    <n v="1"/>
    <s v="Indonesia"/>
    <s v="JIP - KKL"/>
    <x v="0"/>
  </r>
  <r>
    <s v="CLICTRUCK-043639"/>
    <s v="domestic"/>
    <x v="20"/>
    <x v="13"/>
    <n v="2798400"/>
    <n v="108717"/>
    <d v="2023-01-31T00:00:00"/>
    <s v="UNPAID"/>
    <x v="18"/>
    <n v="27750"/>
    <n v="1"/>
    <s v="Indonesia"/>
    <s v="JIP - KKL"/>
    <x v="0"/>
  </r>
  <r>
    <s v="CLICTRUCK-043640"/>
    <s v="domestic"/>
    <x v="20"/>
    <x v="13"/>
    <n v="2798400"/>
    <n v="108717"/>
    <d v="2023-01-31T00:00:00"/>
    <s v="UNPAID"/>
    <x v="18"/>
    <n v="27750"/>
    <n v="1"/>
    <s v="Indonesia"/>
    <s v="JIP - KKL"/>
    <x v="0"/>
  </r>
  <r>
    <s v="CLICTRUCK-043641"/>
    <s v="domestic"/>
    <x v="20"/>
    <x v="13"/>
    <n v="2798400"/>
    <n v="108717"/>
    <d v="2023-01-31T00:00:00"/>
    <s v="UNPAID"/>
    <x v="18"/>
    <n v="27750"/>
    <n v="1"/>
    <s v="Indonesia"/>
    <s v="JIP - KKL"/>
    <x v="0"/>
  </r>
  <r>
    <s v="CLICTRUCK-043642"/>
    <s v="domestic"/>
    <x v="20"/>
    <x v="13"/>
    <n v="2798400"/>
    <n v="108717"/>
    <d v="2023-01-31T00:00:00"/>
    <s v="UNPAID"/>
    <x v="18"/>
    <n v="27750"/>
    <n v="1"/>
    <s v="Indonesia"/>
    <s v="JIP - KKL"/>
    <x v="0"/>
  </r>
  <r>
    <s v="CLICTRUCK-043643"/>
    <s v="domestic"/>
    <x v="20"/>
    <x v="13"/>
    <n v="2798400"/>
    <n v="108717"/>
    <d v="2023-01-31T00:00:00"/>
    <s v="UNPAID"/>
    <x v="18"/>
    <n v="27750"/>
    <n v="1"/>
    <s v="Indonesia"/>
    <s v="JIP - KKL"/>
    <x v="0"/>
  </r>
  <r>
    <s v="CLICTRUCK-043644"/>
    <s v="domestic"/>
    <x v="20"/>
    <x v="13"/>
    <n v="2798400"/>
    <n v="108717"/>
    <d v="2023-01-31T00:00:00"/>
    <s v="UNPAID"/>
    <x v="18"/>
    <n v="27750"/>
    <n v="1"/>
    <s v="Indonesia"/>
    <s v="JIP - KKL"/>
    <x v="0"/>
  </r>
  <r>
    <s v="CLICTRUCK-043645"/>
    <s v="domestic"/>
    <x v="21"/>
    <x v="13"/>
    <n v="7603200"/>
    <n v="295384"/>
    <d v="2023-01-31T00:00:00"/>
    <s v="UNPAID"/>
    <x v="18"/>
    <n v="27750"/>
    <n v="1"/>
    <s v="Indonesia"/>
    <s v="JIP - KKL"/>
    <x v="0"/>
  </r>
  <r>
    <s v="CLICTRUCK-043646"/>
    <s v="domestic"/>
    <x v="21"/>
    <x v="13"/>
    <n v="7603200"/>
    <n v="295384"/>
    <d v="2023-01-31T00:00:00"/>
    <s v="UNPAID"/>
    <x v="18"/>
    <n v="27750"/>
    <n v="1"/>
    <s v="Indonesia"/>
    <s v="JIP - KKL"/>
    <x v="0"/>
  </r>
  <r>
    <s v="CLICTRUCK-043647"/>
    <s v="domestic"/>
    <x v="21"/>
    <x v="13"/>
    <n v="7603200"/>
    <n v="295384"/>
    <d v="2023-01-31T00:00:00"/>
    <s v="UNPAID"/>
    <x v="18"/>
    <n v="27750"/>
    <n v="1"/>
    <s v="Indonesia"/>
    <s v="JIP - KKL"/>
    <x v="0"/>
  </r>
  <r>
    <s v="CLICTRUCK-043648"/>
    <s v="domestic"/>
    <x v="21"/>
    <x v="13"/>
    <n v="7603200"/>
    <n v="295384"/>
    <d v="2023-01-31T00:00:00"/>
    <s v="UNPAID"/>
    <x v="18"/>
    <n v="27750"/>
    <n v="1"/>
    <s v="Indonesia"/>
    <s v="JIP - KKL"/>
    <x v="0"/>
  </r>
  <r>
    <s v="CLICTRUCK-043649"/>
    <s v="domestic"/>
    <x v="21"/>
    <x v="13"/>
    <n v="7603200"/>
    <n v="295384"/>
    <d v="2023-01-31T00:00:00"/>
    <s v="UNPAID"/>
    <x v="18"/>
    <n v="27750"/>
    <n v="1"/>
    <s v="Indonesia"/>
    <s v="JIP - KKL"/>
    <x v="0"/>
  </r>
  <r>
    <s v="CLICTRUCK-043650"/>
    <s v="domestic"/>
    <x v="21"/>
    <x v="13"/>
    <n v="7603200"/>
    <n v="295384"/>
    <d v="2023-01-31T00:00:00"/>
    <s v="UNPAID"/>
    <x v="18"/>
    <n v="27750"/>
    <n v="1"/>
    <s v="Indonesia"/>
    <s v="JIP - KKL"/>
    <x v="0"/>
  </r>
  <r>
    <s v="CLICTRUCK-043651"/>
    <s v="domestic"/>
    <x v="21"/>
    <x v="13"/>
    <n v="7603200"/>
    <n v="295384"/>
    <d v="2023-01-31T00:00:00"/>
    <s v="UNPAID"/>
    <x v="18"/>
    <n v="27750"/>
    <n v="1"/>
    <s v="Indonesia"/>
    <s v="JIP - KKL"/>
    <x v="0"/>
  </r>
  <r>
    <s v="CLICTRUCK-043652"/>
    <s v="domestic"/>
    <x v="21"/>
    <x v="13"/>
    <n v="7603200"/>
    <n v="295384"/>
    <d v="2023-01-31T00:00:00"/>
    <s v="UNPAID"/>
    <x v="18"/>
    <n v="27750"/>
    <n v="1"/>
    <s v="Indonesia"/>
    <s v="JIP - KKL"/>
    <x v="0"/>
  </r>
  <r>
    <s v="CLICTRUCK-043653"/>
    <s v="domestic"/>
    <x v="21"/>
    <x v="13"/>
    <n v="2798400"/>
    <n v="108717"/>
    <d v="2023-01-31T00:00:00"/>
    <s v="UNPAID"/>
    <x v="18"/>
    <n v="27750"/>
    <n v="1"/>
    <s v="Indonesia"/>
    <s v="JIP - KKL"/>
    <x v="0"/>
  </r>
  <r>
    <s v="CLICTRUCK-043654"/>
    <s v="domestic"/>
    <x v="21"/>
    <x v="13"/>
    <n v="2798400"/>
    <n v="108717"/>
    <d v="2023-01-31T00:00:00"/>
    <s v="UNPAID"/>
    <x v="18"/>
    <n v="27750"/>
    <n v="1"/>
    <s v="Indonesia"/>
    <s v="JIP - KKL"/>
    <x v="0"/>
  </r>
  <r>
    <s v="CLICTRUCK-043655"/>
    <s v="domestic"/>
    <x v="21"/>
    <x v="13"/>
    <n v="2798400"/>
    <n v="108717"/>
    <d v="2023-01-31T00:00:00"/>
    <s v="UNPAID"/>
    <x v="18"/>
    <n v="27750"/>
    <n v="1"/>
    <s v="Indonesia"/>
    <s v="JIP - KKL"/>
    <x v="0"/>
  </r>
  <r>
    <s v="CLICTRUCK-043656"/>
    <s v="domestic"/>
    <x v="21"/>
    <x v="13"/>
    <n v="2798400"/>
    <n v="108717"/>
    <d v="2023-01-31T00:00:00"/>
    <s v="UNPAID"/>
    <x v="18"/>
    <n v="27750"/>
    <n v="1"/>
    <s v="Indonesia"/>
    <s v="JIP - KKL"/>
    <x v="0"/>
  </r>
  <r>
    <s v="CLICTRUCK-043657"/>
    <s v="domestic"/>
    <x v="21"/>
    <x v="13"/>
    <n v="2798400"/>
    <n v="108717"/>
    <d v="2023-01-31T00:00:00"/>
    <s v="UNPAID"/>
    <x v="18"/>
    <n v="27750"/>
    <n v="1"/>
    <s v="Indonesia"/>
    <s v="JIP - KKL"/>
    <x v="0"/>
  </r>
  <r>
    <s v="CLICTRUCK-043658"/>
    <s v="domestic"/>
    <x v="21"/>
    <x v="13"/>
    <n v="2798400"/>
    <n v="108717"/>
    <d v="2023-01-31T00:00:00"/>
    <s v="UNPAID"/>
    <x v="18"/>
    <n v="27750"/>
    <n v="1"/>
    <s v="Indonesia"/>
    <s v="JIP - KKL"/>
    <x v="0"/>
  </r>
  <r>
    <s v="CLICTRUCK-043659"/>
    <s v="domestic"/>
    <x v="21"/>
    <x v="13"/>
    <n v="2182400"/>
    <n v="84786"/>
    <d v="2023-01-31T00:00:00"/>
    <s v="UNPAID"/>
    <x v="18"/>
    <n v="27750"/>
    <n v="1"/>
    <s v="Indonesia"/>
    <s v="JIP - KKL"/>
    <x v="0"/>
  </r>
  <r>
    <s v="CLICTRUCK-043676"/>
    <s v="domestic"/>
    <x v="22"/>
    <x v="9"/>
    <n v="340060"/>
    <n v="24975"/>
    <d v="2023-02-03T00:00:00"/>
    <s v="UNPAID"/>
    <x v="9"/>
    <n v="11323"/>
    <n v="1"/>
    <s v="Indonesia"/>
    <s v="YSN-SSA"/>
    <x v="0"/>
  </r>
  <r>
    <s v="CLICTRUCK-043677"/>
    <s v="domestic"/>
    <x v="22"/>
    <x v="9"/>
    <n v="340060"/>
    <n v="24975"/>
    <d v="2023-02-03T00:00:00"/>
    <s v="UNPAID"/>
    <x v="9"/>
    <n v="11323"/>
    <n v="1"/>
    <s v="Indonesia"/>
    <s v="YSN-SSA"/>
    <x v="0"/>
  </r>
  <r>
    <s v="CLICTRUCK-043692"/>
    <s v="domestic"/>
    <x v="23"/>
    <x v="12"/>
    <n v="17500000"/>
    <n v="27750"/>
    <d v="2023-02-01T00:00:00"/>
    <s v="PAID"/>
    <x v="13"/>
    <n v="485625"/>
    <n v="1"/>
    <s v="Indonesia"/>
    <s v="RPL - NBM"/>
    <x v="0"/>
  </r>
  <r>
    <s v="CLICTRUCK-043693"/>
    <s v="domestic"/>
    <x v="23"/>
    <x v="12"/>
    <n v="10500000"/>
    <n v="27750"/>
    <d v="2023-02-01T00:00:00"/>
    <s v="PAID"/>
    <x v="13"/>
    <n v="291375"/>
    <n v="1"/>
    <s v="Indonesia"/>
    <s v="RPL - NBM"/>
    <x v="0"/>
  </r>
  <r>
    <s v="CLICTRUCK-043694"/>
    <s v="domestic"/>
    <x v="23"/>
    <x v="12"/>
    <n v="17500000"/>
    <n v="27750"/>
    <d v="2023-02-01T00:00:00"/>
    <s v="PAID"/>
    <x v="13"/>
    <n v="485625"/>
    <n v="1"/>
    <s v="Indonesia"/>
    <s v="RPL - NBM"/>
    <x v="0"/>
  </r>
  <r>
    <s v="CLICTRUCK-043695"/>
    <s v="domestic"/>
    <x v="23"/>
    <x v="13"/>
    <n v="1452000"/>
    <n v="56410"/>
    <d v="2023-02-04T00:00:00"/>
    <s v="UNPAID"/>
    <x v="18"/>
    <n v="27750"/>
    <n v="1"/>
    <s v="Indonesia"/>
    <s v="JIP - KKL"/>
    <x v="0"/>
  </r>
  <r>
    <s v="CLICTRUCK-043696"/>
    <s v="domestic"/>
    <x v="23"/>
    <x v="13"/>
    <n v="2798400"/>
    <n v="108717"/>
    <d v="2023-02-04T00:00:00"/>
    <s v="UNPAID"/>
    <x v="18"/>
    <n v="27750"/>
    <n v="1"/>
    <s v="Indonesia"/>
    <s v="JIP - KKL"/>
    <x v="0"/>
  </r>
  <r>
    <s v="CLICTRUCK-043697"/>
    <s v="domestic"/>
    <x v="23"/>
    <x v="13"/>
    <n v="2798400"/>
    <n v="108717"/>
    <d v="2023-02-04T00:00:00"/>
    <s v="UNPAID"/>
    <x v="18"/>
    <n v="27750"/>
    <n v="1"/>
    <s v="Indonesia"/>
    <s v="JIP - KKL"/>
    <x v="0"/>
  </r>
  <r>
    <s v="CLICTRUCK-043698"/>
    <s v="domestic"/>
    <x v="23"/>
    <x v="13"/>
    <n v="2798400"/>
    <n v="108717"/>
    <d v="2023-02-04T00:00:00"/>
    <s v="UNPAID"/>
    <x v="18"/>
    <n v="27750"/>
    <n v="1"/>
    <s v="Indonesia"/>
    <s v="JIP - KKL"/>
    <x v="0"/>
  </r>
  <r>
    <s v="CLICTRUCK-043699"/>
    <s v="domestic"/>
    <x v="23"/>
    <x v="13"/>
    <n v="2798400"/>
    <n v="108717"/>
    <d v="2023-02-04T00:00:00"/>
    <s v="UNPAID"/>
    <x v="18"/>
    <n v="27750"/>
    <n v="1"/>
    <s v="Indonesia"/>
    <s v="JIP - KKL"/>
    <x v="0"/>
  </r>
  <r>
    <s v="CLICTRUCK-043700"/>
    <s v="domestic"/>
    <x v="23"/>
    <x v="13"/>
    <n v="2798400"/>
    <n v="108717"/>
    <d v="2023-02-04T00:00:00"/>
    <s v="UNPAID"/>
    <x v="18"/>
    <n v="27750"/>
    <n v="1"/>
    <s v="Indonesia"/>
    <s v="JIP - KKL"/>
    <x v="0"/>
  </r>
  <r>
    <s v="CLICTRUCK-043701"/>
    <s v="domestic"/>
    <x v="23"/>
    <x v="13"/>
    <n v="2798400"/>
    <n v="108717"/>
    <d v="2023-02-04T00:00:00"/>
    <s v="UNPAID"/>
    <x v="18"/>
    <n v="27750"/>
    <n v="1"/>
    <s v="Indonesia"/>
    <s v="JIP - KKL"/>
    <x v="0"/>
  </r>
  <r>
    <s v="CLICTRUCK-043702"/>
    <s v="domestic"/>
    <x v="23"/>
    <x v="13"/>
    <n v="2182400"/>
    <n v="84786"/>
    <d v="2023-02-04T00:00:00"/>
    <s v="UNPAID"/>
    <x v="18"/>
    <n v="27750"/>
    <n v="1"/>
    <s v="Indonesia"/>
    <s v="JIP - KKL"/>
    <x v="0"/>
  </r>
  <r>
    <s v="CLICTRUCK-043703"/>
    <s v="domestic"/>
    <x v="23"/>
    <x v="13"/>
    <n v="1188000"/>
    <n v="46153"/>
    <d v="2023-02-04T00:00:00"/>
    <s v="UNPAID"/>
    <x v="18"/>
    <n v="27750"/>
    <n v="1"/>
    <s v="Indonesia"/>
    <s v="JIP - KKL"/>
    <x v="0"/>
  </r>
  <r>
    <s v="CLICTRUCK-043704"/>
    <s v="domestic"/>
    <x v="23"/>
    <x v="13"/>
    <n v="1452000"/>
    <n v="56410"/>
    <d v="2023-02-04T00:00:00"/>
    <s v="UNPAID"/>
    <x v="18"/>
    <n v="27750"/>
    <n v="1"/>
    <s v="Indonesia"/>
    <s v="JIP - KKL"/>
    <x v="0"/>
  </r>
  <r>
    <s v="CLICTRUCK-043707"/>
    <s v="domestic"/>
    <x v="23"/>
    <x v="12"/>
    <n v="13500000"/>
    <n v="27750"/>
    <d v="2023-02-02T00:00:00"/>
    <s v="PAID"/>
    <x v="13"/>
    <n v="374625"/>
    <n v="1"/>
    <s v="Indonesia"/>
    <s v="RPL - NBM"/>
    <x v="0"/>
  </r>
  <r>
    <s v="CLICTRUCK-043708"/>
    <s v="domestic"/>
    <x v="23"/>
    <x v="12"/>
    <n v="10500000"/>
    <n v="27750"/>
    <d v="2023-02-03T00:00:00"/>
    <s v="PAID"/>
    <x v="13"/>
    <n v="291375"/>
    <n v="1"/>
    <s v="Indonesia"/>
    <s v="RPL - NBM"/>
    <x v="0"/>
  </r>
  <r>
    <s v="CLICTRUCK-043709"/>
    <s v="domestic"/>
    <x v="23"/>
    <x v="12"/>
    <n v="17300000"/>
    <n v="27750"/>
    <d v="2023-02-04T00:00:00"/>
    <s v="PAID"/>
    <x v="13"/>
    <n v="480075"/>
    <n v="1"/>
    <s v="Indonesia"/>
    <s v="RPL - NBM"/>
    <x v="0"/>
  </r>
  <r>
    <s v="CLICTRUCK-043710"/>
    <s v="domestic"/>
    <x v="23"/>
    <x v="12"/>
    <n v="10300000"/>
    <n v="27750"/>
    <d v="2023-02-03T00:00:00"/>
    <s v="PAID"/>
    <x v="13"/>
    <n v="285825"/>
    <n v="1"/>
    <s v="Indonesia"/>
    <s v="RPL - NBM"/>
    <x v="0"/>
  </r>
  <r>
    <s v="CLICTRUCK-043711"/>
    <s v="domestic"/>
    <x v="23"/>
    <x v="9"/>
    <n v="265090"/>
    <n v="24975"/>
    <d v="2023-02-08T00:00:00"/>
    <s v="UNPAID"/>
    <x v="9"/>
    <n v="8826"/>
    <n v="1"/>
    <s v="Indonesia"/>
    <s v="YSN-SSA"/>
    <x v="0"/>
  </r>
  <r>
    <s v="CLICTRUCK-043712"/>
    <s v="domestic"/>
    <x v="23"/>
    <x v="9"/>
    <n v="245490"/>
    <n v="24975"/>
    <d v="2023-02-08T00:00:00"/>
    <s v="UNPAID"/>
    <x v="9"/>
    <n v="8174"/>
    <n v="1"/>
    <s v="Indonesia"/>
    <s v="YSN-SSA"/>
    <x v="0"/>
  </r>
  <r>
    <s v="CLICTRUCK-043716"/>
    <s v="domestic"/>
    <x v="23"/>
    <x v="9"/>
    <n v="399350"/>
    <n v="24975"/>
    <d v="2023-02-08T00:00:00"/>
    <s v="UNPAID"/>
    <x v="9"/>
    <n v="13297"/>
    <n v="1"/>
    <s v="Indonesia"/>
    <s v="YSN-SSA"/>
    <x v="0"/>
  </r>
  <r>
    <s v="CLICTRUCK-043717"/>
    <s v="domestic"/>
    <x v="23"/>
    <x v="9"/>
    <n v="3606400"/>
    <n v="24975"/>
    <d v="2023-02-14T00:00:00"/>
    <s v="UNPAID"/>
    <x v="8"/>
    <n v="120093"/>
    <n v="1"/>
    <s v="Indonesia"/>
    <s v="YSN-FPM"/>
    <x v="0"/>
  </r>
  <r>
    <s v="CLICTRUCK-043729"/>
    <s v="domestic"/>
    <x v="24"/>
    <x v="9"/>
    <n v="340060"/>
    <n v="24975"/>
    <d v="2023-02-08T00:00:00"/>
    <s v="UNPAID"/>
    <x v="9"/>
    <n v="11323"/>
    <n v="1"/>
    <s v="Indonesia"/>
    <s v="YSN-SSA"/>
    <x v="0"/>
  </r>
  <r>
    <s v="CLICTRUCK-043730"/>
    <s v="domestic"/>
    <x v="24"/>
    <x v="9"/>
    <n v="340060"/>
    <n v="24975"/>
    <d v="2023-02-08T00:00:00"/>
    <s v="UNPAID"/>
    <x v="9"/>
    <n v="11323"/>
    <n v="1"/>
    <s v="Indonesia"/>
    <s v="YSN-SSA"/>
    <x v="0"/>
  </r>
  <r>
    <s v="CLICTRUCK-043739"/>
    <s v="domestic"/>
    <x v="24"/>
    <x v="13"/>
    <n v="2798400"/>
    <n v="108717"/>
    <d v="2023-02-04T00:00:00"/>
    <s v="UNPAID"/>
    <x v="18"/>
    <n v="27750"/>
    <n v="1"/>
    <s v="Indonesia"/>
    <s v="JIP - KKL"/>
    <x v="0"/>
  </r>
  <r>
    <s v="CLICTRUCK-043745"/>
    <s v="domestic"/>
    <x v="25"/>
    <x v="17"/>
    <n v="7000000"/>
    <n v="271950"/>
    <d v="2023-02-02T00:00:00"/>
    <s v="PAID"/>
    <x v="19"/>
    <n v="27750"/>
    <n v="1"/>
    <s v="Indonesia"/>
    <s v="AJM - NTL"/>
    <x v="0"/>
  </r>
  <r>
    <s v="CLICTRUCK-043746"/>
    <s v="domestic"/>
    <x v="25"/>
    <x v="17"/>
    <n v="7000000"/>
    <n v="271950"/>
    <d v="2023-02-03T00:00:00"/>
    <s v="PAID"/>
    <x v="19"/>
    <n v="27750"/>
    <n v="1"/>
    <s v="Indonesia"/>
    <s v="AJM - NTL"/>
    <x v="0"/>
  </r>
  <r>
    <s v="CLICTRUCK-043747"/>
    <s v="domestic"/>
    <x v="25"/>
    <x v="17"/>
    <n v="7000000"/>
    <n v="271950"/>
    <d v="2023-02-03T00:00:00"/>
    <s v="PAID"/>
    <x v="19"/>
    <n v="27750"/>
    <n v="1"/>
    <s v="Indonesia"/>
    <s v="AJM - NTL"/>
    <x v="0"/>
  </r>
  <r>
    <s v="CLICTRUCK-043748"/>
    <s v="domestic"/>
    <x v="25"/>
    <x v="17"/>
    <n v="24800000"/>
    <n v="963480"/>
    <d v="2023-02-03T00:00:00"/>
    <s v="PAID"/>
    <x v="19"/>
    <n v="27750"/>
    <n v="1"/>
    <s v="Indonesia"/>
    <s v="AJM - NTL"/>
    <x v="0"/>
  </r>
  <r>
    <s v="CLICTRUCK-043749"/>
    <s v="domestic"/>
    <x v="25"/>
    <x v="9"/>
    <n v="245490"/>
    <n v="24975"/>
    <d v="2023-02-08T00:00:00"/>
    <s v="UNPAID"/>
    <x v="9"/>
    <n v="8174"/>
    <n v="1"/>
    <s v="Indonesia"/>
    <s v="YSN-SSA"/>
    <x v="0"/>
  </r>
  <r>
    <s v="CLICTRUCK-043752"/>
    <s v="domestic"/>
    <x v="25"/>
    <x v="13"/>
    <n v="800000"/>
    <n v="31080"/>
    <d v="2023-02-04T00:00:00"/>
    <s v="UNPAID"/>
    <x v="18"/>
    <n v="27750"/>
    <n v="1"/>
    <s v="Indonesia"/>
    <s v="JIP - KKL"/>
    <x v="0"/>
  </r>
  <r>
    <s v="CLICTRUCK-043753"/>
    <s v="domestic"/>
    <x v="25"/>
    <x v="13"/>
    <n v="800000"/>
    <n v="31080"/>
    <d v="2023-02-04T00:00:00"/>
    <s v="UNPAID"/>
    <x v="18"/>
    <n v="27750"/>
    <n v="1"/>
    <s v="Indonesia"/>
    <s v="JIP - KKL"/>
    <x v="0"/>
  </r>
  <r>
    <s v="CLICTRUCK-043754"/>
    <s v="domestic"/>
    <x v="25"/>
    <x v="13"/>
    <n v="800000"/>
    <n v="31080"/>
    <d v="2023-02-04T00:00:00"/>
    <s v="UNPAID"/>
    <x v="18"/>
    <n v="27750"/>
    <n v="1"/>
    <s v="Indonesia"/>
    <s v="JIP - KKL"/>
    <x v="0"/>
  </r>
  <r>
    <s v="CLICTRUCK-043755"/>
    <s v="domestic"/>
    <x v="25"/>
    <x v="13"/>
    <n v="800000"/>
    <n v="31080"/>
    <d v="2023-02-04T00:00:00"/>
    <s v="UNPAID"/>
    <x v="18"/>
    <n v="27750"/>
    <n v="1"/>
    <s v="Indonesia"/>
    <s v="JIP - KKL"/>
    <x v="0"/>
  </r>
  <r>
    <s v="CLICTRUCK-043756"/>
    <s v="domestic"/>
    <x v="25"/>
    <x v="13"/>
    <n v="800000"/>
    <n v="31080"/>
    <d v="2023-02-04T00:00:00"/>
    <s v="UNPAID"/>
    <x v="18"/>
    <n v="27750"/>
    <n v="1"/>
    <s v="Indonesia"/>
    <s v="JIP - KKL"/>
    <x v="0"/>
  </r>
  <r>
    <s v="CLICTRUCK-043757"/>
    <s v="domestic"/>
    <x v="25"/>
    <x v="13"/>
    <n v="800000"/>
    <n v="31080"/>
    <d v="2023-02-04T00:00:00"/>
    <s v="UNPAID"/>
    <x v="18"/>
    <n v="27750"/>
    <n v="1"/>
    <s v="Indonesia"/>
    <s v="JIP - KKL"/>
    <x v="0"/>
  </r>
  <r>
    <s v="CLICTRUCK-043759"/>
    <s v="domestic"/>
    <x v="25"/>
    <x v="9"/>
    <n v="340060"/>
    <n v="24975"/>
    <d v="2023-02-08T00:00:00"/>
    <s v="UNPAID"/>
    <x v="9"/>
    <n v="11323"/>
    <n v="1"/>
    <s v="Indonesia"/>
    <s v="YSN-SSA"/>
    <x v="0"/>
  </r>
  <r>
    <s v="CLICTRUCK-043760"/>
    <s v="domestic"/>
    <x v="25"/>
    <x v="9"/>
    <n v="294490"/>
    <n v="24975"/>
    <d v="2023-02-08T00:00:00"/>
    <s v="UNPAID"/>
    <x v="9"/>
    <n v="9805"/>
    <n v="1"/>
    <s v="Indonesia"/>
    <s v="YSN-SSA"/>
    <x v="0"/>
  </r>
  <r>
    <s v="CLICTRUCK-043762"/>
    <s v="domestic"/>
    <x v="25"/>
    <x v="9"/>
    <n v="3606400"/>
    <n v="24975"/>
    <d v="2023-02-14T00:00:00"/>
    <s v="UNPAID"/>
    <x v="8"/>
    <n v="120093"/>
    <n v="1"/>
    <s v="Indonesia"/>
    <s v="YSN-FPM"/>
    <x v="0"/>
  </r>
  <r>
    <s v="CLICTRUCK-043763"/>
    <s v="domestic"/>
    <x v="25"/>
    <x v="13"/>
    <n v="1188000"/>
    <n v="46153"/>
    <d v="2023-02-04T00:00:00"/>
    <s v="UNPAID"/>
    <x v="18"/>
    <n v="27750"/>
    <n v="1"/>
    <s v="Indonesia"/>
    <s v="JIP - KKL"/>
    <x v="0"/>
  </r>
  <r>
    <s v="CLICTRUCK-043764"/>
    <s v="domestic"/>
    <x v="26"/>
    <x v="17"/>
    <n v="24800000"/>
    <n v="963480"/>
    <d v="2023-02-03T00:00:00"/>
    <s v="PAID"/>
    <x v="19"/>
    <n v="27750"/>
    <n v="1"/>
    <s v="Indonesia"/>
    <s v="AJM - NTL"/>
    <x v="0"/>
  </r>
  <r>
    <s v="CLICTRUCK-043765"/>
    <s v="domestic"/>
    <x v="26"/>
    <x v="17"/>
    <n v="7000000"/>
    <n v="271950"/>
    <d v="2023-02-03T00:00:00"/>
    <s v="PAID"/>
    <x v="19"/>
    <n v="27750"/>
    <n v="1"/>
    <s v="Indonesia"/>
    <s v="AJM - NTL"/>
    <x v="0"/>
  </r>
  <r>
    <s v="CLICTRUCK-043766"/>
    <s v="domestic"/>
    <x v="26"/>
    <x v="17"/>
    <n v="7000000"/>
    <n v="271950"/>
    <d v="2023-02-03T00:00:00"/>
    <s v="PAID"/>
    <x v="19"/>
    <n v="27750"/>
    <n v="1"/>
    <s v="Indonesia"/>
    <s v="AJM - NTL"/>
    <x v="0"/>
  </r>
  <r>
    <s v="CLICTRUCK-043767"/>
    <s v="domestic"/>
    <x v="26"/>
    <x v="17"/>
    <n v="7000000"/>
    <n v="271950"/>
    <d v="2023-02-03T00:00:00"/>
    <s v="PAID"/>
    <x v="19"/>
    <n v="27750"/>
    <n v="1"/>
    <s v="Indonesia"/>
    <s v="AJM - NTL"/>
    <x v="0"/>
  </r>
  <r>
    <s v="CLICTRUCK-043768"/>
    <s v="domestic"/>
    <x v="26"/>
    <x v="9"/>
    <n v="392490"/>
    <n v="49950"/>
    <d v="2023-02-08T00:00:00"/>
    <s v="UNPAID"/>
    <x v="9"/>
    <n v="13069"/>
    <n v="2"/>
    <s v="Indonesia"/>
    <s v="YSN-SSA"/>
    <x v="0"/>
  </r>
  <r>
    <s v="CLICTRUCK-043769"/>
    <s v="domestic"/>
    <x v="26"/>
    <x v="17"/>
    <n v="7000000"/>
    <n v="271950"/>
    <d v="2023-02-03T00:00:00"/>
    <s v="PAID"/>
    <x v="19"/>
    <n v="27750"/>
    <n v="1"/>
    <s v="Indonesia"/>
    <s v="AJM - NTL"/>
    <x v="0"/>
  </r>
  <r>
    <s v="CLICTRUCK-043770"/>
    <s v="domestic"/>
    <x v="26"/>
    <x v="17"/>
    <n v="24800000"/>
    <n v="963480"/>
    <d v="2023-02-03T00:00:00"/>
    <s v="PAID"/>
    <x v="19"/>
    <n v="27750"/>
    <n v="1"/>
    <s v="Indonesia"/>
    <s v="AJM - NTL"/>
    <x v="0"/>
  </r>
  <r>
    <s v="CLICTRUCK-043771"/>
    <s v="domestic"/>
    <x v="26"/>
    <x v="17"/>
    <n v="7000000"/>
    <n v="271950"/>
    <d v="2023-02-03T00:00:00"/>
    <s v="PAID"/>
    <x v="19"/>
    <n v="27750"/>
    <n v="1"/>
    <s v="Indonesia"/>
    <s v="AJM - NTL"/>
    <x v="0"/>
  </r>
  <r>
    <s v="CLICTRUCK-043772"/>
    <s v="domestic"/>
    <x v="26"/>
    <x v="17"/>
    <n v="7000000"/>
    <n v="271950"/>
    <d v="2023-02-03T00:00:00"/>
    <s v="PAID"/>
    <x v="19"/>
    <n v="27750"/>
    <n v="1"/>
    <s v="Indonesia"/>
    <s v="AJM - NTL"/>
    <x v="0"/>
  </r>
  <r>
    <s v="CLICTRUCK-043773"/>
    <s v="domestic"/>
    <x v="26"/>
    <x v="17"/>
    <n v="14000000"/>
    <n v="543900"/>
    <d v="2023-02-03T00:00:00"/>
    <s v="PAID"/>
    <x v="19"/>
    <n v="27750"/>
    <n v="1"/>
    <s v="Indonesia"/>
    <s v="AJM - NTL"/>
    <x v="0"/>
  </r>
  <r>
    <s v="CLICTRUCK-043774"/>
    <s v="domestic"/>
    <x v="26"/>
    <x v="17"/>
    <n v="24800000"/>
    <n v="963480"/>
    <d v="2023-02-03T00:00:00"/>
    <s v="PAID"/>
    <x v="19"/>
    <n v="27750"/>
    <n v="1"/>
    <s v="Indonesia"/>
    <s v="AJM - NTL"/>
    <x v="0"/>
  </r>
  <r>
    <s v="CLICTRUCK-043775"/>
    <s v="domestic"/>
    <x v="26"/>
    <x v="17"/>
    <n v="24800000"/>
    <n v="963480"/>
    <d v="2023-02-03T00:00:00"/>
    <s v="PAID"/>
    <x v="19"/>
    <n v="27750"/>
    <n v="1"/>
    <s v="Indonesia"/>
    <s v="AJM - NTL"/>
    <x v="0"/>
  </r>
  <r>
    <s v="CLICTRUCK-043776"/>
    <s v="domestic"/>
    <x v="26"/>
    <x v="17"/>
    <n v="24800000"/>
    <n v="963480"/>
    <d v="2023-02-03T00:00:00"/>
    <s v="PAID"/>
    <x v="19"/>
    <n v="27750"/>
    <n v="1"/>
    <s v="Indonesia"/>
    <s v="AJM - NTL"/>
    <x v="0"/>
  </r>
  <r>
    <s v="CLICTRUCK-043777"/>
    <s v="domestic"/>
    <x v="26"/>
    <x v="13"/>
    <n v="7603200"/>
    <n v="295384"/>
    <d v="2023-02-04T00:00:00"/>
    <s v="UNPAID"/>
    <x v="18"/>
    <n v="27750"/>
    <n v="1"/>
    <s v="Indonesia"/>
    <s v="JIP - KKL"/>
    <x v="0"/>
  </r>
  <r>
    <s v="CLICTRUCK-043778"/>
    <s v="domestic"/>
    <x v="26"/>
    <x v="13"/>
    <n v="7603200"/>
    <n v="295384"/>
    <d v="2023-02-04T00:00:00"/>
    <s v="UNPAID"/>
    <x v="18"/>
    <n v="27750"/>
    <n v="1"/>
    <s v="Indonesia"/>
    <s v="JIP - KKL"/>
    <x v="0"/>
  </r>
  <r>
    <s v="CLICTRUCK-043779"/>
    <s v="domestic"/>
    <x v="26"/>
    <x v="13"/>
    <n v="2182400"/>
    <n v="84786"/>
    <d v="2023-02-04T00:00:00"/>
    <s v="UNPAID"/>
    <x v="18"/>
    <n v="27750"/>
    <n v="1"/>
    <s v="Indonesia"/>
    <s v="JIP - KKL"/>
    <x v="0"/>
  </r>
  <r>
    <s v="CLICTRUCK-043780"/>
    <s v="domestic"/>
    <x v="26"/>
    <x v="13"/>
    <n v="7603200"/>
    <n v="295384"/>
    <d v="2023-02-04T00:00:00"/>
    <s v="UNPAID"/>
    <x v="18"/>
    <n v="27750"/>
    <n v="1"/>
    <s v="Indonesia"/>
    <s v="JIP - KKL"/>
    <x v="0"/>
  </r>
  <r>
    <s v="CLICTRUCK-043781"/>
    <s v="domestic"/>
    <x v="26"/>
    <x v="13"/>
    <n v="7603200"/>
    <n v="295384"/>
    <d v="2023-02-04T00:00:00"/>
    <s v="UNPAID"/>
    <x v="18"/>
    <n v="27750"/>
    <n v="1"/>
    <s v="Indonesia"/>
    <s v="JIP - KKL"/>
    <x v="0"/>
  </r>
  <r>
    <s v="CLICTRUCK-043782"/>
    <s v="domestic"/>
    <x v="26"/>
    <x v="13"/>
    <n v="7603200"/>
    <n v="295384"/>
    <d v="2023-02-04T00:00:00"/>
    <s v="UNPAID"/>
    <x v="18"/>
    <n v="27750"/>
    <n v="1"/>
    <s v="Indonesia"/>
    <s v="JIP - KKL"/>
    <x v="0"/>
  </r>
  <r>
    <s v="CLICTRUCK-043783"/>
    <s v="domestic"/>
    <x v="26"/>
    <x v="16"/>
    <n v="9862000"/>
    <n v="273670"/>
    <d v="2023-02-03T00:00:00"/>
    <s v="PAID"/>
    <x v="17"/>
    <n v="27750"/>
    <n v="1"/>
    <s v="Indonesia"/>
    <s v="JMA - RKB"/>
    <x v="0"/>
  </r>
  <r>
    <s v="CLICTRUCK-043784"/>
    <s v="domestic"/>
    <x v="26"/>
    <x v="16"/>
    <n v="4800000"/>
    <n v="133200"/>
    <d v="2023-02-03T00:00:00"/>
    <s v="PAID"/>
    <x v="17"/>
    <n v="27750"/>
    <n v="1"/>
    <s v="Indonesia"/>
    <s v="JMA - RKB"/>
    <x v="0"/>
  </r>
  <r>
    <s v="CLICTRUCK-043785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86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87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88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89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90"/>
    <s v="domestic"/>
    <x v="26"/>
    <x v="17"/>
    <n v="21000000"/>
    <n v="815850"/>
    <d v="2023-02-04T00:00:00"/>
    <s v="PAID"/>
    <x v="19"/>
    <n v="27750"/>
    <n v="1"/>
    <s v="Indonesia"/>
    <s v="AJM - NTL"/>
    <x v="0"/>
  </r>
  <r>
    <s v="CLICTRUCK-043791"/>
    <s v="domestic"/>
    <x v="26"/>
    <x v="17"/>
    <n v="21000000"/>
    <n v="815850"/>
    <d v="2023-02-04T00:00:00"/>
    <s v="PAID"/>
    <x v="19"/>
    <n v="27750"/>
    <n v="1"/>
    <s v="Indonesia"/>
    <s v="AJM - NTL"/>
    <x v="0"/>
  </r>
  <r>
    <s v="CLICTRUCK-043792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93"/>
    <s v="domestic"/>
    <x v="26"/>
    <x v="17"/>
    <n v="21000000"/>
    <n v="815850"/>
    <d v="2023-02-04T00:00:00"/>
    <s v="PAID"/>
    <x v="19"/>
    <n v="27750"/>
    <n v="1"/>
    <s v="Indonesia"/>
    <s v="AJM - NTL"/>
    <x v="0"/>
  </r>
  <r>
    <s v="CLICTRUCK-043794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95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96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97"/>
    <s v="domestic"/>
    <x v="26"/>
    <x v="17"/>
    <n v="24800000"/>
    <n v="963480"/>
    <d v="2023-02-04T00:00:00"/>
    <s v="PAID"/>
    <x v="19"/>
    <n v="27750"/>
    <n v="1"/>
    <s v="Indonesia"/>
    <s v="AJM - NTL"/>
    <x v="0"/>
  </r>
  <r>
    <s v="CLICTRUCK-043798"/>
    <s v="domestic"/>
    <x v="26"/>
    <x v="13"/>
    <n v="1452000"/>
    <n v="56410"/>
    <d v="2023-02-04T00:00:00"/>
    <s v="UNPAID"/>
    <x v="18"/>
    <n v="27750"/>
    <n v="1"/>
    <s v="Indonesia"/>
    <s v="JIP - KKL"/>
    <x v="0"/>
  </r>
  <r>
    <s v="CLICTRUCK-043799"/>
    <s v="domestic"/>
    <x v="26"/>
    <x v="13"/>
    <n v="1452000"/>
    <n v="56410"/>
    <d v="2023-02-04T00:00:00"/>
    <s v="UNPAID"/>
    <x v="18"/>
    <n v="27750"/>
    <n v="1"/>
    <s v="Indonesia"/>
    <s v="JIP - KKL"/>
    <x v="0"/>
  </r>
  <r>
    <s v="CLICTRUCK-043800"/>
    <s v="domestic"/>
    <x v="26"/>
    <x v="13"/>
    <n v="1452000"/>
    <n v="56410"/>
    <d v="2023-02-04T00:00:00"/>
    <s v="UNPAID"/>
    <x v="18"/>
    <n v="27750"/>
    <n v="1"/>
    <s v="Indonesia"/>
    <s v="JIP - KKL"/>
    <x v="0"/>
  </r>
  <r>
    <s v="CLICTRUCK-043801"/>
    <s v="domestic"/>
    <x v="26"/>
    <x v="13"/>
    <n v="1452000"/>
    <n v="56410"/>
    <d v="2023-02-04T00:00:00"/>
    <s v="UNPAID"/>
    <x v="18"/>
    <n v="27750"/>
    <n v="1"/>
    <s v="Indonesia"/>
    <s v="JIP - KKL"/>
    <x v="0"/>
  </r>
  <r>
    <s v="CLICTRUCK-043802"/>
    <s v="domestic"/>
    <x v="26"/>
    <x v="13"/>
    <n v="1452000"/>
    <n v="56410"/>
    <d v="2023-02-04T00:00:00"/>
    <s v="UNPAID"/>
    <x v="18"/>
    <n v="27750"/>
    <n v="1"/>
    <s v="Indonesia"/>
    <s v="JIP - KKL"/>
    <x v="0"/>
  </r>
  <r>
    <s v="CLICTRUCK-043803"/>
    <s v="domestic"/>
    <x v="26"/>
    <x v="13"/>
    <n v="2182400"/>
    <n v="84786"/>
    <d v="2023-02-04T00:00:00"/>
    <s v="UNPAID"/>
    <x v="18"/>
    <n v="27750"/>
    <n v="1"/>
    <s v="Indonesia"/>
    <s v="JIP - KKL"/>
    <x v="0"/>
  </r>
  <r>
    <s v="CLICTRUCK-043804"/>
    <s v="domestic"/>
    <x v="26"/>
    <x v="13"/>
    <n v="2182400"/>
    <n v="84786"/>
    <d v="2023-02-04T00:00:00"/>
    <s v="UNPAID"/>
    <x v="18"/>
    <n v="27750"/>
    <n v="1"/>
    <s v="Indonesia"/>
    <s v="JIP - KKL"/>
    <x v="0"/>
  </r>
  <r>
    <s v="CLICTRUCK-043805"/>
    <s v="domestic"/>
    <x v="26"/>
    <x v="13"/>
    <n v="2182400"/>
    <n v="84786"/>
    <d v="2023-02-04T00:00:00"/>
    <s v="UNPAID"/>
    <x v="18"/>
    <n v="27750"/>
    <n v="1"/>
    <s v="Indonesia"/>
    <s v="JIP - KKL"/>
    <x v="0"/>
  </r>
  <r>
    <s v="CLICTRUCK-043806"/>
    <s v="domestic"/>
    <x v="26"/>
    <x v="13"/>
    <n v="704000"/>
    <n v="27350"/>
    <d v="2023-02-04T00:00:00"/>
    <s v="UNPAID"/>
    <x v="18"/>
    <n v="27750"/>
    <n v="1"/>
    <s v="Indonesia"/>
    <s v="JIP - KKL"/>
    <x v="0"/>
  </r>
  <r>
    <s v="CLICTRUCK-043807"/>
    <s v="domestic"/>
    <x v="26"/>
    <x v="13"/>
    <n v="7603200"/>
    <n v="295384"/>
    <d v="2023-02-04T00:00:00"/>
    <s v="UNPAID"/>
    <x v="18"/>
    <n v="27750"/>
    <n v="1"/>
    <s v="Indonesia"/>
    <s v="JIP - KKL"/>
    <x v="0"/>
  </r>
  <r>
    <s v="CLICTRUCK-043808"/>
    <s v="domestic"/>
    <x v="26"/>
    <x v="13"/>
    <n v="7603200"/>
    <n v="295384"/>
    <d v="2023-02-04T00:00:00"/>
    <s v="UNPAID"/>
    <x v="18"/>
    <n v="27750"/>
    <n v="1"/>
    <s v="Indonesia"/>
    <s v="JIP - KKL"/>
    <x v="0"/>
  </r>
  <r>
    <s v="CLICTRUCK-043809"/>
    <s v="domestic"/>
    <x v="26"/>
    <x v="13"/>
    <n v="7603200"/>
    <n v="295384"/>
    <d v="2023-02-04T00:00:00"/>
    <s v="UNPAID"/>
    <x v="18"/>
    <n v="27750"/>
    <n v="1"/>
    <s v="Indonesia"/>
    <s v="JIP - KKL"/>
    <x v="0"/>
  </r>
  <r>
    <s v="CLICTRUCK-043810"/>
    <s v="domestic"/>
    <x v="26"/>
    <x v="13"/>
    <n v="1452000"/>
    <n v="56410"/>
    <d v="2023-02-04T00:00:00"/>
    <s v="UNPAID"/>
    <x v="18"/>
    <n v="27750"/>
    <n v="1"/>
    <s v="Indonesia"/>
    <s v="JIP - KKL"/>
    <x v="0"/>
  </r>
  <r>
    <s v="CLICTRUCK-043811"/>
    <s v="domestic"/>
    <x v="26"/>
    <x v="13"/>
    <n v="2182400"/>
    <n v="84786"/>
    <d v="2023-02-04T00:00:00"/>
    <s v="UNPAID"/>
    <x v="18"/>
    <n v="27750"/>
    <n v="1"/>
    <s v="Indonesia"/>
    <s v="JIP - KKL"/>
    <x v="0"/>
  </r>
  <r>
    <s v="CLICTRUCK-043812"/>
    <s v="domestic"/>
    <x v="26"/>
    <x v="13"/>
    <n v="2182400"/>
    <n v="84786"/>
    <d v="2023-02-04T00:00:00"/>
    <s v="UNPAID"/>
    <x v="18"/>
    <n v="27750"/>
    <n v="1"/>
    <s v="Indonesia"/>
    <s v="JIP - KKL"/>
    <x v="0"/>
  </r>
  <r>
    <s v="CLICTRUCK-043813"/>
    <s v="domestic"/>
    <x v="26"/>
    <x v="13"/>
    <n v="704000"/>
    <n v="27350"/>
    <d v="2023-02-04T00:00:00"/>
    <s v="UNPAID"/>
    <x v="18"/>
    <n v="27750"/>
    <n v="1"/>
    <s v="Indonesia"/>
    <s v="JIP - KKL"/>
    <x v="0"/>
  </r>
  <r>
    <s v="CLICTRUCK-043814"/>
    <s v="domestic"/>
    <x v="26"/>
    <x v="13"/>
    <n v="1452000"/>
    <n v="56410"/>
    <d v="2023-02-04T00:00:00"/>
    <s v="UNPAID"/>
    <x v="18"/>
    <n v="27750"/>
    <n v="1"/>
    <s v="Indonesia"/>
    <s v="JIP - KKL"/>
    <x v="0"/>
  </r>
  <r>
    <s v="CLICTRUCK-043827"/>
    <s v="domestic"/>
    <x v="119"/>
    <x v="17"/>
    <n v="21000000"/>
    <m/>
    <m/>
    <s v="DELIVERED"/>
    <x v="19"/>
    <n v="0"/>
    <n v="1"/>
    <s v="Indonesia"/>
    <s v="AJM - NTL"/>
    <x v="1"/>
  </r>
  <r>
    <s v="CLICTRUCK-043828"/>
    <s v="domestic"/>
    <x v="119"/>
    <x v="17"/>
    <n v="24800000"/>
    <m/>
    <m/>
    <s v="DELIVERED"/>
    <x v="19"/>
    <n v="0"/>
    <n v="1"/>
    <s v="Indonesia"/>
    <s v="AJM - NTL"/>
    <x v="1"/>
  </r>
  <r>
    <s v="CLICTRUCK-043829"/>
    <s v="domestic"/>
    <x v="119"/>
    <x v="17"/>
    <n v="24800000"/>
    <m/>
    <m/>
    <s v="DELIVERED"/>
    <x v="19"/>
    <n v="0"/>
    <n v="1"/>
    <s v="Indonesia"/>
    <s v="AJM - NTL"/>
    <x v="1"/>
  </r>
  <r>
    <s v="CLICTRUCK-043830"/>
    <s v="domestic"/>
    <x v="119"/>
    <x v="17"/>
    <n v="24800000"/>
    <m/>
    <m/>
    <s v="DELIVERED"/>
    <x v="19"/>
    <n v="0"/>
    <n v="1"/>
    <s v="Indonesia"/>
    <s v="AJM - NTL"/>
    <x v="1"/>
  </r>
  <r>
    <s v="CLICTRUCK-043831"/>
    <s v="domestic"/>
    <x v="119"/>
    <x v="17"/>
    <n v="21000000"/>
    <m/>
    <m/>
    <s v="NEW"/>
    <x v="19"/>
    <n v="0"/>
    <n v="1"/>
    <s v="Indonesia"/>
    <s v="AJM - NTL"/>
    <x v="1"/>
  </r>
  <r>
    <s v="CLICTRUCK-043832"/>
    <s v="domestic"/>
    <x v="119"/>
    <x v="12"/>
    <n v="17500000"/>
    <n v="27750"/>
    <d v="2023-02-06T00:00:00"/>
    <s v="PAID"/>
    <x v="13"/>
    <n v="485625"/>
    <n v="1"/>
    <s v="Indonesia"/>
    <s v="RPL - NBM"/>
    <x v="0"/>
  </r>
  <r>
    <s v="CLICTRUCK-043833"/>
    <s v="domestic"/>
    <x v="119"/>
    <x v="12"/>
    <n v="10300000"/>
    <n v="27750"/>
    <d v="2023-02-06T00:00:00"/>
    <s v="PAID"/>
    <x v="13"/>
    <n v="285825"/>
    <n v="1"/>
    <s v="Indonesia"/>
    <s v="RPL - NBM"/>
    <x v="0"/>
  </r>
  <r>
    <s v="CLICTRUCK-043834"/>
    <s v="domestic"/>
    <x v="119"/>
    <x v="12"/>
    <n v="17500000"/>
    <n v="27750"/>
    <d v="2023-02-06T00:00:00"/>
    <s v="PAID"/>
    <x v="13"/>
    <n v="485625"/>
    <n v="1"/>
    <s v="Indonesia"/>
    <s v="RPL - NBM"/>
    <x v="0"/>
  </r>
  <r>
    <s v="CLICTRUCK-043835"/>
    <s v="domestic"/>
    <x v="119"/>
    <x v="12"/>
    <n v="17500000"/>
    <n v="27750"/>
    <d v="2023-02-07T00:00:00"/>
    <s v="PAID"/>
    <x v="13"/>
    <n v="485625"/>
    <n v="1"/>
    <s v="Indonesia"/>
    <s v="RPL - NBM"/>
    <x v="0"/>
  </r>
  <r>
    <s v="CLICTRUCK-043836"/>
    <s v="domestic"/>
    <x v="119"/>
    <x v="12"/>
    <n v="17500000"/>
    <n v="27750"/>
    <d v="2023-02-09T00:00:00"/>
    <s v="PAID"/>
    <x v="13"/>
    <n v="485625"/>
    <n v="1"/>
    <s v="Indonesia"/>
    <s v="RPL - NBM"/>
    <x v="0"/>
  </r>
  <r>
    <s v="CLICTRUCK-043837"/>
    <s v="domestic"/>
    <x v="119"/>
    <x v="12"/>
    <n v="13500000"/>
    <n v="27750"/>
    <d v="2023-02-07T00:00:00"/>
    <s v="PAID"/>
    <x v="13"/>
    <n v="374625"/>
    <n v="1"/>
    <s v="Indonesia"/>
    <s v="RPL - NBM"/>
    <x v="0"/>
  </r>
  <r>
    <s v="CLICTRUCK-043838"/>
    <s v="domestic"/>
    <x v="27"/>
    <x v="9"/>
    <n v="340060"/>
    <n v="24975"/>
    <d v="2023-02-08T00:00:00"/>
    <s v="UNPAID"/>
    <x v="9"/>
    <n v="11323"/>
    <n v="1"/>
    <s v="Indonesia"/>
    <s v="YSN-SSA"/>
    <x v="0"/>
  </r>
  <r>
    <s v="CLICTRUCK-043839"/>
    <s v="domestic"/>
    <x v="27"/>
    <x v="9"/>
    <n v="340060"/>
    <n v="24975"/>
    <d v="2023-02-08T00:00:00"/>
    <s v="UNPAID"/>
    <x v="9"/>
    <n v="11323"/>
    <n v="1"/>
    <s v="Indonesia"/>
    <s v="YSN-SSA"/>
    <x v="0"/>
  </r>
  <r>
    <s v="CLICTRUCK-043840"/>
    <s v="domestic"/>
    <x v="27"/>
    <x v="12"/>
    <n v="13500000"/>
    <n v="27750"/>
    <d v="2023-02-07T00:00:00"/>
    <s v="PAID"/>
    <x v="13"/>
    <n v="374625"/>
    <n v="1"/>
    <s v="Indonesia"/>
    <s v="RPL - NBM"/>
    <x v="0"/>
  </r>
  <r>
    <s v="CLICTRUCK-043841"/>
    <s v="domestic"/>
    <x v="27"/>
    <x v="9"/>
    <n v="399350"/>
    <n v="24975"/>
    <d v="2023-02-16T00:00:00"/>
    <s v="UNPAID"/>
    <x v="9"/>
    <n v="13297"/>
    <n v="1"/>
    <s v="Indonesia"/>
    <s v="YSN-SSA"/>
    <x v="0"/>
  </r>
  <r>
    <s v="CLICTRUCK-043842"/>
    <s v="domestic"/>
    <x v="27"/>
    <x v="9"/>
    <n v="245490"/>
    <n v="24975"/>
    <d v="2023-02-16T00:00:00"/>
    <s v="UNPAID"/>
    <x v="9"/>
    <n v="8174"/>
    <n v="1"/>
    <s v="Indonesia"/>
    <s v="YSN-SSA"/>
    <x v="0"/>
  </r>
  <r>
    <s v="CLICTRUCK-043843"/>
    <s v="domestic"/>
    <x v="27"/>
    <x v="9"/>
    <n v="458150"/>
    <n v="49950"/>
    <d v="2023-02-16T00:00:00"/>
    <s v="UNPAID"/>
    <x v="9"/>
    <n v="15255"/>
    <n v="2"/>
    <s v="Indonesia"/>
    <s v="YSN-SSA"/>
    <x v="0"/>
  </r>
  <r>
    <s v="CLICTRUCK-043844"/>
    <s v="domestic"/>
    <x v="27"/>
    <x v="9"/>
    <n v="294490"/>
    <n v="24975"/>
    <d v="2023-02-16T00:00:00"/>
    <s v="UNPAID"/>
    <x v="9"/>
    <n v="9805"/>
    <n v="1"/>
    <s v="Indonesia"/>
    <s v="YSN-SSA"/>
    <x v="0"/>
  </r>
  <r>
    <s v="CLICTRUCK-043846"/>
    <s v="domestic"/>
    <x v="27"/>
    <x v="9"/>
    <n v="458150"/>
    <n v="24975"/>
    <d v="2023-02-16T00:00:00"/>
    <s v="UNPAID"/>
    <x v="9"/>
    <n v="15255"/>
    <n v="1"/>
    <s v="Indonesia"/>
    <s v="YSN-SSA"/>
    <x v="0"/>
  </r>
  <r>
    <s v="CLICTRUCK-043847"/>
    <s v="domestic"/>
    <x v="27"/>
    <x v="12"/>
    <n v="17500000"/>
    <n v="27750"/>
    <d v="2023-02-10T00:00:00"/>
    <s v="PAID"/>
    <x v="13"/>
    <n v="485625"/>
    <n v="1"/>
    <s v="Indonesia"/>
    <s v="RPL - NBM"/>
    <x v="0"/>
  </r>
  <r>
    <s v="CLICTRUCK-043848"/>
    <s v="domestic"/>
    <x v="27"/>
    <x v="12"/>
    <n v="10500000"/>
    <n v="27750"/>
    <d v="2023-02-10T00:00:00"/>
    <s v="PAID"/>
    <x v="13"/>
    <n v="291375"/>
    <n v="1"/>
    <s v="Indonesia"/>
    <s v="RPL - NBM"/>
    <x v="0"/>
  </r>
  <r>
    <s v="CLICTRUCK-043864"/>
    <s v="domestic"/>
    <x v="28"/>
    <x v="17"/>
    <n v="21000000"/>
    <m/>
    <m/>
    <s v="NEW"/>
    <x v="19"/>
    <n v="0"/>
    <n v="1"/>
    <s v="Indonesia"/>
    <s v="AJM - NTL"/>
    <x v="1"/>
  </r>
  <r>
    <s v="CLICTRUCK-043869"/>
    <s v="domestic"/>
    <x v="28"/>
    <x v="13"/>
    <n v="7603200"/>
    <n v="295384"/>
    <d v="2023-02-11T00:00:00"/>
    <s v="UNPAID"/>
    <x v="18"/>
    <n v="27750"/>
    <n v="1"/>
    <s v="Indonesia"/>
    <s v="JIP - KKL"/>
    <x v="0"/>
  </r>
  <r>
    <s v="CLICTRUCK-043870"/>
    <s v="domestic"/>
    <x v="28"/>
    <x v="13"/>
    <n v="7603200"/>
    <n v="295384"/>
    <d v="2023-02-11T00:00:00"/>
    <s v="UNPAID"/>
    <x v="18"/>
    <n v="27750"/>
    <n v="1"/>
    <s v="Indonesia"/>
    <s v="JIP - KKL"/>
    <x v="0"/>
  </r>
  <r>
    <s v="CLICTRUCK-043871"/>
    <s v="domestic"/>
    <x v="28"/>
    <x v="13"/>
    <n v="7603200"/>
    <n v="295384"/>
    <d v="2023-02-11T00:00:00"/>
    <s v="UNPAID"/>
    <x v="18"/>
    <n v="27750"/>
    <n v="1"/>
    <s v="Indonesia"/>
    <s v="JIP - KKL"/>
    <x v="0"/>
  </r>
  <r>
    <s v="CLICTRUCK-043872"/>
    <s v="domestic"/>
    <x v="28"/>
    <x v="13"/>
    <n v="7603200"/>
    <n v="295384"/>
    <d v="2023-02-11T00:00:00"/>
    <s v="UNPAID"/>
    <x v="18"/>
    <n v="27750"/>
    <n v="1"/>
    <s v="Indonesia"/>
    <s v="JIP - KKL"/>
    <x v="0"/>
  </r>
  <r>
    <s v="CLICTRUCK-043873"/>
    <s v="domestic"/>
    <x v="28"/>
    <x v="13"/>
    <n v="7603200"/>
    <n v="295384"/>
    <d v="2023-02-11T00:00:00"/>
    <s v="UNPAID"/>
    <x v="18"/>
    <n v="27750"/>
    <n v="1"/>
    <s v="Indonesia"/>
    <s v="JIP - KKL"/>
    <x v="0"/>
  </r>
  <r>
    <s v="CLICTRUCK-043874"/>
    <s v="domestic"/>
    <x v="28"/>
    <x v="13"/>
    <n v="7603200"/>
    <n v="295384"/>
    <d v="2023-02-11T00:00:00"/>
    <s v="UNPAID"/>
    <x v="18"/>
    <n v="27750"/>
    <n v="1"/>
    <s v="Indonesia"/>
    <s v="JIP - KKL"/>
    <x v="0"/>
  </r>
  <r>
    <s v="CLICTRUCK-043876"/>
    <s v="domestic"/>
    <x v="28"/>
    <x v="13"/>
    <n v="704000"/>
    <n v="27350"/>
    <d v="2023-02-11T00:00:00"/>
    <s v="UNPAID"/>
    <x v="18"/>
    <n v="27750"/>
    <n v="1"/>
    <s v="Indonesia"/>
    <s v="JIP - KKL"/>
    <x v="0"/>
  </r>
  <r>
    <s v="CLICTRUCK-043878"/>
    <s v="domestic"/>
    <x v="28"/>
    <x v="13"/>
    <n v="704000"/>
    <n v="27350"/>
    <d v="2023-02-11T00:00:00"/>
    <s v="UNPAID"/>
    <x v="18"/>
    <n v="27750"/>
    <n v="1"/>
    <s v="Indonesia"/>
    <s v="JIP - KKL"/>
    <x v="0"/>
  </r>
  <r>
    <s v="CLICTRUCK-043880"/>
    <s v="domestic"/>
    <x v="28"/>
    <x v="9"/>
    <n v="4057200"/>
    <n v="24975"/>
    <d v="2023-02-20T00:00:00"/>
    <s v="UNPAID"/>
    <x v="8"/>
    <n v="135104"/>
    <n v="1"/>
    <s v="Indonesia"/>
    <s v="YSN-FPM"/>
    <x v="0"/>
  </r>
  <r>
    <s v="CLICTRUCK-043881"/>
    <s v="domestic"/>
    <x v="28"/>
    <x v="13"/>
    <n v="2798400"/>
    <n v="108717"/>
    <d v="2023-02-11T00:00:00"/>
    <s v="UNPAID"/>
    <x v="18"/>
    <n v="27750"/>
    <n v="1"/>
    <s v="Indonesia"/>
    <s v="JIP - KKL"/>
    <x v="0"/>
  </r>
  <r>
    <s v="CLICTRUCK-043883"/>
    <s v="domestic"/>
    <x v="28"/>
    <x v="13"/>
    <n v="1452000"/>
    <n v="56410"/>
    <d v="2023-02-11T00:00:00"/>
    <s v="UNPAID"/>
    <x v="18"/>
    <n v="27750"/>
    <n v="1"/>
    <s v="Indonesia"/>
    <s v="JIP - KKL"/>
    <x v="0"/>
  </r>
  <r>
    <s v="CLICTRUCK-043885"/>
    <s v="domestic"/>
    <x v="28"/>
    <x v="13"/>
    <n v="704000"/>
    <n v="27350"/>
    <d v="2023-02-11T00:00:00"/>
    <s v="UNPAID"/>
    <x v="18"/>
    <n v="27750"/>
    <n v="1"/>
    <s v="Indonesia"/>
    <s v="JIP - KKL"/>
    <x v="0"/>
  </r>
  <r>
    <s v="CLICTRUCK-043886"/>
    <s v="domestic"/>
    <x v="28"/>
    <x v="13"/>
    <n v="704000"/>
    <n v="27350"/>
    <d v="2023-02-11T00:00:00"/>
    <s v="UNPAID"/>
    <x v="18"/>
    <n v="27750"/>
    <n v="1"/>
    <s v="Indonesia"/>
    <s v="JIP - KKL"/>
    <x v="0"/>
  </r>
  <r>
    <s v="CLICTRUCK-043887"/>
    <s v="domestic"/>
    <x v="28"/>
    <x v="13"/>
    <n v="2798400"/>
    <n v="108717"/>
    <d v="2023-02-11T00:00:00"/>
    <s v="UNPAID"/>
    <x v="18"/>
    <n v="27750"/>
    <n v="1"/>
    <s v="Indonesia"/>
    <s v="JIP - KKL"/>
    <x v="0"/>
  </r>
  <r>
    <s v="CLICTRUCK-043890"/>
    <s v="domestic"/>
    <x v="28"/>
    <x v="13"/>
    <n v="1452000"/>
    <n v="56410"/>
    <d v="2023-02-11T00:00:00"/>
    <s v="UNPAID"/>
    <x v="18"/>
    <n v="27750"/>
    <n v="1"/>
    <s v="Indonesia"/>
    <s v="JIP - KKL"/>
    <x v="0"/>
  </r>
  <r>
    <s v="CLICTRUCK-043891"/>
    <s v="domestic"/>
    <x v="28"/>
    <x v="13"/>
    <n v="7603200"/>
    <n v="295384"/>
    <d v="2023-02-11T00:00:00"/>
    <s v="UNPAID"/>
    <x v="18"/>
    <n v="27750"/>
    <n v="1"/>
    <s v="Indonesia"/>
    <s v="JIP - KKL"/>
    <x v="0"/>
  </r>
  <r>
    <s v="CLICTRUCK-043894"/>
    <s v="domestic"/>
    <x v="28"/>
    <x v="13"/>
    <n v="7603200"/>
    <n v="295384"/>
    <d v="2023-02-11T00:00:00"/>
    <s v="UNPAID"/>
    <x v="18"/>
    <n v="27750"/>
    <n v="1"/>
    <s v="Indonesia"/>
    <s v="JIP - KKL"/>
    <x v="0"/>
  </r>
  <r>
    <s v="CLICTRUCK-043895"/>
    <s v="domestic"/>
    <x v="28"/>
    <x v="13"/>
    <n v="1188000"/>
    <n v="46153"/>
    <d v="2023-02-11T00:00:00"/>
    <s v="UNPAID"/>
    <x v="18"/>
    <n v="27750"/>
    <n v="1"/>
    <s v="Indonesia"/>
    <s v="JIP - KKL"/>
    <x v="0"/>
  </r>
  <r>
    <s v="CLICTRUCK-043897"/>
    <s v="domestic"/>
    <x v="28"/>
    <x v="13"/>
    <n v="1188000"/>
    <n v="46153"/>
    <d v="2023-02-11T00:00:00"/>
    <s v="UNPAID"/>
    <x v="18"/>
    <n v="27750"/>
    <n v="1"/>
    <s v="Indonesia"/>
    <s v="JIP - KKL"/>
    <x v="0"/>
  </r>
  <r>
    <s v="CLICTRUCK-043899"/>
    <s v="domestic"/>
    <x v="28"/>
    <x v="13"/>
    <n v="1188000"/>
    <n v="46153"/>
    <d v="2023-02-11T00:00:00"/>
    <s v="UNPAID"/>
    <x v="18"/>
    <n v="27750"/>
    <n v="1"/>
    <s v="Indonesia"/>
    <s v="JIP - KKL"/>
    <x v="0"/>
  </r>
  <r>
    <s v="CLICTRUCK-043900"/>
    <s v="domestic"/>
    <x v="28"/>
    <x v="13"/>
    <n v="2182400"/>
    <n v="84786"/>
    <d v="2023-02-11T00:00:00"/>
    <s v="UNPAID"/>
    <x v="18"/>
    <n v="27750"/>
    <n v="1"/>
    <s v="Indonesia"/>
    <s v="JIP - KKL"/>
    <x v="0"/>
  </r>
  <r>
    <s v="CLICTRUCK-043902"/>
    <s v="domestic"/>
    <x v="28"/>
    <x v="13"/>
    <n v="2798400"/>
    <n v="108717"/>
    <d v="2023-02-11T00:00:00"/>
    <s v="UNPAID"/>
    <x v="18"/>
    <n v="27750"/>
    <n v="1"/>
    <s v="Indonesia"/>
    <s v="JIP - KKL"/>
    <x v="0"/>
  </r>
  <r>
    <s v="CLICTRUCK-043903"/>
    <s v="domestic"/>
    <x v="28"/>
    <x v="13"/>
    <n v="2798400"/>
    <n v="108717"/>
    <d v="2023-02-11T00:00:00"/>
    <s v="UNPAID"/>
    <x v="18"/>
    <n v="27750"/>
    <n v="1"/>
    <s v="Indonesia"/>
    <s v="JIP - KKL"/>
    <x v="0"/>
  </r>
  <r>
    <s v="CLICTRUCK-043905"/>
    <s v="domestic"/>
    <x v="28"/>
    <x v="13"/>
    <n v="1452000"/>
    <n v="56410"/>
    <d v="2023-02-11T00:00:00"/>
    <s v="UNPAID"/>
    <x v="18"/>
    <n v="27750"/>
    <n v="1"/>
    <s v="Indonesia"/>
    <s v="JIP - KKL"/>
    <x v="0"/>
  </r>
  <r>
    <s v="CLICTRUCK-043907"/>
    <s v="domestic"/>
    <x v="28"/>
    <x v="13"/>
    <n v="1452000"/>
    <n v="56410"/>
    <d v="2023-02-11T00:00:00"/>
    <s v="UNPAID"/>
    <x v="18"/>
    <n v="27750"/>
    <n v="1"/>
    <s v="Indonesia"/>
    <s v="JIP - KKL"/>
    <x v="0"/>
  </r>
  <r>
    <s v="CLICTRUCK-043909"/>
    <s v="domestic"/>
    <x v="28"/>
    <x v="9"/>
    <n v="313600"/>
    <n v="24975"/>
    <d v="2023-02-16T00:00:00"/>
    <s v="UNPAID"/>
    <x v="9"/>
    <n v="10442"/>
    <n v="1"/>
    <s v="Indonesia"/>
    <s v="YSN-SSA"/>
    <x v="0"/>
  </r>
  <r>
    <s v="CLICTRUCK-043910"/>
    <s v="domestic"/>
    <x v="28"/>
    <x v="13"/>
    <n v="1188000"/>
    <n v="46153"/>
    <d v="2023-02-11T00:00:00"/>
    <s v="UNPAID"/>
    <x v="18"/>
    <n v="27750"/>
    <n v="1"/>
    <s v="Indonesia"/>
    <s v="JIP - KKL"/>
    <x v="0"/>
  </r>
  <r>
    <s v="CLICTRUCK-043912"/>
    <s v="domestic"/>
    <x v="28"/>
    <x v="13"/>
    <n v="1188000"/>
    <n v="46153"/>
    <d v="2023-02-11T00:00:00"/>
    <s v="UNPAID"/>
    <x v="18"/>
    <n v="27750"/>
    <n v="1"/>
    <s v="Indonesia"/>
    <s v="JIP - KKL"/>
    <x v="0"/>
  </r>
  <r>
    <s v="CLICTRUCK-043914"/>
    <s v="domestic"/>
    <x v="28"/>
    <x v="13"/>
    <n v="1188000"/>
    <n v="46153"/>
    <d v="2023-02-11T00:00:00"/>
    <s v="UNPAID"/>
    <x v="18"/>
    <n v="27750"/>
    <n v="1"/>
    <s v="Indonesia"/>
    <s v="JIP - KKL"/>
    <x v="0"/>
  </r>
  <r>
    <s v="CLICTRUCK-043916"/>
    <s v="domestic"/>
    <x v="28"/>
    <x v="13"/>
    <n v="1188000"/>
    <n v="46153"/>
    <d v="2023-02-11T00:00:00"/>
    <s v="UNPAID"/>
    <x v="18"/>
    <n v="27750"/>
    <n v="1"/>
    <s v="Indonesia"/>
    <s v="JIP - KKL"/>
    <x v="0"/>
  </r>
  <r>
    <s v="CLICTRUCK-043918"/>
    <s v="domestic"/>
    <x v="28"/>
    <x v="13"/>
    <n v="2182400"/>
    <n v="84786"/>
    <d v="2023-02-11T00:00:00"/>
    <s v="UNPAID"/>
    <x v="18"/>
    <n v="27750"/>
    <n v="1"/>
    <s v="Indonesia"/>
    <s v="JIP - KKL"/>
    <x v="0"/>
  </r>
  <r>
    <s v="CLICTRUCK-043920"/>
    <s v="domestic"/>
    <x v="28"/>
    <x v="13"/>
    <n v="2798400"/>
    <n v="108717"/>
    <d v="2023-02-11T00:00:00"/>
    <s v="UNPAID"/>
    <x v="18"/>
    <n v="27750"/>
    <n v="1"/>
    <s v="Indonesia"/>
    <s v="JIP - KKL"/>
    <x v="0"/>
  </r>
  <r>
    <s v="CLICTRUCK-043921"/>
    <s v="domestic"/>
    <x v="28"/>
    <x v="13"/>
    <n v="2798400"/>
    <n v="108717"/>
    <d v="2023-02-11T00:00:00"/>
    <s v="UNPAID"/>
    <x v="18"/>
    <n v="27750"/>
    <n v="1"/>
    <s v="Indonesia"/>
    <s v="JIP - KKL"/>
    <x v="0"/>
  </r>
  <r>
    <s v="CLICTRUCK-043922"/>
    <s v="domestic"/>
    <x v="28"/>
    <x v="13"/>
    <n v="1452000"/>
    <n v="56410"/>
    <d v="2023-02-11T00:00:00"/>
    <s v="UNPAID"/>
    <x v="18"/>
    <n v="27750"/>
    <n v="1"/>
    <s v="Indonesia"/>
    <s v="JIP - KKL"/>
    <x v="0"/>
  </r>
  <r>
    <s v="CLICTRUCK-043923"/>
    <s v="domestic"/>
    <x v="28"/>
    <x v="13"/>
    <n v="1452000"/>
    <n v="56410"/>
    <d v="2023-02-11T00:00:00"/>
    <s v="UNPAID"/>
    <x v="18"/>
    <n v="27750"/>
    <n v="1"/>
    <s v="Indonesia"/>
    <s v="JIP - KKL"/>
    <x v="0"/>
  </r>
  <r>
    <s v="CLICTRUCK-043924"/>
    <s v="domestic"/>
    <x v="28"/>
    <x v="13"/>
    <n v="1188000"/>
    <n v="46153"/>
    <d v="2023-02-11T00:00:00"/>
    <s v="UNPAID"/>
    <x v="18"/>
    <n v="27750"/>
    <n v="1"/>
    <s v="Indonesia"/>
    <s v="JIP - KKL"/>
    <x v="0"/>
  </r>
  <r>
    <s v="CLICTRUCK-043925"/>
    <s v="domestic"/>
    <x v="28"/>
    <x v="13"/>
    <n v="2798400"/>
    <n v="108717"/>
    <d v="2023-02-11T00:00:00"/>
    <s v="UNPAID"/>
    <x v="18"/>
    <n v="27750"/>
    <n v="1"/>
    <s v="Indonesia"/>
    <s v="JIP - KKL"/>
    <x v="0"/>
  </r>
  <r>
    <s v="CLICTRUCK-043926"/>
    <s v="domestic"/>
    <x v="28"/>
    <x v="13"/>
    <n v="1452000"/>
    <n v="56410"/>
    <d v="2023-02-11T00:00:00"/>
    <s v="UNPAID"/>
    <x v="18"/>
    <n v="27750"/>
    <n v="1"/>
    <s v="Indonesia"/>
    <s v="JIP - KKL"/>
    <x v="0"/>
  </r>
  <r>
    <s v="CLICTRUCK-043948"/>
    <s v="domestic"/>
    <x v="28"/>
    <x v="17"/>
    <n v="24800000"/>
    <n v="963480"/>
    <d v="2023-02-09T00:00:00"/>
    <s v="PAID"/>
    <x v="19"/>
    <n v="27750"/>
    <n v="1"/>
    <s v="Indonesia"/>
    <s v="AJM - NTL"/>
    <x v="0"/>
  </r>
  <r>
    <s v="CLICTRUCK-043949"/>
    <s v="domestic"/>
    <x v="28"/>
    <x v="17"/>
    <n v="24800000"/>
    <n v="963480"/>
    <d v="2023-02-09T00:00:00"/>
    <s v="PAID"/>
    <x v="19"/>
    <n v="27750"/>
    <n v="1"/>
    <s v="Indonesia"/>
    <s v="AJM - NTL"/>
    <x v="0"/>
  </r>
  <r>
    <s v="CLICTRUCK-043950"/>
    <s v="domestic"/>
    <x v="28"/>
    <x v="17"/>
    <n v="21000000"/>
    <n v="815850"/>
    <d v="2023-02-09T00:00:00"/>
    <s v="PAID"/>
    <x v="19"/>
    <n v="27750"/>
    <n v="1"/>
    <s v="Indonesia"/>
    <s v="AJM - NTL"/>
    <x v="0"/>
  </r>
  <r>
    <s v="CLICTRUCK-043951"/>
    <s v="domestic"/>
    <x v="28"/>
    <x v="17"/>
    <n v="24800000"/>
    <n v="963480"/>
    <d v="2023-02-09T00:00:00"/>
    <s v="PAID"/>
    <x v="19"/>
    <n v="27750"/>
    <n v="1"/>
    <s v="Indonesia"/>
    <s v="AJM - NTL"/>
    <x v="0"/>
  </r>
  <r>
    <s v="CLICTRUCK-043952"/>
    <s v="domestic"/>
    <x v="28"/>
    <x v="17"/>
    <n v="24800000"/>
    <n v="963480"/>
    <d v="2023-02-09T00:00:00"/>
    <s v="PAID"/>
    <x v="19"/>
    <n v="27750"/>
    <n v="1"/>
    <s v="Indonesia"/>
    <s v="AJM - NTL"/>
    <x v="0"/>
  </r>
  <r>
    <s v="CLICTRUCK-043953"/>
    <s v="domestic"/>
    <x v="29"/>
    <x v="17"/>
    <n v="24800000"/>
    <m/>
    <m/>
    <s v="PENDING APPROVAL"/>
    <x v="19"/>
    <n v="0"/>
    <n v="1"/>
    <s v="Indonesia"/>
    <s v="AJM - NTL"/>
    <x v="1"/>
  </r>
  <r>
    <s v="CLICTRUCK-043954"/>
    <s v="domestic"/>
    <x v="29"/>
    <x v="17"/>
    <n v="24800000"/>
    <n v="963480"/>
    <d v="2023-02-09T00:00:00"/>
    <s v="PAID"/>
    <x v="19"/>
    <n v="27750"/>
    <n v="1"/>
    <s v="Indonesia"/>
    <s v="AJM - NTL"/>
    <x v="0"/>
  </r>
  <r>
    <s v="CLICTRUCK-043955"/>
    <s v="domestic"/>
    <x v="29"/>
    <x v="17"/>
    <n v="21000000"/>
    <m/>
    <m/>
    <s v="PENDING APPROVAL"/>
    <x v="19"/>
    <n v="0"/>
    <n v="1"/>
    <s v="Indonesia"/>
    <s v="AJM - NTL"/>
    <x v="1"/>
  </r>
  <r>
    <s v="CLICTRUCK-043956"/>
    <s v="domestic"/>
    <x v="29"/>
    <x v="17"/>
    <n v="24800000"/>
    <n v="963480"/>
    <d v="2023-02-09T00:00:00"/>
    <s v="PAID"/>
    <x v="19"/>
    <n v="27750"/>
    <n v="1"/>
    <s v="Indonesia"/>
    <s v="AJM - NTL"/>
    <x v="0"/>
  </r>
  <r>
    <s v="CLICTRUCK-043957"/>
    <s v="domestic"/>
    <x v="29"/>
    <x v="13"/>
    <n v="1188000"/>
    <n v="46153"/>
    <d v="2023-02-11T00:00:00"/>
    <s v="UNPAID"/>
    <x v="18"/>
    <n v="27750"/>
    <n v="1"/>
    <s v="Indonesia"/>
    <s v="JIP - KKL"/>
    <x v="0"/>
  </r>
  <r>
    <s v="CLICTRUCK-043958"/>
    <s v="domestic"/>
    <x v="29"/>
    <x v="17"/>
    <n v="21000000"/>
    <n v="815850"/>
    <d v="2023-02-09T00:00:00"/>
    <s v="PAID"/>
    <x v="19"/>
    <n v="27750"/>
    <n v="1"/>
    <s v="Indonesia"/>
    <s v="AJM - NTL"/>
    <x v="0"/>
  </r>
  <r>
    <s v="CLICTRUCK-043959"/>
    <s v="domestic"/>
    <x v="29"/>
    <x v="17"/>
    <n v="24800000"/>
    <n v="963480"/>
    <d v="2023-02-09T00:00:00"/>
    <s v="PAID"/>
    <x v="19"/>
    <n v="27750"/>
    <n v="1"/>
    <s v="Indonesia"/>
    <s v="AJM - NTL"/>
    <x v="0"/>
  </r>
  <r>
    <s v="CLICTRUCK-043960"/>
    <s v="domestic"/>
    <x v="29"/>
    <x v="9"/>
    <n v="340060"/>
    <n v="24975"/>
    <d v="2023-02-16T00:00:00"/>
    <s v="UNPAID"/>
    <x v="9"/>
    <n v="11323"/>
    <n v="1"/>
    <s v="Indonesia"/>
    <s v="YSN-SSA"/>
    <x v="0"/>
  </r>
  <r>
    <s v="CLICTRUCK-043961"/>
    <s v="domestic"/>
    <x v="29"/>
    <x v="17"/>
    <n v="24800000"/>
    <n v="963480"/>
    <d v="2023-02-10T00:00:00"/>
    <s v="PAID"/>
    <x v="19"/>
    <n v="27750"/>
    <n v="1"/>
    <s v="Indonesia"/>
    <s v="AJM - NTL"/>
    <x v="0"/>
  </r>
  <r>
    <s v="CLICTRUCK-043968"/>
    <s v="domestic"/>
    <x v="29"/>
    <x v="9"/>
    <n v="315560"/>
    <n v="24975"/>
    <d v="2023-02-16T00:00:00"/>
    <s v="UNPAID"/>
    <x v="9"/>
    <n v="10507"/>
    <n v="1"/>
    <s v="Indonesia"/>
    <s v="YSN-SSA"/>
    <x v="0"/>
  </r>
  <r>
    <s v="CLICTRUCK-043969"/>
    <s v="domestic"/>
    <x v="29"/>
    <x v="9"/>
    <n v="340060"/>
    <n v="24975"/>
    <d v="2023-02-16T00:00:00"/>
    <s v="UNPAID"/>
    <x v="9"/>
    <n v="11323"/>
    <n v="1"/>
    <s v="Indonesia"/>
    <s v="YSN-SSA"/>
    <x v="0"/>
  </r>
  <r>
    <s v="CLICTRUCK-043971"/>
    <s v="domestic"/>
    <x v="29"/>
    <x v="9"/>
    <n v="340060"/>
    <n v="24975"/>
    <d v="2023-02-16T00:00:00"/>
    <s v="UNPAID"/>
    <x v="9"/>
    <n v="11323"/>
    <n v="1"/>
    <s v="Indonesia"/>
    <s v="YSN-SSA"/>
    <x v="0"/>
  </r>
  <r>
    <s v="CLICTRUCK-043972"/>
    <s v="domestic"/>
    <x v="29"/>
    <x v="12"/>
    <n v="13500000"/>
    <n v="27750"/>
    <d v="2023-02-09T00:00:00"/>
    <s v="PAID"/>
    <x v="13"/>
    <n v="374625"/>
    <n v="1"/>
    <s v="Indonesia"/>
    <s v="RPL - NBM"/>
    <x v="0"/>
  </r>
  <r>
    <s v="CLICTRUCK-043973"/>
    <s v="domestic"/>
    <x v="29"/>
    <x v="12"/>
    <n v="10500000"/>
    <n v="27750"/>
    <d v="2023-02-09T00:00:00"/>
    <s v="PAID"/>
    <x v="13"/>
    <n v="291375"/>
    <n v="1"/>
    <s v="Indonesia"/>
    <s v="RPL - NBM"/>
    <x v="0"/>
  </r>
  <r>
    <s v="CLICTRUCK-043974"/>
    <s v="domestic"/>
    <x v="29"/>
    <x v="9"/>
    <n v="274890"/>
    <n v="24975"/>
    <d v="2023-02-16T00:00:00"/>
    <s v="UNPAID"/>
    <x v="9"/>
    <n v="9153"/>
    <n v="1"/>
    <s v="Indonesia"/>
    <s v="YSN-SSA"/>
    <x v="0"/>
  </r>
  <r>
    <s v="CLICTRUCK-043981"/>
    <s v="domestic"/>
    <x v="29"/>
    <x v="18"/>
    <n v="4900000"/>
    <n v="11100"/>
    <d v="2023-02-10T00:00:00"/>
    <s v="PAID"/>
    <x v="20"/>
    <n v="135975"/>
    <n v="1"/>
    <s v="Indonesia"/>
    <s v="CSN - PSL"/>
    <x v="0"/>
  </r>
  <r>
    <s v="CLICTRUCK-043982"/>
    <s v="domestic"/>
    <x v="29"/>
    <x v="18"/>
    <n v="4900000"/>
    <n v="11100"/>
    <d v="2023-02-10T00:00:00"/>
    <s v="PAID"/>
    <x v="20"/>
    <n v="135975"/>
    <n v="1"/>
    <s v="Indonesia"/>
    <s v="CSN - PSL"/>
    <x v="0"/>
  </r>
  <r>
    <s v="CLICTRUCK-043983"/>
    <s v="domestic"/>
    <x v="29"/>
    <x v="18"/>
    <n v="4900000"/>
    <n v="11100"/>
    <d v="2023-02-10T00:00:00"/>
    <s v="PAID"/>
    <x v="20"/>
    <n v="135975"/>
    <n v="1"/>
    <s v="Indonesia"/>
    <s v="CSN - PSL"/>
    <x v="0"/>
  </r>
  <r>
    <s v="CLICTRUCK-043984"/>
    <s v="domestic"/>
    <x v="29"/>
    <x v="18"/>
    <n v="4900000"/>
    <n v="11100"/>
    <d v="2023-02-10T00:00:00"/>
    <s v="PAID"/>
    <x v="20"/>
    <n v="135975"/>
    <n v="1"/>
    <s v="Indonesia"/>
    <s v="CSN - PSL"/>
    <x v="0"/>
  </r>
  <r>
    <s v="CLICTRUCK-043991"/>
    <s v="domestic"/>
    <x v="29"/>
    <x v="19"/>
    <n v="7000000"/>
    <n v="27750"/>
    <d v="2023-02-20T00:00:00"/>
    <s v="PAID"/>
    <x v="21"/>
    <n v="310800"/>
    <n v="1"/>
    <s v="Indonesia"/>
    <s v="MMA - TAL"/>
    <x v="0"/>
  </r>
  <r>
    <s v="CLICTRUCK-043992"/>
    <s v="domestic"/>
    <x v="29"/>
    <x v="16"/>
    <n v="8280000"/>
    <n v="229770"/>
    <d v="2023-02-09T00:00:00"/>
    <s v="PAID"/>
    <x v="17"/>
    <n v="27750"/>
    <n v="1"/>
    <s v="Indonesia"/>
    <s v="JMA - RKB"/>
    <x v="0"/>
  </r>
  <r>
    <s v="CLICTRUCK-043993"/>
    <s v="domestic"/>
    <x v="29"/>
    <x v="16"/>
    <n v="8280000"/>
    <n v="229770"/>
    <d v="2023-02-09T00:00:00"/>
    <s v="PAID"/>
    <x v="17"/>
    <n v="27750"/>
    <n v="1"/>
    <s v="Indonesia"/>
    <s v="JMA - RKB"/>
    <x v="0"/>
  </r>
  <r>
    <s v="CLICTRUCK-043994"/>
    <s v="domestic"/>
    <x v="29"/>
    <x v="16"/>
    <n v="4800000"/>
    <n v="133200"/>
    <d v="2023-02-09T00:00:00"/>
    <s v="PAID"/>
    <x v="17"/>
    <n v="27750"/>
    <n v="1"/>
    <s v="Indonesia"/>
    <s v="JMA - RKB"/>
    <x v="0"/>
  </r>
  <r>
    <s v="CLICTRUCK-043995"/>
    <s v="domestic"/>
    <x v="29"/>
    <x v="16"/>
    <n v="6100000"/>
    <n v="169275"/>
    <d v="2023-02-09T00:00:00"/>
    <s v="PAID"/>
    <x v="17"/>
    <n v="27750"/>
    <n v="1"/>
    <s v="Indonesia"/>
    <s v="JMA - RKB"/>
    <x v="0"/>
  </r>
  <r>
    <s v="CLICTRUCK-043996"/>
    <s v="domestic"/>
    <x v="29"/>
    <x v="16"/>
    <n v="1785000"/>
    <n v="49533"/>
    <d v="2023-02-09T00:00:00"/>
    <s v="PAID"/>
    <x v="17"/>
    <n v="27750"/>
    <n v="1"/>
    <s v="Indonesia"/>
    <s v="JMA - RKB"/>
    <x v="0"/>
  </r>
  <r>
    <s v="CLICTRUCK-043997"/>
    <s v="domestic"/>
    <x v="29"/>
    <x v="16"/>
    <n v="1885000"/>
    <n v="52308"/>
    <d v="2023-02-09T00:00:00"/>
    <s v="PAID"/>
    <x v="17"/>
    <n v="27750"/>
    <n v="1"/>
    <s v="Indonesia"/>
    <s v="JMA - RKB"/>
    <x v="0"/>
  </r>
  <r>
    <s v="CLICTRUCK-044004"/>
    <s v="domestic"/>
    <x v="30"/>
    <x v="13"/>
    <n v="2798400"/>
    <n v="108717"/>
    <d v="2023-02-11T00:00:00"/>
    <s v="UNPAID"/>
    <x v="18"/>
    <n v="27750"/>
    <n v="1"/>
    <s v="Indonesia"/>
    <s v="JIP - KKL"/>
    <x v="0"/>
  </r>
  <r>
    <s v="CLICTRUCK-044005"/>
    <s v="domestic"/>
    <x v="30"/>
    <x v="13"/>
    <n v="1452000"/>
    <n v="56410"/>
    <d v="2023-02-11T00:00:00"/>
    <s v="UNPAID"/>
    <x v="18"/>
    <n v="27750"/>
    <n v="1"/>
    <s v="Indonesia"/>
    <s v="JIP - KKL"/>
    <x v="0"/>
  </r>
  <r>
    <s v="CLICTRUCK-044006"/>
    <s v="domestic"/>
    <x v="30"/>
    <x v="13"/>
    <n v="2798400"/>
    <n v="108717"/>
    <d v="2023-02-11T00:00:00"/>
    <s v="UNPAID"/>
    <x v="18"/>
    <n v="27750"/>
    <n v="1"/>
    <s v="Indonesia"/>
    <s v="JIP - KKL"/>
    <x v="0"/>
  </r>
  <r>
    <s v="CLICTRUCK-044007"/>
    <s v="domestic"/>
    <x v="30"/>
    <x v="13"/>
    <n v="2798400"/>
    <n v="108717"/>
    <d v="2023-02-11T00:00:00"/>
    <s v="UNPAID"/>
    <x v="18"/>
    <n v="27750"/>
    <n v="1"/>
    <s v="Indonesia"/>
    <s v="JIP - KKL"/>
    <x v="0"/>
  </r>
  <r>
    <s v="CLICTRUCK-044008"/>
    <s v="domestic"/>
    <x v="30"/>
    <x v="16"/>
    <n v="9530000"/>
    <n v="264457"/>
    <d v="2023-02-09T00:00:00"/>
    <s v="PAID"/>
    <x v="17"/>
    <n v="27750"/>
    <n v="1"/>
    <s v="Indonesia"/>
    <s v="JMA - RKB"/>
    <x v="0"/>
  </r>
  <r>
    <s v="CLICTRUCK-044009"/>
    <s v="domestic"/>
    <x v="30"/>
    <x v="13"/>
    <n v="2798400"/>
    <n v="108717"/>
    <d v="2023-02-11T00:00:00"/>
    <s v="UNPAID"/>
    <x v="18"/>
    <n v="27750"/>
    <n v="1"/>
    <s v="Indonesia"/>
    <s v="JIP - KKL"/>
    <x v="0"/>
  </r>
  <r>
    <s v="CLICTRUCK-044010"/>
    <s v="domestic"/>
    <x v="30"/>
    <x v="13"/>
    <n v="2798400"/>
    <n v="108717"/>
    <d v="2023-02-11T00:00:00"/>
    <s v="UNPAID"/>
    <x v="18"/>
    <n v="27750"/>
    <n v="1"/>
    <s v="Indonesia"/>
    <s v="JIP - KKL"/>
    <x v="0"/>
  </r>
  <r>
    <s v="CLICTRUCK-044011"/>
    <s v="domestic"/>
    <x v="30"/>
    <x v="13"/>
    <n v="1452000"/>
    <n v="56410"/>
    <d v="2023-02-11T00:00:00"/>
    <s v="UNPAID"/>
    <x v="18"/>
    <n v="27750"/>
    <n v="1"/>
    <s v="Indonesia"/>
    <s v="JIP - KKL"/>
    <x v="0"/>
  </r>
  <r>
    <s v="CLICTRUCK-044012"/>
    <s v="domestic"/>
    <x v="30"/>
    <x v="16"/>
    <n v="9530000"/>
    <n v="264457"/>
    <d v="2023-02-09T00:00:00"/>
    <s v="PAID"/>
    <x v="17"/>
    <n v="27750"/>
    <n v="1"/>
    <s v="Indonesia"/>
    <s v="JMA - RKB"/>
    <x v="0"/>
  </r>
  <r>
    <s v="CLICTRUCK-044013"/>
    <s v="domestic"/>
    <x v="30"/>
    <x v="13"/>
    <n v="7603200"/>
    <n v="295384"/>
    <d v="2023-02-11T00:00:00"/>
    <s v="UNPAID"/>
    <x v="18"/>
    <n v="27750"/>
    <n v="1"/>
    <s v="Indonesia"/>
    <s v="JIP - KKL"/>
    <x v="0"/>
  </r>
  <r>
    <s v="CLICTRUCK-044014"/>
    <s v="domestic"/>
    <x v="30"/>
    <x v="13"/>
    <n v="7603200"/>
    <n v="295384"/>
    <d v="2023-02-11T00:00:00"/>
    <s v="UNPAID"/>
    <x v="18"/>
    <n v="27750"/>
    <n v="1"/>
    <s v="Indonesia"/>
    <s v="JIP - KKL"/>
    <x v="0"/>
  </r>
  <r>
    <s v="CLICTRUCK-044015"/>
    <s v="domestic"/>
    <x v="30"/>
    <x v="13"/>
    <n v="7603200"/>
    <n v="295384"/>
    <d v="2023-02-11T00:00:00"/>
    <s v="UNPAID"/>
    <x v="18"/>
    <n v="27750"/>
    <n v="1"/>
    <s v="Indonesia"/>
    <s v="JIP - KKL"/>
    <x v="0"/>
  </r>
  <r>
    <s v="CLICTRUCK-044016"/>
    <s v="domestic"/>
    <x v="30"/>
    <x v="13"/>
    <n v="7603200"/>
    <n v="295384"/>
    <d v="2023-02-11T00:00:00"/>
    <s v="UNPAID"/>
    <x v="18"/>
    <n v="27750"/>
    <n v="1"/>
    <s v="Indonesia"/>
    <s v="JIP - KKL"/>
    <x v="0"/>
  </r>
  <r>
    <s v="CLICTRUCK-044017"/>
    <s v="domestic"/>
    <x v="30"/>
    <x v="13"/>
    <n v="7603200"/>
    <n v="295384"/>
    <d v="2023-02-11T00:00:00"/>
    <s v="UNPAID"/>
    <x v="18"/>
    <n v="27750"/>
    <n v="1"/>
    <s v="Indonesia"/>
    <s v="JIP - KKL"/>
    <x v="0"/>
  </r>
  <r>
    <s v="CLICTRUCK-044019"/>
    <s v="domestic"/>
    <x v="30"/>
    <x v="13"/>
    <n v="1452000"/>
    <n v="56410"/>
    <d v="2023-02-11T00:00:00"/>
    <s v="UNPAID"/>
    <x v="18"/>
    <n v="27750"/>
    <n v="1"/>
    <s v="Indonesia"/>
    <s v="JIP - KKL"/>
    <x v="0"/>
  </r>
  <r>
    <s v="CLICTRUCK-044020"/>
    <s v="domestic"/>
    <x v="30"/>
    <x v="13"/>
    <n v="1452000"/>
    <n v="56410"/>
    <d v="2023-02-11T00:00:00"/>
    <s v="UNPAID"/>
    <x v="18"/>
    <n v="27750"/>
    <n v="1"/>
    <s v="Indonesia"/>
    <s v="JIP - KKL"/>
    <x v="0"/>
  </r>
  <r>
    <s v="CLICTRUCK-044021"/>
    <s v="domestic"/>
    <x v="30"/>
    <x v="13"/>
    <n v="1452000"/>
    <n v="56410"/>
    <d v="2023-02-11T00:00:00"/>
    <s v="UNPAID"/>
    <x v="18"/>
    <n v="27750"/>
    <n v="1"/>
    <s v="Indonesia"/>
    <s v="JIP - KKL"/>
    <x v="0"/>
  </r>
  <r>
    <s v="CLICTRUCK-044023"/>
    <s v="domestic"/>
    <x v="30"/>
    <x v="13"/>
    <n v="1452000"/>
    <n v="56410"/>
    <d v="2023-02-11T00:00:00"/>
    <s v="UNPAID"/>
    <x v="18"/>
    <n v="27750"/>
    <n v="1"/>
    <s v="Indonesia"/>
    <s v="JIP - KKL"/>
    <x v="0"/>
  </r>
  <r>
    <s v="CLICTRUCK-044024"/>
    <s v="domestic"/>
    <x v="30"/>
    <x v="13"/>
    <n v="1452000"/>
    <n v="56410"/>
    <d v="2023-02-11T00:00:00"/>
    <s v="UNPAID"/>
    <x v="18"/>
    <n v="27750"/>
    <n v="1"/>
    <s v="Indonesia"/>
    <s v="JIP - KKL"/>
    <x v="0"/>
  </r>
  <r>
    <s v="CLICTRUCK-044026"/>
    <s v="domestic"/>
    <x v="30"/>
    <x v="13"/>
    <n v="1188000"/>
    <n v="46153"/>
    <d v="2023-02-11T00:00:00"/>
    <s v="UNPAID"/>
    <x v="18"/>
    <n v="27750"/>
    <n v="1"/>
    <s v="Indonesia"/>
    <s v="JIP - KKL"/>
    <x v="0"/>
  </r>
  <r>
    <s v="CLICTRUCK-044027"/>
    <s v="domestic"/>
    <x v="30"/>
    <x v="13"/>
    <n v="2182400"/>
    <n v="84786"/>
    <d v="2023-02-11T00:00:00"/>
    <s v="UNPAID"/>
    <x v="18"/>
    <n v="27750"/>
    <n v="1"/>
    <s v="Indonesia"/>
    <s v="JIP - KKL"/>
    <x v="0"/>
  </r>
  <r>
    <s v="CLICTRUCK-044029"/>
    <s v="domestic"/>
    <x v="30"/>
    <x v="13"/>
    <n v="1188000"/>
    <n v="46153"/>
    <d v="2023-02-11T00:00:00"/>
    <s v="UNPAID"/>
    <x v="18"/>
    <n v="27750"/>
    <n v="1"/>
    <s v="Indonesia"/>
    <s v="JIP - KKL"/>
    <x v="0"/>
  </r>
  <r>
    <s v="CLICTRUCK-044030"/>
    <s v="domestic"/>
    <x v="30"/>
    <x v="13"/>
    <n v="2798400"/>
    <n v="108717"/>
    <d v="2023-02-11T00:00:00"/>
    <s v="UNPAID"/>
    <x v="18"/>
    <n v="27750"/>
    <n v="1"/>
    <s v="Indonesia"/>
    <s v="JIP - KKL"/>
    <x v="0"/>
  </r>
  <r>
    <s v="CLICTRUCK-044031"/>
    <s v="domestic"/>
    <x v="30"/>
    <x v="13"/>
    <n v="1452000"/>
    <n v="56410"/>
    <d v="2023-02-11T00:00:00"/>
    <s v="UNPAID"/>
    <x v="18"/>
    <n v="27750"/>
    <n v="1"/>
    <s v="Indonesia"/>
    <s v="JIP - KKL"/>
    <x v="0"/>
  </r>
  <r>
    <s v="CLICTRUCK-044032"/>
    <s v="domestic"/>
    <x v="30"/>
    <x v="13"/>
    <n v="1188000"/>
    <n v="46153"/>
    <d v="2023-02-11T00:00:00"/>
    <s v="UNPAID"/>
    <x v="18"/>
    <n v="27750"/>
    <n v="1"/>
    <s v="Indonesia"/>
    <s v="JIP - KKL"/>
    <x v="0"/>
  </r>
  <r>
    <s v="CLICTRUCK-044035"/>
    <s v="domestic"/>
    <x v="30"/>
    <x v="13"/>
    <n v="2182400"/>
    <n v="84786"/>
    <d v="2023-02-11T00:00:00"/>
    <s v="UNPAID"/>
    <x v="18"/>
    <n v="27750"/>
    <n v="1"/>
    <s v="Indonesia"/>
    <s v="JIP - KKL"/>
    <x v="0"/>
  </r>
  <r>
    <s v="CLICTRUCK-044037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38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39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40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42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43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45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46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48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49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50"/>
    <s v="domestic"/>
    <x v="30"/>
    <x v="13"/>
    <n v="800000"/>
    <n v="31080"/>
    <d v="2023-02-11T00:00:00"/>
    <s v="UNPAID"/>
    <x v="18"/>
    <n v="27750"/>
    <n v="1"/>
    <s v="Indonesia"/>
    <s v="JIP - KKL"/>
    <x v="0"/>
  </r>
  <r>
    <s v="CLICTRUCK-044057"/>
    <s v="domestic"/>
    <x v="30"/>
    <x v="9"/>
    <n v="274890"/>
    <n v="24975"/>
    <d v="2023-02-16T00:00:00"/>
    <s v="UNPAID"/>
    <x v="9"/>
    <n v="9153"/>
    <n v="1"/>
    <s v="Indonesia"/>
    <s v="YSN-SSA"/>
    <x v="0"/>
  </r>
  <r>
    <s v="CLICTRUCK-044059"/>
    <s v="domestic"/>
    <x v="30"/>
    <x v="9"/>
    <n v="6762000"/>
    <n v="24975"/>
    <d v="2023-02-21T00:00:00"/>
    <s v="UNPAID"/>
    <x v="8"/>
    <n v="225174"/>
    <n v="1"/>
    <s v="Indonesia"/>
    <s v="YSN-FPM"/>
    <x v="0"/>
  </r>
  <r>
    <s v="CLICTRUCK-044060"/>
    <s v="domestic"/>
    <x v="30"/>
    <x v="13"/>
    <n v="1452000"/>
    <n v="56410"/>
    <d v="2023-02-11T00:00:00"/>
    <s v="UNPAID"/>
    <x v="18"/>
    <n v="27750"/>
    <n v="1"/>
    <s v="Indonesia"/>
    <s v="JIP - KKL"/>
    <x v="0"/>
  </r>
  <r>
    <s v="CLICTRUCK-044061"/>
    <s v="domestic"/>
    <x v="30"/>
    <x v="13"/>
    <n v="2798400"/>
    <n v="108717"/>
    <d v="2023-02-11T00:00:00"/>
    <s v="UNPAID"/>
    <x v="18"/>
    <n v="27750"/>
    <n v="1"/>
    <s v="Indonesia"/>
    <s v="JIP - KKL"/>
    <x v="0"/>
  </r>
  <r>
    <s v="CLICTRUCK-044062"/>
    <s v="domestic"/>
    <x v="30"/>
    <x v="13"/>
    <n v="1188000"/>
    <n v="46153"/>
    <d v="2023-02-11T00:00:00"/>
    <s v="UNPAID"/>
    <x v="18"/>
    <n v="27750"/>
    <n v="1"/>
    <s v="Indonesia"/>
    <s v="JIP - KKL"/>
    <x v="0"/>
  </r>
  <r>
    <s v="CLICTRUCK-044068"/>
    <s v="domestic"/>
    <x v="30"/>
    <x v="18"/>
    <n v="4900000"/>
    <n v="11100"/>
    <d v="2023-02-10T00:00:00"/>
    <s v="PAID"/>
    <x v="20"/>
    <n v="135975"/>
    <n v="1"/>
    <s v="Indonesia"/>
    <s v="CSN - PSL"/>
    <x v="0"/>
  </r>
  <r>
    <s v="CLICTRUCK-044071"/>
    <s v="domestic"/>
    <x v="30"/>
    <x v="9"/>
    <n v="265090"/>
    <n v="24975"/>
    <d v="2023-02-16T00:00:00"/>
    <s v="UNPAID"/>
    <x v="9"/>
    <n v="8826"/>
    <n v="1"/>
    <s v="Indonesia"/>
    <s v="YSN-SSA"/>
    <x v="0"/>
  </r>
  <r>
    <s v="CLICTRUCK-044078"/>
    <s v="domestic"/>
    <x v="30"/>
    <x v="17"/>
    <n v="24800000"/>
    <n v="963480"/>
    <d v="2023-02-10T00:00:00"/>
    <s v="PAID"/>
    <x v="19"/>
    <n v="27750"/>
    <n v="1"/>
    <s v="Indonesia"/>
    <s v="AJM - NTL"/>
    <x v="0"/>
  </r>
  <r>
    <s v="CLICTRUCK-044079"/>
    <s v="domestic"/>
    <x v="30"/>
    <x v="17"/>
    <n v="24800000"/>
    <n v="963480"/>
    <d v="2023-02-10T00:00:00"/>
    <s v="PAID"/>
    <x v="19"/>
    <n v="27750"/>
    <n v="1"/>
    <s v="Indonesia"/>
    <s v="AJM - NTL"/>
    <x v="0"/>
  </r>
  <r>
    <s v="CLICTRUCK-044080"/>
    <s v="domestic"/>
    <x v="30"/>
    <x v="17"/>
    <n v="24800000"/>
    <n v="963480"/>
    <d v="2023-02-10T00:00:00"/>
    <s v="PAID"/>
    <x v="19"/>
    <n v="27750"/>
    <n v="1"/>
    <s v="Indonesia"/>
    <s v="AJM - NTL"/>
    <x v="0"/>
  </r>
  <r>
    <s v="CLICTRUCK-044081"/>
    <s v="domestic"/>
    <x v="30"/>
    <x v="17"/>
    <n v="21000000"/>
    <n v="815850"/>
    <d v="2023-02-10T00:00:00"/>
    <s v="PAID"/>
    <x v="19"/>
    <n v="27750"/>
    <n v="1"/>
    <s v="Indonesia"/>
    <s v="AJM - NTL"/>
    <x v="0"/>
  </r>
  <r>
    <s v="CLICTRUCK-044082"/>
    <s v="domestic"/>
    <x v="30"/>
    <x v="17"/>
    <n v="24800000"/>
    <m/>
    <m/>
    <s v="PENDING APPROVAL"/>
    <x v="19"/>
    <n v="0"/>
    <n v="1"/>
    <s v="Indonesia"/>
    <s v="AJM - NTL"/>
    <x v="1"/>
  </r>
  <r>
    <s v="CLICTRUCK-044083"/>
    <s v="domestic"/>
    <x v="30"/>
    <x v="17"/>
    <n v="24800000"/>
    <n v="963480"/>
    <d v="2023-02-10T00:00:00"/>
    <s v="PAID"/>
    <x v="19"/>
    <n v="27750"/>
    <n v="1"/>
    <s v="Indonesia"/>
    <s v="AJM - NTL"/>
    <x v="0"/>
  </r>
  <r>
    <s v="CLICTRUCK-044084"/>
    <s v="domestic"/>
    <x v="30"/>
    <x v="17"/>
    <n v="24800000"/>
    <n v="963480"/>
    <d v="2023-02-10T00:00:00"/>
    <s v="PAID"/>
    <x v="19"/>
    <n v="27750"/>
    <n v="1"/>
    <s v="Indonesia"/>
    <s v="AJM - NTL"/>
    <x v="0"/>
  </r>
  <r>
    <s v="CLICTRUCK-044085"/>
    <s v="domestic"/>
    <x v="30"/>
    <x v="17"/>
    <n v="22000000"/>
    <n v="854700"/>
    <d v="2023-02-10T00:00:00"/>
    <s v="PAID"/>
    <x v="19"/>
    <n v="27750"/>
    <n v="1"/>
    <s v="Indonesia"/>
    <s v="AJM - NTL"/>
    <x v="0"/>
  </r>
  <r>
    <s v="CLICTRUCK-044096"/>
    <s v="domestic"/>
    <x v="31"/>
    <x v="12"/>
    <n v="17500000"/>
    <n v="27750"/>
    <d v="2023-02-13T00:00:00"/>
    <s v="PAID"/>
    <x v="13"/>
    <n v="485625"/>
    <n v="1"/>
    <s v="Indonesia"/>
    <s v="RPL - NBM"/>
    <x v="0"/>
  </r>
  <r>
    <s v="CLICTRUCK-044098"/>
    <s v="domestic"/>
    <x v="31"/>
    <x v="12"/>
    <n v="10500000"/>
    <n v="27750"/>
    <d v="2023-02-13T00:00:00"/>
    <s v="PAID"/>
    <x v="13"/>
    <n v="291375"/>
    <n v="1"/>
    <s v="Indonesia"/>
    <s v="RPL - NBM"/>
    <x v="0"/>
  </r>
  <r>
    <s v="CLICTRUCK-044099"/>
    <s v="domestic"/>
    <x v="31"/>
    <x v="12"/>
    <n v="10500000"/>
    <n v="27750"/>
    <d v="2023-02-13T00:00:00"/>
    <s v="PAID"/>
    <x v="13"/>
    <n v="291375"/>
    <n v="1"/>
    <s v="Indonesia"/>
    <s v="RPL - NBM"/>
    <x v="0"/>
  </r>
  <r>
    <s v="CLICTRUCK-044102"/>
    <s v="domestic"/>
    <x v="120"/>
    <x v="10"/>
    <n v="1407312"/>
    <n v="22200"/>
    <d v="2023-02-13T00:00:00"/>
    <s v="PAID"/>
    <x v="10"/>
    <n v="62484"/>
    <n v="1"/>
    <s v="Indonesia"/>
    <s v="ZLog-ZENSHIN"/>
    <x v="0"/>
  </r>
  <r>
    <s v="CLICTRUCK-044104"/>
    <s v="domestic"/>
    <x v="32"/>
    <x v="9"/>
    <n v="458150"/>
    <n v="24975"/>
    <d v="2023-02-21T00:00:00"/>
    <s v="UNPAID"/>
    <x v="9"/>
    <n v="15255"/>
    <n v="1"/>
    <s v="Indonesia"/>
    <s v="YSN-SSA"/>
    <x v="0"/>
  </r>
  <r>
    <s v="CLICTRUCK-044105"/>
    <s v="domestic"/>
    <x v="32"/>
    <x v="10"/>
    <n v="2611919"/>
    <n v="22200"/>
    <d v="2023-02-13T00:00:00"/>
    <s v="PAID"/>
    <x v="10"/>
    <n v="115968"/>
    <n v="1"/>
    <s v="Indonesia"/>
    <s v="ZLog-ZENSHIN"/>
    <x v="0"/>
  </r>
  <r>
    <s v="CLICTRUCK-044106"/>
    <s v="domestic"/>
    <x v="32"/>
    <x v="9"/>
    <n v="4057200"/>
    <n v="24975"/>
    <d v="2023-02-24T00:00:00"/>
    <s v="UNPAID"/>
    <x v="8"/>
    <n v="135104"/>
    <n v="1"/>
    <s v="Indonesia"/>
    <s v="YSN-FPM"/>
    <x v="0"/>
  </r>
  <r>
    <s v="CLICTRUCK-044112"/>
    <s v="domestic"/>
    <x v="33"/>
    <x v="9"/>
    <n v="245490"/>
    <n v="24975"/>
    <d v="2023-02-21T00:00:00"/>
    <s v="UNPAID"/>
    <x v="9"/>
    <n v="8174"/>
    <n v="1"/>
    <s v="Indonesia"/>
    <s v="YSN-SSA"/>
    <x v="0"/>
  </r>
  <r>
    <s v="CLICTRUCK-044113"/>
    <s v="domestic"/>
    <x v="33"/>
    <x v="9"/>
    <n v="333690"/>
    <n v="49950"/>
    <d v="2023-02-21T00:00:00"/>
    <s v="UNPAID"/>
    <x v="9"/>
    <n v="11111"/>
    <n v="2"/>
    <s v="Indonesia"/>
    <s v="YSN-SSA"/>
    <x v="0"/>
  </r>
  <r>
    <s v="CLICTRUCK-044119"/>
    <s v="domestic"/>
    <x v="33"/>
    <x v="18"/>
    <n v="4900000"/>
    <n v="11100"/>
    <d v="2023-02-17T00:00:00"/>
    <s v="PAID"/>
    <x v="20"/>
    <n v="135975"/>
    <n v="1"/>
    <s v="Indonesia"/>
    <s v="CSN - PSL"/>
    <x v="0"/>
  </r>
  <r>
    <s v="CLICTRUCK-044120"/>
    <s v="domestic"/>
    <x v="33"/>
    <x v="18"/>
    <n v="4900000"/>
    <n v="11100"/>
    <d v="2023-02-17T00:00:00"/>
    <s v="PAID"/>
    <x v="20"/>
    <n v="135975"/>
    <n v="1"/>
    <s v="Indonesia"/>
    <s v="CSN - PSL"/>
    <x v="0"/>
  </r>
  <r>
    <s v="CLICTRUCK-044121"/>
    <s v="domestic"/>
    <x v="33"/>
    <x v="9"/>
    <n v="3606400"/>
    <n v="24975"/>
    <d v="2023-02-21T00:00:00"/>
    <s v="UNPAID"/>
    <x v="8"/>
    <n v="120093"/>
    <n v="1"/>
    <s v="Indonesia"/>
    <s v="YSN-FPM"/>
    <x v="0"/>
  </r>
  <r>
    <s v="CLICTRUCK-044122"/>
    <s v="domestic"/>
    <x v="34"/>
    <x v="12"/>
    <n v="17500000"/>
    <n v="27750"/>
    <d v="2023-02-28T00:00:00"/>
    <s v="PAID"/>
    <x v="13"/>
    <n v="485625"/>
    <n v="1"/>
    <s v="Indonesia"/>
    <s v="RPL - NBM"/>
    <x v="0"/>
  </r>
  <r>
    <s v="CLICTRUCK-044123"/>
    <s v="domestic"/>
    <x v="34"/>
    <x v="12"/>
    <n v="10500000"/>
    <n v="27750"/>
    <d v="2023-02-15T00:00:00"/>
    <s v="PAID"/>
    <x v="13"/>
    <n v="291375"/>
    <n v="1"/>
    <s v="Indonesia"/>
    <s v="RPL - NBM"/>
    <x v="0"/>
  </r>
  <r>
    <s v="CLICTRUCK-044124"/>
    <s v="domestic"/>
    <x v="34"/>
    <x v="12"/>
    <n v="17500000"/>
    <n v="27750"/>
    <d v="2023-02-15T00:00:00"/>
    <s v="PAID"/>
    <x v="13"/>
    <n v="485625"/>
    <n v="1"/>
    <s v="Indonesia"/>
    <s v="RPL - NBM"/>
    <x v="0"/>
  </r>
  <r>
    <s v="CLICTRUCK-044125"/>
    <s v="domestic"/>
    <x v="34"/>
    <x v="12"/>
    <n v="10500000"/>
    <n v="27750"/>
    <d v="2023-02-15T00:00:00"/>
    <s v="PAID"/>
    <x v="13"/>
    <n v="291375"/>
    <n v="1"/>
    <s v="Indonesia"/>
    <s v="RPL - NBM"/>
    <x v="0"/>
  </r>
  <r>
    <s v="CLICTRUCK-044126"/>
    <s v="domestic"/>
    <x v="34"/>
    <x v="12"/>
    <n v="13500000"/>
    <n v="27750"/>
    <d v="2023-02-15T00:00:00"/>
    <s v="PAID"/>
    <x v="13"/>
    <n v="374625"/>
    <n v="1"/>
    <s v="Indonesia"/>
    <s v="RPL - NBM"/>
    <x v="0"/>
  </r>
  <r>
    <s v="CLICTRUCK-044127"/>
    <s v="domestic"/>
    <x v="34"/>
    <x v="12"/>
    <n v="10500000"/>
    <n v="27750"/>
    <d v="2023-02-15T00:00:00"/>
    <s v="PAID"/>
    <x v="13"/>
    <n v="291375"/>
    <n v="1"/>
    <s v="Indonesia"/>
    <s v="RPL - NBM"/>
    <x v="0"/>
  </r>
  <r>
    <s v="CLICTRUCK-044131"/>
    <s v="domestic"/>
    <x v="34"/>
    <x v="12"/>
    <n v="8300000"/>
    <n v="27750"/>
    <d v="2023-02-15T00:00:00"/>
    <s v="PAID"/>
    <x v="13"/>
    <n v="230325"/>
    <n v="1"/>
    <s v="Indonesia"/>
    <s v="RPL - NBM"/>
    <x v="0"/>
  </r>
  <r>
    <s v="CLICTRUCK-044132"/>
    <s v="domestic"/>
    <x v="34"/>
    <x v="13"/>
    <n v="2798400"/>
    <m/>
    <m/>
    <s v="PENDING APPROVAL"/>
    <x v="18"/>
    <n v="0"/>
    <n v="1"/>
    <s v="Indonesia"/>
    <s v="JIP - KKL"/>
    <x v="1"/>
  </r>
  <r>
    <s v="CLICTRUCK-044133"/>
    <s v="domestic"/>
    <x v="34"/>
    <x v="13"/>
    <n v="2798400"/>
    <n v="108717"/>
    <d v="2023-02-17T00:00:00"/>
    <s v="UNPAID"/>
    <x v="18"/>
    <n v="27750"/>
    <n v="1"/>
    <s v="Indonesia"/>
    <s v="JIP - KKL"/>
    <x v="0"/>
  </r>
  <r>
    <s v="CLICTRUCK-044134"/>
    <s v="domestic"/>
    <x v="34"/>
    <x v="13"/>
    <n v="704000"/>
    <n v="27350"/>
    <d v="2023-02-17T00:00:00"/>
    <s v="UNPAID"/>
    <x v="18"/>
    <n v="27750"/>
    <n v="1"/>
    <s v="Indonesia"/>
    <s v="JIP - KKL"/>
    <x v="0"/>
  </r>
  <r>
    <s v="CLICTRUCK-044135"/>
    <s v="domestic"/>
    <x v="34"/>
    <x v="13"/>
    <n v="2798400"/>
    <n v="108717"/>
    <d v="2023-02-17T00:00:00"/>
    <s v="UNPAID"/>
    <x v="18"/>
    <n v="27750"/>
    <n v="1"/>
    <s v="Indonesia"/>
    <s v="JIP - KKL"/>
    <x v="0"/>
  </r>
  <r>
    <s v="CLICTRUCK-044136"/>
    <s v="domestic"/>
    <x v="34"/>
    <x v="13"/>
    <n v="2798400"/>
    <n v="108717"/>
    <d v="2023-02-17T00:00:00"/>
    <s v="UNPAID"/>
    <x v="18"/>
    <n v="27750"/>
    <n v="1"/>
    <s v="Indonesia"/>
    <s v="JIP - KKL"/>
    <x v="0"/>
  </r>
  <r>
    <s v="CLICTRUCK-044137"/>
    <s v="domestic"/>
    <x v="34"/>
    <x v="13"/>
    <n v="1188000"/>
    <n v="46153"/>
    <d v="2023-02-17T00:00:00"/>
    <s v="UNPAID"/>
    <x v="18"/>
    <n v="27750"/>
    <n v="1"/>
    <s v="Indonesia"/>
    <s v="JIP - KKL"/>
    <x v="0"/>
  </r>
  <r>
    <s v="CLICTRUCK-044138"/>
    <s v="domestic"/>
    <x v="34"/>
    <x v="13"/>
    <n v="1188000"/>
    <n v="46153"/>
    <d v="2023-02-17T00:00:00"/>
    <s v="UNPAID"/>
    <x v="18"/>
    <n v="27750"/>
    <n v="1"/>
    <s v="Indonesia"/>
    <s v="JIP - KKL"/>
    <x v="0"/>
  </r>
  <r>
    <s v="CLICTRUCK-044139"/>
    <s v="domestic"/>
    <x v="34"/>
    <x v="13"/>
    <n v="1188000"/>
    <n v="46153"/>
    <d v="2023-02-17T00:00:00"/>
    <s v="UNPAID"/>
    <x v="18"/>
    <n v="27750"/>
    <n v="1"/>
    <s v="Indonesia"/>
    <s v="JIP - KKL"/>
    <x v="0"/>
  </r>
  <r>
    <s v="CLICTRUCK-044140"/>
    <s v="domestic"/>
    <x v="34"/>
    <x v="13"/>
    <n v="2182400"/>
    <n v="84786"/>
    <d v="2023-02-17T00:00:00"/>
    <s v="UNPAID"/>
    <x v="18"/>
    <n v="27750"/>
    <n v="1"/>
    <s v="Indonesia"/>
    <s v="JIP - KKL"/>
    <x v="0"/>
  </r>
  <r>
    <s v="CLICTRUCK-044147"/>
    <s v="domestic"/>
    <x v="35"/>
    <x v="9"/>
    <n v="340060"/>
    <n v="24975"/>
    <d v="2023-02-21T00:00:00"/>
    <s v="UNPAID"/>
    <x v="9"/>
    <n v="11323"/>
    <n v="1"/>
    <s v="Indonesia"/>
    <s v="YSN-SSA"/>
    <x v="0"/>
  </r>
  <r>
    <s v="CLICTRUCK-044148"/>
    <s v="domestic"/>
    <x v="35"/>
    <x v="9"/>
    <n v="340060"/>
    <n v="24975"/>
    <d v="2023-02-21T00:00:00"/>
    <s v="UNPAID"/>
    <x v="9"/>
    <n v="11323"/>
    <n v="1"/>
    <s v="Indonesia"/>
    <s v="YSN-SSA"/>
    <x v="0"/>
  </r>
  <r>
    <s v="CLICTRUCK-044149"/>
    <s v="domestic"/>
    <x v="35"/>
    <x v="10"/>
    <n v="3376740"/>
    <n v="22200"/>
    <d v="2023-02-20T00:00:00"/>
    <s v="PAID"/>
    <x v="10"/>
    <n v="149926"/>
    <n v="1"/>
    <s v="Indonesia"/>
    <s v="ZLog-ZENSHIN"/>
    <x v="0"/>
  </r>
  <r>
    <s v="CLICTRUCK-044150"/>
    <s v="domestic"/>
    <x v="35"/>
    <x v="9"/>
    <n v="340060"/>
    <n v="24975"/>
    <d v="2023-02-21T00:00:00"/>
    <s v="UNPAID"/>
    <x v="9"/>
    <n v="11323"/>
    <n v="1"/>
    <s v="Indonesia"/>
    <s v="YSN-SSA"/>
    <x v="0"/>
  </r>
  <r>
    <s v="CLICTRUCK-044152"/>
    <s v="domestic"/>
    <x v="35"/>
    <x v="9"/>
    <n v="340060"/>
    <n v="24975"/>
    <d v="2023-03-01T00:00:00"/>
    <s v="PAID"/>
    <x v="9"/>
    <n v="11323"/>
    <n v="1"/>
    <s v="Indonesia"/>
    <s v="YSN-SSA"/>
    <x v="0"/>
  </r>
  <r>
    <s v="CLICTRUCK-044153"/>
    <s v="domestic"/>
    <x v="35"/>
    <x v="10"/>
    <n v="2432972"/>
    <n v="22200"/>
    <d v="2023-03-10T00:00:00"/>
    <s v="PAID"/>
    <x v="10"/>
    <n v="108022"/>
    <n v="1"/>
    <s v="Indonesia"/>
    <s v="ZLog-ZENSHIN"/>
    <x v="0"/>
  </r>
  <r>
    <s v="CLICTRUCK-044154"/>
    <s v="domestic"/>
    <x v="35"/>
    <x v="9"/>
    <n v="458150"/>
    <n v="24975"/>
    <d v="2023-02-21T00:00:00"/>
    <s v="UNPAID"/>
    <x v="9"/>
    <n v="15255"/>
    <n v="1"/>
    <s v="Indonesia"/>
    <s v="YSN-SSA"/>
    <x v="0"/>
  </r>
  <r>
    <s v="CLICTRUCK-044161"/>
    <s v="domestic"/>
    <x v="35"/>
    <x v="18"/>
    <n v="3500000"/>
    <n v="11100"/>
    <d v="2023-02-17T00:00:00"/>
    <s v="PAID"/>
    <x v="20"/>
    <n v="97125"/>
    <n v="1"/>
    <s v="Indonesia"/>
    <s v="CSN - PSL"/>
    <x v="0"/>
  </r>
  <r>
    <s v="CLICTRUCK-044162"/>
    <s v="domestic"/>
    <x v="35"/>
    <x v="18"/>
    <n v="3500000"/>
    <n v="11100"/>
    <d v="2023-02-17T00:00:00"/>
    <s v="PAID"/>
    <x v="20"/>
    <n v="97125"/>
    <n v="1"/>
    <s v="Indonesia"/>
    <s v="CSN - PSL"/>
    <x v="0"/>
  </r>
  <r>
    <s v="CLICTRUCK-044163"/>
    <s v="domestic"/>
    <x v="35"/>
    <x v="18"/>
    <n v="3500000"/>
    <n v="11100"/>
    <d v="2023-02-17T00:00:00"/>
    <s v="PAID"/>
    <x v="20"/>
    <n v="97125"/>
    <n v="1"/>
    <s v="Indonesia"/>
    <s v="CSN - PSL"/>
    <x v="0"/>
  </r>
  <r>
    <s v="CLICTRUCK-044164"/>
    <s v="domestic"/>
    <x v="35"/>
    <x v="18"/>
    <n v="3500000"/>
    <n v="11100"/>
    <d v="2023-02-17T00:00:00"/>
    <s v="PAID"/>
    <x v="20"/>
    <n v="97125"/>
    <n v="1"/>
    <s v="Indonesia"/>
    <s v="CSN - PSL"/>
    <x v="0"/>
  </r>
  <r>
    <s v="CLICTRUCK-044165"/>
    <s v="domestic"/>
    <x v="35"/>
    <x v="18"/>
    <n v="3500000"/>
    <n v="11100"/>
    <d v="2023-02-17T00:00:00"/>
    <s v="PAID"/>
    <x v="20"/>
    <n v="97125"/>
    <n v="1"/>
    <s v="Indonesia"/>
    <s v="CSN - PSL"/>
    <x v="0"/>
  </r>
  <r>
    <s v="CLICTRUCK-044166"/>
    <s v="domestic"/>
    <x v="35"/>
    <x v="18"/>
    <n v="3500000"/>
    <n v="11100"/>
    <d v="2023-02-17T00:00:00"/>
    <s v="PAID"/>
    <x v="20"/>
    <n v="97125"/>
    <n v="1"/>
    <s v="Indonesia"/>
    <s v="CSN - PSL"/>
    <x v="0"/>
  </r>
  <r>
    <s v="CLICTRUCK-044167"/>
    <s v="domestic"/>
    <x v="35"/>
    <x v="9"/>
    <n v="268030"/>
    <n v="24975"/>
    <d v="2023-02-21T00:00:00"/>
    <s v="UNPAID"/>
    <x v="9"/>
    <n v="8924"/>
    <n v="1"/>
    <s v="Indonesia"/>
    <s v="YSN-SSA"/>
    <x v="0"/>
  </r>
  <r>
    <s v="CLICTRUCK-044168"/>
    <s v="domestic"/>
    <x v="35"/>
    <x v="13"/>
    <n v="3500000"/>
    <n v="135975"/>
    <d v="2023-02-17T00:00:00"/>
    <s v="UNPAID"/>
    <x v="18"/>
    <n v="27750"/>
    <n v="1"/>
    <s v="Indonesia"/>
    <s v="JIP - KKL"/>
    <x v="0"/>
  </r>
  <r>
    <s v="CLICTRUCK-044169"/>
    <s v="domestic"/>
    <x v="35"/>
    <x v="13"/>
    <n v="3500000"/>
    <n v="135975"/>
    <d v="2023-02-17T00:00:00"/>
    <s v="UNPAID"/>
    <x v="18"/>
    <n v="27750"/>
    <n v="1"/>
    <s v="Indonesia"/>
    <s v="JIP - KKL"/>
    <x v="0"/>
  </r>
  <r>
    <s v="CLICTRUCK-044170"/>
    <s v="domestic"/>
    <x v="35"/>
    <x v="13"/>
    <n v="3500000"/>
    <n v="135975"/>
    <d v="2023-02-17T00:00:00"/>
    <s v="UNPAID"/>
    <x v="18"/>
    <n v="27750"/>
    <n v="1"/>
    <s v="Indonesia"/>
    <s v="JIP - KKL"/>
    <x v="0"/>
  </r>
  <r>
    <s v="CLICTRUCK-044171"/>
    <s v="domestic"/>
    <x v="36"/>
    <x v="13"/>
    <n v="3500000"/>
    <n v="135975"/>
    <d v="2023-02-17T00:00:00"/>
    <s v="UNPAID"/>
    <x v="18"/>
    <n v="27750"/>
    <n v="1"/>
    <s v="Indonesia"/>
    <s v="JIP - KKL"/>
    <x v="0"/>
  </r>
  <r>
    <s v="CLICTRUCK-044172"/>
    <s v="domestic"/>
    <x v="36"/>
    <x v="13"/>
    <n v="3500000"/>
    <n v="135975"/>
    <d v="2023-02-17T00:00:00"/>
    <s v="UNPAID"/>
    <x v="18"/>
    <n v="27750"/>
    <n v="1"/>
    <s v="Indonesia"/>
    <s v="JIP - KKL"/>
    <x v="0"/>
  </r>
  <r>
    <s v="CLICTRUCK-044173"/>
    <s v="domestic"/>
    <x v="36"/>
    <x v="13"/>
    <n v="3500000"/>
    <n v="135975"/>
    <d v="2023-02-17T00:00:00"/>
    <s v="UNPAID"/>
    <x v="18"/>
    <n v="27750"/>
    <n v="1"/>
    <s v="Indonesia"/>
    <s v="JIP - KKL"/>
    <x v="0"/>
  </r>
  <r>
    <s v="CLICTRUCK-044174"/>
    <s v="domestic"/>
    <x v="36"/>
    <x v="13"/>
    <n v="800000"/>
    <n v="31080"/>
    <d v="2023-02-17T00:00:00"/>
    <s v="UNPAID"/>
    <x v="18"/>
    <n v="27750"/>
    <n v="1"/>
    <s v="Indonesia"/>
    <s v="JIP - KKL"/>
    <x v="0"/>
  </r>
  <r>
    <s v="CLICTRUCK-044175"/>
    <s v="domestic"/>
    <x v="36"/>
    <x v="13"/>
    <n v="800000"/>
    <n v="31080"/>
    <d v="2023-02-17T00:00:00"/>
    <s v="UNPAID"/>
    <x v="18"/>
    <n v="27750"/>
    <n v="1"/>
    <s v="Indonesia"/>
    <s v="JIP - KKL"/>
    <x v="0"/>
  </r>
  <r>
    <s v="CLICTRUCK-044176"/>
    <s v="domestic"/>
    <x v="36"/>
    <x v="9"/>
    <n v="399350"/>
    <n v="24975"/>
    <d v="2023-02-21T00:00:00"/>
    <s v="UNPAID"/>
    <x v="9"/>
    <n v="13297"/>
    <n v="1"/>
    <s v="Indonesia"/>
    <s v="YSN-SSA"/>
    <x v="0"/>
  </r>
  <r>
    <s v="CLICTRUCK-044177"/>
    <s v="domestic"/>
    <x v="36"/>
    <x v="9"/>
    <n v="340060"/>
    <n v="24975"/>
    <d v="2023-02-21T00:00:00"/>
    <s v="UNPAID"/>
    <x v="9"/>
    <n v="11323"/>
    <n v="1"/>
    <s v="Indonesia"/>
    <s v="YSN-SSA"/>
    <x v="0"/>
  </r>
  <r>
    <s v="CLICTRUCK-044182"/>
    <s v="domestic"/>
    <x v="36"/>
    <x v="13"/>
    <n v="7603200"/>
    <n v="295384"/>
    <d v="2023-02-17T00:00:00"/>
    <s v="UNPAID"/>
    <x v="18"/>
    <n v="27750"/>
    <n v="1"/>
    <s v="Indonesia"/>
    <s v="JIP - KKL"/>
    <x v="0"/>
  </r>
  <r>
    <s v="CLICTRUCK-044183"/>
    <s v="domestic"/>
    <x v="36"/>
    <x v="13"/>
    <n v="7603200"/>
    <n v="295384"/>
    <d v="2023-02-17T00:00:00"/>
    <s v="UNPAID"/>
    <x v="18"/>
    <n v="27750"/>
    <n v="1"/>
    <s v="Indonesia"/>
    <s v="JIP - KKL"/>
    <x v="0"/>
  </r>
  <r>
    <s v="CLICTRUCK-044184"/>
    <s v="domestic"/>
    <x v="36"/>
    <x v="13"/>
    <n v="7603200"/>
    <n v="295384"/>
    <d v="2023-02-17T00:00:00"/>
    <s v="UNPAID"/>
    <x v="18"/>
    <n v="27750"/>
    <n v="1"/>
    <s v="Indonesia"/>
    <s v="JIP - KKL"/>
    <x v="0"/>
  </r>
  <r>
    <s v="CLICTRUCK-044185"/>
    <s v="domestic"/>
    <x v="36"/>
    <x v="13"/>
    <n v="7603200"/>
    <n v="295384"/>
    <d v="2023-02-17T00:00:00"/>
    <s v="UNPAID"/>
    <x v="18"/>
    <n v="27750"/>
    <n v="1"/>
    <s v="Indonesia"/>
    <s v="JIP - KKL"/>
    <x v="0"/>
  </r>
  <r>
    <s v="CLICTRUCK-044187"/>
    <s v="domestic"/>
    <x v="36"/>
    <x v="13"/>
    <n v="7603200"/>
    <n v="295384"/>
    <d v="2023-02-17T00:00:00"/>
    <s v="UNPAID"/>
    <x v="18"/>
    <n v="27750"/>
    <n v="1"/>
    <s v="Indonesia"/>
    <s v="JIP - KKL"/>
    <x v="0"/>
  </r>
  <r>
    <s v="CLICTRUCK-044189"/>
    <s v="domestic"/>
    <x v="37"/>
    <x v="16"/>
    <n v="1885000"/>
    <n v="52308"/>
    <d v="2023-02-17T00:00:00"/>
    <s v="PAID"/>
    <x v="17"/>
    <n v="27750"/>
    <n v="1"/>
    <s v="Indonesia"/>
    <s v="JMA - RKB"/>
    <x v="0"/>
  </r>
  <r>
    <s v="CLICTRUCK-044190"/>
    <s v="domestic"/>
    <x v="37"/>
    <x v="16"/>
    <n v="1785000"/>
    <n v="49533"/>
    <d v="2023-02-17T00:00:00"/>
    <s v="PAID"/>
    <x v="17"/>
    <n v="27750"/>
    <n v="1"/>
    <s v="Indonesia"/>
    <s v="JMA - RKB"/>
    <x v="0"/>
  </r>
  <r>
    <s v="CLICTRUCK-044192"/>
    <s v="domestic"/>
    <x v="37"/>
    <x v="16"/>
    <n v="9530000"/>
    <n v="264457"/>
    <d v="2023-03-03T00:00:00"/>
    <s v="UNPAID"/>
    <x v="17"/>
    <n v="27750"/>
    <n v="1"/>
    <s v="Indonesia"/>
    <s v="JMA - RKB"/>
    <x v="0"/>
  </r>
  <r>
    <s v="CLICTRUCK-044194"/>
    <s v="domestic"/>
    <x v="37"/>
    <x v="16"/>
    <n v="4800000"/>
    <n v="133200"/>
    <d v="2023-02-20T00:00:00"/>
    <s v="PAID"/>
    <x v="17"/>
    <n v="27750"/>
    <n v="1"/>
    <s v="Indonesia"/>
    <s v="JMA - RKB"/>
    <x v="0"/>
  </r>
  <r>
    <s v="CLICTRUCK-044196"/>
    <s v="domestic"/>
    <x v="37"/>
    <x v="16"/>
    <n v="8280000"/>
    <n v="229770"/>
    <d v="2023-02-17T00:00:00"/>
    <s v="PAID"/>
    <x v="17"/>
    <n v="27750"/>
    <n v="1"/>
    <s v="Indonesia"/>
    <s v="JMA - RKB"/>
    <x v="0"/>
  </r>
  <r>
    <s v="CLICTRUCK-044198"/>
    <s v="domestic"/>
    <x v="37"/>
    <x v="16"/>
    <n v="2950000"/>
    <n v="81862"/>
    <d v="2023-02-17T00:00:00"/>
    <s v="PAID"/>
    <x v="17"/>
    <n v="27750"/>
    <n v="1"/>
    <s v="Indonesia"/>
    <s v="JMA - RKB"/>
    <x v="0"/>
  </r>
  <r>
    <s v="CLICTRUCK-044199"/>
    <s v="domestic"/>
    <x v="37"/>
    <x v="16"/>
    <n v="4590000"/>
    <n v="127372"/>
    <d v="2023-02-17T00:00:00"/>
    <s v="PAID"/>
    <x v="17"/>
    <n v="27750"/>
    <n v="1"/>
    <s v="Indonesia"/>
    <s v="JMA - RKB"/>
    <x v="0"/>
  </r>
  <r>
    <s v="CLICTRUCK-044201"/>
    <s v="domestic"/>
    <x v="37"/>
    <x v="9"/>
    <n v="340060"/>
    <n v="24975"/>
    <d v="2023-02-21T00:00:00"/>
    <s v="UNPAID"/>
    <x v="9"/>
    <n v="11323"/>
    <n v="1"/>
    <s v="Indonesia"/>
    <s v="YSN-SSA"/>
    <x v="0"/>
  </r>
  <r>
    <s v="CLICTRUCK-044228"/>
    <s v="domestic"/>
    <x v="39"/>
    <x v="9"/>
    <n v="3606400"/>
    <n v="24975"/>
    <d v="2023-03-01T00:00:00"/>
    <s v="PAID"/>
    <x v="8"/>
    <n v="120093"/>
    <n v="1"/>
    <s v="Indonesia"/>
    <s v="YSN-FPM"/>
    <x v="0"/>
  </r>
  <r>
    <s v="CLICTRUCK-044229"/>
    <s v="domestic"/>
    <x v="39"/>
    <x v="9"/>
    <n v="458150"/>
    <n v="24975"/>
    <d v="2023-03-07T00:00:00"/>
    <s v="PAID"/>
    <x v="9"/>
    <n v="15255"/>
    <n v="1"/>
    <s v="Indonesia"/>
    <s v="YSN-SSA"/>
    <x v="0"/>
  </r>
  <r>
    <s v="CLICTRUCK-044230"/>
    <s v="domestic"/>
    <x v="39"/>
    <x v="9"/>
    <n v="353290"/>
    <n v="24975"/>
    <d v="2023-03-07T00:00:00"/>
    <s v="PAID"/>
    <x v="9"/>
    <n v="11763"/>
    <n v="1"/>
    <s v="Indonesia"/>
    <s v="YSN-SSA"/>
    <x v="0"/>
  </r>
  <r>
    <s v="CLICTRUCK-044231"/>
    <s v="domestic"/>
    <x v="39"/>
    <x v="9"/>
    <n v="399350"/>
    <n v="24975"/>
    <d v="2023-03-07T00:00:00"/>
    <s v="PAID"/>
    <x v="9"/>
    <n v="13297"/>
    <n v="1"/>
    <s v="Indonesia"/>
    <s v="YSN-SSA"/>
    <x v="0"/>
  </r>
  <r>
    <s v="CLICTRUCK-044233"/>
    <s v="domestic"/>
    <x v="39"/>
    <x v="9"/>
    <n v="2592100"/>
    <n v="24975"/>
    <d v="2023-03-01T00:00:00"/>
    <s v="PAID"/>
    <x v="8"/>
    <n v="86316"/>
    <n v="1"/>
    <s v="Indonesia"/>
    <s v="YSN-FPM"/>
    <x v="0"/>
  </r>
  <r>
    <s v="CLICTRUCK-044251"/>
    <s v="domestic"/>
    <x v="40"/>
    <x v="19"/>
    <n v="39000000"/>
    <n v="27750"/>
    <d v="2023-02-20T00:00:00"/>
    <s v="PAID"/>
    <x v="21"/>
    <n v="1731600"/>
    <n v="1"/>
    <s v="Indonesia"/>
    <s v="MMA - TAL"/>
    <x v="0"/>
  </r>
  <r>
    <s v="CLICTRUCK-044252"/>
    <s v="domestic"/>
    <x v="40"/>
    <x v="16"/>
    <n v="5480000"/>
    <n v="152070"/>
    <d v="2023-02-20T00:00:00"/>
    <s v="PAID"/>
    <x v="17"/>
    <n v="27750"/>
    <n v="1"/>
    <s v="Indonesia"/>
    <s v="JMA - RKB"/>
    <x v="0"/>
  </r>
  <r>
    <s v="CLICTRUCK-044253"/>
    <s v="domestic"/>
    <x v="40"/>
    <x v="9"/>
    <n v="458150"/>
    <n v="24975"/>
    <d v="2023-03-01T00:00:00"/>
    <s v="PAID"/>
    <x v="9"/>
    <n v="15255"/>
    <n v="1"/>
    <s v="Indonesia"/>
    <s v="YSN-SSA"/>
    <x v="0"/>
  </r>
  <r>
    <s v="CLICTRUCK-044254"/>
    <s v="domestic"/>
    <x v="40"/>
    <x v="9"/>
    <n v="458150"/>
    <n v="24975"/>
    <d v="2023-03-07T00:00:00"/>
    <s v="PAID"/>
    <x v="9"/>
    <n v="15255"/>
    <n v="1"/>
    <s v="Indonesia"/>
    <s v="YSN-SSA"/>
    <x v="0"/>
  </r>
  <r>
    <s v="CLICTRUCK-044255"/>
    <s v="domestic"/>
    <x v="40"/>
    <x v="9"/>
    <n v="274890"/>
    <n v="24975"/>
    <d v="2023-03-07T00:00:00"/>
    <s v="PAID"/>
    <x v="9"/>
    <n v="9153"/>
    <n v="1"/>
    <s v="Indonesia"/>
    <s v="YSN-SSA"/>
    <x v="0"/>
  </r>
  <r>
    <s v="CLICTRUCK-044261"/>
    <s v="domestic"/>
    <x v="40"/>
    <x v="18"/>
    <n v="3500000"/>
    <n v="11100"/>
    <d v="2023-02-24T00:00:00"/>
    <s v="PAID"/>
    <x v="20"/>
    <n v="97125"/>
    <n v="1"/>
    <s v="Indonesia"/>
    <s v="CSN - PSL"/>
    <x v="0"/>
  </r>
  <r>
    <s v="CLICTRUCK-044263"/>
    <s v="domestic"/>
    <x v="40"/>
    <x v="18"/>
    <n v="3500000"/>
    <n v="11100"/>
    <d v="2023-02-24T00:00:00"/>
    <s v="PAID"/>
    <x v="20"/>
    <n v="97125"/>
    <n v="1"/>
    <s v="Indonesia"/>
    <s v="CSN - PSL"/>
    <x v="0"/>
  </r>
  <r>
    <s v="CLICTRUCK-044264"/>
    <s v="domestic"/>
    <x v="40"/>
    <x v="18"/>
    <n v="3500000"/>
    <n v="11100"/>
    <d v="2023-02-24T00:00:00"/>
    <s v="PAID"/>
    <x v="20"/>
    <n v="97125"/>
    <n v="1"/>
    <s v="Indonesia"/>
    <s v="CSN - PSL"/>
    <x v="0"/>
  </r>
  <r>
    <s v="CLICTRUCK-044265"/>
    <s v="domestic"/>
    <x v="40"/>
    <x v="18"/>
    <n v="3500000"/>
    <n v="11100"/>
    <d v="2023-02-24T00:00:00"/>
    <s v="PAID"/>
    <x v="20"/>
    <n v="97125"/>
    <n v="1"/>
    <s v="Indonesia"/>
    <s v="CSN - PSL"/>
    <x v="0"/>
  </r>
  <r>
    <s v="CLICTRUCK-044282"/>
    <s v="domestic"/>
    <x v="41"/>
    <x v="10"/>
    <n v="2798448"/>
    <n v="22200"/>
    <d v="2023-02-25T00:00:00"/>
    <s v="PAID"/>
    <x v="10"/>
    <n v="124250"/>
    <n v="1"/>
    <s v="Indonesia"/>
    <s v="ZLog-ZENSHIN"/>
    <x v="0"/>
  </r>
  <r>
    <s v="CLICTRUCK-044283"/>
    <s v="domestic"/>
    <x v="41"/>
    <x v="10"/>
    <n v="2351586"/>
    <n v="22200"/>
    <d v="2023-02-25T00:00:00"/>
    <s v="PAID"/>
    <x v="10"/>
    <n v="104409"/>
    <n v="1"/>
    <s v="Indonesia"/>
    <s v="ZLog-ZENSHIN"/>
    <x v="0"/>
  </r>
  <r>
    <s v="CLICTRUCK-044285"/>
    <s v="domestic"/>
    <x v="41"/>
    <x v="9"/>
    <n v="340060"/>
    <n v="24975"/>
    <d v="2023-03-07T00:00:00"/>
    <s v="PAID"/>
    <x v="9"/>
    <n v="11323"/>
    <n v="1"/>
    <s v="Indonesia"/>
    <s v="YSN-SSA"/>
    <x v="0"/>
  </r>
  <r>
    <s v="CLICTRUCK-044286"/>
    <s v="domestic"/>
    <x v="41"/>
    <x v="10"/>
    <n v="926582"/>
    <n v="22200"/>
    <d v="2023-02-25T00:00:00"/>
    <s v="PAID"/>
    <x v="10"/>
    <n v="41139"/>
    <n v="1"/>
    <s v="Indonesia"/>
    <s v="ZLog-ZENSHIN"/>
    <x v="0"/>
  </r>
  <r>
    <s v="CLICTRUCK-044287"/>
    <s v="domestic"/>
    <x v="41"/>
    <x v="10"/>
    <n v="1192980"/>
    <n v="22200"/>
    <d v="2023-02-25T00:00:00"/>
    <s v="PAID"/>
    <x v="10"/>
    <n v="52968"/>
    <n v="1"/>
    <s v="Indonesia"/>
    <s v="ZLog-ZENSHIN"/>
    <x v="0"/>
  </r>
  <r>
    <s v="CLICTRUCK-044288"/>
    <s v="domestic"/>
    <x v="41"/>
    <x v="10"/>
    <n v="2848998"/>
    <n v="22200"/>
    <d v="2023-02-25T00:00:00"/>
    <s v="PAID"/>
    <x v="10"/>
    <n v="126494"/>
    <n v="1"/>
    <s v="Indonesia"/>
    <s v="ZLog-ZENSHIN"/>
    <x v="0"/>
  </r>
  <r>
    <s v="CLICTRUCK-044289"/>
    <s v="domestic"/>
    <x v="41"/>
    <x v="10"/>
    <n v="4373586"/>
    <n v="22200"/>
    <d v="2023-02-27T00:00:00"/>
    <s v="PAID"/>
    <x v="10"/>
    <n v="194186"/>
    <n v="1"/>
    <s v="Indonesia"/>
    <s v="ZLog-ZENSHIN"/>
    <x v="0"/>
  </r>
  <r>
    <s v="CLICTRUCK-044290"/>
    <s v="domestic"/>
    <x v="41"/>
    <x v="10"/>
    <n v="3845844"/>
    <n v="22200"/>
    <d v="2023-02-26T00:00:00"/>
    <s v="PAID"/>
    <x v="10"/>
    <n v="170754"/>
    <n v="1"/>
    <s v="Indonesia"/>
    <s v="ZLog-ZENSHIN"/>
    <x v="0"/>
  </r>
  <r>
    <s v="CLICTRUCK-044291"/>
    <s v="domestic"/>
    <x v="41"/>
    <x v="10"/>
    <n v="3099221"/>
    <n v="22200"/>
    <d v="2023-03-05T00:00:00"/>
    <s v="PAID"/>
    <x v="10"/>
    <n v="137604"/>
    <n v="1"/>
    <s v="Indonesia"/>
    <s v="ZLog-ZENSHIN"/>
    <x v="0"/>
  </r>
  <r>
    <s v="CLICTRUCK-044292"/>
    <s v="domestic"/>
    <x v="41"/>
    <x v="10"/>
    <n v="1609512"/>
    <n v="22200"/>
    <d v="2023-03-05T00:00:00"/>
    <s v="PAID"/>
    <x v="10"/>
    <n v="71461"/>
    <n v="1"/>
    <s v="Indonesia"/>
    <s v="ZLog-ZENSHIN"/>
    <x v="0"/>
  </r>
  <r>
    <s v="CLICTRUCK-044293"/>
    <s v="domestic"/>
    <x v="41"/>
    <x v="10"/>
    <n v="3845844"/>
    <n v="22200"/>
    <d v="2023-03-05T00:00:00"/>
    <s v="PAID"/>
    <x v="10"/>
    <n v="170754"/>
    <n v="1"/>
    <s v="Indonesia"/>
    <s v="ZLog-ZENSHIN"/>
    <x v="0"/>
  </r>
  <r>
    <s v="CLICTRUCK-044294"/>
    <s v="domestic"/>
    <x v="41"/>
    <x v="10"/>
    <n v="2351586"/>
    <n v="22200"/>
    <d v="2023-03-10T00:00:00"/>
    <s v="PAID"/>
    <x v="10"/>
    <n v="104409"/>
    <n v="1"/>
    <s v="Indonesia"/>
    <s v="ZLog-ZENSHIN"/>
    <x v="0"/>
  </r>
  <r>
    <s v="CLICTRUCK-044300"/>
    <s v="domestic"/>
    <x v="41"/>
    <x v="20"/>
    <n v="5916000"/>
    <n v="25000"/>
    <m/>
    <s v="DELIVERED"/>
    <x v="22"/>
    <n v="0"/>
    <n v="1"/>
    <s v="Indonesia"/>
    <s v="AJT - ME"/>
    <x v="1"/>
  </r>
  <r>
    <s v="CLICTRUCK-044301"/>
    <s v="domestic"/>
    <x v="41"/>
    <x v="9"/>
    <n v="458150"/>
    <n v="24975"/>
    <d v="2023-03-07T00:00:00"/>
    <s v="PAID"/>
    <x v="9"/>
    <n v="15255"/>
    <n v="1"/>
    <s v="Indonesia"/>
    <s v="YSN-SSA"/>
    <x v="0"/>
  </r>
  <r>
    <s v="CLICTRUCK-044302"/>
    <s v="domestic"/>
    <x v="42"/>
    <x v="9"/>
    <n v="372400"/>
    <n v="24975"/>
    <d v="2023-03-07T00:00:00"/>
    <s v="PAID"/>
    <x v="9"/>
    <n v="12400"/>
    <n v="1"/>
    <s v="Indonesia"/>
    <s v="YSN-SSA"/>
    <x v="0"/>
  </r>
  <r>
    <s v="CLICTRUCK-044303"/>
    <s v="domestic"/>
    <x v="42"/>
    <x v="9"/>
    <n v="686000"/>
    <n v="24975"/>
    <d v="2023-03-07T00:00:00"/>
    <s v="PAID"/>
    <x v="9"/>
    <n v="22843"/>
    <n v="1"/>
    <s v="Indonesia"/>
    <s v="YSN-SSA"/>
    <x v="0"/>
  </r>
  <r>
    <s v="CLICTRUCK-044320"/>
    <s v="domestic"/>
    <x v="42"/>
    <x v="18"/>
    <n v="3500000"/>
    <n v="11100"/>
    <d v="2023-02-24T00:00:00"/>
    <s v="PAID"/>
    <x v="20"/>
    <n v="97125"/>
    <n v="1"/>
    <s v="Indonesia"/>
    <s v="CSN - PSL"/>
    <x v="0"/>
  </r>
  <r>
    <s v="CLICTRUCK-044321"/>
    <s v="domestic"/>
    <x v="42"/>
    <x v="18"/>
    <n v="3500000"/>
    <n v="11100"/>
    <d v="2023-02-24T00:00:00"/>
    <s v="PAID"/>
    <x v="20"/>
    <n v="97125"/>
    <n v="1"/>
    <s v="Indonesia"/>
    <s v="CSN - PSL"/>
    <x v="0"/>
  </r>
  <r>
    <s v="CLICTRUCK-044322"/>
    <s v="domestic"/>
    <x v="42"/>
    <x v="18"/>
    <n v="3500000"/>
    <n v="11100"/>
    <d v="2023-02-24T00:00:00"/>
    <s v="PAID"/>
    <x v="20"/>
    <n v="97125"/>
    <n v="1"/>
    <s v="Indonesia"/>
    <s v="CSN - PSL"/>
    <x v="0"/>
  </r>
  <r>
    <s v="CLICTRUCK-044323"/>
    <s v="domestic"/>
    <x v="42"/>
    <x v="18"/>
    <n v="3500000"/>
    <n v="11100"/>
    <d v="2023-02-24T00:00:00"/>
    <s v="PAID"/>
    <x v="20"/>
    <n v="97125"/>
    <n v="1"/>
    <s v="Indonesia"/>
    <s v="CSN - PSL"/>
    <x v="0"/>
  </r>
  <r>
    <s v="CLICTRUCK-044324"/>
    <s v="domestic"/>
    <x v="43"/>
    <x v="21"/>
    <n v="4097000"/>
    <n v="13875"/>
    <d v="2023-02-23T00:00:00"/>
    <s v="PAID"/>
    <x v="23"/>
    <n v="113691"/>
    <n v="1"/>
    <s v="Indonesia"/>
    <s v="MJE - ATL"/>
    <x v="0"/>
  </r>
  <r>
    <s v="CLICTRUCK-044335"/>
    <s v="domestic"/>
    <x v="43"/>
    <x v="9"/>
    <n v="340060"/>
    <n v="24975"/>
    <d v="2023-03-16T00:00:00"/>
    <s v="PAID"/>
    <x v="9"/>
    <n v="11323"/>
    <n v="1"/>
    <s v="Indonesia"/>
    <s v="YSN-SSA"/>
    <x v="0"/>
  </r>
  <r>
    <s v="CLICTRUCK-044337"/>
    <s v="domestic"/>
    <x v="43"/>
    <x v="9"/>
    <n v="315560"/>
    <n v="24975"/>
    <d v="2023-03-07T00:00:00"/>
    <s v="PAID"/>
    <x v="9"/>
    <n v="10507"/>
    <n v="1"/>
    <s v="Indonesia"/>
    <s v="YSN-SSA"/>
    <x v="0"/>
  </r>
  <r>
    <s v="CLICTRUCK-044345"/>
    <s v="domestic"/>
    <x v="43"/>
    <x v="18"/>
    <n v="3500000"/>
    <n v="11100"/>
    <d v="2023-02-24T00:00:00"/>
    <s v="PAID"/>
    <x v="20"/>
    <n v="97125"/>
    <n v="1"/>
    <s v="Indonesia"/>
    <s v="CSN - PSL"/>
    <x v="0"/>
  </r>
  <r>
    <s v="CLICTRUCK-044346"/>
    <s v="domestic"/>
    <x v="43"/>
    <x v="18"/>
    <n v="3500000"/>
    <n v="11100"/>
    <d v="2023-02-24T00:00:00"/>
    <s v="PAID"/>
    <x v="20"/>
    <n v="97125"/>
    <n v="1"/>
    <s v="Indonesia"/>
    <s v="CSN - PSL"/>
    <x v="0"/>
  </r>
  <r>
    <s v="CLICTRUCK-044350"/>
    <s v="domestic"/>
    <x v="44"/>
    <x v="9"/>
    <n v="294490"/>
    <n v="24975"/>
    <d v="2023-03-07T00:00:00"/>
    <s v="PAID"/>
    <x v="9"/>
    <n v="9805"/>
    <n v="1"/>
    <s v="Indonesia"/>
    <s v="YSN-SSA"/>
    <x v="0"/>
  </r>
  <r>
    <s v="CLICTRUCK-044351"/>
    <s v="domestic"/>
    <x v="44"/>
    <x v="9"/>
    <n v="458150"/>
    <n v="24975"/>
    <d v="2023-03-07T00:00:00"/>
    <s v="PAID"/>
    <x v="9"/>
    <n v="15255"/>
    <n v="1"/>
    <s v="Indonesia"/>
    <s v="YSN-SSA"/>
    <x v="0"/>
  </r>
  <r>
    <s v="CLICTRUCK-044352"/>
    <s v="domestic"/>
    <x v="44"/>
    <x v="9"/>
    <n v="294000"/>
    <n v="24975"/>
    <d v="2023-03-07T00:00:00"/>
    <s v="PAID"/>
    <x v="9"/>
    <n v="9790"/>
    <n v="1"/>
    <s v="Indonesia"/>
    <s v="YSN-SSA"/>
    <x v="0"/>
  </r>
  <r>
    <s v="CLICTRUCK-044354"/>
    <s v="domestic"/>
    <x v="44"/>
    <x v="9"/>
    <n v="245490"/>
    <n v="24975"/>
    <d v="2023-03-16T00:00:00"/>
    <s v="PAID"/>
    <x v="9"/>
    <n v="8174"/>
    <n v="1"/>
    <s v="Indonesia"/>
    <s v="YSN-SSA"/>
    <x v="0"/>
  </r>
  <r>
    <s v="CLICTRUCK-044355"/>
    <s v="domestic"/>
    <x v="44"/>
    <x v="9"/>
    <n v="735490"/>
    <n v="24975"/>
    <d v="2023-03-07T00:00:00"/>
    <s v="PAID"/>
    <x v="9"/>
    <n v="24491"/>
    <n v="1"/>
    <s v="Indonesia"/>
    <s v="YSN-SSA"/>
    <x v="0"/>
  </r>
  <r>
    <s v="CLICTRUCK-044356"/>
    <s v="domestic"/>
    <x v="44"/>
    <x v="9"/>
    <n v="304290"/>
    <n v="49950"/>
    <d v="2023-03-07T00:00:00"/>
    <s v="PAID"/>
    <x v="9"/>
    <n v="10132"/>
    <n v="2"/>
    <s v="Indonesia"/>
    <s v="YSN-SSA"/>
    <x v="0"/>
  </r>
  <r>
    <s v="CLICTRUCK-044375"/>
    <s v="domestic"/>
    <x v="44"/>
    <x v="21"/>
    <n v="2750000"/>
    <n v="13875"/>
    <d v="2023-02-24T00:00:00"/>
    <s v="PAID"/>
    <x v="23"/>
    <n v="76312"/>
    <n v="1"/>
    <s v="Indonesia"/>
    <s v="MJE - ATL"/>
    <x v="0"/>
  </r>
  <r>
    <s v="CLICTRUCK-044382"/>
    <s v="domestic"/>
    <x v="44"/>
    <x v="21"/>
    <n v="2750000"/>
    <n v="13875"/>
    <d v="2023-02-24T00:00:00"/>
    <s v="PAID"/>
    <x v="23"/>
    <n v="76312"/>
    <n v="1"/>
    <s v="Indonesia"/>
    <s v="MJE - ATL"/>
    <x v="0"/>
  </r>
  <r>
    <s v="CLICTRUCK-044384"/>
    <s v="domestic"/>
    <x v="44"/>
    <x v="21"/>
    <n v="4097000"/>
    <n v="13875"/>
    <d v="2023-02-24T00:00:00"/>
    <s v="PAID"/>
    <x v="23"/>
    <n v="113691"/>
    <n v="1"/>
    <s v="Indonesia"/>
    <s v="MJE - ATL"/>
    <x v="0"/>
  </r>
  <r>
    <s v="CLICTRUCK-044390"/>
    <s v="domestic"/>
    <x v="44"/>
    <x v="21"/>
    <n v="2750000"/>
    <n v="13875"/>
    <d v="2023-02-25T00:00:00"/>
    <s v="PAID"/>
    <x v="23"/>
    <n v="76312"/>
    <n v="1"/>
    <s v="Indonesia"/>
    <s v="MJE - ATL"/>
    <x v="0"/>
  </r>
  <r>
    <s v="CLICTRUCK-044391"/>
    <s v="domestic"/>
    <x v="44"/>
    <x v="21"/>
    <n v="2545500"/>
    <n v="13875"/>
    <d v="2023-02-25T00:00:00"/>
    <s v="PAID"/>
    <x v="23"/>
    <n v="70637"/>
    <n v="1"/>
    <s v="Indonesia"/>
    <s v="MJE - ATL"/>
    <x v="0"/>
  </r>
  <r>
    <s v="CLICTRUCK-044392"/>
    <s v="domestic"/>
    <x v="44"/>
    <x v="21"/>
    <n v="4097000"/>
    <n v="13875"/>
    <d v="2023-02-25T00:00:00"/>
    <s v="PAID"/>
    <x v="23"/>
    <n v="113691"/>
    <n v="1"/>
    <s v="Indonesia"/>
    <s v="MJE - ATL"/>
    <x v="0"/>
  </r>
  <r>
    <s v="CLICTRUCK-044393"/>
    <s v="domestic"/>
    <x v="44"/>
    <x v="21"/>
    <n v="4097000"/>
    <n v="13875"/>
    <d v="2023-02-25T00:00:00"/>
    <s v="PAID"/>
    <x v="23"/>
    <n v="113691"/>
    <n v="1"/>
    <s v="Indonesia"/>
    <s v="MJE - ATL"/>
    <x v="0"/>
  </r>
  <r>
    <s v="CLICTRUCK-044394"/>
    <s v="domestic"/>
    <x v="44"/>
    <x v="21"/>
    <n v="2750000"/>
    <n v="13875"/>
    <d v="2023-02-25T00:00:00"/>
    <s v="PAID"/>
    <x v="23"/>
    <n v="76312"/>
    <n v="1"/>
    <s v="Indonesia"/>
    <s v="MJE - ATL"/>
    <x v="0"/>
  </r>
  <r>
    <s v="CLICTRUCK-044395"/>
    <s v="domestic"/>
    <x v="44"/>
    <x v="21"/>
    <n v="1331000"/>
    <n v="13875"/>
    <d v="2023-02-25T00:00:00"/>
    <s v="PAID"/>
    <x v="23"/>
    <n v="36935"/>
    <n v="1"/>
    <s v="Indonesia"/>
    <s v="MJE - ATL"/>
    <x v="0"/>
  </r>
  <r>
    <s v="CLICTRUCK-044396"/>
    <s v="domestic"/>
    <x v="44"/>
    <x v="21"/>
    <n v="4097000"/>
    <n v="13875"/>
    <d v="2023-02-25T00:00:00"/>
    <s v="PAID"/>
    <x v="23"/>
    <n v="113691"/>
    <n v="1"/>
    <s v="Indonesia"/>
    <s v="MJE - ATL"/>
    <x v="0"/>
  </r>
  <r>
    <s v="CLICTRUCK-044398"/>
    <s v="domestic"/>
    <x v="44"/>
    <x v="21"/>
    <n v="3850000"/>
    <n v="13875"/>
    <d v="2023-02-25T00:00:00"/>
    <s v="PAID"/>
    <x v="23"/>
    <n v="106837"/>
    <n v="1"/>
    <s v="Indonesia"/>
    <s v="MJE - ATL"/>
    <x v="0"/>
  </r>
  <r>
    <s v="CLICTRUCK-044400"/>
    <s v="domestic"/>
    <x v="44"/>
    <x v="21"/>
    <n v="3850000"/>
    <n v="13875"/>
    <d v="2023-02-25T00:00:00"/>
    <s v="PAID"/>
    <x v="23"/>
    <n v="106837"/>
    <n v="1"/>
    <s v="Indonesia"/>
    <s v="MJE - ATL"/>
    <x v="0"/>
  </r>
  <r>
    <s v="CLICTRUCK-044404"/>
    <s v="domestic"/>
    <x v="44"/>
    <x v="21"/>
    <n v="3850000"/>
    <n v="13875"/>
    <d v="2023-02-25T00:00:00"/>
    <s v="PAID"/>
    <x v="23"/>
    <n v="106837"/>
    <n v="1"/>
    <s v="Indonesia"/>
    <s v="MJE - ATL"/>
    <x v="0"/>
  </r>
  <r>
    <s v="CLICTRUCK-044405"/>
    <s v="domestic"/>
    <x v="44"/>
    <x v="21"/>
    <n v="3850000"/>
    <n v="13875"/>
    <d v="2023-02-25T00:00:00"/>
    <s v="PAID"/>
    <x v="23"/>
    <n v="106837"/>
    <n v="1"/>
    <s v="Indonesia"/>
    <s v="MJE - ATL"/>
    <x v="0"/>
  </r>
  <r>
    <s v="CLICTRUCK-044408"/>
    <s v="domestic"/>
    <x v="44"/>
    <x v="21"/>
    <n v="11424000"/>
    <n v="55500"/>
    <d v="2023-02-25T00:00:00"/>
    <s v="PAID"/>
    <x v="23"/>
    <n v="317016"/>
    <n v="4"/>
    <s v="Indonesia"/>
    <s v="MJE - ATL"/>
    <x v="0"/>
  </r>
  <r>
    <s v="CLICTRUCK-044425"/>
    <s v="domestic"/>
    <x v="45"/>
    <x v="21"/>
    <n v="4097000"/>
    <n v="13875"/>
    <d v="2023-02-26T00:00:00"/>
    <s v="PAID"/>
    <x v="23"/>
    <n v="113691"/>
    <n v="1"/>
    <s v="Indonesia"/>
    <s v="MJE - ATL"/>
    <x v="0"/>
  </r>
  <r>
    <s v="CLICTRUCK-044427"/>
    <s v="domestic"/>
    <x v="45"/>
    <x v="21"/>
    <n v="2750000"/>
    <n v="13875"/>
    <d v="2023-02-26T00:00:00"/>
    <s v="PAID"/>
    <x v="23"/>
    <n v="76312"/>
    <n v="1"/>
    <s v="Indonesia"/>
    <s v="MJE - ATL"/>
    <x v="0"/>
  </r>
  <r>
    <s v="CLICTRUCK-044428"/>
    <s v="domestic"/>
    <x v="45"/>
    <x v="21"/>
    <n v="1331000"/>
    <n v="13875"/>
    <d v="2023-02-26T00:00:00"/>
    <s v="PAID"/>
    <x v="23"/>
    <n v="36935"/>
    <n v="1"/>
    <s v="Indonesia"/>
    <s v="MJE - ATL"/>
    <x v="0"/>
  </r>
  <r>
    <s v="CLICTRUCK-044429"/>
    <s v="domestic"/>
    <x v="45"/>
    <x v="21"/>
    <n v="2545500"/>
    <n v="13875"/>
    <d v="2023-02-26T00:00:00"/>
    <s v="PAID"/>
    <x v="23"/>
    <n v="70637"/>
    <n v="1"/>
    <s v="Indonesia"/>
    <s v="MJE - ATL"/>
    <x v="0"/>
  </r>
  <r>
    <s v="CLICTRUCK-044430"/>
    <s v="domestic"/>
    <x v="45"/>
    <x v="21"/>
    <n v="2750000"/>
    <n v="13875"/>
    <d v="2023-02-26T00:00:00"/>
    <s v="PAID"/>
    <x v="23"/>
    <n v="76312"/>
    <n v="1"/>
    <s v="Indonesia"/>
    <s v="MJE - ATL"/>
    <x v="0"/>
  </r>
  <r>
    <s v="CLICTRUCK-044431"/>
    <s v="domestic"/>
    <x v="45"/>
    <x v="21"/>
    <n v="4097000"/>
    <n v="13875"/>
    <d v="2023-02-26T00:00:00"/>
    <s v="PAID"/>
    <x v="23"/>
    <n v="113691"/>
    <n v="1"/>
    <s v="Indonesia"/>
    <s v="MJE - ATL"/>
    <x v="0"/>
  </r>
  <r>
    <s v="CLICTRUCK-044432"/>
    <s v="domestic"/>
    <x v="45"/>
    <x v="21"/>
    <n v="2750000"/>
    <n v="13875"/>
    <d v="2023-03-01T00:00:00"/>
    <s v="PAID"/>
    <x v="23"/>
    <n v="76312"/>
    <n v="1"/>
    <s v="Indonesia"/>
    <s v="MJE - ATL"/>
    <x v="0"/>
  </r>
  <r>
    <s v="CLICTRUCK-044442"/>
    <s v="domestic"/>
    <x v="45"/>
    <x v="18"/>
    <n v="4900000"/>
    <n v="11100"/>
    <d v="2023-03-03T00:00:00"/>
    <s v="PAID"/>
    <x v="20"/>
    <n v="135975"/>
    <n v="1"/>
    <s v="Indonesia"/>
    <s v="CSN - PSL"/>
    <x v="0"/>
  </r>
  <r>
    <s v="CLICTRUCK-044443"/>
    <s v="domestic"/>
    <x v="45"/>
    <x v="18"/>
    <n v="4900000"/>
    <n v="11100"/>
    <d v="2023-03-03T00:00:00"/>
    <s v="PAID"/>
    <x v="20"/>
    <n v="135975"/>
    <n v="1"/>
    <s v="Indonesia"/>
    <s v="CSN - PSL"/>
    <x v="0"/>
  </r>
  <r>
    <s v="CLICTRUCK-044449"/>
    <s v="domestic"/>
    <x v="121"/>
    <x v="10"/>
    <n v="4432224"/>
    <n v="22200"/>
    <d v="2023-03-05T00:00:00"/>
    <s v="PAID"/>
    <x v="10"/>
    <n v="196789"/>
    <n v="1"/>
    <s v="Indonesia"/>
    <s v="ZLog-ZENSHIN"/>
    <x v="0"/>
  </r>
  <r>
    <s v="CLICTRUCK-044450"/>
    <s v="domestic"/>
    <x v="121"/>
    <x v="9"/>
    <n v="340060"/>
    <n v="24975"/>
    <d v="2023-03-07T00:00:00"/>
    <s v="PAID"/>
    <x v="9"/>
    <n v="11323"/>
    <n v="1"/>
    <s v="Indonesia"/>
    <s v="YSN-SSA"/>
    <x v="0"/>
  </r>
  <r>
    <s v="CLICTRUCK-044451"/>
    <s v="domestic"/>
    <x v="121"/>
    <x v="9"/>
    <n v="265090"/>
    <n v="24975"/>
    <d v="2023-03-07T00:00:00"/>
    <s v="PAID"/>
    <x v="9"/>
    <n v="8826"/>
    <n v="1"/>
    <s v="Indonesia"/>
    <s v="YSN-SSA"/>
    <x v="0"/>
  </r>
  <r>
    <s v="CLICTRUCK-044452"/>
    <s v="domestic"/>
    <x v="121"/>
    <x v="19"/>
    <n v="45000000"/>
    <n v="27750"/>
    <d v="2023-02-28T00:00:00"/>
    <s v="PAID"/>
    <x v="21"/>
    <n v="1998000"/>
    <n v="1"/>
    <s v="Indonesia"/>
    <s v="MMA - TAL"/>
    <x v="0"/>
  </r>
  <r>
    <s v="CLICTRUCK-044453"/>
    <s v="domestic"/>
    <x v="121"/>
    <x v="19"/>
    <n v="39000000"/>
    <n v="27750"/>
    <d v="2023-02-28T00:00:00"/>
    <s v="PAID"/>
    <x v="21"/>
    <n v="1731600"/>
    <n v="1"/>
    <s v="Indonesia"/>
    <s v="MMA - TAL"/>
    <x v="0"/>
  </r>
  <r>
    <s v="CLICTRUCK-044454"/>
    <s v="domestic"/>
    <x v="46"/>
    <x v="12"/>
    <n v="17500000"/>
    <n v="27750"/>
    <d v="2023-02-28T00:00:00"/>
    <s v="PAID"/>
    <x v="13"/>
    <n v="485625"/>
    <n v="1"/>
    <s v="Indonesia"/>
    <s v="RPL - NBM"/>
    <x v="0"/>
  </r>
  <r>
    <s v="CLICTRUCK-044455"/>
    <s v="domestic"/>
    <x v="46"/>
    <x v="12"/>
    <n v="13500000"/>
    <n v="27750"/>
    <d v="2023-02-28T00:00:00"/>
    <s v="PAID"/>
    <x v="13"/>
    <n v="374625"/>
    <n v="1"/>
    <s v="Indonesia"/>
    <s v="RPL - NBM"/>
    <x v="0"/>
  </r>
  <r>
    <s v="CLICTRUCK-044456"/>
    <s v="domestic"/>
    <x v="46"/>
    <x v="12"/>
    <n v="17500000"/>
    <n v="27750"/>
    <d v="2023-03-08T00:00:00"/>
    <s v="PAID"/>
    <x v="13"/>
    <n v="485625"/>
    <n v="1"/>
    <s v="Indonesia"/>
    <s v="RPL - NBM"/>
    <x v="0"/>
  </r>
  <r>
    <s v="CLICTRUCK-044457"/>
    <s v="domestic"/>
    <x v="46"/>
    <x v="12"/>
    <n v="13500000"/>
    <n v="27750"/>
    <d v="2023-02-28T00:00:00"/>
    <s v="PAID"/>
    <x v="13"/>
    <n v="374625"/>
    <n v="1"/>
    <s v="Indonesia"/>
    <s v="RPL - NBM"/>
    <x v="0"/>
  </r>
  <r>
    <s v="CLICTRUCK-044458"/>
    <s v="domestic"/>
    <x v="46"/>
    <x v="12"/>
    <n v="13500000"/>
    <n v="27750"/>
    <d v="2023-02-28T00:00:00"/>
    <s v="PAID"/>
    <x v="13"/>
    <n v="374625"/>
    <n v="1"/>
    <s v="Indonesia"/>
    <s v="RPL - NBM"/>
    <x v="0"/>
  </r>
  <r>
    <s v="CLICTRUCK-044459"/>
    <s v="domestic"/>
    <x v="46"/>
    <x v="9"/>
    <n v="604660"/>
    <n v="24975"/>
    <d v="2023-03-07T00:00:00"/>
    <s v="PAID"/>
    <x v="9"/>
    <n v="20134"/>
    <n v="1"/>
    <s v="Indonesia"/>
    <s v="YSN-SSA"/>
    <x v="0"/>
  </r>
  <r>
    <s v="CLICTRUCK-044460"/>
    <s v="domestic"/>
    <x v="46"/>
    <x v="9"/>
    <n v="274890"/>
    <n v="24975"/>
    <d v="2023-03-07T00:00:00"/>
    <s v="PAID"/>
    <x v="9"/>
    <n v="9153"/>
    <n v="1"/>
    <s v="Indonesia"/>
    <s v="YSN-SSA"/>
    <x v="0"/>
  </r>
  <r>
    <s v="CLICTRUCK-044462"/>
    <s v="domestic"/>
    <x v="46"/>
    <x v="9"/>
    <n v="245490"/>
    <n v="24975"/>
    <d v="2023-03-07T00:00:00"/>
    <s v="PAID"/>
    <x v="9"/>
    <n v="8174"/>
    <n v="1"/>
    <s v="Indonesia"/>
    <s v="YSN-SSA"/>
    <x v="0"/>
  </r>
  <r>
    <s v="CLICTRUCK-044463"/>
    <s v="domestic"/>
    <x v="46"/>
    <x v="9"/>
    <n v="313600"/>
    <n v="24975"/>
    <d v="2023-03-07T00:00:00"/>
    <s v="PAID"/>
    <x v="9"/>
    <n v="10442"/>
    <n v="1"/>
    <s v="Indonesia"/>
    <s v="YSN-SSA"/>
    <x v="0"/>
  </r>
  <r>
    <s v="CLICTRUCK-044464"/>
    <s v="domestic"/>
    <x v="46"/>
    <x v="9"/>
    <n v="274890"/>
    <n v="24975"/>
    <d v="2023-03-07T00:00:00"/>
    <s v="PAID"/>
    <x v="9"/>
    <n v="9153"/>
    <n v="1"/>
    <s v="Indonesia"/>
    <s v="YSN-SSA"/>
    <x v="0"/>
  </r>
  <r>
    <s v="CLICTRUCK-044465"/>
    <s v="domestic"/>
    <x v="46"/>
    <x v="9"/>
    <n v="2592100"/>
    <n v="24975"/>
    <d v="2023-03-08T00:00:00"/>
    <s v="PAID"/>
    <x v="8"/>
    <n v="86316"/>
    <n v="1"/>
    <s v="Indonesia"/>
    <s v="YSN-FPM"/>
    <x v="0"/>
  </r>
  <r>
    <s v="CLICTRUCK-044466"/>
    <s v="domestic"/>
    <x v="46"/>
    <x v="9"/>
    <n v="399350"/>
    <n v="24975"/>
    <d v="2023-03-07T00:00:00"/>
    <s v="PAID"/>
    <x v="9"/>
    <n v="13297"/>
    <n v="1"/>
    <s v="Indonesia"/>
    <s v="YSN-SSA"/>
    <x v="0"/>
  </r>
  <r>
    <s v="CLICTRUCK-044468"/>
    <s v="domestic"/>
    <x v="46"/>
    <x v="9"/>
    <n v="4057200"/>
    <n v="24975"/>
    <d v="2023-03-10T00:00:00"/>
    <s v="PAID"/>
    <x v="8"/>
    <n v="135104"/>
    <n v="1"/>
    <s v="Indonesia"/>
    <s v="YSN-FPM"/>
    <x v="0"/>
  </r>
  <r>
    <s v="CLICTRUCK-044474"/>
    <s v="domestic"/>
    <x v="46"/>
    <x v="21"/>
    <n v="2856000"/>
    <n v="13875"/>
    <d v="2023-03-01T00:00:00"/>
    <s v="PAID"/>
    <x v="23"/>
    <n v="79254"/>
    <n v="1"/>
    <s v="Indonesia"/>
    <s v="MJE - ATL"/>
    <x v="0"/>
  </r>
  <r>
    <s v="CLICTRUCK-044476"/>
    <s v="domestic"/>
    <x v="46"/>
    <x v="21"/>
    <n v="2856000"/>
    <n v="13875"/>
    <d v="2023-03-01T00:00:00"/>
    <s v="PAID"/>
    <x v="23"/>
    <n v="79254"/>
    <n v="1"/>
    <s v="Indonesia"/>
    <s v="MJE - ATL"/>
    <x v="0"/>
  </r>
  <r>
    <s v="CLICTRUCK-044477"/>
    <s v="domestic"/>
    <x v="46"/>
    <x v="21"/>
    <n v="2856000"/>
    <n v="13875"/>
    <d v="2023-03-01T00:00:00"/>
    <s v="PAID"/>
    <x v="23"/>
    <n v="79254"/>
    <n v="1"/>
    <s v="Indonesia"/>
    <s v="MJE - ATL"/>
    <x v="0"/>
  </r>
  <r>
    <s v="CLICTRUCK-044485"/>
    <s v="domestic"/>
    <x v="46"/>
    <x v="21"/>
    <n v="1400000"/>
    <n v="13875"/>
    <d v="2023-03-01T00:00:00"/>
    <s v="PAID"/>
    <x v="23"/>
    <n v="38850"/>
    <n v="1"/>
    <s v="Indonesia"/>
    <s v="MJE - ATL"/>
    <x v="0"/>
  </r>
  <r>
    <s v="CLICTRUCK-044486"/>
    <s v="domestic"/>
    <x v="46"/>
    <x v="21"/>
    <n v="1400000"/>
    <n v="13875"/>
    <d v="2023-03-01T00:00:00"/>
    <s v="PAID"/>
    <x v="23"/>
    <n v="38850"/>
    <n v="1"/>
    <s v="Indonesia"/>
    <s v="MJE - ATL"/>
    <x v="0"/>
  </r>
  <r>
    <s v="CLICTRUCK-044487"/>
    <s v="domestic"/>
    <x v="46"/>
    <x v="21"/>
    <n v="1400000"/>
    <n v="13875"/>
    <d v="2023-03-01T00:00:00"/>
    <s v="PAID"/>
    <x v="23"/>
    <n v="38850"/>
    <n v="1"/>
    <s v="Indonesia"/>
    <s v="MJE - ATL"/>
    <x v="0"/>
  </r>
  <r>
    <s v="CLICTRUCK-044488"/>
    <s v="domestic"/>
    <x v="46"/>
    <x v="21"/>
    <n v="1400000"/>
    <n v="13875"/>
    <d v="2023-03-01T00:00:00"/>
    <s v="PAID"/>
    <x v="23"/>
    <n v="38850"/>
    <n v="1"/>
    <s v="Indonesia"/>
    <s v="MJE - ATL"/>
    <x v="0"/>
  </r>
  <r>
    <s v="CLICTRUCK-044489"/>
    <s v="domestic"/>
    <x v="47"/>
    <x v="9"/>
    <n v="340060"/>
    <n v="24975"/>
    <d v="2023-03-07T00:00:00"/>
    <s v="PAID"/>
    <x v="9"/>
    <n v="11323"/>
    <n v="1"/>
    <s v="Indonesia"/>
    <s v="YSN-SSA"/>
    <x v="0"/>
  </r>
  <r>
    <s v="CLICTRUCK-044490"/>
    <s v="domestic"/>
    <x v="47"/>
    <x v="9"/>
    <n v="340060"/>
    <n v="24975"/>
    <d v="2023-03-07T00:00:00"/>
    <s v="PAID"/>
    <x v="9"/>
    <n v="11323"/>
    <n v="1"/>
    <s v="Indonesia"/>
    <s v="YSN-SSA"/>
    <x v="0"/>
  </r>
  <r>
    <s v="CLICTRUCK-044491"/>
    <s v="domestic"/>
    <x v="47"/>
    <x v="9"/>
    <n v="245490"/>
    <n v="24975"/>
    <d v="2023-03-07T00:00:00"/>
    <s v="PAID"/>
    <x v="9"/>
    <n v="8174"/>
    <n v="1"/>
    <s v="Indonesia"/>
    <s v="YSN-SSA"/>
    <x v="0"/>
  </r>
  <r>
    <s v="CLICTRUCK-044492"/>
    <s v="domestic"/>
    <x v="47"/>
    <x v="9"/>
    <n v="399350"/>
    <n v="24975"/>
    <d v="2023-03-07T00:00:00"/>
    <s v="PAID"/>
    <x v="9"/>
    <n v="13297"/>
    <n v="1"/>
    <s v="Indonesia"/>
    <s v="YSN-SSA"/>
    <x v="0"/>
  </r>
  <r>
    <s v="CLICTRUCK-044493"/>
    <s v="domestic"/>
    <x v="47"/>
    <x v="18"/>
    <n v="4900000"/>
    <n v="11100"/>
    <d v="2023-03-03T00:00:00"/>
    <s v="PAID"/>
    <x v="20"/>
    <n v="135975"/>
    <n v="1"/>
    <s v="Indonesia"/>
    <s v="CSN - PSL"/>
    <x v="0"/>
  </r>
  <r>
    <s v="CLICTRUCK-044494"/>
    <s v="domestic"/>
    <x v="47"/>
    <x v="18"/>
    <n v="4900000"/>
    <n v="11100"/>
    <d v="2023-03-03T00:00:00"/>
    <s v="PAID"/>
    <x v="20"/>
    <n v="135975"/>
    <n v="1"/>
    <s v="Indonesia"/>
    <s v="CSN - PSL"/>
    <x v="0"/>
  </r>
  <r>
    <s v="CLICTRUCK-044495"/>
    <s v="domestic"/>
    <x v="47"/>
    <x v="18"/>
    <n v="4900000"/>
    <n v="11100"/>
    <d v="2023-03-03T00:00:00"/>
    <s v="PAID"/>
    <x v="20"/>
    <n v="135975"/>
    <n v="1"/>
    <s v="Indonesia"/>
    <s v="CSN - PSL"/>
    <x v="0"/>
  </r>
  <r>
    <s v="CLICTRUCK-044496"/>
    <s v="domestic"/>
    <x v="47"/>
    <x v="18"/>
    <n v="4900000"/>
    <n v="11100"/>
    <d v="2023-03-03T00:00:00"/>
    <s v="PAID"/>
    <x v="20"/>
    <n v="135975"/>
    <n v="1"/>
    <s v="Indonesia"/>
    <s v="CSN - PSL"/>
    <x v="0"/>
  </r>
  <r>
    <s v="CLICTRUCK-044497"/>
    <s v="domestic"/>
    <x v="47"/>
    <x v="18"/>
    <n v="4900000"/>
    <n v="11100"/>
    <d v="2023-03-03T00:00:00"/>
    <s v="PAID"/>
    <x v="20"/>
    <n v="135975"/>
    <n v="1"/>
    <s v="Indonesia"/>
    <s v="CSN - PSL"/>
    <x v="0"/>
  </r>
  <r>
    <s v="CLICTRUCK-044498"/>
    <s v="domestic"/>
    <x v="47"/>
    <x v="18"/>
    <n v="4900000"/>
    <n v="11100"/>
    <d v="2023-03-03T00:00:00"/>
    <s v="PAID"/>
    <x v="20"/>
    <n v="135975"/>
    <n v="1"/>
    <s v="Indonesia"/>
    <s v="CSN - PSL"/>
    <x v="0"/>
  </r>
  <r>
    <s v="CLICTRUCK-044499"/>
    <s v="domestic"/>
    <x v="47"/>
    <x v="18"/>
    <n v="4900000"/>
    <n v="11100"/>
    <d v="2023-03-03T00:00:00"/>
    <s v="PAID"/>
    <x v="20"/>
    <n v="135975"/>
    <n v="1"/>
    <s v="Indonesia"/>
    <s v="CSN - PSL"/>
    <x v="0"/>
  </r>
  <r>
    <s v="CLICTRUCK-044500"/>
    <s v="domestic"/>
    <x v="47"/>
    <x v="18"/>
    <n v="4900000"/>
    <n v="11100"/>
    <d v="2023-03-03T00:00:00"/>
    <s v="PAID"/>
    <x v="20"/>
    <n v="135975"/>
    <n v="1"/>
    <s v="Indonesia"/>
    <s v="CSN - PSL"/>
    <x v="0"/>
  </r>
  <r>
    <s v="CLICTRUCK-044501"/>
    <s v="domestic"/>
    <x v="47"/>
    <x v="21"/>
    <n v="4097000"/>
    <n v="13875"/>
    <d v="2023-03-02T00:00:00"/>
    <s v="PAID"/>
    <x v="23"/>
    <n v="113691"/>
    <n v="1"/>
    <s v="Indonesia"/>
    <s v="MJE - ATL"/>
    <x v="0"/>
  </r>
  <r>
    <s v="CLICTRUCK-044502"/>
    <s v="domestic"/>
    <x v="47"/>
    <x v="21"/>
    <n v="2750000"/>
    <n v="13875"/>
    <d v="2023-03-02T00:00:00"/>
    <s v="PAID"/>
    <x v="23"/>
    <n v="76312"/>
    <n v="1"/>
    <s v="Indonesia"/>
    <s v="MJE - ATL"/>
    <x v="0"/>
  </r>
  <r>
    <s v="CLICTRUCK-044503"/>
    <s v="domestic"/>
    <x v="47"/>
    <x v="21"/>
    <n v="4097000"/>
    <n v="13875"/>
    <d v="2023-03-02T00:00:00"/>
    <s v="PAID"/>
    <x v="23"/>
    <n v="113691"/>
    <n v="1"/>
    <s v="Indonesia"/>
    <s v="MJE - ATL"/>
    <x v="0"/>
  </r>
  <r>
    <s v="CLICTRUCK-044504"/>
    <s v="domestic"/>
    <x v="47"/>
    <x v="21"/>
    <n v="2750000"/>
    <n v="13875"/>
    <d v="2023-03-02T00:00:00"/>
    <s v="PAID"/>
    <x v="23"/>
    <n v="76312"/>
    <n v="1"/>
    <s v="Indonesia"/>
    <s v="MJE - ATL"/>
    <x v="0"/>
  </r>
  <r>
    <s v="CLICTRUCK-044505"/>
    <s v="domestic"/>
    <x v="47"/>
    <x v="21"/>
    <n v="2545500"/>
    <n v="13875"/>
    <d v="2023-03-02T00:00:00"/>
    <s v="PAID"/>
    <x v="23"/>
    <n v="70637"/>
    <n v="1"/>
    <s v="Indonesia"/>
    <s v="MJE - ATL"/>
    <x v="0"/>
  </r>
  <r>
    <s v="CLICTRUCK-044506"/>
    <s v="domestic"/>
    <x v="47"/>
    <x v="21"/>
    <n v="1331000"/>
    <n v="13875"/>
    <d v="2023-03-02T00:00:00"/>
    <s v="PAID"/>
    <x v="23"/>
    <n v="36935"/>
    <n v="1"/>
    <s v="Indonesia"/>
    <s v="MJE - ATL"/>
    <x v="0"/>
  </r>
  <r>
    <s v="CLICTRUCK-044507"/>
    <s v="domestic"/>
    <x v="47"/>
    <x v="9"/>
    <n v="663460"/>
    <n v="49950"/>
    <d v="2023-03-07T00:00:00"/>
    <s v="PAID"/>
    <x v="9"/>
    <n v="22092"/>
    <n v="2"/>
    <s v="Indonesia"/>
    <s v="YSN-SSA"/>
    <x v="0"/>
  </r>
  <r>
    <s v="CLICTRUCK-044508"/>
    <s v="domestic"/>
    <x v="47"/>
    <x v="9"/>
    <n v="294490"/>
    <n v="24975"/>
    <d v="2023-03-07T00:00:00"/>
    <s v="PAID"/>
    <x v="9"/>
    <n v="9805"/>
    <n v="1"/>
    <s v="Indonesia"/>
    <s v="YSN-SSA"/>
    <x v="0"/>
  </r>
  <r>
    <s v="CLICTRUCK-044509"/>
    <s v="domestic"/>
    <x v="47"/>
    <x v="9"/>
    <n v="458150"/>
    <n v="24975"/>
    <d v="2023-03-07T00:00:00"/>
    <s v="PAID"/>
    <x v="9"/>
    <n v="15255"/>
    <n v="1"/>
    <s v="Indonesia"/>
    <s v="YSN-SSA"/>
    <x v="0"/>
  </r>
  <r>
    <s v="CLICTRUCK-044529"/>
    <s v="domestic"/>
    <x v="48"/>
    <x v="16"/>
    <n v="1885000"/>
    <n v="52308"/>
    <d v="2023-03-03T00:00:00"/>
    <s v="UNPAID"/>
    <x v="17"/>
    <n v="27750"/>
    <n v="1"/>
    <s v="Indonesia"/>
    <s v="JMA - RKB"/>
    <x v="0"/>
  </r>
  <r>
    <s v="CLICTRUCK-044530"/>
    <s v="domestic"/>
    <x v="48"/>
    <x v="22"/>
    <n v="36000000"/>
    <n v="1498500"/>
    <d v="2023-03-03T00:00:00"/>
    <s v="PAID"/>
    <x v="24"/>
    <n v="27750"/>
    <n v="1"/>
    <s v="Indonesia"/>
    <s v="ALD - PLI"/>
    <x v="0"/>
  </r>
  <r>
    <s v="CLICTRUCK-044531"/>
    <s v="domestic"/>
    <x v="48"/>
    <x v="22"/>
    <n v="15000000"/>
    <n v="624375"/>
    <d v="2023-03-03T00:00:00"/>
    <s v="PAID"/>
    <x v="24"/>
    <n v="27750"/>
    <n v="1"/>
    <s v="Indonesia"/>
    <s v="ALD - PLI"/>
    <x v="0"/>
  </r>
  <r>
    <s v="CLICTRUCK-044532"/>
    <s v="domestic"/>
    <x v="48"/>
    <x v="22"/>
    <n v="22000000"/>
    <n v="915750"/>
    <d v="2023-03-03T00:00:00"/>
    <s v="PAID"/>
    <x v="24"/>
    <n v="27750"/>
    <n v="1"/>
    <s v="Indonesia"/>
    <s v="ALD - PLI"/>
    <x v="0"/>
  </r>
  <r>
    <s v="CLICTRUCK-044533"/>
    <s v="domestic"/>
    <x v="48"/>
    <x v="22"/>
    <n v="48000000"/>
    <n v="1998000"/>
    <d v="2023-03-03T00:00:00"/>
    <s v="PAID"/>
    <x v="24"/>
    <n v="27750"/>
    <n v="1"/>
    <s v="Indonesia"/>
    <s v="ALD - PLI"/>
    <x v="0"/>
  </r>
  <r>
    <s v="CLICTRUCK-044534"/>
    <s v="domestic"/>
    <x v="48"/>
    <x v="9"/>
    <n v="4057200"/>
    <n v="24975"/>
    <d v="2023-03-10T00:00:00"/>
    <s v="PAID"/>
    <x v="8"/>
    <n v="135104"/>
    <n v="1"/>
    <s v="Indonesia"/>
    <s v="YSN-FPM"/>
    <x v="0"/>
  </r>
  <r>
    <s v="CLICTRUCK-044535"/>
    <s v="domestic"/>
    <x v="48"/>
    <x v="9"/>
    <n v="294490"/>
    <n v="24975"/>
    <d v="2023-03-07T00:00:00"/>
    <s v="PAID"/>
    <x v="9"/>
    <n v="9805"/>
    <n v="1"/>
    <s v="Indonesia"/>
    <s v="YSN-SSA"/>
    <x v="0"/>
  </r>
  <r>
    <s v="CLICTRUCK-044536"/>
    <s v="domestic"/>
    <x v="48"/>
    <x v="9"/>
    <n v="294490"/>
    <n v="24975"/>
    <d v="2023-03-07T00:00:00"/>
    <s v="PAID"/>
    <x v="9"/>
    <n v="9805"/>
    <n v="1"/>
    <s v="Indonesia"/>
    <s v="YSN-SSA"/>
    <x v="0"/>
  </r>
  <r>
    <s v="CLICTRUCK-044546"/>
    <s v="domestic"/>
    <x v="49"/>
    <x v="9"/>
    <n v="399350"/>
    <n v="24975"/>
    <d v="2023-03-07T00:00:00"/>
    <s v="PAID"/>
    <x v="9"/>
    <n v="13297"/>
    <n v="1"/>
    <s v="Indonesia"/>
    <s v="YSN-SSA"/>
    <x v="0"/>
  </r>
  <r>
    <s v="CLICTRUCK-044547"/>
    <s v="domestic"/>
    <x v="49"/>
    <x v="9"/>
    <n v="268030"/>
    <n v="24975"/>
    <d v="2023-03-07T00:00:00"/>
    <s v="PAID"/>
    <x v="9"/>
    <n v="8924"/>
    <n v="1"/>
    <s v="Indonesia"/>
    <s v="YSN-SSA"/>
    <x v="0"/>
  </r>
  <r>
    <s v="CLICTRUCK-044561"/>
    <s v="domestic"/>
    <x v="49"/>
    <x v="16"/>
    <n v="1000000"/>
    <m/>
    <m/>
    <s v="DELIVERED"/>
    <x v="17"/>
    <n v="0"/>
    <n v="1"/>
    <s v="Indonesia"/>
    <s v="JMA - RKB"/>
    <x v="1"/>
  </r>
  <r>
    <s v="CLICTRUCK-044564"/>
    <s v="domestic"/>
    <x v="49"/>
    <x v="7"/>
    <n v="299700000"/>
    <n v="22200"/>
    <d v="2023-03-03T00:00:00"/>
    <s v="PAID"/>
    <x v="6"/>
    <n v="8316675"/>
    <n v="1"/>
    <s v="Indonesia"/>
    <s v="IFI - IKI"/>
    <x v="0"/>
  </r>
  <r>
    <s v="CLICTRUCK-044570"/>
    <s v="domestic"/>
    <x v="49"/>
    <x v="16"/>
    <n v="1000000"/>
    <m/>
    <m/>
    <s v="DELIVERED"/>
    <x v="17"/>
    <n v="0"/>
    <n v="1"/>
    <s v="Indonesia"/>
    <s v="JMA - RKB"/>
    <x v="1"/>
  </r>
  <r>
    <s v="CLICTRUCK-044571"/>
    <s v="domestic"/>
    <x v="49"/>
    <x v="16"/>
    <n v="9530000"/>
    <n v="264457"/>
    <d v="2023-03-03T00:00:00"/>
    <s v="UNPAID"/>
    <x v="17"/>
    <n v="27750"/>
    <n v="1"/>
    <s v="Indonesia"/>
    <s v="JMA - RKB"/>
    <x v="0"/>
  </r>
  <r>
    <s v="CLICTRUCK-044573"/>
    <s v="domestic"/>
    <x v="49"/>
    <x v="16"/>
    <n v="9530000"/>
    <n v="264457"/>
    <d v="2023-03-03T00:00:00"/>
    <s v="UNPAID"/>
    <x v="17"/>
    <n v="27750"/>
    <n v="1"/>
    <s v="Indonesia"/>
    <s v="JMA - RKB"/>
    <x v="0"/>
  </r>
  <r>
    <s v="CLICTRUCK-044574"/>
    <s v="domestic"/>
    <x v="49"/>
    <x v="16"/>
    <n v="9530000"/>
    <n v="264457"/>
    <d v="2023-03-03T00:00:00"/>
    <s v="UNPAID"/>
    <x v="17"/>
    <n v="27750"/>
    <n v="1"/>
    <s v="Indonesia"/>
    <s v="JMA - RKB"/>
    <x v="0"/>
  </r>
  <r>
    <s v="CLICTRUCK-044575"/>
    <s v="domestic"/>
    <x v="49"/>
    <x v="16"/>
    <n v="6540000"/>
    <n v="181485"/>
    <d v="2023-03-03T00:00:00"/>
    <s v="UNPAID"/>
    <x v="17"/>
    <n v="27750"/>
    <n v="1"/>
    <s v="Indonesia"/>
    <s v="JMA - RKB"/>
    <x v="0"/>
  </r>
  <r>
    <s v="CLICTRUCK-044576"/>
    <s v="domestic"/>
    <x v="49"/>
    <x v="16"/>
    <n v="9530000"/>
    <m/>
    <m/>
    <s v="ONGOING"/>
    <x v="17"/>
    <n v="0"/>
    <n v="1"/>
    <s v="Indonesia"/>
    <s v="JMA - RKB"/>
    <x v="1"/>
  </r>
  <r>
    <s v="CLICTRUCK-044577"/>
    <s v="domestic"/>
    <x v="49"/>
    <x v="16"/>
    <n v="4320000"/>
    <n v="119880"/>
    <d v="2023-03-03T00:00:00"/>
    <s v="UNPAID"/>
    <x v="17"/>
    <n v="27750"/>
    <n v="1"/>
    <s v="Indonesia"/>
    <s v="JMA - RKB"/>
    <x v="0"/>
  </r>
  <r>
    <s v="CLICTRUCK-044582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83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84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86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87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88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89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90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91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92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93"/>
    <s v="domestic"/>
    <x v="49"/>
    <x v="6"/>
    <n v="15910000"/>
    <n v="27750"/>
    <d v="2023-03-05T00:00:00"/>
    <s v="PAID"/>
    <x v="5"/>
    <n v="706404"/>
    <n v="1"/>
    <s v="Indonesia"/>
    <s v="DSB - PLG"/>
    <x v="0"/>
  </r>
  <r>
    <s v="CLICTRUCK-044594"/>
    <s v="domestic"/>
    <x v="122"/>
    <x v="21"/>
    <n v="3850000"/>
    <n v="13875"/>
    <d v="2023-03-04T00:00:00"/>
    <s v="PAID"/>
    <x v="23"/>
    <n v="106837"/>
    <n v="1"/>
    <s v="Indonesia"/>
    <s v="MJE - ATL"/>
    <x v="0"/>
  </r>
  <r>
    <s v="CLICTRUCK-044595"/>
    <s v="domestic"/>
    <x v="122"/>
    <x v="21"/>
    <n v="2856000"/>
    <n v="13875"/>
    <d v="2023-03-04T00:00:00"/>
    <s v="PAID"/>
    <x v="23"/>
    <n v="79254"/>
    <n v="1"/>
    <s v="Indonesia"/>
    <s v="MJE - ATL"/>
    <x v="0"/>
  </r>
  <r>
    <s v="CLICTRUCK-044596"/>
    <s v="domestic"/>
    <x v="122"/>
    <x v="21"/>
    <n v="1400000"/>
    <n v="13875"/>
    <d v="2023-03-04T00:00:00"/>
    <s v="PAID"/>
    <x v="23"/>
    <n v="38850"/>
    <n v="1"/>
    <s v="Indonesia"/>
    <s v="MJE - ATL"/>
    <x v="0"/>
  </r>
  <r>
    <s v="CLICTRUCK-044597"/>
    <s v="domestic"/>
    <x v="122"/>
    <x v="21"/>
    <n v="2856000"/>
    <n v="13875"/>
    <d v="2023-03-04T00:00:00"/>
    <s v="PAID"/>
    <x v="23"/>
    <n v="79254"/>
    <n v="1"/>
    <s v="Indonesia"/>
    <s v="MJE - ATL"/>
    <x v="0"/>
  </r>
  <r>
    <s v="CLICTRUCK-044598"/>
    <s v="domestic"/>
    <x v="122"/>
    <x v="21"/>
    <n v="1400000"/>
    <n v="13875"/>
    <d v="2023-03-04T00:00:00"/>
    <s v="PAID"/>
    <x v="23"/>
    <n v="38850"/>
    <n v="1"/>
    <s v="Indonesia"/>
    <s v="MJE - ATL"/>
    <x v="0"/>
  </r>
  <r>
    <s v="CLICTRUCK-044599"/>
    <s v="domestic"/>
    <x v="122"/>
    <x v="21"/>
    <n v="2856000"/>
    <n v="13875"/>
    <d v="2023-03-04T00:00:00"/>
    <s v="PAID"/>
    <x v="23"/>
    <n v="79254"/>
    <n v="1"/>
    <s v="Indonesia"/>
    <s v="MJE - ATL"/>
    <x v="0"/>
  </r>
  <r>
    <s v="CLICTRUCK-044600"/>
    <s v="domestic"/>
    <x v="122"/>
    <x v="21"/>
    <n v="1400000"/>
    <n v="13875"/>
    <d v="2023-03-04T00:00:00"/>
    <s v="PAID"/>
    <x v="23"/>
    <n v="38850"/>
    <n v="1"/>
    <s v="Indonesia"/>
    <s v="MJE - ATL"/>
    <x v="0"/>
  </r>
  <r>
    <s v="CLICTRUCK-044601"/>
    <s v="domestic"/>
    <x v="122"/>
    <x v="21"/>
    <n v="2856000"/>
    <n v="13875"/>
    <d v="2023-03-04T00:00:00"/>
    <s v="PAID"/>
    <x v="23"/>
    <n v="79254"/>
    <n v="1"/>
    <s v="Indonesia"/>
    <s v="MJE - ATL"/>
    <x v="0"/>
  </r>
  <r>
    <s v="CLICTRUCK-044602"/>
    <s v="domestic"/>
    <x v="122"/>
    <x v="21"/>
    <n v="1400000"/>
    <n v="13875"/>
    <d v="2023-03-04T00:00:00"/>
    <s v="PAID"/>
    <x v="23"/>
    <n v="38850"/>
    <n v="1"/>
    <s v="Indonesia"/>
    <s v="MJE - ATL"/>
    <x v="0"/>
  </r>
  <r>
    <s v="CLICTRUCK-044603"/>
    <s v="domestic"/>
    <x v="122"/>
    <x v="21"/>
    <n v="2856000"/>
    <n v="13875"/>
    <d v="2023-03-04T00:00:00"/>
    <s v="PAID"/>
    <x v="23"/>
    <n v="79254"/>
    <n v="1"/>
    <s v="Indonesia"/>
    <s v="MJE - ATL"/>
    <x v="0"/>
  </r>
  <r>
    <s v="CLICTRUCK-044604"/>
    <s v="domestic"/>
    <x v="122"/>
    <x v="21"/>
    <n v="1400000"/>
    <n v="13875"/>
    <d v="2023-03-04T00:00:00"/>
    <s v="PAID"/>
    <x v="23"/>
    <n v="38850"/>
    <n v="1"/>
    <s v="Indonesia"/>
    <s v="MJE - ATL"/>
    <x v="0"/>
  </r>
  <r>
    <s v="CLICTRUCK-044605"/>
    <s v="domestic"/>
    <x v="50"/>
    <x v="10"/>
    <n v="15852480"/>
    <n v="22200"/>
    <d v="2023-03-05T00:00:00"/>
    <s v="PAID"/>
    <x v="10"/>
    <n v="703849"/>
    <n v="1"/>
    <s v="Indonesia"/>
    <s v="ZLog-ZENSHIN"/>
    <x v="0"/>
  </r>
  <r>
    <s v="CLICTRUCK-044606"/>
    <s v="domestic"/>
    <x v="50"/>
    <x v="21"/>
    <n v="2545500"/>
    <n v="13875"/>
    <d v="2023-03-23T00:00:00"/>
    <s v="PAID"/>
    <x v="23"/>
    <n v="70637"/>
    <n v="1"/>
    <s v="Indonesia"/>
    <s v="MJE - ATL"/>
    <x v="0"/>
  </r>
  <r>
    <s v="CLICTRUCK-044613"/>
    <s v="domestic"/>
    <x v="50"/>
    <x v="23"/>
    <n v="9000000"/>
    <n v="27750"/>
    <d v="2023-03-06T00:00:00"/>
    <s v="PAID"/>
    <x v="25"/>
    <n v="349650"/>
    <n v="1"/>
    <s v="Indonesia"/>
    <s v="HDL - DUG"/>
    <x v="0"/>
  </r>
  <r>
    <s v="CLICTRUCK-044621"/>
    <s v="domestic"/>
    <x v="51"/>
    <x v="23"/>
    <n v="11500000"/>
    <n v="27750"/>
    <d v="2023-03-06T00:00:00"/>
    <s v="PAID"/>
    <x v="25"/>
    <n v="446775"/>
    <n v="1"/>
    <s v="Indonesia"/>
    <s v="HDL - DUG"/>
    <x v="0"/>
  </r>
  <r>
    <s v="CLICTRUCK-044624"/>
    <s v="domestic"/>
    <x v="51"/>
    <x v="9"/>
    <n v="294490"/>
    <n v="24975"/>
    <d v="2023-03-16T00:00:00"/>
    <s v="PAID"/>
    <x v="9"/>
    <n v="9805"/>
    <n v="1"/>
    <s v="Indonesia"/>
    <s v="YSN-SSA"/>
    <x v="0"/>
  </r>
  <r>
    <s v="CLICTRUCK-044625"/>
    <s v="domestic"/>
    <x v="51"/>
    <x v="9"/>
    <n v="340060"/>
    <n v="24975"/>
    <d v="2023-03-16T00:00:00"/>
    <s v="PAID"/>
    <x v="9"/>
    <n v="11323"/>
    <n v="1"/>
    <s v="Indonesia"/>
    <s v="YSN-SSA"/>
    <x v="0"/>
  </r>
  <r>
    <s v="CLICTRUCK-044626"/>
    <s v="domestic"/>
    <x v="51"/>
    <x v="23"/>
    <n v="23700000"/>
    <n v="27750"/>
    <d v="2023-03-07T00:00:00"/>
    <s v="PAID"/>
    <x v="25"/>
    <n v="920745"/>
    <n v="1"/>
    <s v="Indonesia"/>
    <s v="HDL - DUG"/>
    <x v="0"/>
  </r>
  <r>
    <s v="CLICTRUCK-044627"/>
    <s v="domestic"/>
    <x v="51"/>
    <x v="21"/>
    <n v="4097000"/>
    <n v="13875"/>
    <d v="2023-03-23T00:00:00"/>
    <s v="PAID"/>
    <x v="23"/>
    <n v="113691"/>
    <n v="1"/>
    <s v="Indonesia"/>
    <s v="MJE - ATL"/>
    <x v="0"/>
  </r>
  <r>
    <s v="CLICTRUCK-044628"/>
    <s v="domestic"/>
    <x v="51"/>
    <x v="9"/>
    <n v="294000"/>
    <n v="24975"/>
    <d v="2023-03-16T00:00:00"/>
    <s v="PAID"/>
    <x v="9"/>
    <n v="9790"/>
    <n v="1"/>
    <s v="Indonesia"/>
    <s v="YSN-SSA"/>
    <x v="0"/>
  </r>
  <r>
    <s v="CLICTRUCK-044629"/>
    <s v="domestic"/>
    <x v="51"/>
    <x v="21"/>
    <n v="4097000"/>
    <n v="13875"/>
    <d v="2023-03-23T00:00:00"/>
    <s v="PAID"/>
    <x v="23"/>
    <n v="113691"/>
    <n v="1"/>
    <s v="Indonesia"/>
    <s v="MJE - ATL"/>
    <x v="0"/>
  </r>
  <r>
    <s v="CLICTRUCK-044630"/>
    <s v="domestic"/>
    <x v="51"/>
    <x v="9"/>
    <n v="340060"/>
    <n v="24975"/>
    <d v="2023-03-16T00:00:00"/>
    <s v="PAID"/>
    <x v="9"/>
    <n v="11323"/>
    <n v="1"/>
    <s v="Indonesia"/>
    <s v="YSN-SSA"/>
    <x v="0"/>
  </r>
  <r>
    <s v="CLICTRUCK-044631"/>
    <s v="domestic"/>
    <x v="51"/>
    <x v="21"/>
    <n v="2750000"/>
    <n v="13875"/>
    <d v="2023-03-23T00:00:00"/>
    <s v="PAID"/>
    <x v="23"/>
    <n v="76312"/>
    <n v="1"/>
    <s v="Indonesia"/>
    <s v="MJE - ATL"/>
    <x v="0"/>
  </r>
  <r>
    <s v="CLICTRUCK-044632"/>
    <s v="domestic"/>
    <x v="51"/>
    <x v="21"/>
    <n v="4097000"/>
    <n v="13875"/>
    <d v="2023-03-23T00:00:00"/>
    <s v="PAID"/>
    <x v="23"/>
    <n v="113691"/>
    <n v="1"/>
    <s v="Indonesia"/>
    <s v="MJE - ATL"/>
    <x v="0"/>
  </r>
  <r>
    <s v="CLICTRUCK-044633"/>
    <s v="domestic"/>
    <x v="51"/>
    <x v="21"/>
    <n v="2750000"/>
    <n v="13875"/>
    <d v="2023-03-23T00:00:00"/>
    <s v="PAID"/>
    <x v="23"/>
    <n v="76312"/>
    <n v="1"/>
    <s v="Indonesia"/>
    <s v="MJE - ATL"/>
    <x v="0"/>
  </r>
  <r>
    <s v="CLICTRUCK-044634"/>
    <s v="domestic"/>
    <x v="51"/>
    <x v="21"/>
    <n v="4097000"/>
    <n v="13875"/>
    <d v="2023-03-23T00:00:00"/>
    <s v="PAID"/>
    <x v="23"/>
    <n v="113691"/>
    <n v="1"/>
    <s v="Indonesia"/>
    <s v="MJE - ATL"/>
    <x v="0"/>
  </r>
  <r>
    <s v="CLICTRUCK-044635"/>
    <s v="domestic"/>
    <x v="51"/>
    <x v="21"/>
    <n v="2750000"/>
    <n v="13875"/>
    <d v="2023-03-23T00:00:00"/>
    <s v="PAID"/>
    <x v="23"/>
    <n v="76312"/>
    <n v="1"/>
    <s v="Indonesia"/>
    <s v="MJE - ATL"/>
    <x v="0"/>
  </r>
  <r>
    <s v="CLICTRUCK-044636"/>
    <s v="domestic"/>
    <x v="51"/>
    <x v="21"/>
    <n v="1331000"/>
    <n v="13875"/>
    <d v="2023-03-08T00:00:00"/>
    <s v="PAID"/>
    <x v="23"/>
    <n v="36935"/>
    <n v="1"/>
    <s v="Indonesia"/>
    <s v="MJE - ATL"/>
    <x v="0"/>
  </r>
  <r>
    <s v="CLICTRUCK-044638"/>
    <s v="domestic"/>
    <x v="52"/>
    <x v="9"/>
    <n v="245490"/>
    <n v="24975"/>
    <d v="2023-03-16T00:00:00"/>
    <s v="PAID"/>
    <x v="9"/>
    <n v="8174"/>
    <n v="1"/>
    <s v="Indonesia"/>
    <s v="YSN-SSA"/>
    <x v="0"/>
  </r>
  <r>
    <s v="CLICTRUCK-044639"/>
    <s v="domestic"/>
    <x v="52"/>
    <x v="9"/>
    <n v="274890"/>
    <n v="24975"/>
    <d v="2023-03-16T00:00:00"/>
    <s v="PAID"/>
    <x v="9"/>
    <n v="9153"/>
    <n v="1"/>
    <s v="Indonesia"/>
    <s v="YSN-SSA"/>
    <x v="0"/>
  </r>
  <r>
    <s v="CLICTRUCK-044641"/>
    <s v="domestic"/>
    <x v="52"/>
    <x v="21"/>
    <n v="2545500"/>
    <n v="13875"/>
    <d v="2023-03-23T00:00:00"/>
    <s v="PAID"/>
    <x v="23"/>
    <n v="70637"/>
    <n v="1"/>
    <s v="Indonesia"/>
    <s v="MJE - ATL"/>
    <x v="0"/>
  </r>
  <r>
    <s v="CLICTRUCK-044643"/>
    <s v="domestic"/>
    <x v="52"/>
    <x v="21"/>
    <n v="4097000"/>
    <n v="13875"/>
    <d v="2023-03-23T00:00:00"/>
    <s v="PAID"/>
    <x v="23"/>
    <n v="113691"/>
    <n v="1"/>
    <s v="Indonesia"/>
    <s v="MJE - ATL"/>
    <x v="0"/>
  </r>
  <r>
    <s v="CLICTRUCK-044644"/>
    <s v="domestic"/>
    <x v="52"/>
    <x v="21"/>
    <n v="4097000"/>
    <n v="13875"/>
    <d v="2023-03-23T00:00:00"/>
    <s v="PAID"/>
    <x v="23"/>
    <n v="113691"/>
    <n v="1"/>
    <s v="Indonesia"/>
    <s v="MJE - ATL"/>
    <x v="0"/>
  </r>
  <r>
    <s v="CLICTRUCK-044645"/>
    <s v="domestic"/>
    <x v="52"/>
    <x v="21"/>
    <n v="2545500"/>
    <n v="13875"/>
    <d v="2023-03-08T00:00:00"/>
    <s v="PAID"/>
    <x v="23"/>
    <n v="70637"/>
    <n v="1"/>
    <s v="Indonesia"/>
    <s v="MJE - ATL"/>
    <x v="0"/>
  </r>
  <r>
    <s v="CLICTRUCK-044646"/>
    <s v="domestic"/>
    <x v="52"/>
    <x v="21"/>
    <n v="2598500"/>
    <n v="13875"/>
    <d v="2023-03-08T00:00:00"/>
    <s v="PAID"/>
    <x v="23"/>
    <n v="72107"/>
    <n v="1"/>
    <s v="Indonesia"/>
    <s v="MJE - ATL"/>
    <x v="0"/>
  </r>
  <r>
    <s v="CLICTRUCK-044647"/>
    <s v="domestic"/>
    <x v="52"/>
    <x v="10"/>
    <n v="2596248"/>
    <n v="22200"/>
    <d v="2023-03-10T00:00:00"/>
    <s v="PAID"/>
    <x v="10"/>
    <n v="115272"/>
    <n v="1"/>
    <s v="Indonesia"/>
    <s v="ZLog-ZENSHIN"/>
    <x v="0"/>
  </r>
  <r>
    <s v="CLICTRUCK-044648"/>
    <s v="domestic"/>
    <x v="52"/>
    <x v="10"/>
    <n v="4133928"/>
    <n v="22200"/>
    <d v="2023-03-10T00:00:00"/>
    <s v="PAID"/>
    <x v="10"/>
    <n v="183546"/>
    <n v="1"/>
    <s v="Indonesia"/>
    <s v="ZLog-ZENSHIN"/>
    <x v="0"/>
  </r>
  <r>
    <s v="CLICTRUCK-044649"/>
    <s v="domestic"/>
    <x v="52"/>
    <x v="9"/>
    <n v="458150"/>
    <n v="24975"/>
    <d v="2023-03-16T00:00:00"/>
    <s v="PAID"/>
    <x v="9"/>
    <n v="15255"/>
    <n v="1"/>
    <s v="Indonesia"/>
    <s v="YSN-SSA"/>
    <x v="0"/>
  </r>
  <r>
    <s v="CLICTRUCK-044650"/>
    <s v="domestic"/>
    <x v="52"/>
    <x v="21"/>
    <n v="2545500"/>
    <n v="13875"/>
    <d v="2023-03-08T00:00:00"/>
    <s v="PAID"/>
    <x v="23"/>
    <n v="70637"/>
    <n v="1"/>
    <s v="Indonesia"/>
    <s v="MJE - ATL"/>
    <x v="0"/>
  </r>
  <r>
    <s v="CLICTRUCK-044660"/>
    <s v="domestic"/>
    <x v="53"/>
    <x v="12"/>
    <n v="13500000"/>
    <n v="27750"/>
    <d v="2023-03-08T00:00:00"/>
    <s v="PAID"/>
    <x v="13"/>
    <n v="374625"/>
    <n v="1"/>
    <s v="Indonesia"/>
    <s v="RPL - NBM"/>
    <x v="0"/>
  </r>
  <r>
    <s v="CLICTRUCK-044661"/>
    <s v="domestic"/>
    <x v="53"/>
    <x v="12"/>
    <n v="13500000"/>
    <n v="27750"/>
    <d v="2023-03-08T00:00:00"/>
    <s v="PAID"/>
    <x v="13"/>
    <n v="374625"/>
    <n v="1"/>
    <s v="Indonesia"/>
    <s v="RPL - NBM"/>
    <x v="0"/>
  </r>
  <r>
    <s v="CLICTRUCK-044662"/>
    <s v="domestic"/>
    <x v="53"/>
    <x v="12"/>
    <n v="10500000"/>
    <n v="27750"/>
    <d v="2023-03-08T00:00:00"/>
    <s v="PAID"/>
    <x v="13"/>
    <n v="291375"/>
    <n v="1"/>
    <s v="Indonesia"/>
    <s v="RPL - NBM"/>
    <x v="0"/>
  </r>
  <r>
    <s v="CLICTRUCK-044663"/>
    <s v="domestic"/>
    <x v="53"/>
    <x v="12"/>
    <n v="13500000"/>
    <n v="27750"/>
    <d v="2023-03-08T00:00:00"/>
    <s v="PAID"/>
    <x v="13"/>
    <n v="374625"/>
    <n v="1"/>
    <s v="Indonesia"/>
    <s v="RPL - NBM"/>
    <x v="0"/>
  </r>
  <r>
    <s v="CLICTRUCK-044664"/>
    <s v="domestic"/>
    <x v="53"/>
    <x v="12"/>
    <n v="13500000"/>
    <n v="27750"/>
    <d v="2023-03-08T00:00:00"/>
    <s v="PAID"/>
    <x v="13"/>
    <n v="374625"/>
    <n v="1"/>
    <s v="Indonesia"/>
    <s v="RPL - NBM"/>
    <x v="0"/>
  </r>
  <r>
    <s v="CLICTRUCK-044666"/>
    <s v="domestic"/>
    <x v="53"/>
    <x v="23"/>
    <n v="3500000"/>
    <n v="25000"/>
    <m/>
    <s v="NEW"/>
    <x v="25"/>
    <n v="0"/>
    <n v="1"/>
    <s v="Indonesia"/>
    <s v="HDL - DUG"/>
    <x v="1"/>
  </r>
  <r>
    <s v="CLICTRUCK-044667"/>
    <s v="domestic"/>
    <x v="53"/>
    <x v="23"/>
    <n v="1000000"/>
    <n v="25000"/>
    <m/>
    <s v="NEW"/>
    <x v="25"/>
    <n v="0"/>
    <n v="1"/>
    <s v="Indonesia"/>
    <s v="HDL - DUG"/>
    <x v="1"/>
  </r>
  <r>
    <s v="CLICTRUCK-044668"/>
    <s v="domestic"/>
    <x v="53"/>
    <x v="9"/>
    <n v="340060"/>
    <n v="24975"/>
    <d v="2023-03-16T00:00:00"/>
    <s v="PAID"/>
    <x v="9"/>
    <n v="11323"/>
    <n v="1"/>
    <s v="Indonesia"/>
    <s v="YSN-SSA"/>
    <x v="0"/>
  </r>
  <r>
    <s v="CLICTRUCK-044691"/>
    <s v="domestic"/>
    <x v="123"/>
    <x v="19"/>
    <n v="1"/>
    <n v="27750"/>
    <d v="2023-03-27T00:00:00"/>
    <s v="PAID"/>
    <x v="21"/>
    <n v="0"/>
    <n v="1"/>
    <s v="Indonesia"/>
    <s v="MMA - TAL"/>
    <x v="0"/>
  </r>
  <r>
    <s v="CLICTRUCK-044692"/>
    <s v="domestic"/>
    <x v="123"/>
    <x v="9"/>
    <n v="268030"/>
    <n v="24975"/>
    <d v="2023-03-16T00:00:00"/>
    <s v="PAID"/>
    <x v="9"/>
    <n v="8924"/>
    <n v="1"/>
    <s v="Indonesia"/>
    <s v="YSN-SSA"/>
    <x v="0"/>
  </r>
  <r>
    <s v="CLICTRUCK-044693"/>
    <s v="domestic"/>
    <x v="123"/>
    <x v="20"/>
    <n v="5916000"/>
    <n v="27750"/>
    <d v="2023-03-10T00:00:00"/>
    <s v="UNPAID"/>
    <x v="22"/>
    <n v="229836"/>
    <n v="1"/>
    <s v="Indonesia"/>
    <s v="AJT - ME"/>
    <x v="0"/>
  </r>
  <r>
    <s v="CLICTRUCK-044694"/>
    <s v="domestic"/>
    <x v="123"/>
    <x v="20"/>
    <n v="1989000"/>
    <n v="27750"/>
    <d v="2023-03-10T00:00:00"/>
    <s v="UNPAID"/>
    <x v="22"/>
    <n v="77272"/>
    <n v="1"/>
    <s v="Indonesia"/>
    <s v="AJT - ME"/>
    <x v="0"/>
  </r>
  <r>
    <s v="CLICTRUCK-044695"/>
    <s v="domestic"/>
    <x v="123"/>
    <x v="20"/>
    <n v="3100500"/>
    <n v="27750"/>
    <d v="2023-03-10T00:00:00"/>
    <s v="UNPAID"/>
    <x v="22"/>
    <n v="120453"/>
    <n v="1"/>
    <s v="Indonesia"/>
    <s v="AJT - ME"/>
    <x v="0"/>
  </r>
  <r>
    <s v="CLICTRUCK-044696"/>
    <s v="domestic"/>
    <x v="123"/>
    <x v="20"/>
    <n v="2339000"/>
    <n v="27750"/>
    <d v="2023-03-10T00:00:00"/>
    <s v="UNPAID"/>
    <x v="22"/>
    <n v="90870"/>
    <n v="1"/>
    <s v="Indonesia"/>
    <s v="AJT - ME"/>
    <x v="0"/>
  </r>
  <r>
    <s v="CLICTRUCK-044697"/>
    <s v="domestic"/>
    <x v="123"/>
    <x v="20"/>
    <n v="5916000"/>
    <n v="27750"/>
    <d v="2023-03-10T00:00:00"/>
    <s v="UNPAID"/>
    <x v="22"/>
    <n v="229836"/>
    <n v="1"/>
    <s v="Indonesia"/>
    <s v="AJT - ME"/>
    <x v="0"/>
  </r>
  <r>
    <s v="CLICTRUCK-044698"/>
    <s v="domestic"/>
    <x v="123"/>
    <x v="20"/>
    <n v="3158000"/>
    <n v="27750"/>
    <d v="2023-03-10T00:00:00"/>
    <s v="UNPAID"/>
    <x v="22"/>
    <n v="122688"/>
    <n v="1"/>
    <s v="Indonesia"/>
    <s v="AJT - ME"/>
    <x v="0"/>
  </r>
  <r>
    <s v="CLICTRUCK-044699"/>
    <s v="domestic"/>
    <x v="123"/>
    <x v="9"/>
    <n v="340060"/>
    <n v="24975"/>
    <d v="2023-03-16T00:00:00"/>
    <s v="PAID"/>
    <x v="9"/>
    <n v="11323"/>
    <n v="1"/>
    <s v="Indonesia"/>
    <s v="YSN-SSA"/>
    <x v="0"/>
  </r>
  <r>
    <s v="CLICTRUCK-044700"/>
    <s v="domestic"/>
    <x v="123"/>
    <x v="20"/>
    <n v="3100500"/>
    <n v="27750"/>
    <d v="2023-03-10T00:00:00"/>
    <s v="UNPAID"/>
    <x v="22"/>
    <n v="120453"/>
    <n v="1"/>
    <s v="Indonesia"/>
    <s v="AJT - ME"/>
    <x v="0"/>
  </r>
  <r>
    <s v="CLICTRUCK-044701"/>
    <s v="domestic"/>
    <x v="123"/>
    <x v="9"/>
    <n v="340060"/>
    <n v="24975"/>
    <d v="2023-03-16T00:00:00"/>
    <s v="PAID"/>
    <x v="9"/>
    <n v="11323"/>
    <n v="1"/>
    <s v="Indonesia"/>
    <s v="YSN-SSA"/>
    <x v="0"/>
  </r>
  <r>
    <s v="CLICTRUCK-044703"/>
    <s v="domestic"/>
    <x v="123"/>
    <x v="20"/>
    <n v="6173000"/>
    <n v="27750"/>
    <d v="2023-03-10T00:00:00"/>
    <s v="UNPAID"/>
    <x v="22"/>
    <n v="239821"/>
    <n v="1"/>
    <s v="Indonesia"/>
    <s v="AJT - ME"/>
    <x v="0"/>
  </r>
  <r>
    <s v="CLICTRUCK-044704"/>
    <s v="domestic"/>
    <x v="123"/>
    <x v="20"/>
    <n v="2808000"/>
    <n v="27750"/>
    <d v="2023-03-10T00:00:00"/>
    <s v="PAID"/>
    <x v="22"/>
    <n v="109090"/>
    <n v="1"/>
    <s v="Indonesia"/>
    <s v="AJT - ME"/>
    <x v="0"/>
  </r>
  <r>
    <s v="CLICTRUCK-044705"/>
    <s v="domestic"/>
    <x v="123"/>
    <x v="9"/>
    <n v="340060"/>
    <n v="24975"/>
    <d v="2023-03-16T00:00:00"/>
    <s v="PAID"/>
    <x v="9"/>
    <n v="11323"/>
    <n v="1"/>
    <s v="Indonesia"/>
    <s v="YSN-SSA"/>
    <x v="0"/>
  </r>
  <r>
    <s v="CLICTRUCK-044706"/>
    <s v="domestic"/>
    <x v="123"/>
    <x v="20"/>
    <n v="2808000"/>
    <n v="27750"/>
    <d v="2023-03-10T00:00:00"/>
    <s v="PAID"/>
    <x v="22"/>
    <n v="109090"/>
    <n v="1"/>
    <s v="Indonesia"/>
    <s v="AJT - ME"/>
    <x v="0"/>
  </r>
  <r>
    <s v="CLICTRUCK-044707"/>
    <s v="domestic"/>
    <x v="123"/>
    <x v="20"/>
    <n v="1872000"/>
    <n v="27750"/>
    <d v="2023-03-10T00:00:00"/>
    <s v="PAID"/>
    <x v="22"/>
    <n v="72727"/>
    <n v="1"/>
    <s v="Indonesia"/>
    <s v="AJT - ME"/>
    <x v="0"/>
  </r>
  <r>
    <s v="CLICTRUCK-044708"/>
    <s v="domestic"/>
    <x v="123"/>
    <x v="20"/>
    <n v="3451500"/>
    <n v="27750"/>
    <d v="2023-03-10T00:00:00"/>
    <s v="PAID"/>
    <x v="22"/>
    <n v="134090"/>
    <n v="1"/>
    <s v="Indonesia"/>
    <s v="AJT - ME"/>
    <x v="0"/>
  </r>
  <r>
    <s v="CLICTRUCK-044709"/>
    <s v="domestic"/>
    <x v="123"/>
    <x v="20"/>
    <n v="2808000"/>
    <n v="27750"/>
    <d v="2023-03-10T00:00:00"/>
    <s v="PAID"/>
    <x v="22"/>
    <n v="109090"/>
    <n v="1"/>
    <s v="Indonesia"/>
    <s v="AJT - ME"/>
    <x v="0"/>
  </r>
  <r>
    <s v="CLICTRUCK-044710"/>
    <s v="domestic"/>
    <x v="123"/>
    <x v="20"/>
    <n v="2863500"/>
    <n v="27750"/>
    <d v="2023-03-10T00:00:00"/>
    <s v="PAID"/>
    <x v="22"/>
    <n v="111246"/>
    <n v="1"/>
    <s v="Indonesia"/>
    <s v="AJT - ME"/>
    <x v="0"/>
  </r>
  <r>
    <s v="CLICTRUCK-044713"/>
    <s v="domestic"/>
    <x v="123"/>
    <x v="20"/>
    <n v="3451500"/>
    <n v="27750"/>
    <d v="2023-03-10T00:00:00"/>
    <s v="PAID"/>
    <x v="22"/>
    <n v="134090"/>
    <n v="1"/>
    <s v="Indonesia"/>
    <s v="AJT - ME"/>
    <x v="0"/>
  </r>
  <r>
    <s v="CLICTRUCK-044714"/>
    <s v="domestic"/>
    <x v="123"/>
    <x v="9"/>
    <n v="686000"/>
    <n v="24975"/>
    <d v="2023-03-16T00:00:00"/>
    <s v="PAID"/>
    <x v="9"/>
    <n v="22843"/>
    <n v="1"/>
    <s v="Indonesia"/>
    <s v="YSN-SSA"/>
    <x v="0"/>
  </r>
  <r>
    <s v="CLICTRUCK-044716"/>
    <s v="domestic"/>
    <x v="123"/>
    <x v="20"/>
    <n v="1636250"/>
    <n v="27750"/>
    <d v="2023-03-10T00:00:00"/>
    <s v="PAID"/>
    <x v="22"/>
    <n v="63567"/>
    <n v="1"/>
    <s v="Indonesia"/>
    <s v="AJT - ME"/>
    <x v="0"/>
  </r>
  <r>
    <s v="CLICTRUCK-044717"/>
    <s v="domestic"/>
    <x v="123"/>
    <x v="9"/>
    <n v="245490"/>
    <n v="24975"/>
    <d v="2023-03-16T00:00:00"/>
    <s v="PAID"/>
    <x v="9"/>
    <n v="8174"/>
    <n v="1"/>
    <s v="Indonesia"/>
    <s v="YSN-SSA"/>
    <x v="0"/>
  </r>
  <r>
    <s v="CLICTRUCK-044718"/>
    <s v="domestic"/>
    <x v="123"/>
    <x v="20"/>
    <n v="2808000"/>
    <n v="27750"/>
    <d v="2023-03-10T00:00:00"/>
    <s v="PAID"/>
    <x v="22"/>
    <n v="109090"/>
    <n v="1"/>
    <s v="Indonesia"/>
    <s v="AJT - ME"/>
    <x v="0"/>
  </r>
  <r>
    <s v="CLICTRUCK-044719"/>
    <s v="domestic"/>
    <x v="123"/>
    <x v="20"/>
    <n v="2808000"/>
    <n v="27750"/>
    <d v="2023-03-10T00:00:00"/>
    <s v="PAID"/>
    <x v="22"/>
    <n v="109090"/>
    <n v="1"/>
    <s v="Indonesia"/>
    <s v="AJT - ME"/>
    <x v="0"/>
  </r>
  <r>
    <s v="CLICTRUCK-044720"/>
    <s v="domestic"/>
    <x v="123"/>
    <x v="20"/>
    <n v="2808000"/>
    <n v="27750"/>
    <d v="2023-03-10T00:00:00"/>
    <s v="PAID"/>
    <x v="22"/>
    <n v="109090"/>
    <n v="1"/>
    <s v="Indonesia"/>
    <s v="AJT - ME"/>
    <x v="0"/>
  </r>
  <r>
    <s v="CLICTRUCK-044721"/>
    <s v="domestic"/>
    <x v="123"/>
    <x v="20"/>
    <n v="2808000"/>
    <n v="27750"/>
    <d v="2023-03-10T00:00:00"/>
    <s v="PAID"/>
    <x v="22"/>
    <n v="109090"/>
    <n v="1"/>
    <s v="Indonesia"/>
    <s v="AJT - ME"/>
    <x v="0"/>
  </r>
  <r>
    <s v="CLICTRUCK-044722"/>
    <s v="domestic"/>
    <x v="123"/>
    <x v="9"/>
    <n v="304290"/>
    <n v="49950"/>
    <d v="2023-03-16T00:00:00"/>
    <s v="PAID"/>
    <x v="9"/>
    <n v="10132"/>
    <n v="2"/>
    <s v="Indonesia"/>
    <s v="YSN-SSA"/>
    <x v="0"/>
  </r>
  <r>
    <s v="CLICTRUCK-044723"/>
    <s v="domestic"/>
    <x v="123"/>
    <x v="9"/>
    <n v="6423900"/>
    <n v="24975"/>
    <d v="2023-03-21T00:00:00"/>
    <s v="PAID"/>
    <x v="8"/>
    <n v="213915"/>
    <n v="1"/>
    <s v="Indonesia"/>
    <s v="YSN-FPM"/>
    <x v="0"/>
  </r>
  <r>
    <s v="CLICTRUCK-044730"/>
    <s v="domestic"/>
    <x v="54"/>
    <x v="16"/>
    <n v="4580000"/>
    <n v="127095"/>
    <d v="2023-03-10T00:00:00"/>
    <s v="UNPAID"/>
    <x v="17"/>
    <n v="27750"/>
    <n v="1"/>
    <s v="Indonesia"/>
    <s v="JMA - RKB"/>
    <x v="0"/>
  </r>
  <r>
    <s v="CLICTRUCK-044731"/>
    <s v="domestic"/>
    <x v="54"/>
    <x v="9"/>
    <n v="274890"/>
    <n v="24975"/>
    <d v="2023-03-16T00:00:00"/>
    <s v="PAID"/>
    <x v="9"/>
    <n v="9153"/>
    <n v="1"/>
    <s v="Indonesia"/>
    <s v="YSN-SSA"/>
    <x v="0"/>
  </r>
  <r>
    <s v="CLICTRUCK-044732"/>
    <s v="domestic"/>
    <x v="54"/>
    <x v="9"/>
    <n v="294000"/>
    <n v="24975"/>
    <d v="2023-03-16T00:00:00"/>
    <s v="PAID"/>
    <x v="9"/>
    <n v="9790"/>
    <n v="1"/>
    <s v="Indonesia"/>
    <s v="YSN-SSA"/>
    <x v="0"/>
  </r>
  <r>
    <s v="CLICTRUCK-044733"/>
    <s v="domestic"/>
    <x v="54"/>
    <x v="9"/>
    <n v="294490"/>
    <n v="24975"/>
    <d v="2023-03-16T00:00:00"/>
    <s v="PAID"/>
    <x v="9"/>
    <n v="9805"/>
    <n v="1"/>
    <s v="Indonesia"/>
    <s v="YSN-SSA"/>
    <x v="0"/>
  </r>
  <r>
    <s v="CLICTRUCK-044734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35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36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37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38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39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40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41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42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43"/>
    <s v="domestic"/>
    <x v="54"/>
    <x v="18"/>
    <n v="10500000"/>
    <n v="11100"/>
    <d v="2023-03-11T00:00:00"/>
    <s v="UNPAID"/>
    <x v="20"/>
    <n v="291375"/>
    <n v="1"/>
    <s v="Indonesia"/>
    <s v="CSN - PSL"/>
    <x v="0"/>
  </r>
  <r>
    <s v="CLICTRUCK-044744"/>
    <s v="domestic"/>
    <x v="54"/>
    <x v="16"/>
    <n v="3940000"/>
    <n v="109335"/>
    <d v="2023-03-10T00:00:00"/>
    <s v="UNPAID"/>
    <x v="17"/>
    <n v="27750"/>
    <n v="1"/>
    <s v="Indonesia"/>
    <s v="JMA - RKB"/>
    <x v="0"/>
  </r>
  <r>
    <s v="CLICTRUCK-044745"/>
    <s v="domestic"/>
    <x v="54"/>
    <x v="16"/>
    <n v="6540000"/>
    <n v="181485"/>
    <d v="2023-03-10T00:00:00"/>
    <s v="UNPAID"/>
    <x v="17"/>
    <n v="27750"/>
    <n v="1"/>
    <s v="Indonesia"/>
    <s v="JMA - RKB"/>
    <x v="0"/>
  </r>
  <r>
    <s v="CLICTRUCK-044751"/>
    <s v="domestic"/>
    <x v="55"/>
    <x v="10"/>
    <n v="2170617"/>
    <n v="22200"/>
    <d v="2023-03-12T00:00:00"/>
    <s v="PAID"/>
    <x v="10"/>
    <n v="96374"/>
    <n v="1"/>
    <s v="Indonesia"/>
    <s v="ZLog-ZENSHIN"/>
    <x v="0"/>
  </r>
  <r>
    <s v="CLICTRUCK-044752"/>
    <s v="domestic"/>
    <x v="55"/>
    <x v="10"/>
    <n v="2523456"/>
    <n v="22200"/>
    <d v="2023-03-12T00:00:00"/>
    <s v="PAID"/>
    <x v="10"/>
    <n v="112041"/>
    <n v="1"/>
    <s v="Indonesia"/>
    <s v="ZLog-ZENSHIN"/>
    <x v="0"/>
  </r>
  <r>
    <s v="CLICTRUCK-044753"/>
    <s v="domestic"/>
    <x v="55"/>
    <x v="10"/>
    <n v="2497372"/>
    <n v="22200"/>
    <d v="2023-03-12T00:00:00"/>
    <s v="PAID"/>
    <x v="10"/>
    <n v="110882"/>
    <n v="1"/>
    <s v="Indonesia"/>
    <s v="ZLog-ZENSHIN"/>
    <x v="0"/>
  </r>
  <r>
    <s v="CLICTRUCK-044754"/>
    <s v="domestic"/>
    <x v="55"/>
    <x v="10"/>
    <n v="2110968"/>
    <n v="22200"/>
    <d v="2023-03-12T00:00:00"/>
    <s v="PAID"/>
    <x v="10"/>
    <n v="93726"/>
    <n v="1"/>
    <s v="Indonesia"/>
    <s v="ZLog-ZENSHIN"/>
    <x v="0"/>
  </r>
  <r>
    <s v="CLICTRUCK-044755"/>
    <s v="domestic"/>
    <x v="55"/>
    <x v="10"/>
    <n v="1139397"/>
    <n v="22200"/>
    <d v="2023-03-19T00:00:00"/>
    <s v="PAID"/>
    <x v="10"/>
    <n v="50588"/>
    <n v="1"/>
    <s v="Indonesia"/>
    <s v="ZLog-ZENSHIN"/>
    <x v="0"/>
  </r>
  <r>
    <s v="CLICTRUCK-044756"/>
    <s v="domestic"/>
    <x v="55"/>
    <x v="10"/>
    <n v="4024589"/>
    <n v="22200"/>
    <d v="2023-03-19T00:00:00"/>
    <s v="PAID"/>
    <x v="10"/>
    <n v="178691"/>
    <n v="1"/>
    <s v="Indonesia"/>
    <s v="ZLog-ZENSHIN"/>
    <x v="0"/>
  </r>
  <r>
    <s v="CLICTRUCK-044757"/>
    <s v="domestic"/>
    <x v="55"/>
    <x v="10"/>
    <n v="3837756"/>
    <n v="22200"/>
    <d v="2023-03-19T00:00:00"/>
    <s v="PAID"/>
    <x v="10"/>
    <n v="170396"/>
    <n v="1"/>
    <s v="Indonesia"/>
    <s v="ZLog-ZENSHIN"/>
    <x v="0"/>
  </r>
  <r>
    <s v="CLICTRUCK-044758"/>
    <s v="domestic"/>
    <x v="55"/>
    <x v="10"/>
    <n v="1172760"/>
    <n v="22200"/>
    <d v="2023-03-19T00:00:00"/>
    <s v="PAID"/>
    <x v="10"/>
    <n v="52070"/>
    <n v="1"/>
    <s v="Indonesia"/>
    <s v="ZLog-ZENSHIN"/>
    <x v="0"/>
  </r>
  <r>
    <s v="CLICTRUCK-044759"/>
    <s v="domestic"/>
    <x v="55"/>
    <x v="10"/>
    <n v="1558692"/>
    <n v="22200"/>
    <d v="2023-03-19T00:00:00"/>
    <s v="PAID"/>
    <x v="10"/>
    <n v="69205"/>
    <n v="1"/>
    <s v="Indonesia"/>
    <s v="ZLog-ZENSHIN"/>
    <x v="0"/>
  </r>
  <r>
    <s v="CLICTRUCK-044761"/>
    <s v="domestic"/>
    <x v="56"/>
    <x v="10"/>
    <n v="11323200"/>
    <n v="22200"/>
    <d v="2023-03-12T00:00:00"/>
    <s v="PAID"/>
    <x v="10"/>
    <n v="502750"/>
    <n v="1"/>
    <s v="Indonesia"/>
    <s v="ZLog-ZENSHIN"/>
    <x v="0"/>
  </r>
  <r>
    <s v="CLICTRUCK-044762"/>
    <s v="domestic"/>
    <x v="56"/>
    <x v="9"/>
    <n v="340060"/>
    <n v="24975"/>
    <d v="2023-03-16T00:00:00"/>
    <s v="PAID"/>
    <x v="9"/>
    <n v="11323"/>
    <n v="1"/>
    <s v="Indonesia"/>
    <s v="YSN-SSA"/>
    <x v="0"/>
  </r>
  <r>
    <s v="CLICTRUCK-044769"/>
    <s v="domestic"/>
    <x v="56"/>
    <x v="9"/>
    <n v="6762000"/>
    <n v="24975"/>
    <d v="2023-03-24T00:00:00"/>
    <s v="PAID"/>
    <x v="8"/>
    <n v="225174"/>
    <n v="1"/>
    <s v="Indonesia"/>
    <s v="YSN-FPM"/>
    <x v="0"/>
  </r>
  <r>
    <s v="CLICTRUCK-044770"/>
    <s v="domestic"/>
    <x v="56"/>
    <x v="9"/>
    <n v="458150"/>
    <n v="24975"/>
    <d v="2023-03-21T00:00:00"/>
    <s v="PAID"/>
    <x v="9"/>
    <n v="15255"/>
    <n v="1"/>
    <s v="Indonesia"/>
    <s v="YSN-SSA"/>
    <x v="0"/>
  </r>
  <r>
    <s v="CLICTRUCK-044771"/>
    <s v="domestic"/>
    <x v="56"/>
    <x v="9"/>
    <n v="274890"/>
    <n v="24975"/>
    <d v="2023-03-21T00:00:00"/>
    <s v="PAID"/>
    <x v="9"/>
    <n v="9153"/>
    <n v="1"/>
    <s v="Indonesia"/>
    <s v="YSN-SSA"/>
    <x v="0"/>
  </r>
  <r>
    <s v="CLICTRUCK-044772"/>
    <s v="domestic"/>
    <x v="56"/>
    <x v="9"/>
    <n v="207000"/>
    <n v="22500"/>
    <m/>
    <s v="NEW"/>
    <x v="26"/>
    <n v="0"/>
    <n v="1"/>
    <s v="Indonesia"/>
    <s v="YSN-PPR"/>
    <x v="1"/>
  </r>
  <r>
    <s v="CLICTRUCK-044777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778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779"/>
    <s v="domestic"/>
    <x v="57"/>
    <x v="11"/>
    <n v="14488050"/>
    <n v="5550"/>
    <d v="2023-03-14T00:00:00"/>
    <s v="PAID"/>
    <x v="11"/>
    <n v="321634"/>
    <n v="1"/>
    <s v="Indonesia"/>
    <s v="TJL - JPP"/>
    <x v="0"/>
  </r>
  <r>
    <s v="CLICTRUCK-044780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781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782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783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784"/>
    <s v="domestic"/>
    <x v="57"/>
    <x v="11"/>
    <n v="10447530"/>
    <n v="5550"/>
    <d v="2023-03-14T00:00:00"/>
    <s v="PAID"/>
    <x v="11"/>
    <n v="231934"/>
    <n v="1"/>
    <s v="Indonesia"/>
    <s v="TJL - JPP"/>
    <x v="0"/>
  </r>
  <r>
    <s v="CLICTRUCK-044785"/>
    <s v="domestic"/>
    <x v="57"/>
    <x v="11"/>
    <n v="21083370"/>
    <n v="5550"/>
    <d v="2023-03-14T00:00:00"/>
    <s v="PAID"/>
    <x v="11"/>
    <n v="468050"/>
    <n v="1"/>
    <s v="Indonesia"/>
    <s v="TJL - JPP"/>
    <x v="0"/>
  </r>
  <r>
    <s v="CLICTRUCK-044786"/>
    <s v="domestic"/>
    <x v="57"/>
    <x v="11"/>
    <n v="9836110"/>
    <n v="5550"/>
    <d v="2023-03-14T00:00:00"/>
    <s v="PAID"/>
    <x v="11"/>
    <n v="218361"/>
    <n v="1"/>
    <s v="Indonesia"/>
    <s v="TJL - JPP"/>
    <x v="0"/>
  </r>
  <r>
    <s v="CLICTRUCK-044787"/>
    <s v="domestic"/>
    <x v="57"/>
    <x v="11"/>
    <n v="14210432"/>
    <n v="5550"/>
    <d v="2023-03-14T00:00:00"/>
    <s v="PAID"/>
    <x v="11"/>
    <n v="315470"/>
    <n v="1"/>
    <s v="Indonesia"/>
    <s v="TJL - JPP"/>
    <x v="0"/>
  </r>
  <r>
    <s v="CLICTRUCK-044788"/>
    <s v="domestic"/>
    <x v="57"/>
    <x v="11"/>
    <n v="13541825"/>
    <n v="5550"/>
    <d v="2023-03-14T00:00:00"/>
    <s v="PAID"/>
    <x v="11"/>
    <n v="300627"/>
    <n v="1"/>
    <s v="Indonesia"/>
    <s v="TJL - JPP"/>
    <x v="0"/>
  </r>
  <r>
    <s v="CLICTRUCK-044789"/>
    <s v="domestic"/>
    <x v="57"/>
    <x v="11"/>
    <n v="13541825"/>
    <n v="5550"/>
    <d v="2023-03-14T00:00:00"/>
    <s v="PAID"/>
    <x v="11"/>
    <n v="300627"/>
    <n v="1"/>
    <s v="Indonesia"/>
    <s v="TJL - JPP"/>
    <x v="0"/>
  </r>
  <r>
    <s v="CLICTRUCK-044790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791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792"/>
    <s v="domestic"/>
    <x v="57"/>
    <x v="11"/>
    <n v="13541825"/>
    <n v="5550"/>
    <d v="2023-03-14T00:00:00"/>
    <s v="PAID"/>
    <x v="11"/>
    <n v="300627"/>
    <n v="1"/>
    <s v="Indonesia"/>
    <s v="TJL - JPP"/>
    <x v="0"/>
  </r>
  <r>
    <s v="CLICTRUCK-044793"/>
    <s v="domestic"/>
    <x v="57"/>
    <x v="11"/>
    <n v="5293450"/>
    <n v="5550"/>
    <d v="2023-03-14T00:00:00"/>
    <s v="PAID"/>
    <x v="11"/>
    <n v="117514"/>
    <n v="1"/>
    <s v="Indonesia"/>
    <s v="TJL - JPP"/>
    <x v="0"/>
  </r>
  <r>
    <s v="CLICTRUCK-044794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795"/>
    <s v="domestic"/>
    <x v="57"/>
    <x v="11"/>
    <n v="6563700"/>
    <n v="5550"/>
    <d v="2023-03-14T00:00:00"/>
    <s v="PAID"/>
    <x v="11"/>
    <n v="145714"/>
    <n v="1"/>
    <s v="Indonesia"/>
    <s v="TJL - JPP"/>
    <x v="0"/>
  </r>
  <r>
    <s v="CLICTRUCK-044796"/>
    <s v="domestic"/>
    <x v="57"/>
    <x v="11"/>
    <n v="5589000"/>
    <n v="5550"/>
    <d v="2023-03-14T00:00:00"/>
    <s v="PAID"/>
    <x v="11"/>
    <n v="124075"/>
    <n v="1"/>
    <s v="Indonesia"/>
    <s v="TJL - JPP"/>
    <x v="0"/>
  </r>
  <r>
    <s v="CLICTRUCK-044797"/>
    <s v="domestic"/>
    <x v="57"/>
    <x v="11"/>
    <n v="5356125"/>
    <n v="5550"/>
    <d v="2023-03-14T00:00:00"/>
    <s v="PAID"/>
    <x v="11"/>
    <n v="118905"/>
    <n v="1"/>
    <s v="Indonesia"/>
    <s v="TJL - JPP"/>
    <x v="0"/>
  </r>
  <r>
    <s v="CLICTRUCK-044798"/>
    <s v="domestic"/>
    <x v="57"/>
    <x v="11"/>
    <n v="5794160"/>
    <n v="5550"/>
    <d v="2023-03-14T00:00:00"/>
    <s v="PAID"/>
    <x v="11"/>
    <n v="128630"/>
    <n v="1"/>
    <s v="Indonesia"/>
    <s v="TJL - JPP"/>
    <x v="0"/>
  </r>
  <r>
    <s v="CLICTRUCK-044799"/>
    <s v="domestic"/>
    <x v="57"/>
    <x v="11"/>
    <n v="5080410"/>
    <n v="5550"/>
    <d v="2023-03-14T00:00:00"/>
    <s v="PAID"/>
    <x v="11"/>
    <n v="112784"/>
    <n v="1"/>
    <s v="Indonesia"/>
    <s v="TJL - JPP"/>
    <x v="0"/>
  </r>
  <r>
    <s v="CLICTRUCK-044800"/>
    <s v="domestic"/>
    <x v="57"/>
    <x v="11"/>
    <n v="14350000"/>
    <n v="5550"/>
    <d v="2023-03-14T00:00:00"/>
    <s v="PAID"/>
    <x v="11"/>
    <n v="318570"/>
    <n v="1"/>
    <s v="Indonesia"/>
    <s v="TJL - JPP"/>
    <x v="0"/>
  </r>
  <r>
    <s v="CLICTRUCK-044801"/>
    <s v="domestic"/>
    <x v="57"/>
    <x v="11"/>
    <n v="22885706"/>
    <n v="5550"/>
    <d v="2023-03-14T00:00:00"/>
    <s v="PAID"/>
    <x v="11"/>
    <n v="508062"/>
    <n v="1"/>
    <s v="Indonesia"/>
    <s v="TJL - JPP"/>
    <x v="0"/>
  </r>
  <r>
    <s v="CLICTRUCK-044802"/>
    <s v="domestic"/>
    <x v="57"/>
    <x v="11"/>
    <n v="1491750"/>
    <n v="5550"/>
    <d v="2023-03-14T00:00:00"/>
    <s v="PAID"/>
    <x v="11"/>
    <n v="33116"/>
    <n v="1"/>
    <s v="Indonesia"/>
    <s v="TJL - JPP"/>
    <x v="0"/>
  </r>
  <r>
    <s v="CLICTRUCK-044803"/>
    <s v="domestic"/>
    <x v="57"/>
    <x v="11"/>
    <n v="4475250"/>
    <n v="5550"/>
    <d v="2023-03-14T00:00:00"/>
    <s v="PAID"/>
    <x v="11"/>
    <n v="99350"/>
    <n v="1"/>
    <s v="Indonesia"/>
    <s v="TJL - JPP"/>
    <x v="0"/>
  </r>
  <r>
    <s v="CLICTRUCK-044804"/>
    <s v="domestic"/>
    <x v="57"/>
    <x v="11"/>
    <n v="2983500"/>
    <n v="5550"/>
    <d v="2023-03-14T00:00:00"/>
    <s v="PAID"/>
    <x v="11"/>
    <n v="66233"/>
    <n v="1"/>
    <s v="Indonesia"/>
    <s v="TJL - JPP"/>
    <x v="0"/>
  </r>
  <r>
    <s v="CLICTRUCK-044805"/>
    <s v="domestic"/>
    <x v="57"/>
    <x v="11"/>
    <n v="5682150"/>
    <n v="5550"/>
    <d v="2023-03-14T00:00:00"/>
    <s v="PAID"/>
    <x v="11"/>
    <n v="126143"/>
    <n v="1"/>
    <s v="Indonesia"/>
    <s v="TJL - JPP"/>
    <x v="0"/>
  </r>
  <r>
    <s v="CLICTRUCK-044806"/>
    <s v="domestic"/>
    <x v="57"/>
    <x v="11"/>
    <n v="5231925"/>
    <n v="5550"/>
    <d v="2023-03-14T00:00:00"/>
    <s v="PAID"/>
    <x v="11"/>
    <n v="116148"/>
    <n v="1"/>
    <s v="Indonesia"/>
    <s v="TJL - JPP"/>
    <x v="0"/>
  </r>
  <r>
    <s v="CLICTRUCK-044807"/>
    <s v="domestic"/>
    <x v="57"/>
    <x v="11"/>
    <n v="5782200"/>
    <n v="5550"/>
    <d v="2023-03-14T00:00:00"/>
    <s v="PAID"/>
    <x v="11"/>
    <n v="128364"/>
    <n v="1"/>
    <s v="Indonesia"/>
    <s v="TJL - JPP"/>
    <x v="0"/>
  </r>
  <r>
    <s v="CLICTRUCK-044808"/>
    <s v="domestic"/>
    <x v="57"/>
    <x v="11"/>
    <n v="10417275"/>
    <n v="5550"/>
    <d v="2023-03-14T00:00:00"/>
    <s v="PAID"/>
    <x v="11"/>
    <n v="231262"/>
    <n v="1"/>
    <s v="Indonesia"/>
    <s v="TJL - JPP"/>
    <x v="0"/>
  </r>
  <r>
    <s v="CLICTRUCK-044809"/>
    <s v="domestic"/>
    <x v="57"/>
    <x v="11"/>
    <n v="6398370"/>
    <n v="5550"/>
    <d v="2023-03-14T00:00:00"/>
    <s v="PAID"/>
    <x v="11"/>
    <n v="142043"/>
    <n v="1"/>
    <s v="Indonesia"/>
    <s v="TJL - JPP"/>
    <x v="0"/>
  </r>
  <r>
    <s v="CLICTRUCK-044810"/>
    <s v="domestic"/>
    <x v="57"/>
    <x v="11"/>
    <n v="27995828"/>
    <n v="5550"/>
    <d v="2023-03-14T00:00:00"/>
    <s v="PAID"/>
    <x v="11"/>
    <n v="621506"/>
    <n v="1"/>
    <s v="Indonesia"/>
    <s v="TJL - JPP"/>
    <x v="0"/>
  </r>
  <r>
    <s v="CLICTRUCK-044811"/>
    <s v="domestic"/>
    <x v="57"/>
    <x v="11"/>
    <n v="5812100"/>
    <n v="5550"/>
    <d v="2023-03-14T00:00:00"/>
    <s v="PAID"/>
    <x v="11"/>
    <n v="129028"/>
    <n v="1"/>
    <s v="Indonesia"/>
    <s v="TJL - JPP"/>
    <x v="0"/>
  </r>
  <r>
    <s v="CLICTRUCK-044812"/>
    <s v="domestic"/>
    <x v="57"/>
    <x v="11"/>
    <n v="5293450"/>
    <n v="5550"/>
    <d v="2023-03-14T00:00:00"/>
    <s v="PAID"/>
    <x v="11"/>
    <n v="117514"/>
    <n v="1"/>
    <s v="Indonesia"/>
    <s v="TJL - JPP"/>
    <x v="0"/>
  </r>
  <r>
    <s v="CLICTRUCK-044813"/>
    <s v="domestic"/>
    <x v="57"/>
    <x v="11"/>
    <n v="5293450"/>
    <n v="5550"/>
    <d v="2023-03-14T00:00:00"/>
    <s v="PAID"/>
    <x v="11"/>
    <n v="117514"/>
    <n v="1"/>
    <s v="Indonesia"/>
    <s v="TJL - JPP"/>
    <x v="0"/>
  </r>
  <r>
    <s v="CLICTRUCK-044814"/>
    <s v="domestic"/>
    <x v="57"/>
    <x v="11"/>
    <n v="5293450"/>
    <n v="5550"/>
    <d v="2023-03-14T00:00:00"/>
    <s v="PAID"/>
    <x v="11"/>
    <n v="117514"/>
    <n v="1"/>
    <s v="Indonesia"/>
    <s v="TJL - JPP"/>
    <x v="0"/>
  </r>
  <r>
    <s v="CLICTRUCK-044815"/>
    <s v="domestic"/>
    <x v="57"/>
    <x v="11"/>
    <n v="5406150"/>
    <n v="5550"/>
    <d v="2023-03-14T00:00:00"/>
    <s v="PAID"/>
    <x v="11"/>
    <n v="120016"/>
    <n v="1"/>
    <s v="Indonesia"/>
    <s v="TJL - JPP"/>
    <x v="0"/>
  </r>
  <r>
    <s v="CLICTRUCK-044816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817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818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819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820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821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822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823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824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825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826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827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828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829"/>
    <s v="domestic"/>
    <x v="57"/>
    <x v="11"/>
    <n v="6549825"/>
    <n v="5550"/>
    <d v="2023-03-14T00:00:00"/>
    <s v="PAID"/>
    <x v="11"/>
    <n v="145405"/>
    <n v="1"/>
    <s v="Indonesia"/>
    <s v="TJL - JPP"/>
    <x v="0"/>
  </r>
  <r>
    <s v="CLICTRUCK-044830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831"/>
    <s v="domestic"/>
    <x v="57"/>
    <x v="11"/>
    <n v="5511950"/>
    <n v="5550"/>
    <d v="2023-03-14T00:00:00"/>
    <s v="PAID"/>
    <x v="11"/>
    <n v="122365"/>
    <n v="1"/>
    <s v="Indonesia"/>
    <s v="TJL - JPP"/>
    <x v="0"/>
  </r>
  <r>
    <s v="CLICTRUCK-044832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33"/>
    <s v="domestic"/>
    <x v="57"/>
    <x v="11"/>
    <n v="5200000"/>
    <n v="5550"/>
    <d v="2023-03-14T00:00:00"/>
    <s v="PAID"/>
    <x v="11"/>
    <n v="115440"/>
    <n v="1"/>
    <s v="Indonesia"/>
    <s v="TJL - JPP"/>
    <x v="0"/>
  </r>
  <r>
    <s v="CLICTRUCK-044834"/>
    <s v="domestic"/>
    <x v="57"/>
    <x v="11"/>
    <n v="5200000"/>
    <n v="5550"/>
    <d v="2023-03-14T00:00:00"/>
    <s v="PAID"/>
    <x v="11"/>
    <n v="115440"/>
    <n v="1"/>
    <s v="Indonesia"/>
    <s v="TJL - JPP"/>
    <x v="0"/>
  </r>
  <r>
    <s v="CLICTRUCK-044835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36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37"/>
    <s v="domestic"/>
    <x v="57"/>
    <x v="11"/>
    <n v="4100000"/>
    <n v="5550"/>
    <d v="2023-03-14T00:00:00"/>
    <s v="PAID"/>
    <x v="11"/>
    <n v="91020"/>
    <n v="1"/>
    <s v="Indonesia"/>
    <s v="TJL - JPP"/>
    <x v="0"/>
  </r>
  <r>
    <s v="CLICTRUCK-044838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39"/>
    <s v="domestic"/>
    <x v="57"/>
    <x v="11"/>
    <n v="4100000"/>
    <n v="5550"/>
    <d v="2023-03-14T00:00:00"/>
    <s v="PAID"/>
    <x v="11"/>
    <n v="91020"/>
    <n v="1"/>
    <s v="Indonesia"/>
    <s v="TJL - JPP"/>
    <x v="0"/>
  </r>
  <r>
    <s v="CLICTRUCK-044840"/>
    <s v="domestic"/>
    <x v="57"/>
    <x v="11"/>
    <n v="4100000"/>
    <n v="5550"/>
    <d v="2023-03-14T00:00:00"/>
    <s v="PAID"/>
    <x v="11"/>
    <n v="91020"/>
    <n v="1"/>
    <s v="Indonesia"/>
    <s v="TJL - JPP"/>
    <x v="0"/>
  </r>
  <r>
    <s v="CLICTRUCK-044841"/>
    <s v="domestic"/>
    <x v="57"/>
    <x v="11"/>
    <n v="5600000"/>
    <n v="5550"/>
    <d v="2023-03-14T00:00:00"/>
    <s v="PAID"/>
    <x v="11"/>
    <n v="124320"/>
    <n v="1"/>
    <s v="Indonesia"/>
    <s v="TJL - JPP"/>
    <x v="0"/>
  </r>
  <r>
    <s v="CLICTRUCK-044842"/>
    <s v="domestic"/>
    <x v="57"/>
    <x v="11"/>
    <n v="5750000"/>
    <n v="5550"/>
    <d v="2023-03-14T00:00:00"/>
    <s v="PAID"/>
    <x v="11"/>
    <n v="127650"/>
    <n v="1"/>
    <s v="Indonesia"/>
    <s v="TJL - JPP"/>
    <x v="0"/>
  </r>
  <r>
    <s v="CLICTRUCK-044843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44"/>
    <s v="domestic"/>
    <x v="57"/>
    <x v="11"/>
    <n v="2700000"/>
    <n v="5550"/>
    <d v="2023-03-14T00:00:00"/>
    <s v="PAID"/>
    <x v="11"/>
    <n v="59940"/>
    <n v="1"/>
    <s v="Indonesia"/>
    <s v="TJL - JPP"/>
    <x v="0"/>
  </r>
  <r>
    <s v="CLICTRUCK-044845"/>
    <s v="domestic"/>
    <x v="57"/>
    <x v="11"/>
    <n v="3150000"/>
    <n v="5550"/>
    <d v="2023-03-14T00:00:00"/>
    <s v="PAID"/>
    <x v="11"/>
    <n v="69930"/>
    <n v="1"/>
    <s v="Indonesia"/>
    <s v="TJL - JPP"/>
    <x v="0"/>
  </r>
  <r>
    <s v="CLICTRUCK-044846"/>
    <s v="domestic"/>
    <x v="57"/>
    <x v="11"/>
    <n v="2100000"/>
    <n v="5550"/>
    <d v="2023-03-14T00:00:00"/>
    <s v="PAID"/>
    <x v="11"/>
    <n v="46620"/>
    <n v="1"/>
    <s v="Indonesia"/>
    <s v="TJL - JPP"/>
    <x v="0"/>
  </r>
  <r>
    <s v="CLICTRUCK-044847"/>
    <s v="domestic"/>
    <x v="57"/>
    <x v="11"/>
    <n v="3600000"/>
    <n v="5550"/>
    <d v="2023-03-14T00:00:00"/>
    <s v="PAID"/>
    <x v="11"/>
    <n v="79920"/>
    <n v="1"/>
    <s v="Indonesia"/>
    <s v="TJL - JPP"/>
    <x v="0"/>
  </r>
  <r>
    <s v="CLICTRUCK-044848"/>
    <s v="domestic"/>
    <x v="57"/>
    <x v="11"/>
    <n v="2250000"/>
    <n v="5550"/>
    <d v="2023-03-14T00:00:00"/>
    <s v="PAID"/>
    <x v="11"/>
    <n v="49950"/>
    <n v="1"/>
    <s v="Indonesia"/>
    <s v="TJL - JPP"/>
    <x v="0"/>
  </r>
  <r>
    <s v="CLICTRUCK-044849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50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51"/>
    <s v="domestic"/>
    <x v="57"/>
    <x v="11"/>
    <n v="4200000"/>
    <n v="5550"/>
    <d v="2023-03-14T00:00:00"/>
    <s v="PAID"/>
    <x v="11"/>
    <n v="93240"/>
    <n v="1"/>
    <s v="Indonesia"/>
    <s v="TJL - JPP"/>
    <x v="0"/>
  </r>
  <r>
    <s v="CLICTRUCK-044852"/>
    <s v="domestic"/>
    <x v="57"/>
    <x v="11"/>
    <n v="4100000"/>
    <n v="5550"/>
    <d v="2023-03-14T00:00:00"/>
    <s v="PAID"/>
    <x v="11"/>
    <n v="91020"/>
    <n v="1"/>
    <s v="Indonesia"/>
    <s v="TJL - JPP"/>
    <x v="0"/>
  </r>
  <r>
    <s v="CLICTRUCK-044853"/>
    <s v="domestic"/>
    <x v="57"/>
    <x v="11"/>
    <n v="5600000"/>
    <n v="5550"/>
    <d v="2023-03-14T00:00:00"/>
    <s v="PAID"/>
    <x v="11"/>
    <n v="124320"/>
    <n v="1"/>
    <s v="Indonesia"/>
    <s v="TJL - JPP"/>
    <x v="0"/>
  </r>
  <r>
    <s v="CLICTRUCK-044854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55"/>
    <s v="domestic"/>
    <x v="57"/>
    <x v="11"/>
    <n v="4100000"/>
    <n v="5550"/>
    <d v="2023-03-14T00:00:00"/>
    <s v="PAID"/>
    <x v="11"/>
    <n v="91020"/>
    <n v="1"/>
    <s v="Indonesia"/>
    <s v="TJL - JPP"/>
    <x v="0"/>
  </r>
  <r>
    <s v="CLICTRUCK-044856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57"/>
    <s v="domestic"/>
    <x v="57"/>
    <x v="11"/>
    <n v="4200000"/>
    <n v="5550"/>
    <d v="2023-03-14T00:00:00"/>
    <s v="PAID"/>
    <x v="11"/>
    <n v="93240"/>
    <n v="1"/>
    <s v="Indonesia"/>
    <s v="TJL - JPP"/>
    <x v="0"/>
  </r>
  <r>
    <s v="CLICTRUCK-044858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59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60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61"/>
    <s v="domestic"/>
    <x v="57"/>
    <x v="11"/>
    <n v="4500000"/>
    <n v="5550"/>
    <d v="2023-03-14T00:00:00"/>
    <s v="PAID"/>
    <x v="11"/>
    <n v="99900"/>
    <n v="1"/>
    <s v="Indonesia"/>
    <s v="TJL - JPP"/>
    <x v="0"/>
  </r>
  <r>
    <s v="CLICTRUCK-044862"/>
    <s v="domestic"/>
    <x v="57"/>
    <x v="11"/>
    <n v="4200000"/>
    <n v="5550"/>
    <d v="2023-03-14T00:00:00"/>
    <s v="PAID"/>
    <x v="11"/>
    <n v="93240"/>
    <n v="1"/>
    <s v="Indonesia"/>
    <s v="TJL - JPP"/>
    <x v="0"/>
  </r>
  <r>
    <s v="CLICTRUCK-044863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64"/>
    <s v="domestic"/>
    <x v="57"/>
    <x v="11"/>
    <n v="500000"/>
    <n v="5550"/>
    <d v="2023-03-14T00:00:00"/>
    <s v="PAID"/>
    <x v="11"/>
    <n v="11100"/>
    <n v="1"/>
    <s v="Indonesia"/>
    <s v="TJL - JPP"/>
    <x v="0"/>
  </r>
  <r>
    <s v="CLICTRUCK-044865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66"/>
    <s v="domestic"/>
    <x v="57"/>
    <x v="11"/>
    <n v="500000"/>
    <n v="5550"/>
    <d v="2023-03-14T00:00:00"/>
    <s v="PAID"/>
    <x v="11"/>
    <n v="11100"/>
    <n v="1"/>
    <s v="Indonesia"/>
    <s v="TJL - JPP"/>
    <x v="0"/>
  </r>
  <r>
    <s v="CLICTRUCK-044867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68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69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70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71"/>
    <s v="domestic"/>
    <x v="57"/>
    <x v="11"/>
    <n v="4700000"/>
    <n v="5550"/>
    <d v="2023-03-14T00:00:00"/>
    <s v="PAID"/>
    <x v="11"/>
    <n v="104340"/>
    <n v="1"/>
    <s v="Indonesia"/>
    <s v="TJL - JPP"/>
    <x v="0"/>
  </r>
  <r>
    <s v="CLICTRUCK-044872"/>
    <s v="domestic"/>
    <x v="57"/>
    <x v="11"/>
    <n v="500000"/>
    <n v="5550"/>
    <d v="2023-03-14T00:00:00"/>
    <s v="PAID"/>
    <x v="11"/>
    <n v="11100"/>
    <n v="1"/>
    <s v="Indonesia"/>
    <s v="TJL - JPP"/>
    <x v="0"/>
  </r>
  <r>
    <s v="CLICTRUCK-044873"/>
    <s v="domestic"/>
    <x v="57"/>
    <x v="11"/>
    <n v="5200000"/>
    <n v="5550"/>
    <d v="2023-03-14T00:00:00"/>
    <s v="PAID"/>
    <x v="11"/>
    <n v="115440"/>
    <n v="1"/>
    <s v="Indonesia"/>
    <s v="TJL - JPP"/>
    <x v="0"/>
  </r>
  <r>
    <s v="CLICTRUCK-044874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75"/>
    <s v="domestic"/>
    <x v="57"/>
    <x v="11"/>
    <n v="500000"/>
    <n v="5550"/>
    <d v="2023-03-14T00:00:00"/>
    <s v="PAID"/>
    <x v="11"/>
    <n v="11100"/>
    <n v="1"/>
    <s v="Indonesia"/>
    <s v="TJL - JPP"/>
    <x v="0"/>
  </r>
  <r>
    <s v="CLICTRUCK-044876"/>
    <s v="domestic"/>
    <x v="57"/>
    <x v="11"/>
    <n v="4900000"/>
    <n v="5550"/>
    <d v="2023-03-14T00:00:00"/>
    <s v="PAID"/>
    <x v="11"/>
    <n v="108780"/>
    <n v="1"/>
    <s v="Indonesia"/>
    <s v="TJL - JPP"/>
    <x v="0"/>
  </r>
  <r>
    <s v="CLICTRUCK-044877"/>
    <s v="domestic"/>
    <x v="57"/>
    <x v="11"/>
    <n v="500000"/>
    <n v="5550"/>
    <d v="2023-03-14T00:00:00"/>
    <s v="PAID"/>
    <x v="11"/>
    <n v="11100"/>
    <n v="1"/>
    <s v="Indonesia"/>
    <s v="TJL - JPP"/>
    <x v="0"/>
  </r>
  <r>
    <s v="CLICTRUCK-044879"/>
    <s v="domestic"/>
    <x v="58"/>
    <x v="9"/>
    <n v="274890"/>
    <n v="24975"/>
    <d v="2023-03-21T00:00:00"/>
    <s v="PAID"/>
    <x v="9"/>
    <n v="9153"/>
    <n v="1"/>
    <s v="Indonesia"/>
    <s v="YSN-SSA"/>
    <x v="0"/>
  </r>
  <r>
    <s v="CLICTRUCK-044883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4884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4885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4889"/>
    <s v="domestic"/>
    <x v="58"/>
    <x v="11"/>
    <n v="5200000"/>
    <n v="5550"/>
    <d v="2023-03-14T00:00:00"/>
    <s v="PAID"/>
    <x v="11"/>
    <n v="115440"/>
    <n v="1"/>
    <s v="Indonesia"/>
    <s v="TJL - JPP"/>
    <x v="0"/>
  </r>
  <r>
    <s v="CLICTRUCK-044891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4893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4895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4898"/>
    <s v="domestic"/>
    <x v="58"/>
    <x v="11"/>
    <n v="5600000"/>
    <n v="5550"/>
    <d v="2023-03-14T00:00:00"/>
    <s v="PAID"/>
    <x v="11"/>
    <n v="124320"/>
    <n v="1"/>
    <s v="Indonesia"/>
    <s v="TJL - JPP"/>
    <x v="0"/>
  </r>
  <r>
    <s v="CLICTRUCK-044899"/>
    <s v="domestic"/>
    <x v="58"/>
    <x v="11"/>
    <n v="4700000"/>
    <n v="5550"/>
    <d v="2023-03-14T00:00:00"/>
    <s v="PAID"/>
    <x v="11"/>
    <n v="104340"/>
    <n v="1"/>
    <s v="Indonesia"/>
    <s v="TJL - JPP"/>
    <x v="0"/>
  </r>
  <r>
    <s v="CLICTRUCK-044901"/>
    <s v="domestic"/>
    <x v="58"/>
    <x v="11"/>
    <n v="1650000"/>
    <n v="5550"/>
    <d v="2023-03-14T00:00:00"/>
    <s v="PAID"/>
    <x v="11"/>
    <n v="36630"/>
    <n v="1"/>
    <s v="Indonesia"/>
    <s v="TJL - JPP"/>
    <x v="0"/>
  </r>
  <r>
    <s v="CLICTRUCK-044902"/>
    <s v="domestic"/>
    <x v="58"/>
    <x v="11"/>
    <n v="2100000"/>
    <n v="5550"/>
    <d v="2023-03-14T00:00:00"/>
    <s v="PAID"/>
    <x v="11"/>
    <n v="46620"/>
    <n v="1"/>
    <s v="Indonesia"/>
    <s v="TJL - JPP"/>
    <x v="0"/>
  </r>
  <r>
    <s v="CLICTRUCK-044908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4992"/>
    <s v="domestic"/>
    <x v="58"/>
    <x v="11"/>
    <n v="6203804"/>
    <n v="5550"/>
    <d v="2023-03-14T00:00:00"/>
    <s v="PAID"/>
    <x v="11"/>
    <n v="137724"/>
    <n v="1"/>
    <s v="Indonesia"/>
    <s v="TJL - JPP"/>
    <x v="0"/>
  </r>
  <r>
    <s v="CLICTRUCK-044993"/>
    <s v="domestic"/>
    <x v="58"/>
    <x v="11"/>
    <n v="5519450"/>
    <n v="5550"/>
    <d v="2023-03-14T00:00:00"/>
    <s v="PAID"/>
    <x v="11"/>
    <n v="122531"/>
    <n v="1"/>
    <s v="Indonesia"/>
    <s v="TJL - JPP"/>
    <x v="0"/>
  </r>
  <r>
    <s v="CLICTRUCK-044994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4995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4996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4998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4999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00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01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02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03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04"/>
    <s v="domestic"/>
    <x v="58"/>
    <x v="11"/>
    <n v="26585912"/>
    <n v="5550"/>
    <d v="2023-03-14T00:00:00"/>
    <s v="PAID"/>
    <x v="11"/>
    <n v="590206"/>
    <n v="1"/>
    <s v="Indonesia"/>
    <s v="TJL - JPP"/>
    <x v="0"/>
  </r>
  <r>
    <s v="CLICTRUCK-045005"/>
    <s v="domestic"/>
    <x v="58"/>
    <x v="11"/>
    <n v="11365992"/>
    <n v="5550"/>
    <d v="2023-03-14T00:00:00"/>
    <s v="PAID"/>
    <x v="11"/>
    <n v="252324"/>
    <n v="1"/>
    <s v="Indonesia"/>
    <s v="TJL - JPP"/>
    <x v="0"/>
  </r>
  <r>
    <s v="CLICTRUCK-045007"/>
    <s v="domestic"/>
    <x v="58"/>
    <x v="11"/>
    <n v="5433520"/>
    <n v="5550"/>
    <d v="2023-03-14T00:00:00"/>
    <s v="PAID"/>
    <x v="11"/>
    <n v="120623"/>
    <n v="1"/>
    <s v="Indonesia"/>
    <s v="TJL - JPP"/>
    <x v="0"/>
  </r>
  <r>
    <s v="CLICTRUCK-045008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09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10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11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12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13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14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15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16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17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18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19"/>
    <s v="domestic"/>
    <x v="58"/>
    <x v="11"/>
    <n v="5537250"/>
    <n v="5550"/>
    <d v="2023-03-14T00:00:00"/>
    <s v="PAID"/>
    <x v="11"/>
    <n v="122926"/>
    <n v="1"/>
    <s v="Indonesia"/>
    <s v="TJL - JPP"/>
    <x v="0"/>
  </r>
  <r>
    <s v="CLICTRUCK-045020"/>
    <s v="domestic"/>
    <x v="58"/>
    <x v="11"/>
    <n v="5030100"/>
    <n v="5550"/>
    <d v="2023-03-14T00:00:00"/>
    <s v="PAID"/>
    <x v="11"/>
    <n v="111668"/>
    <n v="1"/>
    <s v="Indonesia"/>
    <s v="TJL - JPP"/>
    <x v="0"/>
  </r>
  <r>
    <s v="CLICTRUCK-045021"/>
    <s v="domestic"/>
    <x v="58"/>
    <x v="11"/>
    <n v="4968000"/>
    <n v="5550"/>
    <d v="2023-03-14T00:00:00"/>
    <s v="PAID"/>
    <x v="11"/>
    <n v="110289"/>
    <n v="1"/>
    <s v="Indonesia"/>
    <s v="TJL - JPP"/>
    <x v="0"/>
  </r>
  <r>
    <s v="CLICTRUCK-045022"/>
    <s v="domestic"/>
    <x v="58"/>
    <x v="11"/>
    <n v="7278120"/>
    <n v="5550"/>
    <d v="2023-03-14T00:00:00"/>
    <s v="PAID"/>
    <x v="11"/>
    <n v="161573"/>
    <n v="1"/>
    <s v="Indonesia"/>
    <s v="TJL - JPP"/>
    <x v="0"/>
  </r>
  <r>
    <s v="CLICTRUCK-045023"/>
    <s v="domestic"/>
    <x v="58"/>
    <x v="11"/>
    <n v="5623500"/>
    <n v="5550"/>
    <d v="2023-03-14T00:00:00"/>
    <s v="PAID"/>
    <x v="11"/>
    <n v="124841"/>
    <n v="1"/>
    <s v="Indonesia"/>
    <s v="TJL - JPP"/>
    <x v="0"/>
  </r>
  <r>
    <s v="CLICTRUCK-045024"/>
    <s v="domestic"/>
    <x v="58"/>
    <x v="11"/>
    <n v="5713200"/>
    <n v="5550"/>
    <d v="2023-03-14T00:00:00"/>
    <s v="PAID"/>
    <x v="11"/>
    <n v="126833"/>
    <n v="1"/>
    <s v="Indonesia"/>
    <s v="TJL - JPP"/>
    <x v="0"/>
  </r>
  <r>
    <s v="CLICTRUCK-045025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26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27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28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29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31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32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33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34"/>
    <s v="domestic"/>
    <x v="58"/>
    <x v="11"/>
    <n v="6862050"/>
    <n v="5550"/>
    <d v="2023-03-14T00:00:00"/>
    <s v="PAID"/>
    <x v="11"/>
    <n v="152337"/>
    <n v="1"/>
    <s v="Indonesia"/>
    <s v="TJL - JPP"/>
    <x v="0"/>
  </r>
  <r>
    <s v="CLICTRUCK-045035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36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38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39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40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41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42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43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44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45"/>
    <s v="domestic"/>
    <x v="58"/>
    <x v="11"/>
    <n v="10393614"/>
    <n v="5550"/>
    <d v="2023-03-14T00:00:00"/>
    <s v="PAID"/>
    <x v="11"/>
    <n v="230737"/>
    <n v="1"/>
    <s v="Indonesia"/>
    <s v="TJL - JPP"/>
    <x v="0"/>
  </r>
  <r>
    <s v="CLICTRUCK-045046"/>
    <s v="domestic"/>
    <x v="58"/>
    <x v="11"/>
    <n v="6183090"/>
    <n v="5550"/>
    <d v="2023-03-14T00:00:00"/>
    <s v="PAID"/>
    <x v="11"/>
    <n v="137263"/>
    <n v="1"/>
    <s v="Indonesia"/>
    <s v="TJL - JPP"/>
    <x v="0"/>
  </r>
  <r>
    <s v="CLICTRUCK-045047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49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50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51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52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53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54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55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56"/>
    <s v="domestic"/>
    <x v="58"/>
    <x v="11"/>
    <n v="7100000"/>
    <n v="5550"/>
    <d v="2023-03-14T00:00:00"/>
    <s v="PAID"/>
    <x v="11"/>
    <n v="157620"/>
    <n v="1"/>
    <s v="Indonesia"/>
    <s v="TJL - JPP"/>
    <x v="0"/>
  </r>
  <r>
    <s v="CLICTRUCK-045057"/>
    <s v="domestic"/>
    <x v="58"/>
    <x v="11"/>
    <n v="18538938"/>
    <n v="5550"/>
    <d v="2023-03-14T00:00:00"/>
    <s v="PAID"/>
    <x v="11"/>
    <n v="411563"/>
    <n v="1"/>
    <s v="Indonesia"/>
    <s v="TJL - JPP"/>
    <x v="0"/>
  </r>
  <r>
    <s v="CLICTRUCK-045058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59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60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61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62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63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64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65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66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67"/>
    <s v="domestic"/>
    <x v="58"/>
    <x v="11"/>
    <n v="6265350"/>
    <n v="5550"/>
    <d v="2023-03-14T00:00:00"/>
    <s v="PAID"/>
    <x v="11"/>
    <n v="139090"/>
    <n v="1"/>
    <s v="Indonesia"/>
    <s v="TJL - JPP"/>
    <x v="0"/>
  </r>
  <r>
    <s v="CLICTRUCK-045068"/>
    <s v="domestic"/>
    <x v="58"/>
    <x v="11"/>
    <n v="7174170"/>
    <n v="5550"/>
    <d v="2023-03-14T00:00:00"/>
    <s v="PAID"/>
    <x v="11"/>
    <n v="159266"/>
    <n v="1"/>
    <s v="Indonesia"/>
    <s v="TJL - JPP"/>
    <x v="0"/>
  </r>
  <r>
    <s v="CLICTRUCK-045069"/>
    <s v="domestic"/>
    <x v="58"/>
    <x v="11"/>
    <n v="19320000"/>
    <n v="5550"/>
    <d v="2023-03-14T00:00:00"/>
    <s v="PAID"/>
    <x v="11"/>
    <n v="428904"/>
    <n v="1"/>
    <s v="Indonesia"/>
    <s v="TJL - JPP"/>
    <x v="0"/>
  </r>
  <r>
    <s v="CLICTRUCK-045070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71"/>
    <s v="domestic"/>
    <x v="58"/>
    <x v="11"/>
    <n v="4100000"/>
    <n v="5550"/>
    <d v="2023-03-14T00:00:00"/>
    <s v="PAID"/>
    <x v="11"/>
    <n v="91020"/>
    <n v="1"/>
    <s v="Indonesia"/>
    <s v="TJL - JPP"/>
    <x v="0"/>
  </r>
  <r>
    <s v="CLICTRUCK-045072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5073"/>
    <s v="domestic"/>
    <x v="58"/>
    <x v="11"/>
    <n v="4700000"/>
    <n v="5550"/>
    <d v="2023-03-14T00:00:00"/>
    <s v="PAID"/>
    <x v="11"/>
    <n v="104340"/>
    <n v="1"/>
    <s v="Indonesia"/>
    <s v="TJL - JPP"/>
    <x v="0"/>
  </r>
  <r>
    <s v="CLICTRUCK-045074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5075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5076"/>
    <s v="domestic"/>
    <x v="58"/>
    <x v="11"/>
    <n v="2975000"/>
    <n v="5550"/>
    <d v="2023-03-14T00:00:00"/>
    <s v="PAID"/>
    <x v="11"/>
    <n v="66045"/>
    <n v="1"/>
    <s v="Indonesia"/>
    <s v="TJL - JPP"/>
    <x v="0"/>
  </r>
  <r>
    <s v="CLICTRUCK-045077"/>
    <s v="domestic"/>
    <x v="58"/>
    <x v="11"/>
    <n v="2700000"/>
    <n v="5550"/>
    <d v="2023-03-14T00:00:00"/>
    <s v="PAID"/>
    <x v="11"/>
    <n v="59940"/>
    <n v="1"/>
    <s v="Indonesia"/>
    <s v="TJL - JPP"/>
    <x v="0"/>
  </r>
  <r>
    <s v="CLICTRUCK-045078"/>
    <s v="domestic"/>
    <x v="58"/>
    <x v="11"/>
    <n v="2975000"/>
    <n v="5550"/>
    <d v="2023-03-14T00:00:00"/>
    <s v="PAID"/>
    <x v="11"/>
    <n v="66045"/>
    <n v="1"/>
    <s v="Indonesia"/>
    <s v="TJL - JPP"/>
    <x v="0"/>
  </r>
  <r>
    <s v="CLICTRUCK-045079"/>
    <s v="domestic"/>
    <x v="58"/>
    <x v="11"/>
    <n v="2700000"/>
    <n v="5550"/>
    <d v="2023-03-14T00:00:00"/>
    <s v="PAID"/>
    <x v="11"/>
    <n v="59940"/>
    <n v="1"/>
    <s v="Indonesia"/>
    <s v="TJL - JPP"/>
    <x v="0"/>
  </r>
  <r>
    <s v="CLICTRUCK-045080"/>
    <s v="domestic"/>
    <x v="58"/>
    <x v="11"/>
    <n v="4700000"/>
    <n v="5550"/>
    <d v="2023-03-14T00:00:00"/>
    <s v="PAID"/>
    <x v="11"/>
    <n v="104340"/>
    <n v="1"/>
    <s v="Indonesia"/>
    <s v="TJL - JPP"/>
    <x v="0"/>
  </r>
  <r>
    <s v="CLICTRUCK-045081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5082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083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84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85"/>
    <s v="domestic"/>
    <x v="58"/>
    <x v="11"/>
    <n v="3157920"/>
    <n v="5550"/>
    <d v="2023-03-14T00:00:00"/>
    <s v="PAID"/>
    <x v="11"/>
    <n v="70105"/>
    <n v="1"/>
    <s v="Indonesia"/>
    <s v="TJL - JPP"/>
    <x v="0"/>
  </r>
  <r>
    <s v="CLICTRUCK-045086"/>
    <s v="domestic"/>
    <x v="58"/>
    <x v="11"/>
    <n v="4176900"/>
    <n v="5550"/>
    <d v="2023-03-14T00:00:00"/>
    <s v="PAID"/>
    <x v="11"/>
    <n v="92727"/>
    <n v="1"/>
    <s v="Indonesia"/>
    <s v="TJL - JPP"/>
    <x v="0"/>
  </r>
  <r>
    <s v="CLICTRUCK-045087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88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089"/>
    <s v="domestic"/>
    <x v="58"/>
    <x v="11"/>
    <n v="17467806"/>
    <n v="5550"/>
    <d v="2023-03-14T00:00:00"/>
    <s v="PAID"/>
    <x v="11"/>
    <n v="387785"/>
    <n v="1"/>
    <s v="Indonesia"/>
    <s v="TJL - JPP"/>
    <x v="0"/>
  </r>
  <r>
    <s v="CLICTRUCK-045090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93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94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95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96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097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98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099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00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01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02"/>
    <s v="domestic"/>
    <x v="58"/>
    <x v="11"/>
    <n v="7889470"/>
    <n v="5550"/>
    <d v="2023-03-14T00:00:00"/>
    <s v="PAID"/>
    <x v="11"/>
    <n v="175145"/>
    <n v="1"/>
    <s v="Indonesia"/>
    <s v="TJL - JPP"/>
    <x v="0"/>
  </r>
  <r>
    <s v="CLICTRUCK-045103"/>
    <s v="domestic"/>
    <x v="58"/>
    <x v="11"/>
    <n v="7468500"/>
    <n v="5550"/>
    <d v="2023-03-14T00:00:00"/>
    <s v="PAID"/>
    <x v="11"/>
    <n v="165800"/>
    <n v="1"/>
    <s v="Indonesia"/>
    <s v="TJL - JPP"/>
    <x v="0"/>
  </r>
  <r>
    <s v="CLICTRUCK-045109"/>
    <s v="domestic"/>
    <x v="58"/>
    <x v="11"/>
    <n v="10324790"/>
    <n v="5550"/>
    <d v="2023-03-14T00:00:00"/>
    <s v="PAID"/>
    <x v="11"/>
    <n v="229209"/>
    <n v="1"/>
    <s v="Indonesia"/>
    <s v="TJL - JPP"/>
    <x v="0"/>
  </r>
  <r>
    <s v="CLICTRUCK-045110"/>
    <s v="domestic"/>
    <x v="58"/>
    <x v="11"/>
    <n v="10301230"/>
    <n v="5550"/>
    <d v="2023-03-14T00:00:00"/>
    <s v="PAID"/>
    <x v="11"/>
    <n v="228686"/>
    <n v="1"/>
    <s v="Indonesia"/>
    <s v="TJL - JPP"/>
    <x v="0"/>
  </r>
  <r>
    <s v="CLICTRUCK-045111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12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113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14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15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16"/>
    <s v="domestic"/>
    <x v="58"/>
    <x v="11"/>
    <n v="21724080"/>
    <n v="5550"/>
    <d v="2023-03-14T00:00:00"/>
    <s v="PAID"/>
    <x v="11"/>
    <n v="482273"/>
    <n v="1"/>
    <s v="Indonesia"/>
    <s v="TJL - JPP"/>
    <x v="0"/>
  </r>
  <r>
    <s v="CLICTRUCK-045117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18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19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20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21"/>
    <s v="domestic"/>
    <x v="58"/>
    <x v="11"/>
    <n v="10417275"/>
    <n v="5550"/>
    <d v="2023-03-14T00:00:00"/>
    <s v="PAID"/>
    <x v="11"/>
    <n v="231262"/>
    <n v="1"/>
    <s v="Indonesia"/>
    <s v="TJL - JPP"/>
    <x v="0"/>
  </r>
  <r>
    <s v="CLICTRUCK-045122"/>
    <s v="domestic"/>
    <x v="58"/>
    <x v="11"/>
    <n v="13541825"/>
    <n v="5550"/>
    <d v="2023-03-14T00:00:00"/>
    <s v="PAID"/>
    <x v="11"/>
    <n v="300627"/>
    <n v="1"/>
    <s v="Indonesia"/>
    <s v="TJL - JPP"/>
    <x v="0"/>
  </r>
  <r>
    <s v="CLICTRUCK-045123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24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25"/>
    <s v="domestic"/>
    <x v="58"/>
    <x v="11"/>
    <n v="7286500"/>
    <n v="5550"/>
    <d v="2023-03-14T00:00:00"/>
    <s v="PAID"/>
    <x v="11"/>
    <n v="161760"/>
    <n v="1"/>
    <s v="Indonesia"/>
    <s v="TJL - JPP"/>
    <x v="0"/>
  </r>
  <r>
    <s v="CLICTRUCK-045126"/>
    <s v="domestic"/>
    <x v="58"/>
    <x v="11"/>
    <n v="5816700"/>
    <n v="5550"/>
    <d v="2023-03-14T00:00:00"/>
    <s v="PAID"/>
    <x v="11"/>
    <n v="129130"/>
    <n v="1"/>
    <s v="Indonesia"/>
    <s v="TJL - JPP"/>
    <x v="0"/>
  </r>
  <r>
    <s v="CLICTRUCK-045127"/>
    <s v="domestic"/>
    <x v="58"/>
    <x v="11"/>
    <n v="21562389"/>
    <n v="5550"/>
    <d v="2023-03-14T00:00:00"/>
    <s v="PAID"/>
    <x v="11"/>
    <n v="478684"/>
    <n v="1"/>
    <s v="Indonesia"/>
    <s v="TJL - JPP"/>
    <x v="0"/>
  </r>
  <r>
    <s v="CLICTRUCK-045128"/>
    <s v="domestic"/>
    <x v="58"/>
    <x v="11"/>
    <n v="4666240"/>
    <n v="5550"/>
    <d v="2023-03-14T00:00:00"/>
    <s v="PAID"/>
    <x v="11"/>
    <n v="103589"/>
    <n v="1"/>
    <s v="Indonesia"/>
    <s v="TJL - JPP"/>
    <x v="0"/>
  </r>
  <r>
    <s v="CLICTRUCK-045129"/>
    <s v="domestic"/>
    <x v="58"/>
    <x v="11"/>
    <n v="17411109"/>
    <n v="5550"/>
    <d v="2023-03-14T00:00:00"/>
    <s v="PAID"/>
    <x v="11"/>
    <n v="386526"/>
    <n v="1"/>
    <s v="Indonesia"/>
    <s v="TJL - JPP"/>
    <x v="0"/>
  </r>
  <r>
    <s v="CLICTRUCK-045130"/>
    <s v="domestic"/>
    <x v="58"/>
    <x v="11"/>
    <n v="18031976"/>
    <n v="5550"/>
    <d v="2023-03-14T00:00:00"/>
    <s v="PAID"/>
    <x v="11"/>
    <n v="400309"/>
    <n v="1"/>
    <s v="Indonesia"/>
    <s v="TJL - JPP"/>
    <x v="0"/>
  </r>
  <r>
    <s v="CLICTRUCK-045131"/>
    <s v="domestic"/>
    <x v="58"/>
    <x v="11"/>
    <n v="18899469"/>
    <n v="5550"/>
    <d v="2023-03-14T00:00:00"/>
    <s v="PAID"/>
    <x v="11"/>
    <n v="419567"/>
    <n v="1"/>
    <s v="Indonesia"/>
    <s v="TJL - JPP"/>
    <x v="0"/>
  </r>
  <r>
    <s v="CLICTRUCK-045133"/>
    <s v="domestic"/>
    <x v="58"/>
    <x v="11"/>
    <n v="8665020"/>
    <n v="5550"/>
    <d v="2023-03-14T00:00:00"/>
    <s v="PAID"/>
    <x v="11"/>
    <n v="192363"/>
    <n v="1"/>
    <s v="Indonesia"/>
    <s v="TJL - JPP"/>
    <x v="0"/>
  </r>
  <r>
    <s v="CLICTRUCK-045134"/>
    <s v="domestic"/>
    <x v="58"/>
    <x v="11"/>
    <n v="5801175"/>
    <n v="5550"/>
    <d v="2023-03-14T00:00:00"/>
    <s v="PAID"/>
    <x v="11"/>
    <n v="128785"/>
    <n v="1"/>
    <s v="Indonesia"/>
    <s v="TJL - JPP"/>
    <x v="0"/>
  </r>
  <r>
    <s v="CLICTRUCK-045135"/>
    <s v="domestic"/>
    <x v="58"/>
    <x v="11"/>
    <n v="34838800"/>
    <n v="5550"/>
    <d v="2023-03-14T00:00:00"/>
    <s v="PAID"/>
    <x v="11"/>
    <n v="773421"/>
    <n v="1"/>
    <s v="Indonesia"/>
    <s v="TJL - JPP"/>
    <x v="0"/>
  </r>
  <r>
    <s v="CLICTRUCK-045146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58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59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60"/>
    <s v="domestic"/>
    <x v="58"/>
    <x v="11"/>
    <n v="14488050"/>
    <n v="5550"/>
    <d v="2023-03-14T00:00:00"/>
    <s v="PAID"/>
    <x v="11"/>
    <n v="321634"/>
    <n v="1"/>
    <s v="Indonesia"/>
    <s v="TJL - JPP"/>
    <x v="0"/>
  </r>
  <r>
    <s v="CLICTRUCK-045161"/>
    <s v="domestic"/>
    <x v="58"/>
    <x v="11"/>
    <n v="13450175"/>
    <n v="5550"/>
    <d v="2023-03-14T00:00:00"/>
    <s v="PAID"/>
    <x v="11"/>
    <n v="298593"/>
    <n v="1"/>
    <s v="Indonesia"/>
    <s v="TJL - JPP"/>
    <x v="0"/>
  </r>
  <r>
    <s v="CLICTRUCK-045162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65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66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67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68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69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70"/>
    <s v="domestic"/>
    <x v="58"/>
    <x v="11"/>
    <n v="5669040"/>
    <n v="5550"/>
    <d v="2023-03-14T00:00:00"/>
    <s v="PAID"/>
    <x v="11"/>
    <n v="125851"/>
    <n v="1"/>
    <s v="Indonesia"/>
    <s v="TJL - JPP"/>
    <x v="0"/>
  </r>
  <r>
    <s v="CLICTRUCK-045171"/>
    <s v="domestic"/>
    <x v="58"/>
    <x v="11"/>
    <n v="5661680"/>
    <n v="5550"/>
    <d v="2023-03-14T00:00:00"/>
    <s v="PAID"/>
    <x v="11"/>
    <n v="125688"/>
    <n v="1"/>
    <s v="Indonesia"/>
    <s v="TJL - JPP"/>
    <x v="0"/>
  </r>
  <r>
    <s v="CLICTRUCK-045172"/>
    <s v="domestic"/>
    <x v="58"/>
    <x v="11"/>
    <n v="16760670"/>
    <n v="5550"/>
    <d v="2023-03-14T00:00:00"/>
    <s v="PAID"/>
    <x v="11"/>
    <n v="372086"/>
    <n v="1"/>
    <s v="Indonesia"/>
    <s v="TJL - JPP"/>
    <x v="0"/>
  </r>
  <r>
    <s v="CLICTRUCK-045173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74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75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76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77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78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79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80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81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82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83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84"/>
    <s v="domestic"/>
    <x v="58"/>
    <x v="11"/>
    <n v="5511950"/>
    <n v="5550"/>
    <d v="2023-03-14T00:00:00"/>
    <s v="PAID"/>
    <x v="11"/>
    <n v="122365"/>
    <n v="1"/>
    <s v="Indonesia"/>
    <s v="TJL - JPP"/>
    <x v="0"/>
  </r>
  <r>
    <s v="CLICTRUCK-045185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86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87"/>
    <s v="domestic"/>
    <x v="58"/>
    <x v="11"/>
    <n v="5511952"/>
    <n v="5550"/>
    <d v="2023-03-14T00:00:00"/>
    <s v="PAID"/>
    <x v="11"/>
    <n v="122365"/>
    <n v="1"/>
    <s v="Indonesia"/>
    <s v="TJL - JPP"/>
    <x v="0"/>
  </r>
  <r>
    <s v="CLICTRUCK-045188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89"/>
    <s v="domestic"/>
    <x v="58"/>
    <x v="11"/>
    <n v="21919141"/>
    <n v="5550"/>
    <d v="2023-03-14T00:00:00"/>
    <s v="PAID"/>
    <x v="11"/>
    <n v="486604"/>
    <n v="1"/>
    <s v="Indonesia"/>
    <s v="TJL - JPP"/>
    <x v="0"/>
  </r>
  <r>
    <s v="CLICTRUCK-045190"/>
    <s v="domestic"/>
    <x v="58"/>
    <x v="11"/>
    <n v="10444110"/>
    <n v="5550"/>
    <d v="2023-03-14T00:00:00"/>
    <s v="PAID"/>
    <x v="11"/>
    <n v="231859"/>
    <n v="1"/>
    <s v="Indonesia"/>
    <s v="TJL - JPP"/>
    <x v="0"/>
  </r>
  <r>
    <s v="CLICTRUCK-045191"/>
    <s v="domestic"/>
    <x v="58"/>
    <x v="11"/>
    <n v="5230200"/>
    <n v="5550"/>
    <d v="2023-03-14T00:00:00"/>
    <s v="PAID"/>
    <x v="11"/>
    <n v="116110"/>
    <n v="1"/>
    <s v="Indonesia"/>
    <s v="TJL - JPP"/>
    <x v="0"/>
  </r>
  <r>
    <s v="CLICTRUCK-045192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93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194"/>
    <s v="domestic"/>
    <x v="58"/>
    <x v="11"/>
    <n v="2386800"/>
    <n v="5550"/>
    <d v="2023-03-14T00:00:00"/>
    <s v="PAID"/>
    <x v="11"/>
    <n v="52986"/>
    <n v="1"/>
    <s v="Indonesia"/>
    <s v="TJL - JPP"/>
    <x v="0"/>
  </r>
  <r>
    <s v="CLICTRUCK-045195"/>
    <s v="domestic"/>
    <x v="58"/>
    <x v="11"/>
    <n v="6265350"/>
    <n v="5550"/>
    <d v="2023-03-14T00:00:00"/>
    <s v="PAID"/>
    <x v="11"/>
    <n v="139090"/>
    <n v="1"/>
    <s v="Indonesia"/>
    <s v="TJL - JPP"/>
    <x v="0"/>
  </r>
  <r>
    <s v="CLICTRUCK-045196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97"/>
    <s v="domestic"/>
    <x v="58"/>
    <x v="11"/>
    <n v="6549825"/>
    <n v="5550"/>
    <d v="2023-03-14T00:00:00"/>
    <s v="PAID"/>
    <x v="11"/>
    <n v="145405"/>
    <n v="1"/>
    <s v="Indonesia"/>
    <s v="TJL - JPP"/>
    <x v="0"/>
  </r>
  <r>
    <s v="CLICTRUCK-045198"/>
    <s v="domestic"/>
    <x v="58"/>
    <x v="11"/>
    <n v="5647650"/>
    <n v="5550"/>
    <d v="2023-03-14T00:00:00"/>
    <s v="PAID"/>
    <x v="11"/>
    <n v="125377"/>
    <n v="1"/>
    <s v="Indonesia"/>
    <s v="TJL - JPP"/>
    <x v="0"/>
  </r>
  <r>
    <s v="CLICTRUCK-045199"/>
    <s v="domestic"/>
    <x v="58"/>
    <x v="11"/>
    <n v="17663515"/>
    <n v="5550"/>
    <d v="2023-03-14T00:00:00"/>
    <s v="PAID"/>
    <x v="11"/>
    <n v="392129"/>
    <n v="1"/>
    <s v="Indonesia"/>
    <s v="TJL - JPP"/>
    <x v="0"/>
  </r>
  <r>
    <s v="CLICTRUCK-045200"/>
    <s v="domestic"/>
    <x v="58"/>
    <x v="11"/>
    <n v="17665115"/>
    <n v="5550"/>
    <d v="2023-03-14T00:00:00"/>
    <s v="PAID"/>
    <x v="11"/>
    <n v="392165"/>
    <n v="1"/>
    <s v="Indonesia"/>
    <s v="TJL - JPP"/>
    <x v="0"/>
  </r>
  <r>
    <s v="CLICTRUCK-045201"/>
    <s v="domestic"/>
    <x v="58"/>
    <x v="11"/>
    <n v="11347578"/>
    <n v="5550"/>
    <d v="2023-03-14T00:00:00"/>
    <s v="PAID"/>
    <x v="11"/>
    <n v="251915"/>
    <n v="1"/>
    <s v="Indonesia"/>
    <s v="TJL - JPP"/>
    <x v="0"/>
  </r>
  <r>
    <s v="CLICTRUCK-045202"/>
    <s v="domestic"/>
    <x v="58"/>
    <x v="11"/>
    <n v="5175000"/>
    <n v="5550"/>
    <d v="2023-03-14T00:00:00"/>
    <s v="PAID"/>
    <x v="11"/>
    <n v="114885"/>
    <n v="1"/>
    <s v="Indonesia"/>
    <s v="TJL - JPP"/>
    <x v="0"/>
  </r>
  <r>
    <s v="CLICTRUCK-045203"/>
    <s v="domestic"/>
    <x v="58"/>
    <x v="11"/>
    <n v="4732489"/>
    <n v="5550"/>
    <d v="2023-03-14T00:00:00"/>
    <s v="PAID"/>
    <x v="11"/>
    <n v="105060"/>
    <n v="1"/>
    <s v="Indonesia"/>
    <s v="TJL - JPP"/>
    <x v="0"/>
  </r>
  <r>
    <s v="CLICTRUCK-045204"/>
    <s v="domestic"/>
    <x v="58"/>
    <x v="11"/>
    <n v="5640750"/>
    <n v="5550"/>
    <d v="2023-03-14T00:00:00"/>
    <s v="PAID"/>
    <x v="11"/>
    <n v="125224"/>
    <n v="1"/>
    <s v="Indonesia"/>
    <s v="TJL - JPP"/>
    <x v="0"/>
  </r>
  <r>
    <s v="CLICTRUCK-045205"/>
    <s v="domestic"/>
    <x v="58"/>
    <x v="11"/>
    <n v="14350000"/>
    <n v="5550"/>
    <d v="2023-03-14T00:00:00"/>
    <s v="PAID"/>
    <x v="11"/>
    <n v="318570"/>
    <n v="1"/>
    <s v="Indonesia"/>
    <s v="TJL - JPP"/>
    <x v="0"/>
  </r>
  <r>
    <s v="CLICTRUCK-045206"/>
    <s v="domestic"/>
    <x v="58"/>
    <x v="11"/>
    <n v="7000000"/>
    <n v="5550"/>
    <d v="2023-03-14T00:00:00"/>
    <s v="PAID"/>
    <x v="11"/>
    <n v="155400"/>
    <n v="1"/>
    <s v="Indonesia"/>
    <s v="TJL - JPP"/>
    <x v="0"/>
  </r>
  <r>
    <s v="CLICTRUCK-045207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208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209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210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211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212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213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214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215"/>
    <s v="domestic"/>
    <x v="58"/>
    <x v="11"/>
    <n v="5293450"/>
    <n v="5550"/>
    <d v="2023-03-14T00:00:00"/>
    <s v="PAID"/>
    <x v="11"/>
    <n v="117514"/>
    <n v="1"/>
    <s v="Indonesia"/>
    <s v="TJL - JPP"/>
    <x v="0"/>
  </r>
  <r>
    <s v="CLICTRUCK-045216"/>
    <s v="domestic"/>
    <x v="58"/>
    <x v="11"/>
    <n v="4700000"/>
    <n v="5550"/>
    <d v="2023-03-14T00:00:00"/>
    <s v="PAID"/>
    <x v="11"/>
    <n v="104340"/>
    <n v="1"/>
    <s v="Indonesia"/>
    <s v="TJL - JPP"/>
    <x v="0"/>
  </r>
  <r>
    <s v="CLICTRUCK-045217"/>
    <s v="domestic"/>
    <x v="58"/>
    <x v="11"/>
    <n v="5200000"/>
    <n v="5550"/>
    <d v="2023-03-14T00:00:00"/>
    <s v="PAID"/>
    <x v="11"/>
    <n v="115440"/>
    <n v="1"/>
    <s v="Indonesia"/>
    <s v="TJL - JPP"/>
    <x v="0"/>
  </r>
  <r>
    <s v="CLICTRUCK-045218"/>
    <s v="domestic"/>
    <x v="58"/>
    <x v="11"/>
    <n v="5200000"/>
    <n v="5550"/>
    <d v="2023-03-14T00:00:00"/>
    <s v="PAID"/>
    <x v="11"/>
    <n v="115440"/>
    <n v="1"/>
    <s v="Indonesia"/>
    <s v="TJL - JPP"/>
    <x v="0"/>
  </r>
  <r>
    <s v="CLICTRUCK-045219"/>
    <s v="domestic"/>
    <x v="58"/>
    <x v="11"/>
    <n v="5200000"/>
    <n v="5550"/>
    <d v="2023-03-14T00:00:00"/>
    <s v="PAID"/>
    <x v="11"/>
    <n v="115440"/>
    <n v="1"/>
    <s v="Indonesia"/>
    <s v="TJL - JPP"/>
    <x v="0"/>
  </r>
  <r>
    <s v="CLICTRUCK-045220"/>
    <s v="domestic"/>
    <x v="58"/>
    <x v="11"/>
    <n v="4900000"/>
    <n v="5550"/>
    <d v="2023-03-14T00:00:00"/>
    <s v="PAID"/>
    <x v="11"/>
    <n v="108780"/>
    <n v="1"/>
    <s v="Indonesia"/>
    <s v="TJL - JPP"/>
    <x v="0"/>
  </r>
  <r>
    <s v="CLICTRUCK-045221"/>
    <s v="domestic"/>
    <x v="58"/>
    <x v="11"/>
    <n v="5200000"/>
    <n v="5550"/>
    <d v="2023-03-14T00:00:00"/>
    <s v="PAID"/>
    <x v="11"/>
    <n v="115440"/>
    <n v="1"/>
    <s v="Indonesia"/>
    <s v="TJL - JPP"/>
    <x v="0"/>
  </r>
  <r>
    <s v="CLICTRUCK-045223"/>
    <s v="domestic"/>
    <x v="58"/>
    <x v="9"/>
    <n v="458150"/>
    <n v="24975"/>
    <d v="2023-03-21T00:00:00"/>
    <s v="PAID"/>
    <x v="9"/>
    <n v="15255"/>
    <n v="1"/>
    <s v="Indonesia"/>
    <s v="YSN-SSA"/>
    <x v="0"/>
  </r>
  <r>
    <s v="CLICTRUCK-045230"/>
    <s v="domestic"/>
    <x v="124"/>
    <x v="20"/>
    <n v="5997000"/>
    <n v="27750"/>
    <d v="2023-03-16T00:00:00"/>
    <s v="UNPAID"/>
    <x v="22"/>
    <n v="232983"/>
    <n v="1"/>
    <s v="Indonesia"/>
    <s v="AJT - ME"/>
    <x v="0"/>
  </r>
  <r>
    <s v="CLICTRUCK-045231"/>
    <s v="domestic"/>
    <x v="124"/>
    <x v="20"/>
    <n v="1872000"/>
    <n v="27750"/>
    <d v="2023-03-16T00:00:00"/>
    <s v="UNPAID"/>
    <x v="22"/>
    <n v="72727"/>
    <n v="1"/>
    <s v="Indonesia"/>
    <s v="AJT - ME"/>
    <x v="0"/>
  </r>
  <r>
    <s v="CLICTRUCK-045232"/>
    <s v="domestic"/>
    <x v="124"/>
    <x v="20"/>
    <n v="1637000"/>
    <n v="27750"/>
    <d v="2023-03-16T00:00:00"/>
    <s v="UNPAID"/>
    <x v="22"/>
    <n v="63597"/>
    <n v="1"/>
    <s v="Indonesia"/>
    <s v="AJT - ME"/>
    <x v="0"/>
  </r>
  <r>
    <s v="CLICTRUCK-045233"/>
    <s v="domestic"/>
    <x v="124"/>
    <x v="20"/>
    <n v="6173000"/>
    <n v="27750"/>
    <d v="2023-03-16T00:00:00"/>
    <s v="UNPAID"/>
    <x v="22"/>
    <n v="239821"/>
    <n v="1"/>
    <s v="Indonesia"/>
    <s v="AJT - ME"/>
    <x v="0"/>
  </r>
  <r>
    <s v="CLICTRUCK-045234"/>
    <s v="domestic"/>
    <x v="124"/>
    <x v="20"/>
    <n v="6173000"/>
    <n v="27750"/>
    <d v="2023-03-16T00:00:00"/>
    <s v="UNPAID"/>
    <x v="22"/>
    <n v="239821"/>
    <n v="1"/>
    <s v="Indonesia"/>
    <s v="AJT - ME"/>
    <x v="0"/>
  </r>
  <r>
    <s v="CLICTRUCK-045235"/>
    <s v="domestic"/>
    <x v="124"/>
    <x v="20"/>
    <n v="6141750"/>
    <n v="27750"/>
    <d v="2023-03-16T00:00:00"/>
    <s v="UNPAID"/>
    <x v="22"/>
    <n v="238606"/>
    <n v="1"/>
    <s v="Indonesia"/>
    <s v="AJT - ME"/>
    <x v="0"/>
  </r>
  <r>
    <s v="CLICTRUCK-045236"/>
    <s v="domestic"/>
    <x v="124"/>
    <x v="20"/>
    <n v="3158000"/>
    <n v="27750"/>
    <d v="2023-03-16T00:00:00"/>
    <s v="UNPAID"/>
    <x v="22"/>
    <n v="122688"/>
    <n v="1"/>
    <s v="Indonesia"/>
    <s v="AJT - ME"/>
    <x v="0"/>
  </r>
  <r>
    <s v="CLICTRUCK-045237"/>
    <s v="domestic"/>
    <x v="124"/>
    <x v="20"/>
    <n v="3158000"/>
    <n v="27750"/>
    <d v="2023-03-16T00:00:00"/>
    <s v="UNPAID"/>
    <x v="22"/>
    <n v="122688"/>
    <n v="1"/>
    <s v="Indonesia"/>
    <s v="AJT - ME"/>
    <x v="0"/>
  </r>
  <r>
    <s v="CLICTRUCK-045238"/>
    <s v="domestic"/>
    <x v="124"/>
    <x v="20"/>
    <n v="2681500"/>
    <n v="27750"/>
    <d v="2023-03-16T00:00:00"/>
    <s v="UNPAID"/>
    <x v="22"/>
    <n v="104175"/>
    <n v="1"/>
    <s v="Indonesia"/>
    <s v="AJT - ME"/>
    <x v="0"/>
  </r>
  <r>
    <s v="CLICTRUCK-045239"/>
    <s v="domestic"/>
    <x v="124"/>
    <x v="20"/>
    <n v="1872000"/>
    <n v="27750"/>
    <d v="2023-03-16T00:00:00"/>
    <s v="UNPAID"/>
    <x v="22"/>
    <n v="72727"/>
    <n v="1"/>
    <s v="Indonesia"/>
    <s v="AJT - ME"/>
    <x v="0"/>
  </r>
  <r>
    <s v="CLICTRUCK-045240"/>
    <s v="domestic"/>
    <x v="124"/>
    <x v="20"/>
    <n v="3158000"/>
    <n v="27750"/>
    <d v="2023-03-16T00:00:00"/>
    <s v="UNPAID"/>
    <x v="22"/>
    <n v="122688"/>
    <n v="1"/>
    <s v="Indonesia"/>
    <s v="AJT - ME"/>
    <x v="0"/>
  </r>
  <r>
    <s v="CLICTRUCK-045241"/>
    <s v="domestic"/>
    <x v="124"/>
    <x v="20"/>
    <n v="3068000"/>
    <n v="27750"/>
    <d v="2023-03-16T00:00:00"/>
    <s v="UNPAID"/>
    <x v="22"/>
    <n v="119191"/>
    <n v="1"/>
    <s v="Indonesia"/>
    <s v="AJT - ME"/>
    <x v="0"/>
  </r>
  <r>
    <s v="CLICTRUCK-045242"/>
    <s v="domestic"/>
    <x v="124"/>
    <x v="20"/>
    <n v="3158000"/>
    <n v="27750"/>
    <d v="2023-03-16T00:00:00"/>
    <s v="UNPAID"/>
    <x v="22"/>
    <n v="122688"/>
    <n v="1"/>
    <s v="Indonesia"/>
    <s v="AJT - ME"/>
    <x v="0"/>
  </r>
  <r>
    <s v="CLICTRUCK-045243"/>
    <s v="domestic"/>
    <x v="124"/>
    <x v="20"/>
    <n v="3158000"/>
    <n v="27750"/>
    <d v="2023-03-16T00:00:00"/>
    <s v="UNPAID"/>
    <x v="22"/>
    <n v="122688"/>
    <n v="1"/>
    <s v="Indonesia"/>
    <s v="AJT - ME"/>
    <x v="0"/>
  </r>
  <r>
    <s v="CLICTRUCK-045244"/>
    <s v="domestic"/>
    <x v="124"/>
    <x v="20"/>
    <n v="2808000"/>
    <n v="27750"/>
    <d v="2023-03-16T00:00:00"/>
    <s v="UNPAID"/>
    <x v="22"/>
    <n v="109090"/>
    <n v="1"/>
    <s v="Indonesia"/>
    <s v="AJT - ME"/>
    <x v="0"/>
  </r>
  <r>
    <s v="CLICTRUCK-045245"/>
    <s v="domestic"/>
    <x v="124"/>
    <x v="20"/>
    <n v="3158000"/>
    <n v="27750"/>
    <d v="2023-03-16T00:00:00"/>
    <s v="UNPAID"/>
    <x v="22"/>
    <n v="122688"/>
    <n v="1"/>
    <s v="Indonesia"/>
    <s v="AJT - ME"/>
    <x v="0"/>
  </r>
  <r>
    <s v="CLICTRUCK-045246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47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48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49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50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51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52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53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54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55"/>
    <s v="domestic"/>
    <x v="124"/>
    <x v="18"/>
    <n v="5600000"/>
    <n v="11100"/>
    <d v="2023-03-18T00:00:00"/>
    <s v="UNPAID"/>
    <x v="20"/>
    <n v="155400"/>
    <n v="1"/>
    <s v="Indonesia"/>
    <s v="CSN - PSL"/>
    <x v="0"/>
  </r>
  <r>
    <s v="CLICTRUCK-045256"/>
    <s v="domestic"/>
    <x v="124"/>
    <x v="9"/>
    <n v="294490"/>
    <n v="24975"/>
    <d v="2023-03-21T00:00:00"/>
    <s v="PAID"/>
    <x v="9"/>
    <n v="9805"/>
    <n v="1"/>
    <s v="Indonesia"/>
    <s v="YSN-SSA"/>
    <x v="0"/>
  </r>
  <r>
    <s v="CLICTRUCK-045257"/>
    <s v="domestic"/>
    <x v="124"/>
    <x v="9"/>
    <n v="2817500"/>
    <n v="24975"/>
    <d v="2023-03-24T00:00:00"/>
    <s v="PAID"/>
    <x v="8"/>
    <n v="93822"/>
    <n v="1"/>
    <s v="Indonesia"/>
    <s v="YSN-FPM"/>
    <x v="0"/>
  </r>
  <r>
    <s v="CLICTRUCK-045271"/>
    <s v="domestic"/>
    <x v="59"/>
    <x v="11"/>
    <n v="4700000"/>
    <n v="5550"/>
    <d v="2023-03-17T00:00:00"/>
    <s v="UNPAID"/>
    <x v="11"/>
    <n v="78255"/>
    <n v="1"/>
    <s v="Indonesia"/>
    <s v="TJL - JPP"/>
    <x v="0"/>
  </r>
  <r>
    <s v="CLICTRUCK-045272"/>
    <s v="domestic"/>
    <x v="59"/>
    <x v="11"/>
    <n v="4700000"/>
    <n v="5550"/>
    <d v="2023-03-17T00:00:00"/>
    <s v="UNPAID"/>
    <x v="11"/>
    <n v="78255"/>
    <n v="1"/>
    <s v="Indonesia"/>
    <s v="TJL - JPP"/>
    <x v="0"/>
  </r>
  <r>
    <s v="CLICTRUCK-045273"/>
    <s v="domestic"/>
    <x v="59"/>
    <x v="11"/>
    <n v="500000"/>
    <n v="5550"/>
    <d v="2023-03-17T00:00:00"/>
    <s v="UNPAID"/>
    <x v="11"/>
    <n v="8325"/>
    <n v="1"/>
    <s v="Indonesia"/>
    <s v="TJL - JPP"/>
    <x v="0"/>
  </r>
  <r>
    <s v="CLICTRUCK-045274"/>
    <s v="domestic"/>
    <x v="59"/>
    <x v="11"/>
    <n v="4200000"/>
    <n v="5550"/>
    <d v="2023-03-17T00:00:00"/>
    <s v="UNPAID"/>
    <x v="11"/>
    <n v="69930"/>
    <n v="1"/>
    <s v="Indonesia"/>
    <s v="TJL - JPP"/>
    <x v="0"/>
  </r>
  <r>
    <s v="CLICTRUCK-045275"/>
    <s v="domestic"/>
    <x v="59"/>
    <x v="11"/>
    <n v="400000"/>
    <n v="5550"/>
    <d v="2023-03-17T00:00:00"/>
    <s v="UNPAID"/>
    <x v="11"/>
    <n v="6660"/>
    <n v="1"/>
    <s v="Indonesia"/>
    <s v="TJL - JPP"/>
    <x v="0"/>
  </r>
  <r>
    <s v="CLICTRUCK-045276"/>
    <s v="domestic"/>
    <x v="59"/>
    <x v="11"/>
    <n v="4700000"/>
    <n v="5550"/>
    <d v="2023-03-17T00:00:00"/>
    <s v="UNPAID"/>
    <x v="11"/>
    <n v="78255"/>
    <n v="1"/>
    <s v="Indonesia"/>
    <s v="TJL - JPP"/>
    <x v="0"/>
  </r>
  <r>
    <s v="CLICTRUCK-045277"/>
    <s v="domestic"/>
    <x v="59"/>
    <x v="11"/>
    <n v="500000"/>
    <n v="5550"/>
    <d v="2023-03-17T00:00:00"/>
    <s v="UNPAID"/>
    <x v="11"/>
    <n v="8325"/>
    <n v="1"/>
    <s v="Indonesia"/>
    <s v="TJL - JPP"/>
    <x v="0"/>
  </r>
  <r>
    <s v="CLICTRUCK-045278"/>
    <s v="domestic"/>
    <x v="59"/>
    <x v="11"/>
    <n v="4900000"/>
    <n v="5550"/>
    <d v="2023-03-17T00:00:00"/>
    <s v="UNPAID"/>
    <x v="11"/>
    <n v="81585"/>
    <n v="1"/>
    <s v="Indonesia"/>
    <s v="TJL - JPP"/>
    <x v="0"/>
  </r>
  <r>
    <s v="CLICTRUCK-045279"/>
    <s v="domestic"/>
    <x v="59"/>
    <x v="11"/>
    <n v="500000"/>
    <n v="5550"/>
    <d v="2023-03-17T00:00:00"/>
    <s v="UNPAID"/>
    <x v="11"/>
    <n v="8325"/>
    <n v="1"/>
    <s v="Indonesia"/>
    <s v="TJL - JPP"/>
    <x v="0"/>
  </r>
  <r>
    <s v="CLICTRUCK-045280"/>
    <s v="domestic"/>
    <x v="59"/>
    <x v="11"/>
    <n v="4900000"/>
    <n v="5550"/>
    <d v="2023-03-17T00:00:00"/>
    <s v="UNPAID"/>
    <x v="11"/>
    <n v="81585"/>
    <n v="1"/>
    <s v="Indonesia"/>
    <s v="TJL - JPP"/>
    <x v="0"/>
  </r>
  <r>
    <s v="CLICTRUCK-045281"/>
    <s v="domestic"/>
    <x v="59"/>
    <x v="11"/>
    <n v="500000"/>
    <n v="5550"/>
    <d v="2023-03-17T00:00:00"/>
    <s v="UNPAID"/>
    <x v="11"/>
    <n v="8325"/>
    <n v="1"/>
    <s v="Indonesia"/>
    <s v="TJL - JPP"/>
    <x v="0"/>
  </r>
  <r>
    <s v="CLICTRUCK-045282"/>
    <s v="domestic"/>
    <x v="59"/>
    <x v="11"/>
    <n v="2700000"/>
    <n v="5550"/>
    <d v="2023-03-17T00:00:00"/>
    <s v="UNPAID"/>
    <x v="11"/>
    <n v="44955"/>
    <n v="1"/>
    <s v="Indonesia"/>
    <s v="TJL - JPP"/>
    <x v="0"/>
  </r>
  <r>
    <s v="CLICTRUCK-045283"/>
    <s v="domestic"/>
    <x v="59"/>
    <x v="11"/>
    <n v="2975000"/>
    <n v="5550"/>
    <d v="2023-03-17T00:00:00"/>
    <s v="UNPAID"/>
    <x v="11"/>
    <n v="49533"/>
    <n v="1"/>
    <s v="Indonesia"/>
    <s v="TJL - JPP"/>
    <x v="0"/>
  </r>
  <r>
    <s v="CLICTRUCK-045284"/>
    <s v="domestic"/>
    <x v="59"/>
    <x v="11"/>
    <n v="1650000"/>
    <n v="5550"/>
    <d v="2023-03-17T00:00:00"/>
    <s v="UNPAID"/>
    <x v="11"/>
    <n v="27472"/>
    <n v="1"/>
    <s v="Indonesia"/>
    <s v="TJL - JPP"/>
    <x v="0"/>
  </r>
  <r>
    <s v="CLICTRUCK-045285"/>
    <s v="domestic"/>
    <x v="59"/>
    <x v="11"/>
    <n v="1650000"/>
    <n v="5550"/>
    <d v="2023-03-17T00:00:00"/>
    <s v="UNPAID"/>
    <x v="11"/>
    <n v="27472"/>
    <n v="1"/>
    <s v="Indonesia"/>
    <s v="TJL - JPP"/>
    <x v="0"/>
  </r>
  <r>
    <s v="CLICTRUCK-045286"/>
    <s v="domestic"/>
    <x v="59"/>
    <x v="11"/>
    <n v="1650000"/>
    <n v="5550"/>
    <d v="2023-03-17T00:00:00"/>
    <s v="UNPAID"/>
    <x v="11"/>
    <n v="27472"/>
    <n v="1"/>
    <s v="Indonesia"/>
    <s v="TJL - JPP"/>
    <x v="0"/>
  </r>
  <r>
    <s v="CLICTRUCK-045287"/>
    <s v="domestic"/>
    <x v="59"/>
    <x v="11"/>
    <n v="4900000"/>
    <n v="5550"/>
    <d v="2023-03-17T00:00:00"/>
    <s v="UNPAID"/>
    <x v="11"/>
    <n v="81585"/>
    <n v="1"/>
    <s v="Indonesia"/>
    <s v="TJL - JPP"/>
    <x v="0"/>
  </r>
  <r>
    <s v="CLICTRUCK-045288"/>
    <s v="domestic"/>
    <x v="59"/>
    <x v="11"/>
    <n v="500000"/>
    <n v="5550"/>
    <d v="2023-03-17T00:00:00"/>
    <s v="UNPAID"/>
    <x v="11"/>
    <n v="8325"/>
    <n v="1"/>
    <s v="Indonesia"/>
    <s v="TJL - JPP"/>
    <x v="0"/>
  </r>
  <r>
    <s v="CLICTRUCK-045289"/>
    <s v="domestic"/>
    <x v="59"/>
    <x v="11"/>
    <n v="4900000"/>
    <n v="5550"/>
    <d v="2023-03-17T00:00:00"/>
    <s v="UNPAID"/>
    <x v="11"/>
    <n v="81585"/>
    <n v="1"/>
    <s v="Indonesia"/>
    <s v="TJL - JPP"/>
    <x v="0"/>
  </r>
  <r>
    <s v="CLICTRUCK-045290"/>
    <s v="domestic"/>
    <x v="59"/>
    <x v="11"/>
    <n v="4600000"/>
    <n v="5550"/>
    <d v="2023-03-17T00:00:00"/>
    <s v="UNPAID"/>
    <x v="11"/>
    <n v="76590"/>
    <n v="1"/>
    <s v="Indonesia"/>
    <s v="TJL - JPP"/>
    <x v="0"/>
  </r>
  <r>
    <s v="CLICTRUCK-045291"/>
    <s v="domestic"/>
    <x v="59"/>
    <x v="11"/>
    <n v="4700000"/>
    <n v="5550"/>
    <d v="2023-03-17T00:00:00"/>
    <s v="UNPAID"/>
    <x v="11"/>
    <n v="78255"/>
    <n v="1"/>
    <s v="Indonesia"/>
    <s v="TJL - JPP"/>
    <x v="0"/>
  </r>
  <r>
    <s v="CLICTRUCK-045292"/>
    <s v="domestic"/>
    <x v="59"/>
    <x v="11"/>
    <n v="500000"/>
    <n v="5550"/>
    <d v="2023-03-17T00:00:00"/>
    <s v="UNPAID"/>
    <x v="11"/>
    <n v="8325"/>
    <n v="1"/>
    <s v="Indonesia"/>
    <s v="TJL - JPP"/>
    <x v="0"/>
  </r>
  <r>
    <s v="CLICTRUCK-045293"/>
    <s v="domestic"/>
    <x v="59"/>
    <x v="11"/>
    <n v="4900000"/>
    <n v="5550"/>
    <d v="2023-03-17T00:00:00"/>
    <s v="UNPAID"/>
    <x v="11"/>
    <n v="81585"/>
    <n v="1"/>
    <s v="Indonesia"/>
    <s v="TJL - JPP"/>
    <x v="0"/>
  </r>
  <r>
    <s v="CLICTRUCK-045294"/>
    <s v="domestic"/>
    <x v="59"/>
    <x v="11"/>
    <n v="500000"/>
    <n v="5550"/>
    <d v="2023-03-17T00:00:00"/>
    <s v="UNPAID"/>
    <x v="11"/>
    <n v="8325"/>
    <n v="1"/>
    <s v="Indonesia"/>
    <s v="TJL - JPP"/>
    <x v="0"/>
  </r>
  <r>
    <s v="CLICTRUCK-045324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325"/>
    <s v="domestic"/>
    <x v="59"/>
    <x v="11"/>
    <n v="30710367"/>
    <n v="5550"/>
    <d v="2023-03-17T00:00:00"/>
    <s v="UNPAID"/>
    <x v="11"/>
    <n v="511327"/>
    <n v="1"/>
    <s v="Indonesia"/>
    <s v="TJL - JPP"/>
    <x v="0"/>
  </r>
  <r>
    <s v="CLICTRUCK-045326"/>
    <s v="domestic"/>
    <x v="59"/>
    <x v="11"/>
    <n v="27832000"/>
    <n v="5550"/>
    <d v="2023-03-17T00:00:00"/>
    <s v="UNPAID"/>
    <x v="11"/>
    <n v="463402"/>
    <n v="1"/>
    <s v="Indonesia"/>
    <s v="TJL - JPP"/>
    <x v="0"/>
  </r>
  <r>
    <s v="CLICTRUCK-045327"/>
    <s v="domestic"/>
    <x v="59"/>
    <x v="11"/>
    <n v="19032951"/>
    <n v="5550"/>
    <d v="2023-03-17T00:00:00"/>
    <s v="UNPAID"/>
    <x v="11"/>
    <n v="316898"/>
    <n v="1"/>
    <s v="Indonesia"/>
    <s v="TJL - JPP"/>
    <x v="0"/>
  </r>
  <r>
    <s v="CLICTRUCK-045328"/>
    <s v="domestic"/>
    <x v="59"/>
    <x v="11"/>
    <n v="22451987"/>
    <n v="5550"/>
    <d v="2023-03-17T00:00:00"/>
    <s v="UNPAID"/>
    <x v="11"/>
    <n v="373824"/>
    <n v="1"/>
    <s v="Indonesia"/>
    <s v="TJL - JPP"/>
    <x v="0"/>
  </r>
  <r>
    <s v="CLICTRUCK-045329"/>
    <s v="domestic"/>
    <x v="59"/>
    <x v="11"/>
    <n v="19443513"/>
    <n v="5550"/>
    <d v="2023-03-17T00:00:00"/>
    <s v="UNPAID"/>
    <x v="11"/>
    <n v="323733"/>
    <n v="1"/>
    <s v="Indonesia"/>
    <s v="TJL - JPP"/>
    <x v="0"/>
  </r>
  <r>
    <s v="CLICTRUCK-045330"/>
    <s v="domestic"/>
    <x v="59"/>
    <x v="11"/>
    <n v="2200000"/>
    <n v="5550"/>
    <d v="2023-03-17T00:00:00"/>
    <s v="UNPAID"/>
    <x v="11"/>
    <n v="36630"/>
    <n v="1"/>
    <s v="Indonesia"/>
    <s v="TJL - JPP"/>
    <x v="0"/>
  </r>
  <r>
    <s v="CLICTRUCK-045331"/>
    <s v="domestic"/>
    <x v="59"/>
    <x v="11"/>
    <n v="979436"/>
    <n v="5550"/>
    <d v="2023-03-17T00:00:00"/>
    <s v="UNPAID"/>
    <x v="11"/>
    <n v="16307"/>
    <n v="1"/>
    <s v="Indonesia"/>
    <s v="TJL - JPP"/>
    <x v="0"/>
  </r>
  <r>
    <s v="CLICTRUCK-045332"/>
    <s v="domestic"/>
    <x v="59"/>
    <x v="11"/>
    <n v="18906927"/>
    <n v="5550"/>
    <d v="2023-03-17T00:00:00"/>
    <s v="UNPAID"/>
    <x v="11"/>
    <n v="314799"/>
    <n v="1"/>
    <s v="Indonesia"/>
    <s v="TJL - JPP"/>
    <x v="0"/>
  </r>
  <r>
    <s v="CLICTRUCK-045333"/>
    <s v="domestic"/>
    <x v="59"/>
    <x v="11"/>
    <n v="18906927"/>
    <n v="5550"/>
    <d v="2023-03-17T00:00:00"/>
    <s v="UNPAID"/>
    <x v="11"/>
    <n v="314799"/>
    <n v="1"/>
    <s v="Indonesia"/>
    <s v="TJL - JPP"/>
    <x v="0"/>
  </r>
  <r>
    <s v="CLICTRUCK-045334"/>
    <s v="domestic"/>
    <x v="59"/>
    <x v="11"/>
    <n v="1238094"/>
    <n v="5550"/>
    <d v="2023-03-17T00:00:00"/>
    <s v="UNPAID"/>
    <x v="11"/>
    <n v="20613"/>
    <n v="1"/>
    <s v="Indonesia"/>
    <s v="TJL - JPP"/>
    <x v="0"/>
  </r>
  <r>
    <s v="CLICTRUCK-045335"/>
    <s v="domestic"/>
    <x v="59"/>
    <x v="11"/>
    <n v="20009813"/>
    <n v="5550"/>
    <d v="2023-03-17T00:00:00"/>
    <s v="UNPAID"/>
    <x v="11"/>
    <n v="333163"/>
    <n v="1"/>
    <s v="Indonesia"/>
    <s v="TJL - JPP"/>
    <x v="0"/>
  </r>
  <r>
    <s v="CLICTRUCK-045336"/>
    <s v="domestic"/>
    <x v="59"/>
    <x v="11"/>
    <n v="23155860"/>
    <n v="5550"/>
    <d v="2023-03-17T00:00:00"/>
    <s v="UNPAID"/>
    <x v="11"/>
    <n v="385544"/>
    <n v="1"/>
    <s v="Indonesia"/>
    <s v="TJL - JPP"/>
    <x v="0"/>
  </r>
  <r>
    <s v="CLICTRUCK-045337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338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339"/>
    <s v="domestic"/>
    <x v="59"/>
    <x v="11"/>
    <n v="19205321"/>
    <n v="5550"/>
    <d v="2023-03-17T00:00:00"/>
    <s v="UNPAID"/>
    <x v="11"/>
    <n v="319767"/>
    <n v="1"/>
    <s v="Indonesia"/>
    <s v="TJL - JPP"/>
    <x v="0"/>
  </r>
  <r>
    <s v="CLICTRUCK-045340"/>
    <s v="domestic"/>
    <x v="59"/>
    <x v="11"/>
    <n v="26085436"/>
    <n v="5550"/>
    <d v="2023-03-17T00:00:00"/>
    <s v="UNPAID"/>
    <x v="11"/>
    <n v="434321"/>
    <n v="1"/>
    <s v="Indonesia"/>
    <s v="TJL - JPP"/>
    <x v="0"/>
  </r>
  <r>
    <s v="CLICTRUCK-045341"/>
    <s v="domestic"/>
    <x v="59"/>
    <x v="11"/>
    <n v="400000"/>
    <n v="5550"/>
    <d v="2023-03-17T00:00:00"/>
    <s v="UNPAID"/>
    <x v="11"/>
    <n v="6660"/>
    <n v="1"/>
    <s v="Indonesia"/>
    <s v="TJL - JPP"/>
    <x v="0"/>
  </r>
  <r>
    <s v="CLICTRUCK-045342"/>
    <s v="domestic"/>
    <x v="59"/>
    <x v="11"/>
    <n v="25894267"/>
    <n v="5550"/>
    <d v="2023-03-17T00:00:00"/>
    <s v="UNPAID"/>
    <x v="11"/>
    <n v="431139"/>
    <n v="1"/>
    <s v="Indonesia"/>
    <s v="TJL - JPP"/>
    <x v="0"/>
  </r>
  <r>
    <s v="CLICTRUCK-045343"/>
    <s v="domestic"/>
    <x v="59"/>
    <x v="11"/>
    <n v="29456000"/>
    <n v="5550"/>
    <d v="2023-03-17T00:00:00"/>
    <s v="UNPAID"/>
    <x v="11"/>
    <n v="490442"/>
    <n v="1"/>
    <s v="Indonesia"/>
    <s v="TJL - JPP"/>
    <x v="0"/>
  </r>
  <r>
    <s v="CLICTRUCK-045344"/>
    <s v="domestic"/>
    <x v="59"/>
    <x v="11"/>
    <n v="27832000"/>
    <n v="5550"/>
    <d v="2023-03-17T00:00:00"/>
    <s v="UNPAID"/>
    <x v="11"/>
    <n v="463402"/>
    <n v="1"/>
    <s v="Indonesia"/>
    <s v="TJL - JPP"/>
    <x v="0"/>
  </r>
  <r>
    <s v="CLICTRUCK-045345"/>
    <s v="domestic"/>
    <x v="59"/>
    <x v="11"/>
    <n v="17346806"/>
    <n v="5550"/>
    <d v="2023-03-17T00:00:00"/>
    <s v="UNPAID"/>
    <x v="11"/>
    <n v="288824"/>
    <n v="1"/>
    <s v="Indonesia"/>
    <s v="TJL - JPP"/>
    <x v="0"/>
  </r>
  <r>
    <s v="CLICTRUCK-045346"/>
    <s v="domestic"/>
    <x v="59"/>
    <x v="11"/>
    <n v="17391248"/>
    <n v="5550"/>
    <d v="2023-03-17T00:00:00"/>
    <s v="UNPAID"/>
    <x v="11"/>
    <n v="289563"/>
    <n v="1"/>
    <s v="Indonesia"/>
    <s v="TJL - JPP"/>
    <x v="0"/>
  </r>
  <r>
    <s v="CLICTRUCK-045347"/>
    <s v="domestic"/>
    <x v="59"/>
    <x v="11"/>
    <n v="17363124"/>
    <n v="5550"/>
    <d v="2023-03-17T00:00:00"/>
    <s v="UNPAID"/>
    <x v="11"/>
    <n v="289095"/>
    <n v="1"/>
    <s v="Indonesia"/>
    <s v="TJL - JPP"/>
    <x v="0"/>
  </r>
  <r>
    <s v="CLICTRUCK-045348"/>
    <s v="domestic"/>
    <x v="59"/>
    <x v="11"/>
    <n v="17464160"/>
    <n v="5550"/>
    <d v="2023-03-17T00:00:00"/>
    <s v="UNPAID"/>
    <x v="11"/>
    <n v="290777"/>
    <n v="1"/>
    <s v="Indonesia"/>
    <s v="TJL - JPP"/>
    <x v="0"/>
  </r>
  <r>
    <s v="CLICTRUCK-045349"/>
    <s v="domestic"/>
    <x v="59"/>
    <x v="11"/>
    <n v="16852393"/>
    <n v="5550"/>
    <d v="2023-03-17T00:00:00"/>
    <s v="UNPAID"/>
    <x v="11"/>
    <n v="280591"/>
    <n v="1"/>
    <s v="Indonesia"/>
    <s v="TJL - JPP"/>
    <x v="0"/>
  </r>
  <r>
    <s v="CLICTRUCK-045350"/>
    <s v="domestic"/>
    <x v="59"/>
    <x v="11"/>
    <n v="25976650"/>
    <n v="5550"/>
    <d v="2023-03-17T00:00:00"/>
    <s v="UNPAID"/>
    <x v="11"/>
    <n v="432510"/>
    <n v="1"/>
    <s v="Indonesia"/>
    <s v="TJL - JPP"/>
    <x v="0"/>
  </r>
  <r>
    <s v="CLICTRUCK-045351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352"/>
    <s v="domestic"/>
    <x v="59"/>
    <x v="11"/>
    <n v="17374235"/>
    <n v="5550"/>
    <d v="2023-03-17T00:00:00"/>
    <s v="UNPAID"/>
    <x v="11"/>
    <n v="289280"/>
    <n v="1"/>
    <s v="Indonesia"/>
    <s v="TJL - JPP"/>
    <x v="0"/>
  </r>
  <r>
    <s v="CLICTRUCK-045353"/>
    <s v="domestic"/>
    <x v="59"/>
    <x v="11"/>
    <n v="26780000"/>
    <n v="5550"/>
    <d v="2023-03-17T00:00:00"/>
    <s v="UNPAID"/>
    <x v="11"/>
    <n v="445887"/>
    <n v="1"/>
    <s v="Indonesia"/>
    <s v="TJL - JPP"/>
    <x v="0"/>
  </r>
  <r>
    <s v="CLICTRUCK-045354"/>
    <s v="domestic"/>
    <x v="59"/>
    <x v="11"/>
    <n v="22725958"/>
    <n v="5550"/>
    <d v="2023-03-17T00:00:00"/>
    <s v="UNPAID"/>
    <x v="11"/>
    <n v="378386"/>
    <n v="1"/>
    <s v="Indonesia"/>
    <s v="TJL - JPP"/>
    <x v="0"/>
  </r>
  <r>
    <s v="CLICTRUCK-045355"/>
    <s v="domestic"/>
    <x v="59"/>
    <x v="11"/>
    <n v="27832000"/>
    <n v="5550"/>
    <d v="2023-03-17T00:00:00"/>
    <s v="UNPAID"/>
    <x v="11"/>
    <n v="463402"/>
    <n v="1"/>
    <s v="Indonesia"/>
    <s v="TJL - JPP"/>
    <x v="0"/>
  </r>
  <r>
    <s v="CLICTRUCK-045356"/>
    <s v="domestic"/>
    <x v="59"/>
    <x v="11"/>
    <n v="19351066"/>
    <n v="5550"/>
    <d v="2023-03-17T00:00:00"/>
    <s v="UNPAID"/>
    <x v="11"/>
    <n v="322194"/>
    <n v="1"/>
    <s v="Indonesia"/>
    <s v="TJL - JPP"/>
    <x v="0"/>
  </r>
  <r>
    <s v="CLICTRUCK-045357"/>
    <s v="domestic"/>
    <x v="59"/>
    <x v="11"/>
    <n v="15717777"/>
    <n v="5550"/>
    <d v="2023-03-17T00:00:00"/>
    <s v="UNPAID"/>
    <x v="11"/>
    <n v="261700"/>
    <n v="1"/>
    <s v="Indonesia"/>
    <s v="TJL - JPP"/>
    <x v="0"/>
  </r>
  <r>
    <s v="CLICTRUCK-045358"/>
    <s v="domestic"/>
    <x v="59"/>
    <x v="11"/>
    <n v="23157540"/>
    <n v="5550"/>
    <d v="2023-03-17T00:00:00"/>
    <s v="UNPAID"/>
    <x v="11"/>
    <n v="385572"/>
    <n v="1"/>
    <s v="Indonesia"/>
    <s v="TJL - JPP"/>
    <x v="0"/>
  </r>
  <r>
    <s v="CLICTRUCK-045359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360"/>
    <s v="domestic"/>
    <x v="59"/>
    <x v="11"/>
    <n v="23023560"/>
    <n v="5550"/>
    <d v="2023-03-17T00:00:00"/>
    <s v="UNPAID"/>
    <x v="11"/>
    <n v="383341"/>
    <n v="1"/>
    <s v="Indonesia"/>
    <s v="TJL - JPP"/>
    <x v="0"/>
  </r>
  <r>
    <s v="CLICTRUCK-045361"/>
    <s v="domestic"/>
    <x v="59"/>
    <x v="11"/>
    <n v="26012275"/>
    <n v="5550"/>
    <d v="2023-03-17T00:00:00"/>
    <s v="UNPAID"/>
    <x v="11"/>
    <n v="433104"/>
    <n v="1"/>
    <s v="Indonesia"/>
    <s v="TJL - JPP"/>
    <x v="0"/>
  </r>
  <r>
    <s v="CLICTRUCK-045362"/>
    <s v="domestic"/>
    <x v="59"/>
    <x v="11"/>
    <n v="30466238"/>
    <n v="5550"/>
    <d v="2023-03-17T00:00:00"/>
    <s v="UNPAID"/>
    <x v="11"/>
    <n v="507262"/>
    <n v="1"/>
    <s v="Indonesia"/>
    <s v="TJL - JPP"/>
    <x v="0"/>
  </r>
  <r>
    <s v="CLICTRUCK-045363"/>
    <s v="domestic"/>
    <x v="59"/>
    <x v="11"/>
    <n v="29561807"/>
    <n v="5550"/>
    <d v="2023-03-17T00:00:00"/>
    <s v="UNPAID"/>
    <x v="11"/>
    <n v="492203"/>
    <n v="1"/>
    <s v="Indonesia"/>
    <s v="TJL - JPP"/>
    <x v="0"/>
  </r>
  <r>
    <s v="CLICTRUCK-045364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365"/>
    <s v="domestic"/>
    <x v="59"/>
    <x v="11"/>
    <n v="17345070"/>
    <n v="5550"/>
    <d v="2023-03-17T00:00:00"/>
    <s v="UNPAID"/>
    <x v="11"/>
    <n v="288795"/>
    <n v="1"/>
    <s v="Indonesia"/>
    <s v="TJL - JPP"/>
    <x v="0"/>
  </r>
  <r>
    <s v="CLICTRUCK-045366"/>
    <s v="domestic"/>
    <x v="59"/>
    <x v="11"/>
    <n v="1093073"/>
    <n v="5550"/>
    <d v="2023-03-17T00:00:00"/>
    <s v="UNPAID"/>
    <x v="11"/>
    <n v="18199"/>
    <n v="1"/>
    <s v="Indonesia"/>
    <s v="TJL - JPP"/>
    <x v="0"/>
  </r>
  <r>
    <s v="CLICTRUCK-045367"/>
    <s v="domestic"/>
    <x v="59"/>
    <x v="11"/>
    <n v="1186146"/>
    <n v="5550"/>
    <d v="2023-03-17T00:00:00"/>
    <s v="UNPAID"/>
    <x v="11"/>
    <n v="19749"/>
    <n v="1"/>
    <s v="Indonesia"/>
    <s v="TJL - JPP"/>
    <x v="0"/>
  </r>
  <r>
    <s v="CLICTRUCK-045368"/>
    <s v="domestic"/>
    <x v="59"/>
    <x v="11"/>
    <n v="979436"/>
    <n v="5550"/>
    <d v="2023-03-17T00:00:00"/>
    <s v="UNPAID"/>
    <x v="11"/>
    <n v="16307"/>
    <n v="1"/>
    <s v="Indonesia"/>
    <s v="TJL - JPP"/>
    <x v="0"/>
  </r>
  <r>
    <s v="CLICTRUCK-045369"/>
    <s v="domestic"/>
    <x v="59"/>
    <x v="11"/>
    <n v="1093073"/>
    <n v="5550"/>
    <d v="2023-03-17T00:00:00"/>
    <s v="UNPAID"/>
    <x v="11"/>
    <n v="18199"/>
    <n v="1"/>
    <s v="Indonesia"/>
    <s v="TJL - JPP"/>
    <x v="0"/>
  </r>
  <r>
    <s v="CLICTRUCK-045370"/>
    <s v="domestic"/>
    <x v="59"/>
    <x v="11"/>
    <n v="1031384"/>
    <n v="5550"/>
    <d v="2023-03-17T00:00:00"/>
    <s v="UNPAID"/>
    <x v="11"/>
    <n v="17171"/>
    <n v="1"/>
    <s v="Indonesia"/>
    <s v="TJL - JPP"/>
    <x v="0"/>
  </r>
  <r>
    <s v="CLICTRUCK-045371"/>
    <s v="domestic"/>
    <x v="59"/>
    <x v="11"/>
    <n v="1093073"/>
    <n v="5550"/>
    <d v="2023-03-19T00:00:00"/>
    <s v="UNPAID"/>
    <x v="11"/>
    <n v="18199"/>
    <n v="1"/>
    <s v="Indonesia"/>
    <s v="TJL - JPP"/>
    <x v="0"/>
  </r>
  <r>
    <s v="CLICTRUCK-045372"/>
    <s v="domestic"/>
    <x v="59"/>
    <x v="11"/>
    <n v="1093073"/>
    <n v="5550"/>
    <d v="2023-03-17T00:00:00"/>
    <s v="UNPAID"/>
    <x v="11"/>
    <n v="18199"/>
    <n v="1"/>
    <s v="Indonesia"/>
    <s v="TJL - JPP"/>
    <x v="0"/>
  </r>
  <r>
    <s v="CLICTRUCK-045373"/>
    <s v="domestic"/>
    <x v="59"/>
    <x v="11"/>
    <n v="1186146"/>
    <n v="5550"/>
    <d v="2023-03-17T00:00:00"/>
    <s v="UNPAID"/>
    <x v="11"/>
    <n v="19749"/>
    <n v="1"/>
    <s v="Indonesia"/>
    <s v="TJL - JPP"/>
    <x v="0"/>
  </r>
  <r>
    <s v="CLICTRUCK-045374"/>
    <s v="domestic"/>
    <x v="59"/>
    <x v="11"/>
    <n v="1093073"/>
    <n v="5550"/>
    <d v="2023-03-17T00:00:00"/>
    <s v="UNPAID"/>
    <x v="11"/>
    <n v="18199"/>
    <n v="1"/>
    <s v="Indonesia"/>
    <s v="TJL - JPP"/>
    <x v="0"/>
  </r>
  <r>
    <s v="CLICTRUCK-045375"/>
    <s v="domestic"/>
    <x v="59"/>
    <x v="11"/>
    <n v="979436"/>
    <n v="5550"/>
    <d v="2023-03-17T00:00:00"/>
    <s v="UNPAID"/>
    <x v="11"/>
    <n v="16307"/>
    <n v="1"/>
    <s v="Indonesia"/>
    <s v="TJL - JPP"/>
    <x v="0"/>
  </r>
  <r>
    <s v="CLICTRUCK-045376"/>
    <s v="domestic"/>
    <x v="59"/>
    <x v="11"/>
    <n v="979436"/>
    <n v="5550"/>
    <d v="2023-03-17T00:00:00"/>
    <s v="UNPAID"/>
    <x v="11"/>
    <n v="16307"/>
    <n v="1"/>
    <s v="Indonesia"/>
    <s v="TJL - JPP"/>
    <x v="0"/>
  </r>
  <r>
    <s v="CLICTRUCK-045377"/>
    <s v="domestic"/>
    <x v="59"/>
    <x v="11"/>
    <n v="1134198"/>
    <n v="5550"/>
    <d v="2023-03-17T00:00:00"/>
    <s v="UNPAID"/>
    <x v="11"/>
    <n v="18883"/>
    <n v="1"/>
    <s v="Indonesia"/>
    <s v="TJL - JPP"/>
    <x v="0"/>
  </r>
  <r>
    <s v="CLICTRUCK-045378"/>
    <s v="domestic"/>
    <x v="59"/>
    <x v="11"/>
    <n v="1134198"/>
    <n v="5550"/>
    <d v="2023-03-17T00:00:00"/>
    <s v="UNPAID"/>
    <x v="11"/>
    <n v="18883"/>
    <n v="1"/>
    <s v="Indonesia"/>
    <s v="TJL - JPP"/>
    <x v="0"/>
  </r>
  <r>
    <s v="CLICTRUCK-045379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380"/>
    <s v="domestic"/>
    <x v="59"/>
    <x v="11"/>
    <n v="30554000"/>
    <n v="5550"/>
    <d v="2023-03-17T00:00:00"/>
    <s v="UNPAID"/>
    <x v="11"/>
    <n v="508724"/>
    <n v="1"/>
    <s v="Indonesia"/>
    <s v="TJL - JPP"/>
    <x v="0"/>
  </r>
  <r>
    <s v="CLICTRUCK-045381"/>
    <s v="domestic"/>
    <x v="59"/>
    <x v="11"/>
    <n v="22480365"/>
    <n v="5550"/>
    <d v="2023-03-17T00:00:00"/>
    <s v="UNPAID"/>
    <x v="11"/>
    <n v="374297"/>
    <n v="1"/>
    <s v="Indonesia"/>
    <s v="TJL - JPP"/>
    <x v="0"/>
  </r>
  <r>
    <s v="CLICTRUCK-045382"/>
    <s v="domestic"/>
    <x v="59"/>
    <x v="11"/>
    <n v="21713664"/>
    <n v="5550"/>
    <d v="2023-03-17T00:00:00"/>
    <s v="UNPAID"/>
    <x v="11"/>
    <n v="361531"/>
    <n v="1"/>
    <s v="Indonesia"/>
    <s v="TJL - JPP"/>
    <x v="0"/>
  </r>
  <r>
    <s v="CLICTRUCK-045383"/>
    <s v="domestic"/>
    <x v="59"/>
    <x v="11"/>
    <n v="17349584"/>
    <n v="5550"/>
    <d v="2023-03-17T00:00:00"/>
    <s v="UNPAID"/>
    <x v="11"/>
    <n v="288869"/>
    <n v="1"/>
    <s v="Indonesia"/>
    <s v="TJL - JPP"/>
    <x v="0"/>
  </r>
  <r>
    <s v="CLICTRUCK-045384"/>
    <s v="domestic"/>
    <x v="59"/>
    <x v="11"/>
    <n v="21649375"/>
    <n v="5550"/>
    <d v="2023-03-17T00:00:00"/>
    <s v="UNPAID"/>
    <x v="11"/>
    <n v="360461"/>
    <n v="1"/>
    <s v="Indonesia"/>
    <s v="TJL - JPP"/>
    <x v="0"/>
  </r>
  <r>
    <s v="CLICTRUCK-045385"/>
    <s v="domestic"/>
    <x v="59"/>
    <x v="11"/>
    <n v="18906826"/>
    <n v="5550"/>
    <d v="2023-03-17T00:00:00"/>
    <s v="UNPAID"/>
    <x v="11"/>
    <n v="314798"/>
    <n v="1"/>
    <s v="Indonesia"/>
    <s v="TJL - JPP"/>
    <x v="0"/>
  </r>
  <r>
    <s v="CLICTRUCK-045386"/>
    <s v="domestic"/>
    <x v="59"/>
    <x v="11"/>
    <n v="18912431"/>
    <n v="5550"/>
    <d v="2023-03-17T00:00:00"/>
    <s v="UNPAID"/>
    <x v="11"/>
    <n v="314891"/>
    <n v="1"/>
    <s v="Indonesia"/>
    <s v="TJL - JPP"/>
    <x v="0"/>
  </r>
  <r>
    <s v="CLICTRUCK-045387"/>
    <s v="domestic"/>
    <x v="59"/>
    <x v="11"/>
    <n v="18657379"/>
    <n v="5550"/>
    <d v="2023-03-17T00:00:00"/>
    <s v="UNPAID"/>
    <x v="11"/>
    <n v="310644"/>
    <n v="1"/>
    <s v="Indonesia"/>
    <s v="TJL - JPP"/>
    <x v="0"/>
  </r>
  <r>
    <s v="CLICTRUCK-045388"/>
    <s v="domestic"/>
    <x v="59"/>
    <x v="11"/>
    <n v="19048716"/>
    <n v="5550"/>
    <d v="2023-03-17T00:00:00"/>
    <s v="UNPAID"/>
    <x v="11"/>
    <n v="317160"/>
    <n v="1"/>
    <s v="Indonesia"/>
    <s v="TJL - JPP"/>
    <x v="0"/>
  </r>
  <r>
    <s v="CLICTRUCK-045389"/>
    <s v="domestic"/>
    <x v="59"/>
    <x v="11"/>
    <n v="19558562"/>
    <n v="5550"/>
    <d v="2023-03-17T00:00:00"/>
    <s v="UNPAID"/>
    <x v="11"/>
    <n v="325649"/>
    <n v="1"/>
    <s v="Indonesia"/>
    <s v="TJL - JPP"/>
    <x v="0"/>
  </r>
  <r>
    <s v="CLICTRUCK-045390"/>
    <s v="domestic"/>
    <x v="59"/>
    <x v="11"/>
    <n v="23010090"/>
    <n v="5550"/>
    <d v="2023-03-17T00:00:00"/>
    <s v="UNPAID"/>
    <x v="11"/>
    <n v="383117"/>
    <n v="1"/>
    <s v="Indonesia"/>
    <s v="TJL - JPP"/>
    <x v="0"/>
  </r>
  <r>
    <s v="CLICTRUCK-045391"/>
    <s v="domestic"/>
    <x v="59"/>
    <x v="11"/>
    <n v="20050634"/>
    <n v="5550"/>
    <d v="2023-03-17T00:00:00"/>
    <s v="UNPAID"/>
    <x v="11"/>
    <n v="333842"/>
    <n v="1"/>
    <s v="Indonesia"/>
    <s v="TJL - JPP"/>
    <x v="0"/>
  </r>
  <r>
    <s v="CLICTRUCK-045392"/>
    <s v="domestic"/>
    <x v="59"/>
    <x v="11"/>
    <n v="23744919"/>
    <n v="5550"/>
    <d v="2023-03-17T00:00:00"/>
    <s v="UNPAID"/>
    <x v="11"/>
    <n v="395352"/>
    <n v="1"/>
    <s v="Indonesia"/>
    <s v="TJL - JPP"/>
    <x v="0"/>
  </r>
  <r>
    <s v="CLICTRUCK-045393"/>
    <s v="domestic"/>
    <x v="59"/>
    <x v="11"/>
    <n v="19028848"/>
    <n v="5550"/>
    <d v="2023-03-17T00:00:00"/>
    <s v="UNPAID"/>
    <x v="11"/>
    <n v="316829"/>
    <n v="1"/>
    <s v="Indonesia"/>
    <s v="TJL - JPP"/>
    <x v="0"/>
  </r>
  <r>
    <s v="CLICTRUCK-045394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395"/>
    <s v="domestic"/>
    <x v="59"/>
    <x v="11"/>
    <n v="17510337"/>
    <n v="5550"/>
    <d v="2023-03-17T00:00:00"/>
    <s v="UNPAID"/>
    <x v="11"/>
    <n v="291547"/>
    <n v="1"/>
    <s v="Indonesia"/>
    <s v="TJL - JPP"/>
    <x v="0"/>
  </r>
  <r>
    <s v="CLICTRUCK-045396"/>
    <s v="domestic"/>
    <x v="59"/>
    <x v="11"/>
    <n v="17527003"/>
    <n v="5550"/>
    <d v="2023-03-17T00:00:00"/>
    <s v="UNPAID"/>
    <x v="11"/>
    <n v="291824"/>
    <n v="1"/>
    <s v="Indonesia"/>
    <s v="TJL - JPP"/>
    <x v="0"/>
  </r>
  <r>
    <s v="CLICTRUCK-045397"/>
    <s v="domestic"/>
    <x v="59"/>
    <x v="11"/>
    <n v="1093073"/>
    <n v="5550"/>
    <d v="2023-03-17T00:00:00"/>
    <s v="UNPAID"/>
    <x v="11"/>
    <n v="18199"/>
    <n v="1"/>
    <s v="Indonesia"/>
    <s v="TJL - JPP"/>
    <x v="0"/>
  </r>
  <r>
    <s v="CLICTRUCK-045398"/>
    <s v="domestic"/>
    <x v="59"/>
    <x v="11"/>
    <n v="1093073"/>
    <n v="5550"/>
    <d v="2023-03-17T00:00:00"/>
    <s v="UNPAID"/>
    <x v="11"/>
    <n v="18199"/>
    <n v="1"/>
    <s v="Indonesia"/>
    <s v="TJL - JPP"/>
    <x v="0"/>
  </r>
  <r>
    <s v="CLICTRUCK-045399"/>
    <s v="domestic"/>
    <x v="59"/>
    <x v="11"/>
    <n v="2220000"/>
    <n v="5550"/>
    <d v="2023-03-17T00:00:00"/>
    <s v="UNPAID"/>
    <x v="11"/>
    <n v="36963"/>
    <n v="1"/>
    <s v="Indonesia"/>
    <s v="TJL - JPP"/>
    <x v="0"/>
  </r>
  <r>
    <s v="CLICTRUCK-045400"/>
    <s v="domestic"/>
    <x v="59"/>
    <x v="11"/>
    <n v="883543"/>
    <n v="5550"/>
    <d v="2023-03-17T00:00:00"/>
    <s v="UNPAID"/>
    <x v="11"/>
    <n v="14710"/>
    <n v="1"/>
    <s v="Indonesia"/>
    <s v="TJL - JPP"/>
    <x v="0"/>
  </r>
  <r>
    <s v="CLICTRUCK-045401"/>
    <s v="domestic"/>
    <x v="59"/>
    <x v="11"/>
    <n v="198088"/>
    <n v="5550"/>
    <d v="2023-03-17T00:00:00"/>
    <s v="UNPAID"/>
    <x v="11"/>
    <n v="3297"/>
    <n v="1"/>
    <s v="Indonesia"/>
    <s v="TJL - JPP"/>
    <x v="0"/>
  </r>
  <r>
    <s v="CLICTRUCK-045402"/>
    <s v="domestic"/>
    <x v="59"/>
    <x v="11"/>
    <n v="889905"/>
    <n v="5550"/>
    <d v="2023-03-17T00:00:00"/>
    <s v="UNPAID"/>
    <x v="11"/>
    <n v="14816"/>
    <n v="1"/>
    <s v="Indonesia"/>
    <s v="TJL - JPP"/>
    <x v="0"/>
  </r>
  <r>
    <s v="CLICTRUCK-045403"/>
    <s v="domestic"/>
    <x v="59"/>
    <x v="11"/>
    <n v="22835400"/>
    <n v="5550"/>
    <d v="2023-03-17T00:00:00"/>
    <s v="UNPAID"/>
    <x v="11"/>
    <n v="380209"/>
    <n v="1"/>
    <s v="Indonesia"/>
    <s v="TJL - JPP"/>
    <x v="0"/>
  </r>
  <r>
    <s v="CLICTRUCK-045404"/>
    <s v="domestic"/>
    <x v="59"/>
    <x v="11"/>
    <n v="24721606"/>
    <n v="5550"/>
    <d v="2023-03-17T00:00:00"/>
    <s v="UNPAID"/>
    <x v="11"/>
    <n v="411614"/>
    <n v="1"/>
    <s v="Indonesia"/>
    <s v="TJL - JPP"/>
    <x v="0"/>
  </r>
  <r>
    <s v="CLICTRUCK-045405"/>
    <s v="domestic"/>
    <x v="59"/>
    <x v="11"/>
    <n v="23386020"/>
    <n v="5550"/>
    <d v="2023-03-17T00:00:00"/>
    <s v="UNPAID"/>
    <x v="11"/>
    <n v="389376"/>
    <n v="1"/>
    <s v="Indonesia"/>
    <s v="TJL - JPP"/>
    <x v="0"/>
  </r>
  <r>
    <s v="CLICTRUCK-045406"/>
    <s v="domestic"/>
    <x v="59"/>
    <x v="11"/>
    <n v="19449081"/>
    <n v="5550"/>
    <d v="2023-03-17T00:00:00"/>
    <s v="UNPAID"/>
    <x v="11"/>
    <n v="323826"/>
    <n v="1"/>
    <s v="Indonesia"/>
    <s v="TJL - JPP"/>
    <x v="0"/>
  </r>
  <r>
    <s v="CLICTRUCK-045407"/>
    <s v="domestic"/>
    <x v="59"/>
    <x v="11"/>
    <n v="13619718"/>
    <n v="5550"/>
    <d v="2023-03-17T00:00:00"/>
    <s v="UNPAID"/>
    <x v="11"/>
    <n v="226767"/>
    <n v="1"/>
    <s v="Indonesia"/>
    <s v="TJL - JPP"/>
    <x v="0"/>
  </r>
  <r>
    <s v="CLICTRUCK-045408"/>
    <s v="domestic"/>
    <x v="59"/>
    <x v="11"/>
    <n v="23480940"/>
    <n v="5550"/>
    <d v="2023-03-18T00:00:00"/>
    <s v="UNPAID"/>
    <x v="11"/>
    <n v="390957"/>
    <n v="1"/>
    <s v="Indonesia"/>
    <s v="TJL - JPP"/>
    <x v="0"/>
  </r>
  <r>
    <s v="CLICTRUCK-045409"/>
    <s v="domestic"/>
    <x v="59"/>
    <x v="11"/>
    <n v="27752032"/>
    <n v="5550"/>
    <d v="2023-03-17T00:00:00"/>
    <s v="UNPAID"/>
    <x v="11"/>
    <n v="462070"/>
    <n v="1"/>
    <s v="Indonesia"/>
    <s v="TJL - JPP"/>
    <x v="0"/>
  </r>
  <r>
    <s v="CLICTRUCK-045410"/>
    <s v="domestic"/>
    <x v="59"/>
    <x v="11"/>
    <n v="19224129"/>
    <n v="5550"/>
    <d v="2023-03-17T00:00:00"/>
    <s v="UNPAID"/>
    <x v="11"/>
    <n v="320080"/>
    <n v="1"/>
    <s v="Indonesia"/>
    <s v="TJL - JPP"/>
    <x v="0"/>
  </r>
  <r>
    <s v="CLICTRUCK-045411"/>
    <s v="domestic"/>
    <x v="59"/>
    <x v="11"/>
    <n v="19549931"/>
    <n v="5550"/>
    <d v="2023-03-17T00:00:00"/>
    <s v="UNPAID"/>
    <x v="11"/>
    <n v="325505"/>
    <n v="1"/>
    <s v="Indonesia"/>
    <s v="TJL - JPP"/>
    <x v="0"/>
  </r>
  <r>
    <s v="CLICTRUCK-045412"/>
    <s v="domestic"/>
    <x v="59"/>
    <x v="11"/>
    <n v="17454438"/>
    <n v="5550"/>
    <d v="2023-03-17T00:00:00"/>
    <s v="UNPAID"/>
    <x v="11"/>
    <n v="290615"/>
    <n v="1"/>
    <s v="Indonesia"/>
    <s v="TJL - JPP"/>
    <x v="0"/>
  </r>
  <r>
    <s v="CLICTRUCK-045413"/>
    <s v="domestic"/>
    <x v="59"/>
    <x v="11"/>
    <n v="17454438"/>
    <n v="5550"/>
    <d v="2023-03-17T00:00:00"/>
    <s v="UNPAID"/>
    <x v="11"/>
    <n v="290615"/>
    <n v="1"/>
    <s v="Indonesia"/>
    <s v="TJL - JPP"/>
    <x v="0"/>
  </r>
  <r>
    <s v="CLICTRUCK-045414"/>
    <s v="domestic"/>
    <x v="59"/>
    <x v="11"/>
    <n v="7765380"/>
    <n v="5550"/>
    <d v="2023-03-17T00:00:00"/>
    <s v="UNPAID"/>
    <x v="11"/>
    <n v="129292"/>
    <n v="1"/>
    <s v="Indonesia"/>
    <s v="TJL - JPP"/>
    <x v="0"/>
  </r>
  <r>
    <s v="CLICTRUCK-045415"/>
    <s v="domestic"/>
    <x v="59"/>
    <x v="11"/>
    <n v="750000"/>
    <n v="5550"/>
    <d v="2023-03-17T00:00:00"/>
    <s v="UNPAID"/>
    <x v="11"/>
    <n v="12487"/>
    <n v="1"/>
    <s v="Indonesia"/>
    <s v="TJL - JPP"/>
    <x v="0"/>
  </r>
  <r>
    <s v="CLICTRUCK-045416"/>
    <s v="domestic"/>
    <x v="59"/>
    <x v="11"/>
    <n v="10000000"/>
    <n v="5550"/>
    <d v="2023-03-17T00:00:00"/>
    <s v="UNPAID"/>
    <x v="11"/>
    <n v="166500"/>
    <n v="1"/>
    <s v="Indonesia"/>
    <s v="TJL - JPP"/>
    <x v="0"/>
  </r>
  <r>
    <s v="CLICTRUCK-045417"/>
    <s v="domestic"/>
    <x v="59"/>
    <x v="11"/>
    <n v="6956745"/>
    <n v="5550"/>
    <d v="2023-03-17T00:00:00"/>
    <s v="UNPAID"/>
    <x v="11"/>
    <n v="115829"/>
    <n v="1"/>
    <s v="Indonesia"/>
    <s v="TJL - JPP"/>
    <x v="0"/>
  </r>
  <r>
    <s v="CLICTRUCK-045418"/>
    <s v="domestic"/>
    <x v="59"/>
    <x v="11"/>
    <n v="528200"/>
    <n v="5550"/>
    <d v="2023-03-17T00:00:00"/>
    <s v="UNPAID"/>
    <x v="11"/>
    <n v="8794"/>
    <n v="1"/>
    <s v="Indonesia"/>
    <s v="TJL - JPP"/>
    <x v="0"/>
  </r>
  <r>
    <s v="CLICTRUCK-045419"/>
    <s v="domestic"/>
    <x v="59"/>
    <x v="11"/>
    <n v="7622580"/>
    <n v="5550"/>
    <d v="2023-03-17T00:00:00"/>
    <s v="UNPAID"/>
    <x v="11"/>
    <n v="126915"/>
    <n v="1"/>
    <s v="Indonesia"/>
    <s v="TJL - JPP"/>
    <x v="0"/>
  </r>
  <r>
    <s v="CLICTRUCK-045420"/>
    <s v="domestic"/>
    <x v="59"/>
    <x v="11"/>
    <n v="351800"/>
    <n v="5550"/>
    <d v="2023-03-17T00:00:00"/>
    <s v="UNPAID"/>
    <x v="11"/>
    <n v="5857"/>
    <n v="1"/>
    <s v="Indonesia"/>
    <s v="TJL - JPP"/>
    <x v="0"/>
  </r>
  <r>
    <s v="CLICTRUCK-045421"/>
    <s v="domestic"/>
    <x v="59"/>
    <x v="11"/>
    <n v="7775460"/>
    <n v="5550"/>
    <d v="2023-03-17T00:00:00"/>
    <s v="UNPAID"/>
    <x v="11"/>
    <n v="129460"/>
    <n v="1"/>
    <s v="Indonesia"/>
    <s v="TJL - JPP"/>
    <x v="0"/>
  </r>
  <r>
    <s v="CLICTRUCK-045422"/>
    <s v="domestic"/>
    <x v="59"/>
    <x v="11"/>
    <n v="595000"/>
    <n v="5550"/>
    <d v="2023-03-17T00:00:00"/>
    <s v="UNPAID"/>
    <x v="11"/>
    <n v="9906"/>
    <n v="1"/>
    <s v="Indonesia"/>
    <s v="TJL - JPP"/>
    <x v="0"/>
  </r>
  <r>
    <s v="CLICTRUCK-045423"/>
    <s v="domestic"/>
    <x v="59"/>
    <x v="11"/>
    <n v="10387563"/>
    <n v="5550"/>
    <d v="2023-03-17T00:00:00"/>
    <s v="UNPAID"/>
    <x v="11"/>
    <n v="172952"/>
    <n v="1"/>
    <s v="Indonesia"/>
    <s v="TJL - JPP"/>
    <x v="0"/>
  </r>
  <r>
    <s v="CLICTRUCK-045424"/>
    <s v="domestic"/>
    <x v="59"/>
    <x v="11"/>
    <n v="8333498"/>
    <n v="5550"/>
    <d v="2023-03-17T00:00:00"/>
    <s v="UNPAID"/>
    <x v="11"/>
    <n v="138752"/>
    <n v="1"/>
    <s v="Indonesia"/>
    <s v="TJL - JPP"/>
    <x v="0"/>
  </r>
  <r>
    <s v="CLICTRUCK-045425"/>
    <s v="domestic"/>
    <x v="59"/>
    <x v="11"/>
    <n v="10100679"/>
    <n v="5550"/>
    <d v="2023-03-17T00:00:00"/>
    <s v="UNPAID"/>
    <x v="11"/>
    <n v="168176"/>
    <n v="1"/>
    <s v="Indonesia"/>
    <s v="TJL - JPP"/>
    <x v="0"/>
  </r>
  <r>
    <s v="CLICTRUCK-045426"/>
    <s v="domestic"/>
    <x v="59"/>
    <x v="11"/>
    <n v="9639680"/>
    <n v="5550"/>
    <d v="2023-03-17T00:00:00"/>
    <s v="UNPAID"/>
    <x v="11"/>
    <n v="160500"/>
    <n v="1"/>
    <s v="Indonesia"/>
    <s v="TJL - JPP"/>
    <x v="0"/>
  </r>
  <r>
    <s v="CLICTRUCK-045427"/>
    <s v="domestic"/>
    <x v="59"/>
    <x v="11"/>
    <n v="10623465"/>
    <n v="5550"/>
    <d v="2023-03-17T00:00:00"/>
    <s v="UNPAID"/>
    <x v="11"/>
    <n v="176879"/>
    <n v="1"/>
    <s v="Indonesia"/>
    <s v="TJL - JPP"/>
    <x v="0"/>
  </r>
  <r>
    <s v="CLICTRUCK-045428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429"/>
    <s v="domestic"/>
    <x v="59"/>
    <x v="11"/>
    <n v="29680000"/>
    <n v="5550"/>
    <d v="2023-03-17T00:00:00"/>
    <s v="UNPAID"/>
    <x v="11"/>
    <n v="494172"/>
    <n v="1"/>
    <s v="Indonesia"/>
    <s v="TJL - JPP"/>
    <x v="0"/>
  </r>
  <r>
    <s v="CLICTRUCK-045430"/>
    <s v="domestic"/>
    <x v="59"/>
    <x v="11"/>
    <n v="25979247"/>
    <n v="5550"/>
    <d v="2023-03-17T00:00:00"/>
    <s v="UNPAID"/>
    <x v="11"/>
    <n v="432553"/>
    <n v="1"/>
    <s v="Indonesia"/>
    <s v="TJL - JPP"/>
    <x v="0"/>
  </r>
  <r>
    <s v="CLICTRUCK-045431"/>
    <s v="domestic"/>
    <x v="59"/>
    <x v="11"/>
    <n v="21185640"/>
    <n v="5550"/>
    <d v="2023-03-17T00:00:00"/>
    <s v="UNPAID"/>
    <x v="11"/>
    <n v="352740"/>
    <n v="1"/>
    <s v="Indonesia"/>
    <s v="TJL - JPP"/>
    <x v="0"/>
  </r>
  <r>
    <s v="CLICTRUCK-045432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433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434"/>
    <s v="domestic"/>
    <x v="59"/>
    <x v="11"/>
    <n v="17398886"/>
    <n v="5550"/>
    <d v="2023-03-17T00:00:00"/>
    <s v="UNPAID"/>
    <x v="11"/>
    <n v="289691"/>
    <n v="1"/>
    <s v="Indonesia"/>
    <s v="TJL - JPP"/>
    <x v="0"/>
  </r>
  <r>
    <s v="CLICTRUCK-045435"/>
    <s v="domestic"/>
    <x v="59"/>
    <x v="11"/>
    <n v="19601568"/>
    <n v="5550"/>
    <d v="2023-03-17T00:00:00"/>
    <s v="UNPAID"/>
    <x v="11"/>
    <n v="326365"/>
    <n v="1"/>
    <s v="Indonesia"/>
    <s v="TJL - JPP"/>
    <x v="0"/>
  </r>
  <r>
    <s v="CLICTRUCK-045436"/>
    <s v="domestic"/>
    <x v="59"/>
    <x v="11"/>
    <n v="25829325"/>
    <n v="5550"/>
    <d v="2023-03-17T00:00:00"/>
    <s v="UNPAID"/>
    <x v="11"/>
    <n v="430057"/>
    <n v="1"/>
    <s v="Indonesia"/>
    <s v="TJL - JPP"/>
    <x v="0"/>
  </r>
  <r>
    <s v="CLICTRUCK-045437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438"/>
    <s v="domestic"/>
    <x v="59"/>
    <x v="11"/>
    <n v="1028310"/>
    <n v="5550"/>
    <d v="2023-03-17T00:00:00"/>
    <s v="UNPAID"/>
    <x v="11"/>
    <n v="17120"/>
    <n v="1"/>
    <s v="Indonesia"/>
    <s v="TJL - JPP"/>
    <x v="0"/>
  </r>
  <r>
    <s v="CLICTRUCK-045439"/>
    <s v="domestic"/>
    <x v="59"/>
    <x v="11"/>
    <n v="897887"/>
    <n v="5550"/>
    <d v="2023-03-17T00:00:00"/>
    <s v="UNPAID"/>
    <x v="11"/>
    <n v="14949"/>
    <n v="1"/>
    <s v="Indonesia"/>
    <s v="TJL - JPP"/>
    <x v="0"/>
  </r>
  <r>
    <s v="CLICTRUCK-045440"/>
    <s v="domestic"/>
    <x v="59"/>
    <x v="11"/>
    <n v="764282"/>
    <n v="5550"/>
    <d v="2023-03-17T00:00:00"/>
    <s v="UNPAID"/>
    <x v="11"/>
    <n v="12725"/>
    <n v="1"/>
    <s v="Indonesia"/>
    <s v="TJL - JPP"/>
    <x v="0"/>
  </r>
  <r>
    <s v="CLICTRUCK-045441"/>
    <s v="domestic"/>
    <x v="59"/>
    <x v="11"/>
    <n v="2220000"/>
    <n v="5550"/>
    <d v="2023-03-17T00:00:00"/>
    <s v="UNPAID"/>
    <x v="11"/>
    <n v="36963"/>
    <n v="1"/>
    <s v="Indonesia"/>
    <s v="TJL - JPP"/>
    <x v="0"/>
  </r>
  <r>
    <s v="CLICTRUCK-045442"/>
    <s v="domestic"/>
    <x v="59"/>
    <x v="11"/>
    <n v="979436"/>
    <n v="5550"/>
    <d v="2023-03-17T00:00:00"/>
    <s v="UNPAID"/>
    <x v="11"/>
    <n v="16307"/>
    <n v="1"/>
    <s v="Indonesia"/>
    <s v="TJL - JPP"/>
    <x v="0"/>
  </r>
  <r>
    <s v="CLICTRUCK-045443"/>
    <s v="domestic"/>
    <x v="59"/>
    <x v="11"/>
    <n v="2220000"/>
    <n v="5550"/>
    <d v="2023-03-17T00:00:00"/>
    <s v="UNPAID"/>
    <x v="11"/>
    <n v="36963"/>
    <n v="1"/>
    <s v="Indonesia"/>
    <s v="TJL - JPP"/>
    <x v="0"/>
  </r>
  <r>
    <s v="CLICTRUCK-045444"/>
    <s v="domestic"/>
    <x v="59"/>
    <x v="11"/>
    <n v="1093073"/>
    <n v="5550"/>
    <d v="2023-03-17T00:00:00"/>
    <s v="UNPAID"/>
    <x v="11"/>
    <n v="18199"/>
    <n v="1"/>
    <s v="Indonesia"/>
    <s v="TJL - JPP"/>
    <x v="0"/>
  </r>
  <r>
    <s v="CLICTRUCK-045445"/>
    <s v="domestic"/>
    <x v="59"/>
    <x v="11"/>
    <n v="1031384"/>
    <n v="5550"/>
    <d v="2023-03-17T00:00:00"/>
    <s v="UNPAID"/>
    <x v="11"/>
    <n v="17171"/>
    <n v="1"/>
    <s v="Indonesia"/>
    <s v="TJL - JPP"/>
    <x v="0"/>
  </r>
  <r>
    <s v="CLICTRUCK-045446"/>
    <s v="domestic"/>
    <x v="59"/>
    <x v="11"/>
    <n v="1093073"/>
    <n v="5550"/>
    <d v="2023-03-17T00:00:00"/>
    <s v="UNPAID"/>
    <x v="11"/>
    <n v="18199"/>
    <n v="1"/>
    <s v="Indonesia"/>
    <s v="TJL - JPP"/>
    <x v="0"/>
  </r>
  <r>
    <s v="CLICTRUCK-045447"/>
    <s v="domestic"/>
    <x v="59"/>
    <x v="11"/>
    <n v="1031384"/>
    <n v="5550"/>
    <d v="2023-03-17T00:00:00"/>
    <s v="UNPAID"/>
    <x v="11"/>
    <n v="17171"/>
    <n v="1"/>
    <s v="Indonesia"/>
    <s v="TJL - JPP"/>
    <x v="0"/>
  </r>
  <r>
    <s v="CLICTRUCK-045448"/>
    <s v="domestic"/>
    <x v="59"/>
    <x v="11"/>
    <n v="2220000"/>
    <n v="5550"/>
    <d v="2023-03-17T00:00:00"/>
    <s v="UNPAID"/>
    <x v="11"/>
    <n v="36963"/>
    <n v="1"/>
    <s v="Indonesia"/>
    <s v="TJL - JPP"/>
    <x v="0"/>
  </r>
  <r>
    <s v="CLICTRUCK-045449"/>
    <s v="domestic"/>
    <x v="59"/>
    <x v="11"/>
    <n v="901209"/>
    <n v="5550"/>
    <d v="2023-03-17T00:00:00"/>
    <s v="UNPAID"/>
    <x v="11"/>
    <n v="15004"/>
    <n v="1"/>
    <s v="Indonesia"/>
    <s v="TJL - JPP"/>
    <x v="0"/>
  </r>
  <r>
    <s v="CLICTRUCK-045450"/>
    <s v="domestic"/>
    <x v="59"/>
    <x v="11"/>
    <n v="2220000"/>
    <n v="5550"/>
    <d v="2023-03-17T00:00:00"/>
    <s v="UNPAID"/>
    <x v="11"/>
    <n v="36963"/>
    <n v="1"/>
    <s v="Indonesia"/>
    <s v="TJL - JPP"/>
    <x v="0"/>
  </r>
  <r>
    <s v="CLICTRUCK-045451"/>
    <s v="domestic"/>
    <x v="59"/>
    <x v="11"/>
    <n v="1031384"/>
    <n v="5550"/>
    <d v="2023-03-17T00:00:00"/>
    <s v="UNPAID"/>
    <x v="11"/>
    <n v="17171"/>
    <n v="1"/>
    <s v="Indonesia"/>
    <s v="TJL - JPP"/>
    <x v="0"/>
  </r>
  <r>
    <s v="CLICTRUCK-045452"/>
    <s v="domestic"/>
    <x v="59"/>
    <x v="11"/>
    <n v="27369048"/>
    <n v="5550"/>
    <d v="2023-03-17T00:00:00"/>
    <s v="UNPAID"/>
    <x v="11"/>
    <n v="455693"/>
    <n v="1"/>
    <s v="Indonesia"/>
    <s v="TJL - JPP"/>
    <x v="0"/>
  </r>
  <r>
    <s v="CLICTRUCK-045453"/>
    <s v="domestic"/>
    <x v="59"/>
    <x v="11"/>
    <n v="18911030"/>
    <n v="5550"/>
    <d v="2023-03-17T00:00:00"/>
    <s v="UNPAID"/>
    <x v="11"/>
    <n v="314868"/>
    <n v="1"/>
    <s v="Indonesia"/>
    <s v="TJL - JPP"/>
    <x v="0"/>
  </r>
  <r>
    <s v="CLICTRUCK-045454"/>
    <s v="domestic"/>
    <x v="59"/>
    <x v="11"/>
    <n v="25965517"/>
    <n v="5550"/>
    <d v="2023-03-17T00:00:00"/>
    <s v="UNPAID"/>
    <x v="11"/>
    <n v="432325"/>
    <n v="1"/>
    <s v="Indonesia"/>
    <s v="TJL - JPP"/>
    <x v="0"/>
  </r>
  <r>
    <s v="CLICTRUCK-045455"/>
    <s v="domestic"/>
    <x v="59"/>
    <x v="11"/>
    <n v="19396075"/>
    <n v="5550"/>
    <d v="2023-03-17T00:00:00"/>
    <s v="UNPAID"/>
    <x v="11"/>
    <n v="322944"/>
    <n v="1"/>
    <s v="Indonesia"/>
    <s v="TJL - JPP"/>
    <x v="0"/>
  </r>
  <r>
    <s v="CLICTRUCK-045456"/>
    <s v="domestic"/>
    <x v="59"/>
    <x v="11"/>
    <n v="25697957"/>
    <n v="5550"/>
    <d v="2023-03-17T00:00:00"/>
    <s v="UNPAID"/>
    <x v="11"/>
    <n v="427870"/>
    <n v="1"/>
    <s v="Indonesia"/>
    <s v="TJL - JPP"/>
    <x v="0"/>
  </r>
  <r>
    <s v="CLICTRUCK-045457"/>
    <s v="domestic"/>
    <x v="59"/>
    <x v="11"/>
    <n v="22371720"/>
    <n v="5550"/>
    <d v="2023-03-17T00:00:00"/>
    <s v="UNPAID"/>
    <x v="11"/>
    <n v="372488"/>
    <n v="1"/>
    <s v="Indonesia"/>
    <s v="TJL - JPP"/>
    <x v="0"/>
  </r>
  <r>
    <s v="CLICTRUCK-045458"/>
    <s v="domestic"/>
    <x v="59"/>
    <x v="11"/>
    <n v="25663817"/>
    <n v="5550"/>
    <d v="2023-03-17T00:00:00"/>
    <s v="UNPAID"/>
    <x v="11"/>
    <n v="427302"/>
    <n v="1"/>
    <s v="Indonesia"/>
    <s v="TJL - JPP"/>
    <x v="0"/>
  </r>
  <r>
    <s v="CLICTRUCK-045459"/>
    <s v="domestic"/>
    <x v="59"/>
    <x v="11"/>
    <n v="25200000"/>
    <n v="5550"/>
    <d v="2023-03-17T00:00:00"/>
    <s v="UNPAID"/>
    <x v="11"/>
    <n v="419580"/>
    <n v="1"/>
    <s v="Indonesia"/>
    <s v="TJL - JPP"/>
    <x v="0"/>
  </r>
  <r>
    <s v="CLICTRUCK-045463"/>
    <s v="domestic"/>
    <x v="59"/>
    <x v="9"/>
    <n v="294490"/>
    <n v="24975"/>
    <d v="2023-03-21T00:00:00"/>
    <s v="PAID"/>
    <x v="9"/>
    <n v="9805"/>
    <n v="1"/>
    <s v="Indonesia"/>
    <s v="YSN-SSA"/>
    <x v="0"/>
  </r>
  <r>
    <s v="CLICTRUCK-045484"/>
    <s v="domestic"/>
    <x v="60"/>
    <x v="11"/>
    <n v="15525000"/>
    <n v="5550"/>
    <d v="2023-03-17T00:00:00"/>
    <s v="UNPAID"/>
    <x v="11"/>
    <n v="258491"/>
    <n v="1"/>
    <s v="Indonesia"/>
    <s v="TJL - JPP"/>
    <x v="0"/>
  </r>
  <r>
    <s v="CLICTRUCK-045485"/>
    <s v="domestic"/>
    <x v="60"/>
    <x v="11"/>
    <n v="150000"/>
    <n v="5550"/>
    <d v="2023-03-17T00:00:00"/>
    <s v="UNPAID"/>
    <x v="11"/>
    <n v="2497"/>
    <n v="1"/>
    <s v="Indonesia"/>
    <s v="TJL - JPP"/>
    <x v="0"/>
  </r>
  <r>
    <s v="CLICTRUCK-045486"/>
    <s v="domestic"/>
    <x v="60"/>
    <x v="11"/>
    <n v="16100000"/>
    <n v="5550"/>
    <d v="2023-03-17T00:00:00"/>
    <s v="UNPAID"/>
    <x v="11"/>
    <n v="268065"/>
    <n v="1"/>
    <s v="Indonesia"/>
    <s v="TJL - JPP"/>
    <x v="0"/>
  </r>
  <r>
    <s v="CLICTRUCK-045487"/>
    <s v="domestic"/>
    <x v="60"/>
    <x v="11"/>
    <n v="16675000"/>
    <n v="5550"/>
    <d v="2023-03-17T00:00:00"/>
    <s v="UNPAID"/>
    <x v="11"/>
    <n v="277638"/>
    <n v="1"/>
    <s v="Indonesia"/>
    <s v="TJL - JPP"/>
    <x v="0"/>
  </r>
  <r>
    <s v="CLICTRUCK-045488"/>
    <s v="domestic"/>
    <x v="60"/>
    <x v="11"/>
    <n v="11155000"/>
    <n v="5550"/>
    <d v="2023-03-17T00:00:00"/>
    <s v="UNPAID"/>
    <x v="11"/>
    <n v="185730"/>
    <n v="1"/>
    <s v="Indonesia"/>
    <s v="TJL - JPP"/>
    <x v="0"/>
  </r>
  <r>
    <s v="CLICTRUCK-045489"/>
    <s v="domestic"/>
    <x v="60"/>
    <x v="11"/>
    <n v="12075000"/>
    <n v="5550"/>
    <d v="2023-03-17T00:00:00"/>
    <s v="UNPAID"/>
    <x v="11"/>
    <n v="201048"/>
    <n v="1"/>
    <s v="Indonesia"/>
    <s v="TJL - JPP"/>
    <x v="0"/>
  </r>
  <r>
    <s v="CLICTRUCK-045490"/>
    <s v="domestic"/>
    <x v="60"/>
    <x v="11"/>
    <n v="12535000"/>
    <n v="5550"/>
    <d v="2023-03-17T00:00:00"/>
    <s v="UNPAID"/>
    <x v="11"/>
    <n v="208707"/>
    <n v="1"/>
    <s v="Indonesia"/>
    <s v="TJL - JPP"/>
    <x v="0"/>
  </r>
  <r>
    <s v="CLICTRUCK-045491"/>
    <s v="domestic"/>
    <x v="60"/>
    <x v="11"/>
    <n v="12075000"/>
    <n v="5550"/>
    <d v="2023-03-17T00:00:00"/>
    <s v="UNPAID"/>
    <x v="11"/>
    <n v="201048"/>
    <n v="1"/>
    <s v="Indonesia"/>
    <s v="TJL - JPP"/>
    <x v="0"/>
  </r>
  <r>
    <s v="CLICTRUCK-045492"/>
    <s v="domestic"/>
    <x v="60"/>
    <x v="11"/>
    <n v="29325000"/>
    <n v="5550"/>
    <d v="2023-03-17T00:00:00"/>
    <s v="UNPAID"/>
    <x v="11"/>
    <n v="488261"/>
    <n v="1"/>
    <s v="Indonesia"/>
    <s v="TJL - JPP"/>
    <x v="0"/>
  </r>
  <r>
    <s v="CLICTRUCK-045493"/>
    <s v="domestic"/>
    <x v="60"/>
    <x v="11"/>
    <n v="14950000"/>
    <n v="5550"/>
    <d v="2023-03-17T00:00:00"/>
    <s v="UNPAID"/>
    <x v="11"/>
    <n v="248917"/>
    <n v="1"/>
    <s v="Indonesia"/>
    <s v="TJL - JPP"/>
    <x v="0"/>
  </r>
  <r>
    <s v="CLICTRUCK-045494"/>
    <s v="domestic"/>
    <x v="60"/>
    <x v="11"/>
    <n v="12075000"/>
    <n v="5550"/>
    <d v="2023-03-17T00:00:00"/>
    <s v="UNPAID"/>
    <x v="11"/>
    <n v="201048"/>
    <n v="1"/>
    <s v="Indonesia"/>
    <s v="TJL - JPP"/>
    <x v="0"/>
  </r>
  <r>
    <s v="CLICTRUCK-045495"/>
    <s v="domestic"/>
    <x v="60"/>
    <x v="11"/>
    <n v="12075000"/>
    <n v="5550"/>
    <d v="2023-03-17T00:00:00"/>
    <s v="UNPAID"/>
    <x v="11"/>
    <n v="201048"/>
    <n v="1"/>
    <s v="Indonesia"/>
    <s v="TJL - JPP"/>
    <x v="0"/>
  </r>
  <r>
    <s v="CLICTRUCK-045496"/>
    <s v="domestic"/>
    <x v="60"/>
    <x v="11"/>
    <n v="11500000"/>
    <n v="5550"/>
    <d v="2023-03-17T00:00:00"/>
    <s v="UNPAID"/>
    <x v="11"/>
    <n v="191475"/>
    <n v="1"/>
    <s v="Indonesia"/>
    <s v="TJL - JPP"/>
    <x v="0"/>
  </r>
  <r>
    <s v="CLICTRUCK-045497"/>
    <s v="domestic"/>
    <x v="60"/>
    <x v="11"/>
    <n v="12075000"/>
    <n v="5550"/>
    <d v="2023-03-17T00:00:00"/>
    <s v="UNPAID"/>
    <x v="11"/>
    <n v="201048"/>
    <n v="1"/>
    <s v="Indonesia"/>
    <s v="TJL - JPP"/>
    <x v="0"/>
  </r>
  <r>
    <s v="CLICTRUCK-045498"/>
    <s v="domestic"/>
    <x v="60"/>
    <x v="11"/>
    <n v="2200000"/>
    <n v="5550"/>
    <d v="2023-03-17T00:00:00"/>
    <s v="UNPAID"/>
    <x v="11"/>
    <n v="36630"/>
    <n v="1"/>
    <s v="Indonesia"/>
    <s v="TJL - JPP"/>
    <x v="0"/>
  </r>
  <r>
    <s v="CLICTRUCK-045499"/>
    <s v="domestic"/>
    <x v="60"/>
    <x v="11"/>
    <n v="12075000"/>
    <n v="5550"/>
    <d v="2023-03-17T00:00:00"/>
    <s v="UNPAID"/>
    <x v="11"/>
    <n v="201048"/>
    <n v="1"/>
    <s v="Indonesia"/>
    <s v="TJL - JPP"/>
    <x v="0"/>
  </r>
  <r>
    <s v="CLICTRUCK-045500"/>
    <s v="domestic"/>
    <x v="60"/>
    <x v="11"/>
    <n v="22425000"/>
    <n v="5550"/>
    <d v="2023-03-17T00:00:00"/>
    <s v="UNPAID"/>
    <x v="11"/>
    <n v="373376"/>
    <n v="1"/>
    <s v="Indonesia"/>
    <s v="TJL - JPP"/>
    <x v="0"/>
  </r>
  <r>
    <s v="CLICTRUCK-045501"/>
    <s v="domestic"/>
    <x v="60"/>
    <x v="11"/>
    <n v="4290000"/>
    <n v="5550"/>
    <d v="2023-03-17T00:00:00"/>
    <s v="UNPAID"/>
    <x v="11"/>
    <n v="71428"/>
    <n v="1"/>
    <s v="Indonesia"/>
    <s v="TJL - JPP"/>
    <x v="0"/>
  </r>
  <r>
    <s v="CLICTRUCK-045502"/>
    <s v="domestic"/>
    <x v="60"/>
    <x v="11"/>
    <n v="19550000"/>
    <n v="5550"/>
    <d v="2023-03-17T00:00:00"/>
    <s v="UNPAID"/>
    <x v="11"/>
    <n v="325507"/>
    <n v="1"/>
    <s v="Indonesia"/>
    <s v="TJL - JPP"/>
    <x v="0"/>
  </r>
  <r>
    <s v="CLICTRUCK-045503"/>
    <s v="domestic"/>
    <x v="60"/>
    <x v="11"/>
    <n v="2200000"/>
    <n v="5550"/>
    <d v="2023-03-17T00:00:00"/>
    <s v="UNPAID"/>
    <x v="11"/>
    <n v="36630"/>
    <n v="1"/>
    <s v="Indonesia"/>
    <s v="TJL - JPP"/>
    <x v="0"/>
  </r>
  <r>
    <s v="CLICTRUCK-045504"/>
    <s v="domestic"/>
    <x v="60"/>
    <x v="11"/>
    <n v="18020000"/>
    <n v="5550"/>
    <d v="2023-03-17T00:00:00"/>
    <s v="UNPAID"/>
    <x v="11"/>
    <n v="300033"/>
    <n v="1"/>
    <s v="Indonesia"/>
    <s v="TJL - JPP"/>
    <x v="0"/>
  </r>
  <r>
    <s v="CLICTRUCK-045505"/>
    <s v="domestic"/>
    <x v="60"/>
    <x v="11"/>
    <n v="19550000"/>
    <n v="5550"/>
    <d v="2023-03-17T00:00:00"/>
    <s v="UNPAID"/>
    <x v="11"/>
    <n v="325507"/>
    <n v="1"/>
    <s v="Indonesia"/>
    <s v="TJL - JPP"/>
    <x v="0"/>
  </r>
  <r>
    <s v="CLICTRUCK-045506"/>
    <s v="domestic"/>
    <x v="60"/>
    <x v="11"/>
    <n v="19550000"/>
    <n v="5550"/>
    <d v="2023-03-17T00:00:00"/>
    <s v="UNPAID"/>
    <x v="11"/>
    <n v="325507"/>
    <n v="1"/>
    <s v="Indonesia"/>
    <s v="TJL - JPP"/>
    <x v="0"/>
  </r>
  <r>
    <s v="CLICTRUCK-045507"/>
    <s v="domestic"/>
    <x v="60"/>
    <x v="11"/>
    <n v="19550000"/>
    <n v="5550"/>
    <d v="2023-03-17T00:00:00"/>
    <s v="UNPAID"/>
    <x v="11"/>
    <n v="325507"/>
    <n v="1"/>
    <s v="Indonesia"/>
    <s v="TJL - JPP"/>
    <x v="0"/>
  </r>
  <r>
    <s v="CLICTRUCK-045508"/>
    <s v="domestic"/>
    <x v="60"/>
    <x v="11"/>
    <n v="10225000"/>
    <n v="5550"/>
    <d v="2023-03-17T00:00:00"/>
    <s v="UNPAID"/>
    <x v="11"/>
    <n v="170246"/>
    <n v="1"/>
    <s v="Indonesia"/>
    <s v="TJL - JPP"/>
    <x v="0"/>
  </r>
  <r>
    <s v="CLICTRUCK-045509"/>
    <s v="domestic"/>
    <x v="60"/>
    <x v="11"/>
    <n v="11155000"/>
    <n v="5550"/>
    <d v="2023-03-17T00:00:00"/>
    <s v="UNPAID"/>
    <x v="11"/>
    <n v="185730"/>
    <n v="1"/>
    <s v="Indonesia"/>
    <s v="TJL - JPP"/>
    <x v="0"/>
  </r>
  <r>
    <s v="CLICTRUCK-045510"/>
    <s v="domestic"/>
    <x v="60"/>
    <x v="11"/>
    <n v="2640000"/>
    <n v="5550"/>
    <d v="2023-03-17T00:00:00"/>
    <s v="UNPAID"/>
    <x v="11"/>
    <n v="43956"/>
    <n v="1"/>
    <s v="Indonesia"/>
    <s v="TJL - JPP"/>
    <x v="0"/>
  </r>
  <r>
    <s v="CLICTRUCK-045511"/>
    <s v="domestic"/>
    <x v="60"/>
    <x v="24"/>
    <n v="350000000"/>
    <n v="27750"/>
    <d v="2023-03-19T00:00:00"/>
    <s v="UNPAID"/>
    <x v="27"/>
    <n v="21367500"/>
    <n v="1"/>
    <s v="Indonesia"/>
    <s v="LST - TJA"/>
    <x v="0"/>
  </r>
  <r>
    <s v="CLICTRUCK-045512"/>
    <s v="domestic"/>
    <x v="60"/>
    <x v="12"/>
    <n v="3700000"/>
    <n v="27750"/>
    <d v="2023-03-21T00:00:00"/>
    <s v="UNPAID"/>
    <x v="13"/>
    <n v="102675"/>
    <n v="1"/>
    <s v="Indonesia"/>
    <s v="RPL - NBM"/>
    <x v="0"/>
  </r>
  <r>
    <s v="CLICTRUCK-045513"/>
    <s v="domestic"/>
    <x v="60"/>
    <x v="11"/>
    <n v="9775000"/>
    <n v="5550"/>
    <d v="2023-03-17T00:00:00"/>
    <s v="UNPAID"/>
    <x v="11"/>
    <n v="162753"/>
    <n v="1"/>
    <s v="Indonesia"/>
    <s v="TJL - JPP"/>
    <x v="0"/>
  </r>
  <r>
    <s v="CLICTRUCK-045514"/>
    <s v="domestic"/>
    <x v="60"/>
    <x v="11"/>
    <n v="26450000"/>
    <n v="5550"/>
    <d v="2023-03-17T00:00:00"/>
    <s v="UNPAID"/>
    <x v="11"/>
    <n v="440392"/>
    <n v="1"/>
    <s v="Indonesia"/>
    <s v="TJL - JPP"/>
    <x v="0"/>
  </r>
  <r>
    <s v="CLICTRUCK-045515"/>
    <s v="domestic"/>
    <x v="60"/>
    <x v="11"/>
    <n v="9200000"/>
    <n v="5550"/>
    <d v="2023-03-17T00:00:00"/>
    <s v="UNPAID"/>
    <x v="11"/>
    <n v="153180"/>
    <n v="1"/>
    <s v="Indonesia"/>
    <s v="TJL - JPP"/>
    <x v="0"/>
  </r>
  <r>
    <s v="CLICTRUCK-045516"/>
    <s v="domestic"/>
    <x v="60"/>
    <x v="11"/>
    <n v="18975000"/>
    <n v="5550"/>
    <d v="2023-03-17T00:00:00"/>
    <s v="UNPAID"/>
    <x v="11"/>
    <n v="315933"/>
    <n v="1"/>
    <s v="Indonesia"/>
    <s v="TJL - JPP"/>
    <x v="0"/>
  </r>
  <r>
    <s v="CLICTRUCK-045517"/>
    <s v="domestic"/>
    <x v="60"/>
    <x v="11"/>
    <n v="9832500"/>
    <n v="5550"/>
    <d v="2023-03-17T00:00:00"/>
    <s v="UNPAID"/>
    <x v="11"/>
    <n v="163710"/>
    <n v="1"/>
    <s v="Indonesia"/>
    <s v="TJL - JPP"/>
    <x v="0"/>
  </r>
  <r>
    <s v="CLICTRUCK-045518"/>
    <s v="domestic"/>
    <x v="60"/>
    <x v="11"/>
    <n v="19550000"/>
    <n v="5550"/>
    <d v="2023-03-17T00:00:00"/>
    <s v="UNPAID"/>
    <x v="11"/>
    <n v="325507"/>
    <n v="1"/>
    <s v="Indonesia"/>
    <s v="TJL - JPP"/>
    <x v="0"/>
  </r>
  <r>
    <s v="CLICTRUCK-045519"/>
    <s v="domestic"/>
    <x v="60"/>
    <x v="11"/>
    <n v="14950000"/>
    <n v="5550"/>
    <d v="2023-03-17T00:00:00"/>
    <s v="UNPAID"/>
    <x v="11"/>
    <n v="248917"/>
    <n v="1"/>
    <s v="Indonesia"/>
    <s v="TJL - JPP"/>
    <x v="0"/>
  </r>
  <r>
    <s v="CLICTRUCK-045520"/>
    <s v="domestic"/>
    <x v="60"/>
    <x v="11"/>
    <n v="15525000"/>
    <n v="5550"/>
    <d v="2023-03-17T00:00:00"/>
    <s v="UNPAID"/>
    <x v="11"/>
    <n v="258491"/>
    <n v="1"/>
    <s v="Indonesia"/>
    <s v="TJL - JPP"/>
    <x v="0"/>
  </r>
  <r>
    <s v="CLICTRUCK-045521"/>
    <s v="domestic"/>
    <x v="60"/>
    <x v="11"/>
    <n v="12420000"/>
    <n v="5550"/>
    <d v="2023-03-17T00:00:00"/>
    <s v="UNPAID"/>
    <x v="11"/>
    <n v="206793"/>
    <n v="1"/>
    <s v="Indonesia"/>
    <s v="TJL - JPP"/>
    <x v="0"/>
  </r>
  <r>
    <s v="CLICTRUCK-045522"/>
    <s v="domestic"/>
    <x v="60"/>
    <x v="11"/>
    <n v="15525000"/>
    <n v="5550"/>
    <d v="2023-03-17T00:00:00"/>
    <s v="UNPAID"/>
    <x v="11"/>
    <n v="258491"/>
    <n v="1"/>
    <s v="Indonesia"/>
    <s v="TJL - JPP"/>
    <x v="0"/>
  </r>
  <r>
    <s v="CLICTRUCK-045523"/>
    <s v="domestic"/>
    <x v="60"/>
    <x v="11"/>
    <n v="12075000"/>
    <n v="5550"/>
    <d v="2023-03-17T00:00:00"/>
    <s v="UNPAID"/>
    <x v="11"/>
    <n v="201048"/>
    <n v="1"/>
    <s v="Indonesia"/>
    <s v="TJL - JPP"/>
    <x v="0"/>
  </r>
  <r>
    <s v="CLICTRUCK-045524"/>
    <s v="domestic"/>
    <x v="60"/>
    <x v="11"/>
    <n v="19550000"/>
    <n v="5550"/>
    <d v="2023-03-17T00:00:00"/>
    <s v="UNPAID"/>
    <x v="11"/>
    <n v="325507"/>
    <n v="1"/>
    <s v="Indonesia"/>
    <s v="TJL - JPP"/>
    <x v="0"/>
  </r>
  <r>
    <s v="CLICTRUCK-045525"/>
    <s v="domestic"/>
    <x v="60"/>
    <x v="11"/>
    <n v="10000000"/>
    <n v="5550"/>
    <d v="2023-03-17T00:00:00"/>
    <s v="UNPAID"/>
    <x v="11"/>
    <n v="166500"/>
    <n v="1"/>
    <s v="Indonesia"/>
    <s v="TJL - JPP"/>
    <x v="0"/>
  </r>
  <r>
    <s v="CLICTRUCK-045526"/>
    <s v="domestic"/>
    <x v="60"/>
    <x v="11"/>
    <n v="9150000"/>
    <n v="5550"/>
    <d v="2023-03-17T00:00:00"/>
    <s v="UNPAID"/>
    <x v="11"/>
    <n v="152347"/>
    <n v="1"/>
    <s v="Indonesia"/>
    <s v="TJL - JPP"/>
    <x v="0"/>
  </r>
  <r>
    <s v="CLICTRUCK-045527"/>
    <s v="domestic"/>
    <x v="60"/>
    <x v="11"/>
    <n v="3680000"/>
    <n v="5550"/>
    <d v="2023-03-17T00:00:00"/>
    <s v="UNPAID"/>
    <x v="11"/>
    <n v="61272"/>
    <n v="1"/>
    <s v="Indonesia"/>
    <s v="TJL - JPP"/>
    <x v="0"/>
  </r>
  <r>
    <s v="CLICTRUCK-045528"/>
    <s v="domestic"/>
    <x v="60"/>
    <x v="11"/>
    <n v="17360000"/>
    <n v="5550"/>
    <d v="2023-03-17T00:00:00"/>
    <s v="UNPAID"/>
    <x v="11"/>
    <n v="289044"/>
    <n v="1"/>
    <s v="Indonesia"/>
    <s v="TJL - JPP"/>
    <x v="0"/>
  </r>
  <r>
    <s v="CLICTRUCK-045529"/>
    <s v="domestic"/>
    <x v="60"/>
    <x v="11"/>
    <n v="880000"/>
    <n v="5550"/>
    <d v="2023-03-17T00:00:00"/>
    <s v="UNPAID"/>
    <x v="11"/>
    <n v="14652"/>
    <n v="1"/>
    <s v="Indonesia"/>
    <s v="TJL - JPP"/>
    <x v="0"/>
  </r>
  <r>
    <s v="CLICTRUCK-045530"/>
    <s v="domestic"/>
    <x v="60"/>
    <x v="11"/>
    <n v="2640000"/>
    <n v="5550"/>
    <d v="2023-03-17T00:00:00"/>
    <s v="UNPAID"/>
    <x v="11"/>
    <n v="43956"/>
    <n v="1"/>
    <s v="Indonesia"/>
    <s v="TJL - JPP"/>
    <x v="0"/>
  </r>
  <r>
    <s v="CLICTRUCK-045531"/>
    <s v="domestic"/>
    <x v="60"/>
    <x v="11"/>
    <n v="3300000"/>
    <n v="5550"/>
    <d v="2023-03-17T00:00:00"/>
    <s v="UNPAID"/>
    <x v="11"/>
    <n v="54945"/>
    <n v="1"/>
    <s v="Indonesia"/>
    <s v="TJL - JPP"/>
    <x v="0"/>
  </r>
  <r>
    <s v="CLICTRUCK-045532"/>
    <s v="domestic"/>
    <x v="60"/>
    <x v="11"/>
    <n v="990000"/>
    <n v="5550"/>
    <d v="2023-03-17T00:00:00"/>
    <s v="UNPAID"/>
    <x v="11"/>
    <n v="16483"/>
    <n v="1"/>
    <s v="Indonesia"/>
    <s v="TJL - JPP"/>
    <x v="0"/>
  </r>
  <r>
    <s v="CLICTRUCK-045533"/>
    <s v="domestic"/>
    <x v="60"/>
    <x v="11"/>
    <n v="3080000"/>
    <n v="5550"/>
    <d v="2023-03-17T00:00:00"/>
    <s v="UNPAID"/>
    <x v="11"/>
    <n v="51282"/>
    <n v="1"/>
    <s v="Indonesia"/>
    <s v="TJL - JPP"/>
    <x v="0"/>
  </r>
  <r>
    <s v="CLICTRUCK-045534"/>
    <s v="domestic"/>
    <x v="60"/>
    <x v="11"/>
    <n v="10000000"/>
    <n v="5550"/>
    <d v="2023-03-17T00:00:00"/>
    <s v="UNPAID"/>
    <x v="11"/>
    <n v="166500"/>
    <n v="1"/>
    <s v="Indonesia"/>
    <s v="TJL - JPP"/>
    <x v="0"/>
  </r>
  <r>
    <s v="CLICTRUCK-045535"/>
    <s v="domestic"/>
    <x v="60"/>
    <x v="11"/>
    <n v="9832500"/>
    <n v="5550"/>
    <d v="2023-03-17T00:00:00"/>
    <s v="UNPAID"/>
    <x v="11"/>
    <n v="163710"/>
    <n v="1"/>
    <s v="Indonesia"/>
    <s v="TJL - JPP"/>
    <x v="0"/>
  </r>
  <r>
    <s v="CLICTRUCK-045536"/>
    <s v="domestic"/>
    <x v="60"/>
    <x v="11"/>
    <n v="2200000"/>
    <n v="5550"/>
    <d v="2023-03-17T00:00:00"/>
    <s v="UNPAID"/>
    <x v="11"/>
    <n v="36630"/>
    <n v="1"/>
    <s v="Indonesia"/>
    <s v="TJL - JPP"/>
    <x v="0"/>
  </r>
  <r>
    <s v="CLICTRUCK-045537"/>
    <s v="domestic"/>
    <x v="60"/>
    <x v="11"/>
    <n v="12075000"/>
    <n v="5550"/>
    <d v="2023-03-17T00:00:00"/>
    <s v="UNPAID"/>
    <x v="11"/>
    <n v="201048"/>
    <n v="1"/>
    <s v="Indonesia"/>
    <s v="TJL - JPP"/>
    <x v="0"/>
  </r>
  <r>
    <s v="CLICTRUCK-045538"/>
    <s v="domestic"/>
    <x v="60"/>
    <x v="11"/>
    <n v="9200000"/>
    <n v="5550"/>
    <d v="2023-03-17T00:00:00"/>
    <s v="UNPAID"/>
    <x v="11"/>
    <n v="153180"/>
    <n v="1"/>
    <s v="Indonesia"/>
    <s v="TJL - JPP"/>
    <x v="0"/>
  </r>
  <r>
    <s v="CLICTRUCK-045539"/>
    <s v="domestic"/>
    <x v="60"/>
    <x v="11"/>
    <n v="12650000"/>
    <n v="5550"/>
    <d v="2023-03-17T00:00:00"/>
    <s v="UNPAID"/>
    <x v="11"/>
    <n v="210622"/>
    <n v="1"/>
    <s v="Indonesia"/>
    <s v="TJL - JPP"/>
    <x v="0"/>
  </r>
  <r>
    <s v="CLICTRUCK-045540"/>
    <s v="domestic"/>
    <x v="60"/>
    <x v="11"/>
    <n v="11615000"/>
    <n v="5550"/>
    <d v="2023-03-17T00:00:00"/>
    <s v="UNPAID"/>
    <x v="11"/>
    <n v="193389"/>
    <n v="1"/>
    <s v="Indonesia"/>
    <s v="TJL - JPP"/>
    <x v="0"/>
  </r>
  <r>
    <s v="CLICTRUCK-045541"/>
    <s v="domestic"/>
    <x v="60"/>
    <x v="11"/>
    <n v="11500000"/>
    <n v="5550"/>
    <d v="2023-03-17T00:00:00"/>
    <s v="UNPAID"/>
    <x v="11"/>
    <n v="191475"/>
    <n v="1"/>
    <s v="Indonesia"/>
    <s v="TJL - JPP"/>
    <x v="0"/>
  </r>
  <r>
    <s v="CLICTRUCK-045542"/>
    <s v="domestic"/>
    <x v="60"/>
    <x v="11"/>
    <n v="2640000"/>
    <n v="5550"/>
    <d v="2023-03-17T00:00:00"/>
    <s v="UNPAID"/>
    <x v="11"/>
    <n v="43956"/>
    <n v="1"/>
    <s v="Indonesia"/>
    <s v="TJL - JPP"/>
    <x v="0"/>
  </r>
  <r>
    <s v="CLICTRUCK-045543"/>
    <s v="domestic"/>
    <x v="60"/>
    <x v="11"/>
    <n v="3300000"/>
    <n v="5550"/>
    <d v="2023-03-17T00:00:00"/>
    <s v="UNPAID"/>
    <x v="11"/>
    <n v="54945"/>
    <n v="1"/>
    <s v="Indonesia"/>
    <s v="TJL - JPP"/>
    <x v="0"/>
  </r>
  <r>
    <s v="CLICTRUCK-045544"/>
    <s v="domestic"/>
    <x v="60"/>
    <x v="11"/>
    <n v="2200000"/>
    <n v="5550"/>
    <d v="2023-03-17T00:00:00"/>
    <s v="UNPAID"/>
    <x v="11"/>
    <n v="36630"/>
    <n v="1"/>
    <s v="Indonesia"/>
    <s v="TJL - JPP"/>
    <x v="0"/>
  </r>
  <r>
    <s v="CLICTRUCK-045545"/>
    <s v="domestic"/>
    <x v="60"/>
    <x v="11"/>
    <n v="3300000"/>
    <n v="5550"/>
    <d v="2023-03-17T00:00:00"/>
    <s v="UNPAID"/>
    <x v="11"/>
    <n v="54945"/>
    <n v="1"/>
    <s v="Indonesia"/>
    <s v="TJL - JPP"/>
    <x v="0"/>
  </r>
  <r>
    <s v="CLICTRUCK-045546"/>
    <s v="domestic"/>
    <x v="60"/>
    <x v="11"/>
    <n v="4290000"/>
    <n v="5550"/>
    <d v="2023-03-17T00:00:00"/>
    <s v="UNPAID"/>
    <x v="11"/>
    <n v="71428"/>
    <n v="1"/>
    <s v="Indonesia"/>
    <s v="TJL - JPP"/>
    <x v="0"/>
  </r>
  <r>
    <s v="CLICTRUCK-045547"/>
    <s v="domestic"/>
    <x v="60"/>
    <x v="11"/>
    <n v="1210000"/>
    <n v="5550"/>
    <d v="2023-03-17T00:00:00"/>
    <s v="UNPAID"/>
    <x v="11"/>
    <n v="20146"/>
    <n v="1"/>
    <s v="Indonesia"/>
    <s v="TJL - JPP"/>
    <x v="0"/>
  </r>
  <r>
    <s v="CLICTRUCK-045548"/>
    <s v="domestic"/>
    <x v="60"/>
    <x v="11"/>
    <n v="1100000"/>
    <n v="5550"/>
    <d v="2023-03-17T00:00:00"/>
    <s v="UNPAID"/>
    <x v="11"/>
    <n v="18315"/>
    <n v="1"/>
    <s v="Indonesia"/>
    <s v="TJL - JPP"/>
    <x v="0"/>
  </r>
  <r>
    <s v="CLICTRUCK-045549"/>
    <s v="domestic"/>
    <x v="60"/>
    <x v="11"/>
    <n v="37950000"/>
    <n v="5550"/>
    <d v="2023-03-17T00:00:00"/>
    <s v="UNPAID"/>
    <x v="11"/>
    <n v="631867"/>
    <n v="1"/>
    <s v="Indonesia"/>
    <s v="TJL - JPP"/>
    <x v="0"/>
  </r>
  <r>
    <s v="CLICTRUCK-045550"/>
    <s v="domestic"/>
    <x v="60"/>
    <x v="11"/>
    <n v="150000"/>
    <n v="5550"/>
    <d v="2023-03-17T00:00:00"/>
    <s v="UNPAID"/>
    <x v="11"/>
    <n v="2497"/>
    <n v="1"/>
    <s v="Indonesia"/>
    <s v="TJL - JPP"/>
    <x v="0"/>
  </r>
  <r>
    <s v="CLICTRUCK-045551"/>
    <s v="domestic"/>
    <x v="60"/>
    <x v="11"/>
    <n v="550000"/>
    <n v="5550"/>
    <d v="2023-03-17T00:00:00"/>
    <s v="UNPAID"/>
    <x v="11"/>
    <n v="9157"/>
    <n v="1"/>
    <s v="Indonesia"/>
    <s v="TJL - JPP"/>
    <x v="0"/>
  </r>
  <r>
    <s v="CLICTRUCK-045552"/>
    <s v="domestic"/>
    <x v="60"/>
    <x v="11"/>
    <n v="20700000"/>
    <n v="5550"/>
    <d v="2023-03-17T00:00:00"/>
    <s v="UNPAID"/>
    <x v="11"/>
    <n v="344655"/>
    <n v="1"/>
    <s v="Indonesia"/>
    <s v="TJL - JPP"/>
    <x v="0"/>
  </r>
  <r>
    <s v="CLICTRUCK-045553"/>
    <s v="domestic"/>
    <x v="60"/>
    <x v="11"/>
    <n v="150000"/>
    <n v="5550"/>
    <d v="2023-03-17T00:00:00"/>
    <s v="UNPAID"/>
    <x v="11"/>
    <n v="2497"/>
    <n v="1"/>
    <s v="Indonesia"/>
    <s v="TJL - JPP"/>
    <x v="0"/>
  </r>
  <r>
    <s v="CLICTRUCK-045554"/>
    <s v="domestic"/>
    <x v="60"/>
    <x v="11"/>
    <n v="13800000"/>
    <n v="5550"/>
    <d v="2023-03-17T00:00:00"/>
    <s v="UNPAID"/>
    <x v="11"/>
    <n v="229770"/>
    <n v="1"/>
    <s v="Indonesia"/>
    <s v="TJL - JPP"/>
    <x v="0"/>
  </r>
  <r>
    <s v="CLICTRUCK-045555"/>
    <s v="domestic"/>
    <x v="60"/>
    <x v="11"/>
    <n v="3335000"/>
    <n v="5550"/>
    <d v="2023-03-17T00:00:00"/>
    <s v="UNPAID"/>
    <x v="11"/>
    <n v="55527"/>
    <n v="1"/>
    <s v="Indonesia"/>
    <s v="TJL - JPP"/>
    <x v="0"/>
  </r>
  <r>
    <s v="CLICTRUCK-045556"/>
    <s v="domestic"/>
    <x v="60"/>
    <x v="11"/>
    <n v="660000"/>
    <n v="5550"/>
    <d v="2023-03-17T00:00:00"/>
    <s v="UNPAID"/>
    <x v="11"/>
    <n v="10989"/>
    <n v="1"/>
    <s v="Indonesia"/>
    <s v="TJL - JPP"/>
    <x v="0"/>
  </r>
  <r>
    <s v="CLICTRUCK-045557"/>
    <s v="domestic"/>
    <x v="60"/>
    <x v="11"/>
    <n v="22425000"/>
    <n v="5550"/>
    <d v="2023-03-17T00:00:00"/>
    <s v="UNPAID"/>
    <x v="11"/>
    <n v="373376"/>
    <n v="1"/>
    <s v="Indonesia"/>
    <s v="TJL - JPP"/>
    <x v="0"/>
  </r>
  <r>
    <s v="CLICTRUCK-045558"/>
    <s v="domestic"/>
    <x v="60"/>
    <x v="11"/>
    <n v="8050000"/>
    <n v="5550"/>
    <d v="2023-03-17T00:00:00"/>
    <s v="UNPAID"/>
    <x v="11"/>
    <n v="134032"/>
    <n v="1"/>
    <s v="Indonesia"/>
    <s v="TJL - JPP"/>
    <x v="0"/>
  </r>
  <r>
    <s v="CLICTRUCK-045559"/>
    <s v="domestic"/>
    <x v="60"/>
    <x v="11"/>
    <n v="6095000"/>
    <n v="5550"/>
    <d v="2023-03-17T00:00:00"/>
    <s v="UNPAID"/>
    <x v="11"/>
    <n v="101481"/>
    <n v="1"/>
    <s v="Indonesia"/>
    <s v="TJL - JPP"/>
    <x v="0"/>
  </r>
  <r>
    <s v="CLICTRUCK-045560"/>
    <s v="domestic"/>
    <x v="60"/>
    <x v="11"/>
    <n v="16100000"/>
    <n v="5550"/>
    <d v="2023-03-17T00:00:00"/>
    <s v="UNPAID"/>
    <x v="11"/>
    <n v="268065"/>
    <n v="1"/>
    <s v="Indonesia"/>
    <s v="TJL - JPP"/>
    <x v="0"/>
  </r>
  <r>
    <s v="CLICTRUCK-045561"/>
    <s v="domestic"/>
    <x v="60"/>
    <x v="11"/>
    <n v="16100000"/>
    <n v="5550"/>
    <d v="2023-03-17T00:00:00"/>
    <s v="UNPAID"/>
    <x v="11"/>
    <n v="268065"/>
    <n v="1"/>
    <s v="Indonesia"/>
    <s v="TJL - JPP"/>
    <x v="0"/>
  </r>
  <r>
    <s v="CLICTRUCK-045562"/>
    <s v="domestic"/>
    <x v="60"/>
    <x v="11"/>
    <n v="13110000"/>
    <n v="5550"/>
    <d v="2023-03-17T00:00:00"/>
    <s v="UNPAID"/>
    <x v="11"/>
    <n v="218281"/>
    <n v="1"/>
    <s v="Indonesia"/>
    <s v="TJL - JPP"/>
    <x v="0"/>
  </r>
  <r>
    <s v="CLICTRUCK-045563"/>
    <s v="domestic"/>
    <x v="60"/>
    <x v="11"/>
    <n v="18975000"/>
    <n v="5550"/>
    <d v="2023-03-17T00:00:00"/>
    <s v="UNPAID"/>
    <x v="11"/>
    <n v="315933"/>
    <n v="1"/>
    <s v="Indonesia"/>
    <s v="TJL - JPP"/>
    <x v="0"/>
  </r>
  <r>
    <s v="CLICTRUCK-045564"/>
    <s v="domestic"/>
    <x v="60"/>
    <x v="11"/>
    <n v="11155000"/>
    <n v="5550"/>
    <d v="2023-03-17T00:00:00"/>
    <s v="UNPAID"/>
    <x v="11"/>
    <n v="185730"/>
    <n v="1"/>
    <s v="Indonesia"/>
    <s v="TJL - JPP"/>
    <x v="0"/>
  </r>
  <r>
    <s v="CLICTRUCK-045565"/>
    <s v="domestic"/>
    <x v="60"/>
    <x v="11"/>
    <n v="19550000"/>
    <n v="5550"/>
    <d v="2023-03-17T00:00:00"/>
    <s v="UNPAID"/>
    <x v="11"/>
    <n v="325507"/>
    <n v="1"/>
    <s v="Indonesia"/>
    <s v="TJL - JPP"/>
    <x v="0"/>
  </r>
  <r>
    <s v="CLICTRUCK-045566"/>
    <s v="domestic"/>
    <x v="60"/>
    <x v="11"/>
    <n v="12535000"/>
    <n v="5550"/>
    <d v="2023-03-17T00:00:00"/>
    <s v="UNPAID"/>
    <x v="11"/>
    <n v="208707"/>
    <n v="1"/>
    <s v="Indonesia"/>
    <s v="TJL - JPP"/>
    <x v="0"/>
  </r>
  <r>
    <s v="CLICTRUCK-045567"/>
    <s v="domestic"/>
    <x v="60"/>
    <x v="11"/>
    <n v="18975000"/>
    <n v="5550"/>
    <d v="2023-03-17T00:00:00"/>
    <s v="UNPAID"/>
    <x v="11"/>
    <n v="315933"/>
    <n v="1"/>
    <s v="Indonesia"/>
    <s v="TJL - JPP"/>
    <x v="0"/>
  </r>
  <r>
    <s v="CLICTRUCK-045568"/>
    <s v="domestic"/>
    <x v="60"/>
    <x v="11"/>
    <n v="770000"/>
    <n v="5550"/>
    <d v="2023-03-17T00:00:00"/>
    <s v="UNPAID"/>
    <x v="11"/>
    <n v="12820"/>
    <n v="1"/>
    <s v="Indonesia"/>
    <s v="TJL - JPP"/>
    <x v="0"/>
  </r>
  <r>
    <s v="CLICTRUCK-045569"/>
    <s v="domestic"/>
    <x v="60"/>
    <x v="11"/>
    <n v="13800000"/>
    <n v="5550"/>
    <d v="2023-03-17T00:00:00"/>
    <s v="UNPAID"/>
    <x v="11"/>
    <n v="229770"/>
    <n v="1"/>
    <s v="Indonesia"/>
    <s v="TJL - JPP"/>
    <x v="0"/>
  </r>
  <r>
    <s v="CLICTRUCK-045570"/>
    <s v="domestic"/>
    <x v="60"/>
    <x v="11"/>
    <n v="18400000"/>
    <n v="5550"/>
    <d v="2023-03-17T00:00:00"/>
    <s v="UNPAID"/>
    <x v="11"/>
    <n v="306360"/>
    <n v="1"/>
    <s v="Indonesia"/>
    <s v="TJL - JPP"/>
    <x v="0"/>
  </r>
  <r>
    <s v="CLICTRUCK-045571"/>
    <s v="domestic"/>
    <x v="60"/>
    <x v="11"/>
    <n v="16100000"/>
    <n v="5550"/>
    <d v="2023-03-17T00:00:00"/>
    <s v="UNPAID"/>
    <x v="11"/>
    <n v="268065"/>
    <n v="1"/>
    <s v="Indonesia"/>
    <s v="TJL - JPP"/>
    <x v="0"/>
  </r>
  <r>
    <s v="CLICTRUCK-045572"/>
    <s v="domestic"/>
    <x v="60"/>
    <x v="11"/>
    <n v="1903000"/>
    <n v="5550"/>
    <d v="2023-03-17T00:00:00"/>
    <s v="UNPAID"/>
    <x v="11"/>
    <n v="31684"/>
    <n v="1"/>
    <s v="Indonesia"/>
    <s v="TJL - JPP"/>
    <x v="0"/>
  </r>
  <r>
    <s v="CLICTRUCK-045573"/>
    <s v="domestic"/>
    <x v="60"/>
    <x v="11"/>
    <n v="770000"/>
    <n v="5550"/>
    <d v="2023-03-17T00:00:00"/>
    <s v="UNPAID"/>
    <x v="11"/>
    <n v="12820"/>
    <n v="1"/>
    <s v="Indonesia"/>
    <s v="TJL - JPP"/>
    <x v="0"/>
  </r>
  <r>
    <s v="CLICTRUCK-045574"/>
    <s v="domestic"/>
    <x v="60"/>
    <x v="11"/>
    <n v="3080000"/>
    <n v="5550"/>
    <d v="2023-03-17T00:00:00"/>
    <s v="UNPAID"/>
    <x v="11"/>
    <n v="51282"/>
    <n v="1"/>
    <s v="Indonesia"/>
    <s v="TJL - JPP"/>
    <x v="0"/>
  </r>
  <r>
    <s v="CLICTRUCK-045575"/>
    <s v="domestic"/>
    <x v="60"/>
    <x v="11"/>
    <n v="9775000"/>
    <n v="5550"/>
    <d v="2023-03-17T00:00:00"/>
    <s v="UNPAID"/>
    <x v="11"/>
    <n v="162753"/>
    <n v="1"/>
    <s v="Indonesia"/>
    <s v="TJL - JPP"/>
    <x v="0"/>
  </r>
  <r>
    <s v="CLICTRUCK-045576"/>
    <s v="domestic"/>
    <x v="60"/>
    <x v="11"/>
    <n v="1100000"/>
    <n v="5550"/>
    <d v="2023-03-17T00:00:00"/>
    <s v="UNPAID"/>
    <x v="11"/>
    <n v="18315"/>
    <n v="1"/>
    <s v="Indonesia"/>
    <s v="TJL - JPP"/>
    <x v="0"/>
  </r>
  <r>
    <s v="CLICTRUCK-045577"/>
    <s v="domestic"/>
    <x v="60"/>
    <x v="11"/>
    <n v="150000"/>
    <n v="5550"/>
    <d v="2023-03-17T00:00:00"/>
    <s v="UNPAID"/>
    <x v="11"/>
    <n v="2497"/>
    <n v="1"/>
    <s v="Indonesia"/>
    <s v="TJL - JPP"/>
    <x v="0"/>
  </r>
  <r>
    <s v="CLICTRUCK-045578"/>
    <s v="domestic"/>
    <x v="60"/>
    <x v="11"/>
    <n v="8338000"/>
    <n v="5550"/>
    <d v="2023-03-17T00:00:00"/>
    <s v="UNPAID"/>
    <x v="11"/>
    <n v="138827"/>
    <n v="1"/>
    <s v="Indonesia"/>
    <s v="TJL - JPP"/>
    <x v="0"/>
  </r>
  <r>
    <s v="CLICTRUCK-045580"/>
    <s v="domestic"/>
    <x v="60"/>
    <x v="11"/>
    <n v="1650000"/>
    <n v="5550"/>
    <d v="2023-03-17T00:00:00"/>
    <s v="UNPAID"/>
    <x v="11"/>
    <n v="27472"/>
    <n v="1"/>
    <s v="Indonesia"/>
    <s v="TJL - JPP"/>
    <x v="0"/>
  </r>
  <r>
    <s v="CLICTRUCK-045581"/>
    <s v="domestic"/>
    <x v="60"/>
    <x v="11"/>
    <n v="1210000"/>
    <n v="5550"/>
    <d v="2023-03-17T00:00:00"/>
    <s v="UNPAID"/>
    <x v="11"/>
    <n v="20146"/>
    <n v="1"/>
    <s v="Indonesia"/>
    <s v="TJL - JPP"/>
    <x v="0"/>
  </r>
  <r>
    <s v="CLICTRUCK-045582"/>
    <s v="domestic"/>
    <x v="60"/>
    <x v="11"/>
    <n v="3080000"/>
    <n v="5550"/>
    <d v="2023-03-17T00:00:00"/>
    <s v="UNPAID"/>
    <x v="11"/>
    <n v="51282"/>
    <n v="1"/>
    <s v="Indonesia"/>
    <s v="TJL - JPP"/>
    <x v="0"/>
  </r>
  <r>
    <s v="CLICTRUCK-045583"/>
    <s v="domestic"/>
    <x v="60"/>
    <x v="11"/>
    <n v="9775000"/>
    <n v="5550"/>
    <d v="2023-03-17T00:00:00"/>
    <s v="UNPAID"/>
    <x v="11"/>
    <n v="162753"/>
    <n v="1"/>
    <s v="Indonesia"/>
    <s v="TJL - JPP"/>
    <x v="0"/>
  </r>
  <r>
    <s v="CLICTRUCK-045584"/>
    <s v="domestic"/>
    <x v="60"/>
    <x v="11"/>
    <n v="660000"/>
    <n v="5550"/>
    <d v="2023-03-17T00:00:00"/>
    <s v="UNPAID"/>
    <x v="11"/>
    <n v="10989"/>
    <n v="1"/>
    <s v="Indonesia"/>
    <s v="TJL - JPP"/>
    <x v="0"/>
  </r>
  <r>
    <s v="CLICTRUCK-045585"/>
    <s v="domestic"/>
    <x v="60"/>
    <x v="11"/>
    <n v="330000"/>
    <n v="5550"/>
    <d v="2023-03-17T00:00:00"/>
    <s v="UNPAID"/>
    <x v="11"/>
    <n v="5494"/>
    <n v="1"/>
    <s v="Indonesia"/>
    <s v="TJL - JPP"/>
    <x v="0"/>
  </r>
  <r>
    <s v="CLICTRUCK-045586"/>
    <s v="domestic"/>
    <x v="60"/>
    <x v="11"/>
    <n v="1210000"/>
    <n v="5550"/>
    <d v="2023-03-17T00:00:00"/>
    <s v="UNPAID"/>
    <x v="11"/>
    <n v="20146"/>
    <n v="1"/>
    <s v="Indonesia"/>
    <s v="TJL - JPP"/>
    <x v="0"/>
  </r>
  <r>
    <s v="CLICTRUCK-045587"/>
    <s v="domestic"/>
    <x v="60"/>
    <x v="11"/>
    <n v="1210000"/>
    <n v="5550"/>
    <d v="2023-03-17T00:00:00"/>
    <s v="UNPAID"/>
    <x v="11"/>
    <n v="20146"/>
    <n v="1"/>
    <s v="Indonesia"/>
    <s v="TJL - JPP"/>
    <x v="0"/>
  </r>
  <r>
    <s v="CLICTRUCK-045588"/>
    <s v="domestic"/>
    <x v="60"/>
    <x v="11"/>
    <n v="880000"/>
    <n v="5550"/>
    <d v="2023-03-17T00:00:00"/>
    <s v="UNPAID"/>
    <x v="11"/>
    <n v="14652"/>
    <n v="1"/>
    <s v="Indonesia"/>
    <s v="TJL - JPP"/>
    <x v="0"/>
  </r>
  <r>
    <s v="CLICTRUCK-045589"/>
    <s v="domestic"/>
    <x v="60"/>
    <x v="11"/>
    <n v="9200000"/>
    <n v="5550"/>
    <d v="2023-03-17T00:00:00"/>
    <s v="UNPAID"/>
    <x v="11"/>
    <n v="153180"/>
    <n v="1"/>
    <s v="Indonesia"/>
    <s v="TJL - JPP"/>
    <x v="0"/>
  </r>
  <r>
    <s v="CLICTRUCK-045590"/>
    <s v="domestic"/>
    <x v="60"/>
    <x v="11"/>
    <n v="4290000"/>
    <n v="5550"/>
    <d v="2023-03-17T00:00:00"/>
    <s v="UNPAID"/>
    <x v="11"/>
    <n v="95238"/>
    <n v="1"/>
    <s v="Indonesia"/>
    <s v="TJL - JPP"/>
    <x v="0"/>
  </r>
  <r>
    <s v="CLICTRUCK-045591"/>
    <s v="domestic"/>
    <x v="60"/>
    <x v="11"/>
    <n v="1870000"/>
    <n v="5550"/>
    <d v="2023-03-17T00:00:00"/>
    <s v="UNPAID"/>
    <x v="11"/>
    <n v="41514"/>
    <n v="1"/>
    <s v="Indonesia"/>
    <s v="TJL - JPP"/>
    <x v="0"/>
  </r>
  <r>
    <s v="CLICTRUCK-045592"/>
    <s v="domestic"/>
    <x v="60"/>
    <x v="11"/>
    <n v="770000"/>
    <n v="5550"/>
    <d v="2023-03-17T00:00:00"/>
    <s v="UNPAID"/>
    <x v="11"/>
    <n v="17094"/>
    <n v="1"/>
    <s v="Indonesia"/>
    <s v="TJL - JPP"/>
    <x v="0"/>
  </r>
  <r>
    <s v="CLICTRUCK-045593"/>
    <s v="domestic"/>
    <x v="60"/>
    <x v="11"/>
    <n v="2200000"/>
    <n v="5550"/>
    <d v="2023-03-17T00:00:00"/>
    <s v="UNPAID"/>
    <x v="11"/>
    <n v="48840"/>
    <n v="1"/>
    <s v="Indonesia"/>
    <s v="TJL - JPP"/>
    <x v="0"/>
  </r>
  <r>
    <s v="CLICTRUCK-045594"/>
    <s v="domestic"/>
    <x v="60"/>
    <x v="11"/>
    <n v="550000"/>
    <n v="5550"/>
    <d v="2023-03-17T00:00:00"/>
    <s v="UNPAID"/>
    <x v="11"/>
    <n v="9157"/>
    <n v="1"/>
    <s v="Indonesia"/>
    <s v="TJL - JPP"/>
    <x v="0"/>
  </r>
  <r>
    <s v="CLICTRUCK-045595"/>
    <s v="domestic"/>
    <x v="60"/>
    <x v="11"/>
    <n v="7150000"/>
    <n v="5550"/>
    <d v="2023-03-17T00:00:00"/>
    <s v="UNPAID"/>
    <x v="11"/>
    <n v="119047"/>
    <n v="1"/>
    <s v="Indonesia"/>
    <s v="TJL - JPP"/>
    <x v="0"/>
  </r>
  <r>
    <s v="CLICTRUCK-045596"/>
    <s v="domestic"/>
    <x v="60"/>
    <x v="11"/>
    <n v="3080000"/>
    <n v="5550"/>
    <d v="2023-03-17T00:00:00"/>
    <s v="UNPAID"/>
    <x v="11"/>
    <n v="68376"/>
    <n v="1"/>
    <s v="Indonesia"/>
    <s v="TJL - JPP"/>
    <x v="0"/>
  </r>
  <r>
    <s v="CLICTRUCK-045597"/>
    <s v="domestic"/>
    <x v="60"/>
    <x v="11"/>
    <n v="12650000"/>
    <n v="5550"/>
    <d v="2023-03-17T00:00:00"/>
    <s v="UNPAID"/>
    <x v="11"/>
    <n v="280830"/>
    <n v="1"/>
    <s v="Indonesia"/>
    <s v="TJL - JPP"/>
    <x v="0"/>
  </r>
  <r>
    <s v="CLICTRUCK-045598"/>
    <s v="domestic"/>
    <x v="60"/>
    <x v="11"/>
    <n v="17825000"/>
    <n v="5550"/>
    <d v="2023-03-17T00:00:00"/>
    <s v="UNPAID"/>
    <x v="11"/>
    <n v="395715"/>
    <n v="1"/>
    <s v="Indonesia"/>
    <s v="TJL - JPP"/>
    <x v="0"/>
  </r>
  <r>
    <s v="CLICTRUCK-045599"/>
    <s v="domestic"/>
    <x v="60"/>
    <x v="11"/>
    <n v="2200000"/>
    <n v="5550"/>
    <d v="2023-03-17T00:00:00"/>
    <s v="UNPAID"/>
    <x v="11"/>
    <n v="48840"/>
    <n v="1"/>
    <s v="Indonesia"/>
    <s v="TJL - JPP"/>
    <x v="0"/>
  </r>
  <r>
    <s v="CLICTRUCK-045600"/>
    <s v="domestic"/>
    <x v="60"/>
    <x v="11"/>
    <n v="3080000"/>
    <n v="5550"/>
    <d v="2023-03-17T00:00:00"/>
    <s v="UNPAID"/>
    <x v="11"/>
    <n v="68376"/>
    <n v="1"/>
    <s v="Indonesia"/>
    <s v="TJL - JPP"/>
    <x v="0"/>
  </r>
  <r>
    <s v="CLICTRUCK-045601"/>
    <s v="domestic"/>
    <x v="60"/>
    <x v="11"/>
    <n v="19550000"/>
    <n v="5550"/>
    <d v="2023-03-17T00:00:00"/>
    <s v="UNPAID"/>
    <x v="11"/>
    <n v="434010"/>
    <n v="1"/>
    <s v="Indonesia"/>
    <s v="TJL - JPP"/>
    <x v="0"/>
  </r>
  <r>
    <s v="CLICTRUCK-045602"/>
    <s v="domestic"/>
    <x v="60"/>
    <x v="11"/>
    <n v="12535000"/>
    <n v="5550"/>
    <d v="2023-03-17T00:00:00"/>
    <s v="UNPAID"/>
    <x v="11"/>
    <n v="278277"/>
    <n v="1"/>
    <s v="Indonesia"/>
    <s v="TJL - JPP"/>
    <x v="0"/>
  </r>
  <r>
    <s v="CLICTRUCK-045603"/>
    <s v="domestic"/>
    <x v="60"/>
    <x v="11"/>
    <n v="11155000"/>
    <n v="5550"/>
    <d v="2023-03-17T00:00:00"/>
    <s v="UNPAID"/>
    <x v="11"/>
    <n v="247641"/>
    <n v="1"/>
    <s v="Indonesia"/>
    <s v="TJL - JPP"/>
    <x v="0"/>
  </r>
  <r>
    <s v="CLICTRUCK-045604"/>
    <s v="domestic"/>
    <x v="60"/>
    <x v="11"/>
    <n v="18400000"/>
    <n v="5550"/>
    <d v="2023-03-17T00:00:00"/>
    <s v="UNPAID"/>
    <x v="11"/>
    <n v="408480"/>
    <n v="1"/>
    <s v="Indonesia"/>
    <s v="TJL - JPP"/>
    <x v="0"/>
  </r>
  <r>
    <s v="CLICTRUCK-045605"/>
    <s v="domestic"/>
    <x v="60"/>
    <x v="11"/>
    <n v="5750000"/>
    <n v="5550"/>
    <d v="2023-03-17T00:00:00"/>
    <s v="UNPAID"/>
    <x v="11"/>
    <n v="127650"/>
    <n v="1"/>
    <s v="Indonesia"/>
    <s v="TJL - JPP"/>
    <x v="0"/>
  </r>
  <r>
    <s v="CLICTRUCK-045606"/>
    <s v="domestic"/>
    <x v="60"/>
    <x v="11"/>
    <n v="150000"/>
    <n v="5550"/>
    <d v="2023-03-17T00:00:00"/>
    <s v="UNPAID"/>
    <x v="11"/>
    <n v="3330"/>
    <n v="1"/>
    <s v="Indonesia"/>
    <s v="TJL - JPP"/>
    <x v="0"/>
  </r>
  <r>
    <s v="CLICTRUCK-045607"/>
    <s v="domestic"/>
    <x v="60"/>
    <x v="11"/>
    <n v="12535000"/>
    <n v="5550"/>
    <d v="2023-03-17T00:00:00"/>
    <s v="UNPAID"/>
    <x v="11"/>
    <n v="278277"/>
    <n v="1"/>
    <s v="Indonesia"/>
    <s v="TJL - JPP"/>
    <x v="0"/>
  </r>
  <r>
    <s v="CLICTRUCK-045608"/>
    <s v="domestic"/>
    <x v="60"/>
    <x v="11"/>
    <n v="9200000"/>
    <n v="5550"/>
    <d v="2023-03-17T00:00:00"/>
    <s v="UNPAID"/>
    <x v="11"/>
    <n v="204240"/>
    <n v="1"/>
    <s v="Indonesia"/>
    <s v="TJL - JPP"/>
    <x v="0"/>
  </r>
  <r>
    <s v="CLICTRUCK-045609"/>
    <s v="domestic"/>
    <x v="60"/>
    <x v="11"/>
    <n v="770000"/>
    <n v="5550"/>
    <d v="2023-03-17T00:00:00"/>
    <s v="UNPAID"/>
    <x v="11"/>
    <n v="17094"/>
    <n v="1"/>
    <s v="Indonesia"/>
    <s v="TJL - JPP"/>
    <x v="0"/>
  </r>
  <r>
    <s v="CLICTRUCK-045610"/>
    <s v="domestic"/>
    <x v="60"/>
    <x v="11"/>
    <n v="1650000"/>
    <n v="5550"/>
    <d v="2023-03-17T00:00:00"/>
    <s v="UNPAID"/>
    <x v="11"/>
    <n v="36630"/>
    <n v="1"/>
    <s v="Indonesia"/>
    <s v="TJL - JPP"/>
    <x v="0"/>
  </r>
  <r>
    <s v="CLICTRUCK-045611"/>
    <s v="domestic"/>
    <x v="60"/>
    <x v="11"/>
    <n v="17825000"/>
    <n v="5550"/>
    <d v="2023-03-17T00:00:00"/>
    <s v="UNPAID"/>
    <x v="11"/>
    <n v="395715"/>
    <n v="1"/>
    <s v="Indonesia"/>
    <s v="TJL - JPP"/>
    <x v="0"/>
  </r>
  <r>
    <s v="CLICTRUCK-045612"/>
    <s v="domestic"/>
    <x v="60"/>
    <x v="11"/>
    <n v="1210000"/>
    <n v="5550"/>
    <d v="2023-03-17T00:00:00"/>
    <s v="UNPAID"/>
    <x v="11"/>
    <n v="26862"/>
    <n v="1"/>
    <s v="Indonesia"/>
    <s v="TJL - JPP"/>
    <x v="0"/>
  </r>
  <r>
    <s v="CLICTRUCK-045613"/>
    <s v="domestic"/>
    <x v="60"/>
    <x v="11"/>
    <n v="1650000"/>
    <n v="5550"/>
    <d v="2023-03-17T00:00:00"/>
    <s v="UNPAID"/>
    <x v="11"/>
    <n v="36630"/>
    <n v="1"/>
    <s v="Indonesia"/>
    <s v="TJL - JPP"/>
    <x v="0"/>
  </r>
  <r>
    <s v="CLICTRUCK-045614"/>
    <s v="domestic"/>
    <x v="60"/>
    <x v="11"/>
    <n v="1540000"/>
    <n v="5550"/>
    <d v="2023-03-17T00:00:00"/>
    <s v="UNPAID"/>
    <x v="11"/>
    <n v="34188"/>
    <n v="1"/>
    <s v="Indonesia"/>
    <s v="TJL - JPP"/>
    <x v="0"/>
  </r>
  <r>
    <s v="CLICTRUCK-045615"/>
    <s v="domestic"/>
    <x v="60"/>
    <x v="11"/>
    <n v="2200000"/>
    <n v="5550"/>
    <d v="2023-03-17T00:00:00"/>
    <s v="UNPAID"/>
    <x v="11"/>
    <n v="48840"/>
    <n v="1"/>
    <s v="Indonesia"/>
    <s v="TJL - JPP"/>
    <x v="0"/>
  </r>
  <r>
    <s v="CLICTRUCK-045616"/>
    <s v="domestic"/>
    <x v="60"/>
    <x v="11"/>
    <n v="1870000"/>
    <n v="5550"/>
    <d v="2023-03-17T00:00:00"/>
    <s v="UNPAID"/>
    <x v="11"/>
    <n v="41514"/>
    <n v="1"/>
    <s v="Indonesia"/>
    <s v="TJL - JPP"/>
    <x v="0"/>
  </r>
  <r>
    <s v="CLICTRUCK-045617"/>
    <s v="domestic"/>
    <x v="60"/>
    <x v="11"/>
    <n v="8050000"/>
    <n v="5550"/>
    <d v="2023-03-17T00:00:00"/>
    <s v="UNPAID"/>
    <x v="11"/>
    <n v="178710"/>
    <n v="1"/>
    <s v="Indonesia"/>
    <s v="TJL - JPP"/>
    <x v="0"/>
  </r>
  <r>
    <s v="CLICTRUCK-045618"/>
    <s v="domestic"/>
    <x v="60"/>
    <x v="11"/>
    <n v="1650000"/>
    <n v="5550"/>
    <d v="2023-03-17T00:00:00"/>
    <s v="UNPAID"/>
    <x v="11"/>
    <n v="36630"/>
    <n v="1"/>
    <s v="Indonesia"/>
    <s v="TJL - JPP"/>
    <x v="0"/>
  </r>
  <r>
    <s v="CLICTRUCK-045619"/>
    <s v="domestic"/>
    <x v="60"/>
    <x v="11"/>
    <n v="770000"/>
    <n v="5550"/>
    <d v="2023-03-17T00:00:00"/>
    <s v="UNPAID"/>
    <x v="11"/>
    <n v="17094"/>
    <n v="1"/>
    <s v="Indonesia"/>
    <s v="TJL - JPP"/>
    <x v="0"/>
  </r>
  <r>
    <s v="CLICTRUCK-045620"/>
    <s v="domestic"/>
    <x v="60"/>
    <x v="11"/>
    <n v="4290000"/>
    <n v="5550"/>
    <d v="2023-03-17T00:00:00"/>
    <s v="UNPAID"/>
    <x v="11"/>
    <n v="95238"/>
    <n v="1"/>
    <s v="Indonesia"/>
    <s v="TJL - JPP"/>
    <x v="0"/>
  </r>
  <r>
    <s v="CLICTRUCK-045621"/>
    <s v="domestic"/>
    <x v="60"/>
    <x v="11"/>
    <n v="1100000"/>
    <n v="5550"/>
    <d v="2023-03-17T00:00:00"/>
    <s v="UNPAID"/>
    <x v="11"/>
    <n v="24420"/>
    <n v="1"/>
    <s v="Indonesia"/>
    <s v="TJL - JPP"/>
    <x v="0"/>
  </r>
  <r>
    <s v="CLICTRUCK-045622"/>
    <s v="domestic"/>
    <x v="60"/>
    <x v="11"/>
    <n v="19550000"/>
    <n v="5550"/>
    <d v="2023-03-17T00:00:00"/>
    <s v="UNPAID"/>
    <x v="11"/>
    <n v="434010"/>
    <n v="1"/>
    <s v="Indonesia"/>
    <s v="TJL - JPP"/>
    <x v="0"/>
  </r>
  <r>
    <s v="CLICTRUCK-045623"/>
    <s v="domestic"/>
    <x v="60"/>
    <x v="11"/>
    <n v="4290000"/>
    <n v="5550"/>
    <d v="2023-03-17T00:00:00"/>
    <s v="UNPAID"/>
    <x v="11"/>
    <n v="95238"/>
    <n v="1"/>
    <s v="Indonesia"/>
    <s v="TJL - JPP"/>
    <x v="0"/>
  </r>
  <r>
    <s v="CLICTRUCK-045624"/>
    <s v="domestic"/>
    <x v="60"/>
    <x v="11"/>
    <n v="2200000"/>
    <n v="5550"/>
    <d v="2023-03-17T00:00:00"/>
    <s v="UNPAID"/>
    <x v="11"/>
    <n v="48840"/>
    <n v="1"/>
    <s v="Indonesia"/>
    <s v="TJL - JPP"/>
    <x v="0"/>
  </r>
  <r>
    <s v="CLICTRUCK-045625"/>
    <s v="domestic"/>
    <x v="60"/>
    <x v="11"/>
    <n v="11500000"/>
    <n v="5550"/>
    <d v="2023-03-17T00:00:00"/>
    <s v="UNPAID"/>
    <x v="11"/>
    <n v="255300"/>
    <n v="1"/>
    <s v="Indonesia"/>
    <s v="TJL - JPP"/>
    <x v="0"/>
  </r>
  <r>
    <s v="CLICTRUCK-045626"/>
    <s v="domestic"/>
    <x v="60"/>
    <x v="6"/>
    <n v="25000000"/>
    <n v="27750"/>
    <d v="2023-03-19T00:00:00"/>
    <s v="PAID"/>
    <x v="5"/>
    <n v="1110000"/>
    <n v="1"/>
    <s v="Indonesia"/>
    <s v="DSB - PLG"/>
    <x v="0"/>
  </r>
  <r>
    <s v="CLICTRUCK-045627"/>
    <s v="domestic"/>
    <x v="60"/>
    <x v="11"/>
    <n v="10350000"/>
    <n v="5550"/>
    <d v="2023-03-17T00:00:00"/>
    <s v="UNPAID"/>
    <x v="11"/>
    <n v="229770"/>
    <n v="1"/>
    <s v="Indonesia"/>
    <s v="TJL - JPP"/>
    <x v="0"/>
  </r>
  <r>
    <s v="CLICTRUCK-045628"/>
    <s v="domestic"/>
    <x v="60"/>
    <x v="11"/>
    <n v="10350000"/>
    <n v="5550"/>
    <d v="2023-03-17T00:00:00"/>
    <s v="UNPAID"/>
    <x v="11"/>
    <n v="229770"/>
    <n v="1"/>
    <s v="Indonesia"/>
    <s v="TJL - JPP"/>
    <x v="0"/>
  </r>
  <r>
    <s v="CLICTRUCK-045629"/>
    <s v="domestic"/>
    <x v="60"/>
    <x v="11"/>
    <n v="880000"/>
    <n v="5550"/>
    <d v="2023-03-17T00:00:00"/>
    <s v="UNPAID"/>
    <x v="11"/>
    <n v="19536"/>
    <n v="1"/>
    <s v="Indonesia"/>
    <s v="TJL - JPP"/>
    <x v="0"/>
  </r>
  <r>
    <s v="CLICTRUCK-045630"/>
    <s v="domestic"/>
    <x v="60"/>
    <x v="11"/>
    <n v="330000"/>
    <n v="5550"/>
    <d v="2023-03-17T00:00:00"/>
    <s v="UNPAID"/>
    <x v="11"/>
    <n v="7326"/>
    <n v="1"/>
    <s v="Indonesia"/>
    <s v="TJL - JPP"/>
    <x v="0"/>
  </r>
  <r>
    <s v="CLICTRUCK-045631"/>
    <s v="domestic"/>
    <x v="60"/>
    <x v="11"/>
    <n v="660000"/>
    <n v="5550"/>
    <d v="2023-03-17T00:00:00"/>
    <s v="UNPAID"/>
    <x v="11"/>
    <n v="14652"/>
    <n v="1"/>
    <s v="Indonesia"/>
    <s v="TJL - JPP"/>
    <x v="0"/>
  </r>
  <r>
    <s v="CLICTRUCK-045632"/>
    <s v="domestic"/>
    <x v="60"/>
    <x v="11"/>
    <n v="3300000"/>
    <n v="5550"/>
    <d v="2023-03-17T00:00:00"/>
    <s v="UNPAID"/>
    <x v="11"/>
    <n v="73260"/>
    <n v="1"/>
    <s v="Indonesia"/>
    <s v="TJL - JPP"/>
    <x v="0"/>
  </r>
  <r>
    <s v="CLICTRUCK-045633"/>
    <s v="domestic"/>
    <x v="60"/>
    <x v="11"/>
    <n v="19550000"/>
    <n v="5550"/>
    <d v="2023-03-17T00:00:00"/>
    <s v="UNPAID"/>
    <x v="11"/>
    <n v="434010"/>
    <n v="1"/>
    <s v="Indonesia"/>
    <s v="TJL - JPP"/>
    <x v="0"/>
  </r>
  <r>
    <s v="CLICTRUCK-045634"/>
    <s v="domestic"/>
    <x v="60"/>
    <x v="11"/>
    <n v="19550000"/>
    <n v="5550"/>
    <d v="2023-03-17T00:00:00"/>
    <s v="UNPAID"/>
    <x v="11"/>
    <n v="434010"/>
    <n v="1"/>
    <s v="Indonesia"/>
    <s v="TJL - JPP"/>
    <x v="0"/>
  </r>
  <r>
    <s v="CLICTRUCK-045635"/>
    <s v="domestic"/>
    <x v="60"/>
    <x v="11"/>
    <n v="8338000"/>
    <n v="5550"/>
    <d v="2023-03-17T00:00:00"/>
    <s v="UNPAID"/>
    <x v="11"/>
    <n v="185103"/>
    <n v="1"/>
    <s v="Indonesia"/>
    <s v="TJL - JPP"/>
    <x v="0"/>
  </r>
  <r>
    <s v="CLICTRUCK-045636"/>
    <s v="domestic"/>
    <x v="60"/>
    <x v="11"/>
    <n v="2200000"/>
    <n v="5550"/>
    <d v="2023-03-17T00:00:00"/>
    <s v="UNPAID"/>
    <x v="11"/>
    <n v="48840"/>
    <n v="1"/>
    <s v="Indonesia"/>
    <s v="TJL - JPP"/>
    <x v="0"/>
  </r>
  <r>
    <s v="CLICTRUCK-045637"/>
    <s v="domestic"/>
    <x v="60"/>
    <x v="11"/>
    <n v="770000"/>
    <n v="5550"/>
    <d v="2023-03-17T00:00:00"/>
    <s v="UNPAID"/>
    <x v="11"/>
    <n v="17094"/>
    <n v="1"/>
    <s v="Indonesia"/>
    <s v="TJL - JPP"/>
    <x v="0"/>
  </r>
  <r>
    <s v="CLICTRUCK-045638"/>
    <s v="domestic"/>
    <x v="60"/>
    <x v="11"/>
    <n v="770000"/>
    <n v="5550"/>
    <d v="2023-03-17T00:00:00"/>
    <s v="UNPAID"/>
    <x v="11"/>
    <n v="17094"/>
    <n v="1"/>
    <s v="Indonesia"/>
    <s v="TJL - JPP"/>
    <x v="0"/>
  </r>
  <r>
    <s v="CLICTRUCK-045639"/>
    <s v="domestic"/>
    <x v="60"/>
    <x v="11"/>
    <n v="32200000"/>
    <n v="5550"/>
    <d v="2023-03-17T00:00:00"/>
    <s v="UNPAID"/>
    <x v="11"/>
    <n v="714840"/>
    <n v="1"/>
    <s v="Indonesia"/>
    <s v="TJL - JPP"/>
    <x v="0"/>
  </r>
  <r>
    <s v="CLICTRUCK-045640"/>
    <s v="domestic"/>
    <x v="60"/>
    <x v="11"/>
    <n v="1210000"/>
    <n v="5550"/>
    <d v="2023-03-17T00:00:00"/>
    <s v="UNPAID"/>
    <x v="11"/>
    <n v="26862"/>
    <n v="1"/>
    <s v="Indonesia"/>
    <s v="TJL - JPP"/>
    <x v="0"/>
  </r>
  <r>
    <s v="CLICTRUCK-045641"/>
    <s v="domestic"/>
    <x v="60"/>
    <x v="11"/>
    <n v="1430000"/>
    <n v="5550"/>
    <d v="2023-03-17T00:00:00"/>
    <s v="UNPAID"/>
    <x v="11"/>
    <n v="31746"/>
    <n v="1"/>
    <s v="Indonesia"/>
    <s v="TJL - JPP"/>
    <x v="0"/>
  </r>
  <r>
    <s v="CLICTRUCK-045642"/>
    <s v="domestic"/>
    <x v="60"/>
    <x v="11"/>
    <n v="2200000"/>
    <n v="5550"/>
    <d v="2023-03-17T00:00:00"/>
    <s v="UNPAID"/>
    <x v="11"/>
    <n v="48840"/>
    <n v="1"/>
    <s v="Indonesia"/>
    <s v="TJL - JPP"/>
    <x v="0"/>
  </r>
  <r>
    <s v="CLICTRUCK-045643"/>
    <s v="domestic"/>
    <x v="60"/>
    <x v="11"/>
    <n v="1430000"/>
    <n v="5550"/>
    <d v="2023-03-17T00:00:00"/>
    <s v="UNPAID"/>
    <x v="11"/>
    <n v="31746"/>
    <n v="1"/>
    <s v="Indonesia"/>
    <s v="TJL - JPP"/>
    <x v="0"/>
  </r>
  <r>
    <s v="CLICTRUCK-045644"/>
    <s v="domestic"/>
    <x v="60"/>
    <x v="11"/>
    <n v="7348590"/>
    <n v="5550"/>
    <d v="2023-03-17T00:00:00"/>
    <s v="UNPAID"/>
    <x v="11"/>
    <n v="122353"/>
    <n v="1"/>
    <s v="Indonesia"/>
    <s v="TJL - JPP"/>
    <x v="0"/>
  </r>
  <r>
    <s v="CLICTRUCK-045645"/>
    <s v="domestic"/>
    <x v="60"/>
    <x v="11"/>
    <n v="6520500"/>
    <n v="5550"/>
    <d v="2023-03-17T00:00:00"/>
    <s v="UNPAID"/>
    <x v="11"/>
    <n v="108565"/>
    <n v="1"/>
    <s v="Indonesia"/>
    <s v="TJL - JPP"/>
    <x v="0"/>
  </r>
  <r>
    <s v="CLICTRUCK-045646"/>
    <s v="domestic"/>
    <x v="60"/>
    <x v="11"/>
    <n v="34178125"/>
    <n v="5550"/>
    <d v="2023-03-17T00:00:00"/>
    <s v="UNPAID"/>
    <x v="11"/>
    <n v="569064"/>
    <n v="1"/>
    <s v="Indonesia"/>
    <s v="TJL - JPP"/>
    <x v="0"/>
  </r>
  <r>
    <s v="CLICTRUCK-045647"/>
    <s v="domestic"/>
    <x v="60"/>
    <x v="11"/>
    <n v="5827050"/>
    <n v="5550"/>
    <d v="2023-03-17T00:00:00"/>
    <s v="UNPAID"/>
    <x v="11"/>
    <n v="97019"/>
    <n v="1"/>
    <s v="Indonesia"/>
    <s v="TJL - JPP"/>
    <x v="0"/>
  </r>
  <r>
    <s v="CLICTRUCK-045648"/>
    <s v="domestic"/>
    <x v="60"/>
    <x v="11"/>
    <n v="5651100"/>
    <n v="5550"/>
    <d v="2023-03-17T00:00:00"/>
    <s v="UNPAID"/>
    <x v="11"/>
    <n v="94090"/>
    <n v="1"/>
    <s v="Indonesia"/>
    <s v="TJL - JPP"/>
    <x v="0"/>
  </r>
  <r>
    <s v="CLICTRUCK-045649"/>
    <s v="domestic"/>
    <x v="60"/>
    <x v="11"/>
    <n v="5293450"/>
    <n v="5550"/>
    <d v="2023-03-17T00:00:00"/>
    <s v="UNPAID"/>
    <x v="11"/>
    <n v="88135"/>
    <n v="1"/>
    <s v="Indonesia"/>
    <s v="TJL - JPP"/>
    <x v="0"/>
  </r>
  <r>
    <s v="CLICTRUCK-045650"/>
    <s v="domestic"/>
    <x v="60"/>
    <x v="11"/>
    <n v="5293450"/>
    <n v="5550"/>
    <d v="2023-03-17T00:00:00"/>
    <s v="UNPAID"/>
    <x v="11"/>
    <n v="88135"/>
    <n v="1"/>
    <s v="Indonesia"/>
    <s v="TJL - JPP"/>
    <x v="0"/>
  </r>
  <r>
    <s v="CLICTRUCK-045651"/>
    <s v="domestic"/>
    <x v="60"/>
    <x v="11"/>
    <n v="5293450"/>
    <n v="5550"/>
    <d v="2023-03-17T00:00:00"/>
    <s v="UNPAID"/>
    <x v="11"/>
    <n v="88135"/>
    <n v="1"/>
    <s v="Indonesia"/>
    <s v="TJL - JPP"/>
    <x v="0"/>
  </r>
  <r>
    <s v="CLICTRUCK-045652"/>
    <s v="domestic"/>
    <x v="60"/>
    <x v="11"/>
    <n v="5293450"/>
    <n v="5550"/>
    <d v="2023-03-17T00:00:00"/>
    <s v="UNPAID"/>
    <x v="11"/>
    <n v="88135"/>
    <n v="1"/>
    <s v="Indonesia"/>
    <s v="TJL - JPP"/>
    <x v="0"/>
  </r>
  <r>
    <s v="CLICTRUCK-045653"/>
    <s v="domestic"/>
    <x v="60"/>
    <x v="11"/>
    <n v="5293450"/>
    <n v="5550"/>
    <d v="2023-03-17T00:00:00"/>
    <s v="UNPAID"/>
    <x v="11"/>
    <n v="88135"/>
    <n v="1"/>
    <s v="Indonesia"/>
    <s v="TJL - JPP"/>
    <x v="0"/>
  </r>
  <r>
    <s v="CLICTRUCK-045654"/>
    <s v="domestic"/>
    <x v="60"/>
    <x v="11"/>
    <n v="6563700"/>
    <n v="5550"/>
    <d v="2023-03-17T00:00:00"/>
    <s v="UNPAID"/>
    <x v="11"/>
    <n v="109285"/>
    <n v="1"/>
    <s v="Indonesia"/>
    <s v="TJL - JPP"/>
    <x v="0"/>
  </r>
  <r>
    <s v="CLICTRUCK-045655"/>
    <s v="domestic"/>
    <x v="60"/>
    <x v="11"/>
    <n v="5511950"/>
    <n v="5550"/>
    <d v="2023-03-17T00:00:00"/>
    <s v="UNPAID"/>
    <x v="11"/>
    <n v="91773"/>
    <n v="1"/>
    <s v="Indonesia"/>
    <s v="TJL - JPP"/>
    <x v="0"/>
  </r>
  <r>
    <s v="CLICTRUCK-045656"/>
    <s v="domestic"/>
    <x v="60"/>
    <x v="11"/>
    <n v="13541825"/>
    <n v="5550"/>
    <d v="2023-03-17T00:00:00"/>
    <s v="UNPAID"/>
    <x v="11"/>
    <n v="225470"/>
    <n v="1"/>
    <s v="Indonesia"/>
    <s v="TJL - JPP"/>
    <x v="0"/>
  </r>
  <r>
    <s v="CLICTRUCK-045657"/>
    <s v="domestic"/>
    <x v="60"/>
    <x v="11"/>
    <n v="6549825"/>
    <n v="5550"/>
    <d v="2023-03-17T00:00:00"/>
    <s v="UNPAID"/>
    <x v="11"/>
    <n v="109054"/>
    <n v="1"/>
    <s v="Indonesia"/>
    <s v="TJL - JPP"/>
    <x v="0"/>
  </r>
  <r>
    <s v="CLICTRUCK-045658"/>
    <s v="domestic"/>
    <x v="60"/>
    <x v="11"/>
    <n v="5511950"/>
    <n v="5550"/>
    <d v="2023-03-17T00:00:00"/>
    <s v="UNPAID"/>
    <x v="11"/>
    <n v="91773"/>
    <n v="1"/>
    <s v="Indonesia"/>
    <s v="TJL - JPP"/>
    <x v="0"/>
  </r>
  <r>
    <s v="CLICTRUCK-045659"/>
    <s v="domestic"/>
    <x v="60"/>
    <x v="11"/>
    <n v="13541825"/>
    <n v="5550"/>
    <d v="2023-03-17T00:00:00"/>
    <s v="UNPAID"/>
    <x v="11"/>
    <n v="225470"/>
    <n v="1"/>
    <s v="Indonesia"/>
    <s v="TJL - JPP"/>
    <x v="0"/>
  </r>
  <r>
    <s v="CLICTRUCK-045660"/>
    <s v="domestic"/>
    <x v="60"/>
    <x v="11"/>
    <n v="5511950"/>
    <n v="5550"/>
    <d v="2023-03-17T00:00:00"/>
    <s v="UNPAID"/>
    <x v="11"/>
    <n v="91773"/>
    <n v="1"/>
    <s v="Indonesia"/>
    <s v="TJL - JPP"/>
    <x v="0"/>
  </r>
  <r>
    <s v="CLICTRUCK-045661"/>
    <s v="domestic"/>
    <x v="60"/>
    <x v="11"/>
    <n v="3878550"/>
    <n v="5550"/>
    <d v="2023-03-17T00:00:00"/>
    <s v="UNPAID"/>
    <x v="11"/>
    <n v="64577"/>
    <n v="1"/>
    <s v="Indonesia"/>
    <s v="TJL - JPP"/>
    <x v="0"/>
  </r>
  <r>
    <s v="CLICTRUCK-045662"/>
    <s v="domestic"/>
    <x v="60"/>
    <x v="11"/>
    <n v="4355910"/>
    <n v="5550"/>
    <d v="2023-03-17T00:00:00"/>
    <s v="UNPAID"/>
    <x v="11"/>
    <n v="72525"/>
    <n v="1"/>
    <s v="Indonesia"/>
    <s v="TJL - JPP"/>
    <x v="0"/>
  </r>
  <r>
    <s v="CLICTRUCK-045663"/>
    <s v="domestic"/>
    <x v="60"/>
    <x v="11"/>
    <n v="5293450"/>
    <n v="5550"/>
    <d v="2023-03-17T00:00:00"/>
    <s v="UNPAID"/>
    <x v="11"/>
    <n v="88135"/>
    <n v="1"/>
    <s v="Indonesia"/>
    <s v="TJL - JPP"/>
    <x v="0"/>
  </r>
  <r>
    <s v="CLICTRUCK-045664"/>
    <s v="domestic"/>
    <x v="60"/>
    <x v="11"/>
    <n v="13541825"/>
    <n v="5550"/>
    <d v="2023-03-17T00:00:00"/>
    <s v="UNPAID"/>
    <x v="11"/>
    <n v="225470"/>
    <n v="1"/>
    <s v="Indonesia"/>
    <s v="TJL - JPP"/>
    <x v="0"/>
  </r>
  <r>
    <s v="CLICTRUCK-045665"/>
    <s v="domestic"/>
    <x v="60"/>
    <x v="11"/>
    <n v="13541825"/>
    <n v="5550"/>
    <d v="2023-03-17T00:00:00"/>
    <s v="UNPAID"/>
    <x v="11"/>
    <n v="225470"/>
    <n v="1"/>
    <s v="Indonesia"/>
    <s v="TJL - JPP"/>
    <x v="0"/>
  </r>
  <r>
    <s v="CLICTRUCK-045666"/>
    <s v="domestic"/>
    <x v="60"/>
    <x v="11"/>
    <n v="9991200"/>
    <n v="5550"/>
    <d v="2023-03-17T00:00:00"/>
    <s v="UNPAID"/>
    <x v="11"/>
    <n v="166353"/>
    <n v="1"/>
    <s v="Indonesia"/>
    <s v="TJL - JPP"/>
    <x v="0"/>
  </r>
  <r>
    <s v="CLICTRUCK-045667"/>
    <s v="domestic"/>
    <x v="60"/>
    <x v="11"/>
    <n v="9784200"/>
    <n v="5550"/>
    <d v="2023-03-17T00:00:00"/>
    <s v="UNPAID"/>
    <x v="11"/>
    <n v="162906"/>
    <n v="1"/>
    <s v="Indonesia"/>
    <s v="TJL - JPP"/>
    <x v="0"/>
  </r>
  <r>
    <s v="CLICTRUCK-045668"/>
    <s v="domestic"/>
    <x v="60"/>
    <x v="11"/>
    <n v="5782200"/>
    <n v="5550"/>
    <d v="2023-03-17T00:00:00"/>
    <s v="UNPAID"/>
    <x v="11"/>
    <n v="96273"/>
    <n v="1"/>
    <s v="Indonesia"/>
    <s v="TJL - JPP"/>
    <x v="0"/>
  </r>
  <r>
    <s v="CLICTRUCK-045669"/>
    <s v="domestic"/>
    <x v="60"/>
    <x v="11"/>
    <n v="5343360"/>
    <n v="5550"/>
    <d v="2023-03-17T00:00:00"/>
    <s v="UNPAID"/>
    <x v="11"/>
    <n v="88966"/>
    <n v="1"/>
    <s v="Indonesia"/>
    <s v="TJL - JPP"/>
    <x v="0"/>
  </r>
  <r>
    <s v="CLICTRUCK-045670"/>
    <s v="domestic"/>
    <x v="60"/>
    <x v="11"/>
    <n v="6872400"/>
    <n v="5550"/>
    <d v="2023-03-17T00:00:00"/>
    <s v="UNPAID"/>
    <x v="11"/>
    <n v="114425"/>
    <n v="1"/>
    <s v="Indonesia"/>
    <s v="TJL - JPP"/>
    <x v="0"/>
  </r>
  <r>
    <s v="CLICTRUCK-045671"/>
    <s v="domestic"/>
    <x v="60"/>
    <x v="11"/>
    <n v="6388020"/>
    <n v="5550"/>
    <d v="2023-03-17T00:00:00"/>
    <s v="UNPAID"/>
    <x v="11"/>
    <n v="106360"/>
    <n v="1"/>
    <s v="Indonesia"/>
    <s v="TJL - JPP"/>
    <x v="0"/>
  </r>
  <r>
    <s v="CLICTRUCK-045672"/>
    <s v="domestic"/>
    <x v="60"/>
    <x v="11"/>
    <n v="4644160"/>
    <n v="5550"/>
    <d v="2023-03-17T00:00:00"/>
    <s v="UNPAID"/>
    <x v="11"/>
    <n v="77324"/>
    <n v="1"/>
    <s v="Indonesia"/>
    <s v="TJL - JPP"/>
    <x v="0"/>
  </r>
  <r>
    <s v="CLICTRUCK-045673"/>
    <s v="domestic"/>
    <x v="60"/>
    <x v="11"/>
    <n v="13113630"/>
    <n v="5550"/>
    <d v="2023-03-18T00:00:00"/>
    <s v="UNPAID"/>
    <x v="11"/>
    <n v="218341"/>
    <n v="1"/>
    <s v="Indonesia"/>
    <s v="TJL - JPP"/>
    <x v="0"/>
  </r>
  <r>
    <s v="CLICTRUCK-045674"/>
    <s v="domestic"/>
    <x v="60"/>
    <x v="11"/>
    <n v="13871367"/>
    <n v="5550"/>
    <d v="2023-03-18T00:00:00"/>
    <s v="UNPAID"/>
    <x v="11"/>
    <n v="230957"/>
    <n v="1"/>
    <s v="Indonesia"/>
    <s v="TJL - JPP"/>
    <x v="0"/>
  </r>
  <r>
    <s v="CLICTRUCK-045675"/>
    <s v="domestic"/>
    <x v="60"/>
    <x v="11"/>
    <n v="16779204"/>
    <n v="5550"/>
    <d v="2023-03-18T00:00:00"/>
    <s v="UNPAID"/>
    <x v="11"/>
    <n v="279373"/>
    <n v="1"/>
    <s v="Indonesia"/>
    <s v="TJL - JPP"/>
    <x v="0"/>
  </r>
  <r>
    <s v="CLICTRUCK-045676"/>
    <s v="domestic"/>
    <x v="60"/>
    <x v="11"/>
    <n v="10727424"/>
    <n v="5550"/>
    <d v="2023-03-18T00:00:00"/>
    <s v="UNPAID"/>
    <x v="11"/>
    <n v="178611"/>
    <n v="1"/>
    <s v="Indonesia"/>
    <s v="TJL - JPP"/>
    <x v="0"/>
  </r>
  <r>
    <s v="CLICTRUCK-045677"/>
    <s v="domestic"/>
    <x v="60"/>
    <x v="11"/>
    <n v="3819000"/>
    <n v="5550"/>
    <d v="2023-03-18T00:00:00"/>
    <s v="UNPAID"/>
    <x v="11"/>
    <n v="63586"/>
    <n v="1"/>
    <s v="Indonesia"/>
    <s v="TJL - JPP"/>
    <x v="0"/>
  </r>
  <r>
    <s v="CLICTRUCK-045678"/>
    <s v="domestic"/>
    <x v="60"/>
    <x v="11"/>
    <n v="18339063"/>
    <n v="5550"/>
    <d v="2023-03-18T00:00:00"/>
    <s v="UNPAID"/>
    <x v="11"/>
    <n v="305344"/>
    <n v="1"/>
    <s v="Indonesia"/>
    <s v="TJL - JPP"/>
    <x v="0"/>
  </r>
  <r>
    <s v="CLICTRUCK-045679"/>
    <s v="domestic"/>
    <x v="60"/>
    <x v="11"/>
    <n v="17720000"/>
    <n v="5550"/>
    <d v="2023-03-18T00:00:00"/>
    <s v="UNPAID"/>
    <x v="11"/>
    <n v="295038"/>
    <n v="1"/>
    <s v="Indonesia"/>
    <s v="TJL - JPP"/>
    <x v="0"/>
  </r>
  <r>
    <s v="CLICTRUCK-045680"/>
    <s v="domestic"/>
    <x v="60"/>
    <x v="11"/>
    <n v="2945003"/>
    <n v="5550"/>
    <d v="2023-03-18T00:00:00"/>
    <s v="UNPAID"/>
    <x v="11"/>
    <n v="49034"/>
    <n v="1"/>
    <s v="Indonesia"/>
    <s v="TJL - JPP"/>
    <x v="0"/>
  </r>
  <r>
    <s v="CLICTRUCK-045681"/>
    <s v="domestic"/>
    <x v="60"/>
    <x v="11"/>
    <n v="2596000"/>
    <n v="5550"/>
    <d v="2023-03-18T00:00:00"/>
    <s v="UNPAID"/>
    <x v="11"/>
    <n v="43223"/>
    <n v="1"/>
    <s v="Indonesia"/>
    <s v="TJL - JPP"/>
    <x v="0"/>
  </r>
  <r>
    <s v="CLICTRUCK-045682"/>
    <s v="domestic"/>
    <x v="60"/>
    <x v="11"/>
    <n v="18518496"/>
    <n v="5550"/>
    <d v="2023-03-18T00:00:00"/>
    <s v="UNPAID"/>
    <x v="11"/>
    <n v="308332"/>
    <n v="1"/>
    <s v="Indonesia"/>
    <s v="TJL - JPP"/>
    <x v="0"/>
  </r>
  <r>
    <s v="CLICTRUCK-045683"/>
    <s v="domestic"/>
    <x v="60"/>
    <x v="11"/>
    <n v="18601765"/>
    <n v="5550"/>
    <d v="2023-03-18T00:00:00"/>
    <s v="UNPAID"/>
    <x v="11"/>
    <n v="309718"/>
    <n v="1"/>
    <s v="Indonesia"/>
    <s v="TJL - JPP"/>
    <x v="0"/>
  </r>
  <r>
    <s v="CLICTRUCK-045684"/>
    <s v="domestic"/>
    <x v="60"/>
    <x v="11"/>
    <n v="22817927"/>
    <n v="5550"/>
    <d v="2023-03-18T00:00:00"/>
    <s v="UNPAID"/>
    <x v="11"/>
    <n v="379917"/>
    <n v="1"/>
    <s v="Indonesia"/>
    <s v="TJL - JPP"/>
    <x v="0"/>
  </r>
  <r>
    <s v="CLICTRUCK-045685"/>
    <s v="domestic"/>
    <x v="60"/>
    <x v="11"/>
    <n v="22850185"/>
    <n v="5550"/>
    <d v="2023-03-18T00:00:00"/>
    <s v="UNPAID"/>
    <x v="11"/>
    <n v="380454"/>
    <n v="1"/>
    <s v="Indonesia"/>
    <s v="TJL - JPP"/>
    <x v="0"/>
  </r>
  <r>
    <s v="CLICTRUCK-045686"/>
    <s v="domestic"/>
    <x v="60"/>
    <x v="11"/>
    <n v="9555173"/>
    <n v="5550"/>
    <d v="2023-03-18T00:00:00"/>
    <s v="UNPAID"/>
    <x v="11"/>
    <n v="159092"/>
    <n v="1"/>
    <s v="Indonesia"/>
    <s v="TJL - JPP"/>
    <x v="0"/>
  </r>
  <r>
    <s v="CLICTRUCK-045687"/>
    <s v="domestic"/>
    <x v="60"/>
    <x v="11"/>
    <n v="17337748"/>
    <n v="5550"/>
    <d v="2023-03-18T00:00:00"/>
    <s v="UNPAID"/>
    <x v="11"/>
    <n v="288673"/>
    <n v="1"/>
    <s v="Indonesia"/>
    <s v="TJL - JPP"/>
    <x v="0"/>
  </r>
  <r>
    <s v="CLICTRUCK-045688"/>
    <s v="domestic"/>
    <x v="60"/>
    <x v="11"/>
    <n v="21470455"/>
    <n v="5550"/>
    <d v="2023-03-18T00:00:00"/>
    <s v="UNPAID"/>
    <x v="11"/>
    <n v="357482"/>
    <n v="1"/>
    <s v="Indonesia"/>
    <s v="TJL - JPP"/>
    <x v="0"/>
  </r>
  <r>
    <s v="CLICTRUCK-045689"/>
    <s v="domestic"/>
    <x v="60"/>
    <x v="11"/>
    <n v="15353662"/>
    <n v="5550"/>
    <d v="2023-03-18T00:00:00"/>
    <s v="UNPAID"/>
    <x v="11"/>
    <n v="255637"/>
    <n v="1"/>
    <s v="Indonesia"/>
    <s v="TJL - JPP"/>
    <x v="0"/>
  </r>
  <r>
    <s v="CLICTRUCK-045690"/>
    <s v="domestic"/>
    <x v="60"/>
    <x v="11"/>
    <n v="8183424"/>
    <n v="5550"/>
    <d v="2023-03-18T00:00:00"/>
    <s v="UNPAID"/>
    <x v="11"/>
    <n v="136253"/>
    <n v="1"/>
    <s v="Indonesia"/>
    <s v="TJL - JPP"/>
    <x v="0"/>
  </r>
  <r>
    <s v="CLICTRUCK-045691"/>
    <s v="domestic"/>
    <x v="60"/>
    <x v="11"/>
    <n v="10418528"/>
    <n v="5550"/>
    <d v="2023-03-18T00:00:00"/>
    <s v="UNPAID"/>
    <x v="11"/>
    <n v="173467"/>
    <n v="1"/>
    <s v="Indonesia"/>
    <s v="TJL - JPP"/>
    <x v="0"/>
  </r>
  <r>
    <s v="CLICTRUCK-045692"/>
    <s v="domestic"/>
    <x v="60"/>
    <x v="11"/>
    <n v="10806400"/>
    <n v="5550"/>
    <d v="2023-03-18T00:00:00"/>
    <s v="UNPAID"/>
    <x v="11"/>
    <n v="179926"/>
    <n v="1"/>
    <s v="Indonesia"/>
    <s v="TJL - JPP"/>
    <x v="0"/>
  </r>
  <r>
    <s v="CLICTRUCK-045693"/>
    <s v="domestic"/>
    <x v="60"/>
    <x v="11"/>
    <n v="7919200"/>
    <n v="5550"/>
    <d v="2023-03-18T00:00:00"/>
    <s v="UNPAID"/>
    <x v="11"/>
    <n v="131854"/>
    <n v="1"/>
    <s v="Indonesia"/>
    <s v="TJL - JPP"/>
    <x v="0"/>
  </r>
  <r>
    <s v="CLICTRUCK-045694"/>
    <s v="domestic"/>
    <x v="60"/>
    <x v="11"/>
    <n v="13799990"/>
    <n v="5550"/>
    <d v="2023-03-18T00:00:00"/>
    <s v="UNPAID"/>
    <x v="11"/>
    <n v="229768"/>
    <n v="1"/>
    <s v="Indonesia"/>
    <s v="TJL - JPP"/>
    <x v="0"/>
  </r>
  <r>
    <s v="CLICTRUCK-045695"/>
    <s v="domestic"/>
    <x v="60"/>
    <x v="11"/>
    <n v="6904000"/>
    <n v="5550"/>
    <d v="2023-03-18T00:00:00"/>
    <s v="UNPAID"/>
    <x v="11"/>
    <n v="114951"/>
    <n v="1"/>
    <s v="Indonesia"/>
    <s v="TJL - JPP"/>
    <x v="0"/>
  </r>
  <r>
    <s v="CLICTRUCK-045696"/>
    <s v="domestic"/>
    <x v="60"/>
    <x v="11"/>
    <n v="6904000"/>
    <n v="5550"/>
    <d v="2023-03-18T00:00:00"/>
    <s v="UNPAID"/>
    <x v="11"/>
    <n v="114951"/>
    <n v="1"/>
    <s v="Indonesia"/>
    <s v="TJL - JPP"/>
    <x v="0"/>
  </r>
  <r>
    <s v="CLICTRUCK-045697"/>
    <s v="domestic"/>
    <x v="60"/>
    <x v="11"/>
    <n v="1100000"/>
    <n v="5550"/>
    <d v="2023-03-18T00:00:00"/>
    <s v="UNPAID"/>
    <x v="11"/>
    <n v="18315"/>
    <n v="1"/>
    <s v="Indonesia"/>
    <s v="TJL - JPP"/>
    <x v="0"/>
  </r>
  <r>
    <s v="CLICTRUCK-045698"/>
    <s v="domestic"/>
    <x v="60"/>
    <x v="11"/>
    <n v="13205056"/>
    <n v="5550"/>
    <d v="2023-03-18T00:00:00"/>
    <s v="UNPAID"/>
    <x v="11"/>
    <n v="219863"/>
    <n v="1"/>
    <s v="Indonesia"/>
    <s v="TJL - JPP"/>
    <x v="0"/>
  </r>
  <r>
    <s v="CLICTRUCK-045699"/>
    <s v="domestic"/>
    <x v="60"/>
    <x v="11"/>
    <n v="3240000"/>
    <n v="5550"/>
    <d v="2023-03-18T00:00:00"/>
    <s v="UNPAID"/>
    <x v="11"/>
    <n v="53946"/>
    <n v="1"/>
    <s v="Indonesia"/>
    <s v="TJL - JPP"/>
    <x v="0"/>
  </r>
  <r>
    <s v="CLICTRUCK-045700"/>
    <s v="domestic"/>
    <x v="60"/>
    <x v="11"/>
    <n v="4670000"/>
    <n v="5550"/>
    <d v="2023-03-18T00:00:00"/>
    <s v="UNPAID"/>
    <x v="11"/>
    <n v="77755"/>
    <n v="1"/>
    <s v="Indonesia"/>
    <s v="TJL - JPP"/>
    <x v="0"/>
  </r>
  <r>
    <s v="CLICTRUCK-045701"/>
    <s v="domestic"/>
    <x v="60"/>
    <x v="11"/>
    <n v="16271955"/>
    <n v="5550"/>
    <d v="2023-03-18T00:00:00"/>
    <s v="UNPAID"/>
    <x v="11"/>
    <n v="270927"/>
    <n v="1"/>
    <s v="Indonesia"/>
    <s v="TJL - JPP"/>
    <x v="0"/>
  </r>
  <r>
    <s v="CLICTRUCK-045702"/>
    <s v="domestic"/>
    <x v="60"/>
    <x v="11"/>
    <n v="2500000"/>
    <n v="5550"/>
    <d v="2023-03-18T00:00:00"/>
    <s v="UNPAID"/>
    <x v="11"/>
    <n v="41625"/>
    <n v="1"/>
    <s v="Indonesia"/>
    <s v="TJL - JPP"/>
    <x v="0"/>
  </r>
  <r>
    <s v="CLICTRUCK-045703"/>
    <s v="domestic"/>
    <x v="60"/>
    <x v="11"/>
    <n v="2700000"/>
    <n v="5550"/>
    <d v="2023-03-18T00:00:00"/>
    <s v="UNPAID"/>
    <x v="11"/>
    <n v="44955"/>
    <n v="1"/>
    <s v="Indonesia"/>
    <s v="TJL - JPP"/>
    <x v="0"/>
  </r>
  <r>
    <s v="CLICTRUCK-045704"/>
    <s v="domestic"/>
    <x v="60"/>
    <x v="11"/>
    <n v="2500000"/>
    <n v="5550"/>
    <d v="2023-03-18T00:00:00"/>
    <s v="UNPAID"/>
    <x v="11"/>
    <n v="41625"/>
    <n v="1"/>
    <s v="Indonesia"/>
    <s v="TJL - JPP"/>
    <x v="0"/>
  </r>
  <r>
    <s v="CLICTRUCK-045705"/>
    <s v="domestic"/>
    <x v="60"/>
    <x v="11"/>
    <n v="2938162"/>
    <n v="5550"/>
    <d v="2023-03-18T00:00:00"/>
    <s v="UNPAID"/>
    <x v="11"/>
    <n v="48919"/>
    <n v="1"/>
    <s v="Indonesia"/>
    <s v="TJL - JPP"/>
    <x v="0"/>
  </r>
  <r>
    <s v="CLICTRUCK-045706"/>
    <s v="domestic"/>
    <x v="60"/>
    <x v="11"/>
    <n v="3819000"/>
    <n v="5550"/>
    <d v="2023-03-18T00:00:00"/>
    <s v="UNPAID"/>
    <x v="11"/>
    <n v="63586"/>
    <n v="1"/>
    <s v="Indonesia"/>
    <s v="TJL - JPP"/>
    <x v="0"/>
  </r>
  <r>
    <s v="CLICTRUCK-045707"/>
    <s v="domestic"/>
    <x v="60"/>
    <x v="11"/>
    <n v="4670000"/>
    <n v="5550"/>
    <d v="2023-03-18T00:00:00"/>
    <s v="UNPAID"/>
    <x v="11"/>
    <n v="77755"/>
    <n v="1"/>
    <s v="Indonesia"/>
    <s v="TJL - JPP"/>
    <x v="0"/>
  </r>
  <r>
    <s v="CLICTRUCK-045708"/>
    <s v="domestic"/>
    <x v="60"/>
    <x v="11"/>
    <n v="1805195"/>
    <n v="5550"/>
    <d v="2023-03-18T00:00:00"/>
    <s v="UNPAID"/>
    <x v="11"/>
    <n v="30055"/>
    <n v="1"/>
    <s v="Indonesia"/>
    <s v="TJL - JPP"/>
    <x v="0"/>
  </r>
  <r>
    <s v="CLICTRUCK-045709"/>
    <s v="domestic"/>
    <x v="60"/>
    <x v="11"/>
    <n v="2600000"/>
    <n v="5550"/>
    <d v="2023-03-18T00:00:00"/>
    <s v="UNPAID"/>
    <x v="11"/>
    <n v="43290"/>
    <n v="1"/>
    <s v="Indonesia"/>
    <s v="TJL - JPP"/>
    <x v="0"/>
  </r>
  <r>
    <s v="CLICTRUCK-045710"/>
    <s v="domestic"/>
    <x v="60"/>
    <x v="11"/>
    <n v="16544945"/>
    <n v="5550"/>
    <d v="2023-03-18T00:00:00"/>
    <s v="UNPAID"/>
    <x v="11"/>
    <n v="275473"/>
    <n v="1"/>
    <s v="Indonesia"/>
    <s v="TJL - JPP"/>
    <x v="0"/>
  </r>
  <r>
    <s v="CLICTRUCK-045711"/>
    <s v="domestic"/>
    <x v="60"/>
    <x v="11"/>
    <n v="12929860"/>
    <n v="5550"/>
    <d v="2023-03-18T00:00:00"/>
    <s v="UNPAID"/>
    <x v="11"/>
    <n v="215281"/>
    <n v="1"/>
    <s v="Indonesia"/>
    <s v="TJL - JPP"/>
    <x v="0"/>
  </r>
  <r>
    <s v="CLICTRUCK-045712"/>
    <s v="domestic"/>
    <x v="60"/>
    <x v="11"/>
    <n v="12945510"/>
    <n v="5550"/>
    <d v="2023-03-18T00:00:00"/>
    <s v="UNPAID"/>
    <x v="11"/>
    <n v="215542"/>
    <n v="1"/>
    <s v="Indonesia"/>
    <s v="TJL - JPP"/>
    <x v="0"/>
  </r>
  <r>
    <s v="CLICTRUCK-045713"/>
    <s v="domestic"/>
    <x v="60"/>
    <x v="11"/>
    <n v="12946468"/>
    <n v="5550"/>
    <d v="2023-03-18T00:00:00"/>
    <s v="UNPAID"/>
    <x v="11"/>
    <n v="215558"/>
    <n v="1"/>
    <s v="Indonesia"/>
    <s v="TJL - JPP"/>
    <x v="0"/>
  </r>
  <r>
    <s v="CLICTRUCK-045714"/>
    <s v="domestic"/>
    <x v="60"/>
    <x v="11"/>
    <n v="8197221"/>
    <n v="5550"/>
    <d v="2023-03-18T00:00:00"/>
    <s v="UNPAID"/>
    <x v="11"/>
    <n v="136483"/>
    <n v="1"/>
    <s v="Indonesia"/>
    <s v="TJL - JPP"/>
    <x v="0"/>
  </r>
  <r>
    <s v="CLICTRUCK-045715"/>
    <s v="domestic"/>
    <x v="60"/>
    <x v="11"/>
    <n v="3610000"/>
    <n v="5550"/>
    <d v="2023-03-18T00:00:00"/>
    <s v="UNPAID"/>
    <x v="11"/>
    <n v="60106"/>
    <n v="1"/>
    <s v="Indonesia"/>
    <s v="TJL - JPP"/>
    <x v="0"/>
  </r>
  <r>
    <s v="CLICTRUCK-045716"/>
    <s v="domestic"/>
    <x v="60"/>
    <x v="11"/>
    <n v="858550"/>
    <n v="5550"/>
    <d v="2023-03-18T00:00:00"/>
    <s v="UNPAID"/>
    <x v="11"/>
    <n v="14294"/>
    <n v="1"/>
    <s v="Indonesia"/>
    <s v="TJL - JPP"/>
    <x v="0"/>
  </r>
  <r>
    <s v="CLICTRUCK-045717"/>
    <s v="domestic"/>
    <x v="60"/>
    <x v="11"/>
    <n v="16646189"/>
    <n v="5550"/>
    <d v="2023-03-18T00:00:00"/>
    <s v="UNPAID"/>
    <x v="11"/>
    <n v="277158"/>
    <n v="1"/>
    <s v="Indonesia"/>
    <s v="TJL - JPP"/>
    <x v="0"/>
  </r>
  <r>
    <s v="CLICTRUCK-045718"/>
    <s v="domestic"/>
    <x v="60"/>
    <x v="11"/>
    <n v="21342063"/>
    <n v="5550"/>
    <d v="2023-03-18T00:00:00"/>
    <s v="UNPAID"/>
    <x v="11"/>
    <n v="355344"/>
    <n v="1"/>
    <s v="Indonesia"/>
    <s v="TJL - JPP"/>
    <x v="0"/>
  </r>
  <r>
    <s v="CLICTRUCK-045719"/>
    <s v="domestic"/>
    <x v="60"/>
    <x v="11"/>
    <n v="1540000"/>
    <n v="5550"/>
    <d v="2023-03-18T00:00:00"/>
    <s v="UNPAID"/>
    <x v="11"/>
    <n v="25641"/>
    <n v="1"/>
    <s v="Indonesia"/>
    <s v="TJL - JPP"/>
    <x v="0"/>
  </r>
  <r>
    <s v="CLICTRUCK-045720"/>
    <s v="domestic"/>
    <x v="60"/>
    <x v="11"/>
    <n v="1100000"/>
    <n v="5550"/>
    <d v="2023-03-18T00:00:00"/>
    <s v="UNPAID"/>
    <x v="11"/>
    <n v="18315"/>
    <n v="1"/>
    <s v="Indonesia"/>
    <s v="TJL - JPP"/>
    <x v="0"/>
  </r>
  <r>
    <s v="CLICTRUCK-045721"/>
    <s v="domestic"/>
    <x v="60"/>
    <x v="11"/>
    <n v="950000"/>
    <n v="5550"/>
    <d v="2023-03-18T00:00:00"/>
    <s v="UNPAID"/>
    <x v="11"/>
    <n v="15817"/>
    <n v="1"/>
    <s v="Indonesia"/>
    <s v="TJL - JPP"/>
    <x v="0"/>
  </r>
  <r>
    <s v="CLICTRUCK-045722"/>
    <s v="domestic"/>
    <x v="60"/>
    <x v="11"/>
    <n v="7500000"/>
    <n v="5550"/>
    <d v="2023-03-18T00:00:00"/>
    <s v="UNPAID"/>
    <x v="11"/>
    <n v="124875"/>
    <n v="1"/>
    <s v="Indonesia"/>
    <s v="TJL - JPP"/>
    <x v="0"/>
  </r>
  <r>
    <s v="CLICTRUCK-045723"/>
    <s v="domestic"/>
    <x v="60"/>
    <x v="11"/>
    <n v="7500000"/>
    <n v="5550"/>
    <d v="2023-03-18T00:00:00"/>
    <s v="UNPAID"/>
    <x v="11"/>
    <n v="124875"/>
    <n v="1"/>
    <s v="Indonesia"/>
    <s v="TJL - JPP"/>
    <x v="0"/>
  </r>
  <r>
    <s v="CLICTRUCK-045724"/>
    <s v="domestic"/>
    <x v="60"/>
    <x v="11"/>
    <n v="8244936"/>
    <n v="5550"/>
    <d v="2023-03-18T00:00:00"/>
    <s v="UNPAID"/>
    <x v="11"/>
    <n v="137278"/>
    <n v="1"/>
    <s v="Indonesia"/>
    <s v="TJL - JPP"/>
    <x v="0"/>
  </r>
  <r>
    <s v="CLICTRUCK-045725"/>
    <s v="domestic"/>
    <x v="60"/>
    <x v="11"/>
    <n v="10955120"/>
    <n v="5550"/>
    <d v="2023-03-18T00:00:00"/>
    <s v="UNPAID"/>
    <x v="11"/>
    <n v="182401"/>
    <n v="1"/>
    <s v="Indonesia"/>
    <s v="TJL - JPP"/>
    <x v="0"/>
  </r>
  <r>
    <s v="CLICTRUCK-045726"/>
    <s v="domestic"/>
    <x v="60"/>
    <x v="11"/>
    <n v="25845840"/>
    <n v="5550"/>
    <d v="2023-03-18T00:00:00"/>
    <s v="UNPAID"/>
    <x v="11"/>
    <n v="430332"/>
    <n v="1"/>
    <s v="Indonesia"/>
    <s v="TJL - JPP"/>
    <x v="0"/>
  </r>
  <r>
    <s v="CLICTRUCK-045727"/>
    <s v="domestic"/>
    <x v="60"/>
    <x v="11"/>
    <n v="16092466"/>
    <n v="5550"/>
    <d v="2023-03-18T00:00:00"/>
    <s v="UNPAID"/>
    <x v="11"/>
    <n v="267938"/>
    <n v="1"/>
    <s v="Indonesia"/>
    <s v="TJL - JPP"/>
    <x v="0"/>
  </r>
  <r>
    <s v="CLICTRUCK-045728"/>
    <s v="domestic"/>
    <x v="60"/>
    <x v="11"/>
    <n v="15182802"/>
    <n v="5550"/>
    <d v="2023-03-18T00:00:00"/>
    <s v="UNPAID"/>
    <x v="11"/>
    <n v="252793"/>
    <n v="1"/>
    <s v="Indonesia"/>
    <s v="TJL - JPP"/>
    <x v="0"/>
  </r>
  <r>
    <s v="CLICTRUCK-045729"/>
    <s v="domestic"/>
    <x v="60"/>
    <x v="11"/>
    <n v="18040532"/>
    <n v="5550"/>
    <d v="2023-03-18T00:00:00"/>
    <s v="UNPAID"/>
    <x v="11"/>
    <n v="300373"/>
    <n v="1"/>
    <s v="Indonesia"/>
    <s v="TJL - JPP"/>
    <x v="0"/>
  </r>
  <r>
    <s v="CLICTRUCK-045730"/>
    <s v="domestic"/>
    <x v="60"/>
    <x v="11"/>
    <n v="24653978"/>
    <n v="5550"/>
    <d v="2023-03-18T00:00:00"/>
    <s v="UNPAID"/>
    <x v="11"/>
    <n v="410487"/>
    <n v="1"/>
    <s v="Indonesia"/>
    <s v="TJL - JPP"/>
    <x v="0"/>
  </r>
  <r>
    <s v="CLICTRUCK-045731"/>
    <s v="domestic"/>
    <x v="60"/>
    <x v="11"/>
    <n v="19709104"/>
    <n v="5550"/>
    <d v="2023-03-18T00:00:00"/>
    <s v="UNPAID"/>
    <x v="11"/>
    <n v="328155"/>
    <n v="1"/>
    <s v="Indonesia"/>
    <s v="TJL - JPP"/>
    <x v="0"/>
  </r>
  <r>
    <s v="CLICTRUCK-045732"/>
    <s v="domestic"/>
    <x v="60"/>
    <x v="11"/>
    <n v="12257840"/>
    <n v="5550"/>
    <d v="2023-03-18T00:00:00"/>
    <s v="UNPAID"/>
    <x v="11"/>
    <n v="204092"/>
    <n v="1"/>
    <s v="Indonesia"/>
    <s v="TJL - JPP"/>
    <x v="0"/>
  </r>
  <r>
    <s v="CLICTRUCK-045733"/>
    <s v="domestic"/>
    <x v="60"/>
    <x v="11"/>
    <n v="20241473"/>
    <n v="5550"/>
    <d v="2023-03-18T00:00:00"/>
    <s v="UNPAID"/>
    <x v="11"/>
    <n v="337020"/>
    <n v="1"/>
    <s v="Indonesia"/>
    <s v="TJL - JPP"/>
    <x v="0"/>
  </r>
  <r>
    <s v="CLICTRUCK-045734"/>
    <s v="domestic"/>
    <x v="60"/>
    <x v="11"/>
    <n v="20801669"/>
    <n v="5550"/>
    <d v="2023-03-18T00:00:00"/>
    <s v="UNPAID"/>
    <x v="11"/>
    <n v="346347"/>
    <n v="1"/>
    <s v="Indonesia"/>
    <s v="TJL - JPP"/>
    <x v="0"/>
  </r>
  <r>
    <s v="CLICTRUCK-045735"/>
    <s v="domestic"/>
    <x v="60"/>
    <x v="11"/>
    <n v="22357125"/>
    <n v="5550"/>
    <d v="2023-03-18T00:00:00"/>
    <s v="UNPAID"/>
    <x v="11"/>
    <n v="372245"/>
    <n v="1"/>
    <s v="Indonesia"/>
    <s v="TJL - JPP"/>
    <x v="0"/>
  </r>
  <r>
    <s v="CLICTRUCK-045736"/>
    <s v="domestic"/>
    <x v="60"/>
    <x v="11"/>
    <n v="16264946"/>
    <n v="5550"/>
    <d v="2023-03-18T00:00:00"/>
    <s v="UNPAID"/>
    <x v="11"/>
    <n v="270811"/>
    <n v="1"/>
    <s v="Indonesia"/>
    <s v="TJL - JPP"/>
    <x v="0"/>
  </r>
  <r>
    <s v="CLICTRUCK-045737"/>
    <s v="domestic"/>
    <x v="60"/>
    <x v="11"/>
    <n v="15284635"/>
    <n v="5550"/>
    <d v="2023-03-18T00:00:00"/>
    <s v="UNPAID"/>
    <x v="11"/>
    <n v="254488"/>
    <n v="1"/>
    <s v="Indonesia"/>
    <s v="TJL - JPP"/>
    <x v="0"/>
  </r>
  <r>
    <s v="CLICTRUCK-045738"/>
    <s v="domestic"/>
    <x v="60"/>
    <x v="11"/>
    <n v="13687884"/>
    <n v="5550"/>
    <d v="2023-03-18T00:00:00"/>
    <s v="UNPAID"/>
    <x v="11"/>
    <n v="227902"/>
    <n v="1"/>
    <s v="Indonesia"/>
    <s v="TJL - JPP"/>
    <x v="0"/>
  </r>
  <r>
    <s v="CLICTRUCK-045739"/>
    <s v="domestic"/>
    <x v="60"/>
    <x v="11"/>
    <n v="2738000"/>
    <n v="5550"/>
    <d v="2023-03-18T00:00:00"/>
    <s v="UNPAID"/>
    <x v="11"/>
    <n v="45587"/>
    <n v="1"/>
    <s v="Indonesia"/>
    <s v="TJL - JPP"/>
    <x v="0"/>
  </r>
  <r>
    <s v="CLICTRUCK-045741"/>
    <s v="domestic"/>
    <x v="60"/>
    <x v="11"/>
    <n v="13180644"/>
    <n v="5550"/>
    <d v="2023-03-18T00:00:00"/>
    <s v="UNPAID"/>
    <x v="11"/>
    <n v="219456"/>
    <n v="1"/>
    <s v="Indonesia"/>
    <s v="TJL - JPP"/>
    <x v="0"/>
  </r>
  <r>
    <s v="CLICTRUCK-045742"/>
    <s v="domestic"/>
    <x v="60"/>
    <x v="11"/>
    <n v="16977708"/>
    <n v="5550"/>
    <d v="2023-03-18T00:00:00"/>
    <s v="UNPAID"/>
    <x v="11"/>
    <n v="282678"/>
    <n v="1"/>
    <s v="Indonesia"/>
    <s v="TJL - JPP"/>
    <x v="0"/>
  </r>
  <r>
    <s v="CLICTRUCK-045743"/>
    <s v="domestic"/>
    <x v="60"/>
    <x v="11"/>
    <n v="15023410"/>
    <n v="5550"/>
    <d v="2023-03-18T00:00:00"/>
    <s v="UNPAID"/>
    <x v="11"/>
    <n v="250139"/>
    <n v="1"/>
    <s v="Indonesia"/>
    <s v="TJL - JPP"/>
    <x v="0"/>
  </r>
  <r>
    <s v="CLICTRUCK-045744"/>
    <s v="domestic"/>
    <x v="60"/>
    <x v="11"/>
    <n v="14954065"/>
    <n v="5550"/>
    <d v="2023-03-18T00:00:00"/>
    <s v="UNPAID"/>
    <x v="11"/>
    <n v="248984"/>
    <n v="1"/>
    <s v="Indonesia"/>
    <s v="TJL - JPP"/>
    <x v="0"/>
  </r>
  <r>
    <s v="CLICTRUCK-045745"/>
    <s v="domestic"/>
    <x v="60"/>
    <x v="11"/>
    <n v="7359840"/>
    <n v="5550"/>
    <d v="2023-03-18T00:00:00"/>
    <s v="UNPAID"/>
    <x v="11"/>
    <n v="122540"/>
    <n v="1"/>
    <s v="Indonesia"/>
    <s v="TJL - JPP"/>
    <x v="0"/>
  </r>
  <r>
    <s v="CLICTRUCK-045746"/>
    <s v="domestic"/>
    <x v="60"/>
    <x v="11"/>
    <n v="10095360"/>
    <n v="5550"/>
    <d v="2023-03-18T00:00:00"/>
    <s v="UNPAID"/>
    <x v="11"/>
    <n v="168087"/>
    <n v="1"/>
    <s v="Indonesia"/>
    <s v="TJL - JPP"/>
    <x v="0"/>
  </r>
  <r>
    <s v="CLICTRUCK-045747"/>
    <s v="domestic"/>
    <x v="60"/>
    <x v="11"/>
    <n v="16282675"/>
    <n v="5550"/>
    <d v="2023-03-18T00:00:00"/>
    <s v="UNPAID"/>
    <x v="11"/>
    <n v="271106"/>
    <n v="1"/>
    <s v="Indonesia"/>
    <s v="TJL - JPP"/>
    <x v="0"/>
  </r>
  <r>
    <s v="CLICTRUCK-045748"/>
    <s v="domestic"/>
    <x v="60"/>
    <x v="11"/>
    <n v="12877608"/>
    <n v="5550"/>
    <d v="2023-03-18T00:00:00"/>
    <s v="UNPAID"/>
    <x v="11"/>
    <n v="214412"/>
    <n v="1"/>
    <s v="Indonesia"/>
    <s v="TJL - JPP"/>
    <x v="0"/>
  </r>
  <r>
    <s v="CLICTRUCK-045749"/>
    <s v="domestic"/>
    <x v="60"/>
    <x v="11"/>
    <n v="17094715"/>
    <n v="5550"/>
    <d v="2023-03-18T00:00:00"/>
    <s v="UNPAID"/>
    <x v="11"/>
    <n v="284626"/>
    <n v="1"/>
    <s v="Indonesia"/>
    <s v="TJL - JPP"/>
    <x v="0"/>
  </r>
  <r>
    <s v="CLICTRUCK-045750"/>
    <s v="domestic"/>
    <x v="60"/>
    <x v="11"/>
    <n v="22800042"/>
    <n v="5550"/>
    <d v="2023-03-18T00:00:00"/>
    <s v="UNPAID"/>
    <x v="11"/>
    <n v="379620"/>
    <n v="1"/>
    <s v="Indonesia"/>
    <s v="TJL - JPP"/>
    <x v="0"/>
  </r>
  <r>
    <s v="CLICTRUCK-045751"/>
    <s v="domestic"/>
    <x v="60"/>
    <x v="11"/>
    <n v="21303098"/>
    <n v="5550"/>
    <d v="2023-03-18T00:00:00"/>
    <s v="UNPAID"/>
    <x v="11"/>
    <n v="354696"/>
    <n v="1"/>
    <s v="Indonesia"/>
    <s v="TJL - JPP"/>
    <x v="0"/>
  </r>
  <r>
    <s v="CLICTRUCK-045752"/>
    <s v="domestic"/>
    <x v="60"/>
    <x v="11"/>
    <n v="8608697"/>
    <n v="5550"/>
    <d v="2023-03-18T00:00:00"/>
    <s v="UNPAID"/>
    <x v="11"/>
    <n v="143334"/>
    <n v="1"/>
    <s v="Indonesia"/>
    <s v="TJL - JPP"/>
    <x v="0"/>
  </r>
  <r>
    <s v="CLICTRUCK-045753"/>
    <s v="domestic"/>
    <x v="60"/>
    <x v="11"/>
    <n v="8350774"/>
    <n v="5550"/>
    <d v="2023-03-18T00:00:00"/>
    <s v="UNPAID"/>
    <x v="11"/>
    <n v="139039"/>
    <n v="1"/>
    <s v="Indonesia"/>
    <s v="TJL - JPP"/>
    <x v="0"/>
  </r>
  <r>
    <s v="CLICTRUCK-045754"/>
    <s v="domestic"/>
    <x v="60"/>
    <x v="11"/>
    <n v="3610000"/>
    <n v="5550"/>
    <d v="2023-03-18T00:00:00"/>
    <s v="UNPAID"/>
    <x v="11"/>
    <n v="60106"/>
    <n v="1"/>
    <s v="Indonesia"/>
    <s v="TJL - JPP"/>
    <x v="0"/>
  </r>
  <r>
    <s v="CLICTRUCK-045755"/>
    <s v="domestic"/>
    <x v="60"/>
    <x v="11"/>
    <n v="2200000"/>
    <n v="5550"/>
    <d v="2023-03-18T00:00:00"/>
    <s v="UNPAID"/>
    <x v="11"/>
    <n v="36630"/>
    <n v="1"/>
    <s v="Indonesia"/>
    <s v="TJL - JPP"/>
    <x v="0"/>
  </r>
  <r>
    <s v="CLICTRUCK-045756"/>
    <s v="domestic"/>
    <x v="60"/>
    <x v="11"/>
    <n v="2560000"/>
    <n v="5550"/>
    <d v="2023-03-18T00:00:00"/>
    <s v="UNPAID"/>
    <x v="11"/>
    <n v="42624"/>
    <n v="1"/>
    <s v="Indonesia"/>
    <s v="TJL - JPP"/>
    <x v="0"/>
  </r>
  <r>
    <s v="CLICTRUCK-045757"/>
    <s v="domestic"/>
    <x v="60"/>
    <x v="11"/>
    <n v="6904000"/>
    <n v="5550"/>
    <d v="2023-03-18T00:00:00"/>
    <s v="UNPAID"/>
    <x v="11"/>
    <n v="114951"/>
    <n v="1"/>
    <s v="Indonesia"/>
    <s v="TJL - JPP"/>
    <x v="0"/>
  </r>
  <r>
    <s v="CLICTRUCK-045758"/>
    <s v="domestic"/>
    <x v="60"/>
    <x v="11"/>
    <n v="2738000"/>
    <n v="5550"/>
    <d v="2023-03-18T00:00:00"/>
    <s v="UNPAID"/>
    <x v="11"/>
    <n v="45587"/>
    <n v="1"/>
    <s v="Indonesia"/>
    <s v="TJL - JPP"/>
    <x v="0"/>
  </r>
  <r>
    <s v="CLICTRUCK-045764"/>
    <s v="domestic"/>
    <x v="60"/>
    <x v="11"/>
    <n v="15717777"/>
    <n v="5550"/>
    <d v="2023-03-17T00:00:00"/>
    <s v="UNPAID"/>
    <x v="11"/>
    <n v="261700"/>
    <n v="1"/>
    <s v="Indonesia"/>
    <s v="TJL - JPP"/>
    <x v="0"/>
  </r>
  <r>
    <s v="CLICTRUCK-045765"/>
    <s v="domestic"/>
    <x v="60"/>
    <x v="11"/>
    <n v="15458681"/>
    <n v="5550"/>
    <d v="2023-03-17T00:00:00"/>
    <s v="UNPAID"/>
    <x v="11"/>
    <n v="257386"/>
    <n v="1"/>
    <s v="Indonesia"/>
    <s v="TJL - JPP"/>
    <x v="0"/>
  </r>
  <r>
    <s v="CLICTRUCK-045766"/>
    <s v="domestic"/>
    <x v="60"/>
    <x v="11"/>
    <n v="16374012"/>
    <n v="5550"/>
    <d v="2023-03-17T00:00:00"/>
    <s v="UNPAID"/>
    <x v="11"/>
    <n v="272627"/>
    <n v="1"/>
    <s v="Indonesia"/>
    <s v="TJL - JPP"/>
    <x v="0"/>
  </r>
  <r>
    <s v="CLICTRUCK-045767"/>
    <s v="domestic"/>
    <x v="60"/>
    <x v="11"/>
    <n v="13064016"/>
    <n v="5550"/>
    <d v="2023-03-17T00:00:00"/>
    <s v="UNPAID"/>
    <x v="11"/>
    <n v="217515"/>
    <n v="1"/>
    <s v="Indonesia"/>
    <s v="TJL - JPP"/>
    <x v="0"/>
  </r>
  <r>
    <s v="CLICTRUCK-045768"/>
    <s v="domestic"/>
    <x v="60"/>
    <x v="11"/>
    <n v="16201989"/>
    <n v="5550"/>
    <d v="2023-03-17T00:00:00"/>
    <s v="UNPAID"/>
    <x v="11"/>
    <n v="269762"/>
    <n v="1"/>
    <s v="Indonesia"/>
    <s v="TJL - JPP"/>
    <x v="0"/>
  </r>
  <r>
    <s v="CLICTRUCK-045769"/>
    <s v="domestic"/>
    <x v="60"/>
    <x v="11"/>
    <n v="11367525"/>
    <n v="5550"/>
    <d v="2023-03-18T00:00:00"/>
    <s v="UNPAID"/>
    <x v="11"/>
    <n v="189268"/>
    <n v="1"/>
    <s v="Indonesia"/>
    <s v="TJL - JPP"/>
    <x v="0"/>
  </r>
  <r>
    <s v="CLICTRUCK-045770"/>
    <s v="domestic"/>
    <x v="60"/>
    <x v="11"/>
    <n v="5511950"/>
    <n v="5550"/>
    <d v="2023-03-18T00:00:00"/>
    <s v="UNPAID"/>
    <x v="11"/>
    <n v="91773"/>
    <n v="1"/>
    <s v="Indonesia"/>
    <s v="TJL - JPP"/>
    <x v="0"/>
  </r>
  <r>
    <s v="CLICTRUCK-045771"/>
    <s v="domestic"/>
    <x v="60"/>
    <x v="11"/>
    <n v="5511950"/>
    <n v="5550"/>
    <d v="2023-03-18T00:00:00"/>
    <s v="UNPAID"/>
    <x v="11"/>
    <n v="91773"/>
    <n v="1"/>
    <s v="Indonesia"/>
    <s v="TJL - JPP"/>
    <x v="0"/>
  </r>
  <r>
    <s v="CLICTRUCK-045772"/>
    <s v="domestic"/>
    <x v="60"/>
    <x v="11"/>
    <n v="6549825"/>
    <n v="5550"/>
    <d v="2023-03-18T00:00:00"/>
    <s v="UNPAID"/>
    <x v="11"/>
    <n v="109054"/>
    <n v="1"/>
    <s v="Indonesia"/>
    <s v="TJL - JPP"/>
    <x v="0"/>
  </r>
  <r>
    <s v="CLICTRUCK-045773"/>
    <s v="domestic"/>
    <x v="60"/>
    <x v="11"/>
    <n v="6549825"/>
    <n v="5550"/>
    <d v="2023-03-18T00:00:00"/>
    <s v="UNPAID"/>
    <x v="11"/>
    <n v="109054"/>
    <n v="1"/>
    <s v="Indonesia"/>
    <s v="TJL - JPP"/>
    <x v="0"/>
  </r>
  <r>
    <s v="CLICTRUCK-045774"/>
    <s v="domestic"/>
    <x v="60"/>
    <x v="11"/>
    <n v="5511950"/>
    <n v="5550"/>
    <d v="2023-03-18T00:00:00"/>
    <s v="UNPAID"/>
    <x v="11"/>
    <n v="91773"/>
    <n v="1"/>
    <s v="Indonesia"/>
    <s v="TJL - JPP"/>
    <x v="0"/>
  </r>
  <r>
    <s v="CLICTRUCK-045775"/>
    <s v="domestic"/>
    <x v="60"/>
    <x v="11"/>
    <n v="9991200"/>
    <n v="5550"/>
    <d v="2023-03-18T00:00:00"/>
    <s v="UNPAID"/>
    <x v="11"/>
    <n v="166353"/>
    <n v="1"/>
    <s v="Indonesia"/>
    <s v="TJL - JPP"/>
    <x v="0"/>
  </r>
  <r>
    <s v="CLICTRUCK-045776"/>
    <s v="domestic"/>
    <x v="60"/>
    <x v="11"/>
    <n v="17206493"/>
    <n v="5550"/>
    <d v="2023-03-18T00:00:00"/>
    <s v="UNPAID"/>
    <x v="11"/>
    <n v="286487"/>
    <n v="1"/>
    <s v="Indonesia"/>
    <s v="TJL - JPP"/>
    <x v="0"/>
  </r>
  <r>
    <s v="CLICTRUCK-045777"/>
    <s v="domestic"/>
    <x v="60"/>
    <x v="11"/>
    <n v="979436"/>
    <n v="5550"/>
    <d v="2023-03-18T00:00:00"/>
    <s v="UNPAID"/>
    <x v="11"/>
    <n v="16307"/>
    <n v="1"/>
    <s v="Indonesia"/>
    <s v="TJL - JPP"/>
    <x v="0"/>
  </r>
  <r>
    <s v="CLICTRUCK-045778"/>
    <s v="domestic"/>
    <x v="60"/>
    <x v="11"/>
    <n v="1168616"/>
    <n v="5550"/>
    <d v="2023-03-18T00:00:00"/>
    <s v="UNPAID"/>
    <x v="11"/>
    <n v="19457"/>
    <n v="1"/>
    <s v="Indonesia"/>
    <s v="TJL - JPP"/>
    <x v="0"/>
  </r>
  <r>
    <s v="CLICTRUCK-045779"/>
    <s v="domestic"/>
    <x v="60"/>
    <x v="11"/>
    <n v="1031384"/>
    <n v="5550"/>
    <d v="2023-03-18T00:00:00"/>
    <s v="UNPAID"/>
    <x v="11"/>
    <n v="17171"/>
    <n v="1"/>
    <s v="Indonesia"/>
    <s v="TJL - JPP"/>
    <x v="0"/>
  </r>
  <r>
    <s v="CLICTRUCK-045780"/>
    <s v="domestic"/>
    <x v="60"/>
    <x v="11"/>
    <n v="1093073"/>
    <n v="5550"/>
    <d v="2023-03-18T00:00:00"/>
    <s v="UNPAID"/>
    <x v="11"/>
    <n v="18199"/>
    <n v="1"/>
    <s v="Indonesia"/>
    <s v="TJL - JPP"/>
    <x v="0"/>
  </r>
  <r>
    <s v="CLICTRUCK-045781"/>
    <s v="domestic"/>
    <x v="60"/>
    <x v="11"/>
    <n v="979436"/>
    <n v="5550"/>
    <d v="2023-03-18T00:00:00"/>
    <s v="UNPAID"/>
    <x v="11"/>
    <n v="16307"/>
    <n v="1"/>
    <s v="Indonesia"/>
    <s v="TJL - JPP"/>
    <x v="0"/>
  </r>
  <r>
    <s v="CLICTRUCK-045782"/>
    <s v="domestic"/>
    <x v="60"/>
    <x v="11"/>
    <n v="1093073"/>
    <n v="5550"/>
    <d v="2023-03-18T00:00:00"/>
    <s v="UNPAID"/>
    <x v="11"/>
    <n v="18199"/>
    <n v="1"/>
    <s v="Indonesia"/>
    <s v="TJL - JPP"/>
    <x v="0"/>
  </r>
  <r>
    <s v="CLICTRUCK-045783"/>
    <s v="domestic"/>
    <x v="60"/>
    <x v="11"/>
    <n v="1013268"/>
    <n v="5550"/>
    <d v="2023-03-18T00:00:00"/>
    <s v="UNPAID"/>
    <x v="11"/>
    <n v="16870"/>
    <n v="1"/>
    <s v="Indonesia"/>
    <s v="TJL - JPP"/>
    <x v="0"/>
  </r>
  <r>
    <s v="CLICTRUCK-045784"/>
    <s v="domestic"/>
    <x v="60"/>
    <x v="11"/>
    <n v="979436"/>
    <n v="5550"/>
    <d v="2023-03-18T00:00:00"/>
    <s v="UNPAID"/>
    <x v="11"/>
    <n v="16307"/>
    <n v="1"/>
    <s v="Indonesia"/>
    <s v="TJL - JPP"/>
    <x v="0"/>
  </r>
  <r>
    <s v="CLICTRUCK-045785"/>
    <s v="domestic"/>
    <x v="60"/>
    <x v="11"/>
    <n v="1134198"/>
    <n v="5550"/>
    <d v="2023-03-18T00:00:00"/>
    <s v="UNPAID"/>
    <x v="11"/>
    <n v="18883"/>
    <n v="1"/>
    <s v="Indonesia"/>
    <s v="TJL - JPP"/>
    <x v="0"/>
  </r>
  <r>
    <s v="CLICTRUCK-045786"/>
    <s v="domestic"/>
    <x v="60"/>
    <x v="11"/>
    <n v="900816"/>
    <n v="5550"/>
    <d v="2023-03-18T00:00:00"/>
    <s v="UNPAID"/>
    <x v="11"/>
    <n v="14998"/>
    <n v="1"/>
    <s v="Indonesia"/>
    <s v="TJL - JPP"/>
    <x v="0"/>
  </r>
  <r>
    <s v="CLICTRUCK-045787"/>
    <s v="domestic"/>
    <x v="60"/>
    <x v="11"/>
    <n v="1134198"/>
    <n v="5550"/>
    <d v="2023-03-18T00:00:00"/>
    <s v="UNPAID"/>
    <x v="11"/>
    <n v="18883"/>
    <n v="1"/>
    <s v="Indonesia"/>
    <s v="TJL - JPP"/>
    <x v="0"/>
  </r>
  <r>
    <s v="CLICTRUCK-045788"/>
    <s v="domestic"/>
    <x v="60"/>
    <x v="11"/>
    <n v="851316"/>
    <n v="5550"/>
    <d v="2023-03-18T00:00:00"/>
    <s v="UNPAID"/>
    <x v="11"/>
    <n v="14173"/>
    <n v="1"/>
    <s v="Indonesia"/>
    <s v="TJL - JPP"/>
    <x v="0"/>
  </r>
  <r>
    <s v="CLICTRUCK-045789"/>
    <s v="domestic"/>
    <x v="60"/>
    <x v="11"/>
    <n v="29456000"/>
    <n v="5550"/>
    <d v="2023-03-18T00:00:00"/>
    <s v="UNPAID"/>
    <x v="11"/>
    <n v="490442"/>
    <n v="1"/>
    <s v="Indonesia"/>
    <s v="TJL - JPP"/>
    <x v="0"/>
  </r>
  <r>
    <s v="CLICTRUCK-045790"/>
    <s v="domestic"/>
    <x v="60"/>
    <x v="11"/>
    <n v="30759817"/>
    <n v="5550"/>
    <d v="2023-03-18T00:00:00"/>
    <s v="UNPAID"/>
    <x v="11"/>
    <n v="512150"/>
    <n v="1"/>
    <s v="Indonesia"/>
    <s v="TJL - JPP"/>
    <x v="0"/>
  </r>
  <r>
    <s v="CLICTRUCK-045796"/>
    <s v="domestic"/>
    <x v="60"/>
    <x v="11"/>
    <n v="330000"/>
    <n v="5550"/>
    <d v="2023-03-18T00:00:00"/>
    <s v="UNPAID"/>
    <x v="11"/>
    <n v="5494"/>
    <n v="1"/>
    <s v="Indonesia"/>
    <s v="TJL - JPP"/>
    <x v="0"/>
  </r>
  <r>
    <s v="CLICTRUCK-045797"/>
    <s v="domestic"/>
    <x v="60"/>
    <x v="11"/>
    <n v="1650000"/>
    <n v="5550"/>
    <d v="2023-03-18T00:00:00"/>
    <s v="UNPAID"/>
    <x v="11"/>
    <n v="27472"/>
    <n v="1"/>
    <s v="Indonesia"/>
    <s v="TJL - JPP"/>
    <x v="0"/>
  </r>
  <r>
    <s v="CLICTRUCK-045798"/>
    <s v="domestic"/>
    <x v="60"/>
    <x v="11"/>
    <n v="1694000"/>
    <n v="5550"/>
    <d v="2023-03-18T00:00:00"/>
    <s v="UNPAID"/>
    <x v="11"/>
    <n v="28205"/>
    <n v="1"/>
    <s v="Indonesia"/>
    <s v="TJL - JPP"/>
    <x v="0"/>
  </r>
  <r>
    <s v="CLICTRUCK-045799"/>
    <s v="domestic"/>
    <x v="60"/>
    <x v="11"/>
    <n v="4620000"/>
    <n v="5550"/>
    <d v="2023-03-18T00:00:00"/>
    <s v="UNPAID"/>
    <x v="11"/>
    <n v="76923"/>
    <n v="1"/>
    <s v="Indonesia"/>
    <s v="TJL - JPP"/>
    <x v="0"/>
  </r>
  <r>
    <s v="CLICTRUCK-045800"/>
    <s v="domestic"/>
    <x v="60"/>
    <x v="11"/>
    <n v="13225000"/>
    <n v="5550"/>
    <d v="2023-03-18T00:00:00"/>
    <s v="UNPAID"/>
    <x v="11"/>
    <n v="220196"/>
    <n v="1"/>
    <s v="Indonesia"/>
    <s v="TJL - JPP"/>
    <x v="0"/>
  </r>
  <r>
    <s v="CLICTRUCK-045801"/>
    <s v="domestic"/>
    <x v="60"/>
    <x v="11"/>
    <n v="770000"/>
    <n v="5550"/>
    <d v="2023-03-18T00:00:00"/>
    <s v="UNPAID"/>
    <x v="11"/>
    <n v="12820"/>
    <n v="1"/>
    <s v="Indonesia"/>
    <s v="TJL - JPP"/>
    <x v="0"/>
  </r>
  <r>
    <s v="CLICTRUCK-045802"/>
    <s v="domestic"/>
    <x v="60"/>
    <x v="11"/>
    <n v="1650000"/>
    <n v="5550"/>
    <d v="2023-03-18T00:00:00"/>
    <s v="UNPAID"/>
    <x v="11"/>
    <n v="27472"/>
    <n v="1"/>
    <s v="Indonesia"/>
    <s v="TJL - JPP"/>
    <x v="0"/>
  </r>
  <r>
    <s v="CLICTRUCK-045803"/>
    <s v="domestic"/>
    <x v="60"/>
    <x v="11"/>
    <n v="1650000"/>
    <n v="5550"/>
    <d v="2023-03-18T00:00:00"/>
    <s v="UNPAID"/>
    <x v="11"/>
    <n v="27472"/>
    <n v="1"/>
    <s v="Indonesia"/>
    <s v="TJL - JPP"/>
    <x v="0"/>
  </r>
  <r>
    <s v="CLICTRUCK-045804"/>
    <s v="domestic"/>
    <x v="60"/>
    <x v="11"/>
    <n v="6600000"/>
    <n v="5550"/>
    <d v="2023-03-18T00:00:00"/>
    <s v="UNPAID"/>
    <x v="11"/>
    <n v="109890"/>
    <n v="1"/>
    <s v="Indonesia"/>
    <s v="TJL - JPP"/>
    <x v="0"/>
  </r>
  <r>
    <s v="CLICTRUCK-045805"/>
    <s v="domestic"/>
    <x v="60"/>
    <x v="11"/>
    <n v="3080000"/>
    <n v="5550"/>
    <d v="2023-03-18T00:00:00"/>
    <s v="UNPAID"/>
    <x v="11"/>
    <n v="51282"/>
    <n v="1"/>
    <s v="Indonesia"/>
    <s v="TJL - JPP"/>
    <x v="0"/>
  </r>
  <r>
    <s v="CLICTRUCK-045806"/>
    <s v="domestic"/>
    <x v="60"/>
    <x v="11"/>
    <n v="4180000"/>
    <n v="5550"/>
    <d v="2023-03-18T00:00:00"/>
    <s v="UNPAID"/>
    <x v="11"/>
    <n v="69597"/>
    <n v="1"/>
    <s v="Indonesia"/>
    <s v="TJL - JPP"/>
    <x v="0"/>
  </r>
  <r>
    <s v="CLICTRUCK-045807"/>
    <s v="domestic"/>
    <x v="60"/>
    <x v="11"/>
    <n v="4180000"/>
    <n v="5550"/>
    <d v="2023-03-18T00:00:00"/>
    <s v="UNPAID"/>
    <x v="11"/>
    <n v="69597"/>
    <n v="1"/>
    <s v="Indonesia"/>
    <s v="TJL - JPP"/>
    <x v="0"/>
  </r>
  <r>
    <s v="CLICTRUCK-045808"/>
    <s v="domestic"/>
    <x v="60"/>
    <x v="11"/>
    <n v="19550000"/>
    <n v="5550"/>
    <d v="2023-03-18T00:00:00"/>
    <s v="UNPAID"/>
    <x v="11"/>
    <n v="325507"/>
    <n v="1"/>
    <s v="Indonesia"/>
    <s v="TJL - JPP"/>
    <x v="0"/>
  </r>
  <r>
    <s v="CLICTRUCK-045809"/>
    <s v="domestic"/>
    <x v="60"/>
    <x v="11"/>
    <n v="13110000"/>
    <n v="5550"/>
    <d v="2023-03-18T00:00:00"/>
    <s v="UNPAID"/>
    <x v="11"/>
    <n v="218281"/>
    <n v="1"/>
    <s v="Indonesia"/>
    <s v="TJL - JPP"/>
    <x v="0"/>
  </r>
  <r>
    <s v="CLICTRUCK-045810"/>
    <s v="domestic"/>
    <x v="60"/>
    <x v="11"/>
    <n v="20700000"/>
    <n v="5550"/>
    <d v="2023-03-18T00:00:00"/>
    <s v="UNPAID"/>
    <x v="11"/>
    <n v="344655"/>
    <n v="1"/>
    <s v="Indonesia"/>
    <s v="TJL - JPP"/>
    <x v="0"/>
  </r>
  <r>
    <s v="CLICTRUCK-045811"/>
    <s v="domestic"/>
    <x v="60"/>
    <x v="11"/>
    <n v="13790000"/>
    <n v="5550"/>
    <d v="2023-03-18T00:00:00"/>
    <s v="UNPAID"/>
    <x v="11"/>
    <n v="229603"/>
    <n v="1"/>
    <s v="Indonesia"/>
    <s v="TJL - JPP"/>
    <x v="0"/>
  </r>
  <r>
    <s v="CLICTRUCK-045812"/>
    <s v="domestic"/>
    <x v="60"/>
    <x v="11"/>
    <n v="6210000"/>
    <n v="5550"/>
    <d v="2023-03-18T00:00:00"/>
    <s v="UNPAID"/>
    <x v="11"/>
    <n v="103396"/>
    <n v="1"/>
    <s v="Indonesia"/>
    <s v="TJL - JPP"/>
    <x v="0"/>
  </r>
  <r>
    <s v="CLICTRUCK-045813"/>
    <s v="domestic"/>
    <x v="60"/>
    <x v="11"/>
    <n v="12420000"/>
    <n v="5550"/>
    <d v="2023-03-18T00:00:00"/>
    <s v="UNPAID"/>
    <x v="11"/>
    <n v="206793"/>
    <n v="1"/>
    <s v="Indonesia"/>
    <s v="TJL - JPP"/>
    <x v="0"/>
  </r>
  <r>
    <s v="CLICTRUCK-045814"/>
    <s v="domestic"/>
    <x v="60"/>
    <x v="11"/>
    <n v="1155000"/>
    <n v="5550"/>
    <d v="2023-03-18T00:00:00"/>
    <s v="UNPAID"/>
    <x v="11"/>
    <n v="19230"/>
    <n v="1"/>
    <s v="Indonesia"/>
    <s v="TJL - JPP"/>
    <x v="0"/>
  </r>
  <r>
    <s v="CLICTRUCK-045815"/>
    <s v="domestic"/>
    <x v="60"/>
    <x v="11"/>
    <n v="10679795"/>
    <n v="5550"/>
    <d v="2023-03-18T00:00:00"/>
    <s v="UNPAID"/>
    <x v="11"/>
    <n v="177817"/>
    <n v="1"/>
    <s v="Indonesia"/>
    <s v="TJL - JPP"/>
    <x v="0"/>
  </r>
  <r>
    <s v="CLICTRUCK-045816"/>
    <s v="domestic"/>
    <x v="60"/>
    <x v="11"/>
    <n v="16207596"/>
    <n v="5550"/>
    <d v="2023-03-18T00:00:00"/>
    <s v="UNPAID"/>
    <x v="11"/>
    <n v="269855"/>
    <n v="1"/>
    <s v="Indonesia"/>
    <s v="TJL - JPP"/>
    <x v="0"/>
  </r>
  <r>
    <s v="CLICTRUCK-045817"/>
    <s v="domestic"/>
    <x v="60"/>
    <x v="11"/>
    <n v="27220400"/>
    <n v="5550"/>
    <d v="2023-03-18T00:00:00"/>
    <s v="UNPAID"/>
    <x v="11"/>
    <n v="453219"/>
    <n v="1"/>
    <s v="Indonesia"/>
    <s v="TJL - JPP"/>
    <x v="0"/>
  </r>
  <r>
    <s v="CLICTRUCK-045818"/>
    <s v="domestic"/>
    <x v="60"/>
    <x v="11"/>
    <n v="23406868"/>
    <n v="5550"/>
    <d v="2023-03-18T00:00:00"/>
    <s v="UNPAID"/>
    <x v="11"/>
    <n v="389724"/>
    <n v="1"/>
    <s v="Indonesia"/>
    <s v="TJL - JPP"/>
    <x v="0"/>
  </r>
  <r>
    <s v="CLICTRUCK-045819"/>
    <s v="domestic"/>
    <x v="60"/>
    <x v="11"/>
    <n v="13034340"/>
    <n v="5550"/>
    <d v="2023-03-18T00:00:00"/>
    <s v="UNPAID"/>
    <x v="11"/>
    <n v="217021"/>
    <n v="1"/>
    <s v="Indonesia"/>
    <s v="TJL - JPP"/>
    <x v="0"/>
  </r>
  <r>
    <s v="CLICTRUCK-045820"/>
    <s v="domestic"/>
    <x v="60"/>
    <x v="11"/>
    <n v="6244246"/>
    <n v="5550"/>
    <d v="2023-03-18T00:00:00"/>
    <s v="UNPAID"/>
    <x v="11"/>
    <n v="103965"/>
    <n v="1"/>
    <s v="Indonesia"/>
    <s v="TJL - JPP"/>
    <x v="0"/>
  </r>
  <r>
    <s v="CLICTRUCK-045821"/>
    <s v="domestic"/>
    <x v="60"/>
    <x v="11"/>
    <n v="8026208"/>
    <n v="5550"/>
    <d v="2023-03-18T00:00:00"/>
    <s v="UNPAID"/>
    <x v="11"/>
    <n v="133636"/>
    <n v="1"/>
    <s v="Indonesia"/>
    <s v="TJL - JPP"/>
    <x v="0"/>
  </r>
  <r>
    <s v="CLICTRUCK-045822"/>
    <s v="domestic"/>
    <x v="60"/>
    <x v="11"/>
    <n v="10956000"/>
    <n v="5550"/>
    <d v="2023-03-18T00:00:00"/>
    <s v="UNPAID"/>
    <x v="11"/>
    <n v="182417"/>
    <n v="1"/>
    <s v="Indonesia"/>
    <s v="TJL - JPP"/>
    <x v="0"/>
  </r>
  <r>
    <s v="CLICTRUCK-045823"/>
    <s v="domestic"/>
    <x v="60"/>
    <x v="11"/>
    <n v="10810800"/>
    <n v="5550"/>
    <d v="2023-03-18T00:00:00"/>
    <s v="UNPAID"/>
    <x v="11"/>
    <n v="179999"/>
    <n v="1"/>
    <s v="Indonesia"/>
    <s v="TJL - JPP"/>
    <x v="0"/>
  </r>
  <r>
    <s v="CLICTRUCK-045824"/>
    <s v="domestic"/>
    <x v="60"/>
    <x v="11"/>
    <n v="25571400"/>
    <n v="5550"/>
    <d v="2023-03-18T00:00:00"/>
    <s v="UNPAID"/>
    <x v="11"/>
    <n v="425763"/>
    <n v="1"/>
    <s v="Indonesia"/>
    <s v="TJL - JPP"/>
    <x v="0"/>
  </r>
  <r>
    <s v="CLICTRUCK-045826"/>
    <s v="domestic"/>
    <x v="60"/>
    <x v="11"/>
    <n v="485915"/>
    <n v="5550"/>
    <d v="2023-03-18T00:00:00"/>
    <s v="UNPAID"/>
    <x v="11"/>
    <n v="8089"/>
    <n v="1"/>
    <s v="Indonesia"/>
    <s v="TJL - JPP"/>
    <x v="0"/>
  </r>
  <r>
    <s v="CLICTRUCK-045827"/>
    <s v="domestic"/>
    <x v="60"/>
    <x v="11"/>
    <n v="11597520"/>
    <n v="5550"/>
    <d v="2023-03-18T00:00:00"/>
    <s v="UNPAID"/>
    <x v="11"/>
    <n v="193097"/>
    <n v="1"/>
    <s v="Indonesia"/>
    <s v="TJL - JPP"/>
    <x v="0"/>
  </r>
  <r>
    <s v="CLICTRUCK-045828"/>
    <s v="domestic"/>
    <x v="61"/>
    <x v="12"/>
    <n v="3700000"/>
    <n v="27750"/>
    <d v="2023-03-21T00:00:00"/>
    <s v="UNPAID"/>
    <x v="13"/>
    <n v="102675"/>
    <n v="1"/>
    <s v="Indonesia"/>
    <s v="RPL - NBM"/>
    <x v="0"/>
  </r>
  <r>
    <s v="CLICTRUCK-045831"/>
    <s v="domestic"/>
    <x v="61"/>
    <x v="12"/>
    <n v="10500000"/>
    <n v="27750"/>
    <d v="2023-03-24T00:00:00"/>
    <s v="UNPAID"/>
    <x v="13"/>
    <n v="291375"/>
    <n v="1"/>
    <s v="Indonesia"/>
    <s v="RPL - NBM"/>
    <x v="0"/>
  </r>
  <r>
    <s v="CLICTRUCK-045832"/>
    <s v="domestic"/>
    <x v="61"/>
    <x v="12"/>
    <n v="10500000"/>
    <n v="27750"/>
    <d v="2023-03-24T00:00:00"/>
    <s v="UNPAID"/>
    <x v="13"/>
    <n v="291375"/>
    <n v="1"/>
    <s v="Indonesia"/>
    <s v="RPL - NBM"/>
    <x v="0"/>
  </r>
  <r>
    <s v="CLICTRUCK-045834"/>
    <s v="domestic"/>
    <x v="61"/>
    <x v="11"/>
    <n v="19349966"/>
    <n v="5550"/>
    <d v="2023-03-18T00:00:00"/>
    <s v="UNPAID"/>
    <x v="11"/>
    <n v="322176"/>
    <n v="1"/>
    <s v="Indonesia"/>
    <s v="TJL - JPP"/>
    <x v="0"/>
  </r>
  <r>
    <s v="CLICTRUCK-045835"/>
    <s v="domestic"/>
    <x v="61"/>
    <x v="11"/>
    <n v="19368531"/>
    <n v="5550"/>
    <d v="2023-03-18T00:00:00"/>
    <s v="UNPAID"/>
    <x v="11"/>
    <n v="322484"/>
    <n v="1"/>
    <s v="Indonesia"/>
    <s v="TJL - JPP"/>
    <x v="0"/>
  </r>
  <r>
    <s v="CLICTRUCK-045836"/>
    <s v="domestic"/>
    <x v="61"/>
    <x v="11"/>
    <n v="12650000"/>
    <n v="5550"/>
    <d v="2023-03-18T00:00:00"/>
    <s v="UNPAID"/>
    <x v="11"/>
    <n v="210622"/>
    <n v="1"/>
    <s v="Indonesia"/>
    <s v="TJL - JPP"/>
    <x v="0"/>
  </r>
  <r>
    <s v="CLICTRUCK-045837"/>
    <s v="domestic"/>
    <x v="61"/>
    <x v="11"/>
    <n v="12650000"/>
    <n v="5550"/>
    <d v="2023-03-18T00:00:00"/>
    <s v="UNPAID"/>
    <x v="11"/>
    <n v="210622"/>
    <n v="1"/>
    <s v="Indonesia"/>
    <s v="TJL - JPP"/>
    <x v="0"/>
  </r>
  <r>
    <s v="CLICTRUCK-045838"/>
    <s v="domestic"/>
    <x v="61"/>
    <x v="11"/>
    <n v="12650000"/>
    <n v="5550"/>
    <d v="2023-03-18T00:00:00"/>
    <s v="UNPAID"/>
    <x v="11"/>
    <n v="210622"/>
    <n v="1"/>
    <s v="Indonesia"/>
    <s v="TJL - JPP"/>
    <x v="0"/>
  </r>
  <r>
    <s v="CLICTRUCK-045839"/>
    <s v="domestic"/>
    <x v="61"/>
    <x v="11"/>
    <n v="24007500"/>
    <n v="5550"/>
    <d v="2023-03-18T00:00:00"/>
    <s v="UNPAID"/>
    <x v="11"/>
    <n v="399724"/>
    <n v="1"/>
    <s v="Indonesia"/>
    <s v="TJL - JPP"/>
    <x v="0"/>
  </r>
  <r>
    <s v="CLICTRUCK-045840"/>
    <s v="domestic"/>
    <x v="61"/>
    <x v="11"/>
    <n v="12720000"/>
    <n v="5550"/>
    <d v="2023-03-18T00:00:00"/>
    <s v="UNPAID"/>
    <x v="11"/>
    <n v="211788"/>
    <n v="1"/>
    <s v="Indonesia"/>
    <s v="TJL - JPP"/>
    <x v="0"/>
  </r>
  <r>
    <s v="CLICTRUCK-045841"/>
    <s v="domestic"/>
    <x v="61"/>
    <x v="11"/>
    <n v="10844121"/>
    <n v="5550"/>
    <d v="2023-03-18T00:00:00"/>
    <s v="UNPAID"/>
    <x v="11"/>
    <n v="180553"/>
    <n v="1"/>
    <s v="Indonesia"/>
    <s v="TJL - JPP"/>
    <x v="0"/>
  </r>
  <r>
    <s v="CLICTRUCK-045842"/>
    <s v="domestic"/>
    <x v="61"/>
    <x v="11"/>
    <n v="4830000"/>
    <n v="5550"/>
    <d v="2023-03-18T00:00:00"/>
    <s v="UNPAID"/>
    <x v="11"/>
    <n v="80419"/>
    <n v="1"/>
    <s v="Indonesia"/>
    <s v="TJL - JPP"/>
    <x v="0"/>
  </r>
  <r>
    <s v="CLICTRUCK-045843"/>
    <s v="domestic"/>
    <x v="61"/>
    <x v="11"/>
    <n v="950000"/>
    <n v="5550"/>
    <d v="2023-03-18T00:00:00"/>
    <s v="UNPAID"/>
    <x v="11"/>
    <n v="15817"/>
    <n v="1"/>
    <s v="Indonesia"/>
    <s v="TJL - JPP"/>
    <x v="0"/>
  </r>
  <r>
    <s v="CLICTRUCK-045844"/>
    <s v="domestic"/>
    <x v="61"/>
    <x v="11"/>
    <n v="12720000"/>
    <n v="5550"/>
    <d v="2023-03-18T00:00:00"/>
    <s v="UNPAID"/>
    <x v="11"/>
    <n v="211788"/>
    <n v="1"/>
    <s v="Indonesia"/>
    <s v="TJL - JPP"/>
    <x v="0"/>
  </r>
  <r>
    <s v="CLICTRUCK-045845"/>
    <s v="domestic"/>
    <x v="61"/>
    <x v="11"/>
    <n v="950000"/>
    <n v="5550"/>
    <d v="2023-03-18T00:00:00"/>
    <s v="UNPAID"/>
    <x v="11"/>
    <n v="15817"/>
    <n v="1"/>
    <s v="Indonesia"/>
    <s v="TJL - JPP"/>
    <x v="0"/>
  </r>
  <r>
    <s v="CLICTRUCK-045846"/>
    <s v="domestic"/>
    <x v="61"/>
    <x v="11"/>
    <n v="38015000"/>
    <n v="5550"/>
    <d v="2023-03-18T00:00:00"/>
    <s v="UNPAID"/>
    <x v="11"/>
    <n v="632949"/>
    <n v="1"/>
    <s v="Indonesia"/>
    <s v="TJL - JPP"/>
    <x v="0"/>
  </r>
  <r>
    <s v="CLICTRUCK-045849"/>
    <s v="domestic"/>
    <x v="61"/>
    <x v="11"/>
    <n v="17400000"/>
    <n v="5550"/>
    <d v="2023-03-18T00:00:00"/>
    <s v="UNPAID"/>
    <x v="11"/>
    <n v="289710"/>
    <n v="1"/>
    <s v="Indonesia"/>
    <s v="TJL - JPP"/>
    <x v="0"/>
  </r>
  <r>
    <s v="CLICTRUCK-045853"/>
    <s v="domestic"/>
    <x v="61"/>
    <x v="24"/>
    <n v="350000000"/>
    <n v="27750"/>
    <d v="2023-03-19T00:00:00"/>
    <s v="UNPAID"/>
    <x v="27"/>
    <n v="21367500"/>
    <n v="1"/>
    <s v="Indonesia"/>
    <s v="LST - TJA"/>
    <x v="0"/>
  </r>
  <r>
    <s v="CLICTRUCK-045859"/>
    <s v="domestic"/>
    <x v="125"/>
    <x v="10"/>
    <n v="2550500"/>
    <n v="22200"/>
    <d v="2023-03-19T00:00:00"/>
    <s v="PAID"/>
    <x v="10"/>
    <n v="113242"/>
    <n v="1"/>
    <s v="Indonesia"/>
    <s v="ZLog-ZENSHIN"/>
    <x v="0"/>
  </r>
  <r>
    <s v="CLICTRUCK-045860"/>
    <s v="domestic"/>
    <x v="125"/>
    <x v="10"/>
    <n v="1172760"/>
    <n v="22200"/>
    <d v="2023-03-19T00:00:00"/>
    <s v="PAID"/>
    <x v="10"/>
    <n v="52070"/>
    <n v="1"/>
    <s v="Indonesia"/>
    <s v="ZLog-ZENSHIN"/>
    <x v="0"/>
  </r>
  <r>
    <s v="CLICTRUCK-045861"/>
    <s v="domestic"/>
    <x v="125"/>
    <x v="9"/>
    <n v="399350"/>
    <n v="24975"/>
    <d v="2023-04-13T00:00:00"/>
    <s v="UNPAID"/>
    <x v="9"/>
    <n v="13297"/>
    <n v="1"/>
    <s v="Indonesia"/>
    <s v="YSN-SSA"/>
    <x v="0"/>
  </r>
  <r>
    <s v="CLICTRUCK-045862"/>
    <s v="domestic"/>
    <x v="125"/>
    <x v="9"/>
    <n v="190000"/>
    <n v="22500"/>
    <m/>
    <s v="NEW"/>
    <x v="26"/>
    <n v="0"/>
    <n v="1"/>
    <s v="Indonesia"/>
    <s v="YSN-PPR"/>
    <x v="1"/>
  </r>
  <r>
    <s v="CLICTRUCK-045863"/>
    <s v="domestic"/>
    <x v="125"/>
    <x v="9"/>
    <n v="340060"/>
    <n v="24975"/>
    <d v="2023-03-24T00:00:00"/>
    <s v="PAID"/>
    <x v="9"/>
    <n v="11323"/>
    <n v="1"/>
    <s v="Indonesia"/>
    <s v="YSN-SSA"/>
    <x v="0"/>
  </r>
  <r>
    <s v="CLICTRUCK-045864"/>
    <s v="domestic"/>
    <x v="125"/>
    <x v="9"/>
    <n v="340060"/>
    <n v="24975"/>
    <d v="2023-03-24T00:00:00"/>
    <s v="PAID"/>
    <x v="9"/>
    <n v="11323"/>
    <n v="1"/>
    <s v="Indonesia"/>
    <s v="YSN-SSA"/>
    <x v="0"/>
  </r>
  <r>
    <s v="CLICTRUCK-045865"/>
    <s v="domestic"/>
    <x v="125"/>
    <x v="9"/>
    <n v="340060"/>
    <n v="24975"/>
    <d v="2023-03-24T00:00:00"/>
    <s v="PAID"/>
    <x v="9"/>
    <n v="11323"/>
    <n v="1"/>
    <s v="Indonesia"/>
    <s v="YSN-SSA"/>
    <x v="0"/>
  </r>
  <r>
    <s v="CLICTRUCK-045866"/>
    <s v="domestic"/>
    <x v="125"/>
    <x v="9"/>
    <n v="274890"/>
    <n v="24975"/>
    <d v="2023-04-13T00:00:00"/>
    <s v="UNPAID"/>
    <x v="9"/>
    <n v="9153"/>
    <n v="1"/>
    <s v="Indonesia"/>
    <s v="YSN-SSA"/>
    <x v="0"/>
  </r>
  <r>
    <s v="CLICTRUCK-045867"/>
    <s v="domestic"/>
    <x v="125"/>
    <x v="9"/>
    <n v="274890"/>
    <n v="24975"/>
    <d v="2023-04-13T00:00:00"/>
    <s v="UNPAID"/>
    <x v="9"/>
    <n v="9153"/>
    <n v="1"/>
    <s v="Indonesia"/>
    <s v="YSN-SSA"/>
    <x v="0"/>
  </r>
  <r>
    <s v="CLICTRUCK-045870"/>
    <s v="domestic"/>
    <x v="62"/>
    <x v="9"/>
    <n v="340060"/>
    <n v="24975"/>
    <d v="2023-04-12T00:00:00"/>
    <s v="UNPAID"/>
    <x v="9"/>
    <n v="11323"/>
    <n v="1"/>
    <s v="Indonesia"/>
    <s v="YSN-SSA"/>
    <x v="0"/>
  </r>
  <r>
    <s v="CLICTRUCK-045871"/>
    <s v="domestic"/>
    <x v="62"/>
    <x v="9"/>
    <n v="458150"/>
    <n v="24975"/>
    <d v="2023-04-13T00:00:00"/>
    <s v="UNPAID"/>
    <x v="9"/>
    <n v="15255"/>
    <n v="1"/>
    <s v="Indonesia"/>
    <s v="YSN-SSA"/>
    <x v="0"/>
  </r>
  <r>
    <s v="CLICTRUCK-045872"/>
    <s v="domestic"/>
    <x v="62"/>
    <x v="9"/>
    <n v="294490"/>
    <n v="24975"/>
    <d v="2023-04-13T00:00:00"/>
    <s v="UNPAID"/>
    <x v="9"/>
    <n v="9805"/>
    <n v="1"/>
    <s v="Indonesia"/>
    <s v="YSN-SSA"/>
    <x v="0"/>
  </r>
  <r>
    <s v="CLICTRUCK-045907"/>
    <s v="domestic"/>
    <x v="63"/>
    <x v="12"/>
    <n v="13000000"/>
    <n v="27750"/>
    <d v="2023-03-22T00:00:00"/>
    <s v="UNPAID"/>
    <x v="13"/>
    <n v="360750"/>
    <n v="1"/>
    <s v="Indonesia"/>
    <s v="RPL - NBM"/>
    <x v="0"/>
  </r>
  <r>
    <s v="CLICTRUCK-045908"/>
    <s v="domestic"/>
    <x v="64"/>
    <x v="12"/>
    <n v="10000000"/>
    <n v="27750"/>
    <d v="2023-03-22T00:00:00"/>
    <s v="UNPAID"/>
    <x v="13"/>
    <n v="277500"/>
    <n v="1"/>
    <s v="Indonesia"/>
    <s v="RPL - NBM"/>
    <x v="0"/>
  </r>
  <r>
    <s v="CLICTRUCK-045909"/>
    <s v="domestic"/>
    <x v="64"/>
    <x v="12"/>
    <n v="10000000"/>
    <n v="27750"/>
    <d v="2023-03-22T00:00:00"/>
    <s v="UNPAID"/>
    <x v="13"/>
    <n v="277500"/>
    <n v="1"/>
    <s v="Indonesia"/>
    <s v="RPL - NBM"/>
    <x v="0"/>
  </r>
  <r>
    <s v="CLICTRUCK-045910"/>
    <s v="domestic"/>
    <x v="64"/>
    <x v="12"/>
    <n v="13000000"/>
    <n v="27750"/>
    <d v="2023-03-22T00:00:00"/>
    <s v="UNPAID"/>
    <x v="13"/>
    <n v="360750"/>
    <n v="1"/>
    <s v="Indonesia"/>
    <s v="RPL - NBM"/>
    <x v="0"/>
  </r>
  <r>
    <s v="CLICTRUCK-045911"/>
    <s v="domestic"/>
    <x v="64"/>
    <x v="12"/>
    <n v="13000000"/>
    <n v="27750"/>
    <d v="2023-03-22T00:00:00"/>
    <s v="UNPAID"/>
    <x v="13"/>
    <n v="360750"/>
    <n v="1"/>
    <s v="Indonesia"/>
    <s v="RPL - NBM"/>
    <x v="0"/>
  </r>
  <r>
    <s v="CLICTRUCK-045931"/>
    <s v="domestic"/>
    <x v="64"/>
    <x v="16"/>
    <n v="9530000"/>
    <n v="264457"/>
    <d v="2023-03-23T00:00:00"/>
    <s v="UNPAID"/>
    <x v="17"/>
    <n v="27750"/>
    <n v="1"/>
    <s v="Indonesia"/>
    <s v="JMA - RKB"/>
    <x v="0"/>
  </r>
  <r>
    <s v="CLICTRUCK-045932"/>
    <s v="domestic"/>
    <x v="64"/>
    <x v="16"/>
    <n v="9530000"/>
    <n v="264457"/>
    <d v="2023-03-23T00:00:00"/>
    <s v="UNPAID"/>
    <x v="17"/>
    <n v="27750"/>
    <n v="1"/>
    <s v="Indonesia"/>
    <s v="JMA - RKB"/>
    <x v="0"/>
  </r>
  <r>
    <s v="CLICTRUCK-045933"/>
    <s v="domestic"/>
    <x v="64"/>
    <x v="16"/>
    <n v="4590000"/>
    <n v="127372"/>
    <d v="2023-03-23T00:00:00"/>
    <s v="UNPAID"/>
    <x v="17"/>
    <n v="27750"/>
    <n v="1"/>
    <s v="Indonesia"/>
    <s v="JMA - RKB"/>
    <x v="0"/>
  </r>
  <r>
    <s v="CLICTRUCK-045934"/>
    <s v="domestic"/>
    <x v="64"/>
    <x v="16"/>
    <n v="3940000"/>
    <n v="109335"/>
    <d v="2023-03-23T00:00:00"/>
    <s v="UNPAID"/>
    <x v="17"/>
    <n v="27750"/>
    <n v="1"/>
    <s v="Indonesia"/>
    <s v="JMA - RKB"/>
    <x v="0"/>
  </r>
  <r>
    <s v="CLICTRUCK-045935"/>
    <s v="domestic"/>
    <x v="65"/>
    <x v="16"/>
    <n v="8825000"/>
    <n v="244893"/>
    <d v="2023-03-23T00:00:00"/>
    <s v="UNPAID"/>
    <x v="17"/>
    <n v="27750"/>
    <n v="1"/>
    <s v="Indonesia"/>
    <s v="JMA - RKB"/>
    <x v="0"/>
  </r>
  <r>
    <s v="CLICTRUCK-045936"/>
    <s v="domestic"/>
    <x v="65"/>
    <x v="16"/>
    <n v="8825000"/>
    <n v="244893"/>
    <d v="2023-03-23T00:00:00"/>
    <s v="UNPAID"/>
    <x v="17"/>
    <n v="27750"/>
    <n v="1"/>
    <s v="Indonesia"/>
    <s v="JMA - RKB"/>
    <x v="0"/>
  </r>
  <r>
    <s v="CLICTRUCK-045937"/>
    <s v="domestic"/>
    <x v="65"/>
    <x v="16"/>
    <n v="5280000"/>
    <m/>
    <m/>
    <s v="DELIVERED"/>
    <x v="17"/>
    <n v="0"/>
    <n v="1"/>
    <s v="Indonesia"/>
    <s v="JMA - RKB"/>
    <x v="1"/>
  </r>
  <r>
    <s v="CLICTRUCK-045938"/>
    <s v="domestic"/>
    <x v="65"/>
    <x v="16"/>
    <n v="4725000"/>
    <n v="131118"/>
    <d v="2023-03-23T00:00:00"/>
    <s v="UNPAID"/>
    <x v="17"/>
    <n v="27750"/>
    <n v="1"/>
    <s v="Indonesia"/>
    <s v="JMA - RKB"/>
    <x v="0"/>
  </r>
  <r>
    <s v="CLICTRUCK-045940"/>
    <s v="domestic"/>
    <x v="65"/>
    <x v="20"/>
    <n v="6141750"/>
    <n v="25000"/>
    <m/>
    <s v="PENDING APPROVAL"/>
    <x v="22"/>
    <n v="0"/>
    <n v="1"/>
    <s v="Indonesia"/>
    <s v="AJT - ME"/>
    <x v="1"/>
  </r>
  <r>
    <s v="CLICTRUCK-045941"/>
    <s v="domestic"/>
    <x v="65"/>
    <x v="20"/>
    <n v="5822000"/>
    <n v="27750"/>
    <d v="2023-03-25T00:00:00"/>
    <s v="UNPAID"/>
    <x v="22"/>
    <n v="226184"/>
    <n v="1"/>
    <s v="Indonesia"/>
    <s v="AJT - ME"/>
    <x v="0"/>
  </r>
  <r>
    <s v="CLICTRUCK-045942"/>
    <s v="domestic"/>
    <x v="65"/>
    <x v="20"/>
    <n v="3158000"/>
    <n v="27750"/>
    <d v="2023-03-25T00:00:00"/>
    <s v="UNPAID"/>
    <x v="22"/>
    <n v="122688"/>
    <n v="1"/>
    <s v="Indonesia"/>
    <s v="AJT - ME"/>
    <x v="0"/>
  </r>
  <r>
    <s v="CLICTRUCK-045943"/>
    <s v="domestic"/>
    <x v="65"/>
    <x v="20"/>
    <n v="2808000"/>
    <n v="27750"/>
    <d v="2023-03-25T00:00:00"/>
    <s v="UNPAID"/>
    <x v="22"/>
    <n v="109090"/>
    <n v="1"/>
    <s v="Indonesia"/>
    <s v="AJT - ME"/>
    <x v="0"/>
  </r>
  <r>
    <s v="CLICTRUCK-045944"/>
    <s v="domestic"/>
    <x v="65"/>
    <x v="20"/>
    <n v="3158000"/>
    <n v="27750"/>
    <d v="2023-03-25T00:00:00"/>
    <s v="UNPAID"/>
    <x v="22"/>
    <n v="122688"/>
    <n v="1"/>
    <s v="Indonesia"/>
    <s v="AJT - ME"/>
    <x v="0"/>
  </r>
  <r>
    <s v="CLICTRUCK-045945"/>
    <s v="domestic"/>
    <x v="65"/>
    <x v="20"/>
    <n v="1872000"/>
    <n v="27750"/>
    <d v="2023-03-25T00:00:00"/>
    <s v="UNPAID"/>
    <x v="22"/>
    <n v="72727"/>
    <n v="1"/>
    <s v="Indonesia"/>
    <s v="AJT - ME"/>
    <x v="0"/>
  </r>
  <r>
    <s v="CLICTRUCK-045946"/>
    <s v="domestic"/>
    <x v="65"/>
    <x v="20"/>
    <n v="4067000"/>
    <n v="27750"/>
    <d v="2023-03-25T00:00:00"/>
    <s v="UNPAID"/>
    <x v="22"/>
    <n v="158002"/>
    <n v="1"/>
    <s v="Indonesia"/>
    <s v="AJT - ME"/>
    <x v="0"/>
  </r>
  <r>
    <s v="CLICTRUCK-045947"/>
    <s v="domestic"/>
    <x v="65"/>
    <x v="20"/>
    <n v="1637000"/>
    <n v="27750"/>
    <d v="2023-03-25T00:00:00"/>
    <s v="UNPAID"/>
    <x v="22"/>
    <n v="63597"/>
    <n v="1"/>
    <s v="Indonesia"/>
    <s v="AJT - ME"/>
    <x v="0"/>
  </r>
  <r>
    <s v="CLICTRUCK-045950"/>
    <s v="domestic"/>
    <x v="66"/>
    <x v="9"/>
    <n v="458150"/>
    <n v="24975"/>
    <d v="2023-04-13T00:00:00"/>
    <s v="UNPAID"/>
    <x v="9"/>
    <n v="15255"/>
    <n v="1"/>
    <s v="Indonesia"/>
    <s v="YSN-SSA"/>
    <x v="0"/>
  </r>
  <r>
    <s v="CLICTRUCK-045952"/>
    <s v="domestic"/>
    <x v="66"/>
    <x v="9"/>
    <n v="294000"/>
    <n v="24975"/>
    <d v="2023-04-13T00:00:00"/>
    <s v="UNPAID"/>
    <x v="9"/>
    <n v="9790"/>
    <n v="1"/>
    <s v="Indonesia"/>
    <s v="YSN-SSA"/>
    <x v="0"/>
  </r>
  <r>
    <s v="CLICTRUCK-045953"/>
    <s v="domestic"/>
    <x v="66"/>
    <x v="9"/>
    <n v="274890"/>
    <n v="24975"/>
    <d v="2023-04-13T00:00:00"/>
    <s v="UNPAID"/>
    <x v="9"/>
    <n v="9153"/>
    <n v="1"/>
    <s v="Indonesia"/>
    <s v="YSN-SSA"/>
    <x v="0"/>
  </r>
  <r>
    <s v="CLICTRUCK-045954"/>
    <s v="domestic"/>
    <x v="66"/>
    <x v="9"/>
    <n v="340060"/>
    <n v="24975"/>
    <d v="2023-04-12T00:00:00"/>
    <s v="UNPAID"/>
    <x v="9"/>
    <n v="11323"/>
    <n v="1"/>
    <s v="Indonesia"/>
    <s v="YSN-SSA"/>
    <x v="0"/>
  </r>
  <r>
    <s v="CLICTRUCK-045955"/>
    <s v="domestic"/>
    <x v="66"/>
    <x v="9"/>
    <n v="340060"/>
    <n v="24975"/>
    <d v="2023-04-12T00:00:00"/>
    <s v="UNPAID"/>
    <x v="9"/>
    <n v="11323"/>
    <n v="1"/>
    <s v="Indonesia"/>
    <s v="YSN-SSA"/>
    <x v="0"/>
  </r>
  <r>
    <s v="CLICTRUCK-045956"/>
    <s v="domestic"/>
    <x v="66"/>
    <x v="9"/>
    <n v="0"/>
    <n v="22500"/>
    <m/>
    <s v="NEW"/>
    <x v="26"/>
    <n v="0"/>
    <n v="1"/>
    <s v="Indonesia"/>
    <s v="YSN-PPR"/>
    <x v="1"/>
  </r>
  <r>
    <s v="CLICTRUCK-045958"/>
    <s v="domestic"/>
    <x v="66"/>
    <x v="12"/>
    <n v="9000000"/>
    <n v="27750"/>
    <d v="2023-03-24T00:00:00"/>
    <s v="UNPAID"/>
    <x v="13"/>
    <n v="249750"/>
    <n v="1"/>
    <s v="Indonesia"/>
    <s v="RPL - NBM"/>
    <x v="0"/>
  </r>
  <r>
    <s v="CLICTRUCK-045962"/>
    <s v="domestic"/>
    <x v="66"/>
    <x v="12"/>
    <n v="4700000"/>
    <n v="27750"/>
    <d v="2023-03-24T00:00:00"/>
    <s v="UNPAID"/>
    <x v="13"/>
    <n v="130425"/>
    <n v="1"/>
    <s v="Indonesia"/>
    <s v="RPL - NBM"/>
    <x v="0"/>
  </r>
  <r>
    <s v="CLICTRUCK-045977"/>
    <s v="domestic"/>
    <x v="66"/>
    <x v="10"/>
    <n v="2726000"/>
    <n v="20000"/>
    <m/>
    <s v="DELIVERED"/>
    <x v="10"/>
    <n v="0"/>
    <n v="1"/>
    <s v="Indonesia"/>
    <s v="ZLog-ZENSHIN"/>
    <x v="1"/>
  </r>
  <r>
    <s v="CLICTRUCK-045979"/>
    <s v="domestic"/>
    <x v="66"/>
    <x v="10"/>
    <n v="2371806"/>
    <n v="22200"/>
    <d v="2023-03-26T00:00:00"/>
    <s v="UNPAID"/>
    <x v="10"/>
    <n v="105307"/>
    <n v="1"/>
    <s v="Indonesia"/>
    <s v="ZLog-ZENSHIN"/>
    <x v="0"/>
  </r>
  <r>
    <s v="CLICTRUCK-045986"/>
    <s v="domestic"/>
    <x v="66"/>
    <x v="9"/>
    <n v="287630"/>
    <n v="24975"/>
    <d v="2023-04-13T00:00:00"/>
    <s v="UNPAID"/>
    <x v="9"/>
    <n v="9577"/>
    <n v="1"/>
    <s v="Indonesia"/>
    <s v="YSN-SSA"/>
    <x v="0"/>
  </r>
  <r>
    <s v="CLICTRUCK-045993"/>
    <s v="domestic"/>
    <x v="66"/>
    <x v="21"/>
    <n v="2856000"/>
    <n v="13875"/>
    <d v="2023-03-25T00:00:00"/>
    <s v="PAID"/>
    <x v="23"/>
    <n v="79254"/>
    <n v="1"/>
    <s v="Indonesia"/>
    <s v="MJE - ATL"/>
    <x v="0"/>
  </r>
  <r>
    <s v="CLICTRUCK-045994"/>
    <s v="domestic"/>
    <x v="66"/>
    <x v="21"/>
    <n v="1400000"/>
    <n v="13875"/>
    <d v="2023-03-25T00:00:00"/>
    <s v="PAID"/>
    <x v="23"/>
    <n v="38850"/>
    <n v="1"/>
    <s v="Indonesia"/>
    <s v="MJE - ATL"/>
    <x v="0"/>
  </r>
  <r>
    <s v="CLICTRUCK-045995"/>
    <s v="domestic"/>
    <x v="66"/>
    <x v="21"/>
    <n v="2856000"/>
    <n v="13875"/>
    <d v="2023-03-25T00:00:00"/>
    <s v="PAID"/>
    <x v="23"/>
    <n v="79254"/>
    <n v="1"/>
    <s v="Indonesia"/>
    <s v="MJE - ATL"/>
    <x v="0"/>
  </r>
  <r>
    <s v="CLICTRUCK-045996"/>
    <s v="domestic"/>
    <x v="66"/>
    <x v="21"/>
    <n v="1400000"/>
    <n v="13875"/>
    <d v="2023-03-25T00:00:00"/>
    <s v="PAID"/>
    <x v="23"/>
    <n v="38850"/>
    <n v="1"/>
    <s v="Indonesia"/>
    <s v="MJE - ATL"/>
    <x v="0"/>
  </r>
  <r>
    <s v="CLICTRUCK-045997"/>
    <s v="domestic"/>
    <x v="66"/>
    <x v="21"/>
    <n v="2856000"/>
    <n v="13875"/>
    <d v="2023-03-25T00:00:00"/>
    <s v="PAID"/>
    <x v="23"/>
    <n v="79254"/>
    <n v="1"/>
    <s v="Indonesia"/>
    <s v="MJE - ATL"/>
    <x v="0"/>
  </r>
  <r>
    <s v="CLICTRUCK-045998"/>
    <s v="domestic"/>
    <x v="66"/>
    <x v="21"/>
    <n v="1400000"/>
    <n v="13875"/>
    <d v="2023-03-25T00:00:00"/>
    <s v="PAID"/>
    <x v="23"/>
    <n v="38850"/>
    <n v="1"/>
    <s v="Indonesia"/>
    <s v="MJE - ATL"/>
    <x v="0"/>
  </r>
  <r>
    <s v="CLICTRUCK-045999"/>
    <s v="domestic"/>
    <x v="66"/>
    <x v="21"/>
    <n v="2856000"/>
    <n v="13875"/>
    <d v="2023-03-25T00:00:00"/>
    <s v="PAID"/>
    <x v="23"/>
    <n v="79254"/>
    <n v="1"/>
    <s v="Indonesia"/>
    <s v="MJE - ATL"/>
    <x v="0"/>
  </r>
  <r>
    <s v="CLICTRUCK-046000"/>
    <s v="domestic"/>
    <x v="66"/>
    <x v="21"/>
    <n v="1400000"/>
    <n v="13875"/>
    <d v="2023-04-02T00:00:00"/>
    <s v="PAID"/>
    <x v="23"/>
    <n v="38850"/>
    <n v="1"/>
    <s v="Indonesia"/>
    <s v="MJE - ATL"/>
    <x v="0"/>
  </r>
  <r>
    <s v="CLICTRUCK-046001"/>
    <s v="domestic"/>
    <x v="66"/>
    <x v="21"/>
    <n v="2856000"/>
    <n v="13875"/>
    <d v="2023-04-02T00:00:00"/>
    <s v="PAID"/>
    <x v="23"/>
    <n v="79254"/>
    <n v="1"/>
    <s v="Indonesia"/>
    <s v="MJE - ATL"/>
    <x v="0"/>
  </r>
  <r>
    <s v="CLICTRUCK-046002"/>
    <s v="domestic"/>
    <x v="66"/>
    <x v="21"/>
    <n v="2856000"/>
    <n v="13875"/>
    <d v="2023-04-02T00:00:00"/>
    <s v="PAID"/>
    <x v="23"/>
    <n v="79254"/>
    <n v="1"/>
    <s v="Indonesia"/>
    <s v="MJE - ATL"/>
    <x v="0"/>
  </r>
  <r>
    <s v="CLICTRUCK-046003"/>
    <s v="domestic"/>
    <x v="66"/>
    <x v="21"/>
    <n v="2545500"/>
    <n v="13875"/>
    <d v="2023-04-02T00:00:00"/>
    <s v="PAID"/>
    <x v="23"/>
    <n v="70637"/>
    <n v="1"/>
    <s v="Indonesia"/>
    <s v="MJE - ATL"/>
    <x v="0"/>
  </r>
  <r>
    <s v="CLICTRUCK-046004"/>
    <s v="domestic"/>
    <x v="66"/>
    <x v="21"/>
    <n v="2545500"/>
    <n v="13875"/>
    <d v="2023-04-11T00:00:00"/>
    <s v="PAID"/>
    <x v="23"/>
    <n v="70637"/>
    <n v="1"/>
    <s v="Indonesia"/>
    <s v="MJE - ATL"/>
    <x v="0"/>
  </r>
  <r>
    <s v="CLICTRUCK-046005"/>
    <s v="domestic"/>
    <x v="66"/>
    <x v="21"/>
    <n v="2750000"/>
    <n v="13875"/>
    <d v="2023-04-11T00:00:00"/>
    <s v="PAID"/>
    <x v="23"/>
    <n v="76312"/>
    <n v="1"/>
    <s v="Indonesia"/>
    <s v="MJE - ATL"/>
    <x v="0"/>
  </r>
  <r>
    <s v="CLICTRUCK-046006"/>
    <s v="domestic"/>
    <x v="66"/>
    <x v="21"/>
    <n v="4097000"/>
    <n v="13875"/>
    <d v="2023-04-11T00:00:00"/>
    <s v="PAID"/>
    <x v="23"/>
    <n v="113691"/>
    <n v="1"/>
    <s v="Indonesia"/>
    <s v="MJE - ATL"/>
    <x v="0"/>
  </r>
  <r>
    <s v="CLICTRUCK-046007"/>
    <s v="domestic"/>
    <x v="66"/>
    <x v="21"/>
    <n v="4097000"/>
    <n v="13875"/>
    <d v="2023-04-11T00:00:00"/>
    <s v="PAID"/>
    <x v="23"/>
    <n v="113691"/>
    <n v="1"/>
    <s v="Indonesia"/>
    <s v="MJE - ATL"/>
    <x v="0"/>
  </r>
  <r>
    <s v="CLICTRUCK-046008"/>
    <s v="domestic"/>
    <x v="66"/>
    <x v="21"/>
    <n v="1331000"/>
    <n v="13875"/>
    <d v="2023-04-02T00:00:00"/>
    <s v="PAID"/>
    <x v="23"/>
    <n v="36935"/>
    <n v="1"/>
    <s v="Indonesia"/>
    <s v="MJE - ATL"/>
    <x v="0"/>
  </r>
  <r>
    <s v="CLICTRUCK-046009"/>
    <s v="domestic"/>
    <x v="66"/>
    <x v="21"/>
    <n v="2750000"/>
    <n v="13875"/>
    <d v="2023-04-02T00:00:00"/>
    <s v="PAID"/>
    <x v="23"/>
    <n v="76312"/>
    <n v="1"/>
    <s v="Indonesia"/>
    <s v="MJE - ATL"/>
    <x v="0"/>
  </r>
  <r>
    <s v="CLICTRUCK-046010"/>
    <s v="domestic"/>
    <x v="66"/>
    <x v="21"/>
    <n v="2545500"/>
    <n v="13875"/>
    <d v="2023-04-02T00:00:00"/>
    <s v="PAID"/>
    <x v="23"/>
    <n v="70637"/>
    <n v="1"/>
    <s v="Indonesia"/>
    <s v="MJE - ATL"/>
    <x v="0"/>
  </r>
  <r>
    <s v="CLICTRUCK-046011"/>
    <s v="domestic"/>
    <x v="66"/>
    <x v="21"/>
    <n v="1331000"/>
    <n v="13875"/>
    <d v="2023-04-02T00:00:00"/>
    <s v="PAID"/>
    <x v="23"/>
    <n v="36935"/>
    <n v="1"/>
    <s v="Indonesia"/>
    <s v="MJE - ATL"/>
    <x v="0"/>
  </r>
  <r>
    <s v="CLICTRUCK-046012"/>
    <s v="domestic"/>
    <x v="67"/>
    <x v="21"/>
    <n v="4097000"/>
    <n v="13875"/>
    <d v="2023-04-02T00:00:00"/>
    <s v="PAID"/>
    <x v="23"/>
    <n v="113691"/>
    <n v="1"/>
    <s v="Indonesia"/>
    <s v="MJE - ATL"/>
    <x v="0"/>
  </r>
  <r>
    <s v="CLICTRUCK-046013"/>
    <s v="domestic"/>
    <x v="67"/>
    <x v="21"/>
    <n v="2750000"/>
    <n v="13875"/>
    <d v="2023-04-02T00:00:00"/>
    <s v="PAID"/>
    <x v="23"/>
    <n v="76312"/>
    <n v="1"/>
    <s v="Indonesia"/>
    <s v="MJE - ATL"/>
    <x v="0"/>
  </r>
  <r>
    <s v="CLICTRUCK-046014"/>
    <s v="domestic"/>
    <x v="67"/>
    <x v="21"/>
    <n v="1331000"/>
    <n v="13875"/>
    <d v="2023-04-02T00:00:00"/>
    <s v="PAID"/>
    <x v="23"/>
    <n v="36935"/>
    <n v="1"/>
    <s v="Indonesia"/>
    <s v="MJE - ATL"/>
    <x v="0"/>
  </r>
  <r>
    <s v="CLICTRUCK-046020"/>
    <s v="domestic"/>
    <x v="67"/>
    <x v="12"/>
    <n v="13500000"/>
    <n v="27750"/>
    <d v="2023-04-02T00:00:00"/>
    <s v="UNPAID"/>
    <x v="13"/>
    <n v="374625"/>
    <n v="1"/>
    <s v="Indonesia"/>
    <s v="RPL - NBM"/>
    <x v="0"/>
  </r>
  <r>
    <s v="CLICTRUCK-046021"/>
    <s v="domestic"/>
    <x v="68"/>
    <x v="10"/>
    <n v="4972800"/>
    <n v="22200"/>
    <d v="2023-03-26T00:00:00"/>
    <s v="UNPAID"/>
    <x v="10"/>
    <n v="220792"/>
    <n v="1"/>
    <s v="Indonesia"/>
    <s v="ZLog-ZENSHIN"/>
    <x v="0"/>
  </r>
  <r>
    <s v="CLICTRUCK-046022"/>
    <s v="domestic"/>
    <x v="68"/>
    <x v="10"/>
    <n v="12432000"/>
    <n v="22200"/>
    <d v="2023-03-26T00:00:00"/>
    <s v="UNPAID"/>
    <x v="10"/>
    <n v="551980"/>
    <n v="1"/>
    <s v="Indonesia"/>
    <s v="ZLog-ZENSHIN"/>
    <x v="0"/>
  </r>
  <r>
    <s v="CLICTRUCK-046023"/>
    <s v="domestic"/>
    <x v="68"/>
    <x v="10"/>
    <n v="1276000"/>
    <n v="20000"/>
    <m/>
    <s v="ONGOING"/>
    <x v="10"/>
    <n v="0"/>
    <n v="1"/>
    <s v="Indonesia"/>
    <s v="ZLog-ZENSHIN"/>
    <x v="1"/>
  </r>
  <r>
    <s v="CLICTRUCK-046024"/>
    <s v="domestic"/>
    <x v="68"/>
    <x v="10"/>
    <n v="4506431"/>
    <n v="22200"/>
    <d v="2023-03-26T00:00:00"/>
    <s v="UNPAID"/>
    <x v="10"/>
    <n v="200085"/>
    <n v="1"/>
    <s v="Indonesia"/>
    <s v="ZLog-ZENSHIN"/>
    <x v="0"/>
  </r>
  <r>
    <s v="CLICTRUCK-046025"/>
    <s v="domestic"/>
    <x v="68"/>
    <x v="10"/>
    <n v="4226991"/>
    <n v="22200"/>
    <d v="2023-03-26T00:00:00"/>
    <s v="UNPAID"/>
    <x v="10"/>
    <n v="187677"/>
    <n v="1"/>
    <s v="Indonesia"/>
    <s v="ZLog-ZENSHIN"/>
    <x v="0"/>
  </r>
  <r>
    <s v="CLICTRUCK-046026"/>
    <s v="domestic"/>
    <x v="68"/>
    <x v="10"/>
    <n v="2552000"/>
    <n v="20000"/>
    <m/>
    <s v="ONGOING"/>
    <x v="10"/>
    <n v="0"/>
    <n v="1"/>
    <s v="Indonesia"/>
    <s v="ZLog-ZENSHIN"/>
    <x v="1"/>
  </r>
  <r>
    <s v="CLICTRUCK-046027"/>
    <s v="domestic"/>
    <x v="68"/>
    <x v="10"/>
    <n v="3034517"/>
    <n v="22200"/>
    <d v="2023-03-26T00:00:00"/>
    <s v="UNPAID"/>
    <x v="10"/>
    <n v="134731"/>
    <n v="1"/>
    <s v="Indonesia"/>
    <s v="ZLog-ZENSHIN"/>
    <x v="0"/>
  </r>
  <r>
    <s v="CLICTRUCK-046028"/>
    <s v="domestic"/>
    <x v="68"/>
    <x v="10"/>
    <n v="4232552"/>
    <n v="22200"/>
    <d v="2023-03-26T00:00:00"/>
    <s v="UNPAID"/>
    <x v="10"/>
    <n v="187925"/>
    <n v="1"/>
    <s v="Indonesia"/>
    <s v="ZLog-ZENSHIN"/>
    <x v="0"/>
  </r>
  <r>
    <s v="CLICTRUCK-046029"/>
    <s v="domestic"/>
    <x v="68"/>
    <x v="10"/>
    <n v="2200947"/>
    <n v="22200"/>
    <d v="2023-03-27T00:00:00"/>
    <s v="UNPAID"/>
    <x v="10"/>
    <n v="97721"/>
    <n v="1"/>
    <s v="Indonesia"/>
    <s v="ZLog-ZENSHIN"/>
    <x v="0"/>
  </r>
  <r>
    <s v="CLICTRUCK-046030"/>
    <s v="domestic"/>
    <x v="68"/>
    <x v="9"/>
    <n v="458150"/>
    <n v="24975"/>
    <d v="2023-04-13T00:00:00"/>
    <s v="UNPAID"/>
    <x v="9"/>
    <n v="15255"/>
    <n v="1"/>
    <s v="Indonesia"/>
    <s v="YSN-SSA"/>
    <x v="0"/>
  </r>
  <r>
    <s v="CLICTRUCK-046054"/>
    <s v="domestic"/>
    <x v="68"/>
    <x v="9"/>
    <n v="315560"/>
    <n v="24975"/>
    <d v="2023-04-12T00:00:00"/>
    <s v="UNPAID"/>
    <x v="9"/>
    <n v="10507"/>
    <n v="1"/>
    <s v="Indonesia"/>
    <s v="YSN-SSA"/>
    <x v="0"/>
  </r>
  <r>
    <s v="CLICTRUCK-046055"/>
    <s v="domestic"/>
    <x v="68"/>
    <x v="9"/>
    <n v="458150"/>
    <n v="49950"/>
    <d v="2023-04-13T00:00:00"/>
    <s v="UNPAID"/>
    <x v="9"/>
    <n v="15255"/>
    <n v="2"/>
    <s v="Indonesia"/>
    <s v="YSN-SSA"/>
    <x v="0"/>
  </r>
  <r>
    <s v="CLICTRUCK-046058"/>
    <s v="domestic"/>
    <x v="68"/>
    <x v="19"/>
    <n v="19000000"/>
    <n v="27750"/>
    <d v="2023-03-27T00:00:00"/>
    <s v="PAID"/>
    <x v="21"/>
    <n v="843600"/>
    <n v="1"/>
    <s v="Indonesia"/>
    <s v="MMA - TAL"/>
    <x v="0"/>
  </r>
  <r>
    <s v="CLICTRUCK-046059"/>
    <s v="domestic"/>
    <x v="68"/>
    <x v="10"/>
    <n v="4199694"/>
    <n v="22200"/>
    <d v="2023-04-02T00:00:00"/>
    <s v="UNPAID"/>
    <x v="10"/>
    <n v="186465"/>
    <n v="1"/>
    <s v="Indonesia"/>
    <s v="ZLog-ZENSHIN"/>
    <x v="0"/>
  </r>
  <r>
    <s v="CLICTRUCK-046061"/>
    <s v="domestic"/>
    <x v="68"/>
    <x v="10"/>
    <n v="1172760"/>
    <n v="22200"/>
    <d v="2023-04-02T00:00:00"/>
    <s v="UNPAID"/>
    <x v="10"/>
    <n v="52070"/>
    <n v="1"/>
    <s v="Indonesia"/>
    <s v="ZLog-ZENSHIN"/>
    <x v="0"/>
  </r>
  <r>
    <s v="CLICTRUCK-046063"/>
    <s v="domestic"/>
    <x v="68"/>
    <x v="10"/>
    <n v="4054110"/>
    <n v="22200"/>
    <d v="2023-04-02T00:00:00"/>
    <s v="UNPAID"/>
    <x v="10"/>
    <n v="180002"/>
    <n v="1"/>
    <s v="Indonesia"/>
    <s v="ZLog-ZENSHIN"/>
    <x v="0"/>
  </r>
  <r>
    <s v="CLICTRUCK-046064"/>
    <s v="domestic"/>
    <x v="68"/>
    <x v="10"/>
    <n v="1608962"/>
    <n v="22200"/>
    <d v="2023-03-27T00:00:00"/>
    <s v="UNPAID"/>
    <x v="10"/>
    <n v="71437"/>
    <n v="1"/>
    <s v="Indonesia"/>
    <s v="ZLog-ZENSHIN"/>
    <x v="0"/>
  </r>
  <r>
    <s v="CLICTRUCK-046067"/>
    <s v="domestic"/>
    <x v="69"/>
    <x v="9"/>
    <n v="274890"/>
    <n v="24975"/>
    <d v="2023-04-13T00:00:00"/>
    <s v="UNPAID"/>
    <x v="9"/>
    <n v="9153"/>
    <n v="1"/>
    <s v="Indonesia"/>
    <s v="YSN-SSA"/>
    <x v="0"/>
  </r>
  <r>
    <s v="CLICTRUCK-046068"/>
    <s v="domestic"/>
    <x v="69"/>
    <x v="25"/>
    <n v="2457750"/>
    <n v="25000"/>
    <m/>
    <s v="DELIVERED"/>
    <x v="28"/>
    <n v="0"/>
    <n v="1"/>
    <s v="Indonesia"/>
    <s v="SAJB - SEP"/>
    <x v="1"/>
  </r>
  <r>
    <s v="CLICTRUCK-046069"/>
    <s v="domestic"/>
    <x v="69"/>
    <x v="11"/>
    <n v="22956818"/>
    <n v="5550"/>
    <d v="2023-03-30T00:00:00"/>
    <s v="UNPAID"/>
    <x v="11"/>
    <n v="382230"/>
    <n v="1"/>
    <s v="Indonesia"/>
    <s v="TJL - JPP"/>
    <x v="0"/>
  </r>
  <r>
    <s v="CLICTRUCK-046071"/>
    <s v="domestic"/>
    <x v="69"/>
    <x v="11"/>
    <n v="5293450"/>
    <n v="5550"/>
    <d v="2023-03-30T00:00:00"/>
    <s v="UNPAID"/>
    <x v="11"/>
    <n v="88135"/>
    <n v="1"/>
    <s v="Indonesia"/>
    <s v="TJL - JPP"/>
    <x v="0"/>
  </r>
  <r>
    <s v="CLICTRUCK-046072"/>
    <s v="domestic"/>
    <x v="69"/>
    <x v="11"/>
    <n v="5293450"/>
    <n v="5550"/>
    <d v="2023-03-30T00:00:00"/>
    <s v="UNPAID"/>
    <x v="11"/>
    <n v="88135"/>
    <n v="1"/>
    <s v="Indonesia"/>
    <s v="TJL - JPP"/>
    <x v="0"/>
  </r>
  <r>
    <s v="CLICTRUCK-046075"/>
    <s v="domestic"/>
    <x v="69"/>
    <x v="11"/>
    <n v="5293450"/>
    <n v="5550"/>
    <d v="2023-03-30T00:00:00"/>
    <s v="UNPAID"/>
    <x v="11"/>
    <n v="88135"/>
    <n v="1"/>
    <s v="Indonesia"/>
    <s v="TJL - JPP"/>
    <x v="0"/>
  </r>
  <r>
    <s v="CLICTRUCK-046076"/>
    <s v="domestic"/>
    <x v="69"/>
    <x v="11"/>
    <n v="5293450"/>
    <n v="5550"/>
    <d v="2023-03-30T00:00:00"/>
    <s v="UNPAID"/>
    <x v="11"/>
    <n v="88135"/>
    <n v="1"/>
    <s v="Indonesia"/>
    <s v="TJL - JPP"/>
    <x v="0"/>
  </r>
  <r>
    <s v="CLICTRUCK-046077"/>
    <s v="domestic"/>
    <x v="69"/>
    <x v="11"/>
    <n v="5293450"/>
    <n v="5550"/>
    <d v="2023-03-30T00:00:00"/>
    <s v="UNPAID"/>
    <x v="11"/>
    <n v="88135"/>
    <n v="1"/>
    <s v="Indonesia"/>
    <s v="TJL - JPP"/>
    <x v="0"/>
  </r>
  <r>
    <s v="CLICTRUCK-046078"/>
    <s v="domestic"/>
    <x v="69"/>
    <x v="11"/>
    <n v="13745930"/>
    <n v="5550"/>
    <d v="2023-03-30T00:00:00"/>
    <s v="UNPAID"/>
    <x v="11"/>
    <n v="228868"/>
    <n v="1"/>
    <s v="Indonesia"/>
    <s v="TJL - JPP"/>
    <x v="0"/>
  </r>
  <r>
    <s v="CLICTRUCK-046084"/>
    <s v="domestic"/>
    <x v="69"/>
    <x v="11"/>
    <n v="6549825"/>
    <n v="5550"/>
    <d v="2023-03-30T00:00:00"/>
    <s v="UNPAID"/>
    <x v="11"/>
    <n v="109054"/>
    <n v="1"/>
    <s v="Indonesia"/>
    <s v="TJL - JPP"/>
    <x v="0"/>
  </r>
  <r>
    <s v="CLICTRUCK-046089"/>
    <s v="domestic"/>
    <x v="69"/>
    <x v="11"/>
    <n v="5511950"/>
    <n v="5550"/>
    <d v="2023-03-30T00:00:00"/>
    <s v="UNPAID"/>
    <x v="11"/>
    <n v="91773"/>
    <n v="1"/>
    <s v="Indonesia"/>
    <s v="TJL - JPP"/>
    <x v="0"/>
  </r>
  <r>
    <s v="CLICTRUCK-046090"/>
    <s v="domestic"/>
    <x v="69"/>
    <x v="11"/>
    <n v="5511950"/>
    <n v="5550"/>
    <d v="2023-03-30T00:00:00"/>
    <s v="UNPAID"/>
    <x v="11"/>
    <n v="91773"/>
    <n v="1"/>
    <s v="Indonesia"/>
    <s v="TJL - JPP"/>
    <x v="0"/>
  </r>
  <r>
    <s v="CLICTRUCK-046091"/>
    <s v="domestic"/>
    <x v="69"/>
    <x v="11"/>
    <n v="5511950"/>
    <n v="5550"/>
    <d v="2023-03-30T00:00:00"/>
    <s v="UNPAID"/>
    <x v="11"/>
    <n v="91773"/>
    <n v="1"/>
    <s v="Indonesia"/>
    <s v="TJL - JPP"/>
    <x v="0"/>
  </r>
  <r>
    <s v="CLICTRUCK-046096"/>
    <s v="domestic"/>
    <x v="69"/>
    <x v="11"/>
    <n v="5511950"/>
    <n v="5550"/>
    <d v="2023-03-30T00:00:00"/>
    <s v="UNPAID"/>
    <x v="11"/>
    <n v="91773"/>
    <n v="1"/>
    <s v="Indonesia"/>
    <s v="TJL - JPP"/>
    <x v="0"/>
  </r>
  <r>
    <s v="CLICTRUCK-046101"/>
    <s v="domestic"/>
    <x v="69"/>
    <x v="11"/>
    <n v="6549825"/>
    <n v="5550"/>
    <d v="2023-03-30T00:00:00"/>
    <s v="UNPAID"/>
    <x v="11"/>
    <n v="109054"/>
    <n v="1"/>
    <s v="Indonesia"/>
    <s v="TJL - JPP"/>
    <x v="0"/>
  </r>
  <r>
    <s v="CLICTRUCK-046102"/>
    <s v="domestic"/>
    <x v="69"/>
    <x v="11"/>
    <n v="6549825"/>
    <n v="5550"/>
    <d v="2023-03-30T00:00:00"/>
    <s v="UNPAID"/>
    <x v="11"/>
    <n v="109054"/>
    <n v="1"/>
    <s v="Indonesia"/>
    <s v="TJL - JPP"/>
    <x v="0"/>
  </r>
  <r>
    <s v="CLICTRUCK-046103"/>
    <s v="domestic"/>
    <x v="69"/>
    <x v="11"/>
    <n v="5511950"/>
    <n v="5550"/>
    <d v="2023-03-30T00:00:00"/>
    <s v="UNPAID"/>
    <x v="11"/>
    <n v="91773"/>
    <n v="1"/>
    <s v="Indonesia"/>
    <s v="TJL - JPP"/>
    <x v="0"/>
  </r>
  <r>
    <s v="CLICTRUCK-046105"/>
    <s v="domestic"/>
    <x v="69"/>
    <x v="11"/>
    <n v="6549825"/>
    <n v="5550"/>
    <d v="2023-03-30T00:00:00"/>
    <s v="UNPAID"/>
    <x v="11"/>
    <n v="109054"/>
    <n v="1"/>
    <s v="Indonesia"/>
    <s v="TJL - JPP"/>
    <x v="0"/>
  </r>
  <r>
    <s v="CLICTRUCK-046106"/>
    <s v="domestic"/>
    <x v="69"/>
    <x v="11"/>
    <n v="6549825"/>
    <n v="5550"/>
    <d v="2023-03-30T00:00:00"/>
    <s v="UNPAID"/>
    <x v="11"/>
    <n v="109054"/>
    <n v="1"/>
    <s v="Indonesia"/>
    <s v="TJL - JPP"/>
    <x v="0"/>
  </r>
  <r>
    <s v="CLICTRUCK-046113"/>
    <s v="domestic"/>
    <x v="69"/>
    <x v="25"/>
    <n v="1732750"/>
    <n v="25000"/>
    <m/>
    <s v="DELIVERED"/>
    <x v="28"/>
    <n v="0"/>
    <n v="1"/>
    <s v="Indonesia"/>
    <s v="SAJB - SEP"/>
    <x v="1"/>
  </r>
  <r>
    <s v="CLICTRUCK-046118"/>
    <s v="domestic"/>
    <x v="69"/>
    <x v="25"/>
    <n v="2562750"/>
    <n v="25000"/>
    <m/>
    <s v="DELIVERED"/>
    <x v="28"/>
    <n v="0"/>
    <n v="1"/>
    <s v="Indonesia"/>
    <s v="SAJB - SEP"/>
    <x v="1"/>
  </r>
  <r>
    <s v="CLICTRUCK-046137"/>
    <s v="domestic"/>
    <x v="69"/>
    <x v="25"/>
    <n v="2562750"/>
    <n v="25000"/>
    <m/>
    <s v="DELIVERED"/>
    <x v="28"/>
    <n v="0"/>
    <n v="1"/>
    <s v="Indonesia"/>
    <s v="SAJB - SEP"/>
    <x v="1"/>
  </r>
  <r>
    <s v="CLICTRUCK-046138"/>
    <s v="domestic"/>
    <x v="69"/>
    <x v="25"/>
    <n v="4017750"/>
    <n v="25000"/>
    <m/>
    <s v="DELIVERED"/>
    <x v="28"/>
    <n v="0"/>
    <n v="1"/>
    <s v="Indonesia"/>
    <s v="SAJB - SEP"/>
    <x v="1"/>
  </r>
  <r>
    <s v="CLICTRUCK-046139"/>
    <s v="domestic"/>
    <x v="69"/>
    <x v="25"/>
    <n v="1957750"/>
    <n v="25000"/>
    <m/>
    <s v="DELIVERED"/>
    <x v="28"/>
    <n v="0"/>
    <n v="1"/>
    <s v="Indonesia"/>
    <s v="SAJB - SEP"/>
    <x v="1"/>
  </r>
  <r>
    <s v="CLICTRUCK-046141"/>
    <s v="domestic"/>
    <x v="69"/>
    <x v="26"/>
    <n v="4950000"/>
    <n v="192307"/>
    <d v="2023-03-28T00:00:00"/>
    <s v="PAID"/>
    <x v="29"/>
    <n v="27750"/>
    <n v="1"/>
    <s v="Indonesia"/>
    <s v="NTL - ASA"/>
    <x v="0"/>
  </r>
  <r>
    <s v="CLICTRUCK-046142"/>
    <s v="domestic"/>
    <x v="69"/>
    <x v="26"/>
    <n v="16188139"/>
    <n v="628908"/>
    <d v="2023-04-05T00:00:00"/>
    <s v="UNPAID"/>
    <x v="29"/>
    <n v="27750"/>
    <n v="1"/>
    <s v="Indonesia"/>
    <s v="NTL - ASA"/>
    <x v="0"/>
  </r>
  <r>
    <s v="CLICTRUCK-046143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44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45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46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47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48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49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0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1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2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3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4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5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6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7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8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59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0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1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2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3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4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5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6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7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8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69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70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71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72"/>
    <s v="domestic"/>
    <x v="69"/>
    <x v="26"/>
    <n v="15000000"/>
    <n v="582750"/>
    <d v="2023-03-28T00:00:00"/>
    <s v="UNPAID"/>
    <x v="29"/>
    <n v="27750"/>
    <n v="1"/>
    <s v="Indonesia"/>
    <s v="NTL - ASA"/>
    <x v="0"/>
  </r>
  <r>
    <s v="CLICTRUCK-046173"/>
    <s v="domestic"/>
    <x v="69"/>
    <x v="26"/>
    <n v="9500000"/>
    <n v="369075"/>
    <d v="2023-03-28T00:00:00"/>
    <s v="UNPAID"/>
    <x v="29"/>
    <n v="27750"/>
    <n v="1"/>
    <s v="Indonesia"/>
    <s v="NTL - ASA"/>
    <x v="0"/>
  </r>
  <r>
    <s v="CLICTRUCK-046174"/>
    <s v="domestic"/>
    <x v="69"/>
    <x v="26"/>
    <n v="9500000"/>
    <n v="369075"/>
    <d v="2023-03-28T00:00:00"/>
    <s v="UNPAID"/>
    <x v="29"/>
    <n v="27750"/>
    <n v="1"/>
    <s v="Indonesia"/>
    <s v="NTL - ASA"/>
    <x v="0"/>
  </r>
  <r>
    <s v="CLICTRUCK-046175"/>
    <s v="domestic"/>
    <x v="69"/>
    <x v="26"/>
    <n v="9500000"/>
    <n v="369075"/>
    <d v="2023-03-28T00:00:00"/>
    <s v="UNPAID"/>
    <x v="29"/>
    <n v="27750"/>
    <n v="1"/>
    <s v="Indonesia"/>
    <s v="NTL - ASA"/>
    <x v="0"/>
  </r>
  <r>
    <s v="CLICTRUCK-046176"/>
    <s v="domestic"/>
    <x v="69"/>
    <x v="26"/>
    <n v="9500000"/>
    <n v="369075"/>
    <d v="2023-03-28T00:00:00"/>
    <s v="PAID"/>
    <x v="29"/>
    <n v="27750"/>
    <n v="1"/>
    <s v="Indonesia"/>
    <s v="NTL - ASA"/>
    <x v="0"/>
  </r>
  <r>
    <s v="CLICTRUCK-046177"/>
    <s v="domestic"/>
    <x v="69"/>
    <x v="11"/>
    <n v="25200000"/>
    <n v="5550"/>
    <d v="2023-03-30T00:00:00"/>
    <s v="UNPAID"/>
    <x v="11"/>
    <n v="419580"/>
    <n v="1"/>
    <s v="Indonesia"/>
    <s v="TJL - JPP"/>
    <x v="0"/>
  </r>
  <r>
    <s v="CLICTRUCK-046178"/>
    <s v="domestic"/>
    <x v="69"/>
    <x v="11"/>
    <n v="19300217"/>
    <n v="5550"/>
    <d v="2023-03-30T00:00:00"/>
    <s v="UNPAID"/>
    <x v="11"/>
    <n v="321348"/>
    <n v="1"/>
    <s v="Indonesia"/>
    <s v="TJL - JPP"/>
    <x v="0"/>
  </r>
  <r>
    <s v="CLICTRUCK-046179"/>
    <s v="domestic"/>
    <x v="69"/>
    <x v="26"/>
    <n v="9500000"/>
    <n v="369075"/>
    <d v="2023-03-28T00:00:00"/>
    <s v="PAID"/>
    <x v="29"/>
    <n v="27750"/>
    <n v="1"/>
    <s v="Indonesia"/>
    <s v="NTL - ASA"/>
    <x v="0"/>
  </r>
  <r>
    <s v="CLICTRUCK-046180"/>
    <s v="domestic"/>
    <x v="69"/>
    <x v="26"/>
    <n v="9500000"/>
    <n v="369075"/>
    <d v="2023-03-28T00:00:00"/>
    <s v="PAID"/>
    <x v="29"/>
    <n v="27750"/>
    <n v="1"/>
    <s v="Indonesia"/>
    <s v="NTL - ASA"/>
    <x v="0"/>
  </r>
  <r>
    <s v="CLICTRUCK-046181"/>
    <s v="domestic"/>
    <x v="69"/>
    <x v="11"/>
    <n v="30263985"/>
    <n v="5550"/>
    <d v="2023-03-30T00:00:00"/>
    <s v="UNPAID"/>
    <x v="11"/>
    <n v="503894"/>
    <n v="1"/>
    <s v="Indonesia"/>
    <s v="TJL - JPP"/>
    <x v="0"/>
  </r>
  <r>
    <s v="CLICTRUCK-046182"/>
    <s v="domestic"/>
    <x v="69"/>
    <x v="11"/>
    <n v="29680000"/>
    <n v="5550"/>
    <d v="2023-03-30T00:00:00"/>
    <s v="UNPAID"/>
    <x v="11"/>
    <n v="494172"/>
    <n v="1"/>
    <s v="Indonesia"/>
    <s v="TJL - JPP"/>
    <x v="0"/>
  </r>
  <r>
    <s v="CLICTRUCK-046183"/>
    <s v="domestic"/>
    <x v="69"/>
    <x v="11"/>
    <n v="19270359"/>
    <n v="5550"/>
    <d v="2023-03-30T00:00:00"/>
    <s v="UNPAID"/>
    <x v="11"/>
    <n v="320851"/>
    <n v="1"/>
    <s v="Indonesia"/>
    <s v="TJL - JPP"/>
    <x v="0"/>
  </r>
  <r>
    <s v="CLICTRUCK-046184"/>
    <s v="domestic"/>
    <x v="69"/>
    <x v="11"/>
    <n v="23157540"/>
    <n v="5550"/>
    <d v="2023-03-30T00:00:00"/>
    <s v="UNPAID"/>
    <x v="11"/>
    <n v="385572"/>
    <n v="1"/>
    <s v="Indonesia"/>
    <s v="TJL - JPP"/>
    <x v="0"/>
  </r>
  <r>
    <s v="CLICTRUCK-046185"/>
    <s v="domestic"/>
    <x v="69"/>
    <x v="11"/>
    <n v="17388123"/>
    <n v="5550"/>
    <d v="2023-03-30T00:00:00"/>
    <s v="UNPAID"/>
    <x v="11"/>
    <n v="289511"/>
    <n v="1"/>
    <s v="Indonesia"/>
    <s v="TJL - JPP"/>
    <x v="0"/>
  </r>
  <r>
    <s v="CLICTRUCK-046186"/>
    <s v="domestic"/>
    <x v="69"/>
    <x v="11"/>
    <n v="23289420"/>
    <n v="5550"/>
    <d v="2023-03-30T00:00:00"/>
    <s v="UNPAID"/>
    <x v="11"/>
    <n v="387768"/>
    <n v="1"/>
    <s v="Indonesia"/>
    <s v="TJL - JPP"/>
    <x v="0"/>
  </r>
  <r>
    <s v="CLICTRUCK-046187"/>
    <s v="domestic"/>
    <x v="69"/>
    <x v="11"/>
    <n v="17350972"/>
    <n v="5550"/>
    <d v="2023-03-30T00:00:00"/>
    <s v="UNPAID"/>
    <x v="11"/>
    <n v="288893"/>
    <n v="1"/>
    <s v="Indonesia"/>
    <s v="TJL - JPP"/>
    <x v="0"/>
  </r>
  <r>
    <s v="CLICTRUCK-046188"/>
    <s v="domestic"/>
    <x v="69"/>
    <x v="11"/>
    <n v="17316947"/>
    <n v="5550"/>
    <d v="2023-03-30T00:00:00"/>
    <s v="UNPAID"/>
    <x v="11"/>
    <n v="288326"/>
    <n v="1"/>
    <s v="Indonesia"/>
    <s v="TJL - JPP"/>
    <x v="0"/>
  </r>
  <r>
    <s v="CLICTRUCK-046189"/>
    <s v="domestic"/>
    <x v="69"/>
    <x v="11"/>
    <n v="17345070"/>
    <n v="5550"/>
    <d v="2023-03-30T00:00:00"/>
    <s v="UNPAID"/>
    <x v="11"/>
    <n v="288795"/>
    <n v="1"/>
    <s v="Indonesia"/>
    <s v="TJL - JPP"/>
    <x v="0"/>
  </r>
  <r>
    <s v="CLICTRUCK-046190"/>
    <s v="domestic"/>
    <x v="69"/>
    <x v="11"/>
    <n v="29680000"/>
    <n v="5550"/>
    <d v="2023-03-30T00:00:00"/>
    <s v="UNPAID"/>
    <x v="11"/>
    <n v="494172"/>
    <n v="1"/>
    <s v="Indonesia"/>
    <s v="TJL - JPP"/>
    <x v="0"/>
  </r>
  <r>
    <s v="CLICTRUCK-046191"/>
    <s v="domestic"/>
    <x v="69"/>
    <x v="11"/>
    <n v="18916285"/>
    <n v="5550"/>
    <d v="2023-03-30T00:00:00"/>
    <s v="UNPAID"/>
    <x v="11"/>
    <n v="314955"/>
    <n v="1"/>
    <s v="Indonesia"/>
    <s v="TJL - JPP"/>
    <x v="0"/>
  </r>
  <r>
    <s v="CLICTRUCK-046192"/>
    <s v="domestic"/>
    <x v="69"/>
    <x v="11"/>
    <n v="17454438"/>
    <n v="5550"/>
    <d v="2023-03-30T00:00:00"/>
    <s v="UNPAID"/>
    <x v="11"/>
    <n v="290615"/>
    <n v="1"/>
    <s v="Indonesia"/>
    <s v="TJL - JPP"/>
    <x v="0"/>
  </r>
  <r>
    <s v="CLICTRUCK-046193"/>
    <s v="domestic"/>
    <x v="69"/>
    <x v="11"/>
    <n v="17376665"/>
    <n v="5550"/>
    <d v="2023-03-30T00:00:00"/>
    <s v="UNPAID"/>
    <x v="11"/>
    <n v="289320"/>
    <n v="1"/>
    <s v="Indonesia"/>
    <s v="TJL - JPP"/>
    <x v="0"/>
  </r>
  <r>
    <s v="CLICTRUCK-046194"/>
    <s v="domestic"/>
    <x v="69"/>
    <x v="11"/>
    <n v="17454438"/>
    <n v="5550"/>
    <d v="2023-03-30T00:00:00"/>
    <s v="UNPAID"/>
    <x v="11"/>
    <n v="290615"/>
    <n v="1"/>
    <s v="Indonesia"/>
    <s v="TJL - JPP"/>
    <x v="0"/>
  </r>
  <r>
    <s v="CLICTRUCK-046195"/>
    <s v="domestic"/>
    <x v="69"/>
    <x v="11"/>
    <n v="31322917"/>
    <n v="5550"/>
    <d v="2023-03-30T00:00:00"/>
    <s v="UNPAID"/>
    <x v="11"/>
    <n v="521525"/>
    <n v="1"/>
    <s v="Indonesia"/>
    <s v="TJL - JPP"/>
    <x v="0"/>
  </r>
  <r>
    <s v="CLICTRUCK-046196"/>
    <s v="domestic"/>
    <x v="69"/>
    <x v="11"/>
    <n v="17343681"/>
    <n v="5550"/>
    <d v="2023-03-30T00:00:00"/>
    <s v="UNPAID"/>
    <x v="11"/>
    <n v="288772"/>
    <n v="1"/>
    <s v="Indonesia"/>
    <s v="TJL - JPP"/>
    <x v="0"/>
  </r>
  <r>
    <s v="CLICTRUCK-046197"/>
    <s v="domestic"/>
    <x v="69"/>
    <x v="11"/>
    <n v="17454438"/>
    <n v="5550"/>
    <d v="2023-03-30T00:00:00"/>
    <s v="UNPAID"/>
    <x v="11"/>
    <n v="290615"/>
    <n v="1"/>
    <s v="Indonesia"/>
    <s v="TJL - JPP"/>
    <x v="0"/>
  </r>
  <r>
    <s v="CLICTRUCK-046198"/>
    <s v="domestic"/>
    <x v="69"/>
    <x v="11"/>
    <n v="17454438"/>
    <n v="5550"/>
    <d v="2023-03-30T00:00:00"/>
    <s v="UNPAID"/>
    <x v="11"/>
    <n v="290615"/>
    <n v="1"/>
    <s v="Indonesia"/>
    <s v="TJL - JPP"/>
    <x v="0"/>
  </r>
  <r>
    <s v="CLICTRUCK-046200"/>
    <s v="domestic"/>
    <x v="69"/>
    <x v="11"/>
    <n v="23157540"/>
    <n v="5550"/>
    <d v="2023-03-30T00:00:00"/>
    <s v="UNPAID"/>
    <x v="11"/>
    <n v="385572"/>
    <n v="1"/>
    <s v="Indonesia"/>
    <s v="TJL - JPP"/>
    <x v="0"/>
  </r>
  <r>
    <s v="CLICTRUCK-046201"/>
    <s v="domestic"/>
    <x v="69"/>
    <x v="11"/>
    <n v="18979282"/>
    <n v="5550"/>
    <d v="2023-03-30T00:00:00"/>
    <s v="UNPAID"/>
    <x v="11"/>
    <n v="316004"/>
    <n v="1"/>
    <s v="Indonesia"/>
    <s v="TJL - JPP"/>
    <x v="0"/>
  </r>
  <r>
    <s v="CLICTRUCK-046202"/>
    <s v="domestic"/>
    <x v="69"/>
    <x v="11"/>
    <n v="17398886"/>
    <n v="5550"/>
    <d v="2023-03-30T00:00:00"/>
    <s v="UNPAID"/>
    <x v="11"/>
    <n v="289691"/>
    <n v="1"/>
    <s v="Indonesia"/>
    <s v="TJL - JPP"/>
    <x v="0"/>
  </r>
  <r>
    <s v="CLICTRUCK-046203"/>
    <s v="domestic"/>
    <x v="69"/>
    <x v="11"/>
    <n v="19114321"/>
    <n v="5550"/>
    <d v="2023-03-30T00:00:00"/>
    <s v="UNPAID"/>
    <x v="11"/>
    <n v="318252"/>
    <n v="1"/>
    <s v="Indonesia"/>
    <s v="TJL - JPP"/>
    <x v="0"/>
  </r>
  <r>
    <s v="CLICTRUCK-046204"/>
    <s v="domestic"/>
    <x v="69"/>
    <x v="11"/>
    <n v="20108972"/>
    <n v="5550"/>
    <d v="2023-03-30T00:00:00"/>
    <s v="UNPAID"/>
    <x v="11"/>
    <n v="334813"/>
    <n v="1"/>
    <s v="Indonesia"/>
    <s v="TJL - JPP"/>
    <x v="0"/>
  </r>
  <r>
    <s v="CLICTRUCK-046205"/>
    <s v="domestic"/>
    <x v="69"/>
    <x v="11"/>
    <n v="22725958"/>
    <n v="5550"/>
    <d v="2023-03-30T00:00:00"/>
    <s v="UNPAID"/>
    <x v="11"/>
    <n v="378386"/>
    <n v="1"/>
    <s v="Indonesia"/>
    <s v="TJL - JPP"/>
    <x v="0"/>
  </r>
  <r>
    <s v="CLICTRUCK-046206"/>
    <s v="domestic"/>
    <x v="69"/>
    <x v="11"/>
    <n v="25912364"/>
    <n v="5550"/>
    <d v="2023-03-30T00:00:00"/>
    <s v="UNPAID"/>
    <x v="11"/>
    <n v="431440"/>
    <n v="1"/>
    <s v="Indonesia"/>
    <s v="TJL - JPP"/>
    <x v="0"/>
  </r>
  <r>
    <s v="CLICTRUCK-046207"/>
    <s v="domestic"/>
    <x v="69"/>
    <x v="11"/>
    <n v="20099989"/>
    <n v="5550"/>
    <d v="2023-03-30T00:00:00"/>
    <s v="UNPAID"/>
    <x v="11"/>
    <n v="334663"/>
    <n v="1"/>
    <s v="Indonesia"/>
    <s v="TJL - JPP"/>
    <x v="0"/>
  </r>
  <r>
    <s v="CLICTRUCK-046208"/>
    <s v="domestic"/>
    <x v="69"/>
    <x v="11"/>
    <n v="20593174"/>
    <n v="5550"/>
    <d v="2023-03-30T00:00:00"/>
    <s v="UNPAID"/>
    <x v="11"/>
    <n v="342875"/>
    <n v="1"/>
    <s v="Indonesia"/>
    <s v="TJL - JPP"/>
    <x v="0"/>
  </r>
  <r>
    <s v="CLICTRUCK-046209"/>
    <s v="domestic"/>
    <x v="69"/>
    <x v="11"/>
    <n v="27832000"/>
    <n v="5550"/>
    <d v="2023-03-30T00:00:00"/>
    <s v="UNPAID"/>
    <x v="11"/>
    <n v="463402"/>
    <n v="1"/>
    <s v="Indonesia"/>
    <s v="TJL - JPP"/>
    <x v="0"/>
  </r>
  <r>
    <s v="CLICTRUCK-046210"/>
    <s v="domestic"/>
    <x v="69"/>
    <x v="9"/>
    <n v="3606400"/>
    <n v="24975"/>
    <d v="2023-04-12T00:00:00"/>
    <s v="UNPAID"/>
    <x v="8"/>
    <n v="120093"/>
    <n v="1"/>
    <s v="Indonesia"/>
    <s v="YSN-FPM"/>
    <x v="0"/>
  </r>
  <r>
    <s v="CLICTRUCK-046221"/>
    <s v="domestic"/>
    <x v="70"/>
    <x v="25"/>
    <n v="2002750"/>
    <n v="25000"/>
    <m/>
    <s v="DELIVERED"/>
    <x v="28"/>
    <n v="0"/>
    <n v="1"/>
    <s v="Indonesia"/>
    <s v="SAJB - SEP"/>
    <x v="1"/>
  </r>
  <r>
    <s v="CLICTRUCK-046225"/>
    <s v="domestic"/>
    <x v="70"/>
    <x v="25"/>
    <n v="2002750"/>
    <n v="25000"/>
    <m/>
    <s v="DELIVERED"/>
    <x v="28"/>
    <n v="0"/>
    <n v="1"/>
    <s v="Indonesia"/>
    <s v="SAJB - SEP"/>
    <x v="1"/>
  </r>
  <r>
    <s v="CLICTRUCK-046227"/>
    <s v="domestic"/>
    <x v="70"/>
    <x v="25"/>
    <n v="2002750"/>
    <n v="25000"/>
    <m/>
    <s v="DELIVERED"/>
    <x v="28"/>
    <n v="0"/>
    <n v="1"/>
    <s v="Indonesia"/>
    <s v="SAJB - SEP"/>
    <x v="1"/>
  </r>
  <r>
    <s v="CLICTRUCK-046229"/>
    <s v="domestic"/>
    <x v="70"/>
    <x v="11"/>
    <n v="12650000"/>
    <n v="5550"/>
    <d v="2023-03-30T00:00:00"/>
    <s v="UNPAID"/>
    <x v="11"/>
    <n v="210622"/>
    <n v="1"/>
    <s v="Indonesia"/>
    <s v="TJL - JPP"/>
    <x v="0"/>
  </r>
  <r>
    <s v="CLICTRUCK-046231"/>
    <s v="domestic"/>
    <x v="70"/>
    <x v="11"/>
    <n v="18400000"/>
    <n v="5550"/>
    <d v="2023-03-30T00:00:00"/>
    <s v="UNPAID"/>
    <x v="11"/>
    <n v="306360"/>
    <n v="1"/>
    <s v="Indonesia"/>
    <s v="TJL - JPP"/>
    <x v="0"/>
  </r>
  <r>
    <s v="CLICTRUCK-046232"/>
    <s v="domestic"/>
    <x v="70"/>
    <x v="11"/>
    <n v="12650000"/>
    <n v="5550"/>
    <d v="2023-03-30T00:00:00"/>
    <s v="UNPAID"/>
    <x v="11"/>
    <n v="210622"/>
    <n v="1"/>
    <s v="Indonesia"/>
    <s v="TJL - JPP"/>
    <x v="0"/>
  </r>
  <r>
    <s v="CLICTRUCK-046240"/>
    <s v="domestic"/>
    <x v="70"/>
    <x v="11"/>
    <n v="11500000"/>
    <n v="5550"/>
    <d v="2023-03-30T00:00:00"/>
    <s v="UNPAID"/>
    <x v="11"/>
    <n v="191475"/>
    <n v="1"/>
    <s v="Indonesia"/>
    <s v="TJL - JPP"/>
    <x v="0"/>
  </r>
  <r>
    <s v="CLICTRUCK-046241"/>
    <s v="domestic"/>
    <x v="70"/>
    <x v="11"/>
    <n v="16675000"/>
    <n v="5550"/>
    <d v="2023-03-30T00:00:00"/>
    <s v="UNPAID"/>
    <x v="11"/>
    <n v="277638"/>
    <n v="1"/>
    <s v="Indonesia"/>
    <s v="TJL - JPP"/>
    <x v="0"/>
  </r>
  <r>
    <s v="CLICTRUCK-046245"/>
    <s v="domestic"/>
    <x v="70"/>
    <x v="11"/>
    <n v="12535000"/>
    <n v="5550"/>
    <d v="2023-03-30T00:00:00"/>
    <s v="UNPAID"/>
    <x v="11"/>
    <n v="208707"/>
    <n v="1"/>
    <s v="Indonesia"/>
    <s v="TJL - JPP"/>
    <x v="0"/>
  </r>
  <r>
    <s v="CLICTRUCK-046247"/>
    <s v="domestic"/>
    <x v="70"/>
    <x v="11"/>
    <n v="19326373"/>
    <n v="5550"/>
    <d v="2023-03-30T00:00:00"/>
    <s v="UNPAID"/>
    <x v="11"/>
    <n v="321783"/>
    <n v="1"/>
    <s v="Indonesia"/>
    <s v="TJL - JPP"/>
    <x v="0"/>
  </r>
  <r>
    <s v="CLICTRUCK-046248"/>
    <s v="domestic"/>
    <x v="70"/>
    <x v="11"/>
    <n v="19342231"/>
    <n v="5550"/>
    <d v="2023-03-30T00:00:00"/>
    <s v="UNPAID"/>
    <x v="11"/>
    <n v="322047"/>
    <n v="1"/>
    <s v="Indonesia"/>
    <s v="TJL - JPP"/>
    <x v="0"/>
  </r>
  <r>
    <s v="CLICTRUCK-046249"/>
    <s v="domestic"/>
    <x v="70"/>
    <x v="9"/>
    <n v="340060"/>
    <n v="24975"/>
    <d v="2023-04-12T00:00:00"/>
    <s v="UNPAID"/>
    <x v="9"/>
    <n v="11323"/>
    <n v="1"/>
    <s v="Indonesia"/>
    <s v="YSN-SSA"/>
    <x v="0"/>
  </r>
  <r>
    <s v="CLICTRUCK-046250"/>
    <s v="domestic"/>
    <x v="70"/>
    <x v="9"/>
    <n v="340060"/>
    <n v="24975"/>
    <d v="2023-04-12T00:00:00"/>
    <s v="UNPAID"/>
    <x v="9"/>
    <n v="11323"/>
    <n v="1"/>
    <s v="Indonesia"/>
    <s v="YSN-SSA"/>
    <x v="0"/>
  </r>
  <r>
    <s v="CLICTRUCK-046252"/>
    <s v="domestic"/>
    <x v="70"/>
    <x v="11"/>
    <n v="12983004"/>
    <n v="5550"/>
    <d v="2023-03-30T00:00:00"/>
    <s v="UNPAID"/>
    <x v="11"/>
    <n v="216166"/>
    <n v="1"/>
    <s v="Indonesia"/>
    <s v="TJL - JPP"/>
    <x v="0"/>
  </r>
  <r>
    <s v="CLICTRUCK-046255"/>
    <s v="domestic"/>
    <x v="70"/>
    <x v="11"/>
    <n v="10669792"/>
    <n v="5550"/>
    <d v="2023-03-30T00:00:00"/>
    <s v="UNPAID"/>
    <x v="11"/>
    <n v="177651"/>
    <n v="1"/>
    <s v="Indonesia"/>
    <s v="TJL - JPP"/>
    <x v="0"/>
  </r>
  <r>
    <s v="CLICTRUCK-046257"/>
    <s v="domestic"/>
    <x v="70"/>
    <x v="11"/>
    <n v="23170525"/>
    <n v="5550"/>
    <d v="2023-03-30T00:00:00"/>
    <s v="UNPAID"/>
    <x v="11"/>
    <n v="385788"/>
    <n v="1"/>
    <s v="Indonesia"/>
    <s v="TJL - JPP"/>
    <x v="0"/>
  </r>
  <r>
    <s v="CLICTRUCK-046258"/>
    <s v="domestic"/>
    <x v="70"/>
    <x v="11"/>
    <n v="18478393"/>
    <n v="5550"/>
    <d v="2023-03-30T00:00:00"/>
    <s v="UNPAID"/>
    <x v="11"/>
    <n v="307664"/>
    <n v="1"/>
    <s v="Indonesia"/>
    <s v="TJL - JPP"/>
    <x v="0"/>
  </r>
  <r>
    <s v="CLICTRUCK-046259"/>
    <s v="domestic"/>
    <x v="70"/>
    <x v="11"/>
    <n v="11231488"/>
    <n v="5550"/>
    <d v="2023-03-30T00:00:00"/>
    <s v="UNPAID"/>
    <x v="11"/>
    <n v="187003"/>
    <n v="1"/>
    <s v="Indonesia"/>
    <s v="TJL - JPP"/>
    <x v="0"/>
  </r>
  <r>
    <s v="CLICTRUCK-046260"/>
    <s v="domestic"/>
    <x v="70"/>
    <x v="11"/>
    <n v="13932441"/>
    <n v="5550"/>
    <d v="2023-03-30T00:00:00"/>
    <s v="UNPAID"/>
    <x v="11"/>
    <n v="231974"/>
    <n v="1"/>
    <s v="Indonesia"/>
    <s v="TJL - JPP"/>
    <x v="0"/>
  </r>
  <r>
    <s v="CLICTRUCK-046262"/>
    <s v="domestic"/>
    <x v="70"/>
    <x v="11"/>
    <n v="19700000"/>
    <n v="5550"/>
    <d v="2023-03-30T00:00:00"/>
    <s v="UNPAID"/>
    <x v="11"/>
    <n v="328005"/>
    <n v="1"/>
    <s v="Indonesia"/>
    <s v="TJL - JPP"/>
    <x v="0"/>
  </r>
  <r>
    <s v="CLICTRUCK-046265"/>
    <s v="domestic"/>
    <x v="70"/>
    <x v="11"/>
    <n v="14604825"/>
    <n v="5550"/>
    <d v="2023-03-30T00:00:00"/>
    <s v="UNPAID"/>
    <x v="11"/>
    <n v="243169"/>
    <n v="1"/>
    <s v="Indonesia"/>
    <s v="TJL - JPP"/>
    <x v="0"/>
  </r>
  <r>
    <s v="CLICTRUCK-046266"/>
    <s v="domestic"/>
    <x v="70"/>
    <x v="11"/>
    <n v="23855400"/>
    <n v="5550"/>
    <d v="2023-03-30T00:00:00"/>
    <s v="UNPAID"/>
    <x v="11"/>
    <n v="397192"/>
    <n v="1"/>
    <s v="Indonesia"/>
    <s v="TJL - JPP"/>
    <x v="0"/>
  </r>
  <r>
    <s v="CLICTRUCK-046267"/>
    <s v="domestic"/>
    <x v="70"/>
    <x v="11"/>
    <n v="22661430"/>
    <n v="5550"/>
    <d v="2023-03-30T00:00:00"/>
    <s v="UNPAID"/>
    <x v="11"/>
    <n v="377312"/>
    <n v="1"/>
    <s v="Indonesia"/>
    <s v="TJL - JPP"/>
    <x v="0"/>
  </r>
  <r>
    <s v="CLICTRUCK-046268"/>
    <s v="domestic"/>
    <x v="70"/>
    <x v="9"/>
    <n v="340060"/>
    <n v="24975"/>
    <d v="2023-04-12T00:00:00"/>
    <s v="UNPAID"/>
    <x v="9"/>
    <n v="11323"/>
    <n v="1"/>
    <s v="Indonesia"/>
    <s v="YSN-SSA"/>
    <x v="0"/>
  </r>
  <r>
    <s v="CLICTRUCK-046269"/>
    <s v="domestic"/>
    <x v="70"/>
    <x v="11"/>
    <n v="23690798"/>
    <n v="5550"/>
    <d v="2023-03-30T00:00:00"/>
    <s v="UNPAID"/>
    <x v="11"/>
    <n v="394450"/>
    <n v="1"/>
    <s v="Indonesia"/>
    <s v="TJL - JPP"/>
    <x v="0"/>
  </r>
  <r>
    <s v="CLICTRUCK-046270"/>
    <s v="domestic"/>
    <x v="70"/>
    <x v="11"/>
    <n v="23507280"/>
    <n v="5550"/>
    <d v="2023-03-30T00:00:00"/>
    <s v="UNPAID"/>
    <x v="11"/>
    <n v="391395"/>
    <n v="1"/>
    <s v="Indonesia"/>
    <s v="TJL - JPP"/>
    <x v="0"/>
  </r>
  <r>
    <s v="CLICTRUCK-046271"/>
    <s v="domestic"/>
    <x v="70"/>
    <x v="11"/>
    <n v="20108290"/>
    <n v="5550"/>
    <d v="2023-03-30T00:00:00"/>
    <s v="UNPAID"/>
    <x v="11"/>
    <n v="334802"/>
    <n v="1"/>
    <s v="Indonesia"/>
    <s v="TJL - JPP"/>
    <x v="0"/>
  </r>
  <r>
    <s v="CLICTRUCK-046273"/>
    <s v="domestic"/>
    <x v="70"/>
    <x v="11"/>
    <n v="16826228"/>
    <n v="5550"/>
    <d v="2023-03-30T00:00:00"/>
    <s v="UNPAID"/>
    <x v="11"/>
    <n v="280156"/>
    <n v="1"/>
    <s v="Indonesia"/>
    <s v="TJL - JPP"/>
    <x v="0"/>
  </r>
  <r>
    <s v="CLICTRUCK-046274"/>
    <s v="domestic"/>
    <x v="70"/>
    <x v="11"/>
    <n v="19599510"/>
    <n v="5550"/>
    <d v="2023-03-30T00:00:00"/>
    <s v="UNPAID"/>
    <x v="11"/>
    <n v="326331"/>
    <n v="1"/>
    <s v="Indonesia"/>
    <s v="TJL - JPP"/>
    <x v="0"/>
  </r>
  <r>
    <s v="CLICTRUCK-046275"/>
    <s v="domestic"/>
    <x v="70"/>
    <x v="11"/>
    <n v="21351325"/>
    <n v="5550"/>
    <d v="2023-03-30T00:00:00"/>
    <s v="UNPAID"/>
    <x v="11"/>
    <n v="355498"/>
    <n v="1"/>
    <s v="Indonesia"/>
    <s v="TJL - JPP"/>
    <x v="0"/>
  </r>
  <r>
    <s v="CLICTRUCK-046276"/>
    <s v="domestic"/>
    <x v="70"/>
    <x v="11"/>
    <n v="24496120"/>
    <n v="5550"/>
    <d v="2023-03-30T00:00:00"/>
    <s v="UNPAID"/>
    <x v="11"/>
    <n v="407859"/>
    <n v="1"/>
    <s v="Indonesia"/>
    <s v="TJL - JPP"/>
    <x v="0"/>
  </r>
  <r>
    <s v="CLICTRUCK-046277"/>
    <s v="domestic"/>
    <x v="70"/>
    <x v="11"/>
    <n v="21791880"/>
    <n v="5550"/>
    <d v="2023-03-30T00:00:00"/>
    <s v="UNPAID"/>
    <x v="11"/>
    <n v="362834"/>
    <n v="1"/>
    <s v="Indonesia"/>
    <s v="TJL - JPP"/>
    <x v="0"/>
  </r>
  <r>
    <s v="CLICTRUCK-046278"/>
    <s v="domestic"/>
    <x v="70"/>
    <x v="11"/>
    <n v="26252280"/>
    <n v="5550"/>
    <d v="2023-03-30T00:00:00"/>
    <s v="UNPAID"/>
    <x v="11"/>
    <n v="437100"/>
    <n v="1"/>
    <s v="Indonesia"/>
    <s v="TJL - JPP"/>
    <x v="0"/>
  </r>
  <r>
    <s v="CLICTRUCK-046279"/>
    <s v="domestic"/>
    <x v="70"/>
    <x v="25"/>
    <n v="1957750"/>
    <n v="25000"/>
    <m/>
    <s v="DELIVERED"/>
    <x v="28"/>
    <n v="0"/>
    <n v="1"/>
    <s v="Indonesia"/>
    <s v="SAJB - SEP"/>
    <x v="1"/>
  </r>
  <r>
    <s v="CLICTRUCK-046280"/>
    <s v="domestic"/>
    <x v="70"/>
    <x v="11"/>
    <n v="17168446"/>
    <n v="5550"/>
    <d v="2023-03-30T00:00:00"/>
    <s v="UNPAID"/>
    <x v="11"/>
    <n v="285853"/>
    <n v="1"/>
    <s v="Indonesia"/>
    <s v="TJL - JPP"/>
    <x v="0"/>
  </r>
  <r>
    <s v="CLICTRUCK-046281"/>
    <s v="domestic"/>
    <x v="70"/>
    <x v="25"/>
    <n v="2247750"/>
    <n v="25000"/>
    <m/>
    <s v="DELIVERED"/>
    <x v="28"/>
    <n v="0"/>
    <n v="1"/>
    <s v="Indonesia"/>
    <s v="SAJB - SEP"/>
    <x v="1"/>
  </r>
  <r>
    <s v="CLICTRUCK-046282"/>
    <s v="domestic"/>
    <x v="70"/>
    <x v="25"/>
    <n v="1027750"/>
    <n v="25000"/>
    <m/>
    <s v="DELIVERED"/>
    <x v="28"/>
    <n v="0"/>
    <n v="1"/>
    <s v="Indonesia"/>
    <s v="SAJB - SEP"/>
    <x v="1"/>
  </r>
  <r>
    <s v="CLICTRUCK-046286"/>
    <s v="domestic"/>
    <x v="70"/>
    <x v="25"/>
    <n v="1957750"/>
    <n v="25000"/>
    <m/>
    <s v="DELIVERED"/>
    <x v="28"/>
    <n v="0"/>
    <n v="1"/>
    <s v="Indonesia"/>
    <s v="SAJB - SEP"/>
    <x v="1"/>
  </r>
  <r>
    <s v="CLICTRUCK-046287"/>
    <s v="domestic"/>
    <x v="70"/>
    <x v="25"/>
    <n v="1957750"/>
    <n v="25000"/>
    <m/>
    <s v="DELIVERED"/>
    <x v="28"/>
    <n v="0"/>
    <n v="1"/>
    <s v="Indonesia"/>
    <s v="SAJB - SEP"/>
    <x v="1"/>
  </r>
  <r>
    <s v="CLICTRUCK-046288"/>
    <s v="domestic"/>
    <x v="70"/>
    <x v="25"/>
    <n v="2367750"/>
    <n v="25000"/>
    <m/>
    <s v="DELIVERED"/>
    <x v="28"/>
    <n v="0"/>
    <n v="1"/>
    <s v="Indonesia"/>
    <s v="SAJB - SEP"/>
    <x v="1"/>
  </r>
  <r>
    <s v="CLICTRUCK-046289"/>
    <s v="domestic"/>
    <x v="70"/>
    <x v="25"/>
    <n v="3477750"/>
    <n v="25000"/>
    <m/>
    <s v="DELIVERED"/>
    <x v="28"/>
    <n v="0"/>
    <n v="1"/>
    <s v="Indonesia"/>
    <s v="SAJB - SEP"/>
    <x v="1"/>
  </r>
  <r>
    <s v="CLICTRUCK-046290"/>
    <s v="domestic"/>
    <x v="70"/>
    <x v="25"/>
    <n v="2462750"/>
    <n v="25000"/>
    <m/>
    <s v="DELIVERED"/>
    <x v="28"/>
    <n v="0"/>
    <n v="1"/>
    <s v="Indonesia"/>
    <s v="SAJB - SEP"/>
    <x v="1"/>
  </r>
  <r>
    <s v="CLICTRUCK-046291"/>
    <s v="domestic"/>
    <x v="70"/>
    <x v="25"/>
    <n v="1957750"/>
    <n v="25000"/>
    <m/>
    <s v="DELIVERED"/>
    <x v="28"/>
    <n v="0"/>
    <n v="1"/>
    <s v="Indonesia"/>
    <s v="SAJB - SEP"/>
    <x v="1"/>
  </r>
  <r>
    <s v="CLICTRUCK-046292"/>
    <s v="domestic"/>
    <x v="70"/>
    <x v="25"/>
    <n v="2562750"/>
    <n v="25000"/>
    <m/>
    <s v="DELIVERED"/>
    <x v="28"/>
    <n v="0"/>
    <n v="1"/>
    <s v="Indonesia"/>
    <s v="SAJB - SEP"/>
    <x v="1"/>
  </r>
  <r>
    <s v="CLICTRUCK-046293"/>
    <s v="domestic"/>
    <x v="70"/>
    <x v="25"/>
    <n v="3327750"/>
    <n v="25000"/>
    <m/>
    <s v="DELIVERED"/>
    <x v="28"/>
    <n v="0"/>
    <n v="1"/>
    <s v="Indonesia"/>
    <s v="SAJB - SEP"/>
    <x v="1"/>
  </r>
  <r>
    <s v="CLICTRUCK-046294"/>
    <s v="domestic"/>
    <x v="70"/>
    <x v="25"/>
    <n v="3062750"/>
    <n v="25000"/>
    <m/>
    <s v="DELIVERED"/>
    <x v="28"/>
    <n v="0"/>
    <n v="1"/>
    <s v="Indonesia"/>
    <s v="SAJB - SEP"/>
    <x v="1"/>
  </r>
  <r>
    <s v="CLICTRUCK-046295"/>
    <s v="domestic"/>
    <x v="70"/>
    <x v="25"/>
    <n v="1957750"/>
    <n v="25000"/>
    <m/>
    <s v="DELIVERED"/>
    <x v="28"/>
    <n v="0"/>
    <n v="1"/>
    <s v="Indonesia"/>
    <s v="SAJB - SEP"/>
    <x v="1"/>
  </r>
  <r>
    <s v="CLICTRUCK-046296"/>
    <s v="domestic"/>
    <x v="70"/>
    <x v="25"/>
    <n v="1957750"/>
    <n v="25000"/>
    <m/>
    <s v="DELIVERED"/>
    <x v="28"/>
    <n v="0"/>
    <n v="1"/>
    <s v="Indonesia"/>
    <s v="SAJB - SEP"/>
    <x v="1"/>
  </r>
  <r>
    <s v="CLICTRUCK-046297"/>
    <s v="domestic"/>
    <x v="70"/>
    <x v="25"/>
    <n v="1957750"/>
    <n v="27750"/>
    <d v="2023-03-30T00:00:00"/>
    <s v="PAID"/>
    <x v="28"/>
    <n v="86924"/>
    <n v="1"/>
    <s v="Indonesia"/>
    <s v="SAJB - SEP"/>
    <x v="0"/>
  </r>
  <r>
    <s v="CLICTRUCK-046303"/>
    <s v="domestic"/>
    <x v="70"/>
    <x v="27"/>
    <n v="14150000"/>
    <n v="25000"/>
    <m/>
    <s v="PENDING APPROVAL"/>
    <x v="30"/>
    <n v="0"/>
    <n v="1"/>
    <s v="Indonesia"/>
    <s v="RWJ - TWT"/>
    <x v="1"/>
  </r>
  <r>
    <s v="CLICTRUCK-046304"/>
    <s v="domestic"/>
    <x v="70"/>
    <x v="11"/>
    <n v="5293450"/>
    <n v="5550"/>
    <d v="2023-03-30T00:00:00"/>
    <s v="UNPAID"/>
    <x v="11"/>
    <n v="88135"/>
    <n v="1"/>
    <s v="Indonesia"/>
    <s v="TJL - JPP"/>
    <x v="0"/>
  </r>
  <r>
    <s v="CLICTRUCK-046305"/>
    <s v="domestic"/>
    <x v="70"/>
    <x v="11"/>
    <n v="5293450"/>
    <n v="5550"/>
    <d v="2023-03-30T00:00:00"/>
    <s v="UNPAID"/>
    <x v="11"/>
    <n v="88135"/>
    <n v="1"/>
    <s v="Indonesia"/>
    <s v="TJL - JPP"/>
    <x v="0"/>
  </r>
  <r>
    <s v="CLICTRUCK-046309"/>
    <s v="domestic"/>
    <x v="70"/>
    <x v="11"/>
    <n v="2550000"/>
    <n v="5550"/>
    <d v="2023-03-30T00:00:00"/>
    <s v="UNPAID"/>
    <x v="11"/>
    <n v="42457"/>
    <n v="1"/>
    <s v="Indonesia"/>
    <s v="TJL - JPP"/>
    <x v="0"/>
  </r>
  <r>
    <s v="CLICTRUCK-046310"/>
    <s v="domestic"/>
    <x v="70"/>
    <x v="11"/>
    <n v="1650000"/>
    <n v="5550"/>
    <d v="2023-03-30T00:00:00"/>
    <s v="UNPAID"/>
    <x v="11"/>
    <n v="27472"/>
    <n v="1"/>
    <s v="Indonesia"/>
    <s v="TJL - JPP"/>
    <x v="0"/>
  </r>
  <r>
    <s v="CLICTRUCK-046311"/>
    <s v="domestic"/>
    <x v="70"/>
    <x v="11"/>
    <n v="1650000"/>
    <n v="5550"/>
    <d v="2023-03-30T00:00:00"/>
    <s v="UNPAID"/>
    <x v="11"/>
    <n v="27472"/>
    <n v="1"/>
    <s v="Indonesia"/>
    <s v="TJL - JPP"/>
    <x v="0"/>
  </r>
  <r>
    <s v="CLICTRUCK-046314"/>
    <s v="domestic"/>
    <x v="70"/>
    <x v="11"/>
    <n v="1100000"/>
    <n v="5550"/>
    <d v="2023-04-07T00:00:00"/>
    <s v="UNPAID"/>
    <x v="11"/>
    <n v="18315"/>
    <n v="1"/>
    <s v="Indonesia"/>
    <s v="TJL - JPP"/>
    <x v="0"/>
  </r>
  <r>
    <s v="CLICTRUCK-046316"/>
    <s v="domestic"/>
    <x v="70"/>
    <x v="11"/>
    <n v="17062890"/>
    <n v="5550"/>
    <d v="2023-03-30T00:00:00"/>
    <s v="UNPAID"/>
    <x v="11"/>
    <n v="284096"/>
    <n v="1"/>
    <s v="Indonesia"/>
    <s v="TJL - JPP"/>
    <x v="0"/>
  </r>
  <r>
    <s v="CLICTRUCK-046323"/>
    <s v="domestic"/>
    <x v="71"/>
    <x v="9"/>
    <n v="413000"/>
    <n v="22500"/>
    <m/>
    <s v="NEW"/>
    <x v="26"/>
    <n v="0"/>
    <n v="1"/>
    <s v="Indonesia"/>
    <s v="YSN-PPR"/>
    <x v="1"/>
  </r>
  <r>
    <s v="CLICTRUCK-046334"/>
    <s v="domestic"/>
    <x v="71"/>
    <x v="11"/>
    <n v="1186146"/>
    <n v="5550"/>
    <d v="2023-04-07T00:00:00"/>
    <s v="UNPAID"/>
    <x v="11"/>
    <n v="19749"/>
    <n v="1"/>
    <s v="Indonesia"/>
    <s v="TJL - JPP"/>
    <x v="0"/>
  </r>
  <r>
    <s v="CLICTRUCK-046337"/>
    <s v="domestic"/>
    <x v="71"/>
    <x v="11"/>
    <n v="10000000"/>
    <n v="5550"/>
    <d v="2023-04-07T00:00:00"/>
    <s v="UNPAID"/>
    <x v="11"/>
    <n v="166500"/>
    <n v="1"/>
    <s v="Indonesia"/>
    <s v="TJL - JPP"/>
    <x v="0"/>
  </r>
  <r>
    <s v="CLICTRUCK-046338"/>
    <s v="domestic"/>
    <x v="71"/>
    <x v="11"/>
    <n v="29680000"/>
    <n v="5550"/>
    <d v="2023-03-30T00:00:00"/>
    <s v="UNPAID"/>
    <x v="11"/>
    <n v="494172"/>
    <n v="1"/>
    <s v="Indonesia"/>
    <s v="TJL - JPP"/>
    <x v="0"/>
  </r>
  <r>
    <s v="CLICTRUCK-046339"/>
    <s v="domestic"/>
    <x v="71"/>
    <x v="11"/>
    <n v="19727781"/>
    <n v="5550"/>
    <d v="2023-03-30T00:00:00"/>
    <s v="UNPAID"/>
    <x v="11"/>
    <n v="328466"/>
    <n v="1"/>
    <s v="Indonesia"/>
    <s v="TJL - JPP"/>
    <x v="0"/>
  </r>
  <r>
    <s v="CLICTRUCK-046340"/>
    <s v="domestic"/>
    <x v="71"/>
    <x v="11"/>
    <n v="27832000"/>
    <n v="5550"/>
    <d v="2023-03-30T00:00:00"/>
    <s v="UNPAID"/>
    <x v="11"/>
    <n v="463402"/>
    <n v="1"/>
    <s v="Indonesia"/>
    <s v="TJL - JPP"/>
    <x v="0"/>
  </r>
  <r>
    <s v="CLICTRUCK-046341"/>
    <s v="domestic"/>
    <x v="71"/>
    <x v="11"/>
    <n v="5300000"/>
    <n v="5550"/>
    <d v="2023-03-30T00:00:00"/>
    <s v="UNPAID"/>
    <x v="11"/>
    <n v="88245"/>
    <n v="1"/>
    <s v="Indonesia"/>
    <s v="TJL - JPP"/>
    <x v="0"/>
  </r>
  <r>
    <s v="CLICTRUCK-046342"/>
    <s v="domestic"/>
    <x v="71"/>
    <x v="11"/>
    <n v="5300000"/>
    <n v="5550"/>
    <d v="2023-03-30T00:00:00"/>
    <s v="UNPAID"/>
    <x v="11"/>
    <n v="88245"/>
    <n v="1"/>
    <s v="Indonesia"/>
    <s v="TJL - JPP"/>
    <x v="0"/>
  </r>
  <r>
    <s v="CLICTRUCK-046343"/>
    <s v="domestic"/>
    <x v="71"/>
    <x v="11"/>
    <n v="5300000"/>
    <n v="5550"/>
    <d v="2023-03-30T00:00:00"/>
    <s v="UNPAID"/>
    <x v="11"/>
    <n v="88245"/>
    <n v="1"/>
    <s v="Indonesia"/>
    <s v="TJL - JPP"/>
    <x v="0"/>
  </r>
  <r>
    <s v="CLICTRUCK-046344"/>
    <s v="domestic"/>
    <x v="71"/>
    <x v="11"/>
    <n v="5300000"/>
    <n v="5550"/>
    <d v="2023-03-30T00:00:00"/>
    <s v="UNPAID"/>
    <x v="11"/>
    <n v="88245"/>
    <n v="1"/>
    <s v="Indonesia"/>
    <s v="TJL - JPP"/>
    <x v="0"/>
  </r>
  <r>
    <s v="CLICTRUCK-046345"/>
    <s v="domestic"/>
    <x v="71"/>
    <x v="11"/>
    <n v="5300000"/>
    <n v="5550"/>
    <d v="2023-03-30T00:00:00"/>
    <s v="UNPAID"/>
    <x v="11"/>
    <n v="88245"/>
    <n v="1"/>
    <s v="Indonesia"/>
    <s v="TJL - JPP"/>
    <x v="0"/>
  </r>
  <r>
    <s v="CLICTRUCK-046346"/>
    <s v="domestic"/>
    <x v="71"/>
    <x v="11"/>
    <n v="5300000"/>
    <n v="5550"/>
    <d v="2023-03-30T00:00:00"/>
    <s v="UNPAID"/>
    <x v="11"/>
    <n v="88245"/>
    <n v="1"/>
    <s v="Indonesia"/>
    <s v="TJL - JPP"/>
    <x v="0"/>
  </r>
  <r>
    <s v="CLICTRUCK-046347"/>
    <s v="domestic"/>
    <x v="71"/>
    <x v="11"/>
    <n v="29325000"/>
    <n v="5550"/>
    <d v="2023-03-30T00:00:00"/>
    <s v="UNPAID"/>
    <x v="11"/>
    <n v="488261"/>
    <n v="1"/>
    <s v="Indonesia"/>
    <s v="TJL - JPP"/>
    <x v="0"/>
  </r>
  <r>
    <s v="CLICTRUCK-046348"/>
    <s v="domestic"/>
    <x v="71"/>
    <x v="11"/>
    <n v="13800000"/>
    <n v="5550"/>
    <d v="2023-03-30T00:00:00"/>
    <s v="UNPAID"/>
    <x v="11"/>
    <n v="229770"/>
    <n v="1"/>
    <s v="Indonesia"/>
    <s v="TJL - JPP"/>
    <x v="0"/>
  </r>
  <r>
    <s v="CLICTRUCK-046349"/>
    <s v="domestic"/>
    <x v="71"/>
    <x v="11"/>
    <n v="18400000"/>
    <n v="5550"/>
    <d v="2023-03-30T00:00:00"/>
    <s v="UNPAID"/>
    <x v="11"/>
    <n v="306360"/>
    <n v="1"/>
    <s v="Indonesia"/>
    <s v="TJL - JPP"/>
    <x v="0"/>
  </r>
  <r>
    <s v="CLICTRUCK-046350"/>
    <s v="domestic"/>
    <x v="71"/>
    <x v="11"/>
    <n v="12075000"/>
    <n v="5550"/>
    <d v="2023-03-30T00:00:00"/>
    <s v="UNPAID"/>
    <x v="11"/>
    <n v="201048"/>
    <n v="1"/>
    <s v="Indonesia"/>
    <s v="TJL - JPP"/>
    <x v="0"/>
  </r>
  <r>
    <s v="CLICTRUCK-046351"/>
    <s v="domestic"/>
    <x v="71"/>
    <x v="11"/>
    <n v="14950000"/>
    <n v="5550"/>
    <d v="2023-03-30T00:00:00"/>
    <s v="UNPAID"/>
    <x v="11"/>
    <n v="248917"/>
    <n v="1"/>
    <s v="Indonesia"/>
    <s v="TJL - JPP"/>
    <x v="0"/>
  </r>
  <r>
    <s v="CLICTRUCK-046352"/>
    <s v="domestic"/>
    <x v="71"/>
    <x v="11"/>
    <n v="6210000"/>
    <n v="5550"/>
    <d v="2023-03-30T00:00:00"/>
    <s v="UNPAID"/>
    <x v="11"/>
    <n v="103396"/>
    <n v="1"/>
    <s v="Indonesia"/>
    <s v="TJL - JPP"/>
    <x v="0"/>
  </r>
  <r>
    <s v="CLICTRUCK-046353"/>
    <s v="domestic"/>
    <x v="71"/>
    <x v="11"/>
    <n v="770000"/>
    <n v="5550"/>
    <d v="2023-03-30T00:00:00"/>
    <s v="UNPAID"/>
    <x v="11"/>
    <n v="12820"/>
    <n v="1"/>
    <s v="Indonesia"/>
    <s v="TJL - JPP"/>
    <x v="0"/>
  </r>
  <r>
    <s v="CLICTRUCK-046354"/>
    <s v="domestic"/>
    <x v="71"/>
    <x v="11"/>
    <n v="1210000"/>
    <n v="5550"/>
    <d v="2023-03-30T00:00:00"/>
    <s v="UNPAID"/>
    <x v="11"/>
    <n v="20146"/>
    <n v="1"/>
    <s v="Indonesia"/>
    <s v="TJL - JPP"/>
    <x v="0"/>
  </r>
  <r>
    <s v="CLICTRUCK-046355"/>
    <s v="domestic"/>
    <x v="71"/>
    <x v="11"/>
    <n v="1210000"/>
    <n v="5550"/>
    <d v="2023-03-30T00:00:00"/>
    <s v="UNPAID"/>
    <x v="11"/>
    <n v="20146"/>
    <n v="1"/>
    <s v="Indonesia"/>
    <s v="TJL - JPP"/>
    <x v="0"/>
  </r>
  <r>
    <s v="CLICTRUCK-046356"/>
    <s v="domestic"/>
    <x v="71"/>
    <x v="11"/>
    <n v="3630000"/>
    <n v="5550"/>
    <d v="2023-03-30T00:00:00"/>
    <s v="UNPAID"/>
    <x v="11"/>
    <n v="60439"/>
    <n v="1"/>
    <s v="Indonesia"/>
    <s v="TJL - JPP"/>
    <x v="0"/>
  </r>
  <r>
    <s v="CLICTRUCK-046357"/>
    <s v="domestic"/>
    <x v="71"/>
    <x v="11"/>
    <n v="11615000"/>
    <n v="5550"/>
    <d v="2023-03-30T00:00:00"/>
    <s v="UNPAID"/>
    <x v="11"/>
    <n v="193389"/>
    <n v="1"/>
    <s v="Indonesia"/>
    <s v="TJL - JPP"/>
    <x v="0"/>
  </r>
  <r>
    <s v="CLICTRUCK-046358"/>
    <s v="domestic"/>
    <x v="71"/>
    <x v="11"/>
    <n v="12650000"/>
    <n v="5550"/>
    <d v="2023-03-30T00:00:00"/>
    <s v="UNPAID"/>
    <x v="11"/>
    <n v="210622"/>
    <n v="1"/>
    <s v="Indonesia"/>
    <s v="TJL - JPP"/>
    <x v="0"/>
  </r>
  <r>
    <s v="CLICTRUCK-046359"/>
    <s v="domestic"/>
    <x v="71"/>
    <x v="11"/>
    <n v="12650000"/>
    <n v="5550"/>
    <d v="2023-03-30T00:00:00"/>
    <s v="UNPAID"/>
    <x v="11"/>
    <n v="210622"/>
    <n v="1"/>
    <s v="Indonesia"/>
    <s v="TJL - JPP"/>
    <x v="0"/>
  </r>
  <r>
    <s v="CLICTRUCK-046360"/>
    <s v="domestic"/>
    <x v="71"/>
    <x v="11"/>
    <n v="2420000"/>
    <n v="5550"/>
    <d v="2023-03-30T00:00:00"/>
    <s v="UNPAID"/>
    <x v="11"/>
    <n v="40293"/>
    <n v="1"/>
    <s v="Indonesia"/>
    <s v="TJL - JPP"/>
    <x v="0"/>
  </r>
  <r>
    <s v="CLICTRUCK-046361"/>
    <s v="domestic"/>
    <x v="71"/>
    <x v="11"/>
    <n v="8050000"/>
    <n v="5550"/>
    <d v="2023-03-30T00:00:00"/>
    <s v="UNPAID"/>
    <x v="11"/>
    <n v="134032"/>
    <n v="1"/>
    <s v="Indonesia"/>
    <s v="TJL - JPP"/>
    <x v="0"/>
  </r>
  <r>
    <s v="CLICTRUCK-046362"/>
    <s v="domestic"/>
    <x v="71"/>
    <x v="11"/>
    <n v="17825000"/>
    <n v="5550"/>
    <d v="2023-03-30T00:00:00"/>
    <s v="UNPAID"/>
    <x v="11"/>
    <n v="296786"/>
    <n v="1"/>
    <s v="Indonesia"/>
    <s v="TJL - JPP"/>
    <x v="0"/>
  </r>
  <r>
    <s v="CLICTRUCK-046363"/>
    <s v="domestic"/>
    <x v="71"/>
    <x v="11"/>
    <n v="11155000"/>
    <n v="5550"/>
    <d v="2023-03-30T00:00:00"/>
    <s v="UNPAID"/>
    <x v="11"/>
    <n v="185730"/>
    <n v="1"/>
    <s v="Indonesia"/>
    <s v="TJL - JPP"/>
    <x v="0"/>
  </r>
  <r>
    <s v="CLICTRUCK-046364"/>
    <s v="domestic"/>
    <x v="71"/>
    <x v="11"/>
    <n v="12420000"/>
    <n v="5550"/>
    <d v="2023-03-30T00:00:00"/>
    <s v="UNPAID"/>
    <x v="11"/>
    <n v="206793"/>
    <n v="1"/>
    <s v="Indonesia"/>
    <s v="TJL - JPP"/>
    <x v="0"/>
  </r>
  <r>
    <s v="CLICTRUCK-046365"/>
    <s v="domestic"/>
    <x v="71"/>
    <x v="11"/>
    <n v="12650000"/>
    <n v="5550"/>
    <d v="2023-03-30T00:00:00"/>
    <s v="UNPAID"/>
    <x v="11"/>
    <n v="210622"/>
    <n v="1"/>
    <s v="Indonesia"/>
    <s v="TJL - JPP"/>
    <x v="0"/>
  </r>
  <r>
    <s v="CLICTRUCK-046366"/>
    <s v="domestic"/>
    <x v="71"/>
    <x v="11"/>
    <n v="15295000"/>
    <n v="5550"/>
    <d v="2023-03-30T00:00:00"/>
    <s v="UNPAID"/>
    <x v="11"/>
    <n v="254661"/>
    <n v="1"/>
    <s v="Indonesia"/>
    <s v="TJL - JPP"/>
    <x v="0"/>
  </r>
  <r>
    <s v="CLICTRUCK-046367"/>
    <s v="domestic"/>
    <x v="71"/>
    <x v="11"/>
    <n v="8050000"/>
    <n v="5550"/>
    <d v="2023-03-30T00:00:00"/>
    <s v="UNPAID"/>
    <x v="11"/>
    <n v="134032"/>
    <n v="1"/>
    <s v="Indonesia"/>
    <s v="TJL - JPP"/>
    <x v="0"/>
  </r>
  <r>
    <s v="CLICTRUCK-046368"/>
    <s v="domestic"/>
    <x v="71"/>
    <x v="11"/>
    <n v="9775000"/>
    <n v="5550"/>
    <d v="2023-03-30T00:00:00"/>
    <s v="UNPAID"/>
    <x v="11"/>
    <n v="162753"/>
    <n v="1"/>
    <s v="Indonesia"/>
    <s v="TJL - JPP"/>
    <x v="0"/>
  </r>
  <r>
    <s v="CLICTRUCK-046369"/>
    <s v="domestic"/>
    <x v="71"/>
    <x v="11"/>
    <n v="17825000"/>
    <n v="5550"/>
    <d v="2023-03-30T00:00:00"/>
    <s v="UNPAID"/>
    <x v="11"/>
    <n v="296786"/>
    <n v="1"/>
    <s v="Indonesia"/>
    <s v="TJL - JPP"/>
    <x v="0"/>
  </r>
  <r>
    <s v="CLICTRUCK-046370"/>
    <s v="domestic"/>
    <x v="71"/>
    <x v="11"/>
    <n v="22425000"/>
    <n v="5550"/>
    <d v="2023-03-30T00:00:00"/>
    <s v="UNPAID"/>
    <x v="11"/>
    <n v="373376"/>
    <n v="1"/>
    <s v="Indonesia"/>
    <s v="TJL - JPP"/>
    <x v="0"/>
  </r>
  <r>
    <s v="CLICTRUCK-046371"/>
    <s v="domestic"/>
    <x v="71"/>
    <x v="11"/>
    <n v="12075000"/>
    <n v="5550"/>
    <d v="2023-03-30T00:00:00"/>
    <s v="UNPAID"/>
    <x v="11"/>
    <n v="201048"/>
    <n v="1"/>
    <s v="Indonesia"/>
    <s v="TJL - JPP"/>
    <x v="0"/>
  </r>
  <r>
    <s v="CLICTRUCK-046372"/>
    <s v="domestic"/>
    <x v="71"/>
    <x v="11"/>
    <n v="20700000"/>
    <n v="5550"/>
    <d v="2023-03-30T00:00:00"/>
    <s v="UNPAID"/>
    <x v="11"/>
    <n v="344655"/>
    <n v="1"/>
    <s v="Indonesia"/>
    <s v="TJL - JPP"/>
    <x v="0"/>
  </r>
  <r>
    <s v="CLICTRUCK-046373"/>
    <s v="domestic"/>
    <x v="71"/>
    <x v="11"/>
    <n v="770000"/>
    <n v="5550"/>
    <d v="2023-03-30T00:00:00"/>
    <s v="UNPAID"/>
    <x v="11"/>
    <n v="12820"/>
    <n v="1"/>
    <s v="Indonesia"/>
    <s v="TJL - JPP"/>
    <x v="0"/>
  </r>
  <r>
    <s v="CLICTRUCK-046374"/>
    <s v="domestic"/>
    <x v="71"/>
    <x v="11"/>
    <n v="19550000"/>
    <n v="5550"/>
    <d v="2023-03-30T00:00:00"/>
    <s v="UNPAID"/>
    <x v="11"/>
    <n v="325507"/>
    <n v="1"/>
    <s v="Indonesia"/>
    <s v="TJL - JPP"/>
    <x v="0"/>
  </r>
  <r>
    <s v="CLICTRUCK-046375"/>
    <s v="domestic"/>
    <x v="71"/>
    <x v="11"/>
    <n v="16100000"/>
    <n v="5550"/>
    <d v="2023-03-30T00:00:00"/>
    <s v="UNPAID"/>
    <x v="11"/>
    <n v="268065"/>
    <n v="1"/>
    <s v="Indonesia"/>
    <s v="TJL - JPP"/>
    <x v="0"/>
  </r>
  <r>
    <s v="CLICTRUCK-046376"/>
    <s v="domestic"/>
    <x v="71"/>
    <x v="11"/>
    <n v="19550000"/>
    <n v="5550"/>
    <d v="2023-03-30T00:00:00"/>
    <s v="UNPAID"/>
    <x v="11"/>
    <n v="325507"/>
    <n v="1"/>
    <s v="Indonesia"/>
    <s v="TJL - JPP"/>
    <x v="0"/>
  </r>
  <r>
    <s v="CLICTRUCK-046377"/>
    <s v="domestic"/>
    <x v="71"/>
    <x v="11"/>
    <n v="11155000"/>
    <n v="5550"/>
    <d v="2023-03-30T00:00:00"/>
    <s v="UNPAID"/>
    <x v="11"/>
    <n v="185730"/>
    <n v="1"/>
    <s v="Indonesia"/>
    <s v="TJL - JPP"/>
    <x v="0"/>
  </r>
  <r>
    <s v="CLICTRUCK-046378"/>
    <s v="domestic"/>
    <x v="71"/>
    <x v="11"/>
    <n v="13225000"/>
    <n v="5550"/>
    <d v="2023-03-30T00:00:00"/>
    <s v="UNPAID"/>
    <x v="11"/>
    <n v="220196"/>
    <n v="1"/>
    <s v="Indonesia"/>
    <s v="TJL - JPP"/>
    <x v="0"/>
  </r>
  <r>
    <s v="CLICTRUCK-046379"/>
    <s v="domestic"/>
    <x v="71"/>
    <x v="11"/>
    <n v="12650000"/>
    <n v="5550"/>
    <d v="2023-03-30T00:00:00"/>
    <s v="UNPAID"/>
    <x v="11"/>
    <n v="210622"/>
    <n v="1"/>
    <s v="Indonesia"/>
    <s v="TJL - JPP"/>
    <x v="0"/>
  </r>
  <r>
    <s v="CLICTRUCK-046380"/>
    <s v="domestic"/>
    <x v="71"/>
    <x v="11"/>
    <n v="20930000"/>
    <n v="5550"/>
    <d v="2023-03-30T00:00:00"/>
    <s v="UNPAID"/>
    <x v="11"/>
    <n v="348484"/>
    <n v="1"/>
    <s v="Indonesia"/>
    <s v="TJL - JPP"/>
    <x v="0"/>
  </r>
  <r>
    <s v="CLICTRUCK-046381"/>
    <s v="domestic"/>
    <x v="71"/>
    <x v="11"/>
    <n v="13800000"/>
    <n v="5550"/>
    <d v="2023-03-30T00:00:00"/>
    <s v="UNPAID"/>
    <x v="11"/>
    <n v="229770"/>
    <n v="1"/>
    <s v="Indonesia"/>
    <s v="TJL - JPP"/>
    <x v="0"/>
  </r>
  <r>
    <s v="CLICTRUCK-046382"/>
    <s v="domestic"/>
    <x v="71"/>
    <x v="11"/>
    <n v="12650000"/>
    <n v="5550"/>
    <d v="2023-03-30T00:00:00"/>
    <s v="UNPAID"/>
    <x v="11"/>
    <n v="210622"/>
    <n v="1"/>
    <s v="Indonesia"/>
    <s v="TJL - JPP"/>
    <x v="0"/>
  </r>
  <r>
    <s v="CLICTRUCK-046383"/>
    <s v="domestic"/>
    <x v="71"/>
    <x v="11"/>
    <n v="17825000"/>
    <n v="5550"/>
    <d v="2023-03-30T00:00:00"/>
    <s v="UNPAID"/>
    <x v="11"/>
    <n v="296786"/>
    <n v="1"/>
    <s v="Indonesia"/>
    <s v="TJL - JPP"/>
    <x v="0"/>
  </r>
  <r>
    <s v="CLICTRUCK-046384"/>
    <s v="domestic"/>
    <x v="71"/>
    <x v="11"/>
    <n v="9832500"/>
    <n v="5550"/>
    <d v="2023-03-30T00:00:00"/>
    <s v="UNPAID"/>
    <x v="11"/>
    <n v="163710"/>
    <n v="1"/>
    <s v="Indonesia"/>
    <s v="TJL - JPP"/>
    <x v="0"/>
  </r>
  <r>
    <s v="CLICTRUCK-046385"/>
    <s v="domestic"/>
    <x v="71"/>
    <x v="11"/>
    <n v="30590000"/>
    <n v="5550"/>
    <d v="2023-03-30T00:00:00"/>
    <s v="UNPAID"/>
    <x v="11"/>
    <n v="509323"/>
    <n v="1"/>
    <s v="Indonesia"/>
    <s v="TJL - JPP"/>
    <x v="0"/>
  </r>
  <r>
    <s v="CLICTRUCK-046386"/>
    <s v="domestic"/>
    <x v="71"/>
    <x v="11"/>
    <n v="6210000"/>
    <n v="5550"/>
    <d v="2023-03-30T00:00:00"/>
    <s v="UNPAID"/>
    <x v="11"/>
    <n v="103396"/>
    <n v="1"/>
    <s v="Indonesia"/>
    <s v="TJL - JPP"/>
    <x v="0"/>
  </r>
  <r>
    <s v="CLICTRUCK-046387"/>
    <s v="domestic"/>
    <x v="71"/>
    <x v="11"/>
    <n v="12075000"/>
    <n v="5550"/>
    <d v="2023-03-30T00:00:00"/>
    <s v="UNPAID"/>
    <x v="11"/>
    <n v="201048"/>
    <n v="1"/>
    <s v="Indonesia"/>
    <s v="TJL - JPP"/>
    <x v="0"/>
  </r>
  <r>
    <s v="CLICTRUCK-046388"/>
    <s v="domestic"/>
    <x v="71"/>
    <x v="11"/>
    <n v="19563079"/>
    <n v="5550"/>
    <d v="2023-04-07T00:00:00"/>
    <s v="UNPAID"/>
    <x v="11"/>
    <n v="325725"/>
    <n v="1"/>
    <s v="Indonesia"/>
    <s v="TJL - JPP"/>
    <x v="0"/>
  </r>
  <r>
    <s v="CLICTRUCK-046389"/>
    <s v="domestic"/>
    <x v="71"/>
    <x v="11"/>
    <n v="19550000"/>
    <n v="5550"/>
    <d v="2023-03-30T00:00:00"/>
    <s v="UNPAID"/>
    <x v="11"/>
    <n v="325507"/>
    <n v="1"/>
    <s v="Indonesia"/>
    <s v="TJL - JPP"/>
    <x v="0"/>
  </r>
  <r>
    <s v="CLICTRUCK-046390"/>
    <s v="domestic"/>
    <x v="71"/>
    <x v="11"/>
    <n v="12650000"/>
    <n v="5550"/>
    <d v="2023-03-30T00:00:00"/>
    <s v="UNPAID"/>
    <x v="11"/>
    <n v="210622"/>
    <n v="1"/>
    <s v="Indonesia"/>
    <s v="TJL - JPP"/>
    <x v="0"/>
  </r>
  <r>
    <s v="CLICTRUCK-046391"/>
    <s v="domestic"/>
    <x v="71"/>
    <x v="11"/>
    <n v="12650000"/>
    <n v="5550"/>
    <d v="2023-03-30T00:00:00"/>
    <s v="UNPAID"/>
    <x v="11"/>
    <n v="210622"/>
    <n v="1"/>
    <s v="Indonesia"/>
    <s v="TJL - JPP"/>
    <x v="0"/>
  </r>
  <r>
    <s v="CLICTRUCK-046392"/>
    <s v="domestic"/>
    <x v="71"/>
    <x v="11"/>
    <n v="30590000"/>
    <n v="5550"/>
    <d v="2023-03-30T00:00:00"/>
    <s v="UNPAID"/>
    <x v="11"/>
    <n v="509323"/>
    <n v="1"/>
    <s v="Indonesia"/>
    <s v="TJL - JPP"/>
    <x v="0"/>
  </r>
  <r>
    <s v="CLICTRUCK-046394"/>
    <s v="domestic"/>
    <x v="71"/>
    <x v="11"/>
    <n v="20930000"/>
    <n v="5550"/>
    <d v="2023-03-30T00:00:00"/>
    <s v="UNPAID"/>
    <x v="11"/>
    <n v="348484"/>
    <n v="1"/>
    <s v="Indonesia"/>
    <s v="TJL - JPP"/>
    <x v="0"/>
  </r>
  <r>
    <s v="CLICTRUCK-046395"/>
    <s v="domestic"/>
    <x v="71"/>
    <x v="11"/>
    <n v="9832500"/>
    <n v="5550"/>
    <d v="2023-03-30T00:00:00"/>
    <s v="UNPAID"/>
    <x v="11"/>
    <n v="163710"/>
    <n v="1"/>
    <s v="Indonesia"/>
    <s v="TJL - JPP"/>
    <x v="0"/>
  </r>
  <r>
    <s v="CLICTRUCK-046396"/>
    <s v="domestic"/>
    <x v="71"/>
    <x v="11"/>
    <n v="15295000"/>
    <n v="5550"/>
    <d v="2023-03-30T00:00:00"/>
    <s v="UNPAID"/>
    <x v="11"/>
    <n v="254661"/>
    <n v="1"/>
    <s v="Indonesia"/>
    <s v="TJL - JPP"/>
    <x v="0"/>
  </r>
  <r>
    <s v="CLICTRUCK-046397"/>
    <s v="domestic"/>
    <x v="71"/>
    <x v="11"/>
    <n v="19550000"/>
    <n v="5550"/>
    <d v="2023-03-30T00:00:00"/>
    <s v="UNPAID"/>
    <x v="11"/>
    <n v="325507"/>
    <n v="1"/>
    <s v="Indonesia"/>
    <s v="TJL - JPP"/>
    <x v="0"/>
  </r>
  <r>
    <s v="CLICTRUCK-046398"/>
    <s v="domestic"/>
    <x v="71"/>
    <x v="11"/>
    <n v="11155000"/>
    <n v="5550"/>
    <d v="2023-03-30T00:00:00"/>
    <s v="UNPAID"/>
    <x v="11"/>
    <n v="185730"/>
    <n v="1"/>
    <s v="Indonesia"/>
    <s v="TJL - JPP"/>
    <x v="0"/>
  </r>
  <r>
    <s v="CLICTRUCK-046399"/>
    <s v="domestic"/>
    <x v="71"/>
    <x v="11"/>
    <n v="14950000"/>
    <n v="5550"/>
    <d v="2023-03-30T00:00:00"/>
    <s v="UNPAID"/>
    <x v="11"/>
    <n v="248917"/>
    <n v="1"/>
    <s v="Indonesia"/>
    <s v="TJL - JPP"/>
    <x v="0"/>
  </r>
  <r>
    <s v="CLICTRUCK-046400"/>
    <s v="domestic"/>
    <x v="71"/>
    <x v="11"/>
    <n v="18400000"/>
    <n v="5550"/>
    <d v="2023-03-30T00:00:00"/>
    <s v="UNPAID"/>
    <x v="11"/>
    <n v="306360"/>
    <n v="1"/>
    <s v="Indonesia"/>
    <s v="TJL - JPP"/>
    <x v="0"/>
  </r>
  <r>
    <s v="CLICTRUCK-046416"/>
    <s v="domestic"/>
    <x v="71"/>
    <x v="11"/>
    <n v="16356121"/>
    <n v="5550"/>
    <d v="2023-03-31T00:00:00"/>
    <s v="UNPAID"/>
    <x v="11"/>
    <n v="272328"/>
    <n v="1"/>
    <s v="Indonesia"/>
    <s v="TJL - JPP"/>
    <x v="0"/>
  </r>
  <r>
    <s v="CLICTRUCK-046417"/>
    <s v="domestic"/>
    <x v="71"/>
    <x v="11"/>
    <n v="10161960"/>
    <n v="5550"/>
    <d v="2023-03-31T00:00:00"/>
    <s v="UNPAID"/>
    <x v="11"/>
    <n v="169196"/>
    <n v="1"/>
    <s v="Indonesia"/>
    <s v="TJL - JPP"/>
    <x v="0"/>
  </r>
  <r>
    <s v="CLICTRUCK-046418"/>
    <s v="domestic"/>
    <x v="71"/>
    <x v="11"/>
    <n v="11616930"/>
    <n v="5550"/>
    <d v="2023-03-31T00:00:00"/>
    <s v="UNPAID"/>
    <x v="11"/>
    <n v="193420"/>
    <n v="1"/>
    <s v="Indonesia"/>
    <s v="TJL - JPP"/>
    <x v="0"/>
  </r>
  <r>
    <s v="CLICTRUCK-046419"/>
    <s v="domestic"/>
    <x v="71"/>
    <x v="11"/>
    <n v="13541825"/>
    <n v="5550"/>
    <d v="2023-03-31T00:00:00"/>
    <s v="UNPAID"/>
    <x v="11"/>
    <n v="225470"/>
    <n v="1"/>
    <s v="Indonesia"/>
    <s v="TJL - JPP"/>
    <x v="0"/>
  </r>
  <r>
    <s v="CLICTRUCK-046420"/>
    <s v="domestic"/>
    <x v="71"/>
    <x v="11"/>
    <n v="9991200"/>
    <n v="5550"/>
    <d v="2023-03-31T00:00:00"/>
    <s v="UNPAID"/>
    <x v="11"/>
    <n v="166353"/>
    <n v="1"/>
    <s v="Indonesia"/>
    <s v="TJL - JPP"/>
    <x v="0"/>
  </r>
  <r>
    <s v="CLICTRUCK-046421"/>
    <s v="domestic"/>
    <x v="71"/>
    <x v="11"/>
    <n v="13541825"/>
    <n v="5550"/>
    <d v="2023-03-31T00:00:00"/>
    <s v="UNPAID"/>
    <x v="11"/>
    <n v="225470"/>
    <n v="1"/>
    <s v="Indonesia"/>
    <s v="TJL - JPP"/>
    <x v="0"/>
  </r>
  <r>
    <s v="CLICTRUCK-046422"/>
    <s v="domestic"/>
    <x v="71"/>
    <x v="11"/>
    <n v="5511950"/>
    <n v="5550"/>
    <d v="2023-03-31T00:00:00"/>
    <s v="UNPAID"/>
    <x v="11"/>
    <n v="91773"/>
    <n v="1"/>
    <s v="Indonesia"/>
    <s v="TJL - JPP"/>
    <x v="0"/>
  </r>
  <r>
    <s v="CLICTRUCK-046423"/>
    <s v="domestic"/>
    <x v="71"/>
    <x v="11"/>
    <n v="13541825"/>
    <n v="5550"/>
    <d v="2023-03-31T00:00:00"/>
    <s v="UNPAID"/>
    <x v="11"/>
    <n v="225470"/>
    <n v="1"/>
    <s v="Indonesia"/>
    <s v="TJL - JPP"/>
    <x v="0"/>
  </r>
  <r>
    <s v="CLICTRUCK-046424"/>
    <s v="domestic"/>
    <x v="71"/>
    <x v="11"/>
    <n v="13541825"/>
    <n v="5550"/>
    <d v="2023-03-31T00:00:00"/>
    <s v="UNPAID"/>
    <x v="11"/>
    <n v="225470"/>
    <n v="1"/>
    <s v="Indonesia"/>
    <s v="TJL - JPP"/>
    <x v="0"/>
  </r>
  <r>
    <s v="CLICTRUCK-046426"/>
    <s v="domestic"/>
    <x v="71"/>
    <x v="11"/>
    <n v="13377950"/>
    <n v="5550"/>
    <d v="2023-03-31T00:00:00"/>
    <s v="UNPAID"/>
    <x v="11"/>
    <n v="222742"/>
    <n v="1"/>
    <s v="Indonesia"/>
    <s v="TJL - JPP"/>
    <x v="0"/>
  </r>
  <r>
    <s v="CLICTRUCK-046427"/>
    <s v="domestic"/>
    <x v="71"/>
    <x v="11"/>
    <n v="6549825"/>
    <n v="5550"/>
    <d v="2023-03-31T00:00:00"/>
    <s v="UNPAID"/>
    <x v="11"/>
    <n v="109054"/>
    <n v="1"/>
    <s v="Indonesia"/>
    <s v="TJL - JPP"/>
    <x v="0"/>
  </r>
  <r>
    <s v="CLICTRUCK-046428"/>
    <s v="domestic"/>
    <x v="71"/>
    <x v="11"/>
    <n v="5511950"/>
    <n v="5550"/>
    <d v="2023-03-31T00:00:00"/>
    <s v="UNPAID"/>
    <x v="11"/>
    <n v="91773"/>
    <n v="1"/>
    <s v="Indonesia"/>
    <s v="TJL - JPP"/>
    <x v="0"/>
  </r>
  <r>
    <s v="CLICTRUCK-046429"/>
    <s v="domestic"/>
    <x v="71"/>
    <x v="11"/>
    <n v="5511950"/>
    <n v="5550"/>
    <d v="2023-03-31T00:00:00"/>
    <s v="UNPAID"/>
    <x v="11"/>
    <n v="91773"/>
    <n v="1"/>
    <s v="Indonesia"/>
    <s v="TJL - JPP"/>
    <x v="0"/>
  </r>
  <r>
    <s v="CLICTRUCK-046430"/>
    <s v="domestic"/>
    <x v="71"/>
    <x v="11"/>
    <n v="5511950"/>
    <n v="5550"/>
    <d v="2023-03-31T00:00:00"/>
    <s v="UNPAID"/>
    <x v="11"/>
    <n v="91773"/>
    <n v="1"/>
    <s v="Indonesia"/>
    <s v="TJL - JPP"/>
    <x v="0"/>
  </r>
  <r>
    <s v="CLICTRUCK-046431"/>
    <s v="domestic"/>
    <x v="71"/>
    <x v="11"/>
    <n v="6549825"/>
    <n v="5550"/>
    <d v="2023-03-31T00:00:00"/>
    <s v="UNPAID"/>
    <x v="11"/>
    <n v="109054"/>
    <n v="1"/>
    <s v="Indonesia"/>
    <s v="TJL - JPP"/>
    <x v="0"/>
  </r>
  <r>
    <s v="CLICTRUCK-046432"/>
    <s v="domestic"/>
    <x v="71"/>
    <x v="11"/>
    <n v="5511950"/>
    <n v="5550"/>
    <d v="2023-03-31T00:00:00"/>
    <s v="UNPAID"/>
    <x v="11"/>
    <n v="91773"/>
    <n v="1"/>
    <s v="Indonesia"/>
    <s v="TJL - JPP"/>
    <x v="0"/>
  </r>
  <r>
    <s v="CLICTRUCK-046433"/>
    <s v="domestic"/>
    <x v="71"/>
    <x v="11"/>
    <n v="5511950"/>
    <n v="5550"/>
    <d v="2023-03-31T00:00:00"/>
    <s v="UNPAID"/>
    <x v="11"/>
    <n v="91773"/>
    <n v="1"/>
    <s v="Indonesia"/>
    <s v="TJL - JPP"/>
    <x v="0"/>
  </r>
  <r>
    <s v="CLICTRUCK-046434"/>
    <s v="domestic"/>
    <x v="126"/>
    <x v="25"/>
    <n v="1707750"/>
    <n v="27750"/>
    <d v="2023-03-30T00:00:00"/>
    <s v="PAID"/>
    <x v="28"/>
    <n v="75824"/>
    <n v="1"/>
    <s v="Indonesia"/>
    <s v="SAJB - SEP"/>
    <x v="0"/>
  </r>
  <r>
    <s v="CLICTRUCK-046435"/>
    <s v="domestic"/>
    <x v="126"/>
    <x v="25"/>
    <n v="1707750"/>
    <n v="27750"/>
    <d v="2023-03-30T00:00:00"/>
    <s v="PAID"/>
    <x v="28"/>
    <n v="75824"/>
    <n v="1"/>
    <s v="Indonesia"/>
    <s v="SAJB - SEP"/>
    <x v="0"/>
  </r>
  <r>
    <s v="CLICTRUCK-046436"/>
    <s v="domestic"/>
    <x v="126"/>
    <x v="25"/>
    <n v="2537750"/>
    <n v="27750"/>
    <d v="2023-03-30T00:00:00"/>
    <s v="PAID"/>
    <x v="28"/>
    <n v="112676"/>
    <n v="1"/>
    <s v="Indonesia"/>
    <s v="SAJB - SEP"/>
    <x v="0"/>
  </r>
  <r>
    <s v="CLICTRUCK-046437"/>
    <s v="domestic"/>
    <x v="126"/>
    <x v="25"/>
    <n v="2537750"/>
    <n v="27750"/>
    <d v="2023-03-30T00:00:00"/>
    <s v="PAID"/>
    <x v="28"/>
    <n v="112676"/>
    <n v="1"/>
    <s v="Indonesia"/>
    <s v="SAJB - SEP"/>
    <x v="0"/>
  </r>
  <r>
    <s v="CLICTRUCK-046438"/>
    <s v="domestic"/>
    <x v="126"/>
    <x v="25"/>
    <n v="1707750"/>
    <n v="27750"/>
    <d v="2023-03-30T00:00:00"/>
    <s v="PAID"/>
    <x v="28"/>
    <n v="75824"/>
    <n v="1"/>
    <s v="Indonesia"/>
    <s v="SAJB - SEP"/>
    <x v="0"/>
  </r>
  <r>
    <s v="CLICTRUCK-046439"/>
    <s v="domestic"/>
    <x v="126"/>
    <x v="25"/>
    <n v="1212750"/>
    <n v="27750"/>
    <d v="2023-03-30T00:00:00"/>
    <s v="PAID"/>
    <x v="28"/>
    <n v="53846"/>
    <n v="1"/>
    <s v="Indonesia"/>
    <s v="SAJB - SEP"/>
    <x v="0"/>
  </r>
  <r>
    <s v="CLICTRUCK-046440"/>
    <s v="domestic"/>
    <x v="126"/>
    <x v="25"/>
    <n v="2537750"/>
    <n v="27750"/>
    <d v="2023-03-30T00:00:00"/>
    <s v="PAID"/>
    <x v="28"/>
    <n v="112676"/>
    <n v="1"/>
    <s v="Indonesia"/>
    <s v="SAJB - SEP"/>
    <x v="0"/>
  </r>
  <r>
    <s v="CLICTRUCK-046441"/>
    <s v="domestic"/>
    <x v="126"/>
    <x v="25"/>
    <n v="1212750"/>
    <n v="27750"/>
    <d v="2023-03-30T00:00:00"/>
    <s v="PAID"/>
    <x v="28"/>
    <n v="53846"/>
    <n v="1"/>
    <s v="Indonesia"/>
    <s v="SAJB - SEP"/>
    <x v="0"/>
  </r>
  <r>
    <s v="CLICTRUCK-046442"/>
    <s v="domestic"/>
    <x v="126"/>
    <x v="25"/>
    <n v="2537750"/>
    <n v="27750"/>
    <d v="2023-03-30T00:00:00"/>
    <s v="PAID"/>
    <x v="28"/>
    <n v="112676"/>
    <n v="1"/>
    <s v="Indonesia"/>
    <s v="SAJB - SEP"/>
    <x v="0"/>
  </r>
  <r>
    <s v="CLICTRUCK-046443"/>
    <s v="domestic"/>
    <x v="126"/>
    <x v="25"/>
    <n v="2537750"/>
    <n v="27750"/>
    <d v="2023-03-30T00:00:00"/>
    <s v="PAID"/>
    <x v="28"/>
    <n v="112676"/>
    <n v="1"/>
    <s v="Indonesia"/>
    <s v="SAJB - SEP"/>
    <x v="0"/>
  </r>
  <r>
    <s v="CLICTRUCK-046445"/>
    <s v="domestic"/>
    <x v="126"/>
    <x v="25"/>
    <n v="2537750"/>
    <n v="27750"/>
    <d v="2023-03-30T00:00:00"/>
    <s v="PAID"/>
    <x v="28"/>
    <n v="112676"/>
    <n v="1"/>
    <s v="Indonesia"/>
    <s v="SAJB - SEP"/>
    <x v="0"/>
  </r>
  <r>
    <s v="CLICTRUCK-046446"/>
    <s v="domestic"/>
    <x v="126"/>
    <x v="25"/>
    <n v="2537750"/>
    <n v="27750"/>
    <d v="2023-03-30T00:00:00"/>
    <s v="PAID"/>
    <x v="28"/>
    <n v="112676"/>
    <n v="1"/>
    <s v="Indonesia"/>
    <s v="SAJB - SEP"/>
    <x v="0"/>
  </r>
  <r>
    <s v="CLICTRUCK-046448"/>
    <s v="domestic"/>
    <x v="126"/>
    <x v="25"/>
    <n v="1932750"/>
    <n v="27750"/>
    <d v="2023-03-30T00:00:00"/>
    <s v="PAID"/>
    <x v="28"/>
    <n v="85814"/>
    <n v="1"/>
    <s v="Indonesia"/>
    <s v="SAJB - SEP"/>
    <x v="0"/>
  </r>
  <r>
    <s v="CLICTRUCK-046449"/>
    <s v="domestic"/>
    <x v="126"/>
    <x v="25"/>
    <n v="3302750"/>
    <n v="27750"/>
    <d v="2023-03-30T00:00:00"/>
    <s v="PAID"/>
    <x v="28"/>
    <n v="146642"/>
    <n v="1"/>
    <s v="Indonesia"/>
    <s v="SAJB - SEP"/>
    <x v="0"/>
  </r>
  <r>
    <s v="CLICTRUCK-046450"/>
    <s v="domestic"/>
    <x v="126"/>
    <x v="25"/>
    <n v="3302750"/>
    <n v="27750"/>
    <d v="2023-03-30T00:00:00"/>
    <s v="PAID"/>
    <x v="28"/>
    <n v="146642"/>
    <n v="1"/>
    <s v="Indonesia"/>
    <s v="SAJB - SEP"/>
    <x v="0"/>
  </r>
  <r>
    <s v="CLICTRUCK-046451"/>
    <s v="domestic"/>
    <x v="126"/>
    <x v="25"/>
    <n v="1177750"/>
    <n v="27750"/>
    <d v="2023-03-30T00:00:00"/>
    <s v="PAID"/>
    <x v="28"/>
    <n v="52292"/>
    <n v="1"/>
    <s v="Indonesia"/>
    <s v="SAJB - SEP"/>
    <x v="0"/>
  </r>
  <r>
    <s v="CLICTRUCK-046452"/>
    <s v="domestic"/>
    <x v="126"/>
    <x v="25"/>
    <n v="1707750"/>
    <n v="27750"/>
    <d v="2023-03-30T00:00:00"/>
    <s v="PAID"/>
    <x v="28"/>
    <n v="75824"/>
    <n v="1"/>
    <s v="Indonesia"/>
    <s v="SAJB - SEP"/>
    <x v="0"/>
  </r>
  <r>
    <s v="CLICTRUCK-046453"/>
    <s v="domestic"/>
    <x v="126"/>
    <x v="25"/>
    <n v="1027750"/>
    <n v="27750"/>
    <d v="2023-03-30T00:00:00"/>
    <s v="PAID"/>
    <x v="28"/>
    <n v="45632"/>
    <n v="1"/>
    <s v="Indonesia"/>
    <s v="SAJB - SEP"/>
    <x v="0"/>
  </r>
  <r>
    <s v="CLICTRUCK-046454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455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456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457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458"/>
    <s v="domestic"/>
    <x v="126"/>
    <x v="25"/>
    <n v="3275000"/>
    <n v="27750"/>
    <d v="2023-03-30T00:00:00"/>
    <s v="PAID"/>
    <x v="28"/>
    <n v="145410"/>
    <n v="1"/>
    <s v="Indonesia"/>
    <s v="SAJB - SEP"/>
    <x v="0"/>
  </r>
  <r>
    <s v="CLICTRUCK-046459"/>
    <s v="domestic"/>
    <x v="126"/>
    <x v="25"/>
    <n v="1645000"/>
    <n v="27750"/>
    <d v="2023-03-30T00:00:00"/>
    <s v="PAID"/>
    <x v="28"/>
    <n v="73038"/>
    <n v="1"/>
    <s v="Indonesia"/>
    <s v="SAJB - SEP"/>
    <x v="0"/>
  </r>
  <r>
    <s v="CLICTRUCK-046460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461"/>
    <s v="domestic"/>
    <x v="126"/>
    <x v="25"/>
    <n v="3275000"/>
    <n v="27750"/>
    <d v="2023-03-30T00:00:00"/>
    <s v="PAID"/>
    <x v="28"/>
    <n v="145410"/>
    <n v="1"/>
    <s v="Indonesia"/>
    <s v="SAJB - SEP"/>
    <x v="0"/>
  </r>
  <r>
    <s v="CLICTRUCK-046462"/>
    <s v="domestic"/>
    <x v="126"/>
    <x v="25"/>
    <n v="1150000"/>
    <n v="27750"/>
    <d v="2023-03-30T00:00:00"/>
    <s v="PAID"/>
    <x v="28"/>
    <n v="51060"/>
    <n v="1"/>
    <s v="Indonesia"/>
    <s v="SAJB - SEP"/>
    <x v="0"/>
  </r>
  <r>
    <s v="CLICTRUCK-046463"/>
    <s v="domestic"/>
    <x v="126"/>
    <x v="25"/>
    <n v="2315000"/>
    <n v="27750"/>
    <d v="2023-03-30T00:00:00"/>
    <s v="PAID"/>
    <x v="28"/>
    <n v="102786"/>
    <n v="1"/>
    <s v="Indonesia"/>
    <s v="SAJB - SEP"/>
    <x v="0"/>
  </r>
  <r>
    <s v="CLICTRUCK-046464"/>
    <s v="domestic"/>
    <x v="126"/>
    <x v="25"/>
    <n v="1080000"/>
    <n v="27750"/>
    <d v="2023-03-30T00:00:00"/>
    <s v="PAID"/>
    <x v="28"/>
    <n v="47952"/>
    <n v="1"/>
    <s v="Indonesia"/>
    <s v="SAJB - SEP"/>
    <x v="0"/>
  </r>
  <r>
    <s v="CLICTRUCK-046467"/>
    <s v="domestic"/>
    <x v="126"/>
    <x v="11"/>
    <n v="1093073"/>
    <n v="5550"/>
    <d v="2023-03-31T00:00:00"/>
    <s v="UNPAID"/>
    <x v="11"/>
    <n v="18199"/>
    <n v="1"/>
    <s v="Indonesia"/>
    <s v="TJL - JPP"/>
    <x v="0"/>
  </r>
  <r>
    <s v="CLICTRUCK-046468"/>
    <s v="domestic"/>
    <x v="126"/>
    <x v="11"/>
    <n v="1093073"/>
    <n v="5550"/>
    <d v="2023-03-31T00:00:00"/>
    <s v="UNPAID"/>
    <x v="11"/>
    <n v="18199"/>
    <n v="1"/>
    <s v="Indonesia"/>
    <s v="TJL - JPP"/>
    <x v="0"/>
  </r>
  <r>
    <s v="CLICTRUCK-046469"/>
    <s v="domestic"/>
    <x v="126"/>
    <x v="11"/>
    <n v="1186146"/>
    <n v="5550"/>
    <d v="2023-04-07T00:00:00"/>
    <s v="UNPAID"/>
    <x v="11"/>
    <n v="19749"/>
    <n v="1"/>
    <s v="Indonesia"/>
    <s v="TJL - JPP"/>
    <x v="0"/>
  </r>
  <r>
    <s v="CLICTRUCK-046470"/>
    <s v="domestic"/>
    <x v="126"/>
    <x v="11"/>
    <n v="1093073"/>
    <n v="5550"/>
    <d v="2023-03-31T00:00:00"/>
    <s v="UNPAID"/>
    <x v="11"/>
    <n v="18199"/>
    <n v="1"/>
    <s v="Indonesia"/>
    <s v="TJL - JPP"/>
    <x v="0"/>
  </r>
  <r>
    <s v="CLICTRUCK-046471"/>
    <s v="domestic"/>
    <x v="126"/>
    <x v="11"/>
    <n v="979436"/>
    <n v="5550"/>
    <d v="2023-03-31T00:00:00"/>
    <s v="UNPAID"/>
    <x v="11"/>
    <n v="16307"/>
    <n v="1"/>
    <s v="Indonesia"/>
    <s v="TJL - JPP"/>
    <x v="0"/>
  </r>
  <r>
    <s v="CLICTRUCK-046472"/>
    <s v="domestic"/>
    <x v="126"/>
    <x v="11"/>
    <n v="2220000"/>
    <n v="5550"/>
    <d v="2023-04-07T00:00:00"/>
    <s v="UNPAID"/>
    <x v="11"/>
    <n v="36963"/>
    <n v="1"/>
    <s v="Indonesia"/>
    <s v="TJL - JPP"/>
    <x v="0"/>
  </r>
  <r>
    <s v="CLICTRUCK-046473"/>
    <s v="domestic"/>
    <x v="126"/>
    <x v="11"/>
    <n v="1031384"/>
    <n v="5550"/>
    <d v="2023-03-31T00:00:00"/>
    <s v="UNPAID"/>
    <x v="11"/>
    <n v="17171"/>
    <n v="1"/>
    <s v="Indonesia"/>
    <s v="TJL - JPP"/>
    <x v="0"/>
  </r>
  <r>
    <s v="CLICTRUCK-046474"/>
    <s v="domestic"/>
    <x v="126"/>
    <x v="11"/>
    <n v="1031384"/>
    <n v="5550"/>
    <d v="2023-03-31T00:00:00"/>
    <s v="UNPAID"/>
    <x v="11"/>
    <n v="17171"/>
    <n v="1"/>
    <s v="Indonesia"/>
    <s v="TJL - JPP"/>
    <x v="0"/>
  </r>
  <r>
    <s v="CLICTRUCK-046475"/>
    <s v="domestic"/>
    <x v="126"/>
    <x v="11"/>
    <n v="1031384"/>
    <n v="5550"/>
    <d v="2023-03-31T00:00:00"/>
    <s v="UNPAID"/>
    <x v="11"/>
    <n v="17171"/>
    <n v="1"/>
    <s v="Indonesia"/>
    <s v="TJL - JPP"/>
    <x v="0"/>
  </r>
  <r>
    <s v="CLICTRUCK-046476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477"/>
    <s v="domestic"/>
    <x v="126"/>
    <x v="11"/>
    <n v="1134198"/>
    <n v="5550"/>
    <d v="2023-03-31T00:00:00"/>
    <s v="UNPAID"/>
    <x v="11"/>
    <n v="18883"/>
    <n v="1"/>
    <s v="Indonesia"/>
    <s v="TJL - JPP"/>
    <x v="0"/>
  </r>
  <r>
    <s v="CLICTRUCK-046478"/>
    <s v="domestic"/>
    <x v="126"/>
    <x v="11"/>
    <n v="1134198"/>
    <n v="5550"/>
    <d v="2023-03-31T00:00:00"/>
    <s v="UNPAID"/>
    <x v="11"/>
    <n v="18883"/>
    <n v="1"/>
    <s v="Indonesia"/>
    <s v="TJL - JPP"/>
    <x v="0"/>
  </r>
  <r>
    <s v="CLICTRUCK-046479"/>
    <s v="domestic"/>
    <x v="126"/>
    <x v="11"/>
    <n v="1134198"/>
    <n v="5550"/>
    <d v="2023-03-31T00:00:00"/>
    <s v="UNPAID"/>
    <x v="11"/>
    <n v="18883"/>
    <n v="1"/>
    <s v="Indonesia"/>
    <s v="TJL - JPP"/>
    <x v="0"/>
  </r>
  <r>
    <s v="CLICTRUCK-046480"/>
    <s v="domestic"/>
    <x v="126"/>
    <x v="11"/>
    <n v="1134198"/>
    <n v="5550"/>
    <d v="2023-03-31T00:00:00"/>
    <s v="UNPAID"/>
    <x v="11"/>
    <n v="18883"/>
    <n v="1"/>
    <s v="Indonesia"/>
    <s v="TJL - JPP"/>
    <x v="0"/>
  </r>
  <r>
    <s v="CLICTRUCK-046481"/>
    <s v="domestic"/>
    <x v="126"/>
    <x v="11"/>
    <n v="21720328"/>
    <n v="5550"/>
    <d v="2023-04-07T00:00:00"/>
    <s v="UNPAID"/>
    <x v="11"/>
    <n v="361642"/>
    <n v="1"/>
    <s v="Indonesia"/>
    <s v="TJL - JPP"/>
    <x v="0"/>
  </r>
  <r>
    <s v="CLICTRUCK-046482"/>
    <s v="domestic"/>
    <x v="126"/>
    <x v="11"/>
    <n v="900000"/>
    <n v="5550"/>
    <d v="2023-04-07T00:00:00"/>
    <s v="UNPAID"/>
    <x v="11"/>
    <n v="14985"/>
    <n v="1"/>
    <s v="Indonesia"/>
    <s v="TJL - JPP"/>
    <x v="0"/>
  </r>
  <r>
    <s v="CLICTRUCK-046483"/>
    <s v="domestic"/>
    <x v="126"/>
    <x v="11"/>
    <n v="12650000"/>
    <n v="5550"/>
    <d v="2023-04-14T00:00:00"/>
    <s v="UNPAID"/>
    <x v="11"/>
    <n v="631867"/>
    <n v="1"/>
    <s v="Indonesia"/>
    <s v="TJL - JPP"/>
    <x v="0"/>
  </r>
  <r>
    <s v="CLICTRUCK-046484"/>
    <s v="domestic"/>
    <x v="126"/>
    <x v="11"/>
    <n v="909841"/>
    <n v="5550"/>
    <d v="2023-03-31T00:00:00"/>
    <s v="UNPAID"/>
    <x v="11"/>
    <n v="15148"/>
    <n v="1"/>
    <s v="Indonesia"/>
    <s v="TJL - JPP"/>
    <x v="0"/>
  </r>
  <r>
    <s v="CLICTRUCK-046485"/>
    <s v="domestic"/>
    <x v="126"/>
    <x v="11"/>
    <n v="19088656"/>
    <n v="5550"/>
    <d v="2023-03-31T00:00:00"/>
    <s v="UNPAID"/>
    <x v="11"/>
    <n v="317825"/>
    <n v="1"/>
    <s v="Indonesia"/>
    <s v="TJL - JPP"/>
    <x v="0"/>
  </r>
  <r>
    <s v="CLICTRUCK-046486"/>
    <s v="domestic"/>
    <x v="126"/>
    <x v="11"/>
    <n v="23680440"/>
    <n v="5550"/>
    <d v="2023-03-31T00:00:00"/>
    <s v="UNPAID"/>
    <x v="11"/>
    <n v="394278"/>
    <n v="1"/>
    <s v="Indonesia"/>
    <s v="TJL - JPP"/>
    <x v="0"/>
  </r>
  <r>
    <s v="CLICTRUCK-046487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488"/>
    <s v="domestic"/>
    <x v="126"/>
    <x v="11"/>
    <n v="14987891"/>
    <n v="5550"/>
    <d v="2023-04-07T00:00:00"/>
    <s v="UNPAID"/>
    <x v="11"/>
    <n v="249547"/>
    <n v="1"/>
    <s v="Indonesia"/>
    <s v="TJL - JPP"/>
    <x v="0"/>
  </r>
  <r>
    <s v="CLICTRUCK-046489"/>
    <s v="domestic"/>
    <x v="126"/>
    <x v="11"/>
    <n v="24925320"/>
    <n v="5550"/>
    <d v="2023-04-07T00:00:00"/>
    <s v="UNPAID"/>
    <x v="11"/>
    <n v="415005"/>
    <n v="1"/>
    <s v="Indonesia"/>
    <s v="TJL - JPP"/>
    <x v="0"/>
  </r>
  <r>
    <s v="CLICTRUCK-046490"/>
    <s v="domestic"/>
    <x v="126"/>
    <x v="11"/>
    <n v="24007500"/>
    <n v="5550"/>
    <d v="2023-04-07T00:00:00"/>
    <s v="UNPAID"/>
    <x v="11"/>
    <n v="399724"/>
    <n v="1"/>
    <s v="Indonesia"/>
    <s v="TJL - JPP"/>
    <x v="0"/>
  </r>
  <r>
    <s v="CLICTRUCK-046491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492"/>
    <s v="domestic"/>
    <x v="126"/>
    <x v="25"/>
    <n v="1680000"/>
    <n v="27750"/>
    <d v="2023-03-30T00:00:00"/>
    <s v="PAID"/>
    <x v="28"/>
    <n v="74592"/>
    <n v="1"/>
    <s v="Indonesia"/>
    <s v="SAJB - SEP"/>
    <x v="0"/>
  </r>
  <r>
    <s v="CLICTRUCK-046493"/>
    <s v="domestic"/>
    <x v="126"/>
    <x v="25"/>
    <n v="1680000"/>
    <n v="27750"/>
    <d v="2023-03-30T00:00:00"/>
    <s v="PAID"/>
    <x v="28"/>
    <n v="74592"/>
    <n v="1"/>
    <s v="Indonesia"/>
    <s v="SAJB - SEP"/>
    <x v="0"/>
  </r>
  <r>
    <s v="CLICTRUCK-046494"/>
    <s v="domestic"/>
    <x v="126"/>
    <x v="25"/>
    <n v="2195000"/>
    <n v="27750"/>
    <d v="2023-03-30T00:00:00"/>
    <s v="PAID"/>
    <x v="28"/>
    <n v="97458"/>
    <n v="1"/>
    <s v="Indonesia"/>
    <s v="SAJB - SEP"/>
    <x v="0"/>
  </r>
  <r>
    <s v="CLICTRUCK-046496"/>
    <s v="domestic"/>
    <x v="126"/>
    <x v="25"/>
    <n v="2510000"/>
    <n v="27750"/>
    <d v="2023-03-30T00:00:00"/>
    <s v="PAID"/>
    <x v="28"/>
    <n v="111444"/>
    <n v="1"/>
    <s v="Indonesia"/>
    <s v="SAJB - SEP"/>
    <x v="0"/>
  </r>
  <r>
    <s v="CLICTRUCK-046497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498"/>
    <s v="domestic"/>
    <x v="126"/>
    <x v="25"/>
    <n v="2195000"/>
    <n v="27750"/>
    <d v="2023-03-30T00:00:00"/>
    <s v="PAID"/>
    <x v="28"/>
    <n v="97458"/>
    <n v="1"/>
    <s v="Indonesia"/>
    <s v="SAJB - SEP"/>
    <x v="0"/>
  </r>
  <r>
    <s v="CLICTRUCK-046499"/>
    <s v="domestic"/>
    <x v="126"/>
    <x v="25"/>
    <n v="2195000"/>
    <n v="27750"/>
    <d v="2023-03-30T00:00:00"/>
    <s v="PAID"/>
    <x v="28"/>
    <n v="97458"/>
    <n v="1"/>
    <s v="Indonesia"/>
    <s v="SAJB - SEP"/>
    <x v="0"/>
  </r>
  <r>
    <s v="CLICTRUCK-046500"/>
    <s v="domestic"/>
    <x v="126"/>
    <x v="25"/>
    <n v="2510000"/>
    <n v="27750"/>
    <d v="2023-03-30T00:00:00"/>
    <s v="PAID"/>
    <x v="28"/>
    <n v="111444"/>
    <n v="1"/>
    <s v="Indonesia"/>
    <s v="SAJB - SEP"/>
    <x v="0"/>
  </r>
  <r>
    <s v="CLICTRUCK-046501"/>
    <s v="domestic"/>
    <x v="126"/>
    <x v="25"/>
    <n v="1950000"/>
    <n v="27750"/>
    <d v="2023-03-30T00:00:00"/>
    <s v="PAID"/>
    <x v="28"/>
    <n v="86580"/>
    <n v="1"/>
    <s v="Indonesia"/>
    <s v="SAJB - SEP"/>
    <x v="0"/>
  </r>
  <r>
    <s v="CLICTRUCK-046502"/>
    <s v="domestic"/>
    <x v="126"/>
    <x v="25"/>
    <n v="2510000"/>
    <n v="27750"/>
    <d v="2023-03-30T00:00:00"/>
    <s v="PAID"/>
    <x v="28"/>
    <n v="111444"/>
    <n v="1"/>
    <s v="Indonesia"/>
    <s v="SAJB - SEP"/>
    <x v="0"/>
  </r>
  <r>
    <s v="CLICTRUCK-046503"/>
    <s v="domestic"/>
    <x v="126"/>
    <x v="25"/>
    <n v="1950000"/>
    <n v="27750"/>
    <d v="2023-03-30T00:00:00"/>
    <s v="PAID"/>
    <x v="28"/>
    <n v="86580"/>
    <n v="1"/>
    <s v="Indonesia"/>
    <s v="SAJB - SEP"/>
    <x v="0"/>
  </r>
  <r>
    <s v="CLICTRUCK-046504"/>
    <s v="domestic"/>
    <x v="126"/>
    <x v="25"/>
    <n v="1950000"/>
    <n v="27750"/>
    <d v="2023-03-30T00:00:00"/>
    <s v="PAID"/>
    <x v="28"/>
    <n v="86580"/>
    <n v="1"/>
    <s v="Indonesia"/>
    <s v="SAJB - SEP"/>
    <x v="0"/>
  </r>
  <r>
    <s v="CLICTRUCK-046506"/>
    <s v="domestic"/>
    <x v="126"/>
    <x v="25"/>
    <n v="864000"/>
    <n v="27750"/>
    <d v="2023-03-30T00:00:00"/>
    <s v="PAID"/>
    <x v="28"/>
    <n v="38361"/>
    <n v="1"/>
    <s v="Indonesia"/>
    <s v="SAJB - SEP"/>
    <x v="0"/>
  </r>
  <r>
    <s v="CLICTRUCK-046507"/>
    <s v="domestic"/>
    <x v="126"/>
    <x v="25"/>
    <n v="864000"/>
    <n v="27750"/>
    <d v="2023-03-30T00:00:00"/>
    <s v="PAID"/>
    <x v="28"/>
    <n v="38361"/>
    <n v="1"/>
    <s v="Indonesia"/>
    <s v="SAJB - SEP"/>
    <x v="0"/>
  </r>
  <r>
    <s v="CLICTRUCK-046508"/>
    <s v="domestic"/>
    <x v="126"/>
    <x v="25"/>
    <n v="2510000"/>
    <n v="27750"/>
    <d v="2023-03-30T00:00:00"/>
    <s v="PAID"/>
    <x v="28"/>
    <n v="111444"/>
    <n v="1"/>
    <s v="Indonesia"/>
    <s v="SAJB - SEP"/>
    <x v="0"/>
  </r>
  <r>
    <s v="CLICTRUCK-046509"/>
    <s v="domestic"/>
    <x v="126"/>
    <x v="25"/>
    <n v="1840000"/>
    <n v="27750"/>
    <d v="2023-03-30T00:00:00"/>
    <s v="PAID"/>
    <x v="28"/>
    <n v="81696"/>
    <n v="1"/>
    <s v="Indonesia"/>
    <s v="SAJB - SEP"/>
    <x v="0"/>
  </r>
  <r>
    <s v="CLICTRUCK-046510"/>
    <s v="domestic"/>
    <x v="126"/>
    <x v="25"/>
    <n v="1840000"/>
    <n v="27750"/>
    <d v="2023-03-30T00:00:00"/>
    <s v="PAID"/>
    <x v="28"/>
    <n v="81696"/>
    <n v="1"/>
    <s v="Indonesia"/>
    <s v="SAJB - SEP"/>
    <x v="0"/>
  </r>
  <r>
    <s v="CLICTRUCK-046511"/>
    <s v="domestic"/>
    <x v="126"/>
    <x v="25"/>
    <n v="2510000"/>
    <n v="27750"/>
    <d v="2023-03-30T00:00:00"/>
    <s v="PAID"/>
    <x v="28"/>
    <n v="111444"/>
    <n v="1"/>
    <s v="Indonesia"/>
    <s v="SAJB - SEP"/>
    <x v="0"/>
  </r>
  <r>
    <s v="CLICTRUCK-046512"/>
    <s v="domestic"/>
    <x v="126"/>
    <x v="25"/>
    <n v="2510000"/>
    <n v="27750"/>
    <d v="2023-03-30T00:00:00"/>
    <s v="PAID"/>
    <x v="28"/>
    <n v="111444"/>
    <n v="1"/>
    <s v="Indonesia"/>
    <s v="SAJB - SEP"/>
    <x v="0"/>
  </r>
  <r>
    <s v="CLICTRUCK-046514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515"/>
    <s v="domestic"/>
    <x v="126"/>
    <x v="25"/>
    <n v="1905000"/>
    <n v="27750"/>
    <d v="2023-03-30T00:00:00"/>
    <s v="PAID"/>
    <x v="28"/>
    <n v="84582"/>
    <n v="1"/>
    <s v="Indonesia"/>
    <s v="SAJB - SEP"/>
    <x v="0"/>
  </r>
  <r>
    <s v="CLICTRUCK-046516"/>
    <s v="domestic"/>
    <x v="126"/>
    <x v="25"/>
    <n v="2510000"/>
    <n v="27750"/>
    <d v="2023-03-30T00:00:00"/>
    <s v="PAID"/>
    <x v="28"/>
    <n v="111444"/>
    <n v="1"/>
    <s v="Indonesia"/>
    <s v="SAJB - SEP"/>
    <x v="0"/>
  </r>
  <r>
    <s v="CLICTRUCK-046518"/>
    <s v="domestic"/>
    <x v="126"/>
    <x v="9"/>
    <n v="340060"/>
    <n v="24975"/>
    <d v="2023-04-12T00:00:00"/>
    <s v="UNPAID"/>
    <x v="9"/>
    <n v="11323"/>
    <n v="1"/>
    <s v="Indonesia"/>
    <s v="YSN-SSA"/>
    <x v="0"/>
  </r>
  <r>
    <s v="CLICTRUCK-046523"/>
    <s v="domestic"/>
    <x v="126"/>
    <x v="11"/>
    <n v="5293450"/>
    <n v="5550"/>
    <d v="2023-03-31T00:00:00"/>
    <s v="UNPAID"/>
    <x v="11"/>
    <n v="88135"/>
    <n v="1"/>
    <s v="Indonesia"/>
    <s v="TJL - JPP"/>
    <x v="0"/>
  </r>
  <r>
    <s v="CLICTRUCK-046524"/>
    <s v="domestic"/>
    <x v="126"/>
    <x v="11"/>
    <n v="5293450"/>
    <n v="5550"/>
    <d v="2023-03-31T00:00:00"/>
    <s v="UNPAID"/>
    <x v="11"/>
    <n v="88135"/>
    <n v="1"/>
    <s v="Indonesia"/>
    <s v="TJL - JPP"/>
    <x v="0"/>
  </r>
  <r>
    <s v="CLICTRUCK-046525"/>
    <s v="domestic"/>
    <x v="126"/>
    <x v="11"/>
    <n v="5293450"/>
    <n v="5550"/>
    <d v="2023-03-31T00:00:00"/>
    <s v="UNPAID"/>
    <x v="11"/>
    <n v="88135"/>
    <n v="1"/>
    <s v="Indonesia"/>
    <s v="TJL - JPP"/>
    <x v="0"/>
  </r>
  <r>
    <s v="CLICTRUCK-046526"/>
    <s v="domestic"/>
    <x v="126"/>
    <x v="11"/>
    <n v="6549825"/>
    <n v="5550"/>
    <d v="2023-03-31T00:00:00"/>
    <s v="UNPAID"/>
    <x v="11"/>
    <n v="109054"/>
    <n v="1"/>
    <s v="Indonesia"/>
    <s v="TJL - JPP"/>
    <x v="0"/>
  </r>
  <r>
    <s v="CLICTRUCK-046531"/>
    <s v="domestic"/>
    <x v="126"/>
    <x v="11"/>
    <n v="13541825"/>
    <n v="5550"/>
    <d v="2023-03-31T00:00:00"/>
    <s v="UNPAID"/>
    <x v="11"/>
    <n v="225470"/>
    <n v="1"/>
    <s v="Indonesia"/>
    <s v="TJL - JPP"/>
    <x v="0"/>
  </r>
  <r>
    <s v="CLICTRUCK-046534"/>
    <s v="domestic"/>
    <x v="126"/>
    <x v="11"/>
    <n v="6549825"/>
    <n v="5550"/>
    <d v="2023-03-31T00:00:00"/>
    <s v="UNPAID"/>
    <x v="11"/>
    <n v="109054"/>
    <n v="1"/>
    <s v="Indonesia"/>
    <s v="TJL - JPP"/>
    <x v="0"/>
  </r>
  <r>
    <s v="CLICTRUCK-046545"/>
    <s v="domestic"/>
    <x v="126"/>
    <x v="11"/>
    <n v="2220000"/>
    <n v="5550"/>
    <d v="2023-04-07T00:00:00"/>
    <s v="UNPAID"/>
    <x v="11"/>
    <n v="36963"/>
    <n v="1"/>
    <s v="Indonesia"/>
    <s v="TJL - JPP"/>
    <x v="0"/>
  </r>
  <r>
    <s v="CLICTRUCK-046546"/>
    <s v="domestic"/>
    <x v="126"/>
    <x v="11"/>
    <n v="964538"/>
    <n v="5550"/>
    <d v="2023-03-31T00:00:00"/>
    <s v="UNPAID"/>
    <x v="11"/>
    <n v="16059"/>
    <n v="1"/>
    <s v="Indonesia"/>
    <s v="TJL - JPP"/>
    <x v="0"/>
  </r>
  <r>
    <s v="CLICTRUCK-046547"/>
    <s v="domestic"/>
    <x v="126"/>
    <x v="11"/>
    <n v="906023"/>
    <n v="5550"/>
    <d v="2023-03-31T00:00:00"/>
    <s v="UNPAID"/>
    <x v="11"/>
    <n v="15084"/>
    <n v="1"/>
    <s v="Indonesia"/>
    <s v="TJL - JPP"/>
    <x v="0"/>
  </r>
  <r>
    <s v="CLICTRUCK-046548"/>
    <s v="domestic"/>
    <x v="126"/>
    <x v="11"/>
    <n v="900000"/>
    <n v="5550"/>
    <d v="2023-04-07T00:00:00"/>
    <s v="UNPAID"/>
    <x v="11"/>
    <n v="14985"/>
    <n v="1"/>
    <s v="Indonesia"/>
    <s v="TJL - JPP"/>
    <x v="0"/>
  </r>
  <r>
    <s v="CLICTRUCK-046549"/>
    <s v="domestic"/>
    <x v="126"/>
    <x v="11"/>
    <n v="19292908"/>
    <n v="5550"/>
    <d v="2023-04-07T00:00:00"/>
    <s v="UNPAID"/>
    <x v="11"/>
    <n v="321226"/>
    <n v="1"/>
    <s v="Indonesia"/>
    <s v="TJL - JPP"/>
    <x v="0"/>
  </r>
  <r>
    <s v="CLICTRUCK-046550"/>
    <s v="domestic"/>
    <x v="126"/>
    <x v="11"/>
    <n v="19094962"/>
    <n v="5550"/>
    <d v="2023-03-31T00:00:00"/>
    <s v="UNPAID"/>
    <x v="11"/>
    <n v="317930"/>
    <n v="1"/>
    <s v="Indonesia"/>
    <s v="TJL - JPP"/>
    <x v="0"/>
  </r>
  <r>
    <s v="CLICTRUCK-046551"/>
    <s v="domestic"/>
    <x v="126"/>
    <x v="11"/>
    <n v="17454438"/>
    <n v="5550"/>
    <d v="2023-04-07T00:00:00"/>
    <s v="UNPAID"/>
    <x v="11"/>
    <n v="290615"/>
    <n v="1"/>
    <s v="Indonesia"/>
    <s v="TJL - JPP"/>
    <x v="0"/>
  </r>
  <r>
    <s v="CLICTRUCK-046552"/>
    <s v="domestic"/>
    <x v="126"/>
    <x v="11"/>
    <n v="17353056"/>
    <n v="5550"/>
    <d v="2023-04-07T00:00:00"/>
    <s v="UNPAID"/>
    <x v="11"/>
    <n v="288927"/>
    <n v="1"/>
    <s v="Indonesia"/>
    <s v="TJL - JPP"/>
    <x v="0"/>
  </r>
  <r>
    <s v="CLICTRUCK-046553"/>
    <s v="domestic"/>
    <x v="126"/>
    <x v="11"/>
    <n v="27823000"/>
    <n v="5550"/>
    <d v="2023-04-07T00:00:00"/>
    <s v="UNPAID"/>
    <x v="11"/>
    <n v="463252"/>
    <n v="1"/>
    <s v="Indonesia"/>
    <s v="TJL - JPP"/>
    <x v="0"/>
  </r>
  <r>
    <s v="CLICTRUCK-046554"/>
    <s v="domestic"/>
    <x v="126"/>
    <x v="11"/>
    <n v="23856000"/>
    <n v="5550"/>
    <d v="2023-04-07T00:00:00"/>
    <s v="UNPAID"/>
    <x v="11"/>
    <n v="397202"/>
    <n v="1"/>
    <s v="Indonesia"/>
    <s v="TJL - JPP"/>
    <x v="0"/>
  </r>
  <r>
    <s v="CLICTRUCK-046555"/>
    <s v="domestic"/>
    <x v="126"/>
    <x v="11"/>
    <n v="25964403"/>
    <n v="5550"/>
    <d v="2023-04-07T00:00:00"/>
    <s v="UNPAID"/>
    <x v="11"/>
    <n v="432307"/>
    <n v="1"/>
    <s v="Indonesia"/>
    <s v="TJL - JPP"/>
    <x v="0"/>
  </r>
  <r>
    <s v="CLICTRUCK-046556"/>
    <s v="domestic"/>
    <x v="126"/>
    <x v="9"/>
    <n v="274890"/>
    <n v="24975"/>
    <d v="2023-04-13T00:00:00"/>
    <s v="UNPAID"/>
    <x v="9"/>
    <n v="9153"/>
    <n v="1"/>
    <s v="Indonesia"/>
    <s v="YSN-SSA"/>
    <x v="0"/>
  </r>
  <r>
    <s v="CLICTRUCK-046564"/>
    <s v="domestic"/>
    <x v="126"/>
    <x v="11"/>
    <n v="5300000"/>
    <n v="5550"/>
    <d v="2023-04-07T00:00:00"/>
    <s v="UNPAID"/>
    <x v="11"/>
    <n v="88245"/>
    <n v="1"/>
    <s v="Indonesia"/>
    <s v="TJL - JPP"/>
    <x v="0"/>
  </r>
  <r>
    <s v="CLICTRUCK-046565"/>
    <s v="domestic"/>
    <x v="126"/>
    <x v="11"/>
    <n v="5300000"/>
    <n v="5550"/>
    <d v="2023-04-07T00:00:00"/>
    <s v="UNPAID"/>
    <x v="11"/>
    <n v="88245"/>
    <n v="1"/>
    <s v="Indonesia"/>
    <s v="TJL - JPP"/>
    <x v="0"/>
  </r>
  <r>
    <s v="CLICTRUCK-046566"/>
    <s v="domestic"/>
    <x v="126"/>
    <x v="11"/>
    <n v="5300000"/>
    <n v="5550"/>
    <d v="2023-04-07T00:00:00"/>
    <s v="UNPAID"/>
    <x v="11"/>
    <n v="88245"/>
    <n v="1"/>
    <s v="Indonesia"/>
    <s v="TJL - JPP"/>
    <x v="0"/>
  </r>
  <r>
    <s v="CLICTRUCK-046567"/>
    <s v="domestic"/>
    <x v="126"/>
    <x v="11"/>
    <n v="5300000"/>
    <n v="5550"/>
    <d v="2023-04-07T00:00:00"/>
    <s v="UNPAID"/>
    <x v="11"/>
    <n v="88245"/>
    <n v="1"/>
    <s v="Indonesia"/>
    <s v="TJL - JPP"/>
    <x v="0"/>
  </r>
  <r>
    <s v="CLICTRUCK-046568"/>
    <s v="domestic"/>
    <x v="126"/>
    <x v="11"/>
    <n v="5300000"/>
    <n v="5550"/>
    <d v="2023-04-07T00:00:00"/>
    <s v="UNPAID"/>
    <x v="11"/>
    <n v="88245"/>
    <n v="1"/>
    <s v="Indonesia"/>
    <s v="TJL - JPP"/>
    <x v="0"/>
  </r>
  <r>
    <s v="CLICTRUCK-046569"/>
    <s v="domestic"/>
    <x v="126"/>
    <x v="11"/>
    <n v="5300000"/>
    <n v="5550"/>
    <d v="2023-04-07T00:00:00"/>
    <s v="UNPAID"/>
    <x v="11"/>
    <n v="88245"/>
    <n v="1"/>
    <s v="Indonesia"/>
    <s v="TJL - JPP"/>
    <x v="0"/>
  </r>
  <r>
    <s v="CLICTRUCK-046570"/>
    <s v="domestic"/>
    <x v="126"/>
    <x v="11"/>
    <n v="3000000"/>
    <n v="5550"/>
    <d v="2023-04-07T00:00:00"/>
    <s v="UNPAID"/>
    <x v="11"/>
    <n v="49950"/>
    <n v="1"/>
    <s v="Indonesia"/>
    <s v="TJL - JPP"/>
    <x v="0"/>
  </r>
  <r>
    <s v="CLICTRUCK-046571"/>
    <s v="domestic"/>
    <x v="72"/>
    <x v="28"/>
    <n v="24000000"/>
    <n v="25000"/>
    <m/>
    <s v="DELIVERED"/>
    <x v="31"/>
    <n v="0"/>
    <n v="1"/>
    <s v="Indonesia"/>
    <s v="TSM - DGS"/>
    <x v="1"/>
  </r>
  <r>
    <s v="CLICTRUCK-046579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80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82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84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85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86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87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88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89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90"/>
    <s v="domestic"/>
    <x v="72"/>
    <x v="6"/>
    <n v="8500000"/>
    <n v="27750"/>
    <d v="2023-04-02T00:00:00"/>
    <s v="PAID"/>
    <x v="5"/>
    <n v="377400"/>
    <n v="1"/>
    <s v="Indonesia"/>
    <s v="DSB - PLG"/>
    <x v="0"/>
  </r>
  <r>
    <s v="CLICTRUCK-046598"/>
    <s v="domestic"/>
    <x v="73"/>
    <x v="12"/>
    <n v="10500000"/>
    <n v="27750"/>
    <d v="2023-04-02T00:00:00"/>
    <s v="UNPAID"/>
    <x v="13"/>
    <n v="291375"/>
    <n v="1"/>
    <s v="Indonesia"/>
    <s v="RPL - NBM"/>
    <x v="0"/>
  </r>
  <r>
    <s v="CLICTRUCK-046600"/>
    <s v="domestic"/>
    <x v="73"/>
    <x v="12"/>
    <n v="13500000"/>
    <n v="27750"/>
    <d v="2023-04-02T00:00:00"/>
    <s v="UNPAID"/>
    <x v="13"/>
    <n v="374625"/>
    <n v="1"/>
    <s v="Indonesia"/>
    <s v="RPL - NBM"/>
    <x v="0"/>
  </r>
  <r>
    <s v="CLICTRUCK-046601"/>
    <s v="domestic"/>
    <x v="73"/>
    <x v="12"/>
    <n v="10500000"/>
    <n v="27750"/>
    <d v="2023-04-02T00:00:00"/>
    <s v="UNPAID"/>
    <x v="13"/>
    <n v="291375"/>
    <n v="1"/>
    <s v="Indonesia"/>
    <s v="RPL - NBM"/>
    <x v="0"/>
  </r>
  <r>
    <s v="CLICTRUCK-046602"/>
    <s v="domestic"/>
    <x v="73"/>
    <x v="12"/>
    <n v="9000000"/>
    <n v="27750"/>
    <d v="2023-04-02T00:00:00"/>
    <s v="UNPAID"/>
    <x v="13"/>
    <n v="249750"/>
    <n v="1"/>
    <s v="Indonesia"/>
    <s v="RPL - NBM"/>
    <x v="0"/>
  </r>
  <r>
    <s v="CLICTRUCK-046603"/>
    <s v="domestic"/>
    <x v="73"/>
    <x v="12"/>
    <n v="13500000"/>
    <n v="27750"/>
    <d v="2023-04-02T00:00:00"/>
    <s v="UNPAID"/>
    <x v="13"/>
    <n v="374625"/>
    <n v="1"/>
    <s v="Indonesia"/>
    <s v="RPL - NBM"/>
    <x v="0"/>
  </r>
  <r>
    <s v="CLICTRUCK-046604"/>
    <s v="domestic"/>
    <x v="73"/>
    <x v="25"/>
    <n v="8125000"/>
    <n v="27750"/>
    <d v="2023-04-01T00:00:00"/>
    <s v="PAID"/>
    <x v="28"/>
    <n v="360750"/>
    <n v="1"/>
    <s v="Indonesia"/>
    <s v="SAJB - SEP"/>
    <x v="0"/>
  </r>
  <r>
    <s v="CLICTRUCK-046605"/>
    <s v="domestic"/>
    <x v="73"/>
    <x v="25"/>
    <n v="1150000"/>
    <n v="27750"/>
    <d v="2023-04-01T00:00:00"/>
    <s v="PAID"/>
    <x v="28"/>
    <n v="51060"/>
    <n v="1"/>
    <s v="Indonesia"/>
    <s v="SAJB - SEP"/>
    <x v="0"/>
  </r>
  <r>
    <s v="CLICTRUCK-046606"/>
    <s v="domestic"/>
    <x v="73"/>
    <x v="25"/>
    <n v="3275000"/>
    <n v="27750"/>
    <d v="2023-04-01T00:00:00"/>
    <s v="PAID"/>
    <x v="28"/>
    <n v="145410"/>
    <n v="1"/>
    <s v="Indonesia"/>
    <s v="SAJB - SEP"/>
    <x v="0"/>
  </r>
  <r>
    <s v="CLICTRUCK-046607"/>
    <s v="domestic"/>
    <x v="73"/>
    <x v="25"/>
    <n v="3275000"/>
    <n v="27750"/>
    <d v="2023-04-01T00:00:00"/>
    <s v="PAID"/>
    <x v="28"/>
    <n v="145410"/>
    <n v="1"/>
    <s v="Indonesia"/>
    <s v="SAJB - SEP"/>
    <x v="0"/>
  </r>
  <r>
    <s v="CLICTRUCK-046608"/>
    <s v="domestic"/>
    <x v="73"/>
    <x v="25"/>
    <n v="1150000"/>
    <n v="27750"/>
    <d v="2023-04-01T00:00:00"/>
    <s v="PAID"/>
    <x v="28"/>
    <n v="51060"/>
    <n v="1"/>
    <s v="Indonesia"/>
    <s v="SAJB - SEP"/>
    <x v="0"/>
  </r>
  <r>
    <s v="CLICTRUCK-046609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10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11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12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13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14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15"/>
    <s v="domestic"/>
    <x v="73"/>
    <x v="25"/>
    <n v="2315000"/>
    <n v="27750"/>
    <d v="2023-04-01T00:00:00"/>
    <s v="PAID"/>
    <x v="28"/>
    <n v="102786"/>
    <n v="1"/>
    <s v="Indonesia"/>
    <s v="SAJB - SEP"/>
    <x v="0"/>
  </r>
  <r>
    <s v="CLICTRUCK-046616"/>
    <s v="domestic"/>
    <x v="73"/>
    <x v="25"/>
    <n v="3425000"/>
    <n v="27750"/>
    <d v="2023-04-01T00:00:00"/>
    <s v="PAID"/>
    <x v="28"/>
    <n v="152070"/>
    <n v="1"/>
    <s v="Indonesia"/>
    <s v="SAJB - SEP"/>
    <x v="0"/>
  </r>
  <r>
    <s v="CLICTRUCK-046617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18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19"/>
    <s v="domestic"/>
    <x v="73"/>
    <x v="25"/>
    <n v="2410000"/>
    <n v="27750"/>
    <d v="2023-04-01T00:00:00"/>
    <s v="PAID"/>
    <x v="28"/>
    <n v="107004"/>
    <n v="1"/>
    <s v="Indonesia"/>
    <s v="SAJB - SEP"/>
    <x v="0"/>
  </r>
  <r>
    <s v="CLICTRUCK-046620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21"/>
    <s v="domestic"/>
    <x v="73"/>
    <x v="25"/>
    <n v="2510000"/>
    <n v="27750"/>
    <d v="2023-04-01T00:00:00"/>
    <s v="PAID"/>
    <x v="28"/>
    <n v="111444"/>
    <n v="1"/>
    <s v="Indonesia"/>
    <s v="SAJB - SEP"/>
    <x v="0"/>
  </r>
  <r>
    <s v="CLICTRUCK-046622"/>
    <s v="domestic"/>
    <x v="73"/>
    <x v="25"/>
    <n v="3275000"/>
    <n v="27750"/>
    <d v="2023-04-01T00:00:00"/>
    <s v="PAID"/>
    <x v="28"/>
    <n v="145410"/>
    <n v="1"/>
    <s v="Indonesia"/>
    <s v="SAJB - SEP"/>
    <x v="0"/>
  </r>
  <r>
    <s v="CLICTRUCK-046623"/>
    <s v="domestic"/>
    <x v="73"/>
    <x v="25"/>
    <n v="2760000"/>
    <n v="27750"/>
    <d v="2023-04-01T00:00:00"/>
    <s v="PAID"/>
    <x v="28"/>
    <n v="122544"/>
    <n v="1"/>
    <s v="Indonesia"/>
    <s v="SAJB - SEP"/>
    <x v="0"/>
  </r>
  <r>
    <s v="CLICTRUCK-046624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25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26"/>
    <s v="domestic"/>
    <x v="73"/>
    <x v="25"/>
    <n v="1905000"/>
    <n v="27750"/>
    <d v="2023-04-01T00:00:00"/>
    <s v="PAID"/>
    <x v="28"/>
    <n v="84582"/>
    <n v="1"/>
    <s v="Indonesia"/>
    <s v="SAJB - SEP"/>
    <x v="0"/>
  </r>
  <r>
    <s v="CLICTRUCK-046628"/>
    <s v="domestic"/>
    <x v="73"/>
    <x v="10"/>
    <n v="1180039"/>
    <n v="22200"/>
    <d v="2023-05-20T00:00:00"/>
    <s v="UNPAID"/>
    <x v="10"/>
    <n v="52393"/>
    <n v="1"/>
    <s v="Indonesia"/>
    <s v="ZLog-ZENSHIN"/>
    <x v="0"/>
  </r>
  <r>
    <s v="CLICTRUCK-046629"/>
    <s v="domestic"/>
    <x v="73"/>
    <x v="10"/>
    <n v="3368652"/>
    <n v="22200"/>
    <d v="2023-04-08T00:00:00"/>
    <s v="UNPAID"/>
    <x v="10"/>
    <n v="149568"/>
    <n v="1"/>
    <s v="Indonesia"/>
    <s v="ZLog-ZENSHIN"/>
    <x v="0"/>
  </r>
  <r>
    <s v="CLICTRUCK-046630"/>
    <s v="domestic"/>
    <x v="73"/>
    <x v="10"/>
    <n v="2709177"/>
    <n v="22200"/>
    <d v="2023-04-08T00:00:00"/>
    <s v="UNPAID"/>
    <x v="10"/>
    <n v="120287"/>
    <n v="1"/>
    <s v="Indonesia"/>
    <s v="ZLog-ZENSHIN"/>
    <x v="0"/>
  </r>
  <r>
    <s v="CLICTRUCK-046631"/>
    <s v="domestic"/>
    <x v="73"/>
    <x v="10"/>
    <n v="3260475"/>
    <n v="22200"/>
    <d v="2023-04-08T00:00:00"/>
    <s v="UNPAID"/>
    <x v="10"/>
    <n v="144765"/>
    <n v="1"/>
    <s v="Indonesia"/>
    <s v="ZLog-ZENSHIN"/>
    <x v="0"/>
  </r>
  <r>
    <s v="CLICTRUCK-046632"/>
    <s v="domestic"/>
    <x v="73"/>
    <x v="10"/>
    <n v="4347806"/>
    <n v="22200"/>
    <d v="2023-04-08T00:00:00"/>
    <s v="UNPAID"/>
    <x v="10"/>
    <n v="193042"/>
    <n v="1"/>
    <s v="Indonesia"/>
    <s v="ZLog-ZENSHIN"/>
    <x v="0"/>
  </r>
  <r>
    <s v="CLICTRUCK-046633"/>
    <s v="domestic"/>
    <x v="73"/>
    <x v="10"/>
    <n v="3485928"/>
    <n v="22200"/>
    <d v="2023-04-08T00:00:00"/>
    <s v="UNPAID"/>
    <x v="10"/>
    <n v="154775"/>
    <n v="1"/>
    <s v="Indonesia"/>
    <s v="ZLog-ZENSHIN"/>
    <x v="0"/>
  </r>
  <r>
    <s v="CLICTRUCK-046634"/>
    <s v="domestic"/>
    <x v="73"/>
    <x v="10"/>
    <n v="1160000"/>
    <n v="22200"/>
    <d v="2023-05-20T00:00:00"/>
    <s v="UNPAID"/>
    <x v="10"/>
    <n v="51504"/>
    <n v="1"/>
    <s v="Indonesia"/>
    <s v="ZLog-ZENSHIN"/>
    <x v="0"/>
  </r>
  <r>
    <s v="CLICTRUCK-046635"/>
    <s v="domestic"/>
    <x v="73"/>
    <x v="10"/>
    <n v="3184650"/>
    <n v="22200"/>
    <d v="2023-05-20T00:00:00"/>
    <s v="UNPAID"/>
    <x v="10"/>
    <n v="141398"/>
    <n v="1"/>
    <s v="Indonesia"/>
    <s v="ZLog-ZENSHIN"/>
    <x v="0"/>
  </r>
  <r>
    <s v="CLICTRUCK-046636"/>
    <s v="domestic"/>
    <x v="73"/>
    <x v="12"/>
    <n v="4000000"/>
    <n v="27750"/>
    <d v="2023-04-02T00:00:00"/>
    <s v="UNPAID"/>
    <x v="13"/>
    <n v="111000"/>
    <n v="1"/>
    <s v="Indonesia"/>
    <s v="RPL - NBM"/>
    <x v="0"/>
  </r>
  <r>
    <s v="CLICTRUCK-046637"/>
    <s v="domestic"/>
    <x v="73"/>
    <x v="12"/>
    <n v="4000000"/>
    <n v="27750"/>
    <d v="2023-04-02T00:00:00"/>
    <s v="UNPAID"/>
    <x v="13"/>
    <n v="111000"/>
    <n v="1"/>
    <s v="Indonesia"/>
    <s v="RPL - NBM"/>
    <x v="0"/>
  </r>
  <r>
    <s v="CLICTRUCK-046638"/>
    <s v="domestic"/>
    <x v="73"/>
    <x v="12"/>
    <n v="4000000"/>
    <n v="27750"/>
    <d v="2023-04-02T00:00:00"/>
    <s v="UNPAID"/>
    <x v="13"/>
    <n v="111000"/>
    <n v="1"/>
    <s v="Indonesia"/>
    <s v="RPL - NBM"/>
    <x v="0"/>
  </r>
  <r>
    <s v="CLICTRUCK-046639"/>
    <s v="domestic"/>
    <x v="74"/>
    <x v="10"/>
    <n v="2240000"/>
    <n v="20000"/>
    <m/>
    <s v="DELIVERED"/>
    <x v="10"/>
    <n v="0"/>
    <n v="1"/>
    <s v="Indonesia"/>
    <s v="ZLog-ZENSHIN"/>
    <x v="1"/>
  </r>
  <r>
    <s v="CLICTRUCK-046660"/>
    <s v="domestic"/>
    <x v="75"/>
    <x v="24"/>
    <n v="3500000"/>
    <n v="27750"/>
    <d v="2023-04-08T00:00:00"/>
    <s v="UNPAID"/>
    <x v="27"/>
    <n v="213675"/>
    <n v="1"/>
    <s v="Indonesia"/>
    <s v="LST - TJA"/>
    <x v="0"/>
  </r>
  <r>
    <s v="CLICTRUCK-046661"/>
    <s v="domestic"/>
    <x v="75"/>
    <x v="24"/>
    <n v="3500000"/>
    <n v="27750"/>
    <d v="2023-04-08T00:00:00"/>
    <s v="UNPAID"/>
    <x v="27"/>
    <n v="213675"/>
    <n v="1"/>
    <s v="Indonesia"/>
    <s v="LST - TJA"/>
    <x v="0"/>
  </r>
  <r>
    <s v="CLICTRUCK-046662"/>
    <s v="domestic"/>
    <x v="75"/>
    <x v="24"/>
    <n v="3500000"/>
    <n v="27750"/>
    <d v="2023-04-08T00:00:00"/>
    <s v="UNPAID"/>
    <x v="27"/>
    <n v="213675"/>
    <n v="1"/>
    <s v="Indonesia"/>
    <s v="LST - TJA"/>
    <x v="0"/>
  </r>
  <r>
    <s v="CLICTRUCK-046663"/>
    <s v="domestic"/>
    <x v="75"/>
    <x v="24"/>
    <n v="3500000"/>
    <n v="27750"/>
    <d v="2023-04-08T00:00:00"/>
    <s v="UNPAID"/>
    <x v="27"/>
    <n v="213675"/>
    <n v="1"/>
    <s v="Indonesia"/>
    <s v="LST - TJA"/>
    <x v="0"/>
  </r>
  <r>
    <s v="CLICTRUCK-046664"/>
    <s v="domestic"/>
    <x v="75"/>
    <x v="24"/>
    <n v="3500000"/>
    <n v="27750"/>
    <d v="2023-04-08T00:00:00"/>
    <s v="UNPAID"/>
    <x v="27"/>
    <n v="213675"/>
    <n v="1"/>
    <s v="Indonesia"/>
    <s v="LST - TJA"/>
    <x v="0"/>
  </r>
  <r>
    <s v="CLICTRUCK-046665"/>
    <s v="domestic"/>
    <x v="75"/>
    <x v="24"/>
    <n v="3500000"/>
    <n v="27750"/>
    <d v="2023-04-08T00:00:00"/>
    <s v="UNPAID"/>
    <x v="27"/>
    <n v="213675"/>
    <n v="1"/>
    <s v="Indonesia"/>
    <s v="LST - TJA"/>
    <x v="0"/>
  </r>
  <r>
    <s v="CLICTRUCK-046666"/>
    <s v="domestic"/>
    <x v="75"/>
    <x v="29"/>
    <n v="7557000"/>
    <n v="22200"/>
    <d v="2023-04-03T00:00:00"/>
    <s v="PAID"/>
    <x v="32"/>
    <n v="226483"/>
    <n v="1"/>
    <s v="Indonesia"/>
    <s v="JMT - JST"/>
    <x v="0"/>
  </r>
  <r>
    <s v="CLICTRUCK-046669"/>
    <s v="domestic"/>
    <x v="75"/>
    <x v="24"/>
    <n v="3500000"/>
    <n v="27750"/>
    <d v="2023-04-08T00:00:00"/>
    <s v="UNPAID"/>
    <x v="27"/>
    <n v="213675"/>
    <n v="1"/>
    <s v="Indonesia"/>
    <s v="LST - TJA"/>
    <x v="0"/>
  </r>
  <r>
    <s v="CLICTRUCK-046676"/>
    <s v="domestic"/>
    <x v="75"/>
    <x v="9"/>
    <n v="399350"/>
    <n v="24975"/>
    <d v="2023-04-27T00:00:00"/>
    <s v="UNPAID"/>
    <x v="9"/>
    <n v="13297"/>
    <n v="1"/>
    <s v="Indonesia"/>
    <s v="YSN-SSA"/>
    <x v="0"/>
  </r>
  <r>
    <s v="CLICTRUCK-046677"/>
    <s v="domestic"/>
    <x v="75"/>
    <x v="9"/>
    <n v="0"/>
    <n v="22500"/>
    <m/>
    <s v="NEW"/>
    <x v="26"/>
    <n v="0"/>
    <n v="2"/>
    <s v="Indonesia"/>
    <s v="YSN-PPR"/>
    <x v="1"/>
  </r>
  <r>
    <s v="CLICTRUCK-046678"/>
    <s v="domestic"/>
    <x v="75"/>
    <x v="30"/>
    <n v="290875000"/>
    <n v="27750"/>
    <d v="2023-04-04T00:00:00"/>
    <s v="PAID"/>
    <x v="33"/>
    <n v="12914850"/>
    <n v="1"/>
    <s v="Indonesia"/>
    <s v="RDD - RED"/>
    <x v="0"/>
  </r>
  <r>
    <s v="CLICTRUCK-046679"/>
    <s v="domestic"/>
    <x v="75"/>
    <x v="9"/>
    <n v="352000"/>
    <n v="22500"/>
    <m/>
    <s v="NEW"/>
    <x v="26"/>
    <n v="0"/>
    <n v="1"/>
    <s v="Indonesia"/>
    <s v="YSN-PPR"/>
    <x v="1"/>
  </r>
  <r>
    <s v="CLICTRUCK-046680"/>
    <s v="domestic"/>
    <x v="75"/>
    <x v="9"/>
    <n v="304290"/>
    <n v="49950"/>
    <d v="2023-05-03T00:00:00"/>
    <s v="UNPAID"/>
    <x v="9"/>
    <n v="10132"/>
    <n v="2"/>
    <s v="Indonesia"/>
    <s v="YSN-SSA"/>
    <x v="0"/>
  </r>
  <r>
    <s v="CLICTRUCK-046681"/>
    <s v="domestic"/>
    <x v="75"/>
    <x v="9"/>
    <n v="207000"/>
    <n v="22500"/>
    <m/>
    <s v="NEW"/>
    <x v="26"/>
    <n v="0"/>
    <n v="1"/>
    <s v="Indonesia"/>
    <s v="YSN-PPR"/>
    <x v="1"/>
  </r>
  <r>
    <s v="CLICTRUCK-046682"/>
    <s v="domestic"/>
    <x v="75"/>
    <x v="9"/>
    <n v="207000"/>
    <n v="22500"/>
    <m/>
    <s v="NEW"/>
    <x v="26"/>
    <n v="0"/>
    <n v="1"/>
    <s v="Indonesia"/>
    <s v="YSN-PPR"/>
    <x v="1"/>
  </r>
  <r>
    <s v="CLICTRUCK-046683"/>
    <s v="domestic"/>
    <x v="75"/>
    <x v="9"/>
    <n v="340060"/>
    <n v="24975"/>
    <d v="2023-04-27T00:00:00"/>
    <s v="UNPAID"/>
    <x v="9"/>
    <n v="11323"/>
    <n v="1"/>
    <s v="Indonesia"/>
    <s v="YSN-SSA"/>
    <x v="0"/>
  </r>
  <r>
    <s v="CLICTRUCK-046684"/>
    <s v="domestic"/>
    <x v="75"/>
    <x v="9"/>
    <n v="340060"/>
    <n v="24975"/>
    <d v="2023-04-27T00:00:00"/>
    <s v="UNPAID"/>
    <x v="9"/>
    <n v="11323"/>
    <n v="1"/>
    <s v="Indonesia"/>
    <s v="YSN-SSA"/>
    <x v="0"/>
  </r>
  <r>
    <s v="CLICTRUCK-046685"/>
    <s v="domestic"/>
    <x v="75"/>
    <x v="9"/>
    <n v="609000"/>
    <n v="22500"/>
    <m/>
    <s v="NEW"/>
    <x v="26"/>
    <n v="0"/>
    <n v="1"/>
    <s v="Indonesia"/>
    <s v="YSN-PPR"/>
    <x v="1"/>
  </r>
  <r>
    <s v="CLICTRUCK-046686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87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88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89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0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1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2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3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4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5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6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7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8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699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0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1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2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3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4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5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6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7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8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09"/>
    <s v="domestic"/>
    <x v="76"/>
    <x v="9"/>
    <n v="1464500"/>
    <n v="22500"/>
    <m/>
    <s v="PENDING APPROVAL"/>
    <x v="34"/>
    <n v="0"/>
    <n v="1"/>
    <s v="Indonesia"/>
    <s v="YSN - PPT"/>
    <x v="1"/>
  </r>
  <r>
    <s v="CLICTRUCK-046710"/>
    <s v="domestic"/>
    <x v="76"/>
    <x v="9"/>
    <n v="1464500"/>
    <n v="22500"/>
    <m/>
    <s v="PENDING APPROVAL"/>
    <x v="34"/>
    <n v="0"/>
    <n v="1"/>
    <s v="Indonesia"/>
    <s v="YSN - PPT"/>
    <x v="1"/>
  </r>
  <r>
    <s v="CLICTRUCK-046711"/>
    <s v="domestic"/>
    <x v="76"/>
    <x v="9"/>
    <n v="2800000"/>
    <n v="22500"/>
    <m/>
    <s v="PENDING APPROVAL"/>
    <x v="34"/>
    <n v="0"/>
    <n v="1"/>
    <s v="Indonesia"/>
    <s v="YSN - PPT"/>
    <x v="1"/>
  </r>
  <r>
    <s v="CLICTRUCK-046712"/>
    <s v="domestic"/>
    <x v="76"/>
    <x v="9"/>
    <n v="298400"/>
    <n v="22500"/>
    <m/>
    <s v="PENDING APPROVAL"/>
    <x v="34"/>
    <n v="0"/>
    <n v="1"/>
    <s v="Indonesia"/>
    <s v="YSN - PPT"/>
    <x v="1"/>
  </r>
  <r>
    <s v="CLICTRUCK-046713"/>
    <s v="domestic"/>
    <x v="76"/>
    <x v="9"/>
    <n v="328300"/>
    <n v="22500"/>
    <m/>
    <s v="PENDING APPROVAL"/>
    <x v="34"/>
    <n v="0"/>
    <n v="1"/>
    <s v="Indonesia"/>
    <s v="YSN - PPT"/>
    <x v="1"/>
  </r>
  <r>
    <s v="CLICTRUCK-046714"/>
    <s v="domestic"/>
    <x v="76"/>
    <x v="9"/>
    <n v="298400"/>
    <n v="22500"/>
    <m/>
    <s v="PENDING APPROVAL"/>
    <x v="34"/>
    <n v="0"/>
    <n v="1"/>
    <s v="Indonesia"/>
    <s v="YSN - PPT"/>
    <x v="1"/>
  </r>
  <r>
    <s v="CLICTRUCK-046715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16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17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18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19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20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21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22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23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24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25"/>
    <s v="domestic"/>
    <x v="76"/>
    <x v="24"/>
    <n v="3555500"/>
    <n v="25000"/>
    <m/>
    <s v="PENDING APPROVAL"/>
    <x v="27"/>
    <n v="0"/>
    <n v="1"/>
    <s v="Indonesia"/>
    <s v="LST - TJA"/>
    <x v="1"/>
  </r>
  <r>
    <s v="CLICTRUCK-046726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27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28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29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0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1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2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3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4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5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6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7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8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39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40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41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42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43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44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45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46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47"/>
    <s v="domestic"/>
    <x v="76"/>
    <x v="24"/>
    <n v="3500000"/>
    <n v="27750"/>
    <d v="2023-04-08T00:00:00"/>
    <s v="UNPAID"/>
    <x v="27"/>
    <n v="213675"/>
    <n v="1"/>
    <s v="Indonesia"/>
    <s v="LST - TJA"/>
    <x v="0"/>
  </r>
  <r>
    <s v="CLICTRUCK-046748"/>
    <s v="domestic"/>
    <x v="76"/>
    <x v="27"/>
    <n v="14985000"/>
    <n v="25000"/>
    <d v="2023-04-05T00:00:00"/>
    <s v="PAID"/>
    <x v="30"/>
    <n v="332667"/>
    <n v="1"/>
    <s v="Indonesia"/>
    <s v="RWJ - TWT"/>
    <x v="0"/>
  </r>
  <r>
    <s v="CLICTRUCK-046749"/>
    <s v="domestic"/>
    <x v="76"/>
    <x v="26"/>
    <n v="4450000"/>
    <n v="172882"/>
    <d v="2023-04-10T00:00:00"/>
    <s v="UNPAID"/>
    <x v="29"/>
    <n v="27750"/>
    <n v="1"/>
    <s v="Indonesia"/>
    <s v="NTL - ASA"/>
    <x v="0"/>
  </r>
  <r>
    <s v="CLICTRUCK-046750"/>
    <s v="domestic"/>
    <x v="76"/>
    <x v="26"/>
    <n v="4450000"/>
    <n v="172882"/>
    <d v="2023-04-10T00:00:00"/>
    <s v="UNPAID"/>
    <x v="29"/>
    <n v="27750"/>
    <n v="1"/>
    <s v="Indonesia"/>
    <s v="NTL - ASA"/>
    <x v="0"/>
  </r>
  <r>
    <s v="CLICTRUCK-046751"/>
    <s v="domestic"/>
    <x v="76"/>
    <x v="26"/>
    <n v="4450000"/>
    <n v="172882"/>
    <d v="2023-04-10T00:00:00"/>
    <s v="UNPAID"/>
    <x v="29"/>
    <n v="27750"/>
    <n v="1"/>
    <s v="Indonesia"/>
    <s v="NTL - ASA"/>
    <x v="0"/>
  </r>
  <r>
    <s v="CLICTRUCK-046752"/>
    <s v="domestic"/>
    <x v="76"/>
    <x v="26"/>
    <n v="4450000"/>
    <n v="172882"/>
    <d v="2023-04-10T00:00:00"/>
    <s v="UNPAID"/>
    <x v="29"/>
    <n v="27750"/>
    <n v="1"/>
    <s v="Indonesia"/>
    <s v="NTL - ASA"/>
    <x v="0"/>
  </r>
  <r>
    <s v="CLICTRUCK-046753"/>
    <s v="domestic"/>
    <x v="76"/>
    <x v="26"/>
    <n v="8000000"/>
    <n v="310800"/>
    <d v="2023-04-10T00:00:00"/>
    <s v="UNPAID"/>
    <x v="29"/>
    <n v="27750"/>
    <n v="1"/>
    <s v="Indonesia"/>
    <s v="NTL - ASA"/>
    <x v="0"/>
  </r>
  <r>
    <s v="CLICTRUCK-046754"/>
    <s v="domestic"/>
    <x v="76"/>
    <x v="26"/>
    <n v="7900000"/>
    <n v="306915"/>
    <d v="2023-04-10T00:00:00"/>
    <s v="UNPAID"/>
    <x v="29"/>
    <n v="27750"/>
    <n v="1"/>
    <s v="Indonesia"/>
    <s v="NTL - ASA"/>
    <x v="0"/>
  </r>
  <r>
    <s v="CLICTRUCK-046755"/>
    <s v="domestic"/>
    <x v="76"/>
    <x v="26"/>
    <n v="7900000"/>
    <n v="306915"/>
    <d v="2023-04-10T00:00:00"/>
    <s v="UNPAID"/>
    <x v="29"/>
    <n v="27750"/>
    <n v="1"/>
    <s v="Indonesia"/>
    <s v="NTL - ASA"/>
    <x v="0"/>
  </r>
  <r>
    <s v="CLICTRUCK-046756"/>
    <s v="domestic"/>
    <x v="76"/>
    <x v="26"/>
    <n v="7900000"/>
    <n v="306915"/>
    <d v="2023-04-10T00:00:00"/>
    <s v="UNPAID"/>
    <x v="29"/>
    <n v="27750"/>
    <n v="1"/>
    <s v="Indonesia"/>
    <s v="NTL - ASA"/>
    <x v="0"/>
  </r>
  <r>
    <s v="CLICTRUCK-046757"/>
    <s v="domestic"/>
    <x v="76"/>
    <x v="26"/>
    <n v="7900000"/>
    <n v="306915"/>
    <d v="2023-04-10T00:00:00"/>
    <s v="UNPAID"/>
    <x v="29"/>
    <n v="27750"/>
    <n v="1"/>
    <s v="Indonesia"/>
    <s v="NTL - ASA"/>
    <x v="0"/>
  </r>
  <r>
    <s v="CLICTRUCK-046758"/>
    <s v="domestic"/>
    <x v="76"/>
    <x v="26"/>
    <n v="7900000"/>
    <n v="306915"/>
    <d v="2023-04-10T00:00:00"/>
    <s v="UNPAID"/>
    <x v="29"/>
    <n v="27750"/>
    <n v="1"/>
    <s v="Indonesia"/>
    <s v="NTL - ASA"/>
    <x v="0"/>
  </r>
  <r>
    <s v="CLICTRUCK-046759"/>
    <s v="domestic"/>
    <x v="76"/>
    <x v="26"/>
    <n v="8000000"/>
    <n v="310800"/>
    <d v="2023-04-10T00:00:00"/>
    <s v="UNPAID"/>
    <x v="29"/>
    <n v="27750"/>
    <n v="1"/>
    <s v="Indonesia"/>
    <s v="NTL - ASA"/>
    <x v="0"/>
  </r>
  <r>
    <s v="CLICTRUCK-046760"/>
    <s v="domestic"/>
    <x v="76"/>
    <x v="26"/>
    <n v="8000000"/>
    <n v="310800"/>
    <d v="2023-04-10T00:00:00"/>
    <s v="UNPAID"/>
    <x v="29"/>
    <n v="27750"/>
    <n v="1"/>
    <s v="Indonesia"/>
    <s v="NTL - ASA"/>
    <x v="0"/>
  </r>
  <r>
    <s v="CLICTRUCK-046761"/>
    <s v="domestic"/>
    <x v="76"/>
    <x v="26"/>
    <n v="8000000"/>
    <n v="310800"/>
    <d v="2023-04-10T00:00:00"/>
    <s v="UNPAID"/>
    <x v="29"/>
    <n v="27750"/>
    <n v="1"/>
    <s v="Indonesia"/>
    <s v="NTL - ASA"/>
    <x v="0"/>
  </r>
  <r>
    <s v="CLICTRUCK-046763"/>
    <s v="domestic"/>
    <x v="76"/>
    <x v="26"/>
    <n v="8000000"/>
    <n v="310800"/>
    <d v="2023-04-10T00:00:00"/>
    <s v="UNPAID"/>
    <x v="29"/>
    <n v="27750"/>
    <n v="1"/>
    <s v="Indonesia"/>
    <s v="NTL - ASA"/>
    <x v="0"/>
  </r>
  <r>
    <s v="CLICTRUCK-046764"/>
    <s v="domestic"/>
    <x v="76"/>
    <x v="26"/>
    <n v="8000000"/>
    <n v="310800"/>
    <d v="2023-04-10T00:00:00"/>
    <s v="UNPAID"/>
    <x v="29"/>
    <n v="27750"/>
    <n v="1"/>
    <s v="Indonesia"/>
    <s v="NTL - ASA"/>
    <x v="0"/>
  </r>
  <r>
    <s v="CLICTRUCK-046765"/>
    <s v="domestic"/>
    <x v="76"/>
    <x v="26"/>
    <n v="8000000"/>
    <n v="310800"/>
    <d v="2023-04-10T00:00:00"/>
    <s v="UNPAID"/>
    <x v="29"/>
    <n v="27750"/>
    <n v="1"/>
    <s v="Indonesia"/>
    <s v="NTL - ASA"/>
    <x v="0"/>
  </r>
  <r>
    <s v="CLICTRUCK-046766"/>
    <s v="domestic"/>
    <x v="76"/>
    <x v="26"/>
    <n v="7900000"/>
    <n v="306915"/>
    <d v="2023-04-10T00:00:00"/>
    <s v="PAID"/>
    <x v="29"/>
    <n v="27750"/>
    <n v="1"/>
    <s v="Indonesia"/>
    <s v="NTL - ASA"/>
    <x v="0"/>
  </r>
  <r>
    <s v="CLICTRUCK-046767"/>
    <s v="domestic"/>
    <x v="76"/>
    <x v="26"/>
    <n v="10000000"/>
    <n v="388500"/>
    <d v="2023-04-10T00:00:00"/>
    <s v="UNPAID"/>
    <x v="29"/>
    <n v="27750"/>
    <n v="1"/>
    <s v="Indonesia"/>
    <s v="NTL - ASA"/>
    <x v="0"/>
  </r>
  <r>
    <s v="CLICTRUCK-046768"/>
    <s v="domestic"/>
    <x v="76"/>
    <x v="26"/>
    <n v="10000000"/>
    <n v="388500"/>
    <d v="2023-04-10T00:00:00"/>
    <s v="UNPAID"/>
    <x v="29"/>
    <n v="27750"/>
    <n v="1"/>
    <s v="Indonesia"/>
    <s v="NTL - ASA"/>
    <x v="0"/>
  </r>
  <r>
    <s v="CLICTRUCK-046769"/>
    <s v="domestic"/>
    <x v="76"/>
    <x v="26"/>
    <n v="10000000"/>
    <n v="388500"/>
    <d v="2023-04-10T00:00:00"/>
    <s v="UNPAID"/>
    <x v="29"/>
    <n v="27750"/>
    <n v="1"/>
    <s v="Indonesia"/>
    <s v="NTL - ASA"/>
    <x v="0"/>
  </r>
  <r>
    <s v="CLICTRUCK-046770"/>
    <s v="domestic"/>
    <x v="76"/>
    <x v="26"/>
    <n v="10000000"/>
    <n v="388500"/>
    <d v="2023-04-10T00:00:00"/>
    <s v="UNPAID"/>
    <x v="29"/>
    <n v="27750"/>
    <n v="1"/>
    <s v="Indonesia"/>
    <s v="NTL - ASA"/>
    <x v="0"/>
  </r>
  <r>
    <s v="CLICTRUCK-046771"/>
    <s v="domestic"/>
    <x v="76"/>
    <x v="26"/>
    <n v="10000000"/>
    <n v="388500"/>
    <d v="2023-04-10T00:00:00"/>
    <s v="UNPAID"/>
    <x v="29"/>
    <n v="27750"/>
    <n v="1"/>
    <s v="Indonesia"/>
    <s v="NTL - ASA"/>
    <x v="0"/>
  </r>
  <r>
    <s v="CLICTRUCK-046772"/>
    <s v="domestic"/>
    <x v="76"/>
    <x v="26"/>
    <n v="10000000"/>
    <n v="388500"/>
    <d v="2023-04-10T00:00:00"/>
    <s v="UNPAID"/>
    <x v="29"/>
    <n v="27750"/>
    <n v="1"/>
    <s v="Indonesia"/>
    <s v="NTL - ASA"/>
    <x v="0"/>
  </r>
  <r>
    <s v="CLICTRUCK-046773"/>
    <s v="domestic"/>
    <x v="76"/>
    <x v="26"/>
    <n v="10000000"/>
    <n v="388500"/>
    <d v="2023-04-10T00:00:00"/>
    <s v="UNPAID"/>
    <x v="29"/>
    <n v="27750"/>
    <n v="1"/>
    <s v="Indonesia"/>
    <s v="NTL - ASA"/>
    <x v="0"/>
  </r>
  <r>
    <s v="CLICTRUCK-046774"/>
    <s v="domestic"/>
    <x v="76"/>
    <x v="26"/>
    <n v="10000000"/>
    <n v="388500"/>
    <d v="2023-04-10T00:00:00"/>
    <s v="UNPAID"/>
    <x v="29"/>
    <n v="27750"/>
    <n v="1"/>
    <s v="Indonesia"/>
    <s v="NTL - ASA"/>
    <x v="0"/>
  </r>
  <r>
    <s v="CLICTRUCK-046775"/>
    <s v="domestic"/>
    <x v="76"/>
    <x v="26"/>
    <n v="10000000"/>
    <n v="388500"/>
    <d v="2023-04-10T00:00:00"/>
    <s v="UNPAID"/>
    <x v="29"/>
    <n v="27750"/>
    <n v="1"/>
    <s v="Indonesia"/>
    <s v="NTL - ASA"/>
    <x v="0"/>
  </r>
  <r>
    <s v="CLICTRUCK-046776"/>
    <s v="domestic"/>
    <x v="76"/>
    <x v="26"/>
    <n v="12000000"/>
    <n v="466200"/>
    <d v="2023-04-10T00:00:00"/>
    <s v="UNPAID"/>
    <x v="29"/>
    <n v="27750"/>
    <n v="1"/>
    <s v="Indonesia"/>
    <s v="NTL - ASA"/>
    <x v="0"/>
  </r>
  <r>
    <s v="CLICTRUCK-046777"/>
    <s v="domestic"/>
    <x v="76"/>
    <x v="26"/>
    <n v="12000000"/>
    <n v="466200"/>
    <d v="2023-04-10T00:00:00"/>
    <s v="UNPAID"/>
    <x v="29"/>
    <n v="27750"/>
    <n v="1"/>
    <s v="Indonesia"/>
    <s v="NTL - ASA"/>
    <x v="0"/>
  </r>
  <r>
    <s v="CLICTRUCK-046778"/>
    <s v="domestic"/>
    <x v="76"/>
    <x v="26"/>
    <n v="12000000"/>
    <n v="466200"/>
    <d v="2023-04-10T00:00:00"/>
    <s v="UNPAID"/>
    <x v="29"/>
    <n v="27750"/>
    <n v="1"/>
    <s v="Indonesia"/>
    <s v="NTL - ASA"/>
    <x v="0"/>
  </r>
  <r>
    <s v="CLICTRUCK-046779"/>
    <s v="domestic"/>
    <x v="76"/>
    <x v="26"/>
    <n v="12000000"/>
    <n v="466200"/>
    <d v="2023-04-10T00:00:00"/>
    <s v="UNPAID"/>
    <x v="29"/>
    <n v="27750"/>
    <n v="1"/>
    <s v="Indonesia"/>
    <s v="NTL - ASA"/>
    <x v="0"/>
  </r>
  <r>
    <s v="CLICTRUCK-046781"/>
    <s v="domestic"/>
    <x v="76"/>
    <x v="27"/>
    <n v="14985000"/>
    <n v="25000"/>
    <d v="2023-04-05T00:00:00"/>
    <s v="PAID"/>
    <x v="30"/>
    <n v="332667"/>
    <n v="1"/>
    <s v="Indonesia"/>
    <s v="RWJ - TWT"/>
    <x v="0"/>
  </r>
  <r>
    <s v="CLICTRUCK-046786"/>
    <s v="domestic"/>
    <x v="77"/>
    <x v="31"/>
    <n v="15500000"/>
    <n v="645187"/>
    <d v="2023-04-13T00:00:00"/>
    <s v="PAID"/>
    <x v="35"/>
    <n v="27750"/>
    <n v="1"/>
    <s v="Indonesia"/>
    <s v="PLI - KTN"/>
    <x v="0"/>
  </r>
  <r>
    <s v="CLICTRUCK-046788"/>
    <s v="domestic"/>
    <x v="77"/>
    <x v="11"/>
    <n v="10111420"/>
    <n v="5550"/>
    <d v="2023-04-07T00:00:00"/>
    <s v="UNPAID"/>
    <x v="11"/>
    <n v="168354"/>
    <n v="1"/>
    <s v="Indonesia"/>
    <s v="TJL - JPP"/>
    <x v="0"/>
  </r>
  <r>
    <s v="CLICTRUCK-046790"/>
    <s v="domestic"/>
    <x v="77"/>
    <x v="11"/>
    <n v="6228630"/>
    <n v="5550"/>
    <d v="2023-04-07T00:00:00"/>
    <s v="UNPAID"/>
    <x v="11"/>
    <n v="103706"/>
    <n v="1"/>
    <s v="Indonesia"/>
    <s v="TJL - JPP"/>
    <x v="0"/>
  </r>
  <r>
    <s v="CLICTRUCK-046791"/>
    <s v="domestic"/>
    <x v="77"/>
    <x v="11"/>
    <n v="27323425"/>
    <n v="5550"/>
    <d v="2023-04-07T00:00:00"/>
    <s v="UNPAID"/>
    <x v="11"/>
    <n v="454934"/>
    <n v="1"/>
    <s v="Indonesia"/>
    <s v="TJL - JPP"/>
    <x v="0"/>
  </r>
  <r>
    <s v="CLICTRUCK-046794"/>
    <s v="domestic"/>
    <x v="77"/>
    <x v="11"/>
    <n v="5293450"/>
    <n v="5550"/>
    <d v="2023-04-07T00:00:00"/>
    <s v="UNPAID"/>
    <x v="11"/>
    <n v="88135"/>
    <n v="1"/>
    <s v="Indonesia"/>
    <s v="TJL - JPP"/>
    <x v="0"/>
  </r>
  <r>
    <s v="CLICTRUCK-046795"/>
    <s v="domestic"/>
    <x v="77"/>
    <x v="11"/>
    <n v="5293450"/>
    <n v="5550"/>
    <d v="2023-04-07T00:00:00"/>
    <s v="UNPAID"/>
    <x v="11"/>
    <n v="88135"/>
    <n v="1"/>
    <s v="Indonesia"/>
    <s v="TJL - JPP"/>
    <x v="0"/>
  </r>
  <r>
    <s v="CLICTRUCK-046796"/>
    <s v="domestic"/>
    <x v="77"/>
    <x v="11"/>
    <n v="5293450"/>
    <n v="5550"/>
    <d v="2023-04-07T00:00:00"/>
    <s v="UNPAID"/>
    <x v="11"/>
    <n v="88135"/>
    <n v="1"/>
    <s v="Indonesia"/>
    <s v="TJL - JPP"/>
    <x v="0"/>
  </r>
  <r>
    <s v="CLICTRUCK-046797"/>
    <s v="domestic"/>
    <x v="77"/>
    <x v="11"/>
    <n v="4475250"/>
    <n v="5550"/>
    <d v="2023-04-07T00:00:00"/>
    <s v="UNPAID"/>
    <x v="11"/>
    <n v="74512"/>
    <n v="1"/>
    <s v="Indonesia"/>
    <s v="TJL - JPP"/>
    <x v="0"/>
  </r>
  <r>
    <s v="CLICTRUCK-046798"/>
    <s v="domestic"/>
    <x v="77"/>
    <x v="11"/>
    <n v="5549310"/>
    <n v="5550"/>
    <d v="2023-04-07T00:00:00"/>
    <s v="UNPAID"/>
    <x v="11"/>
    <n v="92395"/>
    <n v="1"/>
    <s v="Indonesia"/>
    <s v="TJL - JPP"/>
    <x v="0"/>
  </r>
  <r>
    <s v="CLICTRUCK-046799"/>
    <s v="domestic"/>
    <x v="77"/>
    <x v="11"/>
    <n v="9991200"/>
    <n v="5550"/>
    <d v="2023-04-07T00:00:00"/>
    <s v="UNPAID"/>
    <x v="11"/>
    <n v="166353"/>
    <n v="1"/>
    <s v="Indonesia"/>
    <s v="TJL - JPP"/>
    <x v="0"/>
  </r>
  <r>
    <s v="CLICTRUCK-046801"/>
    <s v="domestic"/>
    <x v="77"/>
    <x v="11"/>
    <n v="11023900"/>
    <n v="5550"/>
    <d v="2023-04-07T00:00:00"/>
    <s v="UNPAID"/>
    <x v="11"/>
    <n v="183547"/>
    <n v="1"/>
    <s v="Indonesia"/>
    <s v="TJL - JPP"/>
    <x v="0"/>
  </r>
  <r>
    <s v="CLICTRUCK-046802"/>
    <s v="domestic"/>
    <x v="77"/>
    <x v="11"/>
    <n v="13541825"/>
    <n v="5550"/>
    <d v="2023-04-07T00:00:00"/>
    <s v="UNPAID"/>
    <x v="11"/>
    <n v="225470"/>
    <n v="1"/>
    <s v="Indonesia"/>
    <s v="TJL - JPP"/>
    <x v="0"/>
  </r>
  <r>
    <s v="CLICTRUCK-046803"/>
    <s v="domestic"/>
    <x v="77"/>
    <x v="11"/>
    <n v="13541825"/>
    <n v="5550"/>
    <d v="2023-04-07T00:00:00"/>
    <s v="UNPAID"/>
    <x v="11"/>
    <n v="225470"/>
    <n v="1"/>
    <s v="Indonesia"/>
    <s v="TJL - JPP"/>
    <x v="0"/>
  </r>
  <r>
    <s v="CLICTRUCK-046804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05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06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07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08"/>
    <s v="domestic"/>
    <x v="77"/>
    <x v="11"/>
    <n v="5293450"/>
    <n v="5550"/>
    <d v="2023-04-07T00:00:00"/>
    <s v="UNPAID"/>
    <x v="11"/>
    <n v="88135"/>
    <n v="1"/>
    <s v="Indonesia"/>
    <s v="TJL - JPP"/>
    <x v="0"/>
  </r>
  <r>
    <s v="CLICTRUCK-046809"/>
    <s v="domestic"/>
    <x v="77"/>
    <x v="11"/>
    <n v="5293450"/>
    <n v="5550"/>
    <d v="2023-04-07T00:00:00"/>
    <s v="UNPAID"/>
    <x v="11"/>
    <n v="88135"/>
    <n v="1"/>
    <s v="Indonesia"/>
    <s v="TJL - JPP"/>
    <x v="0"/>
  </r>
  <r>
    <s v="CLICTRUCK-046810"/>
    <s v="domestic"/>
    <x v="77"/>
    <x v="11"/>
    <n v="5293450"/>
    <n v="5550"/>
    <d v="2023-04-07T00:00:00"/>
    <s v="UNPAID"/>
    <x v="11"/>
    <n v="88135"/>
    <n v="1"/>
    <s v="Indonesia"/>
    <s v="TJL - JPP"/>
    <x v="0"/>
  </r>
  <r>
    <s v="CLICTRUCK-046813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14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15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16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17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18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19"/>
    <s v="domestic"/>
    <x v="77"/>
    <x v="11"/>
    <n v="5370300"/>
    <n v="5550"/>
    <d v="2023-04-07T00:00:00"/>
    <s v="UNPAID"/>
    <x v="11"/>
    <n v="89414"/>
    <n v="1"/>
    <s v="Indonesia"/>
    <s v="TJL - JPP"/>
    <x v="0"/>
  </r>
  <r>
    <s v="CLICTRUCK-046820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21"/>
    <s v="domestic"/>
    <x v="77"/>
    <x v="11"/>
    <n v="10877880"/>
    <n v="5550"/>
    <d v="2023-04-07T00:00:00"/>
    <s v="UNPAID"/>
    <x v="11"/>
    <n v="181116"/>
    <n v="1"/>
    <s v="Indonesia"/>
    <s v="TJL - JPP"/>
    <x v="0"/>
  </r>
  <r>
    <s v="CLICTRUCK-046822"/>
    <s v="domestic"/>
    <x v="77"/>
    <x v="27"/>
    <n v="14430000"/>
    <n v="25000"/>
    <d v="2023-04-05T00:00:00"/>
    <s v="PAID"/>
    <x v="30"/>
    <n v="320346"/>
    <n v="1"/>
    <s v="Indonesia"/>
    <s v="RWJ - TWT"/>
    <x v="0"/>
  </r>
  <r>
    <s v="CLICTRUCK-046823"/>
    <s v="domestic"/>
    <x v="77"/>
    <x v="27"/>
    <n v="14430000"/>
    <n v="25000"/>
    <d v="2023-04-05T00:00:00"/>
    <s v="PAID"/>
    <x v="30"/>
    <n v="320346"/>
    <n v="1"/>
    <s v="Indonesia"/>
    <s v="RWJ - TWT"/>
    <x v="0"/>
  </r>
  <r>
    <s v="CLICTRUCK-046824"/>
    <s v="domestic"/>
    <x v="77"/>
    <x v="27"/>
    <n v="14430000"/>
    <n v="25000"/>
    <d v="2023-04-05T00:00:00"/>
    <s v="PAID"/>
    <x v="30"/>
    <n v="320346"/>
    <n v="1"/>
    <s v="Indonesia"/>
    <s v="RWJ - TWT"/>
    <x v="0"/>
  </r>
  <r>
    <s v="CLICTRUCK-046825"/>
    <s v="domestic"/>
    <x v="77"/>
    <x v="27"/>
    <n v="14430000"/>
    <n v="25000"/>
    <d v="2023-04-05T00:00:00"/>
    <s v="PAID"/>
    <x v="30"/>
    <n v="320346"/>
    <n v="1"/>
    <s v="Indonesia"/>
    <s v="RWJ - TWT"/>
    <x v="0"/>
  </r>
  <r>
    <s v="CLICTRUCK-046826"/>
    <s v="domestic"/>
    <x v="77"/>
    <x v="27"/>
    <n v="14430000"/>
    <n v="25000"/>
    <d v="2023-04-05T00:00:00"/>
    <s v="PAID"/>
    <x v="30"/>
    <n v="320346"/>
    <n v="1"/>
    <s v="Indonesia"/>
    <s v="RWJ - TWT"/>
    <x v="0"/>
  </r>
  <r>
    <s v="CLICTRUCK-046827"/>
    <s v="domestic"/>
    <x v="77"/>
    <x v="27"/>
    <n v="14430000"/>
    <n v="25000"/>
    <d v="2023-04-05T00:00:00"/>
    <s v="PAID"/>
    <x v="30"/>
    <n v="320346"/>
    <n v="1"/>
    <s v="Indonesia"/>
    <s v="RWJ - TWT"/>
    <x v="0"/>
  </r>
  <r>
    <s v="CLICTRUCK-046828"/>
    <s v="domestic"/>
    <x v="77"/>
    <x v="11"/>
    <n v="780000"/>
    <n v="5550"/>
    <d v="2023-04-07T00:00:00"/>
    <s v="UNPAID"/>
    <x v="11"/>
    <n v="12987"/>
    <n v="1"/>
    <s v="Indonesia"/>
    <s v="TJL - JPP"/>
    <x v="0"/>
  </r>
  <r>
    <s v="CLICTRUCK-046829"/>
    <s v="domestic"/>
    <x v="77"/>
    <x v="11"/>
    <n v="1980000"/>
    <n v="5550"/>
    <d v="2023-04-07T00:00:00"/>
    <s v="UNPAID"/>
    <x v="11"/>
    <n v="32967"/>
    <n v="1"/>
    <s v="Indonesia"/>
    <s v="TJL - JPP"/>
    <x v="0"/>
  </r>
  <r>
    <s v="CLICTRUCK-046830"/>
    <s v="domestic"/>
    <x v="77"/>
    <x v="11"/>
    <n v="2750000"/>
    <n v="5550"/>
    <d v="2023-04-07T00:00:00"/>
    <s v="UNPAID"/>
    <x v="11"/>
    <n v="45787"/>
    <n v="1"/>
    <s v="Indonesia"/>
    <s v="TJL - JPP"/>
    <x v="0"/>
  </r>
  <r>
    <s v="CLICTRUCK-046832"/>
    <s v="domestic"/>
    <x v="77"/>
    <x v="11"/>
    <n v="6210000"/>
    <n v="5550"/>
    <d v="2023-04-07T00:00:00"/>
    <s v="UNPAID"/>
    <x v="11"/>
    <n v="103396"/>
    <n v="1"/>
    <s v="Indonesia"/>
    <s v="TJL - JPP"/>
    <x v="0"/>
  </r>
  <r>
    <s v="CLICTRUCK-046833"/>
    <s v="domestic"/>
    <x v="77"/>
    <x v="11"/>
    <n v="1100000"/>
    <n v="5550"/>
    <d v="2023-04-07T00:00:00"/>
    <s v="UNPAID"/>
    <x v="11"/>
    <n v="18315"/>
    <n v="1"/>
    <s v="Indonesia"/>
    <s v="TJL - JPP"/>
    <x v="0"/>
  </r>
  <r>
    <s v="CLICTRUCK-046834"/>
    <s v="domestic"/>
    <x v="77"/>
    <x v="11"/>
    <n v="660000"/>
    <n v="5550"/>
    <d v="2023-04-07T00:00:00"/>
    <s v="UNPAID"/>
    <x v="11"/>
    <n v="10989"/>
    <n v="1"/>
    <s v="Indonesia"/>
    <s v="TJL - JPP"/>
    <x v="0"/>
  </r>
  <r>
    <s v="CLICTRUCK-046835"/>
    <s v="domestic"/>
    <x v="77"/>
    <x v="11"/>
    <n v="1980000"/>
    <n v="5550"/>
    <d v="2023-04-07T00:00:00"/>
    <s v="UNPAID"/>
    <x v="11"/>
    <n v="32967"/>
    <n v="1"/>
    <s v="Indonesia"/>
    <s v="TJL - JPP"/>
    <x v="0"/>
  </r>
  <r>
    <s v="CLICTRUCK-046836"/>
    <s v="domestic"/>
    <x v="77"/>
    <x v="11"/>
    <n v="1210000"/>
    <n v="5550"/>
    <d v="2023-04-07T00:00:00"/>
    <s v="UNPAID"/>
    <x v="11"/>
    <n v="20146"/>
    <n v="1"/>
    <s v="Indonesia"/>
    <s v="TJL - JPP"/>
    <x v="0"/>
  </r>
  <r>
    <s v="CLICTRUCK-046837"/>
    <s v="domestic"/>
    <x v="77"/>
    <x v="11"/>
    <n v="12535000"/>
    <n v="5550"/>
    <d v="2023-04-07T00:00:00"/>
    <s v="UNPAID"/>
    <x v="11"/>
    <n v="208707"/>
    <n v="1"/>
    <s v="Indonesia"/>
    <s v="TJL - JPP"/>
    <x v="0"/>
  </r>
  <r>
    <s v="CLICTRUCK-046840"/>
    <s v="domestic"/>
    <x v="77"/>
    <x v="11"/>
    <n v="1093073"/>
    <n v="5550"/>
    <d v="2023-04-07T00:00:00"/>
    <s v="UNPAID"/>
    <x v="11"/>
    <n v="18199"/>
    <n v="1"/>
    <s v="Indonesia"/>
    <s v="TJL - JPP"/>
    <x v="0"/>
  </r>
  <r>
    <s v="CLICTRUCK-046841"/>
    <s v="domestic"/>
    <x v="77"/>
    <x v="11"/>
    <n v="1093073"/>
    <n v="5550"/>
    <d v="2023-04-07T00:00:00"/>
    <s v="UNPAID"/>
    <x v="11"/>
    <n v="18199"/>
    <n v="1"/>
    <s v="Indonesia"/>
    <s v="TJL - JPP"/>
    <x v="0"/>
  </r>
  <r>
    <s v="CLICTRUCK-046842"/>
    <s v="domestic"/>
    <x v="77"/>
    <x v="11"/>
    <n v="1093073"/>
    <n v="5550"/>
    <d v="2023-04-07T00:00:00"/>
    <s v="UNPAID"/>
    <x v="11"/>
    <n v="18199"/>
    <n v="1"/>
    <s v="Indonesia"/>
    <s v="TJL - JPP"/>
    <x v="0"/>
  </r>
  <r>
    <s v="CLICTRUCK-046843"/>
    <s v="domestic"/>
    <x v="77"/>
    <x v="11"/>
    <n v="1093073"/>
    <n v="5550"/>
    <d v="2023-04-07T00:00:00"/>
    <s v="UNPAID"/>
    <x v="11"/>
    <n v="18199"/>
    <n v="1"/>
    <s v="Indonesia"/>
    <s v="TJL - JPP"/>
    <x v="0"/>
  </r>
  <r>
    <s v="CLICTRUCK-046844"/>
    <s v="domestic"/>
    <x v="77"/>
    <x v="11"/>
    <n v="1031384"/>
    <n v="5550"/>
    <d v="2023-04-07T00:00:00"/>
    <s v="UNPAID"/>
    <x v="11"/>
    <n v="17171"/>
    <n v="1"/>
    <s v="Indonesia"/>
    <s v="TJL - JPP"/>
    <x v="0"/>
  </r>
  <r>
    <s v="CLICTRUCK-046845"/>
    <s v="domestic"/>
    <x v="77"/>
    <x v="11"/>
    <n v="1134198"/>
    <n v="5550"/>
    <d v="2023-04-07T00:00:00"/>
    <s v="UNPAID"/>
    <x v="11"/>
    <n v="18883"/>
    <n v="1"/>
    <s v="Indonesia"/>
    <s v="TJL - JPP"/>
    <x v="0"/>
  </r>
  <r>
    <s v="CLICTRUCK-046846"/>
    <s v="domestic"/>
    <x v="77"/>
    <x v="11"/>
    <n v="979436"/>
    <n v="5550"/>
    <d v="2023-04-07T00:00:00"/>
    <s v="UNPAID"/>
    <x v="11"/>
    <n v="16307"/>
    <n v="1"/>
    <s v="Indonesia"/>
    <s v="TJL - JPP"/>
    <x v="0"/>
  </r>
  <r>
    <s v="CLICTRUCK-046847"/>
    <s v="domestic"/>
    <x v="77"/>
    <x v="11"/>
    <n v="979436"/>
    <n v="5550"/>
    <d v="2023-04-07T00:00:00"/>
    <s v="UNPAID"/>
    <x v="11"/>
    <n v="16307"/>
    <n v="1"/>
    <s v="Indonesia"/>
    <s v="TJL - JPP"/>
    <x v="0"/>
  </r>
  <r>
    <s v="CLICTRUCK-046848"/>
    <s v="domestic"/>
    <x v="77"/>
    <x v="11"/>
    <n v="1134198"/>
    <n v="5550"/>
    <d v="2023-04-07T00:00:00"/>
    <s v="UNPAID"/>
    <x v="11"/>
    <n v="18883"/>
    <n v="1"/>
    <s v="Indonesia"/>
    <s v="TJL - JPP"/>
    <x v="0"/>
  </r>
  <r>
    <s v="CLICTRUCK-046849"/>
    <s v="domestic"/>
    <x v="77"/>
    <x v="11"/>
    <n v="1134198"/>
    <n v="5550"/>
    <d v="2023-04-07T00:00:00"/>
    <s v="UNPAID"/>
    <x v="11"/>
    <n v="18883"/>
    <n v="1"/>
    <s v="Indonesia"/>
    <s v="TJL - JPP"/>
    <x v="0"/>
  </r>
  <r>
    <s v="CLICTRUCK-046850"/>
    <s v="domestic"/>
    <x v="77"/>
    <x v="11"/>
    <n v="1443722"/>
    <n v="5550"/>
    <d v="2023-04-07T00:00:00"/>
    <s v="UNPAID"/>
    <x v="11"/>
    <n v="24037"/>
    <n v="1"/>
    <s v="Indonesia"/>
    <s v="TJL - JPP"/>
    <x v="0"/>
  </r>
  <r>
    <s v="CLICTRUCK-046851"/>
    <s v="domestic"/>
    <x v="77"/>
    <x v="11"/>
    <n v="979436"/>
    <n v="5550"/>
    <d v="2023-04-07T00:00:00"/>
    <s v="UNPAID"/>
    <x v="11"/>
    <n v="16307"/>
    <n v="1"/>
    <s v="Indonesia"/>
    <s v="TJL - JPP"/>
    <x v="0"/>
  </r>
  <r>
    <s v="CLICTRUCK-046852"/>
    <s v="domestic"/>
    <x v="77"/>
    <x v="11"/>
    <n v="1031384"/>
    <n v="5550"/>
    <d v="2023-04-07T00:00:00"/>
    <s v="UNPAID"/>
    <x v="11"/>
    <n v="17171"/>
    <n v="1"/>
    <s v="Indonesia"/>
    <s v="TJL - JPP"/>
    <x v="0"/>
  </r>
  <r>
    <s v="CLICTRUCK-046853"/>
    <s v="domestic"/>
    <x v="77"/>
    <x v="11"/>
    <n v="742496"/>
    <n v="5550"/>
    <d v="2023-04-07T00:00:00"/>
    <s v="UNPAID"/>
    <x v="11"/>
    <n v="12362"/>
    <n v="1"/>
    <s v="Indonesia"/>
    <s v="TJL - JPP"/>
    <x v="0"/>
  </r>
  <r>
    <s v="CLICTRUCK-046860"/>
    <s v="domestic"/>
    <x v="77"/>
    <x v="11"/>
    <n v="3452000"/>
    <n v="5550"/>
    <d v="2023-04-07T00:00:00"/>
    <s v="UNPAID"/>
    <x v="11"/>
    <n v="57475"/>
    <n v="1"/>
    <s v="Indonesia"/>
    <s v="TJL - JPP"/>
    <x v="0"/>
  </r>
  <r>
    <s v="CLICTRUCK-046861"/>
    <s v="domestic"/>
    <x v="77"/>
    <x v="11"/>
    <n v="5900000"/>
    <n v="5550"/>
    <d v="2023-04-07T00:00:00"/>
    <s v="UNPAID"/>
    <x v="11"/>
    <n v="98235"/>
    <n v="1"/>
    <s v="Indonesia"/>
    <s v="TJL - JPP"/>
    <x v="0"/>
  </r>
  <r>
    <s v="CLICTRUCK-046862"/>
    <s v="domestic"/>
    <x v="77"/>
    <x v="11"/>
    <n v="6232960"/>
    <n v="5550"/>
    <d v="2023-04-07T00:00:00"/>
    <s v="UNPAID"/>
    <x v="11"/>
    <n v="103778"/>
    <n v="1"/>
    <s v="Indonesia"/>
    <s v="TJL - JPP"/>
    <x v="0"/>
  </r>
  <r>
    <s v="CLICTRUCK-046864"/>
    <s v="domestic"/>
    <x v="77"/>
    <x v="11"/>
    <n v="5482587"/>
    <n v="5550"/>
    <d v="2023-04-07T00:00:00"/>
    <s v="UNPAID"/>
    <x v="11"/>
    <n v="91284"/>
    <n v="1"/>
    <s v="Indonesia"/>
    <s v="TJL - JPP"/>
    <x v="0"/>
  </r>
  <r>
    <s v="CLICTRUCK-046865"/>
    <s v="domestic"/>
    <x v="77"/>
    <x v="11"/>
    <n v="6210000"/>
    <n v="5550"/>
    <d v="2023-04-07T00:00:00"/>
    <s v="UNPAID"/>
    <x v="11"/>
    <n v="103396"/>
    <n v="1"/>
    <s v="Indonesia"/>
    <s v="TJL - JPP"/>
    <x v="0"/>
  </r>
  <r>
    <s v="CLICTRUCK-046867"/>
    <s v="domestic"/>
    <x v="77"/>
    <x v="11"/>
    <n v="7810255"/>
    <n v="5550"/>
    <d v="2023-04-07T00:00:00"/>
    <s v="UNPAID"/>
    <x v="11"/>
    <n v="130039"/>
    <n v="1"/>
    <s v="Indonesia"/>
    <s v="TJL - JPP"/>
    <x v="0"/>
  </r>
  <r>
    <s v="CLICTRUCK-046868"/>
    <s v="domestic"/>
    <x v="77"/>
    <x v="11"/>
    <n v="950000"/>
    <n v="5550"/>
    <d v="2023-04-07T00:00:00"/>
    <s v="UNPAID"/>
    <x v="11"/>
    <n v="15817"/>
    <n v="1"/>
    <s v="Indonesia"/>
    <s v="TJL - JPP"/>
    <x v="0"/>
  </r>
  <r>
    <s v="CLICTRUCK-046869"/>
    <s v="domestic"/>
    <x v="77"/>
    <x v="11"/>
    <n v="950000"/>
    <n v="5550"/>
    <d v="2023-04-07T00:00:00"/>
    <s v="UNPAID"/>
    <x v="11"/>
    <n v="15817"/>
    <n v="1"/>
    <s v="Indonesia"/>
    <s v="TJL - JPP"/>
    <x v="0"/>
  </r>
  <r>
    <s v="CLICTRUCK-046870"/>
    <s v="domestic"/>
    <x v="77"/>
    <x v="11"/>
    <n v="2738000"/>
    <n v="5550"/>
    <d v="2023-04-07T00:00:00"/>
    <s v="UNPAID"/>
    <x v="11"/>
    <n v="45587"/>
    <n v="1"/>
    <s v="Indonesia"/>
    <s v="TJL - JPP"/>
    <x v="0"/>
  </r>
  <r>
    <s v="CLICTRUCK-046871"/>
    <s v="domestic"/>
    <x v="77"/>
    <x v="11"/>
    <n v="3565000"/>
    <n v="5550"/>
    <d v="2023-04-07T00:00:00"/>
    <s v="UNPAID"/>
    <x v="11"/>
    <n v="59357"/>
    <n v="1"/>
    <s v="Indonesia"/>
    <s v="TJL - JPP"/>
    <x v="0"/>
  </r>
  <r>
    <s v="CLICTRUCK-046872"/>
    <s v="domestic"/>
    <x v="77"/>
    <x v="11"/>
    <n v="2738000"/>
    <n v="5550"/>
    <d v="2023-04-07T00:00:00"/>
    <s v="UNPAID"/>
    <x v="11"/>
    <n v="45587"/>
    <n v="1"/>
    <s v="Indonesia"/>
    <s v="TJL - JPP"/>
    <x v="0"/>
  </r>
  <r>
    <s v="CLICTRUCK-046873"/>
    <s v="domestic"/>
    <x v="77"/>
    <x v="11"/>
    <n v="8337301"/>
    <n v="5550"/>
    <d v="2023-04-07T00:00:00"/>
    <s v="UNPAID"/>
    <x v="11"/>
    <n v="138815"/>
    <n v="1"/>
    <s v="Indonesia"/>
    <s v="TJL - JPP"/>
    <x v="0"/>
  </r>
  <r>
    <s v="CLICTRUCK-046874"/>
    <s v="domestic"/>
    <x v="77"/>
    <x v="18"/>
    <n v="5600000"/>
    <n v="11100"/>
    <d v="2023-04-06T00:00:00"/>
    <s v="UNPAID"/>
    <x v="20"/>
    <n v="155400"/>
    <n v="1"/>
    <s v="Indonesia"/>
    <s v="CSN - PSL"/>
    <x v="0"/>
  </r>
  <r>
    <s v="CLICTRUCK-046875"/>
    <s v="domestic"/>
    <x v="77"/>
    <x v="18"/>
    <n v="5600000"/>
    <n v="11100"/>
    <d v="2023-04-06T00:00:00"/>
    <s v="UNPAID"/>
    <x v="20"/>
    <n v="155400"/>
    <n v="1"/>
    <s v="Indonesia"/>
    <s v="CSN - PSL"/>
    <x v="0"/>
  </r>
  <r>
    <s v="CLICTRUCK-046876"/>
    <s v="domestic"/>
    <x v="77"/>
    <x v="18"/>
    <n v="5600000"/>
    <n v="11100"/>
    <d v="2023-04-06T00:00:00"/>
    <s v="UNPAID"/>
    <x v="20"/>
    <n v="155400"/>
    <n v="1"/>
    <s v="Indonesia"/>
    <s v="CSN - PSL"/>
    <x v="0"/>
  </r>
  <r>
    <s v="CLICTRUCK-046877"/>
    <s v="domestic"/>
    <x v="77"/>
    <x v="18"/>
    <n v="6300000"/>
    <n v="11100"/>
    <d v="2023-04-06T00:00:00"/>
    <s v="UNPAID"/>
    <x v="20"/>
    <n v="174825"/>
    <n v="1"/>
    <s v="Indonesia"/>
    <s v="CSN - PSL"/>
    <x v="0"/>
  </r>
  <r>
    <s v="CLICTRUCK-046879"/>
    <s v="domestic"/>
    <x v="77"/>
    <x v="11"/>
    <n v="23097250"/>
    <n v="5550"/>
    <d v="2023-04-07T00:00:00"/>
    <s v="UNPAID"/>
    <x v="11"/>
    <n v="384568"/>
    <n v="1"/>
    <s v="Indonesia"/>
    <s v="TJL - JPP"/>
    <x v="0"/>
  </r>
  <r>
    <s v="CLICTRUCK-046882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83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84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85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86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87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88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89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90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92"/>
    <s v="domestic"/>
    <x v="77"/>
    <x v="11"/>
    <n v="9124920"/>
    <n v="5550"/>
    <d v="2023-04-07T00:00:00"/>
    <s v="UNPAID"/>
    <x v="11"/>
    <n v="151929"/>
    <n v="1"/>
    <s v="Indonesia"/>
    <s v="TJL - JPP"/>
    <x v="0"/>
  </r>
  <r>
    <s v="CLICTRUCK-046895"/>
    <s v="domestic"/>
    <x v="77"/>
    <x v="11"/>
    <n v="10318950"/>
    <n v="5550"/>
    <d v="2023-04-07T00:00:00"/>
    <s v="UNPAID"/>
    <x v="11"/>
    <n v="171810"/>
    <n v="1"/>
    <s v="Indonesia"/>
    <s v="TJL - JPP"/>
    <x v="0"/>
  </r>
  <r>
    <s v="CLICTRUCK-046896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897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98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899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900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901"/>
    <s v="domestic"/>
    <x v="77"/>
    <x v="11"/>
    <n v="21262235"/>
    <n v="5550"/>
    <d v="2023-04-07T00:00:00"/>
    <s v="UNPAID"/>
    <x v="11"/>
    <n v="354015"/>
    <n v="1"/>
    <s v="Indonesia"/>
    <s v="TJL - JPP"/>
    <x v="0"/>
  </r>
  <r>
    <s v="CLICTRUCK-046903"/>
    <s v="domestic"/>
    <x v="77"/>
    <x v="11"/>
    <n v="5293450"/>
    <n v="5550"/>
    <d v="2023-04-07T00:00:00"/>
    <s v="UNPAID"/>
    <x v="11"/>
    <n v="88135"/>
    <n v="1"/>
    <s v="Indonesia"/>
    <s v="TJL - JPP"/>
    <x v="0"/>
  </r>
  <r>
    <s v="CLICTRUCK-046905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907"/>
    <s v="domestic"/>
    <x v="77"/>
    <x v="11"/>
    <n v="28961140"/>
    <n v="5550"/>
    <d v="2023-04-07T00:00:00"/>
    <s v="UNPAID"/>
    <x v="11"/>
    <n v="482202"/>
    <n v="1"/>
    <s v="Indonesia"/>
    <s v="TJL - JPP"/>
    <x v="0"/>
  </r>
  <r>
    <s v="CLICTRUCK-046911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912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913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914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915"/>
    <s v="domestic"/>
    <x v="77"/>
    <x v="11"/>
    <n v="13541825"/>
    <n v="5550"/>
    <d v="2023-04-07T00:00:00"/>
    <s v="UNPAID"/>
    <x v="11"/>
    <n v="225470"/>
    <n v="1"/>
    <s v="Indonesia"/>
    <s v="TJL - JPP"/>
    <x v="0"/>
  </r>
  <r>
    <s v="CLICTRUCK-046916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917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918"/>
    <s v="domestic"/>
    <x v="77"/>
    <x v="11"/>
    <n v="5511950"/>
    <n v="5550"/>
    <d v="2023-04-07T00:00:00"/>
    <s v="UNPAID"/>
    <x v="11"/>
    <n v="91773"/>
    <n v="1"/>
    <s v="Indonesia"/>
    <s v="TJL - JPP"/>
    <x v="0"/>
  </r>
  <r>
    <s v="CLICTRUCK-046919"/>
    <s v="domestic"/>
    <x v="77"/>
    <x v="11"/>
    <n v="6549825"/>
    <n v="5550"/>
    <d v="2023-04-07T00:00:00"/>
    <s v="UNPAID"/>
    <x v="11"/>
    <n v="109054"/>
    <n v="1"/>
    <s v="Indonesia"/>
    <s v="TJL - JPP"/>
    <x v="0"/>
  </r>
  <r>
    <s v="CLICTRUCK-046920"/>
    <s v="domestic"/>
    <x v="77"/>
    <x v="11"/>
    <n v="5200000"/>
    <n v="5550"/>
    <d v="2023-04-07T00:00:00"/>
    <s v="UNPAID"/>
    <x v="11"/>
    <n v="86580"/>
    <n v="1"/>
    <s v="Indonesia"/>
    <s v="TJL - JPP"/>
    <x v="0"/>
  </r>
  <r>
    <s v="CLICTRUCK-046921"/>
    <s v="domestic"/>
    <x v="77"/>
    <x v="11"/>
    <n v="4200000"/>
    <n v="5550"/>
    <d v="2023-04-07T00:00:00"/>
    <s v="UNPAID"/>
    <x v="11"/>
    <n v="69930"/>
    <n v="1"/>
    <s v="Indonesia"/>
    <s v="TJL - JPP"/>
    <x v="0"/>
  </r>
  <r>
    <s v="CLICTRUCK-046922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23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24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25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27"/>
    <s v="domestic"/>
    <x v="77"/>
    <x v="11"/>
    <n v="4700000"/>
    <n v="5550"/>
    <d v="2023-04-07T00:00:00"/>
    <s v="UNPAID"/>
    <x v="11"/>
    <n v="78255"/>
    <n v="1"/>
    <s v="Indonesia"/>
    <s v="TJL - JPP"/>
    <x v="0"/>
  </r>
  <r>
    <s v="CLICTRUCK-046928"/>
    <s v="domestic"/>
    <x v="77"/>
    <x v="11"/>
    <n v="5200000"/>
    <n v="5550"/>
    <d v="2023-04-07T00:00:00"/>
    <s v="UNPAID"/>
    <x v="11"/>
    <n v="86580"/>
    <n v="1"/>
    <s v="Indonesia"/>
    <s v="TJL - JPP"/>
    <x v="0"/>
  </r>
  <r>
    <s v="CLICTRUCK-046929"/>
    <s v="domestic"/>
    <x v="77"/>
    <x v="11"/>
    <n v="4700000"/>
    <n v="5550"/>
    <d v="2023-04-07T00:00:00"/>
    <s v="UNPAID"/>
    <x v="11"/>
    <n v="78255"/>
    <n v="1"/>
    <s v="Indonesia"/>
    <s v="TJL - JPP"/>
    <x v="0"/>
  </r>
  <r>
    <s v="CLICTRUCK-046930"/>
    <s v="domestic"/>
    <x v="77"/>
    <x v="11"/>
    <n v="5200000"/>
    <n v="5550"/>
    <d v="2023-04-07T00:00:00"/>
    <s v="UNPAID"/>
    <x v="11"/>
    <n v="86580"/>
    <n v="1"/>
    <s v="Indonesia"/>
    <s v="TJL - JPP"/>
    <x v="0"/>
  </r>
  <r>
    <s v="CLICTRUCK-046931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33"/>
    <s v="domestic"/>
    <x v="77"/>
    <x v="11"/>
    <n v="4700000"/>
    <n v="5550"/>
    <d v="2023-04-07T00:00:00"/>
    <s v="UNPAID"/>
    <x v="11"/>
    <n v="78255"/>
    <n v="1"/>
    <s v="Indonesia"/>
    <s v="TJL - JPP"/>
    <x v="0"/>
  </r>
  <r>
    <s v="CLICTRUCK-046934"/>
    <s v="domestic"/>
    <x v="77"/>
    <x v="11"/>
    <n v="4700000"/>
    <n v="5550"/>
    <d v="2023-04-07T00:00:00"/>
    <s v="UNPAID"/>
    <x v="11"/>
    <n v="78255"/>
    <n v="1"/>
    <s v="Indonesia"/>
    <s v="TJL - JPP"/>
    <x v="0"/>
  </r>
  <r>
    <s v="CLICTRUCK-046935"/>
    <s v="domestic"/>
    <x v="77"/>
    <x v="11"/>
    <n v="4700000"/>
    <n v="5550"/>
    <d v="2023-04-07T00:00:00"/>
    <s v="UNPAID"/>
    <x v="11"/>
    <n v="78255"/>
    <n v="1"/>
    <s v="Indonesia"/>
    <s v="TJL - JPP"/>
    <x v="0"/>
  </r>
  <r>
    <s v="CLICTRUCK-046936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37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38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39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40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41"/>
    <s v="domestic"/>
    <x v="77"/>
    <x v="11"/>
    <n v="3600000"/>
    <n v="5550"/>
    <d v="2023-04-07T00:00:00"/>
    <s v="UNPAID"/>
    <x v="11"/>
    <n v="59940"/>
    <n v="1"/>
    <s v="Indonesia"/>
    <s v="TJL - JPP"/>
    <x v="0"/>
  </r>
  <r>
    <s v="CLICTRUCK-046942"/>
    <s v="domestic"/>
    <x v="77"/>
    <x v="11"/>
    <n v="2550000"/>
    <n v="5550"/>
    <d v="2023-04-07T00:00:00"/>
    <s v="UNPAID"/>
    <x v="11"/>
    <n v="42457"/>
    <n v="1"/>
    <s v="Indonesia"/>
    <s v="TJL - JPP"/>
    <x v="0"/>
  </r>
  <r>
    <s v="CLICTRUCK-046943"/>
    <s v="domestic"/>
    <x v="77"/>
    <x v="11"/>
    <n v="2550000"/>
    <n v="5550"/>
    <d v="2023-04-07T00:00:00"/>
    <s v="UNPAID"/>
    <x v="11"/>
    <n v="42457"/>
    <n v="1"/>
    <s v="Indonesia"/>
    <s v="TJL - JPP"/>
    <x v="0"/>
  </r>
  <r>
    <s v="CLICTRUCK-046944"/>
    <s v="domestic"/>
    <x v="77"/>
    <x v="11"/>
    <n v="4600000"/>
    <n v="5550"/>
    <d v="2023-04-07T00:00:00"/>
    <s v="UNPAID"/>
    <x v="11"/>
    <n v="76590"/>
    <n v="1"/>
    <s v="Indonesia"/>
    <s v="TJL - JPP"/>
    <x v="0"/>
  </r>
  <r>
    <s v="CLICTRUCK-046945"/>
    <s v="domestic"/>
    <x v="77"/>
    <x v="11"/>
    <n v="4600000"/>
    <n v="5550"/>
    <d v="2023-04-07T00:00:00"/>
    <s v="UNPAID"/>
    <x v="11"/>
    <n v="76590"/>
    <n v="1"/>
    <s v="Indonesia"/>
    <s v="TJL - JPP"/>
    <x v="0"/>
  </r>
  <r>
    <s v="CLICTRUCK-046946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47"/>
    <s v="domestic"/>
    <x v="77"/>
    <x v="11"/>
    <n v="4600000"/>
    <n v="5550"/>
    <d v="2023-04-07T00:00:00"/>
    <s v="UNPAID"/>
    <x v="11"/>
    <n v="76590"/>
    <n v="1"/>
    <s v="Indonesia"/>
    <s v="TJL - JPP"/>
    <x v="0"/>
  </r>
  <r>
    <s v="CLICTRUCK-046948"/>
    <s v="domestic"/>
    <x v="77"/>
    <x v="11"/>
    <n v="500000"/>
    <n v="5550"/>
    <d v="2023-04-07T00:00:00"/>
    <s v="UNPAID"/>
    <x v="11"/>
    <n v="8325"/>
    <n v="1"/>
    <s v="Indonesia"/>
    <s v="TJL - JPP"/>
    <x v="0"/>
  </r>
  <r>
    <s v="CLICTRUCK-046950"/>
    <s v="domestic"/>
    <x v="77"/>
    <x v="11"/>
    <n v="4700000"/>
    <n v="5550"/>
    <d v="2023-04-07T00:00:00"/>
    <s v="UNPAID"/>
    <x v="11"/>
    <n v="78255"/>
    <n v="1"/>
    <s v="Indonesia"/>
    <s v="TJL - JPP"/>
    <x v="0"/>
  </r>
  <r>
    <s v="CLICTRUCK-046951"/>
    <s v="domestic"/>
    <x v="77"/>
    <x v="11"/>
    <n v="4700000"/>
    <n v="5550"/>
    <d v="2023-04-07T00:00:00"/>
    <s v="UNPAID"/>
    <x v="11"/>
    <n v="78255"/>
    <n v="1"/>
    <s v="Indonesia"/>
    <s v="TJL - JPP"/>
    <x v="0"/>
  </r>
  <r>
    <s v="CLICTRUCK-046952"/>
    <s v="domestic"/>
    <x v="77"/>
    <x v="11"/>
    <n v="4200000"/>
    <n v="5550"/>
    <d v="2023-04-07T00:00:00"/>
    <s v="UNPAID"/>
    <x v="11"/>
    <n v="69930"/>
    <n v="1"/>
    <s v="Indonesia"/>
    <s v="TJL - JPP"/>
    <x v="0"/>
  </r>
  <r>
    <s v="CLICTRUCK-046953"/>
    <s v="domestic"/>
    <x v="77"/>
    <x v="11"/>
    <n v="800000"/>
    <n v="5550"/>
    <d v="2023-04-07T00:00:00"/>
    <s v="UNPAID"/>
    <x v="11"/>
    <n v="13320"/>
    <n v="1"/>
    <s v="Indonesia"/>
    <s v="TJL - JPP"/>
    <x v="0"/>
  </r>
  <r>
    <s v="CLICTRUCK-046954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55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56"/>
    <s v="domestic"/>
    <x v="77"/>
    <x v="11"/>
    <n v="4700000"/>
    <n v="5550"/>
    <d v="2023-04-07T00:00:00"/>
    <s v="UNPAID"/>
    <x v="11"/>
    <n v="78255"/>
    <n v="1"/>
    <s v="Indonesia"/>
    <s v="TJL - JPP"/>
    <x v="0"/>
  </r>
  <r>
    <s v="CLICTRUCK-046957"/>
    <s v="domestic"/>
    <x v="77"/>
    <x v="11"/>
    <n v="4900000"/>
    <n v="5550"/>
    <d v="2023-04-07T00:00:00"/>
    <s v="UNPAID"/>
    <x v="11"/>
    <n v="81585"/>
    <n v="1"/>
    <s v="Indonesia"/>
    <s v="TJL - JPP"/>
    <x v="0"/>
  </r>
  <r>
    <s v="CLICTRUCK-046958"/>
    <s v="domestic"/>
    <x v="77"/>
    <x v="11"/>
    <n v="2100000"/>
    <n v="5550"/>
    <d v="2023-04-07T00:00:00"/>
    <s v="UNPAID"/>
    <x v="11"/>
    <n v="34965"/>
    <n v="1"/>
    <s v="Indonesia"/>
    <s v="TJL - JPP"/>
    <x v="0"/>
  </r>
  <r>
    <s v="CLICTRUCK-046959"/>
    <s v="domestic"/>
    <x v="77"/>
    <x v="11"/>
    <n v="2400000"/>
    <n v="5550"/>
    <d v="2023-04-07T00:00:00"/>
    <s v="UNPAID"/>
    <x v="11"/>
    <n v="39960"/>
    <n v="1"/>
    <s v="Indonesia"/>
    <s v="TJL - JPP"/>
    <x v="0"/>
  </r>
  <r>
    <s v="CLICTRUCK-046960"/>
    <s v="domestic"/>
    <x v="77"/>
    <x v="11"/>
    <n v="4200000"/>
    <n v="5550"/>
    <d v="2023-04-07T00:00:00"/>
    <s v="UNPAID"/>
    <x v="11"/>
    <n v="69930"/>
    <n v="1"/>
    <s v="Indonesia"/>
    <s v="TJL - JPP"/>
    <x v="0"/>
  </r>
  <r>
    <s v="CLICTRUCK-046961"/>
    <s v="domestic"/>
    <x v="77"/>
    <x v="11"/>
    <n v="2975000"/>
    <n v="5550"/>
    <d v="2023-04-07T00:00:00"/>
    <s v="UNPAID"/>
    <x v="11"/>
    <n v="49533"/>
    <n v="1"/>
    <s v="Indonesia"/>
    <s v="TJL - JPP"/>
    <x v="0"/>
  </r>
  <r>
    <s v="CLICTRUCK-046962"/>
    <s v="domestic"/>
    <x v="77"/>
    <x v="7"/>
    <n v="49960000"/>
    <n v="22200"/>
    <d v="2023-04-06T00:00:00"/>
    <s v="UNPAID"/>
    <x v="6"/>
    <n v="1386390"/>
    <n v="1"/>
    <s v="Indonesia"/>
    <s v="IFI - IKI"/>
    <x v="0"/>
  </r>
  <r>
    <s v="CLICTRUCK-046963"/>
    <s v="domestic"/>
    <x v="77"/>
    <x v="7"/>
    <n v="32000000"/>
    <n v="22200"/>
    <d v="2023-04-06T00:00:00"/>
    <s v="UNPAID"/>
    <x v="6"/>
    <n v="888000"/>
    <n v="1"/>
    <s v="Indonesia"/>
    <s v="IFI - IKI"/>
    <x v="0"/>
  </r>
  <r>
    <s v="CLICTRUCK-046964"/>
    <s v="domestic"/>
    <x v="77"/>
    <x v="7"/>
    <n v="39050000"/>
    <n v="22200"/>
    <d v="2023-04-06T00:00:00"/>
    <s v="UNPAID"/>
    <x v="6"/>
    <n v="1083637"/>
    <n v="1"/>
    <s v="Indonesia"/>
    <s v="IFI - IKI"/>
    <x v="0"/>
  </r>
  <r>
    <s v="CLICTRUCK-046965"/>
    <s v="domestic"/>
    <x v="77"/>
    <x v="7"/>
    <n v="49960000"/>
    <n v="22200"/>
    <d v="2023-04-06T00:00:00"/>
    <s v="UNPAID"/>
    <x v="6"/>
    <n v="1386390"/>
    <n v="1"/>
    <s v="Indonesia"/>
    <s v="IFI - IKI"/>
    <x v="0"/>
  </r>
  <r>
    <s v="CLICTRUCK-046966"/>
    <s v="domestic"/>
    <x v="77"/>
    <x v="7"/>
    <n v="54910000"/>
    <n v="22200"/>
    <d v="2023-04-06T00:00:00"/>
    <s v="UNPAID"/>
    <x v="6"/>
    <n v="1523752"/>
    <n v="1"/>
    <s v="Indonesia"/>
    <s v="IFI - IKI"/>
    <x v="0"/>
  </r>
  <r>
    <s v="CLICTRUCK-046967"/>
    <s v="domestic"/>
    <x v="77"/>
    <x v="7"/>
    <n v="45000000"/>
    <n v="22200"/>
    <d v="2023-04-06T00:00:00"/>
    <s v="UNPAID"/>
    <x v="6"/>
    <n v="1248750"/>
    <n v="1"/>
    <s v="Indonesia"/>
    <s v="IFI - IKI"/>
    <x v="0"/>
  </r>
  <r>
    <s v="CLICTRUCK-046968"/>
    <s v="domestic"/>
    <x v="77"/>
    <x v="11"/>
    <n v="1540000"/>
    <n v="5550"/>
    <d v="2023-04-08T00:00:00"/>
    <s v="UNPAID"/>
    <x v="11"/>
    <n v="25641"/>
    <n v="1"/>
    <s v="Indonesia"/>
    <s v="TJL - JPP"/>
    <x v="0"/>
  </r>
  <r>
    <s v="CLICTRUCK-046969"/>
    <s v="domestic"/>
    <x v="77"/>
    <x v="11"/>
    <n v="770000"/>
    <n v="5550"/>
    <d v="2023-04-08T00:00:00"/>
    <s v="UNPAID"/>
    <x v="11"/>
    <n v="12820"/>
    <n v="1"/>
    <s v="Indonesia"/>
    <s v="TJL - JPP"/>
    <x v="0"/>
  </r>
  <r>
    <s v="CLICTRUCK-046970"/>
    <s v="domestic"/>
    <x v="77"/>
    <x v="11"/>
    <n v="1210000"/>
    <n v="5550"/>
    <d v="2023-04-08T00:00:00"/>
    <s v="UNPAID"/>
    <x v="11"/>
    <n v="20146"/>
    <n v="1"/>
    <s v="Indonesia"/>
    <s v="TJL - JPP"/>
    <x v="0"/>
  </r>
  <r>
    <s v="CLICTRUCK-046971"/>
    <s v="domestic"/>
    <x v="77"/>
    <x v="11"/>
    <n v="1210000"/>
    <n v="5550"/>
    <d v="2023-04-08T00:00:00"/>
    <s v="UNPAID"/>
    <x v="11"/>
    <n v="20146"/>
    <n v="1"/>
    <s v="Indonesia"/>
    <s v="TJL - JPP"/>
    <x v="0"/>
  </r>
  <r>
    <s v="CLICTRUCK-046972"/>
    <s v="domestic"/>
    <x v="77"/>
    <x v="11"/>
    <n v="2090000"/>
    <n v="5550"/>
    <d v="2023-04-08T00:00:00"/>
    <s v="UNPAID"/>
    <x v="11"/>
    <n v="34798"/>
    <n v="1"/>
    <s v="Indonesia"/>
    <s v="TJL - JPP"/>
    <x v="0"/>
  </r>
  <r>
    <s v="CLICTRUCK-046973"/>
    <s v="domestic"/>
    <x v="77"/>
    <x v="11"/>
    <n v="1430000"/>
    <n v="5550"/>
    <d v="2023-04-08T00:00:00"/>
    <s v="UNPAID"/>
    <x v="11"/>
    <n v="23809"/>
    <n v="1"/>
    <s v="Indonesia"/>
    <s v="TJL - JPP"/>
    <x v="0"/>
  </r>
  <r>
    <s v="CLICTRUCK-046974"/>
    <s v="domestic"/>
    <x v="77"/>
    <x v="11"/>
    <n v="2200000"/>
    <n v="5550"/>
    <d v="2023-04-08T00:00:00"/>
    <s v="UNPAID"/>
    <x v="11"/>
    <n v="36630"/>
    <n v="1"/>
    <s v="Indonesia"/>
    <s v="TJL - JPP"/>
    <x v="0"/>
  </r>
  <r>
    <s v="CLICTRUCK-046975"/>
    <s v="domestic"/>
    <x v="77"/>
    <x v="11"/>
    <n v="1210000"/>
    <n v="5550"/>
    <d v="2023-04-08T00:00:00"/>
    <s v="UNPAID"/>
    <x v="11"/>
    <n v="20146"/>
    <n v="1"/>
    <s v="Indonesia"/>
    <s v="TJL - JPP"/>
    <x v="0"/>
  </r>
  <r>
    <s v="CLICTRUCK-046976"/>
    <s v="domestic"/>
    <x v="77"/>
    <x v="11"/>
    <n v="4180000"/>
    <n v="5550"/>
    <d v="2023-04-08T00:00:00"/>
    <s v="UNPAID"/>
    <x v="11"/>
    <n v="69597"/>
    <n v="1"/>
    <s v="Indonesia"/>
    <s v="TJL - JPP"/>
    <x v="0"/>
  </r>
  <r>
    <s v="CLICTRUCK-046977"/>
    <s v="domestic"/>
    <x v="77"/>
    <x v="11"/>
    <n v="9775000"/>
    <n v="5550"/>
    <d v="2023-04-08T00:00:00"/>
    <s v="UNPAID"/>
    <x v="11"/>
    <n v="162753"/>
    <n v="1"/>
    <s v="Indonesia"/>
    <s v="TJL - JPP"/>
    <x v="0"/>
  </r>
  <r>
    <s v="CLICTRUCK-046978"/>
    <s v="domestic"/>
    <x v="77"/>
    <x v="11"/>
    <n v="5750000"/>
    <n v="5550"/>
    <d v="2023-04-08T00:00:00"/>
    <s v="UNPAID"/>
    <x v="11"/>
    <n v="95737"/>
    <n v="1"/>
    <s v="Indonesia"/>
    <s v="TJL - JPP"/>
    <x v="0"/>
  </r>
  <r>
    <s v="CLICTRUCK-046979"/>
    <s v="domestic"/>
    <x v="77"/>
    <x v="11"/>
    <n v="19550000"/>
    <n v="5550"/>
    <d v="2023-04-08T00:00:00"/>
    <s v="UNPAID"/>
    <x v="11"/>
    <n v="325507"/>
    <n v="1"/>
    <s v="Indonesia"/>
    <s v="TJL - JPP"/>
    <x v="0"/>
  </r>
  <r>
    <s v="CLICTRUCK-046980"/>
    <s v="domestic"/>
    <x v="77"/>
    <x v="11"/>
    <n v="9775000"/>
    <n v="5550"/>
    <d v="2023-04-08T00:00:00"/>
    <s v="UNPAID"/>
    <x v="11"/>
    <n v="162753"/>
    <n v="1"/>
    <s v="Indonesia"/>
    <s v="TJL - JPP"/>
    <x v="0"/>
  </r>
  <r>
    <s v="CLICTRUCK-046981"/>
    <s v="domestic"/>
    <x v="77"/>
    <x v="11"/>
    <n v="7245000"/>
    <n v="5550"/>
    <d v="2023-04-08T00:00:00"/>
    <s v="UNPAID"/>
    <x v="11"/>
    <n v="120629"/>
    <n v="1"/>
    <s v="Indonesia"/>
    <s v="TJL - JPP"/>
    <x v="0"/>
  </r>
  <r>
    <s v="CLICTRUCK-046982"/>
    <s v="domestic"/>
    <x v="77"/>
    <x v="11"/>
    <n v="1210000"/>
    <n v="5550"/>
    <d v="2023-04-08T00:00:00"/>
    <s v="UNPAID"/>
    <x v="11"/>
    <n v="20146"/>
    <n v="1"/>
    <s v="Indonesia"/>
    <s v="TJL - JPP"/>
    <x v="0"/>
  </r>
  <r>
    <s v="CLICTRUCK-046983"/>
    <s v="domestic"/>
    <x v="77"/>
    <x v="11"/>
    <n v="21275000"/>
    <n v="5550"/>
    <d v="2023-04-08T00:00:00"/>
    <s v="UNPAID"/>
    <x v="11"/>
    <n v="354228"/>
    <n v="1"/>
    <s v="Indonesia"/>
    <s v="TJL - JPP"/>
    <x v="0"/>
  </r>
  <r>
    <s v="CLICTRUCK-046984"/>
    <s v="domestic"/>
    <x v="77"/>
    <x v="11"/>
    <n v="1210000"/>
    <n v="5550"/>
    <d v="2023-04-08T00:00:00"/>
    <s v="UNPAID"/>
    <x v="11"/>
    <n v="20146"/>
    <n v="1"/>
    <s v="Indonesia"/>
    <s v="TJL - JPP"/>
    <x v="0"/>
  </r>
  <r>
    <s v="CLICTRUCK-046985"/>
    <s v="domestic"/>
    <x v="77"/>
    <x v="11"/>
    <n v="2310000"/>
    <n v="5550"/>
    <d v="2023-04-08T00:00:00"/>
    <s v="UNPAID"/>
    <x v="11"/>
    <n v="38461"/>
    <n v="1"/>
    <s v="Indonesia"/>
    <s v="TJL - JPP"/>
    <x v="0"/>
  </r>
  <r>
    <s v="CLICTRUCK-046986"/>
    <s v="domestic"/>
    <x v="77"/>
    <x v="11"/>
    <n v="3300000"/>
    <n v="5550"/>
    <d v="2023-04-08T00:00:00"/>
    <s v="UNPAID"/>
    <x v="11"/>
    <n v="54945"/>
    <n v="1"/>
    <s v="Indonesia"/>
    <s v="TJL - JPP"/>
    <x v="0"/>
  </r>
  <r>
    <s v="CLICTRUCK-046987"/>
    <s v="domestic"/>
    <x v="77"/>
    <x v="11"/>
    <n v="19550000"/>
    <n v="5550"/>
    <d v="2023-04-08T00:00:00"/>
    <s v="UNPAID"/>
    <x v="11"/>
    <n v="325507"/>
    <n v="1"/>
    <s v="Indonesia"/>
    <s v="TJL - JPP"/>
    <x v="0"/>
  </r>
  <r>
    <s v="CLICTRUCK-046988"/>
    <s v="domestic"/>
    <x v="77"/>
    <x v="11"/>
    <n v="19550000"/>
    <n v="5550"/>
    <d v="2023-04-08T00:00:00"/>
    <s v="UNPAID"/>
    <x v="11"/>
    <n v="325507"/>
    <n v="1"/>
    <s v="Indonesia"/>
    <s v="TJL - JPP"/>
    <x v="0"/>
  </r>
  <r>
    <s v="CLICTRUCK-046989"/>
    <s v="domestic"/>
    <x v="77"/>
    <x v="11"/>
    <n v="30590000"/>
    <n v="5550"/>
    <d v="2023-04-08T00:00:00"/>
    <s v="UNPAID"/>
    <x v="11"/>
    <n v="509323"/>
    <n v="1"/>
    <s v="Indonesia"/>
    <s v="TJL - JPP"/>
    <x v="0"/>
  </r>
  <r>
    <s v="CLICTRUCK-046990"/>
    <s v="domestic"/>
    <x v="77"/>
    <x v="11"/>
    <n v="600000"/>
    <n v="5550"/>
    <d v="2023-04-08T00:00:00"/>
    <s v="UNPAID"/>
    <x v="11"/>
    <n v="9990"/>
    <n v="1"/>
    <s v="Indonesia"/>
    <s v="TJL - JPP"/>
    <x v="0"/>
  </r>
  <r>
    <s v="CLICTRUCK-046991"/>
    <s v="domestic"/>
    <x v="77"/>
    <x v="11"/>
    <n v="18975000"/>
    <n v="5550"/>
    <d v="2023-04-08T00:00:00"/>
    <s v="UNPAID"/>
    <x v="11"/>
    <n v="315933"/>
    <n v="1"/>
    <s v="Indonesia"/>
    <s v="TJL - JPP"/>
    <x v="0"/>
  </r>
  <r>
    <s v="CLICTRUCK-046993"/>
    <s v="domestic"/>
    <x v="77"/>
    <x v="11"/>
    <n v="18975000"/>
    <n v="5550"/>
    <d v="2023-04-08T00:00:00"/>
    <s v="UNPAID"/>
    <x v="11"/>
    <n v="315933"/>
    <n v="1"/>
    <s v="Indonesia"/>
    <s v="TJL - JPP"/>
    <x v="0"/>
  </r>
  <r>
    <s v="CLICTRUCK-046995"/>
    <s v="domestic"/>
    <x v="77"/>
    <x v="11"/>
    <n v="40250000"/>
    <n v="5550"/>
    <d v="2023-04-08T00:00:00"/>
    <s v="UNPAID"/>
    <x v="11"/>
    <n v="670162"/>
    <n v="1"/>
    <s v="Indonesia"/>
    <s v="TJL - JPP"/>
    <x v="0"/>
  </r>
  <r>
    <s v="CLICTRUCK-046997"/>
    <s v="domestic"/>
    <x v="77"/>
    <x v="11"/>
    <n v="15525000"/>
    <n v="5550"/>
    <d v="2023-04-08T00:00:00"/>
    <s v="UNPAID"/>
    <x v="11"/>
    <n v="258491"/>
    <n v="1"/>
    <s v="Indonesia"/>
    <s v="TJL - JPP"/>
    <x v="0"/>
  </r>
  <r>
    <s v="CLICTRUCK-046998"/>
    <s v="domestic"/>
    <x v="77"/>
    <x v="11"/>
    <n v="12535000"/>
    <n v="5550"/>
    <d v="2023-04-08T00:00:00"/>
    <s v="UNPAID"/>
    <x v="11"/>
    <n v="208707"/>
    <n v="1"/>
    <s v="Indonesia"/>
    <s v="TJL - JPP"/>
    <x v="0"/>
  </r>
  <r>
    <s v="CLICTRUCK-046999"/>
    <s v="domestic"/>
    <x v="77"/>
    <x v="11"/>
    <n v="12420000"/>
    <n v="5550"/>
    <d v="2023-04-08T00:00:00"/>
    <s v="UNPAID"/>
    <x v="11"/>
    <n v="206793"/>
    <n v="1"/>
    <s v="Indonesia"/>
    <s v="TJL - JPP"/>
    <x v="0"/>
  </r>
  <r>
    <s v="CLICTRUCK-047000"/>
    <s v="domestic"/>
    <x v="77"/>
    <x v="11"/>
    <n v="15985000"/>
    <n v="5550"/>
    <d v="2023-04-08T00:00:00"/>
    <s v="UNPAID"/>
    <x v="11"/>
    <n v="266150"/>
    <n v="1"/>
    <s v="Indonesia"/>
    <s v="TJL - JPP"/>
    <x v="0"/>
  </r>
  <r>
    <s v="CLICTRUCK-047001"/>
    <s v="domestic"/>
    <x v="77"/>
    <x v="11"/>
    <n v="16675000"/>
    <n v="5550"/>
    <d v="2023-04-08T00:00:00"/>
    <s v="UNPAID"/>
    <x v="11"/>
    <n v="277638"/>
    <n v="1"/>
    <s v="Indonesia"/>
    <s v="TJL - JPP"/>
    <x v="0"/>
  </r>
  <r>
    <s v="CLICTRUCK-047002"/>
    <s v="domestic"/>
    <x v="77"/>
    <x v="11"/>
    <n v="12075000"/>
    <n v="5550"/>
    <d v="2023-04-08T00:00:00"/>
    <s v="UNPAID"/>
    <x v="11"/>
    <n v="201048"/>
    <n v="1"/>
    <s v="Indonesia"/>
    <s v="TJL - JPP"/>
    <x v="0"/>
  </r>
  <r>
    <s v="CLICTRUCK-047003"/>
    <s v="domestic"/>
    <x v="77"/>
    <x v="11"/>
    <n v="18400000"/>
    <n v="5550"/>
    <d v="2023-04-08T00:00:00"/>
    <s v="UNPAID"/>
    <x v="11"/>
    <n v="306360"/>
    <n v="1"/>
    <s v="Indonesia"/>
    <s v="TJL - JPP"/>
    <x v="0"/>
  </r>
  <r>
    <s v="CLICTRUCK-047004"/>
    <s v="domestic"/>
    <x v="77"/>
    <x v="9"/>
    <n v="634050"/>
    <n v="22500"/>
    <m/>
    <s v="ONGOING"/>
    <x v="34"/>
    <n v="0"/>
    <n v="1"/>
    <s v="Indonesia"/>
    <s v="YSN - PPT"/>
    <x v="1"/>
  </r>
  <r>
    <s v="CLICTRUCK-047005"/>
    <s v="domestic"/>
    <x v="77"/>
    <x v="11"/>
    <n v="1650000"/>
    <n v="5550"/>
    <d v="2023-04-08T00:00:00"/>
    <s v="UNPAID"/>
    <x v="11"/>
    <n v="27472"/>
    <n v="1"/>
    <s v="Indonesia"/>
    <s v="TJL - JPP"/>
    <x v="0"/>
  </r>
  <r>
    <s v="CLICTRUCK-047007"/>
    <s v="domestic"/>
    <x v="77"/>
    <x v="11"/>
    <n v="1100000"/>
    <n v="5550"/>
    <d v="2023-04-08T00:00:00"/>
    <s v="UNPAID"/>
    <x v="11"/>
    <n v="18315"/>
    <n v="1"/>
    <s v="Indonesia"/>
    <s v="TJL - JPP"/>
    <x v="0"/>
  </r>
  <r>
    <s v="CLICTRUCK-047008"/>
    <s v="domestic"/>
    <x v="77"/>
    <x v="11"/>
    <n v="2970000"/>
    <n v="5550"/>
    <d v="2023-04-08T00:00:00"/>
    <s v="UNPAID"/>
    <x v="11"/>
    <n v="49450"/>
    <n v="1"/>
    <s v="Indonesia"/>
    <s v="TJL - JPP"/>
    <x v="0"/>
  </r>
  <r>
    <s v="CLICTRUCK-047009"/>
    <s v="domestic"/>
    <x v="77"/>
    <x v="11"/>
    <n v="1730000"/>
    <n v="5550"/>
    <d v="2023-04-08T00:00:00"/>
    <s v="UNPAID"/>
    <x v="11"/>
    <n v="28804"/>
    <n v="1"/>
    <s v="Indonesia"/>
    <s v="TJL - JPP"/>
    <x v="0"/>
  </r>
  <r>
    <s v="CLICTRUCK-047010"/>
    <s v="domestic"/>
    <x v="77"/>
    <x v="11"/>
    <n v="13110000"/>
    <n v="5550"/>
    <d v="2023-04-08T00:00:00"/>
    <s v="UNPAID"/>
    <x v="11"/>
    <n v="218281"/>
    <n v="1"/>
    <s v="Indonesia"/>
    <s v="TJL - JPP"/>
    <x v="0"/>
  </r>
  <r>
    <s v="CLICTRUCK-047011"/>
    <s v="domestic"/>
    <x v="77"/>
    <x v="11"/>
    <n v="12420000"/>
    <n v="5550"/>
    <d v="2023-04-08T00:00:00"/>
    <s v="UNPAID"/>
    <x v="11"/>
    <n v="206793"/>
    <n v="1"/>
    <s v="Indonesia"/>
    <s v="TJL - JPP"/>
    <x v="0"/>
  </r>
  <r>
    <s v="CLICTRUCK-047012"/>
    <s v="domestic"/>
    <x v="77"/>
    <x v="11"/>
    <n v="2750000"/>
    <n v="5550"/>
    <d v="2023-04-08T00:00:00"/>
    <s v="UNPAID"/>
    <x v="11"/>
    <n v="45787"/>
    <n v="1"/>
    <s v="Indonesia"/>
    <s v="TJL - JPP"/>
    <x v="0"/>
  </r>
  <r>
    <s v="CLICTRUCK-047013"/>
    <s v="domestic"/>
    <x v="77"/>
    <x v="11"/>
    <n v="3300000"/>
    <n v="5550"/>
    <d v="2023-04-08T00:00:00"/>
    <s v="UNPAID"/>
    <x v="11"/>
    <n v="54945"/>
    <n v="1"/>
    <s v="Indonesia"/>
    <s v="TJL - JPP"/>
    <x v="0"/>
  </r>
  <r>
    <s v="CLICTRUCK-047014"/>
    <s v="domestic"/>
    <x v="77"/>
    <x v="11"/>
    <n v="12075000"/>
    <n v="5550"/>
    <d v="2023-04-08T00:00:00"/>
    <s v="UNPAID"/>
    <x v="11"/>
    <n v="201048"/>
    <n v="1"/>
    <s v="Indonesia"/>
    <s v="TJL - JPP"/>
    <x v="0"/>
  </r>
  <r>
    <s v="CLICTRUCK-047015"/>
    <s v="domestic"/>
    <x v="77"/>
    <x v="11"/>
    <n v="15525000"/>
    <n v="5550"/>
    <d v="2023-04-08T00:00:00"/>
    <s v="UNPAID"/>
    <x v="11"/>
    <n v="258491"/>
    <n v="1"/>
    <s v="Indonesia"/>
    <s v="TJL - JPP"/>
    <x v="0"/>
  </r>
  <r>
    <s v="CLICTRUCK-047016"/>
    <s v="domestic"/>
    <x v="77"/>
    <x v="11"/>
    <n v="12535000"/>
    <n v="5550"/>
    <d v="2023-04-08T00:00:00"/>
    <s v="UNPAID"/>
    <x v="11"/>
    <n v="208707"/>
    <n v="1"/>
    <s v="Indonesia"/>
    <s v="TJL - JPP"/>
    <x v="0"/>
  </r>
  <r>
    <s v="CLICTRUCK-047017"/>
    <s v="domestic"/>
    <x v="77"/>
    <x v="11"/>
    <n v="12420000"/>
    <n v="5550"/>
    <d v="2023-04-08T00:00:00"/>
    <s v="UNPAID"/>
    <x v="11"/>
    <n v="206793"/>
    <n v="1"/>
    <s v="Indonesia"/>
    <s v="TJL - JPP"/>
    <x v="0"/>
  </r>
  <r>
    <s v="CLICTRUCK-047018"/>
    <s v="domestic"/>
    <x v="77"/>
    <x v="11"/>
    <n v="18975000"/>
    <n v="5550"/>
    <d v="2023-04-08T00:00:00"/>
    <s v="UNPAID"/>
    <x v="11"/>
    <n v="315933"/>
    <n v="1"/>
    <s v="Indonesia"/>
    <s v="TJL - JPP"/>
    <x v="0"/>
  </r>
  <r>
    <s v="CLICTRUCK-047019"/>
    <s v="domestic"/>
    <x v="77"/>
    <x v="11"/>
    <n v="4290000"/>
    <n v="5550"/>
    <d v="2023-04-08T00:00:00"/>
    <s v="UNPAID"/>
    <x v="11"/>
    <n v="71428"/>
    <n v="1"/>
    <s v="Indonesia"/>
    <s v="TJL - JPP"/>
    <x v="0"/>
  </r>
  <r>
    <s v="CLICTRUCK-047020"/>
    <s v="domestic"/>
    <x v="77"/>
    <x v="11"/>
    <n v="19550000"/>
    <n v="5550"/>
    <d v="2023-04-08T00:00:00"/>
    <s v="UNPAID"/>
    <x v="11"/>
    <n v="325507"/>
    <n v="1"/>
    <s v="Indonesia"/>
    <s v="TJL - JPP"/>
    <x v="0"/>
  </r>
  <r>
    <s v="CLICTRUCK-047021"/>
    <s v="domestic"/>
    <x v="77"/>
    <x v="11"/>
    <n v="880000"/>
    <n v="5550"/>
    <d v="2023-04-08T00:00:00"/>
    <s v="UNPAID"/>
    <x v="11"/>
    <n v="14652"/>
    <n v="1"/>
    <s v="Indonesia"/>
    <s v="TJL - JPP"/>
    <x v="0"/>
  </r>
  <r>
    <s v="CLICTRUCK-047022"/>
    <s v="domestic"/>
    <x v="77"/>
    <x v="11"/>
    <n v="13110000"/>
    <n v="5550"/>
    <d v="2023-04-14T00:00:00"/>
    <s v="UNPAID"/>
    <x v="11"/>
    <n v="654844"/>
    <n v="1"/>
    <s v="Indonesia"/>
    <s v="TJL - JPP"/>
    <x v="0"/>
  </r>
  <r>
    <s v="CLICTRUCK-047023"/>
    <s v="domestic"/>
    <x v="77"/>
    <x v="11"/>
    <n v="18975000"/>
    <n v="5550"/>
    <d v="2023-04-14T00:00:00"/>
    <s v="UNPAID"/>
    <x v="11"/>
    <n v="947801"/>
    <n v="1"/>
    <s v="Indonesia"/>
    <s v="TJL - JPP"/>
    <x v="0"/>
  </r>
  <r>
    <s v="CLICTRUCK-047024"/>
    <s v="domestic"/>
    <x v="77"/>
    <x v="11"/>
    <n v="14950000"/>
    <n v="5550"/>
    <d v="2023-04-14T00:00:00"/>
    <s v="UNPAID"/>
    <x v="11"/>
    <n v="746752"/>
    <n v="1"/>
    <s v="Indonesia"/>
    <s v="TJL - JPP"/>
    <x v="0"/>
  </r>
  <r>
    <s v="CLICTRUCK-047025"/>
    <s v="domestic"/>
    <x v="77"/>
    <x v="11"/>
    <n v="19550000"/>
    <n v="5550"/>
    <d v="2023-04-14T00:00:00"/>
    <s v="UNPAID"/>
    <x v="11"/>
    <n v="976522"/>
    <n v="1"/>
    <s v="Indonesia"/>
    <s v="TJL - JPP"/>
    <x v="0"/>
  </r>
  <r>
    <s v="CLICTRUCK-047026"/>
    <s v="domestic"/>
    <x v="77"/>
    <x v="11"/>
    <n v="14950000"/>
    <n v="5550"/>
    <d v="2023-04-14T00:00:00"/>
    <s v="UNPAID"/>
    <x v="11"/>
    <n v="746752"/>
    <n v="1"/>
    <s v="Indonesia"/>
    <s v="TJL - JPP"/>
    <x v="0"/>
  </r>
  <r>
    <s v="CLICTRUCK-047027"/>
    <s v="domestic"/>
    <x v="77"/>
    <x v="11"/>
    <n v="19550000"/>
    <n v="5550"/>
    <d v="2023-04-14T00:00:00"/>
    <s v="UNPAID"/>
    <x v="11"/>
    <n v="976522"/>
    <n v="1"/>
    <s v="Indonesia"/>
    <s v="TJL - JPP"/>
    <x v="0"/>
  </r>
  <r>
    <s v="CLICTRUCK-047028"/>
    <s v="domestic"/>
    <x v="77"/>
    <x v="11"/>
    <n v="15677064"/>
    <n v="5550"/>
    <d v="2023-04-07T00:00:00"/>
    <s v="UNPAID"/>
    <x v="11"/>
    <n v="261022"/>
    <n v="1"/>
    <s v="Indonesia"/>
    <s v="TJL - JPP"/>
    <x v="0"/>
  </r>
  <r>
    <s v="CLICTRUCK-047029"/>
    <s v="domestic"/>
    <x v="77"/>
    <x v="11"/>
    <n v="25952528"/>
    <n v="5550"/>
    <d v="2023-04-07T00:00:00"/>
    <s v="UNPAID"/>
    <x v="11"/>
    <n v="432108"/>
    <n v="1"/>
    <s v="Indonesia"/>
    <s v="TJL - JPP"/>
    <x v="0"/>
  </r>
  <r>
    <s v="CLICTRUCK-047030"/>
    <s v="domestic"/>
    <x v="77"/>
    <x v="11"/>
    <n v="16868712"/>
    <n v="5550"/>
    <d v="2023-04-07T00:00:00"/>
    <s v="UNPAID"/>
    <x v="11"/>
    <n v="280863"/>
    <n v="1"/>
    <s v="Indonesia"/>
    <s v="TJL - JPP"/>
    <x v="0"/>
  </r>
  <r>
    <s v="CLICTRUCK-047031"/>
    <s v="domestic"/>
    <x v="77"/>
    <x v="11"/>
    <n v="19520713"/>
    <n v="5550"/>
    <d v="2023-04-07T00:00:00"/>
    <s v="UNPAID"/>
    <x v="11"/>
    <n v="325019"/>
    <n v="1"/>
    <s v="Indonesia"/>
    <s v="TJL - JPP"/>
    <x v="0"/>
  </r>
  <r>
    <s v="CLICTRUCK-047032"/>
    <s v="domestic"/>
    <x v="77"/>
    <x v="11"/>
    <n v="20359539"/>
    <n v="5550"/>
    <d v="2023-04-07T00:00:00"/>
    <s v="UNPAID"/>
    <x v="11"/>
    <n v="338986"/>
    <n v="1"/>
    <s v="Indonesia"/>
    <s v="TJL - JPP"/>
    <x v="0"/>
  </r>
  <r>
    <s v="CLICTRUCK-047033"/>
    <s v="domestic"/>
    <x v="77"/>
    <x v="11"/>
    <n v="22725958"/>
    <n v="5550"/>
    <d v="2023-04-07T00:00:00"/>
    <s v="UNPAID"/>
    <x v="11"/>
    <n v="378386"/>
    <n v="1"/>
    <s v="Indonesia"/>
    <s v="TJL - JPP"/>
    <x v="0"/>
  </r>
  <r>
    <s v="CLICTRUCK-047034"/>
    <s v="domestic"/>
    <x v="77"/>
    <x v="11"/>
    <n v="18904373"/>
    <n v="5550"/>
    <d v="2023-04-07T00:00:00"/>
    <s v="UNPAID"/>
    <x v="11"/>
    <n v="314757"/>
    <n v="1"/>
    <s v="Indonesia"/>
    <s v="TJL - JPP"/>
    <x v="0"/>
  </r>
  <r>
    <s v="CLICTRUCK-047035"/>
    <s v="domestic"/>
    <x v="77"/>
    <x v="11"/>
    <n v="31080125"/>
    <n v="5550"/>
    <d v="2023-04-07T00:00:00"/>
    <s v="UNPAID"/>
    <x v="11"/>
    <n v="517483"/>
    <n v="1"/>
    <s v="Indonesia"/>
    <s v="TJL - JPP"/>
    <x v="0"/>
  </r>
  <r>
    <s v="CLICTRUCK-047036"/>
    <s v="domestic"/>
    <x v="77"/>
    <x v="11"/>
    <n v="25200000"/>
    <n v="5550"/>
    <d v="2023-04-07T00:00:00"/>
    <s v="UNPAID"/>
    <x v="11"/>
    <n v="419580"/>
    <n v="1"/>
    <s v="Indonesia"/>
    <s v="TJL - JPP"/>
    <x v="0"/>
  </r>
  <r>
    <s v="CLICTRUCK-047038"/>
    <s v="domestic"/>
    <x v="77"/>
    <x v="11"/>
    <n v="18631803"/>
    <n v="5550"/>
    <d v="2023-04-07T00:00:00"/>
    <s v="UNPAID"/>
    <x v="11"/>
    <n v="310219"/>
    <n v="1"/>
    <s v="Indonesia"/>
    <s v="TJL - JPP"/>
    <x v="0"/>
  </r>
  <r>
    <s v="CLICTRUCK-047039"/>
    <s v="domestic"/>
    <x v="77"/>
    <x v="11"/>
    <n v="25200000"/>
    <n v="5550"/>
    <d v="2023-04-07T00:00:00"/>
    <s v="UNPAID"/>
    <x v="11"/>
    <n v="419580"/>
    <n v="1"/>
    <s v="Indonesia"/>
    <s v="TJL - JPP"/>
    <x v="0"/>
  </r>
  <r>
    <s v="CLICTRUCK-047040"/>
    <s v="domestic"/>
    <x v="77"/>
    <x v="11"/>
    <n v="21613704"/>
    <n v="5550"/>
    <d v="2023-04-07T00:00:00"/>
    <s v="UNPAID"/>
    <x v="11"/>
    <n v="359867"/>
    <n v="1"/>
    <s v="Indonesia"/>
    <s v="TJL - JPP"/>
    <x v="0"/>
  </r>
  <r>
    <s v="CLICTRUCK-047041"/>
    <s v="domestic"/>
    <x v="77"/>
    <x v="11"/>
    <n v="17349236"/>
    <n v="5550"/>
    <d v="2023-04-07T00:00:00"/>
    <s v="UNPAID"/>
    <x v="11"/>
    <n v="288864"/>
    <n v="1"/>
    <s v="Indonesia"/>
    <s v="TJL - JPP"/>
    <x v="0"/>
  </r>
  <r>
    <s v="CLICTRUCK-047042"/>
    <s v="domestic"/>
    <x v="77"/>
    <x v="11"/>
    <n v="25200000"/>
    <n v="5550"/>
    <d v="2023-04-07T00:00:00"/>
    <s v="UNPAID"/>
    <x v="11"/>
    <n v="419580"/>
    <n v="1"/>
    <s v="Indonesia"/>
    <s v="TJL - JPP"/>
    <x v="0"/>
  </r>
  <r>
    <s v="CLICTRUCK-047043"/>
    <s v="domestic"/>
    <x v="77"/>
    <x v="11"/>
    <n v="22059408"/>
    <n v="5550"/>
    <d v="2023-04-07T00:00:00"/>
    <s v="UNPAID"/>
    <x v="11"/>
    <n v="367289"/>
    <n v="1"/>
    <s v="Indonesia"/>
    <s v="TJL - JPP"/>
    <x v="0"/>
  </r>
  <r>
    <s v="CLICTRUCK-047044"/>
    <s v="domestic"/>
    <x v="77"/>
    <x v="11"/>
    <n v="19838367"/>
    <n v="5550"/>
    <d v="2023-04-07T00:00:00"/>
    <s v="UNPAID"/>
    <x v="11"/>
    <n v="330308"/>
    <n v="1"/>
    <s v="Indonesia"/>
    <s v="TJL - JPP"/>
    <x v="0"/>
  </r>
  <r>
    <s v="CLICTRUCK-047045"/>
    <s v="domestic"/>
    <x v="77"/>
    <x v="11"/>
    <n v="27398686"/>
    <n v="5550"/>
    <d v="2023-04-07T00:00:00"/>
    <s v="UNPAID"/>
    <x v="11"/>
    <n v="456187"/>
    <n v="1"/>
    <s v="Indonesia"/>
    <s v="TJL - JPP"/>
    <x v="0"/>
  </r>
  <r>
    <s v="CLICTRUCK-047046"/>
    <s v="domestic"/>
    <x v="77"/>
    <x v="11"/>
    <n v="1031384"/>
    <n v="5550"/>
    <d v="2023-04-07T00:00:00"/>
    <s v="UNPAID"/>
    <x v="11"/>
    <n v="17171"/>
    <n v="1"/>
    <s v="Indonesia"/>
    <s v="TJL - JPP"/>
    <x v="0"/>
  </r>
  <r>
    <s v="CLICTRUCK-047047"/>
    <s v="domestic"/>
    <x v="77"/>
    <x v="11"/>
    <n v="1093073"/>
    <n v="5550"/>
    <d v="2023-04-07T00:00:00"/>
    <s v="UNPAID"/>
    <x v="11"/>
    <n v="18199"/>
    <n v="1"/>
    <s v="Indonesia"/>
    <s v="TJL - JPP"/>
    <x v="0"/>
  </r>
  <r>
    <s v="CLICTRUCK-047048"/>
    <s v="domestic"/>
    <x v="77"/>
    <x v="11"/>
    <n v="28953120"/>
    <n v="5550"/>
    <d v="2023-04-07T00:00:00"/>
    <s v="UNPAID"/>
    <x v="11"/>
    <n v="482068"/>
    <n v="1"/>
    <s v="Indonesia"/>
    <s v="TJL - JPP"/>
    <x v="0"/>
  </r>
  <r>
    <s v="CLICTRUCK-047049"/>
    <s v="domestic"/>
    <x v="77"/>
    <x v="11"/>
    <n v="19558562"/>
    <n v="5550"/>
    <d v="2023-04-07T00:00:00"/>
    <s v="UNPAID"/>
    <x v="11"/>
    <n v="325649"/>
    <n v="1"/>
    <s v="Indonesia"/>
    <s v="TJL - JPP"/>
    <x v="0"/>
  </r>
  <r>
    <s v="CLICTRUCK-047050"/>
    <s v="domestic"/>
    <x v="77"/>
    <x v="11"/>
    <n v="25879081"/>
    <n v="5550"/>
    <d v="2023-04-07T00:00:00"/>
    <s v="UNPAID"/>
    <x v="11"/>
    <n v="430886"/>
    <n v="1"/>
    <s v="Indonesia"/>
    <s v="TJL - JPP"/>
    <x v="0"/>
  </r>
  <r>
    <s v="CLICTRUCK-047051"/>
    <s v="domestic"/>
    <x v="77"/>
    <x v="11"/>
    <n v="19554108"/>
    <n v="5550"/>
    <d v="2023-04-07T00:00:00"/>
    <s v="UNPAID"/>
    <x v="11"/>
    <n v="325575"/>
    <n v="1"/>
    <s v="Indonesia"/>
    <s v="TJL - JPP"/>
    <x v="0"/>
  </r>
  <r>
    <s v="CLICTRUCK-047052"/>
    <s v="domestic"/>
    <x v="77"/>
    <x v="11"/>
    <n v="18912081"/>
    <n v="5550"/>
    <d v="2023-04-07T00:00:00"/>
    <s v="UNPAID"/>
    <x v="11"/>
    <n v="314885"/>
    <n v="1"/>
    <s v="Indonesia"/>
    <s v="TJL - JPP"/>
    <x v="0"/>
  </r>
  <r>
    <s v="CLICTRUCK-047053"/>
    <s v="domestic"/>
    <x v="77"/>
    <x v="11"/>
    <n v="25340593"/>
    <n v="5550"/>
    <d v="2023-04-07T00:00:00"/>
    <s v="UNPAID"/>
    <x v="11"/>
    <n v="421919"/>
    <n v="1"/>
    <s v="Indonesia"/>
    <s v="TJL - JPP"/>
    <x v="0"/>
  </r>
  <r>
    <s v="CLICTRUCK-047054"/>
    <s v="domestic"/>
    <x v="77"/>
    <x v="11"/>
    <n v="9738383"/>
    <n v="5550"/>
    <d v="2023-04-07T00:00:00"/>
    <s v="UNPAID"/>
    <x v="11"/>
    <n v="162143"/>
    <n v="1"/>
    <s v="Indonesia"/>
    <s v="TJL - JPP"/>
    <x v="0"/>
  </r>
  <r>
    <s v="CLICTRUCK-047055"/>
    <s v="domestic"/>
    <x v="77"/>
    <x v="11"/>
    <n v="8333586"/>
    <n v="5550"/>
    <d v="2023-04-07T00:00:00"/>
    <s v="UNPAID"/>
    <x v="11"/>
    <n v="138753"/>
    <n v="1"/>
    <s v="Indonesia"/>
    <s v="TJL - JPP"/>
    <x v="0"/>
  </r>
  <r>
    <s v="CLICTRUCK-047056"/>
    <s v="domestic"/>
    <x v="77"/>
    <x v="11"/>
    <n v="6828615"/>
    <n v="5550"/>
    <d v="2023-04-07T00:00:00"/>
    <s v="UNPAID"/>
    <x v="11"/>
    <n v="113696"/>
    <n v="1"/>
    <s v="Indonesia"/>
    <s v="TJL - JPP"/>
    <x v="0"/>
  </r>
  <r>
    <s v="CLICTRUCK-047058"/>
    <s v="domestic"/>
    <x v="77"/>
    <x v="11"/>
    <n v="25200000"/>
    <n v="5550"/>
    <d v="2023-04-07T00:00:00"/>
    <s v="UNPAID"/>
    <x v="11"/>
    <n v="419580"/>
    <n v="1"/>
    <s v="Indonesia"/>
    <s v="TJL - JPP"/>
    <x v="0"/>
  </r>
  <r>
    <s v="CLICTRUCK-047059"/>
    <s v="domestic"/>
    <x v="77"/>
    <x v="11"/>
    <n v="25088347"/>
    <n v="5550"/>
    <d v="2023-04-07T00:00:00"/>
    <s v="UNPAID"/>
    <x v="11"/>
    <n v="417720"/>
    <n v="1"/>
    <s v="Indonesia"/>
    <s v="TJL - JPP"/>
    <x v="0"/>
  </r>
  <r>
    <s v="CLICTRUCK-047060"/>
    <s v="domestic"/>
    <x v="77"/>
    <x v="11"/>
    <n v="17346459"/>
    <n v="5550"/>
    <d v="2023-04-07T00:00:00"/>
    <s v="UNPAID"/>
    <x v="11"/>
    <n v="288817"/>
    <n v="1"/>
    <s v="Indonesia"/>
    <s v="TJL - JPP"/>
    <x v="0"/>
  </r>
  <r>
    <s v="CLICTRUCK-047061"/>
    <s v="domestic"/>
    <x v="77"/>
    <x v="11"/>
    <n v="17344376"/>
    <n v="5550"/>
    <d v="2023-04-07T00:00:00"/>
    <s v="UNPAID"/>
    <x v="11"/>
    <n v="288783"/>
    <n v="1"/>
    <s v="Indonesia"/>
    <s v="TJL - JPP"/>
    <x v="0"/>
  </r>
  <r>
    <s v="CLICTRUCK-047062"/>
    <s v="domestic"/>
    <x v="77"/>
    <x v="11"/>
    <n v="17353056"/>
    <n v="5550"/>
    <d v="2023-04-07T00:00:00"/>
    <s v="UNPAID"/>
    <x v="11"/>
    <n v="288927"/>
    <n v="1"/>
    <s v="Indonesia"/>
    <s v="TJL - JPP"/>
    <x v="0"/>
  </r>
  <r>
    <s v="CLICTRUCK-047063"/>
    <s v="domestic"/>
    <x v="77"/>
    <x v="11"/>
    <n v="16910723"/>
    <n v="5550"/>
    <d v="2023-04-07T00:00:00"/>
    <s v="UNPAID"/>
    <x v="11"/>
    <n v="281562"/>
    <n v="1"/>
    <s v="Indonesia"/>
    <s v="TJL - JPP"/>
    <x v="0"/>
  </r>
  <r>
    <s v="CLICTRUCK-047064"/>
    <s v="domestic"/>
    <x v="77"/>
    <x v="11"/>
    <n v="22184269"/>
    <n v="5550"/>
    <d v="2023-04-07T00:00:00"/>
    <s v="UNPAID"/>
    <x v="11"/>
    <n v="369368"/>
    <n v="1"/>
    <s v="Indonesia"/>
    <s v="TJL - JPP"/>
    <x v="0"/>
  </r>
  <r>
    <s v="CLICTRUCK-047065"/>
    <s v="domestic"/>
    <x v="77"/>
    <x v="11"/>
    <n v="14605821"/>
    <n v="5550"/>
    <d v="2023-04-07T00:00:00"/>
    <s v="UNPAID"/>
    <x v="11"/>
    <n v="243186"/>
    <n v="1"/>
    <s v="Indonesia"/>
    <s v="TJL - JPP"/>
    <x v="0"/>
  </r>
  <r>
    <s v="CLICTRUCK-047066"/>
    <s v="domestic"/>
    <x v="77"/>
    <x v="11"/>
    <n v="12540660"/>
    <n v="5550"/>
    <d v="2023-04-07T00:00:00"/>
    <s v="UNPAID"/>
    <x v="11"/>
    <n v="208800"/>
    <n v="1"/>
    <s v="Indonesia"/>
    <s v="TJL - JPP"/>
    <x v="0"/>
  </r>
  <r>
    <s v="CLICTRUCK-047067"/>
    <s v="domestic"/>
    <x v="77"/>
    <x v="11"/>
    <n v="12198268"/>
    <n v="5550"/>
    <d v="2023-04-07T00:00:00"/>
    <s v="UNPAID"/>
    <x v="11"/>
    <n v="203101"/>
    <n v="1"/>
    <s v="Indonesia"/>
    <s v="TJL - JPP"/>
    <x v="0"/>
  </r>
  <r>
    <s v="CLICTRUCK-047068"/>
    <s v="domestic"/>
    <x v="77"/>
    <x v="11"/>
    <n v="23341125"/>
    <n v="5550"/>
    <d v="2023-04-07T00:00:00"/>
    <s v="UNPAID"/>
    <x v="11"/>
    <n v="388628"/>
    <n v="1"/>
    <s v="Indonesia"/>
    <s v="TJL - JPP"/>
    <x v="0"/>
  </r>
  <r>
    <s v="CLICTRUCK-047069"/>
    <s v="domestic"/>
    <x v="77"/>
    <x v="11"/>
    <n v="15260552"/>
    <n v="5550"/>
    <d v="2023-04-07T00:00:00"/>
    <s v="UNPAID"/>
    <x v="11"/>
    <n v="254087"/>
    <n v="1"/>
    <s v="Indonesia"/>
    <s v="TJL - JPP"/>
    <x v="0"/>
  </r>
  <r>
    <s v="CLICTRUCK-047070"/>
    <s v="domestic"/>
    <x v="77"/>
    <x v="11"/>
    <n v="950000"/>
    <n v="5550"/>
    <d v="2023-04-07T00:00:00"/>
    <s v="UNPAID"/>
    <x v="11"/>
    <n v="15817"/>
    <n v="1"/>
    <s v="Indonesia"/>
    <s v="TJL - JPP"/>
    <x v="0"/>
  </r>
  <r>
    <s v="CLICTRUCK-047071"/>
    <s v="domestic"/>
    <x v="77"/>
    <x v="11"/>
    <n v="950000"/>
    <n v="5550"/>
    <d v="2023-04-07T00:00:00"/>
    <s v="UNPAID"/>
    <x v="11"/>
    <n v="15817"/>
    <n v="1"/>
    <s v="Indonesia"/>
    <s v="TJL - JPP"/>
    <x v="0"/>
  </r>
  <r>
    <s v="CLICTRUCK-047072"/>
    <s v="domestic"/>
    <x v="77"/>
    <x v="11"/>
    <n v="950000"/>
    <n v="5550"/>
    <d v="2023-04-07T00:00:00"/>
    <s v="UNPAID"/>
    <x v="11"/>
    <n v="15817"/>
    <n v="1"/>
    <s v="Indonesia"/>
    <s v="TJL - JPP"/>
    <x v="0"/>
  </r>
  <r>
    <s v="CLICTRUCK-047073"/>
    <s v="domestic"/>
    <x v="77"/>
    <x v="11"/>
    <n v="950000"/>
    <n v="5550"/>
    <d v="2023-04-07T00:00:00"/>
    <s v="UNPAID"/>
    <x v="11"/>
    <n v="15817"/>
    <n v="1"/>
    <s v="Indonesia"/>
    <s v="TJL - JPP"/>
    <x v="0"/>
  </r>
  <r>
    <s v="CLICTRUCK-047074"/>
    <s v="domestic"/>
    <x v="78"/>
    <x v="11"/>
    <n v="950000"/>
    <n v="5550"/>
    <d v="2023-04-07T00:00:00"/>
    <s v="UNPAID"/>
    <x v="11"/>
    <n v="15817"/>
    <n v="1"/>
    <s v="Indonesia"/>
    <s v="TJL - JPP"/>
    <x v="0"/>
  </r>
  <r>
    <s v="CLICTRUCK-047075"/>
    <s v="domestic"/>
    <x v="78"/>
    <x v="11"/>
    <n v="950000"/>
    <n v="5550"/>
    <d v="2023-04-07T00:00:00"/>
    <s v="UNPAID"/>
    <x v="11"/>
    <n v="15817"/>
    <n v="1"/>
    <s v="Indonesia"/>
    <s v="TJL - JPP"/>
    <x v="0"/>
  </r>
  <r>
    <s v="CLICTRUCK-047076"/>
    <s v="domestic"/>
    <x v="78"/>
    <x v="11"/>
    <n v="950000"/>
    <n v="5550"/>
    <d v="2023-04-07T00:00:00"/>
    <s v="UNPAID"/>
    <x v="11"/>
    <n v="15817"/>
    <n v="1"/>
    <s v="Indonesia"/>
    <s v="TJL - JPP"/>
    <x v="0"/>
  </r>
  <r>
    <s v="CLICTRUCK-047077"/>
    <s v="domestic"/>
    <x v="78"/>
    <x v="11"/>
    <n v="950000"/>
    <n v="5550"/>
    <d v="2023-04-07T00:00:00"/>
    <s v="UNPAID"/>
    <x v="11"/>
    <n v="15817"/>
    <n v="1"/>
    <s v="Indonesia"/>
    <s v="TJL - JPP"/>
    <x v="0"/>
  </r>
  <r>
    <s v="CLICTRUCK-047078"/>
    <s v="domestic"/>
    <x v="78"/>
    <x v="11"/>
    <n v="3452000"/>
    <n v="5550"/>
    <d v="2023-04-07T00:00:00"/>
    <s v="UNPAID"/>
    <x v="11"/>
    <n v="57475"/>
    <n v="1"/>
    <s v="Indonesia"/>
    <s v="TJL - JPP"/>
    <x v="0"/>
  </r>
  <r>
    <s v="CLICTRUCK-047079"/>
    <s v="domestic"/>
    <x v="78"/>
    <x v="11"/>
    <n v="14870776"/>
    <n v="5550"/>
    <d v="2023-04-07T00:00:00"/>
    <s v="UNPAID"/>
    <x v="11"/>
    <n v="247597"/>
    <n v="1"/>
    <s v="Indonesia"/>
    <s v="TJL - JPP"/>
    <x v="0"/>
  </r>
  <r>
    <s v="CLICTRUCK-047080"/>
    <s v="domestic"/>
    <x v="78"/>
    <x v="11"/>
    <n v="20600000"/>
    <n v="5550"/>
    <d v="2023-04-07T00:00:00"/>
    <s v="UNPAID"/>
    <x v="11"/>
    <n v="342990"/>
    <n v="1"/>
    <s v="Indonesia"/>
    <s v="TJL - JPP"/>
    <x v="0"/>
  </r>
  <r>
    <s v="CLICTRUCK-047081"/>
    <s v="domestic"/>
    <x v="78"/>
    <x v="11"/>
    <n v="12327633"/>
    <n v="5550"/>
    <d v="2023-04-07T00:00:00"/>
    <s v="UNPAID"/>
    <x v="11"/>
    <n v="205254"/>
    <n v="1"/>
    <s v="Indonesia"/>
    <s v="TJL - JPP"/>
    <x v="0"/>
  </r>
  <r>
    <s v="CLICTRUCK-047082"/>
    <s v="domestic"/>
    <x v="78"/>
    <x v="11"/>
    <n v="16981150"/>
    <n v="5550"/>
    <d v="2023-04-07T00:00:00"/>
    <s v="UNPAID"/>
    <x v="11"/>
    <n v="282735"/>
    <n v="1"/>
    <s v="Indonesia"/>
    <s v="TJL - JPP"/>
    <x v="0"/>
  </r>
  <r>
    <s v="CLICTRUCK-047083"/>
    <s v="domestic"/>
    <x v="78"/>
    <x v="11"/>
    <n v="7666576"/>
    <n v="5550"/>
    <d v="2023-04-07T00:00:00"/>
    <s v="UNPAID"/>
    <x v="11"/>
    <n v="127647"/>
    <n v="1"/>
    <s v="Indonesia"/>
    <s v="TJL - JPP"/>
    <x v="0"/>
  </r>
  <r>
    <s v="CLICTRUCK-047085"/>
    <s v="domestic"/>
    <x v="78"/>
    <x v="11"/>
    <n v="17395545"/>
    <n v="5550"/>
    <d v="2023-04-07T00:00:00"/>
    <s v="UNPAID"/>
    <x v="11"/>
    <n v="289635"/>
    <n v="1"/>
    <s v="Indonesia"/>
    <s v="TJL - JPP"/>
    <x v="0"/>
  </r>
  <r>
    <s v="CLICTRUCK-047086"/>
    <s v="domestic"/>
    <x v="78"/>
    <x v="11"/>
    <n v="24007500"/>
    <n v="5550"/>
    <d v="2023-04-07T00:00:00"/>
    <s v="UNPAID"/>
    <x v="11"/>
    <n v="399724"/>
    <n v="1"/>
    <s v="Indonesia"/>
    <s v="TJL - JPP"/>
    <x v="0"/>
  </r>
  <r>
    <s v="CLICTRUCK-047087"/>
    <s v="domestic"/>
    <x v="78"/>
    <x v="11"/>
    <n v="19873440"/>
    <n v="5550"/>
    <d v="2023-04-07T00:00:00"/>
    <s v="UNPAID"/>
    <x v="11"/>
    <n v="330892"/>
    <n v="1"/>
    <s v="Indonesia"/>
    <s v="TJL - JPP"/>
    <x v="0"/>
  </r>
  <r>
    <s v="CLICTRUCK-047088"/>
    <s v="domestic"/>
    <x v="78"/>
    <x v="11"/>
    <n v="18803880"/>
    <n v="5550"/>
    <d v="2023-04-07T00:00:00"/>
    <s v="UNPAID"/>
    <x v="11"/>
    <n v="313084"/>
    <n v="1"/>
    <s v="Indonesia"/>
    <s v="TJL - JPP"/>
    <x v="0"/>
  </r>
  <r>
    <s v="CLICTRUCK-047089"/>
    <s v="domestic"/>
    <x v="78"/>
    <x v="11"/>
    <n v="19361880"/>
    <n v="5550"/>
    <d v="2023-04-07T00:00:00"/>
    <s v="UNPAID"/>
    <x v="11"/>
    <n v="322375"/>
    <n v="1"/>
    <s v="Indonesia"/>
    <s v="TJL - JPP"/>
    <x v="0"/>
  </r>
  <r>
    <s v="CLICTRUCK-047090"/>
    <s v="domestic"/>
    <x v="78"/>
    <x v="11"/>
    <n v="16723440"/>
    <n v="5550"/>
    <d v="2023-04-07T00:00:00"/>
    <s v="UNPAID"/>
    <x v="11"/>
    <n v="278444"/>
    <n v="1"/>
    <s v="Indonesia"/>
    <s v="TJL - JPP"/>
    <x v="0"/>
  </r>
  <r>
    <s v="CLICTRUCK-047091"/>
    <s v="domestic"/>
    <x v="78"/>
    <x v="11"/>
    <n v="17834481"/>
    <n v="5550"/>
    <d v="2023-04-07T00:00:00"/>
    <s v="UNPAID"/>
    <x v="11"/>
    <n v="296943"/>
    <n v="1"/>
    <s v="Indonesia"/>
    <s v="TJL - JPP"/>
    <x v="0"/>
  </r>
  <r>
    <s v="CLICTRUCK-047092"/>
    <s v="domestic"/>
    <x v="78"/>
    <x v="11"/>
    <n v="12150000"/>
    <n v="5550"/>
    <d v="2023-04-07T00:00:00"/>
    <s v="UNPAID"/>
    <x v="11"/>
    <n v="202297"/>
    <n v="1"/>
    <s v="Indonesia"/>
    <s v="TJL - JPP"/>
    <x v="0"/>
  </r>
  <r>
    <s v="CLICTRUCK-047093"/>
    <s v="domestic"/>
    <x v="78"/>
    <x v="11"/>
    <n v="16710606"/>
    <n v="5550"/>
    <d v="2023-04-07T00:00:00"/>
    <s v="UNPAID"/>
    <x v="11"/>
    <n v="278231"/>
    <n v="1"/>
    <s v="Indonesia"/>
    <s v="TJL - JPP"/>
    <x v="0"/>
  </r>
  <r>
    <s v="CLICTRUCK-047094"/>
    <s v="domestic"/>
    <x v="78"/>
    <x v="11"/>
    <n v="16850129"/>
    <n v="5550"/>
    <d v="2023-04-07T00:00:00"/>
    <s v="UNPAID"/>
    <x v="11"/>
    <n v="280553"/>
    <n v="1"/>
    <s v="Indonesia"/>
    <s v="TJL - JPP"/>
    <x v="0"/>
  </r>
  <r>
    <s v="CLICTRUCK-047096"/>
    <s v="domestic"/>
    <x v="78"/>
    <x v="11"/>
    <n v="3200000"/>
    <n v="5550"/>
    <d v="2023-04-07T00:00:00"/>
    <s v="UNPAID"/>
    <x v="11"/>
    <n v="53280"/>
    <n v="1"/>
    <s v="Indonesia"/>
    <s v="TJL - JPP"/>
    <x v="0"/>
  </r>
  <r>
    <s v="CLICTRUCK-047097"/>
    <s v="domestic"/>
    <x v="78"/>
    <x v="11"/>
    <n v="950000"/>
    <n v="5550"/>
    <d v="2023-04-07T00:00:00"/>
    <s v="UNPAID"/>
    <x v="11"/>
    <n v="15817"/>
    <n v="1"/>
    <s v="Indonesia"/>
    <s v="TJL - JPP"/>
    <x v="0"/>
  </r>
  <r>
    <s v="CLICTRUCK-047101"/>
    <s v="domestic"/>
    <x v="78"/>
    <x v="32"/>
    <n v="3700000"/>
    <n v="27750"/>
    <d v="2023-04-06T00:00:00"/>
    <s v="PAID"/>
    <x v="36"/>
    <n v="102675"/>
    <n v="1"/>
    <s v="Indonesia"/>
    <s v="SPM - BTS"/>
    <x v="0"/>
  </r>
  <r>
    <s v="CLICTRUCK-047102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03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04"/>
    <s v="domestic"/>
    <x v="78"/>
    <x v="7"/>
    <n v="59860000"/>
    <n v="22200"/>
    <d v="2023-04-06T00:00:00"/>
    <s v="UNPAID"/>
    <x v="6"/>
    <n v="1661115"/>
    <n v="1"/>
    <s v="Indonesia"/>
    <s v="IFI - IKI"/>
    <x v="0"/>
  </r>
  <r>
    <s v="CLICTRUCK-047105"/>
    <s v="domestic"/>
    <x v="78"/>
    <x v="9"/>
    <n v="340060"/>
    <n v="24975"/>
    <d v="2023-04-27T00:00:00"/>
    <s v="UNPAID"/>
    <x v="9"/>
    <n v="11323"/>
    <n v="1"/>
    <s v="Indonesia"/>
    <s v="YSN-SSA"/>
    <x v="0"/>
  </r>
  <r>
    <s v="CLICTRUCK-047106"/>
    <s v="domestic"/>
    <x v="78"/>
    <x v="9"/>
    <n v="7056000"/>
    <n v="49950"/>
    <d v="2023-04-27T00:00:00"/>
    <s v="UNPAID"/>
    <x v="8"/>
    <n v="234964"/>
    <n v="2"/>
    <s v="Indonesia"/>
    <s v="YSN-FPM"/>
    <x v="0"/>
  </r>
  <r>
    <s v="CLICTRUCK-047107"/>
    <s v="domestic"/>
    <x v="78"/>
    <x v="7"/>
    <n v="14750000"/>
    <n v="22200"/>
    <d v="2023-04-06T00:00:00"/>
    <s v="UNPAID"/>
    <x v="6"/>
    <n v="409312"/>
    <n v="1"/>
    <s v="Indonesia"/>
    <s v="IFI - IKI"/>
    <x v="0"/>
  </r>
  <r>
    <s v="CLICTRUCK-047108"/>
    <s v="domestic"/>
    <x v="78"/>
    <x v="7"/>
    <n v="14750000"/>
    <n v="22200"/>
    <d v="2023-04-06T00:00:00"/>
    <s v="UNPAID"/>
    <x v="6"/>
    <n v="409312"/>
    <n v="1"/>
    <s v="Indonesia"/>
    <s v="IFI - IKI"/>
    <x v="0"/>
  </r>
  <r>
    <s v="CLICTRUCK-047109"/>
    <s v="domestic"/>
    <x v="78"/>
    <x v="7"/>
    <n v="14750000"/>
    <n v="22200"/>
    <d v="2023-04-06T00:00:00"/>
    <s v="UNPAID"/>
    <x v="6"/>
    <n v="409312"/>
    <n v="1"/>
    <s v="Indonesia"/>
    <s v="IFI - IKI"/>
    <x v="0"/>
  </r>
  <r>
    <s v="CLICTRUCK-047110"/>
    <s v="domestic"/>
    <x v="78"/>
    <x v="7"/>
    <n v="14750000"/>
    <n v="22200"/>
    <d v="2023-04-06T00:00:00"/>
    <s v="UNPAID"/>
    <x v="6"/>
    <n v="409312"/>
    <n v="1"/>
    <s v="Indonesia"/>
    <s v="IFI - IKI"/>
    <x v="0"/>
  </r>
  <r>
    <s v="CLICTRUCK-047111"/>
    <s v="domestic"/>
    <x v="78"/>
    <x v="7"/>
    <n v="14750000"/>
    <n v="22200"/>
    <d v="2023-04-06T00:00:00"/>
    <s v="UNPAID"/>
    <x v="6"/>
    <n v="409312"/>
    <n v="1"/>
    <s v="Indonesia"/>
    <s v="IFI - IKI"/>
    <x v="0"/>
  </r>
  <r>
    <s v="CLICTRUCK-047112"/>
    <s v="domestic"/>
    <x v="78"/>
    <x v="7"/>
    <n v="24495000"/>
    <n v="22200"/>
    <d v="2023-04-06T00:00:00"/>
    <s v="UNPAID"/>
    <x v="6"/>
    <n v="679736"/>
    <n v="1"/>
    <s v="Indonesia"/>
    <s v="IFI - IKI"/>
    <x v="0"/>
  </r>
  <r>
    <s v="CLICTRUCK-047113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14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15"/>
    <s v="domestic"/>
    <x v="78"/>
    <x v="7"/>
    <n v="59860000"/>
    <n v="22200"/>
    <d v="2023-04-06T00:00:00"/>
    <s v="UNPAID"/>
    <x v="6"/>
    <n v="1661115"/>
    <n v="1"/>
    <s v="Indonesia"/>
    <s v="IFI - IKI"/>
    <x v="0"/>
  </r>
  <r>
    <s v="CLICTRUCK-047116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17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18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19"/>
    <s v="domestic"/>
    <x v="78"/>
    <x v="7"/>
    <n v="64810000"/>
    <n v="22200"/>
    <d v="2023-04-06T00:00:00"/>
    <s v="UNPAID"/>
    <x v="6"/>
    <n v="1798477"/>
    <n v="1"/>
    <s v="Indonesia"/>
    <s v="IFI - IKI"/>
    <x v="0"/>
  </r>
  <r>
    <s v="CLICTRUCK-047122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23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24"/>
    <s v="domestic"/>
    <x v="78"/>
    <x v="7"/>
    <n v="45000000"/>
    <n v="22200"/>
    <d v="2023-04-06T00:00:00"/>
    <s v="UNPAID"/>
    <x v="6"/>
    <n v="1248750"/>
    <n v="1"/>
    <s v="Indonesia"/>
    <s v="IFI - IKI"/>
    <x v="0"/>
  </r>
  <r>
    <s v="CLICTRUCK-047125"/>
    <s v="domestic"/>
    <x v="78"/>
    <x v="7"/>
    <n v="64810000"/>
    <n v="22200"/>
    <d v="2023-04-06T00:00:00"/>
    <s v="UNPAID"/>
    <x v="6"/>
    <n v="1798477"/>
    <n v="1"/>
    <s v="Indonesia"/>
    <s v="IFI - IKI"/>
    <x v="0"/>
  </r>
  <r>
    <s v="CLICTRUCK-047126"/>
    <s v="domestic"/>
    <x v="78"/>
    <x v="7"/>
    <n v="45000000"/>
    <n v="22200"/>
    <d v="2023-04-07T00:00:00"/>
    <s v="UNPAID"/>
    <x v="6"/>
    <n v="1248750"/>
    <n v="1"/>
    <s v="Indonesia"/>
    <s v="IFI - IKI"/>
    <x v="0"/>
  </r>
  <r>
    <s v="CLICTRUCK-047127"/>
    <s v="domestic"/>
    <x v="78"/>
    <x v="7"/>
    <n v="45000000"/>
    <n v="22200"/>
    <d v="2023-04-07T00:00:00"/>
    <s v="UNPAID"/>
    <x v="6"/>
    <n v="1248750"/>
    <n v="1"/>
    <s v="Indonesia"/>
    <s v="IFI - IKI"/>
    <x v="0"/>
  </r>
  <r>
    <s v="CLICTRUCK-047128"/>
    <s v="domestic"/>
    <x v="78"/>
    <x v="7"/>
    <n v="59860000"/>
    <n v="22200"/>
    <d v="2023-04-07T00:00:00"/>
    <s v="UNPAID"/>
    <x v="6"/>
    <n v="1661115"/>
    <n v="1"/>
    <s v="Indonesia"/>
    <s v="IFI - IKI"/>
    <x v="0"/>
  </r>
  <r>
    <s v="CLICTRUCK-047129"/>
    <s v="domestic"/>
    <x v="78"/>
    <x v="11"/>
    <n v="1031384"/>
    <n v="5550"/>
    <d v="2023-04-07T00:00:00"/>
    <s v="UNPAID"/>
    <x v="11"/>
    <n v="17171"/>
    <n v="1"/>
    <s v="Indonesia"/>
    <s v="TJL - JPP"/>
    <x v="0"/>
  </r>
  <r>
    <s v="CLICTRUCK-047130"/>
    <s v="domestic"/>
    <x v="78"/>
    <x v="11"/>
    <n v="15381317"/>
    <n v="5550"/>
    <d v="2023-04-07T00:00:00"/>
    <s v="UNPAID"/>
    <x v="11"/>
    <n v="256098"/>
    <n v="1"/>
    <s v="Indonesia"/>
    <s v="TJL - JPP"/>
    <x v="0"/>
  </r>
  <r>
    <s v="CLICTRUCK-047131"/>
    <s v="domestic"/>
    <x v="78"/>
    <x v="11"/>
    <n v="15898295"/>
    <n v="5550"/>
    <d v="2023-04-07T00:00:00"/>
    <s v="UNPAID"/>
    <x v="11"/>
    <n v="264706"/>
    <n v="1"/>
    <s v="Indonesia"/>
    <s v="TJL - JPP"/>
    <x v="0"/>
  </r>
  <r>
    <s v="CLICTRUCK-047137"/>
    <s v="domestic"/>
    <x v="79"/>
    <x v="10"/>
    <n v="3512517"/>
    <n v="22200"/>
    <d v="2023-05-12T00:00:00"/>
    <s v="UNPAID"/>
    <x v="10"/>
    <n v="155955"/>
    <n v="1"/>
    <s v="Indonesia"/>
    <s v="ZLog-ZENSHIN"/>
    <x v="0"/>
  </r>
  <r>
    <s v="CLICTRUCK-047138"/>
    <s v="domestic"/>
    <x v="79"/>
    <x v="10"/>
    <n v="1902702"/>
    <n v="22200"/>
    <d v="2023-05-12T00:00:00"/>
    <s v="UNPAID"/>
    <x v="10"/>
    <n v="84479"/>
    <n v="1"/>
    <s v="Indonesia"/>
    <s v="ZLog-ZENSHIN"/>
    <x v="0"/>
  </r>
  <r>
    <s v="CLICTRUCK-047139"/>
    <s v="domestic"/>
    <x v="79"/>
    <x v="10"/>
    <n v="1969428"/>
    <n v="22200"/>
    <d v="2023-05-12T00:00:00"/>
    <s v="UNPAID"/>
    <x v="10"/>
    <n v="87442"/>
    <n v="1"/>
    <s v="Indonesia"/>
    <s v="ZLog-ZENSHIN"/>
    <x v="0"/>
  </r>
  <r>
    <s v="CLICTRUCK-047140"/>
    <s v="domestic"/>
    <x v="79"/>
    <x v="10"/>
    <n v="5197450"/>
    <n v="22200"/>
    <d v="2023-05-12T00:00:00"/>
    <s v="UNPAID"/>
    <x v="10"/>
    <n v="230766"/>
    <n v="1"/>
    <s v="Indonesia"/>
    <s v="ZLog-ZENSHIN"/>
    <x v="0"/>
  </r>
  <r>
    <s v="CLICTRUCK-047141"/>
    <s v="domestic"/>
    <x v="79"/>
    <x v="10"/>
    <n v="2102704"/>
    <n v="22200"/>
    <d v="2023-05-12T00:00:00"/>
    <s v="UNPAID"/>
    <x v="10"/>
    <n v="93359"/>
    <n v="1"/>
    <s v="Indonesia"/>
    <s v="ZLog-ZENSHIN"/>
    <x v="0"/>
  </r>
  <r>
    <s v="CLICTRUCK-047142"/>
    <s v="domestic"/>
    <x v="80"/>
    <x v="10"/>
    <n v="14918400"/>
    <n v="22200"/>
    <d v="2023-04-08T00:00:00"/>
    <s v="UNPAID"/>
    <x v="10"/>
    <n v="662376"/>
    <n v="1"/>
    <s v="Indonesia"/>
    <s v="ZLog-ZENSHIN"/>
    <x v="0"/>
  </r>
  <r>
    <s v="CLICTRUCK-047143"/>
    <s v="domestic"/>
    <x v="80"/>
    <x v="27"/>
    <n v="23865000"/>
    <n v="27750"/>
    <d v="2023-04-08T00:00:00"/>
    <s v="UNPAID"/>
    <x v="30"/>
    <n v="1059606"/>
    <n v="1"/>
    <s v="Indonesia"/>
    <s v="RWJ - TWT"/>
    <x v="0"/>
  </r>
  <r>
    <s v="CLICTRUCK-047145"/>
    <s v="domestic"/>
    <x v="80"/>
    <x v="29"/>
    <n v="4997000"/>
    <n v="22200"/>
    <d v="2023-04-08T00:00:00"/>
    <s v="PAID"/>
    <x v="32"/>
    <n v="149760"/>
    <n v="1"/>
    <s v="Indonesia"/>
    <s v="JMT - JST"/>
    <x v="0"/>
  </r>
  <r>
    <s v="CLICTRUCK-047146"/>
    <s v="domestic"/>
    <x v="80"/>
    <x v="29"/>
    <n v="3849000"/>
    <n v="22200"/>
    <d v="2023-04-08T00:00:00"/>
    <s v="PAID"/>
    <x v="32"/>
    <n v="115354"/>
    <n v="1"/>
    <s v="Indonesia"/>
    <s v="JMT - JST"/>
    <x v="0"/>
  </r>
  <r>
    <s v="CLICTRUCK-047147"/>
    <s v="domestic"/>
    <x v="80"/>
    <x v="29"/>
    <n v="4997000"/>
    <n v="22200"/>
    <d v="2023-04-08T00:00:00"/>
    <s v="PAID"/>
    <x v="32"/>
    <n v="149760"/>
    <n v="1"/>
    <s v="Indonesia"/>
    <s v="JMT - JST"/>
    <x v="0"/>
  </r>
  <r>
    <s v="CLICTRUCK-047148"/>
    <s v="domestic"/>
    <x v="80"/>
    <x v="29"/>
    <n v="4997000"/>
    <n v="22200"/>
    <d v="2023-04-08T00:00:00"/>
    <s v="PAID"/>
    <x v="32"/>
    <n v="149760"/>
    <n v="1"/>
    <s v="Indonesia"/>
    <s v="JMT - JST"/>
    <x v="0"/>
  </r>
  <r>
    <s v="CLICTRUCK-047150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51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52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53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54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55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56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57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58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59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0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1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2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3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4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5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6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7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8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69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70"/>
    <s v="domestic"/>
    <x v="80"/>
    <x v="32"/>
    <n v="3500000"/>
    <n v="27750"/>
    <d v="2023-04-09T00:00:00"/>
    <s v="PAID"/>
    <x v="36"/>
    <n v="97125"/>
    <n v="1"/>
    <s v="Indonesia"/>
    <s v="SPM - BTS"/>
    <x v="0"/>
  </r>
  <r>
    <s v="CLICTRUCK-047171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72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73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74"/>
    <s v="domestic"/>
    <x v="80"/>
    <x v="29"/>
    <n v="7615000"/>
    <n v="22200"/>
    <d v="2023-04-08T00:00:00"/>
    <s v="PAID"/>
    <x v="32"/>
    <n v="228221"/>
    <n v="1"/>
    <s v="Indonesia"/>
    <s v="JMT - JST"/>
    <x v="0"/>
  </r>
  <r>
    <s v="CLICTRUCK-047194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195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196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197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198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199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0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1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2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3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4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5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6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7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8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09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10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11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12"/>
    <s v="domestic"/>
    <x v="80"/>
    <x v="24"/>
    <n v="3500000"/>
    <n v="27750"/>
    <d v="2023-04-08T00:00:00"/>
    <s v="UNPAID"/>
    <x v="27"/>
    <n v="213675"/>
    <n v="1"/>
    <s v="Indonesia"/>
    <s v="LST - TJA"/>
    <x v="0"/>
  </r>
  <r>
    <s v="CLICTRUCK-047213"/>
    <s v="domestic"/>
    <x v="80"/>
    <x v="27"/>
    <n v="19800000"/>
    <n v="27750"/>
    <d v="2023-04-09T00:00:00"/>
    <s v="UNPAID"/>
    <x v="30"/>
    <n v="879120"/>
    <n v="1"/>
    <s v="Indonesia"/>
    <s v="RWJ - TWT"/>
    <x v="0"/>
  </r>
  <r>
    <s v="CLICTRUCK-047217"/>
    <s v="domestic"/>
    <x v="81"/>
    <x v="10"/>
    <n v="7459200"/>
    <n v="22200"/>
    <d v="2023-05-12T00:00:00"/>
    <s v="UNPAID"/>
    <x v="10"/>
    <n v="331188"/>
    <n v="1"/>
    <s v="Indonesia"/>
    <s v="ZLog-ZENSHIN"/>
    <x v="0"/>
  </r>
  <r>
    <s v="CLICTRUCK-047218"/>
    <s v="domestic"/>
    <x v="81"/>
    <x v="32"/>
    <n v="3700000"/>
    <n v="27750"/>
    <d v="2023-04-09T00:00:00"/>
    <s v="PAID"/>
    <x v="36"/>
    <n v="102675"/>
    <n v="1"/>
    <s v="Indonesia"/>
    <s v="SPM - BTS"/>
    <x v="0"/>
  </r>
  <r>
    <s v="CLICTRUCK-047219"/>
    <s v="domestic"/>
    <x v="81"/>
    <x v="32"/>
    <n v="3500000"/>
    <n v="27750"/>
    <d v="2023-04-09T00:00:00"/>
    <s v="PAID"/>
    <x v="36"/>
    <n v="97125"/>
    <n v="1"/>
    <s v="Indonesia"/>
    <s v="SPM - BTS"/>
    <x v="0"/>
  </r>
  <r>
    <s v="CLICTRUCK-047220"/>
    <s v="domestic"/>
    <x v="81"/>
    <x v="9"/>
    <n v="3606400"/>
    <n v="24975"/>
    <d v="2023-04-27T00:00:00"/>
    <s v="UNPAID"/>
    <x v="8"/>
    <n v="120093"/>
    <n v="1"/>
    <s v="Indonesia"/>
    <s v="YSN-FPM"/>
    <x v="0"/>
  </r>
  <r>
    <s v="CLICTRUCK-047221"/>
    <s v="domestic"/>
    <x v="81"/>
    <x v="9"/>
    <n v="983225"/>
    <n v="22500"/>
    <m/>
    <s v="PENDING APPROVAL"/>
    <x v="34"/>
    <n v="0"/>
    <n v="1"/>
    <s v="Indonesia"/>
    <s v="YSN - PPT"/>
    <x v="1"/>
  </r>
  <r>
    <s v="CLICTRUCK-047222"/>
    <s v="domestic"/>
    <x v="81"/>
    <x v="33"/>
    <n v="4400000"/>
    <n v="27750"/>
    <d v="2023-04-10T00:00:00"/>
    <s v="PAID"/>
    <x v="37"/>
    <n v="183150"/>
    <n v="1"/>
    <s v="Indonesia"/>
    <s v="VTD - DAS"/>
    <x v="0"/>
  </r>
  <r>
    <s v="CLICTRUCK-047223"/>
    <s v="domestic"/>
    <x v="81"/>
    <x v="26"/>
    <n v="12000000"/>
    <n v="420000"/>
    <m/>
    <s v="PENDING APPROVAL"/>
    <x v="29"/>
    <n v="0"/>
    <n v="1"/>
    <s v="Indonesia"/>
    <s v="NTL - ASA"/>
    <x v="1"/>
  </r>
  <r>
    <s v="CLICTRUCK-047224"/>
    <s v="domestic"/>
    <x v="81"/>
    <x v="26"/>
    <n v="12000000"/>
    <n v="420000"/>
    <m/>
    <s v="PENDING APPROVAL"/>
    <x v="29"/>
    <n v="0"/>
    <n v="1"/>
    <s v="Indonesia"/>
    <s v="NTL - ASA"/>
    <x v="1"/>
  </r>
  <r>
    <s v="CLICTRUCK-047225"/>
    <s v="domestic"/>
    <x v="81"/>
    <x v="26"/>
    <n v="12000000"/>
    <n v="420000"/>
    <m/>
    <s v="PENDING APPROVAL"/>
    <x v="29"/>
    <n v="0"/>
    <n v="1"/>
    <s v="Indonesia"/>
    <s v="NTL - ASA"/>
    <x v="1"/>
  </r>
  <r>
    <s v="CLICTRUCK-047226"/>
    <s v="domestic"/>
    <x v="81"/>
    <x v="26"/>
    <n v="12000000"/>
    <n v="420000"/>
    <m/>
    <s v="PENDING APPROVAL"/>
    <x v="29"/>
    <n v="0"/>
    <n v="1"/>
    <s v="Indonesia"/>
    <s v="NTL - ASA"/>
    <x v="1"/>
  </r>
  <r>
    <s v="CLICTRUCK-047227"/>
    <s v="domestic"/>
    <x v="81"/>
    <x v="26"/>
    <n v="12000000"/>
    <n v="420000"/>
    <m/>
    <s v="PENDING APPROVAL"/>
    <x v="29"/>
    <n v="0"/>
    <n v="1"/>
    <s v="Indonesia"/>
    <s v="NTL - ASA"/>
    <x v="1"/>
  </r>
  <r>
    <s v="CLICTRUCK-047228"/>
    <s v="domestic"/>
    <x v="81"/>
    <x v="26"/>
    <n v="12000000"/>
    <n v="420000"/>
    <m/>
    <s v="PENDING APPROVAL"/>
    <x v="29"/>
    <n v="0"/>
    <n v="1"/>
    <s v="Indonesia"/>
    <s v="NTL - ASA"/>
    <x v="1"/>
  </r>
  <r>
    <s v="CLICTRUCK-047229"/>
    <s v="domestic"/>
    <x v="81"/>
    <x v="26"/>
    <n v="12000000"/>
    <n v="420000"/>
    <m/>
    <s v="PENDING APPROVAL"/>
    <x v="29"/>
    <n v="0"/>
    <n v="1"/>
    <s v="Indonesia"/>
    <s v="NTL - ASA"/>
    <x v="1"/>
  </r>
  <r>
    <s v="CLICTRUCK-047230"/>
    <s v="domestic"/>
    <x v="81"/>
    <x v="26"/>
    <n v="12000000"/>
    <n v="466200"/>
    <d v="2023-04-13T00:00:00"/>
    <s v="PAID"/>
    <x v="29"/>
    <n v="27750"/>
    <n v="1"/>
    <s v="Indonesia"/>
    <s v="NTL - ASA"/>
    <x v="0"/>
  </r>
  <r>
    <s v="CLICTRUCK-047231"/>
    <s v="domestic"/>
    <x v="81"/>
    <x v="26"/>
    <n v="12000000"/>
    <n v="466200"/>
    <d v="2023-04-13T00:00:00"/>
    <s v="UNPAID"/>
    <x v="29"/>
    <n v="27750"/>
    <n v="1"/>
    <s v="Indonesia"/>
    <s v="NTL - ASA"/>
    <x v="0"/>
  </r>
  <r>
    <s v="CLICTRUCK-047232"/>
    <s v="domestic"/>
    <x v="81"/>
    <x v="26"/>
    <n v="12000000"/>
    <n v="466200"/>
    <d v="2023-04-13T00:00:00"/>
    <s v="UNPAID"/>
    <x v="29"/>
    <n v="27750"/>
    <n v="1"/>
    <s v="Indonesia"/>
    <s v="NTL - ASA"/>
    <x v="0"/>
  </r>
  <r>
    <s v="CLICTRUCK-047233"/>
    <s v="domestic"/>
    <x v="81"/>
    <x v="26"/>
    <n v="12000000"/>
    <n v="466200"/>
    <d v="2023-04-13T00:00:00"/>
    <s v="UNPAID"/>
    <x v="29"/>
    <n v="27750"/>
    <n v="1"/>
    <s v="Indonesia"/>
    <s v="NTL - ASA"/>
    <x v="0"/>
  </r>
  <r>
    <s v="CLICTRUCK-047234"/>
    <s v="domestic"/>
    <x v="81"/>
    <x v="26"/>
    <n v="12000000"/>
    <n v="466200"/>
    <d v="2023-04-13T00:00:00"/>
    <s v="UNPAID"/>
    <x v="29"/>
    <n v="27750"/>
    <n v="1"/>
    <s v="Indonesia"/>
    <s v="NTL - ASA"/>
    <x v="0"/>
  </r>
  <r>
    <s v="CLICTRUCK-047235"/>
    <s v="domestic"/>
    <x v="81"/>
    <x v="26"/>
    <n v="12000000"/>
    <n v="466200"/>
    <d v="2023-04-13T00:00:00"/>
    <s v="UNPAID"/>
    <x v="29"/>
    <n v="27750"/>
    <n v="1"/>
    <s v="Indonesia"/>
    <s v="NTL - ASA"/>
    <x v="0"/>
  </r>
  <r>
    <s v="CLICTRUCK-047236"/>
    <s v="domestic"/>
    <x v="81"/>
    <x v="26"/>
    <n v="12500000"/>
    <n v="485625"/>
    <d v="2023-04-13T00:00:00"/>
    <s v="UNPAID"/>
    <x v="29"/>
    <n v="27750"/>
    <n v="1"/>
    <s v="Indonesia"/>
    <s v="NTL - ASA"/>
    <x v="0"/>
  </r>
  <r>
    <s v="CLICTRUCK-047237"/>
    <s v="domestic"/>
    <x v="81"/>
    <x v="26"/>
    <n v="12500000"/>
    <n v="485625"/>
    <d v="2023-04-13T00:00:00"/>
    <s v="UNPAID"/>
    <x v="29"/>
    <n v="27750"/>
    <n v="1"/>
    <s v="Indonesia"/>
    <s v="NTL - ASA"/>
    <x v="0"/>
  </r>
  <r>
    <s v="CLICTRUCK-047238"/>
    <s v="domestic"/>
    <x v="81"/>
    <x v="26"/>
    <n v="12500000"/>
    <n v="485625"/>
    <d v="2023-04-13T00:00:00"/>
    <s v="UNPAID"/>
    <x v="29"/>
    <n v="27750"/>
    <n v="1"/>
    <s v="Indonesia"/>
    <s v="NTL - ASA"/>
    <x v="0"/>
  </r>
  <r>
    <s v="CLICTRUCK-047239"/>
    <s v="domestic"/>
    <x v="81"/>
    <x v="26"/>
    <n v="12500000"/>
    <n v="485625"/>
    <d v="2023-04-13T00:00:00"/>
    <s v="UNPAID"/>
    <x v="29"/>
    <n v="27750"/>
    <n v="1"/>
    <s v="Indonesia"/>
    <s v="NTL - ASA"/>
    <x v="0"/>
  </r>
  <r>
    <s v="CLICTRUCK-047240"/>
    <s v="domestic"/>
    <x v="81"/>
    <x v="26"/>
    <n v="12500000"/>
    <n v="485625"/>
    <d v="2023-04-13T00:00:00"/>
    <s v="UNPAID"/>
    <x v="29"/>
    <n v="27750"/>
    <n v="1"/>
    <s v="Indonesia"/>
    <s v="NTL - ASA"/>
    <x v="0"/>
  </r>
  <r>
    <s v="CLICTRUCK-047241"/>
    <s v="domestic"/>
    <x v="81"/>
    <x v="26"/>
    <n v="4450000"/>
    <n v="172882"/>
    <d v="2023-04-12T00:00:00"/>
    <s v="UNPAID"/>
    <x v="29"/>
    <n v="27750"/>
    <n v="1"/>
    <s v="Indonesia"/>
    <s v="NTL - ASA"/>
    <x v="0"/>
  </r>
  <r>
    <s v="CLICTRUCK-047242"/>
    <s v="domestic"/>
    <x v="81"/>
    <x v="26"/>
    <n v="4450000"/>
    <n v="172882"/>
    <d v="2023-04-12T00:00:00"/>
    <s v="UNPAID"/>
    <x v="29"/>
    <n v="27750"/>
    <n v="1"/>
    <s v="Indonesia"/>
    <s v="NTL - ASA"/>
    <x v="0"/>
  </r>
  <r>
    <s v="CLICTRUCK-047243"/>
    <s v="domestic"/>
    <x v="81"/>
    <x v="26"/>
    <n v="4450000"/>
    <n v="172882"/>
    <d v="2023-04-12T00:00:00"/>
    <s v="UNPAID"/>
    <x v="29"/>
    <n v="27750"/>
    <n v="1"/>
    <s v="Indonesia"/>
    <s v="NTL - ASA"/>
    <x v="0"/>
  </r>
  <r>
    <s v="CLICTRUCK-047244"/>
    <s v="domestic"/>
    <x v="81"/>
    <x v="26"/>
    <n v="4450000"/>
    <n v="172882"/>
    <d v="2023-04-12T00:00:00"/>
    <s v="UNPAID"/>
    <x v="29"/>
    <n v="27750"/>
    <n v="1"/>
    <s v="Indonesia"/>
    <s v="NTL - ASA"/>
    <x v="0"/>
  </r>
  <r>
    <s v="CLICTRUCK-047245"/>
    <s v="domestic"/>
    <x v="81"/>
    <x v="26"/>
    <n v="4450000"/>
    <n v="172882"/>
    <d v="2023-04-12T00:00:00"/>
    <s v="UNPAID"/>
    <x v="29"/>
    <n v="27750"/>
    <n v="1"/>
    <s v="Indonesia"/>
    <s v="NTL - ASA"/>
    <x v="0"/>
  </r>
  <r>
    <s v="CLICTRUCK-047246"/>
    <s v="domestic"/>
    <x v="81"/>
    <x v="26"/>
    <n v="8000000"/>
    <n v="310800"/>
    <d v="2023-04-12T00:00:00"/>
    <s v="UNPAID"/>
    <x v="29"/>
    <n v="27750"/>
    <n v="1"/>
    <s v="Indonesia"/>
    <s v="NTL - ASA"/>
    <x v="0"/>
  </r>
  <r>
    <s v="CLICTRUCK-047247"/>
    <s v="domestic"/>
    <x v="81"/>
    <x v="26"/>
    <n v="8000000"/>
    <n v="310800"/>
    <d v="2023-04-12T00:00:00"/>
    <s v="UNPAID"/>
    <x v="29"/>
    <n v="27750"/>
    <n v="1"/>
    <s v="Indonesia"/>
    <s v="NTL - ASA"/>
    <x v="0"/>
  </r>
  <r>
    <s v="CLICTRUCK-047248"/>
    <s v="domestic"/>
    <x v="81"/>
    <x v="26"/>
    <n v="8000000"/>
    <n v="310800"/>
    <d v="2023-04-12T00:00:00"/>
    <s v="UNPAID"/>
    <x v="29"/>
    <n v="27750"/>
    <n v="1"/>
    <s v="Indonesia"/>
    <s v="NTL - ASA"/>
    <x v="0"/>
  </r>
  <r>
    <s v="CLICTRUCK-047249"/>
    <s v="domestic"/>
    <x v="81"/>
    <x v="9"/>
    <n v="1184820"/>
    <n v="74925"/>
    <d v="2023-04-27T00:00:00"/>
    <s v="UNPAID"/>
    <x v="9"/>
    <n v="39453"/>
    <n v="3"/>
    <s v="Indonesia"/>
    <s v="YSN-SSA"/>
    <x v="0"/>
  </r>
  <r>
    <s v="CLICTRUCK-047250"/>
    <s v="domestic"/>
    <x v="81"/>
    <x v="9"/>
    <n v="274890"/>
    <n v="24975"/>
    <d v="2023-04-27T00:00:00"/>
    <s v="UNPAID"/>
    <x v="9"/>
    <n v="9153"/>
    <n v="1"/>
    <s v="Indonesia"/>
    <s v="YSN-SSA"/>
    <x v="0"/>
  </r>
  <r>
    <s v="CLICTRUCK-047251"/>
    <s v="domestic"/>
    <x v="81"/>
    <x v="9"/>
    <n v="448350"/>
    <n v="24975"/>
    <d v="2023-04-27T00:00:00"/>
    <s v="UNPAID"/>
    <x v="9"/>
    <n v="14929"/>
    <n v="1"/>
    <s v="Indonesia"/>
    <s v="YSN-SSA"/>
    <x v="0"/>
  </r>
  <r>
    <s v="CLICTRUCK-047261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69"/>
    <s v="domestic"/>
    <x v="82"/>
    <x v="30"/>
    <n v="290875000"/>
    <n v="27750"/>
    <d v="2023-04-10T00:00:00"/>
    <s v="PAID"/>
    <x v="33"/>
    <n v="12914850"/>
    <n v="1"/>
    <s v="Indonesia"/>
    <s v="RDD - RED"/>
    <x v="0"/>
  </r>
  <r>
    <s v="CLICTRUCK-047270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71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72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73"/>
    <s v="domestic"/>
    <x v="82"/>
    <x v="9"/>
    <n v="340060"/>
    <n v="24975"/>
    <d v="2023-04-27T00:00:00"/>
    <s v="UNPAID"/>
    <x v="9"/>
    <n v="11323"/>
    <n v="1"/>
    <s v="Indonesia"/>
    <s v="YSN-SSA"/>
    <x v="0"/>
  </r>
  <r>
    <s v="CLICTRUCK-047274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75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76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77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78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79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80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81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82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83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84"/>
    <s v="domestic"/>
    <x v="82"/>
    <x v="34"/>
    <n v="7500000"/>
    <n v="25000"/>
    <m/>
    <s v="PENDING APPROVAL"/>
    <x v="27"/>
    <n v="0"/>
    <n v="1"/>
    <s v="Indonesia"/>
    <s v="MTL - TJA"/>
    <x v="1"/>
  </r>
  <r>
    <s v="CLICTRUCK-047285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86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87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88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89"/>
    <s v="domestic"/>
    <x v="82"/>
    <x v="34"/>
    <n v="7500000"/>
    <n v="27750"/>
    <d v="2023-04-10T00:00:00"/>
    <s v="UNPAID"/>
    <x v="27"/>
    <n v="208125"/>
    <n v="1"/>
    <s v="Indonesia"/>
    <s v="MTL - TJA"/>
    <x v="0"/>
  </r>
  <r>
    <s v="CLICTRUCK-047290"/>
    <s v="domestic"/>
    <x v="82"/>
    <x v="34"/>
    <n v="7500000"/>
    <n v="25000"/>
    <m/>
    <s v="DELIVERED"/>
    <x v="27"/>
    <n v="0"/>
    <n v="1"/>
    <s v="Indonesia"/>
    <s v="MTL - TJA"/>
    <x v="1"/>
  </r>
  <r>
    <s v="CLICTRUCK-047291"/>
    <s v="domestic"/>
    <x v="82"/>
    <x v="21"/>
    <n v="1400000"/>
    <n v="13875"/>
    <d v="2023-04-12T00:00:00"/>
    <s v="PAID"/>
    <x v="23"/>
    <n v="38850"/>
    <n v="1"/>
    <s v="Indonesia"/>
    <s v="MJE - ATL"/>
    <x v="0"/>
  </r>
  <r>
    <s v="CLICTRUCK-047292"/>
    <s v="domestic"/>
    <x v="82"/>
    <x v="21"/>
    <n v="1400000"/>
    <n v="13875"/>
    <d v="2023-04-30T00:00:00"/>
    <s v="UNPAID"/>
    <x v="23"/>
    <n v="38850"/>
    <n v="1"/>
    <s v="Indonesia"/>
    <s v="MJE - ATL"/>
    <x v="0"/>
  </r>
  <r>
    <s v="CLICTRUCK-047305"/>
    <s v="domestic"/>
    <x v="82"/>
    <x v="21"/>
    <n v="2856000"/>
    <n v="13875"/>
    <d v="2023-04-12T00:00:00"/>
    <s v="PAID"/>
    <x v="23"/>
    <n v="79254"/>
    <n v="1"/>
    <s v="Indonesia"/>
    <s v="MJE - ATL"/>
    <x v="0"/>
  </r>
  <r>
    <s v="CLICTRUCK-047306"/>
    <s v="domestic"/>
    <x v="82"/>
    <x v="21"/>
    <n v="1400000"/>
    <n v="13875"/>
    <d v="2023-04-30T00:00:00"/>
    <s v="UNPAID"/>
    <x v="23"/>
    <n v="38850"/>
    <n v="1"/>
    <s v="Indonesia"/>
    <s v="MJE - ATL"/>
    <x v="0"/>
  </r>
  <r>
    <s v="CLICTRUCK-047307"/>
    <s v="domestic"/>
    <x v="82"/>
    <x v="21"/>
    <n v="2856000"/>
    <n v="13875"/>
    <d v="2023-04-30T00:00:00"/>
    <s v="UNPAID"/>
    <x v="23"/>
    <n v="79254"/>
    <n v="1"/>
    <s v="Indonesia"/>
    <s v="MJE - ATL"/>
    <x v="0"/>
  </r>
  <r>
    <s v="CLICTRUCK-047308"/>
    <s v="domestic"/>
    <x v="82"/>
    <x v="21"/>
    <n v="1400000"/>
    <n v="13875"/>
    <d v="2023-04-30T00:00:00"/>
    <s v="UNPAID"/>
    <x v="23"/>
    <n v="38850"/>
    <n v="1"/>
    <s v="Indonesia"/>
    <s v="MJE - ATL"/>
    <x v="0"/>
  </r>
  <r>
    <s v="CLICTRUCK-047309"/>
    <s v="domestic"/>
    <x v="82"/>
    <x v="21"/>
    <n v="2856000"/>
    <n v="13875"/>
    <d v="2023-04-30T00:00:00"/>
    <s v="UNPAID"/>
    <x v="23"/>
    <n v="79254"/>
    <n v="1"/>
    <s v="Indonesia"/>
    <s v="MJE - ATL"/>
    <x v="0"/>
  </r>
  <r>
    <s v="CLICTRUCK-047310"/>
    <s v="domestic"/>
    <x v="82"/>
    <x v="21"/>
    <n v="1400000"/>
    <n v="13875"/>
    <d v="2023-04-30T00:00:00"/>
    <s v="UNPAID"/>
    <x v="23"/>
    <n v="38850"/>
    <n v="1"/>
    <s v="Indonesia"/>
    <s v="MJE - ATL"/>
    <x v="0"/>
  </r>
  <r>
    <s v="CLICTRUCK-047311"/>
    <s v="domestic"/>
    <x v="82"/>
    <x v="21"/>
    <n v="2856000"/>
    <n v="13875"/>
    <d v="2023-04-30T00:00:00"/>
    <s v="UNPAID"/>
    <x v="23"/>
    <n v="79254"/>
    <n v="1"/>
    <s v="Indonesia"/>
    <s v="MJE - ATL"/>
    <x v="0"/>
  </r>
  <r>
    <s v="CLICTRUCK-047312"/>
    <s v="domestic"/>
    <x v="82"/>
    <x v="21"/>
    <n v="1400000"/>
    <n v="13875"/>
    <d v="2023-04-30T00:00:00"/>
    <s v="UNPAID"/>
    <x v="23"/>
    <n v="38850"/>
    <n v="1"/>
    <s v="Indonesia"/>
    <s v="MJE - ATL"/>
    <x v="0"/>
  </r>
  <r>
    <s v="CLICTRUCK-047313"/>
    <s v="domestic"/>
    <x v="82"/>
    <x v="21"/>
    <n v="2856000"/>
    <n v="13875"/>
    <d v="2023-04-30T00:00:00"/>
    <s v="UNPAID"/>
    <x v="23"/>
    <n v="79254"/>
    <n v="1"/>
    <s v="Indonesia"/>
    <s v="MJE - ATL"/>
    <x v="0"/>
  </r>
  <r>
    <s v="CLICTRUCK-047314"/>
    <s v="domestic"/>
    <x v="82"/>
    <x v="21"/>
    <n v="1400000"/>
    <n v="13875"/>
    <d v="2023-04-30T00:00:00"/>
    <s v="UNPAID"/>
    <x v="23"/>
    <n v="38850"/>
    <n v="1"/>
    <s v="Indonesia"/>
    <s v="MJE - ATL"/>
    <x v="0"/>
  </r>
  <r>
    <s v="CLICTRUCK-047315"/>
    <s v="domestic"/>
    <x v="82"/>
    <x v="21"/>
    <n v="2856000"/>
    <n v="13875"/>
    <d v="2023-04-30T00:00:00"/>
    <s v="UNPAID"/>
    <x v="23"/>
    <n v="79254"/>
    <n v="1"/>
    <s v="Indonesia"/>
    <s v="MJE - ATL"/>
    <x v="0"/>
  </r>
  <r>
    <s v="CLICTRUCK-047316"/>
    <s v="domestic"/>
    <x v="82"/>
    <x v="21"/>
    <n v="1400000"/>
    <n v="13875"/>
    <d v="2023-04-30T00:00:00"/>
    <s v="UNPAID"/>
    <x v="23"/>
    <n v="38850"/>
    <n v="1"/>
    <s v="Indonesia"/>
    <s v="MJE - ATL"/>
    <x v="0"/>
  </r>
  <r>
    <s v="CLICTRUCK-047317"/>
    <s v="domestic"/>
    <x v="82"/>
    <x v="21"/>
    <n v="2856000"/>
    <n v="13875"/>
    <d v="2023-04-30T00:00:00"/>
    <s v="UNPAID"/>
    <x v="23"/>
    <n v="79254"/>
    <n v="1"/>
    <s v="Indonesia"/>
    <s v="MJE - ATL"/>
    <x v="0"/>
  </r>
  <r>
    <s v="CLICTRUCK-047318"/>
    <s v="domestic"/>
    <x v="82"/>
    <x v="21"/>
    <n v="1400000"/>
    <n v="13875"/>
    <d v="2023-04-30T00:00:00"/>
    <s v="UNPAID"/>
    <x v="23"/>
    <n v="38850"/>
    <n v="1"/>
    <s v="Indonesia"/>
    <s v="MJE - ATL"/>
    <x v="0"/>
  </r>
  <r>
    <s v="CLICTRUCK-047319"/>
    <s v="domestic"/>
    <x v="82"/>
    <x v="21"/>
    <n v="2856000"/>
    <n v="13875"/>
    <d v="2023-04-30T00:00:00"/>
    <s v="UNPAID"/>
    <x v="23"/>
    <n v="79254"/>
    <n v="1"/>
    <s v="Indonesia"/>
    <s v="MJE - ATL"/>
    <x v="0"/>
  </r>
  <r>
    <s v="CLICTRUCK-047320"/>
    <s v="domestic"/>
    <x v="82"/>
    <x v="21"/>
    <n v="1400000"/>
    <n v="13875"/>
    <d v="2023-04-30T00:00:00"/>
    <s v="UNPAID"/>
    <x v="23"/>
    <n v="38850"/>
    <n v="1"/>
    <s v="Indonesia"/>
    <s v="MJE - ATL"/>
    <x v="0"/>
  </r>
  <r>
    <s v="CLICTRUCK-047321"/>
    <s v="domestic"/>
    <x v="82"/>
    <x v="21"/>
    <n v="4097000"/>
    <n v="13875"/>
    <d v="2023-05-06T00:00:00"/>
    <s v="UNPAID"/>
    <x v="23"/>
    <n v="113691"/>
    <n v="1"/>
    <s v="Indonesia"/>
    <s v="MJE - ATL"/>
    <x v="0"/>
  </r>
  <r>
    <s v="CLICTRUCK-047322"/>
    <s v="domestic"/>
    <x v="82"/>
    <x v="21"/>
    <n v="4097000"/>
    <n v="13875"/>
    <d v="2023-05-06T00:00:00"/>
    <s v="UNPAID"/>
    <x v="23"/>
    <n v="113691"/>
    <n v="1"/>
    <s v="Indonesia"/>
    <s v="MJE - ATL"/>
    <x v="0"/>
  </r>
  <r>
    <s v="CLICTRUCK-047323"/>
    <s v="domestic"/>
    <x v="82"/>
    <x v="21"/>
    <n v="2750000"/>
    <n v="13875"/>
    <d v="2023-05-06T00:00:00"/>
    <s v="UNPAID"/>
    <x v="23"/>
    <n v="76312"/>
    <n v="1"/>
    <s v="Indonesia"/>
    <s v="MJE - ATL"/>
    <x v="0"/>
  </r>
  <r>
    <s v="CLICTRUCK-047324"/>
    <s v="domestic"/>
    <x v="82"/>
    <x v="21"/>
    <n v="4097000"/>
    <n v="13875"/>
    <d v="2023-05-06T00:00:00"/>
    <s v="UNPAID"/>
    <x v="23"/>
    <n v="113691"/>
    <n v="1"/>
    <s v="Indonesia"/>
    <s v="MJE - ATL"/>
    <x v="0"/>
  </r>
  <r>
    <s v="CLICTRUCK-047325"/>
    <s v="domestic"/>
    <x v="82"/>
    <x v="21"/>
    <n v="2750000"/>
    <n v="13875"/>
    <d v="2023-05-06T00:00:00"/>
    <s v="UNPAID"/>
    <x v="23"/>
    <n v="76312"/>
    <n v="1"/>
    <s v="Indonesia"/>
    <s v="MJE - ATL"/>
    <x v="0"/>
  </r>
  <r>
    <s v="CLICTRUCK-047328"/>
    <s v="domestic"/>
    <x v="82"/>
    <x v="21"/>
    <n v="2545500"/>
    <n v="13875"/>
    <d v="2023-05-06T00:00:00"/>
    <s v="UNPAID"/>
    <x v="23"/>
    <n v="70637"/>
    <n v="1"/>
    <s v="Indonesia"/>
    <s v="MJE - ATL"/>
    <x v="0"/>
  </r>
  <r>
    <s v="CLICTRUCK-047329"/>
    <s v="domestic"/>
    <x v="82"/>
    <x v="22"/>
    <n v="370000000"/>
    <n v="15401250"/>
    <d v="2023-04-11T00:00:00"/>
    <s v="UNPAID"/>
    <x v="24"/>
    <n v="27750"/>
    <n v="1"/>
    <s v="Indonesia"/>
    <s v="ALD - PLI"/>
    <x v="0"/>
  </r>
  <r>
    <s v="CLICTRUCK-047330"/>
    <s v="domestic"/>
    <x v="82"/>
    <x v="21"/>
    <n v="1331000"/>
    <n v="13875"/>
    <d v="2023-05-06T00:00:00"/>
    <s v="UNPAID"/>
    <x v="23"/>
    <n v="36935"/>
    <n v="1"/>
    <s v="Indonesia"/>
    <s v="MJE - ATL"/>
    <x v="0"/>
  </r>
  <r>
    <s v="CLICTRUCK-047331"/>
    <s v="domestic"/>
    <x v="83"/>
    <x v="21"/>
    <n v="2598500"/>
    <n v="13875"/>
    <d v="2023-05-06T00:00:00"/>
    <s v="UNPAID"/>
    <x v="23"/>
    <n v="72107"/>
    <n v="1"/>
    <s v="Indonesia"/>
    <s v="MJE - ATL"/>
    <x v="0"/>
  </r>
  <r>
    <s v="CLICTRUCK-047332"/>
    <s v="domestic"/>
    <x v="83"/>
    <x v="21"/>
    <n v="1331000"/>
    <n v="13875"/>
    <d v="2023-04-30T00:00:00"/>
    <s v="UNPAID"/>
    <x v="23"/>
    <n v="36935"/>
    <n v="1"/>
    <s v="Indonesia"/>
    <s v="MJE - ATL"/>
    <x v="0"/>
  </r>
  <r>
    <s v="CLICTRUCK-047333"/>
    <s v="domestic"/>
    <x v="83"/>
    <x v="21"/>
    <n v="2598500"/>
    <n v="13875"/>
    <d v="2023-05-06T00:00:00"/>
    <s v="UNPAID"/>
    <x v="23"/>
    <n v="72107"/>
    <n v="1"/>
    <s v="Indonesia"/>
    <s v="MJE - ATL"/>
    <x v="0"/>
  </r>
  <r>
    <s v="CLICTRUCK-047334"/>
    <s v="domestic"/>
    <x v="83"/>
    <x v="21"/>
    <n v="1331000"/>
    <n v="13875"/>
    <d v="2023-05-06T00:00:00"/>
    <s v="UNPAID"/>
    <x v="23"/>
    <n v="36935"/>
    <n v="1"/>
    <s v="Indonesia"/>
    <s v="MJE - ATL"/>
    <x v="0"/>
  </r>
  <r>
    <s v="CLICTRUCK-047335"/>
    <s v="domestic"/>
    <x v="83"/>
    <x v="21"/>
    <n v="4097000"/>
    <n v="13875"/>
    <d v="2023-05-06T00:00:00"/>
    <s v="UNPAID"/>
    <x v="23"/>
    <n v="113691"/>
    <n v="1"/>
    <s v="Indonesia"/>
    <s v="MJE - ATL"/>
    <x v="0"/>
  </r>
  <r>
    <s v="CLICTRUCK-047336"/>
    <s v="domestic"/>
    <x v="83"/>
    <x v="21"/>
    <n v="2750000"/>
    <n v="13875"/>
    <d v="2023-05-06T00:00:00"/>
    <s v="UNPAID"/>
    <x v="23"/>
    <n v="76312"/>
    <n v="1"/>
    <s v="Indonesia"/>
    <s v="MJE - ATL"/>
    <x v="0"/>
  </r>
  <r>
    <s v="CLICTRUCK-047337"/>
    <s v="domestic"/>
    <x v="83"/>
    <x v="21"/>
    <n v="4097000"/>
    <n v="13875"/>
    <d v="2023-04-30T00:00:00"/>
    <s v="UNPAID"/>
    <x v="23"/>
    <n v="113691"/>
    <n v="1"/>
    <s v="Indonesia"/>
    <s v="MJE - ATL"/>
    <x v="0"/>
  </r>
  <r>
    <s v="CLICTRUCK-047338"/>
    <s v="domestic"/>
    <x v="83"/>
    <x v="21"/>
    <n v="2750000"/>
    <n v="13875"/>
    <d v="2023-04-30T00:00:00"/>
    <s v="UNPAID"/>
    <x v="23"/>
    <n v="76312"/>
    <n v="1"/>
    <s v="Indonesia"/>
    <s v="MJE - ATL"/>
    <x v="0"/>
  </r>
  <r>
    <s v="CLICTRUCK-047339"/>
    <s v="domestic"/>
    <x v="83"/>
    <x v="21"/>
    <n v="4097000"/>
    <n v="13875"/>
    <d v="2023-04-30T00:00:00"/>
    <s v="UNPAID"/>
    <x v="23"/>
    <n v="113691"/>
    <n v="1"/>
    <s v="Indonesia"/>
    <s v="MJE - ATL"/>
    <x v="0"/>
  </r>
  <r>
    <s v="CLICTRUCK-047340"/>
    <s v="domestic"/>
    <x v="83"/>
    <x v="18"/>
    <n v="7000000"/>
    <n v="11100"/>
    <d v="2023-04-14T00:00:00"/>
    <s v="UNPAID"/>
    <x v="20"/>
    <n v="194250"/>
    <n v="1"/>
    <s v="Indonesia"/>
    <s v="CSN - PSL"/>
    <x v="0"/>
  </r>
  <r>
    <s v="CLICTRUCK-047341"/>
    <s v="domestic"/>
    <x v="83"/>
    <x v="18"/>
    <n v="7000000"/>
    <n v="11100"/>
    <d v="2023-04-14T00:00:00"/>
    <s v="UNPAID"/>
    <x v="20"/>
    <n v="194250"/>
    <n v="1"/>
    <s v="Indonesia"/>
    <s v="CSN - PSL"/>
    <x v="0"/>
  </r>
  <r>
    <s v="CLICTRUCK-047342"/>
    <s v="domestic"/>
    <x v="83"/>
    <x v="18"/>
    <n v="7000000"/>
    <n v="11100"/>
    <d v="2023-04-14T00:00:00"/>
    <s v="UNPAID"/>
    <x v="20"/>
    <n v="194250"/>
    <n v="1"/>
    <s v="Indonesia"/>
    <s v="CSN - PSL"/>
    <x v="0"/>
  </r>
  <r>
    <s v="CLICTRUCK-047343"/>
    <s v="domestic"/>
    <x v="83"/>
    <x v="18"/>
    <n v="7000000"/>
    <n v="11100"/>
    <d v="2023-04-14T00:00:00"/>
    <s v="UNPAID"/>
    <x v="20"/>
    <n v="194250"/>
    <n v="1"/>
    <s v="Indonesia"/>
    <s v="CSN - PSL"/>
    <x v="0"/>
  </r>
  <r>
    <s v="CLICTRUCK-047344"/>
    <s v="domestic"/>
    <x v="83"/>
    <x v="18"/>
    <n v="7000000"/>
    <n v="11100"/>
    <d v="2023-04-14T00:00:00"/>
    <s v="UNPAID"/>
    <x v="20"/>
    <n v="194250"/>
    <n v="1"/>
    <s v="Indonesia"/>
    <s v="CSN - PSL"/>
    <x v="0"/>
  </r>
  <r>
    <s v="CLICTRUCK-047345"/>
    <s v="domestic"/>
    <x v="83"/>
    <x v="18"/>
    <n v="6300000"/>
    <n v="11100"/>
    <d v="2023-04-14T00:00:00"/>
    <s v="UNPAID"/>
    <x v="20"/>
    <n v="174825"/>
    <n v="1"/>
    <s v="Indonesia"/>
    <s v="CSN - PSL"/>
    <x v="0"/>
  </r>
  <r>
    <s v="CLICTRUCK-047346"/>
    <s v="domestic"/>
    <x v="83"/>
    <x v="21"/>
    <n v="4097000"/>
    <n v="13875"/>
    <d v="2023-04-30T00:00:00"/>
    <s v="UNPAID"/>
    <x v="23"/>
    <n v="113691"/>
    <n v="1"/>
    <s v="Indonesia"/>
    <s v="MJE - ATL"/>
    <x v="0"/>
  </r>
  <r>
    <s v="CLICTRUCK-047347"/>
    <s v="domestic"/>
    <x v="83"/>
    <x v="21"/>
    <n v="2750000"/>
    <n v="13875"/>
    <d v="2023-04-30T00:00:00"/>
    <s v="UNPAID"/>
    <x v="23"/>
    <n v="76312"/>
    <n v="1"/>
    <s v="Indonesia"/>
    <s v="MJE - ATL"/>
    <x v="0"/>
  </r>
  <r>
    <s v="CLICTRUCK-047348"/>
    <s v="domestic"/>
    <x v="83"/>
    <x v="9"/>
    <n v="496775"/>
    <n v="22500"/>
    <m/>
    <s v="PENDING APPROVAL"/>
    <x v="34"/>
    <n v="0"/>
    <n v="2"/>
    <s v="Indonesia"/>
    <s v="YSN - PPT"/>
    <x v="1"/>
  </r>
  <r>
    <s v="CLICTRUCK-047349"/>
    <s v="domestic"/>
    <x v="83"/>
    <x v="9"/>
    <n v="399350"/>
    <n v="24975"/>
    <d v="2023-04-27T00:00:00"/>
    <s v="UNPAID"/>
    <x v="9"/>
    <n v="13297"/>
    <n v="1"/>
    <s v="Indonesia"/>
    <s v="YSN-SSA"/>
    <x v="0"/>
  </r>
  <r>
    <s v="CLICTRUCK-047350"/>
    <s v="domestic"/>
    <x v="83"/>
    <x v="32"/>
    <n v="3600000"/>
    <n v="27750"/>
    <d v="2023-04-16T00:00:00"/>
    <s v="PAID"/>
    <x v="36"/>
    <n v="99900"/>
    <n v="1"/>
    <s v="Indonesia"/>
    <s v="SPM - BTS"/>
    <x v="0"/>
  </r>
  <r>
    <s v="CLICTRUCK-047353"/>
    <s v="domestic"/>
    <x v="83"/>
    <x v="32"/>
    <n v="3500000"/>
    <n v="27750"/>
    <d v="2023-04-16T00:00:00"/>
    <s v="PAID"/>
    <x v="36"/>
    <n v="97125"/>
    <n v="1"/>
    <s v="Indonesia"/>
    <s v="SPM - BTS"/>
    <x v="0"/>
  </r>
  <r>
    <s v="CLICTRUCK-047354"/>
    <s v="domestic"/>
    <x v="83"/>
    <x v="32"/>
    <n v="3500000"/>
    <n v="27750"/>
    <d v="2023-04-16T00:00:00"/>
    <s v="PAID"/>
    <x v="36"/>
    <n v="97125"/>
    <n v="1"/>
    <s v="Indonesia"/>
    <s v="SPM - BTS"/>
    <x v="0"/>
  </r>
  <r>
    <s v="CLICTRUCK-047355"/>
    <s v="domestic"/>
    <x v="83"/>
    <x v="7"/>
    <n v="45000000"/>
    <n v="22200"/>
    <d v="2023-04-11T00:00:00"/>
    <s v="UNPAID"/>
    <x v="6"/>
    <n v="1248750"/>
    <n v="1"/>
    <s v="Indonesia"/>
    <s v="IFI - IKI"/>
    <x v="0"/>
  </r>
  <r>
    <s v="CLICTRUCK-047356"/>
    <s v="domestic"/>
    <x v="83"/>
    <x v="7"/>
    <n v="45000000"/>
    <n v="22200"/>
    <d v="2023-04-11T00:00:00"/>
    <s v="UNPAID"/>
    <x v="6"/>
    <n v="1248750"/>
    <n v="1"/>
    <s v="Indonesia"/>
    <s v="IFI - IKI"/>
    <x v="0"/>
  </r>
  <r>
    <s v="CLICTRUCK-047357"/>
    <s v="domestic"/>
    <x v="83"/>
    <x v="7"/>
    <n v="59860000"/>
    <n v="22200"/>
    <d v="2023-04-11T00:00:00"/>
    <s v="UNPAID"/>
    <x v="6"/>
    <n v="1661115"/>
    <n v="1"/>
    <s v="Indonesia"/>
    <s v="IFI - IKI"/>
    <x v="0"/>
  </r>
  <r>
    <s v="CLICTRUCK-047358"/>
    <s v="domestic"/>
    <x v="83"/>
    <x v="7"/>
    <n v="45000000"/>
    <n v="22200"/>
    <d v="2023-04-11T00:00:00"/>
    <s v="UNPAID"/>
    <x v="6"/>
    <n v="1248750"/>
    <n v="1"/>
    <s v="Indonesia"/>
    <s v="IFI - IKI"/>
    <x v="0"/>
  </r>
  <r>
    <s v="CLICTRUCK-047359"/>
    <s v="domestic"/>
    <x v="83"/>
    <x v="7"/>
    <n v="45000000"/>
    <n v="22200"/>
    <d v="2023-04-11T00:00:00"/>
    <s v="UNPAID"/>
    <x v="6"/>
    <n v="1248750"/>
    <n v="1"/>
    <s v="Indonesia"/>
    <s v="IFI - IKI"/>
    <x v="0"/>
  </r>
  <r>
    <s v="CLICTRUCK-047360"/>
    <s v="domestic"/>
    <x v="83"/>
    <x v="7"/>
    <n v="59860000"/>
    <n v="22200"/>
    <d v="2023-04-11T00:00:00"/>
    <s v="UNPAID"/>
    <x v="6"/>
    <n v="1661115"/>
    <n v="1"/>
    <s v="Indonesia"/>
    <s v="IFI - IKI"/>
    <x v="0"/>
  </r>
  <r>
    <s v="CLICTRUCK-047379"/>
    <s v="domestic"/>
    <x v="83"/>
    <x v="32"/>
    <n v="3150000"/>
    <n v="27750"/>
    <d v="2023-04-16T00:00:00"/>
    <s v="PAID"/>
    <x v="36"/>
    <n v="87412"/>
    <n v="1"/>
    <s v="Indonesia"/>
    <s v="SPM - BTS"/>
    <x v="0"/>
  </r>
  <r>
    <s v="CLICTRUCK-047380"/>
    <s v="domestic"/>
    <x v="83"/>
    <x v="32"/>
    <n v="2850000"/>
    <n v="27750"/>
    <d v="2023-04-16T00:00:00"/>
    <s v="PAID"/>
    <x v="36"/>
    <n v="79087"/>
    <n v="1"/>
    <s v="Indonesia"/>
    <s v="SPM - BTS"/>
    <x v="0"/>
  </r>
  <r>
    <s v="CLICTRUCK-047381"/>
    <s v="domestic"/>
    <x v="83"/>
    <x v="9"/>
    <n v="508200"/>
    <n v="22500"/>
    <m/>
    <s v="PENDING APPROVAL"/>
    <x v="34"/>
    <n v="0"/>
    <n v="1"/>
    <s v="Indonesia"/>
    <s v="YSN - PPT"/>
    <x v="1"/>
  </r>
  <r>
    <s v="CLICTRUCK-047382"/>
    <s v="domestic"/>
    <x v="83"/>
    <x v="11"/>
    <n v="11607948"/>
    <n v="5550"/>
    <d v="2023-04-14T00:00:00"/>
    <s v="UNPAID"/>
    <x v="11"/>
    <n v="579816"/>
    <n v="1"/>
    <s v="Indonesia"/>
    <s v="TJL - JPP"/>
    <x v="0"/>
  </r>
  <r>
    <s v="CLICTRUCK-047383"/>
    <s v="domestic"/>
    <x v="83"/>
    <x v="11"/>
    <n v="16912888"/>
    <n v="5550"/>
    <d v="2023-04-14T00:00:00"/>
    <s v="UNPAID"/>
    <x v="11"/>
    <n v="844797"/>
    <n v="1"/>
    <s v="Indonesia"/>
    <s v="TJL - JPP"/>
    <x v="0"/>
  </r>
  <r>
    <s v="CLICTRUCK-047384"/>
    <s v="domestic"/>
    <x v="83"/>
    <x v="11"/>
    <n v="5293450"/>
    <n v="5550"/>
    <d v="2023-04-14T00:00:00"/>
    <s v="UNPAID"/>
    <x v="11"/>
    <n v="264407"/>
    <n v="1"/>
    <s v="Indonesia"/>
    <s v="TJL - JPP"/>
    <x v="0"/>
  </r>
  <r>
    <s v="CLICTRUCK-047385"/>
    <s v="domestic"/>
    <x v="83"/>
    <x v="11"/>
    <n v="5293450"/>
    <n v="5550"/>
    <d v="2023-04-14T00:00:00"/>
    <s v="UNPAID"/>
    <x v="11"/>
    <n v="264407"/>
    <n v="1"/>
    <s v="Indonesia"/>
    <s v="TJL - JPP"/>
    <x v="0"/>
  </r>
  <r>
    <s v="CLICTRUCK-047388"/>
    <s v="domestic"/>
    <x v="83"/>
    <x v="11"/>
    <n v="5253660"/>
    <n v="5550"/>
    <d v="2023-04-14T00:00:00"/>
    <s v="UNPAID"/>
    <x v="11"/>
    <n v="262419"/>
    <n v="1"/>
    <s v="Indonesia"/>
    <s v="TJL - JPP"/>
    <x v="0"/>
  </r>
  <r>
    <s v="CLICTRUCK-047392"/>
    <s v="domestic"/>
    <x v="83"/>
    <x v="32"/>
    <n v="3500000"/>
    <n v="27750"/>
    <d v="2023-04-16T00:00:00"/>
    <s v="PAID"/>
    <x v="36"/>
    <n v="97125"/>
    <n v="1"/>
    <s v="Indonesia"/>
    <s v="SPM - BTS"/>
    <x v="0"/>
  </r>
  <r>
    <s v="CLICTRUCK-047395"/>
    <s v="domestic"/>
    <x v="83"/>
    <x v="11"/>
    <n v="5293450"/>
    <n v="5550"/>
    <d v="2023-04-14T00:00:00"/>
    <s v="UNPAID"/>
    <x v="11"/>
    <n v="264407"/>
    <n v="1"/>
    <s v="Indonesia"/>
    <s v="TJL - JPP"/>
    <x v="0"/>
  </r>
  <r>
    <s v="CLICTRUCK-047396"/>
    <s v="domestic"/>
    <x v="83"/>
    <x v="11"/>
    <n v="5511950"/>
    <n v="5550"/>
    <d v="2023-04-14T00:00:00"/>
    <s v="UNPAID"/>
    <x v="11"/>
    <n v="275321"/>
    <n v="1"/>
    <s v="Indonesia"/>
    <s v="TJL - JPP"/>
    <x v="0"/>
  </r>
  <r>
    <s v="CLICTRUCK-047397"/>
    <s v="domestic"/>
    <x v="83"/>
    <x v="11"/>
    <n v="5511950"/>
    <n v="5550"/>
    <d v="2023-04-14T00:00:00"/>
    <s v="UNPAID"/>
    <x v="11"/>
    <n v="275321"/>
    <n v="1"/>
    <s v="Indonesia"/>
    <s v="TJL - JPP"/>
    <x v="0"/>
  </r>
  <r>
    <s v="CLICTRUCK-047398"/>
    <s v="domestic"/>
    <x v="83"/>
    <x v="11"/>
    <n v="5511950"/>
    <n v="5550"/>
    <d v="2023-04-14T00:00:00"/>
    <s v="UNPAID"/>
    <x v="11"/>
    <n v="275321"/>
    <n v="1"/>
    <s v="Indonesia"/>
    <s v="TJL - JPP"/>
    <x v="0"/>
  </r>
  <r>
    <s v="CLICTRUCK-047399"/>
    <s v="domestic"/>
    <x v="83"/>
    <x v="11"/>
    <n v="5511950"/>
    <n v="5550"/>
    <d v="2023-04-14T00:00:00"/>
    <s v="UNPAID"/>
    <x v="11"/>
    <n v="275321"/>
    <n v="1"/>
    <s v="Indonesia"/>
    <s v="TJL - JPP"/>
    <x v="0"/>
  </r>
  <r>
    <s v="CLICTRUCK-047400"/>
    <s v="domestic"/>
    <x v="83"/>
    <x v="11"/>
    <n v="6549825"/>
    <n v="5550"/>
    <d v="2023-04-14T00:00:00"/>
    <s v="UNPAID"/>
    <x v="11"/>
    <n v="327163"/>
    <n v="1"/>
    <s v="Indonesia"/>
    <s v="TJL - JPP"/>
    <x v="0"/>
  </r>
  <r>
    <s v="CLICTRUCK-047401"/>
    <s v="domestic"/>
    <x v="83"/>
    <x v="11"/>
    <n v="5511950"/>
    <n v="5550"/>
    <d v="2023-04-14T00:00:00"/>
    <s v="UNPAID"/>
    <x v="11"/>
    <n v="275321"/>
    <n v="1"/>
    <s v="Indonesia"/>
    <s v="TJL - JPP"/>
    <x v="0"/>
  </r>
  <r>
    <s v="CLICTRUCK-047402"/>
    <s v="domestic"/>
    <x v="83"/>
    <x v="11"/>
    <n v="5511950"/>
    <n v="5550"/>
    <d v="2023-04-14T00:00:00"/>
    <s v="UNPAID"/>
    <x v="11"/>
    <n v="275321"/>
    <n v="1"/>
    <s v="Indonesia"/>
    <s v="TJL - JPP"/>
    <x v="0"/>
  </r>
  <r>
    <s v="CLICTRUCK-047403"/>
    <s v="domestic"/>
    <x v="83"/>
    <x v="11"/>
    <n v="5370300"/>
    <n v="5550"/>
    <d v="2023-04-14T00:00:00"/>
    <s v="UNPAID"/>
    <x v="11"/>
    <n v="268245"/>
    <n v="1"/>
    <s v="Indonesia"/>
    <s v="TJL - JPP"/>
    <x v="0"/>
  </r>
  <r>
    <s v="CLICTRUCK-047404"/>
    <s v="domestic"/>
    <x v="83"/>
    <x v="11"/>
    <n v="5226750"/>
    <n v="5550"/>
    <d v="2023-05-17T00:00:00"/>
    <s v="UNPAID"/>
    <x v="11"/>
    <n v="261075"/>
    <n v="1"/>
    <s v="Indonesia"/>
    <s v="TJL - JPP"/>
    <x v="0"/>
  </r>
  <r>
    <s v="CLICTRUCK-047405"/>
    <s v="domestic"/>
    <x v="83"/>
    <x v="11"/>
    <n v="6547410"/>
    <n v="5550"/>
    <d v="2023-05-17T00:00:00"/>
    <s v="UNPAID"/>
    <x v="11"/>
    <n v="327042"/>
    <n v="1"/>
    <s v="Indonesia"/>
    <s v="TJL - JPP"/>
    <x v="0"/>
  </r>
  <r>
    <s v="CLICTRUCK-047406"/>
    <s v="domestic"/>
    <x v="83"/>
    <x v="11"/>
    <n v="13541825"/>
    <n v="5550"/>
    <d v="2023-04-14T00:00:00"/>
    <s v="UNPAID"/>
    <x v="11"/>
    <n v="676414"/>
    <n v="1"/>
    <s v="Indonesia"/>
    <s v="TJL - JPP"/>
    <x v="0"/>
  </r>
  <r>
    <s v="CLICTRUCK-047407"/>
    <s v="domestic"/>
    <x v="83"/>
    <x v="11"/>
    <n v="13541825"/>
    <n v="5550"/>
    <d v="2023-04-14T00:00:00"/>
    <s v="UNPAID"/>
    <x v="11"/>
    <n v="676414"/>
    <n v="1"/>
    <s v="Indonesia"/>
    <s v="TJL - JPP"/>
    <x v="0"/>
  </r>
  <r>
    <s v="CLICTRUCK-047414"/>
    <s v="domestic"/>
    <x v="83"/>
    <x v="11"/>
    <n v="13800000"/>
    <n v="5550"/>
    <d v="2023-04-14T00:00:00"/>
    <s v="UNPAID"/>
    <x v="11"/>
    <n v="689310"/>
    <n v="1"/>
    <s v="Indonesia"/>
    <s v="TJL - JPP"/>
    <x v="0"/>
  </r>
  <r>
    <s v="CLICTRUCK-047415"/>
    <s v="domestic"/>
    <x v="83"/>
    <x v="11"/>
    <n v="18400000"/>
    <n v="5550"/>
    <d v="2023-04-14T00:00:00"/>
    <s v="UNPAID"/>
    <x v="11"/>
    <n v="919080"/>
    <n v="1"/>
    <s v="Indonesia"/>
    <s v="TJL - JPP"/>
    <x v="0"/>
  </r>
  <r>
    <s v="CLICTRUCK-047416"/>
    <s v="domestic"/>
    <x v="83"/>
    <x v="11"/>
    <n v="12420000"/>
    <n v="5550"/>
    <d v="2023-04-14T00:00:00"/>
    <s v="UNPAID"/>
    <x v="11"/>
    <n v="620379"/>
    <n v="1"/>
    <s v="Indonesia"/>
    <s v="TJL - JPP"/>
    <x v="0"/>
  </r>
  <r>
    <s v="CLICTRUCK-047418"/>
    <s v="domestic"/>
    <x v="83"/>
    <x v="11"/>
    <n v="14950000"/>
    <n v="5550"/>
    <d v="2023-04-14T00:00:00"/>
    <s v="UNPAID"/>
    <x v="11"/>
    <n v="746752"/>
    <n v="1"/>
    <s v="Indonesia"/>
    <s v="TJL - JPP"/>
    <x v="0"/>
  </r>
  <r>
    <s v="CLICTRUCK-047419"/>
    <s v="domestic"/>
    <x v="83"/>
    <x v="11"/>
    <n v="15525000"/>
    <n v="5550"/>
    <d v="2023-04-14T00:00:00"/>
    <s v="UNPAID"/>
    <x v="11"/>
    <n v="775473"/>
    <n v="1"/>
    <s v="Indonesia"/>
    <s v="TJL - JPP"/>
    <x v="0"/>
  </r>
  <r>
    <s v="CLICTRUCK-047420"/>
    <s v="domestic"/>
    <x v="83"/>
    <x v="11"/>
    <n v="22425000"/>
    <n v="5550"/>
    <d v="2023-04-14T00:00:00"/>
    <s v="UNPAID"/>
    <x v="11"/>
    <n v="1120128"/>
    <n v="1"/>
    <s v="Indonesia"/>
    <s v="TJL - JPP"/>
    <x v="0"/>
  </r>
  <r>
    <s v="CLICTRUCK-047421"/>
    <s v="domestic"/>
    <x v="83"/>
    <x v="11"/>
    <n v="12075000"/>
    <n v="5550"/>
    <d v="2023-04-14T00:00:00"/>
    <s v="UNPAID"/>
    <x v="11"/>
    <n v="603146"/>
    <n v="1"/>
    <s v="Indonesia"/>
    <s v="TJL - JPP"/>
    <x v="0"/>
  </r>
  <r>
    <s v="CLICTRUCK-047422"/>
    <s v="domestic"/>
    <x v="83"/>
    <x v="11"/>
    <n v="16675000"/>
    <n v="5550"/>
    <d v="2023-04-14T00:00:00"/>
    <s v="UNPAID"/>
    <x v="11"/>
    <n v="832916"/>
    <n v="1"/>
    <s v="Indonesia"/>
    <s v="TJL - JPP"/>
    <x v="0"/>
  </r>
  <r>
    <s v="CLICTRUCK-047423"/>
    <s v="domestic"/>
    <x v="83"/>
    <x v="11"/>
    <n v="14950000"/>
    <n v="5550"/>
    <d v="2023-04-14T00:00:00"/>
    <s v="UNPAID"/>
    <x v="11"/>
    <n v="746752"/>
    <n v="1"/>
    <s v="Indonesia"/>
    <s v="TJL - JPP"/>
    <x v="0"/>
  </r>
  <r>
    <s v="CLICTRUCK-047424"/>
    <s v="domestic"/>
    <x v="83"/>
    <x v="11"/>
    <n v="18975000"/>
    <n v="5550"/>
    <d v="2023-04-14T00:00:00"/>
    <s v="UNPAID"/>
    <x v="11"/>
    <n v="947801"/>
    <n v="1"/>
    <s v="Indonesia"/>
    <s v="TJL - JPP"/>
    <x v="0"/>
  </r>
  <r>
    <s v="CLICTRUCK-047425"/>
    <s v="domestic"/>
    <x v="83"/>
    <x v="11"/>
    <n v="5750000"/>
    <n v="5550"/>
    <d v="2023-04-14T00:00:00"/>
    <s v="UNPAID"/>
    <x v="11"/>
    <n v="287212"/>
    <n v="1"/>
    <s v="Indonesia"/>
    <s v="TJL - JPP"/>
    <x v="0"/>
  </r>
  <r>
    <s v="CLICTRUCK-047426"/>
    <s v="domestic"/>
    <x v="83"/>
    <x v="11"/>
    <n v="2200000"/>
    <n v="5550"/>
    <d v="2023-04-14T00:00:00"/>
    <s v="UNPAID"/>
    <x v="11"/>
    <n v="109890"/>
    <n v="1"/>
    <s v="Indonesia"/>
    <s v="TJL - JPP"/>
    <x v="0"/>
  </r>
  <r>
    <s v="CLICTRUCK-047427"/>
    <s v="domestic"/>
    <x v="83"/>
    <x v="11"/>
    <n v="18975000"/>
    <n v="5550"/>
    <d v="2023-04-14T00:00:00"/>
    <s v="UNPAID"/>
    <x v="11"/>
    <n v="947801"/>
    <n v="1"/>
    <s v="Indonesia"/>
    <s v="TJL - JPP"/>
    <x v="0"/>
  </r>
  <r>
    <s v="CLICTRUCK-047429"/>
    <s v="domestic"/>
    <x v="83"/>
    <x v="11"/>
    <n v="18975000"/>
    <n v="5550"/>
    <d v="2023-04-14T00:00:00"/>
    <s v="UNPAID"/>
    <x v="11"/>
    <n v="947801"/>
    <n v="1"/>
    <s v="Indonesia"/>
    <s v="TJL - JPP"/>
    <x v="0"/>
  </r>
  <r>
    <s v="CLICTRUCK-047431"/>
    <s v="domestic"/>
    <x v="83"/>
    <x v="11"/>
    <n v="19550000"/>
    <n v="5550"/>
    <d v="2023-04-14T00:00:00"/>
    <s v="UNPAID"/>
    <x v="11"/>
    <n v="976522"/>
    <n v="1"/>
    <s v="Indonesia"/>
    <s v="TJL - JPP"/>
    <x v="0"/>
  </r>
  <r>
    <s v="CLICTRUCK-047432"/>
    <s v="domestic"/>
    <x v="83"/>
    <x v="11"/>
    <n v="19550000"/>
    <n v="5550"/>
    <d v="2023-04-14T00:00:00"/>
    <s v="UNPAID"/>
    <x v="11"/>
    <n v="976522"/>
    <n v="1"/>
    <s v="Indonesia"/>
    <s v="TJL - JPP"/>
    <x v="0"/>
  </r>
  <r>
    <s v="CLICTRUCK-047433"/>
    <s v="domestic"/>
    <x v="83"/>
    <x v="11"/>
    <n v="13225000"/>
    <n v="5550"/>
    <d v="2023-04-14T00:00:00"/>
    <s v="UNPAID"/>
    <x v="11"/>
    <n v="660588"/>
    <n v="1"/>
    <s v="Indonesia"/>
    <s v="TJL - JPP"/>
    <x v="0"/>
  </r>
  <r>
    <s v="CLICTRUCK-047434"/>
    <s v="domestic"/>
    <x v="83"/>
    <x v="11"/>
    <n v="19550000"/>
    <n v="5550"/>
    <d v="2023-04-14T00:00:00"/>
    <s v="UNPAID"/>
    <x v="11"/>
    <n v="976522"/>
    <n v="1"/>
    <s v="Indonesia"/>
    <s v="TJL - JPP"/>
    <x v="0"/>
  </r>
  <r>
    <s v="CLICTRUCK-047435"/>
    <s v="domestic"/>
    <x v="83"/>
    <x v="11"/>
    <n v="13110000"/>
    <n v="5550"/>
    <d v="2023-04-14T00:00:00"/>
    <s v="UNPAID"/>
    <x v="11"/>
    <n v="654844"/>
    <n v="1"/>
    <s v="Indonesia"/>
    <s v="TJL - JPP"/>
    <x v="0"/>
  </r>
  <r>
    <s v="CLICTRUCK-047436"/>
    <s v="domestic"/>
    <x v="83"/>
    <x v="11"/>
    <n v="20930000"/>
    <n v="5550"/>
    <d v="2023-04-14T00:00:00"/>
    <s v="UNPAID"/>
    <x v="11"/>
    <n v="1045453"/>
    <n v="1"/>
    <s v="Indonesia"/>
    <s v="TJL - JPP"/>
    <x v="0"/>
  </r>
  <r>
    <s v="CLICTRUCK-047437"/>
    <s v="domestic"/>
    <x v="83"/>
    <x v="11"/>
    <n v="12535000"/>
    <n v="5550"/>
    <d v="2023-04-14T00:00:00"/>
    <s v="UNPAID"/>
    <x v="11"/>
    <n v="626123"/>
    <n v="1"/>
    <s v="Indonesia"/>
    <s v="TJL - JPP"/>
    <x v="0"/>
  </r>
  <r>
    <s v="CLICTRUCK-047438"/>
    <s v="domestic"/>
    <x v="83"/>
    <x v="9"/>
    <n v="294000"/>
    <n v="24975"/>
    <d v="2023-04-27T00:00:00"/>
    <s v="UNPAID"/>
    <x v="9"/>
    <n v="9790"/>
    <n v="1"/>
    <s v="Indonesia"/>
    <s v="YSN-SSA"/>
    <x v="0"/>
  </r>
  <r>
    <s v="CLICTRUCK-047439"/>
    <s v="domestic"/>
    <x v="83"/>
    <x v="11"/>
    <n v="18400000"/>
    <n v="5550"/>
    <d v="2023-04-14T00:00:00"/>
    <s v="UNPAID"/>
    <x v="11"/>
    <n v="919080"/>
    <n v="1"/>
    <s v="Indonesia"/>
    <s v="TJL - JPP"/>
    <x v="0"/>
  </r>
  <r>
    <s v="CLICTRUCK-047440"/>
    <s v="domestic"/>
    <x v="83"/>
    <x v="11"/>
    <n v="19550000"/>
    <n v="5550"/>
    <d v="2023-04-14T00:00:00"/>
    <s v="UNPAID"/>
    <x v="11"/>
    <n v="976522"/>
    <n v="1"/>
    <s v="Indonesia"/>
    <s v="TJL - JPP"/>
    <x v="0"/>
  </r>
  <r>
    <s v="CLICTRUCK-047441"/>
    <s v="domestic"/>
    <x v="83"/>
    <x v="11"/>
    <n v="9200000"/>
    <n v="5550"/>
    <d v="2023-04-14T00:00:00"/>
    <s v="UNPAID"/>
    <x v="11"/>
    <n v="459540"/>
    <n v="1"/>
    <s v="Indonesia"/>
    <s v="TJL - JPP"/>
    <x v="0"/>
  </r>
  <r>
    <s v="CLICTRUCK-047442"/>
    <s v="domestic"/>
    <x v="83"/>
    <x v="9"/>
    <n v="938225"/>
    <n v="22500"/>
    <m/>
    <s v="PENDING APPROVAL"/>
    <x v="34"/>
    <n v="0"/>
    <n v="1"/>
    <s v="Indonesia"/>
    <s v="YSN - PPT"/>
    <x v="1"/>
  </r>
  <r>
    <s v="CLICTRUCK-047443"/>
    <s v="domestic"/>
    <x v="83"/>
    <x v="11"/>
    <n v="21275000"/>
    <n v="5550"/>
    <d v="2023-04-14T00:00:00"/>
    <s v="UNPAID"/>
    <x v="11"/>
    <n v="1062686"/>
    <n v="1"/>
    <s v="Indonesia"/>
    <s v="TJL - JPP"/>
    <x v="0"/>
  </r>
  <r>
    <s v="CLICTRUCK-047444"/>
    <s v="domestic"/>
    <x v="83"/>
    <x v="11"/>
    <n v="12420000"/>
    <n v="5550"/>
    <d v="2023-04-14T00:00:00"/>
    <s v="UNPAID"/>
    <x v="11"/>
    <n v="620379"/>
    <n v="1"/>
    <s v="Indonesia"/>
    <s v="TJL - JPP"/>
    <x v="0"/>
  </r>
  <r>
    <s v="CLICTRUCK-047445"/>
    <s v="domestic"/>
    <x v="83"/>
    <x v="11"/>
    <n v="30590000"/>
    <n v="5550"/>
    <d v="2023-04-14T00:00:00"/>
    <s v="UNPAID"/>
    <x v="11"/>
    <n v="1527970"/>
    <n v="1"/>
    <s v="Indonesia"/>
    <s v="TJL - JPP"/>
    <x v="0"/>
  </r>
  <r>
    <s v="CLICTRUCK-047446"/>
    <s v="domestic"/>
    <x v="83"/>
    <x v="11"/>
    <n v="12650000"/>
    <n v="5550"/>
    <d v="2023-04-14T00:00:00"/>
    <s v="UNPAID"/>
    <x v="11"/>
    <n v="631867"/>
    <n v="1"/>
    <s v="Indonesia"/>
    <s v="TJL - JPP"/>
    <x v="0"/>
  </r>
  <r>
    <s v="CLICTRUCK-047447"/>
    <s v="domestic"/>
    <x v="83"/>
    <x v="11"/>
    <n v="11500000"/>
    <n v="5550"/>
    <d v="2023-04-14T00:00:00"/>
    <s v="UNPAID"/>
    <x v="11"/>
    <n v="574425"/>
    <n v="1"/>
    <s v="Indonesia"/>
    <s v="TJL - JPP"/>
    <x v="0"/>
  </r>
  <r>
    <s v="CLICTRUCK-047448"/>
    <s v="domestic"/>
    <x v="83"/>
    <x v="11"/>
    <n v="23000000"/>
    <n v="5550"/>
    <d v="2023-04-14T00:00:00"/>
    <s v="UNPAID"/>
    <x v="11"/>
    <n v="1148850"/>
    <n v="1"/>
    <s v="Indonesia"/>
    <s v="TJL - JPP"/>
    <x v="0"/>
  </r>
  <r>
    <s v="CLICTRUCK-047449"/>
    <s v="domestic"/>
    <x v="83"/>
    <x v="9"/>
    <n v="294490"/>
    <n v="24975"/>
    <d v="2023-04-27T00:00:00"/>
    <s v="UNPAID"/>
    <x v="9"/>
    <n v="9805"/>
    <n v="1"/>
    <s v="Indonesia"/>
    <s v="YSN-SSA"/>
    <x v="0"/>
  </r>
  <r>
    <s v="CLICTRUCK-047450"/>
    <s v="domestic"/>
    <x v="83"/>
    <x v="11"/>
    <n v="6210000"/>
    <n v="5550"/>
    <d v="2023-04-14T00:00:00"/>
    <s v="UNPAID"/>
    <x v="11"/>
    <n v="310189"/>
    <n v="1"/>
    <s v="Indonesia"/>
    <s v="TJL - JPP"/>
    <x v="0"/>
  </r>
  <r>
    <s v="CLICTRUCK-047451"/>
    <s v="domestic"/>
    <x v="83"/>
    <x v="11"/>
    <n v="9200000"/>
    <n v="5550"/>
    <d v="2023-04-14T00:00:00"/>
    <s v="UNPAID"/>
    <x v="11"/>
    <n v="459540"/>
    <n v="1"/>
    <s v="Indonesia"/>
    <s v="TJL - JPP"/>
    <x v="0"/>
  </r>
  <r>
    <s v="CLICTRUCK-047452"/>
    <s v="domestic"/>
    <x v="83"/>
    <x v="11"/>
    <n v="19550000"/>
    <n v="5550"/>
    <d v="2023-04-14T00:00:00"/>
    <s v="UNPAID"/>
    <x v="11"/>
    <n v="976522"/>
    <n v="1"/>
    <s v="Indonesia"/>
    <s v="TJL - JPP"/>
    <x v="0"/>
  </r>
  <r>
    <s v="CLICTRUCK-047453"/>
    <s v="domestic"/>
    <x v="83"/>
    <x v="11"/>
    <n v="19550000"/>
    <n v="5550"/>
    <d v="2023-04-14T00:00:00"/>
    <s v="UNPAID"/>
    <x v="11"/>
    <n v="976522"/>
    <n v="1"/>
    <s v="Indonesia"/>
    <s v="TJL - JPP"/>
    <x v="0"/>
  </r>
  <r>
    <s v="CLICTRUCK-047454"/>
    <s v="domestic"/>
    <x v="83"/>
    <x v="11"/>
    <n v="13110000"/>
    <n v="5550"/>
    <d v="2023-04-14T00:00:00"/>
    <s v="UNPAID"/>
    <x v="11"/>
    <n v="654844"/>
    <n v="1"/>
    <s v="Indonesia"/>
    <s v="TJL - JPP"/>
    <x v="0"/>
  </r>
  <r>
    <s v="CLICTRUCK-047455"/>
    <s v="domestic"/>
    <x v="83"/>
    <x v="11"/>
    <n v="12420000"/>
    <n v="5550"/>
    <d v="2023-04-14T00:00:00"/>
    <s v="UNPAID"/>
    <x v="11"/>
    <n v="620379"/>
    <n v="1"/>
    <s v="Indonesia"/>
    <s v="TJL - JPP"/>
    <x v="0"/>
  </r>
  <r>
    <s v="CLICTRUCK-047456"/>
    <s v="domestic"/>
    <x v="83"/>
    <x v="11"/>
    <n v="19550000"/>
    <n v="5550"/>
    <d v="2023-04-14T00:00:00"/>
    <s v="UNPAID"/>
    <x v="11"/>
    <n v="976522"/>
    <n v="1"/>
    <s v="Indonesia"/>
    <s v="TJL - JPP"/>
    <x v="0"/>
  </r>
  <r>
    <s v="CLICTRUCK-047457"/>
    <s v="domestic"/>
    <x v="83"/>
    <x v="11"/>
    <n v="19550000"/>
    <n v="5550"/>
    <d v="2023-04-14T00:00:00"/>
    <s v="UNPAID"/>
    <x v="11"/>
    <n v="976522"/>
    <n v="1"/>
    <s v="Indonesia"/>
    <s v="TJL - JPP"/>
    <x v="0"/>
  </r>
  <r>
    <s v="CLICTRUCK-047458"/>
    <s v="domestic"/>
    <x v="83"/>
    <x v="11"/>
    <n v="19550000"/>
    <n v="5550"/>
    <d v="2023-04-14T00:00:00"/>
    <s v="UNPAID"/>
    <x v="11"/>
    <n v="976522"/>
    <n v="1"/>
    <s v="Indonesia"/>
    <s v="TJL - JPP"/>
    <x v="0"/>
  </r>
  <r>
    <s v="CLICTRUCK-047459"/>
    <s v="domestic"/>
    <x v="83"/>
    <x v="11"/>
    <n v="1210000"/>
    <n v="5550"/>
    <d v="2023-04-14T00:00:00"/>
    <s v="UNPAID"/>
    <x v="11"/>
    <n v="60439"/>
    <n v="1"/>
    <s v="Indonesia"/>
    <s v="TJL - JPP"/>
    <x v="0"/>
  </r>
  <r>
    <s v="CLICTRUCK-047460"/>
    <s v="domestic"/>
    <x v="83"/>
    <x v="11"/>
    <n v="2640000"/>
    <n v="5550"/>
    <d v="2023-04-14T00:00:00"/>
    <s v="UNPAID"/>
    <x v="11"/>
    <n v="131868"/>
    <n v="1"/>
    <s v="Indonesia"/>
    <s v="TJL - JPP"/>
    <x v="0"/>
  </r>
  <r>
    <s v="CLICTRUCK-047461"/>
    <s v="domestic"/>
    <x v="83"/>
    <x v="11"/>
    <n v="1210000"/>
    <n v="5550"/>
    <d v="2023-04-14T00:00:00"/>
    <s v="UNPAID"/>
    <x v="11"/>
    <n v="60439"/>
    <n v="1"/>
    <s v="Indonesia"/>
    <s v="TJL - JPP"/>
    <x v="0"/>
  </r>
  <r>
    <s v="CLICTRUCK-047462"/>
    <s v="domestic"/>
    <x v="83"/>
    <x v="11"/>
    <n v="1980000"/>
    <n v="5550"/>
    <d v="2023-04-14T00:00:00"/>
    <s v="UNPAID"/>
    <x v="11"/>
    <n v="98901"/>
    <n v="1"/>
    <s v="Indonesia"/>
    <s v="TJL - JPP"/>
    <x v="0"/>
  </r>
  <r>
    <s v="CLICTRUCK-047463"/>
    <s v="domestic"/>
    <x v="83"/>
    <x v="11"/>
    <n v="3080000"/>
    <n v="5550"/>
    <d v="2023-04-14T00:00:00"/>
    <s v="UNPAID"/>
    <x v="11"/>
    <n v="153846"/>
    <n v="1"/>
    <s v="Indonesia"/>
    <s v="TJL - JPP"/>
    <x v="0"/>
  </r>
  <r>
    <s v="CLICTRUCK-047464"/>
    <s v="domestic"/>
    <x v="83"/>
    <x v="11"/>
    <n v="770000"/>
    <n v="5550"/>
    <d v="2023-04-14T00:00:00"/>
    <s v="UNPAID"/>
    <x v="11"/>
    <n v="38461"/>
    <n v="1"/>
    <s v="Indonesia"/>
    <s v="TJL - JPP"/>
    <x v="0"/>
  </r>
  <r>
    <s v="CLICTRUCK-047465"/>
    <s v="domestic"/>
    <x v="83"/>
    <x v="11"/>
    <n v="2640000"/>
    <n v="5550"/>
    <d v="2023-04-14T00:00:00"/>
    <s v="UNPAID"/>
    <x v="11"/>
    <n v="131868"/>
    <n v="1"/>
    <s v="Indonesia"/>
    <s v="TJL - JPP"/>
    <x v="0"/>
  </r>
  <r>
    <s v="CLICTRUCK-047466"/>
    <s v="domestic"/>
    <x v="83"/>
    <x v="11"/>
    <n v="29440000"/>
    <n v="5550"/>
    <d v="2023-04-14T00:00:00"/>
    <s v="UNPAID"/>
    <x v="11"/>
    <n v="1470528"/>
    <n v="1"/>
    <s v="Indonesia"/>
    <s v="TJL - JPP"/>
    <x v="0"/>
  </r>
  <r>
    <s v="CLICTRUCK-047467"/>
    <s v="domestic"/>
    <x v="83"/>
    <x v="11"/>
    <n v="3080000"/>
    <n v="5550"/>
    <d v="2023-04-14T00:00:00"/>
    <s v="UNPAID"/>
    <x v="11"/>
    <n v="153846"/>
    <n v="1"/>
    <s v="Indonesia"/>
    <s v="TJL - JPP"/>
    <x v="0"/>
  </r>
  <r>
    <s v="CLICTRUCK-047468"/>
    <s v="domestic"/>
    <x v="83"/>
    <x v="11"/>
    <n v="1100000"/>
    <n v="5550"/>
    <d v="2023-04-14T00:00:00"/>
    <s v="UNPAID"/>
    <x v="11"/>
    <n v="54945"/>
    <n v="1"/>
    <s v="Indonesia"/>
    <s v="TJL - JPP"/>
    <x v="0"/>
  </r>
  <r>
    <s v="CLICTRUCK-047469"/>
    <s v="domestic"/>
    <x v="83"/>
    <x v="11"/>
    <n v="17250000"/>
    <n v="5550"/>
    <d v="2023-04-14T00:00:00"/>
    <s v="UNPAID"/>
    <x v="11"/>
    <n v="861637"/>
    <n v="1"/>
    <s v="Indonesia"/>
    <s v="TJL - JPP"/>
    <x v="0"/>
  </r>
  <r>
    <s v="CLICTRUCK-047470"/>
    <s v="domestic"/>
    <x v="83"/>
    <x v="11"/>
    <n v="2970000"/>
    <n v="5550"/>
    <d v="2023-04-14T00:00:00"/>
    <s v="UNPAID"/>
    <x v="11"/>
    <n v="148351"/>
    <n v="1"/>
    <s v="Indonesia"/>
    <s v="TJL - JPP"/>
    <x v="0"/>
  </r>
  <r>
    <s v="CLICTRUCK-047471"/>
    <s v="domestic"/>
    <x v="83"/>
    <x v="11"/>
    <n v="2200000"/>
    <n v="5550"/>
    <d v="2023-04-14T00:00:00"/>
    <s v="UNPAID"/>
    <x v="11"/>
    <n v="109890"/>
    <n v="1"/>
    <s v="Indonesia"/>
    <s v="TJL - JPP"/>
    <x v="0"/>
  </r>
  <r>
    <s v="CLICTRUCK-047472"/>
    <s v="domestic"/>
    <x v="83"/>
    <x v="11"/>
    <n v="2970000"/>
    <n v="5550"/>
    <d v="2023-04-14T00:00:00"/>
    <s v="UNPAID"/>
    <x v="11"/>
    <n v="148351"/>
    <n v="1"/>
    <s v="Indonesia"/>
    <s v="TJL - JPP"/>
    <x v="0"/>
  </r>
  <r>
    <s v="CLICTRUCK-047473"/>
    <s v="domestic"/>
    <x v="83"/>
    <x v="11"/>
    <n v="1694000"/>
    <n v="5550"/>
    <d v="2023-04-14T00:00:00"/>
    <s v="UNPAID"/>
    <x v="11"/>
    <n v="84615"/>
    <n v="1"/>
    <s v="Indonesia"/>
    <s v="TJL - JPP"/>
    <x v="0"/>
  </r>
  <r>
    <s v="CLICTRUCK-047474"/>
    <s v="domestic"/>
    <x v="83"/>
    <x v="11"/>
    <n v="1760000"/>
    <n v="5550"/>
    <d v="2023-04-14T00:00:00"/>
    <s v="UNPAID"/>
    <x v="11"/>
    <n v="87912"/>
    <n v="1"/>
    <s v="Indonesia"/>
    <s v="TJL - JPP"/>
    <x v="0"/>
  </r>
  <r>
    <s v="CLICTRUCK-047475"/>
    <s v="domestic"/>
    <x v="83"/>
    <x v="11"/>
    <n v="4900000"/>
    <n v="5550"/>
    <d v="2023-04-14T00:00:00"/>
    <s v="UNPAID"/>
    <x v="11"/>
    <n v="244755"/>
    <n v="1"/>
    <s v="Indonesia"/>
    <s v="TJL - JPP"/>
    <x v="0"/>
  </r>
  <r>
    <s v="CLICTRUCK-047476"/>
    <s v="domestic"/>
    <x v="83"/>
    <x v="11"/>
    <n v="4700000"/>
    <n v="5550"/>
    <d v="2023-04-14T00:00:00"/>
    <s v="UNPAID"/>
    <x v="11"/>
    <n v="234765"/>
    <n v="1"/>
    <s v="Indonesia"/>
    <s v="TJL - JPP"/>
    <x v="0"/>
  </r>
  <r>
    <s v="CLICTRUCK-047477"/>
    <s v="domestic"/>
    <x v="83"/>
    <x v="11"/>
    <n v="4900000"/>
    <n v="5550"/>
    <d v="2023-04-14T00:00:00"/>
    <s v="UNPAID"/>
    <x v="11"/>
    <n v="244755"/>
    <n v="1"/>
    <s v="Indonesia"/>
    <s v="TJL - JPP"/>
    <x v="0"/>
  </r>
  <r>
    <s v="CLICTRUCK-047478"/>
    <s v="domestic"/>
    <x v="83"/>
    <x v="11"/>
    <n v="4500000"/>
    <n v="5550"/>
    <d v="2023-04-14T00:00:00"/>
    <s v="UNPAID"/>
    <x v="11"/>
    <n v="224775"/>
    <n v="1"/>
    <s v="Indonesia"/>
    <s v="TJL - JPP"/>
    <x v="0"/>
  </r>
  <r>
    <s v="CLICTRUCK-047479"/>
    <s v="domestic"/>
    <x v="83"/>
    <x v="11"/>
    <n v="4900000"/>
    <n v="5550"/>
    <d v="2023-04-14T00:00:00"/>
    <s v="UNPAID"/>
    <x v="11"/>
    <n v="244755"/>
    <n v="1"/>
    <s v="Indonesia"/>
    <s v="TJL - JPP"/>
    <x v="0"/>
  </r>
  <r>
    <s v="CLICTRUCK-047480"/>
    <s v="domestic"/>
    <x v="83"/>
    <x v="11"/>
    <n v="4700000"/>
    <n v="5550"/>
    <d v="2023-04-14T00:00:00"/>
    <s v="UNPAID"/>
    <x v="11"/>
    <n v="234765"/>
    <n v="1"/>
    <s v="Indonesia"/>
    <s v="TJL - JPP"/>
    <x v="0"/>
  </r>
  <r>
    <s v="CLICTRUCK-047481"/>
    <s v="domestic"/>
    <x v="83"/>
    <x v="11"/>
    <n v="4700000"/>
    <n v="5550"/>
    <d v="2023-04-14T00:00:00"/>
    <s v="UNPAID"/>
    <x v="11"/>
    <n v="234765"/>
    <n v="1"/>
    <s v="Indonesia"/>
    <s v="TJL - JPP"/>
    <x v="0"/>
  </r>
  <r>
    <s v="CLICTRUCK-047482"/>
    <s v="domestic"/>
    <x v="83"/>
    <x v="11"/>
    <n v="4700000"/>
    <n v="5550"/>
    <d v="2023-04-14T00:00:00"/>
    <s v="UNPAID"/>
    <x v="11"/>
    <n v="234765"/>
    <n v="1"/>
    <s v="Indonesia"/>
    <s v="TJL - JPP"/>
    <x v="0"/>
  </r>
  <r>
    <s v="CLICTRUCK-047486"/>
    <s v="domestic"/>
    <x v="83"/>
    <x v="11"/>
    <n v="17454438"/>
    <n v="5550"/>
    <d v="2023-04-14T00:00:00"/>
    <s v="UNPAID"/>
    <x v="11"/>
    <n v="871848"/>
    <n v="1"/>
    <s v="Indonesia"/>
    <s v="TJL - JPP"/>
    <x v="0"/>
  </r>
  <r>
    <s v="CLICTRUCK-047487"/>
    <s v="domestic"/>
    <x v="83"/>
    <x v="11"/>
    <n v="17345070"/>
    <n v="5550"/>
    <d v="2023-04-14T00:00:00"/>
    <s v="UNPAID"/>
    <x v="11"/>
    <n v="866386"/>
    <n v="1"/>
    <s v="Indonesia"/>
    <s v="TJL - JPP"/>
    <x v="0"/>
  </r>
  <r>
    <s v="CLICTRUCK-047488"/>
    <s v="domestic"/>
    <x v="83"/>
    <x v="11"/>
    <n v="17346459"/>
    <n v="5550"/>
    <d v="2023-04-14T00:00:00"/>
    <s v="UNPAID"/>
    <x v="11"/>
    <n v="866454"/>
    <n v="1"/>
    <s v="Indonesia"/>
    <s v="TJL - JPP"/>
    <x v="0"/>
  </r>
  <r>
    <s v="CLICTRUCK-047489"/>
    <s v="domestic"/>
    <x v="83"/>
    <x v="11"/>
    <n v="17454438"/>
    <n v="5550"/>
    <d v="2023-04-14T00:00:00"/>
    <s v="UNPAID"/>
    <x v="11"/>
    <n v="871848"/>
    <n v="1"/>
    <s v="Indonesia"/>
    <s v="TJL - JPP"/>
    <x v="0"/>
  </r>
  <r>
    <s v="CLICTRUCK-047490"/>
    <s v="domestic"/>
    <x v="83"/>
    <x v="11"/>
    <n v="18909278"/>
    <n v="5550"/>
    <d v="2023-04-14T00:00:00"/>
    <s v="UNPAID"/>
    <x v="11"/>
    <n v="944517"/>
    <n v="1"/>
    <s v="Indonesia"/>
    <s v="TJL - JPP"/>
    <x v="0"/>
  </r>
  <r>
    <s v="CLICTRUCK-047491"/>
    <s v="domestic"/>
    <x v="83"/>
    <x v="11"/>
    <n v="19807568"/>
    <n v="5550"/>
    <d v="2023-04-14T00:00:00"/>
    <s v="UNPAID"/>
    <x v="11"/>
    <n v="989387"/>
    <n v="1"/>
    <s v="Indonesia"/>
    <s v="TJL - JPP"/>
    <x v="0"/>
  </r>
  <r>
    <s v="CLICTRUCK-047492"/>
    <s v="domestic"/>
    <x v="83"/>
    <x v="11"/>
    <n v="17345070"/>
    <n v="5550"/>
    <d v="2023-04-14T00:00:00"/>
    <s v="UNPAID"/>
    <x v="11"/>
    <n v="866386"/>
    <n v="1"/>
    <s v="Indonesia"/>
    <s v="TJL - JPP"/>
    <x v="0"/>
  </r>
  <r>
    <s v="CLICTRUCK-047493"/>
    <s v="domestic"/>
    <x v="83"/>
    <x v="11"/>
    <n v="31141157"/>
    <n v="5550"/>
    <d v="2023-04-14T00:00:00"/>
    <s v="UNPAID"/>
    <x v="11"/>
    <n v="1555500"/>
    <n v="1"/>
    <s v="Indonesia"/>
    <s v="TJL - JPP"/>
    <x v="0"/>
  </r>
  <r>
    <s v="CLICTRUCK-047495"/>
    <s v="domestic"/>
    <x v="83"/>
    <x v="11"/>
    <n v="17291601"/>
    <n v="5550"/>
    <d v="2023-04-14T00:00:00"/>
    <s v="UNPAID"/>
    <x v="11"/>
    <n v="863715"/>
    <n v="1"/>
    <s v="Indonesia"/>
    <s v="TJL - JPP"/>
    <x v="0"/>
  </r>
  <r>
    <s v="CLICTRUCK-047496"/>
    <s v="domestic"/>
    <x v="83"/>
    <x v="11"/>
    <n v="17657897"/>
    <n v="5550"/>
    <d v="2023-04-14T00:00:00"/>
    <s v="UNPAID"/>
    <x v="11"/>
    <n v="882011"/>
    <n v="1"/>
    <s v="Indonesia"/>
    <s v="TJL - JPP"/>
    <x v="0"/>
  </r>
  <r>
    <s v="CLICTRUCK-047497"/>
    <s v="domestic"/>
    <x v="83"/>
    <x v="11"/>
    <n v="27832000"/>
    <n v="5550"/>
    <d v="2023-04-14T00:00:00"/>
    <s v="UNPAID"/>
    <x v="11"/>
    <n v="1390208"/>
    <n v="1"/>
    <s v="Indonesia"/>
    <s v="TJL - JPP"/>
    <x v="0"/>
  </r>
  <r>
    <s v="CLICTRUCK-047498"/>
    <s v="domestic"/>
    <x v="83"/>
    <x v="11"/>
    <n v="19091724"/>
    <n v="5550"/>
    <d v="2023-04-14T00:00:00"/>
    <s v="UNPAID"/>
    <x v="11"/>
    <n v="953630"/>
    <n v="1"/>
    <s v="Indonesia"/>
    <s v="TJL - JPP"/>
    <x v="0"/>
  </r>
  <r>
    <s v="CLICTRUCK-047499"/>
    <s v="domestic"/>
    <x v="83"/>
    <x v="11"/>
    <n v="20390585"/>
    <n v="5550"/>
    <d v="2023-04-14T00:00:00"/>
    <s v="UNPAID"/>
    <x v="11"/>
    <n v="1018509"/>
    <n v="1"/>
    <s v="Indonesia"/>
    <s v="TJL - JPP"/>
    <x v="0"/>
  </r>
  <r>
    <s v="CLICTRUCK-047500"/>
    <s v="domestic"/>
    <x v="83"/>
    <x v="11"/>
    <n v="20016864"/>
    <n v="5550"/>
    <d v="2023-04-14T00:00:00"/>
    <s v="UNPAID"/>
    <x v="11"/>
    <n v="999841"/>
    <n v="1"/>
    <s v="Indonesia"/>
    <s v="TJL - JPP"/>
    <x v="0"/>
  </r>
  <r>
    <s v="CLICTRUCK-047501"/>
    <s v="domestic"/>
    <x v="83"/>
    <x v="11"/>
    <n v="1093073"/>
    <n v="5550"/>
    <d v="2023-04-14T00:00:00"/>
    <s v="UNPAID"/>
    <x v="11"/>
    <n v="54598"/>
    <n v="1"/>
    <s v="Indonesia"/>
    <s v="TJL - JPP"/>
    <x v="0"/>
  </r>
  <r>
    <s v="CLICTRUCK-047503"/>
    <s v="domestic"/>
    <x v="83"/>
    <x v="11"/>
    <n v="1031384"/>
    <n v="5550"/>
    <d v="2023-04-14T00:00:00"/>
    <s v="UNPAID"/>
    <x v="11"/>
    <n v="51517"/>
    <n v="1"/>
    <s v="Indonesia"/>
    <s v="TJL - JPP"/>
    <x v="0"/>
  </r>
  <r>
    <s v="CLICTRUCK-047504"/>
    <s v="domestic"/>
    <x v="83"/>
    <x v="11"/>
    <n v="1031384"/>
    <n v="5550"/>
    <d v="2023-04-14T00:00:00"/>
    <s v="UNPAID"/>
    <x v="11"/>
    <n v="51517"/>
    <n v="1"/>
    <s v="Indonesia"/>
    <s v="TJL - JPP"/>
    <x v="0"/>
  </r>
  <r>
    <s v="CLICTRUCK-047505"/>
    <s v="domestic"/>
    <x v="83"/>
    <x v="11"/>
    <n v="979436"/>
    <n v="5550"/>
    <d v="2023-04-14T00:00:00"/>
    <s v="UNPAID"/>
    <x v="11"/>
    <n v="48922"/>
    <n v="1"/>
    <s v="Indonesia"/>
    <s v="TJL - JPP"/>
    <x v="0"/>
  </r>
  <r>
    <s v="CLICTRUCK-047506"/>
    <s v="domestic"/>
    <x v="83"/>
    <x v="11"/>
    <n v="2220000"/>
    <n v="5550"/>
    <d v="2023-04-14T00:00:00"/>
    <s v="UNPAID"/>
    <x v="11"/>
    <n v="110889"/>
    <n v="1"/>
    <s v="Indonesia"/>
    <s v="TJL - JPP"/>
    <x v="0"/>
  </r>
  <r>
    <s v="CLICTRUCK-047507"/>
    <s v="domestic"/>
    <x v="83"/>
    <x v="11"/>
    <n v="21775208"/>
    <n v="5550"/>
    <d v="2023-04-14T00:00:00"/>
    <s v="UNPAID"/>
    <x v="11"/>
    <n v="1087671"/>
    <n v="1"/>
    <s v="Indonesia"/>
    <s v="TJL - JPP"/>
    <x v="0"/>
  </r>
  <r>
    <s v="CLICTRUCK-047508"/>
    <s v="domestic"/>
    <x v="83"/>
    <x v="11"/>
    <n v="2013524"/>
    <n v="5550"/>
    <d v="2023-04-14T00:00:00"/>
    <s v="UNPAID"/>
    <x v="11"/>
    <n v="100574"/>
    <n v="1"/>
    <s v="Indonesia"/>
    <s v="TJL - JPP"/>
    <x v="0"/>
  </r>
  <r>
    <s v="CLICTRUCK-047509"/>
    <s v="domestic"/>
    <x v="83"/>
    <x v="11"/>
    <n v="25622996"/>
    <n v="5550"/>
    <d v="2023-04-14T00:00:00"/>
    <s v="UNPAID"/>
    <x v="11"/>
    <n v="1279867"/>
    <n v="1"/>
    <s v="Indonesia"/>
    <s v="TJL - JPP"/>
    <x v="0"/>
  </r>
  <r>
    <s v="CLICTRUCK-047510"/>
    <s v="domestic"/>
    <x v="83"/>
    <x v="11"/>
    <n v="19010083"/>
    <n v="5550"/>
    <d v="2023-04-14T00:00:00"/>
    <s v="UNPAID"/>
    <x v="11"/>
    <n v="949552"/>
    <n v="1"/>
    <s v="Indonesia"/>
    <s v="TJL - JPP"/>
    <x v="0"/>
  </r>
  <r>
    <s v="CLICTRUCK-047512"/>
    <s v="domestic"/>
    <x v="83"/>
    <x v="11"/>
    <n v="25899402"/>
    <n v="5550"/>
    <d v="2023-04-14T00:00:00"/>
    <s v="UNPAID"/>
    <x v="11"/>
    <n v="1293675"/>
    <n v="1"/>
    <s v="Indonesia"/>
    <s v="TJL - JPP"/>
    <x v="0"/>
  </r>
  <r>
    <s v="CLICTRUCK-047513"/>
    <s v="domestic"/>
    <x v="83"/>
    <x v="11"/>
    <n v="19454898"/>
    <n v="5550"/>
    <d v="2023-04-14T00:00:00"/>
    <s v="UNPAID"/>
    <x v="11"/>
    <n v="971771"/>
    <n v="1"/>
    <s v="Indonesia"/>
    <s v="TJL - JPP"/>
    <x v="0"/>
  </r>
  <r>
    <s v="CLICTRUCK-047514"/>
    <s v="domestic"/>
    <x v="83"/>
    <x v="11"/>
    <n v="19205321"/>
    <n v="5550"/>
    <d v="2023-04-14T00:00:00"/>
    <s v="UNPAID"/>
    <x v="11"/>
    <n v="959305"/>
    <n v="1"/>
    <s v="Indonesia"/>
    <s v="TJL - JPP"/>
    <x v="0"/>
  </r>
  <r>
    <s v="CLICTRUCK-047515"/>
    <s v="domestic"/>
    <x v="83"/>
    <x v="11"/>
    <n v="1093073"/>
    <n v="5550"/>
    <d v="2023-04-14T00:00:00"/>
    <s v="UNPAID"/>
    <x v="11"/>
    <n v="54598"/>
    <n v="1"/>
    <s v="Indonesia"/>
    <s v="TJL - JPP"/>
    <x v="0"/>
  </r>
  <r>
    <s v="CLICTRUCK-047516"/>
    <s v="domestic"/>
    <x v="83"/>
    <x v="11"/>
    <n v="1031384"/>
    <n v="5550"/>
    <d v="2023-04-14T00:00:00"/>
    <s v="UNPAID"/>
    <x v="11"/>
    <n v="51517"/>
    <n v="1"/>
    <s v="Indonesia"/>
    <s v="TJL - JPP"/>
    <x v="0"/>
  </r>
  <r>
    <s v="CLICTRUCK-047517"/>
    <s v="domestic"/>
    <x v="83"/>
    <x v="11"/>
    <n v="2220000"/>
    <n v="5550"/>
    <d v="2023-04-14T00:00:00"/>
    <s v="UNPAID"/>
    <x v="11"/>
    <n v="110889"/>
    <n v="1"/>
    <s v="Indonesia"/>
    <s v="TJL - JPP"/>
    <x v="0"/>
  </r>
  <r>
    <s v="CLICTRUCK-047518"/>
    <s v="domestic"/>
    <x v="83"/>
    <x v="11"/>
    <n v="1031384"/>
    <n v="5550"/>
    <d v="2023-04-14T00:00:00"/>
    <s v="UNPAID"/>
    <x v="11"/>
    <n v="51517"/>
    <n v="1"/>
    <s v="Indonesia"/>
    <s v="TJL - JPP"/>
    <x v="0"/>
  </r>
  <r>
    <s v="CLICTRUCK-047519"/>
    <s v="domestic"/>
    <x v="83"/>
    <x v="11"/>
    <n v="979436"/>
    <n v="5550"/>
    <d v="2023-04-14T00:00:00"/>
    <s v="UNPAID"/>
    <x v="11"/>
    <n v="48922"/>
    <n v="1"/>
    <s v="Indonesia"/>
    <s v="TJL - JPP"/>
    <x v="0"/>
  </r>
  <r>
    <s v="CLICTRUCK-047522"/>
    <s v="domestic"/>
    <x v="83"/>
    <x v="11"/>
    <n v="25971083"/>
    <n v="5550"/>
    <d v="2023-04-14T00:00:00"/>
    <s v="UNPAID"/>
    <x v="11"/>
    <n v="1297254"/>
    <n v="1"/>
    <s v="Indonesia"/>
    <s v="TJL - JPP"/>
    <x v="0"/>
  </r>
  <r>
    <s v="CLICTRUCK-047523"/>
    <s v="domestic"/>
    <x v="83"/>
    <x v="11"/>
    <n v="19601214"/>
    <n v="5550"/>
    <d v="2023-04-14T00:00:00"/>
    <s v="UNPAID"/>
    <x v="11"/>
    <n v="979079"/>
    <n v="1"/>
    <s v="Indonesia"/>
    <s v="TJL - JPP"/>
    <x v="0"/>
  </r>
  <r>
    <s v="CLICTRUCK-047524"/>
    <s v="domestic"/>
    <x v="83"/>
    <x v="11"/>
    <n v="30303634"/>
    <n v="5550"/>
    <d v="2023-04-14T00:00:00"/>
    <s v="UNPAID"/>
    <x v="11"/>
    <n v="1513665"/>
    <n v="1"/>
    <s v="Indonesia"/>
    <s v="TJL - JPP"/>
    <x v="0"/>
  </r>
  <r>
    <s v="CLICTRUCK-047525"/>
    <s v="domestic"/>
    <x v="83"/>
    <x v="11"/>
    <n v="15585862"/>
    <n v="5550"/>
    <d v="2023-04-14T00:00:00"/>
    <s v="UNPAID"/>
    <x v="11"/>
    <n v="778512"/>
    <n v="1"/>
    <s v="Indonesia"/>
    <s v="TJL - JPP"/>
    <x v="0"/>
  </r>
  <r>
    <s v="CLICTRUCK-047526"/>
    <s v="domestic"/>
    <x v="83"/>
    <x v="11"/>
    <n v="19116333"/>
    <n v="5550"/>
    <d v="2023-04-14T00:00:00"/>
    <s v="UNPAID"/>
    <x v="11"/>
    <n v="954859"/>
    <n v="1"/>
    <s v="Indonesia"/>
    <s v="TJL - JPP"/>
    <x v="0"/>
  </r>
  <r>
    <s v="CLICTRUCK-047528"/>
    <s v="domestic"/>
    <x v="83"/>
    <x v="11"/>
    <n v="20041356"/>
    <n v="5550"/>
    <d v="2023-04-14T00:00:00"/>
    <s v="UNPAID"/>
    <x v="11"/>
    <n v="1001065"/>
    <n v="1"/>
    <s v="Indonesia"/>
    <s v="TJL - JPP"/>
    <x v="0"/>
  </r>
  <r>
    <s v="CLICTRUCK-047529"/>
    <s v="domestic"/>
    <x v="83"/>
    <x v="11"/>
    <n v="23157540"/>
    <n v="5550"/>
    <d v="2023-04-14T00:00:00"/>
    <s v="UNPAID"/>
    <x v="11"/>
    <n v="1156718"/>
    <n v="1"/>
    <s v="Indonesia"/>
    <s v="TJL - JPP"/>
    <x v="0"/>
  </r>
  <r>
    <s v="CLICTRUCK-047530"/>
    <s v="domestic"/>
    <x v="83"/>
    <x v="11"/>
    <n v="23157540"/>
    <n v="5550"/>
    <d v="2023-04-14T00:00:00"/>
    <s v="UNPAID"/>
    <x v="11"/>
    <n v="1156718"/>
    <n v="1"/>
    <s v="Indonesia"/>
    <s v="TJL - JPP"/>
    <x v="0"/>
  </r>
  <r>
    <s v="CLICTRUCK-047531"/>
    <s v="domestic"/>
    <x v="83"/>
    <x v="11"/>
    <n v="22705424"/>
    <n v="5550"/>
    <d v="2023-04-14T00:00:00"/>
    <s v="UNPAID"/>
    <x v="11"/>
    <n v="1134135"/>
    <n v="1"/>
    <s v="Indonesia"/>
    <s v="TJL - JPP"/>
    <x v="0"/>
  </r>
  <r>
    <s v="CLICTRUCK-047532"/>
    <s v="domestic"/>
    <x v="83"/>
    <x v="11"/>
    <n v="22855140"/>
    <n v="5550"/>
    <d v="2023-04-14T00:00:00"/>
    <s v="UNPAID"/>
    <x v="11"/>
    <n v="1141613"/>
    <n v="1"/>
    <s v="Indonesia"/>
    <s v="TJL - JPP"/>
    <x v="0"/>
  </r>
  <r>
    <s v="CLICTRUCK-047533"/>
    <s v="domestic"/>
    <x v="83"/>
    <x v="11"/>
    <n v="24934546"/>
    <n v="5550"/>
    <d v="2023-04-14T00:00:00"/>
    <s v="UNPAID"/>
    <x v="11"/>
    <n v="1245479"/>
    <n v="1"/>
    <s v="Indonesia"/>
    <s v="TJL - JPP"/>
    <x v="0"/>
  </r>
  <r>
    <s v="CLICTRUCK-047534"/>
    <s v="domestic"/>
    <x v="83"/>
    <x v="11"/>
    <n v="3452000"/>
    <n v="5550"/>
    <d v="2023-04-14T00:00:00"/>
    <s v="UNPAID"/>
    <x v="11"/>
    <n v="172427"/>
    <n v="1"/>
    <s v="Indonesia"/>
    <s v="TJL - JPP"/>
    <x v="0"/>
  </r>
  <r>
    <s v="CLICTRUCK-047535"/>
    <s v="domestic"/>
    <x v="83"/>
    <x v="11"/>
    <n v="16548665"/>
    <n v="5550"/>
    <d v="2023-04-14T00:00:00"/>
    <s v="UNPAID"/>
    <x v="11"/>
    <n v="826604"/>
    <n v="1"/>
    <s v="Indonesia"/>
    <s v="TJL - JPP"/>
    <x v="0"/>
  </r>
  <r>
    <s v="CLICTRUCK-047536"/>
    <s v="domestic"/>
    <x v="83"/>
    <x v="11"/>
    <n v="7600000"/>
    <n v="5550"/>
    <d v="2023-04-14T00:00:00"/>
    <s v="UNPAID"/>
    <x v="11"/>
    <n v="379620"/>
    <n v="1"/>
    <s v="Indonesia"/>
    <s v="TJL - JPP"/>
    <x v="0"/>
  </r>
  <r>
    <s v="CLICTRUCK-047537"/>
    <s v="domestic"/>
    <x v="83"/>
    <x v="11"/>
    <n v="10905400"/>
    <n v="5550"/>
    <d v="2023-04-14T00:00:00"/>
    <s v="UNPAID"/>
    <x v="11"/>
    <n v="544724"/>
    <n v="1"/>
    <s v="Indonesia"/>
    <s v="TJL - JPP"/>
    <x v="0"/>
  </r>
  <r>
    <s v="CLICTRUCK-047538"/>
    <s v="domestic"/>
    <x v="83"/>
    <x v="11"/>
    <n v="2640000"/>
    <n v="5550"/>
    <d v="2023-04-14T00:00:00"/>
    <s v="UNPAID"/>
    <x v="11"/>
    <n v="131868"/>
    <n v="1"/>
    <s v="Indonesia"/>
    <s v="TJL - JPP"/>
    <x v="0"/>
  </r>
  <r>
    <s v="CLICTRUCK-047539"/>
    <s v="domestic"/>
    <x v="83"/>
    <x v="11"/>
    <n v="22781126"/>
    <n v="5550"/>
    <d v="2023-04-14T00:00:00"/>
    <s v="UNPAID"/>
    <x v="11"/>
    <n v="1137916"/>
    <n v="1"/>
    <s v="Indonesia"/>
    <s v="TJL - JPP"/>
    <x v="0"/>
  </r>
  <r>
    <s v="CLICTRUCK-047540"/>
    <s v="domestic"/>
    <x v="83"/>
    <x v="11"/>
    <n v="23705281"/>
    <n v="5550"/>
    <d v="2023-04-14T00:00:00"/>
    <s v="UNPAID"/>
    <x v="11"/>
    <n v="1184078"/>
    <n v="1"/>
    <s v="Indonesia"/>
    <s v="TJL - JPP"/>
    <x v="0"/>
  </r>
  <r>
    <s v="CLICTRUCK-047541"/>
    <s v="domestic"/>
    <x v="83"/>
    <x v="11"/>
    <n v="8046000"/>
    <n v="5550"/>
    <d v="2023-04-14T00:00:00"/>
    <s v="UNPAID"/>
    <x v="11"/>
    <n v="401897"/>
    <n v="1"/>
    <s v="Indonesia"/>
    <s v="TJL - JPP"/>
    <x v="0"/>
  </r>
  <r>
    <s v="CLICTRUCK-047542"/>
    <s v="domestic"/>
    <x v="83"/>
    <x v="11"/>
    <n v="25452000"/>
    <n v="5550"/>
    <d v="2023-04-14T00:00:00"/>
    <s v="UNPAID"/>
    <x v="11"/>
    <n v="1271327"/>
    <n v="1"/>
    <s v="Indonesia"/>
    <s v="TJL - JPP"/>
    <x v="0"/>
  </r>
  <r>
    <s v="CLICTRUCK-047543"/>
    <s v="domestic"/>
    <x v="83"/>
    <x v="11"/>
    <n v="15354699"/>
    <n v="5550"/>
    <d v="2023-04-14T00:00:00"/>
    <s v="UNPAID"/>
    <x v="11"/>
    <n v="766966"/>
    <n v="1"/>
    <s v="Indonesia"/>
    <s v="TJL - JPP"/>
    <x v="0"/>
  </r>
  <r>
    <s v="CLICTRUCK-047549"/>
    <s v="domestic"/>
    <x v="84"/>
    <x v="32"/>
    <n v="3700000"/>
    <n v="27750"/>
    <d v="2023-04-16T00:00:00"/>
    <s v="PAID"/>
    <x v="36"/>
    <n v="102675"/>
    <n v="1"/>
    <s v="Indonesia"/>
    <s v="SPM - BTS"/>
    <x v="0"/>
  </r>
  <r>
    <s v="CLICTRUCK-047550"/>
    <s v="domestic"/>
    <x v="84"/>
    <x v="19"/>
    <n v="45000000"/>
    <n v="27750"/>
    <d v="2023-04-13T00:00:00"/>
    <s v="PAID"/>
    <x v="21"/>
    <n v="1998000"/>
    <n v="1"/>
    <s v="Indonesia"/>
    <s v="MMA - TAL"/>
    <x v="0"/>
  </r>
  <r>
    <s v="CLICTRUCK-047551"/>
    <s v="domestic"/>
    <x v="84"/>
    <x v="9"/>
    <n v="340060"/>
    <n v="24975"/>
    <d v="2023-04-27T00:00:00"/>
    <s v="UNPAID"/>
    <x v="9"/>
    <n v="11323"/>
    <n v="1"/>
    <s v="Indonesia"/>
    <s v="YSN-SSA"/>
    <x v="0"/>
  </r>
  <r>
    <s v="CLICTRUCK-047552"/>
    <s v="domestic"/>
    <x v="84"/>
    <x v="9"/>
    <n v="504250"/>
    <n v="22500"/>
    <m/>
    <s v="PENDING APPROVAL"/>
    <x v="34"/>
    <n v="0"/>
    <n v="1"/>
    <s v="Indonesia"/>
    <s v="YSN - PPT"/>
    <x v="1"/>
  </r>
  <r>
    <s v="CLICTRUCK-047553"/>
    <s v="domestic"/>
    <x v="84"/>
    <x v="9"/>
    <n v="1464000"/>
    <n v="22500"/>
    <m/>
    <s v="PENDING APPROVAL"/>
    <x v="34"/>
    <n v="0"/>
    <n v="1"/>
    <s v="Indonesia"/>
    <s v="YSN - PPT"/>
    <x v="1"/>
  </r>
  <r>
    <s v="CLICTRUCK-047554"/>
    <s v="domestic"/>
    <x v="84"/>
    <x v="9"/>
    <n v="274890"/>
    <n v="24975"/>
    <d v="2023-04-27T00:00:00"/>
    <s v="UNPAID"/>
    <x v="9"/>
    <n v="9153"/>
    <n v="1"/>
    <s v="Indonesia"/>
    <s v="YSN-SSA"/>
    <x v="0"/>
  </r>
  <r>
    <s v="CLICTRUCK-047555"/>
    <s v="domestic"/>
    <x v="84"/>
    <x v="9"/>
    <n v="399350"/>
    <n v="24975"/>
    <d v="2023-04-27T00:00:00"/>
    <s v="UNPAID"/>
    <x v="9"/>
    <n v="13297"/>
    <n v="1"/>
    <s v="Indonesia"/>
    <s v="YSN-SSA"/>
    <x v="0"/>
  </r>
  <r>
    <s v="CLICTRUCK-047556"/>
    <s v="domestic"/>
    <x v="84"/>
    <x v="9"/>
    <n v="347850"/>
    <n v="22500"/>
    <m/>
    <s v="PENDING APPROVAL"/>
    <x v="34"/>
    <n v="0"/>
    <n v="1"/>
    <s v="Indonesia"/>
    <s v="YSN - PPT"/>
    <x v="1"/>
  </r>
  <r>
    <s v="CLICTRUCK-047557"/>
    <s v="domestic"/>
    <x v="85"/>
    <x v="9"/>
    <n v="938225"/>
    <n v="22500"/>
    <m/>
    <s v="PENDING APPROVAL"/>
    <x v="34"/>
    <n v="0"/>
    <n v="1"/>
    <s v="Indonesia"/>
    <s v="YSN - PPT"/>
    <x v="1"/>
  </r>
  <r>
    <s v="CLICTRUCK-047566"/>
    <s v="domestic"/>
    <x v="85"/>
    <x v="16"/>
    <n v="9530000"/>
    <n v="264457"/>
    <d v="2023-04-14T00:00:00"/>
    <s v="PAID"/>
    <x v="17"/>
    <n v="27750"/>
    <n v="1"/>
    <s v="Indonesia"/>
    <s v="JMA - RKB"/>
    <x v="0"/>
  </r>
  <r>
    <s v="CLICTRUCK-047567"/>
    <s v="domestic"/>
    <x v="85"/>
    <x v="9"/>
    <n v="1811800"/>
    <n v="22500"/>
    <m/>
    <s v="PENDING APPROVAL"/>
    <x v="34"/>
    <n v="0"/>
    <n v="1"/>
    <s v="Indonesia"/>
    <s v="YSN - PPT"/>
    <x v="1"/>
  </r>
  <r>
    <s v="CLICTRUCK-047568"/>
    <s v="domestic"/>
    <x v="85"/>
    <x v="9"/>
    <n v="768750"/>
    <n v="22500"/>
    <m/>
    <s v="ONGOING"/>
    <x v="34"/>
    <n v="0"/>
    <n v="1"/>
    <s v="Indonesia"/>
    <s v="YSN - PPT"/>
    <x v="1"/>
  </r>
  <r>
    <s v="CLICTRUCK-047569"/>
    <s v="domestic"/>
    <x v="85"/>
    <x v="9"/>
    <n v="458150"/>
    <n v="24975"/>
    <d v="2023-04-27T00:00:00"/>
    <s v="UNPAID"/>
    <x v="9"/>
    <n v="15255"/>
    <n v="1"/>
    <s v="Indonesia"/>
    <s v="YSN-SSA"/>
    <x v="0"/>
  </r>
  <r>
    <s v="CLICTRUCK-047571"/>
    <s v="domestic"/>
    <x v="85"/>
    <x v="9"/>
    <n v="294490"/>
    <n v="24975"/>
    <d v="2023-04-27T00:00:00"/>
    <s v="UNPAID"/>
    <x v="9"/>
    <n v="9805"/>
    <n v="1"/>
    <s v="Indonesia"/>
    <s v="YSN-SSA"/>
    <x v="0"/>
  </r>
  <r>
    <s v="CLICTRUCK-047573"/>
    <s v="domestic"/>
    <x v="85"/>
    <x v="16"/>
    <n v="4590000"/>
    <n v="127372"/>
    <d v="2023-04-14T00:00:00"/>
    <s v="PAID"/>
    <x v="17"/>
    <n v="27750"/>
    <n v="1"/>
    <s v="Indonesia"/>
    <s v="JMA - RKB"/>
    <x v="0"/>
  </r>
  <r>
    <s v="CLICTRUCK-047575"/>
    <s v="domestic"/>
    <x v="85"/>
    <x v="16"/>
    <n v="9530000"/>
    <n v="264457"/>
    <d v="2023-04-14T00:00:00"/>
    <s v="PAID"/>
    <x v="17"/>
    <n v="27750"/>
    <n v="1"/>
    <s v="Indonesia"/>
    <s v="JMA - RKB"/>
    <x v="0"/>
  </r>
  <r>
    <s v="CLICTRUCK-047577"/>
    <s v="domestic"/>
    <x v="85"/>
    <x v="16"/>
    <n v="6540000"/>
    <n v="181485"/>
    <d v="2023-04-14T00:00:00"/>
    <s v="PAID"/>
    <x v="17"/>
    <n v="27750"/>
    <n v="1"/>
    <s v="Indonesia"/>
    <s v="JMA - RKB"/>
    <x v="0"/>
  </r>
  <r>
    <s v="CLICTRUCK-047578"/>
    <s v="domestic"/>
    <x v="85"/>
    <x v="18"/>
    <n v="6300000"/>
    <n v="11100"/>
    <d v="2023-04-14T00:00:00"/>
    <s v="UNPAID"/>
    <x v="20"/>
    <n v="174825"/>
    <n v="1"/>
    <s v="Indonesia"/>
    <s v="CSN - PSL"/>
    <x v="0"/>
  </r>
  <r>
    <s v="CLICTRUCK-047579"/>
    <s v="domestic"/>
    <x v="85"/>
    <x v="18"/>
    <n v="6300000"/>
    <n v="11100"/>
    <d v="2023-04-14T00:00:00"/>
    <s v="UNPAID"/>
    <x v="20"/>
    <n v="174825"/>
    <n v="1"/>
    <s v="Indonesia"/>
    <s v="CSN - PSL"/>
    <x v="0"/>
  </r>
  <r>
    <s v="CLICTRUCK-047580"/>
    <s v="domestic"/>
    <x v="85"/>
    <x v="18"/>
    <n v="6300000"/>
    <n v="11100"/>
    <d v="2023-04-14T00:00:00"/>
    <s v="UNPAID"/>
    <x v="20"/>
    <n v="174825"/>
    <n v="1"/>
    <s v="Indonesia"/>
    <s v="CSN - PSL"/>
    <x v="0"/>
  </r>
  <r>
    <s v="CLICTRUCK-047581"/>
    <s v="domestic"/>
    <x v="85"/>
    <x v="18"/>
    <n v="6300000"/>
    <n v="11100"/>
    <d v="2023-04-14T00:00:00"/>
    <s v="UNPAID"/>
    <x v="20"/>
    <n v="174825"/>
    <n v="1"/>
    <s v="Indonesia"/>
    <s v="CSN - PSL"/>
    <x v="0"/>
  </r>
  <r>
    <s v="CLICTRUCK-047583"/>
    <s v="domestic"/>
    <x v="85"/>
    <x v="27"/>
    <n v="9000000"/>
    <n v="27750"/>
    <d v="2023-04-14T00:00:00"/>
    <s v="UNPAID"/>
    <x v="30"/>
    <n v="399600"/>
    <n v="1"/>
    <s v="Indonesia"/>
    <s v="RWJ - TWT"/>
    <x v="0"/>
  </r>
  <r>
    <s v="CLICTRUCK-047586"/>
    <s v="domestic"/>
    <x v="86"/>
    <x v="27"/>
    <n v="39000000"/>
    <n v="27750"/>
    <d v="2023-04-14T00:00:00"/>
    <s v="UNPAID"/>
    <x v="30"/>
    <n v="1731600"/>
    <n v="1"/>
    <s v="Indonesia"/>
    <s v="RWJ - TWT"/>
    <x v="0"/>
  </r>
  <r>
    <s v="CLICTRUCK-047587"/>
    <s v="domestic"/>
    <x v="86"/>
    <x v="23"/>
    <n v="18000000"/>
    <n v="27750"/>
    <d v="2023-04-14T00:00:00"/>
    <s v="PAID"/>
    <x v="25"/>
    <n v="699300"/>
    <n v="1"/>
    <s v="Indonesia"/>
    <s v="HDL - DUG"/>
    <x v="0"/>
  </r>
  <r>
    <s v="CLICTRUCK-047588"/>
    <s v="domestic"/>
    <x v="86"/>
    <x v="23"/>
    <n v="15000000"/>
    <n v="27750"/>
    <d v="2023-04-14T00:00:00"/>
    <s v="PAID"/>
    <x v="25"/>
    <n v="582750"/>
    <n v="1"/>
    <s v="Indonesia"/>
    <s v="HDL - DUG"/>
    <x v="0"/>
  </r>
  <r>
    <s v="CLICTRUCK-047590"/>
    <s v="domestic"/>
    <x v="86"/>
    <x v="27"/>
    <n v="24000000"/>
    <n v="27750"/>
    <d v="2023-04-14T00:00:00"/>
    <s v="UNPAID"/>
    <x v="30"/>
    <n v="1065600"/>
    <n v="1"/>
    <s v="Indonesia"/>
    <s v="RWJ - TWT"/>
    <x v="0"/>
  </r>
  <r>
    <s v="CLICTRUCK-047592"/>
    <s v="domestic"/>
    <x v="86"/>
    <x v="27"/>
    <n v="30000000"/>
    <n v="27750"/>
    <d v="2023-04-14T00:00:00"/>
    <s v="UNPAID"/>
    <x v="30"/>
    <n v="1332000"/>
    <n v="1"/>
    <s v="Indonesia"/>
    <s v="RWJ - TWT"/>
    <x v="0"/>
  </r>
  <r>
    <s v="CLICTRUCK-047595"/>
    <s v="domestic"/>
    <x v="86"/>
    <x v="27"/>
    <n v="4700000"/>
    <n v="27750"/>
    <d v="2023-04-14T00:00:00"/>
    <s v="UNPAID"/>
    <x v="30"/>
    <n v="208680"/>
    <n v="1"/>
    <s v="Indonesia"/>
    <s v="RWJ - TWT"/>
    <x v="0"/>
  </r>
  <r>
    <s v="CLICTRUCK-047596"/>
    <s v="domestic"/>
    <x v="86"/>
    <x v="9"/>
    <n v="347850"/>
    <n v="22500"/>
    <m/>
    <s v="PENDING APPROVAL"/>
    <x v="34"/>
    <n v="0"/>
    <n v="1"/>
    <s v="Indonesia"/>
    <s v="YSN - PPT"/>
    <x v="1"/>
  </r>
  <r>
    <s v="CLICTRUCK-047597"/>
    <s v="domestic"/>
    <x v="86"/>
    <x v="9"/>
    <n v="286015"/>
    <n v="22500"/>
    <m/>
    <s v="PENDING APPROVAL"/>
    <x v="34"/>
    <n v="0"/>
    <n v="1"/>
    <s v="Indonesia"/>
    <s v="YSN - PPT"/>
    <x v="1"/>
  </r>
  <r>
    <s v="CLICTRUCK-047598"/>
    <s v="domestic"/>
    <x v="86"/>
    <x v="9"/>
    <n v="190000"/>
    <n v="22500"/>
    <m/>
    <s v="DELIVERED"/>
    <x v="34"/>
    <n v="0"/>
    <n v="1"/>
    <s v="Indonesia"/>
    <s v="YSN - PPT"/>
    <x v="1"/>
  </r>
  <r>
    <s v="CLICTRUCK-047603"/>
    <s v="domestic"/>
    <x v="86"/>
    <x v="30"/>
    <n v="313815000"/>
    <n v="27750"/>
    <d v="2023-04-14T00:00:00"/>
    <s v="PAID"/>
    <x v="33"/>
    <n v="13933386"/>
    <n v="1"/>
    <s v="Indonesia"/>
    <s v="RDD - RED"/>
    <x v="0"/>
  </r>
  <r>
    <s v="CLICTRUCK-047604"/>
    <s v="domestic"/>
    <x v="86"/>
    <x v="7"/>
    <n v="45000000"/>
    <n v="22200"/>
    <d v="2023-04-14T00:00:00"/>
    <s v="UNPAID"/>
    <x v="6"/>
    <n v="1248750"/>
    <n v="1"/>
    <s v="Indonesia"/>
    <s v="IFI - IKI"/>
    <x v="0"/>
  </r>
  <r>
    <s v="CLICTRUCK-047605"/>
    <s v="domestic"/>
    <x v="86"/>
    <x v="7"/>
    <n v="45000000"/>
    <n v="22200"/>
    <d v="2023-04-14T00:00:00"/>
    <s v="UNPAID"/>
    <x v="6"/>
    <n v="1248750"/>
    <n v="1"/>
    <s v="Indonesia"/>
    <s v="IFI - IKI"/>
    <x v="0"/>
  </r>
  <r>
    <s v="CLICTRUCK-047606"/>
    <s v="domestic"/>
    <x v="86"/>
    <x v="7"/>
    <n v="45000000"/>
    <n v="22200"/>
    <d v="2023-04-14T00:00:00"/>
    <s v="UNPAID"/>
    <x v="6"/>
    <n v="1248750"/>
    <n v="1"/>
    <s v="Indonesia"/>
    <s v="IFI - IKI"/>
    <x v="0"/>
  </r>
  <r>
    <s v="CLICTRUCK-047607"/>
    <s v="domestic"/>
    <x v="86"/>
    <x v="7"/>
    <n v="64810000"/>
    <n v="22200"/>
    <d v="2023-04-14T00:00:00"/>
    <s v="UNPAID"/>
    <x v="6"/>
    <n v="1798477"/>
    <n v="1"/>
    <s v="Indonesia"/>
    <s v="IFI - IKI"/>
    <x v="0"/>
  </r>
  <r>
    <s v="CLICTRUCK-047616"/>
    <s v="domestic"/>
    <x v="87"/>
    <x v="25"/>
    <n v="8125000"/>
    <n v="27750"/>
    <d v="2023-04-16T00:00:00"/>
    <s v="UNPAID"/>
    <x v="28"/>
    <n v="360750"/>
    <n v="1"/>
    <s v="Indonesia"/>
    <s v="SAJB - SEP"/>
    <x v="0"/>
  </r>
  <r>
    <s v="CLICTRUCK-047617"/>
    <s v="domestic"/>
    <x v="87"/>
    <x v="25"/>
    <n v="8125000"/>
    <n v="27750"/>
    <d v="2023-04-16T00:00:00"/>
    <s v="UNPAID"/>
    <x v="28"/>
    <n v="360750"/>
    <n v="1"/>
    <s v="Indonesia"/>
    <s v="SAJB - SEP"/>
    <x v="0"/>
  </r>
  <r>
    <s v="CLICTRUCK-047618"/>
    <s v="domestic"/>
    <x v="87"/>
    <x v="25"/>
    <n v="1950000"/>
    <n v="27750"/>
    <d v="2023-04-16T00:00:00"/>
    <s v="UNPAID"/>
    <x v="28"/>
    <n v="86580"/>
    <n v="1"/>
    <s v="Indonesia"/>
    <s v="SAJB - SEP"/>
    <x v="0"/>
  </r>
  <r>
    <s v="CLICTRUCK-047619"/>
    <s v="domestic"/>
    <x v="87"/>
    <x v="25"/>
    <n v="1680000"/>
    <n v="27750"/>
    <d v="2023-04-16T00:00:00"/>
    <s v="UNPAID"/>
    <x v="28"/>
    <n v="74592"/>
    <n v="1"/>
    <s v="Indonesia"/>
    <s v="SAJB - SEP"/>
    <x v="0"/>
  </r>
  <r>
    <s v="CLICTRUCK-047620"/>
    <s v="domestic"/>
    <x v="87"/>
    <x v="25"/>
    <n v="3275000"/>
    <n v="27750"/>
    <d v="2023-04-16T00:00:00"/>
    <s v="UNPAID"/>
    <x v="28"/>
    <n v="145410"/>
    <n v="1"/>
    <s v="Indonesia"/>
    <s v="SAJB - SEP"/>
    <x v="0"/>
  </r>
  <r>
    <s v="CLICTRUCK-047621"/>
    <s v="domestic"/>
    <x v="87"/>
    <x v="25"/>
    <n v="3275000"/>
    <n v="27750"/>
    <d v="2023-04-16T00:00:00"/>
    <s v="UNPAID"/>
    <x v="28"/>
    <n v="145410"/>
    <n v="1"/>
    <s v="Indonesia"/>
    <s v="SAJB - SEP"/>
    <x v="0"/>
  </r>
  <r>
    <s v="CLICTRUCK-047622"/>
    <s v="domestic"/>
    <x v="87"/>
    <x v="25"/>
    <n v="3275000"/>
    <n v="27750"/>
    <d v="2023-04-16T00:00:00"/>
    <s v="UNPAID"/>
    <x v="28"/>
    <n v="145410"/>
    <n v="1"/>
    <s v="Indonesia"/>
    <s v="SAJB - SEP"/>
    <x v="0"/>
  </r>
  <r>
    <s v="CLICTRUCK-047623"/>
    <s v="domestic"/>
    <x v="87"/>
    <x v="25"/>
    <n v="1905000"/>
    <n v="27750"/>
    <d v="2023-04-16T00:00:00"/>
    <s v="UNPAID"/>
    <x v="28"/>
    <n v="84582"/>
    <n v="1"/>
    <s v="Indonesia"/>
    <s v="SAJB - SEP"/>
    <x v="0"/>
  </r>
  <r>
    <s v="CLICTRUCK-047624"/>
    <s v="domestic"/>
    <x v="87"/>
    <x v="25"/>
    <n v="1905000"/>
    <n v="27750"/>
    <d v="2023-04-16T00:00:00"/>
    <s v="UNPAID"/>
    <x v="28"/>
    <n v="84582"/>
    <n v="1"/>
    <s v="Indonesia"/>
    <s v="SAJB - SEP"/>
    <x v="0"/>
  </r>
  <r>
    <s v="CLICTRUCK-047625"/>
    <s v="domestic"/>
    <x v="87"/>
    <x v="25"/>
    <n v="1950000"/>
    <n v="27750"/>
    <d v="2023-04-16T00:00:00"/>
    <s v="UNPAID"/>
    <x v="28"/>
    <n v="86580"/>
    <n v="1"/>
    <s v="Indonesia"/>
    <s v="SAJB - SEP"/>
    <x v="0"/>
  </r>
  <r>
    <s v="CLICTRUCK-047626"/>
    <s v="domestic"/>
    <x v="87"/>
    <x v="25"/>
    <n v="1905000"/>
    <n v="27750"/>
    <d v="2023-04-16T00:00:00"/>
    <s v="UNPAID"/>
    <x v="28"/>
    <n v="84582"/>
    <n v="1"/>
    <s v="Indonesia"/>
    <s v="SAJB - SEP"/>
    <x v="0"/>
  </r>
  <r>
    <s v="CLICTRUCK-047627"/>
    <s v="domestic"/>
    <x v="87"/>
    <x v="25"/>
    <n v="3275000"/>
    <n v="27750"/>
    <d v="2023-04-16T00:00:00"/>
    <s v="UNPAID"/>
    <x v="28"/>
    <n v="145410"/>
    <n v="1"/>
    <s v="Indonesia"/>
    <s v="SAJB - SEP"/>
    <x v="0"/>
  </r>
  <r>
    <s v="CLICTRUCK-047628"/>
    <s v="domestic"/>
    <x v="87"/>
    <x v="25"/>
    <n v="1905000"/>
    <n v="27750"/>
    <d v="2023-04-16T00:00:00"/>
    <s v="UNPAID"/>
    <x v="28"/>
    <n v="84582"/>
    <n v="1"/>
    <s v="Indonesia"/>
    <s v="SAJB - SEP"/>
    <x v="0"/>
  </r>
  <r>
    <s v="CLICTRUCK-047629"/>
    <s v="domestic"/>
    <x v="87"/>
    <x v="25"/>
    <n v="2195000"/>
    <n v="27750"/>
    <d v="2023-04-16T00:00:00"/>
    <s v="UNPAID"/>
    <x v="28"/>
    <n v="97458"/>
    <n v="1"/>
    <s v="Indonesia"/>
    <s v="SAJB - SEP"/>
    <x v="0"/>
  </r>
  <r>
    <s v="CLICTRUCK-047630"/>
    <s v="domestic"/>
    <x v="87"/>
    <x v="25"/>
    <n v="2195000"/>
    <n v="27750"/>
    <d v="2023-04-16T00:00:00"/>
    <s v="UNPAID"/>
    <x v="28"/>
    <n v="97458"/>
    <n v="1"/>
    <s v="Indonesia"/>
    <s v="SAJB - SEP"/>
    <x v="0"/>
  </r>
  <r>
    <s v="CLICTRUCK-047631"/>
    <s v="domestic"/>
    <x v="87"/>
    <x v="25"/>
    <n v="2195000"/>
    <n v="27750"/>
    <d v="2023-04-16T00:00:00"/>
    <s v="UNPAID"/>
    <x v="28"/>
    <n v="97458"/>
    <n v="1"/>
    <s v="Indonesia"/>
    <s v="SAJB - SEP"/>
    <x v="0"/>
  </r>
  <r>
    <s v="CLICTRUCK-047633"/>
    <s v="domestic"/>
    <x v="87"/>
    <x v="25"/>
    <n v="2510000"/>
    <n v="27750"/>
    <d v="2023-04-16T00:00:00"/>
    <s v="UNPAID"/>
    <x v="28"/>
    <n v="111444"/>
    <n v="1"/>
    <s v="Indonesia"/>
    <s v="SAJB - SEP"/>
    <x v="0"/>
  </r>
  <r>
    <s v="CLICTRUCK-047634"/>
    <s v="domestic"/>
    <x v="87"/>
    <x v="25"/>
    <n v="1950000"/>
    <n v="27750"/>
    <d v="2023-04-16T00:00:00"/>
    <s v="UNPAID"/>
    <x v="28"/>
    <n v="86580"/>
    <n v="1"/>
    <s v="Indonesia"/>
    <s v="SAJB - SEP"/>
    <x v="0"/>
  </r>
  <r>
    <s v="CLICTRUCK-047635"/>
    <s v="domestic"/>
    <x v="87"/>
    <x v="25"/>
    <n v="1950000"/>
    <n v="27750"/>
    <d v="2023-04-16T00:00:00"/>
    <s v="UNPAID"/>
    <x v="28"/>
    <n v="86580"/>
    <n v="1"/>
    <s v="Indonesia"/>
    <s v="SAJB - SEP"/>
    <x v="0"/>
  </r>
  <r>
    <s v="CLICTRUCK-047639"/>
    <s v="domestic"/>
    <x v="87"/>
    <x v="25"/>
    <n v="1655000"/>
    <n v="27750"/>
    <d v="2023-04-16T00:00:00"/>
    <s v="UNPAID"/>
    <x v="28"/>
    <n v="73482"/>
    <n v="1"/>
    <s v="Indonesia"/>
    <s v="SAJB - SEP"/>
    <x v="0"/>
  </r>
  <r>
    <s v="CLICTRUCK-047640"/>
    <s v="domestic"/>
    <x v="87"/>
    <x v="25"/>
    <n v="1815000"/>
    <n v="27750"/>
    <d v="2023-04-16T00:00:00"/>
    <s v="UNPAID"/>
    <x v="28"/>
    <n v="80586"/>
    <n v="1"/>
    <s v="Indonesia"/>
    <s v="SAJB - SEP"/>
    <x v="0"/>
  </r>
  <r>
    <s v="CLICTRUCK-047641"/>
    <s v="domestic"/>
    <x v="87"/>
    <x v="25"/>
    <n v="1655000"/>
    <n v="27750"/>
    <d v="2023-04-16T00:00:00"/>
    <s v="UNPAID"/>
    <x v="28"/>
    <n v="73482"/>
    <n v="1"/>
    <s v="Indonesia"/>
    <s v="SAJB - SEP"/>
    <x v="0"/>
  </r>
  <r>
    <s v="CLICTRUCK-047642"/>
    <s v="domestic"/>
    <x v="87"/>
    <x v="25"/>
    <n v="1655000"/>
    <n v="27750"/>
    <d v="2023-04-16T00:00:00"/>
    <s v="UNPAID"/>
    <x v="28"/>
    <n v="73482"/>
    <n v="1"/>
    <s v="Indonesia"/>
    <s v="SAJB - SEP"/>
    <x v="0"/>
  </r>
  <r>
    <s v="CLICTRUCK-047643"/>
    <s v="domestic"/>
    <x v="87"/>
    <x v="25"/>
    <n v="1655000"/>
    <n v="27750"/>
    <d v="2023-04-16T00:00:00"/>
    <s v="UNPAID"/>
    <x v="28"/>
    <n v="73482"/>
    <n v="1"/>
    <s v="Indonesia"/>
    <s v="SAJB - SEP"/>
    <x v="0"/>
  </r>
  <r>
    <s v="CLICTRUCK-047644"/>
    <s v="domestic"/>
    <x v="87"/>
    <x v="25"/>
    <n v="1242000"/>
    <n v="27750"/>
    <d v="2023-04-16T00:00:00"/>
    <s v="UNPAID"/>
    <x v="28"/>
    <n v="55144"/>
    <n v="1"/>
    <s v="Indonesia"/>
    <s v="SAJB - SEP"/>
    <x v="0"/>
  </r>
  <r>
    <s v="CLICTRUCK-047645"/>
    <s v="domestic"/>
    <x v="87"/>
    <x v="25"/>
    <n v="3400000"/>
    <n v="27750"/>
    <d v="2023-04-16T00:00:00"/>
    <s v="UNPAID"/>
    <x v="28"/>
    <n v="150960"/>
    <n v="1"/>
    <s v="Indonesia"/>
    <s v="SAJB - SEP"/>
    <x v="0"/>
  </r>
  <r>
    <s v="CLICTRUCK-047646"/>
    <s v="domestic"/>
    <x v="87"/>
    <x v="25"/>
    <n v="1815000"/>
    <n v="27750"/>
    <d v="2023-04-16T00:00:00"/>
    <s v="UNPAID"/>
    <x v="28"/>
    <n v="80586"/>
    <n v="1"/>
    <s v="Indonesia"/>
    <s v="SAJB - SEP"/>
    <x v="0"/>
  </r>
  <r>
    <s v="CLICTRUCK-047647"/>
    <s v="domestic"/>
    <x v="87"/>
    <x v="25"/>
    <n v="1150000"/>
    <n v="27750"/>
    <d v="2023-04-16T00:00:00"/>
    <s v="UNPAID"/>
    <x v="28"/>
    <n v="51060"/>
    <n v="1"/>
    <s v="Indonesia"/>
    <s v="SAJB - SEP"/>
    <x v="0"/>
  </r>
  <r>
    <s v="CLICTRUCK-047648"/>
    <s v="domestic"/>
    <x v="87"/>
    <x v="25"/>
    <n v="1655000"/>
    <n v="27750"/>
    <d v="2023-04-16T00:00:00"/>
    <s v="UNPAID"/>
    <x v="28"/>
    <n v="73482"/>
    <n v="1"/>
    <s v="Indonesia"/>
    <s v="SAJB - SEP"/>
    <x v="0"/>
  </r>
  <r>
    <s v="CLICTRUCK-047649"/>
    <s v="domestic"/>
    <x v="87"/>
    <x v="25"/>
    <n v="1880000"/>
    <n v="27750"/>
    <d v="2023-04-16T00:00:00"/>
    <s v="UNPAID"/>
    <x v="28"/>
    <n v="83472"/>
    <n v="1"/>
    <s v="Indonesia"/>
    <s v="SAJB - SEP"/>
    <x v="0"/>
  </r>
  <r>
    <s v="CLICTRUCK-047650"/>
    <s v="domestic"/>
    <x v="87"/>
    <x v="25"/>
    <n v="1150000"/>
    <n v="27750"/>
    <d v="2023-04-16T00:00:00"/>
    <s v="UNPAID"/>
    <x v="28"/>
    <n v="51060"/>
    <n v="1"/>
    <s v="Indonesia"/>
    <s v="SAJB - SEP"/>
    <x v="0"/>
  </r>
  <r>
    <s v="CLICTRUCK-047651"/>
    <s v="domestic"/>
    <x v="87"/>
    <x v="25"/>
    <n v="2485000"/>
    <n v="27750"/>
    <d v="2023-04-16T00:00:00"/>
    <s v="UNPAID"/>
    <x v="28"/>
    <n v="110334"/>
    <n v="1"/>
    <s v="Indonesia"/>
    <s v="SAJB - SEP"/>
    <x v="0"/>
  </r>
  <r>
    <s v="CLICTRUCK-047652"/>
    <s v="domestic"/>
    <x v="87"/>
    <x v="25"/>
    <n v="1925000"/>
    <n v="27750"/>
    <d v="2023-04-16T00:00:00"/>
    <s v="UNPAID"/>
    <x v="28"/>
    <n v="85470"/>
    <n v="1"/>
    <s v="Indonesia"/>
    <s v="SAJB - SEP"/>
    <x v="0"/>
  </r>
  <r>
    <s v="CLICTRUCK-047653"/>
    <s v="domestic"/>
    <x v="87"/>
    <x v="25"/>
    <n v="1150000"/>
    <n v="27750"/>
    <d v="2023-04-16T00:00:00"/>
    <s v="UNPAID"/>
    <x v="28"/>
    <n v="51060"/>
    <n v="1"/>
    <s v="Indonesia"/>
    <s v="SAJB - SEP"/>
    <x v="0"/>
  </r>
  <r>
    <s v="CLICTRUCK-047654"/>
    <s v="domestic"/>
    <x v="87"/>
    <x v="25"/>
    <n v="1815000"/>
    <n v="27750"/>
    <d v="2023-04-16T00:00:00"/>
    <s v="UNPAID"/>
    <x v="28"/>
    <n v="80586"/>
    <n v="1"/>
    <s v="Indonesia"/>
    <s v="SAJB - SEP"/>
    <x v="0"/>
  </r>
  <r>
    <s v="CLICTRUCK-047655"/>
    <s v="domestic"/>
    <x v="87"/>
    <x v="25"/>
    <n v="1880000"/>
    <n v="27750"/>
    <d v="2023-04-16T00:00:00"/>
    <s v="UNPAID"/>
    <x v="28"/>
    <n v="83472"/>
    <n v="1"/>
    <s v="Indonesia"/>
    <s v="SAJB - SEP"/>
    <x v="0"/>
  </r>
  <r>
    <s v="CLICTRUCK-047656"/>
    <s v="domestic"/>
    <x v="87"/>
    <x v="25"/>
    <n v="2485000"/>
    <n v="27750"/>
    <d v="2023-04-16T00:00:00"/>
    <s v="UNPAID"/>
    <x v="28"/>
    <n v="110334"/>
    <n v="1"/>
    <s v="Indonesia"/>
    <s v="SAJB - SEP"/>
    <x v="0"/>
  </r>
  <r>
    <s v="CLICTRUCK-047657"/>
    <s v="domestic"/>
    <x v="87"/>
    <x v="25"/>
    <n v="1880000"/>
    <n v="27750"/>
    <d v="2023-04-16T00:00:00"/>
    <s v="UNPAID"/>
    <x v="28"/>
    <n v="83472"/>
    <n v="1"/>
    <s v="Indonesia"/>
    <s v="SAJB - SEP"/>
    <x v="0"/>
  </r>
  <r>
    <s v="CLICTRUCK-047658"/>
    <s v="domestic"/>
    <x v="87"/>
    <x v="25"/>
    <n v="1905000"/>
    <n v="27750"/>
    <d v="2023-04-16T00:00:00"/>
    <s v="UNPAID"/>
    <x v="28"/>
    <n v="84582"/>
    <n v="1"/>
    <s v="Indonesia"/>
    <s v="SAJB - SEP"/>
    <x v="0"/>
  </r>
  <r>
    <s v="CLICTRUCK-047659"/>
    <s v="domestic"/>
    <x v="87"/>
    <x v="25"/>
    <n v="1025000"/>
    <n v="27750"/>
    <d v="2023-04-16T00:00:00"/>
    <s v="UNPAID"/>
    <x v="28"/>
    <n v="45510"/>
    <n v="1"/>
    <s v="Indonesia"/>
    <s v="SAJB - SEP"/>
    <x v="0"/>
  </r>
  <r>
    <s v="CLICTRUCK-047660"/>
    <s v="domestic"/>
    <x v="87"/>
    <x v="25"/>
    <n v="1175000"/>
    <n v="27750"/>
    <d v="2023-04-16T00:00:00"/>
    <s v="UNPAID"/>
    <x v="28"/>
    <n v="52170"/>
    <n v="1"/>
    <s v="Indonesia"/>
    <s v="SAJB - SEP"/>
    <x v="0"/>
  </r>
  <r>
    <s v="CLICTRUCK-047661"/>
    <s v="domestic"/>
    <x v="87"/>
    <x v="25"/>
    <n v="1175000"/>
    <n v="27750"/>
    <d v="2023-04-16T00:00:00"/>
    <s v="UNPAID"/>
    <x v="28"/>
    <n v="52170"/>
    <n v="1"/>
    <s v="Indonesia"/>
    <s v="SAJB - SEP"/>
    <x v="0"/>
  </r>
  <r>
    <s v="CLICTRUCK-047662"/>
    <s v="domestic"/>
    <x v="87"/>
    <x v="25"/>
    <n v="1905000"/>
    <n v="27750"/>
    <d v="2023-04-16T00:00:00"/>
    <s v="UNPAID"/>
    <x v="28"/>
    <n v="84582"/>
    <n v="1"/>
    <s v="Indonesia"/>
    <s v="SAJB - SEP"/>
    <x v="0"/>
  </r>
  <r>
    <s v="CLICTRUCK-047663"/>
    <s v="domestic"/>
    <x v="87"/>
    <x v="25"/>
    <n v="2510000"/>
    <n v="27750"/>
    <d v="2023-04-16T00:00:00"/>
    <s v="UNPAID"/>
    <x v="28"/>
    <n v="111444"/>
    <n v="1"/>
    <s v="Indonesia"/>
    <s v="SAJB - SEP"/>
    <x v="0"/>
  </r>
  <r>
    <s v="CLICTRUCK-047664"/>
    <s v="domestic"/>
    <x v="87"/>
    <x v="25"/>
    <n v="1905000"/>
    <n v="27750"/>
    <d v="2023-04-16T00:00:00"/>
    <s v="UNPAID"/>
    <x v="28"/>
    <n v="84582"/>
    <n v="1"/>
    <s v="Indonesia"/>
    <s v="SAJB - SEP"/>
    <x v="0"/>
  </r>
  <r>
    <s v="CLICTRUCK-047665"/>
    <s v="domestic"/>
    <x v="87"/>
    <x v="25"/>
    <n v="1175000"/>
    <n v="27750"/>
    <d v="2023-04-16T00:00:00"/>
    <s v="UNPAID"/>
    <x v="28"/>
    <n v="52170"/>
    <n v="1"/>
    <s v="Indonesia"/>
    <s v="SAJB - SEP"/>
    <x v="0"/>
  </r>
  <r>
    <s v="CLICTRUCK-047666"/>
    <s v="domestic"/>
    <x v="87"/>
    <x v="25"/>
    <n v="1905000"/>
    <n v="27750"/>
    <d v="2023-04-16T00:00:00"/>
    <s v="UNPAID"/>
    <x v="28"/>
    <n v="84582"/>
    <n v="1"/>
    <s v="Indonesia"/>
    <s v="SAJB - SEP"/>
    <x v="0"/>
  </r>
  <r>
    <s v="CLICTRUCK-047693"/>
    <s v="domestic"/>
    <x v="88"/>
    <x v="9"/>
    <n v="315560"/>
    <n v="24975"/>
    <d v="2023-04-27T00:00:00"/>
    <s v="UNPAID"/>
    <x v="9"/>
    <n v="10507"/>
    <n v="1"/>
    <s v="Indonesia"/>
    <s v="YSN-SSA"/>
    <x v="0"/>
  </r>
  <r>
    <s v="CLICTRUCK-047696"/>
    <s v="domestic"/>
    <x v="88"/>
    <x v="9"/>
    <n v="294000"/>
    <n v="24975"/>
    <d v="2023-05-08T00:00:00"/>
    <s v="UNPAID"/>
    <x v="9"/>
    <n v="9790"/>
    <n v="1"/>
    <s v="Indonesia"/>
    <s v="YSN-SSA"/>
    <x v="0"/>
  </r>
  <r>
    <s v="CLICTRUCK-047699"/>
    <s v="domestic"/>
    <x v="89"/>
    <x v="9"/>
    <n v="274890"/>
    <n v="24975"/>
    <d v="2023-05-08T00:00:00"/>
    <s v="UNPAID"/>
    <x v="9"/>
    <n v="9153"/>
    <n v="1"/>
    <s v="Indonesia"/>
    <s v="YSN-SSA"/>
    <x v="0"/>
  </r>
  <r>
    <s v="CLICTRUCK-047700"/>
    <s v="domestic"/>
    <x v="89"/>
    <x v="9"/>
    <n v="274890"/>
    <n v="24975"/>
    <d v="2023-04-27T00:00:00"/>
    <s v="UNPAID"/>
    <x v="9"/>
    <n v="9153"/>
    <n v="1"/>
    <s v="Indonesia"/>
    <s v="YSN-SSA"/>
    <x v="0"/>
  </r>
  <r>
    <s v="CLICTRUCK-047702"/>
    <s v="domestic"/>
    <x v="127"/>
    <x v="9"/>
    <n v="340060"/>
    <n v="24975"/>
    <d v="2023-05-08T00:00:00"/>
    <s v="UNPAID"/>
    <x v="9"/>
    <n v="11323"/>
    <n v="1"/>
    <s v="Indonesia"/>
    <s v="YSN-SSA"/>
    <x v="0"/>
  </r>
  <r>
    <s v="CLICTRUCK-047703"/>
    <s v="domestic"/>
    <x v="127"/>
    <x v="9"/>
    <n v="265090"/>
    <n v="24975"/>
    <d v="2023-05-16T00:00:00"/>
    <s v="UNPAID"/>
    <x v="9"/>
    <n v="8826"/>
    <n v="1"/>
    <s v="Indonesia"/>
    <s v="YSN-SSA"/>
    <x v="0"/>
  </r>
  <r>
    <s v="CLICTRUCK-047704"/>
    <s v="domestic"/>
    <x v="127"/>
    <x v="9"/>
    <n v="7938000"/>
    <n v="24975"/>
    <d v="2023-05-08T00:00:00"/>
    <s v="UNPAID"/>
    <x v="8"/>
    <n v="264335"/>
    <n v="1"/>
    <s v="Indonesia"/>
    <s v="YSN-FPM"/>
    <x v="0"/>
  </r>
  <r>
    <s v="CLICTRUCK-047705"/>
    <s v="domestic"/>
    <x v="127"/>
    <x v="9"/>
    <n v="7350000"/>
    <n v="24975"/>
    <d v="2023-05-08T00:00:00"/>
    <s v="UNPAID"/>
    <x v="8"/>
    <n v="244755"/>
    <n v="1"/>
    <s v="Indonesia"/>
    <s v="YSN-FPM"/>
    <x v="0"/>
  </r>
  <r>
    <s v="CLICTRUCK-047706"/>
    <s v="domestic"/>
    <x v="127"/>
    <x v="9"/>
    <n v="340060"/>
    <n v="24975"/>
    <d v="2023-05-08T00:00:00"/>
    <s v="UNPAID"/>
    <x v="9"/>
    <n v="11323"/>
    <n v="1"/>
    <s v="Indonesia"/>
    <s v="YSN-SSA"/>
    <x v="0"/>
  </r>
  <r>
    <s v="CLICTRUCK-047707"/>
    <s v="domestic"/>
    <x v="128"/>
    <x v="11"/>
    <n v="5376480"/>
    <n v="5550"/>
    <d v="2023-05-17T00:00:00"/>
    <s v="UNPAID"/>
    <x v="11"/>
    <n v="268554"/>
    <n v="1"/>
    <s v="Indonesia"/>
    <s v="TJL - JPP"/>
    <x v="0"/>
  </r>
  <r>
    <s v="CLICTRUCK-047708"/>
    <s v="domestic"/>
    <x v="128"/>
    <x v="11"/>
    <n v="5176725"/>
    <n v="5550"/>
    <d v="2023-05-17T00:00:00"/>
    <s v="UNPAID"/>
    <x v="11"/>
    <n v="258576"/>
    <n v="1"/>
    <s v="Indonesia"/>
    <s v="TJL - JPP"/>
    <x v="0"/>
  </r>
  <r>
    <s v="CLICTRUCK-047709"/>
    <s v="domestic"/>
    <x v="128"/>
    <x v="11"/>
    <n v="5206050"/>
    <n v="5550"/>
    <d v="2023-05-17T00:00:00"/>
    <s v="UNPAID"/>
    <x v="11"/>
    <n v="260041"/>
    <n v="1"/>
    <s v="Indonesia"/>
    <s v="TJL - JPP"/>
    <x v="0"/>
  </r>
  <r>
    <s v="CLICTRUCK-047710"/>
    <s v="domestic"/>
    <x v="128"/>
    <x v="11"/>
    <n v="5814400"/>
    <n v="5550"/>
    <d v="2023-05-17T00:00:00"/>
    <s v="UNPAID"/>
    <x v="11"/>
    <n v="290429"/>
    <n v="1"/>
    <s v="Indonesia"/>
    <s v="TJL - JPP"/>
    <x v="0"/>
  </r>
  <r>
    <s v="CLICTRUCK-047711"/>
    <s v="domestic"/>
    <x v="128"/>
    <x v="11"/>
    <n v="5569680"/>
    <n v="5550"/>
    <d v="2023-05-17T00:00:00"/>
    <s v="UNPAID"/>
    <x v="11"/>
    <n v="278204"/>
    <n v="1"/>
    <s v="Indonesia"/>
    <s v="TJL - JPP"/>
    <x v="0"/>
  </r>
  <r>
    <s v="CLICTRUCK-047712"/>
    <s v="domestic"/>
    <x v="128"/>
    <x v="11"/>
    <n v="4924875"/>
    <n v="5550"/>
    <d v="2023-05-17T00:00:00"/>
    <s v="UNPAID"/>
    <x v="11"/>
    <n v="245997"/>
    <n v="1"/>
    <s v="Indonesia"/>
    <s v="TJL - JPP"/>
    <x v="0"/>
  </r>
  <r>
    <s v="CLICTRUCK-047715"/>
    <s v="domestic"/>
    <x v="129"/>
    <x v="11"/>
    <n v="5464800"/>
    <n v="5550"/>
    <d v="2023-05-17T00:00:00"/>
    <s v="UNPAID"/>
    <x v="11"/>
    <n v="272966"/>
    <n v="1"/>
    <s v="Indonesia"/>
    <s v="TJL - JPP"/>
    <x v="0"/>
  </r>
  <r>
    <s v="CLICTRUCK-047716"/>
    <s v="domestic"/>
    <x v="129"/>
    <x v="11"/>
    <n v="14688950"/>
    <n v="5550"/>
    <d v="2023-05-17T00:00:00"/>
    <s v="UNPAID"/>
    <x v="11"/>
    <n v="733712"/>
    <n v="1"/>
    <s v="Indonesia"/>
    <s v="TJL - JPP"/>
    <x v="0"/>
  </r>
  <r>
    <s v="CLICTRUCK-047717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18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19"/>
    <s v="domestic"/>
    <x v="129"/>
    <x v="11"/>
    <n v="13541825"/>
    <n v="5550"/>
    <d v="2023-05-17T00:00:00"/>
    <s v="UNPAID"/>
    <x v="11"/>
    <n v="676414"/>
    <n v="1"/>
    <s v="Indonesia"/>
    <s v="TJL - JPP"/>
    <x v="0"/>
  </r>
  <r>
    <s v="CLICTRUCK-047720"/>
    <s v="domestic"/>
    <x v="129"/>
    <x v="11"/>
    <n v="13541825"/>
    <n v="5550"/>
    <d v="2023-05-17T00:00:00"/>
    <s v="UNPAID"/>
    <x v="11"/>
    <n v="676414"/>
    <n v="1"/>
    <s v="Indonesia"/>
    <s v="TJL - JPP"/>
    <x v="0"/>
  </r>
  <r>
    <s v="CLICTRUCK-047721"/>
    <s v="domestic"/>
    <x v="129"/>
    <x v="11"/>
    <n v="13541825"/>
    <n v="5550"/>
    <d v="2023-05-17T00:00:00"/>
    <s v="UNPAID"/>
    <x v="11"/>
    <n v="676414"/>
    <n v="1"/>
    <s v="Indonesia"/>
    <s v="TJL - JPP"/>
    <x v="0"/>
  </r>
  <r>
    <s v="CLICTRUCK-047722"/>
    <s v="domestic"/>
    <x v="129"/>
    <x v="11"/>
    <n v="13541825"/>
    <n v="5550"/>
    <d v="2023-05-17T00:00:00"/>
    <s v="UNPAID"/>
    <x v="11"/>
    <n v="676414"/>
    <n v="1"/>
    <s v="Indonesia"/>
    <s v="TJL - JPP"/>
    <x v="0"/>
  </r>
  <r>
    <s v="CLICTRUCK-047723"/>
    <s v="domestic"/>
    <x v="129"/>
    <x v="11"/>
    <n v="13541825"/>
    <n v="5550"/>
    <d v="2023-05-17T00:00:00"/>
    <s v="UNPAID"/>
    <x v="11"/>
    <n v="676414"/>
    <n v="1"/>
    <s v="Indonesia"/>
    <s v="TJL - JPP"/>
    <x v="0"/>
  </r>
  <r>
    <s v="CLICTRUCK-047724"/>
    <s v="domestic"/>
    <x v="129"/>
    <x v="11"/>
    <n v="13541825"/>
    <n v="5550"/>
    <d v="2023-05-17T00:00:00"/>
    <s v="UNPAID"/>
    <x v="11"/>
    <n v="676414"/>
    <n v="1"/>
    <s v="Indonesia"/>
    <s v="TJL - JPP"/>
    <x v="0"/>
  </r>
  <r>
    <s v="CLICTRUCK-047725"/>
    <s v="domestic"/>
    <x v="129"/>
    <x v="11"/>
    <n v="5510800"/>
    <n v="5550"/>
    <d v="2023-05-17T00:00:00"/>
    <s v="UNPAID"/>
    <x v="11"/>
    <n v="275264"/>
    <n v="1"/>
    <s v="Indonesia"/>
    <s v="TJL - JPP"/>
    <x v="0"/>
  </r>
  <r>
    <s v="CLICTRUCK-047726"/>
    <s v="domestic"/>
    <x v="129"/>
    <x v="11"/>
    <n v="5779440"/>
    <n v="5550"/>
    <d v="2023-05-17T00:00:00"/>
    <s v="UNPAID"/>
    <x v="11"/>
    <n v="288682"/>
    <n v="1"/>
    <s v="Indonesia"/>
    <s v="TJL - JPP"/>
    <x v="0"/>
  </r>
  <r>
    <s v="CLICTRUCK-047727"/>
    <s v="domestic"/>
    <x v="129"/>
    <x v="11"/>
    <n v="6566500"/>
    <n v="5550"/>
    <d v="2023-05-17T00:00:00"/>
    <s v="UNPAID"/>
    <x v="11"/>
    <n v="327996"/>
    <n v="1"/>
    <s v="Indonesia"/>
    <s v="TJL - JPP"/>
    <x v="0"/>
  </r>
  <r>
    <s v="CLICTRUCK-047728"/>
    <s v="domestic"/>
    <x v="129"/>
    <x v="11"/>
    <n v="5356125"/>
    <n v="5550"/>
    <d v="2023-05-17T00:00:00"/>
    <s v="UNPAID"/>
    <x v="11"/>
    <n v="267537"/>
    <n v="1"/>
    <s v="Indonesia"/>
    <s v="TJL - JPP"/>
    <x v="0"/>
  </r>
  <r>
    <s v="CLICTRUCK-047729"/>
    <s v="domestic"/>
    <x v="129"/>
    <x v="11"/>
    <n v="4657500"/>
    <n v="5550"/>
    <d v="2023-05-17T00:00:00"/>
    <s v="UNPAID"/>
    <x v="11"/>
    <n v="232641"/>
    <n v="1"/>
    <s v="Indonesia"/>
    <s v="TJL - JPP"/>
    <x v="0"/>
  </r>
  <r>
    <s v="CLICTRUCK-047730"/>
    <s v="domestic"/>
    <x v="129"/>
    <x v="11"/>
    <n v="6501525"/>
    <n v="5550"/>
    <d v="2023-05-17T00:00:00"/>
    <s v="UNPAID"/>
    <x v="11"/>
    <n v="324750"/>
    <n v="1"/>
    <s v="Indonesia"/>
    <s v="TJL - JPP"/>
    <x v="0"/>
  </r>
  <r>
    <s v="CLICTRUCK-047731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32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33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34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35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36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37"/>
    <s v="domestic"/>
    <x v="129"/>
    <x v="11"/>
    <n v="5967000"/>
    <n v="5550"/>
    <d v="2023-05-17T00:00:00"/>
    <s v="UNPAID"/>
    <x v="11"/>
    <n v="298051"/>
    <n v="1"/>
    <s v="Indonesia"/>
    <s v="TJL - JPP"/>
    <x v="0"/>
  </r>
  <r>
    <s v="CLICTRUCK-047738"/>
    <s v="domestic"/>
    <x v="129"/>
    <x v="11"/>
    <n v="17897914"/>
    <n v="5550"/>
    <d v="2023-05-17T00:00:00"/>
    <s v="UNPAID"/>
    <x v="11"/>
    <n v="894000"/>
    <n v="1"/>
    <s v="Indonesia"/>
    <s v="TJL - JPP"/>
    <x v="0"/>
  </r>
  <r>
    <s v="CLICTRUCK-047739"/>
    <s v="domestic"/>
    <x v="129"/>
    <x v="11"/>
    <n v="17067448"/>
    <n v="5550"/>
    <d v="2023-05-17T00:00:00"/>
    <s v="UNPAID"/>
    <x v="11"/>
    <n v="852518"/>
    <n v="1"/>
    <s v="Indonesia"/>
    <s v="TJL - JPP"/>
    <x v="0"/>
  </r>
  <r>
    <s v="CLICTRUCK-047740"/>
    <s v="domestic"/>
    <x v="129"/>
    <x v="11"/>
    <n v="11197485"/>
    <n v="5550"/>
    <d v="2023-05-17T00:00:00"/>
    <s v="UNPAID"/>
    <x v="11"/>
    <n v="559313"/>
    <n v="1"/>
    <s v="Indonesia"/>
    <s v="TJL - JPP"/>
    <x v="0"/>
  </r>
  <r>
    <s v="CLICTRUCK-047741"/>
    <s v="domestic"/>
    <x v="129"/>
    <x v="11"/>
    <n v="15326600"/>
    <n v="5550"/>
    <d v="2023-05-17T00:00:00"/>
    <s v="UNPAID"/>
    <x v="11"/>
    <n v="765563"/>
    <n v="1"/>
    <s v="Indonesia"/>
    <s v="TJL - JPP"/>
    <x v="0"/>
  </r>
  <r>
    <s v="CLICTRUCK-047742"/>
    <s v="domestic"/>
    <x v="129"/>
    <x v="11"/>
    <n v="18776047"/>
    <n v="5550"/>
    <d v="2023-05-17T00:00:00"/>
    <s v="UNPAID"/>
    <x v="11"/>
    <n v="937863"/>
    <n v="1"/>
    <s v="Indonesia"/>
    <s v="TJL - JPP"/>
    <x v="0"/>
  </r>
  <r>
    <s v="CLICTRUCK-047743"/>
    <s v="domestic"/>
    <x v="129"/>
    <x v="11"/>
    <n v="16759798"/>
    <n v="5550"/>
    <d v="2023-05-17T00:00:00"/>
    <s v="UNPAID"/>
    <x v="11"/>
    <n v="837150"/>
    <n v="1"/>
    <s v="Indonesia"/>
    <s v="TJL - JPP"/>
    <x v="0"/>
  </r>
  <r>
    <s v="CLICTRUCK-047744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45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46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47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48"/>
    <s v="domestic"/>
    <x v="129"/>
    <x v="11"/>
    <n v="6549825"/>
    <n v="5550"/>
    <d v="2023-05-17T00:00:00"/>
    <s v="UNPAID"/>
    <x v="11"/>
    <n v="327163"/>
    <n v="1"/>
    <s v="Indonesia"/>
    <s v="TJL - JPP"/>
    <x v="0"/>
  </r>
  <r>
    <s v="CLICTRUCK-047750"/>
    <s v="domestic"/>
    <x v="129"/>
    <x v="11"/>
    <n v="6549825"/>
    <n v="5550"/>
    <d v="2023-05-17T00:00:00"/>
    <s v="UNPAID"/>
    <x v="11"/>
    <n v="327163"/>
    <n v="1"/>
    <s v="Indonesia"/>
    <s v="TJL - JPP"/>
    <x v="0"/>
  </r>
  <r>
    <s v="CLICTRUCK-047751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52"/>
    <s v="domestic"/>
    <x v="129"/>
    <x v="11"/>
    <n v="6549825"/>
    <n v="5550"/>
    <d v="2023-05-17T00:00:00"/>
    <s v="UNPAID"/>
    <x v="11"/>
    <n v="327163"/>
    <n v="1"/>
    <s v="Indonesia"/>
    <s v="TJL - JPP"/>
    <x v="0"/>
  </r>
  <r>
    <s v="CLICTRUCK-047753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54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55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56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57"/>
    <s v="domestic"/>
    <x v="129"/>
    <x v="11"/>
    <n v="6549825"/>
    <n v="5550"/>
    <d v="2023-05-17T00:00:00"/>
    <s v="UNPAID"/>
    <x v="11"/>
    <n v="327163"/>
    <n v="1"/>
    <s v="Indonesia"/>
    <s v="TJL - JPP"/>
    <x v="0"/>
  </r>
  <r>
    <s v="CLICTRUCK-047758"/>
    <s v="domestic"/>
    <x v="129"/>
    <x v="11"/>
    <n v="6549825"/>
    <n v="5550"/>
    <d v="2023-05-17T00:00:00"/>
    <s v="UNPAID"/>
    <x v="11"/>
    <n v="327163"/>
    <n v="1"/>
    <s v="Indonesia"/>
    <s v="TJL - JPP"/>
    <x v="0"/>
  </r>
  <r>
    <s v="CLICTRUCK-047759"/>
    <s v="domestic"/>
    <x v="129"/>
    <x v="11"/>
    <n v="2685150"/>
    <n v="5550"/>
    <d v="2023-05-17T00:00:00"/>
    <s v="UNPAID"/>
    <x v="11"/>
    <n v="134122"/>
    <n v="1"/>
    <s v="Indonesia"/>
    <s v="TJL - JPP"/>
    <x v="0"/>
  </r>
  <r>
    <s v="CLICTRUCK-047760"/>
    <s v="domestic"/>
    <x v="129"/>
    <x v="11"/>
    <n v="13377950"/>
    <n v="5550"/>
    <d v="2023-05-17T00:00:00"/>
    <s v="UNPAID"/>
    <x v="11"/>
    <n v="668227"/>
    <n v="1"/>
    <s v="Indonesia"/>
    <s v="TJL - JPP"/>
    <x v="0"/>
  </r>
  <r>
    <s v="CLICTRUCK-047761"/>
    <s v="domestic"/>
    <x v="129"/>
    <x v="11"/>
    <n v="5511950"/>
    <n v="5550"/>
    <d v="2023-05-17T00:00:00"/>
    <s v="UNPAID"/>
    <x v="11"/>
    <n v="275321"/>
    <n v="1"/>
    <s v="Indonesia"/>
    <s v="TJL - JPP"/>
    <x v="0"/>
  </r>
  <r>
    <s v="CLICTRUCK-047762"/>
    <s v="domestic"/>
    <x v="129"/>
    <x v="11"/>
    <n v="6549825"/>
    <n v="5550"/>
    <d v="2023-05-17T00:00:00"/>
    <s v="UNPAID"/>
    <x v="11"/>
    <n v="327163"/>
    <n v="1"/>
    <s v="Indonesia"/>
    <s v="TJL - JPP"/>
    <x v="0"/>
  </r>
  <r>
    <s v="CLICTRUCK-047763"/>
    <s v="domestic"/>
    <x v="129"/>
    <x v="11"/>
    <n v="6549825"/>
    <n v="5550"/>
    <d v="2023-05-17T00:00:00"/>
    <s v="UNPAID"/>
    <x v="11"/>
    <n v="327163"/>
    <n v="1"/>
    <s v="Indonesia"/>
    <s v="TJL - JPP"/>
    <x v="0"/>
  </r>
  <r>
    <s v="CLICTRUCK-047764"/>
    <s v="domestic"/>
    <x v="129"/>
    <x v="11"/>
    <n v="9991200"/>
    <n v="5550"/>
    <d v="2023-05-17T00:00:00"/>
    <s v="UNPAID"/>
    <x v="11"/>
    <n v="499060"/>
    <n v="1"/>
    <s v="Indonesia"/>
    <s v="TJL - JPP"/>
    <x v="0"/>
  </r>
  <r>
    <s v="CLICTRUCK-047765"/>
    <s v="domestic"/>
    <x v="129"/>
    <x v="11"/>
    <n v="4905900"/>
    <n v="5550"/>
    <d v="2023-05-17T00:00:00"/>
    <s v="UNPAID"/>
    <x v="11"/>
    <n v="245049"/>
    <n v="1"/>
    <s v="Indonesia"/>
    <s v="TJL - JPP"/>
    <x v="0"/>
  </r>
  <r>
    <s v="CLICTRUCK-047766"/>
    <s v="domestic"/>
    <x v="129"/>
    <x v="11"/>
    <n v="6303150"/>
    <n v="5550"/>
    <d v="2023-05-17T00:00:00"/>
    <s v="UNPAID"/>
    <x v="11"/>
    <n v="314841"/>
    <n v="1"/>
    <s v="Indonesia"/>
    <s v="TJL - JPP"/>
    <x v="0"/>
  </r>
  <r>
    <s v="CLICTRUCK-047767"/>
    <s v="domestic"/>
    <x v="129"/>
    <x v="11"/>
    <n v="7948800"/>
    <n v="5550"/>
    <d v="2023-05-17T00:00:00"/>
    <s v="UNPAID"/>
    <x v="11"/>
    <n v="397042"/>
    <n v="1"/>
    <s v="Indonesia"/>
    <s v="TJL - JPP"/>
    <x v="0"/>
  </r>
  <r>
    <s v="CLICTRUCK-047768"/>
    <s v="domestic"/>
    <x v="129"/>
    <x v="11"/>
    <n v="13450000"/>
    <n v="5550"/>
    <d v="2023-05-17T00:00:00"/>
    <s v="UNPAID"/>
    <x v="11"/>
    <n v="671827"/>
    <n v="1"/>
    <s v="Indonesia"/>
    <s v="TJL - JPP"/>
    <x v="0"/>
  </r>
  <r>
    <s v="CLICTRUCK-047769"/>
    <s v="domestic"/>
    <x v="129"/>
    <x v="11"/>
    <n v="4576425"/>
    <n v="5550"/>
    <d v="2023-05-17T00:00:00"/>
    <s v="UNPAID"/>
    <x v="11"/>
    <n v="228592"/>
    <n v="1"/>
    <s v="Indonesia"/>
    <s v="TJL - JPP"/>
    <x v="0"/>
  </r>
  <r>
    <s v="CLICTRUCK-047770"/>
    <s v="domestic"/>
    <x v="129"/>
    <x v="11"/>
    <n v="6385950"/>
    <n v="5550"/>
    <d v="2023-05-17T00:00:00"/>
    <s v="UNPAID"/>
    <x v="11"/>
    <n v="318977"/>
    <n v="1"/>
    <s v="Indonesia"/>
    <s v="TJL - JPP"/>
    <x v="0"/>
  </r>
  <r>
    <s v="CLICTRUCK-047771"/>
    <s v="domestic"/>
    <x v="129"/>
    <x v="11"/>
    <n v="4476375"/>
    <n v="5550"/>
    <d v="2023-05-17T00:00:00"/>
    <s v="UNPAID"/>
    <x v="11"/>
    <n v="223593"/>
    <n v="1"/>
    <s v="Indonesia"/>
    <s v="TJL - JPP"/>
    <x v="0"/>
  </r>
  <r>
    <s v="CLICTRUCK-047773"/>
    <s v="domestic"/>
    <x v="129"/>
    <x v="11"/>
    <n v="10113700"/>
    <n v="5550"/>
    <d v="2023-05-17T00:00:00"/>
    <s v="UNPAID"/>
    <x v="11"/>
    <n v="505178"/>
    <n v="1"/>
    <s v="Indonesia"/>
    <s v="TJL - JPP"/>
    <x v="0"/>
  </r>
  <r>
    <s v="CLICTRUCK-047774"/>
    <s v="domestic"/>
    <x v="129"/>
    <x v="11"/>
    <n v="10458930"/>
    <n v="5550"/>
    <d v="2023-05-17T00:00:00"/>
    <s v="UNPAID"/>
    <x v="11"/>
    <n v="522422"/>
    <n v="1"/>
    <s v="Indonesia"/>
    <s v="TJL - JPP"/>
    <x v="0"/>
  </r>
  <r>
    <s v="CLICTRUCK-047775"/>
    <s v="domestic"/>
    <x v="129"/>
    <x v="11"/>
    <n v="11404602"/>
    <n v="5550"/>
    <d v="2023-05-17T00:00:00"/>
    <s v="UNPAID"/>
    <x v="11"/>
    <n v="569659"/>
    <n v="1"/>
    <s v="Indonesia"/>
    <s v="TJL - JPP"/>
    <x v="0"/>
  </r>
  <r>
    <s v="CLICTRUCK-047776"/>
    <s v="domestic"/>
    <x v="129"/>
    <x v="11"/>
    <n v="10976490"/>
    <n v="5550"/>
    <d v="2023-05-17T00:00:00"/>
    <s v="UNPAID"/>
    <x v="11"/>
    <n v="548275"/>
    <n v="1"/>
    <s v="Indonesia"/>
    <s v="TJL - JPP"/>
    <x v="0"/>
  </r>
  <r>
    <s v="CLICTRUCK-047777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78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79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80"/>
    <s v="domestic"/>
    <x v="129"/>
    <x v="11"/>
    <n v="5293450"/>
    <n v="5550"/>
    <d v="2023-05-17T00:00:00"/>
    <s v="UNPAID"/>
    <x v="11"/>
    <m/>
    <n v="1"/>
    <s v="Indonesia"/>
    <s v="TJL - JPP"/>
    <x v="0"/>
  </r>
  <r>
    <s v="CLICTRUCK-047781"/>
    <s v="domestic"/>
    <x v="129"/>
    <x v="11"/>
    <n v="5293450"/>
    <n v="5550"/>
    <d v="2023-05-17T00:00:00"/>
    <s v="UNPAID"/>
    <x v="11"/>
    <n v="264407"/>
    <n v="1"/>
    <s v="Indonesia"/>
    <s v="TJL - JPP"/>
    <x v="0"/>
  </r>
  <r>
    <s v="CLICTRUCK-047782"/>
    <s v="domestic"/>
    <x v="129"/>
    <x v="11"/>
    <n v="12420000"/>
    <n v="5550"/>
    <d v="2023-05-17T00:00:00"/>
    <s v="UNPAID"/>
    <x v="11"/>
    <n v="620379"/>
    <n v="1"/>
    <s v="Indonesia"/>
    <s v="TJL - JPP"/>
    <x v="0"/>
  </r>
  <r>
    <s v="CLICTRUCK-047783"/>
    <s v="domestic"/>
    <x v="129"/>
    <x v="11"/>
    <n v="5750000"/>
    <n v="5550"/>
    <d v="2023-05-17T00:00:00"/>
    <s v="UNPAID"/>
    <x v="11"/>
    <n v="287212"/>
    <n v="1"/>
    <s v="Indonesia"/>
    <s v="TJL - JPP"/>
    <x v="0"/>
  </r>
  <r>
    <s v="CLICTRUCK-047784"/>
    <s v="domestic"/>
    <x v="129"/>
    <x v="11"/>
    <n v="12420000"/>
    <n v="5550"/>
    <d v="2023-05-17T00:00:00"/>
    <s v="UNPAID"/>
    <x v="11"/>
    <n v="620379"/>
    <n v="1"/>
    <s v="Indonesia"/>
    <s v="TJL - JPP"/>
    <x v="0"/>
  </r>
  <r>
    <s v="CLICTRUCK-047785"/>
    <s v="domestic"/>
    <x v="129"/>
    <x v="11"/>
    <n v="11500000"/>
    <n v="5550"/>
    <d v="2023-05-17T00:00:00"/>
    <s v="UNPAID"/>
    <x v="11"/>
    <n v="574425"/>
    <n v="1"/>
    <s v="Indonesia"/>
    <s v="TJL - JPP"/>
    <x v="0"/>
  </r>
  <r>
    <s v="CLICTRUCK-047786"/>
    <s v="domestic"/>
    <x v="129"/>
    <x v="11"/>
    <n v="14950000"/>
    <n v="5550"/>
    <d v="2023-05-17T00:00:00"/>
    <s v="UNPAID"/>
    <x v="11"/>
    <n v="746752"/>
    <n v="1"/>
    <s v="Indonesia"/>
    <s v="TJL - JPP"/>
    <x v="0"/>
  </r>
  <r>
    <s v="CLICTRUCK-047787"/>
    <s v="domestic"/>
    <x v="129"/>
    <x v="11"/>
    <n v="2750000"/>
    <n v="5550"/>
    <d v="2023-05-17T00:00:00"/>
    <s v="UNPAID"/>
    <x v="11"/>
    <n v="137362"/>
    <n v="1"/>
    <s v="Indonesia"/>
    <s v="TJL - JPP"/>
    <x v="0"/>
  </r>
  <r>
    <s v="CLICTRUCK-047788"/>
    <s v="domestic"/>
    <x v="129"/>
    <x v="11"/>
    <n v="880000"/>
    <n v="5550"/>
    <d v="2023-05-17T00:00:00"/>
    <s v="UNPAID"/>
    <x v="11"/>
    <n v="43956"/>
    <n v="1"/>
    <s v="Indonesia"/>
    <s v="TJL - JPP"/>
    <x v="0"/>
  </r>
  <r>
    <s v="CLICTRUCK-047789"/>
    <s v="domestic"/>
    <x v="129"/>
    <x v="11"/>
    <n v="1210000"/>
    <n v="5550"/>
    <d v="2023-05-17T00:00:00"/>
    <s v="UNPAID"/>
    <x v="11"/>
    <n v="60439"/>
    <n v="1"/>
    <s v="Indonesia"/>
    <s v="TJL - JPP"/>
    <x v="0"/>
  </r>
  <r>
    <s v="CLICTRUCK-047790"/>
    <s v="domestic"/>
    <x v="129"/>
    <x v="11"/>
    <n v="1980000"/>
    <n v="5550"/>
    <d v="2023-05-17T00:00:00"/>
    <s v="UNPAID"/>
    <x v="11"/>
    <n v="98901"/>
    <n v="1"/>
    <s v="Indonesia"/>
    <s v="TJL - JPP"/>
    <x v="0"/>
  </r>
  <r>
    <s v="CLICTRUCK-047791"/>
    <s v="domestic"/>
    <x v="129"/>
    <x v="11"/>
    <n v="1100000"/>
    <n v="5550"/>
    <d v="2023-05-17T00:00:00"/>
    <s v="UNPAID"/>
    <x v="11"/>
    <n v="54945"/>
    <n v="1"/>
    <s v="Indonesia"/>
    <s v="TJL - JPP"/>
    <x v="0"/>
  </r>
  <r>
    <s v="CLICTRUCK-047792"/>
    <s v="domestic"/>
    <x v="129"/>
    <x v="11"/>
    <n v="19550000"/>
    <n v="5550"/>
    <d v="2023-05-17T00:00:00"/>
    <s v="UNPAID"/>
    <x v="11"/>
    <n v="976522"/>
    <n v="1"/>
    <s v="Indonesia"/>
    <s v="TJL - JPP"/>
    <x v="0"/>
  </r>
  <r>
    <s v="CLICTRUCK-047793"/>
    <s v="domestic"/>
    <x v="129"/>
    <x v="11"/>
    <n v="14375000"/>
    <n v="5550"/>
    <d v="2023-05-17T00:00:00"/>
    <s v="UNPAID"/>
    <x v="11"/>
    <n v="718031"/>
    <n v="1"/>
    <s v="Indonesia"/>
    <s v="TJL - JPP"/>
    <x v="0"/>
  </r>
  <r>
    <s v="CLICTRUCK-047795"/>
    <s v="domestic"/>
    <x v="129"/>
    <x v="11"/>
    <n v="20700000"/>
    <n v="5550"/>
    <d v="2023-05-17T00:00:00"/>
    <s v="UNPAID"/>
    <x v="11"/>
    <n v="1033965"/>
    <n v="1"/>
    <s v="Indonesia"/>
    <s v="TJL - JPP"/>
    <x v="0"/>
  </r>
  <r>
    <s v="CLICTRUCK-047796"/>
    <s v="domestic"/>
    <x v="129"/>
    <x v="11"/>
    <n v="3300000"/>
    <n v="5550"/>
    <d v="2023-05-17T00:00:00"/>
    <s v="UNPAID"/>
    <x v="11"/>
    <n v="164835"/>
    <n v="1"/>
    <s v="Indonesia"/>
    <s v="TJL - JPP"/>
    <x v="0"/>
  </r>
  <r>
    <s v="CLICTRUCK-047797"/>
    <s v="domestic"/>
    <x v="129"/>
    <x v="11"/>
    <n v="3080000"/>
    <n v="5550"/>
    <d v="2023-05-17T00:00:00"/>
    <s v="UNPAID"/>
    <x v="11"/>
    <n v="153846"/>
    <n v="1"/>
    <s v="Indonesia"/>
    <s v="TJL - JPP"/>
    <x v="0"/>
  </r>
  <r>
    <s v="CLICTRUCK-047798"/>
    <s v="domestic"/>
    <x v="129"/>
    <x v="11"/>
    <n v="1980000"/>
    <n v="5550"/>
    <d v="2023-05-17T00:00:00"/>
    <s v="UNPAID"/>
    <x v="11"/>
    <n v="98901"/>
    <n v="1"/>
    <s v="Indonesia"/>
    <s v="TJL - JPP"/>
    <x v="0"/>
  </r>
  <r>
    <s v="CLICTRUCK-047799"/>
    <s v="domestic"/>
    <x v="129"/>
    <x v="11"/>
    <n v="19550000"/>
    <n v="5550"/>
    <d v="2023-05-17T00:00:00"/>
    <s v="UNPAID"/>
    <x v="11"/>
    <n v="976522"/>
    <n v="1"/>
    <s v="Indonesia"/>
    <s v="TJL - JPP"/>
    <x v="0"/>
  </r>
  <r>
    <s v="CLICTRUCK-047800"/>
    <s v="domestic"/>
    <x v="129"/>
    <x v="11"/>
    <n v="660000"/>
    <n v="5550"/>
    <d v="2023-05-17T00:00:00"/>
    <s v="UNPAID"/>
    <x v="11"/>
    <n v="32967"/>
    <n v="1"/>
    <s v="Indonesia"/>
    <s v="TJL - JPP"/>
    <x v="0"/>
  </r>
  <r>
    <s v="CLICTRUCK-047801"/>
    <s v="domestic"/>
    <x v="129"/>
    <x v="11"/>
    <n v="1100000"/>
    <n v="5550"/>
    <d v="2023-05-17T00:00:00"/>
    <s v="UNPAID"/>
    <x v="11"/>
    <n v="54945"/>
    <n v="1"/>
    <s v="Indonesia"/>
    <s v="TJL - JPP"/>
    <x v="0"/>
  </r>
  <r>
    <s v="CLICTRUCK-047802"/>
    <s v="domestic"/>
    <x v="129"/>
    <x v="11"/>
    <n v="1210000"/>
    <n v="5550"/>
    <d v="2023-05-17T00:00:00"/>
    <s v="UNPAID"/>
    <x v="11"/>
    <n v="60439"/>
    <n v="1"/>
    <s v="Indonesia"/>
    <s v="TJL - JPP"/>
    <x v="0"/>
  </r>
  <r>
    <s v="CLICTRUCK-047803"/>
    <s v="domestic"/>
    <x v="129"/>
    <x v="11"/>
    <n v="1694000"/>
    <n v="5550"/>
    <d v="2023-05-17T00:00:00"/>
    <s v="UNPAID"/>
    <x v="11"/>
    <n v="84615"/>
    <n v="1"/>
    <s v="Indonesia"/>
    <s v="TJL - JPP"/>
    <x v="0"/>
  </r>
  <r>
    <s v="CLICTRUCK-047804"/>
    <s v="domestic"/>
    <x v="129"/>
    <x v="11"/>
    <n v="4785550"/>
    <n v="5550"/>
    <d v="2023-05-17T00:00:00"/>
    <s v="UNPAID"/>
    <x v="11"/>
    <n v="239037"/>
    <n v="1"/>
    <s v="Indonesia"/>
    <s v="TJL - JPP"/>
    <x v="0"/>
  </r>
  <r>
    <s v="CLICTRUCK-047805"/>
    <s v="domestic"/>
    <x v="129"/>
    <x v="11"/>
    <n v="38605550"/>
    <n v="5550"/>
    <d v="2023-05-17T00:00:00"/>
    <s v="UNPAID"/>
    <x v="11"/>
    <n v="1928346"/>
    <n v="1"/>
    <s v="Indonesia"/>
    <s v="TJL - JPP"/>
    <x v="0"/>
  </r>
  <r>
    <s v="CLICTRUCK-047806"/>
    <s v="domestic"/>
    <x v="129"/>
    <x v="11"/>
    <n v="825550"/>
    <n v="5550"/>
    <d v="2023-05-17T00:00:00"/>
    <s v="UNPAID"/>
    <x v="11"/>
    <n v="41235"/>
    <n v="1"/>
    <s v="Indonesia"/>
    <s v="TJL - JPP"/>
    <x v="0"/>
  </r>
  <r>
    <s v="CLICTRUCK-047807"/>
    <s v="domestic"/>
    <x v="129"/>
    <x v="11"/>
    <n v="47633050"/>
    <n v="5550"/>
    <d v="2023-05-17T00:00:00"/>
    <s v="UNPAID"/>
    <x v="11"/>
    <n v="2379270"/>
    <n v="1"/>
    <s v="Indonesia"/>
    <s v="TJL - JPP"/>
    <x v="0"/>
  </r>
  <r>
    <s v="CLICTRUCK-047808"/>
    <s v="domestic"/>
    <x v="129"/>
    <x v="11"/>
    <n v="24805550"/>
    <n v="5550"/>
    <d v="2023-05-17T00:00:00"/>
    <s v="UNPAID"/>
    <x v="11"/>
    <n v="1239036"/>
    <n v="1"/>
    <s v="Indonesia"/>
    <s v="TJL - JPP"/>
    <x v="0"/>
  </r>
  <r>
    <s v="CLICTRUCK-047809"/>
    <s v="domestic"/>
    <x v="129"/>
    <x v="11"/>
    <n v="13800000"/>
    <n v="5550"/>
    <d v="2023-04-28T00:00:00"/>
    <s v="UNPAID"/>
    <x v="11"/>
    <n v="689310"/>
    <n v="1"/>
    <s v="Indonesia"/>
    <s v="TJL - JPP"/>
    <x v="0"/>
  </r>
  <r>
    <s v="CLICTRUCK-047810"/>
    <s v="domestic"/>
    <x v="129"/>
    <x v="11"/>
    <n v="12535000"/>
    <n v="5550"/>
    <d v="2023-04-28T00:00:00"/>
    <s v="UNPAID"/>
    <x v="11"/>
    <n v="626123"/>
    <n v="1"/>
    <s v="Indonesia"/>
    <s v="TJL - JPP"/>
    <x v="0"/>
  </r>
  <r>
    <s v="CLICTRUCK-047811"/>
    <s v="domestic"/>
    <x v="129"/>
    <x v="11"/>
    <n v="19550000"/>
    <n v="5550"/>
    <d v="2023-04-28T00:00:00"/>
    <s v="UNPAID"/>
    <x v="11"/>
    <n v="976522"/>
    <n v="1"/>
    <s v="Indonesia"/>
    <s v="TJL - JPP"/>
    <x v="0"/>
  </r>
  <r>
    <s v="CLICTRUCK-047812"/>
    <s v="domestic"/>
    <x v="129"/>
    <x v="11"/>
    <n v="11155000"/>
    <n v="5550"/>
    <d v="2023-04-28T00:00:00"/>
    <s v="UNPAID"/>
    <x v="11"/>
    <n v="557192"/>
    <n v="1"/>
    <s v="Indonesia"/>
    <s v="TJL - JPP"/>
    <x v="0"/>
  </r>
  <r>
    <s v="CLICTRUCK-047813"/>
    <s v="domestic"/>
    <x v="129"/>
    <x v="11"/>
    <n v="3960000"/>
    <n v="5550"/>
    <d v="2023-04-28T00:00:00"/>
    <s v="UNPAID"/>
    <x v="11"/>
    <n v="197802"/>
    <n v="1"/>
    <s v="Indonesia"/>
    <s v="TJL - JPP"/>
    <x v="0"/>
  </r>
  <r>
    <s v="CLICTRUCK-047814"/>
    <s v="domestic"/>
    <x v="129"/>
    <x v="11"/>
    <n v="1155000"/>
    <n v="5550"/>
    <d v="2023-04-28T00:00:00"/>
    <s v="UNPAID"/>
    <x v="11"/>
    <n v="57692"/>
    <n v="1"/>
    <s v="Indonesia"/>
    <s v="TJL - JPP"/>
    <x v="0"/>
  </r>
  <r>
    <s v="CLICTRUCK-047815"/>
    <s v="domestic"/>
    <x v="129"/>
    <x v="11"/>
    <n v="17825000"/>
    <n v="5550"/>
    <d v="2023-04-28T00:00:00"/>
    <s v="UNPAID"/>
    <x v="11"/>
    <n v="890358"/>
    <n v="1"/>
    <s v="Indonesia"/>
    <s v="TJL - JPP"/>
    <x v="0"/>
  </r>
  <r>
    <s v="CLICTRUCK-047816"/>
    <s v="domestic"/>
    <x v="129"/>
    <x v="11"/>
    <n v="1650000"/>
    <n v="5550"/>
    <d v="2023-04-28T00:00:00"/>
    <s v="UNPAID"/>
    <x v="11"/>
    <n v="82417"/>
    <n v="1"/>
    <s v="Indonesia"/>
    <s v="TJL - JPP"/>
    <x v="0"/>
  </r>
  <r>
    <s v="CLICTRUCK-047817"/>
    <s v="domestic"/>
    <x v="129"/>
    <x v="11"/>
    <n v="4600000"/>
    <n v="5550"/>
    <d v="2023-04-28T00:00:00"/>
    <s v="UNPAID"/>
    <x v="11"/>
    <n v="229770"/>
    <n v="1"/>
    <s v="Indonesia"/>
    <s v="TJL - JPP"/>
    <x v="0"/>
  </r>
  <r>
    <s v="CLICTRUCK-047818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19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20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21"/>
    <s v="domestic"/>
    <x v="129"/>
    <x v="11"/>
    <n v="4200000"/>
    <n v="5550"/>
    <d v="2023-04-28T00:00:00"/>
    <s v="UNPAID"/>
    <x v="11"/>
    <n v="209790"/>
    <n v="1"/>
    <s v="Indonesia"/>
    <s v="TJL - JPP"/>
    <x v="0"/>
  </r>
  <r>
    <s v="CLICTRUCK-047822"/>
    <s v="domestic"/>
    <x v="129"/>
    <x v="11"/>
    <n v="4700000"/>
    <n v="5550"/>
    <d v="2023-04-28T00:00:00"/>
    <s v="UNPAID"/>
    <x v="11"/>
    <n v="234765"/>
    <n v="1"/>
    <s v="Indonesia"/>
    <s v="TJL - JPP"/>
    <x v="0"/>
  </r>
  <r>
    <s v="CLICTRUCK-047823"/>
    <s v="domestic"/>
    <x v="129"/>
    <x v="11"/>
    <n v="4700000"/>
    <n v="5550"/>
    <d v="2023-04-28T00:00:00"/>
    <s v="UNPAID"/>
    <x v="11"/>
    <n v="234765"/>
    <n v="1"/>
    <s v="Indonesia"/>
    <s v="TJL - JPP"/>
    <x v="0"/>
  </r>
  <r>
    <s v="CLICTRUCK-047824"/>
    <s v="domestic"/>
    <x v="129"/>
    <x v="11"/>
    <n v="4700000"/>
    <n v="5550"/>
    <d v="2023-04-28T00:00:00"/>
    <s v="UNPAID"/>
    <x v="11"/>
    <n v="234765"/>
    <n v="1"/>
    <s v="Indonesia"/>
    <s v="TJL - JPP"/>
    <x v="0"/>
  </r>
  <r>
    <s v="CLICTRUCK-047825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26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27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28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29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30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31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32"/>
    <s v="domestic"/>
    <x v="129"/>
    <x v="11"/>
    <n v="4700000"/>
    <n v="5550"/>
    <d v="2023-04-28T00:00:00"/>
    <s v="UNPAID"/>
    <x v="11"/>
    <n v="234765"/>
    <n v="1"/>
    <s v="Indonesia"/>
    <s v="TJL - JPP"/>
    <x v="0"/>
  </r>
  <r>
    <s v="CLICTRUCK-047833"/>
    <s v="domestic"/>
    <x v="129"/>
    <x v="11"/>
    <n v="4700000"/>
    <n v="5550"/>
    <d v="2023-04-28T00:00:00"/>
    <s v="UNPAID"/>
    <x v="11"/>
    <n v="234765"/>
    <n v="1"/>
    <s v="Indonesia"/>
    <s v="TJL - JPP"/>
    <x v="0"/>
  </r>
  <r>
    <s v="CLICTRUCK-047834"/>
    <s v="domestic"/>
    <x v="129"/>
    <x v="11"/>
    <n v="4900000"/>
    <n v="5550"/>
    <d v="2023-04-28T00:00:00"/>
    <s v="UNPAID"/>
    <x v="11"/>
    <n v="244755"/>
    <n v="1"/>
    <s v="Indonesia"/>
    <s v="TJL - JPP"/>
    <x v="0"/>
  </r>
  <r>
    <s v="CLICTRUCK-047835"/>
    <s v="domestic"/>
    <x v="129"/>
    <x v="11"/>
    <n v="4700000"/>
    <n v="5550"/>
    <d v="2023-04-28T00:00:00"/>
    <s v="UNPAID"/>
    <x v="11"/>
    <n v="234765"/>
    <n v="1"/>
    <s v="Indonesia"/>
    <s v="TJL - JPP"/>
    <x v="0"/>
  </r>
  <r>
    <s v="CLICTRUCK-047836"/>
    <s v="domestic"/>
    <x v="129"/>
    <x v="11"/>
    <n v="2100000"/>
    <n v="5550"/>
    <d v="2023-04-28T00:00:00"/>
    <s v="UNPAID"/>
    <x v="11"/>
    <n v="104895"/>
    <n v="1"/>
    <s v="Indonesia"/>
    <s v="TJL - JPP"/>
    <x v="0"/>
  </r>
  <r>
    <s v="CLICTRUCK-047837"/>
    <s v="domestic"/>
    <x v="129"/>
    <x v="11"/>
    <n v="4200000"/>
    <n v="5550"/>
    <d v="2023-04-28T00:00:00"/>
    <s v="UNPAID"/>
    <x v="11"/>
    <n v="209790"/>
    <n v="1"/>
    <s v="Indonesia"/>
    <s v="TJL - JPP"/>
    <x v="0"/>
  </r>
  <r>
    <s v="CLICTRUCK-047838"/>
    <s v="domestic"/>
    <x v="129"/>
    <x v="11"/>
    <n v="1650000"/>
    <n v="5550"/>
    <d v="2023-04-28T00:00:00"/>
    <s v="UNPAID"/>
    <x v="11"/>
    <n v="82417"/>
    <n v="1"/>
    <s v="Indonesia"/>
    <s v="TJL - JPP"/>
    <x v="0"/>
  </r>
  <r>
    <s v="CLICTRUCK-047839"/>
    <s v="domestic"/>
    <x v="129"/>
    <x v="11"/>
    <n v="22761480"/>
    <n v="5550"/>
    <d v="2023-04-28T00:00:00"/>
    <s v="UNPAID"/>
    <x v="11"/>
    <n v="1136935"/>
    <n v="1"/>
    <s v="Indonesia"/>
    <s v="TJL - JPP"/>
    <x v="0"/>
  </r>
  <r>
    <s v="CLICTRUCK-047840"/>
    <s v="domestic"/>
    <x v="129"/>
    <x v="11"/>
    <n v="23023560"/>
    <n v="5550"/>
    <d v="2023-04-28T00:00:00"/>
    <s v="UNPAID"/>
    <x v="11"/>
    <n v="1150026"/>
    <n v="1"/>
    <s v="Indonesia"/>
    <s v="TJL - JPP"/>
    <x v="0"/>
  </r>
  <r>
    <s v="CLICTRUCK-047841"/>
    <s v="domestic"/>
    <x v="129"/>
    <x v="11"/>
    <n v="22093680"/>
    <n v="5550"/>
    <d v="2023-04-28T00:00:00"/>
    <s v="UNPAID"/>
    <x v="11"/>
    <n v="1103578"/>
    <n v="1"/>
    <s v="Indonesia"/>
    <s v="TJL - JPP"/>
    <x v="0"/>
  </r>
  <r>
    <s v="CLICTRUCK-047842"/>
    <s v="domestic"/>
    <x v="129"/>
    <x v="11"/>
    <n v="27464369"/>
    <n v="5550"/>
    <d v="2023-04-28T00:00:00"/>
    <s v="UNPAID"/>
    <x v="11"/>
    <n v="1371844"/>
    <n v="1"/>
    <s v="Indonesia"/>
    <s v="TJL - JPP"/>
    <x v="0"/>
  </r>
  <r>
    <s v="CLICTRUCK-047843"/>
    <s v="domestic"/>
    <x v="129"/>
    <x v="11"/>
    <n v="18887080"/>
    <n v="5550"/>
    <d v="2023-04-28T00:00:00"/>
    <s v="UNPAID"/>
    <x v="11"/>
    <n v="943408"/>
    <n v="1"/>
    <s v="Indonesia"/>
    <s v="TJL - JPP"/>
    <x v="0"/>
  </r>
  <r>
    <s v="CLICTRUCK-047844"/>
    <s v="domestic"/>
    <x v="129"/>
    <x v="11"/>
    <n v="25795952"/>
    <n v="5550"/>
    <d v="2023-04-28T00:00:00"/>
    <s v="UNPAID"/>
    <x v="11"/>
    <n v="1288506"/>
    <n v="1"/>
    <s v="Indonesia"/>
    <s v="TJL - JPP"/>
    <x v="0"/>
  </r>
  <r>
    <s v="CLICTRUCK-047845"/>
    <s v="domestic"/>
    <x v="129"/>
    <x v="11"/>
    <n v="19292558"/>
    <n v="5550"/>
    <d v="2023-04-28T00:00:00"/>
    <s v="UNPAID"/>
    <x v="11"/>
    <n v="963663"/>
    <n v="1"/>
    <s v="Indonesia"/>
    <s v="TJL - JPP"/>
    <x v="0"/>
  </r>
  <r>
    <s v="CLICTRUCK-047846"/>
    <s v="domestic"/>
    <x v="129"/>
    <x v="11"/>
    <n v="21944160"/>
    <n v="5550"/>
    <d v="2023-04-28T00:00:00"/>
    <s v="UNPAID"/>
    <x v="11"/>
    <n v="1096110"/>
    <n v="1"/>
    <s v="Indonesia"/>
    <s v="TJL - JPP"/>
    <x v="0"/>
  </r>
  <r>
    <s v="CLICTRUCK-047848"/>
    <s v="domestic"/>
    <x v="129"/>
    <x v="11"/>
    <n v="15743207"/>
    <n v="5550"/>
    <d v="2023-04-28T00:00:00"/>
    <s v="UNPAID"/>
    <x v="11"/>
    <n v="786372"/>
    <n v="1"/>
    <s v="Indonesia"/>
    <s v="TJL - JPP"/>
    <x v="0"/>
  </r>
  <r>
    <s v="CLICTRUCK-047849"/>
    <s v="domestic"/>
    <x v="129"/>
    <x v="11"/>
    <n v="28119336"/>
    <n v="5550"/>
    <d v="2023-04-28T00:00:00"/>
    <s v="UNPAID"/>
    <x v="11"/>
    <n v="1404560"/>
    <n v="1"/>
    <s v="Indonesia"/>
    <s v="TJL - JPP"/>
    <x v="0"/>
  </r>
  <r>
    <s v="CLICTRUCK-047850"/>
    <s v="domestic"/>
    <x v="129"/>
    <x v="11"/>
    <n v="25200000"/>
    <n v="5550"/>
    <d v="2023-04-28T00:00:00"/>
    <s v="UNPAID"/>
    <x v="11"/>
    <n v="1258740"/>
    <n v="1"/>
    <s v="Indonesia"/>
    <s v="TJL - JPP"/>
    <x v="0"/>
  </r>
  <r>
    <s v="CLICTRUCK-047851"/>
    <s v="domestic"/>
    <x v="129"/>
    <x v="11"/>
    <n v="25278991"/>
    <n v="5550"/>
    <d v="2023-04-28T00:00:00"/>
    <s v="UNPAID"/>
    <x v="11"/>
    <n v="1262684"/>
    <n v="1"/>
    <s v="Indonesia"/>
    <s v="TJL - JPP"/>
    <x v="0"/>
  </r>
  <r>
    <s v="CLICTRUCK-047852"/>
    <s v="domestic"/>
    <x v="129"/>
    <x v="11"/>
    <n v="31105072"/>
    <n v="5550"/>
    <d v="2023-04-28T00:00:00"/>
    <s v="UNPAID"/>
    <x v="11"/>
    <n v="1553698"/>
    <n v="1"/>
    <s v="Indonesia"/>
    <s v="TJL - JPP"/>
    <x v="0"/>
  </r>
  <r>
    <s v="CLICTRUCK-047853"/>
    <s v="domestic"/>
    <x v="129"/>
    <x v="11"/>
    <n v="18128705"/>
    <n v="5550"/>
    <d v="2023-04-28T00:00:00"/>
    <s v="UNPAID"/>
    <x v="11"/>
    <n v="905528"/>
    <n v="1"/>
    <s v="Indonesia"/>
    <s v="TJL - JPP"/>
    <x v="0"/>
  </r>
  <r>
    <s v="CLICTRUCK-047854"/>
    <s v="domestic"/>
    <x v="129"/>
    <x v="11"/>
    <n v="22398034"/>
    <n v="5550"/>
    <d v="2023-04-28T00:00:00"/>
    <s v="UNPAID"/>
    <x v="11"/>
    <n v="1118781"/>
    <n v="1"/>
    <s v="Indonesia"/>
    <s v="TJL - JPP"/>
    <x v="0"/>
  </r>
  <r>
    <s v="CLICTRUCK-047855"/>
    <s v="domestic"/>
    <x v="129"/>
    <x v="11"/>
    <n v="28636384"/>
    <n v="5550"/>
    <d v="2023-04-28T00:00:00"/>
    <s v="UNPAID"/>
    <x v="11"/>
    <n v="1430387"/>
    <n v="1"/>
    <s v="Indonesia"/>
    <s v="TJL - JPP"/>
    <x v="0"/>
  </r>
  <r>
    <s v="CLICTRUCK-047856"/>
    <s v="domestic"/>
    <x v="129"/>
    <x v="11"/>
    <n v="20529236"/>
    <n v="5550"/>
    <d v="2023-04-28T00:00:00"/>
    <s v="UNPAID"/>
    <x v="11"/>
    <n v="1025434"/>
    <n v="1"/>
    <s v="Indonesia"/>
    <s v="TJL - JPP"/>
    <x v="0"/>
  </r>
  <r>
    <s v="CLICTRUCK-047857"/>
    <s v="domestic"/>
    <x v="129"/>
    <x v="11"/>
    <n v="18228025"/>
    <n v="5550"/>
    <d v="2023-04-28T00:00:00"/>
    <s v="UNPAID"/>
    <x v="11"/>
    <n v="910489"/>
    <n v="1"/>
    <s v="Indonesia"/>
    <s v="TJL - JPP"/>
    <x v="0"/>
  </r>
  <r>
    <s v="CLICTRUCK-047858"/>
    <s v="domestic"/>
    <x v="129"/>
    <x v="11"/>
    <n v="18523824"/>
    <n v="5550"/>
    <d v="2023-04-28T00:00:00"/>
    <s v="UNPAID"/>
    <x v="11"/>
    <n v="925264"/>
    <n v="1"/>
    <s v="Indonesia"/>
    <s v="TJL - JPP"/>
    <x v="0"/>
  </r>
  <r>
    <s v="CLICTRUCK-047859"/>
    <s v="domestic"/>
    <x v="129"/>
    <x v="11"/>
    <n v="14766789"/>
    <n v="5550"/>
    <d v="2023-04-28T00:00:00"/>
    <s v="UNPAID"/>
    <x v="11"/>
    <n v="737600"/>
    <n v="1"/>
    <s v="Indonesia"/>
    <s v="TJL - JPP"/>
    <x v="0"/>
  </r>
  <r>
    <s v="CLICTRUCK-047860"/>
    <s v="domestic"/>
    <x v="129"/>
    <x v="11"/>
    <n v="11927739"/>
    <n v="5550"/>
    <d v="2023-04-28T00:00:00"/>
    <s v="UNPAID"/>
    <x v="11"/>
    <n v="595790"/>
    <n v="1"/>
    <s v="Indonesia"/>
    <s v="TJL - JPP"/>
    <x v="0"/>
  </r>
  <r>
    <s v="CLICTRUCK-047861"/>
    <s v="domestic"/>
    <x v="129"/>
    <x v="11"/>
    <n v="1732500"/>
    <n v="5550"/>
    <d v="2023-04-28T00:00:00"/>
    <s v="UNPAID"/>
    <x v="11"/>
    <n v="86537"/>
    <n v="1"/>
    <s v="Indonesia"/>
    <s v="TJL - JPP"/>
    <x v="0"/>
  </r>
  <r>
    <s v="CLICTRUCK-047862"/>
    <s v="domestic"/>
    <x v="129"/>
    <x v="18"/>
    <n v="6300000"/>
    <n v="11100"/>
    <d v="2023-04-29T00:00:00"/>
    <s v="UNPAID"/>
    <x v="20"/>
    <n v="174825"/>
    <n v="1"/>
    <s v="Indonesia"/>
    <s v="CSN - PSL"/>
    <x v="0"/>
  </r>
  <r>
    <s v="CLICTRUCK-047863"/>
    <s v="domestic"/>
    <x v="129"/>
    <x v="18"/>
    <n v="5600000"/>
    <n v="11100"/>
    <d v="2023-04-29T00:00:00"/>
    <s v="UNPAID"/>
    <x v="20"/>
    <n v="155400"/>
    <n v="1"/>
    <s v="Indonesia"/>
    <s v="CSN - PSL"/>
    <x v="0"/>
  </r>
  <r>
    <s v="CLICTRUCK-047864"/>
    <s v="domestic"/>
    <x v="129"/>
    <x v="18"/>
    <n v="6300000"/>
    <n v="11100"/>
    <d v="2023-04-29T00:00:00"/>
    <s v="UNPAID"/>
    <x v="20"/>
    <n v="174825"/>
    <n v="1"/>
    <s v="Indonesia"/>
    <s v="CSN - PSL"/>
    <x v="0"/>
  </r>
  <r>
    <s v="CLICTRUCK-047865"/>
    <s v="domestic"/>
    <x v="129"/>
    <x v="18"/>
    <n v="5600000"/>
    <n v="11100"/>
    <d v="2023-04-29T00:00:00"/>
    <s v="UNPAID"/>
    <x v="20"/>
    <n v="155400"/>
    <n v="1"/>
    <s v="Indonesia"/>
    <s v="CSN - PSL"/>
    <x v="0"/>
  </r>
  <r>
    <s v="CLICTRUCK-047866"/>
    <s v="domestic"/>
    <x v="129"/>
    <x v="18"/>
    <n v="6300000"/>
    <n v="11100"/>
    <d v="2023-04-29T00:00:00"/>
    <s v="UNPAID"/>
    <x v="20"/>
    <n v="174825"/>
    <n v="1"/>
    <s v="Indonesia"/>
    <s v="CSN - PSL"/>
    <x v="0"/>
  </r>
  <r>
    <s v="CLICTRUCK-047867"/>
    <s v="domestic"/>
    <x v="129"/>
    <x v="18"/>
    <n v="6300000"/>
    <n v="11100"/>
    <d v="2023-04-29T00:00:00"/>
    <s v="UNPAID"/>
    <x v="20"/>
    <n v="174825"/>
    <n v="1"/>
    <s v="Indonesia"/>
    <s v="CSN - PSL"/>
    <x v="0"/>
  </r>
  <r>
    <s v="CLICTRUCK-047868"/>
    <s v="domestic"/>
    <x v="129"/>
    <x v="18"/>
    <n v="6300000"/>
    <n v="11100"/>
    <d v="2023-04-29T00:00:00"/>
    <s v="UNPAID"/>
    <x v="20"/>
    <n v="174825"/>
    <n v="1"/>
    <s v="Indonesia"/>
    <s v="CSN - PSL"/>
    <x v="0"/>
  </r>
  <r>
    <s v="CLICTRUCK-047869"/>
    <s v="domestic"/>
    <x v="129"/>
    <x v="18"/>
    <n v="6300000"/>
    <n v="11100"/>
    <d v="2023-04-29T00:00:00"/>
    <s v="UNPAID"/>
    <x v="20"/>
    <n v="174825"/>
    <n v="1"/>
    <s v="Indonesia"/>
    <s v="CSN - PSL"/>
    <x v="0"/>
  </r>
  <r>
    <s v="CLICTRUCK-047870"/>
    <s v="domestic"/>
    <x v="129"/>
    <x v="9"/>
    <n v="2917166"/>
    <n v="24975"/>
    <d v="2023-05-08T00:00:00"/>
    <s v="UNPAID"/>
    <x v="8"/>
    <n v="97140"/>
    <n v="1"/>
    <s v="Indonesia"/>
    <s v="YSN-FPM"/>
    <x v="0"/>
  </r>
  <r>
    <s v="CLICTRUCK-047871"/>
    <s v="domestic"/>
    <x v="129"/>
    <x v="9"/>
    <n v="5450760"/>
    <n v="24975"/>
    <d v="2023-05-08T00:00:00"/>
    <s v="UNPAID"/>
    <x v="8"/>
    <n v="181509"/>
    <n v="1"/>
    <s v="Indonesia"/>
    <s v="YSN-FPM"/>
    <x v="0"/>
  </r>
  <r>
    <s v="CLICTRUCK-047872"/>
    <s v="domestic"/>
    <x v="130"/>
    <x v="9"/>
    <n v="5254760"/>
    <n v="24975"/>
    <d v="2023-05-08T00:00:00"/>
    <s v="UNPAID"/>
    <x v="8"/>
    <n v="174982"/>
    <n v="1"/>
    <s v="Indonesia"/>
    <s v="YSN-FPM"/>
    <x v="0"/>
  </r>
  <r>
    <s v="CLICTRUCK-047873"/>
    <s v="domestic"/>
    <x v="130"/>
    <x v="32"/>
    <n v="3500000"/>
    <n v="27750"/>
    <d v="2023-04-30T00:00:00"/>
    <s v="PAID"/>
    <x v="36"/>
    <n v="97125"/>
    <n v="1"/>
    <s v="Indonesia"/>
    <s v="SPM - BTS"/>
    <x v="0"/>
  </r>
  <r>
    <s v="CLICTRUCK-047874"/>
    <s v="domestic"/>
    <x v="130"/>
    <x v="32"/>
    <n v="3500000"/>
    <n v="27750"/>
    <d v="2023-04-30T00:00:00"/>
    <s v="PAID"/>
    <x v="36"/>
    <n v="97125"/>
    <n v="1"/>
    <s v="Indonesia"/>
    <s v="SPM - BTS"/>
    <x v="0"/>
  </r>
  <r>
    <s v="CLICTRUCK-047875"/>
    <s v="domestic"/>
    <x v="130"/>
    <x v="32"/>
    <n v="3500000"/>
    <n v="27750"/>
    <d v="2023-04-30T00:00:00"/>
    <s v="PAID"/>
    <x v="36"/>
    <n v="97125"/>
    <n v="1"/>
    <s v="Indonesia"/>
    <s v="SPM - BTS"/>
    <x v="0"/>
  </r>
  <r>
    <s v="CLICTRUCK-047876"/>
    <s v="domestic"/>
    <x v="130"/>
    <x v="11"/>
    <n v="4657500"/>
    <n v="5550"/>
    <d v="2023-04-28T00:00:00"/>
    <s v="UNPAID"/>
    <x v="11"/>
    <n v="232641"/>
    <n v="1"/>
    <s v="Indonesia"/>
    <s v="TJL - JPP"/>
    <x v="0"/>
  </r>
  <r>
    <s v="CLICTRUCK-047877"/>
    <s v="domestic"/>
    <x v="130"/>
    <x v="11"/>
    <n v="16782680"/>
    <n v="5550"/>
    <d v="2023-04-28T00:00:00"/>
    <s v="UNPAID"/>
    <x v="11"/>
    <n v="838294"/>
    <n v="1"/>
    <s v="Indonesia"/>
    <s v="TJL - JPP"/>
    <x v="0"/>
  </r>
  <r>
    <s v="CLICTRUCK-047878"/>
    <s v="domestic"/>
    <x v="130"/>
    <x v="11"/>
    <n v="19411077"/>
    <n v="5550"/>
    <d v="2023-04-28T00:00:00"/>
    <s v="UNPAID"/>
    <x v="11"/>
    <n v="969582"/>
    <n v="1"/>
    <s v="Indonesia"/>
    <s v="TJL - JPP"/>
    <x v="0"/>
  </r>
  <r>
    <s v="CLICTRUCK-047879"/>
    <s v="domestic"/>
    <x v="130"/>
    <x v="11"/>
    <n v="19532911"/>
    <n v="5550"/>
    <d v="2023-04-28T00:00:00"/>
    <s v="UNPAID"/>
    <x v="11"/>
    <n v="975667"/>
    <n v="1"/>
    <s v="Indonesia"/>
    <s v="TJL - JPP"/>
    <x v="0"/>
  </r>
  <r>
    <s v="CLICTRUCK-047880"/>
    <s v="domestic"/>
    <x v="130"/>
    <x v="11"/>
    <n v="19364664"/>
    <n v="5550"/>
    <d v="2023-04-28T00:00:00"/>
    <s v="UNPAID"/>
    <x v="11"/>
    <n v="967263"/>
    <n v="1"/>
    <s v="Indonesia"/>
    <s v="TJL - JPP"/>
    <x v="0"/>
  </r>
  <r>
    <s v="CLICTRUCK-047881"/>
    <s v="domestic"/>
    <x v="130"/>
    <x v="9"/>
    <n v="4243890"/>
    <n v="24975"/>
    <d v="2023-05-12T00:00:00"/>
    <s v="UNPAID"/>
    <x v="8"/>
    <n v="141320"/>
    <n v="1"/>
    <s v="Indonesia"/>
    <s v="YSN-FPM"/>
    <x v="0"/>
  </r>
  <r>
    <s v="CLICTRUCK-047882"/>
    <s v="domestic"/>
    <x v="131"/>
    <x v="7"/>
    <n v="45000000"/>
    <n v="22200"/>
    <d v="2023-04-28T00:00:00"/>
    <s v="UNPAID"/>
    <x v="6"/>
    <n v="1248750"/>
    <n v="1"/>
    <s v="Indonesia"/>
    <s v="IFI - IKI"/>
    <x v="0"/>
  </r>
  <r>
    <s v="CLICTRUCK-047883"/>
    <s v="domestic"/>
    <x v="131"/>
    <x v="7"/>
    <n v="45000000"/>
    <n v="22200"/>
    <d v="2023-04-28T00:00:00"/>
    <s v="UNPAID"/>
    <x v="6"/>
    <n v="1248750"/>
    <n v="1"/>
    <s v="Indonesia"/>
    <s v="IFI - IKI"/>
    <x v="0"/>
  </r>
  <r>
    <s v="CLICTRUCK-047884"/>
    <s v="domestic"/>
    <x v="131"/>
    <x v="7"/>
    <n v="45000000"/>
    <n v="22200"/>
    <d v="2023-04-28T00:00:00"/>
    <s v="UNPAID"/>
    <x v="6"/>
    <n v="1248750"/>
    <n v="1"/>
    <s v="Indonesia"/>
    <s v="IFI - IKI"/>
    <x v="0"/>
  </r>
  <r>
    <s v="CLICTRUCK-047885"/>
    <s v="domestic"/>
    <x v="131"/>
    <x v="7"/>
    <n v="64810000"/>
    <n v="22200"/>
    <d v="2023-04-28T00:00:00"/>
    <s v="UNPAID"/>
    <x v="6"/>
    <n v="1798477"/>
    <n v="1"/>
    <s v="Indonesia"/>
    <s v="IFI - IKI"/>
    <x v="0"/>
  </r>
  <r>
    <s v="CLICTRUCK-047886"/>
    <s v="domestic"/>
    <x v="131"/>
    <x v="7"/>
    <n v="45000000"/>
    <n v="22200"/>
    <d v="2023-04-28T00:00:00"/>
    <s v="UNPAID"/>
    <x v="6"/>
    <n v="1248750"/>
    <n v="1"/>
    <s v="Indonesia"/>
    <s v="IFI - IKI"/>
    <x v="0"/>
  </r>
  <r>
    <s v="CLICTRUCK-047887"/>
    <s v="domestic"/>
    <x v="131"/>
    <x v="7"/>
    <n v="45000000"/>
    <n v="22200"/>
    <d v="2023-04-28T00:00:00"/>
    <s v="UNPAID"/>
    <x v="6"/>
    <n v="1248750"/>
    <n v="1"/>
    <s v="Indonesia"/>
    <s v="IFI - IKI"/>
    <x v="0"/>
  </r>
  <r>
    <s v="CLICTRUCK-047888"/>
    <s v="domestic"/>
    <x v="131"/>
    <x v="7"/>
    <n v="45000000"/>
    <n v="22200"/>
    <d v="2023-04-28T00:00:00"/>
    <s v="UNPAID"/>
    <x v="6"/>
    <n v="1248750"/>
    <n v="1"/>
    <s v="Indonesia"/>
    <s v="IFI - IKI"/>
    <x v="0"/>
  </r>
  <r>
    <s v="CLICTRUCK-047889"/>
    <s v="domestic"/>
    <x v="131"/>
    <x v="7"/>
    <n v="64810000"/>
    <n v="22200"/>
    <d v="2023-04-28T00:00:00"/>
    <s v="UNPAID"/>
    <x v="6"/>
    <n v="1798477"/>
    <n v="1"/>
    <s v="Indonesia"/>
    <s v="IFI - IKI"/>
    <x v="0"/>
  </r>
  <r>
    <s v="CLICTRUCK-047890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891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892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893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894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895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896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897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898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899"/>
    <s v="domestic"/>
    <x v="131"/>
    <x v="6"/>
    <n v="12500000"/>
    <n v="27750"/>
    <d v="2023-04-30T00:00:00"/>
    <s v="PAID"/>
    <x v="5"/>
    <n v="555000"/>
    <n v="1"/>
    <s v="Indonesia"/>
    <s v="DSB - PLG"/>
    <x v="0"/>
  </r>
  <r>
    <s v="CLICTRUCK-047901"/>
    <s v="domestic"/>
    <x v="132"/>
    <x v="19"/>
    <n v="185000000"/>
    <n v="25000"/>
    <m/>
    <s v="DELIVERED"/>
    <x v="21"/>
    <n v="0"/>
    <n v="1"/>
    <s v="Indonesia"/>
    <s v="MMA - TAL"/>
    <x v="1"/>
  </r>
  <r>
    <s v="CLICTRUCK-047903"/>
    <s v="domestic"/>
    <x v="133"/>
    <x v="23"/>
    <n v="54000000"/>
    <n v="27750"/>
    <d v="2023-05-02T00:00:00"/>
    <s v="UNPAID"/>
    <x v="25"/>
    <n v="2097900"/>
    <n v="1"/>
    <s v="Indonesia"/>
    <s v="HDL - DUG"/>
    <x v="0"/>
  </r>
  <r>
    <s v="CLICTRUCK-047905"/>
    <s v="domestic"/>
    <x v="133"/>
    <x v="9"/>
    <n v="653750"/>
    <n v="22500"/>
    <m/>
    <s v="ONGOING"/>
    <x v="34"/>
    <n v="0"/>
    <n v="1"/>
    <s v="Indonesia"/>
    <s v="YSN - PPT"/>
    <x v="1"/>
  </r>
  <r>
    <s v="CLICTRUCK-047907"/>
    <s v="domestic"/>
    <x v="134"/>
    <x v="9"/>
    <n v="1464500"/>
    <n v="22500"/>
    <m/>
    <s v="PENDING APPROVAL"/>
    <x v="34"/>
    <n v="0"/>
    <n v="1"/>
    <s v="Indonesia"/>
    <s v="YSN - PPT"/>
    <x v="1"/>
  </r>
  <r>
    <s v="CLICTRUCK-047908"/>
    <s v="domestic"/>
    <x v="134"/>
    <x v="9"/>
    <n v="448350"/>
    <n v="24975"/>
    <d v="2023-05-16T00:00:00"/>
    <s v="UNPAID"/>
    <x v="9"/>
    <n v="14929"/>
    <n v="1"/>
    <s v="Indonesia"/>
    <s v="YSN-SSA"/>
    <x v="0"/>
  </r>
  <r>
    <s v="CLICTRUCK-047909"/>
    <s v="domestic"/>
    <x v="134"/>
    <x v="9"/>
    <n v="2592100"/>
    <n v="24975"/>
    <d v="2023-05-12T00:00:00"/>
    <s v="UNPAID"/>
    <x v="8"/>
    <n v="86316"/>
    <n v="1"/>
    <s v="Indonesia"/>
    <s v="YSN-FPM"/>
    <x v="0"/>
  </r>
  <r>
    <s v="CLICTRUCK-047910"/>
    <s v="domestic"/>
    <x v="134"/>
    <x v="32"/>
    <n v="7200000"/>
    <n v="55500"/>
    <d v="2023-05-21T00:00:00"/>
    <s v="UNPAID"/>
    <x v="36"/>
    <n v="199800"/>
    <n v="2"/>
    <s v="Indonesia"/>
    <s v="SPM - BTS"/>
    <x v="0"/>
  </r>
  <r>
    <s v="CLICTRUCK-047911"/>
    <s v="domestic"/>
    <x v="134"/>
    <x v="32"/>
    <n v="3600000"/>
    <n v="27750"/>
    <d v="2023-05-07T00:00:00"/>
    <s v="UNPAID"/>
    <x v="36"/>
    <n v="99900"/>
    <n v="1"/>
    <s v="Indonesia"/>
    <s v="SPM - BTS"/>
    <x v="0"/>
  </r>
  <r>
    <s v="CLICTRUCK-047912"/>
    <s v="domestic"/>
    <x v="134"/>
    <x v="9"/>
    <n v="730000"/>
    <n v="22500"/>
    <m/>
    <s v="ONGOING"/>
    <x v="34"/>
    <n v="0"/>
    <n v="1"/>
    <s v="Indonesia"/>
    <s v="YSN - PPT"/>
    <x v="1"/>
  </r>
  <r>
    <s v="CLICTRUCK-047913"/>
    <s v="domestic"/>
    <x v="134"/>
    <x v="9"/>
    <n v="372400"/>
    <n v="24975"/>
    <d v="2023-05-16T00:00:00"/>
    <s v="UNPAID"/>
    <x v="9"/>
    <n v="12400"/>
    <n v="1"/>
    <s v="Indonesia"/>
    <s v="YSN-SSA"/>
    <x v="0"/>
  </r>
  <r>
    <s v="CLICTRUCK-047914"/>
    <s v="domestic"/>
    <x v="134"/>
    <x v="9"/>
    <n v="245490"/>
    <n v="24975"/>
    <d v="2023-05-16T00:00:00"/>
    <s v="UNPAID"/>
    <x v="9"/>
    <n v="8174"/>
    <n v="1"/>
    <s v="Indonesia"/>
    <s v="YSN-SSA"/>
    <x v="0"/>
  </r>
  <r>
    <s v="CLICTRUCK-047915"/>
    <s v="domestic"/>
    <x v="134"/>
    <x v="9"/>
    <n v="604660"/>
    <n v="24975"/>
    <d v="2023-05-16T00:00:00"/>
    <s v="UNPAID"/>
    <x v="9"/>
    <n v="20134"/>
    <n v="1"/>
    <s v="Indonesia"/>
    <s v="YSN-SSA"/>
    <x v="0"/>
  </r>
  <r>
    <s v="CLICTRUCK-047916"/>
    <s v="domestic"/>
    <x v="134"/>
    <x v="9"/>
    <n v="274890"/>
    <n v="24975"/>
    <d v="2023-05-16T00:00:00"/>
    <s v="UNPAID"/>
    <x v="9"/>
    <n v="9153"/>
    <n v="1"/>
    <s v="Indonesia"/>
    <s v="YSN-SSA"/>
    <x v="0"/>
  </r>
  <r>
    <s v="CLICTRUCK-047917"/>
    <s v="domestic"/>
    <x v="134"/>
    <x v="32"/>
    <n v="3600000"/>
    <n v="27750"/>
    <d v="2023-05-07T00:00:00"/>
    <s v="UNPAID"/>
    <x v="36"/>
    <n v="99900"/>
    <n v="1"/>
    <s v="Indonesia"/>
    <s v="SPM - BTS"/>
    <x v="0"/>
  </r>
  <r>
    <s v="CLICTRUCK-047918"/>
    <s v="domestic"/>
    <x v="134"/>
    <x v="32"/>
    <n v="3700000"/>
    <n v="27750"/>
    <d v="2023-05-07T00:00:00"/>
    <s v="UNPAID"/>
    <x v="36"/>
    <n v="102675"/>
    <n v="1"/>
    <s v="Indonesia"/>
    <s v="SPM - BTS"/>
    <x v="0"/>
  </r>
  <r>
    <s v="CLICTRUCK-047919"/>
    <s v="domestic"/>
    <x v="134"/>
    <x v="32"/>
    <n v="3700000"/>
    <n v="27750"/>
    <d v="2023-05-07T00:00:00"/>
    <s v="UNPAID"/>
    <x v="36"/>
    <n v="102675"/>
    <n v="1"/>
    <s v="Indonesia"/>
    <s v="SPM - BTS"/>
    <x v="0"/>
  </r>
  <r>
    <s v="CLICTRUCK-047920"/>
    <s v="domestic"/>
    <x v="134"/>
    <x v="32"/>
    <n v="3700000"/>
    <n v="27750"/>
    <d v="2023-05-07T00:00:00"/>
    <s v="UNPAID"/>
    <x v="36"/>
    <n v="102675"/>
    <n v="1"/>
    <s v="Indonesia"/>
    <s v="SPM - BTS"/>
    <x v="0"/>
  </r>
  <r>
    <s v="CLICTRUCK-047930"/>
    <s v="domestic"/>
    <x v="134"/>
    <x v="9"/>
    <n v="340060"/>
    <n v="24975"/>
    <d v="2023-05-16T00:00:00"/>
    <s v="UNPAID"/>
    <x v="9"/>
    <n v="11323"/>
    <n v="1"/>
    <s v="Indonesia"/>
    <s v="YSN-SSA"/>
    <x v="0"/>
  </r>
  <r>
    <s v="CLICTRUCK-047931"/>
    <s v="domestic"/>
    <x v="134"/>
    <x v="9"/>
    <n v="340060"/>
    <n v="24975"/>
    <d v="2023-05-16T00:00:00"/>
    <s v="UNPAID"/>
    <x v="9"/>
    <n v="11323"/>
    <n v="1"/>
    <s v="Indonesia"/>
    <s v="YSN-SSA"/>
    <x v="0"/>
  </r>
  <r>
    <s v="CLICTRUCK-047932"/>
    <s v="domestic"/>
    <x v="135"/>
    <x v="9"/>
    <n v="328300"/>
    <n v="22500"/>
    <m/>
    <s v="PENDING APPROVAL"/>
    <x v="34"/>
    <n v="0"/>
    <n v="1"/>
    <s v="Indonesia"/>
    <s v="YSN - PPT"/>
    <x v="1"/>
  </r>
  <r>
    <s v="CLICTRUCK-047933"/>
    <s v="domestic"/>
    <x v="135"/>
    <x v="9"/>
    <n v="340060"/>
    <n v="24975"/>
    <d v="2023-05-16T00:00:00"/>
    <s v="UNPAID"/>
    <x v="9"/>
    <n v="11323"/>
    <n v="1"/>
    <s v="Indonesia"/>
    <s v="YSN-SSA"/>
    <x v="0"/>
  </r>
  <r>
    <s v="CLICTRUCK-047934"/>
    <s v="domestic"/>
    <x v="135"/>
    <x v="9"/>
    <n v="265090"/>
    <n v="24975"/>
    <d v="2023-05-16T00:00:00"/>
    <s v="UNPAID"/>
    <x v="9"/>
    <n v="8826"/>
    <n v="1"/>
    <s v="Indonesia"/>
    <s v="YSN-SSA"/>
    <x v="0"/>
  </r>
  <r>
    <s v="CLICTRUCK-047935"/>
    <s v="domestic"/>
    <x v="135"/>
    <x v="32"/>
    <n v="3700000"/>
    <n v="27750"/>
    <d v="2023-05-07T00:00:00"/>
    <s v="UNPAID"/>
    <x v="36"/>
    <n v="102675"/>
    <n v="1"/>
    <s v="Indonesia"/>
    <s v="SPM - BTS"/>
    <x v="0"/>
  </r>
  <r>
    <s v="CLICTRUCK-047936"/>
    <s v="domestic"/>
    <x v="135"/>
    <x v="32"/>
    <n v="3700000"/>
    <n v="27750"/>
    <d v="2023-05-07T00:00:00"/>
    <s v="UNPAID"/>
    <x v="36"/>
    <n v="102675"/>
    <n v="1"/>
    <s v="Indonesia"/>
    <s v="SPM - BTS"/>
    <x v="0"/>
  </r>
  <r>
    <s v="CLICTRUCK-047937"/>
    <s v="domestic"/>
    <x v="135"/>
    <x v="32"/>
    <n v="3700000"/>
    <n v="27750"/>
    <d v="2023-05-07T00:00:00"/>
    <s v="UNPAID"/>
    <x v="36"/>
    <n v="102675"/>
    <n v="1"/>
    <s v="Indonesia"/>
    <s v="SPM - BTS"/>
    <x v="0"/>
  </r>
  <r>
    <s v="CLICTRUCK-047938"/>
    <s v="domestic"/>
    <x v="135"/>
    <x v="32"/>
    <n v="3500000"/>
    <n v="27750"/>
    <d v="2023-05-07T00:00:00"/>
    <s v="UNPAID"/>
    <x v="36"/>
    <n v="97125"/>
    <n v="1"/>
    <s v="Indonesia"/>
    <s v="SPM - BTS"/>
    <x v="0"/>
  </r>
  <r>
    <s v="CLICTRUCK-047939"/>
    <s v="domestic"/>
    <x v="135"/>
    <x v="32"/>
    <n v="3500000"/>
    <n v="27750"/>
    <d v="2023-05-07T00:00:00"/>
    <s v="UNPAID"/>
    <x v="36"/>
    <n v="97125"/>
    <n v="1"/>
    <s v="Indonesia"/>
    <s v="SPM - BTS"/>
    <x v="0"/>
  </r>
  <r>
    <s v="CLICTRUCK-047940"/>
    <s v="domestic"/>
    <x v="91"/>
    <x v="9"/>
    <n v="274890"/>
    <n v="24975"/>
    <d v="2023-05-16T00:00:00"/>
    <s v="UNPAID"/>
    <x v="9"/>
    <n v="9153"/>
    <n v="1"/>
    <s v="Indonesia"/>
    <s v="YSN-SSA"/>
    <x v="0"/>
  </r>
  <r>
    <s v="CLICTRUCK-047941"/>
    <s v="domestic"/>
    <x v="91"/>
    <x v="9"/>
    <n v="413000"/>
    <n v="22500"/>
    <m/>
    <s v="DELIVERED"/>
    <x v="34"/>
    <n v="0"/>
    <n v="1"/>
    <s v="Indonesia"/>
    <s v="YSN - PPT"/>
    <x v="1"/>
  </r>
  <r>
    <s v="CLICTRUCK-047942"/>
    <s v="domestic"/>
    <x v="91"/>
    <x v="9"/>
    <n v="504250"/>
    <n v="22500"/>
    <m/>
    <s v="PENDING APPROVAL"/>
    <x v="34"/>
    <n v="0"/>
    <n v="1"/>
    <s v="Indonesia"/>
    <s v="YSN - PPT"/>
    <x v="1"/>
  </r>
  <r>
    <s v="CLICTRUCK-047943"/>
    <s v="domestic"/>
    <x v="91"/>
    <x v="9"/>
    <n v="347850"/>
    <n v="22500"/>
    <m/>
    <s v="PENDING APPROVAL"/>
    <x v="34"/>
    <n v="0"/>
    <n v="1"/>
    <s v="Indonesia"/>
    <s v="YSN - PPT"/>
    <x v="1"/>
  </r>
  <r>
    <s v="CLICTRUCK-047944"/>
    <s v="domestic"/>
    <x v="91"/>
    <x v="9"/>
    <n v="340060"/>
    <n v="24975"/>
    <d v="2023-05-16T00:00:00"/>
    <s v="UNPAID"/>
    <x v="9"/>
    <n v="11323"/>
    <n v="1"/>
    <s v="Indonesia"/>
    <s v="YSN-SSA"/>
    <x v="0"/>
  </r>
  <r>
    <s v="CLICTRUCK-047957"/>
    <s v="domestic"/>
    <x v="91"/>
    <x v="32"/>
    <n v="3700000"/>
    <n v="27750"/>
    <d v="2023-05-07T00:00:00"/>
    <s v="UNPAID"/>
    <x v="36"/>
    <n v="102675"/>
    <n v="1"/>
    <s v="Indonesia"/>
    <s v="SPM - BTS"/>
    <x v="0"/>
  </r>
  <r>
    <s v="CLICTRUCK-047958"/>
    <s v="domestic"/>
    <x v="91"/>
    <x v="32"/>
    <n v="3700000"/>
    <n v="27750"/>
    <d v="2023-05-07T00:00:00"/>
    <s v="UNPAID"/>
    <x v="36"/>
    <n v="102675"/>
    <n v="1"/>
    <s v="Indonesia"/>
    <s v="SPM - BTS"/>
    <x v="0"/>
  </r>
  <r>
    <s v="CLICTRUCK-047959"/>
    <s v="domestic"/>
    <x v="91"/>
    <x v="32"/>
    <n v="3700000"/>
    <n v="27750"/>
    <d v="2023-05-07T00:00:00"/>
    <s v="UNPAID"/>
    <x v="36"/>
    <n v="102675"/>
    <n v="1"/>
    <s v="Indonesia"/>
    <s v="SPM - BTS"/>
    <x v="0"/>
  </r>
  <r>
    <s v="CLICTRUCK-047960"/>
    <s v="domestic"/>
    <x v="91"/>
    <x v="32"/>
    <n v="3600000"/>
    <n v="27750"/>
    <d v="2023-05-07T00:00:00"/>
    <s v="UNPAID"/>
    <x v="36"/>
    <n v="99900"/>
    <n v="1"/>
    <s v="Indonesia"/>
    <s v="SPM - BTS"/>
    <x v="0"/>
  </r>
  <r>
    <s v="CLICTRUCK-047961"/>
    <s v="domestic"/>
    <x v="91"/>
    <x v="32"/>
    <n v="3700000"/>
    <n v="27750"/>
    <d v="2023-05-07T00:00:00"/>
    <s v="UNPAID"/>
    <x v="36"/>
    <n v="102675"/>
    <n v="1"/>
    <s v="Indonesia"/>
    <s v="SPM - BTS"/>
    <x v="0"/>
  </r>
  <r>
    <s v="CLICTRUCK-047966"/>
    <s v="domestic"/>
    <x v="136"/>
    <x v="21"/>
    <n v="2545500"/>
    <n v="13875"/>
    <d v="2023-05-07T00:00:00"/>
    <s v="UNPAID"/>
    <x v="23"/>
    <n v="70637"/>
    <n v="1"/>
    <s v="Indonesia"/>
    <s v="MJE - ATL"/>
    <x v="0"/>
  </r>
  <r>
    <s v="CLICTRUCK-047967"/>
    <s v="domestic"/>
    <x v="136"/>
    <x v="21"/>
    <n v="1331000"/>
    <n v="13875"/>
    <d v="2023-05-07T00:00:00"/>
    <s v="UNPAID"/>
    <x v="23"/>
    <n v="36935"/>
    <n v="1"/>
    <s v="Indonesia"/>
    <s v="MJE - ATL"/>
    <x v="0"/>
  </r>
  <r>
    <s v="CLICTRUCK-047968"/>
    <s v="domestic"/>
    <x v="136"/>
    <x v="21"/>
    <n v="1400000"/>
    <n v="13875"/>
    <d v="2023-05-07T00:00:00"/>
    <s v="UNPAID"/>
    <x v="23"/>
    <n v="38850"/>
    <n v="1"/>
    <s v="Indonesia"/>
    <s v="MJE - ATL"/>
    <x v="0"/>
  </r>
  <r>
    <s v="CLICTRUCK-047969"/>
    <s v="domestic"/>
    <x v="136"/>
    <x v="21"/>
    <n v="2856000"/>
    <n v="13875"/>
    <d v="2023-06-03T00:00:00"/>
    <s v="UNPAID"/>
    <x v="23"/>
    <n v="79254"/>
    <n v="1"/>
    <s v="Indonesia"/>
    <s v="MJE - ATL"/>
    <x v="0"/>
  </r>
  <r>
    <s v="CLICTRUCK-047970"/>
    <s v="domestic"/>
    <x v="136"/>
    <x v="21"/>
    <n v="1400000"/>
    <n v="13875"/>
    <d v="2023-06-03T00:00:00"/>
    <s v="UNPAID"/>
    <x v="23"/>
    <n v="38850"/>
    <n v="1"/>
    <s v="Indonesia"/>
    <s v="MJE - ATL"/>
    <x v="0"/>
  </r>
  <r>
    <s v="CLICTRUCK-047971"/>
    <s v="domestic"/>
    <x v="136"/>
    <x v="21"/>
    <n v="2856000"/>
    <n v="13875"/>
    <d v="2023-06-03T00:00:00"/>
    <s v="UNPAID"/>
    <x v="23"/>
    <n v="79254"/>
    <n v="1"/>
    <s v="Indonesia"/>
    <s v="MJE - ATL"/>
    <x v="0"/>
  </r>
  <r>
    <s v="CLICTRUCK-047972"/>
    <s v="domestic"/>
    <x v="136"/>
    <x v="21"/>
    <n v="1400000"/>
    <n v="13875"/>
    <d v="2023-06-03T00:00:00"/>
    <s v="UNPAID"/>
    <x v="23"/>
    <n v="38850"/>
    <n v="1"/>
    <s v="Indonesia"/>
    <s v="MJE - ATL"/>
    <x v="0"/>
  </r>
  <r>
    <s v="CLICTRUCK-047973"/>
    <s v="domestic"/>
    <x v="136"/>
    <x v="21"/>
    <n v="2856000"/>
    <n v="13875"/>
    <d v="2023-06-03T00:00:00"/>
    <s v="UNPAID"/>
    <x v="23"/>
    <n v="79254"/>
    <n v="1"/>
    <s v="Indonesia"/>
    <s v="MJE - ATL"/>
    <x v="0"/>
  </r>
  <r>
    <s v="CLICTRUCK-047974"/>
    <s v="domestic"/>
    <x v="136"/>
    <x v="21"/>
    <n v="1400000"/>
    <n v="13875"/>
    <d v="2023-05-11T00:00:00"/>
    <s v="UNPAID"/>
    <x v="23"/>
    <n v="38850"/>
    <n v="1"/>
    <s v="Indonesia"/>
    <s v="MJE - ATL"/>
    <x v="0"/>
  </r>
  <r>
    <s v="CLICTRUCK-047975"/>
    <s v="domestic"/>
    <x v="136"/>
    <x v="21"/>
    <n v="2856000"/>
    <n v="13875"/>
    <d v="2023-06-03T00:00:00"/>
    <s v="UNPAID"/>
    <x v="23"/>
    <n v="79254"/>
    <n v="1"/>
    <s v="Indonesia"/>
    <s v="MJE - ATL"/>
    <x v="0"/>
  </r>
  <r>
    <s v="CLICTRUCK-047976"/>
    <s v="domestic"/>
    <x v="136"/>
    <x v="21"/>
    <n v="2856000"/>
    <n v="13875"/>
    <d v="2023-05-11T00:00:00"/>
    <s v="UNPAID"/>
    <x v="23"/>
    <n v="79254"/>
    <n v="1"/>
    <s v="Indonesia"/>
    <s v="MJE - ATL"/>
    <x v="0"/>
  </r>
  <r>
    <s v="CLICTRUCK-047977"/>
    <s v="domestic"/>
    <x v="136"/>
    <x v="21"/>
    <n v="1400000"/>
    <n v="13875"/>
    <d v="2023-05-11T00:00:00"/>
    <s v="UNPAID"/>
    <x v="23"/>
    <n v="38850"/>
    <n v="1"/>
    <s v="Indonesia"/>
    <s v="MJE - ATL"/>
    <x v="0"/>
  </r>
  <r>
    <s v="CLICTRUCK-047978"/>
    <s v="domestic"/>
    <x v="136"/>
    <x v="21"/>
    <n v="2856000"/>
    <n v="13875"/>
    <d v="2023-05-11T00:00:00"/>
    <s v="UNPAID"/>
    <x v="23"/>
    <n v="79254"/>
    <n v="1"/>
    <s v="Indonesia"/>
    <s v="MJE - ATL"/>
    <x v="0"/>
  </r>
  <r>
    <s v="CLICTRUCK-047979"/>
    <s v="domestic"/>
    <x v="136"/>
    <x v="21"/>
    <n v="1400000"/>
    <n v="13875"/>
    <d v="2023-05-11T00:00:00"/>
    <s v="UNPAID"/>
    <x v="23"/>
    <n v="38850"/>
    <n v="1"/>
    <s v="Indonesia"/>
    <s v="MJE - ATL"/>
    <x v="0"/>
  </r>
  <r>
    <s v="CLICTRUCK-047980"/>
    <s v="domestic"/>
    <x v="136"/>
    <x v="21"/>
    <n v="2856000"/>
    <n v="13875"/>
    <d v="2023-05-11T00:00:00"/>
    <s v="UNPAID"/>
    <x v="23"/>
    <n v="79254"/>
    <n v="1"/>
    <s v="Indonesia"/>
    <s v="MJE - ATL"/>
    <x v="0"/>
  </r>
  <r>
    <s v="CLICTRUCK-047981"/>
    <s v="domestic"/>
    <x v="136"/>
    <x v="21"/>
    <n v="1400000"/>
    <n v="13875"/>
    <d v="2023-05-11T00:00:00"/>
    <s v="UNPAID"/>
    <x v="23"/>
    <n v="38850"/>
    <n v="1"/>
    <s v="Indonesia"/>
    <s v="MJE - ATL"/>
    <x v="0"/>
  </r>
  <r>
    <s v="CLICTRUCK-047982"/>
    <s v="domestic"/>
    <x v="136"/>
    <x v="21"/>
    <n v="2856000"/>
    <n v="13875"/>
    <d v="2023-05-11T00:00:00"/>
    <s v="UNPAID"/>
    <x v="23"/>
    <n v="79254"/>
    <n v="1"/>
    <s v="Indonesia"/>
    <s v="MJE - ATL"/>
    <x v="0"/>
  </r>
  <r>
    <s v="CLICTRUCK-047983"/>
    <s v="domestic"/>
    <x v="136"/>
    <x v="21"/>
    <n v="1400000"/>
    <n v="13875"/>
    <d v="2023-05-11T00:00:00"/>
    <s v="UNPAID"/>
    <x v="23"/>
    <n v="38850"/>
    <n v="1"/>
    <s v="Indonesia"/>
    <s v="MJE - ATL"/>
    <x v="0"/>
  </r>
  <r>
    <s v="CLICTRUCK-047984"/>
    <s v="domestic"/>
    <x v="136"/>
    <x v="21"/>
    <n v="2856000"/>
    <n v="13875"/>
    <d v="2023-05-11T00:00:00"/>
    <s v="UNPAID"/>
    <x v="23"/>
    <n v="79254"/>
    <n v="1"/>
    <s v="Indonesia"/>
    <s v="MJE - ATL"/>
    <x v="0"/>
  </r>
  <r>
    <s v="CLICTRUCK-047985"/>
    <s v="domestic"/>
    <x v="136"/>
    <x v="21"/>
    <n v="1400000"/>
    <n v="13875"/>
    <d v="2023-05-11T00:00:00"/>
    <s v="UNPAID"/>
    <x v="23"/>
    <n v="38850"/>
    <n v="1"/>
    <s v="Indonesia"/>
    <s v="MJE - ATL"/>
    <x v="0"/>
  </r>
  <r>
    <s v="CLICTRUCK-047986"/>
    <s v="domestic"/>
    <x v="136"/>
    <x v="21"/>
    <n v="4097000"/>
    <n v="13875"/>
    <d v="2023-05-07T00:00:00"/>
    <s v="UNPAID"/>
    <x v="23"/>
    <n v="113691"/>
    <n v="1"/>
    <s v="Indonesia"/>
    <s v="MJE - ATL"/>
    <x v="0"/>
  </r>
  <r>
    <s v="CLICTRUCK-047987"/>
    <s v="domestic"/>
    <x v="136"/>
    <x v="21"/>
    <n v="4097000"/>
    <n v="13875"/>
    <d v="2023-05-07T00:00:00"/>
    <s v="UNPAID"/>
    <x v="23"/>
    <n v="113691"/>
    <n v="1"/>
    <s v="Indonesia"/>
    <s v="MJE - ATL"/>
    <x v="0"/>
  </r>
  <r>
    <s v="CLICTRUCK-047988"/>
    <s v="domestic"/>
    <x v="136"/>
    <x v="21"/>
    <n v="2545500"/>
    <n v="13875"/>
    <d v="2023-05-11T00:00:00"/>
    <s v="UNPAID"/>
    <x v="23"/>
    <n v="70637"/>
    <n v="1"/>
    <s v="Indonesia"/>
    <s v="MJE - ATL"/>
    <x v="0"/>
  </r>
  <r>
    <s v="CLICTRUCK-047989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7990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7991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7992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7993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7994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7995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7996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7997"/>
    <s v="domestic"/>
    <x v="136"/>
    <x v="29"/>
    <n v="1"/>
    <n v="20000"/>
    <m/>
    <s v="DELIVERED"/>
    <x v="32"/>
    <n v="0"/>
    <n v="1"/>
    <s v="Indonesia"/>
    <s v="JMT - JST"/>
    <x v="1"/>
  </r>
  <r>
    <s v="CLICTRUCK-047998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7999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8000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8001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8002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8003"/>
    <s v="domestic"/>
    <x v="136"/>
    <x v="29"/>
    <n v="7615000"/>
    <n v="22200"/>
    <d v="2023-05-07T00:00:00"/>
    <s v="UNPAID"/>
    <x v="32"/>
    <n v="228221"/>
    <n v="1"/>
    <s v="Indonesia"/>
    <s v="JMT - JST"/>
    <x v="0"/>
  </r>
  <r>
    <s v="CLICTRUCK-048004"/>
    <s v="domestic"/>
    <x v="136"/>
    <x v="27"/>
    <n v="37185000"/>
    <n v="27750"/>
    <d v="2023-05-07T00:00:00"/>
    <s v="UNPAID"/>
    <x v="30"/>
    <n v="1651014"/>
    <n v="1"/>
    <s v="Indonesia"/>
    <s v="RWJ - TWT"/>
    <x v="0"/>
  </r>
  <r>
    <s v="CLICTRUCK-048005"/>
    <s v="domestic"/>
    <x v="136"/>
    <x v="27"/>
    <n v="37185000"/>
    <n v="27750"/>
    <d v="2023-05-07T00:00:00"/>
    <s v="UNPAID"/>
    <x v="30"/>
    <n v="1651014"/>
    <n v="1"/>
    <s v="Indonesia"/>
    <s v="RWJ - TWT"/>
    <x v="0"/>
  </r>
  <r>
    <s v="CLICTRUCK-048006"/>
    <s v="domestic"/>
    <x v="136"/>
    <x v="27"/>
    <n v="41070000"/>
    <n v="27750"/>
    <d v="2023-05-07T00:00:00"/>
    <s v="UNPAID"/>
    <x v="30"/>
    <n v="1823508"/>
    <n v="1"/>
    <s v="Indonesia"/>
    <s v="RWJ - TWT"/>
    <x v="0"/>
  </r>
  <r>
    <s v="CLICTRUCK-048007"/>
    <s v="domestic"/>
    <x v="136"/>
    <x v="27"/>
    <n v="41070000"/>
    <n v="27750"/>
    <d v="2023-05-07T00:00:00"/>
    <s v="UNPAID"/>
    <x v="30"/>
    <n v="1823508"/>
    <n v="1"/>
    <s v="Indonesia"/>
    <s v="RWJ - TWT"/>
    <x v="0"/>
  </r>
  <r>
    <s v="CLICTRUCK-048008"/>
    <s v="domestic"/>
    <x v="136"/>
    <x v="27"/>
    <n v="37185000"/>
    <n v="27750"/>
    <d v="2023-05-07T00:00:00"/>
    <s v="UNPAID"/>
    <x v="30"/>
    <n v="1651014"/>
    <n v="1"/>
    <s v="Indonesia"/>
    <s v="RWJ - TWT"/>
    <x v="0"/>
  </r>
  <r>
    <s v="CLICTRUCK-048009"/>
    <s v="domestic"/>
    <x v="136"/>
    <x v="27"/>
    <n v="37185000"/>
    <n v="27750"/>
    <d v="2023-05-07T00:00:00"/>
    <s v="UNPAID"/>
    <x v="30"/>
    <n v="1651014"/>
    <n v="1"/>
    <s v="Indonesia"/>
    <s v="RWJ - TWT"/>
    <x v="0"/>
  </r>
  <r>
    <s v="CLICTRUCK-048010"/>
    <s v="domestic"/>
    <x v="136"/>
    <x v="21"/>
    <n v="2545500"/>
    <n v="13875"/>
    <d v="2023-05-07T00:00:00"/>
    <s v="UNPAID"/>
    <x v="23"/>
    <n v="70637"/>
    <n v="1"/>
    <s v="Indonesia"/>
    <s v="MJE - ATL"/>
    <x v="0"/>
  </r>
  <r>
    <s v="CLICTRUCK-048011"/>
    <s v="domestic"/>
    <x v="136"/>
    <x v="27"/>
    <n v="41070000"/>
    <n v="27750"/>
    <d v="2023-05-07T00:00:00"/>
    <s v="UNPAID"/>
    <x v="30"/>
    <n v="1823508"/>
    <n v="1"/>
    <s v="Indonesia"/>
    <s v="RWJ - TWT"/>
    <x v="0"/>
  </r>
  <r>
    <s v="CLICTRUCK-048012"/>
    <s v="domestic"/>
    <x v="136"/>
    <x v="21"/>
    <n v="2045000"/>
    <n v="13875"/>
    <d v="2023-05-07T00:00:00"/>
    <s v="UNPAID"/>
    <x v="23"/>
    <n v="56748"/>
    <n v="1"/>
    <s v="Indonesia"/>
    <s v="MJE - ATL"/>
    <x v="0"/>
  </r>
  <r>
    <s v="CLICTRUCK-048013"/>
    <s v="domestic"/>
    <x v="136"/>
    <x v="27"/>
    <n v="41070000"/>
    <n v="27750"/>
    <d v="2023-05-07T00:00:00"/>
    <s v="UNPAID"/>
    <x v="30"/>
    <n v="1823508"/>
    <n v="1"/>
    <s v="Indonesia"/>
    <s v="RWJ - TWT"/>
    <x v="0"/>
  </r>
  <r>
    <s v="CLICTRUCK-048014"/>
    <s v="domestic"/>
    <x v="137"/>
    <x v="30"/>
    <n v="1"/>
    <n v="25000"/>
    <m/>
    <s v="NEW"/>
    <x v="33"/>
    <n v="0"/>
    <n v="1"/>
    <s v="Indonesia"/>
    <s v="RDD - RED"/>
    <x v="1"/>
  </r>
  <r>
    <s v="CLICTRUCK-048015"/>
    <s v="domestic"/>
    <x v="137"/>
    <x v="30"/>
    <n v="290875000"/>
    <n v="25000"/>
    <m/>
    <s v="NEW"/>
    <x v="33"/>
    <n v="0"/>
    <n v="1"/>
    <s v="Indonesia"/>
    <s v="RDD - RED"/>
    <x v="1"/>
  </r>
  <r>
    <s v="CLICTRUCK-048016"/>
    <s v="domestic"/>
    <x v="137"/>
    <x v="30"/>
    <n v="290875000"/>
    <n v="25000"/>
    <m/>
    <s v="DELIVERED"/>
    <x v="33"/>
    <n v="0"/>
    <n v="1"/>
    <s v="Indonesia"/>
    <s v="RDD - RED"/>
    <x v="1"/>
  </r>
  <r>
    <s v="CLICTRUCK-048017"/>
    <s v="domestic"/>
    <x v="137"/>
    <x v="30"/>
    <n v="251818000"/>
    <n v="27750"/>
    <d v="2023-05-07T00:00:00"/>
    <s v="PAID"/>
    <x v="33"/>
    <n v="11180719"/>
    <n v="1"/>
    <s v="Indonesia"/>
    <s v="RDD - RED"/>
    <x v="0"/>
  </r>
  <r>
    <s v="CLICTRUCK-048018"/>
    <s v="domestic"/>
    <x v="137"/>
    <x v="25"/>
    <n v="1655000"/>
    <n v="27750"/>
    <d v="2023-05-07T00:00:00"/>
    <s v="UNPAID"/>
    <x v="28"/>
    <n v="73482"/>
    <n v="1"/>
    <s v="Indonesia"/>
    <s v="SAJB - SEP"/>
    <x v="0"/>
  </r>
  <r>
    <s v="CLICTRUCK-048019"/>
    <s v="domestic"/>
    <x v="137"/>
    <x v="30"/>
    <n v="251818000"/>
    <n v="27750"/>
    <d v="2023-05-07T00:00:00"/>
    <s v="UNPAID"/>
    <x v="33"/>
    <n v="11180719"/>
    <n v="1"/>
    <s v="Indonesia"/>
    <s v="RDD - RED"/>
    <x v="0"/>
  </r>
  <r>
    <s v="CLICTRUCK-048020"/>
    <s v="domestic"/>
    <x v="137"/>
    <x v="25"/>
    <n v="1655000"/>
    <n v="27750"/>
    <d v="2023-05-07T00:00:00"/>
    <s v="UNPAID"/>
    <x v="28"/>
    <n v="73482"/>
    <n v="1"/>
    <s v="Indonesia"/>
    <s v="SAJB - SEP"/>
    <x v="0"/>
  </r>
  <r>
    <s v="CLICTRUCK-048021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22"/>
    <s v="domestic"/>
    <x v="137"/>
    <x v="25"/>
    <n v="8100000"/>
    <n v="27750"/>
    <d v="2023-05-07T00:00:00"/>
    <s v="UNPAID"/>
    <x v="28"/>
    <n v="359640"/>
    <n v="1"/>
    <s v="Indonesia"/>
    <s v="SAJB - SEP"/>
    <x v="0"/>
  </r>
  <r>
    <s v="CLICTRUCK-048023"/>
    <s v="domestic"/>
    <x v="137"/>
    <x v="25"/>
    <n v="2485000"/>
    <n v="27750"/>
    <d v="2023-05-07T00:00:00"/>
    <s v="UNPAID"/>
    <x v="28"/>
    <n v="110334"/>
    <n v="1"/>
    <s v="Indonesia"/>
    <s v="SAJB - SEP"/>
    <x v="0"/>
  </r>
  <r>
    <s v="CLICTRUCK-048024"/>
    <s v="domestic"/>
    <x v="137"/>
    <x v="25"/>
    <n v="2485000"/>
    <n v="27750"/>
    <d v="2023-05-07T00:00:00"/>
    <s v="UNPAID"/>
    <x v="28"/>
    <n v="110334"/>
    <n v="1"/>
    <s v="Indonesia"/>
    <s v="SAJB - SEP"/>
    <x v="0"/>
  </r>
  <r>
    <s v="CLICTRUCK-048025"/>
    <s v="domestic"/>
    <x v="137"/>
    <x v="25"/>
    <n v="2485000"/>
    <n v="27750"/>
    <d v="2023-05-07T00:00:00"/>
    <s v="UNPAID"/>
    <x v="28"/>
    <n v="110334"/>
    <n v="1"/>
    <s v="Indonesia"/>
    <s v="SAJB - SEP"/>
    <x v="0"/>
  </r>
  <r>
    <s v="CLICTRUCK-048026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27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28"/>
    <s v="domestic"/>
    <x v="137"/>
    <x v="25"/>
    <n v="1925000"/>
    <n v="27750"/>
    <d v="2023-05-07T00:00:00"/>
    <s v="UNPAID"/>
    <x v="28"/>
    <n v="85470"/>
    <n v="1"/>
    <s v="Indonesia"/>
    <s v="SAJB - SEP"/>
    <x v="0"/>
  </r>
  <r>
    <s v="CLICTRUCK-048029"/>
    <s v="domestic"/>
    <x v="137"/>
    <x v="25"/>
    <n v="3250000"/>
    <n v="27750"/>
    <d v="2023-05-07T00:00:00"/>
    <s v="UNPAID"/>
    <x v="28"/>
    <n v="144300"/>
    <n v="1"/>
    <s v="Indonesia"/>
    <s v="SAJB - SEP"/>
    <x v="0"/>
  </r>
  <r>
    <s v="CLICTRUCK-048030"/>
    <s v="domestic"/>
    <x v="137"/>
    <x v="25"/>
    <n v="3250000"/>
    <n v="27750"/>
    <d v="2023-05-07T00:00:00"/>
    <s v="UNPAID"/>
    <x v="28"/>
    <n v="144300"/>
    <n v="1"/>
    <s v="Indonesia"/>
    <s v="SAJB - SEP"/>
    <x v="0"/>
  </r>
  <r>
    <s v="CLICTRUCK-048031"/>
    <s v="domestic"/>
    <x v="137"/>
    <x v="25"/>
    <n v="1000000"/>
    <n v="27750"/>
    <d v="2023-05-07T00:00:00"/>
    <s v="UNPAID"/>
    <x v="28"/>
    <n v="44400"/>
    <n v="1"/>
    <s v="Indonesia"/>
    <s v="SAJB - SEP"/>
    <x v="0"/>
  </r>
  <r>
    <s v="CLICTRUCK-048032"/>
    <s v="domestic"/>
    <x v="137"/>
    <x v="25"/>
    <n v="1000000"/>
    <n v="27750"/>
    <d v="2023-05-07T00:00:00"/>
    <s v="UNPAID"/>
    <x v="28"/>
    <n v="44400"/>
    <n v="1"/>
    <s v="Indonesia"/>
    <s v="SAJB - SEP"/>
    <x v="0"/>
  </r>
  <r>
    <s v="CLICTRUCK-048033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34"/>
    <s v="domestic"/>
    <x v="137"/>
    <x v="25"/>
    <n v="1815000"/>
    <n v="27750"/>
    <d v="2023-05-07T00:00:00"/>
    <s v="UNPAID"/>
    <x v="28"/>
    <n v="80586"/>
    <n v="1"/>
    <s v="Indonesia"/>
    <s v="SAJB - SEP"/>
    <x v="0"/>
  </r>
  <r>
    <s v="CLICTRUCK-048035"/>
    <s v="domestic"/>
    <x v="137"/>
    <x v="25"/>
    <n v="1815000"/>
    <n v="27750"/>
    <d v="2023-05-07T00:00:00"/>
    <s v="UNPAID"/>
    <x v="28"/>
    <n v="80586"/>
    <n v="1"/>
    <s v="Indonesia"/>
    <s v="SAJB - SEP"/>
    <x v="0"/>
  </r>
  <r>
    <s v="CLICTRUCK-048036"/>
    <s v="domestic"/>
    <x v="137"/>
    <x v="25"/>
    <n v="1565000"/>
    <n v="27750"/>
    <d v="2023-05-07T00:00:00"/>
    <s v="UNPAID"/>
    <x v="28"/>
    <n v="69486"/>
    <n v="1"/>
    <s v="Indonesia"/>
    <s v="SAJB - SEP"/>
    <x v="0"/>
  </r>
  <r>
    <s v="CLICTRUCK-048037"/>
    <s v="domestic"/>
    <x v="137"/>
    <x v="25"/>
    <n v="1655000"/>
    <n v="27750"/>
    <d v="2023-05-07T00:00:00"/>
    <s v="UNPAID"/>
    <x v="28"/>
    <n v="73482"/>
    <n v="1"/>
    <s v="Indonesia"/>
    <s v="SAJB - SEP"/>
    <x v="0"/>
  </r>
  <r>
    <s v="CLICTRUCK-048038"/>
    <s v="domestic"/>
    <x v="137"/>
    <x v="25"/>
    <n v="1655000"/>
    <n v="27750"/>
    <d v="2023-05-07T00:00:00"/>
    <s v="UNPAID"/>
    <x v="28"/>
    <n v="73482"/>
    <n v="1"/>
    <s v="Indonesia"/>
    <s v="SAJB - SEP"/>
    <x v="0"/>
  </r>
  <r>
    <s v="CLICTRUCK-048039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40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41"/>
    <s v="domestic"/>
    <x v="137"/>
    <x v="25"/>
    <n v="1185000"/>
    <n v="27750"/>
    <d v="2023-05-07T00:00:00"/>
    <s v="UNPAID"/>
    <x v="28"/>
    <n v="52614"/>
    <n v="1"/>
    <s v="Indonesia"/>
    <s v="SAJB - SEP"/>
    <x v="0"/>
  </r>
  <r>
    <s v="CLICTRUCK-048042"/>
    <s v="domestic"/>
    <x v="137"/>
    <x v="25"/>
    <n v="3250000"/>
    <n v="27750"/>
    <d v="2023-05-07T00:00:00"/>
    <s v="UNPAID"/>
    <x v="28"/>
    <n v="144300"/>
    <n v="1"/>
    <s v="Indonesia"/>
    <s v="SAJB - SEP"/>
    <x v="0"/>
  </r>
  <r>
    <s v="CLICTRUCK-048043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44"/>
    <s v="domestic"/>
    <x v="137"/>
    <x v="25"/>
    <n v="1620000"/>
    <n v="27750"/>
    <d v="2023-05-07T00:00:00"/>
    <s v="UNPAID"/>
    <x v="28"/>
    <n v="71928"/>
    <n v="1"/>
    <s v="Indonesia"/>
    <s v="SAJB - SEP"/>
    <x v="0"/>
  </r>
  <r>
    <s v="CLICTRUCK-048045"/>
    <s v="domestic"/>
    <x v="137"/>
    <x v="25"/>
    <n v="1770000"/>
    <n v="27750"/>
    <d v="2023-05-07T00:00:00"/>
    <s v="UNPAID"/>
    <x v="28"/>
    <n v="78588"/>
    <n v="1"/>
    <s v="Indonesia"/>
    <s v="SAJB - SEP"/>
    <x v="0"/>
  </r>
  <r>
    <s v="CLICTRUCK-048046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47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48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49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50"/>
    <s v="domestic"/>
    <x v="137"/>
    <x v="25"/>
    <n v="1000000"/>
    <n v="27750"/>
    <d v="2023-05-07T00:00:00"/>
    <s v="UNPAID"/>
    <x v="28"/>
    <n v="44400"/>
    <n v="1"/>
    <s v="Indonesia"/>
    <s v="SAJB - SEP"/>
    <x v="0"/>
  </r>
  <r>
    <s v="CLICTRUCK-048051"/>
    <s v="domestic"/>
    <x v="137"/>
    <x v="25"/>
    <n v="1815000"/>
    <n v="27750"/>
    <d v="2023-05-07T00:00:00"/>
    <s v="UNPAID"/>
    <x v="28"/>
    <n v="80586"/>
    <n v="1"/>
    <s v="Indonesia"/>
    <s v="SAJB - SEP"/>
    <x v="0"/>
  </r>
  <r>
    <s v="CLICTRUCK-048052"/>
    <s v="domestic"/>
    <x v="137"/>
    <x v="25"/>
    <n v="3400000"/>
    <n v="27750"/>
    <d v="2023-05-07T00:00:00"/>
    <s v="UNPAID"/>
    <x v="28"/>
    <n v="150960"/>
    <n v="1"/>
    <s v="Indonesia"/>
    <s v="SAJB - SEP"/>
    <x v="0"/>
  </r>
  <r>
    <s v="CLICTRUCK-048053"/>
    <s v="domestic"/>
    <x v="137"/>
    <x v="25"/>
    <n v="3400000"/>
    <n v="27750"/>
    <d v="2023-05-07T00:00:00"/>
    <s v="UNPAID"/>
    <x v="28"/>
    <n v="150960"/>
    <n v="1"/>
    <s v="Indonesia"/>
    <s v="SAJB - SEP"/>
    <x v="0"/>
  </r>
  <r>
    <s v="CLICTRUCK-048054"/>
    <s v="domestic"/>
    <x v="137"/>
    <x v="25"/>
    <n v="3250000"/>
    <n v="27750"/>
    <d v="2023-05-07T00:00:00"/>
    <s v="UNPAID"/>
    <x v="28"/>
    <n v="144300"/>
    <n v="1"/>
    <s v="Indonesia"/>
    <s v="SAJB - SEP"/>
    <x v="0"/>
  </r>
  <r>
    <s v="CLICTRUCK-048055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56"/>
    <s v="domestic"/>
    <x v="137"/>
    <x v="25"/>
    <n v="864000"/>
    <n v="27750"/>
    <d v="2023-05-07T00:00:00"/>
    <s v="UNPAID"/>
    <x v="28"/>
    <n v="38361"/>
    <n v="1"/>
    <s v="Indonesia"/>
    <s v="SAJB - SEP"/>
    <x v="0"/>
  </r>
  <r>
    <s v="CLICTRUCK-048057"/>
    <s v="domestic"/>
    <x v="137"/>
    <x v="25"/>
    <n v="3250000"/>
    <n v="27750"/>
    <d v="2023-05-07T00:00:00"/>
    <s v="UNPAID"/>
    <x v="28"/>
    <n v="144300"/>
    <n v="1"/>
    <s v="Indonesia"/>
    <s v="SAJB - SEP"/>
    <x v="0"/>
  </r>
  <r>
    <s v="CLICTRUCK-048058"/>
    <s v="domestic"/>
    <x v="137"/>
    <x v="25"/>
    <n v="3250000"/>
    <n v="27750"/>
    <d v="2023-05-07T00:00:00"/>
    <s v="UNPAID"/>
    <x v="28"/>
    <n v="144300"/>
    <n v="1"/>
    <s v="Indonesia"/>
    <s v="SAJB - SEP"/>
    <x v="0"/>
  </r>
  <r>
    <s v="CLICTRUCK-048059"/>
    <s v="domestic"/>
    <x v="137"/>
    <x v="25"/>
    <n v="1815000"/>
    <n v="27750"/>
    <d v="2023-05-07T00:00:00"/>
    <s v="UNPAID"/>
    <x v="28"/>
    <n v="80586"/>
    <n v="1"/>
    <s v="Indonesia"/>
    <s v="SAJB - SEP"/>
    <x v="0"/>
  </r>
  <r>
    <s v="CLICTRUCK-048060"/>
    <s v="domestic"/>
    <x v="137"/>
    <x v="25"/>
    <n v="2485000"/>
    <n v="27750"/>
    <d v="2023-05-07T00:00:00"/>
    <s v="UNPAID"/>
    <x v="28"/>
    <n v="110334"/>
    <n v="1"/>
    <s v="Indonesia"/>
    <s v="SAJB - SEP"/>
    <x v="0"/>
  </r>
  <r>
    <s v="CLICTRUCK-048061"/>
    <s v="domestic"/>
    <x v="137"/>
    <x v="25"/>
    <n v="1"/>
    <n v="25000"/>
    <m/>
    <s v="DELIVERED"/>
    <x v="28"/>
    <n v="0"/>
    <n v="1"/>
    <s v="Indonesia"/>
    <s v="SAJB - SEP"/>
    <x v="1"/>
  </r>
  <r>
    <s v="CLICTRUCK-048062"/>
    <s v="domestic"/>
    <x v="137"/>
    <x v="25"/>
    <n v="1655000"/>
    <n v="27750"/>
    <d v="2023-05-07T00:00:00"/>
    <s v="UNPAID"/>
    <x v="28"/>
    <n v="73482"/>
    <n v="1"/>
    <s v="Indonesia"/>
    <s v="SAJB - SEP"/>
    <x v="0"/>
  </r>
  <r>
    <s v="CLICTRUCK-048063"/>
    <s v="domestic"/>
    <x v="137"/>
    <x v="25"/>
    <n v="1880000"/>
    <n v="27750"/>
    <d v="2023-05-07T00:00:00"/>
    <s v="UNPAID"/>
    <x v="28"/>
    <n v="83472"/>
    <n v="1"/>
    <s v="Indonesia"/>
    <s v="SAJB - SEP"/>
    <x v="0"/>
  </r>
  <r>
    <s v="CLICTRUCK-048064"/>
    <s v="domestic"/>
    <x v="137"/>
    <x v="25"/>
    <n v="1815000"/>
    <n v="27750"/>
    <d v="2023-05-07T00:00:00"/>
    <s v="UNPAID"/>
    <x v="28"/>
    <n v="80586"/>
    <n v="1"/>
    <s v="Indonesia"/>
    <s v="SAJB - SEP"/>
    <x v="0"/>
  </r>
  <r>
    <s v="CLICTRUCK-048067"/>
    <s v="domestic"/>
    <x v="137"/>
    <x v="9"/>
    <n v="585900"/>
    <n v="22500"/>
    <m/>
    <s v="PENDING APPROVAL"/>
    <x v="34"/>
    <n v="0"/>
    <n v="2"/>
    <s v="Indonesia"/>
    <s v="YSN - PPT"/>
    <x v="1"/>
  </r>
  <r>
    <s v="CLICTRUCK-048068"/>
    <s v="domestic"/>
    <x v="137"/>
    <x v="9"/>
    <n v="313600"/>
    <n v="24975"/>
    <d v="2023-05-17T00:00:00"/>
    <s v="UNPAID"/>
    <x v="9"/>
    <n v="10442"/>
    <n v="1"/>
    <s v="Indonesia"/>
    <s v="YSN-SSA"/>
    <x v="0"/>
  </r>
  <r>
    <s v="CLICTRUCK-048069"/>
    <s v="domestic"/>
    <x v="137"/>
    <x v="9"/>
    <n v="274890"/>
    <n v="24975"/>
    <d v="2023-05-17T00:00:00"/>
    <s v="UNPAID"/>
    <x v="9"/>
    <n v="9153"/>
    <n v="1"/>
    <s v="Indonesia"/>
    <s v="YSN-SSA"/>
    <x v="0"/>
  </r>
  <r>
    <s v="CLICTRUCK-048071"/>
    <s v="domestic"/>
    <x v="137"/>
    <x v="9"/>
    <n v="1464500"/>
    <n v="22500"/>
    <m/>
    <s v="PENDING APPROVAL"/>
    <x v="34"/>
    <n v="0"/>
    <n v="1"/>
    <s v="Indonesia"/>
    <s v="YSN - PPT"/>
    <x v="1"/>
  </r>
  <r>
    <s v="CLICTRUCK-048072"/>
    <s v="domestic"/>
    <x v="137"/>
    <x v="9"/>
    <n v="504250"/>
    <n v="22500"/>
    <m/>
    <s v="PENDING APPROVAL"/>
    <x v="34"/>
    <n v="0"/>
    <n v="1"/>
    <s v="Indonesia"/>
    <s v="YSN - PPT"/>
    <x v="1"/>
  </r>
  <r>
    <s v="CLICTRUCK-048073"/>
    <s v="domestic"/>
    <x v="138"/>
    <x v="9"/>
    <n v="522030"/>
    <n v="22500"/>
    <m/>
    <s v="PENDING APPROVAL"/>
    <x v="34"/>
    <n v="0"/>
    <n v="2"/>
    <s v="Indonesia"/>
    <s v="YSN - PPT"/>
    <x v="1"/>
  </r>
  <r>
    <s v="CLICTRUCK-048074"/>
    <s v="domestic"/>
    <x v="138"/>
    <x v="9"/>
    <n v="2500000"/>
    <n v="22500"/>
    <m/>
    <s v="PENDING APPROVAL"/>
    <x v="34"/>
    <n v="0"/>
    <n v="1"/>
    <s v="Indonesia"/>
    <s v="YSN - PPT"/>
    <x v="1"/>
  </r>
  <r>
    <s v="CLICTRUCK-048075"/>
    <s v="domestic"/>
    <x v="138"/>
    <x v="9"/>
    <n v="274890"/>
    <n v="24975"/>
    <d v="2023-05-17T00:00:00"/>
    <s v="UNPAID"/>
    <x v="9"/>
    <n v="9153"/>
    <n v="1"/>
    <s v="Indonesia"/>
    <s v="YSN-SSA"/>
    <x v="0"/>
  </r>
  <r>
    <s v="CLICTRUCK-048076"/>
    <s v="domestic"/>
    <x v="138"/>
    <x v="9"/>
    <n v="340060"/>
    <n v="24975"/>
    <d v="2023-05-19T00:00:00"/>
    <s v="UNPAID"/>
    <x v="9"/>
    <n v="11323"/>
    <n v="1"/>
    <s v="Indonesia"/>
    <s v="YSN-SSA"/>
    <x v="0"/>
  </r>
  <r>
    <s v="CLICTRUCK-048077"/>
    <s v="domestic"/>
    <x v="138"/>
    <x v="9"/>
    <n v="340060"/>
    <n v="24975"/>
    <d v="2023-05-19T00:00:00"/>
    <s v="UNPAID"/>
    <x v="9"/>
    <n v="11323"/>
    <n v="1"/>
    <s v="Indonesia"/>
    <s v="YSN-SSA"/>
    <x v="0"/>
  </r>
  <r>
    <s v="CLICTRUCK-048078"/>
    <s v="domestic"/>
    <x v="138"/>
    <x v="9"/>
    <n v="245490"/>
    <n v="24975"/>
    <d v="2023-05-17T00:00:00"/>
    <s v="UNPAID"/>
    <x v="9"/>
    <n v="8174"/>
    <n v="1"/>
    <s v="Indonesia"/>
    <s v="YSN-SSA"/>
    <x v="0"/>
  </r>
  <r>
    <s v="CLICTRUCK-048080"/>
    <s v="domestic"/>
    <x v="92"/>
    <x v="9"/>
    <n v="245490"/>
    <n v="24975"/>
    <d v="2023-05-17T00:00:00"/>
    <s v="UNPAID"/>
    <x v="9"/>
    <n v="8174"/>
    <n v="1"/>
    <s v="Indonesia"/>
    <s v="YSN-SSA"/>
    <x v="0"/>
  </r>
  <r>
    <s v="CLICTRUCK-048082"/>
    <s v="domestic"/>
    <x v="92"/>
    <x v="9"/>
    <n v="399350"/>
    <n v="24975"/>
    <d v="2023-05-17T00:00:00"/>
    <s v="UNPAID"/>
    <x v="9"/>
    <n v="13297"/>
    <n v="1"/>
    <s v="Indonesia"/>
    <s v="YSN-SSA"/>
    <x v="0"/>
  </r>
  <r>
    <s v="CLICTRUCK-048083"/>
    <s v="domestic"/>
    <x v="92"/>
    <x v="9"/>
    <n v="274890"/>
    <n v="24975"/>
    <d v="2023-05-17T00:00:00"/>
    <s v="UNPAID"/>
    <x v="9"/>
    <n v="9153"/>
    <n v="1"/>
    <s v="Indonesia"/>
    <s v="YSN-SSA"/>
    <x v="0"/>
  </r>
  <r>
    <s v="CLICTRUCK-048085"/>
    <s v="domestic"/>
    <x v="92"/>
    <x v="9"/>
    <n v="347850"/>
    <n v="22500"/>
    <m/>
    <s v="PENDING APPROVAL"/>
    <x v="34"/>
    <n v="0"/>
    <n v="1"/>
    <s v="Indonesia"/>
    <s v="YSN - PPT"/>
    <x v="1"/>
  </r>
  <r>
    <s v="CLICTRUCK-048086"/>
    <s v="domestic"/>
    <x v="92"/>
    <x v="9"/>
    <n v="395000"/>
    <n v="22500"/>
    <m/>
    <s v="DELIVERED"/>
    <x v="34"/>
    <n v="0"/>
    <n v="1"/>
    <s v="Indonesia"/>
    <s v="YSN - PPT"/>
    <x v="1"/>
  </r>
  <r>
    <s v="CLICTRUCK-048087"/>
    <s v="domestic"/>
    <x v="92"/>
    <x v="9"/>
    <n v="352000"/>
    <n v="22500"/>
    <m/>
    <s v="DELIVERED"/>
    <x v="34"/>
    <n v="0"/>
    <n v="1"/>
    <s v="Indonesia"/>
    <s v="YSN - PPT"/>
    <x v="1"/>
  </r>
  <r>
    <s v="CLICTRUCK-048089"/>
    <s v="domestic"/>
    <x v="92"/>
    <x v="9"/>
    <n v="4057200"/>
    <n v="24975"/>
    <d v="2023-05-17T00:00:00"/>
    <s v="UNPAID"/>
    <x v="8"/>
    <n v="135104"/>
    <n v="1"/>
    <s v="Indonesia"/>
    <s v="YSN-FPM"/>
    <x v="0"/>
  </r>
  <r>
    <s v="CLICTRUCK-048094"/>
    <s v="domestic"/>
    <x v="93"/>
    <x v="9"/>
    <n v="274890"/>
    <n v="24975"/>
    <d v="2023-05-17T00:00:00"/>
    <s v="UNPAID"/>
    <x v="9"/>
    <n v="9153"/>
    <n v="1"/>
    <s v="Indonesia"/>
    <s v="YSN-SSA"/>
    <x v="0"/>
  </r>
  <r>
    <s v="CLICTRUCK-048095"/>
    <s v="domestic"/>
    <x v="93"/>
    <x v="9"/>
    <n v="190000"/>
    <n v="22500"/>
    <m/>
    <s v="DELIVERED"/>
    <x v="34"/>
    <n v="0"/>
    <n v="1"/>
    <s v="Indonesia"/>
    <s v="YSN - PPT"/>
    <x v="1"/>
  </r>
  <r>
    <s v="CLICTRUCK-048096"/>
    <s v="domestic"/>
    <x v="93"/>
    <x v="9"/>
    <n v="395000"/>
    <n v="22500"/>
    <m/>
    <s v="DELIVERED"/>
    <x v="34"/>
    <n v="0"/>
    <n v="1"/>
    <s v="Indonesia"/>
    <s v="YSN - PPT"/>
    <x v="1"/>
  </r>
  <r>
    <s v="CLICTRUCK-048097"/>
    <s v="domestic"/>
    <x v="93"/>
    <x v="9"/>
    <n v="372400"/>
    <n v="24975"/>
    <d v="2023-05-17T00:00:00"/>
    <s v="UNPAID"/>
    <x v="9"/>
    <n v="12400"/>
    <n v="1"/>
    <s v="Indonesia"/>
    <s v="YSN-SSA"/>
    <x v="0"/>
  </r>
  <r>
    <s v="CLICTRUCK-048098"/>
    <s v="domestic"/>
    <x v="93"/>
    <x v="9"/>
    <n v="399350"/>
    <n v="24975"/>
    <d v="2023-05-17T00:00:00"/>
    <s v="UNPAID"/>
    <x v="9"/>
    <n v="13297"/>
    <n v="1"/>
    <s v="Indonesia"/>
    <s v="YSN-SSA"/>
    <x v="0"/>
  </r>
  <r>
    <s v="CLICTRUCK-048099"/>
    <s v="domestic"/>
    <x v="93"/>
    <x v="35"/>
    <n v="75000000"/>
    <n v="2913750"/>
    <d v="2023-05-11T00:00:00"/>
    <s v="UNPAID"/>
    <x v="38"/>
    <n v="27750"/>
    <n v="1"/>
    <s v="Indonesia"/>
    <s v="CBN - MCW"/>
    <x v="0"/>
  </r>
  <r>
    <s v="CLICTRUCK-048101"/>
    <s v="domestic"/>
    <x v="93"/>
    <x v="36"/>
    <n v="7500000"/>
    <n v="416250"/>
    <d v="2023-05-11T00:00:00"/>
    <s v="UNPAID"/>
    <x v="39"/>
    <n v="27750"/>
    <n v="1"/>
    <s v="Indonesia"/>
    <s v="LVI - DRT"/>
    <x v="0"/>
  </r>
  <r>
    <s v="CLICTRUCK-048102"/>
    <s v="domestic"/>
    <x v="93"/>
    <x v="35"/>
    <n v="75000000"/>
    <m/>
    <m/>
    <s v="DELIVERED"/>
    <x v="38"/>
    <n v="0"/>
    <n v="1"/>
    <s v="Indonesia"/>
    <s v="CBN - MCW"/>
    <x v="1"/>
  </r>
  <r>
    <s v="CLICTRUCK-048103"/>
    <s v="domestic"/>
    <x v="93"/>
    <x v="9"/>
    <n v="340060"/>
    <n v="24975"/>
    <d v="2023-05-19T00:00:00"/>
    <s v="UNPAID"/>
    <x v="9"/>
    <n v="11323"/>
    <n v="1"/>
    <s v="Indonesia"/>
    <s v="YSN-SSA"/>
    <x v="0"/>
  </r>
  <r>
    <s v="CLICTRUCK-048104"/>
    <s v="domestic"/>
    <x v="93"/>
    <x v="9"/>
    <n v="315560"/>
    <n v="24975"/>
    <d v="2023-05-19T00:00:00"/>
    <s v="UNPAID"/>
    <x v="9"/>
    <n v="10507"/>
    <n v="1"/>
    <s v="Indonesia"/>
    <s v="YSN-SSA"/>
    <x v="0"/>
  </r>
  <r>
    <s v="CLICTRUCK-048105"/>
    <s v="domestic"/>
    <x v="93"/>
    <x v="35"/>
    <n v="65000000"/>
    <n v="2525250"/>
    <d v="2023-05-12T00:00:00"/>
    <s v="UNPAID"/>
    <x v="38"/>
    <n v="27750"/>
    <n v="1"/>
    <s v="Indonesia"/>
    <s v="CBN - MCW"/>
    <x v="0"/>
  </r>
  <r>
    <s v="CLICTRUCK-048106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07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08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09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0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1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2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3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4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5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6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7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8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19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20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21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22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23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24"/>
    <s v="domestic"/>
    <x v="93"/>
    <x v="36"/>
    <n v="7500000"/>
    <n v="416250"/>
    <d v="2023-05-12T00:00:00"/>
    <s v="UNPAID"/>
    <x v="39"/>
    <n v="27750"/>
    <n v="1"/>
    <s v="Indonesia"/>
    <s v="LVI - DRT"/>
    <x v="0"/>
  </r>
  <r>
    <s v="CLICTRUCK-048125"/>
    <s v="domestic"/>
    <x v="93"/>
    <x v="10"/>
    <n v="1541775"/>
    <n v="22200"/>
    <d v="2023-05-12T00:00:00"/>
    <s v="UNPAID"/>
    <x v="10"/>
    <n v="68454"/>
    <n v="1"/>
    <s v="Indonesia"/>
    <s v="ZLog-ZENSHIN"/>
    <x v="0"/>
  </r>
  <r>
    <s v="CLICTRUCK-048126"/>
    <s v="domestic"/>
    <x v="93"/>
    <x v="10"/>
    <n v="2865376"/>
    <n v="22200"/>
    <d v="2023-05-12T00:00:00"/>
    <s v="UNPAID"/>
    <x v="10"/>
    <n v="127222"/>
    <n v="1"/>
    <s v="Indonesia"/>
    <s v="ZLog-ZENSHIN"/>
    <x v="0"/>
  </r>
  <r>
    <s v="CLICTRUCK-048128"/>
    <s v="domestic"/>
    <x v="93"/>
    <x v="10"/>
    <n v="2889438"/>
    <n v="22200"/>
    <d v="2023-05-12T00:00:00"/>
    <s v="UNPAID"/>
    <x v="10"/>
    <n v="128290"/>
    <n v="1"/>
    <s v="Indonesia"/>
    <s v="ZLog-ZENSHIN"/>
    <x v="0"/>
  </r>
  <r>
    <s v="CLICTRUCK-048140"/>
    <s v="domestic"/>
    <x v="94"/>
    <x v="9"/>
    <n v="6423900"/>
    <n v="24975"/>
    <d v="2023-05-24T00:00:00"/>
    <s v="UNPAID"/>
    <x v="8"/>
    <n v="213915"/>
    <n v="1"/>
    <s v="Indonesia"/>
    <s v="YSN-FPM"/>
    <x v="0"/>
  </r>
  <r>
    <s v="CLICTRUCK-048142"/>
    <s v="domestic"/>
    <x v="94"/>
    <x v="37"/>
    <n v="1600000"/>
    <n v="71040"/>
    <d v="2023-05-14T00:00:00"/>
    <s v="UNPAID"/>
    <x v="40"/>
    <n v="27750"/>
    <n v="1"/>
    <s v="Indonesia"/>
    <s v="EKL-SKG"/>
    <x v="0"/>
  </r>
  <r>
    <s v="CLICTRUCK-048151"/>
    <s v="domestic"/>
    <x v="94"/>
    <x v="10"/>
    <n v="928856"/>
    <n v="22200"/>
    <d v="2023-05-13T00:00:00"/>
    <s v="UNPAID"/>
    <x v="10"/>
    <n v="41240"/>
    <n v="1"/>
    <s v="Indonesia"/>
    <s v="ZLog-ZENSHIN"/>
    <x v="0"/>
  </r>
  <r>
    <s v="CLICTRUCK-048152"/>
    <s v="domestic"/>
    <x v="94"/>
    <x v="10"/>
    <n v="1407312"/>
    <n v="22200"/>
    <d v="2023-05-13T00:00:00"/>
    <s v="UNPAID"/>
    <x v="10"/>
    <n v="62484"/>
    <n v="1"/>
    <s v="Indonesia"/>
    <s v="ZLog-ZENSHIN"/>
    <x v="0"/>
  </r>
  <r>
    <s v="CLICTRUCK-048169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70"/>
    <s v="domestic"/>
    <x v="94"/>
    <x v="38"/>
    <n v="4364133"/>
    <n v="27750"/>
    <d v="2023-05-13T00:00:00"/>
    <s v="UNPAID"/>
    <x v="41"/>
    <n v="169545"/>
    <n v="1"/>
    <s v="Indonesia"/>
    <s v="LBP - RBP"/>
    <x v="0"/>
  </r>
  <r>
    <s v="CLICTRUCK-048171"/>
    <s v="domestic"/>
    <x v="94"/>
    <x v="38"/>
    <n v="4040137"/>
    <n v="27750"/>
    <d v="2023-05-13T00:00:00"/>
    <s v="UNPAID"/>
    <x v="41"/>
    <n v="156958"/>
    <n v="1"/>
    <s v="Indonesia"/>
    <s v="LBP - RBP"/>
    <x v="0"/>
  </r>
  <r>
    <s v="CLICTRUCK-048172"/>
    <s v="domestic"/>
    <x v="94"/>
    <x v="38"/>
    <n v="4364133"/>
    <n v="27750"/>
    <d v="2023-05-13T00:00:00"/>
    <s v="UNPAID"/>
    <x v="41"/>
    <n v="169545"/>
    <n v="1"/>
    <s v="Indonesia"/>
    <s v="LBP - RBP"/>
    <x v="0"/>
  </r>
  <r>
    <s v="CLICTRUCK-048173"/>
    <s v="domestic"/>
    <x v="94"/>
    <x v="38"/>
    <n v="4083920"/>
    <n v="27750"/>
    <d v="2023-05-13T00:00:00"/>
    <s v="UNPAID"/>
    <x v="41"/>
    <n v="158660"/>
    <n v="1"/>
    <s v="Indonesia"/>
    <s v="LBP - RBP"/>
    <x v="0"/>
  </r>
  <r>
    <s v="CLICTRUCK-048174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75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76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77"/>
    <s v="domestic"/>
    <x v="94"/>
    <x v="38"/>
    <n v="4320367"/>
    <n v="27750"/>
    <d v="2023-05-13T00:00:00"/>
    <s v="UNPAID"/>
    <x v="41"/>
    <n v="167845"/>
    <n v="1"/>
    <s v="Indonesia"/>
    <s v="LBP - RBP"/>
    <x v="0"/>
  </r>
  <r>
    <s v="CLICTRUCK-048178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79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80"/>
    <s v="domestic"/>
    <x v="94"/>
    <x v="38"/>
    <n v="4000000"/>
    <n v="25000"/>
    <m/>
    <s v="ONGOING"/>
    <x v="41"/>
    <n v="0"/>
    <n v="1"/>
    <s v="Indonesia"/>
    <s v="LBP - RBP"/>
    <x v="1"/>
  </r>
  <r>
    <s v="CLICTRUCK-048181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82"/>
    <s v="domestic"/>
    <x v="94"/>
    <x v="38"/>
    <n v="4083920"/>
    <n v="27750"/>
    <d v="2023-05-13T00:00:00"/>
    <s v="UNPAID"/>
    <x v="41"/>
    <n v="158660"/>
    <n v="1"/>
    <s v="Indonesia"/>
    <s v="LBP - RBP"/>
    <x v="0"/>
  </r>
  <r>
    <s v="CLICTRUCK-048183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84"/>
    <s v="domestic"/>
    <x v="94"/>
    <x v="38"/>
    <n v="4364133"/>
    <n v="27750"/>
    <d v="2023-05-13T00:00:00"/>
    <s v="UNPAID"/>
    <x v="41"/>
    <n v="169545"/>
    <n v="1"/>
    <s v="Indonesia"/>
    <s v="LBP - RBP"/>
    <x v="0"/>
  </r>
  <r>
    <s v="CLICTRUCK-048185"/>
    <s v="domestic"/>
    <x v="94"/>
    <x v="38"/>
    <n v="4040137"/>
    <n v="27750"/>
    <d v="2023-05-13T00:00:00"/>
    <s v="UNPAID"/>
    <x v="41"/>
    <n v="156958"/>
    <n v="1"/>
    <s v="Indonesia"/>
    <s v="LBP - RBP"/>
    <x v="0"/>
  </r>
  <r>
    <s v="CLICTRUCK-048186"/>
    <s v="domestic"/>
    <x v="94"/>
    <x v="38"/>
    <n v="3562853"/>
    <n v="27750"/>
    <d v="2023-05-13T00:00:00"/>
    <s v="UNPAID"/>
    <x v="41"/>
    <n v="138415"/>
    <n v="1"/>
    <s v="Indonesia"/>
    <s v="LBP - RBP"/>
    <x v="0"/>
  </r>
  <r>
    <s v="CLICTRUCK-048187"/>
    <s v="domestic"/>
    <x v="94"/>
    <x v="38"/>
    <n v="4000000"/>
    <n v="25000"/>
    <m/>
    <s v="DELIVERED"/>
    <x v="41"/>
    <n v="0"/>
    <n v="1"/>
    <s v="Indonesia"/>
    <s v="LBP - RBP"/>
    <x v="1"/>
  </r>
  <r>
    <s v="CLICTRUCK-048188"/>
    <s v="domestic"/>
    <x v="94"/>
    <x v="38"/>
    <n v="4040137"/>
    <n v="27750"/>
    <d v="2023-05-14T00:00:00"/>
    <s v="UNPAID"/>
    <x v="41"/>
    <n v="156958"/>
    <n v="1"/>
    <s v="Indonesia"/>
    <s v="LBP - RBP"/>
    <x v="0"/>
  </r>
  <r>
    <s v="CLICTRUCK-048190"/>
    <s v="domestic"/>
    <x v="94"/>
    <x v="38"/>
    <n v="4359360"/>
    <n v="27750"/>
    <d v="2023-05-13T00:00:00"/>
    <s v="UNPAID"/>
    <x v="41"/>
    <n v="169360"/>
    <n v="1"/>
    <s v="Indonesia"/>
    <s v="LBP - RBP"/>
    <x v="0"/>
  </r>
  <r>
    <s v="CLICTRUCK-048191"/>
    <s v="domestic"/>
    <x v="94"/>
    <x v="38"/>
    <n v="3681113"/>
    <n v="27750"/>
    <d v="2023-05-13T00:00:00"/>
    <s v="UNPAID"/>
    <x v="41"/>
    <n v="143010"/>
    <n v="1"/>
    <s v="Indonesia"/>
    <s v="LBP - RBP"/>
    <x v="0"/>
  </r>
  <r>
    <s v="CLICTRUCK-048192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93"/>
    <s v="domestic"/>
    <x v="94"/>
    <x v="38"/>
    <n v="4238227"/>
    <n v="27750"/>
    <d v="2023-05-13T00:00:00"/>
    <s v="UNPAID"/>
    <x v="41"/>
    <n v="164654"/>
    <n v="1"/>
    <s v="Indonesia"/>
    <s v="LBP - RBP"/>
    <x v="0"/>
  </r>
  <r>
    <s v="CLICTRUCK-048194"/>
    <s v="domestic"/>
    <x v="94"/>
    <x v="38"/>
    <n v="3400900"/>
    <n v="27750"/>
    <d v="2023-05-13T00:00:00"/>
    <s v="UNPAID"/>
    <x v="41"/>
    <n v="132124"/>
    <n v="1"/>
    <s v="Indonesia"/>
    <s v="LBP - RBP"/>
    <x v="0"/>
  </r>
  <r>
    <s v="CLICTRUCK-048195"/>
    <s v="domestic"/>
    <x v="94"/>
    <x v="38"/>
    <n v="3562853"/>
    <n v="27750"/>
    <d v="2023-05-13T00:00:00"/>
    <s v="UNPAID"/>
    <x v="41"/>
    <n v="138415"/>
    <n v="1"/>
    <s v="Indonesia"/>
    <s v="LBP - RBP"/>
    <x v="0"/>
  </r>
  <r>
    <s v="CLICTRUCK-048196"/>
    <s v="domestic"/>
    <x v="95"/>
    <x v="32"/>
    <n v="3500000"/>
    <n v="27750"/>
    <d v="2023-05-14T00:00:00"/>
    <s v="UNPAID"/>
    <x v="36"/>
    <n v="97125"/>
    <n v="1"/>
    <s v="Indonesia"/>
    <s v="SPM - BTS"/>
    <x v="0"/>
  </r>
  <r>
    <s v="CLICTRUCK-048197"/>
    <s v="domestic"/>
    <x v="95"/>
    <x v="32"/>
    <n v="3500000"/>
    <n v="27750"/>
    <d v="2023-05-14T00:00:00"/>
    <s v="UNPAID"/>
    <x v="36"/>
    <n v="97125"/>
    <n v="1"/>
    <s v="Indonesia"/>
    <s v="SPM - BTS"/>
    <x v="0"/>
  </r>
  <r>
    <s v="CLICTRUCK-048198"/>
    <s v="domestic"/>
    <x v="95"/>
    <x v="32"/>
    <n v="3500000"/>
    <n v="27750"/>
    <d v="2023-05-14T00:00:00"/>
    <s v="UNPAID"/>
    <x v="36"/>
    <n v="97125"/>
    <n v="1"/>
    <s v="Indonesia"/>
    <s v="SPM - BTS"/>
    <x v="0"/>
  </r>
  <r>
    <s v="CLICTRUCK-048199"/>
    <s v="domestic"/>
    <x v="95"/>
    <x v="32"/>
    <n v="3500000"/>
    <n v="27750"/>
    <d v="2023-05-14T00:00:00"/>
    <s v="UNPAID"/>
    <x v="36"/>
    <n v="97125"/>
    <n v="1"/>
    <s v="Indonesia"/>
    <s v="SPM - BTS"/>
    <x v="0"/>
  </r>
  <r>
    <s v="CLICTRUCK-048200"/>
    <s v="domestic"/>
    <x v="95"/>
    <x v="32"/>
    <n v="3500000"/>
    <n v="27750"/>
    <d v="2023-05-14T00:00:00"/>
    <s v="UNPAID"/>
    <x v="36"/>
    <n v="97125"/>
    <n v="1"/>
    <s v="Indonesia"/>
    <s v="SPM - BTS"/>
    <x v="0"/>
  </r>
  <r>
    <s v="CLICTRUCK-048201"/>
    <s v="domestic"/>
    <x v="95"/>
    <x v="38"/>
    <n v="4238227"/>
    <n v="27750"/>
    <d v="2023-05-14T00:00:00"/>
    <s v="UNPAID"/>
    <x v="41"/>
    <n v="164654"/>
    <n v="1"/>
    <s v="Indonesia"/>
    <s v="LBP - RBP"/>
    <x v="0"/>
  </r>
  <r>
    <s v="CLICTRUCK-048202"/>
    <s v="domestic"/>
    <x v="95"/>
    <x v="38"/>
    <n v="4000000"/>
    <n v="25000"/>
    <m/>
    <s v="ONGOING"/>
    <x v="41"/>
    <n v="0"/>
    <n v="1"/>
    <s v="Indonesia"/>
    <s v="LBP - RBP"/>
    <x v="1"/>
  </r>
  <r>
    <s v="CLICTRUCK-048203"/>
    <s v="domestic"/>
    <x v="95"/>
    <x v="38"/>
    <n v="3562853"/>
    <n v="27750"/>
    <d v="2023-05-14T00:00:00"/>
    <s v="UNPAID"/>
    <x v="41"/>
    <n v="138415"/>
    <n v="1"/>
    <s v="Indonesia"/>
    <s v="LBP - RBP"/>
    <x v="0"/>
  </r>
  <r>
    <s v="CLICTRUCK-048204"/>
    <s v="domestic"/>
    <x v="95"/>
    <x v="38"/>
    <n v="3681113"/>
    <n v="27750"/>
    <d v="2023-05-14T00:00:00"/>
    <s v="UNPAID"/>
    <x v="41"/>
    <n v="143010"/>
    <n v="1"/>
    <s v="Indonesia"/>
    <s v="LBP - RBP"/>
    <x v="0"/>
  </r>
  <r>
    <s v="CLICTRUCK-048205"/>
    <s v="domestic"/>
    <x v="95"/>
    <x v="38"/>
    <n v="3562853"/>
    <n v="27750"/>
    <d v="2023-05-14T00:00:00"/>
    <s v="UNPAID"/>
    <x v="41"/>
    <n v="138415"/>
    <n v="1"/>
    <s v="Indonesia"/>
    <s v="LBP - RBP"/>
    <x v="0"/>
  </r>
  <r>
    <s v="CLICTRUCK-048206"/>
    <s v="domestic"/>
    <x v="95"/>
    <x v="38"/>
    <n v="4359360"/>
    <n v="27750"/>
    <d v="2023-05-14T00:00:00"/>
    <s v="UNPAID"/>
    <x v="41"/>
    <n v="169360"/>
    <n v="1"/>
    <s v="Indonesia"/>
    <s v="LBP - RBP"/>
    <x v="0"/>
  </r>
  <r>
    <s v="CLICTRUCK-048207"/>
    <s v="domestic"/>
    <x v="95"/>
    <x v="38"/>
    <n v="4238227"/>
    <n v="27750"/>
    <d v="2023-05-14T00:00:00"/>
    <s v="UNPAID"/>
    <x v="41"/>
    <n v="164654"/>
    <n v="1"/>
    <s v="Indonesia"/>
    <s v="LBP - RBP"/>
    <x v="0"/>
  </r>
  <r>
    <s v="CLICTRUCK-048208"/>
    <s v="domestic"/>
    <x v="95"/>
    <x v="38"/>
    <n v="3562853"/>
    <n v="27750"/>
    <d v="2023-05-14T00:00:00"/>
    <s v="UNPAID"/>
    <x v="41"/>
    <n v="138415"/>
    <n v="1"/>
    <s v="Indonesia"/>
    <s v="LBP - RBP"/>
    <x v="0"/>
  </r>
  <r>
    <s v="CLICTRUCK-048209"/>
    <s v="domestic"/>
    <x v="95"/>
    <x v="38"/>
    <n v="3400900"/>
    <n v="27750"/>
    <d v="2023-05-14T00:00:00"/>
    <s v="UNPAID"/>
    <x v="41"/>
    <n v="132124"/>
    <n v="1"/>
    <s v="Indonesia"/>
    <s v="LBP - RBP"/>
    <x v="0"/>
  </r>
  <r>
    <s v="CLICTRUCK-048211"/>
    <s v="domestic"/>
    <x v="139"/>
    <x v="30"/>
    <n v="251818000"/>
    <n v="27750"/>
    <d v="2023-05-14T00:00:00"/>
    <s v="UNPAID"/>
    <x v="33"/>
    <n v="11180719"/>
    <n v="1"/>
    <s v="Indonesia"/>
    <s v="RDD - RED"/>
    <x v="0"/>
  </r>
  <r>
    <s v="CLICTRUCK-048212"/>
    <s v="domestic"/>
    <x v="139"/>
    <x v="37"/>
    <n v="1600000"/>
    <m/>
    <m/>
    <s v="DELIVERED"/>
    <x v="40"/>
    <n v="0"/>
    <n v="1"/>
    <s v="Indonesia"/>
    <s v="EKL-SKG"/>
    <x v="1"/>
  </r>
  <r>
    <s v="CLICTRUCK-048213"/>
    <s v="domestic"/>
    <x v="139"/>
    <x v="37"/>
    <n v="1600000"/>
    <m/>
    <m/>
    <s v="DELIVERED"/>
    <x v="40"/>
    <n v="0"/>
    <n v="1"/>
    <s v="Indonesia"/>
    <s v="EKL-SKG"/>
    <x v="1"/>
  </r>
  <r>
    <s v="CLICTRUCK-048214"/>
    <s v="domestic"/>
    <x v="139"/>
    <x v="37"/>
    <n v="1600000"/>
    <m/>
    <m/>
    <s v="DELIVERED"/>
    <x v="40"/>
    <n v="0"/>
    <n v="1"/>
    <s v="Indonesia"/>
    <s v="EKL-SKG"/>
    <x v="1"/>
  </r>
  <r>
    <s v="CLICTRUCK-048215"/>
    <s v="domestic"/>
    <x v="139"/>
    <x v="37"/>
    <n v="1600000"/>
    <m/>
    <m/>
    <s v="DELIVERED"/>
    <x v="40"/>
    <n v="0"/>
    <n v="1"/>
    <s v="Indonesia"/>
    <s v="EKL-SKG"/>
    <x v="1"/>
  </r>
  <r>
    <s v="CLICTRUCK-048216"/>
    <s v="domestic"/>
    <x v="139"/>
    <x v="37"/>
    <n v="1600000"/>
    <m/>
    <m/>
    <s v="DELIVERED"/>
    <x v="40"/>
    <n v="0"/>
    <n v="1"/>
    <s v="Indonesia"/>
    <s v="EKL-SKG"/>
    <x v="1"/>
  </r>
  <r>
    <s v="CLICTRUCK-048217"/>
    <s v="domestic"/>
    <x v="139"/>
    <x v="37"/>
    <n v="1600000"/>
    <m/>
    <m/>
    <s v="DELIVERED"/>
    <x v="40"/>
    <n v="0"/>
    <n v="1"/>
    <s v="Indonesia"/>
    <s v="EKL-SKG"/>
    <x v="1"/>
  </r>
  <r>
    <s v="CLICTRUCK-048218"/>
    <s v="domestic"/>
    <x v="139"/>
    <x v="37"/>
    <n v="1600000"/>
    <m/>
    <m/>
    <s v="DELIVERED"/>
    <x v="40"/>
    <n v="0"/>
    <n v="1"/>
    <s v="Indonesia"/>
    <s v="EKL-SKG"/>
    <x v="1"/>
  </r>
  <r>
    <s v="CLICTRUCK-048219"/>
    <s v="domestic"/>
    <x v="139"/>
    <x v="37"/>
    <n v="1600000"/>
    <m/>
    <m/>
    <s v="DELIVERED"/>
    <x v="40"/>
    <n v="0"/>
    <n v="1"/>
    <s v="Indonesia"/>
    <s v="EKL-SKG"/>
    <x v="1"/>
  </r>
  <r>
    <s v="CLICTRUCK-048220"/>
    <s v="domestic"/>
    <x v="139"/>
    <x v="37"/>
    <n v="1600000"/>
    <m/>
    <m/>
    <s v="DELIVERED"/>
    <x v="40"/>
    <n v="0"/>
    <n v="1"/>
    <s v="Indonesia"/>
    <s v="EKL-SKG"/>
    <x v="1"/>
  </r>
  <r>
    <s v="CLICTRUCK-048221"/>
    <s v="domestic"/>
    <x v="139"/>
    <x v="37"/>
    <n v="1600000"/>
    <m/>
    <m/>
    <s v="DELIVERED"/>
    <x v="40"/>
    <n v="0"/>
    <n v="1"/>
    <s v="Indonesia"/>
    <s v="EKL-SKG"/>
    <x v="1"/>
  </r>
  <r>
    <s v="CLICTRUCK-048222"/>
    <s v="domestic"/>
    <x v="139"/>
    <x v="37"/>
    <n v="1600000"/>
    <m/>
    <m/>
    <s v="DELIVERED"/>
    <x v="40"/>
    <n v="0"/>
    <n v="1"/>
    <s v="Indonesia"/>
    <s v="EKL-SKG"/>
    <x v="1"/>
  </r>
  <r>
    <s v="CLICTRUCK-048223"/>
    <s v="domestic"/>
    <x v="139"/>
    <x v="37"/>
    <n v="1600000"/>
    <m/>
    <m/>
    <s v="DELIVERED"/>
    <x v="40"/>
    <n v="0"/>
    <n v="1"/>
    <s v="Indonesia"/>
    <s v="EKL-SKG"/>
    <x v="1"/>
  </r>
  <r>
    <s v="CLICTRUCK-048224"/>
    <s v="domestic"/>
    <x v="139"/>
    <x v="37"/>
    <n v="1600000"/>
    <m/>
    <m/>
    <s v="DELIVERED"/>
    <x v="40"/>
    <n v="0"/>
    <n v="1"/>
    <s v="Indonesia"/>
    <s v="EKL-SKG"/>
    <x v="1"/>
  </r>
  <r>
    <s v="CLICTRUCK-048225"/>
    <s v="domestic"/>
    <x v="139"/>
    <x v="37"/>
    <n v="1600000"/>
    <m/>
    <m/>
    <s v="DELIVERED"/>
    <x v="40"/>
    <n v="0"/>
    <n v="1"/>
    <s v="Indonesia"/>
    <s v="EKL-SKG"/>
    <x v="1"/>
  </r>
  <r>
    <s v="CLICTRUCK-048226"/>
    <s v="domestic"/>
    <x v="139"/>
    <x v="37"/>
    <n v="1600000"/>
    <m/>
    <m/>
    <s v="DELIVERED"/>
    <x v="40"/>
    <n v="0"/>
    <n v="1"/>
    <s v="Indonesia"/>
    <s v="EKL-SKG"/>
    <x v="1"/>
  </r>
  <r>
    <s v="CLICTRUCK-048227"/>
    <s v="domestic"/>
    <x v="139"/>
    <x v="37"/>
    <n v="1600000"/>
    <m/>
    <m/>
    <s v="DELIVERED"/>
    <x v="40"/>
    <n v="0"/>
    <n v="1"/>
    <s v="Indonesia"/>
    <s v="EKL-SKG"/>
    <x v="1"/>
  </r>
  <r>
    <s v="CLICTRUCK-048228"/>
    <s v="domestic"/>
    <x v="139"/>
    <x v="37"/>
    <n v="1600000"/>
    <m/>
    <m/>
    <s v="DELIVERED"/>
    <x v="40"/>
    <n v="0"/>
    <n v="1"/>
    <s v="Indonesia"/>
    <s v="EKL-SKG"/>
    <x v="1"/>
  </r>
  <r>
    <s v="CLICTRUCK-048229"/>
    <s v="domestic"/>
    <x v="139"/>
    <x v="37"/>
    <n v="1600000"/>
    <m/>
    <m/>
    <s v="DELIVERED"/>
    <x v="40"/>
    <n v="0"/>
    <n v="1"/>
    <s v="Indonesia"/>
    <s v="EKL-SKG"/>
    <x v="1"/>
  </r>
  <r>
    <s v="CLICTRUCK-048230"/>
    <s v="domestic"/>
    <x v="139"/>
    <x v="37"/>
    <n v="1600000"/>
    <m/>
    <m/>
    <s v="DELIVERED"/>
    <x v="40"/>
    <n v="0"/>
    <n v="1"/>
    <s v="Indonesia"/>
    <s v="EKL-SKG"/>
    <x v="1"/>
  </r>
  <r>
    <s v="CLICTRUCK-048231"/>
    <s v="domestic"/>
    <x v="139"/>
    <x v="37"/>
    <n v="1600000"/>
    <m/>
    <m/>
    <s v="DELIVERED"/>
    <x v="40"/>
    <n v="0"/>
    <n v="1"/>
    <s v="Indonesia"/>
    <s v="EKL-SKG"/>
    <x v="1"/>
  </r>
  <r>
    <s v="CLICTRUCK-048232"/>
    <s v="domestic"/>
    <x v="139"/>
    <x v="37"/>
    <n v="1600000"/>
    <m/>
    <m/>
    <s v="DELIVERED"/>
    <x v="40"/>
    <n v="0"/>
    <n v="1"/>
    <s v="Indonesia"/>
    <s v="EKL-SKG"/>
    <x v="1"/>
  </r>
  <r>
    <s v="CLICTRUCK-048233"/>
    <s v="domestic"/>
    <x v="139"/>
    <x v="37"/>
    <n v="1600000"/>
    <m/>
    <m/>
    <s v="DELIVERED"/>
    <x v="40"/>
    <n v="0"/>
    <n v="1"/>
    <s v="Indonesia"/>
    <s v="EKL-SKG"/>
    <x v="1"/>
  </r>
  <r>
    <s v="CLICTRUCK-048234"/>
    <s v="domestic"/>
    <x v="139"/>
    <x v="37"/>
    <n v="1600000"/>
    <m/>
    <m/>
    <s v="DELIVERED"/>
    <x v="40"/>
    <n v="0"/>
    <n v="1"/>
    <s v="Indonesia"/>
    <s v="EKL-SKG"/>
    <x v="1"/>
  </r>
  <r>
    <s v="CLICTRUCK-048235"/>
    <s v="domestic"/>
    <x v="139"/>
    <x v="37"/>
    <n v="1600000"/>
    <m/>
    <m/>
    <s v="DELIVERED"/>
    <x v="40"/>
    <n v="0"/>
    <n v="1"/>
    <s v="Indonesia"/>
    <s v="EKL-SKG"/>
    <x v="1"/>
  </r>
  <r>
    <s v="CLICTRUCK-048236"/>
    <s v="domestic"/>
    <x v="139"/>
    <x v="37"/>
    <n v="1600000"/>
    <m/>
    <m/>
    <s v="DELIVERED"/>
    <x v="40"/>
    <n v="0"/>
    <n v="1"/>
    <s v="Indonesia"/>
    <s v="EKL-SKG"/>
    <x v="1"/>
  </r>
  <r>
    <s v="CLICTRUCK-048237"/>
    <s v="domestic"/>
    <x v="139"/>
    <x v="37"/>
    <n v="1600000"/>
    <m/>
    <m/>
    <s v="DELIVERED"/>
    <x v="40"/>
    <n v="0"/>
    <n v="1"/>
    <s v="Indonesia"/>
    <s v="EKL-SKG"/>
    <x v="1"/>
  </r>
  <r>
    <s v="CLICTRUCK-048238"/>
    <s v="domestic"/>
    <x v="139"/>
    <x v="37"/>
    <n v="1600000"/>
    <m/>
    <m/>
    <s v="DELIVERED"/>
    <x v="40"/>
    <n v="0"/>
    <n v="1"/>
    <s v="Indonesia"/>
    <s v="EKL-SKG"/>
    <x v="1"/>
  </r>
  <r>
    <s v="CLICTRUCK-048239"/>
    <s v="domestic"/>
    <x v="139"/>
    <x v="37"/>
    <n v="1600000"/>
    <m/>
    <m/>
    <s v="DELIVERED"/>
    <x v="40"/>
    <n v="0"/>
    <n v="1"/>
    <s v="Indonesia"/>
    <s v="EKL-SKG"/>
    <x v="1"/>
  </r>
  <r>
    <s v="CLICTRUCK-048240"/>
    <s v="domestic"/>
    <x v="139"/>
    <x v="37"/>
    <n v="1600000"/>
    <m/>
    <m/>
    <s v="DELIVERED"/>
    <x v="40"/>
    <n v="0"/>
    <n v="1"/>
    <s v="Indonesia"/>
    <s v="EKL-SKG"/>
    <x v="1"/>
  </r>
  <r>
    <s v="CLICTRUCK-048241"/>
    <s v="domestic"/>
    <x v="139"/>
    <x v="37"/>
    <n v="1600000"/>
    <m/>
    <m/>
    <s v="DELIVERED"/>
    <x v="40"/>
    <n v="0"/>
    <n v="1"/>
    <s v="Indonesia"/>
    <s v="EKL-SKG"/>
    <x v="1"/>
  </r>
  <r>
    <s v="CLICTRUCK-048242"/>
    <s v="domestic"/>
    <x v="139"/>
    <x v="37"/>
    <n v="1600000"/>
    <m/>
    <m/>
    <s v="DELIVERED"/>
    <x v="40"/>
    <n v="0"/>
    <n v="1"/>
    <s v="Indonesia"/>
    <s v="EKL-SKG"/>
    <x v="1"/>
  </r>
  <r>
    <s v="CLICTRUCK-048243"/>
    <s v="domestic"/>
    <x v="139"/>
    <x v="37"/>
    <n v="1600000"/>
    <m/>
    <m/>
    <s v="DELIVERED"/>
    <x v="40"/>
    <n v="0"/>
    <n v="1"/>
    <s v="Indonesia"/>
    <s v="EKL-SKG"/>
    <x v="1"/>
  </r>
  <r>
    <s v="CLICTRUCK-048244"/>
    <s v="domestic"/>
    <x v="139"/>
    <x v="37"/>
    <n v="1600000"/>
    <m/>
    <m/>
    <s v="DELIVERED"/>
    <x v="40"/>
    <n v="0"/>
    <n v="1"/>
    <s v="Indonesia"/>
    <s v="EKL-SKG"/>
    <x v="1"/>
  </r>
  <r>
    <s v="CLICTRUCK-048245"/>
    <s v="domestic"/>
    <x v="139"/>
    <x v="37"/>
    <n v="1600000"/>
    <m/>
    <m/>
    <s v="DELIVERED"/>
    <x v="40"/>
    <n v="0"/>
    <n v="1"/>
    <s v="Indonesia"/>
    <s v="EKL-SKG"/>
    <x v="1"/>
  </r>
  <r>
    <s v="CLICTRUCK-048246"/>
    <s v="domestic"/>
    <x v="139"/>
    <x v="37"/>
    <n v="1600000"/>
    <m/>
    <m/>
    <s v="DELIVERED"/>
    <x v="40"/>
    <n v="0"/>
    <n v="1"/>
    <s v="Indonesia"/>
    <s v="EKL-SKG"/>
    <x v="1"/>
  </r>
  <r>
    <s v="CLICTRUCK-048247"/>
    <s v="domestic"/>
    <x v="139"/>
    <x v="37"/>
    <n v="1600000"/>
    <m/>
    <m/>
    <s v="DELIVERED"/>
    <x v="40"/>
    <n v="0"/>
    <n v="1"/>
    <s v="Indonesia"/>
    <s v="EKL-SKG"/>
    <x v="1"/>
  </r>
  <r>
    <s v="CLICTRUCK-048248"/>
    <s v="domestic"/>
    <x v="139"/>
    <x v="37"/>
    <n v="1600000"/>
    <m/>
    <m/>
    <s v="DELIVERED"/>
    <x v="40"/>
    <n v="0"/>
    <n v="1"/>
    <s v="Indonesia"/>
    <s v="EKL-SKG"/>
    <x v="1"/>
  </r>
  <r>
    <s v="CLICTRUCK-048249"/>
    <s v="domestic"/>
    <x v="139"/>
    <x v="37"/>
    <n v="1600000"/>
    <m/>
    <m/>
    <s v="DELIVERED"/>
    <x v="40"/>
    <n v="0"/>
    <n v="1"/>
    <s v="Indonesia"/>
    <s v="EKL-SKG"/>
    <x v="1"/>
  </r>
  <r>
    <s v="CLICTRUCK-048250"/>
    <s v="domestic"/>
    <x v="139"/>
    <x v="37"/>
    <n v="1600000"/>
    <m/>
    <m/>
    <s v="DELIVERED"/>
    <x v="40"/>
    <n v="0"/>
    <n v="1"/>
    <s v="Indonesia"/>
    <s v="EKL-SKG"/>
    <x v="1"/>
  </r>
  <r>
    <s v="CLICTRUCK-048251"/>
    <s v="domestic"/>
    <x v="139"/>
    <x v="37"/>
    <n v="1600000"/>
    <m/>
    <m/>
    <s v="DELIVERED"/>
    <x v="40"/>
    <n v="0"/>
    <n v="1"/>
    <s v="Indonesia"/>
    <s v="EKL-SKG"/>
    <x v="1"/>
  </r>
  <r>
    <s v="CLICTRUCK-048252"/>
    <s v="domestic"/>
    <x v="139"/>
    <x v="37"/>
    <n v="1600000"/>
    <m/>
    <m/>
    <s v="DELIVERED"/>
    <x v="40"/>
    <n v="0"/>
    <n v="1"/>
    <s v="Indonesia"/>
    <s v="EKL-SKG"/>
    <x v="1"/>
  </r>
  <r>
    <s v="CLICTRUCK-048253"/>
    <s v="domestic"/>
    <x v="139"/>
    <x v="37"/>
    <n v="1600000"/>
    <m/>
    <m/>
    <s v="DELIVERED"/>
    <x v="40"/>
    <n v="0"/>
    <n v="1"/>
    <s v="Indonesia"/>
    <s v="EKL-SKG"/>
    <x v="1"/>
  </r>
  <r>
    <s v="CLICTRUCK-048254"/>
    <s v="domestic"/>
    <x v="139"/>
    <x v="37"/>
    <n v="1600000"/>
    <m/>
    <m/>
    <s v="DELIVERED"/>
    <x v="40"/>
    <n v="0"/>
    <n v="1"/>
    <s v="Indonesia"/>
    <s v="EKL-SKG"/>
    <x v="1"/>
  </r>
  <r>
    <s v="CLICTRUCK-048255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56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57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58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59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0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1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2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3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4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5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6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7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8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69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70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71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72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73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74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75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76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77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278"/>
    <s v="domestic"/>
    <x v="139"/>
    <x v="37"/>
    <n v="1600000"/>
    <m/>
    <m/>
    <s v="DELIVERED"/>
    <x v="40"/>
    <n v="0"/>
    <n v="1"/>
    <s v="Indonesia"/>
    <s v="EKL-SKG"/>
    <x v="1"/>
  </r>
  <r>
    <s v="CLICTRUCK-048279"/>
    <s v="domestic"/>
    <x v="139"/>
    <x v="37"/>
    <n v="1600000"/>
    <m/>
    <m/>
    <s v="DELIVERED"/>
    <x v="40"/>
    <n v="0"/>
    <n v="1"/>
    <s v="Indonesia"/>
    <s v="EKL-SKG"/>
    <x v="1"/>
  </r>
  <r>
    <s v="CLICTRUCK-048280"/>
    <s v="domestic"/>
    <x v="139"/>
    <x v="37"/>
    <n v="1600000"/>
    <m/>
    <m/>
    <s v="DELIVERED"/>
    <x v="40"/>
    <n v="0"/>
    <n v="1"/>
    <s v="Indonesia"/>
    <s v="EKL-SKG"/>
    <x v="1"/>
  </r>
  <r>
    <s v="CLICTRUCK-048281"/>
    <s v="domestic"/>
    <x v="139"/>
    <x v="37"/>
    <n v="1600000"/>
    <m/>
    <m/>
    <s v="DELIVERED"/>
    <x v="40"/>
    <n v="0"/>
    <n v="1"/>
    <s v="Indonesia"/>
    <s v="EKL-SKG"/>
    <x v="1"/>
  </r>
  <r>
    <s v="CLICTRUCK-048282"/>
    <s v="domestic"/>
    <x v="139"/>
    <x v="37"/>
    <n v="1600000"/>
    <m/>
    <m/>
    <s v="DELIVERED"/>
    <x v="40"/>
    <n v="0"/>
    <n v="1"/>
    <s v="Indonesia"/>
    <s v="EKL-SKG"/>
    <x v="1"/>
  </r>
  <r>
    <s v="CLICTRUCK-048283"/>
    <s v="domestic"/>
    <x v="139"/>
    <x v="37"/>
    <n v="1600000"/>
    <m/>
    <m/>
    <s v="DELIVERED"/>
    <x v="40"/>
    <n v="0"/>
    <n v="1"/>
    <s v="Indonesia"/>
    <s v="EKL-SKG"/>
    <x v="1"/>
  </r>
  <r>
    <s v="CLICTRUCK-048284"/>
    <s v="domestic"/>
    <x v="139"/>
    <x v="37"/>
    <n v="1600000"/>
    <m/>
    <m/>
    <s v="ONGOING"/>
    <x v="40"/>
    <n v="0"/>
    <n v="1"/>
    <s v="Indonesia"/>
    <s v="EKL-SKG"/>
    <x v="1"/>
  </r>
  <r>
    <s v="CLICTRUCK-048285"/>
    <s v="domestic"/>
    <x v="139"/>
    <x v="37"/>
    <n v="1600000"/>
    <m/>
    <m/>
    <s v="DELIVERED"/>
    <x v="40"/>
    <n v="0"/>
    <n v="1"/>
    <s v="Indonesia"/>
    <s v="EKL-SKG"/>
    <x v="1"/>
  </r>
  <r>
    <s v="CLICTRUCK-048286"/>
    <s v="domestic"/>
    <x v="139"/>
    <x v="37"/>
    <n v="1600000"/>
    <m/>
    <m/>
    <s v="DELIVERED"/>
    <x v="40"/>
    <n v="0"/>
    <n v="1"/>
    <s v="Indonesia"/>
    <s v="EKL-SKG"/>
    <x v="1"/>
  </r>
  <r>
    <s v="CLICTRUCK-048287"/>
    <s v="domestic"/>
    <x v="139"/>
    <x v="37"/>
    <n v="1600000"/>
    <m/>
    <m/>
    <s v="DELIVERED"/>
    <x v="40"/>
    <n v="0"/>
    <n v="1"/>
    <s v="Indonesia"/>
    <s v="EKL-SKG"/>
    <x v="1"/>
  </r>
  <r>
    <s v="CLICTRUCK-048288"/>
    <s v="domestic"/>
    <x v="139"/>
    <x v="37"/>
    <n v="1600000"/>
    <m/>
    <m/>
    <s v="DELIVERED"/>
    <x v="40"/>
    <n v="0"/>
    <n v="1"/>
    <s v="Indonesia"/>
    <s v="EKL-SKG"/>
    <x v="1"/>
  </r>
  <r>
    <s v="CLICTRUCK-048289"/>
    <s v="domestic"/>
    <x v="139"/>
    <x v="37"/>
    <n v="1600000"/>
    <m/>
    <m/>
    <s v="DELIVERED"/>
    <x v="40"/>
    <n v="0"/>
    <n v="1"/>
    <s v="Indonesia"/>
    <s v="EKL-SKG"/>
    <x v="1"/>
  </r>
  <r>
    <s v="CLICTRUCK-048290"/>
    <s v="domestic"/>
    <x v="139"/>
    <x v="37"/>
    <n v="1600000"/>
    <m/>
    <m/>
    <s v="DELIVERED"/>
    <x v="40"/>
    <n v="0"/>
    <n v="1"/>
    <s v="Indonesia"/>
    <s v="EKL-SKG"/>
    <x v="1"/>
  </r>
  <r>
    <s v="CLICTRUCK-048291"/>
    <s v="domestic"/>
    <x v="139"/>
    <x v="37"/>
    <n v="1600000"/>
    <m/>
    <m/>
    <s v="DELIVERED"/>
    <x v="40"/>
    <n v="0"/>
    <n v="1"/>
    <s v="Indonesia"/>
    <s v="EKL-SKG"/>
    <x v="1"/>
  </r>
  <r>
    <s v="CLICTRUCK-048292"/>
    <s v="domestic"/>
    <x v="139"/>
    <x v="37"/>
    <n v="1600000"/>
    <m/>
    <m/>
    <s v="DELIVERED"/>
    <x v="40"/>
    <n v="0"/>
    <n v="1"/>
    <s v="Indonesia"/>
    <s v="EKL-SKG"/>
    <x v="1"/>
  </r>
  <r>
    <s v="CLICTRUCK-048293"/>
    <s v="domestic"/>
    <x v="139"/>
    <x v="37"/>
    <n v="1600000"/>
    <m/>
    <m/>
    <s v="DELIVERED"/>
    <x v="40"/>
    <n v="0"/>
    <n v="1"/>
    <s v="Indonesia"/>
    <s v="EKL-SKG"/>
    <x v="1"/>
  </r>
  <r>
    <s v="CLICTRUCK-048294"/>
    <s v="domestic"/>
    <x v="139"/>
    <x v="37"/>
    <n v="1600000"/>
    <m/>
    <m/>
    <s v="DELIVERED"/>
    <x v="40"/>
    <n v="0"/>
    <n v="1"/>
    <s v="Indonesia"/>
    <s v="EKL-SKG"/>
    <x v="1"/>
  </r>
  <r>
    <s v="CLICTRUCK-048295"/>
    <s v="domestic"/>
    <x v="139"/>
    <x v="37"/>
    <n v="1600000"/>
    <m/>
    <m/>
    <s v="DELIVERED"/>
    <x v="40"/>
    <n v="0"/>
    <n v="1"/>
    <s v="Indonesia"/>
    <s v="EKL-SKG"/>
    <x v="1"/>
  </r>
  <r>
    <s v="CLICTRUCK-048296"/>
    <s v="domestic"/>
    <x v="139"/>
    <x v="37"/>
    <n v="1600000"/>
    <m/>
    <m/>
    <s v="DELIVERED"/>
    <x v="40"/>
    <n v="0"/>
    <n v="1"/>
    <s v="Indonesia"/>
    <s v="EKL-SKG"/>
    <x v="1"/>
  </r>
  <r>
    <s v="CLICTRUCK-048297"/>
    <s v="domestic"/>
    <x v="139"/>
    <x v="37"/>
    <n v="1600000"/>
    <m/>
    <m/>
    <s v="DELIVERED"/>
    <x v="40"/>
    <n v="0"/>
    <n v="1"/>
    <s v="Indonesia"/>
    <s v="EKL-SKG"/>
    <x v="1"/>
  </r>
  <r>
    <s v="CLICTRUCK-048298"/>
    <s v="domestic"/>
    <x v="139"/>
    <x v="37"/>
    <n v="1600000"/>
    <m/>
    <m/>
    <s v="DELIVERED"/>
    <x v="40"/>
    <n v="0"/>
    <n v="1"/>
    <s v="Indonesia"/>
    <s v="EKL-SKG"/>
    <x v="1"/>
  </r>
  <r>
    <s v="CLICTRUCK-048299"/>
    <s v="domestic"/>
    <x v="139"/>
    <x v="37"/>
    <n v="1600000"/>
    <m/>
    <m/>
    <s v="DELIVERED"/>
    <x v="40"/>
    <n v="0"/>
    <n v="1"/>
    <s v="Indonesia"/>
    <s v="EKL-SKG"/>
    <x v="1"/>
  </r>
  <r>
    <s v="CLICTRUCK-048300"/>
    <s v="domestic"/>
    <x v="139"/>
    <x v="37"/>
    <n v="1600000"/>
    <m/>
    <m/>
    <s v="DELIVERED"/>
    <x v="40"/>
    <n v="0"/>
    <n v="1"/>
    <s v="Indonesia"/>
    <s v="EKL-SKG"/>
    <x v="1"/>
  </r>
  <r>
    <s v="CLICTRUCK-048301"/>
    <s v="domestic"/>
    <x v="139"/>
    <x v="37"/>
    <n v="1600000"/>
    <m/>
    <m/>
    <s v="DELIVERED"/>
    <x v="40"/>
    <n v="0"/>
    <n v="1"/>
    <s v="Indonesia"/>
    <s v="EKL-SKG"/>
    <x v="1"/>
  </r>
  <r>
    <s v="CLICTRUCK-048302"/>
    <s v="domestic"/>
    <x v="139"/>
    <x v="37"/>
    <n v="1600000"/>
    <m/>
    <m/>
    <s v="DELIVERED"/>
    <x v="40"/>
    <n v="0"/>
    <n v="1"/>
    <s v="Indonesia"/>
    <s v="EKL-SKG"/>
    <x v="1"/>
  </r>
  <r>
    <s v="CLICTRUCK-048303"/>
    <s v="domestic"/>
    <x v="139"/>
    <x v="37"/>
    <n v="1600000"/>
    <m/>
    <m/>
    <s v="DELIVERED"/>
    <x v="40"/>
    <n v="0"/>
    <n v="1"/>
    <s v="Indonesia"/>
    <s v="EKL-SKG"/>
    <x v="1"/>
  </r>
  <r>
    <s v="CLICTRUCK-048304"/>
    <s v="domestic"/>
    <x v="139"/>
    <x v="37"/>
    <n v="1600000"/>
    <m/>
    <m/>
    <s v="DELIVERED"/>
    <x v="40"/>
    <n v="0"/>
    <n v="1"/>
    <s v="Indonesia"/>
    <s v="EKL-SKG"/>
    <x v="1"/>
  </r>
  <r>
    <s v="CLICTRUCK-048305"/>
    <s v="domestic"/>
    <x v="139"/>
    <x v="37"/>
    <n v="1600000"/>
    <m/>
    <m/>
    <s v="DELIVERED"/>
    <x v="40"/>
    <n v="0"/>
    <n v="1"/>
    <s v="Indonesia"/>
    <s v="EKL-SKG"/>
    <x v="1"/>
  </r>
  <r>
    <s v="CLICTRUCK-048306"/>
    <s v="domestic"/>
    <x v="139"/>
    <x v="37"/>
    <n v="1600000"/>
    <m/>
    <m/>
    <s v="DELIVERED"/>
    <x v="40"/>
    <n v="0"/>
    <n v="1"/>
    <s v="Indonesia"/>
    <s v="EKL-SKG"/>
    <x v="1"/>
  </r>
  <r>
    <s v="CLICTRUCK-048307"/>
    <s v="domestic"/>
    <x v="139"/>
    <x v="37"/>
    <n v="1600000"/>
    <m/>
    <m/>
    <s v="DELIVERED"/>
    <x v="40"/>
    <n v="0"/>
    <n v="1"/>
    <s v="Indonesia"/>
    <s v="EKL-SKG"/>
    <x v="1"/>
  </r>
  <r>
    <s v="CLICTRUCK-048308"/>
    <s v="domestic"/>
    <x v="139"/>
    <x v="37"/>
    <n v="1600000"/>
    <m/>
    <m/>
    <s v="DELIVERED"/>
    <x v="40"/>
    <n v="0"/>
    <n v="1"/>
    <s v="Indonesia"/>
    <s v="EKL-SKG"/>
    <x v="1"/>
  </r>
  <r>
    <s v="CLICTRUCK-048309"/>
    <s v="domestic"/>
    <x v="139"/>
    <x v="37"/>
    <n v="1600000"/>
    <m/>
    <m/>
    <s v="DELIVERED"/>
    <x v="40"/>
    <n v="0"/>
    <n v="1"/>
    <s v="Indonesia"/>
    <s v="EKL-SKG"/>
    <x v="1"/>
  </r>
  <r>
    <s v="CLICTRUCK-048310"/>
    <s v="domestic"/>
    <x v="139"/>
    <x v="37"/>
    <n v="1600000"/>
    <m/>
    <m/>
    <s v="DELIVERED"/>
    <x v="40"/>
    <n v="0"/>
    <n v="1"/>
    <s v="Indonesia"/>
    <s v="EKL-SKG"/>
    <x v="1"/>
  </r>
  <r>
    <s v="CLICTRUCK-048311"/>
    <s v="domestic"/>
    <x v="139"/>
    <x v="37"/>
    <n v="1600000"/>
    <m/>
    <m/>
    <s v="DELIVERED"/>
    <x v="40"/>
    <n v="0"/>
    <n v="1"/>
    <s v="Indonesia"/>
    <s v="EKL-SKG"/>
    <x v="1"/>
  </r>
  <r>
    <s v="CLICTRUCK-048312"/>
    <s v="domestic"/>
    <x v="139"/>
    <x v="37"/>
    <n v="1600000"/>
    <m/>
    <m/>
    <s v="DELIVERED"/>
    <x v="40"/>
    <n v="0"/>
    <n v="1"/>
    <s v="Indonesia"/>
    <s v="EKL-SKG"/>
    <x v="1"/>
  </r>
  <r>
    <s v="CLICTRUCK-048313"/>
    <s v="domestic"/>
    <x v="139"/>
    <x v="37"/>
    <n v="1600000"/>
    <m/>
    <m/>
    <s v="DELIVERED"/>
    <x v="40"/>
    <n v="0"/>
    <n v="1"/>
    <s v="Indonesia"/>
    <s v="EKL-SKG"/>
    <x v="1"/>
  </r>
  <r>
    <s v="CLICTRUCK-048314"/>
    <s v="domestic"/>
    <x v="139"/>
    <x v="37"/>
    <n v="1600000"/>
    <m/>
    <m/>
    <s v="DELIVERED"/>
    <x v="40"/>
    <n v="0"/>
    <n v="1"/>
    <s v="Indonesia"/>
    <s v="EKL-SKG"/>
    <x v="1"/>
  </r>
  <r>
    <s v="CLICTRUCK-048315"/>
    <s v="domestic"/>
    <x v="139"/>
    <x v="37"/>
    <n v="1600000"/>
    <m/>
    <m/>
    <s v="DELIVERED"/>
    <x v="40"/>
    <n v="0"/>
    <n v="1"/>
    <s v="Indonesia"/>
    <s v="EKL-SKG"/>
    <x v="1"/>
  </r>
  <r>
    <s v="CLICTRUCK-048316"/>
    <s v="domestic"/>
    <x v="139"/>
    <x v="37"/>
    <n v="1600000"/>
    <m/>
    <m/>
    <s v="DELIVERED"/>
    <x v="40"/>
    <n v="0"/>
    <n v="1"/>
    <s v="Indonesia"/>
    <s v="EKL-SKG"/>
    <x v="1"/>
  </r>
  <r>
    <s v="CLICTRUCK-048317"/>
    <s v="domestic"/>
    <x v="139"/>
    <x v="37"/>
    <n v="1600000"/>
    <m/>
    <m/>
    <s v="DELIVERED"/>
    <x v="40"/>
    <n v="0"/>
    <n v="1"/>
    <s v="Indonesia"/>
    <s v="EKL-SKG"/>
    <x v="1"/>
  </r>
  <r>
    <s v="CLICTRUCK-048318"/>
    <s v="domestic"/>
    <x v="139"/>
    <x v="37"/>
    <n v="1600000"/>
    <m/>
    <m/>
    <s v="DELIVERED"/>
    <x v="40"/>
    <n v="0"/>
    <n v="1"/>
    <s v="Indonesia"/>
    <s v="EKL-SKG"/>
    <x v="1"/>
  </r>
  <r>
    <s v="CLICTRUCK-048319"/>
    <s v="domestic"/>
    <x v="139"/>
    <x v="37"/>
    <n v="1600000"/>
    <m/>
    <m/>
    <s v="DELIVERED"/>
    <x v="40"/>
    <n v="0"/>
    <n v="1"/>
    <s v="Indonesia"/>
    <s v="EKL-SKG"/>
    <x v="1"/>
  </r>
  <r>
    <s v="CLICTRUCK-048320"/>
    <s v="domestic"/>
    <x v="139"/>
    <x v="37"/>
    <n v="1600000"/>
    <m/>
    <m/>
    <s v="DELIVERED"/>
    <x v="40"/>
    <n v="0"/>
    <n v="1"/>
    <s v="Indonesia"/>
    <s v="EKL-SKG"/>
    <x v="1"/>
  </r>
  <r>
    <s v="CLICTRUCK-048321"/>
    <s v="domestic"/>
    <x v="139"/>
    <x v="37"/>
    <n v="1600000"/>
    <m/>
    <m/>
    <s v="DELIVERED"/>
    <x v="40"/>
    <n v="0"/>
    <n v="1"/>
    <s v="Indonesia"/>
    <s v="EKL-SKG"/>
    <x v="1"/>
  </r>
  <r>
    <s v="CLICTRUCK-048322"/>
    <s v="domestic"/>
    <x v="139"/>
    <x v="37"/>
    <n v="1600000"/>
    <m/>
    <m/>
    <s v="DELIVERED"/>
    <x v="40"/>
    <n v="0"/>
    <n v="1"/>
    <s v="Indonesia"/>
    <s v="EKL-SKG"/>
    <x v="1"/>
  </r>
  <r>
    <s v="CLICTRUCK-048323"/>
    <s v="domestic"/>
    <x v="139"/>
    <x v="37"/>
    <n v="1600000"/>
    <m/>
    <m/>
    <s v="DELIVERED"/>
    <x v="40"/>
    <n v="0"/>
    <n v="1"/>
    <s v="Indonesia"/>
    <s v="EKL-SKG"/>
    <x v="1"/>
  </r>
  <r>
    <s v="CLICTRUCK-048324"/>
    <s v="domestic"/>
    <x v="139"/>
    <x v="37"/>
    <n v="1600000"/>
    <m/>
    <m/>
    <s v="DELIVERED"/>
    <x v="40"/>
    <n v="0"/>
    <n v="1"/>
    <s v="Indonesia"/>
    <s v="EKL-SKG"/>
    <x v="1"/>
  </r>
  <r>
    <s v="CLICTRUCK-048325"/>
    <s v="domestic"/>
    <x v="139"/>
    <x v="37"/>
    <n v="1600000"/>
    <m/>
    <m/>
    <s v="DELIVERED"/>
    <x v="40"/>
    <n v="0"/>
    <n v="1"/>
    <s v="Indonesia"/>
    <s v="EKL-SKG"/>
    <x v="1"/>
  </r>
  <r>
    <s v="CLICTRUCK-048326"/>
    <s v="domestic"/>
    <x v="139"/>
    <x v="37"/>
    <n v="1600000"/>
    <m/>
    <m/>
    <s v="DELIVERED"/>
    <x v="40"/>
    <n v="0"/>
    <n v="1"/>
    <s v="Indonesia"/>
    <s v="EKL-SKG"/>
    <x v="1"/>
  </r>
  <r>
    <s v="CLICTRUCK-048327"/>
    <s v="domestic"/>
    <x v="139"/>
    <x v="37"/>
    <n v="1600000"/>
    <m/>
    <m/>
    <s v="DELIVERED"/>
    <x v="40"/>
    <n v="0"/>
    <n v="1"/>
    <s v="Indonesia"/>
    <s v="EKL-SKG"/>
    <x v="1"/>
  </r>
  <r>
    <s v="CLICTRUCK-048328"/>
    <s v="domestic"/>
    <x v="139"/>
    <x v="37"/>
    <n v="1600000"/>
    <m/>
    <m/>
    <s v="DELIVERED"/>
    <x v="40"/>
    <n v="0"/>
    <n v="1"/>
    <s v="Indonesia"/>
    <s v="EKL-SKG"/>
    <x v="1"/>
  </r>
  <r>
    <s v="CLICTRUCK-048329"/>
    <s v="domestic"/>
    <x v="139"/>
    <x v="37"/>
    <n v="1600000"/>
    <m/>
    <m/>
    <s v="DELIVERED"/>
    <x v="40"/>
    <n v="0"/>
    <n v="1"/>
    <s v="Indonesia"/>
    <s v="EKL-SKG"/>
    <x v="1"/>
  </r>
  <r>
    <s v="CLICTRUCK-048330"/>
    <s v="domestic"/>
    <x v="139"/>
    <x v="37"/>
    <n v="1600000"/>
    <m/>
    <m/>
    <s v="DELIVERED"/>
    <x v="40"/>
    <n v="0"/>
    <n v="1"/>
    <s v="Indonesia"/>
    <s v="EKL-SKG"/>
    <x v="1"/>
  </r>
  <r>
    <s v="CLICTRUCK-048331"/>
    <s v="domestic"/>
    <x v="139"/>
    <x v="37"/>
    <n v="1600000"/>
    <m/>
    <m/>
    <s v="DELIVERED"/>
    <x v="40"/>
    <n v="0"/>
    <n v="1"/>
    <s v="Indonesia"/>
    <s v="EKL-SKG"/>
    <x v="1"/>
  </r>
  <r>
    <s v="CLICTRUCK-048332"/>
    <s v="domestic"/>
    <x v="139"/>
    <x v="37"/>
    <n v="1600000"/>
    <m/>
    <m/>
    <s v="DELIVERED"/>
    <x v="40"/>
    <n v="0"/>
    <n v="1"/>
    <s v="Indonesia"/>
    <s v="EKL-SKG"/>
    <x v="1"/>
  </r>
  <r>
    <s v="CLICTRUCK-048333"/>
    <s v="domestic"/>
    <x v="139"/>
    <x v="37"/>
    <n v="1600000"/>
    <m/>
    <m/>
    <s v="PENDING APPROVAL"/>
    <x v="40"/>
    <n v="0"/>
    <n v="1"/>
    <s v="Indonesia"/>
    <s v="EKL-SKG"/>
    <x v="1"/>
  </r>
  <r>
    <s v="CLICTRUCK-048334"/>
    <s v="domestic"/>
    <x v="139"/>
    <x v="37"/>
    <n v="1600000"/>
    <m/>
    <m/>
    <s v="PENDING APPROVAL"/>
    <x v="40"/>
    <n v="0"/>
    <n v="1"/>
    <s v="Indonesia"/>
    <s v="EKL-SKG"/>
    <x v="1"/>
  </r>
  <r>
    <s v="CLICTRUCK-048335"/>
    <s v="domestic"/>
    <x v="139"/>
    <x v="37"/>
    <n v="1600000"/>
    <m/>
    <m/>
    <s v="PENDING APPROVAL"/>
    <x v="40"/>
    <n v="0"/>
    <n v="1"/>
    <s v="Indonesia"/>
    <s v="EKL-SKG"/>
    <x v="1"/>
  </r>
  <r>
    <s v="CLICTRUCK-048336"/>
    <s v="domestic"/>
    <x v="139"/>
    <x v="37"/>
    <n v="1600000"/>
    <m/>
    <m/>
    <s v="PENDING APPROVAL"/>
    <x v="40"/>
    <n v="0"/>
    <n v="1"/>
    <s v="Indonesia"/>
    <s v="EKL-SKG"/>
    <x v="1"/>
  </r>
  <r>
    <s v="CLICTRUCK-048337"/>
    <s v="domestic"/>
    <x v="139"/>
    <x v="37"/>
    <n v="1600000"/>
    <m/>
    <m/>
    <s v="PENDING APPROVAL"/>
    <x v="40"/>
    <n v="0"/>
    <n v="1"/>
    <s v="Indonesia"/>
    <s v="EKL-SKG"/>
    <x v="1"/>
  </r>
  <r>
    <s v="CLICTRUCK-048338"/>
    <s v="domestic"/>
    <x v="139"/>
    <x v="37"/>
    <n v="1600000"/>
    <m/>
    <m/>
    <s v="PENDING APPROVAL"/>
    <x v="40"/>
    <n v="0"/>
    <n v="1"/>
    <s v="Indonesia"/>
    <s v="EKL-SKG"/>
    <x v="1"/>
  </r>
  <r>
    <s v="CLICTRUCK-048339"/>
    <s v="domestic"/>
    <x v="139"/>
    <x v="37"/>
    <n v="1600000"/>
    <m/>
    <m/>
    <s v="PENDING APPROVAL"/>
    <x v="40"/>
    <n v="0"/>
    <n v="1"/>
    <s v="Indonesia"/>
    <s v="EKL-SKG"/>
    <x v="1"/>
  </r>
  <r>
    <s v="CLICTRUCK-048340"/>
    <s v="domestic"/>
    <x v="139"/>
    <x v="37"/>
    <n v="1600000"/>
    <m/>
    <m/>
    <s v="PENDING APPROVAL"/>
    <x v="40"/>
    <n v="0"/>
    <n v="1"/>
    <s v="Indonesia"/>
    <s v="EKL-SKG"/>
    <x v="1"/>
  </r>
  <r>
    <s v="CLICTRUCK-048341"/>
    <s v="domestic"/>
    <x v="139"/>
    <x v="37"/>
    <n v="1600000"/>
    <m/>
    <m/>
    <s v="PENDING APPROVAL"/>
    <x v="40"/>
    <n v="0"/>
    <n v="1"/>
    <s v="Indonesia"/>
    <s v="EKL-SKG"/>
    <x v="1"/>
  </r>
  <r>
    <s v="CLICTRUCK-048342"/>
    <s v="domestic"/>
    <x v="139"/>
    <x v="37"/>
    <n v="1600000"/>
    <m/>
    <m/>
    <s v="PENDING APPROVAL"/>
    <x v="40"/>
    <n v="0"/>
    <n v="1"/>
    <s v="Indonesia"/>
    <s v="EKL-SKG"/>
    <x v="1"/>
  </r>
  <r>
    <s v="CLICTRUCK-048343"/>
    <s v="domestic"/>
    <x v="139"/>
    <x v="37"/>
    <n v="1600000"/>
    <m/>
    <m/>
    <s v="PENDING APPROVAL"/>
    <x v="40"/>
    <n v="0"/>
    <n v="1"/>
    <s v="Indonesia"/>
    <s v="EKL-SKG"/>
    <x v="1"/>
  </r>
  <r>
    <s v="CLICTRUCK-048344"/>
    <s v="domestic"/>
    <x v="139"/>
    <x v="37"/>
    <n v="1600000"/>
    <m/>
    <m/>
    <s v="PENDING APPROVAL"/>
    <x v="40"/>
    <n v="0"/>
    <n v="1"/>
    <s v="Indonesia"/>
    <s v="EKL-SKG"/>
    <x v="1"/>
  </r>
  <r>
    <s v="CLICTRUCK-048345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46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47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48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49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0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1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2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3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4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5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6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7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8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59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60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61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62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63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64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65"/>
    <s v="domestic"/>
    <x v="139"/>
    <x v="37"/>
    <n v="1600000"/>
    <n v="71040"/>
    <d v="2023-05-14T00:00:00"/>
    <s v="UNPAID"/>
    <x v="40"/>
    <n v="27750"/>
    <n v="1"/>
    <s v="Indonesia"/>
    <s v="EKL-SKG"/>
    <x v="0"/>
  </r>
  <r>
    <s v="CLICTRUCK-048366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67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68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69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70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71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72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73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74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75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76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77"/>
    <s v="domestic"/>
    <x v="139"/>
    <x v="37"/>
    <n v="1600000"/>
    <m/>
    <m/>
    <s v="ONGOING"/>
    <x v="40"/>
    <n v="0"/>
    <n v="1"/>
    <s v="Indonesia"/>
    <s v="EKL-SKG"/>
    <x v="1"/>
  </r>
  <r>
    <s v="CLICTRUCK-048378"/>
    <s v="domestic"/>
    <x v="139"/>
    <x v="37"/>
    <n v="1600000"/>
    <m/>
    <m/>
    <s v="ONGOING"/>
    <x v="40"/>
    <n v="0"/>
    <n v="1"/>
    <s v="Indonesia"/>
    <s v="EKL-SKG"/>
    <x v="1"/>
  </r>
  <r>
    <s v="CLICTRUCK-048379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380"/>
    <s v="domestic"/>
    <x v="139"/>
    <x v="37"/>
    <n v="1600000"/>
    <m/>
    <m/>
    <s v="ONGOING"/>
    <x v="40"/>
    <n v="0"/>
    <n v="1"/>
    <s v="Indonesia"/>
    <s v="EKL-SKG"/>
    <x v="1"/>
  </r>
  <r>
    <s v="CLICTRUCK-048381"/>
    <s v="domestic"/>
    <x v="139"/>
    <x v="37"/>
    <n v="1600000"/>
    <m/>
    <m/>
    <s v="ONGOING"/>
    <x v="40"/>
    <n v="0"/>
    <n v="1"/>
    <s v="Indonesia"/>
    <s v="EKL-SKG"/>
    <x v="1"/>
  </r>
  <r>
    <s v="CLICTRUCK-048382"/>
    <s v="domestic"/>
    <x v="139"/>
    <x v="37"/>
    <n v="1600000"/>
    <m/>
    <m/>
    <s v="ONGOING"/>
    <x v="40"/>
    <n v="0"/>
    <n v="1"/>
    <s v="Indonesia"/>
    <s v="EKL-SKG"/>
    <x v="1"/>
  </r>
  <r>
    <s v="CLICTRUCK-048383"/>
    <s v="domestic"/>
    <x v="139"/>
    <x v="37"/>
    <n v="1600000"/>
    <m/>
    <m/>
    <s v="ONGOING"/>
    <x v="40"/>
    <n v="0"/>
    <n v="1"/>
    <s v="Indonesia"/>
    <s v="EKL-SKG"/>
    <x v="1"/>
  </r>
  <r>
    <s v="CLICTRUCK-048384"/>
    <s v="domestic"/>
    <x v="139"/>
    <x v="37"/>
    <n v="1600000"/>
    <m/>
    <m/>
    <s v="ONGOING"/>
    <x v="40"/>
    <n v="0"/>
    <n v="1"/>
    <s v="Indonesia"/>
    <s v="EKL-SKG"/>
    <x v="1"/>
  </r>
  <r>
    <s v="CLICTRUCK-048385"/>
    <s v="domestic"/>
    <x v="139"/>
    <x v="37"/>
    <n v="1600000"/>
    <m/>
    <m/>
    <s v="ONGOING"/>
    <x v="40"/>
    <n v="0"/>
    <n v="1"/>
    <s v="Indonesia"/>
    <s v="EKL-SKG"/>
    <x v="1"/>
  </r>
  <r>
    <s v="CLICTRUCK-048386"/>
    <s v="domestic"/>
    <x v="139"/>
    <x v="37"/>
    <n v="1600000"/>
    <m/>
    <m/>
    <s v="ONGOING"/>
    <x v="40"/>
    <n v="0"/>
    <n v="1"/>
    <s v="Indonesia"/>
    <s v="EKL-SKG"/>
    <x v="1"/>
  </r>
  <r>
    <s v="CLICTRUCK-048387"/>
    <s v="domestic"/>
    <x v="139"/>
    <x v="37"/>
    <n v="1600000"/>
    <m/>
    <m/>
    <s v="ONGOING"/>
    <x v="40"/>
    <n v="0"/>
    <n v="1"/>
    <s v="Indonesia"/>
    <s v="EKL-SKG"/>
    <x v="1"/>
  </r>
  <r>
    <s v="CLICTRUCK-048388"/>
    <s v="domestic"/>
    <x v="139"/>
    <x v="37"/>
    <n v="1600000"/>
    <m/>
    <m/>
    <s v="ONGOING"/>
    <x v="40"/>
    <n v="0"/>
    <n v="1"/>
    <s v="Indonesia"/>
    <s v="EKL-SKG"/>
    <x v="1"/>
  </r>
  <r>
    <s v="CLICTRUCK-048389"/>
    <s v="domestic"/>
    <x v="139"/>
    <x v="37"/>
    <n v="1600000"/>
    <m/>
    <m/>
    <s v="ONGOING"/>
    <x v="40"/>
    <n v="0"/>
    <n v="1"/>
    <s v="Indonesia"/>
    <s v="EKL-SKG"/>
    <x v="1"/>
  </r>
  <r>
    <s v="CLICTRUCK-048390"/>
    <s v="domestic"/>
    <x v="139"/>
    <x v="37"/>
    <n v="1600000"/>
    <m/>
    <m/>
    <s v="ONGOING"/>
    <x v="40"/>
    <n v="0"/>
    <n v="1"/>
    <s v="Indonesia"/>
    <s v="EKL-SKG"/>
    <x v="1"/>
  </r>
  <r>
    <s v="CLICTRUCK-048391"/>
    <s v="domestic"/>
    <x v="139"/>
    <x v="37"/>
    <n v="1600000"/>
    <m/>
    <m/>
    <s v="ONGOING"/>
    <x v="40"/>
    <n v="0"/>
    <n v="1"/>
    <s v="Indonesia"/>
    <s v="EKL-SKG"/>
    <x v="1"/>
  </r>
  <r>
    <s v="CLICTRUCK-048392"/>
    <s v="domestic"/>
    <x v="139"/>
    <x v="37"/>
    <n v="1600000"/>
    <m/>
    <m/>
    <s v="ONGOING"/>
    <x v="40"/>
    <n v="0"/>
    <n v="1"/>
    <s v="Indonesia"/>
    <s v="EKL-SKG"/>
    <x v="1"/>
  </r>
  <r>
    <s v="CLICTRUCK-048393"/>
    <s v="domestic"/>
    <x v="139"/>
    <x v="37"/>
    <n v="1600000"/>
    <m/>
    <m/>
    <s v="ONGOING"/>
    <x v="40"/>
    <n v="0"/>
    <n v="1"/>
    <s v="Indonesia"/>
    <s v="EKL-SKG"/>
    <x v="1"/>
  </r>
  <r>
    <s v="CLICTRUCK-048394"/>
    <s v="domestic"/>
    <x v="139"/>
    <x v="37"/>
    <n v="1600000"/>
    <m/>
    <m/>
    <s v="ONGOING"/>
    <x v="40"/>
    <n v="0"/>
    <n v="1"/>
    <s v="Indonesia"/>
    <s v="EKL-SKG"/>
    <x v="1"/>
  </r>
  <r>
    <s v="CLICTRUCK-048395"/>
    <s v="domestic"/>
    <x v="139"/>
    <x v="37"/>
    <n v="1600000"/>
    <m/>
    <m/>
    <s v="ONGOING"/>
    <x v="40"/>
    <n v="0"/>
    <n v="1"/>
    <s v="Indonesia"/>
    <s v="EKL-SKG"/>
    <x v="1"/>
  </r>
  <r>
    <s v="CLICTRUCK-048396"/>
    <s v="domestic"/>
    <x v="139"/>
    <x v="37"/>
    <n v="1600000"/>
    <m/>
    <m/>
    <s v="ONGOING"/>
    <x v="40"/>
    <n v="0"/>
    <n v="1"/>
    <s v="Indonesia"/>
    <s v="EKL-SKG"/>
    <x v="1"/>
  </r>
  <r>
    <s v="CLICTRUCK-048397"/>
    <s v="domestic"/>
    <x v="139"/>
    <x v="37"/>
    <n v="1600000"/>
    <m/>
    <m/>
    <s v="ONGOING"/>
    <x v="40"/>
    <n v="0"/>
    <n v="1"/>
    <s v="Indonesia"/>
    <s v="EKL-SKG"/>
    <x v="1"/>
  </r>
  <r>
    <s v="CLICTRUCK-048398"/>
    <s v="domestic"/>
    <x v="139"/>
    <x v="37"/>
    <n v="1600000"/>
    <m/>
    <m/>
    <s v="ONGOING"/>
    <x v="40"/>
    <n v="0"/>
    <n v="1"/>
    <s v="Indonesia"/>
    <s v="EKL-SKG"/>
    <x v="1"/>
  </r>
  <r>
    <s v="CLICTRUCK-048399"/>
    <s v="domestic"/>
    <x v="139"/>
    <x v="37"/>
    <n v="1600000"/>
    <m/>
    <m/>
    <s v="ONGOING"/>
    <x v="40"/>
    <n v="0"/>
    <n v="1"/>
    <s v="Indonesia"/>
    <s v="EKL-SKG"/>
    <x v="1"/>
  </r>
  <r>
    <s v="CLICTRUCK-048400"/>
    <s v="domestic"/>
    <x v="139"/>
    <x v="37"/>
    <n v="1600000"/>
    <m/>
    <m/>
    <s v="ONGOING"/>
    <x v="40"/>
    <n v="0"/>
    <n v="1"/>
    <s v="Indonesia"/>
    <s v="EKL-SKG"/>
    <x v="1"/>
  </r>
  <r>
    <s v="CLICTRUCK-048401"/>
    <s v="domestic"/>
    <x v="139"/>
    <x v="37"/>
    <n v="1600000"/>
    <m/>
    <m/>
    <s v="ONGOING"/>
    <x v="40"/>
    <n v="0"/>
    <n v="1"/>
    <s v="Indonesia"/>
    <s v="EKL-SKG"/>
    <x v="1"/>
  </r>
  <r>
    <s v="CLICTRUCK-048402"/>
    <s v="domestic"/>
    <x v="139"/>
    <x v="37"/>
    <n v="1600000"/>
    <m/>
    <m/>
    <s v="ONGOING"/>
    <x v="40"/>
    <n v="0"/>
    <n v="1"/>
    <s v="Indonesia"/>
    <s v="EKL-SKG"/>
    <x v="1"/>
  </r>
  <r>
    <s v="CLICTRUCK-048403"/>
    <s v="domestic"/>
    <x v="139"/>
    <x v="37"/>
    <n v="1600000"/>
    <m/>
    <m/>
    <s v="ONGOING"/>
    <x v="40"/>
    <n v="0"/>
    <n v="1"/>
    <s v="Indonesia"/>
    <s v="EKL-SKG"/>
    <x v="1"/>
  </r>
  <r>
    <s v="CLICTRUCK-048404"/>
    <s v="domestic"/>
    <x v="139"/>
    <x v="37"/>
    <n v="1600000"/>
    <m/>
    <m/>
    <s v="ONGOING"/>
    <x v="40"/>
    <n v="0"/>
    <n v="1"/>
    <s v="Indonesia"/>
    <s v="EKL-SKG"/>
    <x v="1"/>
  </r>
  <r>
    <s v="CLICTRUCK-048405"/>
    <s v="domestic"/>
    <x v="139"/>
    <x v="37"/>
    <n v="1600000"/>
    <m/>
    <m/>
    <s v="ONGOING"/>
    <x v="40"/>
    <n v="0"/>
    <n v="1"/>
    <s v="Indonesia"/>
    <s v="EKL-SKG"/>
    <x v="1"/>
  </r>
  <r>
    <s v="CLICTRUCK-048406"/>
    <s v="domestic"/>
    <x v="139"/>
    <x v="37"/>
    <n v="1600000"/>
    <m/>
    <m/>
    <s v="ONGOING"/>
    <x v="40"/>
    <n v="0"/>
    <n v="1"/>
    <s v="Indonesia"/>
    <s v="EKL-SKG"/>
    <x v="1"/>
  </r>
  <r>
    <s v="CLICTRUCK-048407"/>
    <s v="domestic"/>
    <x v="139"/>
    <x v="37"/>
    <n v="1600000"/>
    <m/>
    <m/>
    <s v="ONGOING"/>
    <x v="40"/>
    <n v="0"/>
    <n v="1"/>
    <s v="Indonesia"/>
    <s v="EKL-SKG"/>
    <x v="1"/>
  </r>
  <r>
    <s v="CLICTRUCK-048408"/>
    <s v="domestic"/>
    <x v="139"/>
    <x v="37"/>
    <n v="1600000"/>
    <m/>
    <m/>
    <s v="ONGOING"/>
    <x v="40"/>
    <n v="0"/>
    <n v="1"/>
    <s v="Indonesia"/>
    <s v="EKL-SKG"/>
    <x v="1"/>
  </r>
  <r>
    <s v="CLICTRUCK-048409"/>
    <s v="domestic"/>
    <x v="139"/>
    <x v="37"/>
    <n v="1600000"/>
    <m/>
    <m/>
    <s v="ONGOING"/>
    <x v="40"/>
    <n v="0"/>
    <n v="1"/>
    <s v="Indonesia"/>
    <s v="EKL-SKG"/>
    <x v="1"/>
  </r>
  <r>
    <s v="CLICTRUCK-048410"/>
    <s v="domestic"/>
    <x v="139"/>
    <x v="37"/>
    <n v="1600000"/>
    <m/>
    <m/>
    <s v="ONGOING"/>
    <x v="40"/>
    <n v="0"/>
    <n v="1"/>
    <s v="Indonesia"/>
    <s v="EKL-SKG"/>
    <x v="1"/>
  </r>
  <r>
    <s v="CLICTRUCK-048411"/>
    <s v="domestic"/>
    <x v="139"/>
    <x v="37"/>
    <n v="1600000"/>
    <m/>
    <m/>
    <s v="ONGOING"/>
    <x v="40"/>
    <n v="0"/>
    <n v="1"/>
    <s v="Indonesia"/>
    <s v="EKL-SKG"/>
    <x v="1"/>
  </r>
  <r>
    <s v="CLICTRUCK-048412"/>
    <s v="domestic"/>
    <x v="139"/>
    <x v="37"/>
    <n v="1600000"/>
    <m/>
    <m/>
    <s v="ONGOING"/>
    <x v="40"/>
    <n v="0"/>
    <n v="1"/>
    <s v="Indonesia"/>
    <s v="EKL-SKG"/>
    <x v="1"/>
  </r>
  <r>
    <s v="CLICTRUCK-048413"/>
    <s v="domestic"/>
    <x v="139"/>
    <x v="37"/>
    <n v="1600000"/>
    <m/>
    <m/>
    <s v="ONGOING"/>
    <x v="40"/>
    <n v="0"/>
    <n v="1"/>
    <s v="Indonesia"/>
    <s v="EKL-SKG"/>
    <x v="1"/>
  </r>
  <r>
    <s v="CLICTRUCK-048414"/>
    <s v="domestic"/>
    <x v="139"/>
    <x v="37"/>
    <n v="1600000"/>
    <m/>
    <m/>
    <s v="ONGOING"/>
    <x v="40"/>
    <n v="0"/>
    <n v="1"/>
    <s v="Indonesia"/>
    <s v="EKL-SKG"/>
    <x v="1"/>
  </r>
  <r>
    <s v="CLICTRUCK-048415"/>
    <s v="domestic"/>
    <x v="139"/>
    <x v="37"/>
    <n v="1600000"/>
    <m/>
    <m/>
    <s v="ONGOING"/>
    <x v="40"/>
    <n v="0"/>
    <n v="1"/>
    <s v="Indonesia"/>
    <s v="EKL-SKG"/>
    <x v="1"/>
  </r>
  <r>
    <s v="CLICTRUCK-048416"/>
    <s v="domestic"/>
    <x v="139"/>
    <x v="37"/>
    <n v="1600000"/>
    <m/>
    <m/>
    <s v="ONGOING"/>
    <x v="40"/>
    <n v="0"/>
    <n v="1"/>
    <s v="Indonesia"/>
    <s v="EKL-SKG"/>
    <x v="1"/>
  </r>
  <r>
    <s v="CLICTRUCK-048417"/>
    <s v="domestic"/>
    <x v="139"/>
    <x v="37"/>
    <n v="1600000"/>
    <n v="71040"/>
    <d v="2023-05-22T00:00:00"/>
    <s v="UNPAID"/>
    <x v="40"/>
    <n v="27750"/>
    <n v="1"/>
    <s v="Indonesia"/>
    <s v="EKL-SKG"/>
    <x v="0"/>
  </r>
  <r>
    <s v="CLICTRUCK-048418"/>
    <s v="domestic"/>
    <x v="139"/>
    <x v="7"/>
    <n v="45000000"/>
    <n v="22200"/>
    <d v="2023-05-14T00:00:00"/>
    <s v="UNPAID"/>
    <x v="6"/>
    <n v="1248750"/>
    <n v="1"/>
    <s v="Indonesia"/>
    <s v="IFI - IKI"/>
    <x v="0"/>
  </r>
  <r>
    <s v="CLICTRUCK-048419"/>
    <s v="domestic"/>
    <x v="139"/>
    <x v="7"/>
    <n v="45000000"/>
    <n v="22200"/>
    <d v="2023-05-14T00:00:00"/>
    <s v="UNPAID"/>
    <x v="6"/>
    <n v="1248750"/>
    <n v="1"/>
    <s v="Indonesia"/>
    <s v="IFI - IKI"/>
    <x v="0"/>
  </r>
  <r>
    <s v="CLICTRUCK-048420"/>
    <s v="domestic"/>
    <x v="139"/>
    <x v="7"/>
    <n v="45000000"/>
    <n v="22200"/>
    <d v="2023-05-14T00:00:00"/>
    <s v="UNPAID"/>
    <x v="6"/>
    <n v="1248750"/>
    <n v="1"/>
    <s v="Indonesia"/>
    <s v="IFI - IKI"/>
    <x v="0"/>
  </r>
  <r>
    <s v="CLICTRUCK-048421"/>
    <s v="domestic"/>
    <x v="139"/>
    <x v="7"/>
    <n v="64810000"/>
    <n v="22200"/>
    <d v="2023-05-14T00:00:00"/>
    <s v="UNPAID"/>
    <x v="6"/>
    <n v="1798477"/>
    <n v="1"/>
    <s v="Indonesia"/>
    <s v="IFI - IKI"/>
    <x v="0"/>
  </r>
  <r>
    <s v="CLICTRUCK-048422"/>
    <s v="domestic"/>
    <x v="139"/>
    <x v="7"/>
    <n v="45000000"/>
    <n v="22200"/>
    <d v="2023-05-14T00:00:00"/>
    <s v="UNPAID"/>
    <x v="6"/>
    <n v="1248750"/>
    <n v="1"/>
    <s v="Indonesia"/>
    <s v="IFI - IKI"/>
    <x v="0"/>
  </r>
  <r>
    <s v="CLICTRUCK-048423"/>
    <s v="domestic"/>
    <x v="139"/>
    <x v="7"/>
    <n v="45000000"/>
    <n v="22200"/>
    <d v="2023-05-14T00:00:00"/>
    <s v="UNPAID"/>
    <x v="6"/>
    <n v="1248750"/>
    <n v="1"/>
    <s v="Indonesia"/>
    <s v="IFI - IKI"/>
    <x v="0"/>
  </r>
  <r>
    <s v="CLICTRUCK-048424"/>
    <s v="domestic"/>
    <x v="139"/>
    <x v="7"/>
    <n v="45000000"/>
    <n v="22200"/>
    <d v="2023-05-14T00:00:00"/>
    <s v="UNPAID"/>
    <x v="6"/>
    <n v="1248750"/>
    <n v="1"/>
    <s v="Indonesia"/>
    <s v="IFI - IKI"/>
    <x v="0"/>
  </r>
  <r>
    <s v="CLICTRUCK-048425"/>
    <s v="domestic"/>
    <x v="139"/>
    <x v="7"/>
    <n v="64810000"/>
    <n v="22200"/>
    <d v="2023-05-14T00:00:00"/>
    <s v="UNPAID"/>
    <x v="6"/>
    <n v="1798477"/>
    <n v="1"/>
    <s v="Indonesia"/>
    <s v="IFI - IKI"/>
    <x v="0"/>
  </r>
  <r>
    <s v="CLICTRUCK-048426"/>
    <s v="domestic"/>
    <x v="139"/>
    <x v="7"/>
    <n v="49960000"/>
    <n v="22200"/>
    <d v="2023-05-14T00:00:00"/>
    <s v="UNPAID"/>
    <x v="6"/>
    <n v="1386390"/>
    <n v="1"/>
    <s v="Indonesia"/>
    <s v="IFI - IKI"/>
    <x v="0"/>
  </r>
  <r>
    <s v="CLICTRUCK-048427"/>
    <s v="domestic"/>
    <x v="139"/>
    <x v="24"/>
    <n v="3500000"/>
    <n v="25000"/>
    <m/>
    <s v="NEW"/>
    <x v="27"/>
    <n v="0"/>
    <n v="1"/>
    <s v="Indonesia"/>
    <s v="LST - TJA"/>
    <x v="1"/>
  </r>
  <r>
    <s v="CLICTRUCK-048428"/>
    <s v="domestic"/>
    <x v="139"/>
    <x v="24"/>
    <n v="3500000"/>
    <n v="25000"/>
    <m/>
    <s v="NEW"/>
    <x v="27"/>
    <n v="0"/>
    <n v="1"/>
    <s v="Indonesia"/>
    <s v="LST - TJA"/>
    <x v="1"/>
  </r>
  <r>
    <s v="CLICTRUCK-048429"/>
    <s v="domestic"/>
    <x v="139"/>
    <x v="24"/>
    <n v="3500000"/>
    <n v="25000"/>
    <m/>
    <s v="NEW"/>
    <x v="27"/>
    <n v="0"/>
    <n v="1"/>
    <s v="Indonesia"/>
    <s v="LST - TJA"/>
    <x v="1"/>
  </r>
  <r>
    <s v="CLICTRUCK-048430"/>
    <s v="domestic"/>
    <x v="139"/>
    <x v="24"/>
    <n v="3500000"/>
    <n v="25000"/>
    <m/>
    <s v="NEW"/>
    <x v="27"/>
    <n v="0"/>
    <n v="1"/>
    <s v="Indonesia"/>
    <s v="LST - TJA"/>
    <x v="1"/>
  </r>
  <r>
    <s v="CLICTRUCK-048431"/>
    <s v="domestic"/>
    <x v="139"/>
    <x v="24"/>
    <n v="3500000"/>
    <n v="25000"/>
    <m/>
    <s v="NEW"/>
    <x v="27"/>
    <n v="0"/>
    <n v="1"/>
    <s v="Indonesia"/>
    <s v="LST - TJA"/>
    <x v="1"/>
  </r>
  <r>
    <s v="CLICTRUCK-048432"/>
    <s v="domestic"/>
    <x v="139"/>
    <x v="30"/>
    <n v="132370000"/>
    <n v="27750"/>
    <d v="2023-05-14T00:00:00"/>
    <s v="UNPAID"/>
    <x v="33"/>
    <n v="5877228"/>
    <n v="1"/>
    <s v="Indonesia"/>
    <s v="RDD - RED"/>
    <x v="0"/>
  </r>
  <r>
    <s v="CLICTRUCK-048433"/>
    <s v="domestic"/>
    <x v="139"/>
    <x v="25"/>
    <n v="8100000"/>
    <n v="27750"/>
    <d v="2023-05-14T00:00:00"/>
    <s v="UNPAID"/>
    <x v="28"/>
    <n v="359640"/>
    <n v="1"/>
    <s v="Indonesia"/>
    <s v="SAJB - SEP"/>
    <x v="0"/>
  </r>
  <r>
    <s v="CLICTRUCK-048434"/>
    <s v="domestic"/>
    <x v="139"/>
    <x v="25"/>
    <n v="2485000"/>
    <n v="27750"/>
    <d v="2023-05-14T00:00:00"/>
    <s v="UNPAID"/>
    <x v="28"/>
    <n v="110334"/>
    <n v="1"/>
    <s v="Indonesia"/>
    <s v="SAJB - SEP"/>
    <x v="0"/>
  </r>
  <r>
    <s v="CLICTRUCK-048435"/>
    <s v="domestic"/>
    <x v="139"/>
    <x v="25"/>
    <n v="8100000"/>
    <n v="27750"/>
    <d v="2023-05-14T00:00:00"/>
    <s v="UNPAID"/>
    <x v="28"/>
    <n v="359640"/>
    <n v="1"/>
    <s v="Indonesia"/>
    <s v="SAJB - SEP"/>
    <x v="0"/>
  </r>
  <r>
    <s v="CLICTRUCK-048436"/>
    <s v="domestic"/>
    <x v="139"/>
    <x v="25"/>
    <n v="1655000"/>
    <n v="27750"/>
    <d v="2023-05-14T00:00:00"/>
    <s v="UNPAID"/>
    <x v="28"/>
    <n v="73482"/>
    <n v="1"/>
    <s v="Indonesia"/>
    <s v="SAJB - SEP"/>
    <x v="0"/>
  </r>
  <r>
    <s v="CLICTRUCK-048437"/>
    <s v="domestic"/>
    <x v="139"/>
    <x v="25"/>
    <n v="2485000"/>
    <n v="27750"/>
    <d v="2023-05-14T00:00:00"/>
    <s v="UNPAID"/>
    <x v="28"/>
    <n v="110334"/>
    <n v="1"/>
    <s v="Indonesia"/>
    <s v="SAJB - SEP"/>
    <x v="0"/>
  </r>
  <r>
    <s v="CLICTRUCK-048438"/>
    <s v="domestic"/>
    <x v="139"/>
    <x v="25"/>
    <n v="1880000"/>
    <n v="27750"/>
    <d v="2023-05-14T00:00:00"/>
    <s v="UNPAID"/>
    <x v="28"/>
    <n v="83472"/>
    <n v="1"/>
    <s v="Indonesia"/>
    <s v="SAJB - SEP"/>
    <x v="0"/>
  </r>
  <r>
    <s v="CLICTRUCK-048439"/>
    <s v="domestic"/>
    <x v="139"/>
    <x v="25"/>
    <n v="3250000"/>
    <n v="27750"/>
    <d v="2023-05-14T00:00:00"/>
    <s v="UNPAID"/>
    <x v="28"/>
    <n v="144300"/>
    <n v="1"/>
    <s v="Indonesia"/>
    <s v="SAJB - SEP"/>
    <x v="0"/>
  </r>
  <r>
    <s v="CLICTRUCK-048440"/>
    <s v="domestic"/>
    <x v="139"/>
    <x v="25"/>
    <n v="2485000"/>
    <n v="27750"/>
    <d v="2023-05-14T00:00:00"/>
    <s v="UNPAID"/>
    <x v="28"/>
    <n v="110334"/>
    <n v="1"/>
    <s v="Indonesia"/>
    <s v="SAJB - SEP"/>
    <x v="0"/>
  </r>
  <r>
    <s v="CLICTRUCK-048441"/>
    <s v="domestic"/>
    <x v="139"/>
    <x v="25"/>
    <n v="1000000"/>
    <n v="27750"/>
    <d v="2023-05-14T00:00:00"/>
    <s v="UNPAID"/>
    <x v="28"/>
    <n v="44400"/>
    <n v="1"/>
    <s v="Indonesia"/>
    <s v="SAJB - SEP"/>
    <x v="0"/>
  </r>
  <r>
    <s v="CLICTRUCK-048442"/>
    <s v="domestic"/>
    <x v="139"/>
    <x v="25"/>
    <n v="1655000"/>
    <n v="27750"/>
    <d v="2023-05-14T00:00:00"/>
    <s v="UNPAID"/>
    <x v="28"/>
    <n v="73482"/>
    <n v="1"/>
    <s v="Indonesia"/>
    <s v="SAJB - SEP"/>
    <x v="0"/>
  </r>
  <r>
    <s v="CLICTRUCK-048443"/>
    <s v="domestic"/>
    <x v="139"/>
    <x v="25"/>
    <n v="1880000"/>
    <n v="27750"/>
    <d v="2023-05-14T00:00:00"/>
    <s v="UNPAID"/>
    <x v="28"/>
    <n v="83472"/>
    <n v="1"/>
    <s v="Indonesia"/>
    <s v="SAJB - SEP"/>
    <x v="0"/>
  </r>
  <r>
    <s v="CLICTRUCK-048444"/>
    <s v="domestic"/>
    <x v="139"/>
    <x v="25"/>
    <n v="1880000"/>
    <n v="27750"/>
    <d v="2023-05-14T00:00:00"/>
    <s v="UNPAID"/>
    <x v="28"/>
    <n v="83472"/>
    <n v="1"/>
    <s v="Indonesia"/>
    <s v="SAJB - SEP"/>
    <x v="0"/>
  </r>
  <r>
    <s v="CLICTRUCK-048445"/>
    <s v="domestic"/>
    <x v="139"/>
    <x v="25"/>
    <n v="2485000"/>
    <n v="27750"/>
    <d v="2023-05-14T00:00:00"/>
    <s v="UNPAID"/>
    <x v="28"/>
    <n v="110334"/>
    <n v="1"/>
    <s v="Indonesia"/>
    <s v="SAJB - SEP"/>
    <x v="0"/>
  </r>
  <r>
    <s v="CLICTRUCK-048446"/>
    <s v="domestic"/>
    <x v="139"/>
    <x v="25"/>
    <n v="2170000"/>
    <n v="27750"/>
    <d v="2023-05-14T00:00:00"/>
    <s v="UNPAID"/>
    <x v="28"/>
    <n v="96348"/>
    <n v="1"/>
    <s v="Indonesia"/>
    <s v="SAJB - SEP"/>
    <x v="0"/>
  </r>
  <r>
    <s v="CLICTRUCK-048447"/>
    <s v="domestic"/>
    <x v="139"/>
    <x v="25"/>
    <n v="1815000"/>
    <n v="27750"/>
    <d v="2023-05-14T00:00:00"/>
    <s v="UNPAID"/>
    <x v="28"/>
    <n v="80586"/>
    <n v="1"/>
    <s v="Indonesia"/>
    <s v="SAJB - SEP"/>
    <x v="0"/>
  </r>
  <r>
    <s v="CLICTRUCK-048448"/>
    <s v="domestic"/>
    <x v="139"/>
    <x v="25"/>
    <n v="2170000"/>
    <n v="27750"/>
    <d v="2023-05-14T00:00:00"/>
    <s v="UNPAID"/>
    <x v="28"/>
    <n v="96348"/>
    <n v="1"/>
    <s v="Indonesia"/>
    <s v="SAJB - SEP"/>
    <x v="0"/>
  </r>
  <r>
    <s v="CLICTRUCK-048449"/>
    <s v="domestic"/>
    <x v="139"/>
    <x v="25"/>
    <n v="1655000"/>
    <n v="27750"/>
    <d v="2023-05-14T00:00:00"/>
    <s v="UNPAID"/>
    <x v="28"/>
    <n v="73482"/>
    <n v="1"/>
    <s v="Indonesia"/>
    <s v="SAJB - SEP"/>
    <x v="0"/>
  </r>
  <r>
    <s v="CLICTRUCK-048450"/>
    <s v="domestic"/>
    <x v="139"/>
    <x v="25"/>
    <n v="1080000"/>
    <n v="27750"/>
    <d v="2023-05-14T00:00:00"/>
    <s v="UNPAID"/>
    <x v="28"/>
    <n v="47952"/>
    <n v="1"/>
    <s v="Indonesia"/>
    <s v="SAJB - SEP"/>
    <x v="0"/>
  </r>
  <r>
    <s v="CLICTRUCK-048451"/>
    <s v="domestic"/>
    <x v="139"/>
    <x v="25"/>
    <n v="3250000"/>
    <n v="27750"/>
    <d v="2023-05-14T00:00:00"/>
    <s v="UNPAID"/>
    <x v="28"/>
    <n v="144300"/>
    <n v="1"/>
    <s v="Indonesia"/>
    <s v="SAJB - SEP"/>
    <x v="0"/>
  </r>
  <r>
    <s v="CLICTRUCK-048452"/>
    <s v="domestic"/>
    <x v="139"/>
    <x v="25"/>
    <n v="3250000"/>
    <n v="27750"/>
    <d v="2023-05-14T00:00:00"/>
    <s v="UNPAID"/>
    <x v="28"/>
    <n v="144300"/>
    <n v="1"/>
    <s v="Indonesia"/>
    <s v="SAJB - SEP"/>
    <x v="0"/>
  </r>
  <r>
    <s v="CLICTRUCK-048453"/>
    <s v="domestic"/>
    <x v="139"/>
    <x v="25"/>
    <n v="2385000"/>
    <n v="27750"/>
    <d v="2023-05-14T00:00:00"/>
    <s v="UNPAID"/>
    <x v="28"/>
    <n v="105894"/>
    <n v="1"/>
    <s v="Indonesia"/>
    <s v="SAJB - SEP"/>
    <x v="0"/>
  </r>
  <r>
    <s v="CLICTRUCK-048454"/>
    <s v="domestic"/>
    <x v="139"/>
    <x v="25"/>
    <n v="1880000"/>
    <n v="27750"/>
    <d v="2023-05-14T00:00:00"/>
    <s v="UNPAID"/>
    <x v="28"/>
    <n v="83472"/>
    <n v="1"/>
    <s v="Indonesia"/>
    <s v="SAJB - SEP"/>
    <x v="0"/>
  </r>
  <r>
    <s v="CLICTRUCK-048455"/>
    <s v="domestic"/>
    <x v="139"/>
    <x v="9"/>
    <n v="274890"/>
    <n v="24975"/>
    <d v="2023-05-25T00:00:00"/>
    <s v="UNPAID"/>
    <x v="9"/>
    <n v="9153"/>
    <n v="1"/>
    <s v="Indonesia"/>
    <s v="YSN-SSA"/>
    <x v="0"/>
  </r>
  <r>
    <s v="CLICTRUCK-048456"/>
    <s v="domestic"/>
    <x v="139"/>
    <x v="9"/>
    <n v="352800"/>
    <n v="49950"/>
    <d v="2023-05-25T00:00:00"/>
    <s v="UNPAID"/>
    <x v="9"/>
    <n v="11748"/>
    <n v="2"/>
    <s v="Indonesia"/>
    <s v="YSN-SSA"/>
    <x v="0"/>
  </r>
  <r>
    <s v="CLICTRUCK-048457"/>
    <s v="domestic"/>
    <x v="139"/>
    <x v="9"/>
    <n v="0"/>
    <n v="22500"/>
    <m/>
    <s v="DELIVERED"/>
    <x v="34"/>
    <n v="0"/>
    <n v="2"/>
    <s v="Indonesia"/>
    <s v="YSN - PPT"/>
    <x v="1"/>
  </r>
  <r>
    <s v="CLICTRUCK-048458"/>
    <s v="domestic"/>
    <x v="139"/>
    <x v="9"/>
    <n v="528710"/>
    <n v="24975"/>
    <d v="2023-05-25T00:00:00"/>
    <s v="UNPAID"/>
    <x v="9"/>
    <n v="17605"/>
    <n v="1"/>
    <s v="Indonesia"/>
    <s v="YSN-SSA"/>
    <x v="0"/>
  </r>
  <r>
    <s v="CLICTRUCK-048459"/>
    <s v="domestic"/>
    <x v="139"/>
    <x v="9"/>
    <n v="458150"/>
    <n v="24975"/>
    <d v="2023-05-25T00:00:00"/>
    <s v="UNPAID"/>
    <x v="9"/>
    <n v="15255"/>
    <n v="1"/>
    <s v="Indonesia"/>
    <s v="YSN-SSA"/>
    <x v="0"/>
  </r>
  <r>
    <s v="CLICTRUCK-048460"/>
    <s v="domestic"/>
    <x v="139"/>
    <x v="9"/>
    <n v="190000"/>
    <n v="22500"/>
    <m/>
    <s v="DELIVERED"/>
    <x v="34"/>
    <n v="0"/>
    <n v="1"/>
    <s v="Indonesia"/>
    <s v="YSN - PPT"/>
    <x v="1"/>
  </r>
  <r>
    <s v="CLICTRUCK-048461"/>
    <s v="domestic"/>
    <x v="140"/>
    <x v="9"/>
    <n v="340060"/>
    <n v="24975"/>
    <d v="2023-05-25T00:00:00"/>
    <s v="UNPAID"/>
    <x v="9"/>
    <n v="11323"/>
    <n v="1"/>
    <s v="Indonesia"/>
    <s v="YSN-SSA"/>
    <x v="0"/>
  </r>
  <r>
    <s v="CLICTRUCK-048462"/>
    <s v="domestic"/>
    <x v="140"/>
    <x v="11"/>
    <n v="5287125"/>
    <n v="5550"/>
    <d v="2023-05-26T00:00:00"/>
    <s v="UNPAID"/>
    <x v="11"/>
    <n v="264091"/>
    <n v="1"/>
    <s v="Indonesia"/>
    <s v="TJL - JPP"/>
    <x v="0"/>
  </r>
  <r>
    <s v="CLICTRUCK-048463"/>
    <s v="domestic"/>
    <x v="140"/>
    <x v="11"/>
    <n v="5293450"/>
    <n v="5550"/>
    <d v="2023-05-26T00:00:00"/>
    <s v="UNPAID"/>
    <x v="11"/>
    <n v="264407"/>
    <n v="1"/>
    <s v="Indonesia"/>
    <s v="TJL - JPP"/>
    <x v="0"/>
  </r>
  <r>
    <s v="CLICTRUCK-048464"/>
    <s v="domestic"/>
    <x v="140"/>
    <x v="11"/>
    <n v="4762725"/>
    <n v="5550"/>
    <d v="2023-05-26T00:00:00"/>
    <s v="UNPAID"/>
    <x v="11"/>
    <n v="237897"/>
    <n v="1"/>
    <s v="Indonesia"/>
    <s v="TJL - JPP"/>
    <x v="0"/>
  </r>
  <r>
    <s v="CLICTRUCK-048465"/>
    <s v="domestic"/>
    <x v="140"/>
    <x v="11"/>
    <n v="13541825"/>
    <n v="5550"/>
    <d v="2023-05-26T00:00:00"/>
    <s v="UNPAID"/>
    <x v="11"/>
    <n v="676414"/>
    <n v="1"/>
    <s v="Indonesia"/>
    <s v="TJL - JPP"/>
    <x v="0"/>
  </r>
  <r>
    <s v="CLICTRUCK-048466"/>
    <s v="domestic"/>
    <x v="140"/>
    <x v="11"/>
    <n v="11457570"/>
    <n v="5550"/>
    <d v="2023-05-26T00:00:00"/>
    <s v="UNPAID"/>
    <x v="11"/>
    <n v="572304"/>
    <n v="1"/>
    <s v="Indonesia"/>
    <s v="TJL - JPP"/>
    <x v="0"/>
  </r>
  <r>
    <s v="CLICTRUCK-048467"/>
    <s v="domestic"/>
    <x v="140"/>
    <x v="11"/>
    <n v="15116250"/>
    <n v="5550"/>
    <d v="2023-05-26T00:00:00"/>
    <s v="UNPAID"/>
    <x v="11"/>
    <n v="755056"/>
    <n v="1"/>
    <s v="Indonesia"/>
    <s v="TJL - JPP"/>
    <x v="0"/>
  </r>
  <r>
    <s v="CLICTRUCK-048468"/>
    <s v="domestic"/>
    <x v="140"/>
    <x v="11"/>
    <n v="5293450"/>
    <n v="5550"/>
    <d v="2023-05-26T00:00:00"/>
    <s v="UNPAID"/>
    <x v="11"/>
    <n v="264407"/>
    <n v="1"/>
    <s v="Indonesia"/>
    <s v="TJL - JPP"/>
    <x v="0"/>
  </r>
  <r>
    <s v="CLICTRUCK-048469"/>
    <s v="domestic"/>
    <x v="140"/>
    <x v="11"/>
    <n v="5293450"/>
    <n v="5550"/>
    <d v="2023-05-26T00:00:00"/>
    <s v="UNPAID"/>
    <x v="11"/>
    <n v="264407"/>
    <n v="1"/>
    <s v="Indonesia"/>
    <s v="TJL - JPP"/>
    <x v="0"/>
  </r>
  <r>
    <s v="CLICTRUCK-048470"/>
    <s v="domestic"/>
    <x v="140"/>
    <x v="11"/>
    <n v="5293450"/>
    <n v="5550"/>
    <d v="2023-05-26T00:00:00"/>
    <s v="UNPAID"/>
    <x v="11"/>
    <n v="264407"/>
    <n v="1"/>
    <s v="Indonesia"/>
    <s v="TJL - JPP"/>
    <x v="0"/>
  </r>
  <r>
    <s v="CLICTRUCK-048471"/>
    <s v="domestic"/>
    <x v="140"/>
    <x v="11"/>
    <n v="13541825"/>
    <n v="5550"/>
    <d v="2023-05-26T00:00:00"/>
    <s v="UNPAID"/>
    <x v="11"/>
    <n v="676414"/>
    <n v="1"/>
    <s v="Indonesia"/>
    <s v="TJL - JPP"/>
    <x v="0"/>
  </r>
  <r>
    <s v="CLICTRUCK-048472"/>
    <s v="domestic"/>
    <x v="140"/>
    <x v="11"/>
    <n v="5293450"/>
    <n v="5550"/>
    <d v="2023-05-26T00:00:00"/>
    <s v="UNPAID"/>
    <x v="11"/>
    <n v="264407"/>
    <n v="1"/>
    <s v="Indonesia"/>
    <s v="TJL - JPP"/>
    <x v="0"/>
  </r>
  <r>
    <s v="CLICTRUCK-048473"/>
    <s v="domestic"/>
    <x v="140"/>
    <x v="11"/>
    <n v="4916250"/>
    <n v="5550"/>
    <d v="2023-05-26T00:00:00"/>
    <s v="UNPAID"/>
    <x v="11"/>
    <n v="245566"/>
    <n v="1"/>
    <s v="Indonesia"/>
    <s v="TJL - JPP"/>
    <x v="0"/>
  </r>
  <r>
    <s v="CLICTRUCK-048474"/>
    <s v="domestic"/>
    <x v="140"/>
    <x v="11"/>
    <n v="5337150"/>
    <n v="5550"/>
    <d v="2023-05-26T00:00:00"/>
    <s v="UNPAID"/>
    <x v="11"/>
    <n v="266589"/>
    <n v="1"/>
    <s v="Indonesia"/>
    <s v="TJL - JPP"/>
    <x v="0"/>
  </r>
  <r>
    <s v="CLICTRUCK-048475"/>
    <s v="domestic"/>
    <x v="140"/>
    <x v="11"/>
    <n v="4341825"/>
    <n v="5550"/>
    <d v="2023-05-26T00:00:00"/>
    <s v="UNPAID"/>
    <x v="11"/>
    <n v="216874"/>
    <n v="1"/>
    <s v="Indonesia"/>
    <s v="TJL - JPP"/>
    <x v="0"/>
  </r>
  <r>
    <s v="CLICTRUCK-048476"/>
    <s v="domestic"/>
    <x v="140"/>
    <x v="11"/>
    <n v="4968000"/>
    <n v="5550"/>
    <d v="2023-05-26T00:00:00"/>
    <s v="UNPAID"/>
    <x v="11"/>
    <n v="248151"/>
    <n v="1"/>
    <s v="Indonesia"/>
    <s v="TJL - JPP"/>
    <x v="0"/>
  </r>
  <r>
    <s v="CLICTRUCK-048477"/>
    <s v="domestic"/>
    <x v="140"/>
    <x v="11"/>
    <n v="5261250"/>
    <n v="5550"/>
    <d v="2023-05-26T00:00:00"/>
    <s v="UNPAID"/>
    <x v="11"/>
    <n v="262799"/>
    <n v="1"/>
    <s v="Indonesia"/>
    <s v="TJL - JPP"/>
    <x v="0"/>
  </r>
  <r>
    <s v="CLICTRUCK-048478"/>
    <s v="domestic"/>
    <x v="140"/>
    <x v="11"/>
    <n v="15003722"/>
    <n v="5550"/>
    <d v="2023-05-26T00:00:00"/>
    <s v="UNPAID"/>
    <x v="11"/>
    <n v="749435"/>
    <n v="1"/>
    <s v="Indonesia"/>
    <s v="TJL - JPP"/>
    <x v="0"/>
  </r>
  <r>
    <s v="CLICTRUCK-048479"/>
    <s v="domestic"/>
    <x v="140"/>
    <x v="11"/>
    <n v="7160400"/>
    <n v="5550"/>
    <d v="2023-05-26T00:00:00"/>
    <s v="UNPAID"/>
    <x v="11"/>
    <n v="357661"/>
    <n v="1"/>
    <s v="Indonesia"/>
    <s v="TJL - JPP"/>
    <x v="0"/>
  </r>
  <r>
    <s v="CLICTRUCK-048480"/>
    <s v="domestic"/>
    <x v="140"/>
    <x v="11"/>
    <n v="10244880"/>
    <n v="5550"/>
    <d v="2023-05-26T00:00:00"/>
    <s v="UNPAID"/>
    <x v="11"/>
    <n v="511731"/>
    <n v="1"/>
    <s v="Indonesia"/>
    <s v="TJL - JPP"/>
    <x v="0"/>
  </r>
  <r>
    <s v="CLICTRUCK-048481"/>
    <s v="domestic"/>
    <x v="140"/>
    <x v="11"/>
    <n v="1982880"/>
    <n v="5550"/>
    <d v="2023-05-26T00:00:00"/>
    <s v="UNPAID"/>
    <x v="11"/>
    <n v="99044"/>
    <n v="1"/>
    <s v="Indonesia"/>
    <s v="TJL - JPP"/>
    <x v="0"/>
  </r>
  <r>
    <s v="CLICTRUCK-048482"/>
    <s v="domestic"/>
    <x v="140"/>
    <x v="11"/>
    <n v="895050"/>
    <n v="5550"/>
    <d v="2023-05-26T00:00:00"/>
    <s v="UNPAID"/>
    <x v="11"/>
    <n v="44707"/>
    <n v="1"/>
    <s v="Indonesia"/>
    <s v="TJL - JPP"/>
    <x v="0"/>
  </r>
  <r>
    <s v="CLICTRUCK-048483"/>
    <s v="domestic"/>
    <x v="140"/>
    <x v="11"/>
    <n v="2983500"/>
    <n v="5550"/>
    <d v="2023-05-26T00:00:00"/>
    <s v="UNPAID"/>
    <x v="11"/>
    <n v="149025"/>
    <n v="1"/>
    <s v="Indonesia"/>
    <s v="TJL - JPP"/>
    <x v="0"/>
  </r>
  <r>
    <s v="CLICTRUCK-048484"/>
    <s v="domestic"/>
    <x v="140"/>
    <x v="11"/>
    <n v="5511950"/>
    <n v="5550"/>
    <d v="2023-05-26T00:00:00"/>
    <s v="UNPAID"/>
    <x v="11"/>
    <n v="275321"/>
    <n v="1"/>
    <s v="Indonesia"/>
    <s v="TJL - JPP"/>
    <x v="0"/>
  </r>
  <r>
    <s v="CLICTRUCK-048485"/>
    <s v="domestic"/>
    <x v="140"/>
    <x v="11"/>
    <n v="5511950"/>
    <n v="5550"/>
    <d v="2023-05-26T00:00:00"/>
    <s v="UNPAID"/>
    <x v="11"/>
    <n v="275321"/>
    <n v="1"/>
    <s v="Indonesia"/>
    <s v="TJL - JPP"/>
    <x v="0"/>
  </r>
  <r>
    <s v="CLICTRUCK-048486"/>
    <s v="domestic"/>
    <x v="140"/>
    <x v="11"/>
    <n v="13541825"/>
    <n v="5550"/>
    <d v="2023-05-26T00:00:00"/>
    <s v="UNPAID"/>
    <x v="11"/>
    <n v="676414"/>
    <n v="1"/>
    <s v="Indonesia"/>
    <s v="TJL - JPP"/>
    <x v="0"/>
  </r>
  <r>
    <s v="CLICTRUCK-048487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488"/>
    <s v="domestic"/>
    <x v="140"/>
    <x v="11"/>
    <n v="13541825"/>
    <n v="5550"/>
    <d v="2023-05-26T00:00:00"/>
    <s v="UNPAID"/>
    <x v="11"/>
    <n v="676414"/>
    <n v="1"/>
    <s v="Indonesia"/>
    <s v="TJL - JPP"/>
    <x v="0"/>
  </r>
  <r>
    <s v="CLICTRUCK-048489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490"/>
    <s v="domestic"/>
    <x v="140"/>
    <x v="11"/>
    <n v="13541825"/>
    <n v="5550"/>
    <d v="2023-05-26T00:00:00"/>
    <s v="UNPAID"/>
    <x v="11"/>
    <n v="676414"/>
    <n v="1"/>
    <s v="Indonesia"/>
    <s v="TJL - JPP"/>
    <x v="0"/>
  </r>
  <r>
    <s v="CLICTRUCK-048491"/>
    <s v="domestic"/>
    <x v="140"/>
    <x v="11"/>
    <n v="13541825"/>
    <n v="5550"/>
    <d v="2023-05-26T00:00:00"/>
    <s v="UNPAID"/>
    <x v="11"/>
    <n v="676414"/>
    <n v="1"/>
    <s v="Indonesia"/>
    <s v="TJL - JPP"/>
    <x v="0"/>
  </r>
  <r>
    <s v="CLICTRUCK-048492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493"/>
    <s v="domestic"/>
    <x v="140"/>
    <x v="11"/>
    <n v="5511950"/>
    <n v="5550"/>
    <d v="2023-05-26T00:00:00"/>
    <s v="UNPAID"/>
    <x v="11"/>
    <n v="275321"/>
    <n v="1"/>
    <s v="Indonesia"/>
    <s v="TJL - JPP"/>
    <x v="0"/>
  </r>
  <r>
    <s v="CLICTRUCK-048494"/>
    <s v="domestic"/>
    <x v="140"/>
    <x v="11"/>
    <n v="5511950"/>
    <n v="5550"/>
    <d v="2023-05-26T00:00:00"/>
    <s v="UNPAID"/>
    <x v="11"/>
    <n v="275321"/>
    <n v="1"/>
    <s v="Indonesia"/>
    <s v="TJL - JPP"/>
    <x v="0"/>
  </r>
  <r>
    <s v="CLICTRUCK-048495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496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497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498"/>
    <s v="domestic"/>
    <x v="140"/>
    <x v="11"/>
    <n v="5511950"/>
    <n v="5550"/>
    <d v="2023-05-26T00:00:00"/>
    <s v="UNPAID"/>
    <x v="11"/>
    <n v="275321"/>
    <n v="1"/>
    <s v="Indonesia"/>
    <s v="TJL - JPP"/>
    <x v="0"/>
  </r>
  <r>
    <s v="CLICTRUCK-048499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500"/>
    <s v="domestic"/>
    <x v="140"/>
    <x v="11"/>
    <n v="5511950"/>
    <n v="5550"/>
    <d v="2023-05-26T00:00:00"/>
    <s v="UNPAID"/>
    <x v="11"/>
    <n v="275321"/>
    <n v="1"/>
    <s v="Indonesia"/>
    <s v="TJL - JPP"/>
    <x v="0"/>
  </r>
  <r>
    <s v="CLICTRUCK-048501"/>
    <s v="domestic"/>
    <x v="140"/>
    <x v="11"/>
    <n v="14851625"/>
    <n v="5550"/>
    <d v="2023-05-26T00:00:00"/>
    <s v="UNPAID"/>
    <x v="11"/>
    <n v="741838"/>
    <n v="1"/>
    <s v="Indonesia"/>
    <s v="TJL - JPP"/>
    <x v="0"/>
  </r>
  <r>
    <s v="CLICTRUCK-048502"/>
    <s v="domestic"/>
    <x v="140"/>
    <x v="11"/>
    <n v="15845489"/>
    <n v="5550"/>
    <d v="2023-05-26T00:00:00"/>
    <s v="UNPAID"/>
    <x v="11"/>
    <n v="791482"/>
    <n v="1"/>
    <s v="Indonesia"/>
    <s v="TJL - JPP"/>
    <x v="0"/>
  </r>
  <r>
    <s v="CLICTRUCK-048503"/>
    <s v="domestic"/>
    <x v="140"/>
    <x v="11"/>
    <n v="6743600"/>
    <n v="5550"/>
    <d v="2023-05-26T00:00:00"/>
    <s v="UNPAID"/>
    <x v="11"/>
    <n v="336842"/>
    <n v="1"/>
    <s v="Indonesia"/>
    <s v="TJL - JPP"/>
    <x v="0"/>
  </r>
  <r>
    <s v="CLICTRUCK-048504"/>
    <s v="domestic"/>
    <x v="140"/>
    <x v="11"/>
    <n v="5000775"/>
    <n v="5550"/>
    <d v="2023-05-26T00:00:00"/>
    <s v="UNPAID"/>
    <x v="11"/>
    <n v="249787"/>
    <n v="1"/>
    <s v="Indonesia"/>
    <s v="TJL - JPP"/>
    <x v="0"/>
  </r>
  <r>
    <s v="CLICTRUCK-048505"/>
    <s v="domestic"/>
    <x v="140"/>
    <x v="11"/>
    <n v="5860400"/>
    <n v="5550"/>
    <d v="2023-05-26T00:00:00"/>
    <s v="UNPAID"/>
    <x v="11"/>
    <n v="292726"/>
    <n v="1"/>
    <s v="Indonesia"/>
    <s v="TJL - JPP"/>
    <x v="0"/>
  </r>
  <r>
    <s v="CLICTRUCK-048506"/>
    <s v="domestic"/>
    <x v="140"/>
    <x v="11"/>
    <n v="6676900"/>
    <n v="5550"/>
    <d v="2023-05-26T00:00:00"/>
    <s v="UNPAID"/>
    <x v="11"/>
    <n v="333510"/>
    <n v="1"/>
    <s v="Indonesia"/>
    <s v="TJL - JPP"/>
    <x v="0"/>
  </r>
  <r>
    <s v="CLICTRUCK-048507"/>
    <s v="domestic"/>
    <x v="140"/>
    <x v="11"/>
    <n v="5938600"/>
    <n v="5550"/>
    <d v="2023-05-26T00:00:00"/>
    <s v="UNPAID"/>
    <x v="11"/>
    <n v="296633"/>
    <n v="1"/>
    <s v="Indonesia"/>
    <s v="TJL - JPP"/>
    <x v="0"/>
  </r>
  <r>
    <s v="CLICTRUCK-048508"/>
    <s v="domestic"/>
    <x v="140"/>
    <x v="11"/>
    <n v="4938675"/>
    <n v="5550"/>
    <d v="2023-05-26T00:00:00"/>
    <s v="UNPAID"/>
    <x v="11"/>
    <n v="246686"/>
    <n v="1"/>
    <s v="Indonesia"/>
    <s v="TJL - JPP"/>
    <x v="0"/>
  </r>
  <r>
    <s v="CLICTRUCK-048509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510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511"/>
    <s v="domestic"/>
    <x v="140"/>
    <x v="11"/>
    <n v="5511950"/>
    <n v="5550"/>
    <d v="2023-05-26T00:00:00"/>
    <s v="UNPAID"/>
    <x v="11"/>
    <n v="275321"/>
    <n v="1"/>
    <s v="Indonesia"/>
    <s v="TJL - JPP"/>
    <x v="0"/>
  </r>
  <r>
    <s v="CLICTRUCK-048512"/>
    <s v="domestic"/>
    <x v="140"/>
    <x v="11"/>
    <n v="5511950"/>
    <n v="5550"/>
    <d v="2023-05-26T00:00:00"/>
    <s v="UNPAID"/>
    <x v="11"/>
    <n v="275321"/>
    <n v="1"/>
    <s v="Indonesia"/>
    <s v="TJL - JPP"/>
    <x v="0"/>
  </r>
  <r>
    <s v="CLICTRUCK-048513"/>
    <s v="domestic"/>
    <x v="140"/>
    <x v="11"/>
    <n v="3580200"/>
    <n v="5550"/>
    <d v="2023-05-26T00:00:00"/>
    <s v="UNPAID"/>
    <x v="11"/>
    <n v="178830"/>
    <n v="1"/>
    <s v="Indonesia"/>
    <s v="TJL - JPP"/>
    <x v="0"/>
  </r>
  <r>
    <s v="CLICTRUCK-048514"/>
    <s v="domestic"/>
    <x v="140"/>
    <x v="11"/>
    <n v="4788600"/>
    <n v="5550"/>
    <d v="2023-05-26T00:00:00"/>
    <s v="UNPAID"/>
    <x v="11"/>
    <n v="239190"/>
    <n v="1"/>
    <s v="Indonesia"/>
    <s v="TJL - JPP"/>
    <x v="0"/>
  </r>
  <r>
    <s v="CLICTRUCK-048515"/>
    <s v="domestic"/>
    <x v="140"/>
    <x v="11"/>
    <n v="1665000"/>
    <n v="5550"/>
    <d v="2023-05-26T00:00:00"/>
    <s v="UNPAID"/>
    <x v="11"/>
    <n v="83166"/>
    <n v="1"/>
    <s v="Indonesia"/>
    <s v="TJL - JPP"/>
    <x v="0"/>
  </r>
  <r>
    <s v="CLICTRUCK-048516"/>
    <s v="domestic"/>
    <x v="140"/>
    <x v="11"/>
    <n v="1800000"/>
    <n v="5550"/>
    <d v="2023-05-26T00:00:00"/>
    <s v="UNPAID"/>
    <x v="11"/>
    <n v="89910"/>
    <n v="1"/>
    <s v="Indonesia"/>
    <s v="TJL - JPP"/>
    <x v="0"/>
  </r>
  <r>
    <s v="CLICTRUCK-048517"/>
    <s v="domestic"/>
    <x v="140"/>
    <x v="11"/>
    <n v="1800000"/>
    <n v="5550"/>
    <d v="2023-05-26T00:00:00"/>
    <s v="UNPAID"/>
    <x v="11"/>
    <n v="89910"/>
    <n v="1"/>
    <s v="Indonesia"/>
    <s v="TJL - JPP"/>
    <x v="0"/>
  </r>
  <r>
    <s v="CLICTRUCK-048518"/>
    <s v="domestic"/>
    <x v="140"/>
    <x v="11"/>
    <n v="2790000"/>
    <n v="5550"/>
    <d v="2023-05-26T00:00:00"/>
    <s v="UNPAID"/>
    <x v="11"/>
    <n v="139360"/>
    <n v="1"/>
    <s v="Indonesia"/>
    <s v="TJL - JPP"/>
    <x v="0"/>
  </r>
  <r>
    <s v="CLICTRUCK-048519"/>
    <s v="domestic"/>
    <x v="140"/>
    <x v="11"/>
    <n v="1800000"/>
    <n v="5550"/>
    <d v="2023-05-26T00:00:00"/>
    <s v="UNPAID"/>
    <x v="11"/>
    <n v="89910"/>
    <n v="1"/>
    <s v="Indonesia"/>
    <s v="TJL - JPP"/>
    <x v="0"/>
  </r>
  <r>
    <s v="CLICTRUCK-048520"/>
    <s v="domestic"/>
    <x v="140"/>
    <x v="11"/>
    <n v="2790000"/>
    <n v="5550"/>
    <d v="2023-05-26T00:00:00"/>
    <s v="UNPAID"/>
    <x v="11"/>
    <n v="139360"/>
    <n v="1"/>
    <s v="Indonesia"/>
    <s v="TJL - JPP"/>
    <x v="0"/>
  </r>
  <r>
    <s v="CLICTRUCK-048521"/>
    <s v="domestic"/>
    <x v="140"/>
    <x v="11"/>
    <n v="11492337"/>
    <n v="5550"/>
    <d v="2023-05-26T00:00:00"/>
    <s v="UNPAID"/>
    <x v="11"/>
    <n v="574042"/>
    <n v="1"/>
    <s v="Indonesia"/>
    <s v="TJL - JPP"/>
    <x v="0"/>
  </r>
  <r>
    <s v="CLICTRUCK-048522"/>
    <s v="domestic"/>
    <x v="140"/>
    <x v="11"/>
    <n v="14851625"/>
    <n v="5550"/>
    <d v="2023-05-26T00:00:00"/>
    <s v="UNPAID"/>
    <x v="11"/>
    <n v="741838"/>
    <n v="1"/>
    <s v="Indonesia"/>
    <s v="TJL - JPP"/>
    <x v="0"/>
  </r>
  <r>
    <s v="CLICTRUCK-048523"/>
    <s v="domestic"/>
    <x v="140"/>
    <x v="11"/>
    <n v="10802805"/>
    <n v="5550"/>
    <d v="2023-05-26T00:00:00"/>
    <s v="UNPAID"/>
    <x v="11"/>
    <n v="539599"/>
    <n v="1"/>
    <s v="Indonesia"/>
    <s v="TJL - JPP"/>
    <x v="0"/>
  </r>
  <r>
    <s v="CLICTRUCK-048524"/>
    <s v="domestic"/>
    <x v="140"/>
    <x v="11"/>
    <n v="6549825"/>
    <n v="5550"/>
    <d v="2023-05-26T00:00:00"/>
    <s v="UNPAID"/>
    <x v="11"/>
    <n v="327163"/>
    <n v="1"/>
    <s v="Indonesia"/>
    <s v="TJL - JPP"/>
    <x v="0"/>
  </r>
  <r>
    <s v="CLICTRUCK-048525"/>
    <s v="domestic"/>
    <x v="140"/>
    <x v="11"/>
    <n v="10318950"/>
    <n v="5550"/>
    <d v="2023-05-26T00:00:00"/>
    <s v="UNPAID"/>
    <x v="11"/>
    <n v="515430"/>
    <n v="1"/>
    <s v="Indonesia"/>
    <s v="TJL - JPP"/>
    <x v="0"/>
  </r>
  <r>
    <s v="CLICTRUCK-048526"/>
    <s v="domestic"/>
    <x v="140"/>
    <x v="11"/>
    <n v="5557950"/>
    <n v="5550"/>
    <d v="2023-05-26T00:00:00"/>
    <s v="UNPAID"/>
    <x v="11"/>
    <n v="277618"/>
    <n v="1"/>
    <s v="Indonesia"/>
    <s v="TJL - JPP"/>
    <x v="0"/>
  </r>
  <r>
    <s v="CLICTRUCK-048527"/>
    <s v="domestic"/>
    <x v="140"/>
    <x v="11"/>
    <n v="6265200"/>
    <n v="5550"/>
    <d v="2023-05-26T00:00:00"/>
    <s v="UNPAID"/>
    <x v="11"/>
    <n v="312946"/>
    <n v="1"/>
    <s v="Indonesia"/>
    <s v="TJL - JPP"/>
    <x v="0"/>
  </r>
  <r>
    <s v="CLICTRUCK-048528"/>
    <s v="domestic"/>
    <x v="140"/>
    <x v="11"/>
    <n v="5293450"/>
    <n v="5550"/>
    <d v="2023-05-26T00:00:00"/>
    <s v="UNPAID"/>
    <x v="11"/>
    <n v="264407"/>
    <n v="1"/>
    <s v="Indonesia"/>
    <s v="TJL - JPP"/>
    <x v="0"/>
  </r>
  <r>
    <s v="CLICTRUCK-048529"/>
    <s v="domestic"/>
    <x v="140"/>
    <x v="11"/>
    <n v="5293450"/>
    <n v="5550"/>
    <d v="2023-05-26T00:00:00"/>
    <s v="UNPAID"/>
    <x v="11"/>
    <n v="264407"/>
    <n v="1"/>
    <s v="Indonesia"/>
    <s v="TJL - JPP"/>
    <x v="0"/>
  </r>
  <r>
    <s v="CLICTRUCK-048530"/>
    <s v="domestic"/>
    <x v="96"/>
    <x v="11"/>
    <n v="5293450"/>
    <n v="5550"/>
    <d v="2023-05-26T00:00:00"/>
    <s v="UNPAID"/>
    <x v="11"/>
    <n v="264407"/>
    <n v="1"/>
    <s v="Indonesia"/>
    <s v="TJL - JPP"/>
    <x v="0"/>
  </r>
  <r>
    <s v="CLICTRUCK-048531"/>
    <s v="domestic"/>
    <x v="96"/>
    <x v="11"/>
    <n v="5293450"/>
    <n v="5550"/>
    <d v="2023-05-26T00:00:00"/>
    <s v="UNPAID"/>
    <x v="11"/>
    <n v="264407"/>
    <n v="1"/>
    <s v="Indonesia"/>
    <s v="TJL - JPP"/>
    <x v="0"/>
  </r>
  <r>
    <s v="CLICTRUCK-048532"/>
    <s v="domestic"/>
    <x v="96"/>
    <x v="11"/>
    <n v="5293450"/>
    <n v="5550"/>
    <d v="2023-05-26T00:00:00"/>
    <s v="UNPAID"/>
    <x v="11"/>
    <n v="264407"/>
    <n v="1"/>
    <s v="Indonesia"/>
    <s v="TJL - JPP"/>
    <x v="0"/>
  </r>
  <r>
    <s v="CLICTRUCK-048533"/>
    <s v="domestic"/>
    <x v="96"/>
    <x v="11"/>
    <n v="5293450"/>
    <n v="5550"/>
    <d v="2023-05-26T00:00:00"/>
    <s v="UNPAID"/>
    <x v="11"/>
    <n v="264407"/>
    <n v="1"/>
    <s v="Indonesia"/>
    <s v="TJL - JPP"/>
    <x v="0"/>
  </r>
  <r>
    <s v="CLICTRUCK-048534"/>
    <s v="domestic"/>
    <x v="96"/>
    <x v="11"/>
    <n v="5293450"/>
    <n v="5550"/>
    <d v="2023-05-26T00:00:00"/>
    <s v="UNPAID"/>
    <x v="11"/>
    <n v="264407"/>
    <n v="1"/>
    <s v="Indonesia"/>
    <s v="TJL - JPP"/>
    <x v="0"/>
  </r>
  <r>
    <s v="CLICTRUCK-048535"/>
    <s v="domestic"/>
    <x v="96"/>
    <x v="11"/>
    <n v="5293450"/>
    <n v="5550"/>
    <d v="2023-05-26T00:00:00"/>
    <s v="UNPAID"/>
    <x v="11"/>
    <n v="264407"/>
    <n v="1"/>
    <s v="Indonesia"/>
    <s v="TJL - JPP"/>
    <x v="0"/>
  </r>
  <r>
    <s v="CLICTRUCK-048536"/>
    <s v="domestic"/>
    <x v="96"/>
    <x v="11"/>
    <n v="5293450"/>
    <n v="5550"/>
    <d v="2023-05-26T00:00:00"/>
    <s v="UNPAID"/>
    <x v="11"/>
    <n v="264407"/>
    <n v="1"/>
    <s v="Indonesia"/>
    <s v="TJL - JPP"/>
    <x v="0"/>
  </r>
  <r>
    <s v="CLICTRUCK-048537"/>
    <s v="domestic"/>
    <x v="96"/>
    <x v="11"/>
    <n v="14350000"/>
    <n v="5550"/>
    <d v="2023-05-26T00:00:00"/>
    <s v="UNPAID"/>
    <x v="11"/>
    <n v="716782"/>
    <n v="1"/>
    <s v="Indonesia"/>
    <s v="TJL - JPP"/>
    <x v="0"/>
  </r>
  <r>
    <s v="CLICTRUCK-048538"/>
    <s v="domestic"/>
    <x v="96"/>
    <x v="11"/>
    <n v="14851625"/>
    <n v="5550"/>
    <d v="2023-05-26T00:00:00"/>
    <s v="UNPAID"/>
    <x v="11"/>
    <n v="741838"/>
    <n v="1"/>
    <s v="Indonesia"/>
    <s v="TJL - JPP"/>
    <x v="0"/>
  </r>
  <r>
    <s v="CLICTRUCK-048539"/>
    <s v="domestic"/>
    <x v="96"/>
    <x v="11"/>
    <n v="14851625"/>
    <n v="5550"/>
    <d v="2023-05-26T00:00:00"/>
    <s v="UNPAID"/>
    <x v="11"/>
    <n v="741838"/>
    <n v="1"/>
    <s v="Indonesia"/>
    <s v="TJL - JPP"/>
    <x v="0"/>
  </r>
  <r>
    <s v="CLICTRUCK-048540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41"/>
    <s v="domestic"/>
    <x v="96"/>
    <x v="11"/>
    <n v="13541825"/>
    <n v="5550"/>
    <d v="2023-05-26T00:00:00"/>
    <s v="UNPAID"/>
    <x v="11"/>
    <n v="676414"/>
    <n v="1"/>
    <s v="Indonesia"/>
    <s v="TJL - JPP"/>
    <x v="0"/>
  </r>
  <r>
    <s v="CLICTRUCK-048542"/>
    <s v="domestic"/>
    <x v="96"/>
    <x v="11"/>
    <n v="11348150"/>
    <n v="5550"/>
    <d v="2023-05-26T00:00:00"/>
    <s v="UNPAID"/>
    <x v="11"/>
    <n v="566839"/>
    <n v="1"/>
    <s v="Indonesia"/>
    <s v="TJL - JPP"/>
    <x v="0"/>
  </r>
  <r>
    <s v="CLICTRUCK-048543"/>
    <s v="domestic"/>
    <x v="96"/>
    <x v="11"/>
    <n v="14851625"/>
    <n v="5550"/>
    <d v="2023-05-26T00:00:00"/>
    <s v="UNPAID"/>
    <x v="11"/>
    <n v="741838"/>
    <n v="1"/>
    <s v="Indonesia"/>
    <s v="TJL - JPP"/>
    <x v="0"/>
  </r>
  <r>
    <s v="CLICTRUCK-048544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45"/>
    <s v="domestic"/>
    <x v="96"/>
    <x v="11"/>
    <n v="6549825"/>
    <n v="5550"/>
    <d v="2023-05-26T00:00:00"/>
    <s v="UNPAID"/>
    <x v="11"/>
    <n v="327163"/>
    <n v="1"/>
    <s v="Indonesia"/>
    <s v="TJL - JPP"/>
    <x v="0"/>
  </r>
  <r>
    <s v="CLICTRUCK-048546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47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48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49"/>
    <s v="domestic"/>
    <x v="96"/>
    <x v="11"/>
    <n v="6549825"/>
    <n v="5550"/>
    <d v="2023-05-26T00:00:00"/>
    <s v="UNPAID"/>
    <x v="11"/>
    <n v="327163"/>
    <n v="1"/>
    <s v="Indonesia"/>
    <s v="TJL - JPP"/>
    <x v="0"/>
  </r>
  <r>
    <s v="CLICTRUCK-048550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51"/>
    <s v="domestic"/>
    <x v="96"/>
    <x v="11"/>
    <n v="6549825"/>
    <n v="5550"/>
    <d v="2023-05-26T00:00:00"/>
    <s v="UNPAID"/>
    <x v="11"/>
    <n v="327163"/>
    <n v="1"/>
    <s v="Indonesia"/>
    <s v="TJL - JPP"/>
    <x v="0"/>
  </r>
  <r>
    <s v="CLICTRUCK-048552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53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54"/>
    <s v="domestic"/>
    <x v="96"/>
    <x v="11"/>
    <n v="3543150"/>
    <n v="5550"/>
    <d v="2023-05-26T00:00:00"/>
    <s v="UNPAID"/>
    <x v="11"/>
    <n v="176979"/>
    <n v="1"/>
    <s v="Indonesia"/>
    <s v="TJL - JPP"/>
    <x v="0"/>
  </r>
  <r>
    <s v="CLICTRUCK-048555"/>
    <s v="domestic"/>
    <x v="96"/>
    <x v="11"/>
    <n v="2134350"/>
    <n v="5550"/>
    <d v="2023-05-26T00:00:00"/>
    <s v="UNPAID"/>
    <x v="11"/>
    <n v="106609"/>
    <n v="1"/>
    <s v="Indonesia"/>
    <s v="TJL - JPP"/>
    <x v="0"/>
  </r>
  <r>
    <s v="CLICTRUCK-048556"/>
    <s v="domestic"/>
    <x v="96"/>
    <x v="11"/>
    <n v="1542240"/>
    <n v="5550"/>
    <d v="2023-05-26T00:00:00"/>
    <s v="UNPAID"/>
    <x v="11"/>
    <n v="77034"/>
    <n v="1"/>
    <s v="Indonesia"/>
    <s v="TJL - JPP"/>
    <x v="0"/>
  </r>
  <r>
    <s v="CLICTRUCK-048557"/>
    <s v="domestic"/>
    <x v="96"/>
    <x v="11"/>
    <n v="5131620"/>
    <n v="5550"/>
    <d v="2023-05-26T00:00:00"/>
    <s v="UNPAID"/>
    <x v="11"/>
    <n v="256323"/>
    <n v="1"/>
    <s v="Indonesia"/>
    <s v="TJL - JPP"/>
    <x v="0"/>
  </r>
  <r>
    <s v="CLICTRUCK-048558"/>
    <s v="domestic"/>
    <x v="96"/>
    <x v="11"/>
    <n v="1800000"/>
    <n v="5550"/>
    <d v="2023-05-26T00:00:00"/>
    <s v="UNPAID"/>
    <x v="11"/>
    <n v="89910"/>
    <n v="1"/>
    <s v="Indonesia"/>
    <s v="TJL - JPP"/>
    <x v="0"/>
  </r>
  <r>
    <s v="CLICTRUCK-048559"/>
    <s v="domestic"/>
    <x v="96"/>
    <x v="11"/>
    <n v="3878550"/>
    <n v="5550"/>
    <d v="2023-05-26T00:00:00"/>
    <s v="UNPAID"/>
    <x v="11"/>
    <n v="193732"/>
    <n v="1"/>
    <s v="Indonesia"/>
    <s v="TJL - JPP"/>
    <x v="0"/>
  </r>
  <r>
    <s v="CLICTRUCK-048560"/>
    <s v="domestic"/>
    <x v="96"/>
    <x v="11"/>
    <n v="1542240"/>
    <n v="5550"/>
    <d v="2023-05-26T00:00:00"/>
    <s v="UNPAID"/>
    <x v="11"/>
    <n v="77034"/>
    <n v="1"/>
    <s v="Indonesia"/>
    <s v="TJL - JPP"/>
    <x v="0"/>
  </r>
  <r>
    <s v="CLICTRUCK-048561"/>
    <s v="domestic"/>
    <x v="96"/>
    <x v="11"/>
    <n v="3414960"/>
    <n v="5550"/>
    <d v="2023-05-26T00:00:00"/>
    <s v="UNPAID"/>
    <x v="11"/>
    <n v="170577"/>
    <n v="1"/>
    <s v="Indonesia"/>
    <s v="TJL - JPP"/>
    <x v="0"/>
  </r>
  <r>
    <s v="CLICTRUCK-048562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63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64"/>
    <s v="domestic"/>
    <x v="96"/>
    <x v="11"/>
    <n v="5511950"/>
    <n v="5550"/>
    <d v="2023-05-26T00:00:00"/>
    <s v="UNPAID"/>
    <x v="11"/>
    <n v="275321"/>
    <n v="1"/>
    <s v="Indonesia"/>
    <s v="TJL - JPP"/>
    <x v="0"/>
  </r>
  <r>
    <s v="CLICTRUCK-048565"/>
    <s v="domestic"/>
    <x v="96"/>
    <x v="9"/>
    <n v="340060"/>
    <n v="24975"/>
    <d v="2023-05-25T00:00:00"/>
    <s v="UNPAID"/>
    <x v="9"/>
    <n v="11323"/>
    <n v="1"/>
    <s v="Indonesia"/>
    <s v="YSN-SSA"/>
    <x v="0"/>
  </r>
  <r>
    <s v="CLICTRUCK-048566"/>
    <s v="domestic"/>
    <x v="96"/>
    <x v="10"/>
    <n v="2204000"/>
    <n v="20000"/>
    <m/>
    <s v="DELIVERED"/>
    <x v="10"/>
    <n v="0"/>
    <n v="1"/>
    <s v="Indonesia"/>
    <s v="ZLog-ZENSHIN"/>
    <x v="1"/>
  </r>
  <r>
    <s v="CLICTRUCK-048567"/>
    <s v="domestic"/>
    <x v="96"/>
    <x v="10"/>
    <n v="1740000"/>
    <n v="20000"/>
    <m/>
    <s v="DELIVERED"/>
    <x v="10"/>
    <n v="0"/>
    <n v="1"/>
    <s v="Indonesia"/>
    <s v="ZLog-ZENSHIN"/>
    <x v="1"/>
  </r>
  <r>
    <s v="CLICTRUCK-048568"/>
    <s v="domestic"/>
    <x v="96"/>
    <x v="10"/>
    <n v="1969428"/>
    <n v="22200"/>
    <d v="2023-05-20T00:00:00"/>
    <s v="UNPAID"/>
    <x v="10"/>
    <n v="87442"/>
    <n v="1"/>
    <s v="Indonesia"/>
    <s v="ZLog-ZENSHIN"/>
    <x v="0"/>
  </r>
  <r>
    <s v="CLICTRUCK-048569"/>
    <s v="domestic"/>
    <x v="96"/>
    <x v="10"/>
    <n v="4130946"/>
    <n v="22200"/>
    <d v="2023-05-20T00:00:00"/>
    <s v="UNPAID"/>
    <x v="10"/>
    <n v="183413"/>
    <n v="1"/>
    <s v="Indonesia"/>
    <s v="ZLog-ZENSHIN"/>
    <x v="0"/>
  </r>
  <r>
    <s v="CLICTRUCK-048570"/>
    <s v="domestic"/>
    <x v="96"/>
    <x v="10"/>
    <n v="2731772"/>
    <n v="22200"/>
    <d v="2023-05-20T00:00:00"/>
    <s v="UNPAID"/>
    <x v="10"/>
    <n v="121289"/>
    <n v="1"/>
    <s v="Indonesia"/>
    <s v="ZLog-ZENSHIN"/>
    <x v="0"/>
  </r>
  <r>
    <s v="CLICTRUCK-048571"/>
    <s v="domestic"/>
    <x v="96"/>
    <x v="9"/>
    <n v="340060"/>
    <n v="24975"/>
    <d v="2023-05-19T00:00:00"/>
    <s v="UNPAID"/>
    <x v="9"/>
    <n v="11323"/>
    <n v="1"/>
    <s v="Indonesia"/>
    <s v="YSN-SSA"/>
    <x v="0"/>
  </r>
  <r>
    <s v="CLICTRUCK-048572"/>
    <s v="domestic"/>
    <x v="96"/>
    <x v="9"/>
    <n v="274890"/>
    <n v="24975"/>
    <d v="2023-05-25T00:00:00"/>
    <s v="UNPAID"/>
    <x v="9"/>
    <n v="9153"/>
    <n v="1"/>
    <s v="Indonesia"/>
    <s v="YSN-SSA"/>
    <x v="0"/>
  </r>
  <r>
    <s v="CLICTRUCK-048573"/>
    <s v="domestic"/>
    <x v="96"/>
    <x v="9"/>
    <n v="516950"/>
    <n v="74925"/>
    <d v="2023-05-25T00:00:00"/>
    <s v="UNPAID"/>
    <x v="9"/>
    <n v="17213"/>
    <n v="3"/>
    <s v="Indonesia"/>
    <s v="YSN-SSA"/>
    <x v="0"/>
  </r>
  <r>
    <s v="CLICTRUCK-048574"/>
    <s v="domestic"/>
    <x v="96"/>
    <x v="9"/>
    <n v="294490"/>
    <n v="24975"/>
    <d v="2023-05-25T00:00:00"/>
    <s v="UNPAID"/>
    <x v="9"/>
    <n v="9805"/>
    <n v="1"/>
    <s v="Indonesia"/>
    <s v="YSN-SSA"/>
    <x v="0"/>
  </r>
  <r>
    <s v="CLICTRUCK-048586"/>
    <s v="domestic"/>
    <x v="96"/>
    <x v="28"/>
    <n v="0"/>
    <n v="25000"/>
    <m/>
    <s v="NEW"/>
    <x v="31"/>
    <n v="0"/>
    <n v="3"/>
    <s v="Indonesia"/>
    <s v="TSM - DGS"/>
    <x v="1"/>
  </r>
  <r>
    <s v="CLICTRUCK-048587"/>
    <s v="domestic"/>
    <x v="96"/>
    <x v="9"/>
    <n v="245490"/>
    <n v="24975"/>
    <d v="2023-05-25T00:00:00"/>
    <s v="UNPAID"/>
    <x v="9"/>
    <n v="8174"/>
    <n v="1"/>
    <s v="Indonesia"/>
    <s v="YSN-SSA"/>
    <x v="0"/>
  </r>
  <r>
    <s v="CLICTRUCK-048588"/>
    <s v="domestic"/>
    <x v="141"/>
    <x v="32"/>
    <n v="3700000"/>
    <n v="27750"/>
    <d v="2023-05-21T00:00:00"/>
    <s v="UNPAID"/>
    <x v="36"/>
    <n v="102675"/>
    <n v="1"/>
    <s v="Indonesia"/>
    <s v="SPM - BTS"/>
    <x v="0"/>
  </r>
  <r>
    <s v="CLICTRUCK-048589"/>
    <s v="domestic"/>
    <x v="141"/>
    <x v="32"/>
    <n v="3700000"/>
    <n v="27750"/>
    <d v="2023-05-21T00:00:00"/>
    <s v="UNPAID"/>
    <x v="36"/>
    <n v="102675"/>
    <n v="1"/>
    <s v="Indonesia"/>
    <s v="SPM - BTS"/>
    <x v="0"/>
  </r>
  <r>
    <s v="CLICTRUCK-048590"/>
    <s v="domestic"/>
    <x v="141"/>
    <x v="32"/>
    <n v="3700000"/>
    <n v="27750"/>
    <d v="2023-05-21T00:00:00"/>
    <s v="UNPAID"/>
    <x v="36"/>
    <n v="102675"/>
    <n v="1"/>
    <s v="Indonesia"/>
    <s v="SPM - BTS"/>
    <x v="0"/>
  </r>
  <r>
    <s v="CLICTRUCK-048591"/>
    <s v="domestic"/>
    <x v="141"/>
    <x v="32"/>
    <n v="3700000"/>
    <n v="27750"/>
    <d v="2023-05-21T00:00:00"/>
    <s v="UNPAID"/>
    <x v="36"/>
    <n v="102675"/>
    <n v="1"/>
    <s v="Indonesia"/>
    <s v="SPM - BTS"/>
    <x v="0"/>
  </r>
  <r>
    <s v="CLICTRUCK-048592"/>
    <s v="domestic"/>
    <x v="142"/>
    <x v="28"/>
    <n v="80913000"/>
    <n v="83250"/>
    <d v="2023-05-19T00:00:00"/>
    <s v="UNPAID"/>
    <x v="31"/>
    <n v="2963843"/>
    <n v="3"/>
    <s v="Indonesia"/>
    <s v="TSM - DGS"/>
    <x v="0"/>
  </r>
  <r>
    <s v="CLICTRUCK-048593"/>
    <s v="domestic"/>
    <x v="143"/>
    <x v="9"/>
    <n v="340060"/>
    <n v="24975"/>
    <d v="2023-05-25T00:00:00"/>
    <s v="UNPAID"/>
    <x v="9"/>
    <n v="11323"/>
    <n v="1"/>
    <s v="Indonesia"/>
    <s v="YSN-SSA"/>
    <x v="0"/>
  </r>
  <r>
    <s v="CLICTRUCK-048594"/>
    <s v="domestic"/>
    <x v="143"/>
    <x v="9"/>
    <n v="340060"/>
    <n v="24975"/>
    <d v="2023-05-25T00:00:00"/>
    <s v="UNPAID"/>
    <x v="9"/>
    <n v="11323"/>
    <n v="1"/>
    <s v="Indonesia"/>
    <s v="YSN-SSA"/>
    <x v="0"/>
  </r>
  <r>
    <s v="CLICTRUCK-048595"/>
    <s v="domestic"/>
    <x v="143"/>
    <x v="39"/>
    <n v="4300000"/>
    <n v="25000"/>
    <m/>
    <s v="PENDING APPROVAL"/>
    <x v="42"/>
    <n v="0"/>
    <n v="1"/>
    <s v="Indonesia"/>
    <s v="SKP - KDB"/>
    <x v="1"/>
  </r>
  <r>
    <s v="CLICTRUCK-048596"/>
    <s v="domestic"/>
    <x v="143"/>
    <x v="39"/>
    <n v="93977311"/>
    <n v="27750"/>
    <d v="2023-05-19T00:00:00"/>
    <s v="UNPAID"/>
    <x v="42"/>
    <n v="3129444"/>
    <n v="1"/>
    <s v="Indonesia"/>
    <s v="SKP - KDB"/>
    <x v="0"/>
  </r>
  <r>
    <s v="CLICTRUCK-048597"/>
    <s v="domestic"/>
    <x v="143"/>
    <x v="39"/>
    <n v="4300000"/>
    <n v="25000"/>
    <m/>
    <s v="PENDING APPROVAL"/>
    <x v="42"/>
    <n v="0"/>
    <n v="1"/>
    <s v="Indonesia"/>
    <s v="SKP - KDB"/>
    <x v="1"/>
  </r>
  <r>
    <s v="CLICTRUCK-048598"/>
    <s v="domestic"/>
    <x v="143"/>
    <x v="39"/>
    <n v="4300000"/>
    <n v="25000"/>
    <m/>
    <s v="PENDING APPROVAL"/>
    <x v="42"/>
    <n v="0"/>
    <n v="1"/>
    <s v="Indonesia"/>
    <s v="SKP - KDB"/>
    <x v="1"/>
  </r>
  <r>
    <s v="CLICTRUCK-048599"/>
    <s v="domestic"/>
    <x v="143"/>
    <x v="39"/>
    <n v="4300000"/>
    <n v="25000"/>
    <m/>
    <s v="PENDING APPROVAL"/>
    <x v="42"/>
    <n v="0"/>
    <n v="1"/>
    <s v="Indonesia"/>
    <s v="SKP - KDB"/>
    <x v="1"/>
  </r>
  <r>
    <s v="CLICTRUCK-048600"/>
    <s v="domestic"/>
    <x v="143"/>
    <x v="39"/>
    <n v="4300000"/>
    <n v="25000"/>
    <m/>
    <s v="PENDING APPROVAL"/>
    <x v="42"/>
    <n v="0"/>
    <n v="1"/>
    <s v="Indonesia"/>
    <s v="SKP - KDB"/>
    <x v="1"/>
  </r>
  <r>
    <s v="CLICTRUCK-048601"/>
    <s v="domestic"/>
    <x v="143"/>
    <x v="39"/>
    <n v="4300000"/>
    <n v="25000"/>
    <m/>
    <s v="PENDING APPROVAL"/>
    <x v="42"/>
    <n v="0"/>
    <n v="1"/>
    <s v="Indonesia"/>
    <s v="SKP - KDB"/>
    <x v="1"/>
  </r>
  <r>
    <s v="CLICTRUCK-048602"/>
    <s v="domestic"/>
    <x v="143"/>
    <x v="39"/>
    <n v="4300000"/>
    <n v="25000"/>
    <m/>
    <s v="PENDING APPROVAL"/>
    <x v="42"/>
    <n v="0"/>
    <n v="1"/>
    <s v="Indonesia"/>
    <s v="SKP - KDB"/>
    <x v="1"/>
  </r>
  <r>
    <s v="CLICTRUCK-048603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04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05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06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07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08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09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10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11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12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13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14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15"/>
    <s v="domestic"/>
    <x v="143"/>
    <x v="39"/>
    <n v="4300000"/>
    <n v="27750"/>
    <d v="2023-05-19T00:00:00"/>
    <s v="UNPAID"/>
    <x v="42"/>
    <n v="143190"/>
    <n v="1"/>
    <s v="Indonesia"/>
    <s v="SKP - KDB"/>
    <x v="0"/>
  </r>
  <r>
    <s v="CLICTRUCK-048616"/>
    <s v="domestic"/>
    <x v="143"/>
    <x v="40"/>
    <n v="98000000"/>
    <n v="6526800"/>
    <d v="2023-05-20T00:00:00"/>
    <s v="UNPAID"/>
    <x v="43"/>
    <n v="27750"/>
    <n v="1"/>
    <s v="Indonesia"/>
    <s v="JSN - NCY"/>
    <x v="0"/>
  </r>
  <r>
    <s v="CLICTRUCK-048617"/>
    <s v="domestic"/>
    <x v="143"/>
    <x v="23"/>
    <n v="10656000"/>
    <n v="27750"/>
    <d v="2023-05-25T00:00:00"/>
    <s v="UNPAID"/>
    <x v="25"/>
    <n v="413985"/>
    <n v="1"/>
    <s v="Indonesia"/>
    <s v="HDL - DUG"/>
    <x v="0"/>
  </r>
  <r>
    <s v="CLICTRUCK-048618"/>
    <s v="domestic"/>
    <x v="143"/>
    <x v="23"/>
    <n v="21238000"/>
    <n v="27750"/>
    <d v="2023-05-25T00:00:00"/>
    <s v="UNPAID"/>
    <x v="25"/>
    <n v="825096"/>
    <n v="1"/>
    <s v="Indonesia"/>
    <s v="HDL - DUG"/>
    <x v="0"/>
  </r>
  <r>
    <s v="CLICTRUCK-048619"/>
    <s v="domestic"/>
    <x v="143"/>
    <x v="23"/>
    <n v="16724000"/>
    <n v="27750"/>
    <d v="2023-05-21T00:00:00"/>
    <s v="UNPAID"/>
    <x v="25"/>
    <n v="649727"/>
    <n v="1"/>
    <s v="Indonesia"/>
    <s v="HDL - DUG"/>
    <x v="0"/>
  </r>
  <r>
    <s v="CLICTRUCK-048621"/>
    <s v="domestic"/>
    <x v="143"/>
    <x v="17"/>
    <n v="20300000"/>
    <n v="788655"/>
    <d v="2023-05-20T00:00:00"/>
    <s v="UNPAID"/>
    <x v="44"/>
    <n v="27750"/>
    <n v="1"/>
    <s v="Indonesia"/>
    <s v="AJM - RALI"/>
    <x v="0"/>
  </r>
  <r>
    <s v="CLICTRUCK-048622"/>
    <s v="domestic"/>
    <x v="143"/>
    <x v="17"/>
    <n v="20300000"/>
    <n v="788655"/>
    <d v="2023-05-20T00:00:00"/>
    <s v="UNPAID"/>
    <x v="44"/>
    <n v="27750"/>
    <n v="1"/>
    <s v="Indonesia"/>
    <s v="AJM - RALI"/>
    <x v="0"/>
  </r>
  <r>
    <s v="CLICTRUCK-048623"/>
    <s v="domestic"/>
    <x v="143"/>
    <x v="17"/>
    <n v="24600000"/>
    <n v="955710"/>
    <d v="2023-05-20T00:00:00"/>
    <s v="UNPAID"/>
    <x v="44"/>
    <n v="27750"/>
    <n v="1"/>
    <s v="Indonesia"/>
    <s v="AJM - RALI"/>
    <x v="0"/>
  </r>
  <r>
    <s v="CLICTRUCK-048624"/>
    <s v="domestic"/>
    <x v="143"/>
    <x v="17"/>
    <n v="20300000"/>
    <n v="788655"/>
    <d v="2023-05-20T00:00:00"/>
    <s v="UNPAID"/>
    <x v="44"/>
    <n v="27750"/>
    <n v="1"/>
    <s v="Indonesia"/>
    <s v="AJM - RALI"/>
    <x v="0"/>
  </r>
  <r>
    <s v="CLICTRUCK-048625"/>
    <s v="domestic"/>
    <x v="143"/>
    <x v="17"/>
    <n v="24600000"/>
    <n v="955710"/>
    <d v="2023-05-20T00:00:00"/>
    <s v="UNPAID"/>
    <x v="44"/>
    <n v="27750"/>
    <n v="1"/>
    <s v="Indonesia"/>
    <s v="AJM - RALI"/>
    <x v="0"/>
  </r>
  <r>
    <s v="CLICTRUCK-048626"/>
    <s v="domestic"/>
    <x v="143"/>
    <x v="17"/>
    <n v="20300000"/>
    <n v="788655"/>
    <d v="2023-05-20T00:00:00"/>
    <s v="UNPAID"/>
    <x v="44"/>
    <n v="27750"/>
    <n v="1"/>
    <s v="Indonesia"/>
    <s v="AJM - RALI"/>
    <x v="0"/>
  </r>
  <r>
    <s v="CLICTRUCK-048627"/>
    <s v="domestic"/>
    <x v="143"/>
    <x v="17"/>
    <n v="20300000"/>
    <n v="788655"/>
    <d v="2023-05-20T00:00:00"/>
    <s v="UNPAID"/>
    <x v="44"/>
    <n v="27750"/>
    <n v="1"/>
    <s v="Indonesia"/>
    <s v="AJM - RALI"/>
    <x v="0"/>
  </r>
  <r>
    <s v="CLICTRUCK-048628"/>
    <s v="domestic"/>
    <x v="143"/>
    <x v="17"/>
    <n v="24600000"/>
    <n v="955710"/>
    <d v="2023-05-20T00:00:00"/>
    <s v="UNPAID"/>
    <x v="44"/>
    <n v="27750"/>
    <n v="1"/>
    <s v="Indonesia"/>
    <s v="AJM - RALI"/>
    <x v="0"/>
  </r>
  <r>
    <s v="CLICTRUCK-048629"/>
    <s v="domestic"/>
    <x v="143"/>
    <x v="17"/>
    <n v="24600000"/>
    <n v="955710"/>
    <d v="2023-05-20T00:00:00"/>
    <s v="UNPAID"/>
    <x v="44"/>
    <n v="27750"/>
    <n v="1"/>
    <s v="Indonesia"/>
    <s v="AJM - RALI"/>
    <x v="0"/>
  </r>
  <r>
    <s v="CLICTRUCK-048630"/>
    <s v="domestic"/>
    <x v="143"/>
    <x v="17"/>
    <n v="24600000"/>
    <n v="955710"/>
    <d v="2023-05-20T00:00:00"/>
    <s v="UNPAID"/>
    <x v="44"/>
    <n v="27750"/>
    <n v="1"/>
    <s v="Indonesia"/>
    <s v="AJM - RALI"/>
    <x v="0"/>
  </r>
  <r>
    <s v="CLICTRUCK-048631"/>
    <s v="domestic"/>
    <x v="143"/>
    <x v="17"/>
    <n v="20300000"/>
    <n v="788655"/>
    <d v="2023-05-20T00:00:00"/>
    <s v="UNPAID"/>
    <x v="44"/>
    <n v="27750"/>
    <n v="1"/>
    <s v="Indonesia"/>
    <s v="AJM - RALI"/>
    <x v="0"/>
  </r>
  <r>
    <s v="CLICTRUCK-048632"/>
    <s v="domestic"/>
    <x v="143"/>
    <x v="17"/>
    <n v="24600000"/>
    <n v="955710"/>
    <d v="2023-05-20T00:00:00"/>
    <s v="UNPAID"/>
    <x v="44"/>
    <n v="27750"/>
    <n v="1"/>
    <s v="Indonesia"/>
    <s v="AJM - RALI"/>
    <x v="0"/>
  </r>
  <r>
    <s v="CLICTRUCK-048633"/>
    <s v="domestic"/>
    <x v="143"/>
    <x v="17"/>
    <n v="24600000"/>
    <n v="955710"/>
    <d v="2023-05-20T00:00:00"/>
    <s v="UNPAID"/>
    <x v="44"/>
    <n v="27750"/>
    <n v="1"/>
    <s v="Indonesia"/>
    <s v="AJM - RALI"/>
    <x v="0"/>
  </r>
  <r>
    <s v="CLICTRUCK-048634"/>
    <s v="domestic"/>
    <x v="143"/>
    <x v="17"/>
    <n v="24600000"/>
    <n v="955710"/>
    <d v="2023-05-20T00:00:00"/>
    <s v="UNPAID"/>
    <x v="44"/>
    <n v="27750"/>
    <n v="1"/>
    <s v="Indonesia"/>
    <s v="AJM - RALI"/>
    <x v="0"/>
  </r>
  <r>
    <s v="CLICTRUCK-048635"/>
    <s v="domestic"/>
    <x v="144"/>
    <x v="10"/>
    <n v="0"/>
    <n v="20000"/>
    <m/>
    <s v="DELIVERED"/>
    <x v="10"/>
    <n v="0"/>
    <n v="1"/>
    <s v="Indonesia"/>
    <s v="ZLog-ZENSHIN"/>
    <x v="1"/>
  </r>
  <r>
    <s v="CLICTRUCK-048636"/>
    <s v="domestic"/>
    <x v="144"/>
    <x v="10"/>
    <n v="1951230"/>
    <n v="22200"/>
    <d v="2023-05-20T00:00:00"/>
    <s v="UNPAID"/>
    <x v="10"/>
    <n v="86634"/>
    <n v="1"/>
    <s v="Indonesia"/>
    <s v="ZLog-ZENSHIN"/>
    <x v="0"/>
  </r>
  <r>
    <s v="CLICTRUCK-048637"/>
    <s v="domestic"/>
    <x v="144"/>
    <x v="10"/>
    <n v="2697348"/>
    <n v="22200"/>
    <d v="2023-05-28T00:00:00"/>
    <s v="UNPAID"/>
    <x v="10"/>
    <n v="119761"/>
    <n v="1"/>
    <s v="Indonesia"/>
    <s v="ZLog-ZENSHIN"/>
    <x v="0"/>
  </r>
  <r>
    <s v="CLICTRUCK-048638"/>
    <s v="domestic"/>
    <x v="144"/>
    <x v="10"/>
    <n v="1003000"/>
    <n v="20000"/>
    <m/>
    <s v="DELIVERED"/>
    <x v="10"/>
    <n v="0"/>
    <n v="1"/>
    <s v="Indonesia"/>
    <s v="ZLog-ZENSHIN"/>
    <x v="1"/>
  </r>
  <r>
    <s v="CLICTRUCK-048639"/>
    <s v="domestic"/>
    <x v="144"/>
    <x v="10"/>
    <n v="2726000"/>
    <n v="20000"/>
    <m/>
    <s v="DELIVERED"/>
    <x v="10"/>
    <n v="0"/>
    <n v="1"/>
    <s v="Indonesia"/>
    <s v="ZLog-ZENSHIN"/>
    <x v="1"/>
  </r>
  <r>
    <s v="CLICTRUCK-048640"/>
    <s v="domestic"/>
    <x v="144"/>
    <x v="10"/>
    <n v="2221167"/>
    <n v="22200"/>
    <d v="2023-05-28T00:00:00"/>
    <s v="UNPAID"/>
    <x v="10"/>
    <n v="98619"/>
    <n v="1"/>
    <s v="Indonesia"/>
    <s v="ZLog-ZENSHIN"/>
    <x v="0"/>
  </r>
  <r>
    <s v="CLICTRUCK-048641"/>
    <s v="domestic"/>
    <x v="144"/>
    <x v="10"/>
    <n v="2860523"/>
    <n v="22200"/>
    <d v="2023-05-28T00:00:00"/>
    <s v="UNPAID"/>
    <x v="10"/>
    <n v="127006"/>
    <n v="1"/>
    <s v="Indonesia"/>
    <s v="ZLog-ZENSHIN"/>
    <x v="0"/>
  </r>
  <r>
    <s v="CLICTRUCK-048642"/>
    <s v="domestic"/>
    <x v="144"/>
    <x v="10"/>
    <n v="0"/>
    <n v="20000"/>
    <m/>
    <s v="DELIVERED"/>
    <x v="10"/>
    <n v="0"/>
    <n v="1"/>
    <s v="Indonesia"/>
    <s v="ZLog-ZENSHIN"/>
    <x v="1"/>
  </r>
  <r>
    <s v="CLICTRUCK-048643"/>
    <s v="domestic"/>
    <x v="144"/>
    <x v="10"/>
    <n v="1927977"/>
    <n v="22200"/>
    <d v="2023-05-28T00:00:00"/>
    <s v="UNPAID"/>
    <x v="10"/>
    <n v="85602"/>
    <n v="1"/>
    <s v="Indonesia"/>
    <s v="ZLog-ZENSHIN"/>
    <x v="0"/>
  </r>
  <r>
    <s v="CLICTRUCK-048644"/>
    <s v="domestic"/>
    <x v="144"/>
    <x v="10"/>
    <n v="3368652"/>
    <n v="22200"/>
    <d v="2023-05-28T00:00:00"/>
    <s v="UNPAID"/>
    <x v="10"/>
    <n v="149568"/>
    <n v="1"/>
    <s v="Indonesia"/>
    <s v="ZLog-ZENSHIN"/>
    <x v="0"/>
  </r>
  <r>
    <s v="CLICTRUCK-048645"/>
    <s v="domestic"/>
    <x v="144"/>
    <x v="10"/>
    <n v="1407312"/>
    <n v="22200"/>
    <d v="2023-05-28T00:00:00"/>
    <s v="UNPAID"/>
    <x v="10"/>
    <n v="62484"/>
    <n v="1"/>
    <s v="Indonesia"/>
    <s v="ZLog-ZENSHIN"/>
    <x v="0"/>
  </r>
  <r>
    <s v="CLICTRUCK-048646"/>
    <s v="domestic"/>
    <x v="144"/>
    <x v="10"/>
    <n v="2668000"/>
    <n v="20000"/>
    <m/>
    <s v="DELIVERED"/>
    <x v="10"/>
    <n v="0"/>
    <n v="1"/>
    <s v="Indonesia"/>
    <s v="ZLog-ZENSHIN"/>
    <x v="1"/>
  </r>
  <r>
    <s v="CLICTRUCK-048647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48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49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50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51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52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53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54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55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56"/>
    <s v="domestic"/>
    <x v="144"/>
    <x v="23"/>
    <n v="19240000"/>
    <n v="27750"/>
    <d v="2023-05-21T00:00:00"/>
    <s v="UNPAID"/>
    <x v="25"/>
    <n v="747474"/>
    <n v="1"/>
    <s v="Indonesia"/>
    <s v="HDL - DUG"/>
    <x v="0"/>
  </r>
  <r>
    <s v="CLICTRUCK-048657"/>
    <s v="domestic"/>
    <x v="144"/>
    <x v="23"/>
    <n v="7770000"/>
    <n v="27750"/>
    <d v="2023-05-21T00:00:00"/>
    <s v="UNPAID"/>
    <x v="25"/>
    <n v="301864"/>
    <n v="1"/>
    <s v="Indonesia"/>
    <s v="HDL - DUG"/>
    <x v="0"/>
  </r>
  <r>
    <s v="CLICTRUCK-048658"/>
    <s v="domestic"/>
    <x v="144"/>
    <x v="23"/>
    <n v="6068000"/>
    <n v="27750"/>
    <d v="2023-05-21T00:00:00"/>
    <s v="UNPAID"/>
    <x v="25"/>
    <n v="235741"/>
    <n v="1"/>
    <s v="Indonesia"/>
    <s v="HDL - DUG"/>
    <x v="0"/>
  </r>
  <r>
    <s v="CLICTRUCK-048659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61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62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63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64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65"/>
    <s v="domestic"/>
    <x v="144"/>
    <x v="6"/>
    <n v="6300000"/>
    <n v="27750"/>
    <d v="2023-05-21T00:00:00"/>
    <s v="UNPAID"/>
    <x v="5"/>
    <n v="279720"/>
    <n v="1"/>
    <s v="Indonesia"/>
    <s v="DSB - PLG"/>
    <x v="0"/>
  </r>
  <r>
    <s v="CLICTRUCK-048666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67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68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669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70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71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672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74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75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77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78"/>
    <s v="domestic"/>
    <x v="144"/>
    <x v="6"/>
    <n v="6300000"/>
    <n v="27750"/>
    <d v="2023-05-21T00:00:00"/>
    <s v="UNPAID"/>
    <x v="5"/>
    <n v="279720"/>
    <n v="1"/>
    <s v="Indonesia"/>
    <s v="DSB - PLG"/>
    <x v="0"/>
  </r>
  <r>
    <s v="CLICTRUCK-048679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80"/>
    <s v="domestic"/>
    <x v="144"/>
    <x v="6"/>
    <n v="6327750"/>
    <n v="27750"/>
    <d v="2023-05-21T00:00:00"/>
    <s v="UNPAID"/>
    <x v="5"/>
    <n v="280952"/>
    <n v="1"/>
    <s v="Indonesia"/>
    <s v="DSB - PLG"/>
    <x v="0"/>
  </r>
  <r>
    <s v="CLICTRUCK-048681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82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83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684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85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86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87"/>
    <s v="domestic"/>
    <x v="144"/>
    <x v="6"/>
    <n v="6327750"/>
    <n v="27750"/>
    <d v="2023-05-21T00:00:00"/>
    <s v="UNPAID"/>
    <x v="5"/>
    <n v="280952"/>
    <n v="1"/>
    <s v="Indonesia"/>
    <s v="DSB - PLG"/>
    <x v="0"/>
  </r>
  <r>
    <s v="CLICTRUCK-048688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89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90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691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92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93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94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695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96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697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698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699"/>
    <s v="domestic"/>
    <x v="144"/>
    <x v="6"/>
    <n v="6300000"/>
    <n v="27750"/>
    <d v="2023-05-21T00:00:00"/>
    <s v="UNPAID"/>
    <x v="5"/>
    <n v="279720"/>
    <n v="1"/>
    <s v="Indonesia"/>
    <s v="DSB - PLG"/>
    <x v="0"/>
  </r>
  <r>
    <s v="CLICTRUCK-048700"/>
    <s v="domestic"/>
    <x v="144"/>
    <x v="6"/>
    <n v="6300000"/>
    <n v="27750"/>
    <d v="2023-05-21T00:00:00"/>
    <s v="UNPAID"/>
    <x v="5"/>
    <n v="279720"/>
    <n v="1"/>
    <s v="Indonesia"/>
    <s v="DSB - PLG"/>
    <x v="0"/>
  </r>
  <r>
    <s v="CLICTRUCK-048701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02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703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04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05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06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07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08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09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10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11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12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13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14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15"/>
    <s v="domestic"/>
    <x v="144"/>
    <x v="6"/>
    <n v="6327750"/>
    <n v="27750"/>
    <d v="2023-05-21T00:00:00"/>
    <s v="UNPAID"/>
    <x v="5"/>
    <n v="280952"/>
    <n v="1"/>
    <s v="Indonesia"/>
    <s v="DSB - PLG"/>
    <x v="0"/>
  </r>
  <r>
    <s v="CLICTRUCK-048716"/>
    <s v="domestic"/>
    <x v="144"/>
    <x v="6"/>
    <n v="6327750"/>
    <n v="27750"/>
    <d v="2023-05-21T00:00:00"/>
    <s v="UNPAID"/>
    <x v="5"/>
    <n v="280952"/>
    <n v="1"/>
    <s v="Indonesia"/>
    <s v="DSB - PLG"/>
    <x v="0"/>
  </r>
  <r>
    <s v="CLICTRUCK-048717"/>
    <s v="domestic"/>
    <x v="144"/>
    <x v="6"/>
    <n v="6327750"/>
    <n v="27750"/>
    <d v="2023-05-21T00:00:00"/>
    <s v="UNPAID"/>
    <x v="5"/>
    <n v="280952"/>
    <n v="1"/>
    <s v="Indonesia"/>
    <s v="DSB - PLG"/>
    <x v="0"/>
  </r>
  <r>
    <s v="CLICTRUCK-048718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19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20"/>
    <s v="domestic"/>
    <x v="144"/>
    <x v="6"/>
    <n v="6327750"/>
    <n v="27750"/>
    <d v="2023-05-21T00:00:00"/>
    <s v="UNPAID"/>
    <x v="5"/>
    <n v="280952"/>
    <n v="1"/>
    <s v="Indonesia"/>
    <s v="DSB - PLG"/>
    <x v="0"/>
  </r>
  <r>
    <s v="CLICTRUCK-048721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22"/>
    <s v="domestic"/>
    <x v="144"/>
    <x v="6"/>
    <n v="6327750"/>
    <n v="27750"/>
    <d v="2023-05-21T00:00:00"/>
    <s v="UNPAID"/>
    <x v="5"/>
    <n v="280952"/>
    <n v="1"/>
    <s v="Indonesia"/>
    <s v="DSB - PLG"/>
    <x v="0"/>
  </r>
  <r>
    <s v="CLICTRUCK-048723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24"/>
    <s v="domestic"/>
    <x v="144"/>
    <x v="6"/>
    <n v="6327750"/>
    <n v="27750"/>
    <d v="2023-05-21T00:00:00"/>
    <s v="UNPAID"/>
    <x v="5"/>
    <n v="280952"/>
    <n v="1"/>
    <s v="Indonesia"/>
    <s v="DSB - PLG"/>
    <x v="0"/>
  </r>
  <r>
    <s v="CLICTRUCK-048725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26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27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28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29"/>
    <s v="domestic"/>
    <x v="144"/>
    <x v="6"/>
    <n v="5277750"/>
    <n v="27750"/>
    <d v="2023-05-21T00:00:00"/>
    <s v="UNPAID"/>
    <x v="5"/>
    <n v="234332"/>
    <n v="1"/>
    <s v="Indonesia"/>
    <s v="DSB - PLG"/>
    <x v="0"/>
  </r>
  <r>
    <s v="CLICTRUCK-048730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731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732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733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734"/>
    <s v="domestic"/>
    <x v="144"/>
    <x v="6"/>
    <n v="5250000"/>
    <n v="27750"/>
    <d v="2023-05-21T00:00:00"/>
    <s v="UNPAID"/>
    <x v="5"/>
    <n v="233100"/>
    <n v="1"/>
    <s v="Indonesia"/>
    <s v="DSB - PLG"/>
    <x v="0"/>
  </r>
  <r>
    <s v="CLICTRUCK-048735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37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38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39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41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42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44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45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46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48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49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50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52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53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54"/>
    <s v="domestic"/>
    <x v="144"/>
    <x v="29"/>
    <n v="7615000"/>
    <n v="22200"/>
    <d v="2023-05-21T00:00:00"/>
    <s v="UNPAID"/>
    <x v="32"/>
    <n v="228221"/>
    <n v="1"/>
    <s v="Indonesia"/>
    <s v="JMT - JST"/>
    <x v="0"/>
  </r>
  <r>
    <s v="CLICTRUCK-048756"/>
    <s v="domestic"/>
    <x v="145"/>
    <x v="30"/>
    <n v="290875000"/>
    <n v="27750"/>
    <d v="2023-05-21T00:00:00"/>
    <s v="UNPAID"/>
    <x v="33"/>
    <n v="12914850"/>
    <n v="1"/>
    <s v="Indonesia"/>
    <s v="RDD - RED"/>
    <x v="0"/>
  </r>
  <r>
    <s v="CLICTRUCK-048757"/>
    <s v="domestic"/>
    <x v="145"/>
    <x v="32"/>
    <n v="3500000"/>
    <n v="27750"/>
    <d v="2023-05-21T00:00:00"/>
    <s v="UNPAID"/>
    <x v="36"/>
    <n v="97125"/>
    <n v="1"/>
    <s v="Indonesia"/>
    <s v="SPM - BTS"/>
    <x v="0"/>
  </r>
  <r>
    <s v="CLICTRUCK-048758"/>
    <s v="domestic"/>
    <x v="145"/>
    <x v="32"/>
    <n v="3500000"/>
    <n v="27750"/>
    <d v="2023-05-21T00:00:00"/>
    <s v="UNPAID"/>
    <x v="36"/>
    <n v="97125"/>
    <n v="1"/>
    <s v="Indonesia"/>
    <s v="SPM - BTS"/>
    <x v="0"/>
  </r>
  <r>
    <s v="CLICTRUCK-048759"/>
    <s v="domestic"/>
    <x v="145"/>
    <x v="32"/>
    <n v="3500000"/>
    <n v="27750"/>
    <d v="2023-05-21T00:00:00"/>
    <s v="UNPAID"/>
    <x v="36"/>
    <n v="97125"/>
    <n v="1"/>
    <s v="Indonesia"/>
    <s v="SPM - BTS"/>
    <x v="0"/>
  </r>
  <r>
    <s v="CLICTRUCK-048760"/>
    <s v="domestic"/>
    <x v="145"/>
    <x v="25"/>
    <n v="1655000"/>
    <n v="27750"/>
    <d v="2023-05-21T00:00:00"/>
    <s v="UNPAID"/>
    <x v="28"/>
    <n v="73482"/>
    <n v="1"/>
    <s v="Indonesia"/>
    <s v="SAJB - SEP"/>
    <x v="0"/>
  </r>
  <r>
    <s v="CLICTRUCK-048761"/>
    <s v="domestic"/>
    <x v="145"/>
    <x v="25"/>
    <n v="1655000"/>
    <n v="27750"/>
    <d v="2023-05-21T00:00:00"/>
    <s v="UNPAID"/>
    <x v="28"/>
    <n v="73482"/>
    <n v="1"/>
    <s v="Indonesia"/>
    <s v="SAJB - SEP"/>
    <x v="0"/>
  </r>
  <r>
    <s v="CLICTRUCK-048762"/>
    <s v="domestic"/>
    <x v="145"/>
    <x v="25"/>
    <n v="1655000"/>
    <n v="27750"/>
    <d v="2023-05-21T00:00:00"/>
    <s v="UNPAID"/>
    <x v="28"/>
    <n v="73482"/>
    <n v="1"/>
    <s v="Indonesia"/>
    <s v="SAJB - SEP"/>
    <x v="0"/>
  </r>
  <r>
    <s v="CLICTRUCK-048763"/>
    <s v="domestic"/>
    <x v="145"/>
    <x v="25"/>
    <n v="2485000"/>
    <n v="27750"/>
    <d v="2023-05-21T00:00:00"/>
    <s v="UNPAID"/>
    <x v="28"/>
    <n v="110334"/>
    <n v="1"/>
    <s v="Indonesia"/>
    <s v="SAJB - SEP"/>
    <x v="0"/>
  </r>
  <r>
    <s v="CLICTRUCK-048764"/>
    <s v="domestic"/>
    <x v="145"/>
    <x v="25"/>
    <n v="2485000"/>
    <n v="27750"/>
    <d v="2023-05-21T00:00:00"/>
    <s v="UNPAID"/>
    <x v="28"/>
    <n v="110334"/>
    <n v="1"/>
    <s v="Indonesia"/>
    <s v="SAJB - SEP"/>
    <x v="0"/>
  </r>
  <r>
    <s v="CLICTRUCK-048765"/>
    <s v="domestic"/>
    <x v="145"/>
    <x v="25"/>
    <n v="1925000"/>
    <n v="27750"/>
    <d v="2023-05-21T00:00:00"/>
    <s v="UNPAID"/>
    <x v="28"/>
    <n v="85470"/>
    <n v="1"/>
    <s v="Indonesia"/>
    <s v="SAJB - SEP"/>
    <x v="0"/>
  </r>
  <r>
    <s v="CLICTRUCK-048766"/>
    <s v="domestic"/>
    <x v="145"/>
    <x v="25"/>
    <n v="1655000"/>
    <n v="27750"/>
    <d v="2023-05-21T00:00:00"/>
    <s v="UNPAID"/>
    <x v="28"/>
    <n v="73482"/>
    <n v="1"/>
    <s v="Indonesia"/>
    <s v="SAJB - SEP"/>
    <x v="0"/>
  </r>
  <r>
    <s v="CLICTRUCK-048767"/>
    <s v="domestic"/>
    <x v="145"/>
    <x v="25"/>
    <n v="2485000"/>
    <n v="27750"/>
    <d v="2023-05-21T00:00:00"/>
    <s v="UNPAID"/>
    <x v="28"/>
    <n v="110334"/>
    <n v="1"/>
    <s v="Indonesia"/>
    <s v="SAJB - SEP"/>
    <x v="0"/>
  </r>
  <r>
    <s v="CLICTRUCK-048768"/>
    <s v="domestic"/>
    <x v="145"/>
    <x v="25"/>
    <n v="2485000"/>
    <n v="27750"/>
    <d v="2023-05-21T00:00:00"/>
    <s v="UNPAID"/>
    <x v="28"/>
    <n v="110334"/>
    <n v="1"/>
    <s v="Indonesia"/>
    <s v="SAJB - SEP"/>
    <x v="0"/>
  </r>
  <r>
    <s v="CLICTRUCK-048769"/>
    <s v="domestic"/>
    <x v="145"/>
    <x v="25"/>
    <n v="1815000"/>
    <n v="27750"/>
    <d v="2023-05-21T00:00:00"/>
    <s v="UNPAID"/>
    <x v="28"/>
    <n v="80586"/>
    <n v="1"/>
    <s v="Indonesia"/>
    <s v="SAJB - SEP"/>
    <x v="0"/>
  </r>
  <r>
    <s v="CLICTRUCK-048770"/>
    <s v="domestic"/>
    <x v="145"/>
    <x v="25"/>
    <n v="2485000"/>
    <n v="27750"/>
    <d v="2023-05-21T00:00:00"/>
    <s v="UNPAID"/>
    <x v="28"/>
    <n v="110334"/>
    <n v="1"/>
    <s v="Indonesia"/>
    <s v="SAJB - SEP"/>
    <x v="0"/>
  </r>
  <r>
    <s v="CLICTRUCK-048771"/>
    <s v="domestic"/>
    <x v="145"/>
    <x v="25"/>
    <n v="1880000"/>
    <n v="27750"/>
    <d v="2023-05-21T00:00:00"/>
    <s v="UNPAID"/>
    <x v="28"/>
    <n v="83472"/>
    <n v="1"/>
    <s v="Indonesia"/>
    <s v="SAJB - SEP"/>
    <x v="0"/>
  </r>
  <r>
    <s v="CLICTRUCK-048772"/>
    <s v="domestic"/>
    <x v="145"/>
    <x v="25"/>
    <n v="1880000"/>
    <n v="27750"/>
    <d v="2023-05-21T00:00:00"/>
    <s v="UNPAID"/>
    <x v="28"/>
    <n v="83472"/>
    <n v="1"/>
    <s v="Indonesia"/>
    <s v="SAJB - SEP"/>
    <x v="0"/>
  </r>
  <r>
    <s v="CLICTRUCK-048773"/>
    <s v="domestic"/>
    <x v="145"/>
    <x v="25"/>
    <n v="1880000"/>
    <n v="27750"/>
    <d v="2023-05-21T00:00:00"/>
    <s v="UNPAID"/>
    <x v="28"/>
    <n v="83472"/>
    <n v="1"/>
    <s v="Indonesia"/>
    <s v="SAJB - SEP"/>
    <x v="0"/>
  </r>
  <r>
    <s v="CLICTRUCK-048774"/>
    <s v="domestic"/>
    <x v="145"/>
    <x v="25"/>
    <n v="2485000"/>
    <n v="27750"/>
    <d v="2023-05-21T00:00:00"/>
    <s v="UNPAID"/>
    <x v="28"/>
    <n v="110334"/>
    <n v="1"/>
    <s v="Indonesia"/>
    <s v="SAJB - SEP"/>
    <x v="0"/>
  </r>
  <r>
    <s v="CLICTRUCK-048775"/>
    <s v="domestic"/>
    <x v="145"/>
    <x v="25"/>
    <n v="1925000"/>
    <n v="27750"/>
    <d v="2023-05-21T00:00:00"/>
    <s v="UNPAID"/>
    <x v="28"/>
    <n v="85470"/>
    <n v="1"/>
    <s v="Indonesia"/>
    <s v="SAJB - SEP"/>
    <x v="0"/>
  </r>
  <r>
    <s v="CLICTRUCK-048776"/>
    <s v="domestic"/>
    <x v="145"/>
    <x v="25"/>
    <n v="1925000"/>
    <n v="27750"/>
    <d v="2023-05-21T00:00:00"/>
    <s v="UNPAID"/>
    <x v="28"/>
    <n v="85470"/>
    <n v="1"/>
    <s v="Indonesia"/>
    <s v="SAJB - SEP"/>
    <x v="0"/>
  </r>
  <r>
    <s v="CLICTRUCK-048777"/>
    <s v="domestic"/>
    <x v="145"/>
    <x v="25"/>
    <n v="1815000"/>
    <n v="27750"/>
    <d v="2023-05-21T00:00:00"/>
    <s v="UNPAID"/>
    <x v="28"/>
    <n v="80586"/>
    <n v="1"/>
    <s v="Indonesia"/>
    <s v="SAJB - SEP"/>
    <x v="0"/>
  </r>
  <r>
    <s v="CLICTRUCK-048778"/>
    <s v="domestic"/>
    <x v="145"/>
    <x v="25"/>
    <n v="2485000"/>
    <n v="27750"/>
    <d v="2023-05-21T00:00:00"/>
    <s v="UNPAID"/>
    <x v="28"/>
    <n v="110334"/>
    <n v="1"/>
    <s v="Indonesia"/>
    <s v="SAJB - SEP"/>
    <x v="0"/>
  </r>
  <r>
    <s v="CLICTRUCK-048779"/>
    <s v="domestic"/>
    <x v="145"/>
    <x v="25"/>
    <n v="1880000"/>
    <n v="27750"/>
    <d v="2023-05-21T00:00:00"/>
    <s v="UNPAID"/>
    <x v="28"/>
    <n v="83472"/>
    <n v="1"/>
    <s v="Indonesia"/>
    <s v="SAJB - SEP"/>
    <x v="0"/>
  </r>
  <r>
    <s v="CLICTRUCK-048780"/>
    <s v="domestic"/>
    <x v="145"/>
    <x v="25"/>
    <n v="3400000"/>
    <n v="27750"/>
    <d v="2023-05-21T00:00:00"/>
    <s v="UNPAID"/>
    <x v="28"/>
    <n v="150960"/>
    <n v="1"/>
    <s v="Indonesia"/>
    <s v="SAJB - SEP"/>
    <x v="0"/>
  </r>
  <r>
    <s v="CLICTRUCK-048781"/>
    <s v="domestic"/>
    <x v="145"/>
    <x v="25"/>
    <n v="3400000"/>
    <n v="27750"/>
    <d v="2023-05-21T00:00:00"/>
    <s v="UNPAID"/>
    <x v="28"/>
    <n v="150960"/>
    <n v="1"/>
    <s v="Indonesia"/>
    <s v="SAJB - SEP"/>
    <x v="0"/>
  </r>
  <r>
    <s v="CLICTRUCK-048782"/>
    <s v="domestic"/>
    <x v="145"/>
    <x v="25"/>
    <n v="3250000"/>
    <n v="27750"/>
    <d v="2023-05-21T00:00:00"/>
    <s v="UNPAID"/>
    <x v="28"/>
    <n v="144300"/>
    <n v="1"/>
    <s v="Indonesia"/>
    <s v="SAJB - SEP"/>
    <x v="0"/>
  </r>
  <r>
    <s v="CLICTRUCK-048783"/>
    <s v="domestic"/>
    <x v="145"/>
    <x v="25"/>
    <n v="3250000"/>
    <n v="27750"/>
    <d v="2023-05-21T00:00:00"/>
    <s v="UNPAID"/>
    <x v="28"/>
    <n v="144300"/>
    <n v="1"/>
    <s v="Indonesia"/>
    <s v="SAJB - SEP"/>
    <x v="0"/>
  </r>
  <r>
    <s v="CLICTRUCK-048784"/>
    <s v="domestic"/>
    <x v="146"/>
    <x v="11"/>
    <n v="4900000"/>
    <n v="5550"/>
    <d v="2023-05-26T00:00:00"/>
    <s v="UNPAID"/>
    <x v="11"/>
    <n v="244755"/>
    <n v="1"/>
    <s v="Indonesia"/>
    <s v="TJL - JPP"/>
    <x v="0"/>
  </r>
  <r>
    <s v="CLICTRUCK-048785"/>
    <s v="domestic"/>
    <x v="146"/>
    <x v="11"/>
    <n v="4900000"/>
    <n v="5550"/>
    <d v="2023-05-26T00:00:00"/>
    <s v="UNPAID"/>
    <x v="11"/>
    <n v="244755"/>
    <n v="1"/>
    <s v="Indonesia"/>
    <s v="TJL - JPP"/>
    <x v="0"/>
  </r>
  <r>
    <s v="CLICTRUCK-048786"/>
    <s v="domestic"/>
    <x v="146"/>
    <x v="11"/>
    <n v="6125000"/>
    <n v="5550"/>
    <d v="2023-05-26T00:00:00"/>
    <s v="UNPAID"/>
    <x v="11"/>
    <n v="305943"/>
    <n v="1"/>
    <s v="Indonesia"/>
    <s v="TJL - JPP"/>
    <x v="0"/>
  </r>
  <r>
    <s v="CLICTRUCK-048787"/>
    <s v="domestic"/>
    <x v="146"/>
    <x v="11"/>
    <n v="4500000"/>
    <n v="5550"/>
    <d v="2023-05-26T00:00:00"/>
    <s v="UNPAID"/>
    <x v="11"/>
    <n v="224775"/>
    <n v="1"/>
    <s v="Indonesia"/>
    <s v="TJL - JPP"/>
    <x v="0"/>
  </r>
  <r>
    <s v="CLICTRUCK-048788"/>
    <s v="domestic"/>
    <x v="146"/>
    <x v="11"/>
    <n v="13800000"/>
    <n v="5550"/>
    <d v="2023-05-26T00:00:00"/>
    <s v="UNPAID"/>
    <x v="11"/>
    <n v="689310"/>
    <n v="1"/>
    <s v="Indonesia"/>
    <s v="TJL - JPP"/>
    <x v="0"/>
  </r>
  <r>
    <s v="CLICTRUCK-048789"/>
    <s v="domestic"/>
    <x v="146"/>
    <x v="11"/>
    <n v="300000"/>
    <n v="5550"/>
    <d v="2023-05-26T00:00:00"/>
    <s v="UNPAID"/>
    <x v="11"/>
    <n v="14985"/>
    <n v="1"/>
    <s v="Indonesia"/>
    <s v="TJL - JPP"/>
    <x v="0"/>
  </r>
  <r>
    <s v="CLICTRUCK-048790"/>
    <s v="domestic"/>
    <x v="146"/>
    <x v="11"/>
    <n v="1760000"/>
    <n v="5550"/>
    <d v="2023-05-26T00:00:00"/>
    <s v="UNPAID"/>
    <x v="11"/>
    <n v="87912"/>
    <n v="1"/>
    <s v="Indonesia"/>
    <s v="TJL - JPP"/>
    <x v="0"/>
  </r>
  <r>
    <s v="CLICTRUCK-048791"/>
    <s v="domestic"/>
    <x v="146"/>
    <x v="11"/>
    <n v="1870000"/>
    <n v="5550"/>
    <d v="2023-05-26T00:00:00"/>
    <s v="UNPAID"/>
    <x v="11"/>
    <n v="93406"/>
    <n v="1"/>
    <s v="Indonesia"/>
    <s v="TJL - JPP"/>
    <x v="0"/>
  </r>
  <r>
    <s v="CLICTRUCK-048792"/>
    <s v="domestic"/>
    <x v="146"/>
    <x v="11"/>
    <n v="1870000"/>
    <n v="5550"/>
    <d v="2023-05-26T00:00:00"/>
    <s v="UNPAID"/>
    <x v="11"/>
    <n v="93406"/>
    <n v="1"/>
    <s v="Indonesia"/>
    <s v="TJL - JPP"/>
    <x v="0"/>
  </r>
  <r>
    <s v="CLICTRUCK-048793"/>
    <s v="domestic"/>
    <x v="146"/>
    <x v="11"/>
    <n v="1210000"/>
    <n v="5550"/>
    <d v="2023-05-26T00:00:00"/>
    <s v="UNPAID"/>
    <x v="11"/>
    <n v="60439"/>
    <n v="1"/>
    <s v="Indonesia"/>
    <s v="TJL - JPP"/>
    <x v="0"/>
  </r>
  <r>
    <s v="CLICTRUCK-048794"/>
    <s v="domestic"/>
    <x v="146"/>
    <x v="11"/>
    <n v="11155000"/>
    <n v="5550"/>
    <d v="2023-05-26T00:00:00"/>
    <s v="UNPAID"/>
    <x v="11"/>
    <n v="557192"/>
    <n v="1"/>
    <s v="Indonesia"/>
    <s v="TJL - JPP"/>
    <x v="0"/>
  </r>
  <r>
    <s v="CLICTRUCK-048795"/>
    <s v="domestic"/>
    <x v="146"/>
    <x v="11"/>
    <n v="4180000"/>
    <n v="5550"/>
    <d v="2023-05-26T00:00:00"/>
    <s v="UNPAID"/>
    <x v="11"/>
    <n v="208791"/>
    <n v="1"/>
    <s v="Indonesia"/>
    <s v="TJL - JPP"/>
    <x v="0"/>
  </r>
  <r>
    <s v="CLICTRUCK-048796"/>
    <s v="domestic"/>
    <x v="146"/>
    <x v="11"/>
    <n v="20930000"/>
    <n v="5550"/>
    <d v="2023-05-26T00:00:00"/>
    <s v="UNPAID"/>
    <x v="11"/>
    <n v="1045453"/>
    <n v="1"/>
    <s v="Indonesia"/>
    <s v="TJL - JPP"/>
    <x v="0"/>
  </r>
  <r>
    <s v="CLICTRUCK-048797"/>
    <s v="domestic"/>
    <x v="146"/>
    <x v="11"/>
    <n v="16100000"/>
    <n v="5550"/>
    <d v="2023-05-26T00:00:00"/>
    <s v="UNPAID"/>
    <x v="11"/>
    <n v="804195"/>
    <n v="1"/>
    <s v="Indonesia"/>
    <s v="TJL - JPP"/>
    <x v="0"/>
  </r>
  <r>
    <s v="CLICTRUCK-048798"/>
    <s v="domestic"/>
    <x v="146"/>
    <x v="11"/>
    <n v="660000"/>
    <n v="5550"/>
    <d v="2023-05-26T00:00:00"/>
    <s v="UNPAID"/>
    <x v="11"/>
    <n v="32967"/>
    <n v="1"/>
    <s v="Indonesia"/>
    <s v="TJL - JPP"/>
    <x v="0"/>
  </r>
  <r>
    <s v="CLICTRUCK-048799"/>
    <s v="domestic"/>
    <x v="146"/>
    <x v="11"/>
    <n v="19550000"/>
    <n v="5550"/>
    <d v="2023-05-26T00:00:00"/>
    <s v="UNPAID"/>
    <x v="11"/>
    <n v="976522"/>
    <n v="1"/>
    <s v="Indonesia"/>
    <s v="TJL - JPP"/>
    <x v="0"/>
  </r>
  <r>
    <s v="CLICTRUCK-048800"/>
    <s v="domestic"/>
    <x v="146"/>
    <x v="11"/>
    <n v="12075000"/>
    <n v="5550"/>
    <d v="2023-05-26T00:00:00"/>
    <s v="UNPAID"/>
    <x v="11"/>
    <n v="603146"/>
    <n v="1"/>
    <s v="Indonesia"/>
    <s v="TJL - JPP"/>
    <x v="0"/>
  </r>
  <r>
    <s v="CLICTRUCK-048801"/>
    <s v="domestic"/>
    <x v="146"/>
    <x v="11"/>
    <n v="19550000"/>
    <n v="5550"/>
    <d v="2023-05-26T00:00:00"/>
    <s v="UNPAID"/>
    <x v="11"/>
    <n v="976522"/>
    <n v="1"/>
    <s v="Indonesia"/>
    <s v="TJL - JPP"/>
    <x v="0"/>
  </r>
  <r>
    <s v="CLICTRUCK-048802"/>
    <s v="domestic"/>
    <x v="146"/>
    <x v="11"/>
    <n v="32200000"/>
    <n v="5550"/>
    <d v="2023-05-26T00:00:00"/>
    <s v="UNPAID"/>
    <x v="11"/>
    <n v="1608390"/>
    <n v="1"/>
    <s v="Indonesia"/>
    <s v="TJL - JPP"/>
    <x v="0"/>
  </r>
  <r>
    <s v="CLICTRUCK-048803"/>
    <s v="domestic"/>
    <x v="146"/>
    <x v="11"/>
    <n v="32200000"/>
    <n v="5550"/>
    <d v="2023-05-26T00:00:00"/>
    <s v="UNPAID"/>
    <x v="11"/>
    <n v="1608390"/>
    <n v="1"/>
    <s v="Indonesia"/>
    <s v="TJL - JPP"/>
    <x v="0"/>
  </r>
  <r>
    <s v="CLICTRUCK-048804"/>
    <s v="domestic"/>
    <x v="146"/>
    <x v="11"/>
    <n v="12075000"/>
    <n v="5550"/>
    <d v="2023-05-26T00:00:00"/>
    <s v="UNPAID"/>
    <x v="11"/>
    <n v="603146"/>
    <n v="1"/>
    <s v="Indonesia"/>
    <s v="TJL - JPP"/>
    <x v="0"/>
  </r>
  <r>
    <s v="CLICTRUCK-048805"/>
    <s v="domestic"/>
    <x v="146"/>
    <x v="11"/>
    <n v="1650000"/>
    <n v="5550"/>
    <d v="2023-05-26T00:00:00"/>
    <s v="UNPAID"/>
    <x v="11"/>
    <n v="82417"/>
    <n v="1"/>
    <s v="Indonesia"/>
    <s v="TJL - JPP"/>
    <x v="0"/>
  </r>
  <r>
    <s v="CLICTRUCK-048806"/>
    <s v="domestic"/>
    <x v="146"/>
    <x v="11"/>
    <n v="1210000"/>
    <n v="5550"/>
    <d v="2023-05-26T00:00:00"/>
    <s v="UNPAID"/>
    <x v="11"/>
    <n v="60439"/>
    <n v="1"/>
    <s v="Indonesia"/>
    <s v="TJL - JPP"/>
    <x v="0"/>
  </r>
  <r>
    <s v="CLICTRUCK-048807"/>
    <s v="domestic"/>
    <x v="146"/>
    <x v="11"/>
    <n v="3300000"/>
    <n v="5550"/>
    <d v="2023-05-26T00:00:00"/>
    <s v="UNPAID"/>
    <x v="11"/>
    <n v="164835"/>
    <n v="1"/>
    <s v="Indonesia"/>
    <s v="TJL - JPP"/>
    <x v="0"/>
  </r>
  <r>
    <s v="CLICTRUCK-048808"/>
    <s v="domestic"/>
    <x v="146"/>
    <x v="11"/>
    <n v="1903000"/>
    <n v="5550"/>
    <d v="2023-05-26T00:00:00"/>
    <s v="UNPAID"/>
    <x v="11"/>
    <n v="95054"/>
    <n v="1"/>
    <s v="Indonesia"/>
    <s v="TJL - JPP"/>
    <x v="0"/>
  </r>
  <r>
    <s v="CLICTRUCK-048809"/>
    <s v="domestic"/>
    <x v="146"/>
    <x v="11"/>
    <n v="1540000"/>
    <n v="5550"/>
    <d v="2023-05-26T00:00:00"/>
    <s v="UNPAID"/>
    <x v="11"/>
    <n v="76923"/>
    <n v="1"/>
    <s v="Indonesia"/>
    <s v="TJL - JPP"/>
    <x v="0"/>
  </r>
  <r>
    <s v="CLICTRUCK-048810"/>
    <s v="domestic"/>
    <x v="146"/>
    <x v="11"/>
    <n v="2640000"/>
    <n v="5550"/>
    <d v="2023-05-26T00:00:00"/>
    <s v="UNPAID"/>
    <x v="11"/>
    <n v="131868"/>
    <n v="1"/>
    <s v="Indonesia"/>
    <s v="TJL - JPP"/>
    <x v="0"/>
  </r>
  <r>
    <s v="CLICTRUCK-048811"/>
    <s v="domestic"/>
    <x v="146"/>
    <x v="11"/>
    <n v="1540000"/>
    <n v="5550"/>
    <d v="2023-05-26T00:00:00"/>
    <s v="UNPAID"/>
    <x v="11"/>
    <n v="76923"/>
    <n v="1"/>
    <s v="Indonesia"/>
    <s v="TJL - JPP"/>
    <x v="0"/>
  </r>
  <r>
    <s v="CLICTRUCK-048812"/>
    <s v="domestic"/>
    <x v="146"/>
    <x v="11"/>
    <n v="979436"/>
    <n v="5550"/>
    <d v="2023-05-26T00:00:00"/>
    <s v="UNPAID"/>
    <x v="11"/>
    <n v="48922"/>
    <n v="1"/>
    <s v="Indonesia"/>
    <s v="TJL - JPP"/>
    <x v="0"/>
  </r>
  <r>
    <s v="CLICTRUCK-048813"/>
    <s v="domestic"/>
    <x v="146"/>
    <x v="11"/>
    <n v="979436"/>
    <n v="5550"/>
    <d v="2023-05-26T00:00:00"/>
    <s v="UNPAID"/>
    <x v="11"/>
    <n v="48922"/>
    <n v="1"/>
    <s v="Indonesia"/>
    <s v="TJL - JPP"/>
    <x v="0"/>
  </r>
  <r>
    <s v="CLICTRUCK-048814"/>
    <s v="domestic"/>
    <x v="146"/>
    <x v="11"/>
    <n v="2220000"/>
    <n v="5550"/>
    <d v="2023-05-26T00:00:00"/>
    <s v="UNPAID"/>
    <x v="11"/>
    <n v="110889"/>
    <n v="1"/>
    <s v="Indonesia"/>
    <s v="TJL - JPP"/>
    <x v="0"/>
  </r>
  <r>
    <s v="CLICTRUCK-048815"/>
    <s v="domestic"/>
    <x v="146"/>
    <x v="11"/>
    <n v="1031384"/>
    <n v="5550"/>
    <d v="2023-05-26T00:00:00"/>
    <s v="UNPAID"/>
    <x v="11"/>
    <n v="51517"/>
    <n v="1"/>
    <s v="Indonesia"/>
    <s v="TJL - JPP"/>
    <x v="0"/>
  </r>
  <r>
    <s v="CLICTRUCK-048816"/>
    <s v="domestic"/>
    <x v="146"/>
    <x v="11"/>
    <n v="867759"/>
    <n v="5550"/>
    <d v="2023-05-26T00:00:00"/>
    <s v="UNPAID"/>
    <x v="11"/>
    <n v="43344"/>
    <n v="1"/>
    <s v="Indonesia"/>
    <s v="TJL - JPP"/>
    <x v="0"/>
  </r>
  <r>
    <s v="CLICTRUCK-048817"/>
    <s v="domestic"/>
    <x v="146"/>
    <x v="11"/>
    <n v="1443722"/>
    <n v="5550"/>
    <d v="2023-05-26T00:00:00"/>
    <s v="UNPAID"/>
    <x v="11"/>
    <n v="72113"/>
    <n v="1"/>
    <s v="Indonesia"/>
    <s v="TJL - JPP"/>
    <x v="0"/>
  </r>
  <r>
    <s v="CLICTRUCK-048818"/>
    <s v="domestic"/>
    <x v="146"/>
    <x v="11"/>
    <n v="1134198"/>
    <n v="5550"/>
    <d v="2023-05-26T00:00:00"/>
    <s v="UNPAID"/>
    <x v="11"/>
    <n v="56652"/>
    <n v="1"/>
    <s v="Indonesia"/>
    <s v="TJL - JPP"/>
    <x v="0"/>
  </r>
  <r>
    <s v="CLICTRUCK-048819"/>
    <s v="domestic"/>
    <x v="146"/>
    <x v="11"/>
    <n v="27832000"/>
    <n v="5550"/>
    <d v="2023-05-26T00:00:00"/>
    <s v="UNPAID"/>
    <x v="11"/>
    <n v="1390208"/>
    <n v="1"/>
    <s v="Indonesia"/>
    <s v="TJL - JPP"/>
    <x v="0"/>
  </r>
  <r>
    <s v="CLICTRUCK-048820"/>
    <s v="domestic"/>
    <x v="146"/>
    <x v="11"/>
    <n v="1134198"/>
    <n v="5550"/>
    <d v="2023-05-26T00:00:00"/>
    <s v="UNPAID"/>
    <x v="11"/>
    <n v="56652"/>
    <n v="1"/>
    <s v="Indonesia"/>
    <s v="TJL - JPP"/>
    <x v="0"/>
  </r>
  <r>
    <s v="CLICTRUCK-048821"/>
    <s v="domestic"/>
    <x v="146"/>
    <x v="11"/>
    <n v="979436"/>
    <n v="5550"/>
    <d v="2023-05-26T00:00:00"/>
    <s v="UNPAID"/>
    <x v="11"/>
    <n v="48922"/>
    <n v="1"/>
    <s v="Indonesia"/>
    <s v="TJL - JPP"/>
    <x v="0"/>
  </r>
  <r>
    <s v="CLICTRUCK-048822"/>
    <s v="domestic"/>
    <x v="146"/>
    <x v="11"/>
    <n v="979436"/>
    <n v="5550"/>
    <d v="2023-05-26T00:00:00"/>
    <s v="UNPAID"/>
    <x v="11"/>
    <n v="48922"/>
    <n v="1"/>
    <s v="Indonesia"/>
    <s v="TJL - JPP"/>
    <x v="0"/>
  </r>
  <r>
    <s v="CLICTRUCK-048823"/>
    <s v="domestic"/>
    <x v="146"/>
    <x v="11"/>
    <n v="1186146"/>
    <n v="5550"/>
    <d v="2023-05-26T00:00:00"/>
    <s v="UNPAID"/>
    <x v="11"/>
    <n v="59247"/>
    <n v="1"/>
    <s v="Indonesia"/>
    <s v="TJL - JPP"/>
    <x v="0"/>
  </r>
  <r>
    <s v="CLICTRUCK-048824"/>
    <s v="domestic"/>
    <x v="146"/>
    <x v="11"/>
    <n v="1134198"/>
    <n v="5550"/>
    <d v="2023-05-26T00:00:00"/>
    <s v="UNPAID"/>
    <x v="11"/>
    <n v="56652"/>
    <n v="1"/>
    <s v="Indonesia"/>
    <s v="TJL - JPP"/>
    <x v="0"/>
  </r>
  <r>
    <s v="CLICTRUCK-048825"/>
    <s v="domestic"/>
    <x v="146"/>
    <x v="11"/>
    <n v="1093073"/>
    <n v="5550"/>
    <d v="2023-05-26T00:00:00"/>
    <s v="UNPAID"/>
    <x v="11"/>
    <n v="54598"/>
    <n v="1"/>
    <s v="Indonesia"/>
    <s v="TJL - JPP"/>
    <x v="0"/>
  </r>
  <r>
    <s v="CLICTRUCK-048826"/>
    <s v="domestic"/>
    <x v="146"/>
    <x v="11"/>
    <n v="1093073"/>
    <n v="5550"/>
    <d v="2023-05-26T00:00:00"/>
    <s v="UNPAID"/>
    <x v="11"/>
    <n v="54598"/>
    <n v="1"/>
    <s v="Indonesia"/>
    <s v="TJL - JPP"/>
    <x v="0"/>
  </r>
  <r>
    <s v="CLICTRUCK-048827"/>
    <s v="domestic"/>
    <x v="146"/>
    <x v="11"/>
    <n v="1134198"/>
    <n v="5550"/>
    <d v="2023-05-26T00:00:00"/>
    <s v="UNPAID"/>
    <x v="11"/>
    <n v="56652"/>
    <n v="1"/>
    <s v="Indonesia"/>
    <s v="TJL - JPP"/>
    <x v="0"/>
  </r>
  <r>
    <s v="CLICTRUCK-048828"/>
    <s v="domestic"/>
    <x v="146"/>
    <x v="11"/>
    <n v="979436"/>
    <n v="5550"/>
    <d v="2023-05-26T00:00:00"/>
    <s v="UNPAID"/>
    <x v="11"/>
    <n v="48922"/>
    <n v="1"/>
    <s v="Indonesia"/>
    <s v="TJL - JPP"/>
    <x v="0"/>
  </r>
  <r>
    <s v="CLICTRUCK-048829"/>
    <s v="domestic"/>
    <x v="146"/>
    <x v="11"/>
    <n v="1134198"/>
    <n v="5550"/>
    <d v="2023-05-26T00:00:00"/>
    <s v="UNPAID"/>
    <x v="11"/>
    <n v="56652"/>
    <n v="1"/>
    <s v="Indonesia"/>
    <s v="TJL - JPP"/>
    <x v="0"/>
  </r>
  <r>
    <s v="CLICTRUCK-048830"/>
    <s v="domestic"/>
    <x v="146"/>
    <x v="11"/>
    <n v="1134198"/>
    <n v="5550"/>
    <d v="2023-05-26T00:00:00"/>
    <s v="UNPAID"/>
    <x v="11"/>
    <n v="56652"/>
    <n v="1"/>
    <s v="Indonesia"/>
    <s v="TJL - JPP"/>
    <x v="0"/>
  </r>
  <r>
    <s v="CLICTRUCK-048831"/>
    <s v="domestic"/>
    <x v="146"/>
    <x v="11"/>
    <n v="2220000"/>
    <n v="5550"/>
    <d v="2023-05-26T00:00:00"/>
    <s v="UNPAID"/>
    <x v="11"/>
    <n v="110889"/>
    <n v="1"/>
    <s v="Indonesia"/>
    <s v="TJL - JPP"/>
    <x v="0"/>
  </r>
  <r>
    <s v="CLICTRUCK-048832"/>
    <s v="domestic"/>
    <x v="146"/>
    <x v="11"/>
    <n v="979436"/>
    <n v="5550"/>
    <d v="2023-05-26T00:00:00"/>
    <s v="UNPAID"/>
    <x v="11"/>
    <n v="48922"/>
    <n v="1"/>
    <s v="Indonesia"/>
    <s v="TJL - JPP"/>
    <x v="0"/>
  </r>
  <r>
    <s v="CLICTRUCK-048833"/>
    <s v="domestic"/>
    <x v="146"/>
    <x v="11"/>
    <n v="1134198"/>
    <n v="5550"/>
    <d v="2023-05-26T00:00:00"/>
    <s v="UNPAID"/>
    <x v="11"/>
    <n v="56652"/>
    <n v="1"/>
    <s v="Indonesia"/>
    <s v="TJL - JPP"/>
    <x v="0"/>
  </r>
  <r>
    <s v="CLICTRUCK-048834"/>
    <s v="domestic"/>
    <x v="146"/>
    <x v="11"/>
    <n v="1443722"/>
    <n v="5550"/>
    <d v="2023-05-26T00:00:00"/>
    <s v="UNPAID"/>
    <x v="11"/>
    <n v="72113"/>
    <n v="1"/>
    <s v="Indonesia"/>
    <s v="TJL - JPP"/>
    <x v="0"/>
  </r>
  <r>
    <s v="CLICTRUCK-048835"/>
    <s v="domestic"/>
    <x v="146"/>
    <x v="11"/>
    <n v="1134198"/>
    <n v="5550"/>
    <d v="2023-05-26T00:00:00"/>
    <s v="UNPAID"/>
    <x v="11"/>
    <n v="56652"/>
    <n v="1"/>
    <s v="Indonesia"/>
    <s v="TJL - JPP"/>
    <x v="0"/>
  </r>
  <r>
    <s v="CLICTRUCK-048836"/>
    <s v="domestic"/>
    <x v="146"/>
    <x v="11"/>
    <n v="29680000"/>
    <n v="5550"/>
    <d v="2023-05-26T00:00:00"/>
    <s v="UNPAID"/>
    <x v="11"/>
    <n v="1482516"/>
    <n v="1"/>
    <s v="Indonesia"/>
    <s v="TJL - JPP"/>
    <x v="0"/>
  </r>
  <r>
    <s v="CLICTRUCK-048837"/>
    <s v="domestic"/>
    <x v="146"/>
    <x v="11"/>
    <n v="21308336"/>
    <n v="5550"/>
    <d v="2023-05-26T00:00:00"/>
    <s v="UNPAID"/>
    <x v="11"/>
    <n v="1064351"/>
    <n v="1"/>
    <s v="Indonesia"/>
    <s v="TJL - JPP"/>
    <x v="0"/>
  </r>
  <r>
    <s v="CLICTRUCK-048838"/>
    <s v="domestic"/>
    <x v="146"/>
    <x v="11"/>
    <n v="18913833"/>
    <n v="5550"/>
    <d v="2023-05-26T00:00:00"/>
    <s v="UNPAID"/>
    <x v="11"/>
    <n v="944745"/>
    <n v="1"/>
    <s v="Indonesia"/>
    <s v="TJL - JPP"/>
    <x v="0"/>
  </r>
  <r>
    <s v="CLICTRUCK-048839"/>
    <s v="domestic"/>
    <x v="146"/>
    <x v="11"/>
    <n v="30368230"/>
    <n v="5550"/>
    <d v="2023-05-26T00:00:00"/>
    <s v="UNPAID"/>
    <x v="11"/>
    <n v="1516892"/>
    <n v="1"/>
    <s v="Indonesia"/>
    <s v="TJL - JPP"/>
    <x v="0"/>
  </r>
  <r>
    <s v="CLICTRUCK-048840"/>
    <s v="domestic"/>
    <x v="146"/>
    <x v="11"/>
    <n v="21890456"/>
    <n v="5550"/>
    <d v="2023-05-26T00:00:00"/>
    <s v="UNPAID"/>
    <x v="11"/>
    <n v="1093427"/>
    <n v="1"/>
    <s v="Indonesia"/>
    <s v="TJL - JPP"/>
    <x v="0"/>
  </r>
  <r>
    <s v="CLICTRUCK-048841"/>
    <s v="domestic"/>
    <x v="146"/>
    <x v="11"/>
    <n v="19366334"/>
    <n v="5550"/>
    <d v="2023-05-26T00:00:00"/>
    <s v="UNPAID"/>
    <x v="11"/>
    <n v="967348"/>
    <n v="1"/>
    <s v="Indonesia"/>
    <s v="TJL - JPP"/>
    <x v="0"/>
  </r>
  <r>
    <s v="CLICTRUCK-048842"/>
    <s v="domestic"/>
    <x v="146"/>
    <x v="11"/>
    <n v="24132693"/>
    <n v="5550"/>
    <d v="2023-05-26T00:00:00"/>
    <s v="UNPAID"/>
    <x v="11"/>
    <n v="1205427"/>
    <n v="1"/>
    <s v="Indonesia"/>
    <s v="TJL - JPP"/>
    <x v="0"/>
  </r>
  <r>
    <s v="CLICTRUCK-048843"/>
    <s v="domestic"/>
    <x v="146"/>
    <x v="11"/>
    <n v="19195281"/>
    <n v="5550"/>
    <d v="2023-05-26T00:00:00"/>
    <s v="UNPAID"/>
    <x v="11"/>
    <n v="958803"/>
    <n v="1"/>
    <s v="Indonesia"/>
    <s v="TJL - JPP"/>
    <x v="0"/>
  </r>
  <r>
    <s v="CLICTRUCK-048844"/>
    <s v="domestic"/>
    <x v="146"/>
    <x v="11"/>
    <n v="17340209"/>
    <n v="5550"/>
    <d v="2023-05-26T00:00:00"/>
    <s v="UNPAID"/>
    <x v="11"/>
    <n v="866142"/>
    <n v="1"/>
    <s v="Indonesia"/>
    <s v="TJL - JPP"/>
    <x v="0"/>
  </r>
  <r>
    <s v="CLICTRUCK-048845"/>
    <s v="domestic"/>
    <x v="146"/>
    <x v="11"/>
    <n v="17373193"/>
    <n v="5550"/>
    <d v="2023-05-26T00:00:00"/>
    <s v="UNPAID"/>
    <x v="11"/>
    <n v="867790"/>
    <n v="1"/>
    <s v="Indonesia"/>
    <s v="TJL - JPP"/>
    <x v="0"/>
  </r>
  <r>
    <s v="CLICTRUCK-048846"/>
    <s v="domestic"/>
    <x v="146"/>
    <x v="9"/>
    <n v="207000"/>
    <n v="22500"/>
    <m/>
    <s v="DELIVERED"/>
    <x v="34"/>
    <n v="0"/>
    <n v="1"/>
    <s v="Indonesia"/>
    <s v="YSN - PPT"/>
    <x v="1"/>
  </r>
  <r>
    <s v="CLICTRUCK-048847"/>
    <s v="domestic"/>
    <x v="146"/>
    <x v="41"/>
    <n v="39200000"/>
    <n v="1087800"/>
    <d v="2023-05-30T00:00:00"/>
    <s v="UNPAID"/>
    <x v="45"/>
    <n v="27750"/>
    <n v="1"/>
    <s v="Indonesia"/>
    <s v="MSE - SKE"/>
    <x v="0"/>
  </r>
  <r>
    <s v="CLICTRUCK-048848"/>
    <s v="domestic"/>
    <x v="146"/>
    <x v="22"/>
    <n v="25000000"/>
    <n v="1040625"/>
    <d v="2023-05-24T00:00:00"/>
    <s v="UNPAID"/>
    <x v="24"/>
    <n v="27750"/>
    <n v="1"/>
    <s v="Indonesia"/>
    <s v="ALD - PLI"/>
    <x v="0"/>
  </r>
  <r>
    <s v="CLICTRUCK-048849"/>
    <s v="domestic"/>
    <x v="146"/>
    <x v="9"/>
    <n v="294490"/>
    <n v="24975"/>
    <d v="2023-06-05T00:00:00"/>
    <s v="UNPAID"/>
    <x v="9"/>
    <n v="9805"/>
    <n v="1"/>
    <s v="Indonesia"/>
    <s v="YSN-SSA"/>
    <x v="0"/>
  </r>
  <r>
    <s v="CLICTRUCK-048850"/>
    <s v="domestic"/>
    <x v="146"/>
    <x v="9"/>
    <n v="190000"/>
    <n v="22500"/>
    <m/>
    <s v="DELIVERED"/>
    <x v="34"/>
    <n v="0"/>
    <n v="1"/>
    <s v="Indonesia"/>
    <s v="YSN - PPT"/>
    <x v="1"/>
  </r>
  <r>
    <s v="CLICTRUCK-048851"/>
    <s v="domestic"/>
    <x v="146"/>
    <x v="22"/>
    <n v="25000000"/>
    <n v="1040625"/>
    <d v="2023-05-24T00:00:00"/>
    <s v="UNPAID"/>
    <x v="24"/>
    <n v="27750"/>
    <n v="1"/>
    <s v="Indonesia"/>
    <s v="ALD - PLI"/>
    <x v="0"/>
  </r>
  <r>
    <s v="CLICTRUCK-048852"/>
    <s v="domestic"/>
    <x v="146"/>
    <x v="22"/>
    <n v="25000000"/>
    <n v="1040625"/>
    <d v="2023-05-24T00:00:00"/>
    <s v="UNPAID"/>
    <x v="24"/>
    <n v="27750"/>
    <n v="1"/>
    <s v="Indonesia"/>
    <s v="ALD - PLI"/>
    <x v="0"/>
  </r>
  <r>
    <s v="CLICTRUCK-048853"/>
    <s v="domestic"/>
    <x v="146"/>
    <x v="22"/>
    <n v="25000000"/>
    <n v="1040625"/>
    <d v="2023-05-24T00:00:00"/>
    <s v="UNPAID"/>
    <x v="24"/>
    <n v="27750"/>
    <n v="1"/>
    <s v="Indonesia"/>
    <s v="ALD - PLI"/>
    <x v="0"/>
  </r>
  <r>
    <s v="CLICTRUCK-048854"/>
    <s v="domestic"/>
    <x v="97"/>
    <x v="42"/>
    <n v="2"/>
    <n v="25000"/>
    <m/>
    <s v="NEW"/>
    <x v="46"/>
    <n v="0"/>
    <n v="2"/>
    <s v="Indonesia"/>
    <s v="DLM - NLS"/>
    <x v="1"/>
  </r>
  <r>
    <s v="CLICTRUCK-048860"/>
    <s v="domestic"/>
    <x v="147"/>
    <x v="10"/>
    <n v="2030000"/>
    <n v="20000"/>
    <m/>
    <s v="DELIVERED"/>
    <x v="10"/>
    <n v="0"/>
    <n v="1"/>
    <s v="Indonesia"/>
    <s v="ZLog-ZENSHIN"/>
    <x v="1"/>
  </r>
  <r>
    <s v="CLICTRUCK-048871"/>
    <s v="domestic"/>
    <x v="98"/>
    <x v="9"/>
    <n v="340060"/>
    <n v="24975"/>
    <d v="2023-06-05T00:00:00"/>
    <s v="UNPAID"/>
    <x v="9"/>
    <n v="11323"/>
    <n v="1"/>
    <s v="Indonesia"/>
    <s v="YSN-SSA"/>
    <x v="0"/>
  </r>
  <r>
    <s v="CLICTRUCK-048872"/>
    <s v="domestic"/>
    <x v="98"/>
    <x v="9"/>
    <n v="340060"/>
    <n v="24975"/>
    <d v="2023-06-05T00:00:00"/>
    <s v="UNPAID"/>
    <x v="9"/>
    <n v="11323"/>
    <n v="1"/>
    <s v="Indonesia"/>
    <s v="YSN-SSA"/>
    <x v="0"/>
  </r>
  <r>
    <s v="CLICTRUCK-048873"/>
    <s v="domestic"/>
    <x v="98"/>
    <x v="9"/>
    <n v="395000"/>
    <n v="22500"/>
    <m/>
    <s v="ONGOING"/>
    <x v="34"/>
    <n v="0"/>
    <n v="1"/>
    <s v="Indonesia"/>
    <s v="YSN - PPT"/>
    <x v="1"/>
  </r>
  <r>
    <s v="CLICTRUCK-048875"/>
    <s v="domestic"/>
    <x v="98"/>
    <x v="17"/>
    <n v="24600000"/>
    <n v="955710"/>
    <d v="2023-05-25T00:00:00"/>
    <s v="UNPAID"/>
    <x v="44"/>
    <n v="27750"/>
    <n v="1"/>
    <s v="Indonesia"/>
    <s v="AJM - RALI"/>
    <x v="0"/>
  </r>
  <r>
    <s v="CLICTRUCK-048876"/>
    <s v="domestic"/>
    <x v="98"/>
    <x v="17"/>
    <n v="20300000"/>
    <n v="788655"/>
    <d v="2023-05-25T00:00:00"/>
    <s v="UNPAID"/>
    <x v="44"/>
    <n v="27750"/>
    <n v="1"/>
    <s v="Indonesia"/>
    <s v="AJM - RALI"/>
    <x v="0"/>
  </r>
  <r>
    <s v="CLICTRUCK-048877"/>
    <s v="domestic"/>
    <x v="98"/>
    <x v="17"/>
    <n v="20300000"/>
    <n v="788655"/>
    <d v="2023-05-25T00:00:00"/>
    <s v="UNPAID"/>
    <x v="44"/>
    <n v="27750"/>
    <n v="1"/>
    <s v="Indonesia"/>
    <s v="AJM - RALI"/>
    <x v="0"/>
  </r>
  <r>
    <s v="CLICTRUCK-048878"/>
    <s v="domestic"/>
    <x v="98"/>
    <x v="17"/>
    <n v="24600000"/>
    <n v="955710"/>
    <d v="2023-05-25T00:00:00"/>
    <s v="UNPAID"/>
    <x v="44"/>
    <n v="27750"/>
    <n v="1"/>
    <s v="Indonesia"/>
    <s v="AJM - RALI"/>
    <x v="0"/>
  </r>
  <r>
    <s v="CLICTRUCK-048879"/>
    <s v="domestic"/>
    <x v="98"/>
    <x v="43"/>
    <n v="8500000"/>
    <n v="27750"/>
    <d v="2023-05-25T00:00:00"/>
    <s v="UNPAID"/>
    <x v="47"/>
    <n v="377400"/>
    <n v="1"/>
    <s v="Indonesia"/>
    <s v="AOG - AOL"/>
    <x v="0"/>
  </r>
  <r>
    <s v="CLICTRUCK-048880"/>
    <s v="domestic"/>
    <x v="98"/>
    <x v="17"/>
    <n v="24100000"/>
    <n v="936285"/>
    <d v="2023-05-25T00:00:00"/>
    <s v="UNPAID"/>
    <x v="44"/>
    <n v="27750"/>
    <n v="1"/>
    <s v="Indonesia"/>
    <s v="AJM - RALI"/>
    <x v="0"/>
  </r>
  <r>
    <s v="CLICTRUCK-048881"/>
    <s v="domestic"/>
    <x v="98"/>
    <x v="17"/>
    <n v="20300000"/>
    <n v="788655"/>
    <d v="2023-05-25T00:00:00"/>
    <s v="UNPAID"/>
    <x v="44"/>
    <n v="27750"/>
    <n v="1"/>
    <s v="Indonesia"/>
    <s v="AJM - RALI"/>
    <x v="0"/>
  </r>
  <r>
    <s v="CLICTRUCK-048882"/>
    <s v="domestic"/>
    <x v="98"/>
    <x v="17"/>
    <n v="20300000"/>
    <n v="788655"/>
    <d v="2023-05-25T00:00:00"/>
    <s v="UNPAID"/>
    <x v="44"/>
    <n v="27750"/>
    <n v="1"/>
    <s v="Indonesia"/>
    <s v="AJM - RALI"/>
    <x v="0"/>
  </r>
  <r>
    <s v="CLICTRUCK-048884"/>
    <s v="domestic"/>
    <x v="98"/>
    <x v="17"/>
    <n v="20300000"/>
    <n v="788655"/>
    <d v="2023-05-25T00:00:00"/>
    <s v="UNPAID"/>
    <x v="44"/>
    <n v="27750"/>
    <n v="1"/>
    <s v="Indonesia"/>
    <s v="AJM - RALI"/>
    <x v="0"/>
  </r>
  <r>
    <s v="CLICTRUCK-048885"/>
    <s v="domestic"/>
    <x v="98"/>
    <x v="17"/>
    <n v="20300000"/>
    <n v="788655"/>
    <d v="2023-05-25T00:00:00"/>
    <s v="UNPAID"/>
    <x v="44"/>
    <n v="27750"/>
    <n v="1"/>
    <s v="Indonesia"/>
    <s v="AJM - RALI"/>
    <x v="0"/>
  </r>
  <r>
    <s v="CLICTRUCK-048886"/>
    <s v="domestic"/>
    <x v="98"/>
    <x v="17"/>
    <n v="24600000"/>
    <n v="955710"/>
    <d v="2023-05-25T00:00:00"/>
    <s v="UNPAID"/>
    <x v="44"/>
    <n v="27750"/>
    <n v="1"/>
    <s v="Indonesia"/>
    <s v="AJM - RALI"/>
    <x v="0"/>
  </r>
  <r>
    <s v="CLICTRUCK-048887"/>
    <s v="domestic"/>
    <x v="98"/>
    <x v="17"/>
    <n v="24600000"/>
    <n v="955710"/>
    <d v="2023-05-25T00:00:00"/>
    <s v="UNPAID"/>
    <x v="44"/>
    <n v="27750"/>
    <n v="1"/>
    <s v="Indonesia"/>
    <s v="AJM - RALI"/>
    <x v="0"/>
  </r>
  <r>
    <s v="CLICTRUCK-048888"/>
    <s v="domestic"/>
    <x v="98"/>
    <x v="9"/>
    <n v="340060"/>
    <n v="24975"/>
    <d v="2023-06-05T00:00:00"/>
    <s v="UNPAID"/>
    <x v="9"/>
    <n v="11323"/>
    <n v="1"/>
    <s v="Indonesia"/>
    <s v="YSN-SSA"/>
    <x v="0"/>
  </r>
  <r>
    <s v="CLICTRUCK-048889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890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891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892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893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894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895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896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897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898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899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00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01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02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03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04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05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06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07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08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09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10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11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12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13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14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15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17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18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19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20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21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22"/>
    <s v="domestic"/>
    <x v="99"/>
    <x v="36"/>
    <n v="7500000"/>
    <n v="416250"/>
    <d v="2023-05-25T00:00:00"/>
    <s v="UNPAID"/>
    <x v="39"/>
    <n v="27750"/>
    <n v="1"/>
    <s v="Indonesia"/>
    <s v="LVI - DRT"/>
    <x v="0"/>
  </r>
  <r>
    <s v="CLICTRUCK-048923"/>
    <s v="domestic"/>
    <x v="99"/>
    <x v="36"/>
    <n v="7000000"/>
    <n v="388500"/>
    <d v="2023-05-25T00:00:00"/>
    <s v="UNPAID"/>
    <x v="39"/>
    <n v="27750"/>
    <n v="1"/>
    <s v="Indonesia"/>
    <s v="LVI - DRT"/>
    <x v="0"/>
  </r>
  <r>
    <s v="CLICTRUCK-048927"/>
    <s v="domestic"/>
    <x v="99"/>
    <x v="11"/>
    <n v="13541825"/>
    <n v="5550"/>
    <d v="2023-05-26T00:00:00"/>
    <s v="UNPAID"/>
    <x v="11"/>
    <n v="676414"/>
    <n v="1"/>
    <s v="Indonesia"/>
    <s v="TJL - JPP"/>
    <x v="0"/>
  </r>
  <r>
    <s v="CLICTRUCK-048928"/>
    <s v="domestic"/>
    <x v="99"/>
    <x v="11"/>
    <n v="13541825"/>
    <n v="5550"/>
    <d v="2023-05-26T00:00:00"/>
    <s v="UNPAID"/>
    <x v="11"/>
    <n v="676414"/>
    <n v="1"/>
    <s v="Indonesia"/>
    <s v="TJL - JPP"/>
    <x v="0"/>
  </r>
  <r>
    <s v="CLICTRUCK-048929"/>
    <s v="domestic"/>
    <x v="99"/>
    <x v="11"/>
    <n v="13541825"/>
    <n v="5550"/>
    <d v="2023-05-26T00:00:00"/>
    <s v="UNPAID"/>
    <x v="11"/>
    <n v="676414"/>
    <n v="1"/>
    <s v="Indonesia"/>
    <s v="TJL - JPP"/>
    <x v="0"/>
  </r>
  <r>
    <s v="CLICTRUCK-048931"/>
    <s v="domestic"/>
    <x v="99"/>
    <x v="9"/>
    <n v="245490"/>
    <n v="24975"/>
    <d v="2023-06-05T00:00:00"/>
    <s v="UNPAID"/>
    <x v="9"/>
    <n v="8174"/>
    <n v="1"/>
    <s v="Indonesia"/>
    <s v="YSN-SSA"/>
    <x v="0"/>
  </r>
  <r>
    <s v="CLICTRUCK-048933"/>
    <s v="domestic"/>
    <x v="99"/>
    <x v="9"/>
    <n v="274890"/>
    <n v="24975"/>
    <d v="2023-06-05T00:00:00"/>
    <s v="UNPAID"/>
    <x v="9"/>
    <n v="9153"/>
    <n v="1"/>
    <s v="Indonesia"/>
    <s v="YSN-SSA"/>
    <x v="0"/>
  </r>
  <r>
    <s v="CLICTRUCK-048934"/>
    <s v="domestic"/>
    <x v="99"/>
    <x v="9"/>
    <n v="294490"/>
    <n v="24975"/>
    <d v="2023-06-05T00:00:00"/>
    <s v="UNPAID"/>
    <x v="9"/>
    <n v="9805"/>
    <n v="1"/>
    <s v="Indonesia"/>
    <s v="YSN-SSA"/>
    <x v="0"/>
  </r>
  <r>
    <s v="CLICTRUCK-048935"/>
    <s v="domestic"/>
    <x v="99"/>
    <x v="9"/>
    <n v="340060"/>
    <n v="24975"/>
    <d v="2023-06-05T00:00:00"/>
    <s v="UNPAID"/>
    <x v="9"/>
    <n v="11323"/>
    <n v="1"/>
    <s v="Indonesia"/>
    <s v="YSN-SSA"/>
    <x v="0"/>
  </r>
  <r>
    <s v="CLICTRUCK-048936"/>
    <s v="domestic"/>
    <x v="100"/>
    <x v="9"/>
    <n v="340060"/>
    <n v="24975"/>
    <d v="2023-06-05T00:00:00"/>
    <s v="UNPAID"/>
    <x v="9"/>
    <n v="11323"/>
    <n v="1"/>
    <s v="Indonesia"/>
    <s v="YSN-SSA"/>
    <x v="0"/>
  </r>
  <r>
    <s v="CLICTRUCK-048938"/>
    <s v="domestic"/>
    <x v="100"/>
    <x v="28"/>
    <n v="67005800"/>
    <n v="83250"/>
    <d v="2023-05-26T00:00:00"/>
    <s v="UNPAID"/>
    <x v="31"/>
    <n v="2454422"/>
    <n v="3"/>
    <s v="Indonesia"/>
    <s v="TSM - DGS"/>
    <x v="0"/>
  </r>
  <r>
    <s v="CLICTRUCK-048939"/>
    <s v="domestic"/>
    <x v="147"/>
    <x v="32"/>
    <n v="3700000"/>
    <n v="27750"/>
    <d v="2023-06-04T00:00:00"/>
    <s v="UNPAID"/>
    <x v="36"/>
    <n v="102675"/>
    <n v="1"/>
    <s v="Indonesia"/>
    <s v="SPM - BTS"/>
    <x v="0"/>
  </r>
  <r>
    <s v="CLICTRUCK-048940"/>
    <s v="domestic"/>
    <x v="147"/>
    <x v="32"/>
    <n v="3700000"/>
    <n v="27750"/>
    <d v="2023-06-04T00:00:00"/>
    <s v="UNPAID"/>
    <x v="36"/>
    <n v="102675"/>
    <n v="1"/>
    <s v="Indonesia"/>
    <s v="SPM - BTS"/>
    <x v="0"/>
  </r>
  <r>
    <s v="CLICTRUCK-048945"/>
    <s v="domestic"/>
    <x v="100"/>
    <x v="44"/>
    <n v="185000000"/>
    <n v="25000"/>
    <m/>
    <s v="NEW"/>
    <x v="48"/>
    <n v="0"/>
    <n v="1"/>
    <s v="Indonesia"/>
    <s v="TAL - MMA (2)"/>
    <x v="1"/>
  </r>
  <r>
    <s v="CLICTRUCK-048951"/>
    <s v="domestic"/>
    <x v="100"/>
    <x v="44"/>
    <n v="185000000"/>
    <n v="27750"/>
    <d v="2023-05-26T00:00:00"/>
    <s v="UNPAID"/>
    <x v="48"/>
    <n v="8214000"/>
    <n v="1"/>
    <s v="Indonesia"/>
    <s v="TAL - MMA (2)"/>
    <x v="0"/>
  </r>
  <r>
    <s v="CLICTRUCK-048956"/>
    <s v="domestic"/>
    <x v="100"/>
    <x v="42"/>
    <n v="30500000"/>
    <n v="27750"/>
    <d v="2023-05-27T00:00:00"/>
    <s v="UNPAID"/>
    <x v="46"/>
    <n v="1015650"/>
    <n v="1"/>
    <s v="Indonesia"/>
    <s v="DLM - NLS"/>
    <x v="0"/>
  </r>
  <r>
    <s v="CLICTRUCK-048957"/>
    <s v="domestic"/>
    <x v="148"/>
    <x v="32"/>
    <n v="3700000"/>
    <n v="27750"/>
    <d v="2023-06-04T00:00:00"/>
    <s v="UNPAID"/>
    <x v="36"/>
    <n v="102675"/>
    <n v="1"/>
    <s v="Indonesia"/>
    <s v="SPM - BTS"/>
    <x v="0"/>
  </r>
  <r>
    <s v="CLICTRUCK-048958"/>
    <s v="domestic"/>
    <x v="148"/>
    <x v="32"/>
    <n v="3700000"/>
    <n v="27750"/>
    <d v="2023-06-04T00:00:00"/>
    <s v="UNPAID"/>
    <x v="36"/>
    <n v="102675"/>
    <n v="1"/>
    <s v="Indonesia"/>
    <s v="SPM - BTS"/>
    <x v="0"/>
  </r>
  <r>
    <s v="CLICTRUCK-048959"/>
    <s v="domestic"/>
    <x v="148"/>
    <x v="32"/>
    <n v="3700000"/>
    <n v="27750"/>
    <d v="2023-06-04T00:00:00"/>
    <s v="UNPAID"/>
    <x v="36"/>
    <n v="102675"/>
    <n v="1"/>
    <s v="Indonesia"/>
    <s v="SPM - BTS"/>
    <x v="0"/>
  </r>
  <r>
    <s v="CLICTRUCK-048960"/>
    <s v="domestic"/>
    <x v="148"/>
    <x v="32"/>
    <n v="3700000"/>
    <n v="27750"/>
    <d v="2023-06-04T00:00:00"/>
    <s v="UNPAID"/>
    <x v="36"/>
    <n v="102675"/>
    <n v="1"/>
    <s v="Indonesia"/>
    <s v="SPM - BTS"/>
    <x v="0"/>
  </r>
  <r>
    <s v="CLICTRUCK-048961"/>
    <s v="domestic"/>
    <x v="148"/>
    <x v="32"/>
    <n v="3700000"/>
    <n v="27750"/>
    <d v="2023-06-04T00:00:00"/>
    <s v="UNPAID"/>
    <x v="36"/>
    <n v="102675"/>
    <n v="1"/>
    <s v="Indonesia"/>
    <s v="SPM - BTS"/>
    <x v="0"/>
  </r>
  <r>
    <s v="CLICTRUCK-048962"/>
    <s v="domestic"/>
    <x v="149"/>
    <x v="25"/>
    <n v="1655000"/>
    <n v="27750"/>
    <d v="2023-05-28T00:00:00"/>
    <s v="UNPAID"/>
    <x v="28"/>
    <n v="73482"/>
    <n v="1"/>
    <s v="Indonesia"/>
    <s v="SAJB - SEP"/>
    <x v="0"/>
  </r>
  <r>
    <s v="CLICTRUCK-048963"/>
    <s v="domestic"/>
    <x v="149"/>
    <x v="25"/>
    <n v="2485000"/>
    <n v="27750"/>
    <d v="2023-05-28T00:00:00"/>
    <s v="UNPAID"/>
    <x v="28"/>
    <n v="110334"/>
    <n v="1"/>
    <s v="Indonesia"/>
    <s v="SAJB - SEP"/>
    <x v="0"/>
  </r>
  <r>
    <s v="CLICTRUCK-048964"/>
    <s v="domestic"/>
    <x v="149"/>
    <x v="25"/>
    <n v="1880000"/>
    <n v="27750"/>
    <d v="2023-05-28T00:00:00"/>
    <s v="UNPAID"/>
    <x v="28"/>
    <n v="83472"/>
    <n v="1"/>
    <s v="Indonesia"/>
    <s v="SAJB - SEP"/>
    <x v="0"/>
  </r>
  <r>
    <s v="CLICTRUCK-048965"/>
    <s v="domestic"/>
    <x v="149"/>
    <x v="25"/>
    <n v="1880000"/>
    <n v="27750"/>
    <d v="2023-05-28T00:00:00"/>
    <s v="UNPAID"/>
    <x v="28"/>
    <n v="83472"/>
    <n v="1"/>
    <s v="Indonesia"/>
    <s v="SAJB - SEP"/>
    <x v="0"/>
  </r>
  <r>
    <s v="CLICTRUCK-048966"/>
    <s v="domestic"/>
    <x v="149"/>
    <x v="25"/>
    <n v="1880000"/>
    <n v="27750"/>
    <d v="2023-05-28T00:00:00"/>
    <s v="UNPAID"/>
    <x v="28"/>
    <n v="83472"/>
    <n v="1"/>
    <s v="Indonesia"/>
    <s v="SAJB - SEP"/>
    <x v="0"/>
  </r>
  <r>
    <s v="CLICTRUCK-048967"/>
    <s v="domestic"/>
    <x v="149"/>
    <x v="25"/>
    <n v="1880000"/>
    <n v="27750"/>
    <d v="2023-05-28T00:00:00"/>
    <s v="UNPAID"/>
    <x v="28"/>
    <n v="83472"/>
    <n v="1"/>
    <s v="Indonesia"/>
    <s v="SAJB - SEP"/>
    <x v="0"/>
  </r>
  <r>
    <s v="CLICTRUCK-048968"/>
    <s v="domestic"/>
    <x v="149"/>
    <x v="25"/>
    <n v="1655000"/>
    <n v="27750"/>
    <d v="2023-05-28T00:00:00"/>
    <s v="UNPAID"/>
    <x v="28"/>
    <n v="73482"/>
    <n v="1"/>
    <s v="Indonesia"/>
    <s v="SAJB - SEP"/>
    <x v="0"/>
  </r>
  <r>
    <s v="CLICTRUCK-048969"/>
    <s v="domestic"/>
    <x v="149"/>
    <x v="25"/>
    <n v="1655000"/>
    <n v="27750"/>
    <d v="2023-05-28T00:00:00"/>
    <s v="UNPAID"/>
    <x v="28"/>
    <n v="73482"/>
    <n v="1"/>
    <s v="Indonesia"/>
    <s v="SAJB - SEP"/>
    <x v="0"/>
  </r>
  <r>
    <s v="CLICTRUCK-048970"/>
    <s v="domestic"/>
    <x v="149"/>
    <x v="25"/>
    <n v="1655000"/>
    <n v="27750"/>
    <d v="2023-05-28T00:00:00"/>
    <s v="UNPAID"/>
    <x v="28"/>
    <n v="73482"/>
    <n v="1"/>
    <s v="Indonesia"/>
    <s v="SAJB - SEP"/>
    <x v="0"/>
  </r>
  <r>
    <s v="CLICTRUCK-048971"/>
    <s v="domestic"/>
    <x v="149"/>
    <x v="25"/>
    <n v="1880000"/>
    <n v="27750"/>
    <d v="2023-05-28T00:00:00"/>
    <s v="UNPAID"/>
    <x v="28"/>
    <n v="83472"/>
    <n v="1"/>
    <s v="Indonesia"/>
    <s v="SAJB - SEP"/>
    <x v="0"/>
  </r>
  <r>
    <s v="CLICTRUCK-048972"/>
    <s v="domestic"/>
    <x v="149"/>
    <x v="25"/>
    <n v="1880000"/>
    <n v="27750"/>
    <d v="2023-05-28T00:00:00"/>
    <s v="UNPAID"/>
    <x v="28"/>
    <n v="83472"/>
    <n v="1"/>
    <s v="Indonesia"/>
    <s v="SAJB - SEP"/>
    <x v="0"/>
  </r>
  <r>
    <s v="CLICTRUCK-048973"/>
    <s v="domestic"/>
    <x v="149"/>
    <x v="25"/>
    <n v="2170000"/>
    <n v="27750"/>
    <d v="2023-05-28T00:00:00"/>
    <s v="UNPAID"/>
    <x v="28"/>
    <n v="96348"/>
    <n v="1"/>
    <s v="Indonesia"/>
    <s v="SAJB - SEP"/>
    <x v="0"/>
  </r>
  <r>
    <s v="CLICTRUCK-048974"/>
    <s v="domestic"/>
    <x v="149"/>
    <x v="25"/>
    <n v="3400000"/>
    <n v="27750"/>
    <d v="2023-05-28T00:00:00"/>
    <s v="UNPAID"/>
    <x v="28"/>
    <n v="150960"/>
    <n v="1"/>
    <s v="Indonesia"/>
    <s v="SAJB - SEP"/>
    <x v="0"/>
  </r>
  <r>
    <s v="CLICTRUCK-048975"/>
    <s v="domestic"/>
    <x v="149"/>
    <x v="25"/>
    <n v="1880000"/>
    <n v="27750"/>
    <d v="2023-05-28T00:00:00"/>
    <s v="UNPAID"/>
    <x v="28"/>
    <n v="83472"/>
    <n v="1"/>
    <s v="Indonesia"/>
    <s v="SAJB - SEP"/>
    <x v="0"/>
  </r>
  <r>
    <s v="CLICTRUCK-048976"/>
    <s v="domestic"/>
    <x v="149"/>
    <x v="25"/>
    <n v="1925000"/>
    <n v="27750"/>
    <d v="2023-05-28T00:00:00"/>
    <s v="UNPAID"/>
    <x v="28"/>
    <n v="85470"/>
    <n v="1"/>
    <s v="Indonesia"/>
    <s v="SAJB - SEP"/>
    <x v="0"/>
  </r>
  <r>
    <s v="CLICTRUCK-048977"/>
    <s v="domestic"/>
    <x v="149"/>
    <x v="25"/>
    <n v="2485000"/>
    <n v="27750"/>
    <d v="2023-05-28T00:00:00"/>
    <s v="UNPAID"/>
    <x v="28"/>
    <n v="110334"/>
    <n v="1"/>
    <s v="Indonesia"/>
    <s v="SAJB - SEP"/>
    <x v="0"/>
  </r>
  <r>
    <s v="CLICTRUCK-048978"/>
    <s v="domestic"/>
    <x v="149"/>
    <x v="25"/>
    <n v="2485000"/>
    <n v="27750"/>
    <d v="2023-05-28T00:00:00"/>
    <s v="UNPAID"/>
    <x v="28"/>
    <n v="110334"/>
    <n v="1"/>
    <s v="Indonesia"/>
    <s v="SAJB - SEP"/>
    <x v="0"/>
  </r>
  <r>
    <s v="CLICTRUCK-048979"/>
    <s v="domestic"/>
    <x v="149"/>
    <x v="25"/>
    <n v="1880000"/>
    <n v="27750"/>
    <d v="2023-05-28T00:00:00"/>
    <s v="UNPAID"/>
    <x v="28"/>
    <n v="83472"/>
    <n v="1"/>
    <s v="Indonesia"/>
    <s v="SAJB - SEP"/>
    <x v="0"/>
  </r>
  <r>
    <s v="CLICTRUCK-048980"/>
    <s v="domestic"/>
    <x v="149"/>
    <x v="25"/>
    <n v="1880000"/>
    <n v="27750"/>
    <d v="2023-05-28T00:00:00"/>
    <s v="UNPAID"/>
    <x v="28"/>
    <n v="83472"/>
    <n v="1"/>
    <s v="Indonesia"/>
    <s v="SAJB - SEP"/>
    <x v="0"/>
  </r>
  <r>
    <s v="CLICTRUCK-048981"/>
    <s v="domestic"/>
    <x v="149"/>
    <x v="30"/>
    <n v="160100000"/>
    <n v="27750"/>
    <d v="2023-05-28T00:00:00"/>
    <s v="UNPAID"/>
    <x v="33"/>
    <n v="7108440"/>
    <n v="1"/>
    <s v="Indonesia"/>
    <s v="RDD - RED"/>
    <x v="0"/>
  </r>
  <r>
    <s v="CLICTRUCK-048982"/>
    <s v="domestic"/>
    <x v="149"/>
    <x v="30"/>
    <n v="160100000"/>
    <n v="27750"/>
    <d v="2023-05-28T00:00:00"/>
    <s v="UNPAID"/>
    <x v="33"/>
    <n v="7108440"/>
    <n v="1"/>
    <s v="Indonesia"/>
    <s v="RDD - RED"/>
    <x v="0"/>
  </r>
  <r>
    <s v="CLICTRUCK-048983"/>
    <s v="domestic"/>
    <x v="101"/>
    <x v="45"/>
    <n v="147500000"/>
    <n v="8186250"/>
    <d v="2023-05-29T00:00:00"/>
    <s v="UNPAID"/>
    <x v="27"/>
    <n v="27750"/>
    <n v="1"/>
    <s v="Indonesia"/>
    <s v="KBT - TJA"/>
    <x v="0"/>
  </r>
  <r>
    <s v="CLICTRUCK-048984"/>
    <s v="domestic"/>
    <x v="101"/>
    <x v="9"/>
    <n v="245490"/>
    <n v="24975"/>
    <d v="2023-06-05T00:00:00"/>
    <s v="UNPAID"/>
    <x v="9"/>
    <n v="8174"/>
    <n v="1"/>
    <s v="Indonesia"/>
    <s v="YSN-SSA"/>
    <x v="0"/>
  </r>
  <r>
    <s v="CLICTRUCK-048985"/>
    <s v="domestic"/>
    <x v="101"/>
    <x v="9"/>
    <n v="340060"/>
    <n v="24975"/>
    <d v="2023-06-05T00:00:00"/>
    <s v="UNPAID"/>
    <x v="9"/>
    <n v="11323"/>
    <n v="1"/>
    <s v="Indonesia"/>
    <s v="YSN-SSA"/>
    <x v="0"/>
  </r>
  <r>
    <s v="CLICTRUCK-048991"/>
    <s v="domestic"/>
    <x v="101"/>
    <x v="46"/>
    <n v="12350000"/>
    <n v="27750"/>
    <d v="2023-05-30T00:00:00"/>
    <s v="UNPAID"/>
    <x v="49"/>
    <n v="822510"/>
    <n v="1"/>
    <s v="Indonesia"/>
    <s v="KBT - MA"/>
    <x v="0"/>
  </r>
  <r>
    <s v="CLICTRUCK-048992"/>
    <s v="domestic"/>
    <x v="101"/>
    <x v="46"/>
    <n v="2232000"/>
    <n v="27750"/>
    <d v="2023-05-30T00:00:00"/>
    <s v="UNPAID"/>
    <x v="49"/>
    <n v="148651"/>
    <n v="1"/>
    <s v="Indonesia"/>
    <s v="KBT - MA"/>
    <x v="0"/>
  </r>
  <r>
    <s v="CLICTRUCK-048993"/>
    <s v="domestic"/>
    <x v="147"/>
    <x v="9"/>
    <n v="340060"/>
    <n v="24975"/>
    <d v="2023-06-05T00:00:00"/>
    <s v="UNPAID"/>
    <x v="9"/>
    <n v="11323"/>
    <n v="1"/>
    <s v="Indonesia"/>
    <s v="YSN-SSA"/>
    <x v="0"/>
  </r>
  <r>
    <s v="CLICTRUCK-048994"/>
    <s v="domestic"/>
    <x v="147"/>
    <x v="9"/>
    <n v="340060"/>
    <n v="24975"/>
    <d v="2023-06-05T00:00:00"/>
    <s v="UNPAID"/>
    <x v="9"/>
    <n v="11323"/>
    <n v="1"/>
    <s v="Indonesia"/>
    <s v="YSN-SSA"/>
    <x v="0"/>
  </r>
  <r>
    <s v="CLICTRUCK-048995"/>
    <s v="domestic"/>
    <x v="147"/>
    <x v="10"/>
    <n v="2494000"/>
    <n v="20000"/>
    <m/>
    <s v="DELIVERED"/>
    <x v="10"/>
    <n v="0"/>
    <n v="1"/>
    <s v="Indonesia"/>
    <s v="ZLog-ZENSHIN"/>
    <x v="1"/>
  </r>
  <r>
    <s v="CLICTRUCK-048996"/>
    <s v="domestic"/>
    <x v="147"/>
    <x v="10"/>
    <n v="1947000"/>
    <n v="20000"/>
    <m/>
    <s v="DELIVERED"/>
    <x v="10"/>
    <n v="0"/>
    <n v="1"/>
    <s v="Indonesia"/>
    <s v="ZLog-ZENSHIN"/>
    <x v="1"/>
  </r>
  <r>
    <s v="CLICTRUCK-048997"/>
    <s v="domestic"/>
    <x v="147"/>
    <x v="10"/>
    <n v="2104000"/>
    <n v="20000"/>
    <m/>
    <s v="DELIVERED"/>
    <x v="10"/>
    <n v="0"/>
    <n v="1"/>
    <s v="Indonesia"/>
    <s v="ZLog-ZENSHIN"/>
    <x v="1"/>
  </r>
  <r>
    <s v="CLICTRUCK-048998"/>
    <s v="domestic"/>
    <x v="147"/>
    <x v="10"/>
    <n v="2568000"/>
    <n v="20000"/>
    <m/>
    <s v="DELIVERED"/>
    <x v="10"/>
    <n v="0"/>
    <n v="1"/>
    <s v="Indonesia"/>
    <s v="ZLog-ZENSHIN"/>
    <x v="1"/>
  </r>
  <r>
    <s v="CLICTRUCK-048999"/>
    <s v="domestic"/>
    <x v="147"/>
    <x v="10"/>
    <n v="2262000"/>
    <n v="20000"/>
    <m/>
    <s v="DELIVERED"/>
    <x v="10"/>
    <n v="0"/>
    <n v="1"/>
    <s v="Indonesia"/>
    <s v="ZLog-ZENSHIN"/>
    <x v="1"/>
  </r>
  <r>
    <s v="CLICTRUCK-049000"/>
    <s v="domestic"/>
    <x v="147"/>
    <x v="10"/>
    <n v="1682000"/>
    <n v="20000"/>
    <m/>
    <s v="DELIVERED"/>
    <x v="10"/>
    <n v="0"/>
    <n v="1"/>
    <s v="Indonesia"/>
    <s v="ZLog-ZENSHIN"/>
    <x v="1"/>
  </r>
  <r>
    <s v="CLICTRUCK-049002"/>
    <s v="domestic"/>
    <x v="147"/>
    <x v="10"/>
    <n v="2610000"/>
    <n v="20000"/>
    <m/>
    <s v="DELIVERED"/>
    <x v="10"/>
    <n v="0"/>
    <n v="1"/>
    <s v="Indonesia"/>
    <s v="ZLog-ZENSHIN"/>
    <x v="1"/>
  </r>
  <r>
    <s v="CLICTRUCK-049003"/>
    <s v="domestic"/>
    <x v="147"/>
    <x v="10"/>
    <n v="4176000"/>
    <n v="20000"/>
    <m/>
    <s v="DELIVERED"/>
    <x v="10"/>
    <n v="0"/>
    <n v="1"/>
    <s v="Indonesia"/>
    <s v="ZLog-ZENSHIN"/>
    <x v="1"/>
  </r>
  <r>
    <s v="CLICTRUCK-049004"/>
    <s v="domestic"/>
    <x v="147"/>
    <x v="10"/>
    <n v="2030000"/>
    <n v="20000"/>
    <m/>
    <s v="DELIVERED"/>
    <x v="10"/>
    <n v="0"/>
    <n v="1"/>
    <s v="Indonesia"/>
    <s v="ZLog-ZENSHIN"/>
    <x v="1"/>
  </r>
  <r>
    <s v="CLICTRUCK-049006"/>
    <s v="domestic"/>
    <x v="147"/>
    <x v="10"/>
    <n v="1740000"/>
    <n v="20000"/>
    <m/>
    <s v="DELIVERED"/>
    <x v="10"/>
    <n v="0"/>
    <n v="1"/>
    <s v="Indonesia"/>
    <s v="ZLog-ZENSHIN"/>
    <x v="1"/>
  </r>
  <r>
    <s v="CLICTRUCK-049007"/>
    <s v="domestic"/>
    <x v="147"/>
    <x v="10"/>
    <n v="1740000"/>
    <n v="20000"/>
    <m/>
    <s v="DELIVERED"/>
    <x v="10"/>
    <n v="0"/>
    <n v="1"/>
    <s v="Indonesia"/>
    <s v="ZLog-ZENSHIN"/>
    <x v="1"/>
  </r>
  <r>
    <s v="CLICTRUCK-049008"/>
    <s v="domestic"/>
    <x v="147"/>
    <x v="10"/>
    <n v="2552000"/>
    <n v="20000"/>
    <m/>
    <s v="ONGOING"/>
    <x v="10"/>
    <n v="0"/>
    <n v="1"/>
    <s v="Indonesia"/>
    <s v="ZLog-ZENSHIN"/>
    <x v="1"/>
  </r>
  <r>
    <s v="CLICTRUCK-049009"/>
    <s v="domestic"/>
    <x v="147"/>
    <x v="10"/>
    <n v="2030000"/>
    <n v="20000"/>
    <m/>
    <s v="DELIVERED"/>
    <x v="10"/>
    <n v="0"/>
    <n v="1"/>
    <s v="Indonesia"/>
    <s v="ZLog-ZENSHIN"/>
    <x v="1"/>
  </r>
  <r>
    <s v="CLICTRUCK-049010"/>
    <s v="domestic"/>
    <x v="147"/>
    <x v="10"/>
    <n v="2726000"/>
    <n v="20000"/>
    <m/>
    <s v="DELIVERED"/>
    <x v="10"/>
    <n v="0"/>
    <n v="1"/>
    <s v="Indonesia"/>
    <s v="ZLog-ZENSHIN"/>
    <x v="1"/>
  </r>
  <r>
    <s v="CLICTRUCK-049011"/>
    <s v="domestic"/>
    <x v="147"/>
    <x v="32"/>
    <n v="3700000"/>
    <n v="27750"/>
    <d v="2023-06-04T00:00:00"/>
    <s v="UNPAID"/>
    <x v="36"/>
    <n v="102675"/>
    <n v="1"/>
    <s v="Indonesia"/>
    <s v="SPM - BTS"/>
    <x v="0"/>
  </r>
  <r>
    <s v="CLICTRUCK-049012"/>
    <s v="domestic"/>
    <x v="147"/>
    <x v="32"/>
    <n v="3700000"/>
    <n v="27750"/>
    <d v="2023-06-04T00:00:00"/>
    <s v="UNPAID"/>
    <x v="36"/>
    <n v="102675"/>
    <n v="1"/>
    <s v="Indonesia"/>
    <s v="SPM - BTS"/>
    <x v="0"/>
  </r>
  <r>
    <s v="CLICTRUCK-049013"/>
    <s v="domestic"/>
    <x v="147"/>
    <x v="47"/>
    <n v="19156800"/>
    <n v="27750"/>
    <d v="2023-06-01T00:00:00"/>
    <s v="UNPAID"/>
    <x v="50"/>
    <n v="850561"/>
    <n v="1"/>
    <s v="Indonesia"/>
    <s v="HBL - ATS"/>
    <x v="0"/>
  </r>
  <r>
    <s v="CLICTRUCK-049014"/>
    <s v="domestic"/>
    <x v="147"/>
    <x v="47"/>
    <n v="18207200"/>
    <n v="27750"/>
    <d v="2023-06-01T00:00:00"/>
    <s v="UNPAID"/>
    <x v="50"/>
    <n v="808399"/>
    <n v="1"/>
    <s v="Indonesia"/>
    <s v="HBL - ATS"/>
    <x v="0"/>
  </r>
  <r>
    <s v="CLICTRUCK-049015"/>
    <s v="domestic"/>
    <x v="147"/>
    <x v="47"/>
    <n v="15402400"/>
    <n v="27750"/>
    <d v="2023-06-01T00:00:00"/>
    <s v="UNPAID"/>
    <x v="50"/>
    <n v="683866"/>
    <n v="1"/>
    <s v="Indonesia"/>
    <s v="HBL - ATS"/>
    <x v="0"/>
  </r>
  <r>
    <s v="CLICTRUCK-049016"/>
    <s v="domestic"/>
    <x v="147"/>
    <x v="47"/>
    <n v="14280000"/>
    <n v="27750"/>
    <d v="2023-06-01T00:00:00"/>
    <s v="UNPAID"/>
    <x v="50"/>
    <n v="634032"/>
    <n v="1"/>
    <s v="Indonesia"/>
    <s v="HBL - ATS"/>
    <x v="0"/>
  </r>
  <r>
    <s v="CLICTRUCK-049017"/>
    <s v="domestic"/>
    <x v="147"/>
    <x v="47"/>
    <n v="10554600"/>
    <n v="27750"/>
    <d v="2023-06-01T00:00:00"/>
    <s v="UNPAID"/>
    <x v="50"/>
    <n v="468624"/>
    <n v="1"/>
    <s v="Indonesia"/>
    <s v="HBL - ATS"/>
    <x v="0"/>
  </r>
  <r>
    <s v="CLICTRUCK-049018"/>
    <s v="domestic"/>
    <x v="147"/>
    <x v="41"/>
    <n v="25000000"/>
    <n v="693750"/>
    <d v="2023-05-31T00:00:00"/>
    <s v="UNPAID"/>
    <x v="45"/>
    <n v="27750"/>
    <n v="1"/>
    <s v="Indonesia"/>
    <s v="MSE - SKE"/>
    <x v="0"/>
  </r>
  <r>
    <s v="CLICTRUCK-049019"/>
    <s v="domestic"/>
    <x v="147"/>
    <x v="47"/>
    <n v="11018400"/>
    <n v="27750"/>
    <d v="2023-06-01T00:00:00"/>
    <s v="UNPAID"/>
    <x v="50"/>
    <n v="489216"/>
    <n v="1"/>
    <s v="Indonesia"/>
    <s v="HBL - ATS"/>
    <x v="0"/>
  </r>
  <r>
    <s v="CLICTRUCK-049020"/>
    <s v="domestic"/>
    <x v="147"/>
    <x v="47"/>
    <n v="13090400"/>
    <n v="27750"/>
    <d v="2023-06-01T00:00:00"/>
    <s v="UNPAID"/>
    <x v="50"/>
    <n v="581213"/>
    <n v="1"/>
    <s v="Indonesia"/>
    <s v="HBL - ATS"/>
    <x v="0"/>
  </r>
  <r>
    <s v="CLICTRUCK-049021"/>
    <s v="domestic"/>
    <x v="147"/>
    <x v="47"/>
    <n v="14334000"/>
    <n v="27750"/>
    <d v="2023-06-01T00:00:00"/>
    <s v="UNPAID"/>
    <x v="50"/>
    <n v="636429"/>
    <n v="1"/>
    <s v="Indonesia"/>
    <s v="HBL - ATS"/>
    <x v="0"/>
  </r>
  <r>
    <s v="CLICTRUCK-049022"/>
    <s v="domestic"/>
    <x v="147"/>
    <x v="47"/>
    <n v="10599200"/>
    <n v="27750"/>
    <d v="2023-06-01T00:00:00"/>
    <s v="UNPAID"/>
    <x v="50"/>
    <n v="470604"/>
    <n v="1"/>
    <s v="Indonesia"/>
    <s v="HBL - ATS"/>
    <x v="0"/>
  </r>
  <r>
    <s v="CLICTRUCK-049023"/>
    <s v="domestic"/>
    <x v="147"/>
    <x v="47"/>
    <n v="8742400"/>
    <n v="27750"/>
    <d v="2023-06-01T00:00:00"/>
    <s v="UNPAID"/>
    <x v="50"/>
    <n v="388162"/>
    <n v="1"/>
    <s v="Indonesia"/>
    <s v="HBL - ATS"/>
    <x v="0"/>
  </r>
  <r>
    <s v="CLICTRUCK-049024"/>
    <s v="domestic"/>
    <x v="147"/>
    <x v="47"/>
    <n v="6626400"/>
    <n v="27750"/>
    <d v="2023-06-01T00:00:00"/>
    <s v="UNPAID"/>
    <x v="50"/>
    <n v="294212"/>
    <n v="1"/>
    <s v="Indonesia"/>
    <s v="HBL - ATS"/>
    <x v="0"/>
  </r>
  <r>
    <s v="CLICTRUCK-049025"/>
    <s v="domestic"/>
    <x v="147"/>
    <x v="47"/>
    <n v="8696800"/>
    <n v="27750"/>
    <d v="2023-06-01T00:00:00"/>
    <s v="UNPAID"/>
    <x v="50"/>
    <n v="386137"/>
    <n v="1"/>
    <s v="Indonesia"/>
    <s v="HBL - ATS"/>
    <x v="0"/>
  </r>
  <r>
    <s v="CLICTRUCK-049026"/>
    <s v="domestic"/>
    <x v="147"/>
    <x v="47"/>
    <n v="9797600"/>
    <n v="27750"/>
    <d v="2023-06-01T00:00:00"/>
    <s v="UNPAID"/>
    <x v="50"/>
    <n v="435013"/>
    <n v="1"/>
    <s v="Indonesia"/>
    <s v="HBL - ATS"/>
    <x v="0"/>
  </r>
  <r>
    <s v="CLICTRUCK-049027"/>
    <s v="domestic"/>
    <x v="147"/>
    <x v="31"/>
    <n v="33000000"/>
    <n v="1373625"/>
    <d v="2023-05-31T00:00:00"/>
    <s v="UNPAID"/>
    <x v="35"/>
    <n v="27750"/>
    <n v="1"/>
    <s v="Indonesia"/>
    <s v="PLI - KTN"/>
    <x v="0"/>
  </r>
  <r>
    <s v="CLICTRUCK-049028"/>
    <s v="domestic"/>
    <x v="147"/>
    <x v="48"/>
    <n v="2450000"/>
    <n v="108780"/>
    <d v="2023-05-31T00:00:00"/>
    <s v="UNPAID"/>
    <x v="51"/>
    <n v="27750"/>
    <n v="1"/>
    <s v="Indonesia"/>
    <s v="ALR - RMS"/>
    <x v="0"/>
  </r>
  <r>
    <s v="CLICTRUCK-049029"/>
    <s v="domestic"/>
    <x v="102"/>
    <x v="49"/>
    <n v="6800000"/>
    <n v="25000"/>
    <m/>
    <s v="PENDING APPROVAL"/>
    <x v="52"/>
    <n v="0"/>
    <n v="1"/>
    <s v="Indonesia"/>
    <s v="MPL - SSP"/>
    <x v="1"/>
  </r>
  <r>
    <s v="CLICTRUCK-049037"/>
    <s v="domestic"/>
    <x v="102"/>
    <x v="50"/>
    <n v="6200000"/>
    <n v="344100"/>
    <d v="2023-06-02T00:00:00"/>
    <s v="UNPAID"/>
    <x v="31"/>
    <n v="27750"/>
    <n v="1"/>
    <s v="Indonesia"/>
    <s v="LPE - DGS"/>
    <x v="0"/>
  </r>
  <r>
    <s v="CLICTRUCK-049038"/>
    <s v="domestic"/>
    <x v="102"/>
    <x v="46"/>
    <n v="9907751"/>
    <n v="27750"/>
    <d v="2023-05-31T00:00:00"/>
    <s v="UNPAID"/>
    <x v="49"/>
    <n v="659856"/>
    <n v="1"/>
    <s v="Indonesia"/>
    <s v="KBT - MA"/>
    <x v="0"/>
  </r>
  <r>
    <s v="CLICTRUCK-049039"/>
    <s v="domestic"/>
    <x v="102"/>
    <x v="46"/>
    <n v="2259751"/>
    <n v="27750"/>
    <d v="2023-05-31T00:00:00"/>
    <s v="UNPAID"/>
    <x v="49"/>
    <n v="150499"/>
    <n v="1"/>
    <s v="Indonesia"/>
    <s v="KBT - MA"/>
    <x v="0"/>
  </r>
  <r>
    <s v="CLICTRUCK-049040"/>
    <s v="domestic"/>
    <x v="102"/>
    <x v="48"/>
    <n v="1"/>
    <m/>
    <m/>
    <s v="DELIVERED"/>
    <x v="51"/>
    <n v="0"/>
    <n v="1"/>
    <s v="Indonesia"/>
    <s v="ALR - RMS"/>
    <x v="1"/>
  </r>
  <r>
    <s v="CLICTRUCK-049041"/>
    <s v="domestic"/>
    <x v="102"/>
    <x v="48"/>
    <n v="2700000"/>
    <n v="119880"/>
    <d v="2023-06-04T00:00:00"/>
    <s v="UNPAID"/>
    <x v="51"/>
    <n v="27750"/>
    <n v="1"/>
    <s v="Indonesia"/>
    <s v="ALR - RMS"/>
    <x v="0"/>
  </r>
  <r>
    <s v="CLICTRUCK-049042"/>
    <s v="domestic"/>
    <x v="102"/>
    <x v="48"/>
    <n v="2450000"/>
    <n v="108780"/>
    <d v="2023-06-04T00:00:00"/>
    <s v="UNPAID"/>
    <x v="51"/>
    <n v="27750"/>
    <n v="1"/>
    <s v="Indonesia"/>
    <s v="ALR - RMS"/>
    <x v="0"/>
  </r>
  <r>
    <s v="CLICTRUCK-049043"/>
    <s v="domestic"/>
    <x v="102"/>
    <x v="46"/>
    <n v="3800001"/>
    <n v="27750"/>
    <d v="2023-05-31T00:00:00"/>
    <s v="UNPAID"/>
    <x v="49"/>
    <n v="253080"/>
    <n v="1"/>
    <s v="Indonesia"/>
    <s v="KBT - MA"/>
    <x v="0"/>
  </r>
  <r>
    <s v="CLICTRUCK-049044"/>
    <s v="domestic"/>
    <x v="102"/>
    <x v="46"/>
    <n v="1140001"/>
    <n v="27750"/>
    <d v="2023-05-31T00:00:00"/>
    <s v="UNPAID"/>
    <x v="49"/>
    <n v="75924"/>
    <n v="1"/>
    <s v="Indonesia"/>
    <s v="KBT - MA"/>
    <x v="0"/>
  </r>
  <r>
    <s v="CLICTRUCK-049045"/>
    <s v="domestic"/>
    <x v="102"/>
    <x v="46"/>
    <n v="1890001"/>
    <n v="27750"/>
    <d v="2023-05-31T00:00:00"/>
    <s v="UNPAID"/>
    <x v="49"/>
    <n v="125874"/>
    <n v="1"/>
    <s v="Indonesia"/>
    <s v="KBT - MA"/>
    <x v="0"/>
  </r>
  <r>
    <s v="CLICTRUCK-049046"/>
    <s v="domestic"/>
    <x v="102"/>
    <x v="32"/>
    <n v="3600000"/>
    <n v="25000"/>
    <m/>
    <s v="PENDING APPROVAL"/>
    <x v="36"/>
    <n v="0"/>
    <n v="1"/>
    <s v="Indonesia"/>
    <s v="SPM - BTS"/>
    <x v="1"/>
  </r>
  <r>
    <s v="CLICTRUCK-049047"/>
    <s v="domestic"/>
    <x v="102"/>
    <x v="32"/>
    <n v="3500000"/>
    <n v="25000"/>
    <m/>
    <s v="PENDING APPROVAL"/>
    <x v="36"/>
    <n v="0"/>
    <n v="1"/>
    <s v="Indonesia"/>
    <s v="SPM - BTS"/>
    <x v="1"/>
  </r>
  <r>
    <s v="CLICTRUCK-049048"/>
    <s v="domestic"/>
    <x v="102"/>
    <x v="32"/>
    <n v="3600000"/>
    <n v="25000"/>
    <m/>
    <s v="PENDING APPROVAL"/>
    <x v="36"/>
    <n v="0"/>
    <n v="1"/>
    <s v="Indonesia"/>
    <s v="SPM - BTS"/>
    <x v="1"/>
  </r>
  <r>
    <s v="CLICTRUCK-049049"/>
    <s v="domestic"/>
    <x v="102"/>
    <x v="32"/>
    <n v="3600000"/>
    <n v="25000"/>
    <m/>
    <s v="PENDING APPROVAL"/>
    <x v="36"/>
    <n v="0"/>
    <n v="1"/>
    <s v="Indonesia"/>
    <s v="SPM - BTS"/>
    <x v="1"/>
  </r>
  <r>
    <s v="CLICTRUCK-049050"/>
    <s v="domestic"/>
    <x v="102"/>
    <x v="32"/>
    <n v="3600000"/>
    <n v="25000"/>
    <m/>
    <s v="PENDING APPROVAL"/>
    <x v="36"/>
    <n v="0"/>
    <n v="1"/>
    <s v="Indonesia"/>
    <s v="SPM - BTS"/>
    <x v="1"/>
  </r>
  <r>
    <s v="CLICTRUCK-049052"/>
    <s v="domestic"/>
    <x v="103"/>
    <x v="50"/>
    <n v="7500000"/>
    <n v="416250"/>
    <d v="2023-06-02T00:00:00"/>
    <s v="UNPAID"/>
    <x v="31"/>
    <n v="27750"/>
    <n v="1"/>
    <s v="Indonesia"/>
    <s v="LPE - DGS"/>
    <x v="0"/>
  </r>
  <r>
    <s v="CLICTRUCK-049053"/>
    <s v="domestic"/>
    <x v="103"/>
    <x v="50"/>
    <n v="19500000"/>
    <n v="1082250"/>
    <d v="2023-06-02T00:00:00"/>
    <s v="UNPAID"/>
    <x v="31"/>
    <n v="27750"/>
    <n v="1"/>
    <s v="Indonesia"/>
    <s v="LPE - DGS"/>
    <x v="0"/>
  </r>
  <r>
    <s v="CLICTRUCK-049054"/>
    <s v="domestic"/>
    <x v="103"/>
    <x v="50"/>
    <n v="12650000"/>
    <n v="702075"/>
    <d v="2023-06-02T00:00:00"/>
    <s v="UNPAID"/>
    <x v="31"/>
    <n v="27750"/>
    <n v="1"/>
    <s v="Indonesia"/>
    <s v="LPE - DGS"/>
    <x v="0"/>
  </r>
  <r>
    <s v="CLICTRUCK-049055"/>
    <s v="domestic"/>
    <x v="103"/>
    <x v="9"/>
    <n v="340060"/>
    <n v="24975"/>
    <d v="2023-06-05T00:00:00"/>
    <s v="UNPAID"/>
    <x v="9"/>
    <n v="11323"/>
    <n v="1"/>
    <s v="Indonesia"/>
    <s v="YSN-SSA"/>
    <x v="0"/>
  </r>
  <r>
    <s v="CLICTRUCK-049057"/>
    <s v="domestic"/>
    <x v="103"/>
    <x v="50"/>
    <n v="7500000"/>
    <m/>
    <m/>
    <s v="PENDING APPROVAL"/>
    <x v="31"/>
    <n v="0"/>
    <n v="1"/>
    <s v="Indonesia"/>
    <s v="LPE - DGS"/>
    <x v="1"/>
  </r>
  <r>
    <s v="CLICTRUCK-049058"/>
    <s v="domestic"/>
    <x v="103"/>
    <x v="48"/>
    <n v="2700000"/>
    <n v="119880"/>
    <d v="2023-06-04T00:00:00"/>
    <s v="UNPAID"/>
    <x v="51"/>
    <n v="27750"/>
    <n v="1"/>
    <s v="Indonesia"/>
    <s v="ALR - RMS"/>
    <x v="0"/>
  </r>
  <r>
    <s v="CLICTRUCK-049059"/>
    <s v="domestic"/>
    <x v="103"/>
    <x v="48"/>
    <n v="2450000"/>
    <n v="108780"/>
    <d v="2023-06-04T00:00:00"/>
    <s v="UNPAID"/>
    <x v="51"/>
    <n v="27750"/>
    <n v="1"/>
    <s v="Indonesia"/>
    <s v="ALR - RMS"/>
    <x v="0"/>
  </r>
  <r>
    <s v="CLICTRUCK-049061"/>
    <s v="domestic"/>
    <x v="103"/>
    <x v="48"/>
    <n v="1"/>
    <m/>
    <m/>
    <s v="ONGOING"/>
    <x v="51"/>
    <n v="0"/>
    <n v="1"/>
    <s v="Indonesia"/>
    <s v="ALR - RMS"/>
    <x v="1"/>
  </r>
  <r>
    <s v="CLICTRUCK-049062"/>
    <s v="domestic"/>
    <x v="103"/>
    <x v="50"/>
    <n v="7500000"/>
    <n v="416250"/>
    <d v="2023-06-04T00:00:00"/>
    <s v="UNPAID"/>
    <x v="31"/>
    <n v="27750"/>
    <n v="1"/>
    <s v="Indonesia"/>
    <s v="LPE - DGS"/>
    <x v="0"/>
  </r>
  <r>
    <s v="CLICTRUCK-049063"/>
    <s v="domestic"/>
    <x v="103"/>
    <x v="48"/>
    <n v="2700000"/>
    <n v="119880"/>
    <d v="2023-06-04T00:00:00"/>
    <s v="UNPAID"/>
    <x v="51"/>
    <n v="27750"/>
    <n v="1"/>
    <s v="Indonesia"/>
    <s v="ALR - RMS"/>
    <x v="0"/>
  </r>
  <r>
    <s v="CLICTRUCK-049064"/>
    <s v="domestic"/>
    <x v="103"/>
    <x v="50"/>
    <n v="10000000"/>
    <n v="555000"/>
    <d v="2023-06-04T00:00:00"/>
    <s v="UNPAID"/>
    <x v="31"/>
    <n v="27750"/>
    <n v="1"/>
    <s v="Indonesia"/>
    <s v="LPE - DGS"/>
    <x v="0"/>
  </r>
  <r>
    <s v="CLICTRUCK-049065"/>
    <s v="domestic"/>
    <x v="103"/>
    <x v="48"/>
    <n v="2450000"/>
    <n v="108780"/>
    <d v="2023-06-04T00:00:00"/>
    <s v="UNPAID"/>
    <x v="51"/>
    <n v="27750"/>
    <n v="1"/>
    <s v="Indonesia"/>
    <s v="ALR - RMS"/>
    <x v="0"/>
  </r>
  <r>
    <s v="CLICTRUCK-049066"/>
    <s v="domestic"/>
    <x v="103"/>
    <x v="50"/>
    <n v="12650000"/>
    <n v="702075"/>
    <d v="2023-06-04T00:00:00"/>
    <s v="UNPAID"/>
    <x v="31"/>
    <n v="27750"/>
    <n v="1"/>
    <s v="Indonesia"/>
    <s v="LPE - DGS"/>
    <x v="0"/>
  </r>
  <r>
    <s v="CLICTRUCK-049067"/>
    <s v="domestic"/>
    <x v="103"/>
    <x v="50"/>
    <n v="10000000"/>
    <n v="555000"/>
    <d v="2023-06-04T00:00:00"/>
    <s v="UNPAID"/>
    <x v="31"/>
    <n v="27750"/>
    <n v="1"/>
    <s v="Indonesia"/>
    <s v="LPE - DGS"/>
    <x v="0"/>
  </r>
  <r>
    <s v="CLICTRUCK-049068"/>
    <s v="domestic"/>
    <x v="103"/>
    <x v="48"/>
    <n v="1"/>
    <m/>
    <m/>
    <s v="ONGOING"/>
    <x v="51"/>
    <n v="0"/>
    <n v="1"/>
    <s v="Indonesia"/>
    <s v="ALR - RMS"/>
    <x v="1"/>
  </r>
  <r>
    <s v="CLICTRUCK-049069"/>
    <s v="domestic"/>
    <x v="103"/>
    <x v="50"/>
    <n v="24500000"/>
    <n v="1359750"/>
    <d v="2023-06-04T00:00:00"/>
    <s v="UNPAID"/>
    <x v="31"/>
    <n v="27750"/>
    <n v="1"/>
    <s v="Indonesia"/>
    <s v="LPE - DGS"/>
    <x v="0"/>
  </r>
  <r>
    <s v="CLICTRUCK-049070"/>
    <s v="domestic"/>
    <x v="103"/>
    <x v="50"/>
    <n v="1"/>
    <m/>
    <m/>
    <s v="DELIVERED"/>
    <x v="31"/>
    <n v="0"/>
    <n v="1"/>
    <s v="Indonesia"/>
    <s v="LPE - DGS"/>
    <x v="1"/>
  </r>
  <r>
    <s v="CLICTRUCK-049071"/>
    <s v="domestic"/>
    <x v="103"/>
    <x v="48"/>
    <n v="2700000"/>
    <n v="119880"/>
    <d v="2023-06-04T00:00:00"/>
    <s v="UNPAID"/>
    <x v="51"/>
    <n v="27750"/>
    <n v="1"/>
    <s v="Indonesia"/>
    <s v="ALR - RMS"/>
    <x v="0"/>
  </r>
  <r>
    <s v="CLICTRUCK-049072"/>
    <s v="domestic"/>
    <x v="103"/>
    <x v="50"/>
    <n v="7500000"/>
    <n v="416250"/>
    <d v="2023-06-04T00:00:00"/>
    <s v="UNPAID"/>
    <x v="31"/>
    <n v="27750"/>
    <n v="1"/>
    <s v="Indonesia"/>
    <s v="LPE - DGS"/>
    <x v="0"/>
  </r>
  <r>
    <s v="CLICTRUCK-049073"/>
    <s v="domestic"/>
    <x v="103"/>
    <x v="48"/>
    <n v="2450000"/>
    <n v="108780"/>
    <d v="2023-06-04T00:00:00"/>
    <s v="UNPAID"/>
    <x v="51"/>
    <n v="27750"/>
    <n v="1"/>
    <s v="Indonesia"/>
    <s v="ALR - RMS"/>
    <x v="0"/>
  </r>
  <r>
    <s v="CLICTRUCK-049074"/>
    <s v="domestic"/>
    <x v="103"/>
    <x v="48"/>
    <n v="2800000"/>
    <n v="124320"/>
    <d v="2023-06-04T00:00:00"/>
    <s v="UNPAID"/>
    <x v="51"/>
    <n v="27750"/>
    <n v="1"/>
    <s v="Indonesia"/>
    <s v="ALR - RMS"/>
    <x v="0"/>
  </r>
  <r>
    <s v="CLICTRUCK-049075"/>
    <s v="domestic"/>
    <x v="104"/>
    <x v="48"/>
    <n v="2700000"/>
    <n v="119880"/>
    <d v="2023-06-04T00:00:00"/>
    <s v="UNPAID"/>
    <x v="51"/>
    <n v="27750"/>
    <n v="1"/>
    <s v="Indonesia"/>
    <s v="ALR - RMS"/>
    <x v="0"/>
  </r>
  <r>
    <s v="CLICTRUCK-049076"/>
    <s v="domestic"/>
    <x v="104"/>
    <x v="48"/>
    <n v="2450000"/>
    <n v="108780"/>
    <d v="2023-06-04T00:00:00"/>
    <s v="UNPAID"/>
    <x v="51"/>
    <n v="27750"/>
    <n v="1"/>
    <s v="Indonesia"/>
    <s v="ALR - RMS"/>
    <x v="0"/>
  </r>
  <r>
    <s v="CLICTRUCK-049077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078"/>
    <s v="domestic"/>
    <x v="104"/>
    <x v="48"/>
    <n v="2700000"/>
    <n v="119880"/>
    <d v="2023-06-04T00:00:00"/>
    <s v="UNPAID"/>
    <x v="51"/>
    <n v="27750"/>
    <n v="1"/>
    <s v="Indonesia"/>
    <s v="ALR - RMS"/>
    <x v="0"/>
  </r>
  <r>
    <s v="CLICTRUCK-049079"/>
    <s v="domestic"/>
    <x v="104"/>
    <x v="48"/>
    <n v="2450000"/>
    <n v="108780"/>
    <d v="2023-06-04T00:00:00"/>
    <s v="UNPAID"/>
    <x v="51"/>
    <n v="27750"/>
    <n v="1"/>
    <s v="Indonesia"/>
    <s v="ALR - RMS"/>
    <x v="0"/>
  </r>
  <r>
    <s v="CLICTRUCK-049080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081"/>
    <s v="domestic"/>
    <x v="104"/>
    <x v="50"/>
    <n v="22000000"/>
    <n v="1221000"/>
    <d v="2023-06-04T00:00:00"/>
    <s v="UNPAID"/>
    <x v="31"/>
    <n v="27750"/>
    <n v="1"/>
    <s v="Indonesia"/>
    <s v="LPE - DGS"/>
    <x v="0"/>
  </r>
  <r>
    <s v="CLICTRUCK-049082"/>
    <s v="domestic"/>
    <x v="104"/>
    <x v="9"/>
    <n v="207000"/>
    <n v="22500"/>
    <m/>
    <s v="DELIVERED"/>
    <x v="9"/>
    <n v="0"/>
    <n v="1"/>
    <s v="Indonesia"/>
    <s v="YSN-SSA"/>
    <x v="1"/>
  </r>
  <r>
    <s v="CLICTRUCK-049083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084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085"/>
    <s v="domestic"/>
    <x v="104"/>
    <x v="48"/>
    <n v="2700000"/>
    <n v="119880"/>
    <d v="2023-06-04T00:00:00"/>
    <s v="UNPAID"/>
    <x v="51"/>
    <n v="27750"/>
    <n v="1"/>
    <s v="Indonesia"/>
    <s v="ALR - RMS"/>
    <x v="0"/>
  </r>
  <r>
    <s v="CLICTRUCK-049086"/>
    <s v="domestic"/>
    <x v="104"/>
    <x v="48"/>
    <n v="2450000"/>
    <n v="108780"/>
    <d v="2023-06-04T00:00:00"/>
    <s v="UNPAID"/>
    <x v="51"/>
    <n v="27750"/>
    <n v="1"/>
    <s v="Indonesia"/>
    <s v="ALR - RMS"/>
    <x v="0"/>
  </r>
  <r>
    <s v="CLICTRUCK-049087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088"/>
    <s v="domestic"/>
    <x v="104"/>
    <x v="48"/>
    <n v="2700000"/>
    <n v="119880"/>
    <d v="2023-06-04T00:00:00"/>
    <s v="UNPAID"/>
    <x v="51"/>
    <n v="27750"/>
    <n v="1"/>
    <s v="Indonesia"/>
    <s v="ALR - RMS"/>
    <x v="0"/>
  </r>
  <r>
    <s v="CLICTRUCK-049089"/>
    <s v="domestic"/>
    <x v="104"/>
    <x v="48"/>
    <n v="2450000"/>
    <n v="108780"/>
    <d v="2023-06-04T00:00:00"/>
    <s v="UNPAID"/>
    <x v="51"/>
    <n v="27750"/>
    <n v="1"/>
    <s v="Indonesia"/>
    <s v="ALR - RMS"/>
    <x v="0"/>
  </r>
  <r>
    <s v="CLICTRUCK-049090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091"/>
    <s v="domestic"/>
    <x v="104"/>
    <x v="48"/>
    <n v="2700000"/>
    <n v="119880"/>
    <d v="2023-06-04T00:00:00"/>
    <s v="UNPAID"/>
    <x v="51"/>
    <n v="27750"/>
    <n v="1"/>
    <s v="Indonesia"/>
    <s v="ALR - RMS"/>
    <x v="0"/>
  </r>
  <r>
    <s v="CLICTRUCK-049093"/>
    <s v="domestic"/>
    <x v="104"/>
    <x v="48"/>
    <n v="2450000"/>
    <n v="108780"/>
    <d v="2023-06-04T00:00:00"/>
    <s v="UNPAID"/>
    <x v="51"/>
    <n v="27750"/>
    <n v="1"/>
    <s v="Indonesia"/>
    <s v="ALR - RMS"/>
    <x v="0"/>
  </r>
  <r>
    <s v="CLICTRUCK-049094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095"/>
    <s v="domestic"/>
    <x v="104"/>
    <x v="48"/>
    <n v="2700000"/>
    <n v="119880"/>
    <d v="2023-06-04T00:00:00"/>
    <s v="UNPAID"/>
    <x v="51"/>
    <n v="27750"/>
    <n v="1"/>
    <s v="Indonesia"/>
    <s v="ALR - RMS"/>
    <x v="0"/>
  </r>
  <r>
    <s v="CLICTRUCK-049096"/>
    <s v="domestic"/>
    <x v="104"/>
    <x v="48"/>
    <n v="2450000"/>
    <n v="108780"/>
    <d v="2023-06-04T00:00:00"/>
    <s v="UNPAID"/>
    <x v="51"/>
    <n v="27750"/>
    <n v="1"/>
    <s v="Indonesia"/>
    <s v="ALR - RMS"/>
    <x v="0"/>
  </r>
  <r>
    <s v="CLICTRUCK-049097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098"/>
    <s v="domestic"/>
    <x v="104"/>
    <x v="48"/>
    <n v="2700000"/>
    <n v="119880"/>
    <d v="2023-06-04T00:00:00"/>
    <s v="UNPAID"/>
    <x v="51"/>
    <n v="27750"/>
    <n v="1"/>
    <s v="Indonesia"/>
    <s v="ALR - RMS"/>
    <x v="0"/>
  </r>
  <r>
    <s v="CLICTRUCK-049099"/>
    <s v="domestic"/>
    <x v="104"/>
    <x v="48"/>
    <n v="2450000"/>
    <n v="108780"/>
    <d v="2023-06-04T00:00:00"/>
    <s v="UNPAID"/>
    <x v="51"/>
    <n v="27750"/>
    <n v="1"/>
    <s v="Indonesia"/>
    <s v="ALR - RMS"/>
    <x v="0"/>
  </r>
  <r>
    <s v="CLICTRUCK-049100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102"/>
    <s v="domestic"/>
    <x v="104"/>
    <x v="48"/>
    <n v="2700000"/>
    <n v="119880"/>
    <d v="2023-06-04T00:00:00"/>
    <s v="UNPAID"/>
    <x v="51"/>
    <n v="27750"/>
    <n v="1"/>
    <s v="Indonesia"/>
    <s v="ALR - RMS"/>
    <x v="0"/>
  </r>
  <r>
    <s v="CLICTRUCK-049103"/>
    <s v="domestic"/>
    <x v="104"/>
    <x v="48"/>
    <n v="2450000"/>
    <n v="108780"/>
    <d v="2023-06-04T00:00:00"/>
    <s v="UNPAID"/>
    <x v="51"/>
    <n v="27750"/>
    <n v="1"/>
    <s v="Indonesia"/>
    <s v="ALR - RMS"/>
    <x v="0"/>
  </r>
  <r>
    <s v="CLICTRUCK-049104"/>
    <s v="domestic"/>
    <x v="104"/>
    <x v="48"/>
    <n v="2800000"/>
    <n v="124320"/>
    <d v="2023-06-04T00:00:00"/>
    <s v="UNPAID"/>
    <x v="51"/>
    <n v="27750"/>
    <n v="1"/>
    <s v="Indonesia"/>
    <s v="ALR - RMS"/>
    <x v="0"/>
  </r>
  <r>
    <s v="CLICTRUCK-049105"/>
    <s v="domestic"/>
    <x v="104"/>
    <x v="48"/>
    <n v="2700000"/>
    <m/>
    <m/>
    <s v="ONGOING"/>
    <x v="51"/>
    <n v="0"/>
    <n v="1"/>
    <s v="Indonesia"/>
    <s v="ALR - RMS"/>
    <x v="1"/>
  </r>
  <r>
    <s v="CLICTRUCK-049106"/>
    <s v="domestic"/>
    <x v="104"/>
    <x v="48"/>
    <n v="2450000"/>
    <n v="108780"/>
    <d v="2023-06-04T00:00:00"/>
    <s v="UNPAID"/>
    <x v="51"/>
    <n v="27750"/>
    <n v="1"/>
    <s v="Indonesia"/>
    <s v="ALR - RMS"/>
    <x v="0"/>
  </r>
  <r>
    <s v="CLICTRUCK-049107"/>
    <s v="domestic"/>
    <x v="104"/>
    <x v="48"/>
    <n v="2800000"/>
    <m/>
    <m/>
    <s v="ONGOING"/>
    <x v="51"/>
    <n v="0"/>
    <n v="1"/>
    <s v="Indonesia"/>
    <s v="ALR - RMS"/>
    <x v="1"/>
  </r>
  <r>
    <s v="CLICTRUCK-049108"/>
    <s v="domestic"/>
    <x v="104"/>
    <x v="48"/>
    <n v="2700000"/>
    <m/>
    <m/>
    <s v="ONGOING"/>
    <x v="51"/>
    <n v="0"/>
    <n v="1"/>
    <s v="Indonesia"/>
    <s v="ALR - RMS"/>
    <x v="1"/>
  </r>
  <r>
    <s v="CLICTRUCK-049109"/>
    <s v="domestic"/>
    <x v="104"/>
    <x v="48"/>
    <n v="2450000"/>
    <m/>
    <m/>
    <s v="PENDING APPROVAL"/>
    <x v="51"/>
    <n v="0"/>
    <n v="1"/>
    <s v="Indonesia"/>
    <s v="ALR - RMS"/>
    <x v="1"/>
  </r>
  <r>
    <s v="CLICTRUCK-049110"/>
    <s v="domestic"/>
    <x v="104"/>
    <x v="48"/>
    <n v="2800000"/>
    <m/>
    <m/>
    <s v="PENDING APPROVAL"/>
    <x v="51"/>
    <n v="0"/>
    <n v="1"/>
    <s v="Indonesia"/>
    <s v="ALR - RMS"/>
    <x v="1"/>
  </r>
  <r>
    <s v="CLICTRUCK-049111"/>
    <s v="domestic"/>
    <x v="104"/>
    <x v="48"/>
    <n v="2700000"/>
    <m/>
    <m/>
    <s v="ONGOING"/>
    <x v="51"/>
    <n v="0"/>
    <n v="1"/>
    <s v="Indonesia"/>
    <s v="ALR - RMS"/>
    <x v="1"/>
  </r>
  <r>
    <s v="CLICTRUCK-049112"/>
    <s v="domestic"/>
    <x v="104"/>
    <x v="48"/>
    <n v="2450000"/>
    <m/>
    <m/>
    <s v="PENDING APPROVAL"/>
    <x v="51"/>
    <n v="0"/>
    <n v="1"/>
    <s v="Indonesia"/>
    <s v="ALR - RMS"/>
    <x v="1"/>
  </r>
  <r>
    <s v="CLICTRUCK-049113"/>
    <s v="domestic"/>
    <x v="104"/>
    <x v="48"/>
    <n v="2800000"/>
    <m/>
    <m/>
    <s v="PENDING APPROVAL"/>
    <x v="51"/>
    <n v="0"/>
    <n v="1"/>
    <s v="Indonesia"/>
    <s v="ALR - RMS"/>
    <x v="1"/>
  </r>
  <r>
    <s v="CLICTRUCK-049114"/>
    <s v="domestic"/>
    <x v="104"/>
    <x v="48"/>
    <n v="2700000"/>
    <m/>
    <m/>
    <s v="PENDING APPROVAL"/>
    <x v="51"/>
    <n v="0"/>
    <n v="1"/>
    <s v="Indonesia"/>
    <s v="ALR - RMS"/>
    <x v="1"/>
  </r>
  <r>
    <s v="CLICTRUCK-049115"/>
    <s v="domestic"/>
    <x v="104"/>
    <x v="48"/>
    <n v="2450000"/>
    <n v="108780"/>
    <d v="2023-06-09T00:00:00"/>
    <s v="UNPAID"/>
    <x v="51"/>
    <n v="27750"/>
    <n v="1"/>
    <s v="Indonesia"/>
    <s v="ALR - RMS"/>
    <x v="0"/>
  </r>
  <r>
    <s v="CLICTRUCK-049116"/>
    <s v="domestic"/>
    <x v="104"/>
    <x v="48"/>
    <n v="2800000"/>
    <n v="124320"/>
    <d v="2023-06-09T00:00:00"/>
    <s v="UNPAID"/>
    <x v="51"/>
    <n v="27750"/>
    <n v="1"/>
    <s v="Indonesia"/>
    <s v="ALR - RMS"/>
    <x v="0"/>
  </r>
  <r>
    <s v="CLICTRUCK-049117"/>
    <s v="domestic"/>
    <x v="104"/>
    <x v="48"/>
    <n v="2700000"/>
    <n v="119880"/>
    <d v="2023-06-09T00:00:00"/>
    <s v="UNPAID"/>
    <x v="51"/>
    <n v="27750"/>
    <n v="1"/>
    <s v="Indonesia"/>
    <s v="ALR - RMS"/>
    <x v="0"/>
  </r>
  <r>
    <s v="CLICTRUCK-049118"/>
    <s v="domestic"/>
    <x v="104"/>
    <x v="48"/>
    <n v="2450000"/>
    <n v="108780"/>
    <d v="2023-06-09T00:00:00"/>
    <s v="UNPAID"/>
    <x v="51"/>
    <n v="27750"/>
    <n v="1"/>
    <s v="Indonesia"/>
    <s v="ALR - RMS"/>
    <x v="0"/>
  </r>
  <r>
    <s v="CLICTRUCK-049119"/>
    <s v="domestic"/>
    <x v="104"/>
    <x v="48"/>
    <n v="2800000"/>
    <n v="124320"/>
    <d v="2023-06-09T00:00:00"/>
    <s v="UNPAID"/>
    <x v="51"/>
    <n v="27750"/>
    <n v="1"/>
    <s v="Indonesia"/>
    <s v="ALR - RMS"/>
    <x v="0"/>
  </r>
  <r>
    <s v="CLICTRUCK-049120"/>
    <s v="domestic"/>
    <x v="104"/>
    <x v="48"/>
    <n v="2700000"/>
    <n v="119880"/>
    <d v="2023-06-09T00:00:00"/>
    <s v="UNPAID"/>
    <x v="51"/>
    <n v="27750"/>
    <n v="1"/>
    <s v="Indonesia"/>
    <s v="ALR - RMS"/>
    <x v="0"/>
  </r>
  <r>
    <s v="CLICTRUCK-049121"/>
    <s v="domestic"/>
    <x v="104"/>
    <x v="48"/>
    <n v="2450000"/>
    <n v="108780"/>
    <d v="2023-06-09T00:00:00"/>
    <s v="UNPAID"/>
    <x v="51"/>
    <n v="27750"/>
    <n v="1"/>
    <s v="Indonesia"/>
    <s v="ALR - RMS"/>
    <x v="0"/>
  </r>
  <r>
    <s v="CLICTRUCK-049122"/>
    <s v="domestic"/>
    <x v="104"/>
    <x v="48"/>
    <n v="2800000"/>
    <n v="124320"/>
    <d v="2023-06-09T00:00:00"/>
    <s v="UNPAID"/>
    <x v="51"/>
    <n v="27750"/>
    <n v="1"/>
    <s v="Indonesia"/>
    <s v="ALR - RMS"/>
    <x v="0"/>
  </r>
  <r>
    <s v="CLICTRUCK-049123"/>
    <s v="domestic"/>
    <x v="104"/>
    <x v="48"/>
    <n v="2700000"/>
    <n v="119880"/>
    <d v="2023-06-09T00:00:00"/>
    <s v="UNPAID"/>
    <x v="51"/>
    <n v="27750"/>
    <n v="1"/>
    <s v="Indonesia"/>
    <s v="ALR - RMS"/>
    <x v="0"/>
  </r>
  <r>
    <s v="CLICTRUCK-049124"/>
    <s v="domestic"/>
    <x v="104"/>
    <x v="48"/>
    <n v="2450000"/>
    <n v="108780"/>
    <d v="2023-06-09T00:00:00"/>
    <s v="UNPAID"/>
    <x v="51"/>
    <n v="27750"/>
    <n v="1"/>
    <s v="Indonesia"/>
    <s v="ALR - RMS"/>
    <x v="0"/>
  </r>
  <r>
    <s v="CLICTRUCK-049125"/>
    <s v="domestic"/>
    <x v="104"/>
    <x v="48"/>
    <n v="2800000"/>
    <n v="124320"/>
    <d v="2023-06-09T00:00:00"/>
    <s v="UNPAID"/>
    <x v="51"/>
    <n v="27750"/>
    <n v="1"/>
    <s v="Indonesia"/>
    <s v="ALR - RMS"/>
    <x v="0"/>
  </r>
  <r>
    <s v="CLICTRUCK-049126"/>
    <s v="domestic"/>
    <x v="104"/>
    <x v="48"/>
    <n v="2700000"/>
    <n v="119880"/>
    <d v="2023-06-09T00:00:00"/>
    <s v="UNPAID"/>
    <x v="51"/>
    <n v="27750"/>
    <n v="1"/>
    <s v="Indonesia"/>
    <s v="ALR - RMS"/>
    <x v="0"/>
  </r>
  <r>
    <s v="CLICTRUCK-049127"/>
    <s v="domestic"/>
    <x v="104"/>
    <x v="48"/>
    <n v="2450000"/>
    <n v="108780"/>
    <d v="2023-06-09T00:00:00"/>
    <s v="UNPAID"/>
    <x v="51"/>
    <n v="27750"/>
    <n v="1"/>
    <s v="Indonesia"/>
    <s v="ALR - RMS"/>
    <x v="0"/>
  </r>
  <r>
    <s v="CLICTRUCK-049128"/>
    <s v="domestic"/>
    <x v="104"/>
    <x v="48"/>
    <n v="2800000"/>
    <n v="124320"/>
    <d v="2023-06-09T00:00:00"/>
    <s v="UNPAID"/>
    <x v="51"/>
    <n v="27750"/>
    <n v="1"/>
    <s v="Indonesia"/>
    <s v="ALR - RMS"/>
    <x v="0"/>
  </r>
  <r>
    <s v="CLICTRUCK-049129"/>
    <s v="domestic"/>
    <x v="104"/>
    <x v="48"/>
    <n v="2450000"/>
    <n v="108780"/>
    <d v="2023-06-09T00:00:00"/>
    <s v="UNPAID"/>
    <x v="51"/>
    <n v="27750"/>
    <n v="1"/>
    <s v="Indonesia"/>
    <s v="ALR - RMS"/>
    <x v="0"/>
  </r>
  <r>
    <s v="CLICTRUCK-049130"/>
    <s v="domestic"/>
    <x v="104"/>
    <x v="48"/>
    <n v="2800000"/>
    <n v="124320"/>
    <d v="2023-06-09T00:00:00"/>
    <s v="UNPAID"/>
    <x v="51"/>
    <n v="27750"/>
    <n v="1"/>
    <s v="Indonesia"/>
    <s v="ALR - RMS"/>
    <x v="0"/>
  </r>
  <r>
    <s v="CLICTRUCK-049131"/>
    <s v="domestic"/>
    <x v="104"/>
    <x v="48"/>
    <n v="2700000"/>
    <n v="119880"/>
    <d v="2023-06-09T00:00:00"/>
    <s v="UNPAID"/>
    <x v="51"/>
    <n v="27750"/>
    <n v="1"/>
    <s v="Indonesia"/>
    <s v="ALR - RMS"/>
    <x v="0"/>
  </r>
  <r>
    <s v="CLICTRUCK-049132"/>
    <s v="domestic"/>
    <x v="104"/>
    <x v="48"/>
    <n v="2450000"/>
    <n v="108780"/>
    <d v="2023-06-09T00:00:00"/>
    <s v="UNPAID"/>
    <x v="51"/>
    <n v="27750"/>
    <n v="1"/>
    <s v="Indonesia"/>
    <s v="ALR - RMS"/>
    <x v="0"/>
  </r>
  <r>
    <s v="CLICTRUCK-049146"/>
    <s v="domestic"/>
    <x v="105"/>
    <x v="49"/>
    <n v="5100000"/>
    <n v="25000"/>
    <m/>
    <s v="NEW"/>
    <x v="52"/>
    <n v="0"/>
    <n v="3"/>
    <s v="Indonesia"/>
    <s v="MPL - SSP"/>
    <x v="1"/>
  </r>
  <r>
    <s v="CLICTRUCK-049148"/>
    <s v="domestic"/>
    <x v="105"/>
    <x v="25"/>
    <n v="8250000"/>
    <n v="27750"/>
    <d v="2023-06-03T00:00:00"/>
    <s v="UNPAID"/>
    <x v="28"/>
    <n v="366300"/>
    <n v="1"/>
    <s v="Indonesia"/>
    <s v="SAJB - SEP"/>
    <x v="0"/>
  </r>
  <r>
    <s v="CLICTRUCK-049149"/>
    <s v="domestic"/>
    <x v="105"/>
    <x v="25"/>
    <n v="1655000"/>
    <n v="27750"/>
    <d v="2023-06-03T00:00:00"/>
    <s v="UNPAID"/>
    <x v="28"/>
    <n v="73482"/>
    <n v="1"/>
    <s v="Indonesia"/>
    <s v="SAJB - SEP"/>
    <x v="0"/>
  </r>
  <r>
    <s v="CLICTRUCK-049151"/>
    <s v="domestic"/>
    <x v="105"/>
    <x v="25"/>
    <n v="1880000"/>
    <n v="27750"/>
    <d v="2023-06-03T00:00:00"/>
    <s v="UNPAID"/>
    <x v="28"/>
    <n v="83472"/>
    <n v="1"/>
    <s v="Indonesia"/>
    <s v="SAJB - SEP"/>
    <x v="0"/>
  </r>
  <r>
    <s v="CLICTRUCK-049152"/>
    <s v="domestic"/>
    <x v="105"/>
    <x v="49"/>
    <n v="44000000"/>
    <n v="27750"/>
    <d v="2023-06-03T00:00:00"/>
    <s v="UNPAID"/>
    <x v="52"/>
    <n v="1221000"/>
    <n v="1"/>
    <s v="Indonesia"/>
    <s v="MPL - SSP"/>
    <x v="0"/>
  </r>
  <r>
    <s v="CLICTRUCK-049153"/>
    <s v="domestic"/>
    <x v="105"/>
    <x v="25"/>
    <n v="1815000"/>
    <n v="27750"/>
    <d v="2023-06-03T00:00:00"/>
    <s v="UNPAID"/>
    <x v="28"/>
    <n v="80586"/>
    <n v="1"/>
    <s v="Indonesia"/>
    <s v="SAJB - SEP"/>
    <x v="0"/>
  </r>
  <r>
    <s v="CLICTRUCK-049154"/>
    <s v="domestic"/>
    <x v="105"/>
    <x v="25"/>
    <n v="1880000"/>
    <n v="27750"/>
    <d v="2023-06-03T00:00:00"/>
    <s v="UNPAID"/>
    <x v="28"/>
    <n v="83472"/>
    <n v="1"/>
    <s v="Indonesia"/>
    <s v="SAJB - SEP"/>
    <x v="0"/>
  </r>
  <r>
    <s v="CLICTRUCK-049155"/>
    <s v="domestic"/>
    <x v="105"/>
    <x v="25"/>
    <n v="3250000"/>
    <n v="27750"/>
    <d v="2023-06-03T00:00:00"/>
    <s v="UNPAID"/>
    <x v="28"/>
    <n v="144300"/>
    <n v="1"/>
    <s v="Indonesia"/>
    <s v="SAJB - SEP"/>
    <x v="0"/>
  </r>
  <r>
    <s v="CLICTRUCK-049156"/>
    <s v="domestic"/>
    <x v="105"/>
    <x v="25"/>
    <n v="2485000"/>
    <n v="27750"/>
    <d v="2023-06-03T00:00:00"/>
    <s v="UNPAID"/>
    <x v="28"/>
    <n v="110334"/>
    <n v="1"/>
    <s v="Indonesia"/>
    <s v="SAJB - SEP"/>
    <x v="0"/>
  </r>
  <r>
    <s v="CLICTRUCK-049157"/>
    <s v="domestic"/>
    <x v="105"/>
    <x v="25"/>
    <n v="1880000"/>
    <n v="27750"/>
    <d v="2023-06-03T00:00:00"/>
    <s v="UNPAID"/>
    <x v="28"/>
    <n v="83472"/>
    <n v="1"/>
    <s v="Indonesia"/>
    <s v="SAJB - SEP"/>
    <x v="0"/>
  </r>
  <r>
    <s v="CLICTRUCK-049158"/>
    <s v="domestic"/>
    <x v="105"/>
    <x v="25"/>
    <n v="1880000"/>
    <n v="27750"/>
    <d v="2023-06-03T00:00:00"/>
    <s v="UNPAID"/>
    <x v="28"/>
    <n v="83472"/>
    <n v="1"/>
    <s v="Indonesia"/>
    <s v="SAJB - SEP"/>
    <x v="0"/>
  </r>
  <r>
    <s v="CLICTRUCK-049159"/>
    <s v="domestic"/>
    <x v="105"/>
    <x v="25"/>
    <n v="1880000"/>
    <n v="27750"/>
    <d v="2023-06-03T00:00:00"/>
    <s v="UNPAID"/>
    <x v="28"/>
    <n v="83472"/>
    <n v="1"/>
    <s v="Indonesia"/>
    <s v="SAJB - SEP"/>
    <x v="0"/>
  </r>
  <r>
    <s v="CLICTRUCK-049160"/>
    <s v="domestic"/>
    <x v="105"/>
    <x v="25"/>
    <n v="1655000"/>
    <n v="27750"/>
    <d v="2023-06-03T00:00:00"/>
    <s v="UNPAID"/>
    <x v="28"/>
    <n v="73482"/>
    <n v="1"/>
    <s v="Indonesia"/>
    <s v="SAJB - SEP"/>
    <x v="0"/>
  </r>
  <r>
    <s v="CLICTRUCK-049161"/>
    <s v="domestic"/>
    <x v="105"/>
    <x v="25"/>
    <n v="2485000"/>
    <n v="27750"/>
    <d v="2023-06-03T00:00:00"/>
    <s v="UNPAID"/>
    <x v="28"/>
    <n v="110334"/>
    <n v="1"/>
    <s v="Indonesia"/>
    <s v="SAJB - SEP"/>
    <x v="0"/>
  </r>
  <r>
    <s v="CLICTRUCK-049163"/>
    <s v="domestic"/>
    <x v="105"/>
    <x v="25"/>
    <n v="1880000"/>
    <n v="27750"/>
    <d v="2023-06-03T00:00:00"/>
    <s v="UNPAID"/>
    <x v="28"/>
    <n v="83472"/>
    <n v="1"/>
    <s v="Indonesia"/>
    <s v="SAJB - SEP"/>
    <x v="0"/>
  </r>
  <r>
    <s v="CLICTRUCK-049164"/>
    <s v="domestic"/>
    <x v="105"/>
    <x v="25"/>
    <n v="3940000"/>
    <n v="27750"/>
    <d v="2023-06-03T00:00:00"/>
    <s v="UNPAID"/>
    <x v="28"/>
    <n v="174936"/>
    <n v="1"/>
    <s v="Indonesia"/>
    <s v="SAJB - SEP"/>
    <x v="0"/>
  </r>
  <r>
    <s v="CLICTRUCK-049165"/>
    <s v="domestic"/>
    <x v="105"/>
    <x v="49"/>
    <n v="6800000"/>
    <n v="27750"/>
    <d v="2023-06-03T00:00:00"/>
    <s v="UNPAID"/>
    <x v="52"/>
    <n v="188700"/>
    <n v="1"/>
    <s v="Indonesia"/>
    <s v="MPL - SSP"/>
    <x v="0"/>
  </r>
  <r>
    <s v="CLICTRUCK-049166"/>
    <s v="domestic"/>
    <x v="105"/>
    <x v="25"/>
    <n v="1880000"/>
    <n v="27750"/>
    <d v="2023-06-03T00:00:00"/>
    <s v="UNPAID"/>
    <x v="28"/>
    <n v="83472"/>
    <n v="1"/>
    <s v="Indonesia"/>
    <s v="SAJB - SEP"/>
    <x v="0"/>
  </r>
  <r>
    <s v="CLICTRUCK-049167"/>
    <s v="domestic"/>
    <x v="105"/>
    <x v="21"/>
    <n v="2856000"/>
    <n v="13875"/>
    <d v="2023-06-03T00:00:00"/>
    <s v="UNPAID"/>
    <x v="23"/>
    <n v="79254"/>
    <n v="1"/>
    <s v="Indonesia"/>
    <s v="MJE - ATL"/>
    <x v="0"/>
  </r>
  <r>
    <s v="CLICTRUCK-049168"/>
    <s v="domestic"/>
    <x v="105"/>
    <x v="25"/>
    <n v="2485000"/>
    <n v="27750"/>
    <d v="2023-06-03T00:00:00"/>
    <s v="UNPAID"/>
    <x v="28"/>
    <n v="110334"/>
    <n v="1"/>
    <s v="Indonesia"/>
    <s v="SAJB - SEP"/>
    <x v="0"/>
  </r>
  <r>
    <s v="CLICTRUCK-049169"/>
    <s v="domestic"/>
    <x v="105"/>
    <x v="21"/>
    <n v="1400000"/>
    <n v="13875"/>
    <d v="2023-06-03T00:00:00"/>
    <s v="UNPAID"/>
    <x v="23"/>
    <n v="38850"/>
    <n v="1"/>
    <s v="Indonesia"/>
    <s v="MJE - ATL"/>
    <x v="0"/>
  </r>
  <r>
    <s v="CLICTRUCK-049170"/>
    <s v="domestic"/>
    <x v="105"/>
    <x v="25"/>
    <n v="1655000"/>
    <n v="27750"/>
    <d v="2023-06-03T00:00:00"/>
    <s v="UNPAID"/>
    <x v="28"/>
    <n v="73482"/>
    <n v="1"/>
    <s v="Indonesia"/>
    <s v="SAJB - SEP"/>
    <x v="0"/>
  </r>
  <r>
    <s v="CLICTRUCK-049171"/>
    <s v="domestic"/>
    <x v="105"/>
    <x v="25"/>
    <n v="1655000"/>
    <n v="27750"/>
    <d v="2023-06-03T00:00:00"/>
    <s v="UNPAID"/>
    <x v="28"/>
    <n v="73482"/>
    <n v="1"/>
    <s v="Indonesia"/>
    <s v="SAJB - SEP"/>
    <x v="0"/>
  </r>
  <r>
    <s v="CLICTRUCK-049172"/>
    <s v="domestic"/>
    <x v="105"/>
    <x v="25"/>
    <n v="1655000"/>
    <n v="27750"/>
    <d v="2023-06-03T00:00:00"/>
    <s v="UNPAID"/>
    <x v="28"/>
    <n v="73482"/>
    <n v="1"/>
    <s v="Indonesia"/>
    <s v="SAJB - SEP"/>
    <x v="0"/>
  </r>
  <r>
    <s v="CLICTRUCK-049173"/>
    <s v="domestic"/>
    <x v="105"/>
    <x v="49"/>
    <n v="14000000"/>
    <n v="27750"/>
    <d v="2023-06-03T00:00:00"/>
    <s v="UNPAID"/>
    <x v="52"/>
    <n v="388500"/>
    <n v="1"/>
    <s v="Indonesia"/>
    <s v="MPL - SSP"/>
    <x v="0"/>
  </r>
  <r>
    <s v="CLICTRUCK-049175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76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77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78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79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0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1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2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3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4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5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6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7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8"/>
    <s v="domestic"/>
    <x v="105"/>
    <x v="29"/>
    <n v="7615000"/>
    <n v="22200"/>
    <d v="2023-06-04T00:00:00"/>
    <s v="UNPAID"/>
    <x v="32"/>
    <n v="228221"/>
    <n v="1"/>
    <s v="Indonesia"/>
    <s v="JMT - JST"/>
    <x v="0"/>
  </r>
  <r>
    <s v="CLICTRUCK-049189"/>
    <s v="domestic"/>
    <x v="150"/>
    <x v="30"/>
    <n v="251818000"/>
    <n v="27750"/>
    <d v="2023-06-04T00:00:00"/>
    <s v="UNPAID"/>
    <x v="33"/>
    <n v="11180719"/>
    <n v="1"/>
    <s v="Indonesia"/>
    <s v="RDD - RED"/>
    <x v="0"/>
  </r>
  <r>
    <s v="CLICTRUCK-049190"/>
    <s v="domestic"/>
    <x v="150"/>
    <x v="51"/>
    <n v="3900000"/>
    <n v="173160"/>
    <d v="2023-06-05T00:00:00"/>
    <s v="UNPAID"/>
    <x v="53"/>
    <n v="55500"/>
    <n v="2"/>
    <s v="Indonesia"/>
    <s v="SSL - RPM"/>
    <x v="0"/>
  </r>
  <r>
    <s v="CLICTRUCK-049195"/>
    <s v="domestic"/>
    <x v="106"/>
    <x v="9"/>
    <n v="190000"/>
    <n v="22500"/>
    <m/>
    <s v="DELIVERED"/>
    <x v="9"/>
    <n v="0"/>
    <n v="1"/>
    <s v="Indonesia"/>
    <s v="YSN-SSA"/>
    <x v="1"/>
  </r>
  <r>
    <s v="CLICTRUCK-049198"/>
    <s v="domestic"/>
    <x v="106"/>
    <x v="9"/>
    <n v="216000"/>
    <n v="22500"/>
    <m/>
    <s v="DELIVERED"/>
    <x v="9"/>
    <n v="0"/>
    <n v="1"/>
    <s v="Indonesia"/>
    <s v="YSN-SSA"/>
    <x v="1"/>
  </r>
  <r>
    <s v="CLICTRUCK-049201"/>
    <s v="domestic"/>
    <x v="106"/>
    <x v="9"/>
    <n v="242000"/>
    <n v="22500"/>
    <m/>
    <s v="DELIVERED"/>
    <x v="9"/>
    <n v="0"/>
    <n v="1"/>
    <s v="Indonesia"/>
    <s v="YSN-SSA"/>
    <x v="1"/>
  </r>
  <r>
    <s v="CLICTRUCK-049202"/>
    <s v="domestic"/>
    <x v="106"/>
    <x v="9"/>
    <n v="242000"/>
    <n v="22500"/>
    <m/>
    <s v="DELIVERED"/>
    <x v="9"/>
    <n v="0"/>
    <n v="1"/>
    <s v="Indonesia"/>
    <s v="YSN-SSA"/>
    <x v="1"/>
  </r>
  <r>
    <s v="CLICTRUCK-049204"/>
    <s v="domestic"/>
    <x v="106"/>
    <x v="9"/>
    <n v="1229000"/>
    <n v="22500"/>
    <m/>
    <s v="NEW"/>
    <x v="34"/>
    <n v="0"/>
    <n v="1"/>
    <s v="Indonesia"/>
    <s v="YSN - PPT"/>
    <x v="1"/>
  </r>
  <r>
    <s v="CLICTRUCK-049205"/>
    <s v="domestic"/>
    <x v="106"/>
    <x v="9"/>
    <n v="207000"/>
    <n v="22500"/>
    <m/>
    <s v="NEW"/>
    <x v="34"/>
    <n v="0"/>
    <n v="1"/>
    <s v="Indonesia"/>
    <s v="YSN - PPT"/>
    <x v="1"/>
  </r>
  <r>
    <s v="CLICTRUCK-049207"/>
    <s v="domestic"/>
    <x v="106"/>
    <x v="9"/>
    <n v="190000"/>
    <n v="22500"/>
    <m/>
    <s v="DELIVERED"/>
    <x v="9"/>
    <n v="0"/>
    <n v="1"/>
    <s v="Indonesia"/>
    <s v="YSN-SSA"/>
    <x v="1"/>
  </r>
  <r>
    <s v="CLICTRUCK-049208"/>
    <s v="domestic"/>
    <x v="106"/>
    <x v="9"/>
    <n v="190000"/>
    <n v="22500"/>
    <m/>
    <s v="DELIVERED"/>
    <x v="9"/>
    <n v="0"/>
    <n v="1"/>
    <s v="Indonesia"/>
    <s v="YSN-SSA"/>
    <x v="1"/>
  </r>
  <r>
    <s v="CLICTRUCK-049210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11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12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13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14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15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16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17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18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19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20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21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22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23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24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25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26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27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28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29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30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31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32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33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34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35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36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37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38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39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40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41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42"/>
    <s v="domestic"/>
    <x v="106"/>
    <x v="36"/>
    <n v="7500000"/>
    <n v="416250"/>
    <d v="2023-06-05T00:00:00"/>
    <s v="UNPAID"/>
    <x v="39"/>
    <n v="27750"/>
    <n v="1"/>
    <s v="Indonesia"/>
    <s v="LVI - DRT"/>
    <x v="0"/>
  </r>
  <r>
    <s v="CLICTRUCK-049243"/>
    <s v="domestic"/>
    <x v="106"/>
    <x v="36"/>
    <n v="7000000"/>
    <n v="388500"/>
    <d v="2023-06-05T00:00:00"/>
    <s v="UNPAID"/>
    <x v="39"/>
    <n v="27750"/>
    <n v="1"/>
    <s v="Indonesia"/>
    <s v="LVI - DRT"/>
    <x v="0"/>
  </r>
  <r>
    <s v="CLICTRUCK-049244"/>
    <s v="domestic"/>
    <x v="106"/>
    <x v="31"/>
    <n v="54000000"/>
    <m/>
    <m/>
    <s v="NEW"/>
    <x v="35"/>
    <n v="0"/>
    <n v="4"/>
    <s v="Indonesia"/>
    <s v="PLI - KTN"/>
    <x v="1"/>
  </r>
  <r>
    <s v="CLICTRUCK-049245"/>
    <s v="domestic"/>
    <x v="106"/>
    <x v="31"/>
    <n v="54000000"/>
    <n v="2247750"/>
    <d v="2023-06-05T00:00:00"/>
    <s v="UNPAID"/>
    <x v="35"/>
    <n v="111000"/>
    <n v="4"/>
    <s v="Indonesia"/>
    <s v="PLI - KTN"/>
    <x v="0"/>
  </r>
  <r>
    <s v="CLICTRUCK-049246"/>
    <s v="domestic"/>
    <x v="106"/>
    <x v="51"/>
    <n v="0"/>
    <m/>
    <m/>
    <s v="DELIVERED"/>
    <x v="53"/>
    <n v="0"/>
    <n v="4"/>
    <s v="Indonesia"/>
    <s v="SSL - RPM"/>
    <x v="1"/>
  </r>
  <r>
    <s v="CLICTRUCK-049247"/>
    <s v="domestic"/>
    <x v="106"/>
    <x v="43"/>
    <n v="9000000"/>
    <n v="27750"/>
    <d v="2023-06-06T00:00:00"/>
    <s v="UNPAID"/>
    <x v="47"/>
    <n v="499500"/>
    <n v="1"/>
    <s v="Indonesia"/>
    <s v="AOG - AOL"/>
    <x v="0"/>
  </r>
  <r>
    <s v="CLICTRUCK-049248"/>
    <s v="domestic"/>
    <x v="106"/>
    <x v="51"/>
    <n v="6000000"/>
    <n v="266400"/>
    <d v="2023-06-06T00:00:00"/>
    <s v="UNPAID"/>
    <x v="53"/>
    <n v="111000"/>
    <n v="4"/>
    <s v="Indonesia"/>
    <s v="SSL - RPM"/>
    <x v="0"/>
  </r>
  <r>
    <s v="CLICTRUCK-049249"/>
    <s v="domestic"/>
    <x v="107"/>
    <x v="43"/>
    <n v="9000000"/>
    <n v="27750"/>
    <d v="2023-06-06T00:00:00"/>
    <s v="UNPAID"/>
    <x v="47"/>
    <n v="499500"/>
    <n v="1"/>
    <s v="Indonesia"/>
    <s v="AOG - AOL"/>
    <x v="0"/>
  </r>
  <r>
    <s v="CLICTRUCK-049250"/>
    <s v="domestic"/>
    <x v="107"/>
    <x v="43"/>
    <n v="9000000"/>
    <n v="27750"/>
    <d v="2023-06-06T00:00:00"/>
    <s v="UNPAID"/>
    <x v="47"/>
    <n v="499500"/>
    <n v="1"/>
    <s v="Indonesia"/>
    <s v="AOG - AOL"/>
    <x v="0"/>
  </r>
  <r>
    <s v="CLICTRUCK-049251"/>
    <s v="domestic"/>
    <x v="107"/>
    <x v="43"/>
    <n v="8500000"/>
    <n v="27750"/>
    <d v="2023-06-06T00:00:00"/>
    <s v="UNPAID"/>
    <x v="47"/>
    <n v="471750"/>
    <n v="1"/>
    <s v="Indonesia"/>
    <s v="AOG - AOL"/>
    <x v="0"/>
  </r>
  <r>
    <s v="CLICTRUCK-049252"/>
    <s v="domestic"/>
    <x v="107"/>
    <x v="43"/>
    <n v="8500000"/>
    <n v="27750"/>
    <d v="2023-06-06T00:00:00"/>
    <s v="UNPAID"/>
    <x v="47"/>
    <n v="471750"/>
    <n v="1"/>
    <s v="Indonesia"/>
    <s v="AOG - AOL"/>
    <x v="0"/>
  </r>
  <r>
    <s v="CLICTRUCK-049253"/>
    <s v="domestic"/>
    <x v="107"/>
    <x v="9"/>
    <n v="479000"/>
    <n v="22500"/>
    <m/>
    <s v="NEW"/>
    <x v="34"/>
    <n v="0"/>
    <n v="1"/>
    <s v="Indonesia"/>
    <s v="YSN - PPT"/>
    <x v="1"/>
  </r>
  <r>
    <s v="CLICTRUCK-049254"/>
    <s v="domestic"/>
    <x v="107"/>
    <x v="9"/>
    <n v="190000"/>
    <n v="22500"/>
    <m/>
    <s v="NEW"/>
    <x v="34"/>
    <n v="0"/>
    <n v="1"/>
    <s v="Indonesia"/>
    <s v="YSN - PPT"/>
    <x v="1"/>
  </r>
  <r>
    <s v="CLICTRUCK-049255"/>
    <s v="domestic"/>
    <x v="107"/>
    <x v="43"/>
    <n v="16000000"/>
    <n v="27750"/>
    <d v="2023-06-06T00:00:00"/>
    <s v="UNPAID"/>
    <x v="47"/>
    <n v="888000"/>
    <n v="1"/>
    <s v="Indonesia"/>
    <s v="AOG - AOL"/>
    <x v="0"/>
  </r>
  <r>
    <s v="CLICTRUCK-049256"/>
    <s v="domestic"/>
    <x v="107"/>
    <x v="43"/>
    <n v="16000000"/>
    <n v="27750"/>
    <d v="2023-06-06T00:00:00"/>
    <s v="UNPAID"/>
    <x v="47"/>
    <n v="888000"/>
    <n v="1"/>
    <s v="Indonesia"/>
    <s v="AOG - AOL"/>
    <x v="0"/>
  </r>
  <r>
    <s v="CLICTRUCK-049257"/>
    <s v="domestic"/>
    <x v="107"/>
    <x v="43"/>
    <n v="16000000"/>
    <n v="27750"/>
    <d v="2023-06-06T00:00:00"/>
    <s v="UNPAID"/>
    <x v="47"/>
    <n v="888000"/>
    <n v="1"/>
    <s v="Indonesia"/>
    <s v="AOG - AOL"/>
    <x v="0"/>
  </r>
  <r>
    <s v="CLICTRUCK-049258"/>
    <s v="domestic"/>
    <x v="107"/>
    <x v="43"/>
    <n v="16000000"/>
    <n v="27750"/>
    <d v="2023-06-06T00:00:00"/>
    <s v="UNPAID"/>
    <x v="47"/>
    <n v="888000"/>
    <n v="1"/>
    <s v="Indonesia"/>
    <s v="AOG - AOL"/>
    <x v="0"/>
  </r>
  <r>
    <s v="CLICTRUCK-049259"/>
    <s v="domestic"/>
    <x v="107"/>
    <x v="43"/>
    <n v="16000000"/>
    <n v="27750"/>
    <d v="2023-06-06T00:00:00"/>
    <s v="UNPAID"/>
    <x v="47"/>
    <n v="888000"/>
    <n v="1"/>
    <s v="Indonesia"/>
    <s v="AOG - AOL"/>
    <x v="0"/>
  </r>
  <r>
    <s v="CLICTRUCK-049260"/>
    <s v="domestic"/>
    <x v="107"/>
    <x v="43"/>
    <n v="16000000"/>
    <n v="27750"/>
    <d v="2023-06-06T00:00:00"/>
    <s v="UNPAID"/>
    <x v="47"/>
    <n v="888000"/>
    <n v="1"/>
    <s v="Indonesia"/>
    <s v="AOG - AOL"/>
    <x v="0"/>
  </r>
  <r>
    <s v="CLICTRUCK-049276"/>
    <s v="domestic"/>
    <x v="107"/>
    <x v="51"/>
    <n v="13800000"/>
    <n v="612720"/>
    <d v="2023-06-07T00:00:00"/>
    <s v="UNPAID"/>
    <x v="53"/>
    <n v="27750"/>
    <n v="1"/>
    <s v="Indonesia"/>
    <s v="SSL - RPM"/>
    <x v="0"/>
  </r>
  <r>
    <s v="CLICTRUCK-049277"/>
    <s v="domestic"/>
    <x v="107"/>
    <x v="51"/>
    <n v="35700000"/>
    <n v="1585080"/>
    <d v="2023-06-07T00:00:00"/>
    <s v="UNPAID"/>
    <x v="53"/>
    <n v="55500"/>
    <n v="2"/>
    <s v="Indonesia"/>
    <s v="SSL - RPM"/>
    <x v="0"/>
  </r>
  <r>
    <s v="CLICTRUCK-049278"/>
    <s v="domestic"/>
    <x v="151"/>
    <x v="31"/>
    <n v="185000000"/>
    <m/>
    <m/>
    <s v="NEW"/>
    <x v="35"/>
    <n v="0"/>
    <n v="2"/>
    <s v="Indonesia"/>
    <s v="PLI - KTN"/>
    <x v="1"/>
  </r>
  <r>
    <s v="CLICTRUCK-049279"/>
    <s v="domestic"/>
    <x v="151"/>
    <x v="31"/>
    <n v="185000000"/>
    <n v="7700625"/>
    <d v="2023-06-07T00:00:00"/>
    <s v="UNPAID"/>
    <x v="35"/>
    <n v="55500"/>
    <n v="2"/>
    <s v="Indonesia"/>
    <s v="PLI - KTN"/>
    <x v="0"/>
  </r>
  <r>
    <s v="CLICTRUCK-049280"/>
    <s v="domestic"/>
    <x v="151"/>
    <x v="9"/>
    <n v="190000"/>
    <n v="22500"/>
    <m/>
    <s v="DELIVERED"/>
    <x v="9"/>
    <n v="0"/>
    <n v="1"/>
    <s v="Indonesia"/>
    <s v="YSN-SSA"/>
    <x v="1"/>
  </r>
  <r>
    <s v="CLICTRUCK-049281"/>
    <s v="domestic"/>
    <x v="151"/>
    <x v="9"/>
    <n v="214975"/>
    <n v="22500"/>
    <m/>
    <s v="NEW"/>
    <x v="9"/>
    <n v="0"/>
    <n v="1"/>
    <s v="Indonesia"/>
    <s v="YSN-SSA"/>
    <x v="1"/>
  </r>
  <r>
    <s v="CLICTRUCK-049282"/>
    <s v="domestic"/>
    <x v="151"/>
    <x v="17"/>
    <n v="24600000"/>
    <n v="955710"/>
    <d v="2023-06-08T00:00:00"/>
    <s v="UNPAID"/>
    <x v="44"/>
    <n v="27750"/>
    <n v="1"/>
    <s v="Indonesia"/>
    <s v="AJM - RALI"/>
    <x v="0"/>
  </r>
  <r>
    <s v="CLICTRUCK-049283"/>
    <s v="domestic"/>
    <x v="151"/>
    <x v="17"/>
    <n v="24600000"/>
    <n v="955710"/>
    <d v="2023-06-08T00:00:00"/>
    <s v="UNPAID"/>
    <x v="44"/>
    <n v="27750"/>
    <n v="1"/>
    <s v="Indonesia"/>
    <s v="AJM - RALI"/>
    <x v="0"/>
  </r>
  <r>
    <s v="CLICTRUCK-049284"/>
    <s v="domestic"/>
    <x v="151"/>
    <x v="17"/>
    <n v="20300000"/>
    <n v="788655"/>
    <d v="2023-06-08T00:00:00"/>
    <s v="UNPAID"/>
    <x v="44"/>
    <n v="27750"/>
    <n v="1"/>
    <s v="Indonesia"/>
    <s v="AJM - RALI"/>
    <x v="0"/>
  </r>
  <r>
    <s v="CLICTRUCK-049285"/>
    <s v="domestic"/>
    <x v="151"/>
    <x v="17"/>
    <n v="24600000"/>
    <n v="955710"/>
    <d v="2023-06-08T00:00:00"/>
    <s v="UNPAID"/>
    <x v="44"/>
    <n v="27750"/>
    <n v="1"/>
    <s v="Indonesia"/>
    <s v="AJM - RALI"/>
    <x v="0"/>
  </r>
  <r>
    <s v="CLICTRUCK-049286"/>
    <s v="domestic"/>
    <x v="151"/>
    <x v="17"/>
    <n v="20300000"/>
    <n v="788655"/>
    <d v="2023-06-08T00:00:00"/>
    <s v="UNPAID"/>
    <x v="44"/>
    <n v="27750"/>
    <n v="1"/>
    <s v="Indonesia"/>
    <s v="AJM - RALI"/>
    <x v="0"/>
  </r>
  <r>
    <s v="CLICTRUCK-049287"/>
    <s v="domestic"/>
    <x v="151"/>
    <x v="17"/>
    <n v="24600000"/>
    <n v="955710"/>
    <d v="2023-06-08T00:00:00"/>
    <s v="UNPAID"/>
    <x v="44"/>
    <n v="27750"/>
    <n v="1"/>
    <s v="Indonesia"/>
    <s v="AJM - RALI"/>
    <x v="0"/>
  </r>
  <r>
    <s v="CLICTRUCK-049288"/>
    <s v="domestic"/>
    <x v="151"/>
    <x v="17"/>
    <n v="24600000"/>
    <n v="955710"/>
    <d v="2023-06-08T00:00:00"/>
    <s v="UNPAID"/>
    <x v="44"/>
    <n v="27750"/>
    <n v="1"/>
    <s v="Indonesia"/>
    <s v="AJM - RALI"/>
    <x v="0"/>
  </r>
  <r>
    <s v="CLICTRUCK-049289"/>
    <s v="domestic"/>
    <x v="151"/>
    <x v="17"/>
    <n v="20300000"/>
    <n v="788655"/>
    <d v="2023-06-08T00:00:00"/>
    <s v="UNPAID"/>
    <x v="44"/>
    <n v="27750"/>
    <n v="1"/>
    <s v="Indonesia"/>
    <s v="AJM - RALI"/>
    <x v="0"/>
  </r>
  <r>
    <s v="CLICTRUCK-049290"/>
    <s v="domestic"/>
    <x v="151"/>
    <x v="36"/>
    <n v="7500000"/>
    <n v="416250"/>
    <d v="2023-06-07T00:00:00"/>
    <s v="UNPAID"/>
    <x v="39"/>
    <n v="27750"/>
    <n v="1"/>
    <s v="Indonesia"/>
    <s v="LVI - DRT"/>
    <x v="0"/>
  </r>
  <r>
    <s v="CLICTRUCK-049291"/>
    <s v="domestic"/>
    <x v="151"/>
    <x v="36"/>
    <n v="7000000"/>
    <n v="388500"/>
    <d v="2023-06-07T00:00:00"/>
    <s v="UNPAID"/>
    <x v="39"/>
    <n v="27750"/>
    <n v="1"/>
    <s v="Indonesia"/>
    <s v="LVI - DRT"/>
    <x v="0"/>
  </r>
  <r>
    <s v="CLICTRUCK-049292"/>
    <s v="domestic"/>
    <x v="151"/>
    <x v="36"/>
    <n v="7500000"/>
    <n v="416250"/>
    <d v="2023-06-07T00:00:00"/>
    <s v="UNPAID"/>
    <x v="39"/>
    <n v="27750"/>
    <n v="1"/>
    <s v="Indonesia"/>
    <s v="LVI - DRT"/>
    <x v="0"/>
  </r>
  <r>
    <s v="CLICTRUCK-049293"/>
    <s v="domestic"/>
    <x v="151"/>
    <x v="36"/>
    <n v="7000000"/>
    <n v="388500"/>
    <d v="2023-06-07T00:00:00"/>
    <s v="UNPAID"/>
    <x v="39"/>
    <n v="27750"/>
    <n v="1"/>
    <s v="Indonesia"/>
    <s v="LVI - DRT"/>
    <x v="0"/>
  </r>
  <r>
    <s v="CLICTRUCK-049294"/>
    <s v="domestic"/>
    <x v="151"/>
    <x v="36"/>
    <n v="7500000"/>
    <n v="416250"/>
    <d v="2023-06-07T00:00:00"/>
    <s v="UNPAID"/>
    <x v="39"/>
    <n v="27750"/>
    <n v="1"/>
    <s v="Indonesia"/>
    <s v="LVI - DRT"/>
    <x v="0"/>
  </r>
  <r>
    <s v="CLICTRUCK-049295"/>
    <s v="domestic"/>
    <x v="151"/>
    <x v="36"/>
    <n v="7000000"/>
    <n v="388500"/>
    <d v="2023-06-07T00:00:00"/>
    <s v="UNPAID"/>
    <x v="39"/>
    <n v="27750"/>
    <n v="1"/>
    <s v="Indonesia"/>
    <s v="LVI - DRT"/>
    <x v="0"/>
  </r>
  <r>
    <s v="CLICTRUCK-049296"/>
    <s v="domestic"/>
    <x v="151"/>
    <x v="36"/>
    <n v="7500000"/>
    <n v="416250"/>
    <d v="2023-06-07T00:00:00"/>
    <s v="UNPAID"/>
    <x v="39"/>
    <n v="27750"/>
    <n v="1"/>
    <s v="Indonesia"/>
    <s v="LVI - DRT"/>
    <x v="0"/>
  </r>
  <r>
    <s v="CLICTRUCK-049297"/>
    <s v="domestic"/>
    <x v="151"/>
    <x v="36"/>
    <n v="7000000"/>
    <n v="388500"/>
    <d v="2023-06-07T00:00:00"/>
    <s v="UNPAID"/>
    <x v="39"/>
    <n v="27750"/>
    <n v="1"/>
    <s v="Indonesia"/>
    <s v="LVI - DRT"/>
    <x v="0"/>
  </r>
  <r>
    <s v="CLICTRUCK-049298"/>
    <s v="domestic"/>
    <x v="151"/>
    <x v="36"/>
    <n v="7500000"/>
    <n v="416250"/>
    <d v="2023-06-07T00:00:00"/>
    <s v="UNPAID"/>
    <x v="39"/>
    <n v="27750"/>
    <n v="1"/>
    <s v="Indonesia"/>
    <s v="LVI - DRT"/>
    <x v="0"/>
  </r>
  <r>
    <s v="CLICTRUCK-049299"/>
    <s v="domestic"/>
    <x v="151"/>
    <x v="36"/>
    <n v="7000000"/>
    <n v="388500"/>
    <d v="2023-06-07T00:00:00"/>
    <s v="UNPAID"/>
    <x v="39"/>
    <n v="27750"/>
    <n v="1"/>
    <s v="Indonesia"/>
    <s v="LVI - DRT"/>
    <x v="0"/>
  </r>
  <r>
    <s v="CLICTRUCK-049300"/>
    <s v="domestic"/>
    <x v="151"/>
    <x v="36"/>
    <n v="7500000"/>
    <n v="416250"/>
    <d v="2023-06-07T00:00:00"/>
    <s v="UNPAID"/>
    <x v="39"/>
    <n v="27750"/>
    <n v="1"/>
    <s v="Indonesia"/>
    <s v="LVI - DRT"/>
    <x v="0"/>
  </r>
  <r>
    <s v="CLICTRUCK-049301"/>
    <s v="domestic"/>
    <x v="151"/>
    <x v="36"/>
    <n v="7000000"/>
    <n v="388500"/>
    <d v="2023-06-07T00:00:00"/>
    <s v="UNPAID"/>
    <x v="39"/>
    <n v="27750"/>
    <n v="1"/>
    <s v="Indonesia"/>
    <s v="LVI - DRT"/>
    <x v="0"/>
  </r>
  <r>
    <s v="CLICTRUCK-049302"/>
    <s v="domestic"/>
    <x v="151"/>
    <x v="36"/>
    <n v="7500000"/>
    <n v="416250"/>
    <d v="2023-06-07T00:00:00"/>
    <s v="UNPAID"/>
    <x v="39"/>
    <n v="27750"/>
    <n v="1"/>
    <s v="Indonesia"/>
    <s v="LVI - DRT"/>
    <x v="0"/>
  </r>
  <r>
    <s v="CLICTRUCK-049303"/>
    <s v="domestic"/>
    <x v="151"/>
    <x v="36"/>
    <n v="7000000"/>
    <n v="388500"/>
    <d v="2023-06-07T00:00:00"/>
    <s v="UNPAID"/>
    <x v="39"/>
    <n v="27750"/>
    <n v="1"/>
    <s v="Indonesia"/>
    <s v="LVI - DRT"/>
    <x v="0"/>
  </r>
  <r>
    <s v="CLICTRUCK-049304"/>
    <s v="domestic"/>
    <x v="151"/>
    <x v="52"/>
    <n v="70000000"/>
    <n v="1942500"/>
    <d v="2023-06-08T00:00:00"/>
    <s v="UNPAID"/>
    <x v="54"/>
    <n v="27750"/>
    <n v="1"/>
    <s v="Indonesia"/>
    <s v="LPI - RTS"/>
    <x v="0"/>
  </r>
  <r>
    <s v="CLICTRUCK-049305"/>
    <s v="domestic"/>
    <x v="151"/>
    <x v="53"/>
    <n v="826345"/>
    <n v="27750"/>
    <d v="2023-06-10T00:00:00"/>
    <s v="UNPAID"/>
    <x v="55"/>
    <n v="22930"/>
    <n v="1"/>
    <s v="Indonesia"/>
    <s v="DUG - SKY"/>
    <x v="0"/>
  </r>
  <r>
    <s v="CLICTRUCK-049306"/>
    <s v="domestic"/>
    <x v="151"/>
    <x v="53"/>
    <n v="1429500"/>
    <n v="27750"/>
    <d v="2023-06-10T00:00:00"/>
    <s v="UNPAID"/>
    <x v="55"/>
    <n v="39668"/>
    <n v="1"/>
    <s v="Indonesia"/>
    <s v="DUG - SKY"/>
    <x v="0"/>
  </r>
  <r>
    <s v="CLICTRUCK-049307"/>
    <s v="domestic"/>
    <x v="151"/>
    <x v="53"/>
    <n v="633120"/>
    <n v="27750"/>
    <d v="2023-06-10T00:00:00"/>
    <s v="UNPAID"/>
    <x v="55"/>
    <n v="17569"/>
    <n v="1"/>
    <s v="Indonesia"/>
    <s v="DUG - SKY"/>
    <x v="0"/>
  </r>
  <r>
    <s v="CLICTRUCK-049308"/>
    <s v="domestic"/>
    <x v="151"/>
    <x v="53"/>
    <n v="17400930"/>
    <n v="27750"/>
    <d v="2023-06-10T00:00:00"/>
    <s v="UNPAID"/>
    <x v="55"/>
    <n v="482875"/>
    <n v="1"/>
    <s v="Indonesia"/>
    <s v="DUG - SKY"/>
    <x v="0"/>
  </r>
  <r>
    <s v="CLICTRUCK-049309"/>
    <s v="domestic"/>
    <x v="151"/>
    <x v="53"/>
    <n v="721980"/>
    <n v="27750"/>
    <d v="2023-06-10T00:00:00"/>
    <s v="UNPAID"/>
    <x v="55"/>
    <n v="20034"/>
    <n v="1"/>
    <s v="Indonesia"/>
    <s v="DUG - SKY"/>
    <x v="0"/>
  </r>
  <r>
    <s v="CLICTRUCK-049310"/>
    <s v="domestic"/>
    <x v="151"/>
    <x v="53"/>
    <n v="1565940"/>
    <n v="27750"/>
    <d v="2023-06-10T00:00:00"/>
    <s v="UNPAID"/>
    <x v="55"/>
    <n v="43454"/>
    <n v="1"/>
    <s v="Indonesia"/>
    <s v="DUG - SKY"/>
    <x v="0"/>
  </r>
  <r>
    <s v="CLICTRUCK-049311"/>
    <s v="domestic"/>
    <x v="151"/>
    <x v="53"/>
    <n v="1716195"/>
    <n v="27750"/>
    <d v="2023-06-10T00:00:00"/>
    <s v="UNPAID"/>
    <x v="55"/>
    <n v="47623"/>
    <n v="1"/>
    <s v="Indonesia"/>
    <s v="DUG - SKY"/>
    <x v="0"/>
  </r>
  <r>
    <s v="CLICTRUCK-049312"/>
    <s v="domestic"/>
    <x v="151"/>
    <x v="53"/>
    <n v="968460"/>
    <n v="27750"/>
    <d v="2023-06-10T00:00:00"/>
    <s v="UNPAID"/>
    <x v="55"/>
    <n v="26874"/>
    <n v="1"/>
    <s v="Indonesia"/>
    <s v="DUG - SKY"/>
    <x v="0"/>
  </r>
  <r>
    <s v="CLICTRUCK-049313"/>
    <s v="domestic"/>
    <x v="151"/>
    <x v="53"/>
    <n v="1283640"/>
    <n v="27750"/>
    <d v="2023-06-10T00:00:00"/>
    <s v="UNPAID"/>
    <x v="55"/>
    <n v="35621"/>
    <n v="1"/>
    <s v="Indonesia"/>
    <s v="DUG - SKY"/>
    <x v="0"/>
  </r>
  <r>
    <s v="CLICTRUCK-049314"/>
    <s v="domestic"/>
    <x v="151"/>
    <x v="53"/>
    <n v="916680"/>
    <n v="27750"/>
    <d v="2023-06-10T00:00:00"/>
    <s v="UNPAID"/>
    <x v="55"/>
    <n v="25437"/>
    <n v="1"/>
    <s v="Indonesia"/>
    <s v="DUG - SKY"/>
    <x v="0"/>
  </r>
  <r>
    <s v="CLICTRUCK-049315"/>
    <s v="domestic"/>
    <x v="151"/>
    <x v="53"/>
    <n v="718140"/>
    <n v="27750"/>
    <d v="2023-06-10T00:00:00"/>
    <s v="UNPAID"/>
    <x v="55"/>
    <n v="19927"/>
    <n v="1"/>
    <s v="Indonesia"/>
    <s v="DUG - SKY"/>
    <x v="0"/>
  </r>
  <r>
    <s v="CLICTRUCK-049316"/>
    <s v="domestic"/>
    <x v="151"/>
    <x v="53"/>
    <n v="1115820"/>
    <n v="27750"/>
    <d v="2023-06-10T00:00:00"/>
    <s v="UNPAID"/>
    <x v="55"/>
    <n v="30963"/>
    <n v="1"/>
    <s v="Indonesia"/>
    <s v="DUG - SKY"/>
    <x v="0"/>
  </r>
  <r>
    <s v="CLICTRUCK-049317"/>
    <s v="domestic"/>
    <x v="151"/>
    <x v="53"/>
    <n v="880360"/>
    <n v="27750"/>
    <d v="2023-06-10T00:00:00"/>
    <s v="UNPAID"/>
    <x v="55"/>
    <n v="24429"/>
    <n v="1"/>
    <s v="Indonesia"/>
    <s v="DUG - SKY"/>
    <x v="0"/>
  </r>
  <r>
    <s v="CLICTRUCK-049318"/>
    <s v="domestic"/>
    <x v="151"/>
    <x v="53"/>
    <n v="985620"/>
    <n v="27750"/>
    <d v="2023-06-10T00:00:00"/>
    <s v="UNPAID"/>
    <x v="55"/>
    <n v="27350"/>
    <n v="1"/>
    <s v="Indonesia"/>
    <s v="DUG - SKY"/>
    <x v="0"/>
  </r>
  <r>
    <s v="CLICTRUCK-049319"/>
    <s v="domestic"/>
    <x v="151"/>
    <x v="53"/>
    <n v="607500"/>
    <n v="27750"/>
    <d v="2023-06-10T00:00:00"/>
    <s v="UNPAID"/>
    <x v="55"/>
    <n v="16857"/>
    <n v="1"/>
    <s v="Indonesia"/>
    <s v="DUG - SKY"/>
    <x v="0"/>
  </r>
  <r>
    <s v="CLICTRUCK-049320"/>
    <s v="domestic"/>
    <x v="151"/>
    <x v="53"/>
    <n v="908700"/>
    <n v="27750"/>
    <d v="2023-06-10T00:00:00"/>
    <s v="UNPAID"/>
    <x v="55"/>
    <n v="25215"/>
    <n v="1"/>
    <s v="Indonesia"/>
    <s v="DUG - SKY"/>
    <x v="0"/>
  </r>
  <r>
    <s v="CLICTRUCK-049321"/>
    <s v="domestic"/>
    <x v="151"/>
    <x v="53"/>
    <n v="953820"/>
    <n v="27750"/>
    <d v="2023-06-10T00:00:00"/>
    <s v="UNPAID"/>
    <x v="55"/>
    <n v="26467"/>
    <n v="1"/>
    <s v="Indonesia"/>
    <s v="DUG - SKY"/>
    <x v="0"/>
  </r>
  <r>
    <s v="CLICTRUCK-049322"/>
    <s v="domestic"/>
    <x v="151"/>
    <x v="53"/>
    <n v="1283640"/>
    <n v="27750"/>
    <d v="2023-06-10T00:00:00"/>
    <s v="UNPAID"/>
    <x v="55"/>
    <n v="35621"/>
    <n v="1"/>
    <s v="Indonesia"/>
    <s v="DUG - SKY"/>
    <x v="0"/>
  </r>
  <r>
    <s v="CLICTRUCK-049323"/>
    <s v="domestic"/>
    <x v="151"/>
    <x v="53"/>
    <n v="784320"/>
    <n v="27750"/>
    <d v="2023-06-10T00:00:00"/>
    <s v="UNPAID"/>
    <x v="55"/>
    <n v="21764"/>
    <n v="1"/>
    <s v="Indonesia"/>
    <s v="DUG - SKY"/>
    <x v="0"/>
  </r>
  <r>
    <s v="CLICTRUCK-049324"/>
    <s v="domestic"/>
    <x v="151"/>
    <x v="53"/>
    <n v="726720"/>
    <n v="27750"/>
    <d v="2023-06-10T00:00:00"/>
    <s v="UNPAID"/>
    <x v="55"/>
    <n v="20166"/>
    <n v="1"/>
    <s v="Indonesia"/>
    <s v="DUG - SKY"/>
    <x v="0"/>
  </r>
  <r>
    <s v="CLICTRUCK-049325"/>
    <s v="domestic"/>
    <x v="151"/>
    <x v="9"/>
    <n v="190000"/>
    <n v="22500"/>
    <m/>
    <s v="DELIVERED"/>
    <x v="9"/>
    <n v="0"/>
    <n v="1"/>
    <s v="Indonesia"/>
    <s v="YSN-SSA"/>
    <x v="1"/>
  </r>
  <r>
    <s v="CLICTRUCK-049326"/>
    <s v="domestic"/>
    <x v="151"/>
    <x v="9"/>
    <n v="190000"/>
    <n v="22500"/>
    <m/>
    <s v="DELIVERED"/>
    <x v="9"/>
    <n v="0"/>
    <n v="1"/>
    <s v="Indonesia"/>
    <s v="YSN-SSA"/>
    <x v="1"/>
  </r>
  <r>
    <s v="CLICTRUCK-049328"/>
    <s v="domestic"/>
    <x v="108"/>
    <x v="41"/>
    <n v="39464800"/>
    <m/>
    <m/>
    <s v="PENDING APPROVAL"/>
    <x v="45"/>
    <n v="0"/>
    <n v="1"/>
    <s v="Indonesia"/>
    <s v="MSE - SKE"/>
    <x v="1"/>
  </r>
  <r>
    <s v="CLICTRUCK-049329"/>
    <s v="domestic"/>
    <x v="108"/>
    <x v="41"/>
    <n v="39464800"/>
    <n v="1095148"/>
    <d v="2023-06-08T00:00:00"/>
    <s v="UNPAID"/>
    <x v="45"/>
    <n v="27750"/>
    <n v="1"/>
    <s v="Indonesia"/>
    <s v="MSE - SKE"/>
    <x v="0"/>
  </r>
  <r>
    <s v="CLICTRUCK-049333"/>
    <s v="domestic"/>
    <x v="108"/>
    <x v="9"/>
    <n v="2000000"/>
    <n v="22500"/>
    <m/>
    <s v="ONGOING"/>
    <x v="8"/>
    <n v="0"/>
    <n v="1"/>
    <s v="Indonesia"/>
    <s v="YSN-FPM"/>
    <x v="1"/>
  </r>
  <r>
    <s v="CLICTRUCK-049334"/>
    <s v="domestic"/>
    <x v="108"/>
    <x v="9"/>
    <n v="190000"/>
    <n v="22500"/>
    <m/>
    <s v="NEW"/>
    <x v="9"/>
    <n v="0"/>
    <n v="1"/>
    <s v="Indonesia"/>
    <s v="YSN-SSA"/>
    <x v="1"/>
  </r>
  <r>
    <s v="CLICTRUCK-049336"/>
    <s v="domestic"/>
    <x v="108"/>
    <x v="9"/>
    <n v="190000"/>
    <n v="22500"/>
    <m/>
    <s v="NEW"/>
    <x v="9"/>
    <n v="0"/>
    <n v="1"/>
    <s v="Indonesia"/>
    <s v="YSN-SSA"/>
    <x v="1"/>
  </r>
  <r>
    <s v="CLICTRUCK-049338"/>
    <s v="domestic"/>
    <x v="109"/>
    <x v="54"/>
    <n v="60000000"/>
    <n v="1665000"/>
    <d v="2023-06-09T00:00:00"/>
    <s v="UNPAID"/>
    <x v="56"/>
    <n v="88800"/>
    <n v="4"/>
    <s v="Indonesia"/>
    <s v="ANIL - BIG"/>
    <x v="0"/>
  </r>
  <r>
    <s v="CLICTRUCK-049341"/>
    <s v="domestic"/>
    <x v="109"/>
    <x v="55"/>
    <n v="14000000"/>
    <n v="27750"/>
    <d v="2023-06-09T00:00:00"/>
    <s v="UNPAID"/>
    <x v="57"/>
    <n v="466200"/>
    <n v="1"/>
    <s v="Indonesia"/>
    <s v="GMI-PLI"/>
    <x v="0"/>
  </r>
  <r>
    <s v="CLICTRUCK-049342"/>
    <s v="domestic"/>
    <x v="109"/>
    <x v="54"/>
    <n v="75000000"/>
    <n v="2081250"/>
    <d v="2023-06-09T00:00:00"/>
    <s v="UNPAID"/>
    <x v="56"/>
    <n v="111000"/>
    <n v="5"/>
    <s v="Indonesia"/>
    <s v="ANIL - BIG"/>
    <x v="0"/>
  </r>
  <r>
    <s v="CLICTRUCK-049345"/>
    <s v="domestic"/>
    <x v="109"/>
    <x v="55"/>
    <n v="17650000"/>
    <n v="27750"/>
    <d v="2023-06-09T00:00:00"/>
    <s v="UNPAID"/>
    <x v="57"/>
    <n v="587745"/>
    <n v="1"/>
    <s v="Indonesia"/>
    <s v="GMI-PLI"/>
    <x v="0"/>
  </r>
  <r>
    <s v="CLICTRUCK-049347"/>
    <s v="domestic"/>
    <x v="109"/>
    <x v="55"/>
    <n v="17650000"/>
    <n v="27750"/>
    <d v="2023-06-09T00:00:00"/>
    <s v="UNPAID"/>
    <x v="57"/>
    <n v="587745"/>
    <n v="1"/>
    <s v="Indonesia"/>
    <s v="GMI-PLI"/>
    <x v="0"/>
  </r>
  <r>
    <s v="CLICTRUCK-049350"/>
    <s v="domestic"/>
    <x v="109"/>
    <x v="55"/>
    <n v="17650000"/>
    <n v="27750"/>
    <d v="2023-06-10T00:00:00"/>
    <s v="UNPAID"/>
    <x v="57"/>
    <n v="587745"/>
    <n v="1"/>
    <s v="Indonesia"/>
    <s v="GMI-PLI"/>
    <x v="0"/>
  </r>
  <r>
    <s v="CLICTRUCK-049351"/>
    <s v="domestic"/>
    <x v="109"/>
    <x v="55"/>
    <n v="17650000"/>
    <n v="27750"/>
    <d v="2023-06-10T00:00:00"/>
    <s v="UNPAID"/>
    <x v="57"/>
    <n v="587745"/>
    <n v="1"/>
    <s v="Indonesia"/>
    <s v="GMI-PLI"/>
    <x v="0"/>
  </r>
  <r>
    <s v="CLICTRUCK-049352"/>
    <s v="domestic"/>
    <x v="109"/>
    <x v="55"/>
    <n v="17650000"/>
    <n v="27750"/>
    <d v="2023-06-10T00:00:00"/>
    <s v="UNPAID"/>
    <x v="57"/>
    <n v="587745"/>
    <n v="1"/>
    <s v="Indonesia"/>
    <s v="GMI-PLI"/>
    <x v="0"/>
  </r>
  <r>
    <s v="CLICTRUCK-049353"/>
    <s v="domestic"/>
    <x v="109"/>
    <x v="55"/>
    <n v="14000000"/>
    <n v="27750"/>
    <d v="2023-06-10T00:00:00"/>
    <s v="UNPAID"/>
    <x v="57"/>
    <n v="466200"/>
    <n v="1"/>
    <s v="Indonesia"/>
    <s v="GMI-PLI"/>
    <x v="0"/>
  </r>
  <r>
    <s v="CLICTRUCK-049354"/>
    <s v="domestic"/>
    <x v="109"/>
    <x v="53"/>
    <n v="780000"/>
    <n v="27750"/>
    <d v="2023-06-10T00:00:00"/>
    <s v="UNPAID"/>
    <x v="55"/>
    <n v="21645"/>
    <n v="1"/>
    <s v="Indonesia"/>
    <s v="DUG - SKY"/>
    <x v="0"/>
  </r>
  <r>
    <s v="CLICTRUCK-049355"/>
    <s v="domestic"/>
    <x v="109"/>
    <x v="53"/>
    <n v="8365000"/>
    <n v="27750"/>
    <d v="2023-06-10T00:00:00"/>
    <s v="UNPAID"/>
    <x v="55"/>
    <n v="232128"/>
    <n v="1"/>
    <s v="Indonesia"/>
    <s v="DUG - SKY"/>
    <x v="0"/>
  </r>
  <r>
    <s v="CLICTRUCK-049356"/>
    <s v="domestic"/>
    <x v="109"/>
    <x v="53"/>
    <n v="825000"/>
    <n v="27750"/>
    <d v="2023-06-10T00:00:00"/>
    <s v="UNPAID"/>
    <x v="55"/>
    <n v="22893"/>
    <n v="1"/>
    <s v="Indonesia"/>
    <s v="DUG - SKY"/>
    <x v="0"/>
  </r>
  <r>
    <s v="CLICTRUCK-049357"/>
    <s v="domestic"/>
    <x v="109"/>
    <x v="53"/>
    <n v="1530000"/>
    <n v="27750"/>
    <d v="2023-06-10T00:00:00"/>
    <s v="UNPAID"/>
    <x v="55"/>
    <n v="42457"/>
    <n v="1"/>
    <s v="Indonesia"/>
    <s v="DUG - SKY"/>
    <x v="0"/>
  </r>
  <r>
    <s v="CLICTRUCK-049358"/>
    <s v="domestic"/>
    <x v="109"/>
    <x v="53"/>
    <n v="480000"/>
    <n v="27750"/>
    <d v="2023-06-10T00:00:00"/>
    <s v="UNPAID"/>
    <x v="55"/>
    <n v="13320"/>
    <n v="1"/>
    <s v="Indonesia"/>
    <s v="DUG - SKY"/>
    <x v="0"/>
  </r>
  <r>
    <s v="CLICTRUCK-049359"/>
    <s v="domestic"/>
    <x v="109"/>
    <x v="53"/>
    <n v="3600000"/>
    <n v="27750"/>
    <d v="2023-06-10T00:00:00"/>
    <s v="UNPAID"/>
    <x v="55"/>
    <n v="99900"/>
    <n v="1"/>
    <s v="Indonesia"/>
    <s v="DUG - SKY"/>
    <x v="0"/>
  </r>
  <r>
    <s v="CLICTRUCK-049360"/>
    <s v="domestic"/>
    <x v="109"/>
    <x v="53"/>
    <n v="3740000"/>
    <n v="27750"/>
    <d v="2023-06-10T00:00:00"/>
    <s v="UNPAID"/>
    <x v="55"/>
    <n v="103785"/>
    <n v="1"/>
    <s v="Indonesia"/>
    <s v="DUG - SKY"/>
    <x v="0"/>
  </r>
  <r>
    <s v="CLICTRUCK-049361"/>
    <s v="domestic"/>
    <x v="109"/>
    <x v="53"/>
    <n v="840000"/>
    <n v="27750"/>
    <d v="2023-06-10T00:00:00"/>
    <s v="UNPAID"/>
    <x v="55"/>
    <n v="23310"/>
    <n v="1"/>
    <s v="Indonesia"/>
    <s v="DUG - SKY"/>
    <x v="0"/>
  </r>
  <r>
    <s v="CLICTRUCK-049362"/>
    <s v="domestic"/>
    <x v="109"/>
    <x v="53"/>
    <n v="2520000"/>
    <n v="27750"/>
    <d v="2023-06-10T00:00:00"/>
    <s v="UNPAID"/>
    <x v="55"/>
    <n v="69930"/>
    <n v="1"/>
    <s v="Indonesia"/>
    <s v="DUG - SKY"/>
    <x v="0"/>
  </r>
  <r>
    <s v="CLICTRUCK-049367"/>
    <s v="domestic"/>
    <x v="109"/>
    <x v="46"/>
    <n v="3200000"/>
    <n v="27750"/>
    <d v="2023-06-10T00:00:00"/>
    <s v="UNPAID"/>
    <x v="49"/>
    <n v="213120"/>
    <n v="1"/>
    <s v="Indonesia"/>
    <s v="KBT - MA"/>
    <x v="0"/>
  </r>
  <r>
    <s v="CLICTRUCK-049370"/>
    <s v="domestic"/>
    <x v="109"/>
    <x v="46"/>
    <n v="2655001"/>
    <n v="27750"/>
    <d v="2023-06-10T00:00:00"/>
    <s v="UNPAID"/>
    <x v="49"/>
    <n v="176823"/>
    <n v="1"/>
    <s v="Indonesia"/>
    <s v="KBT - MA"/>
    <x v="0"/>
  </r>
  <r>
    <s v="CLICTRUCK-049373"/>
    <s v="domestic"/>
    <x v="109"/>
    <x v="17"/>
    <n v="20300000"/>
    <n v="788655"/>
    <d v="2023-06-10T00:00:00"/>
    <s v="UNPAID"/>
    <x v="44"/>
    <n v="27750"/>
    <n v="1"/>
    <s v="Indonesia"/>
    <s v="AJM - RALI"/>
    <x v="0"/>
  </r>
  <r>
    <s v="CLICTRUCK-049374"/>
    <s v="domestic"/>
    <x v="109"/>
    <x v="17"/>
    <n v="20300000"/>
    <n v="788655"/>
    <d v="2023-06-10T00:00:00"/>
    <s v="UNPAID"/>
    <x v="44"/>
    <n v="27750"/>
    <n v="1"/>
    <s v="Indonesia"/>
    <s v="AJM - RALI"/>
    <x v="0"/>
  </r>
  <r>
    <s v="CLICTRUCK-049375"/>
    <s v="domestic"/>
    <x v="109"/>
    <x v="17"/>
    <n v="24600000"/>
    <n v="955710"/>
    <d v="2023-06-10T00:00:00"/>
    <s v="UNPAID"/>
    <x v="44"/>
    <n v="27750"/>
    <n v="1"/>
    <s v="Indonesia"/>
    <s v="AJM - RALI"/>
    <x v="0"/>
  </r>
  <r>
    <s v="CLICTRUCK-049376"/>
    <s v="domestic"/>
    <x v="109"/>
    <x v="17"/>
    <n v="24600000"/>
    <n v="955710"/>
    <d v="2023-06-10T00:00:00"/>
    <s v="UNPAID"/>
    <x v="44"/>
    <n v="27750"/>
    <n v="1"/>
    <s v="Indonesia"/>
    <s v="AJM - RALI"/>
    <x v="0"/>
  </r>
  <r>
    <s v="CLICTRUCK-049377"/>
    <s v="domestic"/>
    <x v="109"/>
    <x v="17"/>
    <n v="24800000"/>
    <m/>
    <m/>
    <s v="ONGOING"/>
    <x v="44"/>
    <n v="0"/>
    <n v="1"/>
    <s v="Indonesia"/>
    <s v="AJM - RALI"/>
    <x v="1"/>
  </r>
  <r>
    <s v="CLICTRUCK-049378"/>
    <s v="domestic"/>
    <x v="109"/>
    <x v="17"/>
    <n v="20300000"/>
    <n v="788655"/>
    <d v="2023-06-10T00:00:00"/>
    <s v="UNPAID"/>
    <x v="44"/>
    <n v="27750"/>
    <n v="1"/>
    <s v="Indonesia"/>
    <s v="AJM - RALI"/>
    <x v="0"/>
  </r>
  <r>
    <s v="CLICTRUCK-049379"/>
    <s v="domestic"/>
    <x v="109"/>
    <x v="17"/>
    <n v="24600000"/>
    <n v="955710"/>
    <d v="2023-06-10T00:00:00"/>
    <s v="UNPAID"/>
    <x v="44"/>
    <n v="27750"/>
    <n v="1"/>
    <s v="Indonesia"/>
    <s v="AJM - RALI"/>
    <x v="0"/>
  </r>
  <r>
    <s v="CLICTRUCK-049380"/>
    <s v="domestic"/>
    <x v="109"/>
    <x v="17"/>
    <n v="20300000"/>
    <n v="788655"/>
    <d v="2023-06-10T00:00:00"/>
    <s v="UNPAID"/>
    <x v="44"/>
    <n v="27750"/>
    <n v="1"/>
    <s v="Indonesia"/>
    <s v="AJM - RALI"/>
    <x v="0"/>
  </r>
  <r>
    <s v="CLICTRUCK-049381"/>
    <s v="domestic"/>
    <x v="109"/>
    <x v="17"/>
    <n v="20300000"/>
    <n v="788655"/>
    <d v="2023-06-10T00:00:00"/>
    <s v="UNPAID"/>
    <x v="44"/>
    <n v="27750"/>
    <n v="1"/>
    <s v="Indonesia"/>
    <s v="AJM - RALI"/>
    <x v="0"/>
  </r>
  <r>
    <s v="CLICTRUCK-049397"/>
    <s v="domestic"/>
    <x v="110"/>
    <x v="40"/>
    <n v="98000000"/>
    <n v="6526800"/>
    <d v="2023-06-11T00:00:00"/>
    <s v="UNPAID"/>
    <x v="43"/>
    <n v="27750"/>
    <n v="1"/>
    <s v="Indonesia"/>
    <s v="JSN - NCY"/>
    <x v="0"/>
  </r>
  <r>
    <s v="CLICTRUCK-049398"/>
    <s v="domestic"/>
    <x v="110"/>
    <x v="40"/>
    <n v="98000000"/>
    <n v="6526800"/>
    <d v="2023-06-11T00:00:00"/>
    <s v="UNPAID"/>
    <x v="43"/>
    <n v="27750"/>
    <n v="1"/>
    <s v="Indonesia"/>
    <s v="JSN - NC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D9864-D7BC-4D59-956F-74FCF17FD44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8" firstHeaderRow="1" firstDataRow="1" firstDataCol="1" rowPageCount="1" colPageCount="1"/>
  <pivotFields count="16">
    <pivotField compact="0" outline="0" showAll="0" defaultSubtotal="0"/>
    <pivotField compact="0" outline="0" showAll="0" defaultSubtotal="0"/>
    <pivotField compact="0" numFmtId="14" outline="0" showAll="0" defaultSubtotal="0">
      <items count="152">
        <item x="112"/>
        <item x="0"/>
        <item x="1"/>
        <item x="2"/>
        <item x="113"/>
        <item x="3"/>
        <item x="4"/>
        <item x="114"/>
        <item x="5"/>
        <item x="6"/>
        <item x="7"/>
        <item x="8"/>
        <item x="9"/>
        <item x="115"/>
        <item x="116"/>
        <item x="10"/>
        <item x="11"/>
        <item x="12"/>
        <item x="13"/>
        <item x="14"/>
        <item x="15"/>
        <item x="117"/>
        <item x="16"/>
        <item x="118"/>
        <item x="17"/>
        <item x="18"/>
        <item x="19"/>
        <item x="20"/>
        <item x="21"/>
        <item x="22"/>
        <item x="23"/>
        <item x="24"/>
        <item x="25"/>
        <item x="26"/>
        <item x="119"/>
        <item x="27"/>
        <item x="28"/>
        <item x="29"/>
        <item x="30"/>
        <item x="31"/>
        <item x="12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21"/>
        <item x="46"/>
        <item x="47"/>
        <item x="48"/>
        <item x="49"/>
        <item x="122"/>
        <item x="50"/>
        <item x="51"/>
        <item x="52"/>
        <item x="53"/>
        <item x="123"/>
        <item x="54"/>
        <item x="55"/>
        <item x="56"/>
        <item x="57"/>
        <item x="58"/>
        <item x="124"/>
        <item x="59"/>
        <item x="60"/>
        <item x="61"/>
        <item x="125"/>
        <item x="62"/>
        <item x="63"/>
        <item x="64"/>
        <item x="65"/>
        <item x="66"/>
        <item x="67"/>
        <item x="68"/>
        <item x="69"/>
        <item x="70"/>
        <item x="71"/>
        <item x="12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127"/>
        <item x="128"/>
        <item x="129"/>
        <item x="130"/>
        <item x="131"/>
        <item x="90"/>
        <item x="132"/>
        <item x="133"/>
        <item x="134"/>
        <item x="135"/>
        <item x="91"/>
        <item x="136"/>
        <item x="137"/>
        <item x="138"/>
        <item x="92"/>
        <item x="93"/>
        <item x="94"/>
        <item x="95"/>
        <item x="139"/>
        <item x="140"/>
        <item x="96"/>
        <item x="141"/>
        <item x="142"/>
        <item x="143"/>
        <item x="144"/>
        <item x="145"/>
        <item x="146"/>
        <item x="97"/>
        <item x="98"/>
        <item x="99"/>
        <item x="100"/>
        <item x="148"/>
        <item x="149"/>
        <item x="101"/>
        <item x="147"/>
        <item x="102"/>
        <item x="103"/>
        <item x="104"/>
        <item x="105"/>
        <item x="150"/>
        <item x="106"/>
        <item x="107"/>
        <item x="151"/>
        <item x="108"/>
        <item x="109"/>
        <item x="110"/>
        <item x="111"/>
      </items>
    </pivotField>
    <pivotField axis="axisRow" compact="0" outline="0" showAll="0" defaultSubtotal="0">
      <items count="56">
        <item x="43"/>
        <item x="48"/>
        <item x="42"/>
        <item x="47"/>
        <item x="46"/>
        <item x="21"/>
        <item x="19"/>
        <item x="0"/>
        <item x="27"/>
        <item x="22"/>
        <item x="20"/>
        <item x="54"/>
        <item x="17"/>
        <item x="18"/>
        <item x="4"/>
        <item x="35"/>
        <item x="53"/>
        <item x="15"/>
        <item x="6"/>
        <item x="3"/>
        <item x="1"/>
        <item x="37"/>
        <item x="8"/>
        <item x="5"/>
        <item x="55"/>
        <item x="23"/>
        <item x="7"/>
        <item x="40"/>
        <item x="13"/>
        <item x="29"/>
        <item x="16"/>
        <item x="45"/>
        <item x="38"/>
        <item x="36"/>
        <item x="50"/>
        <item x="24"/>
        <item x="52"/>
        <item x="41"/>
        <item x="34"/>
        <item x="49"/>
        <item x="2"/>
        <item x="26"/>
        <item x="31"/>
        <item x="12"/>
        <item x="30"/>
        <item x="25"/>
        <item x="51"/>
        <item x="39"/>
        <item x="32"/>
        <item x="14"/>
        <item x="11"/>
        <item x="44"/>
        <item x="28"/>
        <item x="33"/>
        <item x="9"/>
        <item x="10"/>
      </items>
    </pivotField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2">
        <item h="1" x="0"/>
        <item x="1"/>
      </items>
    </pivotField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name="Month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35">
    <i>
      <x v="1"/>
    </i>
    <i>
      <x v="2"/>
    </i>
    <i>
      <x v="6"/>
    </i>
    <i>
      <x v="7"/>
    </i>
    <i>
      <x v="8"/>
    </i>
    <i>
      <x v="10"/>
    </i>
    <i>
      <x v="12"/>
    </i>
    <i>
      <x v="14"/>
    </i>
    <i>
      <x v="15"/>
    </i>
    <i>
      <x v="19"/>
    </i>
    <i>
      <x v="20"/>
    </i>
    <i>
      <x v="21"/>
    </i>
    <i>
      <x v="22"/>
    </i>
    <i>
      <x v="25"/>
    </i>
    <i>
      <x v="28"/>
    </i>
    <i>
      <x v="29"/>
    </i>
    <i>
      <x v="30"/>
    </i>
    <i>
      <x v="32"/>
    </i>
    <i>
      <x v="34"/>
    </i>
    <i>
      <x v="35"/>
    </i>
    <i>
      <x v="37"/>
    </i>
    <i>
      <x v="38"/>
    </i>
    <i>
      <x v="39"/>
    </i>
    <i>
      <x v="41"/>
    </i>
    <i>
      <x v="42"/>
    </i>
    <i>
      <x v="44"/>
    </i>
    <i>
      <x v="45"/>
    </i>
    <i>
      <x v="46"/>
    </i>
    <i>
      <x v="47"/>
    </i>
    <i>
      <x v="48"/>
    </i>
    <i>
      <x v="51"/>
    </i>
    <i>
      <x v="52"/>
    </i>
    <i>
      <x v="54"/>
    </i>
    <i>
      <x v="55"/>
    </i>
    <i t="grand">
      <x/>
    </i>
  </rowItems>
  <colItems count="1">
    <i/>
  </colItems>
  <pageFields count="1">
    <pageField fld="13" hier="-1"/>
  </pageFields>
  <dataFields count="1">
    <dataField name="Sum of JML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5F159-BF2A-4503-9E51-EDD4E665224B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B105" firstHeaderRow="1" firstDataRow="1" firstDataCol="1" rowPageCount="1" colPageCount="1"/>
  <pivotFields count="16">
    <pivotField showAll="0"/>
    <pivotField showAll="0"/>
    <pivotField numFmtId="14" showAll="0">
      <items count="153">
        <item x="112"/>
        <item x="0"/>
        <item x="1"/>
        <item x="2"/>
        <item x="113"/>
        <item x="3"/>
        <item x="4"/>
        <item x="114"/>
        <item x="5"/>
        <item x="6"/>
        <item x="7"/>
        <item x="8"/>
        <item x="9"/>
        <item x="115"/>
        <item x="116"/>
        <item x="10"/>
        <item x="11"/>
        <item x="12"/>
        <item x="13"/>
        <item x="14"/>
        <item x="15"/>
        <item x="117"/>
        <item x="16"/>
        <item x="118"/>
        <item x="17"/>
        <item x="18"/>
        <item x="19"/>
        <item x="20"/>
        <item x="21"/>
        <item x="22"/>
        <item x="23"/>
        <item x="24"/>
        <item x="25"/>
        <item x="26"/>
        <item x="119"/>
        <item x="27"/>
        <item x="28"/>
        <item x="29"/>
        <item x="30"/>
        <item x="31"/>
        <item x="12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21"/>
        <item x="46"/>
        <item x="47"/>
        <item x="48"/>
        <item x="49"/>
        <item x="122"/>
        <item x="50"/>
        <item x="51"/>
        <item x="52"/>
        <item x="53"/>
        <item x="123"/>
        <item x="54"/>
        <item x="55"/>
        <item x="56"/>
        <item x="57"/>
        <item x="58"/>
        <item x="124"/>
        <item x="59"/>
        <item x="60"/>
        <item x="61"/>
        <item x="125"/>
        <item x="62"/>
        <item x="63"/>
        <item x="64"/>
        <item x="65"/>
        <item x="66"/>
        <item x="67"/>
        <item x="68"/>
        <item x="69"/>
        <item x="70"/>
        <item x="71"/>
        <item x="12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127"/>
        <item x="128"/>
        <item x="129"/>
        <item x="130"/>
        <item x="131"/>
        <item x="90"/>
        <item x="132"/>
        <item x="133"/>
        <item x="134"/>
        <item x="135"/>
        <item x="91"/>
        <item x="136"/>
        <item x="137"/>
        <item x="138"/>
        <item x="92"/>
        <item x="93"/>
        <item x="94"/>
        <item x="95"/>
        <item x="139"/>
        <item x="140"/>
        <item x="96"/>
        <item x="141"/>
        <item x="142"/>
        <item x="143"/>
        <item x="144"/>
        <item x="145"/>
        <item x="146"/>
        <item x="97"/>
        <item x="98"/>
        <item x="99"/>
        <item x="100"/>
        <item x="148"/>
        <item x="149"/>
        <item x="101"/>
        <item x="147"/>
        <item x="102"/>
        <item x="103"/>
        <item x="104"/>
        <item x="105"/>
        <item x="150"/>
        <item x="106"/>
        <item x="107"/>
        <item x="151"/>
        <item x="108"/>
        <item x="109"/>
        <item x="110"/>
        <item x="111"/>
        <item t="default"/>
      </items>
    </pivotField>
    <pivotField axis="axisRow" showAll="0">
      <items count="57">
        <item x="43"/>
        <item x="48"/>
        <item x="42"/>
        <item x="47"/>
        <item x="46"/>
        <item x="21"/>
        <item x="19"/>
        <item x="0"/>
        <item x="27"/>
        <item x="22"/>
        <item x="20"/>
        <item x="54"/>
        <item x="17"/>
        <item x="18"/>
        <item x="4"/>
        <item x="35"/>
        <item x="53"/>
        <item x="15"/>
        <item x="6"/>
        <item x="3"/>
        <item x="1"/>
        <item x="37"/>
        <item x="8"/>
        <item x="5"/>
        <item x="55"/>
        <item x="23"/>
        <item x="7"/>
        <item x="40"/>
        <item x="13"/>
        <item x="29"/>
        <item x="16"/>
        <item x="45"/>
        <item x="38"/>
        <item x="36"/>
        <item x="50"/>
        <item x="24"/>
        <item x="52"/>
        <item x="41"/>
        <item x="34"/>
        <item x="49"/>
        <item x="2"/>
        <item x="26"/>
        <item x="31"/>
        <item x="12"/>
        <item x="30"/>
        <item x="25"/>
        <item x="51"/>
        <item x="39"/>
        <item x="32"/>
        <item x="14"/>
        <item x="11"/>
        <item x="44"/>
        <item x="28"/>
        <item x="33"/>
        <item x="9"/>
        <item x="10"/>
        <item t="default"/>
      </items>
    </pivotField>
    <pivotField numFmtId="166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pageFields count="1">
    <pageField fld="13" hier="-1"/>
  </pageFields>
  <dataFields count="1">
    <dataField name="Sum of JML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AEB28-5C35-42FA-BDBE-0F7EF3AF6F6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olHeaderCaption="Month">
  <location ref="A3:C95" firstHeaderRow="1" firstDataRow="1" firstDataCol="2"/>
  <pivotFields count="16">
    <pivotField compact="0" outline="0" showAll="0" defaultSubtotal="0"/>
    <pivotField compact="0" outline="0" showAll="0" defaultSubtotal="0"/>
    <pivotField dataField="1" compact="0" numFmtId="14" outline="0" showAll="0" maxSubtotal="1">
      <items count="153">
        <item x="112"/>
        <item x="0"/>
        <item x="1"/>
        <item x="2"/>
        <item x="113"/>
        <item x="3"/>
        <item x="4"/>
        <item x="114"/>
        <item x="5"/>
        <item x="6"/>
        <item x="7"/>
        <item x="8"/>
        <item x="9"/>
        <item x="115"/>
        <item x="116"/>
        <item x="10"/>
        <item x="11"/>
        <item x="12"/>
        <item x="13"/>
        <item x="14"/>
        <item x="15"/>
        <item x="117"/>
        <item x="16"/>
        <item x="118"/>
        <item x="17"/>
        <item x="18"/>
        <item x="19"/>
        <item x="20"/>
        <item x="21"/>
        <item x="22"/>
        <item x="23"/>
        <item x="24"/>
        <item x="25"/>
        <item x="26"/>
        <item x="119"/>
        <item x="27"/>
        <item x="28"/>
        <item x="29"/>
        <item x="30"/>
        <item x="31"/>
        <item x="12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21"/>
        <item x="46"/>
        <item x="47"/>
        <item x="48"/>
        <item x="49"/>
        <item x="122"/>
        <item x="50"/>
        <item x="51"/>
        <item x="52"/>
        <item x="53"/>
        <item x="123"/>
        <item x="54"/>
        <item x="55"/>
        <item x="56"/>
        <item x="57"/>
        <item x="58"/>
        <item x="124"/>
        <item x="59"/>
        <item x="60"/>
        <item x="61"/>
        <item x="125"/>
        <item x="62"/>
        <item x="63"/>
        <item x="64"/>
        <item x="65"/>
        <item x="66"/>
        <item x="67"/>
        <item x="68"/>
        <item x="69"/>
        <item x="70"/>
        <item x="71"/>
        <item x="12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127"/>
        <item x="128"/>
        <item x="129"/>
        <item x="130"/>
        <item x="131"/>
        <item x="90"/>
        <item x="132"/>
        <item x="133"/>
        <item x="134"/>
        <item x="135"/>
        <item x="91"/>
        <item x="136"/>
        <item x="137"/>
        <item x="138"/>
        <item x="92"/>
        <item x="93"/>
        <item x="94"/>
        <item x="95"/>
        <item x="139"/>
        <item x="140"/>
        <item x="96"/>
        <item x="141"/>
        <item x="142"/>
        <item x="143"/>
        <item x="144"/>
        <item x="145"/>
        <item x="146"/>
        <item x="97"/>
        <item x="98"/>
        <item x="99"/>
        <item x="100"/>
        <item x="148"/>
        <item x="149"/>
        <item x="101"/>
        <item x="147"/>
        <item x="102"/>
        <item x="103"/>
        <item x="104"/>
        <item x="105"/>
        <item x="150"/>
        <item x="106"/>
        <item x="107"/>
        <item x="151"/>
        <item x="108"/>
        <item x="109"/>
        <item x="110"/>
        <item x="111"/>
        <item t="max"/>
      </items>
    </pivotField>
    <pivotField compact="0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8">
        <item x="50"/>
        <item x="36"/>
        <item x="8"/>
        <item x="22"/>
        <item x="48"/>
        <item x="13"/>
        <item x="43"/>
        <item x="20"/>
        <item x="53"/>
        <item x="55"/>
        <item x="9"/>
        <item x="4"/>
        <item x="11"/>
        <item x="0"/>
        <item x="6"/>
        <item x="47"/>
        <item x="7"/>
        <item x="23"/>
        <item x="29"/>
        <item x="16"/>
        <item x="3"/>
        <item x="56"/>
        <item x="37"/>
        <item x="25"/>
        <item x="31"/>
        <item x="39"/>
        <item x="32"/>
        <item x="2"/>
        <item x="42"/>
        <item x="18"/>
        <item x="35"/>
        <item x="49"/>
        <item x="12"/>
        <item x="38"/>
        <item x="19"/>
        <item x="46"/>
        <item x="26"/>
        <item x="34"/>
        <item x="15"/>
        <item x="5"/>
        <item x="24"/>
        <item x="14"/>
        <item x="57"/>
        <item x="44"/>
        <item x="17"/>
        <item x="51"/>
        <item x="41"/>
        <item x="33"/>
        <item x="54"/>
        <item x="1"/>
        <item x="28"/>
        <item x="45"/>
        <item x="40"/>
        <item x="52"/>
        <item x="27"/>
        <item x="21"/>
        <item x="30"/>
        <item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name="Months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3"/>
    <field x="8"/>
  </rowFields>
  <rowItems count="9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1"/>
      <x v="1"/>
    </i>
    <i r="1">
      <x v="2"/>
    </i>
    <i r="1">
      <x v="3"/>
    </i>
    <i r="1">
      <x v="4"/>
    </i>
    <i r="1">
      <x v="8"/>
    </i>
    <i r="1">
      <x v="10"/>
    </i>
    <i r="1">
      <x v="13"/>
    </i>
    <i r="1">
      <x v="16"/>
    </i>
    <i r="1">
      <x v="18"/>
    </i>
    <i r="1">
      <x v="20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0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t="grand">
      <x/>
    </i>
  </rowItems>
  <colItems count="1">
    <i/>
  </colItems>
  <dataFields count="1">
    <dataField name="Max of Booking Date'" fld="2" subtotal="max" baseField="8" baseItem="25" numFmtId="14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19353-A1AE-4E19-A55E-655CE67035F9}" name="Table1" displayName="Table1" ref="A1:N5753" dataDxfId="15">
  <autoFilter ref="A1:N5753" xr:uid="{BEB19353-A1AE-4E19-A55E-655CE67035F9}"/>
  <sortState xmlns:xlrd2="http://schemas.microsoft.com/office/spreadsheetml/2017/richdata2" ref="A2:M2">
    <sortCondition descending="1" ref="C1:C2"/>
  </sortState>
  <tableColumns count="14">
    <tableColumn id="1" xr3:uid="{1BDA91F8-3CDE-4605-B489-9D7E5EC05559}" name="Order Number" totalsRowLabel="Total" dataDxfId="14"/>
    <tableColumn id="2" xr3:uid="{2FF28BA8-C530-4A72-B1AE-FE72E046E446}" name="Type" dataDxfId="13"/>
    <tableColumn id="3" xr3:uid="{4FF342C5-E3A2-48C7-B292-8213E38B446C}" name="Booking Date'" dataDxfId="12"/>
    <tableColumn id="4" xr3:uid="{FD57ED5B-99AA-4434-8AD5-8235EDF8776C}" name="Cargo Owner" dataDxfId="11"/>
    <tableColumn id="5" xr3:uid="{A7EAF2E9-77FD-4D2E-B6B9-7C4427608F60}" name="Debit Note" totalsRowFunction="sum" dataDxfId="10" totalsRowDxfId="9" dataCellStyle="Currency"/>
    <tableColumn id="6" xr3:uid="{5476DD48-4BF6-43F6-826F-6344B9BAD5C4}" name="CO Platform Fee" dataDxfId="8" dataCellStyle="Currency"/>
    <tableColumn id="7" xr3:uid="{12B79C71-2CF4-49F7-B01F-B9D1C5BD3E1A}" name="Invoice Date" dataDxfId="7"/>
    <tableColumn id="8" xr3:uid="{6D6A0F62-2746-4CB0-A1F6-CC88B04EFE1E}" name="Status" dataDxfId="6"/>
    <tableColumn id="9" xr3:uid="{A931A171-E6B5-4CE9-B2B6-01BF25F0E3F2}" name="Trucking Vendor" dataDxfId="5"/>
    <tableColumn id="10" xr3:uid="{408BB5D6-F627-4AE5-8DB2-2E357B7BB916}" name="TV Platform Fee" dataDxfId="4" dataCellStyle="Currency"/>
    <tableColumn id="11" xr3:uid="{1047E8C3-956E-4F33-9260-7816368D353C}" name="JML" dataDxfId="3"/>
    <tableColumn id="12" xr3:uid="{2904DE65-4DEB-4071-A208-1FDC6724723A}" name="Country" dataDxfId="2"/>
    <tableColumn id="13" xr3:uid="{4E975D73-687D-44B3-84BE-B04A4E8A4EB5}" name="Contract ID" totalsRowFunction="count" dataDxfId="1"/>
    <tableColumn id="14" xr3:uid="{1931F874-4067-4769-853A-F0FACAC60521}" name="Status 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2F08-9B70-4C1F-8F6C-E3F27BC4745A}">
  <dimension ref="A1:AB312"/>
  <sheetViews>
    <sheetView tabSelected="1" workbookViewId="0">
      <pane xSplit="2" ySplit="1" topLeftCell="C272" activePane="bottomRight" state="frozen"/>
      <selection pane="topRight" activeCell="C1" sqref="C1"/>
      <selection pane="bottomLeft" activeCell="A2" sqref="A2"/>
      <selection pane="bottomRight" activeCell="A120" sqref="A120:B120"/>
    </sheetView>
  </sheetViews>
  <sheetFormatPr baseColWidth="10" defaultColWidth="8.83203125" defaultRowHeight="15" x14ac:dyDescent="0.2"/>
  <cols>
    <col min="1" max="1" width="10.83203125" bestFit="1" customWidth="1"/>
    <col min="2" max="2" width="37.1640625" customWidth="1"/>
    <col min="3" max="3" width="21" customWidth="1"/>
    <col min="4" max="4" width="17" bestFit="1" customWidth="1"/>
    <col min="5" max="15" width="17" customWidth="1"/>
    <col min="16" max="16" width="19.83203125" bestFit="1" customWidth="1"/>
    <col min="17" max="17" width="16.1640625" style="7" bestFit="1" customWidth="1"/>
    <col min="18" max="18" width="23.83203125" bestFit="1" customWidth="1"/>
    <col min="19" max="19" width="16.5" customWidth="1"/>
    <col min="20" max="20" width="18.5" hidden="1" customWidth="1"/>
    <col min="21" max="21" width="18.33203125" hidden="1" customWidth="1"/>
    <col min="22" max="22" width="15.5" hidden="1" customWidth="1"/>
    <col min="23" max="23" width="19.5" hidden="1" customWidth="1"/>
    <col min="24" max="24" width="17.1640625" hidden="1" customWidth="1"/>
    <col min="25" max="25" width="11.5" customWidth="1"/>
    <col min="26" max="26" width="2" customWidth="1"/>
    <col min="27" max="27" width="41.5" bestFit="1" customWidth="1"/>
    <col min="28" max="28" width="41.1640625" bestFit="1" customWidth="1"/>
  </cols>
  <sheetData>
    <row r="1" spans="1:28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7926</v>
      </c>
      <c r="F1" s="23" t="s">
        <v>7927</v>
      </c>
      <c r="G1" s="23" t="s">
        <v>7928</v>
      </c>
      <c r="H1" s="23" t="s">
        <v>7929</v>
      </c>
      <c r="I1" s="23" t="s">
        <v>7930</v>
      </c>
      <c r="J1" s="23" t="s">
        <v>7931</v>
      </c>
      <c r="K1" s="23" t="s">
        <v>7932</v>
      </c>
      <c r="L1" s="23" t="s">
        <v>7933</v>
      </c>
      <c r="M1" s="23" t="s">
        <v>7934</v>
      </c>
      <c r="N1" s="23" t="s">
        <v>7935</v>
      </c>
      <c r="O1" s="23" t="s">
        <v>7936</v>
      </c>
      <c r="P1" s="25" t="s">
        <v>930</v>
      </c>
      <c r="Q1" s="27" t="s">
        <v>931</v>
      </c>
      <c r="R1" s="25" t="s">
        <v>932</v>
      </c>
      <c r="S1" s="29"/>
      <c r="T1" s="24" t="s">
        <v>1048</v>
      </c>
      <c r="U1" s="24" t="s">
        <v>6883</v>
      </c>
      <c r="V1" s="24" t="s">
        <v>1047</v>
      </c>
      <c r="W1" s="24" t="s">
        <v>6885</v>
      </c>
      <c r="X1" s="24" t="s">
        <v>6886</v>
      </c>
      <c r="Y1" s="24" t="s">
        <v>6888</v>
      </c>
      <c r="AA1" s="26" t="s">
        <v>7937</v>
      </c>
      <c r="AB1" s="26" t="s">
        <v>8074</v>
      </c>
    </row>
    <row r="2" spans="1:28" x14ac:dyDescent="0.2">
      <c r="A2" s="1" t="s">
        <v>103</v>
      </c>
      <c r="B2" s="1" t="s">
        <v>104</v>
      </c>
      <c r="C2" s="1" t="s">
        <v>13</v>
      </c>
      <c r="D2" s="1" t="s">
        <v>105</v>
      </c>
      <c r="E2" s="1" t="s">
        <v>6892</v>
      </c>
      <c r="F2" s="1" t="s">
        <v>473</v>
      </c>
      <c r="G2" s="1" t="s">
        <v>473</v>
      </c>
      <c r="H2" s="1" t="s">
        <v>473</v>
      </c>
      <c r="I2" s="1" t="s">
        <v>473</v>
      </c>
      <c r="J2" s="1" t="s">
        <v>473</v>
      </c>
      <c r="K2" s="1" t="s">
        <v>473</v>
      </c>
      <c r="L2" s="1" t="s">
        <v>473</v>
      </c>
      <c r="M2" s="1" t="s">
        <v>473</v>
      </c>
      <c r="N2" s="1" t="s">
        <v>6893</v>
      </c>
      <c r="O2" s="1" t="s">
        <v>6894</v>
      </c>
      <c r="P2" s="1">
        <v>0</v>
      </c>
      <c r="Q2" s="28">
        <v>0</v>
      </c>
      <c r="R2" s="1">
        <v>0</v>
      </c>
      <c r="S2" s="1"/>
      <c r="T2" s="10" t="str">
        <f>_xlfn.IFNA(VLOOKUP(B2,Sheet2!$A$2:$M$58,4,0),"-")</f>
        <v>-</v>
      </c>
      <c r="U2" s="10" t="str">
        <f>_xlfn.IFNA(VLOOKUP(B2,'TV Trx'!$B$4:$C$57,2,0),"-")</f>
        <v>-</v>
      </c>
      <c r="V2" s="10" t="str">
        <f t="shared" ref="V2:V22" si="0">IF(C2="ACC_TYPE_CO",T2,U2)</f>
        <v>-</v>
      </c>
      <c r="W2" s="1" t="str">
        <f>_xlfn.IFNA(VLOOKUP(B2,'CO Trx'!$A$4:$B$37,2,0),"-")</f>
        <v>-</v>
      </c>
      <c r="X2" s="1" t="str">
        <f>_xlfn.IFNA(VLOOKUP(B2,'CO Trx'!$A$49:$B$104,2,0),"-")</f>
        <v>-</v>
      </c>
      <c r="Y2" s="21" t="s">
        <v>6890</v>
      </c>
    </row>
    <row r="3" spans="1:28" x14ac:dyDescent="0.2">
      <c r="A3" s="1" t="s">
        <v>570</v>
      </c>
      <c r="B3" s="1" t="s">
        <v>571</v>
      </c>
      <c r="C3" s="1" t="s">
        <v>13</v>
      </c>
      <c r="D3" s="1" t="s">
        <v>572</v>
      </c>
      <c r="E3" s="1" t="s">
        <v>6895</v>
      </c>
      <c r="F3" s="1" t="s">
        <v>473</v>
      </c>
      <c r="G3" s="1" t="s">
        <v>473</v>
      </c>
      <c r="H3" s="1" t="s">
        <v>6896</v>
      </c>
      <c r="I3" s="1" t="s">
        <v>6897</v>
      </c>
      <c r="J3" s="1" t="s">
        <v>6898</v>
      </c>
      <c r="K3" s="1" t="s">
        <v>473</v>
      </c>
      <c r="L3" s="1" t="s">
        <v>6899</v>
      </c>
      <c r="M3" s="1" t="s">
        <v>473</v>
      </c>
      <c r="N3" s="1" t="s">
        <v>6900</v>
      </c>
      <c r="O3" s="1" t="s">
        <v>6901</v>
      </c>
      <c r="P3" s="1">
        <v>0</v>
      </c>
      <c r="Q3" s="28">
        <v>0</v>
      </c>
      <c r="R3" s="1">
        <v>0</v>
      </c>
      <c r="S3" s="1"/>
      <c r="T3" s="10" t="str">
        <f>_xlfn.IFNA(VLOOKUP(B3,Sheet2!$A$2:$M$58,4,0),"-")</f>
        <v>-</v>
      </c>
      <c r="U3" s="10" t="str">
        <f>_xlfn.IFNA(VLOOKUP(B3,'TV Trx'!$B$4:$C$57,2,0),"-")</f>
        <v>-</v>
      </c>
      <c r="V3" s="10" t="str">
        <f t="shared" si="0"/>
        <v>-</v>
      </c>
      <c r="W3" s="1" t="str">
        <f>_xlfn.IFNA(VLOOKUP(B3,'CO Trx'!$A$4:$B$37,2,0),"-")</f>
        <v>-</v>
      </c>
      <c r="X3" s="1" t="str">
        <f>_xlfn.IFNA(VLOOKUP(B3,'CO Trx'!$A$49:$B$104,2,0),"-")</f>
        <v>-</v>
      </c>
      <c r="Y3" s="21" t="s">
        <v>6890</v>
      </c>
    </row>
    <row r="4" spans="1:28" x14ac:dyDescent="0.2">
      <c r="A4" s="1" t="s">
        <v>772</v>
      </c>
      <c r="B4" s="1" t="s">
        <v>773</v>
      </c>
      <c r="C4" s="1" t="s">
        <v>13</v>
      </c>
      <c r="D4" s="1" t="s">
        <v>774</v>
      </c>
      <c r="E4" s="1" t="s">
        <v>6902</v>
      </c>
      <c r="F4" s="1" t="s">
        <v>473</v>
      </c>
      <c r="G4" s="1" t="s">
        <v>473</v>
      </c>
      <c r="H4" s="1" t="s">
        <v>6903</v>
      </c>
      <c r="I4" s="1" t="s">
        <v>6904</v>
      </c>
      <c r="J4" s="1" t="s">
        <v>6905</v>
      </c>
      <c r="K4" s="1" t="s">
        <v>473</v>
      </c>
      <c r="L4" s="1" t="s">
        <v>6906</v>
      </c>
      <c r="M4" s="1" t="s">
        <v>473</v>
      </c>
      <c r="N4" s="1" t="s">
        <v>6907</v>
      </c>
      <c r="O4" s="1" t="s">
        <v>6908</v>
      </c>
      <c r="P4" s="1">
        <v>0</v>
      </c>
      <c r="Q4" s="28">
        <v>0</v>
      </c>
      <c r="R4" s="1">
        <v>0</v>
      </c>
      <c r="S4" s="1"/>
      <c r="T4" s="10" t="str">
        <f>_xlfn.IFNA(VLOOKUP(B4,Sheet2!$A$2:$M$58,4,0),"-")</f>
        <v>-</v>
      </c>
      <c r="U4" s="10" t="str">
        <f>_xlfn.IFNA(VLOOKUP(B4,'TV Trx'!$B$4:$C$57,2,0),"-")</f>
        <v>-</v>
      </c>
      <c r="V4" s="10" t="str">
        <f t="shared" si="0"/>
        <v>-</v>
      </c>
      <c r="W4" s="1" t="str">
        <f>_xlfn.IFNA(VLOOKUP(B4,'CO Trx'!$A$4:$B$37,2,0),"-")</f>
        <v>-</v>
      </c>
      <c r="X4" s="1" t="str">
        <f>_xlfn.IFNA(VLOOKUP(B4,'CO Trx'!$A$49:$B$104,2,0),"-")</f>
        <v>-</v>
      </c>
      <c r="Y4" s="21" t="s">
        <v>6890</v>
      </c>
    </row>
    <row r="5" spans="1:28" x14ac:dyDescent="0.2">
      <c r="A5" s="1" t="s">
        <v>28</v>
      </c>
      <c r="B5" s="1" t="s">
        <v>29</v>
      </c>
      <c r="C5" s="1" t="s">
        <v>6</v>
      </c>
      <c r="D5" s="1" t="s">
        <v>30</v>
      </c>
      <c r="E5" s="1" t="s">
        <v>6909</v>
      </c>
      <c r="F5" s="1" t="s">
        <v>473</v>
      </c>
      <c r="G5" s="1" t="s">
        <v>473</v>
      </c>
      <c r="H5" s="1" t="s">
        <v>6910</v>
      </c>
      <c r="I5" s="1" t="s">
        <v>6911</v>
      </c>
      <c r="J5" s="1" t="s">
        <v>6912</v>
      </c>
      <c r="K5" s="1" t="s">
        <v>473</v>
      </c>
      <c r="L5" s="1" t="s">
        <v>6913</v>
      </c>
      <c r="M5" s="1" t="s">
        <v>473</v>
      </c>
      <c r="N5" s="1" t="s">
        <v>6914</v>
      </c>
      <c r="O5" s="1" t="s">
        <v>6915</v>
      </c>
      <c r="P5" s="1">
        <v>0</v>
      </c>
      <c r="Q5" s="28">
        <v>0</v>
      </c>
      <c r="R5" s="1">
        <v>0</v>
      </c>
      <c r="S5" s="1"/>
      <c r="T5" s="10" t="str">
        <f>_xlfn.IFNA(VLOOKUP(B5,Sheet2!$A$2:$M$58,4,0),"-")</f>
        <v>-</v>
      </c>
      <c r="U5" s="10" t="str">
        <f>_xlfn.IFNA(VLOOKUP(B5,'TV Trx'!$B$4:$C$57,2,0),"-")</f>
        <v>-</v>
      </c>
      <c r="V5" s="10" t="str">
        <f t="shared" si="0"/>
        <v>-</v>
      </c>
      <c r="W5" s="1" t="str">
        <f>_xlfn.IFNA(VLOOKUP(B5,'CO Trx'!$A$4:$B$37,2,0),"-")</f>
        <v>-</v>
      </c>
      <c r="X5" s="1" t="str">
        <f>_xlfn.IFNA(VLOOKUP(B5,'CO Trx'!$A$49:$B$104,2,0),"-")</f>
        <v>-</v>
      </c>
      <c r="Y5" s="21" t="s">
        <v>6890</v>
      </c>
    </row>
    <row r="6" spans="1:28" x14ac:dyDescent="0.2">
      <c r="A6" s="1" t="s">
        <v>67</v>
      </c>
      <c r="B6" s="1" t="s">
        <v>68</v>
      </c>
      <c r="C6" s="1" t="s">
        <v>6</v>
      </c>
      <c r="D6" s="1" t="s">
        <v>69</v>
      </c>
      <c r="E6" s="1" t="s">
        <v>6916</v>
      </c>
      <c r="F6" s="1" t="s">
        <v>473</v>
      </c>
      <c r="G6" s="1" t="s">
        <v>473</v>
      </c>
      <c r="H6" s="1" t="s">
        <v>473</v>
      </c>
      <c r="I6" s="1" t="s">
        <v>473</v>
      </c>
      <c r="J6" s="1" t="s">
        <v>473</v>
      </c>
      <c r="K6" s="1" t="s">
        <v>473</v>
      </c>
      <c r="L6" s="1" t="s">
        <v>6917</v>
      </c>
      <c r="M6" s="1" t="s">
        <v>473</v>
      </c>
      <c r="N6" s="1" t="s">
        <v>6918</v>
      </c>
      <c r="O6" s="1" t="s">
        <v>6919</v>
      </c>
      <c r="P6" s="1">
        <v>0</v>
      </c>
      <c r="Q6" s="28">
        <v>0</v>
      </c>
      <c r="R6" s="1">
        <v>0</v>
      </c>
      <c r="S6" s="1"/>
      <c r="T6" s="10" t="str">
        <f>_xlfn.IFNA(VLOOKUP(B6,Sheet2!$A$2:$M$58,4,0),"-")</f>
        <v>-</v>
      </c>
      <c r="U6" s="10" t="str">
        <f>_xlfn.IFNA(VLOOKUP(B6,'TV Trx'!$B$4:$C$57,2,0),"-")</f>
        <v>-</v>
      </c>
      <c r="V6" s="10" t="str">
        <f t="shared" si="0"/>
        <v>-</v>
      </c>
      <c r="W6" s="1" t="str">
        <f>_xlfn.IFNA(VLOOKUP(B6,'CO Trx'!$A$4:$B$37,2,0),"-")</f>
        <v>-</v>
      </c>
      <c r="X6" s="1" t="str">
        <f>_xlfn.IFNA(VLOOKUP(B6,'CO Trx'!$A$49:$B$104,2,0),"-")</f>
        <v>-</v>
      </c>
      <c r="Y6" s="21" t="s">
        <v>6890</v>
      </c>
    </row>
    <row r="7" spans="1:28" x14ac:dyDescent="0.2">
      <c r="A7" s="1" t="s">
        <v>249</v>
      </c>
      <c r="B7" s="1" t="s">
        <v>250</v>
      </c>
      <c r="C7" s="1" t="s">
        <v>23</v>
      </c>
      <c r="D7" s="1" t="s">
        <v>251</v>
      </c>
      <c r="E7" s="1" t="s">
        <v>6920</v>
      </c>
      <c r="F7" s="1" t="s">
        <v>473</v>
      </c>
      <c r="G7" s="1" t="s">
        <v>473</v>
      </c>
      <c r="H7" s="1" t="s">
        <v>473</v>
      </c>
      <c r="I7" s="1" t="s">
        <v>473</v>
      </c>
      <c r="J7" s="1" t="s">
        <v>473</v>
      </c>
      <c r="K7" s="1" t="s">
        <v>473</v>
      </c>
      <c r="L7" s="1" t="s">
        <v>6921</v>
      </c>
      <c r="M7" s="1" t="s">
        <v>473</v>
      </c>
      <c r="N7" s="1" t="s">
        <v>6922</v>
      </c>
      <c r="O7" s="1" t="s">
        <v>6923</v>
      </c>
      <c r="P7" s="1">
        <v>0</v>
      </c>
      <c r="Q7" s="28">
        <v>0</v>
      </c>
      <c r="R7" s="1">
        <v>0</v>
      </c>
      <c r="S7" s="1"/>
      <c r="T7" s="10" t="str">
        <f>_xlfn.IFNA(VLOOKUP(B7,Sheet2!$A$2:$M$58,4,0),"-")</f>
        <v>-</v>
      </c>
      <c r="U7" s="10" t="str">
        <f>_xlfn.IFNA(VLOOKUP(B7,'TV Trx'!$B$4:$C$57,2,0),"-")</f>
        <v>-</v>
      </c>
      <c r="V7" s="10" t="str">
        <f t="shared" si="0"/>
        <v>-</v>
      </c>
      <c r="W7" s="1" t="str">
        <f>_xlfn.IFNA(VLOOKUP(B7,'CO Trx'!$A$4:$B$37,2,0),"-")</f>
        <v>-</v>
      </c>
      <c r="X7" s="1" t="str">
        <f>_xlfn.IFNA(VLOOKUP(B7,'CO Trx'!$A$49:$B$104,2,0),"-")</f>
        <v>-</v>
      </c>
      <c r="Y7" s="21" t="s">
        <v>6890</v>
      </c>
    </row>
    <row r="8" spans="1:28" x14ac:dyDescent="0.2">
      <c r="A8" s="1" t="s">
        <v>88</v>
      </c>
      <c r="B8" s="1" t="s">
        <v>89</v>
      </c>
      <c r="C8" s="1" t="s">
        <v>6</v>
      </c>
      <c r="D8" s="1" t="s">
        <v>90</v>
      </c>
      <c r="E8" s="1" t="s">
        <v>6924</v>
      </c>
      <c r="F8" s="1" t="s">
        <v>473</v>
      </c>
      <c r="G8" s="1" t="s">
        <v>473</v>
      </c>
      <c r="H8" s="1" t="s">
        <v>6925</v>
      </c>
      <c r="I8" s="1" t="s">
        <v>6926</v>
      </c>
      <c r="J8" s="1" t="s">
        <v>6905</v>
      </c>
      <c r="K8" s="1" t="s">
        <v>473</v>
      </c>
      <c r="L8" s="1" t="s">
        <v>473</v>
      </c>
      <c r="M8" s="1" t="s">
        <v>473</v>
      </c>
      <c r="N8" s="1" t="s">
        <v>473</v>
      </c>
      <c r="O8" s="1" t="s">
        <v>6927</v>
      </c>
      <c r="P8" s="1">
        <v>0</v>
      </c>
      <c r="Q8" s="28">
        <v>0</v>
      </c>
      <c r="R8" s="1">
        <v>0</v>
      </c>
      <c r="S8" s="1"/>
      <c r="T8" s="10" t="str">
        <f>_xlfn.IFNA(VLOOKUP(B8,Sheet2!$A$2:$M$58,4,0),"-")</f>
        <v>-</v>
      </c>
      <c r="U8" s="10" t="str">
        <f>_xlfn.IFNA(VLOOKUP(B8,'TV Trx'!$B$4:$C$57,2,0),"-")</f>
        <v>-</v>
      </c>
      <c r="V8" s="10" t="str">
        <f t="shared" si="0"/>
        <v>-</v>
      </c>
      <c r="W8" s="1" t="str">
        <f>_xlfn.IFNA(VLOOKUP(B8,'CO Trx'!$A$4:$B$37,2,0),"-")</f>
        <v>-</v>
      </c>
      <c r="X8" s="1" t="str">
        <f>_xlfn.IFNA(VLOOKUP(B8,'CO Trx'!$A$49:$B$104,2,0),"-")</f>
        <v>-</v>
      </c>
      <c r="Y8" s="21" t="s">
        <v>6890</v>
      </c>
    </row>
    <row r="9" spans="1:28" x14ac:dyDescent="0.2">
      <c r="A9" s="1" t="s">
        <v>858</v>
      </c>
      <c r="B9" s="1" t="s">
        <v>859</v>
      </c>
      <c r="C9" s="1" t="s">
        <v>23</v>
      </c>
      <c r="D9" s="1" t="s">
        <v>860</v>
      </c>
      <c r="E9" s="1" t="s">
        <v>6928</v>
      </c>
      <c r="F9" s="1" t="s">
        <v>473</v>
      </c>
      <c r="G9" s="1" t="s">
        <v>473</v>
      </c>
      <c r="H9" s="1" t="s">
        <v>473</v>
      </c>
      <c r="I9" s="1" t="s">
        <v>473</v>
      </c>
      <c r="J9" s="1" t="s">
        <v>473</v>
      </c>
      <c r="K9" s="1" t="s">
        <v>473</v>
      </c>
      <c r="L9" s="1" t="s">
        <v>473</v>
      </c>
      <c r="M9" s="1" t="s">
        <v>473</v>
      </c>
      <c r="N9" s="1" t="s">
        <v>6929</v>
      </c>
      <c r="O9" s="1" t="s">
        <v>6930</v>
      </c>
      <c r="P9" s="1">
        <v>0</v>
      </c>
      <c r="Q9" s="28">
        <v>0</v>
      </c>
      <c r="R9" s="1">
        <v>0</v>
      </c>
      <c r="S9" s="1"/>
      <c r="T9" s="10" t="str">
        <f>_xlfn.IFNA(VLOOKUP(B9,Sheet2!$A$2:$M$58,4,0),"-")</f>
        <v>-</v>
      </c>
      <c r="U9" s="10" t="str">
        <f>_xlfn.IFNA(VLOOKUP(B9,'TV Trx'!$B$4:$C$57,2,0),"-")</f>
        <v>-</v>
      </c>
      <c r="V9" s="10" t="str">
        <f t="shared" si="0"/>
        <v>-</v>
      </c>
      <c r="W9" s="1" t="str">
        <f>_xlfn.IFNA(VLOOKUP(B9,'CO Trx'!$A$4:$B$37,2,0),"-")</f>
        <v>-</v>
      </c>
      <c r="X9" s="1" t="str">
        <f>_xlfn.IFNA(VLOOKUP(B9,'CO Trx'!$A$49:$B$104,2,0),"-")</f>
        <v>-</v>
      </c>
      <c r="Y9" s="21" t="s">
        <v>6890</v>
      </c>
    </row>
    <row r="10" spans="1:28" x14ac:dyDescent="0.2">
      <c r="A10" s="1" t="s">
        <v>662</v>
      </c>
      <c r="B10" s="1" t="s">
        <v>663</v>
      </c>
      <c r="C10" s="1" t="s">
        <v>6</v>
      </c>
      <c r="D10" s="1" t="s">
        <v>664</v>
      </c>
      <c r="E10" s="1" t="s">
        <v>6931</v>
      </c>
      <c r="F10" s="1" t="s">
        <v>473</v>
      </c>
      <c r="G10" s="1" t="s">
        <v>473</v>
      </c>
      <c r="H10" s="1" t="s">
        <v>6932</v>
      </c>
      <c r="I10" s="1" t="s">
        <v>6933</v>
      </c>
      <c r="J10" s="1" t="s">
        <v>6934</v>
      </c>
      <c r="K10" s="1" t="s">
        <v>473</v>
      </c>
      <c r="L10" s="1" t="s">
        <v>6935</v>
      </c>
      <c r="M10" s="1" t="s">
        <v>473</v>
      </c>
      <c r="N10" s="1" t="s">
        <v>6936</v>
      </c>
      <c r="O10" s="1" t="s">
        <v>6937</v>
      </c>
      <c r="P10" s="1">
        <v>0</v>
      </c>
      <c r="Q10" s="28">
        <v>0</v>
      </c>
      <c r="R10" s="1">
        <v>0</v>
      </c>
      <c r="S10" s="1"/>
      <c r="T10" s="10" t="str">
        <f>_xlfn.IFNA(VLOOKUP(B10,Sheet2!$A$2:$M$58,4,0),"-")</f>
        <v>-</v>
      </c>
      <c r="U10" s="10" t="str">
        <f>_xlfn.IFNA(VLOOKUP(B10,'TV Trx'!$B$4:$C$57,2,0),"-")</f>
        <v>-</v>
      </c>
      <c r="V10" s="10" t="str">
        <f t="shared" si="0"/>
        <v>-</v>
      </c>
      <c r="W10" s="1" t="str">
        <f>_xlfn.IFNA(VLOOKUP(B10,'CO Trx'!$A$4:$B$37,2,0),"-")</f>
        <v>-</v>
      </c>
      <c r="X10" s="1" t="str">
        <f>_xlfn.IFNA(VLOOKUP(B10,'CO Trx'!$A$49:$B$104,2,0),"-")</f>
        <v>-</v>
      </c>
      <c r="Y10" s="21" t="s">
        <v>6890</v>
      </c>
    </row>
    <row r="11" spans="1:28" x14ac:dyDescent="0.2">
      <c r="A11" s="1" t="s">
        <v>921</v>
      </c>
      <c r="B11" s="1" t="s">
        <v>922</v>
      </c>
      <c r="C11" s="1" t="s">
        <v>13</v>
      </c>
      <c r="D11" s="1" t="s">
        <v>923</v>
      </c>
      <c r="E11" s="1" t="s">
        <v>6938</v>
      </c>
      <c r="F11" s="1" t="s">
        <v>473</v>
      </c>
      <c r="G11" s="1" t="s">
        <v>473</v>
      </c>
      <c r="H11" s="1" t="s">
        <v>6939</v>
      </c>
      <c r="I11" s="1" t="s">
        <v>6940</v>
      </c>
      <c r="J11" s="1" t="s">
        <v>6941</v>
      </c>
      <c r="K11" s="1" t="s">
        <v>473</v>
      </c>
      <c r="L11" s="1" t="s">
        <v>473</v>
      </c>
      <c r="M11" s="1" t="s">
        <v>473</v>
      </c>
      <c r="N11" s="1" t="s">
        <v>473</v>
      </c>
      <c r="O11" s="1" t="s">
        <v>6942</v>
      </c>
      <c r="P11" s="1">
        <v>0</v>
      </c>
      <c r="Q11" s="28">
        <v>0</v>
      </c>
      <c r="R11" s="1">
        <v>0</v>
      </c>
      <c r="S11" s="1"/>
      <c r="T11" s="10" t="str">
        <f>_xlfn.IFNA(VLOOKUP(B11,Sheet2!$A$2:$M$58,4,0),"-")</f>
        <v>-</v>
      </c>
      <c r="U11" s="10" t="str">
        <f>_xlfn.IFNA(VLOOKUP(B11,'TV Trx'!$B$4:$C$57,2,0),"-")</f>
        <v>-</v>
      </c>
      <c r="V11" s="10" t="str">
        <f t="shared" si="0"/>
        <v>-</v>
      </c>
      <c r="W11" s="1" t="str">
        <f>_xlfn.IFNA(VLOOKUP(B11,'CO Trx'!$A$4:$B$37,2,0),"-")</f>
        <v>-</v>
      </c>
      <c r="X11" s="1" t="str">
        <f>_xlfn.IFNA(VLOOKUP(B11,'CO Trx'!$A$49:$B$104,2,0),"-")</f>
        <v>-</v>
      </c>
      <c r="Y11" s="21" t="s">
        <v>6890</v>
      </c>
    </row>
    <row r="12" spans="1:28" x14ac:dyDescent="0.2">
      <c r="A12" s="1" t="s">
        <v>677</v>
      </c>
      <c r="B12" s="1" t="s">
        <v>678</v>
      </c>
      <c r="C12" s="1" t="s">
        <v>13</v>
      </c>
      <c r="D12" s="1" t="s">
        <v>679</v>
      </c>
      <c r="E12" s="1" t="s">
        <v>473</v>
      </c>
      <c r="F12" s="1" t="s">
        <v>473</v>
      </c>
      <c r="G12" s="1" t="s">
        <v>473</v>
      </c>
      <c r="H12" s="1" t="s">
        <v>473</v>
      </c>
      <c r="I12" s="1" t="s">
        <v>473</v>
      </c>
      <c r="J12" s="1" t="s">
        <v>473</v>
      </c>
      <c r="K12" s="1" t="s">
        <v>473</v>
      </c>
      <c r="L12" s="1" t="s">
        <v>6943</v>
      </c>
      <c r="M12" s="1" t="s">
        <v>473</v>
      </c>
      <c r="N12" s="1" t="s">
        <v>6944</v>
      </c>
      <c r="O12" s="1" t="s">
        <v>6945</v>
      </c>
      <c r="P12" s="1">
        <v>0</v>
      </c>
      <c r="Q12" s="28">
        <v>0</v>
      </c>
      <c r="R12" s="1">
        <v>0</v>
      </c>
      <c r="S12" s="1"/>
      <c r="T12" s="10" t="str">
        <f>_xlfn.IFNA(VLOOKUP(B12,Sheet2!$A$2:$M$58,4,0),"-")</f>
        <v>-</v>
      </c>
      <c r="U12" s="10" t="str">
        <f>_xlfn.IFNA(VLOOKUP(B12,'TV Trx'!$B$4:$C$57,2,0),"-")</f>
        <v>-</v>
      </c>
      <c r="V12" s="10" t="str">
        <f t="shared" si="0"/>
        <v>-</v>
      </c>
      <c r="W12" s="1" t="str">
        <f>_xlfn.IFNA(VLOOKUP(B12,'CO Trx'!$A$4:$B$37,2,0),"-")</f>
        <v>-</v>
      </c>
      <c r="X12" s="1" t="str">
        <f>_xlfn.IFNA(VLOOKUP(B12,'CO Trx'!$A$49:$B$104,2,0),"-")</f>
        <v>-</v>
      </c>
      <c r="Y12" s="21" t="s">
        <v>6890</v>
      </c>
    </row>
    <row r="13" spans="1:28" x14ac:dyDescent="0.2">
      <c r="A13" s="1" t="s">
        <v>876</v>
      </c>
      <c r="B13" s="1" t="s">
        <v>877</v>
      </c>
      <c r="C13" s="1" t="s">
        <v>6</v>
      </c>
      <c r="D13" s="1" t="s">
        <v>878</v>
      </c>
      <c r="E13" s="1" t="s">
        <v>6946</v>
      </c>
      <c r="F13" s="1" t="s">
        <v>473</v>
      </c>
      <c r="G13" s="1" t="s">
        <v>473</v>
      </c>
      <c r="H13" s="1" t="s">
        <v>6947</v>
      </c>
      <c r="I13" s="1" t="s">
        <v>473</v>
      </c>
      <c r="J13" s="1" t="s">
        <v>473</v>
      </c>
      <c r="K13" s="1" t="s">
        <v>473</v>
      </c>
      <c r="L13" s="1" t="s">
        <v>6948</v>
      </c>
      <c r="M13" s="1" t="s">
        <v>473</v>
      </c>
      <c r="N13" s="1" t="s">
        <v>6949</v>
      </c>
      <c r="O13" s="1" t="s">
        <v>6950</v>
      </c>
      <c r="P13" s="1">
        <v>0</v>
      </c>
      <c r="Q13" s="28">
        <v>0</v>
      </c>
      <c r="R13" s="1">
        <v>0</v>
      </c>
      <c r="S13" s="1"/>
      <c r="T13" s="10" t="str">
        <f>_xlfn.IFNA(VLOOKUP(B13,Sheet2!$A$2:$M$58,4,0),"-")</f>
        <v>-</v>
      </c>
      <c r="U13" s="10" t="str">
        <f>_xlfn.IFNA(VLOOKUP(B13,'TV Trx'!$B$4:$C$57,2,0),"-")</f>
        <v>-</v>
      </c>
      <c r="V13" s="10" t="str">
        <f t="shared" si="0"/>
        <v>-</v>
      </c>
      <c r="W13" s="1" t="str">
        <f>_xlfn.IFNA(VLOOKUP(B13,'CO Trx'!$A$4:$B$37,2,0),"-")</f>
        <v>-</v>
      </c>
      <c r="X13" s="1" t="str">
        <f>_xlfn.IFNA(VLOOKUP(B13,'CO Trx'!$A$49:$B$104,2,0),"-")</f>
        <v>-</v>
      </c>
      <c r="Y13" s="21" t="s">
        <v>6890</v>
      </c>
    </row>
    <row r="14" spans="1:28" x14ac:dyDescent="0.2">
      <c r="A14" s="1" t="s">
        <v>870</v>
      </c>
      <c r="B14" s="1" t="s">
        <v>871</v>
      </c>
      <c r="C14" s="1" t="s">
        <v>6</v>
      </c>
      <c r="D14" s="1" t="s">
        <v>872</v>
      </c>
      <c r="E14" s="1" t="s">
        <v>6951</v>
      </c>
      <c r="F14" s="1" t="s">
        <v>473</v>
      </c>
      <c r="G14" s="1" t="s">
        <v>473</v>
      </c>
      <c r="H14" s="1" t="s">
        <v>6952</v>
      </c>
      <c r="I14" s="1" t="s">
        <v>6953</v>
      </c>
      <c r="J14" s="1" t="s">
        <v>6954</v>
      </c>
      <c r="K14" s="1" t="s">
        <v>473</v>
      </c>
      <c r="L14" s="1" t="s">
        <v>473</v>
      </c>
      <c r="M14" s="1" t="s">
        <v>473</v>
      </c>
      <c r="N14" s="1" t="s">
        <v>473</v>
      </c>
      <c r="O14" s="1" t="s">
        <v>6955</v>
      </c>
      <c r="P14" s="1">
        <v>0</v>
      </c>
      <c r="Q14" s="28">
        <v>0</v>
      </c>
      <c r="R14" s="1">
        <v>0</v>
      </c>
      <c r="S14" s="1"/>
      <c r="T14" s="10" t="str">
        <f>_xlfn.IFNA(VLOOKUP(B14,Sheet2!$A$2:$M$58,4,0),"-")</f>
        <v>-</v>
      </c>
      <c r="U14" s="10" t="str">
        <f>_xlfn.IFNA(VLOOKUP(B14,'TV Trx'!$B$4:$C$57,2,0),"-")</f>
        <v>-</v>
      </c>
      <c r="V14" s="10" t="str">
        <f t="shared" si="0"/>
        <v>-</v>
      </c>
      <c r="W14" s="1" t="str">
        <f>_xlfn.IFNA(VLOOKUP(B14,'CO Trx'!$A$4:$B$37,2,0),"-")</f>
        <v>-</v>
      </c>
      <c r="X14" s="1" t="str">
        <f>_xlfn.IFNA(VLOOKUP(B14,'CO Trx'!$A$49:$B$104,2,0),"-")</f>
        <v>-</v>
      </c>
      <c r="Y14" s="21" t="s">
        <v>6890</v>
      </c>
    </row>
    <row r="15" spans="1:28" x14ac:dyDescent="0.2">
      <c r="A15" s="1" t="s">
        <v>742</v>
      </c>
      <c r="B15" s="1" t="s">
        <v>743</v>
      </c>
      <c r="C15" s="1" t="s">
        <v>6</v>
      </c>
      <c r="D15" s="1" t="s">
        <v>744</v>
      </c>
      <c r="E15" s="1" t="s">
        <v>6956</v>
      </c>
      <c r="F15" s="1" t="s">
        <v>473</v>
      </c>
      <c r="G15" s="1" t="s">
        <v>473</v>
      </c>
      <c r="H15" s="1" t="s">
        <v>6957</v>
      </c>
      <c r="I15" s="1" t="s">
        <v>6958</v>
      </c>
      <c r="J15" s="1" t="s">
        <v>6941</v>
      </c>
      <c r="K15" s="1" t="s">
        <v>473</v>
      </c>
      <c r="L15" s="1" t="s">
        <v>203</v>
      </c>
      <c r="M15" s="1" t="s">
        <v>473</v>
      </c>
      <c r="N15" s="1" t="s">
        <v>6959</v>
      </c>
      <c r="O15" s="1" t="s">
        <v>6960</v>
      </c>
      <c r="P15" s="1">
        <v>0</v>
      </c>
      <c r="Q15" s="28">
        <v>0</v>
      </c>
      <c r="R15" s="1">
        <v>0</v>
      </c>
      <c r="S15" s="1"/>
      <c r="T15" s="10" t="str">
        <f>_xlfn.IFNA(VLOOKUP(B15,Sheet2!$A$2:$M$58,4,0),"-")</f>
        <v>-</v>
      </c>
      <c r="U15" s="10" t="str">
        <f>_xlfn.IFNA(VLOOKUP(B15,'TV Trx'!$B$4:$C$57,2,0),"-")</f>
        <v>-</v>
      </c>
      <c r="V15" s="10" t="str">
        <f t="shared" si="0"/>
        <v>-</v>
      </c>
      <c r="W15" s="1" t="str">
        <f>_xlfn.IFNA(VLOOKUP(B15,'CO Trx'!$A$4:$B$37,2,0),"-")</f>
        <v>-</v>
      </c>
      <c r="X15" s="1" t="str">
        <f>_xlfn.IFNA(VLOOKUP(B15,'CO Trx'!$A$49:$B$104,2,0),"-")</f>
        <v>-</v>
      </c>
      <c r="Y15" s="21" t="s">
        <v>6890</v>
      </c>
    </row>
    <row r="16" spans="1:28" x14ac:dyDescent="0.2">
      <c r="A16" s="1" t="s">
        <v>112</v>
      </c>
      <c r="B16" s="1" t="s">
        <v>113</v>
      </c>
      <c r="C16" s="1" t="s">
        <v>13</v>
      </c>
      <c r="D16" s="1" t="s">
        <v>114</v>
      </c>
      <c r="E16" s="1" t="s">
        <v>6961</v>
      </c>
      <c r="F16" s="1" t="s">
        <v>473</v>
      </c>
      <c r="G16" s="1" t="s">
        <v>473</v>
      </c>
      <c r="H16" s="1" t="s">
        <v>6962</v>
      </c>
      <c r="I16" s="1" t="s">
        <v>6963</v>
      </c>
      <c r="J16" s="1" t="s">
        <v>6964</v>
      </c>
      <c r="K16" s="1" t="s">
        <v>473</v>
      </c>
      <c r="L16" s="1" t="s">
        <v>473</v>
      </c>
      <c r="M16" s="1" t="s">
        <v>473</v>
      </c>
      <c r="N16" s="1" t="s">
        <v>473</v>
      </c>
      <c r="O16" s="1" t="s">
        <v>6965</v>
      </c>
      <c r="P16" s="1">
        <v>0</v>
      </c>
      <c r="Q16" s="28">
        <v>0</v>
      </c>
      <c r="R16" s="1">
        <v>0</v>
      </c>
      <c r="S16" s="1"/>
      <c r="T16" s="10" t="str">
        <f>_xlfn.IFNA(VLOOKUP(B16,Sheet2!$A$2:$M$58,4,0),"-")</f>
        <v>-</v>
      </c>
      <c r="U16" s="10" t="str">
        <f>_xlfn.IFNA(VLOOKUP(B16,'TV Trx'!$B$4:$C$57,2,0),"-")</f>
        <v>-</v>
      </c>
      <c r="V16" s="10" t="str">
        <f t="shared" si="0"/>
        <v>-</v>
      </c>
      <c r="W16" s="1" t="str">
        <f>_xlfn.IFNA(VLOOKUP(B16,'CO Trx'!$A$4:$B$37,2,0),"-")</f>
        <v>-</v>
      </c>
      <c r="X16" s="1" t="str">
        <f>_xlfn.IFNA(VLOOKUP(B16,'CO Trx'!$A$49:$B$104,2,0),"-")</f>
        <v>-</v>
      </c>
      <c r="Y16" s="21" t="s">
        <v>6890</v>
      </c>
    </row>
    <row r="17" spans="1:28" x14ac:dyDescent="0.2">
      <c r="A17" s="1" t="s">
        <v>635</v>
      </c>
      <c r="B17" s="1" t="s">
        <v>636</v>
      </c>
      <c r="C17" s="1" t="s">
        <v>473</v>
      </c>
      <c r="D17" s="1" t="s">
        <v>637</v>
      </c>
      <c r="E17" s="1" t="s">
        <v>6966</v>
      </c>
      <c r="F17" s="1" t="s">
        <v>473</v>
      </c>
      <c r="G17" s="1" t="s">
        <v>473</v>
      </c>
      <c r="H17" s="1" t="s">
        <v>6967</v>
      </c>
      <c r="I17" s="1" t="s">
        <v>6968</v>
      </c>
      <c r="J17" s="1" t="s">
        <v>6969</v>
      </c>
      <c r="K17" s="1" t="s">
        <v>473</v>
      </c>
      <c r="L17" s="1" t="s">
        <v>6970</v>
      </c>
      <c r="M17" s="1" t="s">
        <v>473</v>
      </c>
      <c r="N17" s="1" t="s">
        <v>6971</v>
      </c>
      <c r="O17" s="1" t="s">
        <v>6972</v>
      </c>
      <c r="P17" s="1">
        <v>0</v>
      </c>
      <c r="Q17" s="28">
        <v>0</v>
      </c>
      <c r="R17" s="1">
        <v>0</v>
      </c>
      <c r="S17" s="1"/>
      <c r="T17" s="10" t="str">
        <f>_xlfn.IFNA(VLOOKUP(B17,Sheet2!$A$2:$M$58,4,0),"-")</f>
        <v>-</v>
      </c>
      <c r="U17" s="10" t="str">
        <f>_xlfn.IFNA(VLOOKUP(B17,'TV Trx'!$B$4:$C$57,2,0),"-")</f>
        <v>-</v>
      </c>
      <c r="V17" s="10" t="str">
        <f t="shared" si="0"/>
        <v>-</v>
      </c>
      <c r="W17" s="1" t="str">
        <f>_xlfn.IFNA(VLOOKUP(B17,'CO Trx'!$A$4:$B$37,2,0),"-")</f>
        <v>-</v>
      </c>
      <c r="X17" s="1" t="str">
        <f>_xlfn.IFNA(VLOOKUP(B17,'CO Trx'!$A$49:$B$104,2,0),"-")</f>
        <v>-</v>
      </c>
      <c r="Y17" s="21" t="s">
        <v>6890</v>
      </c>
    </row>
    <row r="18" spans="1:28" x14ac:dyDescent="0.2">
      <c r="A18" s="1" t="s">
        <v>210</v>
      </c>
      <c r="B18" s="1" t="s">
        <v>211</v>
      </c>
      <c r="C18" s="1" t="s">
        <v>13</v>
      </c>
      <c r="D18" s="1" t="s">
        <v>212</v>
      </c>
      <c r="E18" s="1" t="s">
        <v>6973</v>
      </c>
      <c r="F18" s="1" t="s">
        <v>473</v>
      </c>
      <c r="G18" s="1" t="s">
        <v>473</v>
      </c>
      <c r="H18" s="1" t="s">
        <v>473</v>
      </c>
      <c r="I18" s="1" t="s">
        <v>473</v>
      </c>
      <c r="J18" s="1" t="s">
        <v>473</v>
      </c>
      <c r="K18" s="1" t="s">
        <v>473</v>
      </c>
      <c r="L18" s="1" t="s">
        <v>6974</v>
      </c>
      <c r="M18" s="1" t="s">
        <v>473</v>
      </c>
      <c r="N18" s="1" t="s">
        <v>6975</v>
      </c>
      <c r="O18" s="1" t="s">
        <v>6976</v>
      </c>
      <c r="P18" s="1" t="s">
        <v>8126</v>
      </c>
      <c r="Q18" s="28"/>
      <c r="R18" s="1" t="s">
        <v>8263</v>
      </c>
      <c r="S18" s="1"/>
      <c r="T18" s="10" t="str">
        <f>_xlfn.IFNA(VLOOKUP(B18,Sheet2!$A$2:$M$58,4,0),"-")</f>
        <v>-</v>
      </c>
      <c r="U18" s="10">
        <f>_xlfn.IFNA(VLOOKUP(B18,'TV Trx'!$B$4:$C$57,2,0),"-")</f>
        <v>45076</v>
      </c>
      <c r="V18" s="10">
        <f t="shared" si="0"/>
        <v>45076</v>
      </c>
      <c r="W18" s="1" t="str">
        <f>_xlfn.IFNA(VLOOKUP(B18,'CO Trx'!$A$4:$B$37,2,0),"-")</f>
        <v>-</v>
      </c>
      <c r="X18" s="1" t="str">
        <f>_xlfn.IFNA(VLOOKUP(B18,'CO Trx'!$A$49:$B$104,2,0),"-")</f>
        <v>-</v>
      </c>
      <c r="Y18" s="20" t="s">
        <v>6889</v>
      </c>
      <c r="AA18" t="s">
        <v>7938</v>
      </c>
      <c r="AB18" t="s">
        <v>7978</v>
      </c>
    </row>
    <row r="19" spans="1:28" x14ac:dyDescent="0.2">
      <c r="A19" s="1" t="s">
        <v>459</v>
      </c>
      <c r="B19" s="1" t="s">
        <v>460</v>
      </c>
      <c r="C19" s="1" t="s">
        <v>13</v>
      </c>
      <c r="D19" s="1" t="s">
        <v>461</v>
      </c>
      <c r="E19" s="1" t="s">
        <v>6977</v>
      </c>
      <c r="F19" s="1" t="s">
        <v>473</v>
      </c>
      <c r="G19" s="1" t="s">
        <v>473</v>
      </c>
      <c r="H19" s="1" t="s">
        <v>473</v>
      </c>
      <c r="I19" s="1" t="s">
        <v>473</v>
      </c>
      <c r="J19" s="1" t="s">
        <v>473</v>
      </c>
      <c r="K19" s="1" t="s">
        <v>473</v>
      </c>
      <c r="L19" s="1" t="s">
        <v>473</v>
      </c>
      <c r="M19" s="1" t="s">
        <v>473</v>
      </c>
      <c r="N19" s="1" t="s">
        <v>6978</v>
      </c>
      <c r="O19" s="1" t="s">
        <v>6979</v>
      </c>
      <c r="P19" s="1">
        <v>0</v>
      </c>
      <c r="Q19" s="28">
        <v>0</v>
      </c>
      <c r="R19" s="1">
        <v>0</v>
      </c>
      <c r="S19" s="1"/>
      <c r="T19" s="10" t="str">
        <f>_xlfn.IFNA(VLOOKUP(B19,Sheet2!$A$2:$M$58,4,0),"-")</f>
        <v>-</v>
      </c>
      <c r="U19" s="10" t="str">
        <f>_xlfn.IFNA(VLOOKUP(B19,'TV Trx'!$B$4:$C$57,2,0),"-")</f>
        <v>-</v>
      </c>
      <c r="V19" s="10" t="str">
        <f t="shared" si="0"/>
        <v>-</v>
      </c>
      <c r="W19" s="1" t="str">
        <f>_xlfn.IFNA(VLOOKUP(B19,'CO Trx'!$A$4:$B$37,2,0),"-")</f>
        <v>-</v>
      </c>
      <c r="X19" s="1" t="str">
        <f>_xlfn.IFNA(VLOOKUP(B19,'CO Trx'!$A$49:$B$104,2,0),"-")</f>
        <v>-</v>
      </c>
      <c r="Y19" s="21" t="s">
        <v>6890</v>
      </c>
    </row>
    <row r="20" spans="1:28" x14ac:dyDescent="0.2">
      <c r="A20" s="1" t="s">
        <v>243</v>
      </c>
      <c r="B20" s="1" t="s">
        <v>244</v>
      </c>
      <c r="C20" s="1" t="s">
        <v>13</v>
      </c>
      <c r="D20" s="1" t="s">
        <v>245</v>
      </c>
      <c r="E20" s="1" t="s">
        <v>6980</v>
      </c>
      <c r="F20" s="1" t="s">
        <v>473</v>
      </c>
      <c r="G20" s="1" t="s">
        <v>473</v>
      </c>
      <c r="H20" s="1" t="s">
        <v>473</v>
      </c>
      <c r="I20" s="1" t="s">
        <v>473</v>
      </c>
      <c r="J20" s="1" t="s">
        <v>473</v>
      </c>
      <c r="K20" s="1" t="s">
        <v>473</v>
      </c>
      <c r="L20" s="1" t="s">
        <v>6981</v>
      </c>
      <c r="M20" s="1" t="s">
        <v>473</v>
      </c>
      <c r="N20" s="1" t="s">
        <v>6982</v>
      </c>
      <c r="O20" s="1" t="s">
        <v>6983</v>
      </c>
      <c r="P20" s="1">
        <v>0</v>
      </c>
      <c r="Q20" s="28">
        <v>0</v>
      </c>
      <c r="R20" s="1">
        <v>0</v>
      </c>
      <c r="S20" s="1"/>
      <c r="T20" s="10" t="str">
        <f>_xlfn.IFNA(VLOOKUP(B20,Sheet2!$A$2:$M$58,4,0),"-")</f>
        <v>-</v>
      </c>
      <c r="U20" s="10" t="str">
        <f>_xlfn.IFNA(VLOOKUP(B20,'TV Trx'!$B$4:$C$57,2,0),"-")</f>
        <v>-</v>
      </c>
      <c r="V20" s="10" t="str">
        <f t="shared" si="0"/>
        <v>-</v>
      </c>
      <c r="W20" s="1" t="str">
        <f>_xlfn.IFNA(VLOOKUP(B20,'CO Trx'!$A$4:$B$37,2,0),"-")</f>
        <v>-</v>
      </c>
      <c r="X20" s="1" t="str">
        <f>_xlfn.IFNA(VLOOKUP(B20,'CO Trx'!$A$49:$B$104,2,0),"-")</f>
        <v>-</v>
      </c>
      <c r="Y20" s="21" t="s">
        <v>6890</v>
      </c>
    </row>
    <row r="21" spans="1:28" x14ac:dyDescent="0.2">
      <c r="A21" s="1" t="s">
        <v>725</v>
      </c>
      <c r="B21" s="1" t="s">
        <v>726</v>
      </c>
      <c r="C21" s="1" t="s">
        <v>13</v>
      </c>
      <c r="D21" s="1" t="s">
        <v>727</v>
      </c>
      <c r="E21" s="1" t="s">
        <v>6984</v>
      </c>
      <c r="F21" s="1" t="s">
        <v>473</v>
      </c>
      <c r="G21" s="1" t="s">
        <v>473</v>
      </c>
      <c r="H21" s="1" t="s">
        <v>473</v>
      </c>
      <c r="I21" s="1" t="s">
        <v>473</v>
      </c>
      <c r="J21" s="1" t="s">
        <v>473</v>
      </c>
      <c r="K21" s="1" t="s">
        <v>473</v>
      </c>
      <c r="L21" s="1" t="s">
        <v>6985</v>
      </c>
      <c r="M21" s="1" t="s">
        <v>473</v>
      </c>
      <c r="N21" s="1" t="s">
        <v>6986</v>
      </c>
      <c r="O21" s="1" t="s">
        <v>6987</v>
      </c>
      <c r="P21" s="1">
        <v>0</v>
      </c>
      <c r="Q21" s="28">
        <v>0</v>
      </c>
      <c r="R21" s="1">
        <v>0</v>
      </c>
      <c r="S21" s="1"/>
      <c r="T21" s="10" t="str">
        <f>_xlfn.IFNA(VLOOKUP(B21,Sheet2!$A$2:$M$58,4,0),"-")</f>
        <v>-</v>
      </c>
      <c r="U21" s="10" t="str">
        <f>_xlfn.IFNA(VLOOKUP(B21,'TV Trx'!$B$4:$C$57,2,0),"-")</f>
        <v>-</v>
      </c>
      <c r="V21" s="10" t="str">
        <f t="shared" si="0"/>
        <v>-</v>
      </c>
      <c r="W21" s="1" t="str">
        <f>_xlfn.IFNA(VLOOKUP(B21,'CO Trx'!$A$4:$B$37,2,0),"-")</f>
        <v>-</v>
      </c>
      <c r="X21" s="1" t="str">
        <f>_xlfn.IFNA(VLOOKUP(B21,'CO Trx'!$A$49:$B$104,2,0),"-")</f>
        <v>-</v>
      </c>
      <c r="Y21" s="21" t="s">
        <v>6890</v>
      </c>
    </row>
    <row r="22" spans="1:28" x14ac:dyDescent="0.2">
      <c r="A22" s="1" t="s">
        <v>665</v>
      </c>
      <c r="B22" s="1" t="s">
        <v>666</v>
      </c>
      <c r="C22" s="1" t="s">
        <v>13</v>
      </c>
      <c r="D22" s="1" t="s">
        <v>667</v>
      </c>
      <c r="E22" s="1" t="s">
        <v>6988</v>
      </c>
      <c r="F22" s="1" t="s">
        <v>473</v>
      </c>
      <c r="G22" s="1" t="s">
        <v>473</v>
      </c>
      <c r="H22" s="1" t="s">
        <v>473</v>
      </c>
      <c r="I22" s="1" t="s">
        <v>473</v>
      </c>
      <c r="J22" s="1" t="s">
        <v>473</v>
      </c>
      <c r="K22" s="1" t="s">
        <v>473</v>
      </c>
      <c r="L22" s="1" t="s">
        <v>473</v>
      </c>
      <c r="M22" s="1" t="s">
        <v>473</v>
      </c>
      <c r="N22" s="1" t="s">
        <v>6989</v>
      </c>
      <c r="O22" s="1" t="s">
        <v>6990</v>
      </c>
      <c r="P22" s="1">
        <v>0</v>
      </c>
      <c r="Q22" s="28">
        <v>0</v>
      </c>
      <c r="R22" s="1">
        <v>0</v>
      </c>
      <c r="S22" s="1"/>
      <c r="T22" s="10" t="str">
        <f>_xlfn.IFNA(VLOOKUP(B22,Sheet2!$A$2:$M$58,4,0),"-")</f>
        <v>-</v>
      </c>
      <c r="U22" s="10" t="str">
        <f>_xlfn.IFNA(VLOOKUP(B22,'TV Trx'!$B$4:$C$57,2,0),"-")</f>
        <v>-</v>
      </c>
      <c r="V22" s="10" t="str">
        <f t="shared" si="0"/>
        <v>-</v>
      </c>
      <c r="W22" s="1" t="str">
        <f>_xlfn.IFNA(VLOOKUP(B22,'CO Trx'!$A$4:$B$37,2,0),"-")</f>
        <v>-</v>
      </c>
      <c r="X22" s="1" t="str">
        <f>_xlfn.IFNA(VLOOKUP(B22,'CO Trx'!$A$49:$B$104,2,0),"-")</f>
        <v>-</v>
      </c>
      <c r="Y22" s="21" t="s">
        <v>6890</v>
      </c>
    </row>
    <row r="23" spans="1:28" x14ac:dyDescent="0.2">
      <c r="A23" s="18" t="s">
        <v>626</v>
      </c>
      <c r="B23" s="18" t="s">
        <v>627</v>
      </c>
      <c r="C23" s="18" t="s">
        <v>6</v>
      </c>
      <c r="D23" s="18" t="s">
        <v>628</v>
      </c>
      <c r="E23" s="18" t="s">
        <v>6991</v>
      </c>
      <c r="F23" s="18" t="s">
        <v>473</v>
      </c>
      <c r="G23" s="18" t="s">
        <v>473</v>
      </c>
      <c r="H23" s="18" t="s">
        <v>473</v>
      </c>
      <c r="I23" s="18" t="s">
        <v>473</v>
      </c>
      <c r="J23" s="18" t="s">
        <v>473</v>
      </c>
      <c r="K23" s="18" t="s">
        <v>473</v>
      </c>
      <c r="L23" s="18" t="s">
        <v>6974</v>
      </c>
      <c r="M23" s="18" t="s">
        <v>473</v>
      </c>
      <c r="N23" s="18" t="s">
        <v>6992</v>
      </c>
      <c r="O23" s="18" t="s">
        <v>6993</v>
      </c>
      <c r="P23" s="1" t="s">
        <v>8258</v>
      </c>
      <c r="Q23" s="28"/>
      <c r="R23" s="1"/>
      <c r="S23" s="1"/>
      <c r="T23" s="10">
        <f>_xlfn.IFNA(VLOOKUP(B23,Sheet2!$A$2:$M$58,4,0),"-")</f>
        <v>0</v>
      </c>
      <c r="U23" s="10" t="str">
        <f>_xlfn.IFNA(VLOOKUP(B23,'TV Trx'!$B$4:$C$57,2,0),"-")</f>
        <v>-</v>
      </c>
      <c r="V23" s="19" t="s">
        <v>6887</v>
      </c>
      <c r="W23" s="1" t="str">
        <f>_xlfn.IFNA(VLOOKUP(B23,'CO Trx'!$A$4:$B$37,2,0),"-")</f>
        <v>-</v>
      </c>
      <c r="X23" s="1" t="str">
        <f>_xlfn.IFNA(VLOOKUP(B23,'CO Trx'!$A$49:$B$104,2,0),"-")</f>
        <v>-</v>
      </c>
      <c r="Y23" s="18" t="s">
        <v>6889</v>
      </c>
      <c r="AA23" t="s">
        <v>8257</v>
      </c>
    </row>
    <row r="24" spans="1:28" x14ac:dyDescent="0.2">
      <c r="A24" s="1" t="s">
        <v>826</v>
      </c>
      <c r="B24" s="1" t="s">
        <v>827</v>
      </c>
      <c r="C24" s="1" t="s">
        <v>6</v>
      </c>
      <c r="D24" s="1" t="s">
        <v>828</v>
      </c>
      <c r="E24" s="1" t="s">
        <v>6994</v>
      </c>
      <c r="F24" s="1" t="s">
        <v>473</v>
      </c>
      <c r="G24" s="1" t="s">
        <v>473</v>
      </c>
      <c r="H24" s="1" t="s">
        <v>473</v>
      </c>
      <c r="I24" s="1" t="s">
        <v>473</v>
      </c>
      <c r="J24" s="1" t="s">
        <v>473</v>
      </c>
      <c r="K24" s="1" t="s">
        <v>473</v>
      </c>
      <c r="L24" s="1" t="s">
        <v>6974</v>
      </c>
      <c r="M24" s="1" t="s">
        <v>473</v>
      </c>
      <c r="N24" s="1" t="s">
        <v>6995</v>
      </c>
      <c r="O24" s="1" t="s">
        <v>6996</v>
      </c>
      <c r="P24" s="1" t="s">
        <v>8127</v>
      </c>
      <c r="Q24" s="28"/>
      <c r="R24" s="1"/>
      <c r="S24" s="1"/>
      <c r="T24" s="10">
        <f>_xlfn.IFNA(VLOOKUP(B24,Sheet2!$A$2:$M$58,4,0),"-")</f>
        <v>45083</v>
      </c>
      <c r="U24" s="10" t="str">
        <f>_xlfn.IFNA(VLOOKUP(B24,'TV Trx'!$B$4:$C$57,2,0),"-")</f>
        <v>-</v>
      </c>
      <c r="V24" s="10">
        <f t="shared" ref="V24:V87" si="1">IF(C24="ACC_TYPE_CO",T24,U24)</f>
        <v>45083</v>
      </c>
      <c r="W24" s="1" t="str">
        <f>_xlfn.IFNA(VLOOKUP(B24,'CO Trx'!$A$4:$B$37,2,0),"-")</f>
        <v>-</v>
      </c>
      <c r="X24" s="1">
        <f>_xlfn.IFNA(VLOOKUP(B24,'CO Trx'!$A$49:$B$104,2,0),"-")</f>
        <v>12</v>
      </c>
      <c r="Y24" s="20" t="s">
        <v>6889</v>
      </c>
      <c r="AA24" t="s">
        <v>8076</v>
      </c>
      <c r="AB24" t="s">
        <v>7975</v>
      </c>
    </row>
    <row r="25" spans="1:28" x14ac:dyDescent="0.2">
      <c r="A25" s="1" t="s">
        <v>255</v>
      </c>
      <c r="B25" s="1" t="s">
        <v>256</v>
      </c>
      <c r="C25" s="1" t="s">
        <v>6</v>
      </c>
      <c r="D25" s="1" t="s">
        <v>257</v>
      </c>
      <c r="E25" s="1" t="s">
        <v>6997</v>
      </c>
      <c r="F25" s="1" t="s">
        <v>473</v>
      </c>
      <c r="G25" s="1" t="s">
        <v>473</v>
      </c>
      <c r="H25" s="1" t="s">
        <v>473</v>
      </c>
      <c r="I25" s="1" t="s">
        <v>473</v>
      </c>
      <c r="J25" s="1" t="s">
        <v>473</v>
      </c>
      <c r="K25" s="1" t="s">
        <v>473</v>
      </c>
      <c r="L25" s="1" t="s">
        <v>6974</v>
      </c>
      <c r="M25" s="1" t="s">
        <v>473</v>
      </c>
      <c r="N25" s="1" t="s">
        <v>6998</v>
      </c>
      <c r="O25" s="1" t="s">
        <v>6999</v>
      </c>
      <c r="P25" s="1" t="s">
        <v>8128</v>
      </c>
      <c r="Q25" s="28"/>
      <c r="R25" s="1"/>
      <c r="S25" s="1"/>
      <c r="T25" s="10">
        <f>_xlfn.IFNA(VLOOKUP(B25,Sheet2!$A$2:$M$58,4,0),"-")</f>
        <v>45079</v>
      </c>
      <c r="U25" s="10" t="str">
        <f>_xlfn.IFNA(VLOOKUP(B25,'TV Trx'!$B$4:$C$57,2,0),"-")</f>
        <v>-</v>
      </c>
      <c r="V25" s="10">
        <f t="shared" si="1"/>
        <v>45079</v>
      </c>
      <c r="W25" s="1">
        <f>_xlfn.IFNA(VLOOKUP(B25,'CO Trx'!$A$4:$B$37,2,0),"-")</f>
        <v>12</v>
      </c>
      <c r="X25" s="1">
        <f>_xlfn.IFNA(VLOOKUP(B25,'CO Trx'!$A$49:$B$104,2,0),"-")</f>
        <v>55</v>
      </c>
      <c r="Y25" s="20" t="s">
        <v>6889</v>
      </c>
      <c r="AA25" t="s">
        <v>8077</v>
      </c>
      <c r="AB25" t="s">
        <v>8059</v>
      </c>
    </row>
    <row r="26" spans="1:28" x14ac:dyDescent="0.2">
      <c r="A26" s="1" t="s">
        <v>519</v>
      </c>
      <c r="B26" s="1" t="s">
        <v>520</v>
      </c>
      <c r="C26" s="1" t="s">
        <v>13</v>
      </c>
      <c r="D26" s="1" t="s">
        <v>521</v>
      </c>
      <c r="E26" s="1" t="s">
        <v>7000</v>
      </c>
      <c r="F26" s="1" t="s">
        <v>473</v>
      </c>
      <c r="G26" s="1" t="s">
        <v>473</v>
      </c>
      <c r="H26" s="1" t="s">
        <v>473</v>
      </c>
      <c r="I26" s="1" t="s">
        <v>473</v>
      </c>
      <c r="J26" s="1" t="s">
        <v>473</v>
      </c>
      <c r="K26" s="1" t="s">
        <v>473</v>
      </c>
      <c r="L26" s="1" t="s">
        <v>6974</v>
      </c>
      <c r="M26" s="1" t="s">
        <v>473</v>
      </c>
      <c r="N26" s="1" t="s">
        <v>7001</v>
      </c>
      <c r="O26" s="1" t="s">
        <v>7002</v>
      </c>
      <c r="P26" s="1" t="s">
        <v>8129</v>
      </c>
      <c r="Q26" s="28"/>
      <c r="R26" s="1" t="s">
        <v>8264</v>
      </c>
      <c r="S26" s="1"/>
      <c r="T26" s="10" t="str">
        <f>_xlfn.IFNA(VLOOKUP(B26,Sheet2!$A$2:$M$58,4,0),"-")</f>
        <v>-</v>
      </c>
      <c r="U26" s="10">
        <f>_xlfn.IFNA(VLOOKUP(B26,'TV Trx'!$B$4:$C$57,2,0),"-")</f>
        <v>45076</v>
      </c>
      <c r="V26" s="10">
        <f t="shared" si="1"/>
        <v>45076</v>
      </c>
      <c r="W26" s="1" t="str">
        <f>_xlfn.IFNA(VLOOKUP(B26,'CO Trx'!$A$4:$B$37,2,0),"-")</f>
        <v>-</v>
      </c>
      <c r="X26" s="1" t="str">
        <f>_xlfn.IFNA(VLOOKUP(B26,'CO Trx'!$A$49:$B$104,2,0),"-")</f>
        <v>-</v>
      </c>
      <c r="Y26" s="20" t="s">
        <v>6889</v>
      </c>
      <c r="AA26" t="s">
        <v>7939</v>
      </c>
      <c r="AB26" t="s">
        <v>7962</v>
      </c>
    </row>
    <row r="27" spans="1:28" x14ac:dyDescent="0.2">
      <c r="A27" s="1" t="s">
        <v>328</v>
      </c>
      <c r="B27" s="1" t="s">
        <v>329</v>
      </c>
      <c r="C27" s="1" t="s">
        <v>6</v>
      </c>
      <c r="D27" s="1" t="s">
        <v>330</v>
      </c>
      <c r="E27" s="1" t="s">
        <v>7003</v>
      </c>
      <c r="F27" s="1" t="s">
        <v>473</v>
      </c>
      <c r="G27" s="1" t="s">
        <v>473</v>
      </c>
      <c r="H27" s="1" t="s">
        <v>473</v>
      </c>
      <c r="I27" s="1" t="s">
        <v>473</v>
      </c>
      <c r="J27" s="1" t="s">
        <v>473</v>
      </c>
      <c r="K27" s="1" t="s">
        <v>473</v>
      </c>
      <c r="L27" s="1" t="s">
        <v>6974</v>
      </c>
      <c r="M27" s="1" t="s">
        <v>473</v>
      </c>
      <c r="N27" s="1" t="s">
        <v>7004</v>
      </c>
      <c r="O27" s="1" t="s">
        <v>7005</v>
      </c>
      <c r="P27" s="1" t="s">
        <v>8130</v>
      </c>
      <c r="Q27" s="28"/>
      <c r="R27" s="1"/>
      <c r="S27" s="1"/>
      <c r="T27" s="10">
        <f>_xlfn.IFNA(VLOOKUP(B27,Sheet2!$A$2:$M$58,4,0),"-")</f>
        <v>45072</v>
      </c>
      <c r="U27" s="10" t="str">
        <f>_xlfn.IFNA(VLOOKUP(B27,'TV Trx'!$B$4:$C$57,2,0),"-")</f>
        <v>-</v>
      </c>
      <c r="V27" s="10">
        <f t="shared" si="1"/>
        <v>45072</v>
      </c>
      <c r="W27" s="1">
        <f>_xlfn.IFNA(VLOOKUP(B27,'CO Trx'!$A$4:$B$37,2,0),"-")</f>
        <v>2</v>
      </c>
      <c r="X27" s="1">
        <f>_xlfn.IFNA(VLOOKUP(B27,'CO Trx'!$A$49:$B$104,2,0),"-")</f>
        <v>1</v>
      </c>
      <c r="Y27" s="20" t="s">
        <v>6889</v>
      </c>
      <c r="AA27" t="s">
        <v>8078</v>
      </c>
      <c r="AB27" t="s">
        <v>8051</v>
      </c>
    </row>
    <row r="28" spans="1:28" x14ac:dyDescent="0.2">
      <c r="A28" s="1" t="s">
        <v>136</v>
      </c>
      <c r="B28" s="1" t="s">
        <v>137</v>
      </c>
      <c r="C28" s="1" t="s">
        <v>13</v>
      </c>
      <c r="D28" s="1" t="s">
        <v>138</v>
      </c>
      <c r="E28" s="1" t="s">
        <v>7006</v>
      </c>
      <c r="F28" s="1" t="s">
        <v>473</v>
      </c>
      <c r="G28" s="1" t="s">
        <v>473</v>
      </c>
      <c r="H28" s="1" t="s">
        <v>473</v>
      </c>
      <c r="I28" s="1" t="s">
        <v>473</v>
      </c>
      <c r="J28" s="1" t="s">
        <v>473</v>
      </c>
      <c r="K28" s="1" t="s">
        <v>473</v>
      </c>
      <c r="L28" s="1" t="s">
        <v>473</v>
      </c>
      <c r="M28" s="1" t="s">
        <v>473</v>
      </c>
      <c r="N28" s="1" t="s">
        <v>7007</v>
      </c>
      <c r="O28" s="1" t="s">
        <v>7008</v>
      </c>
      <c r="P28" s="1" t="s">
        <v>8131</v>
      </c>
      <c r="Q28" s="28"/>
      <c r="R28" s="1" t="s">
        <v>8265</v>
      </c>
      <c r="S28" s="1"/>
      <c r="T28" s="10" t="str">
        <f>_xlfn.IFNA(VLOOKUP(B28,Sheet2!$A$2:$M$58,4,0),"-")</f>
        <v>-</v>
      </c>
      <c r="U28" s="10">
        <f>_xlfn.IFNA(VLOOKUP(B28,'TV Trx'!$B$4:$C$57,2,0),"-")</f>
        <v>45058</v>
      </c>
      <c r="V28" s="10">
        <f t="shared" si="1"/>
        <v>45058</v>
      </c>
      <c r="W28" s="1" t="str">
        <f>_xlfn.IFNA(VLOOKUP(B28,'CO Trx'!$A$4:$B$37,2,0),"-")</f>
        <v>-</v>
      </c>
      <c r="X28" s="1" t="str">
        <f>_xlfn.IFNA(VLOOKUP(B28,'CO Trx'!$A$49:$B$104,2,0),"-")</f>
        <v>-</v>
      </c>
      <c r="Y28" s="20" t="s">
        <v>6889</v>
      </c>
      <c r="AA28" t="s">
        <v>7940</v>
      </c>
      <c r="AB28" t="s">
        <v>7963</v>
      </c>
    </row>
    <row r="29" spans="1:28" x14ac:dyDescent="0.2">
      <c r="A29" s="1" t="s">
        <v>378</v>
      </c>
      <c r="B29" s="1" t="s">
        <v>379</v>
      </c>
      <c r="C29" s="1" t="s">
        <v>13</v>
      </c>
      <c r="D29" s="1" t="s">
        <v>380</v>
      </c>
      <c r="E29" s="1" t="s">
        <v>7009</v>
      </c>
      <c r="F29" s="1" t="s">
        <v>473</v>
      </c>
      <c r="G29" s="1" t="s">
        <v>473</v>
      </c>
      <c r="H29" s="1" t="s">
        <v>473</v>
      </c>
      <c r="I29" s="1" t="s">
        <v>473</v>
      </c>
      <c r="J29" s="1" t="s">
        <v>473</v>
      </c>
      <c r="K29" s="1" t="s">
        <v>473</v>
      </c>
      <c r="L29" s="1" t="s">
        <v>6974</v>
      </c>
      <c r="M29" s="1" t="s">
        <v>473</v>
      </c>
      <c r="N29" s="1" t="s">
        <v>7010</v>
      </c>
      <c r="O29" s="1" t="s">
        <v>7011</v>
      </c>
      <c r="P29" s="1" t="s">
        <v>8132</v>
      </c>
      <c r="Q29" s="28">
        <v>7851115017</v>
      </c>
      <c r="R29" s="1" t="s">
        <v>8255</v>
      </c>
      <c r="S29" s="1"/>
      <c r="T29" s="10" t="str">
        <f>_xlfn.IFNA(VLOOKUP(B29,Sheet2!$A$2:$M$58,4,0),"-")</f>
        <v>-</v>
      </c>
      <c r="U29" s="10" t="str">
        <f>_xlfn.IFNA(VLOOKUP(B29,'TV Trx'!$B$4:$C$57,2,0),"-")</f>
        <v>-</v>
      </c>
      <c r="V29" s="10" t="str">
        <f t="shared" si="1"/>
        <v>-</v>
      </c>
      <c r="W29" s="1" t="str">
        <f>_xlfn.IFNA(VLOOKUP(B29,'CO Trx'!$A$4:$B$37,2,0),"-")</f>
        <v>-</v>
      </c>
      <c r="X29" s="1" t="str">
        <f>_xlfn.IFNA(VLOOKUP(B29,'CO Trx'!$A$49:$B$104,2,0),"-")</f>
        <v>-</v>
      </c>
      <c r="Y29" s="21" t="s">
        <v>6890</v>
      </c>
      <c r="AA29" t="s">
        <v>7941</v>
      </c>
      <c r="AB29" t="s">
        <v>379</v>
      </c>
    </row>
    <row r="30" spans="1:28" x14ac:dyDescent="0.2">
      <c r="A30" s="1" t="s">
        <v>498</v>
      </c>
      <c r="B30" s="1" t="s">
        <v>499</v>
      </c>
      <c r="C30" s="1" t="s">
        <v>6</v>
      </c>
      <c r="D30" s="1" t="s">
        <v>500</v>
      </c>
      <c r="E30" s="1" t="s">
        <v>7012</v>
      </c>
      <c r="F30" s="1" t="s">
        <v>473</v>
      </c>
      <c r="G30" s="1" t="s">
        <v>473</v>
      </c>
      <c r="H30" s="1" t="s">
        <v>473</v>
      </c>
      <c r="I30" s="1" t="s">
        <v>473</v>
      </c>
      <c r="J30" s="1" t="s">
        <v>473</v>
      </c>
      <c r="K30" s="1" t="s">
        <v>473</v>
      </c>
      <c r="L30" s="1" t="s">
        <v>6974</v>
      </c>
      <c r="M30" s="1" t="s">
        <v>473</v>
      </c>
      <c r="N30" s="1" t="s">
        <v>7013</v>
      </c>
      <c r="O30" s="1" t="s">
        <v>7014</v>
      </c>
      <c r="P30" s="1" t="s">
        <v>8133</v>
      </c>
      <c r="Q30" s="28"/>
      <c r="R30" s="1"/>
      <c r="S30" s="1"/>
      <c r="T30" s="10">
        <f>_xlfn.IFNA(VLOOKUP(B30,Sheet2!$A$2:$M$58,4,0),"-")</f>
        <v>45076</v>
      </c>
      <c r="U30" s="10" t="str">
        <f>_xlfn.IFNA(VLOOKUP(B30,'TV Trx'!$B$4:$C$57,2,0),"-")</f>
        <v>-</v>
      </c>
      <c r="V30" s="10">
        <f t="shared" si="1"/>
        <v>45076</v>
      </c>
      <c r="W30" s="1" t="str">
        <f>_xlfn.IFNA(VLOOKUP(B30,'CO Trx'!$A$4:$B$37,2,0),"-")</f>
        <v>-</v>
      </c>
      <c r="X30" s="1">
        <f>_xlfn.IFNA(VLOOKUP(B30,'CO Trx'!$A$49:$B$104,2,0),"-")</f>
        <v>13</v>
      </c>
      <c r="Y30" s="20" t="s">
        <v>6889</v>
      </c>
      <c r="AA30" t="s">
        <v>8079</v>
      </c>
      <c r="AB30" t="s">
        <v>7978</v>
      </c>
    </row>
    <row r="31" spans="1:28" x14ac:dyDescent="0.2">
      <c r="A31" s="1" t="s">
        <v>423</v>
      </c>
      <c r="B31" s="1" t="s">
        <v>424</v>
      </c>
      <c r="C31" s="1" t="s">
        <v>6</v>
      </c>
      <c r="D31" s="1" t="s">
        <v>425</v>
      </c>
      <c r="E31" s="1" t="s">
        <v>7015</v>
      </c>
      <c r="F31" s="1" t="s">
        <v>473</v>
      </c>
      <c r="G31" s="1" t="s">
        <v>473</v>
      </c>
      <c r="H31" s="1" t="s">
        <v>473</v>
      </c>
      <c r="I31" s="1" t="s">
        <v>473</v>
      </c>
      <c r="J31" s="1" t="s">
        <v>473</v>
      </c>
      <c r="K31" s="1" t="s">
        <v>473</v>
      </c>
      <c r="L31" s="1" t="s">
        <v>6974</v>
      </c>
      <c r="M31" s="1" t="s">
        <v>473</v>
      </c>
      <c r="N31" s="1" t="s">
        <v>7016</v>
      </c>
      <c r="O31" s="1" t="s">
        <v>7017</v>
      </c>
      <c r="P31" s="1" t="s">
        <v>8134</v>
      </c>
      <c r="Q31" s="28"/>
      <c r="R31" s="1"/>
      <c r="S31" s="1"/>
      <c r="T31" s="10">
        <f>_xlfn.IFNA(VLOOKUP(B31,Sheet2!$A$2:$M$58,4,0),"-")</f>
        <v>45086</v>
      </c>
      <c r="U31" s="10" t="str">
        <f>_xlfn.IFNA(VLOOKUP(B31,'TV Trx'!$B$4:$C$57,2,0),"-")</f>
        <v>-</v>
      </c>
      <c r="V31" s="10">
        <f t="shared" si="1"/>
        <v>45086</v>
      </c>
      <c r="W31" s="1" t="str">
        <f>_xlfn.IFNA(VLOOKUP(B31,'CO Trx'!$A$4:$B$37,2,0),"-")</f>
        <v>-</v>
      </c>
      <c r="X31" s="1">
        <f>_xlfn.IFNA(VLOOKUP(B31,'CO Trx'!$A$49:$B$104,2,0),"-")</f>
        <v>9</v>
      </c>
      <c r="Y31" s="20" t="s">
        <v>6889</v>
      </c>
      <c r="AA31" t="s">
        <v>8080</v>
      </c>
      <c r="AB31" t="s">
        <v>8047</v>
      </c>
    </row>
    <row r="32" spans="1:28" x14ac:dyDescent="0.2">
      <c r="A32" s="1" t="s">
        <v>843</v>
      </c>
      <c r="B32" s="1" t="s">
        <v>844</v>
      </c>
      <c r="C32" s="1" t="s">
        <v>13</v>
      </c>
      <c r="D32" s="1" t="s">
        <v>845</v>
      </c>
      <c r="E32" s="1" t="s">
        <v>7018</v>
      </c>
      <c r="F32" s="1" t="s">
        <v>473</v>
      </c>
      <c r="G32" s="1" t="s">
        <v>473</v>
      </c>
      <c r="H32" s="1" t="s">
        <v>473</v>
      </c>
      <c r="I32" s="1" t="s">
        <v>473</v>
      </c>
      <c r="J32" s="1" t="s">
        <v>473</v>
      </c>
      <c r="K32" s="1" t="s">
        <v>473</v>
      </c>
      <c r="L32" s="1" t="s">
        <v>6974</v>
      </c>
      <c r="M32" s="1" t="s">
        <v>473</v>
      </c>
      <c r="N32" s="1" t="s">
        <v>7019</v>
      </c>
      <c r="O32" s="1" t="s">
        <v>7020</v>
      </c>
      <c r="P32" s="1" t="s">
        <v>8135</v>
      </c>
      <c r="Q32" s="28"/>
      <c r="R32" s="1" t="s">
        <v>8266</v>
      </c>
      <c r="S32" s="1"/>
      <c r="T32" s="10" t="str">
        <f>_xlfn.IFNA(VLOOKUP(B32,Sheet2!$A$2:$M$58,4,0),"-")</f>
        <v>-</v>
      </c>
      <c r="U32" s="10">
        <f>_xlfn.IFNA(VLOOKUP(B32,'TV Trx'!$B$4:$C$57,2,0),"-")</f>
        <v>45008</v>
      </c>
      <c r="V32" s="10">
        <f t="shared" si="1"/>
        <v>45008</v>
      </c>
      <c r="W32" s="1" t="str">
        <f>_xlfn.IFNA(VLOOKUP(B32,'CO Trx'!$A$4:$B$37,2,0),"-")</f>
        <v>-</v>
      </c>
      <c r="X32" s="1" t="str">
        <f>_xlfn.IFNA(VLOOKUP(B32,'CO Trx'!$A$49:$B$104,2,0),"-")</f>
        <v>-</v>
      </c>
      <c r="Y32" s="22" t="s">
        <v>6891</v>
      </c>
      <c r="AA32" t="s">
        <v>7942</v>
      </c>
      <c r="AB32" t="s">
        <v>7964</v>
      </c>
    </row>
    <row r="33" spans="1:28" x14ac:dyDescent="0.2">
      <c r="A33" s="1" t="s">
        <v>584</v>
      </c>
      <c r="B33" s="1" t="s">
        <v>585</v>
      </c>
      <c r="C33" s="1" t="s">
        <v>6</v>
      </c>
      <c r="D33" s="1" t="s">
        <v>586</v>
      </c>
      <c r="E33" s="1" t="s">
        <v>7021</v>
      </c>
      <c r="F33" s="1" t="s">
        <v>473</v>
      </c>
      <c r="G33" s="1" t="s">
        <v>473</v>
      </c>
      <c r="H33" s="1" t="s">
        <v>473</v>
      </c>
      <c r="I33" s="1" t="s">
        <v>473</v>
      </c>
      <c r="J33" s="1" t="s">
        <v>473</v>
      </c>
      <c r="K33" s="1" t="s">
        <v>473</v>
      </c>
      <c r="L33" s="1" t="s">
        <v>6974</v>
      </c>
      <c r="M33" s="1" t="s">
        <v>473</v>
      </c>
      <c r="N33" s="1" t="s">
        <v>7022</v>
      </c>
      <c r="O33" s="1" t="s">
        <v>7023</v>
      </c>
      <c r="P33" s="1" t="s">
        <v>8136</v>
      </c>
      <c r="Q33" s="28"/>
      <c r="R33" s="1"/>
      <c r="S33" s="1"/>
      <c r="T33" s="10">
        <f>_xlfn.IFNA(VLOOKUP(B33,Sheet2!$A$2:$M$58,4,0),"-")</f>
        <v>45080</v>
      </c>
      <c r="U33" s="10" t="str">
        <f>_xlfn.IFNA(VLOOKUP(B33,'TV Trx'!$B$4:$C$57,2,0),"-")</f>
        <v>-</v>
      </c>
      <c r="V33" s="10">
        <f t="shared" si="1"/>
        <v>45080</v>
      </c>
      <c r="W33" s="1" t="str">
        <f>_xlfn.IFNA(VLOOKUP(B33,'CO Trx'!$A$4:$B$37,2,0),"-")</f>
        <v>-</v>
      </c>
      <c r="X33" s="1">
        <f>_xlfn.IFNA(VLOOKUP(B33,'CO Trx'!$A$49:$B$104,2,0),"-")</f>
        <v>150</v>
      </c>
      <c r="Y33" s="20" t="s">
        <v>6889</v>
      </c>
      <c r="AA33" t="s">
        <v>8081</v>
      </c>
      <c r="AB33" t="s">
        <v>7976</v>
      </c>
    </row>
    <row r="34" spans="1:28" x14ac:dyDescent="0.2">
      <c r="A34" s="1" t="s">
        <v>707</v>
      </c>
      <c r="B34" s="1" t="s">
        <v>708</v>
      </c>
      <c r="C34" s="1" t="s">
        <v>6</v>
      </c>
      <c r="D34" s="1" t="s">
        <v>709</v>
      </c>
      <c r="E34" s="1" t="s">
        <v>7024</v>
      </c>
      <c r="F34" s="1" t="s">
        <v>473</v>
      </c>
      <c r="G34" s="1" t="s">
        <v>473</v>
      </c>
      <c r="H34" s="1" t="s">
        <v>473</v>
      </c>
      <c r="I34" s="1" t="s">
        <v>473</v>
      </c>
      <c r="J34" s="1" t="s">
        <v>473</v>
      </c>
      <c r="K34" s="1" t="s">
        <v>473</v>
      </c>
      <c r="L34" s="1" t="s">
        <v>6974</v>
      </c>
      <c r="M34" s="1" t="s">
        <v>473</v>
      </c>
      <c r="N34" s="1" t="s">
        <v>7025</v>
      </c>
      <c r="O34" s="1" t="s">
        <v>7026</v>
      </c>
      <c r="P34" s="1">
        <v>0</v>
      </c>
      <c r="Q34" s="28">
        <v>0</v>
      </c>
      <c r="R34" s="1">
        <v>0</v>
      </c>
      <c r="S34" s="1"/>
      <c r="T34" s="10" t="str">
        <f>_xlfn.IFNA(VLOOKUP(B34,Sheet2!$A$2:$M$58,4,0),"-")</f>
        <v>-</v>
      </c>
      <c r="U34" s="10" t="str">
        <f>_xlfn.IFNA(VLOOKUP(B34,'TV Trx'!$B$4:$C$57,2,0),"-")</f>
        <v>-</v>
      </c>
      <c r="V34" s="10" t="str">
        <f t="shared" si="1"/>
        <v>-</v>
      </c>
      <c r="W34" s="1" t="str">
        <f>_xlfn.IFNA(VLOOKUP(B34,'CO Trx'!$A$4:$B$37,2,0),"-")</f>
        <v>-</v>
      </c>
      <c r="X34" s="1" t="str">
        <f>_xlfn.IFNA(VLOOKUP(B34,'CO Trx'!$A$49:$B$104,2,0),"-")</f>
        <v>-</v>
      </c>
      <c r="Y34" s="21" t="s">
        <v>6890</v>
      </c>
    </row>
    <row r="35" spans="1:28" x14ac:dyDescent="0.2">
      <c r="A35" s="1" t="s">
        <v>611</v>
      </c>
      <c r="B35" s="1" t="s">
        <v>612</v>
      </c>
      <c r="C35" s="1" t="s">
        <v>6</v>
      </c>
      <c r="D35" s="1" t="s">
        <v>613</v>
      </c>
      <c r="E35" s="1" t="s">
        <v>7027</v>
      </c>
      <c r="F35" s="1" t="s">
        <v>473</v>
      </c>
      <c r="G35" s="1" t="s">
        <v>473</v>
      </c>
      <c r="H35" s="1" t="s">
        <v>473</v>
      </c>
      <c r="I35" s="1" t="s">
        <v>473</v>
      </c>
      <c r="J35" s="1" t="s">
        <v>473</v>
      </c>
      <c r="K35" s="1" t="s">
        <v>473</v>
      </c>
      <c r="L35" s="1" t="s">
        <v>6974</v>
      </c>
      <c r="M35" s="1" t="s">
        <v>473</v>
      </c>
      <c r="N35" s="1" t="s">
        <v>7028</v>
      </c>
      <c r="O35" s="1" t="s">
        <v>7029</v>
      </c>
      <c r="P35" s="1" t="s">
        <v>8137</v>
      </c>
      <c r="Q35" s="28"/>
      <c r="R35" s="1"/>
      <c r="S35" s="1"/>
      <c r="T35" s="10">
        <f>_xlfn.IFNA(VLOOKUP(B35,Sheet2!$A$2:$M$58,4,0),"-")</f>
        <v>45047</v>
      </c>
      <c r="U35" s="10" t="str">
        <f>_xlfn.IFNA(VLOOKUP(B35,'TV Trx'!$B$4:$C$57,2,0),"-")</f>
        <v>-</v>
      </c>
      <c r="V35" s="10">
        <f t="shared" si="1"/>
        <v>45047</v>
      </c>
      <c r="W35" s="1">
        <f>_xlfn.IFNA(VLOOKUP(B35,'CO Trx'!$A$4:$B$37,2,0),"-")</f>
        <v>1</v>
      </c>
      <c r="X35" s="1">
        <f>_xlfn.IFNA(VLOOKUP(B35,'CO Trx'!$A$49:$B$104,2,0),"-")</f>
        <v>7</v>
      </c>
      <c r="Y35" s="20" t="s">
        <v>6889</v>
      </c>
      <c r="AA35" t="s">
        <v>7943</v>
      </c>
      <c r="AB35" t="s">
        <v>8070</v>
      </c>
    </row>
    <row r="36" spans="1:28" x14ac:dyDescent="0.2">
      <c r="A36" s="1" t="s">
        <v>490</v>
      </c>
      <c r="B36" s="1" t="s">
        <v>491</v>
      </c>
      <c r="C36" s="1" t="s">
        <v>13</v>
      </c>
      <c r="D36" s="1" t="s">
        <v>492</v>
      </c>
      <c r="E36" s="1" t="s">
        <v>7027</v>
      </c>
      <c r="F36" s="1" t="s">
        <v>473</v>
      </c>
      <c r="G36" s="1" t="s">
        <v>473</v>
      </c>
      <c r="H36" s="1" t="s">
        <v>473</v>
      </c>
      <c r="I36" s="1" t="s">
        <v>473</v>
      </c>
      <c r="J36" s="1" t="s">
        <v>473</v>
      </c>
      <c r="K36" s="1" t="s">
        <v>473</v>
      </c>
      <c r="L36" s="1" t="s">
        <v>473</v>
      </c>
      <c r="M36" s="1" t="s">
        <v>473</v>
      </c>
      <c r="N36" s="1" t="s">
        <v>7030</v>
      </c>
      <c r="O36" s="1" t="s">
        <v>7031</v>
      </c>
      <c r="P36" s="1" t="s">
        <v>8137</v>
      </c>
      <c r="Q36" s="28"/>
      <c r="R36" s="1" t="s">
        <v>8267</v>
      </c>
      <c r="S36" s="1"/>
      <c r="T36" s="10" t="str">
        <f>_xlfn.IFNA(VLOOKUP(B36,Sheet2!$A$2:$M$58,4,0),"-")</f>
        <v>-</v>
      </c>
      <c r="U36" s="10">
        <f>_xlfn.IFNA(VLOOKUP(B36,'TV Trx'!$B$4:$C$57,2,0),"-")</f>
        <v>45072</v>
      </c>
      <c r="V36" s="10">
        <f t="shared" si="1"/>
        <v>45072</v>
      </c>
      <c r="W36" s="1" t="str">
        <f>_xlfn.IFNA(VLOOKUP(B36,'CO Trx'!$A$4:$B$37,2,0),"-")</f>
        <v>-</v>
      </c>
      <c r="X36" s="1" t="str">
        <f>_xlfn.IFNA(VLOOKUP(B36,'CO Trx'!$A$49:$B$104,2,0),"-")</f>
        <v>-</v>
      </c>
      <c r="Y36" s="20" t="s">
        <v>6889</v>
      </c>
      <c r="AA36" t="s">
        <v>7943</v>
      </c>
      <c r="AB36" t="s">
        <v>612</v>
      </c>
    </row>
    <row r="37" spans="1:28" x14ac:dyDescent="0.2">
      <c r="A37" s="1" t="s">
        <v>25</v>
      </c>
      <c r="B37" s="1" t="s">
        <v>26</v>
      </c>
      <c r="C37" s="1" t="s">
        <v>13</v>
      </c>
      <c r="D37" s="1" t="s">
        <v>27</v>
      </c>
      <c r="E37" s="1" t="s">
        <v>7032</v>
      </c>
      <c r="F37" s="1" t="s">
        <v>473</v>
      </c>
      <c r="G37" s="1" t="s">
        <v>473</v>
      </c>
      <c r="H37" s="1" t="s">
        <v>473</v>
      </c>
      <c r="I37" s="1" t="s">
        <v>473</v>
      </c>
      <c r="J37" s="1" t="s">
        <v>473</v>
      </c>
      <c r="K37" s="1" t="s">
        <v>473</v>
      </c>
      <c r="L37" s="1" t="s">
        <v>6974</v>
      </c>
      <c r="M37" s="1" t="s">
        <v>473</v>
      </c>
      <c r="N37" s="1" t="s">
        <v>7033</v>
      </c>
      <c r="O37" s="1" t="s">
        <v>7034</v>
      </c>
      <c r="P37" s="1" t="s">
        <v>8138</v>
      </c>
      <c r="Q37" s="28"/>
      <c r="R37" s="1" t="s">
        <v>8268</v>
      </c>
      <c r="S37" s="1"/>
      <c r="T37" s="10" t="str">
        <f>_xlfn.IFNA(VLOOKUP(B37,Sheet2!$A$2:$M$58,4,0),"-")</f>
        <v>-</v>
      </c>
      <c r="U37" s="10">
        <f>_xlfn.IFNA(VLOOKUP(B37,'TV Trx'!$B$4:$C$57,2,0),"-")</f>
        <v>45017</v>
      </c>
      <c r="V37" s="10">
        <f t="shared" si="1"/>
        <v>45017</v>
      </c>
      <c r="W37" s="1" t="str">
        <f>_xlfn.IFNA(VLOOKUP(B37,'CO Trx'!$A$4:$B$37,2,0),"-")</f>
        <v>-</v>
      </c>
      <c r="X37" s="1" t="str">
        <f>_xlfn.IFNA(VLOOKUP(B37,'CO Trx'!$A$49:$B$104,2,0),"-")</f>
        <v>-</v>
      </c>
      <c r="Y37" s="20" t="s">
        <v>6889</v>
      </c>
      <c r="AA37" t="s">
        <v>7944</v>
      </c>
      <c r="AB37" t="s">
        <v>7965</v>
      </c>
    </row>
    <row r="38" spans="1:28" x14ac:dyDescent="0.2">
      <c r="A38" s="1" t="s">
        <v>358</v>
      </c>
      <c r="B38" s="1" t="s">
        <v>359</v>
      </c>
      <c r="C38" s="1" t="s">
        <v>13</v>
      </c>
      <c r="D38" s="1" t="s">
        <v>360</v>
      </c>
      <c r="E38" s="1" t="s">
        <v>7035</v>
      </c>
      <c r="F38" s="1" t="s">
        <v>473</v>
      </c>
      <c r="G38" s="1" t="s">
        <v>473</v>
      </c>
      <c r="H38" s="1" t="s">
        <v>473</v>
      </c>
      <c r="I38" s="1" t="s">
        <v>473</v>
      </c>
      <c r="J38" s="1" t="s">
        <v>473</v>
      </c>
      <c r="K38" s="1" t="s">
        <v>473</v>
      </c>
      <c r="L38" s="1" t="s">
        <v>6974</v>
      </c>
      <c r="M38" s="1" t="s">
        <v>473</v>
      </c>
      <c r="N38" s="1" t="s">
        <v>7036</v>
      </c>
      <c r="O38" s="1" t="s">
        <v>7037</v>
      </c>
      <c r="P38" s="1" t="s">
        <v>8139</v>
      </c>
      <c r="Q38" s="28"/>
      <c r="R38" s="1" t="s">
        <v>8269</v>
      </c>
      <c r="S38" s="1"/>
      <c r="T38" s="10" t="str">
        <f>_xlfn.IFNA(VLOOKUP(B38,Sheet2!$A$2:$M$58,4,0),"-")</f>
        <v>-</v>
      </c>
      <c r="U38" s="10">
        <f>_xlfn.IFNA(VLOOKUP(B38,'TV Trx'!$B$4:$C$57,2,0),"-")</f>
        <v>45087</v>
      </c>
      <c r="V38" s="10">
        <f t="shared" si="1"/>
        <v>45087</v>
      </c>
      <c r="W38" s="1" t="str">
        <f>_xlfn.IFNA(VLOOKUP(B38,'CO Trx'!$A$4:$B$37,2,0),"-")</f>
        <v>-</v>
      </c>
      <c r="X38" s="1" t="str">
        <f>_xlfn.IFNA(VLOOKUP(B38,'CO Trx'!$A$49:$B$104,2,0),"-")</f>
        <v>-</v>
      </c>
      <c r="Y38" s="20" t="s">
        <v>6889</v>
      </c>
      <c r="AA38" t="s">
        <v>7946</v>
      </c>
      <c r="AB38" t="s">
        <v>7966</v>
      </c>
    </row>
    <row r="39" spans="1:28" x14ac:dyDescent="0.2">
      <c r="A39" s="1" t="s">
        <v>58</v>
      </c>
      <c r="B39" s="1" t="s">
        <v>59</v>
      </c>
      <c r="C39" s="1" t="s">
        <v>13</v>
      </c>
      <c r="D39" s="1" t="s">
        <v>60</v>
      </c>
      <c r="E39" s="1" t="s">
        <v>7038</v>
      </c>
      <c r="F39" s="1" t="s">
        <v>473</v>
      </c>
      <c r="G39" s="1" t="s">
        <v>473</v>
      </c>
      <c r="H39" s="1" t="s">
        <v>473</v>
      </c>
      <c r="I39" s="1" t="s">
        <v>473</v>
      </c>
      <c r="J39" s="1" t="s">
        <v>473</v>
      </c>
      <c r="K39" s="1" t="s">
        <v>473</v>
      </c>
      <c r="L39" s="1" t="s">
        <v>6974</v>
      </c>
      <c r="M39" s="1" t="s">
        <v>473</v>
      </c>
      <c r="N39" s="1" t="s">
        <v>7039</v>
      </c>
      <c r="O39" s="1" t="s">
        <v>7040</v>
      </c>
      <c r="P39" s="1" t="s">
        <v>8140</v>
      </c>
      <c r="Q39" s="28"/>
      <c r="R39" s="1" t="s">
        <v>8270</v>
      </c>
      <c r="S39" s="1"/>
      <c r="T39" s="10" t="str">
        <f>_xlfn.IFNA(VLOOKUP(B39,Sheet2!$A$2:$M$58,4,0),"-")</f>
        <v>-</v>
      </c>
      <c r="U39" s="10">
        <f>_xlfn.IFNA(VLOOKUP(B39,'TV Trx'!$B$4:$C$57,2,0),"-")</f>
        <v>45042</v>
      </c>
      <c r="V39" s="10">
        <f t="shared" si="1"/>
        <v>45042</v>
      </c>
      <c r="W39" s="1" t="str">
        <f>_xlfn.IFNA(VLOOKUP(B39,'CO Trx'!$A$4:$B$37,2,0),"-")</f>
        <v>-</v>
      </c>
      <c r="X39" s="1" t="str">
        <f>_xlfn.IFNA(VLOOKUP(B39,'CO Trx'!$A$49:$B$104,2,0),"-")</f>
        <v>-</v>
      </c>
      <c r="Y39" s="20" t="s">
        <v>6889</v>
      </c>
      <c r="AA39" t="s">
        <v>7947</v>
      </c>
      <c r="AB39" t="s">
        <v>7967</v>
      </c>
    </row>
    <row r="40" spans="1:28" x14ac:dyDescent="0.2">
      <c r="A40" s="1" t="s">
        <v>261</v>
      </c>
      <c r="B40" s="1" t="s">
        <v>262</v>
      </c>
      <c r="C40" s="1" t="s">
        <v>13</v>
      </c>
      <c r="D40" s="1" t="s">
        <v>263</v>
      </c>
      <c r="E40" s="1" t="s">
        <v>7041</v>
      </c>
      <c r="F40" s="1" t="s">
        <v>473</v>
      </c>
      <c r="G40" s="1" t="s">
        <v>473</v>
      </c>
      <c r="H40" s="1" t="s">
        <v>473</v>
      </c>
      <c r="I40" s="1" t="s">
        <v>473</v>
      </c>
      <c r="J40" s="1" t="s">
        <v>473</v>
      </c>
      <c r="K40" s="1" t="s">
        <v>473</v>
      </c>
      <c r="L40" s="1" t="s">
        <v>6974</v>
      </c>
      <c r="M40" s="1" t="s">
        <v>473</v>
      </c>
      <c r="N40" s="1" t="s">
        <v>7042</v>
      </c>
      <c r="O40" s="1" t="s">
        <v>7043</v>
      </c>
      <c r="P40" s="1" t="s">
        <v>8141</v>
      </c>
      <c r="Q40" s="28"/>
      <c r="R40" s="1" t="s">
        <v>8271</v>
      </c>
      <c r="S40" s="1"/>
      <c r="T40" s="10" t="str">
        <f>_xlfn.IFNA(VLOOKUP(B40,Sheet2!$A$2:$M$58,4,0),"-")</f>
        <v>-</v>
      </c>
      <c r="U40" s="10">
        <f>_xlfn.IFNA(VLOOKUP(B40,'TV Trx'!$B$4:$C$57,2,0),"-")</f>
        <v>45083</v>
      </c>
      <c r="V40" s="10">
        <f t="shared" si="1"/>
        <v>45083</v>
      </c>
      <c r="W40" s="1" t="str">
        <f>_xlfn.IFNA(VLOOKUP(B40,'CO Trx'!$A$4:$B$37,2,0),"-")</f>
        <v>-</v>
      </c>
      <c r="X40" s="1" t="str">
        <f>_xlfn.IFNA(VLOOKUP(B40,'CO Trx'!$A$49:$B$104,2,0),"-")</f>
        <v>-</v>
      </c>
      <c r="Y40" s="20" t="s">
        <v>6889</v>
      </c>
      <c r="AA40" t="s">
        <v>7948</v>
      </c>
      <c r="AB40" t="s">
        <v>7968</v>
      </c>
    </row>
    <row r="41" spans="1:28" x14ac:dyDescent="0.2">
      <c r="A41" s="1" t="s">
        <v>171</v>
      </c>
      <c r="B41" s="1" t="s">
        <v>172</v>
      </c>
      <c r="C41" s="1" t="s">
        <v>13</v>
      </c>
      <c r="D41" s="1" t="s">
        <v>173</v>
      </c>
      <c r="E41" s="1" t="s">
        <v>473</v>
      </c>
      <c r="F41" s="1" t="s">
        <v>473</v>
      </c>
      <c r="G41" s="1" t="s">
        <v>473</v>
      </c>
      <c r="H41" s="1" t="s">
        <v>473</v>
      </c>
      <c r="I41" s="1" t="s">
        <v>473</v>
      </c>
      <c r="J41" s="1" t="s">
        <v>473</v>
      </c>
      <c r="K41" s="1" t="s">
        <v>473</v>
      </c>
      <c r="L41" s="1" t="s">
        <v>473</v>
      </c>
      <c r="M41" s="1" t="s">
        <v>473</v>
      </c>
      <c r="N41" s="1" t="s">
        <v>7044</v>
      </c>
      <c r="O41" s="1" t="s">
        <v>7045</v>
      </c>
      <c r="P41" s="1">
        <v>0</v>
      </c>
      <c r="Q41" s="28">
        <v>0</v>
      </c>
      <c r="R41" s="1">
        <v>0</v>
      </c>
      <c r="S41" s="1"/>
      <c r="T41" s="10" t="str">
        <f>_xlfn.IFNA(VLOOKUP(B41,Sheet2!$A$2:$M$58,4,0),"-")</f>
        <v>-</v>
      </c>
      <c r="U41" s="10" t="str">
        <f>_xlfn.IFNA(VLOOKUP(B41,'TV Trx'!$B$4:$C$57,2,0),"-")</f>
        <v>-</v>
      </c>
      <c r="V41" s="10" t="str">
        <f t="shared" si="1"/>
        <v>-</v>
      </c>
      <c r="W41" s="1" t="str">
        <f>_xlfn.IFNA(VLOOKUP(B41,'CO Trx'!$A$4:$B$37,2,0),"-")</f>
        <v>-</v>
      </c>
      <c r="X41" s="1" t="str">
        <f>_xlfn.IFNA(VLOOKUP(B41,'CO Trx'!$A$49:$B$104,2,0),"-")</f>
        <v>-</v>
      </c>
      <c r="Y41" s="21" t="s">
        <v>6890</v>
      </c>
    </row>
    <row r="42" spans="1:28" x14ac:dyDescent="0.2">
      <c r="A42" s="1" t="s">
        <v>674</v>
      </c>
      <c r="B42" s="1" t="s">
        <v>675</v>
      </c>
      <c r="C42" s="1" t="s">
        <v>13</v>
      </c>
      <c r="D42" s="1" t="s">
        <v>676</v>
      </c>
      <c r="E42" s="1" t="s">
        <v>7046</v>
      </c>
      <c r="F42" s="1" t="s">
        <v>473</v>
      </c>
      <c r="G42" s="1" t="s">
        <v>473</v>
      </c>
      <c r="H42" s="1" t="s">
        <v>473</v>
      </c>
      <c r="I42" s="1" t="s">
        <v>473</v>
      </c>
      <c r="J42" s="1" t="s">
        <v>473</v>
      </c>
      <c r="K42" s="1" t="s">
        <v>473</v>
      </c>
      <c r="L42" s="1" t="s">
        <v>6974</v>
      </c>
      <c r="M42" s="1" t="s">
        <v>473</v>
      </c>
      <c r="N42" s="1" t="s">
        <v>7047</v>
      </c>
      <c r="O42" s="1" t="s">
        <v>7048</v>
      </c>
      <c r="P42" s="1" t="s">
        <v>8142</v>
      </c>
      <c r="Q42" s="28"/>
      <c r="R42" s="1" t="s">
        <v>8272</v>
      </c>
      <c r="S42" s="1"/>
      <c r="T42" s="10" t="str">
        <f>_xlfn.IFNA(VLOOKUP(B42,Sheet2!$A$2:$M$58,4,0),"-")</f>
        <v>-</v>
      </c>
      <c r="U42" s="10">
        <f>_xlfn.IFNA(VLOOKUP(B42,'TV Trx'!$B$4:$C$57,2,0),"-")</f>
        <v>45086</v>
      </c>
      <c r="V42" s="10">
        <f t="shared" si="1"/>
        <v>45086</v>
      </c>
      <c r="W42" s="1" t="str">
        <f>_xlfn.IFNA(VLOOKUP(B42,'CO Trx'!$A$4:$B$37,2,0),"-")</f>
        <v>-</v>
      </c>
      <c r="X42" s="1" t="str">
        <f>_xlfn.IFNA(VLOOKUP(B42,'CO Trx'!$A$49:$B$104,2,0),"-")</f>
        <v>-</v>
      </c>
      <c r="Y42" s="20" t="s">
        <v>6889</v>
      </c>
      <c r="AA42" t="s">
        <v>7945</v>
      </c>
      <c r="AB42" t="s">
        <v>7969</v>
      </c>
    </row>
    <row r="43" spans="1:28" x14ac:dyDescent="0.2">
      <c r="A43" s="1" t="s">
        <v>435</v>
      </c>
      <c r="B43" s="1" t="s">
        <v>436</v>
      </c>
      <c r="C43" s="1" t="s">
        <v>13</v>
      </c>
      <c r="D43" s="1" t="s">
        <v>437</v>
      </c>
      <c r="E43" s="1" t="s">
        <v>7049</v>
      </c>
      <c r="F43" s="1" t="s">
        <v>473</v>
      </c>
      <c r="G43" s="1" t="s">
        <v>473</v>
      </c>
      <c r="H43" s="1" t="s">
        <v>473</v>
      </c>
      <c r="I43" s="1" t="s">
        <v>473</v>
      </c>
      <c r="J43" s="1" t="s">
        <v>473</v>
      </c>
      <c r="K43" s="1" t="s">
        <v>473</v>
      </c>
      <c r="L43" s="1" t="s">
        <v>473</v>
      </c>
      <c r="M43" s="1" t="s">
        <v>473</v>
      </c>
      <c r="N43" s="1" t="s">
        <v>7050</v>
      </c>
      <c r="O43" s="1" t="s">
        <v>7051</v>
      </c>
      <c r="P43" s="1" t="s">
        <v>8143</v>
      </c>
      <c r="Q43" s="28"/>
      <c r="R43" s="1" t="s">
        <v>8273</v>
      </c>
      <c r="S43" s="1"/>
      <c r="T43" s="10" t="str">
        <f>_xlfn.IFNA(VLOOKUP(B43,Sheet2!$A$2:$M$58,4,0),"-")</f>
        <v>-</v>
      </c>
      <c r="U43" s="10">
        <f>_xlfn.IFNA(VLOOKUP(B43,'TV Trx'!$B$4:$C$57,2,0),"-")</f>
        <v>45078</v>
      </c>
      <c r="V43" s="10">
        <f t="shared" si="1"/>
        <v>45078</v>
      </c>
      <c r="W43" s="1" t="str">
        <f>_xlfn.IFNA(VLOOKUP(B43,'CO Trx'!$A$4:$B$37,2,0),"-")</f>
        <v>-</v>
      </c>
      <c r="X43" s="1" t="str">
        <f>_xlfn.IFNA(VLOOKUP(B43,'CO Trx'!$A$49:$B$104,2,0),"-")</f>
        <v>-</v>
      </c>
      <c r="Y43" s="20" t="s">
        <v>6889</v>
      </c>
      <c r="AA43" t="s">
        <v>7949</v>
      </c>
      <c r="AB43" t="s">
        <v>7970</v>
      </c>
    </row>
    <row r="44" spans="1:28" x14ac:dyDescent="0.2">
      <c r="A44" s="1" t="s">
        <v>148</v>
      </c>
      <c r="B44" s="1" t="s">
        <v>149</v>
      </c>
      <c r="C44" s="1" t="s">
        <v>6</v>
      </c>
      <c r="D44" s="1" t="s">
        <v>150</v>
      </c>
      <c r="E44" s="1" t="s">
        <v>7052</v>
      </c>
      <c r="F44" s="1" t="s">
        <v>473</v>
      </c>
      <c r="G44" s="1" t="s">
        <v>473</v>
      </c>
      <c r="H44" s="1" t="s">
        <v>7053</v>
      </c>
      <c r="I44" s="1" t="s">
        <v>6940</v>
      </c>
      <c r="J44" s="1" t="s">
        <v>6941</v>
      </c>
      <c r="K44" s="1" t="s">
        <v>473</v>
      </c>
      <c r="L44" s="1" t="s">
        <v>7054</v>
      </c>
      <c r="M44" s="1" t="s">
        <v>473</v>
      </c>
      <c r="N44" s="1" t="s">
        <v>7055</v>
      </c>
      <c r="O44" s="1" t="s">
        <v>7056</v>
      </c>
      <c r="P44" s="1">
        <v>0</v>
      </c>
      <c r="Q44" s="28">
        <v>0</v>
      </c>
      <c r="R44" s="1">
        <v>0</v>
      </c>
      <c r="S44" s="1"/>
      <c r="T44" s="10" t="str">
        <f>_xlfn.IFNA(VLOOKUP(B44,Sheet2!$A$2:$M$58,4,0),"-")</f>
        <v>-</v>
      </c>
      <c r="U44" s="10" t="str">
        <f>_xlfn.IFNA(VLOOKUP(B44,'TV Trx'!$B$4:$C$57,2,0),"-")</f>
        <v>-</v>
      </c>
      <c r="V44" s="10" t="str">
        <f t="shared" si="1"/>
        <v>-</v>
      </c>
      <c r="W44" s="1" t="str">
        <f>_xlfn.IFNA(VLOOKUP(B44,'CO Trx'!$A$4:$B$37,2,0),"-")</f>
        <v>-</v>
      </c>
      <c r="X44" s="1" t="str">
        <f>_xlfn.IFNA(VLOOKUP(B44,'CO Trx'!$A$49:$B$104,2,0),"-")</f>
        <v>-</v>
      </c>
      <c r="Y44" s="21" t="s">
        <v>6890</v>
      </c>
    </row>
    <row r="45" spans="1:28" x14ac:dyDescent="0.2">
      <c r="A45" s="1" t="s">
        <v>818</v>
      </c>
      <c r="B45" s="1" t="s">
        <v>819</v>
      </c>
      <c r="C45" s="1" t="s">
        <v>6</v>
      </c>
      <c r="D45" s="1" t="s">
        <v>150</v>
      </c>
      <c r="E45" s="1" t="s">
        <v>7052</v>
      </c>
      <c r="F45" s="1" t="s">
        <v>473</v>
      </c>
      <c r="G45" s="1" t="s">
        <v>473</v>
      </c>
      <c r="H45" s="1" t="s">
        <v>473</v>
      </c>
      <c r="I45" s="1" t="s">
        <v>473</v>
      </c>
      <c r="J45" s="1" t="s">
        <v>473</v>
      </c>
      <c r="K45" s="1" t="s">
        <v>473</v>
      </c>
      <c r="L45" s="1" t="s">
        <v>7057</v>
      </c>
      <c r="M45" s="1" t="s">
        <v>473</v>
      </c>
      <c r="N45" s="1" t="s">
        <v>7058</v>
      </c>
      <c r="O45" s="1" t="s">
        <v>7059</v>
      </c>
      <c r="P45" s="1">
        <v>0</v>
      </c>
      <c r="Q45" s="28">
        <v>0</v>
      </c>
      <c r="R45" s="1">
        <v>0</v>
      </c>
      <c r="S45" s="1"/>
      <c r="T45" s="10" t="str">
        <f>_xlfn.IFNA(VLOOKUP(B45,Sheet2!$A$2:$M$58,4,0),"-")</f>
        <v>-</v>
      </c>
      <c r="U45" s="10" t="str">
        <f>_xlfn.IFNA(VLOOKUP(B45,'TV Trx'!$B$4:$C$57,2,0),"-")</f>
        <v>-</v>
      </c>
      <c r="V45" s="10" t="str">
        <f t="shared" si="1"/>
        <v>-</v>
      </c>
      <c r="W45" s="1" t="str">
        <f>_xlfn.IFNA(VLOOKUP(B45,'CO Trx'!$A$4:$B$37,2,0),"-")</f>
        <v>-</v>
      </c>
      <c r="X45" s="1" t="str">
        <f>_xlfn.IFNA(VLOOKUP(B45,'CO Trx'!$A$49:$B$104,2,0),"-")</f>
        <v>-</v>
      </c>
      <c r="Y45" s="21" t="s">
        <v>6890</v>
      </c>
    </row>
    <row r="46" spans="1:28" x14ac:dyDescent="0.2">
      <c r="A46" s="1" t="s">
        <v>757</v>
      </c>
      <c r="B46" s="1" t="s">
        <v>758</v>
      </c>
      <c r="C46" s="1" t="s">
        <v>6</v>
      </c>
      <c r="D46" s="1" t="s">
        <v>759</v>
      </c>
      <c r="E46" s="1" t="s">
        <v>7052</v>
      </c>
      <c r="F46" s="1" t="s">
        <v>473</v>
      </c>
      <c r="G46" s="1" t="s">
        <v>473</v>
      </c>
      <c r="H46" s="1" t="s">
        <v>473</v>
      </c>
      <c r="I46" s="1" t="s">
        <v>473</v>
      </c>
      <c r="J46" s="1" t="s">
        <v>473</v>
      </c>
      <c r="K46" s="1" t="s">
        <v>473</v>
      </c>
      <c r="L46" s="1" t="s">
        <v>7060</v>
      </c>
      <c r="M46" s="1" t="s">
        <v>473</v>
      </c>
      <c r="N46" s="1" t="s">
        <v>7061</v>
      </c>
      <c r="O46" s="1" t="s">
        <v>7062</v>
      </c>
      <c r="P46" s="1">
        <v>0</v>
      </c>
      <c r="Q46" s="28">
        <v>0</v>
      </c>
      <c r="R46" s="1">
        <v>0</v>
      </c>
      <c r="S46" s="1"/>
      <c r="T46" s="10" t="str">
        <f>_xlfn.IFNA(VLOOKUP(B46,Sheet2!$A$2:$M$58,4,0),"-")</f>
        <v>-</v>
      </c>
      <c r="U46" s="10" t="str">
        <f>_xlfn.IFNA(VLOOKUP(B46,'TV Trx'!$B$4:$C$57,2,0),"-")</f>
        <v>-</v>
      </c>
      <c r="V46" s="10" t="str">
        <f t="shared" si="1"/>
        <v>-</v>
      </c>
      <c r="W46" s="1" t="str">
        <f>_xlfn.IFNA(VLOOKUP(B46,'CO Trx'!$A$4:$B$37,2,0),"-")</f>
        <v>-</v>
      </c>
      <c r="X46" s="1" t="str">
        <f>_xlfn.IFNA(VLOOKUP(B46,'CO Trx'!$A$49:$B$104,2,0),"-")</f>
        <v>-</v>
      </c>
      <c r="Y46" s="21" t="s">
        <v>6890</v>
      </c>
    </row>
    <row r="47" spans="1:28" x14ac:dyDescent="0.2">
      <c r="A47" s="1" t="s">
        <v>815</v>
      </c>
      <c r="B47" s="1" t="s">
        <v>816</v>
      </c>
      <c r="C47" s="1" t="s">
        <v>13</v>
      </c>
      <c r="D47" s="1" t="s">
        <v>817</v>
      </c>
      <c r="E47" s="1" t="s">
        <v>817</v>
      </c>
      <c r="F47" s="1" t="s">
        <v>473</v>
      </c>
      <c r="G47" s="1" t="s">
        <v>473</v>
      </c>
      <c r="H47" s="1" t="s">
        <v>817</v>
      </c>
      <c r="I47" s="1" t="s">
        <v>7063</v>
      </c>
      <c r="J47" s="1" t="s">
        <v>7064</v>
      </c>
      <c r="K47" s="1" t="s">
        <v>473</v>
      </c>
      <c r="L47" s="1" t="s">
        <v>817</v>
      </c>
      <c r="M47" s="1" t="s">
        <v>473</v>
      </c>
      <c r="N47" s="1" t="s">
        <v>7065</v>
      </c>
      <c r="O47" s="1" t="s">
        <v>7066</v>
      </c>
      <c r="P47" s="1" t="s">
        <v>8144</v>
      </c>
      <c r="Q47" s="28">
        <v>0</v>
      </c>
      <c r="R47" s="1">
        <v>0</v>
      </c>
      <c r="S47" s="1"/>
      <c r="T47" s="10" t="str">
        <f>_xlfn.IFNA(VLOOKUP(B47,Sheet2!$A$2:$M$58,4,0),"-")</f>
        <v>-</v>
      </c>
      <c r="U47" s="10" t="str">
        <f>_xlfn.IFNA(VLOOKUP(B47,'TV Trx'!$B$4:$C$57,2,0),"-")</f>
        <v>-</v>
      </c>
      <c r="V47" s="10" t="str">
        <f t="shared" si="1"/>
        <v>-</v>
      </c>
      <c r="W47" s="1" t="str">
        <f>_xlfn.IFNA(VLOOKUP(B47,'CO Trx'!$A$4:$B$37,2,0),"-")</f>
        <v>-</v>
      </c>
      <c r="X47" s="1" t="str">
        <f>_xlfn.IFNA(VLOOKUP(B47,'CO Trx'!$A$49:$B$104,2,0),"-")</f>
        <v>-</v>
      </c>
      <c r="Y47" s="21" t="s">
        <v>6890</v>
      </c>
      <c r="AA47" t="s">
        <v>7950</v>
      </c>
    </row>
    <row r="48" spans="1:28" x14ac:dyDescent="0.2">
      <c r="A48" s="1" t="s">
        <v>323</v>
      </c>
      <c r="B48" s="1" t="s">
        <v>324</v>
      </c>
      <c r="C48" s="1" t="s">
        <v>6</v>
      </c>
      <c r="D48" s="1" t="s">
        <v>325</v>
      </c>
      <c r="E48" s="1" t="s">
        <v>7067</v>
      </c>
      <c r="F48" s="1" t="s">
        <v>473</v>
      </c>
      <c r="G48" s="1" t="s">
        <v>473</v>
      </c>
      <c r="H48" s="1" t="s">
        <v>325</v>
      </c>
      <c r="I48" s="1" t="s">
        <v>7068</v>
      </c>
      <c r="J48" s="1" t="s">
        <v>6912</v>
      </c>
      <c r="K48" s="1" t="s">
        <v>473</v>
      </c>
      <c r="L48" s="1" t="s">
        <v>325</v>
      </c>
      <c r="M48" s="1" t="s">
        <v>473</v>
      </c>
      <c r="N48" s="1" t="s">
        <v>7069</v>
      </c>
      <c r="O48" s="1" t="s">
        <v>7070</v>
      </c>
      <c r="P48" s="1">
        <v>0</v>
      </c>
      <c r="Q48" s="28">
        <v>0</v>
      </c>
      <c r="R48" s="1">
        <v>0</v>
      </c>
      <c r="S48" s="1"/>
      <c r="T48" s="10" t="str">
        <f>_xlfn.IFNA(VLOOKUP(B48,Sheet2!$A$2:$M$58,4,0),"-")</f>
        <v>-</v>
      </c>
      <c r="U48" s="10" t="str">
        <f>_xlfn.IFNA(VLOOKUP(B48,'TV Trx'!$B$4:$C$57,2,0),"-")</f>
        <v>-</v>
      </c>
      <c r="V48" s="10" t="str">
        <f t="shared" si="1"/>
        <v>-</v>
      </c>
      <c r="W48" s="1" t="str">
        <f>_xlfn.IFNA(VLOOKUP(B48,'CO Trx'!$A$4:$B$37,2,0),"-")</f>
        <v>-</v>
      </c>
      <c r="X48" s="1" t="str">
        <f>_xlfn.IFNA(VLOOKUP(B48,'CO Trx'!$A$49:$B$104,2,0),"-")</f>
        <v>-</v>
      </c>
      <c r="Y48" s="21" t="s">
        <v>6890</v>
      </c>
    </row>
    <row r="49" spans="1:25" x14ac:dyDescent="0.2">
      <c r="A49" s="1" t="s">
        <v>4</v>
      </c>
      <c r="B49" s="1" t="s">
        <v>5</v>
      </c>
      <c r="C49" s="1" t="s">
        <v>6</v>
      </c>
      <c r="D49" s="1" t="s">
        <v>7</v>
      </c>
      <c r="E49" s="1" t="s">
        <v>7071</v>
      </c>
      <c r="F49" s="1" t="s">
        <v>473</v>
      </c>
      <c r="G49" s="1" t="s">
        <v>473</v>
      </c>
      <c r="H49" s="1" t="s">
        <v>473</v>
      </c>
      <c r="I49" s="1" t="s">
        <v>473</v>
      </c>
      <c r="J49" s="1" t="s">
        <v>473</v>
      </c>
      <c r="K49" s="1" t="s">
        <v>473</v>
      </c>
      <c r="L49" s="1" t="s">
        <v>7072</v>
      </c>
      <c r="M49" s="1" t="s">
        <v>473</v>
      </c>
      <c r="N49" s="1" t="s">
        <v>7073</v>
      </c>
      <c r="O49" s="1" t="s">
        <v>7074</v>
      </c>
      <c r="P49" s="1">
        <v>0</v>
      </c>
      <c r="Q49" s="28">
        <v>0</v>
      </c>
      <c r="R49" s="1">
        <v>0</v>
      </c>
      <c r="S49" s="1"/>
      <c r="T49" s="10" t="str">
        <f>_xlfn.IFNA(VLOOKUP(B49,Sheet2!$A$2:$M$58,4,0),"-")</f>
        <v>-</v>
      </c>
      <c r="U49" s="10" t="str">
        <f>_xlfn.IFNA(VLOOKUP(B49,'TV Trx'!$B$4:$C$57,2,0),"-")</f>
        <v>-</v>
      </c>
      <c r="V49" s="10" t="str">
        <f t="shared" si="1"/>
        <v>-</v>
      </c>
      <c r="W49" s="1" t="str">
        <f>_xlfn.IFNA(VLOOKUP(B49,'CO Trx'!$A$4:$B$37,2,0),"-")</f>
        <v>-</v>
      </c>
      <c r="X49" s="1" t="str">
        <f>_xlfn.IFNA(VLOOKUP(B49,'CO Trx'!$A$49:$B$104,2,0),"-")</f>
        <v>-</v>
      </c>
      <c r="Y49" s="21" t="s">
        <v>6890</v>
      </c>
    </row>
    <row r="50" spans="1:25" x14ac:dyDescent="0.2">
      <c r="A50" s="1" t="s">
        <v>109</v>
      </c>
      <c r="B50" s="1" t="s">
        <v>110</v>
      </c>
      <c r="C50" s="1" t="s">
        <v>13</v>
      </c>
      <c r="D50" s="1" t="s">
        <v>111</v>
      </c>
      <c r="E50" s="1" t="s">
        <v>7075</v>
      </c>
      <c r="F50" s="1" t="s">
        <v>473</v>
      </c>
      <c r="G50" s="1" t="s">
        <v>473</v>
      </c>
      <c r="H50" s="1" t="s">
        <v>473</v>
      </c>
      <c r="I50" s="1" t="s">
        <v>473</v>
      </c>
      <c r="J50" s="1" t="s">
        <v>473</v>
      </c>
      <c r="K50" s="1" t="s">
        <v>473</v>
      </c>
      <c r="L50" s="1" t="s">
        <v>473</v>
      </c>
      <c r="M50" s="1" t="s">
        <v>473</v>
      </c>
      <c r="N50" s="1" t="s">
        <v>7076</v>
      </c>
      <c r="O50" s="1" t="s">
        <v>7077</v>
      </c>
      <c r="P50" s="1">
        <v>0</v>
      </c>
      <c r="Q50" s="28">
        <v>0</v>
      </c>
      <c r="R50" s="1">
        <v>0</v>
      </c>
      <c r="S50" s="1"/>
      <c r="T50" s="10" t="str">
        <f>_xlfn.IFNA(VLOOKUP(B50,Sheet2!$A$2:$M$58,4,0),"-")</f>
        <v>-</v>
      </c>
      <c r="U50" s="10" t="str">
        <f>_xlfn.IFNA(VLOOKUP(B50,'TV Trx'!$B$4:$C$57,2,0),"-")</f>
        <v>-</v>
      </c>
      <c r="V50" s="10" t="str">
        <f t="shared" si="1"/>
        <v>-</v>
      </c>
      <c r="W50" s="1" t="str">
        <f>_xlfn.IFNA(VLOOKUP(B50,'CO Trx'!$A$4:$B$37,2,0),"-")</f>
        <v>-</v>
      </c>
      <c r="X50" s="1" t="str">
        <f>_xlfn.IFNA(VLOOKUP(B50,'CO Trx'!$A$49:$B$104,2,0),"-")</f>
        <v>-</v>
      </c>
      <c r="Y50" s="21" t="s">
        <v>6890</v>
      </c>
    </row>
    <row r="51" spans="1:25" x14ac:dyDescent="0.2">
      <c r="A51" s="1" t="s">
        <v>195</v>
      </c>
      <c r="B51" s="1" t="s">
        <v>196</v>
      </c>
      <c r="C51" s="1" t="s">
        <v>13</v>
      </c>
      <c r="D51" s="1" t="s">
        <v>197</v>
      </c>
      <c r="E51" s="1" t="s">
        <v>7078</v>
      </c>
      <c r="F51" s="1" t="s">
        <v>473</v>
      </c>
      <c r="G51" s="1" t="s">
        <v>473</v>
      </c>
      <c r="H51" s="1" t="s">
        <v>7079</v>
      </c>
      <c r="I51" s="1" t="s">
        <v>6940</v>
      </c>
      <c r="J51" s="1" t="s">
        <v>6941</v>
      </c>
      <c r="K51" s="1" t="s">
        <v>473</v>
      </c>
      <c r="L51" s="1" t="s">
        <v>473</v>
      </c>
      <c r="M51" s="1" t="s">
        <v>473</v>
      </c>
      <c r="N51" s="1" t="s">
        <v>473</v>
      </c>
      <c r="O51" s="1" t="s">
        <v>7080</v>
      </c>
      <c r="P51" s="1">
        <v>0</v>
      </c>
      <c r="Q51" s="28">
        <v>0</v>
      </c>
      <c r="R51" s="1">
        <v>0</v>
      </c>
      <c r="S51" s="1"/>
      <c r="T51" s="10" t="str">
        <f>_xlfn.IFNA(VLOOKUP(B51,Sheet2!$A$2:$M$58,4,0),"-")</f>
        <v>-</v>
      </c>
      <c r="U51" s="10" t="str">
        <f>_xlfn.IFNA(VLOOKUP(B51,'TV Trx'!$B$4:$C$57,2,0),"-")</f>
        <v>-</v>
      </c>
      <c r="V51" s="10" t="str">
        <f t="shared" si="1"/>
        <v>-</v>
      </c>
      <c r="W51" s="1" t="str">
        <f>_xlfn.IFNA(VLOOKUP(B51,'CO Trx'!$A$4:$B$37,2,0),"-")</f>
        <v>-</v>
      </c>
      <c r="X51" s="1" t="str">
        <f>_xlfn.IFNA(VLOOKUP(B51,'CO Trx'!$A$49:$B$104,2,0),"-")</f>
        <v>-</v>
      </c>
      <c r="Y51" s="21" t="s">
        <v>6890</v>
      </c>
    </row>
    <row r="52" spans="1:25" x14ac:dyDescent="0.2">
      <c r="A52" s="1" t="s">
        <v>252</v>
      </c>
      <c r="B52" s="1" t="s">
        <v>253</v>
      </c>
      <c r="C52" s="1" t="s">
        <v>13</v>
      </c>
      <c r="D52" s="1" t="s">
        <v>254</v>
      </c>
      <c r="E52" s="1" t="s">
        <v>7081</v>
      </c>
      <c r="F52" s="1" t="s">
        <v>473</v>
      </c>
      <c r="G52" s="1" t="s">
        <v>473</v>
      </c>
      <c r="H52" s="1" t="s">
        <v>473</v>
      </c>
      <c r="I52" s="1" t="s">
        <v>473</v>
      </c>
      <c r="J52" s="1" t="s">
        <v>473</v>
      </c>
      <c r="K52" s="1" t="s">
        <v>473</v>
      </c>
      <c r="L52" s="1" t="s">
        <v>473</v>
      </c>
      <c r="M52" s="1" t="s">
        <v>473</v>
      </c>
      <c r="N52" s="1" t="s">
        <v>473</v>
      </c>
      <c r="O52" s="1" t="s">
        <v>7082</v>
      </c>
      <c r="P52" s="1">
        <v>0</v>
      </c>
      <c r="Q52" s="28">
        <v>0</v>
      </c>
      <c r="R52" s="1">
        <v>0</v>
      </c>
      <c r="S52" s="1"/>
      <c r="T52" s="10" t="str">
        <f>_xlfn.IFNA(VLOOKUP(B52,Sheet2!$A$2:$M$58,4,0),"-")</f>
        <v>-</v>
      </c>
      <c r="U52" s="10" t="str">
        <f>_xlfn.IFNA(VLOOKUP(B52,'TV Trx'!$B$4:$C$57,2,0),"-")</f>
        <v>-</v>
      </c>
      <c r="V52" s="10" t="str">
        <f t="shared" si="1"/>
        <v>-</v>
      </c>
      <c r="W52" s="1" t="str">
        <f>_xlfn.IFNA(VLOOKUP(B52,'CO Trx'!$A$4:$B$37,2,0),"-")</f>
        <v>-</v>
      </c>
      <c r="X52" s="1" t="str">
        <f>_xlfn.IFNA(VLOOKUP(B52,'CO Trx'!$A$49:$B$104,2,0),"-")</f>
        <v>-</v>
      </c>
      <c r="Y52" s="21" t="s">
        <v>6890</v>
      </c>
    </row>
    <row r="53" spans="1:25" x14ac:dyDescent="0.2">
      <c r="A53" s="1" t="s">
        <v>408</v>
      </c>
      <c r="B53" s="1" t="s">
        <v>409</v>
      </c>
      <c r="C53" s="1" t="s">
        <v>6</v>
      </c>
      <c r="D53" s="1" t="s">
        <v>410</v>
      </c>
      <c r="E53" s="1" t="s">
        <v>7083</v>
      </c>
      <c r="F53" s="1" t="s">
        <v>473</v>
      </c>
      <c r="G53" s="1" t="s">
        <v>473</v>
      </c>
      <c r="H53" s="1" t="s">
        <v>473</v>
      </c>
      <c r="I53" s="1" t="s">
        <v>473</v>
      </c>
      <c r="J53" s="1" t="s">
        <v>473</v>
      </c>
      <c r="K53" s="1" t="s">
        <v>473</v>
      </c>
      <c r="L53" s="1" t="s">
        <v>7084</v>
      </c>
      <c r="M53" s="1" t="s">
        <v>473</v>
      </c>
      <c r="N53" s="1" t="s">
        <v>7085</v>
      </c>
      <c r="O53" s="1" t="s">
        <v>7086</v>
      </c>
      <c r="P53" s="1">
        <v>0</v>
      </c>
      <c r="Q53" s="28">
        <v>0</v>
      </c>
      <c r="R53" s="1">
        <v>0</v>
      </c>
      <c r="S53" s="1"/>
      <c r="T53" s="10" t="str">
        <f>_xlfn.IFNA(VLOOKUP(B53,Sheet2!$A$2:$M$58,4,0),"-")</f>
        <v>-</v>
      </c>
      <c r="U53" s="10" t="str">
        <f>_xlfn.IFNA(VLOOKUP(B53,'TV Trx'!$B$4:$C$57,2,0),"-")</f>
        <v>-</v>
      </c>
      <c r="V53" s="10" t="str">
        <f t="shared" si="1"/>
        <v>-</v>
      </c>
      <c r="W53" s="1" t="str">
        <f>_xlfn.IFNA(VLOOKUP(B53,'CO Trx'!$A$4:$B$37,2,0),"-")</f>
        <v>-</v>
      </c>
      <c r="X53" s="1" t="str">
        <f>_xlfn.IFNA(VLOOKUP(B53,'CO Trx'!$A$49:$B$104,2,0),"-")</f>
        <v>-</v>
      </c>
      <c r="Y53" s="21" t="s">
        <v>6890</v>
      </c>
    </row>
    <row r="54" spans="1:25" x14ac:dyDescent="0.2">
      <c r="A54" s="1" t="s">
        <v>343</v>
      </c>
      <c r="B54" s="1" t="s">
        <v>344</v>
      </c>
      <c r="C54" s="1" t="s">
        <v>13</v>
      </c>
      <c r="D54" s="1" t="s">
        <v>345</v>
      </c>
      <c r="E54" s="1" t="s">
        <v>7081</v>
      </c>
      <c r="F54" s="1" t="s">
        <v>473</v>
      </c>
      <c r="G54" s="1" t="s">
        <v>473</v>
      </c>
      <c r="H54" s="1" t="s">
        <v>473</v>
      </c>
      <c r="I54" s="1" t="s">
        <v>473</v>
      </c>
      <c r="J54" s="1" t="s">
        <v>473</v>
      </c>
      <c r="K54" s="1" t="s">
        <v>473</v>
      </c>
      <c r="L54" s="1" t="s">
        <v>473</v>
      </c>
      <c r="M54" s="1" t="s">
        <v>473</v>
      </c>
      <c r="N54" s="1" t="s">
        <v>7087</v>
      </c>
      <c r="O54" s="1" t="s">
        <v>7088</v>
      </c>
      <c r="P54" s="1">
        <v>0</v>
      </c>
      <c r="Q54" s="28">
        <v>0</v>
      </c>
      <c r="R54" s="1">
        <v>0</v>
      </c>
      <c r="S54" s="1"/>
      <c r="T54" s="10" t="str">
        <f>_xlfn.IFNA(VLOOKUP(B54,Sheet2!$A$2:$M$58,4,0),"-")</f>
        <v>-</v>
      </c>
      <c r="U54" s="10" t="str">
        <f>_xlfn.IFNA(VLOOKUP(B54,'TV Trx'!$B$4:$C$57,2,0),"-")</f>
        <v>-</v>
      </c>
      <c r="V54" s="10" t="str">
        <f t="shared" si="1"/>
        <v>-</v>
      </c>
      <c r="W54" s="1" t="str">
        <f>_xlfn.IFNA(VLOOKUP(B54,'CO Trx'!$A$4:$B$37,2,0),"-")</f>
        <v>-</v>
      </c>
      <c r="X54" s="1" t="str">
        <f>_xlfn.IFNA(VLOOKUP(B54,'CO Trx'!$A$49:$B$104,2,0),"-")</f>
        <v>-</v>
      </c>
      <c r="Y54" s="21" t="s">
        <v>6890</v>
      </c>
    </row>
    <row r="55" spans="1:25" x14ac:dyDescent="0.2">
      <c r="A55" s="1" t="s">
        <v>189</v>
      </c>
      <c r="B55" s="1" t="s">
        <v>190</v>
      </c>
      <c r="C55" s="1" t="s">
        <v>6</v>
      </c>
      <c r="D55" s="1" t="s">
        <v>191</v>
      </c>
      <c r="E55" s="1" t="s">
        <v>7089</v>
      </c>
      <c r="F55" s="1" t="s">
        <v>473</v>
      </c>
      <c r="G55" s="1" t="s">
        <v>473</v>
      </c>
      <c r="H55" s="1" t="s">
        <v>7090</v>
      </c>
      <c r="I55" s="1" t="s">
        <v>7091</v>
      </c>
      <c r="J55" s="1" t="s">
        <v>7092</v>
      </c>
      <c r="K55" s="1" t="s">
        <v>473</v>
      </c>
      <c r="L55" s="1" t="s">
        <v>473</v>
      </c>
      <c r="M55" s="1" t="s">
        <v>473</v>
      </c>
      <c r="N55" s="1" t="s">
        <v>473</v>
      </c>
      <c r="O55" s="1" t="s">
        <v>7093</v>
      </c>
      <c r="P55" s="1">
        <v>0</v>
      </c>
      <c r="Q55" s="28">
        <v>0</v>
      </c>
      <c r="R55" s="1">
        <v>0</v>
      </c>
      <c r="S55" s="1"/>
      <c r="T55" s="10" t="str">
        <f>_xlfn.IFNA(VLOOKUP(B55,Sheet2!$A$2:$M$58,4,0),"-")</f>
        <v>-</v>
      </c>
      <c r="U55" s="10" t="str">
        <f>_xlfn.IFNA(VLOOKUP(B55,'TV Trx'!$B$4:$C$57,2,0),"-")</f>
        <v>-</v>
      </c>
      <c r="V55" s="10" t="str">
        <f t="shared" si="1"/>
        <v>-</v>
      </c>
      <c r="W55" s="1" t="str">
        <f>_xlfn.IFNA(VLOOKUP(B55,'CO Trx'!$A$4:$B$37,2,0),"-")</f>
        <v>-</v>
      </c>
      <c r="X55" s="1" t="str">
        <f>_xlfn.IFNA(VLOOKUP(B55,'CO Trx'!$A$49:$B$104,2,0),"-")</f>
        <v>-</v>
      </c>
      <c r="Y55" s="21" t="s">
        <v>6890</v>
      </c>
    </row>
    <row r="56" spans="1:25" x14ac:dyDescent="0.2">
      <c r="A56" s="1" t="s">
        <v>846</v>
      </c>
      <c r="B56" s="1" t="s">
        <v>847</v>
      </c>
      <c r="C56" s="1" t="s">
        <v>6</v>
      </c>
      <c r="D56" s="1" t="s">
        <v>848</v>
      </c>
      <c r="E56" s="1" t="s">
        <v>7094</v>
      </c>
      <c r="F56" s="1" t="s">
        <v>473</v>
      </c>
      <c r="G56" s="1" t="s">
        <v>473</v>
      </c>
      <c r="H56" s="1" t="s">
        <v>473</v>
      </c>
      <c r="I56" s="1" t="s">
        <v>473</v>
      </c>
      <c r="J56" s="1" t="s">
        <v>473</v>
      </c>
      <c r="K56" s="1" t="s">
        <v>473</v>
      </c>
      <c r="L56" s="1" t="s">
        <v>7095</v>
      </c>
      <c r="M56" s="1" t="s">
        <v>473</v>
      </c>
      <c r="N56" s="1" t="s">
        <v>7096</v>
      </c>
      <c r="O56" s="1" t="s">
        <v>7097</v>
      </c>
      <c r="P56" s="1">
        <v>0</v>
      </c>
      <c r="Q56" s="28">
        <v>0</v>
      </c>
      <c r="R56" s="1">
        <v>0</v>
      </c>
      <c r="S56" s="1"/>
      <c r="T56" s="10" t="str">
        <f>_xlfn.IFNA(VLOOKUP(B56,Sheet2!$A$2:$M$58,4,0),"-")</f>
        <v>-</v>
      </c>
      <c r="U56" s="10" t="str">
        <f>_xlfn.IFNA(VLOOKUP(B56,'TV Trx'!$B$4:$C$57,2,0),"-")</f>
        <v>-</v>
      </c>
      <c r="V56" s="10" t="str">
        <f t="shared" si="1"/>
        <v>-</v>
      </c>
      <c r="W56" s="1" t="str">
        <f>_xlfn.IFNA(VLOOKUP(B56,'CO Trx'!$A$4:$B$37,2,0),"-")</f>
        <v>-</v>
      </c>
      <c r="X56" s="1" t="str">
        <f>_xlfn.IFNA(VLOOKUP(B56,'CO Trx'!$A$49:$B$104,2,0),"-")</f>
        <v>-</v>
      </c>
      <c r="Y56" s="21" t="s">
        <v>6890</v>
      </c>
    </row>
    <row r="57" spans="1:25" x14ac:dyDescent="0.2">
      <c r="A57" s="1" t="s">
        <v>668</v>
      </c>
      <c r="B57" s="1" t="s">
        <v>669</v>
      </c>
      <c r="C57" s="1" t="s">
        <v>13</v>
      </c>
      <c r="D57" s="1" t="s">
        <v>670</v>
      </c>
      <c r="E57" s="1" t="s">
        <v>6928</v>
      </c>
      <c r="F57" s="1" t="s">
        <v>473</v>
      </c>
      <c r="G57" s="1" t="s">
        <v>473</v>
      </c>
      <c r="H57" s="1" t="s">
        <v>473</v>
      </c>
      <c r="I57" s="1" t="s">
        <v>473</v>
      </c>
      <c r="J57" s="1" t="s">
        <v>473</v>
      </c>
      <c r="K57" s="1" t="s">
        <v>473</v>
      </c>
      <c r="L57" s="1" t="s">
        <v>7098</v>
      </c>
      <c r="M57" s="1" t="s">
        <v>473</v>
      </c>
      <c r="N57" s="1" t="s">
        <v>7099</v>
      </c>
      <c r="O57" s="1" t="s">
        <v>7100</v>
      </c>
      <c r="P57" s="1">
        <v>0</v>
      </c>
      <c r="Q57" s="28">
        <v>0</v>
      </c>
      <c r="R57" s="1">
        <v>0</v>
      </c>
      <c r="S57" s="1"/>
      <c r="T57" s="10" t="str">
        <f>_xlfn.IFNA(VLOOKUP(B57,Sheet2!$A$2:$M$58,4,0),"-")</f>
        <v>-</v>
      </c>
      <c r="U57" s="10" t="str">
        <f>_xlfn.IFNA(VLOOKUP(B57,'TV Trx'!$B$4:$C$57,2,0),"-")</f>
        <v>-</v>
      </c>
      <c r="V57" s="10" t="str">
        <f t="shared" si="1"/>
        <v>-</v>
      </c>
      <c r="W57" s="1" t="str">
        <f>_xlfn.IFNA(VLOOKUP(B57,'CO Trx'!$A$4:$B$37,2,0),"-")</f>
        <v>-</v>
      </c>
      <c r="X57" s="1" t="str">
        <f>_xlfn.IFNA(VLOOKUP(B57,'CO Trx'!$A$49:$B$104,2,0),"-")</f>
        <v>-</v>
      </c>
      <c r="Y57" s="21" t="s">
        <v>6890</v>
      </c>
    </row>
    <row r="58" spans="1:25" x14ac:dyDescent="0.2">
      <c r="A58" s="1" t="s">
        <v>15</v>
      </c>
      <c r="B58" s="1" t="s">
        <v>16</v>
      </c>
      <c r="C58" s="1" t="s">
        <v>6</v>
      </c>
      <c r="D58" s="1" t="s">
        <v>17</v>
      </c>
      <c r="E58" s="1" t="s">
        <v>7101</v>
      </c>
      <c r="F58" s="1" t="s">
        <v>473</v>
      </c>
      <c r="G58" s="1" t="s">
        <v>473</v>
      </c>
      <c r="H58" s="1" t="s">
        <v>473</v>
      </c>
      <c r="I58" s="1" t="s">
        <v>473</v>
      </c>
      <c r="J58" s="1" t="s">
        <v>473</v>
      </c>
      <c r="K58" s="1" t="s">
        <v>473</v>
      </c>
      <c r="L58" s="1" t="s">
        <v>7102</v>
      </c>
      <c r="M58" s="1" t="s">
        <v>473</v>
      </c>
      <c r="N58" s="1" t="s">
        <v>7103</v>
      </c>
      <c r="O58" s="1" t="s">
        <v>7104</v>
      </c>
      <c r="P58" s="1">
        <v>0</v>
      </c>
      <c r="Q58" s="28">
        <v>0</v>
      </c>
      <c r="R58" s="1">
        <v>0</v>
      </c>
      <c r="S58" s="1"/>
      <c r="T58" s="10" t="str">
        <f>_xlfn.IFNA(VLOOKUP(B58,Sheet2!$A$2:$M$58,4,0),"-")</f>
        <v>-</v>
      </c>
      <c r="U58" s="10" t="str">
        <f>_xlfn.IFNA(VLOOKUP(B58,'TV Trx'!$B$4:$C$57,2,0),"-")</f>
        <v>-</v>
      </c>
      <c r="V58" s="10" t="str">
        <f t="shared" si="1"/>
        <v>-</v>
      </c>
      <c r="W58" s="1" t="str">
        <f>_xlfn.IFNA(VLOOKUP(B58,'CO Trx'!$A$4:$B$37,2,0),"-")</f>
        <v>-</v>
      </c>
      <c r="X58" s="1" t="str">
        <f>_xlfn.IFNA(VLOOKUP(B58,'CO Trx'!$A$49:$B$104,2,0),"-")</f>
        <v>-</v>
      </c>
      <c r="Y58" s="21" t="s">
        <v>6890</v>
      </c>
    </row>
    <row r="59" spans="1:25" x14ac:dyDescent="0.2">
      <c r="A59" s="1" t="s">
        <v>91</v>
      </c>
      <c r="B59" s="1" t="s">
        <v>92</v>
      </c>
      <c r="C59" s="1" t="s">
        <v>13</v>
      </c>
      <c r="D59" s="1" t="s">
        <v>93</v>
      </c>
      <c r="E59" s="1" t="s">
        <v>7105</v>
      </c>
      <c r="F59" s="1" t="s">
        <v>473</v>
      </c>
      <c r="G59" s="1" t="s">
        <v>473</v>
      </c>
      <c r="H59" s="1" t="s">
        <v>473</v>
      </c>
      <c r="I59" s="1" t="s">
        <v>473</v>
      </c>
      <c r="J59" s="1" t="s">
        <v>473</v>
      </c>
      <c r="K59" s="1" t="s">
        <v>473</v>
      </c>
      <c r="L59" s="1" t="s">
        <v>7106</v>
      </c>
      <c r="M59" s="1" t="s">
        <v>473</v>
      </c>
      <c r="N59" s="1" t="s">
        <v>7107</v>
      </c>
      <c r="O59" s="1" t="s">
        <v>7108</v>
      </c>
      <c r="P59" s="1">
        <v>0</v>
      </c>
      <c r="Q59" s="28">
        <v>0</v>
      </c>
      <c r="R59" s="1">
        <v>0</v>
      </c>
      <c r="S59" s="1"/>
      <c r="T59" s="10" t="str">
        <f>_xlfn.IFNA(VLOOKUP(B59,Sheet2!$A$2:$M$58,4,0),"-")</f>
        <v>-</v>
      </c>
      <c r="U59" s="10" t="str">
        <f>_xlfn.IFNA(VLOOKUP(B59,'TV Trx'!$B$4:$C$57,2,0),"-")</f>
        <v>-</v>
      </c>
      <c r="V59" s="10" t="str">
        <f t="shared" si="1"/>
        <v>-</v>
      </c>
      <c r="W59" s="1" t="str">
        <f>_xlfn.IFNA(VLOOKUP(B59,'CO Trx'!$A$4:$B$37,2,0),"-")</f>
        <v>-</v>
      </c>
      <c r="X59" s="1" t="str">
        <f>_xlfn.IFNA(VLOOKUP(B59,'CO Trx'!$A$49:$B$104,2,0),"-")</f>
        <v>-</v>
      </c>
      <c r="Y59" s="21" t="s">
        <v>6890</v>
      </c>
    </row>
    <row r="60" spans="1:25" x14ac:dyDescent="0.2">
      <c r="A60" s="1" t="s">
        <v>337</v>
      </c>
      <c r="B60" s="1" t="s">
        <v>338</v>
      </c>
      <c r="C60" s="1" t="s">
        <v>13</v>
      </c>
      <c r="D60" s="1" t="s">
        <v>339</v>
      </c>
      <c r="E60" s="1" t="s">
        <v>7109</v>
      </c>
      <c r="F60" s="1" t="s">
        <v>473</v>
      </c>
      <c r="G60" s="1" t="s">
        <v>473</v>
      </c>
      <c r="H60" s="1" t="s">
        <v>473</v>
      </c>
      <c r="I60" s="1" t="s">
        <v>473</v>
      </c>
      <c r="J60" s="1" t="s">
        <v>473</v>
      </c>
      <c r="K60" s="1" t="s">
        <v>473</v>
      </c>
      <c r="L60" s="1" t="s">
        <v>6943</v>
      </c>
      <c r="M60" s="1" t="s">
        <v>473</v>
      </c>
      <c r="N60" s="1" t="s">
        <v>7110</v>
      </c>
      <c r="O60" s="1" t="s">
        <v>7111</v>
      </c>
      <c r="P60" s="1">
        <v>0</v>
      </c>
      <c r="Q60" s="28">
        <v>0</v>
      </c>
      <c r="R60" s="1">
        <v>0</v>
      </c>
      <c r="S60" s="1"/>
      <c r="T60" s="10" t="str">
        <f>_xlfn.IFNA(VLOOKUP(B60,Sheet2!$A$2:$M$58,4,0),"-")</f>
        <v>-</v>
      </c>
      <c r="U60" s="10" t="str">
        <f>_xlfn.IFNA(VLOOKUP(B60,'TV Trx'!$B$4:$C$57,2,0),"-")</f>
        <v>-</v>
      </c>
      <c r="V60" s="10" t="str">
        <f t="shared" si="1"/>
        <v>-</v>
      </c>
      <c r="W60" s="1" t="str">
        <f>_xlfn.IFNA(VLOOKUP(B60,'CO Trx'!$A$4:$B$37,2,0),"-")</f>
        <v>-</v>
      </c>
      <c r="X60" s="1" t="str">
        <f>_xlfn.IFNA(VLOOKUP(B60,'CO Trx'!$A$49:$B$104,2,0),"-")</f>
        <v>-</v>
      </c>
      <c r="Y60" s="21" t="s">
        <v>6890</v>
      </c>
    </row>
    <row r="61" spans="1:25" x14ac:dyDescent="0.2">
      <c r="A61" s="1" t="s">
        <v>501</v>
      </c>
      <c r="B61" s="1" t="s">
        <v>502</v>
      </c>
      <c r="C61" s="1" t="s">
        <v>23</v>
      </c>
      <c r="D61" s="1" t="s">
        <v>503</v>
      </c>
      <c r="E61" s="1" t="s">
        <v>7112</v>
      </c>
      <c r="F61" s="1" t="s">
        <v>473</v>
      </c>
      <c r="G61" s="1" t="s">
        <v>473</v>
      </c>
      <c r="H61" s="1" t="s">
        <v>7113</v>
      </c>
      <c r="I61" s="1" t="s">
        <v>7114</v>
      </c>
      <c r="J61" s="1" t="s">
        <v>7115</v>
      </c>
      <c r="K61" s="1" t="s">
        <v>473</v>
      </c>
      <c r="L61" s="1" t="s">
        <v>7116</v>
      </c>
      <c r="M61" s="1" t="s">
        <v>473</v>
      </c>
      <c r="N61" s="1" t="s">
        <v>7117</v>
      </c>
      <c r="O61" s="1" t="s">
        <v>7118</v>
      </c>
      <c r="P61" s="1">
        <v>0</v>
      </c>
      <c r="Q61" s="28">
        <v>0</v>
      </c>
      <c r="R61" s="1">
        <v>0</v>
      </c>
      <c r="S61" s="1"/>
      <c r="T61" s="10" t="str">
        <f>_xlfn.IFNA(VLOOKUP(B61,Sheet2!$A$2:$M$58,4,0),"-")</f>
        <v>-</v>
      </c>
      <c r="U61" s="10" t="str">
        <f>_xlfn.IFNA(VLOOKUP(B61,'TV Trx'!$B$4:$C$57,2,0),"-")</f>
        <v>-</v>
      </c>
      <c r="V61" s="10" t="str">
        <f t="shared" si="1"/>
        <v>-</v>
      </c>
      <c r="W61" s="1" t="str">
        <f>_xlfn.IFNA(VLOOKUP(B61,'CO Trx'!$A$4:$B$37,2,0),"-")</f>
        <v>-</v>
      </c>
      <c r="X61" s="1" t="str">
        <f>_xlfn.IFNA(VLOOKUP(B61,'CO Trx'!$A$49:$B$104,2,0),"-")</f>
        <v>-</v>
      </c>
      <c r="Y61" s="21" t="s">
        <v>6890</v>
      </c>
    </row>
    <row r="62" spans="1:25" x14ac:dyDescent="0.2">
      <c r="A62" s="1" t="s">
        <v>888</v>
      </c>
      <c r="B62" s="1" t="s">
        <v>889</v>
      </c>
      <c r="C62" s="1" t="s">
        <v>473</v>
      </c>
      <c r="D62" s="1" t="s">
        <v>890</v>
      </c>
      <c r="E62" s="1" t="s">
        <v>7119</v>
      </c>
      <c r="F62" s="1" t="s">
        <v>473</v>
      </c>
      <c r="G62" s="1" t="s">
        <v>473</v>
      </c>
      <c r="H62" s="1" t="s">
        <v>473</v>
      </c>
      <c r="I62" s="1" t="s">
        <v>473</v>
      </c>
      <c r="J62" s="1" t="s">
        <v>473</v>
      </c>
      <c r="K62" s="1" t="s">
        <v>473</v>
      </c>
      <c r="L62" s="1" t="s">
        <v>7120</v>
      </c>
      <c r="M62" s="1" t="s">
        <v>473</v>
      </c>
      <c r="N62" s="1" t="s">
        <v>7121</v>
      </c>
      <c r="O62" s="1" t="s">
        <v>7122</v>
      </c>
      <c r="P62" s="1">
        <v>0</v>
      </c>
      <c r="Q62" s="28">
        <v>0</v>
      </c>
      <c r="R62" s="1">
        <v>0</v>
      </c>
      <c r="S62" s="1"/>
      <c r="T62" s="10" t="str">
        <f>_xlfn.IFNA(VLOOKUP(B62,Sheet2!$A$2:$M$58,4,0),"-")</f>
        <v>-</v>
      </c>
      <c r="U62" s="10" t="str">
        <f>_xlfn.IFNA(VLOOKUP(B62,'TV Trx'!$B$4:$C$57,2,0),"-")</f>
        <v>-</v>
      </c>
      <c r="V62" s="10" t="str">
        <f t="shared" si="1"/>
        <v>-</v>
      </c>
      <c r="W62" s="1" t="str">
        <f>_xlfn.IFNA(VLOOKUP(B62,'CO Trx'!$A$4:$B$37,2,0),"-")</f>
        <v>-</v>
      </c>
      <c r="X62" s="1" t="str">
        <f>_xlfn.IFNA(VLOOKUP(B62,'CO Trx'!$A$49:$B$104,2,0),"-")</f>
        <v>-</v>
      </c>
      <c r="Y62" s="21" t="s">
        <v>6890</v>
      </c>
    </row>
    <row r="63" spans="1:25" x14ac:dyDescent="0.2">
      <c r="A63" s="1" t="s">
        <v>370</v>
      </c>
      <c r="B63" s="1" t="s">
        <v>371</v>
      </c>
      <c r="C63" s="1" t="s">
        <v>13</v>
      </c>
      <c r="D63" s="1" t="s">
        <v>372</v>
      </c>
      <c r="E63" s="1" t="s">
        <v>7123</v>
      </c>
      <c r="F63" s="1" t="s">
        <v>473</v>
      </c>
      <c r="G63" s="1" t="s">
        <v>473</v>
      </c>
      <c r="H63" s="1" t="s">
        <v>7124</v>
      </c>
      <c r="I63" s="1" t="s">
        <v>6904</v>
      </c>
      <c r="J63" s="1" t="s">
        <v>6905</v>
      </c>
      <c r="K63" s="1" t="s">
        <v>473</v>
      </c>
      <c r="L63" s="1" t="s">
        <v>473</v>
      </c>
      <c r="M63" s="1" t="s">
        <v>473</v>
      </c>
      <c r="N63" s="1" t="s">
        <v>473</v>
      </c>
      <c r="O63" s="1" t="s">
        <v>7125</v>
      </c>
      <c r="P63" s="1">
        <v>0</v>
      </c>
      <c r="Q63" s="28">
        <v>0</v>
      </c>
      <c r="R63" s="1">
        <v>0</v>
      </c>
      <c r="S63" s="1"/>
      <c r="T63" s="10" t="str">
        <f>_xlfn.IFNA(VLOOKUP(B63,Sheet2!$A$2:$M$58,4,0),"-")</f>
        <v>-</v>
      </c>
      <c r="U63" s="10" t="str">
        <f>_xlfn.IFNA(VLOOKUP(B63,'TV Trx'!$B$4:$C$57,2,0),"-")</f>
        <v>-</v>
      </c>
      <c r="V63" s="10" t="str">
        <f t="shared" si="1"/>
        <v>-</v>
      </c>
      <c r="W63" s="1" t="str">
        <f>_xlfn.IFNA(VLOOKUP(B63,'CO Trx'!$A$4:$B$37,2,0),"-")</f>
        <v>-</v>
      </c>
      <c r="X63" s="1" t="str">
        <f>_xlfn.IFNA(VLOOKUP(B63,'CO Trx'!$A$49:$B$104,2,0),"-")</f>
        <v>-</v>
      </c>
      <c r="Y63" s="21" t="s">
        <v>6890</v>
      </c>
    </row>
    <row r="64" spans="1:25" x14ac:dyDescent="0.2">
      <c r="A64" s="1" t="s">
        <v>504</v>
      </c>
      <c r="B64" s="1" t="s">
        <v>505</v>
      </c>
      <c r="C64" s="1" t="s">
        <v>13</v>
      </c>
      <c r="D64" s="1" t="s">
        <v>506</v>
      </c>
      <c r="E64" s="1" t="s">
        <v>7126</v>
      </c>
      <c r="F64" s="1" t="s">
        <v>473</v>
      </c>
      <c r="G64" s="1" t="s">
        <v>473</v>
      </c>
      <c r="H64" s="1" t="s">
        <v>473</v>
      </c>
      <c r="I64" s="1" t="s">
        <v>473</v>
      </c>
      <c r="J64" s="1" t="s">
        <v>473</v>
      </c>
      <c r="K64" s="1" t="s">
        <v>473</v>
      </c>
      <c r="L64" s="1" t="s">
        <v>7127</v>
      </c>
      <c r="M64" s="1" t="s">
        <v>473</v>
      </c>
      <c r="N64" s="1" t="s">
        <v>7128</v>
      </c>
      <c r="O64" s="1" t="s">
        <v>7129</v>
      </c>
      <c r="P64" s="1">
        <v>0</v>
      </c>
      <c r="Q64" s="28">
        <v>0</v>
      </c>
      <c r="R64" s="1">
        <v>0</v>
      </c>
      <c r="S64" s="1"/>
      <c r="T64" s="10" t="str">
        <f>_xlfn.IFNA(VLOOKUP(B64,Sheet2!$A$2:$M$58,4,0),"-")</f>
        <v>-</v>
      </c>
      <c r="U64" s="10" t="str">
        <f>_xlfn.IFNA(VLOOKUP(B64,'TV Trx'!$B$4:$C$57,2,0),"-")</f>
        <v>-</v>
      </c>
      <c r="V64" s="10" t="str">
        <f t="shared" si="1"/>
        <v>-</v>
      </c>
      <c r="W64" s="1" t="str">
        <f>_xlfn.IFNA(VLOOKUP(B64,'CO Trx'!$A$4:$B$37,2,0),"-")</f>
        <v>-</v>
      </c>
      <c r="X64" s="1" t="str">
        <f>_xlfn.IFNA(VLOOKUP(B64,'CO Trx'!$A$49:$B$104,2,0),"-")</f>
        <v>-</v>
      </c>
      <c r="Y64" s="21" t="s">
        <v>6890</v>
      </c>
    </row>
    <row r="65" spans="1:28" x14ac:dyDescent="0.2">
      <c r="A65" s="1" t="s">
        <v>352</v>
      </c>
      <c r="B65" s="1" t="s">
        <v>353</v>
      </c>
      <c r="C65" s="1" t="s">
        <v>6</v>
      </c>
      <c r="D65" s="1" t="s">
        <v>354</v>
      </c>
      <c r="E65" s="1" t="s">
        <v>353</v>
      </c>
      <c r="F65" s="1" t="s">
        <v>473</v>
      </c>
      <c r="G65" s="1" t="s">
        <v>473</v>
      </c>
      <c r="H65" s="1" t="s">
        <v>354</v>
      </c>
      <c r="I65" s="1" t="s">
        <v>6958</v>
      </c>
      <c r="J65" s="1" t="s">
        <v>6941</v>
      </c>
      <c r="K65" s="1" t="s">
        <v>473</v>
      </c>
      <c r="L65" s="1" t="s">
        <v>354</v>
      </c>
      <c r="M65" s="1" t="s">
        <v>473</v>
      </c>
      <c r="N65" s="1" t="s">
        <v>7130</v>
      </c>
      <c r="O65" s="1" t="s">
        <v>7131</v>
      </c>
      <c r="P65" s="1">
        <v>0</v>
      </c>
      <c r="Q65" s="28">
        <v>0</v>
      </c>
      <c r="R65" s="1">
        <v>0</v>
      </c>
      <c r="S65" s="1"/>
      <c r="T65" s="10" t="str">
        <f>_xlfn.IFNA(VLOOKUP(B65,Sheet2!$A$2:$M$58,4,0),"-")</f>
        <v>-</v>
      </c>
      <c r="U65" s="10" t="str">
        <f>_xlfn.IFNA(VLOOKUP(B65,'TV Trx'!$B$4:$C$57,2,0),"-")</f>
        <v>-</v>
      </c>
      <c r="V65" s="10" t="str">
        <f t="shared" si="1"/>
        <v>-</v>
      </c>
      <c r="W65" s="1" t="str">
        <f>_xlfn.IFNA(VLOOKUP(B65,'CO Trx'!$A$4:$B$37,2,0),"-")</f>
        <v>-</v>
      </c>
      <c r="X65" s="1" t="str">
        <f>_xlfn.IFNA(VLOOKUP(B65,'CO Trx'!$A$49:$B$104,2,0),"-")</f>
        <v>-</v>
      </c>
      <c r="Y65" s="21" t="s">
        <v>6890</v>
      </c>
    </row>
    <row r="66" spans="1:28" x14ac:dyDescent="0.2">
      <c r="A66" s="1" t="s">
        <v>64</v>
      </c>
      <c r="B66" s="1" t="s">
        <v>65</v>
      </c>
      <c r="C66" s="1" t="s">
        <v>13</v>
      </c>
      <c r="D66" s="1" t="s">
        <v>66</v>
      </c>
      <c r="E66" s="1" t="s">
        <v>65</v>
      </c>
      <c r="F66" s="1" t="s">
        <v>473</v>
      </c>
      <c r="G66" s="1" t="s">
        <v>473</v>
      </c>
      <c r="H66" s="1" t="s">
        <v>66</v>
      </c>
      <c r="I66" s="1" t="s">
        <v>6958</v>
      </c>
      <c r="J66" s="1" t="s">
        <v>6941</v>
      </c>
      <c r="K66" s="1" t="s">
        <v>473</v>
      </c>
      <c r="L66" s="1" t="s">
        <v>354</v>
      </c>
      <c r="M66" s="1" t="s">
        <v>473</v>
      </c>
      <c r="N66" s="1" t="s">
        <v>7132</v>
      </c>
      <c r="O66" s="1" t="s">
        <v>7133</v>
      </c>
      <c r="P66" s="1">
        <v>0</v>
      </c>
      <c r="Q66" s="28">
        <v>0</v>
      </c>
      <c r="R66" s="1">
        <v>0</v>
      </c>
      <c r="S66" s="1"/>
      <c r="T66" s="10" t="str">
        <f>_xlfn.IFNA(VLOOKUP(B66,Sheet2!$A$2:$M$58,4,0),"-")</f>
        <v>-</v>
      </c>
      <c r="U66" s="10" t="str">
        <f>_xlfn.IFNA(VLOOKUP(B66,'TV Trx'!$B$4:$C$57,2,0),"-")</f>
        <v>-</v>
      </c>
      <c r="V66" s="10" t="str">
        <f t="shared" si="1"/>
        <v>-</v>
      </c>
      <c r="W66" s="1" t="str">
        <f>_xlfn.IFNA(VLOOKUP(B66,'CO Trx'!$A$4:$B$37,2,0),"-")</f>
        <v>-</v>
      </c>
      <c r="X66" s="1" t="str">
        <f>_xlfn.IFNA(VLOOKUP(B66,'CO Trx'!$A$49:$B$104,2,0),"-")</f>
        <v>-</v>
      </c>
      <c r="Y66" s="21" t="s">
        <v>6890</v>
      </c>
    </row>
    <row r="67" spans="1:28" x14ac:dyDescent="0.2">
      <c r="A67" s="1" t="s">
        <v>282</v>
      </c>
      <c r="B67" s="1" t="s">
        <v>283</v>
      </c>
      <c r="C67" s="1" t="s">
        <v>23</v>
      </c>
      <c r="D67" s="1" t="s">
        <v>284</v>
      </c>
      <c r="E67" s="1" t="s">
        <v>7134</v>
      </c>
      <c r="F67" s="1" t="s">
        <v>473</v>
      </c>
      <c r="G67" s="1" t="s">
        <v>473</v>
      </c>
      <c r="H67" s="1" t="s">
        <v>6939</v>
      </c>
      <c r="I67" s="1" t="s">
        <v>7135</v>
      </c>
      <c r="J67" s="1" t="s">
        <v>7136</v>
      </c>
      <c r="K67" s="1" t="s">
        <v>473</v>
      </c>
      <c r="L67" s="1" t="s">
        <v>473</v>
      </c>
      <c r="M67" s="1" t="s">
        <v>473</v>
      </c>
      <c r="N67" s="1" t="s">
        <v>473</v>
      </c>
      <c r="O67" s="1" t="s">
        <v>7137</v>
      </c>
      <c r="P67" s="1">
        <v>0</v>
      </c>
      <c r="Q67" s="28">
        <v>0</v>
      </c>
      <c r="R67" s="1">
        <v>0</v>
      </c>
      <c r="S67" s="1"/>
      <c r="T67" s="10" t="str">
        <f>_xlfn.IFNA(VLOOKUP(B67,Sheet2!$A$2:$M$58,4,0),"-")</f>
        <v>-</v>
      </c>
      <c r="U67" s="10" t="str">
        <f>_xlfn.IFNA(VLOOKUP(B67,'TV Trx'!$B$4:$C$57,2,0),"-")</f>
        <v>-</v>
      </c>
      <c r="V67" s="10" t="str">
        <f t="shared" si="1"/>
        <v>-</v>
      </c>
      <c r="W67" s="1" t="str">
        <f>_xlfn.IFNA(VLOOKUP(B67,'CO Trx'!$A$4:$B$37,2,0),"-")</f>
        <v>-</v>
      </c>
      <c r="X67" s="1" t="str">
        <f>_xlfn.IFNA(VLOOKUP(B67,'CO Trx'!$A$49:$B$104,2,0),"-")</f>
        <v>-</v>
      </c>
      <c r="Y67" s="21" t="s">
        <v>6890</v>
      </c>
    </row>
    <row r="68" spans="1:28" x14ac:dyDescent="0.2">
      <c r="A68" s="1" t="s">
        <v>46</v>
      </c>
      <c r="B68" s="1" t="s">
        <v>47</v>
      </c>
      <c r="C68" s="1" t="s">
        <v>23</v>
      </c>
      <c r="D68" s="1" t="s">
        <v>48</v>
      </c>
      <c r="E68" s="1" t="s">
        <v>7138</v>
      </c>
      <c r="F68" s="1" t="s">
        <v>473</v>
      </c>
      <c r="G68" s="1" t="s">
        <v>473</v>
      </c>
      <c r="H68" s="1" t="s">
        <v>473</v>
      </c>
      <c r="I68" s="1" t="s">
        <v>473</v>
      </c>
      <c r="J68" s="1" t="s">
        <v>473</v>
      </c>
      <c r="K68" s="1" t="s">
        <v>473</v>
      </c>
      <c r="L68" s="1" t="s">
        <v>7139</v>
      </c>
      <c r="M68" s="1" t="s">
        <v>473</v>
      </c>
      <c r="N68" s="1" t="s">
        <v>7140</v>
      </c>
      <c r="O68" s="1" t="s">
        <v>7141</v>
      </c>
      <c r="P68" s="1">
        <v>0</v>
      </c>
      <c r="Q68" s="28">
        <v>0</v>
      </c>
      <c r="R68" s="1">
        <v>0</v>
      </c>
      <c r="S68" s="1"/>
      <c r="T68" s="10" t="str">
        <f>_xlfn.IFNA(VLOOKUP(B68,Sheet2!$A$2:$M$58,4,0),"-")</f>
        <v>-</v>
      </c>
      <c r="U68" s="10" t="str">
        <f>_xlfn.IFNA(VLOOKUP(B68,'TV Trx'!$B$4:$C$57,2,0),"-")</f>
        <v>-</v>
      </c>
      <c r="V68" s="10" t="str">
        <f t="shared" si="1"/>
        <v>-</v>
      </c>
      <c r="W68" s="1" t="str">
        <f>_xlfn.IFNA(VLOOKUP(B68,'CO Trx'!$A$4:$B$37,2,0),"-")</f>
        <v>-</v>
      </c>
      <c r="X68" s="1" t="str">
        <f>_xlfn.IFNA(VLOOKUP(B68,'CO Trx'!$A$49:$B$104,2,0),"-")</f>
        <v>-</v>
      </c>
      <c r="Y68" s="21" t="s">
        <v>6890</v>
      </c>
    </row>
    <row r="69" spans="1:28" x14ac:dyDescent="0.2">
      <c r="A69" s="1" t="s">
        <v>671</v>
      </c>
      <c r="B69" s="1" t="s">
        <v>672</v>
      </c>
      <c r="C69" s="1" t="s">
        <v>13</v>
      </c>
      <c r="D69" s="1" t="s">
        <v>673</v>
      </c>
      <c r="E69" s="1" t="s">
        <v>7142</v>
      </c>
      <c r="F69" s="1" t="s">
        <v>473</v>
      </c>
      <c r="G69" s="1" t="s">
        <v>473</v>
      </c>
      <c r="H69" s="1" t="s">
        <v>7143</v>
      </c>
      <c r="I69" s="1" t="s">
        <v>7144</v>
      </c>
      <c r="J69" s="1" t="s">
        <v>6941</v>
      </c>
      <c r="K69" s="1" t="s">
        <v>473</v>
      </c>
      <c r="L69" s="1" t="s">
        <v>7145</v>
      </c>
      <c r="M69" s="1" t="s">
        <v>473</v>
      </c>
      <c r="N69" s="1" t="s">
        <v>7146</v>
      </c>
      <c r="O69" s="1" t="s">
        <v>7147</v>
      </c>
      <c r="P69" s="1">
        <v>0</v>
      </c>
      <c r="Q69" s="28">
        <v>0</v>
      </c>
      <c r="R69" s="1">
        <v>0</v>
      </c>
      <c r="S69" s="1"/>
      <c r="T69" s="10" t="str">
        <f>_xlfn.IFNA(VLOOKUP(B69,Sheet2!$A$2:$M$58,4,0),"-")</f>
        <v>-</v>
      </c>
      <c r="U69" s="10" t="str">
        <f>_xlfn.IFNA(VLOOKUP(B69,'TV Trx'!$B$4:$C$57,2,0),"-")</f>
        <v>-</v>
      </c>
      <c r="V69" s="10" t="str">
        <f t="shared" si="1"/>
        <v>-</v>
      </c>
      <c r="W69" s="1" t="str">
        <f>_xlfn.IFNA(VLOOKUP(B69,'CO Trx'!$A$4:$B$37,2,0),"-")</f>
        <v>-</v>
      </c>
      <c r="X69" s="1" t="str">
        <f>_xlfn.IFNA(VLOOKUP(B69,'CO Trx'!$A$49:$B$104,2,0),"-")</f>
        <v>-</v>
      </c>
      <c r="Y69" s="21" t="s">
        <v>6890</v>
      </c>
    </row>
    <row r="70" spans="1:28" x14ac:dyDescent="0.2">
      <c r="A70" s="1" t="s">
        <v>924</v>
      </c>
      <c r="B70" s="1" t="s">
        <v>925</v>
      </c>
      <c r="C70" s="1" t="s">
        <v>6</v>
      </c>
      <c r="D70" s="1" t="s">
        <v>926</v>
      </c>
      <c r="E70" s="1" t="s">
        <v>7148</v>
      </c>
      <c r="F70" s="1" t="s">
        <v>473</v>
      </c>
      <c r="G70" s="1" t="s">
        <v>473</v>
      </c>
      <c r="H70" s="1" t="s">
        <v>7149</v>
      </c>
      <c r="I70" s="1" t="s">
        <v>473</v>
      </c>
      <c r="J70" s="1" t="s">
        <v>473</v>
      </c>
      <c r="K70" s="1" t="s">
        <v>473</v>
      </c>
      <c r="L70" s="1" t="s">
        <v>473</v>
      </c>
      <c r="M70" s="1" t="s">
        <v>473</v>
      </c>
      <c r="N70" s="1" t="s">
        <v>473</v>
      </c>
      <c r="O70" s="1" t="s">
        <v>7150</v>
      </c>
      <c r="P70" s="1">
        <v>0</v>
      </c>
      <c r="Q70" s="28">
        <v>0</v>
      </c>
      <c r="R70" s="1">
        <v>0</v>
      </c>
      <c r="S70" s="1"/>
      <c r="T70" s="10" t="str">
        <f>_xlfn.IFNA(VLOOKUP(B70,Sheet2!$A$2:$M$58,4,0),"-")</f>
        <v>-</v>
      </c>
      <c r="U70" s="10" t="str">
        <f>_xlfn.IFNA(VLOOKUP(B70,'TV Trx'!$B$4:$C$57,2,0),"-")</f>
        <v>-</v>
      </c>
      <c r="V70" s="10" t="str">
        <f t="shared" si="1"/>
        <v>-</v>
      </c>
      <c r="W70" s="1" t="str">
        <f>_xlfn.IFNA(VLOOKUP(B70,'CO Trx'!$A$4:$B$37,2,0),"-")</f>
        <v>-</v>
      </c>
      <c r="X70" s="1" t="str">
        <f>_xlfn.IFNA(VLOOKUP(B70,'CO Trx'!$A$49:$B$104,2,0),"-")</f>
        <v>-</v>
      </c>
      <c r="Y70" s="21" t="s">
        <v>6890</v>
      </c>
    </row>
    <row r="71" spans="1:28" x14ac:dyDescent="0.2">
      <c r="A71" s="1" t="s">
        <v>106</v>
      </c>
      <c r="B71" s="1" t="s">
        <v>107</v>
      </c>
      <c r="C71" s="1" t="s">
        <v>6</v>
      </c>
      <c r="D71" s="1" t="s">
        <v>108</v>
      </c>
      <c r="E71" s="1" t="s">
        <v>7151</v>
      </c>
      <c r="F71" s="1" t="s">
        <v>473</v>
      </c>
      <c r="G71" s="1" t="s">
        <v>473</v>
      </c>
      <c r="H71" s="1" t="s">
        <v>473</v>
      </c>
      <c r="I71" s="1" t="s">
        <v>473</v>
      </c>
      <c r="J71" s="1" t="s">
        <v>473</v>
      </c>
      <c r="K71" s="1" t="s">
        <v>473</v>
      </c>
      <c r="L71" s="1" t="s">
        <v>473</v>
      </c>
      <c r="M71" s="1" t="s">
        <v>473</v>
      </c>
      <c r="N71" s="1" t="s">
        <v>7152</v>
      </c>
      <c r="O71" s="1" t="s">
        <v>7153</v>
      </c>
      <c r="P71" s="1">
        <v>0</v>
      </c>
      <c r="Q71" s="28">
        <v>0</v>
      </c>
      <c r="R71" s="1">
        <v>0</v>
      </c>
      <c r="S71" s="1"/>
      <c r="T71" s="10" t="str">
        <f>_xlfn.IFNA(VLOOKUP(B71,Sheet2!$A$2:$M$58,4,0),"-")</f>
        <v>-</v>
      </c>
      <c r="U71" s="10" t="str">
        <f>_xlfn.IFNA(VLOOKUP(B71,'TV Trx'!$B$4:$C$57,2,0),"-")</f>
        <v>-</v>
      </c>
      <c r="V71" s="10" t="str">
        <f t="shared" si="1"/>
        <v>-</v>
      </c>
      <c r="W71" s="1" t="str">
        <f>_xlfn.IFNA(VLOOKUP(B71,'CO Trx'!$A$4:$B$37,2,0),"-")</f>
        <v>-</v>
      </c>
      <c r="X71" s="1" t="str">
        <f>_xlfn.IFNA(VLOOKUP(B71,'CO Trx'!$A$49:$B$104,2,0),"-")</f>
        <v>-</v>
      </c>
      <c r="Y71" s="21" t="s">
        <v>6890</v>
      </c>
    </row>
    <row r="72" spans="1:28" x14ac:dyDescent="0.2">
      <c r="A72" s="1" t="s">
        <v>121</v>
      </c>
      <c r="B72" s="1" t="s">
        <v>122</v>
      </c>
      <c r="C72" s="1" t="s">
        <v>6</v>
      </c>
      <c r="D72" s="1" t="s">
        <v>123</v>
      </c>
      <c r="E72" s="1" t="s">
        <v>7154</v>
      </c>
      <c r="F72" s="1" t="s">
        <v>473</v>
      </c>
      <c r="G72" s="1" t="s">
        <v>473</v>
      </c>
      <c r="H72" s="1" t="s">
        <v>473</v>
      </c>
      <c r="I72" s="1" t="s">
        <v>473</v>
      </c>
      <c r="J72" s="1" t="s">
        <v>473</v>
      </c>
      <c r="K72" s="1" t="s">
        <v>473</v>
      </c>
      <c r="L72" s="1" t="s">
        <v>7155</v>
      </c>
      <c r="M72" s="1" t="s">
        <v>473</v>
      </c>
      <c r="N72" s="1" t="s">
        <v>7156</v>
      </c>
      <c r="O72" s="1" t="s">
        <v>7157</v>
      </c>
      <c r="P72" s="1">
        <v>0</v>
      </c>
      <c r="Q72" s="28">
        <v>0</v>
      </c>
      <c r="R72" s="1">
        <v>0</v>
      </c>
      <c r="S72" s="1"/>
      <c r="T72" s="10" t="str">
        <f>_xlfn.IFNA(VLOOKUP(B72,Sheet2!$A$2:$M$58,4,0),"-")</f>
        <v>-</v>
      </c>
      <c r="U72" s="10" t="str">
        <f>_xlfn.IFNA(VLOOKUP(B72,'TV Trx'!$B$4:$C$57,2,0),"-")</f>
        <v>-</v>
      </c>
      <c r="V72" s="10" t="str">
        <f t="shared" si="1"/>
        <v>-</v>
      </c>
      <c r="W72" s="1" t="str">
        <f>_xlfn.IFNA(VLOOKUP(B72,'CO Trx'!$A$4:$B$37,2,0),"-")</f>
        <v>-</v>
      </c>
      <c r="X72" s="1" t="str">
        <f>_xlfn.IFNA(VLOOKUP(B72,'CO Trx'!$A$49:$B$104,2,0),"-")</f>
        <v>-</v>
      </c>
      <c r="Y72" s="21" t="s">
        <v>6890</v>
      </c>
    </row>
    <row r="73" spans="1:28" x14ac:dyDescent="0.2">
      <c r="A73" s="1" t="s">
        <v>593</v>
      </c>
      <c r="B73" s="1" t="s">
        <v>594</v>
      </c>
      <c r="C73" s="1" t="s">
        <v>6</v>
      </c>
      <c r="D73" s="1" t="s">
        <v>595</v>
      </c>
      <c r="E73" s="1" t="s">
        <v>7158</v>
      </c>
      <c r="F73" s="1" t="s">
        <v>473</v>
      </c>
      <c r="G73" s="1" t="s">
        <v>473</v>
      </c>
      <c r="H73" s="1" t="s">
        <v>7159</v>
      </c>
      <c r="I73" s="1" t="s">
        <v>7160</v>
      </c>
      <c r="J73" s="1" t="s">
        <v>7161</v>
      </c>
      <c r="K73" s="1" t="s">
        <v>473</v>
      </c>
      <c r="L73" s="1" t="s">
        <v>473</v>
      </c>
      <c r="M73" s="1" t="s">
        <v>473</v>
      </c>
      <c r="N73" s="1" t="s">
        <v>473</v>
      </c>
      <c r="O73" s="1" t="s">
        <v>7162</v>
      </c>
      <c r="P73" s="1">
        <v>0</v>
      </c>
      <c r="Q73" s="28">
        <v>0</v>
      </c>
      <c r="R73" s="1">
        <v>0</v>
      </c>
      <c r="S73" s="1"/>
      <c r="T73" s="10" t="str">
        <f>_xlfn.IFNA(VLOOKUP(B73,Sheet2!$A$2:$M$58,4,0),"-")</f>
        <v>-</v>
      </c>
      <c r="U73" s="10" t="str">
        <f>_xlfn.IFNA(VLOOKUP(B73,'TV Trx'!$B$4:$C$57,2,0),"-")</f>
        <v>-</v>
      </c>
      <c r="V73" s="10" t="str">
        <f t="shared" si="1"/>
        <v>-</v>
      </c>
      <c r="W73" s="1" t="str">
        <f>_xlfn.IFNA(VLOOKUP(B73,'CO Trx'!$A$4:$B$37,2,0),"-")</f>
        <v>-</v>
      </c>
      <c r="X73" s="1" t="str">
        <f>_xlfn.IFNA(VLOOKUP(B73,'CO Trx'!$A$49:$B$104,2,0),"-")</f>
        <v>-</v>
      </c>
      <c r="Y73" s="21" t="s">
        <v>6890</v>
      </c>
    </row>
    <row r="74" spans="1:28" x14ac:dyDescent="0.2">
      <c r="A74" s="1" t="s">
        <v>617</v>
      </c>
      <c r="B74" s="1" t="s">
        <v>618</v>
      </c>
      <c r="C74" s="1" t="s">
        <v>13</v>
      </c>
      <c r="D74" s="1" t="s">
        <v>619</v>
      </c>
      <c r="E74" s="1" t="s">
        <v>7163</v>
      </c>
      <c r="F74" s="1" t="s">
        <v>473</v>
      </c>
      <c r="G74" s="1" t="s">
        <v>473</v>
      </c>
      <c r="H74" s="1" t="s">
        <v>473</v>
      </c>
      <c r="I74" s="1" t="s">
        <v>473</v>
      </c>
      <c r="J74" s="1" t="s">
        <v>473</v>
      </c>
      <c r="K74" s="1" t="s">
        <v>473</v>
      </c>
      <c r="L74" s="1" t="s">
        <v>7164</v>
      </c>
      <c r="M74" s="1" t="s">
        <v>473</v>
      </c>
      <c r="N74" s="1" t="s">
        <v>7165</v>
      </c>
      <c r="O74" s="1" t="s">
        <v>7166</v>
      </c>
      <c r="P74" s="1">
        <v>0</v>
      </c>
      <c r="Q74" s="28">
        <v>0</v>
      </c>
      <c r="R74" s="1">
        <v>0</v>
      </c>
      <c r="S74" s="1"/>
      <c r="T74" s="10" t="str">
        <f>_xlfn.IFNA(VLOOKUP(B74,Sheet2!$A$2:$M$58,4,0),"-")</f>
        <v>-</v>
      </c>
      <c r="U74" s="10" t="str">
        <f>_xlfn.IFNA(VLOOKUP(B74,'TV Trx'!$B$4:$C$57,2,0),"-")</f>
        <v>-</v>
      </c>
      <c r="V74" s="10" t="str">
        <f t="shared" si="1"/>
        <v>-</v>
      </c>
      <c r="W74" s="1" t="str">
        <f>_xlfn.IFNA(VLOOKUP(B74,'CO Trx'!$A$4:$B$37,2,0),"-")</f>
        <v>-</v>
      </c>
      <c r="X74" s="1" t="str">
        <f>_xlfn.IFNA(VLOOKUP(B74,'CO Trx'!$A$49:$B$104,2,0),"-")</f>
        <v>-</v>
      </c>
      <c r="Y74" s="21" t="s">
        <v>6890</v>
      </c>
    </row>
    <row r="75" spans="1:28" x14ac:dyDescent="0.2">
      <c r="A75" s="1" t="s">
        <v>145</v>
      </c>
      <c r="B75" s="1" t="s">
        <v>146</v>
      </c>
      <c r="C75" s="1" t="s">
        <v>6</v>
      </c>
      <c r="D75" s="1" t="s">
        <v>147</v>
      </c>
      <c r="E75" s="1" t="s">
        <v>7167</v>
      </c>
      <c r="F75" s="1" t="s">
        <v>473</v>
      </c>
      <c r="G75" s="1" t="s">
        <v>473</v>
      </c>
      <c r="H75" s="1" t="s">
        <v>473</v>
      </c>
      <c r="I75" s="1" t="s">
        <v>473</v>
      </c>
      <c r="J75" s="1" t="s">
        <v>473</v>
      </c>
      <c r="K75" s="1" t="s">
        <v>473</v>
      </c>
      <c r="L75" s="1" t="s">
        <v>7168</v>
      </c>
      <c r="M75" s="1" t="s">
        <v>473</v>
      </c>
      <c r="N75" s="1" t="s">
        <v>7169</v>
      </c>
      <c r="O75" s="1" t="s">
        <v>7170</v>
      </c>
      <c r="P75" s="1">
        <v>0</v>
      </c>
      <c r="Q75" s="28">
        <v>0</v>
      </c>
      <c r="R75" s="1">
        <v>0</v>
      </c>
      <c r="S75" s="1"/>
      <c r="T75" s="10" t="str">
        <f>_xlfn.IFNA(VLOOKUP(B75,Sheet2!$A$2:$M$58,4,0),"-")</f>
        <v>-</v>
      </c>
      <c r="U75" s="10" t="str">
        <f>_xlfn.IFNA(VLOOKUP(B75,'TV Trx'!$B$4:$C$57,2,0),"-")</f>
        <v>-</v>
      </c>
      <c r="V75" s="10" t="str">
        <f t="shared" si="1"/>
        <v>-</v>
      </c>
      <c r="W75" s="1" t="str">
        <f>_xlfn.IFNA(VLOOKUP(B75,'CO Trx'!$A$4:$B$37,2,0),"-")</f>
        <v>-</v>
      </c>
      <c r="X75" s="1" t="str">
        <f>_xlfn.IFNA(VLOOKUP(B75,'CO Trx'!$A$49:$B$104,2,0),"-")</f>
        <v>-</v>
      </c>
      <c r="Y75" s="21" t="s">
        <v>6890</v>
      </c>
    </row>
    <row r="76" spans="1:28" x14ac:dyDescent="0.2">
      <c r="A76" s="1" t="s">
        <v>722</v>
      </c>
      <c r="B76" s="1" t="s">
        <v>723</v>
      </c>
      <c r="C76" s="1" t="s">
        <v>6</v>
      </c>
      <c r="D76" s="1" t="s">
        <v>724</v>
      </c>
      <c r="E76" s="1" t="s">
        <v>7171</v>
      </c>
      <c r="F76" s="1" t="s">
        <v>473</v>
      </c>
      <c r="G76" s="1" t="s">
        <v>473</v>
      </c>
      <c r="H76" s="1" t="s">
        <v>473</v>
      </c>
      <c r="I76" s="1" t="s">
        <v>473</v>
      </c>
      <c r="J76" s="1" t="s">
        <v>473</v>
      </c>
      <c r="K76" s="1" t="s">
        <v>473</v>
      </c>
      <c r="L76" s="1" t="s">
        <v>7172</v>
      </c>
      <c r="M76" s="1" t="s">
        <v>473</v>
      </c>
      <c r="N76" s="1" t="s">
        <v>7173</v>
      </c>
      <c r="O76" s="1" t="s">
        <v>7174</v>
      </c>
      <c r="P76" s="1">
        <v>0</v>
      </c>
      <c r="Q76" s="28">
        <v>0</v>
      </c>
      <c r="R76" s="1">
        <v>0</v>
      </c>
      <c r="S76" s="1"/>
      <c r="T76" s="10" t="str">
        <f>_xlfn.IFNA(VLOOKUP(B76,Sheet2!$A$2:$M$58,4,0),"-")</f>
        <v>-</v>
      </c>
      <c r="U76" s="10" t="str">
        <f>_xlfn.IFNA(VLOOKUP(B76,'TV Trx'!$B$4:$C$57,2,0),"-")</f>
        <v>-</v>
      </c>
      <c r="V76" s="10" t="str">
        <f t="shared" si="1"/>
        <v>-</v>
      </c>
      <c r="W76" s="1" t="str">
        <f>_xlfn.IFNA(VLOOKUP(B76,'CO Trx'!$A$4:$B$37,2,0),"-")</f>
        <v>-</v>
      </c>
      <c r="X76" s="1" t="str">
        <f>_xlfn.IFNA(VLOOKUP(B76,'CO Trx'!$A$49:$B$104,2,0),"-")</f>
        <v>-</v>
      </c>
      <c r="Y76" s="21" t="s">
        <v>6890</v>
      </c>
    </row>
    <row r="77" spans="1:28" x14ac:dyDescent="0.2">
      <c r="A77" s="1" t="s">
        <v>76</v>
      </c>
      <c r="B77" s="1" t="s">
        <v>77</v>
      </c>
      <c r="C77" s="1" t="s">
        <v>6</v>
      </c>
      <c r="D77" s="1" t="s">
        <v>78</v>
      </c>
      <c r="E77" s="1" t="s">
        <v>7175</v>
      </c>
      <c r="F77" s="1" t="s">
        <v>473</v>
      </c>
      <c r="G77" s="1" t="s">
        <v>473</v>
      </c>
      <c r="H77" s="1" t="s">
        <v>7176</v>
      </c>
      <c r="I77" s="1" t="s">
        <v>7177</v>
      </c>
      <c r="J77" s="1" t="s">
        <v>6954</v>
      </c>
      <c r="K77" s="1" t="s">
        <v>473</v>
      </c>
      <c r="L77" s="1" t="s">
        <v>473</v>
      </c>
      <c r="M77" s="1" t="s">
        <v>473</v>
      </c>
      <c r="N77" s="1" t="s">
        <v>473</v>
      </c>
      <c r="O77" s="1" t="s">
        <v>7178</v>
      </c>
      <c r="P77" s="1">
        <v>0</v>
      </c>
      <c r="Q77" s="28">
        <v>0</v>
      </c>
      <c r="R77" s="1">
        <v>0</v>
      </c>
      <c r="S77" s="1"/>
      <c r="T77" s="10" t="str">
        <f>_xlfn.IFNA(VLOOKUP(B77,Sheet2!$A$2:$M$58,4,0),"-")</f>
        <v>-</v>
      </c>
      <c r="U77" s="10" t="str">
        <f>_xlfn.IFNA(VLOOKUP(B77,'TV Trx'!$B$4:$C$57,2,0),"-")</f>
        <v>-</v>
      </c>
      <c r="V77" s="10" t="str">
        <f t="shared" si="1"/>
        <v>-</v>
      </c>
      <c r="W77" s="1" t="str">
        <f>_xlfn.IFNA(VLOOKUP(B77,'CO Trx'!$A$4:$B$37,2,0),"-")</f>
        <v>-</v>
      </c>
      <c r="X77" s="1" t="str">
        <f>_xlfn.IFNA(VLOOKUP(B77,'CO Trx'!$A$49:$B$104,2,0),"-")</f>
        <v>-</v>
      </c>
      <c r="Y77" s="21" t="s">
        <v>6890</v>
      </c>
    </row>
    <row r="78" spans="1:28" x14ac:dyDescent="0.2">
      <c r="A78" s="1" t="s">
        <v>465</v>
      </c>
      <c r="B78" s="1" t="s">
        <v>466</v>
      </c>
      <c r="C78" s="1" t="s">
        <v>6</v>
      </c>
      <c r="D78" s="1" t="s">
        <v>467</v>
      </c>
      <c r="E78" s="1" t="s">
        <v>7179</v>
      </c>
      <c r="F78" s="1" t="s">
        <v>473</v>
      </c>
      <c r="G78" s="1" t="s">
        <v>473</v>
      </c>
      <c r="H78" s="1" t="s">
        <v>7180</v>
      </c>
      <c r="I78" s="1" t="s">
        <v>6968</v>
      </c>
      <c r="J78" s="1" t="s">
        <v>6969</v>
      </c>
      <c r="K78" s="1" t="s">
        <v>473</v>
      </c>
      <c r="L78" s="1" t="s">
        <v>473</v>
      </c>
      <c r="M78" s="1" t="s">
        <v>473</v>
      </c>
      <c r="N78" s="1" t="s">
        <v>473</v>
      </c>
      <c r="O78" s="1" t="s">
        <v>7181</v>
      </c>
      <c r="P78" s="1">
        <v>0</v>
      </c>
      <c r="Q78" s="28">
        <v>0</v>
      </c>
      <c r="R78" s="1">
        <v>0</v>
      </c>
      <c r="S78" s="1"/>
      <c r="T78" s="10" t="str">
        <f>_xlfn.IFNA(VLOOKUP(B78,Sheet2!$A$2:$M$58,4,0),"-")</f>
        <v>-</v>
      </c>
      <c r="U78" s="10" t="str">
        <f>_xlfn.IFNA(VLOOKUP(B78,'TV Trx'!$B$4:$C$57,2,0),"-")</f>
        <v>-</v>
      </c>
      <c r="V78" s="10" t="str">
        <f t="shared" si="1"/>
        <v>-</v>
      </c>
      <c r="W78" s="1" t="str">
        <f>_xlfn.IFNA(VLOOKUP(B78,'CO Trx'!$A$4:$B$37,2,0),"-")</f>
        <v>-</v>
      </c>
      <c r="X78" s="1" t="str">
        <f>_xlfn.IFNA(VLOOKUP(B78,'CO Trx'!$A$49:$B$104,2,0),"-")</f>
        <v>-</v>
      </c>
      <c r="Y78" s="21" t="s">
        <v>6890</v>
      </c>
    </row>
    <row r="79" spans="1:28" x14ac:dyDescent="0.2">
      <c r="A79" s="1" t="s">
        <v>222</v>
      </c>
      <c r="B79" s="1" t="s">
        <v>223</v>
      </c>
      <c r="C79" s="1" t="s">
        <v>23</v>
      </c>
      <c r="D79" s="1" t="s">
        <v>224</v>
      </c>
      <c r="E79" s="1" t="s">
        <v>7182</v>
      </c>
      <c r="F79" s="1" t="s">
        <v>473</v>
      </c>
      <c r="G79" s="1" t="s">
        <v>473</v>
      </c>
      <c r="H79" s="1" t="s">
        <v>7183</v>
      </c>
      <c r="I79" s="1" t="s">
        <v>7184</v>
      </c>
      <c r="J79" s="1" t="s">
        <v>7185</v>
      </c>
      <c r="K79" s="1" t="s">
        <v>473</v>
      </c>
      <c r="L79" s="1" t="s">
        <v>473</v>
      </c>
      <c r="M79" s="1" t="s">
        <v>473</v>
      </c>
      <c r="N79" s="1" t="s">
        <v>473</v>
      </c>
      <c r="O79" s="1" t="s">
        <v>7186</v>
      </c>
      <c r="P79" s="1">
        <v>0</v>
      </c>
      <c r="Q79" s="28">
        <v>0</v>
      </c>
      <c r="R79" s="1">
        <v>0</v>
      </c>
      <c r="S79" s="1"/>
      <c r="T79" s="10" t="str">
        <f>_xlfn.IFNA(VLOOKUP(B79,Sheet2!$A$2:$M$58,4,0),"-")</f>
        <v>-</v>
      </c>
      <c r="U79" s="10" t="str">
        <f>_xlfn.IFNA(VLOOKUP(B79,'TV Trx'!$B$4:$C$57,2,0),"-")</f>
        <v>-</v>
      </c>
      <c r="V79" s="10" t="str">
        <f t="shared" si="1"/>
        <v>-</v>
      </c>
      <c r="W79" s="1" t="str">
        <f>_xlfn.IFNA(VLOOKUP(B79,'CO Trx'!$A$4:$B$37,2,0),"-")</f>
        <v>-</v>
      </c>
      <c r="X79" s="1" t="str">
        <f>_xlfn.IFNA(VLOOKUP(B79,'CO Trx'!$A$49:$B$104,2,0),"-")</f>
        <v>-</v>
      </c>
      <c r="Y79" s="21" t="s">
        <v>6890</v>
      </c>
    </row>
    <row r="80" spans="1:28" x14ac:dyDescent="0.2">
      <c r="A80" s="1" t="s">
        <v>438</v>
      </c>
      <c r="B80" s="1" t="s">
        <v>439</v>
      </c>
      <c r="C80" s="1" t="s">
        <v>13</v>
      </c>
      <c r="D80" s="1" t="s">
        <v>440</v>
      </c>
      <c r="E80" s="1" t="s">
        <v>473</v>
      </c>
      <c r="F80" s="1" t="s">
        <v>473</v>
      </c>
      <c r="G80" s="1" t="s">
        <v>473</v>
      </c>
      <c r="H80" s="1" t="s">
        <v>473</v>
      </c>
      <c r="I80" s="1" t="s">
        <v>473</v>
      </c>
      <c r="J80" s="1" t="s">
        <v>473</v>
      </c>
      <c r="K80" s="1" t="s">
        <v>473</v>
      </c>
      <c r="L80" s="1" t="s">
        <v>473</v>
      </c>
      <c r="M80" s="1" t="s">
        <v>473</v>
      </c>
      <c r="N80" s="1" t="s">
        <v>7187</v>
      </c>
      <c r="O80" s="1" t="s">
        <v>7188</v>
      </c>
      <c r="P80" s="1" t="s">
        <v>8145</v>
      </c>
      <c r="Q80" s="28">
        <v>1650061119823</v>
      </c>
      <c r="R80" s="1" t="s">
        <v>8254</v>
      </c>
      <c r="S80" s="1"/>
      <c r="T80" s="10" t="str">
        <f>_xlfn.IFNA(VLOOKUP(B80,Sheet2!$A$2:$M$58,4,0),"-")</f>
        <v>-</v>
      </c>
      <c r="U80" s="10" t="str">
        <f>_xlfn.IFNA(VLOOKUP(B80,'TV Trx'!$B$4:$C$57,2,0),"-")</f>
        <v>-</v>
      </c>
      <c r="V80" s="10" t="str">
        <f t="shared" si="1"/>
        <v>-</v>
      </c>
      <c r="W80" s="1" t="str">
        <f>_xlfn.IFNA(VLOOKUP(B80,'CO Trx'!$A$4:$B$37,2,0),"-")</f>
        <v>-</v>
      </c>
      <c r="X80" s="1" t="str">
        <f>_xlfn.IFNA(VLOOKUP(B80,'CO Trx'!$A$49:$B$104,2,0),"-")</f>
        <v>-</v>
      </c>
      <c r="Y80" s="21" t="s">
        <v>6890</v>
      </c>
      <c r="AA80" t="s">
        <v>7951</v>
      </c>
      <c r="AB80" t="s">
        <v>7971</v>
      </c>
    </row>
    <row r="81" spans="1:28" x14ac:dyDescent="0.2">
      <c r="A81" s="1" t="s">
        <v>543</v>
      </c>
      <c r="B81" s="1" t="s">
        <v>544</v>
      </c>
      <c r="C81" s="1" t="s">
        <v>6</v>
      </c>
      <c r="D81" s="1" t="s">
        <v>545</v>
      </c>
      <c r="E81" s="1" t="s">
        <v>7189</v>
      </c>
      <c r="F81" s="1" t="s">
        <v>473</v>
      </c>
      <c r="G81" s="1" t="s">
        <v>473</v>
      </c>
      <c r="H81" s="1" t="s">
        <v>473</v>
      </c>
      <c r="I81" s="1" t="s">
        <v>473</v>
      </c>
      <c r="J81" s="1" t="s">
        <v>473</v>
      </c>
      <c r="K81" s="1" t="s">
        <v>473</v>
      </c>
      <c r="L81" s="1" t="s">
        <v>7190</v>
      </c>
      <c r="M81" s="1" t="s">
        <v>473</v>
      </c>
      <c r="N81" s="1" t="s">
        <v>7191</v>
      </c>
      <c r="O81" s="1" t="s">
        <v>7192</v>
      </c>
      <c r="P81" s="1">
        <v>0</v>
      </c>
      <c r="Q81" s="28">
        <v>0</v>
      </c>
      <c r="R81" s="1">
        <v>0</v>
      </c>
      <c r="S81" s="1"/>
      <c r="T81" s="10" t="str">
        <f>_xlfn.IFNA(VLOOKUP(B81,Sheet2!$A$2:$M$58,4,0),"-")</f>
        <v>-</v>
      </c>
      <c r="U81" s="10" t="str">
        <f>_xlfn.IFNA(VLOOKUP(B81,'TV Trx'!$B$4:$C$57,2,0),"-")</f>
        <v>-</v>
      </c>
      <c r="V81" s="10" t="str">
        <f t="shared" si="1"/>
        <v>-</v>
      </c>
      <c r="W81" s="1" t="str">
        <f>_xlfn.IFNA(VLOOKUP(B81,'CO Trx'!$A$4:$B$37,2,0),"-")</f>
        <v>-</v>
      </c>
      <c r="X81" s="1" t="str">
        <f>_xlfn.IFNA(VLOOKUP(B81,'CO Trx'!$A$49:$B$104,2,0),"-")</f>
        <v>-</v>
      </c>
      <c r="Y81" s="21" t="s">
        <v>6890</v>
      </c>
    </row>
    <row r="82" spans="1:28" x14ac:dyDescent="0.2">
      <c r="A82" s="1" t="s">
        <v>162</v>
      </c>
      <c r="B82" s="1" t="s">
        <v>163</v>
      </c>
      <c r="C82" s="1" t="s">
        <v>6</v>
      </c>
      <c r="D82" s="1" t="s">
        <v>164</v>
      </c>
      <c r="E82" s="1" t="s">
        <v>473</v>
      </c>
      <c r="F82" s="1" t="s">
        <v>473</v>
      </c>
      <c r="G82" s="1" t="s">
        <v>473</v>
      </c>
      <c r="H82" s="1" t="s">
        <v>473</v>
      </c>
      <c r="I82" s="1" t="s">
        <v>473</v>
      </c>
      <c r="J82" s="1" t="s">
        <v>473</v>
      </c>
      <c r="K82" s="1" t="s">
        <v>473</v>
      </c>
      <c r="L82" s="1" t="s">
        <v>7193</v>
      </c>
      <c r="M82" s="1" t="s">
        <v>473</v>
      </c>
      <c r="N82" s="1" t="s">
        <v>7194</v>
      </c>
      <c r="O82" s="1" t="s">
        <v>7195</v>
      </c>
      <c r="P82" s="1">
        <v>0</v>
      </c>
      <c r="Q82" s="28">
        <v>0</v>
      </c>
      <c r="R82" s="1">
        <v>0</v>
      </c>
      <c r="S82" s="1"/>
      <c r="T82" s="10" t="str">
        <f>_xlfn.IFNA(VLOOKUP(B82,Sheet2!$A$2:$M$58,4,0),"-")</f>
        <v>-</v>
      </c>
      <c r="U82" s="10" t="str">
        <f>_xlfn.IFNA(VLOOKUP(B82,'TV Trx'!$B$4:$C$57,2,0),"-")</f>
        <v>-</v>
      </c>
      <c r="V82" s="10" t="str">
        <f t="shared" si="1"/>
        <v>-</v>
      </c>
      <c r="W82" s="1" t="str">
        <f>_xlfn.IFNA(VLOOKUP(B82,'CO Trx'!$A$4:$B$37,2,0),"-")</f>
        <v>-</v>
      </c>
      <c r="X82" s="1" t="str">
        <f>_xlfn.IFNA(VLOOKUP(B82,'CO Trx'!$A$49:$B$104,2,0),"-")</f>
        <v>-</v>
      </c>
      <c r="Y82" s="21" t="s">
        <v>6890</v>
      </c>
    </row>
    <row r="83" spans="1:28" x14ac:dyDescent="0.2">
      <c r="A83" s="1" t="s">
        <v>823</v>
      </c>
      <c r="B83" s="1" t="s">
        <v>824</v>
      </c>
      <c r="C83" s="1" t="s">
        <v>6</v>
      </c>
      <c r="D83" s="1" t="s">
        <v>825</v>
      </c>
      <c r="E83" s="1" t="s">
        <v>7196</v>
      </c>
      <c r="F83" s="1" t="s">
        <v>473</v>
      </c>
      <c r="G83" s="1" t="s">
        <v>473</v>
      </c>
      <c r="H83" s="1" t="s">
        <v>473</v>
      </c>
      <c r="I83" s="1" t="s">
        <v>473</v>
      </c>
      <c r="J83" s="1" t="s">
        <v>473</v>
      </c>
      <c r="K83" s="1" t="s">
        <v>473</v>
      </c>
      <c r="L83" s="1" t="s">
        <v>7197</v>
      </c>
      <c r="M83" s="1" t="s">
        <v>473</v>
      </c>
      <c r="N83" s="1" t="s">
        <v>7198</v>
      </c>
      <c r="O83" s="1" t="s">
        <v>7199</v>
      </c>
      <c r="P83" s="1">
        <v>0</v>
      </c>
      <c r="Q83" s="28">
        <v>0</v>
      </c>
      <c r="R83" s="1">
        <v>0</v>
      </c>
      <c r="S83" s="1"/>
      <c r="T83" s="10" t="str">
        <f>_xlfn.IFNA(VLOOKUP(B83,Sheet2!$A$2:$M$58,4,0),"-")</f>
        <v>-</v>
      </c>
      <c r="U83" s="10" t="str">
        <f>_xlfn.IFNA(VLOOKUP(B83,'TV Trx'!$B$4:$C$57,2,0),"-")</f>
        <v>-</v>
      </c>
      <c r="V83" s="10" t="str">
        <f t="shared" si="1"/>
        <v>-</v>
      </c>
      <c r="W83" s="1" t="str">
        <f>_xlfn.IFNA(VLOOKUP(B83,'CO Trx'!$A$4:$B$37,2,0),"-")</f>
        <v>-</v>
      </c>
      <c r="X83" s="1" t="str">
        <f>_xlfn.IFNA(VLOOKUP(B83,'CO Trx'!$A$49:$B$104,2,0),"-")</f>
        <v>-</v>
      </c>
      <c r="Y83" s="21" t="s">
        <v>6890</v>
      </c>
    </row>
    <row r="84" spans="1:28" x14ac:dyDescent="0.2">
      <c r="A84" s="1" t="s">
        <v>903</v>
      </c>
      <c r="B84" s="1" t="s">
        <v>904</v>
      </c>
      <c r="C84" s="1" t="s">
        <v>13</v>
      </c>
      <c r="D84" s="1" t="s">
        <v>905</v>
      </c>
      <c r="E84" s="1" t="s">
        <v>473</v>
      </c>
      <c r="F84" s="1" t="s">
        <v>473</v>
      </c>
      <c r="G84" s="1" t="s">
        <v>473</v>
      </c>
      <c r="H84" s="1" t="s">
        <v>473</v>
      </c>
      <c r="I84" s="1" t="s">
        <v>473</v>
      </c>
      <c r="J84" s="1" t="s">
        <v>473</v>
      </c>
      <c r="K84" s="1" t="s">
        <v>473</v>
      </c>
      <c r="L84" s="1" t="s">
        <v>473</v>
      </c>
      <c r="M84" s="1" t="s">
        <v>473</v>
      </c>
      <c r="N84" s="1" t="s">
        <v>7200</v>
      </c>
      <c r="O84" s="1" t="s">
        <v>7201</v>
      </c>
      <c r="P84" s="1">
        <v>0</v>
      </c>
      <c r="Q84" s="31"/>
      <c r="R84" s="1" t="s">
        <v>8274</v>
      </c>
      <c r="S84" s="1"/>
      <c r="T84" s="10" t="str">
        <f>_xlfn.IFNA(VLOOKUP(B84,Sheet2!$A$2:$M$58,4,0),"-")</f>
        <v>-</v>
      </c>
      <c r="U84" s="10">
        <f>_xlfn.IFNA(VLOOKUP(B84,'TV Trx'!$B$4:$C$57,2,0),"-")</f>
        <v>45071</v>
      </c>
      <c r="V84" s="10">
        <f t="shared" si="1"/>
        <v>45071</v>
      </c>
      <c r="W84" s="1" t="str">
        <f>_xlfn.IFNA(VLOOKUP(B84,'CO Trx'!$A$4:$B$37,2,0),"-")</f>
        <v>-</v>
      </c>
      <c r="X84" s="1" t="str">
        <f>_xlfn.IFNA(VLOOKUP(B84,'CO Trx'!$A$49:$B$104,2,0),"-")</f>
        <v>-</v>
      </c>
      <c r="Y84" s="20" t="s">
        <v>6889</v>
      </c>
    </row>
    <row r="85" spans="1:28" x14ac:dyDescent="0.2">
      <c r="A85" s="1" t="s">
        <v>849</v>
      </c>
      <c r="B85" s="1" t="s">
        <v>850</v>
      </c>
      <c r="C85" s="1" t="s">
        <v>6</v>
      </c>
      <c r="D85" s="1" t="s">
        <v>851</v>
      </c>
      <c r="E85" s="1" t="s">
        <v>473</v>
      </c>
      <c r="F85" s="1" t="s">
        <v>473</v>
      </c>
      <c r="G85" s="1" t="s">
        <v>473</v>
      </c>
      <c r="H85" s="1" t="s">
        <v>473</v>
      </c>
      <c r="I85" s="1" t="s">
        <v>473</v>
      </c>
      <c r="J85" s="1" t="s">
        <v>473</v>
      </c>
      <c r="K85" s="1" t="s">
        <v>473</v>
      </c>
      <c r="L85" s="1" t="s">
        <v>473</v>
      </c>
      <c r="M85" s="1" t="s">
        <v>473</v>
      </c>
      <c r="N85" s="1" t="s">
        <v>7202</v>
      </c>
      <c r="O85" s="1" t="s">
        <v>7203</v>
      </c>
      <c r="P85" s="1">
        <v>0</v>
      </c>
      <c r="Q85" s="28">
        <v>0</v>
      </c>
      <c r="R85" s="1">
        <v>0</v>
      </c>
      <c r="S85" s="1"/>
      <c r="T85" s="10" t="str">
        <f>_xlfn.IFNA(VLOOKUP(B85,Sheet2!$A$2:$M$58,4,0),"-")</f>
        <v>-</v>
      </c>
      <c r="U85" s="10" t="str">
        <f>_xlfn.IFNA(VLOOKUP(B85,'TV Trx'!$B$4:$C$57,2,0),"-")</f>
        <v>-</v>
      </c>
      <c r="V85" s="10" t="str">
        <f t="shared" si="1"/>
        <v>-</v>
      </c>
      <c r="W85" s="1" t="str">
        <f>_xlfn.IFNA(VLOOKUP(B85,'CO Trx'!$A$4:$B$37,2,0),"-")</f>
        <v>-</v>
      </c>
      <c r="X85" s="1" t="str">
        <f>_xlfn.IFNA(VLOOKUP(B85,'CO Trx'!$A$49:$B$104,2,0),"-")</f>
        <v>-</v>
      </c>
      <c r="Y85" s="21" t="s">
        <v>6890</v>
      </c>
    </row>
    <row r="86" spans="1:28" x14ac:dyDescent="0.2">
      <c r="A86" s="1" t="s">
        <v>864</v>
      </c>
      <c r="B86" s="1" t="s">
        <v>865</v>
      </c>
      <c r="C86" s="1" t="s">
        <v>13</v>
      </c>
      <c r="D86" s="1" t="s">
        <v>866</v>
      </c>
      <c r="E86" s="1" t="s">
        <v>473</v>
      </c>
      <c r="F86" s="1" t="s">
        <v>473</v>
      </c>
      <c r="G86" s="1" t="s">
        <v>473</v>
      </c>
      <c r="H86" s="1" t="s">
        <v>473</v>
      </c>
      <c r="I86" s="1" t="s">
        <v>473</v>
      </c>
      <c r="J86" s="1" t="s">
        <v>473</v>
      </c>
      <c r="K86" s="1" t="s">
        <v>473</v>
      </c>
      <c r="L86" s="1" t="s">
        <v>473</v>
      </c>
      <c r="M86" s="1" t="s">
        <v>473</v>
      </c>
      <c r="N86" s="1" t="s">
        <v>7204</v>
      </c>
      <c r="O86" s="1" t="s">
        <v>7205</v>
      </c>
      <c r="P86" s="1" t="s">
        <v>8146</v>
      </c>
      <c r="Q86" s="28">
        <v>0</v>
      </c>
      <c r="R86" s="1">
        <v>0</v>
      </c>
      <c r="S86" s="1"/>
      <c r="T86" s="10" t="str">
        <f>_xlfn.IFNA(VLOOKUP(B86,Sheet2!$A$2:$M$58,4,0),"-")</f>
        <v>-</v>
      </c>
      <c r="U86" s="10" t="str">
        <f>_xlfn.IFNA(VLOOKUP(B86,'TV Trx'!$B$4:$C$57,2,0),"-")</f>
        <v>-</v>
      </c>
      <c r="V86" s="10" t="str">
        <f t="shared" si="1"/>
        <v>-</v>
      </c>
      <c r="W86" s="1" t="str">
        <f>_xlfn.IFNA(VLOOKUP(B86,'CO Trx'!$A$4:$B$37,2,0),"-")</f>
        <v>-</v>
      </c>
      <c r="X86" s="1" t="str">
        <f>_xlfn.IFNA(VLOOKUP(B86,'CO Trx'!$A$49:$B$104,2,0),"-")</f>
        <v>-</v>
      </c>
      <c r="Y86" s="21" t="s">
        <v>6890</v>
      </c>
      <c r="AA86" t="s">
        <v>7952</v>
      </c>
    </row>
    <row r="87" spans="1:28" x14ac:dyDescent="0.2">
      <c r="A87" s="1" t="s">
        <v>882</v>
      </c>
      <c r="B87" s="1" t="s">
        <v>883</v>
      </c>
      <c r="C87" s="1" t="s">
        <v>6</v>
      </c>
      <c r="D87" s="1" t="s">
        <v>884</v>
      </c>
      <c r="E87" s="1" t="s">
        <v>7206</v>
      </c>
      <c r="F87" s="1" t="s">
        <v>473</v>
      </c>
      <c r="G87" s="1" t="s">
        <v>473</v>
      </c>
      <c r="H87" s="1" t="s">
        <v>7207</v>
      </c>
      <c r="I87" s="1" t="s">
        <v>7208</v>
      </c>
      <c r="J87" s="1" t="s">
        <v>7136</v>
      </c>
      <c r="K87" s="1" t="s">
        <v>473</v>
      </c>
      <c r="L87" s="1" t="s">
        <v>473</v>
      </c>
      <c r="M87" s="1" t="s">
        <v>473</v>
      </c>
      <c r="N87" s="1" t="s">
        <v>473</v>
      </c>
      <c r="O87" s="1" t="s">
        <v>7209</v>
      </c>
      <c r="P87" s="1">
        <v>0</v>
      </c>
      <c r="Q87" s="28">
        <v>0</v>
      </c>
      <c r="R87" s="1">
        <v>0</v>
      </c>
      <c r="S87" s="1"/>
      <c r="T87" s="10" t="str">
        <f>_xlfn.IFNA(VLOOKUP(B87,Sheet2!$A$2:$M$58,4,0),"-")</f>
        <v>-</v>
      </c>
      <c r="U87" s="10" t="str">
        <f>_xlfn.IFNA(VLOOKUP(B87,'TV Trx'!$B$4:$C$57,2,0),"-")</f>
        <v>-</v>
      </c>
      <c r="V87" s="10" t="str">
        <f t="shared" si="1"/>
        <v>-</v>
      </c>
      <c r="W87" s="1" t="str">
        <f>_xlfn.IFNA(VLOOKUP(B87,'CO Trx'!$A$4:$B$37,2,0),"-")</f>
        <v>-</v>
      </c>
      <c r="X87" s="1" t="str">
        <f>_xlfn.IFNA(VLOOKUP(B87,'CO Trx'!$A$49:$B$104,2,0),"-")</f>
        <v>-</v>
      </c>
      <c r="Y87" s="21" t="s">
        <v>6890</v>
      </c>
    </row>
    <row r="88" spans="1:28" x14ac:dyDescent="0.2">
      <c r="A88" s="1" t="s">
        <v>867</v>
      </c>
      <c r="B88" s="1" t="s">
        <v>868</v>
      </c>
      <c r="C88" s="1" t="s">
        <v>6</v>
      </c>
      <c r="D88" s="1" t="s">
        <v>869</v>
      </c>
      <c r="E88" s="1" t="s">
        <v>7210</v>
      </c>
      <c r="F88" s="1" t="s">
        <v>473</v>
      </c>
      <c r="G88" s="1" t="s">
        <v>473</v>
      </c>
      <c r="H88" s="1" t="s">
        <v>473</v>
      </c>
      <c r="I88" s="1" t="s">
        <v>473</v>
      </c>
      <c r="J88" s="1" t="s">
        <v>473</v>
      </c>
      <c r="K88" s="1" t="s">
        <v>473</v>
      </c>
      <c r="L88" s="1" t="s">
        <v>473</v>
      </c>
      <c r="M88" s="1" t="s">
        <v>473</v>
      </c>
      <c r="N88" s="1" t="s">
        <v>7211</v>
      </c>
      <c r="O88" s="1" t="s">
        <v>7212</v>
      </c>
      <c r="P88" s="1">
        <v>0</v>
      </c>
      <c r="Q88" s="28">
        <v>0</v>
      </c>
      <c r="R88" s="1">
        <v>0</v>
      </c>
      <c r="S88" s="1"/>
      <c r="T88" s="10" t="str">
        <f>_xlfn.IFNA(VLOOKUP(B88,Sheet2!$A$2:$M$58,4,0),"-")</f>
        <v>-</v>
      </c>
      <c r="U88" s="10" t="str">
        <f>_xlfn.IFNA(VLOOKUP(B88,'TV Trx'!$B$4:$C$57,2,0),"-")</f>
        <v>-</v>
      </c>
      <c r="V88" s="10" t="str">
        <f t="shared" ref="V88:V151" si="2">IF(C88="ACC_TYPE_CO",T88,U88)</f>
        <v>-</v>
      </c>
      <c r="W88" s="1" t="str">
        <f>_xlfn.IFNA(VLOOKUP(B88,'CO Trx'!$A$4:$B$37,2,0),"-")</f>
        <v>-</v>
      </c>
      <c r="X88" s="1" t="str">
        <f>_xlfn.IFNA(VLOOKUP(B88,'CO Trx'!$A$49:$B$104,2,0),"-")</f>
        <v>-</v>
      </c>
      <c r="Y88" s="21" t="s">
        <v>6890</v>
      </c>
    </row>
    <row r="89" spans="1:28" x14ac:dyDescent="0.2">
      <c r="A89" s="1" t="s">
        <v>297</v>
      </c>
      <c r="B89" s="1" t="s">
        <v>298</v>
      </c>
      <c r="C89" s="1" t="s">
        <v>13</v>
      </c>
      <c r="D89" s="1" t="s">
        <v>266</v>
      </c>
      <c r="E89" s="1" t="s">
        <v>473</v>
      </c>
      <c r="F89" s="1" t="s">
        <v>473</v>
      </c>
      <c r="G89" s="1" t="s">
        <v>473</v>
      </c>
      <c r="H89" s="1" t="s">
        <v>473</v>
      </c>
      <c r="I89" s="1" t="s">
        <v>473</v>
      </c>
      <c r="J89" s="1" t="s">
        <v>473</v>
      </c>
      <c r="K89" s="1" t="s">
        <v>473</v>
      </c>
      <c r="L89" s="1" t="s">
        <v>473</v>
      </c>
      <c r="M89" s="1" t="s">
        <v>473</v>
      </c>
      <c r="N89" s="1" t="s">
        <v>7213</v>
      </c>
      <c r="O89" s="1" t="s">
        <v>7214</v>
      </c>
      <c r="P89" s="1" t="s">
        <v>8147</v>
      </c>
      <c r="Q89" s="28">
        <v>0</v>
      </c>
      <c r="R89" s="1">
        <v>0</v>
      </c>
      <c r="S89" s="1"/>
      <c r="T89" s="10" t="str">
        <f>_xlfn.IFNA(VLOOKUP(B89,Sheet2!$A$2:$M$58,4,0),"-")</f>
        <v>-</v>
      </c>
      <c r="U89" s="10" t="str">
        <f>_xlfn.IFNA(VLOOKUP(B89,'TV Trx'!$B$4:$C$57,2,0),"-")</f>
        <v>-</v>
      </c>
      <c r="V89" s="10" t="str">
        <f t="shared" si="2"/>
        <v>-</v>
      </c>
      <c r="W89" s="1" t="str">
        <f>_xlfn.IFNA(VLOOKUP(B89,'CO Trx'!$A$4:$B$37,2,0),"-")</f>
        <v>-</v>
      </c>
      <c r="X89" s="1" t="str">
        <f>_xlfn.IFNA(VLOOKUP(B89,'CO Trx'!$A$49:$B$104,2,0),"-")</f>
        <v>-</v>
      </c>
      <c r="Y89" s="21" t="s">
        <v>6890</v>
      </c>
      <c r="AA89" t="s">
        <v>7953</v>
      </c>
    </row>
    <row r="90" spans="1:28" x14ac:dyDescent="0.2">
      <c r="A90" s="1" t="s">
        <v>264</v>
      </c>
      <c r="B90" s="1" t="s">
        <v>265</v>
      </c>
      <c r="C90" s="1" t="s">
        <v>6</v>
      </c>
      <c r="D90" s="1" t="s">
        <v>266</v>
      </c>
      <c r="E90" s="1" t="s">
        <v>7215</v>
      </c>
      <c r="F90" s="1" t="s">
        <v>473</v>
      </c>
      <c r="G90" s="1" t="s">
        <v>473</v>
      </c>
      <c r="H90" s="1" t="s">
        <v>7216</v>
      </c>
      <c r="I90" s="1" t="s">
        <v>6963</v>
      </c>
      <c r="J90" s="1" t="s">
        <v>6964</v>
      </c>
      <c r="K90" s="1" t="s">
        <v>473</v>
      </c>
      <c r="L90" s="1" t="s">
        <v>7217</v>
      </c>
      <c r="M90" s="1" t="s">
        <v>473</v>
      </c>
      <c r="N90" s="1" t="s">
        <v>7218</v>
      </c>
      <c r="O90" s="1" t="s">
        <v>7219</v>
      </c>
      <c r="P90" s="1">
        <v>0</v>
      </c>
      <c r="Q90" s="28">
        <v>0</v>
      </c>
      <c r="R90" s="1">
        <v>0</v>
      </c>
      <c r="S90" s="1"/>
      <c r="T90" s="10" t="str">
        <f>_xlfn.IFNA(VLOOKUP(B90,Sheet2!$A$2:$M$58,4,0),"-")</f>
        <v>-</v>
      </c>
      <c r="U90" s="10" t="str">
        <f>_xlfn.IFNA(VLOOKUP(B90,'TV Trx'!$B$4:$C$57,2,0),"-")</f>
        <v>-</v>
      </c>
      <c r="V90" s="10" t="str">
        <f t="shared" si="2"/>
        <v>-</v>
      </c>
      <c r="W90" s="1" t="str">
        <f>_xlfn.IFNA(VLOOKUP(B90,'CO Trx'!$A$4:$B$37,2,0),"-")</f>
        <v>-</v>
      </c>
      <c r="X90" s="1" t="str">
        <f>_xlfn.IFNA(VLOOKUP(B90,'CO Trx'!$A$49:$B$104,2,0),"-")</f>
        <v>-</v>
      </c>
      <c r="Y90" s="21" t="s">
        <v>6890</v>
      </c>
    </row>
    <row r="91" spans="1:28" x14ac:dyDescent="0.2">
      <c r="A91" s="1" t="s">
        <v>701</v>
      </c>
      <c r="B91" s="1" t="s">
        <v>702</v>
      </c>
      <c r="C91" s="1" t="s">
        <v>13</v>
      </c>
      <c r="D91" s="1" t="s">
        <v>703</v>
      </c>
      <c r="E91" s="1" t="s">
        <v>473</v>
      </c>
      <c r="F91" s="1" t="s">
        <v>473</v>
      </c>
      <c r="G91" s="1" t="s">
        <v>473</v>
      </c>
      <c r="H91" s="1" t="s">
        <v>473</v>
      </c>
      <c r="I91" s="1" t="s">
        <v>473</v>
      </c>
      <c r="J91" s="1" t="s">
        <v>473</v>
      </c>
      <c r="K91" s="1" t="s">
        <v>473</v>
      </c>
      <c r="L91" s="1" t="s">
        <v>473</v>
      </c>
      <c r="M91" s="1" t="s">
        <v>473</v>
      </c>
      <c r="N91" s="1" t="s">
        <v>7220</v>
      </c>
      <c r="O91" s="1" t="s">
        <v>7221</v>
      </c>
      <c r="P91" s="1">
        <v>0</v>
      </c>
      <c r="Q91" s="28">
        <v>0</v>
      </c>
      <c r="R91" s="1">
        <v>0</v>
      </c>
      <c r="S91" s="1"/>
      <c r="T91" s="10" t="str">
        <f>_xlfn.IFNA(VLOOKUP(B91,Sheet2!$A$2:$M$58,4,0),"-")</f>
        <v>-</v>
      </c>
      <c r="U91" s="10" t="str">
        <f>_xlfn.IFNA(VLOOKUP(B91,'TV Trx'!$B$4:$C$57,2,0),"-")</f>
        <v>-</v>
      </c>
      <c r="V91" s="10" t="str">
        <f t="shared" si="2"/>
        <v>-</v>
      </c>
      <c r="W91" s="1" t="str">
        <f>_xlfn.IFNA(VLOOKUP(B91,'CO Trx'!$A$4:$B$37,2,0),"-")</f>
        <v>-</v>
      </c>
      <c r="X91" s="1" t="str">
        <f>_xlfn.IFNA(VLOOKUP(B91,'CO Trx'!$A$49:$B$104,2,0),"-")</f>
        <v>-</v>
      </c>
      <c r="Y91" s="21" t="s">
        <v>6890</v>
      </c>
    </row>
    <row r="92" spans="1:28" x14ac:dyDescent="0.2">
      <c r="A92" s="1" t="s">
        <v>835</v>
      </c>
      <c r="B92" s="1" t="s">
        <v>836</v>
      </c>
      <c r="C92" s="1" t="s">
        <v>13</v>
      </c>
      <c r="D92" s="1" t="s">
        <v>837</v>
      </c>
      <c r="E92" s="1" t="s">
        <v>7222</v>
      </c>
      <c r="F92" s="1" t="s">
        <v>473</v>
      </c>
      <c r="G92" s="1" t="s">
        <v>473</v>
      </c>
      <c r="H92" s="1" t="s">
        <v>473</v>
      </c>
      <c r="I92" s="1" t="s">
        <v>473</v>
      </c>
      <c r="J92" s="1" t="s">
        <v>473</v>
      </c>
      <c r="K92" s="1" t="s">
        <v>473</v>
      </c>
      <c r="L92" s="1" t="s">
        <v>6974</v>
      </c>
      <c r="M92" s="1" t="s">
        <v>473</v>
      </c>
      <c r="N92" s="1" t="s">
        <v>7223</v>
      </c>
      <c r="O92" s="1" t="s">
        <v>7224</v>
      </c>
      <c r="P92" s="1" t="s">
        <v>8148</v>
      </c>
      <c r="Q92" s="28"/>
      <c r="R92" s="1" t="s">
        <v>8275</v>
      </c>
      <c r="S92" s="1"/>
      <c r="T92" s="10" t="str">
        <f>_xlfn.IFNA(VLOOKUP(B92,Sheet2!$A$2:$M$58,4,0),"-")</f>
        <v>-</v>
      </c>
      <c r="U92" s="10">
        <f>_xlfn.IFNA(VLOOKUP(B92,'TV Trx'!$B$4:$C$57,2,0),"-")</f>
        <v>45071</v>
      </c>
      <c r="V92" s="10">
        <f t="shared" si="2"/>
        <v>45071</v>
      </c>
      <c r="W92" s="1" t="str">
        <f>_xlfn.IFNA(VLOOKUP(B92,'CO Trx'!$A$4:$B$37,2,0),"-")</f>
        <v>-</v>
      </c>
      <c r="X92" s="1" t="str">
        <f>_xlfn.IFNA(VLOOKUP(B92,'CO Trx'!$A$49:$B$104,2,0),"-")</f>
        <v>-</v>
      </c>
      <c r="Y92" s="20" t="s">
        <v>6889</v>
      </c>
      <c r="AA92" t="s">
        <v>7954</v>
      </c>
      <c r="AB92" t="s">
        <v>7972</v>
      </c>
    </row>
    <row r="93" spans="1:28" x14ac:dyDescent="0.2">
      <c r="A93" s="1" t="s">
        <v>915</v>
      </c>
      <c r="B93" s="1" t="s">
        <v>916</v>
      </c>
      <c r="C93" s="1" t="s">
        <v>13</v>
      </c>
      <c r="D93" s="1" t="s">
        <v>917</v>
      </c>
      <c r="E93" s="1" t="s">
        <v>7225</v>
      </c>
      <c r="F93" s="1" t="s">
        <v>473</v>
      </c>
      <c r="G93" s="1" t="s">
        <v>473</v>
      </c>
      <c r="H93" s="1" t="s">
        <v>473</v>
      </c>
      <c r="I93" s="1" t="s">
        <v>473</v>
      </c>
      <c r="J93" s="1" t="s">
        <v>473</v>
      </c>
      <c r="K93" s="1" t="s">
        <v>473</v>
      </c>
      <c r="L93" s="1" t="s">
        <v>7226</v>
      </c>
      <c r="M93" s="1" t="s">
        <v>473</v>
      </c>
      <c r="N93" s="1" t="s">
        <v>7227</v>
      </c>
      <c r="O93" s="1" t="s">
        <v>7228</v>
      </c>
      <c r="P93" s="1" t="s">
        <v>8149</v>
      </c>
      <c r="Q93" s="28"/>
      <c r="R93" s="1" t="s">
        <v>8276</v>
      </c>
      <c r="S93" s="1"/>
      <c r="T93" s="10" t="str">
        <f>_xlfn.IFNA(VLOOKUP(B93,Sheet2!$A$2:$M$58,4,0),"-")</f>
        <v>-</v>
      </c>
      <c r="U93" s="10">
        <f>_xlfn.IFNA(VLOOKUP(B93,'TV Trx'!$B$4:$C$57,2,0),"-")</f>
        <v>45082</v>
      </c>
      <c r="V93" s="10">
        <f t="shared" si="2"/>
        <v>45082</v>
      </c>
      <c r="W93" s="1" t="str">
        <f>_xlfn.IFNA(VLOOKUP(B93,'CO Trx'!$A$4:$B$37,2,0),"-")</f>
        <v>-</v>
      </c>
      <c r="X93" s="1" t="str">
        <f>_xlfn.IFNA(VLOOKUP(B93,'CO Trx'!$A$49:$B$104,2,0),"-")</f>
        <v>-</v>
      </c>
      <c r="Y93" s="20" t="s">
        <v>6889</v>
      </c>
      <c r="AA93" t="s">
        <v>7955</v>
      </c>
      <c r="AB93" t="s">
        <v>7973</v>
      </c>
    </row>
    <row r="94" spans="1:28" x14ac:dyDescent="0.2">
      <c r="A94" s="1" t="s">
        <v>441</v>
      </c>
      <c r="B94" s="1" t="s">
        <v>442</v>
      </c>
      <c r="C94" s="1" t="s">
        <v>6</v>
      </c>
      <c r="D94" s="1" t="s">
        <v>443</v>
      </c>
      <c r="E94" s="1" t="s">
        <v>7229</v>
      </c>
      <c r="F94" s="1" t="s">
        <v>473</v>
      </c>
      <c r="G94" s="1" t="s">
        <v>473</v>
      </c>
      <c r="H94" s="1" t="s">
        <v>473</v>
      </c>
      <c r="I94" s="1" t="s">
        <v>473</v>
      </c>
      <c r="J94" s="1" t="s">
        <v>473</v>
      </c>
      <c r="K94" s="1" t="s">
        <v>473</v>
      </c>
      <c r="L94" s="1" t="s">
        <v>7230</v>
      </c>
      <c r="M94" s="1" t="s">
        <v>473</v>
      </c>
      <c r="N94" s="1" t="s">
        <v>7231</v>
      </c>
      <c r="O94" s="1" t="s">
        <v>7232</v>
      </c>
      <c r="P94" s="1" t="s">
        <v>8150</v>
      </c>
      <c r="Q94" s="28"/>
      <c r="R94" s="1"/>
      <c r="S94" s="1"/>
      <c r="T94" s="10">
        <f>_xlfn.IFNA(VLOOKUP(B94,Sheet2!$A$2:$M$58,4,0),"-")</f>
        <v>45083</v>
      </c>
      <c r="U94" s="10" t="str">
        <f>_xlfn.IFNA(VLOOKUP(B94,'TV Trx'!$B$4:$C$57,2,0),"-")</f>
        <v>-</v>
      </c>
      <c r="V94" s="10">
        <f t="shared" si="2"/>
        <v>45083</v>
      </c>
      <c r="W94" s="1">
        <f>_xlfn.IFNA(VLOOKUP(B94,'CO Trx'!$A$4:$B$37,2,0),"-")</f>
        <v>15</v>
      </c>
      <c r="X94" s="1">
        <f>_xlfn.IFNA(VLOOKUP(B94,'CO Trx'!$A$49:$B$104,2,0),"-")</f>
        <v>863</v>
      </c>
      <c r="Y94" s="20" t="s">
        <v>6889</v>
      </c>
      <c r="AA94" t="s">
        <v>8082</v>
      </c>
      <c r="AB94" t="s">
        <v>7973</v>
      </c>
    </row>
    <row r="95" spans="1:28" x14ac:dyDescent="0.2">
      <c r="A95" s="1" t="s">
        <v>478</v>
      </c>
      <c r="B95" s="1" t="s">
        <v>479</v>
      </c>
      <c r="C95" s="1" t="s">
        <v>13</v>
      </c>
      <c r="D95" s="1" t="s">
        <v>480</v>
      </c>
      <c r="E95" s="1" t="s">
        <v>7233</v>
      </c>
      <c r="F95" s="1" t="s">
        <v>473</v>
      </c>
      <c r="G95" s="1" t="s">
        <v>473</v>
      </c>
      <c r="H95" s="1" t="s">
        <v>473</v>
      </c>
      <c r="I95" s="1" t="s">
        <v>473</v>
      </c>
      <c r="J95" s="1" t="s">
        <v>473</v>
      </c>
      <c r="K95" s="1" t="s">
        <v>473</v>
      </c>
      <c r="L95" s="1" t="s">
        <v>7234</v>
      </c>
      <c r="M95" s="1" t="s">
        <v>473</v>
      </c>
      <c r="N95" s="1" t="s">
        <v>7235</v>
      </c>
      <c r="O95" s="1" t="s">
        <v>7236</v>
      </c>
      <c r="P95" s="1">
        <v>0</v>
      </c>
      <c r="Q95" s="28">
        <v>0</v>
      </c>
      <c r="R95" s="1">
        <v>0</v>
      </c>
      <c r="S95" s="1"/>
      <c r="T95" s="10" t="str">
        <f>_xlfn.IFNA(VLOOKUP(B95,Sheet2!$A$2:$M$58,4,0),"-")</f>
        <v>-</v>
      </c>
      <c r="U95" s="10" t="str">
        <f>_xlfn.IFNA(VLOOKUP(B95,'TV Trx'!$B$4:$C$57,2,0),"-")</f>
        <v>-</v>
      </c>
      <c r="V95" s="10" t="str">
        <f t="shared" si="2"/>
        <v>-</v>
      </c>
      <c r="W95" s="1" t="str">
        <f>_xlfn.IFNA(VLOOKUP(B95,'CO Trx'!$A$4:$B$37,2,0),"-")</f>
        <v>-</v>
      </c>
      <c r="X95" s="1" t="str">
        <f>_xlfn.IFNA(VLOOKUP(B95,'CO Trx'!$A$49:$B$104,2,0),"-")</f>
        <v>-</v>
      </c>
      <c r="Y95" s="21" t="s">
        <v>6890</v>
      </c>
    </row>
    <row r="96" spans="1:28" x14ac:dyDescent="0.2">
      <c r="A96" s="1" t="s">
        <v>728</v>
      </c>
      <c r="B96" s="1" t="s">
        <v>729</v>
      </c>
      <c r="C96" s="1" t="s">
        <v>13</v>
      </c>
      <c r="D96" s="1" t="s">
        <v>730</v>
      </c>
      <c r="E96" s="1" t="s">
        <v>7237</v>
      </c>
      <c r="F96" s="1" t="s">
        <v>473</v>
      </c>
      <c r="G96" s="1" t="s">
        <v>473</v>
      </c>
      <c r="H96" s="1" t="s">
        <v>473</v>
      </c>
      <c r="I96" s="1" t="s">
        <v>473</v>
      </c>
      <c r="J96" s="1" t="s">
        <v>473</v>
      </c>
      <c r="K96" s="1" t="s">
        <v>473</v>
      </c>
      <c r="L96" s="1" t="s">
        <v>6974</v>
      </c>
      <c r="M96" s="1" t="s">
        <v>473</v>
      </c>
      <c r="N96" s="1" t="s">
        <v>7238</v>
      </c>
      <c r="O96" s="1" t="s">
        <v>7239</v>
      </c>
      <c r="P96" s="1" t="s">
        <v>8151</v>
      </c>
      <c r="Q96" s="28">
        <v>0</v>
      </c>
      <c r="R96" s="1">
        <v>0</v>
      </c>
      <c r="S96" s="1"/>
      <c r="T96" s="10" t="str">
        <f>_xlfn.IFNA(VLOOKUP(B96,Sheet2!$A$2:$M$58,4,0),"-")</f>
        <v>-</v>
      </c>
      <c r="U96" s="10" t="str">
        <f>_xlfn.IFNA(VLOOKUP(B96,'TV Trx'!$B$4:$C$57,2,0),"-")</f>
        <v>-</v>
      </c>
      <c r="V96" s="10" t="str">
        <f t="shared" si="2"/>
        <v>-</v>
      </c>
      <c r="W96" s="1" t="str">
        <f>_xlfn.IFNA(VLOOKUP(B96,'CO Trx'!$A$4:$B$37,2,0),"-")</f>
        <v>-</v>
      </c>
      <c r="X96" s="1" t="str">
        <f>_xlfn.IFNA(VLOOKUP(B96,'CO Trx'!$A$49:$B$104,2,0),"-")</f>
        <v>-</v>
      </c>
      <c r="Y96" s="21" t="s">
        <v>6890</v>
      </c>
      <c r="AA96" t="s">
        <v>7956</v>
      </c>
    </row>
    <row r="97" spans="1:28" x14ac:dyDescent="0.2">
      <c r="A97" s="1" t="s">
        <v>537</v>
      </c>
      <c r="B97" s="1" t="s">
        <v>538</v>
      </c>
      <c r="C97" s="1" t="s">
        <v>13</v>
      </c>
      <c r="D97" s="1" t="s">
        <v>539</v>
      </c>
      <c r="E97" s="1" t="s">
        <v>473</v>
      </c>
      <c r="F97" s="1" t="s">
        <v>473</v>
      </c>
      <c r="G97" s="1" t="s">
        <v>473</v>
      </c>
      <c r="H97" s="1" t="s">
        <v>473</v>
      </c>
      <c r="I97" s="1" t="s">
        <v>473</v>
      </c>
      <c r="J97" s="1" t="s">
        <v>473</v>
      </c>
      <c r="K97" s="1" t="s">
        <v>473</v>
      </c>
      <c r="L97" s="1" t="s">
        <v>473</v>
      </c>
      <c r="M97" s="1" t="s">
        <v>473</v>
      </c>
      <c r="N97" s="1" t="s">
        <v>7240</v>
      </c>
      <c r="O97" s="1" t="s">
        <v>7241</v>
      </c>
      <c r="P97" s="1">
        <v>0</v>
      </c>
      <c r="Q97" s="28">
        <v>0</v>
      </c>
      <c r="R97" s="1">
        <v>0</v>
      </c>
      <c r="S97" s="1"/>
      <c r="T97" s="10" t="str">
        <f>_xlfn.IFNA(VLOOKUP(B97,Sheet2!$A$2:$M$58,4,0),"-")</f>
        <v>-</v>
      </c>
      <c r="U97" s="10" t="str">
        <f>_xlfn.IFNA(VLOOKUP(B97,'TV Trx'!$B$4:$C$57,2,0),"-")</f>
        <v>-</v>
      </c>
      <c r="V97" s="10" t="str">
        <f t="shared" si="2"/>
        <v>-</v>
      </c>
      <c r="W97" s="1" t="str">
        <f>_xlfn.IFNA(VLOOKUP(B97,'CO Trx'!$A$4:$B$37,2,0),"-")</f>
        <v>-</v>
      </c>
      <c r="X97" s="1" t="str">
        <f>_xlfn.IFNA(VLOOKUP(B97,'CO Trx'!$A$49:$B$104,2,0),"-")</f>
        <v>-</v>
      </c>
      <c r="Y97" s="21" t="s">
        <v>6890</v>
      </c>
    </row>
    <row r="98" spans="1:28" x14ac:dyDescent="0.2">
      <c r="A98" s="1" t="s">
        <v>11</v>
      </c>
      <c r="B98" s="1" t="s">
        <v>12</v>
      </c>
      <c r="C98" s="1" t="s">
        <v>13</v>
      </c>
      <c r="D98" s="1" t="s">
        <v>14</v>
      </c>
      <c r="E98" s="1" t="s">
        <v>7242</v>
      </c>
      <c r="F98" s="1" t="s">
        <v>473</v>
      </c>
      <c r="G98" s="1" t="s">
        <v>473</v>
      </c>
      <c r="H98" s="1" t="s">
        <v>7243</v>
      </c>
      <c r="I98" s="1" t="s">
        <v>7244</v>
      </c>
      <c r="J98" s="1" t="s">
        <v>7245</v>
      </c>
      <c r="K98" s="1" t="s">
        <v>473</v>
      </c>
      <c r="L98" s="1" t="s">
        <v>473</v>
      </c>
      <c r="M98" s="1" t="s">
        <v>473</v>
      </c>
      <c r="N98" s="1" t="s">
        <v>473</v>
      </c>
      <c r="O98" s="1" t="s">
        <v>7246</v>
      </c>
      <c r="P98" s="1">
        <v>0</v>
      </c>
      <c r="Q98" s="28">
        <v>0</v>
      </c>
      <c r="R98" s="1">
        <v>0</v>
      </c>
      <c r="S98" s="1"/>
      <c r="T98" s="10" t="str">
        <f>_xlfn.IFNA(VLOOKUP(B98,Sheet2!$A$2:$M$58,4,0),"-")</f>
        <v>-</v>
      </c>
      <c r="U98" s="10" t="str">
        <f>_xlfn.IFNA(VLOOKUP(B98,'TV Trx'!$B$4:$C$57,2,0),"-")</f>
        <v>-</v>
      </c>
      <c r="V98" s="10" t="str">
        <f t="shared" si="2"/>
        <v>-</v>
      </c>
      <c r="W98" s="1" t="str">
        <f>_xlfn.IFNA(VLOOKUP(B98,'CO Trx'!$A$4:$B$37,2,0),"-")</f>
        <v>-</v>
      </c>
      <c r="X98" s="1" t="str">
        <f>_xlfn.IFNA(VLOOKUP(B98,'CO Trx'!$A$49:$B$104,2,0),"-")</f>
        <v>-</v>
      </c>
      <c r="Y98" s="21" t="s">
        <v>6890</v>
      </c>
    </row>
    <row r="99" spans="1:28" x14ac:dyDescent="0.2">
      <c r="A99" s="1" t="s">
        <v>647</v>
      </c>
      <c r="B99" s="1" t="s">
        <v>648</v>
      </c>
      <c r="C99" s="1" t="s">
        <v>23</v>
      </c>
      <c r="D99" s="1" t="s">
        <v>649</v>
      </c>
      <c r="E99" s="1" t="s">
        <v>7247</v>
      </c>
      <c r="F99" s="1" t="s">
        <v>473</v>
      </c>
      <c r="G99" s="1" t="s">
        <v>473</v>
      </c>
      <c r="H99" s="1" t="s">
        <v>473</v>
      </c>
      <c r="I99" s="1" t="s">
        <v>473</v>
      </c>
      <c r="J99" s="1" t="s">
        <v>473</v>
      </c>
      <c r="K99" s="1" t="s">
        <v>473</v>
      </c>
      <c r="L99" s="1" t="s">
        <v>7248</v>
      </c>
      <c r="M99" s="1" t="s">
        <v>473</v>
      </c>
      <c r="N99" s="1" t="s">
        <v>7249</v>
      </c>
      <c r="O99" s="1" t="s">
        <v>7250</v>
      </c>
      <c r="P99" s="1">
        <v>0</v>
      </c>
      <c r="Q99" s="28">
        <v>0</v>
      </c>
      <c r="R99" s="1">
        <v>0</v>
      </c>
      <c r="S99" s="1"/>
      <c r="T99" s="10" t="str">
        <f>_xlfn.IFNA(VLOOKUP(B99,Sheet2!$A$2:$M$58,4,0),"-")</f>
        <v>-</v>
      </c>
      <c r="U99" s="10" t="str">
        <f>_xlfn.IFNA(VLOOKUP(B99,'TV Trx'!$B$4:$C$57,2,0),"-")</f>
        <v>-</v>
      </c>
      <c r="V99" s="10" t="str">
        <f t="shared" si="2"/>
        <v>-</v>
      </c>
      <c r="W99" s="1" t="str">
        <f>_xlfn.IFNA(VLOOKUP(B99,'CO Trx'!$A$4:$B$37,2,0),"-")</f>
        <v>-</v>
      </c>
      <c r="X99" s="1" t="str">
        <f>_xlfn.IFNA(VLOOKUP(B99,'CO Trx'!$A$49:$B$104,2,0),"-")</f>
        <v>-</v>
      </c>
      <c r="Y99" s="21" t="s">
        <v>6890</v>
      </c>
    </row>
    <row r="100" spans="1:28" x14ac:dyDescent="0.2">
      <c r="A100" s="1" t="s">
        <v>891</v>
      </c>
      <c r="B100" s="1" t="s">
        <v>892</v>
      </c>
      <c r="C100" s="1" t="s">
        <v>6</v>
      </c>
      <c r="D100" s="1" t="s">
        <v>893</v>
      </c>
      <c r="E100" s="1" t="s">
        <v>7251</v>
      </c>
      <c r="F100" s="1" t="s">
        <v>473</v>
      </c>
      <c r="G100" s="1" t="s">
        <v>473</v>
      </c>
      <c r="H100" s="1" t="s">
        <v>473</v>
      </c>
      <c r="I100" s="1" t="s">
        <v>473</v>
      </c>
      <c r="J100" s="1" t="s">
        <v>473</v>
      </c>
      <c r="K100" s="1" t="s">
        <v>473</v>
      </c>
      <c r="L100" s="1" t="s">
        <v>7252</v>
      </c>
      <c r="M100" s="1" t="s">
        <v>473</v>
      </c>
      <c r="N100" s="1" t="s">
        <v>7253</v>
      </c>
      <c r="O100" s="1" t="s">
        <v>7254</v>
      </c>
      <c r="P100" s="1">
        <v>0</v>
      </c>
      <c r="Q100" s="28">
        <v>0</v>
      </c>
      <c r="R100" s="1">
        <v>0</v>
      </c>
      <c r="S100" s="1"/>
      <c r="T100" s="10" t="str">
        <f>_xlfn.IFNA(VLOOKUP(B100,Sheet2!$A$2:$M$58,4,0),"-")</f>
        <v>-</v>
      </c>
      <c r="U100" s="10" t="str">
        <f>_xlfn.IFNA(VLOOKUP(B100,'TV Trx'!$B$4:$C$57,2,0),"-")</f>
        <v>-</v>
      </c>
      <c r="V100" s="10" t="str">
        <f t="shared" si="2"/>
        <v>-</v>
      </c>
      <c r="W100" s="1" t="str">
        <f>_xlfn.IFNA(VLOOKUP(B100,'CO Trx'!$A$4:$B$37,2,0),"-")</f>
        <v>-</v>
      </c>
      <c r="X100" s="1" t="str">
        <f>_xlfn.IFNA(VLOOKUP(B100,'CO Trx'!$A$49:$B$104,2,0),"-")</f>
        <v>-</v>
      </c>
      <c r="Y100" s="21" t="s">
        <v>6890</v>
      </c>
    </row>
    <row r="101" spans="1:28" x14ac:dyDescent="0.2">
      <c r="A101" s="1" t="s">
        <v>240</v>
      </c>
      <c r="B101" s="1" t="s">
        <v>241</v>
      </c>
      <c r="C101" s="1" t="s">
        <v>6</v>
      </c>
      <c r="D101" s="1" t="s">
        <v>242</v>
      </c>
      <c r="E101" s="1" t="s">
        <v>7255</v>
      </c>
      <c r="F101" s="1" t="s">
        <v>473</v>
      </c>
      <c r="G101" s="1" t="s">
        <v>473</v>
      </c>
      <c r="H101" s="1" t="s">
        <v>7256</v>
      </c>
      <c r="I101" s="1" t="s">
        <v>6940</v>
      </c>
      <c r="J101" s="1" t="s">
        <v>6941</v>
      </c>
      <c r="K101" s="1" t="s">
        <v>473</v>
      </c>
      <c r="L101" s="1" t="s">
        <v>473</v>
      </c>
      <c r="M101" s="1" t="s">
        <v>473</v>
      </c>
      <c r="N101" s="1" t="s">
        <v>473</v>
      </c>
      <c r="O101" s="1" t="s">
        <v>7257</v>
      </c>
      <c r="P101" s="1">
        <v>0</v>
      </c>
      <c r="Q101" s="28">
        <v>0</v>
      </c>
      <c r="R101" s="1">
        <v>0</v>
      </c>
      <c r="S101" s="1"/>
      <c r="T101" s="10" t="str">
        <f>_xlfn.IFNA(VLOOKUP(B101,Sheet2!$A$2:$M$58,4,0),"-")</f>
        <v>-</v>
      </c>
      <c r="U101" s="10" t="str">
        <f>_xlfn.IFNA(VLOOKUP(B101,'TV Trx'!$B$4:$C$57,2,0),"-")</f>
        <v>-</v>
      </c>
      <c r="V101" s="10" t="str">
        <f t="shared" si="2"/>
        <v>-</v>
      </c>
      <c r="W101" s="1" t="str">
        <f>_xlfn.IFNA(VLOOKUP(B101,'CO Trx'!$A$4:$B$37,2,0),"-")</f>
        <v>-</v>
      </c>
      <c r="X101" s="1" t="str">
        <f>_xlfn.IFNA(VLOOKUP(B101,'CO Trx'!$A$49:$B$104,2,0),"-")</f>
        <v>-</v>
      </c>
      <c r="Y101" s="21" t="s">
        <v>6890</v>
      </c>
    </row>
    <row r="102" spans="1:28" x14ac:dyDescent="0.2">
      <c r="A102" s="1" t="s">
        <v>396</v>
      </c>
      <c r="B102" s="1" t="s">
        <v>397</v>
      </c>
      <c r="C102" s="1" t="s">
        <v>6</v>
      </c>
      <c r="D102" s="1" t="s">
        <v>398</v>
      </c>
      <c r="E102" s="1" t="s">
        <v>7258</v>
      </c>
      <c r="F102" s="1" t="s">
        <v>473</v>
      </c>
      <c r="G102" s="1" t="s">
        <v>473</v>
      </c>
      <c r="H102" s="1" t="s">
        <v>473</v>
      </c>
      <c r="I102" s="1" t="s">
        <v>473</v>
      </c>
      <c r="J102" s="1" t="s">
        <v>473</v>
      </c>
      <c r="K102" s="1" t="s">
        <v>473</v>
      </c>
      <c r="L102" s="1" t="s">
        <v>7259</v>
      </c>
      <c r="M102" s="1" t="s">
        <v>473</v>
      </c>
      <c r="N102" s="1" t="s">
        <v>7260</v>
      </c>
      <c r="O102" s="1" t="s">
        <v>7261</v>
      </c>
      <c r="P102" s="1">
        <v>0</v>
      </c>
      <c r="Q102" s="28">
        <v>0</v>
      </c>
      <c r="R102" s="1">
        <v>0</v>
      </c>
      <c r="S102" s="1"/>
      <c r="T102" s="10" t="str">
        <f>_xlfn.IFNA(VLOOKUP(B102,Sheet2!$A$2:$M$58,4,0),"-")</f>
        <v>-</v>
      </c>
      <c r="U102" s="10" t="str">
        <f>_xlfn.IFNA(VLOOKUP(B102,'TV Trx'!$B$4:$C$57,2,0),"-")</f>
        <v>-</v>
      </c>
      <c r="V102" s="10" t="str">
        <f t="shared" si="2"/>
        <v>-</v>
      </c>
      <c r="W102" s="1" t="str">
        <f>_xlfn.IFNA(VLOOKUP(B102,'CO Trx'!$A$4:$B$37,2,0),"-")</f>
        <v>-</v>
      </c>
      <c r="X102" s="1" t="str">
        <f>_xlfn.IFNA(VLOOKUP(B102,'CO Trx'!$A$49:$B$104,2,0),"-")</f>
        <v>-</v>
      </c>
      <c r="Y102" s="21" t="s">
        <v>6890</v>
      </c>
    </row>
    <row r="103" spans="1:28" x14ac:dyDescent="0.2">
      <c r="A103" s="1" t="s">
        <v>751</v>
      </c>
      <c r="B103" s="1" t="s">
        <v>752</v>
      </c>
      <c r="C103" s="1" t="s">
        <v>6</v>
      </c>
      <c r="D103" s="1" t="s">
        <v>753</v>
      </c>
      <c r="E103" s="1" t="s">
        <v>7262</v>
      </c>
      <c r="F103" s="1" t="s">
        <v>473</v>
      </c>
      <c r="G103" s="1" t="s">
        <v>473</v>
      </c>
      <c r="H103" s="1" t="s">
        <v>473</v>
      </c>
      <c r="I103" s="1" t="s">
        <v>473</v>
      </c>
      <c r="J103" s="1" t="s">
        <v>473</v>
      </c>
      <c r="K103" s="1" t="s">
        <v>473</v>
      </c>
      <c r="L103" s="1" t="s">
        <v>7263</v>
      </c>
      <c r="M103" s="1" t="s">
        <v>473</v>
      </c>
      <c r="N103" s="1" t="s">
        <v>7264</v>
      </c>
      <c r="O103" s="1" t="s">
        <v>7265</v>
      </c>
      <c r="P103" s="1">
        <v>0</v>
      </c>
      <c r="Q103" s="28">
        <v>0</v>
      </c>
      <c r="R103" s="1">
        <v>0</v>
      </c>
      <c r="S103" s="1"/>
      <c r="T103" s="10" t="str">
        <f>_xlfn.IFNA(VLOOKUP(B103,Sheet2!$A$2:$M$58,4,0),"-")</f>
        <v>-</v>
      </c>
      <c r="U103" s="10" t="str">
        <f>_xlfn.IFNA(VLOOKUP(B103,'TV Trx'!$B$4:$C$57,2,0),"-")</f>
        <v>-</v>
      </c>
      <c r="V103" s="10" t="str">
        <f t="shared" si="2"/>
        <v>-</v>
      </c>
      <c r="W103" s="1" t="str">
        <f>_xlfn.IFNA(VLOOKUP(B103,'CO Trx'!$A$4:$B$37,2,0),"-")</f>
        <v>-</v>
      </c>
      <c r="X103" s="1" t="str">
        <f>_xlfn.IFNA(VLOOKUP(B103,'CO Trx'!$A$49:$B$104,2,0),"-")</f>
        <v>-</v>
      </c>
      <c r="Y103" s="21" t="s">
        <v>6890</v>
      </c>
    </row>
    <row r="104" spans="1:28" x14ac:dyDescent="0.2">
      <c r="A104" s="1" t="s">
        <v>219</v>
      </c>
      <c r="B104" s="1" t="s">
        <v>220</v>
      </c>
      <c r="C104" s="1" t="s">
        <v>6</v>
      </c>
      <c r="D104" s="1" t="s">
        <v>221</v>
      </c>
      <c r="E104" s="1" t="s">
        <v>7266</v>
      </c>
      <c r="F104" s="1" t="s">
        <v>473</v>
      </c>
      <c r="G104" s="1" t="s">
        <v>473</v>
      </c>
      <c r="H104" s="1" t="s">
        <v>7267</v>
      </c>
      <c r="I104" s="1" t="s">
        <v>7144</v>
      </c>
      <c r="J104" s="1" t="s">
        <v>6941</v>
      </c>
      <c r="K104" s="1" t="s">
        <v>473</v>
      </c>
      <c r="L104" s="1" t="s">
        <v>7268</v>
      </c>
      <c r="M104" s="1" t="s">
        <v>473</v>
      </c>
      <c r="N104" s="1" t="s">
        <v>7269</v>
      </c>
      <c r="O104" s="1" t="s">
        <v>7270</v>
      </c>
      <c r="P104" s="1">
        <v>0</v>
      </c>
      <c r="Q104" s="28">
        <v>0</v>
      </c>
      <c r="R104" s="1">
        <v>0</v>
      </c>
      <c r="S104" s="1"/>
      <c r="T104" s="10" t="str">
        <f>_xlfn.IFNA(VLOOKUP(B104,Sheet2!$A$2:$M$58,4,0),"-")</f>
        <v>-</v>
      </c>
      <c r="U104" s="10" t="str">
        <f>_xlfn.IFNA(VLOOKUP(B104,'TV Trx'!$B$4:$C$57,2,0),"-")</f>
        <v>-</v>
      </c>
      <c r="V104" s="10" t="str">
        <f t="shared" si="2"/>
        <v>-</v>
      </c>
      <c r="W104" s="1" t="str">
        <f>_xlfn.IFNA(VLOOKUP(B104,'CO Trx'!$A$4:$B$37,2,0),"-")</f>
        <v>-</v>
      </c>
      <c r="X104" s="1" t="str">
        <f>_xlfn.IFNA(VLOOKUP(B104,'CO Trx'!$A$49:$B$104,2,0),"-")</f>
        <v>-</v>
      </c>
      <c r="Y104" s="21" t="s">
        <v>6890</v>
      </c>
    </row>
    <row r="105" spans="1:28" x14ac:dyDescent="0.2">
      <c r="A105" s="1" t="s">
        <v>716</v>
      </c>
      <c r="B105" s="1" t="s">
        <v>717</v>
      </c>
      <c r="C105" s="1" t="s">
        <v>6</v>
      </c>
      <c r="D105" s="1" t="s">
        <v>718</v>
      </c>
      <c r="E105" s="1" t="s">
        <v>7271</v>
      </c>
      <c r="F105" s="1" t="s">
        <v>473</v>
      </c>
      <c r="G105" s="1" t="s">
        <v>473</v>
      </c>
      <c r="H105" s="1" t="s">
        <v>473</v>
      </c>
      <c r="I105" s="1" t="s">
        <v>473</v>
      </c>
      <c r="J105" s="1" t="s">
        <v>473</v>
      </c>
      <c r="K105" s="1" t="s">
        <v>473</v>
      </c>
      <c r="L105" s="1" t="s">
        <v>6974</v>
      </c>
      <c r="M105" s="1" t="s">
        <v>473</v>
      </c>
      <c r="N105" s="1" t="s">
        <v>7272</v>
      </c>
      <c r="O105" s="1" t="s">
        <v>7273</v>
      </c>
      <c r="P105" s="1" t="s">
        <v>8152</v>
      </c>
      <c r="Q105" s="28"/>
      <c r="R105" s="1"/>
      <c r="S105" s="1"/>
      <c r="T105" s="10">
        <f>_xlfn.IFNA(VLOOKUP(B105,Sheet2!$A$2:$M$58,4,0),"-")</f>
        <v>45052</v>
      </c>
      <c r="U105" s="10" t="str">
        <f>_xlfn.IFNA(VLOOKUP(B105,'TV Trx'!$B$4:$C$57,2,0),"-")</f>
        <v>-</v>
      </c>
      <c r="V105" s="10">
        <f t="shared" si="2"/>
        <v>45052</v>
      </c>
      <c r="W105" s="1">
        <f>_xlfn.IFNA(VLOOKUP(B105,'CO Trx'!$A$4:$B$37,2,0),"-")</f>
        <v>1</v>
      </c>
      <c r="X105" s="1">
        <f>_xlfn.IFNA(VLOOKUP(B105,'CO Trx'!$A$49:$B$104,2,0),"-")</f>
        <v>23</v>
      </c>
      <c r="Y105" s="20" t="s">
        <v>6889</v>
      </c>
      <c r="AA105" t="s">
        <v>8083</v>
      </c>
      <c r="AB105" t="s">
        <v>8071</v>
      </c>
    </row>
    <row r="106" spans="1:28" x14ac:dyDescent="0.2">
      <c r="A106" s="1" t="s">
        <v>311</v>
      </c>
      <c r="B106" s="1" t="s">
        <v>312</v>
      </c>
      <c r="C106" s="1" t="s">
        <v>13</v>
      </c>
      <c r="D106" s="1" t="s">
        <v>313</v>
      </c>
      <c r="E106" s="1" t="s">
        <v>7274</v>
      </c>
      <c r="F106" s="1" t="s">
        <v>473</v>
      </c>
      <c r="G106" s="1" t="s">
        <v>473</v>
      </c>
      <c r="H106" s="1" t="s">
        <v>473</v>
      </c>
      <c r="I106" s="1" t="s">
        <v>473</v>
      </c>
      <c r="J106" s="1" t="s">
        <v>473</v>
      </c>
      <c r="K106" s="1" t="s">
        <v>473</v>
      </c>
      <c r="L106" s="1" t="s">
        <v>7275</v>
      </c>
      <c r="M106" s="1" t="s">
        <v>473</v>
      </c>
      <c r="N106" s="1" t="s">
        <v>7276</v>
      </c>
      <c r="O106" s="1" t="s">
        <v>7277</v>
      </c>
      <c r="P106" s="1">
        <v>0</v>
      </c>
      <c r="Q106" s="28">
        <v>0</v>
      </c>
      <c r="R106" s="1">
        <v>0</v>
      </c>
      <c r="S106" s="1"/>
      <c r="T106" s="10" t="str">
        <f>_xlfn.IFNA(VLOOKUP(B106,Sheet2!$A$2:$M$58,4,0),"-")</f>
        <v>-</v>
      </c>
      <c r="U106" s="10" t="str">
        <f>_xlfn.IFNA(VLOOKUP(B106,'TV Trx'!$B$4:$C$57,2,0),"-")</f>
        <v>-</v>
      </c>
      <c r="V106" s="10" t="str">
        <f t="shared" si="2"/>
        <v>-</v>
      </c>
      <c r="W106" s="1" t="str">
        <f>_xlfn.IFNA(VLOOKUP(B106,'CO Trx'!$A$4:$B$37,2,0),"-")</f>
        <v>-</v>
      </c>
      <c r="X106" s="1" t="str">
        <f>_xlfn.IFNA(VLOOKUP(B106,'CO Trx'!$A$49:$B$104,2,0),"-")</f>
        <v>-</v>
      </c>
      <c r="Y106" s="21" t="s">
        <v>6890</v>
      </c>
    </row>
    <row r="107" spans="1:28" x14ac:dyDescent="0.2">
      <c r="A107" s="1" t="s">
        <v>710</v>
      </c>
      <c r="B107" s="1" t="s">
        <v>711</v>
      </c>
      <c r="C107" s="1" t="s">
        <v>6</v>
      </c>
      <c r="D107" s="1" t="s">
        <v>712</v>
      </c>
      <c r="E107" s="1" t="s">
        <v>7278</v>
      </c>
      <c r="F107" s="1" t="s">
        <v>473</v>
      </c>
      <c r="G107" s="1" t="s">
        <v>473</v>
      </c>
      <c r="H107" s="1" t="s">
        <v>6962</v>
      </c>
      <c r="I107" s="1" t="s">
        <v>6963</v>
      </c>
      <c r="J107" s="1" t="s">
        <v>6964</v>
      </c>
      <c r="K107" s="1" t="s">
        <v>473</v>
      </c>
      <c r="L107" s="1" t="s">
        <v>473</v>
      </c>
      <c r="M107" s="1" t="s">
        <v>473</v>
      </c>
      <c r="N107" s="1" t="s">
        <v>473</v>
      </c>
      <c r="O107" s="1" t="s">
        <v>7279</v>
      </c>
      <c r="P107" s="1">
        <v>0</v>
      </c>
      <c r="Q107" s="28">
        <v>0</v>
      </c>
      <c r="R107" s="1">
        <v>0</v>
      </c>
      <c r="S107" s="1"/>
      <c r="T107" s="10" t="str">
        <f>_xlfn.IFNA(VLOOKUP(B107,Sheet2!$A$2:$M$58,4,0),"-")</f>
        <v>-</v>
      </c>
      <c r="U107" s="10" t="str">
        <f>_xlfn.IFNA(VLOOKUP(B107,'TV Trx'!$B$4:$C$57,2,0),"-")</f>
        <v>-</v>
      </c>
      <c r="V107" s="10" t="str">
        <f t="shared" si="2"/>
        <v>-</v>
      </c>
      <c r="W107" s="1" t="str">
        <f>_xlfn.IFNA(VLOOKUP(B107,'CO Trx'!$A$4:$B$37,2,0),"-")</f>
        <v>-</v>
      </c>
      <c r="X107" s="1" t="str">
        <f>_xlfn.IFNA(VLOOKUP(B107,'CO Trx'!$A$49:$B$104,2,0),"-")</f>
        <v>-</v>
      </c>
      <c r="Y107" s="21" t="s">
        <v>6890</v>
      </c>
    </row>
    <row r="108" spans="1:28" x14ac:dyDescent="0.2">
      <c r="A108" s="1" t="s">
        <v>754</v>
      </c>
      <c r="B108" s="1" t="s">
        <v>755</v>
      </c>
      <c r="C108" s="1" t="s">
        <v>13</v>
      </c>
      <c r="D108" s="1" t="s">
        <v>756</v>
      </c>
      <c r="E108" s="1" t="s">
        <v>473</v>
      </c>
      <c r="F108" s="1" t="s">
        <v>473</v>
      </c>
      <c r="G108" s="1" t="s">
        <v>473</v>
      </c>
      <c r="H108" s="1" t="s">
        <v>473</v>
      </c>
      <c r="I108" s="1" t="s">
        <v>473</v>
      </c>
      <c r="J108" s="1" t="s">
        <v>473</v>
      </c>
      <c r="K108" s="1" t="s">
        <v>473</v>
      </c>
      <c r="L108" s="1" t="s">
        <v>473</v>
      </c>
      <c r="M108" s="1" t="s">
        <v>473</v>
      </c>
      <c r="N108" s="1" t="s">
        <v>7280</v>
      </c>
      <c r="O108" s="1" t="s">
        <v>7281</v>
      </c>
      <c r="P108" s="1">
        <v>0</v>
      </c>
      <c r="Q108" s="28">
        <v>0</v>
      </c>
      <c r="R108" s="1">
        <v>0</v>
      </c>
      <c r="S108" s="1"/>
      <c r="T108" s="10" t="str">
        <f>_xlfn.IFNA(VLOOKUP(B108,Sheet2!$A$2:$M$58,4,0),"-")</f>
        <v>-</v>
      </c>
      <c r="U108" s="10" t="str">
        <f>_xlfn.IFNA(VLOOKUP(B108,'TV Trx'!$B$4:$C$57,2,0),"-")</f>
        <v>-</v>
      </c>
      <c r="V108" s="10" t="str">
        <f t="shared" si="2"/>
        <v>-</v>
      </c>
      <c r="W108" s="1" t="str">
        <f>_xlfn.IFNA(VLOOKUP(B108,'CO Trx'!$A$4:$B$37,2,0),"-")</f>
        <v>-</v>
      </c>
      <c r="X108" s="1" t="str">
        <f>_xlfn.IFNA(VLOOKUP(B108,'CO Trx'!$A$49:$B$104,2,0),"-")</f>
        <v>-</v>
      </c>
      <c r="Y108" s="21" t="s">
        <v>6890</v>
      </c>
    </row>
    <row r="109" spans="1:28" x14ac:dyDescent="0.2">
      <c r="A109" s="1" t="s">
        <v>599</v>
      </c>
      <c r="B109" s="1" t="s">
        <v>600</v>
      </c>
      <c r="C109" s="1" t="s">
        <v>13</v>
      </c>
      <c r="D109" s="1" t="s">
        <v>601</v>
      </c>
      <c r="E109" s="1" t="s">
        <v>473</v>
      </c>
      <c r="F109" s="1" t="s">
        <v>473</v>
      </c>
      <c r="G109" s="1" t="s">
        <v>473</v>
      </c>
      <c r="H109" s="1" t="s">
        <v>473</v>
      </c>
      <c r="I109" s="1" t="s">
        <v>473</v>
      </c>
      <c r="J109" s="1" t="s">
        <v>473</v>
      </c>
      <c r="K109" s="1" t="s">
        <v>473</v>
      </c>
      <c r="L109" s="1" t="s">
        <v>473</v>
      </c>
      <c r="M109" s="1" t="s">
        <v>473</v>
      </c>
      <c r="N109" s="1" t="s">
        <v>473</v>
      </c>
      <c r="O109" s="1" t="s">
        <v>7282</v>
      </c>
      <c r="P109" s="1">
        <v>0</v>
      </c>
      <c r="Q109" s="28">
        <v>0</v>
      </c>
      <c r="R109" s="1">
        <v>0</v>
      </c>
      <c r="S109" s="1"/>
      <c r="T109" s="10" t="str">
        <f>_xlfn.IFNA(VLOOKUP(B109,Sheet2!$A$2:$M$58,4,0),"-")</f>
        <v>-</v>
      </c>
      <c r="U109" s="10" t="str">
        <f>_xlfn.IFNA(VLOOKUP(B109,'TV Trx'!$B$4:$C$57,2,0),"-")</f>
        <v>-</v>
      </c>
      <c r="V109" s="10" t="str">
        <f t="shared" si="2"/>
        <v>-</v>
      </c>
      <c r="W109" s="1" t="str">
        <f>_xlfn.IFNA(VLOOKUP(B109,'CO Trx'!$A$4:$B$37,2,0),"-")</f>
        <v>-</v>
      </c>
      <c r="X109" s="1" t="str">
        <f>_xlfn.IFNA(VLOOKUP(B109,'CO Trx'!$A$49:$B$104,2,0),"-")</f>
        <v>-</v>
      </c>
      <c r="Y109" s="21" t="s">
        <v>6890</v>
      </c>
    </row>
    <row r="110" spans="1:28" x14ac:dyDescent="0.2">
      <c r="A110" s="1" t="s">
        <v>207</v>
      </c>
      <c r="B110" s="1" t="s">
        <v>208</v>
      </c>
      <c r="C110" s="1" t="s">
        <v>13</v>
      </c>
      <c r="D110" s="1" t="s">
        <v>209</v>
      </c>
      <c r="E110" s="1" t="s">
        <v>7283</v>
      </c>
      <c r="F110" s="1" t="s">
        <v>473</v>
      </c>
      <c r="G110" s="1" t="s">
        <v>473</v>
      </c>
      <c r="H110" s="1" t="s">
        <v>473</v>
      </c>
      <c r="I110" s="1" t="s">
        <v>473</v>
      </c>
      <c r="J110" s="1" t="s">
        <v>473</v>
      </c>
      <c r="K110" s="1" t="s">
        <v>473</v>
      </c>
      <c r="L110" s="1" t="s">
        <v>7284</v>
      </c>
      <c r="M110" s="1" t="s">
        <v>473</v>
      </c>
      <c r="N110" s="1" t="s">
        <v>7285</v>
      </c>
      <c r="O110" s="1" t="s">
        <v>7286</v>
      </c>
      <c r="P110" s="1">
        <v>0</v>
      </c>
      <c r="Q110" s="28">
        <v>0</v>
      </c>
      <c r="R110" s="1">
        <v>0</v>
      </c>
      <c r="S110" s="1"/>
      <c r="T110" s="10" t="str">
        <f>_xlfn.IFNA(VLOOKUP(B110,Sheet2!$A$2:$M$58,4,0),"-")</f>
        <v>-</v>
      </c>
      <c r="U110" s="10" t="str">
        <f>_xlfn.IFNA(VLOOKUP(B110,'TV Trx'!$B$4:$C$57,2,0),"-")</f>
        <v>-</v>
      </c>
      <c r="V110" s="10" t="str">
        <f t="shared" si="2"/>
        <v>-</v>
      </c>
      <c r="W110" s="1" t="str">
        <f>_xlfn.IFNA(VLOOKUP(B110,'CO Trx'!$A$4:$B$37,2,0),"-")</f>
        <v>-</v>
      </c>
      <c r="X110" s="1" t="str">
        <f>_xlfn.IFNA(VLOOKUP(B110,'CO Trx'!$A$49:$B$104,2,0),"-")</f>
        <v>-</v>
      </c>
      <c r="Y110" s="21" t="s">
        <v>6890</v>
      </c>
    </row>
    <row r="111" spans="1:28" x14ac:dyDescent="0.2">
      <c r="A111" s="1" t="s">
        <v>376</v>
      </c>
      <c r="B111" s="1" t="s">
        <v>377</v>
      </c>
      <c r="C111" s="1" t="s">
        <v>13</v>
      </c>
      <c r="D111" s="1" t="s">
        <v>17</v>
      </c>
      <c r="E111" s="1" t="s">
        <v>7287</v>
      </c>
      <c r="F111" s="1" t="s">
        <v>473</v>
      </c>
      <c r="G111" s="1" t="s">
        <v>473</v>
      </c>
      <c r="H111" s="1" t="s">
        <v>473</v>
      </c>
      <c r="I111" s="1" t="s">
        <v>473</v>
      </c>
      <c r="J111" s="1" t="s">
        <v>473</v>
      </c>
      <c r="K111" s="1" t="s">
        <v>473</v>
      </c>
      <c r="L111" s="1" t="s">
        <v>7102</v>
      </c>
      <c r="M111" s="1" t="s">
        <v>473</v>
      </c>
      <c r="N111" s="1" t="s">
        <v>7288</v>
      </c>
      <c r="O111" s="1" t="s">
        <v>7289</v>
      </c>
      <c r="P111" s="1" t="s">
        <v>8153</v>
      </c>
      <c r="Q111" s="28"/>
      <c r="R111" s="1" t="s">
        <v>8277</v>
      </c>
      <c r="S111" s="1"/>
      <c r="T111" s="10" t="str">
        <f>_xlfn.IFNA(VLOOKUP(B111,Sheet2!$A$2:$M$58,4,0),"-")</f>
        <v>-</v>
      </c>
      <c r="U111" s="10">
        <f>_xlfn.IFNA(VLOOKUP(B111,'TV Trx'!$B$4:$C$57,2,0),"-")</f>
        <v>45060</v>
      </c>
      <c r="V111" s="10">
        <f t="shared" si="2"/>
        <v>45060</v>
      </c>
      <c r="W111" s="1" t="str">
        <f>_xlfn.IFNA(VLOOKUP(B111,'CO Trx'!$A$4:$B$37,2,0),"-")</f>
        <v>-</v>
      </c>
      <c r="X111" s="1" t="str">
        <f>_xlfn.IFNA(VLOOKUP(B111,'CO Trx'!$A$49:$B$104,2,0),"-")</f>
        <v>-</v>
      </c>
      <c r="Y111" s="20" t="s">
        <v>6889</v>
      </c>
      <c r="AA111" t="s">
        <v>7957</v>
      </c>
      <c r="AB111" t="s">
        <v>7974</v>
      </c>
    </row>
    <row r="112" spans="1:28" x14ac:dyDescent="0.2">
      <c r="A112" s="1" t="s">
        <v>885</v>
      </c>
      <c r="B112" s="1" t="s">
        <v>886</v>
      </c>
      <c r="C112" s="1" t="s">
        <v>13</v>
      </c>
      <c r="D112" s="1" t="s">
        <v>887</v>
      </c>
      <c r="E112" s="1" t="s">
        <v>7290</v>
      </c>
      <c r="F112" s="1" t="s">
        <v>473</v>
      </c>
      <c r="G112" s="1" t="s">
        <v>473</v>
      </c>
      <c r="H112" s="1" t="s">
        <v>473</v>
      </c>
      <c r="I112" s="1" t="s">
        <v>473</v>
      </c>
      <c r="J112" s="1" t="s">
        <v>473</v>
      </c>
      <c r="K112" s="1" t="s">
        <v>473</v>
      </c>
      <c r="L112" s="1" t="s">
        <v>6974</v>
      </c>
      <c r="M112" s="1" t="s">
        <v>473</v>
      </c>
      <c r="N112" s="1" t="s">
        <v>7291</v>
      </c>
      <c r="O112" s="1" t="s">
        <v>7292</v>
      </c>
      <c r="P112" s="1" t="s">
        <v>8154</v>
      </c>
      <c r="Q112" s="28"/>
      <c r="R112" s="1" t="s">
        <v>8278</v>
      </c>
      <c r="S112" s="1"/>
      <c r="T112" s="10" t="str">
        <f>_xlfn.IFNA(VLOOKUP(B112,Sheet2!$A$2:$M$58,4,0),"-")</f>
        <v>-</v>
      </c>
      <c r="U112" s="10">
        <f>_xlfn.IFNA(VLOOKUP(B112,'TV Trx'!$B$4:$C$57,2,0),"-")</f>
        <v>45083</v>
      </c>
      <c r="V112" s="10">
        <f t="shared" si="2"/>
        <v>45083</v>
      </c>
      <c r="W112" s="1" t="str">
        <f>_xlfn.IFNA(VLOOKUP(B112,'CO Trx'!$A$4:$B$37,2,0),"-")</f>
        <v>-</v>
      </c>
      <c r="X112" s="1" t="str">
        <f>_xlfn.IFNA(VLOOKUP(B112,'CO Trx'!$A$49:$B$104,2,0),"-")</f>
        <v>-</v>
      </c>
      <c r="Y112" s="20" t="s">
        <v>6889</v>
      </c>
      <c r="AA112" t="s">
        <v>7958</v>
      </c>
      <c r="AB112" t="s">
        <v>7975</v>
      </c>
    </row>
    <row r="113" spans="1:28" x14ac:dyDescent="0.2">
      <c r="A113" s="1" t="s">
        <v>471</v>
      </c>
      <c r="B113" s="1" t="s">
        <v>472</v>
      </c>
      <c r="C113" s="1" t="s">
        <v>473</v>
      </c>
      <c r="D113" s="1" t="s">
        <v>474</v>
      </c>
      <c r="E113" s="1" t="s">
        <v>7293</v>
      </c>
      <c r="F113" s="1" t="s">
        <v>473</v>
      </c>
      <c r="G113" s="1" t="s">
        <v>473</v>
      </c>
      <c r="H113" s="1" t="s">
        <v>473</v>
      </c>
      <c r="I113" s="1" t="s">
        <v>473</v>
      </c>
      <c r="J113" s="1" t="s">
        <v>473</v>
      </c>
      <c r="K113" s="1" t="s">
        <v>473</v>
      </c>
      <c r="L113" s="1" t="s">
        <v>7294</v>
      </c>
      <c r="M113" s="1" t="s">
        <v>473</v>
      </c>
      <c r="N113" s="1" t="s">
        <v>7295</v>
      </c>
      <c r="O113" s="1" t="s">
        <v>7296</v>
      </c>
      <c r="P113" s="1">
        <v>0</v>
      </c>
      <c r="Q113" s="28">
        <v>0</v>
      </c>
      <c r="R113" s="1">
        <v>0</v>
      </c>
      <c r="S113" s="1"/>
      <c r="T113" s="10" t="str">
        <f>_xlfn.IFNA(VLOOKUP(B113,Sheet2!$A$2:$M$58,4,0),"-")</f>
        <v>-</v>
      </c>
      <c r="U113" s="10" t="str">
        <f>_xlfn.IFNA(VLOOKUP(B113,'TV Trx'!$B$4:$C$57,2,0),"-")</f>
        <v>-</v>
      </c>
      <c r="V113" s="10" t="str">
        <f t="shared" si="2"/>
        <v>-</v>
      </c>
      <c r="W113" s="1" t="str">
        <f>_xlfn.IFNA(VLOOKUP(B113,'CO Trx'!$A$4:$B$37,2,0),"-")</f>
        <v>-</v>
      </c>
      <c r="X113" s="1" t="str">
        <f>_xlfn.IFNA(VLOOKUP(B113,'CO Trx'!$A$49:$B$104,2,0),"-")</f>
        <v>-</v>
      </c>
      <c r="Y113" s="21" t="s">
        <v>6890</v>
      </c>
    </row>
    <row r="114" spans="1:28" x14ac:dyDescent="0.2">
      <c r="A114" s="1" t="s">
        <v>534</v>
      </c>
      <c r="B114" s="1" t="s">
        <v>535</v>
      </c>
      <c r="C114" s="1" t="s">
        <v>13</v>
      </c>
      <c r="D114" s="1" t="s">
        <v>536</v>
      </c>
      <c r="E114" s="1" t="s">
        <v>473</v>
      </c>
      <c r="F114" s="1" t="s">
        <v>473</v>
      </c>
      <c r="G114" s="1" t="s">
        <v>473</v>
      </c>
      <c r="H114" s="1" t="s">
        <v>473</v>
      </c>
      <c r="I114" s="1" t="s">
        <v>473</v>
      </c>
      <c r="J114" s="1" t="s">
        <v>473</v>
      </c>
      <c r="K114" s="1" t="s">
        <v>473</v>
      </c>
      <c r="L114" s="1" t="s">
        <v>473</v>
      </c>
      <c r="M114" s="1" t="s">
        <v>473</v>
      </c>
      <c r="N114" s="1" t="s">
        <v>7297</v>
      </c>
      <c r="O114" s="1" t="s">
        <v>7298</v>
      </c>
      <c r="P114" s="1">
        <v>0</v>
      </c>
      <c r="Q114" s="28">
        <v>0</v>
      </c>
      <c r="R114" s="1">
        <v>0</v>
      </c>
      <c r="S114" s="1"/>
      <c r="T114" s="10" t="str">
        <f>_xlfn.IFNA(VLOOKUP(B114,Sheet2!$A$2:$M$58,4,0),"-")</f>
        <v>-</v>
      </c>
      <c r="U114" s="10" t="str">
        <f>_xlfn.IFNA(VLOOKUP(B114,'TV Trx'!$B$4:$C$57,2,0),"-")</f>
        <v>-</v>
      </c>
      <c r="V114" s="10" t="str">
        <f t="shared" si="2"/>
        <v>-</v>
      </c>
      <c r="W114" s="1" t="str">
        <f>_xlfn.IFNA(VLOOKUP(B114,'CO Trx'!$A$4:$B$37,2,0),"-")</f>
        <v>-</v>
      </c>
      <c r="X114" s="1" t="str">
        <f>_xlfn.IFNA(VLOOKUP(B114,'CO Trx'!$A$49:$B$104,2,0),"-")</f>
        <v>-</v>
      </c>
      <c r="Y114" s="21" t="s">
        <v>6890</v>
      </c>
    </row>
    <row r="115" spans="1:28" x14ac:dyDescent="0.2">
      <c r="A115" s="1" t="s">
        <v>37</v>
      </c>
      <c r="B115" s="1" t="s">
        <v>38</v>
      </c>
      <c r="C115" s="1" t="s">
        <v>6</v>
      </c>
      <c r="D115" s="1" t="s">
        <v>39</v>
      </c>
      <c r="E115" s="1" t="s">
        <v>7299</v>
      </c>
      <c r="F115" s="1" t="s">
        <v>473</v>
      </c>
      <c r="G115" s="1" t="s">
        <v>473</v>
      </c>
      <c r="H115" s="1" t="s">
        <v>473</v>
      </c>
      <c r="I115" s="1" t="s">
        <v>473</v>
      </c>
      <c r="J115" s="1" t="s">
        <v>473</v>
      </c>
      <c r="K115" s="1" t="s">
        <v>473</v>
      </c>
      <c r="L115" s="1" t="s">
        <v>6974</v>
      </c>
      <c r="M115" s="1" t="s">
        <v>473</v>
      </c>
      <c r="N115" s="1" t="s">
        <v>7300</v>
      </c>
      <c r="O115" s="1" t="s">
        <v>7301</v>
      </c>
      <c r="P115" s="1" t="s">
        <v>8155</v>
      </c>
      <c r="Q115" s="28"/>
      <c r="R115" s="1"/>
      <c r="S115" s="1"/>
      <c r="T115" s="10">
        <f>_xlfn.IFNA(VLOOKUP(B115,Sheet2!$A$2:$M$58,4,0),"-")</f>
        <v>45068</v>
      </c>
      <c r="U115" s="10" t="str">
        <f>_xlfn.IFNA(VLOOKUP(B115,'TV Trx'!$B$4:$C$57,2,0),"-")</f>
        <v>-</v>
      </c>
      <c r="V115" s="10">
        <f t="shared" si="2"/>
        <v>45068</v>
      </c>
      <c r="W115" s="1" t="str">
        <f>_xlfn.IFNA(VLOOKUP(B115,'CO Trx'!$A$4:$B$37,2,0),"-")</f>
        <v>-</v>
      </c>
      <c r="X115" s="1">
        <f>_xlfn.IFNA(VLOOKUP(B115,'CO Trx'!$A$49:$B$104,2,0),"-")</f>
        <v>9</v>
      </c>
      <c r="Y115" s="20" t="s">
        <v>6889</v>
      </c>
      <c r="AA115" t="s">
        <v>8084</v>
      </c>
      <c r="AB115" t="s">
        <v>8055</v>
      </c>
    </row>
    <row r="116" spans="1:28" x14ac:dyDescent="0.2">
      <c r="A116" s="1" t="s">
        <v>522</v>
      </c>
      <c r="B116" s="1" t="s">
        <v>523</v>
      </c>
      <c r="C116" s="1" t="s">
        <v>13</v>
      </c>
      <c r="D116" s="1" t="s">
        <v>524</v>
      </c>
      <c r="E116" s="1" t="s">
        <v>7302</v>
      </c>
      <c r="F116" s="1" t="s">
        <v>473</v>
      </c>
      <c r="G116" s="1" t="s">
        <v>473</v>
      </c>
      <c r="H116" s="1" t="s">
        <v>473</v>
      </c>
      <c r="I116" s="1" t="s">
        <v>473</v>
      </c>
      <c r="J116" s="1" t="s">
        <v>473</v>
      </c>
      <c r="K116" s="1" t="s">
        <v>473</v>
      </c>
      <c r="L116" s="1" t="s">
        <v>6974</v>
      </c>
      <c r="M116" s="1" t="s">
        <v>473</v>
      </c>
      <c r="N116" s="1" t="s">
        <v>7303</v>
      </c>
      <c r="O116" s="1" t="s">
        <v>7304</v>
      </c>
      <c r="P116" s="1" t="s">
        <v>8156</v>
      </c>
      <c r="Q116" s="28">
        <v>0</v>
      </c>
      <c r="R116" s="1">
        <v>0</v>
      </c>
      <c r="S116" s="1"/>
      <c r="T116" s="10" t="str">
        <f>_xlfn.IFNA(VLOOKUP(B116,Sheet2!$A$2:$M$58,4,0),"-")</f>
        <v>-</v>
      </c>
      <c r="U116" s="10" t="str">
        <f>_xlfn.IFNA(VLOOKUP(B116,'TV Trx'!$B$4:$C$57,2,0),"-")</f>
        <v>-</v>
      </c>
      <c r="V116" s="10" t="str">
        <f t="shared" si="2"/>
        <v>-</v>
      </c>
      <c r="W116" s="1" t="str">
        <f>_xlfn.IFNA(VLOOKUP(B116,'CO Trx'!$A$4:$B$37,2,0),"-")</f>
        <v>-</v>
      </c>
      <c r="X116" s="1" t="str">
        <f>_xlfn.IFNA(VLOOKUP(B116,'CO Trx'!$A$49:$B$104,2,0),"-")</f>
        <v>-</v>
      </c>
      <c r="Y116" s="21" t="s">
        <v>6890</v>
      </c>
      <c r="AA116" t="s">
        <v>7959</v>
      </c>
    </row>
    <row r="117" spans="1:28" x14ac:dyDescent="0.2">
      <c r="A117" s="1" t="s">
        <v>276</v>
      </c>
      <c r="B117" s="1" t="s">
        <v>277</v>
      </c>
      <c r="C117" s="1" t="s">
        <v>6</v>
      </c>
      <c r="D117" s="1" t="s">
        <v>278</v>
      </c>
      <c r="E117" s="1" t="s">
        <v>7305</v>
      </c>
      <c r="F117" s="1" t="s">
        <v>473</v>
      </c>
      <c r="G117" s="1" t="s">
        <v>473</v>
      </c>
      <c r="H117" s="1" t="s">
        <v>473</v>
      </c>
      <c r="I117" s="1" t="s">
        <v>473</v>
      </c>
      <c r="J117" s="1" t="s">
        <v>473</v>
      </c>
      <c r="K117" s="1" t="s">
        <v>473</v>
      </c>
      <c r="L117" s="1" t="s">
        <v>6974</v>
      </c>
      <c r="M117" s="1" t="s">
        <v>473</v>
      </c>
      <c r="N117" s="1" t="s">
        <v>7306</v>
      </c>
      <c r="O117" s="1" t="s">
        <v>7307</v>
      </c>
      <c r="P117" s="1" t="s">
        <v>8157</v>
      </c>
      <c r="Q117" s="28"/>
      <c r="R117" s="1"/>
      <c r="S117" s="1"/>
      <c r="T117" s="10">
        <f>_xlfn.IFNA(VLOOKUP(B117,Sheet2!$A$2:$M$58,4,0),"-")</f>
        <v>45008</v>
      </c>
      <c r="U117" s="10" t="str">
        <f>_xlfn.IFNA(VLOOKUP(B117,'TV Trx'!$B$4:$C$57,2,0),"-")</f>
        <v>-</v>
      </c>
      <c r="V117" s="10">
        <f t="shared" si="2"/>
        <v>45008</v>
      </c>
      <c r="W117" s="1">
        <f>_xlfn.IFNA(VLOOKUP(B117,'CO Trx'!$A$4:$B$37,2,0),"-")</f>
        <v>2</v>
      </c>
      <c r="X117" s="1">
        <f>_xlfn.IFNA(VLOOKUP(B117,'CO Trx'!$A$49:$B$104,2,0),"-")</f>
        <v>43</v>
      </c>
      <c r="Y117" s="22" t="s">
        <v>6891</v>
      </c>
      <c r="AA117" t="s">
        <v>8085</v>
      </c>
      <c r="AB117" t="s">
        <v>7964</v>
      </c>
    </row>
    <row r="118" spans="1:28" x14ac:dyDescent="0.2">
      <c r="A118" s="1" t="s">
        <v>531</v>
      </c>
      <c r="B118" s="1" t="s">
        <v>532</v>
      </c>
      <c r="C118" s="1" t="s">
        <v>6</v>
      </c>
      <c r="D118" s="1" t="s">
        <v>533</v>
      </c>
      <c r="E118" s="1" t="s">
        <v>7308</v>
      </c>
      <c r="F118" s="1" t="s">
        <v>473</v>
      </c>
      <c r="G118" s="1" t="s">
        <v>473</v>
      </c>
      <c r="H118" s="1" t="s">
        <v>473</v>
      </c>
      <c r="I118" s="1" t="s">
        <v>473</v>
      </c>
      <c r="J118" s="1" t="s">
        <v>473</v>
      </c>
      <c r="K118" s="1" t="s">
        <v>473</v>
      </c>
      <c r="L118" s="1" t="s">
        <v>6974</v>
      </c>
      <c r="M118" s="1" t="s">
        <v>473</v>
      </c>
      <c r="N118" s="1" t="s">
        <v>7309</v>
      </c>
      <c r="O118" s="1" t="s">
        <v>7310</v>
      </c>
      <c r="P118" s="1" t="s">
        <v>8158</v>
      </c>
      <c r="Q118" s="28"/>
      <c r="R118" s="1"/>
      <c r="S118" s="1"/>
      <c r="T118" s="10">
        <f>_xlfn.IFNA(VLOOKUP(B118,Sheet2!$A$2:$M$58,4,0),"-")</f>
        <v>45086</v>
      </c>
      <c r="U118" s="10" t="str">
        <f>_xlfn.IFNA(VLOOKUP(B118,'TV Trx'!$B$4:$C$57,2,0),"-")</f>
        <v>-</v>
      </c>
      <c r="V118" s="10">
        <f t="shared" si="2"/>
        <v>45086</v>
      </c>
      <c r="W118" s="1" t="str">
        <f>_xlfn.IFNA(VLOOKUP(B118,'CO Trx'!$A$4:$B$37,2,0),"-")</f>
        <v>-</v>
      </c>
      <c r="X118" s="1">
        <f>_xlfn.IFNA(VLOOKUP(B118,'CO Trx'!$A$49:$B$104,2,0),"-")</f>
        <v>9</v>
      </c>
      <c r="Y118" s="20" t="s">
        <v>6889</v>
      </c>
      <c r="AA118" t="s">
        <v>8086</v>
      </c>
      <c r="AB118" t="s">
        <v>8035</v>
      </c>
    </row>
    <row r="119" spans="1:28" x14ac:dyDescent="0.2">
      <c r="A119" s="1" t="s">
        <v>546</v>
      </c>
      <c r="B119" s="1" t="s">
        <v>547</v>
      </c>
      <c r="C119" s="1" t="s">
        <v>13</v>
      </c>
      <c r="D119" s="1" t="s">
        <v>548</v>
      </c>
      <c r="E119" s="1" t="s">
        <v>7311</v>
      </c>
      <c r="F119" s="1" t="s">
        <v>473</v>
      </c>
      <c r="G119" s="1" t="s">
        <v>473</v>
      </c>
      <c r="H119" s="1" t="s">
        <v>473</v>
      </c>
      <c r="I119" s="1" t="s">
        <v>473</v>
      </c>
      <c r="J119" s="1" t="s">
        <v>473</v>
      </c>
      <c r="K119" s="1" t="s">
        <v>473</v>
      </c>
      <c r="L119" s="1" t="s">
        <v>7312</v>
      </c>
      <c r="M119" s="1" t="s">
        <v>473</v>
      </c>
      <c r="N119" s="1" t="s">
        <v>7313</v>
      </c>
      <c r="O119" s="1" t="s">
        <v>7314</v>
      </c>
      <c r="P119" s="1">
        <v>0</v>
      </c>
      <c r="Q119" s="28">
        <v>0</v>
      </c>
      <c r="R119" s="1">
        <v>0</v>
      </c>
      <c r="S119" s="1"/>
      <c r="T119" s="10" t="str">
        <f>_xlfn.IFNA(VLOOKUP(B119,Sheet2!$A$2:$M$58,4,0),"-")</f>
        <v>-</v>
      </c>
      <c r="U119" s="10" t="str">
        <f>_xlfn.IFNA(VLOOKUP(B119,'TV Trx'!$B$4:$C$57,2,0),"-")</f>
        <v>-</v>
      </c>
      <c r="V119" s="10" t="str">
        <f t="shared" si="2"/>
        <v>-</v>
      </c>
      <c r="W119" s="1" t="str">
        <f>_xlfn.IFNA(VLOOKUP(B119,'CO Trx'!$A$4:$B$37,2,0),"-")</f>
        <v>-</v>
      </c>
      <c r="X119" s="1" t="str">
        <f>_xlfn.IFNA(VLOOKUP(B119,'CO Trx'!$A$49:$B$104,2,0),"-")</f>
        <v>-</v>
      </c>
      <c r="Y119" s="21" t="s">
        <v>6890</v>
      </c>
    </row>
    <row r="120" spans="1:28" s="36" customFormat="1" x14ac:dyDescent="0.2">
      <c r="A120" s="32" t="s">
        <v>838</v>
      </c>
      <c r="B120" s="32" t="s">
        <v>839</v>
      </c>
      <c r="C120" s="32" t="s">
        <v>6</v>
      </c>
      <c r="D120" s="32" t="s">
        <v>301</v>
      </c>
      <c r="E120" s="32" t="s">
        <v>7315</v>
      </c>
      <c r="F120" s="32" t="s">
        <v>473</v>
      </c>
      <c r="G120" s="32" t="s">
        <v>473</v>
      </c>
      <c r="H120" s="32" t="s">
        <v>473</v>
      </c>
      <c r="I120" s="32" t="s">
        <v>473</v>
      </c>
      <c r="J120" s="32" t="s">
        <v>473</v>
      </c>
      <c r="K120" s="32" t="s">
        <v>473</v>
      </c>
      <c r="L120" s="32" t="s">
        <v>7316</v>
      </c>
      <c r="M120" s="32" t="s">
        <v>473</v>
      </c>
      <c r="N120" s="32" t="s">
        <v>7317</v>
      </c>
      <c r="O120" s="32" t="s">
        <v>7318</v>
      </c>
      <c r="P120" s="32">
        <v>0</v>
      </c>
      <c r="Q120" s="33">
        <v>0</v>
      </c>
      <c r="R120" s="32">
        <v>0</v>
      </c>
      <c r="S120" s="32"/>
      <c r="T120" s="34" t="str">
        <f>_xlfn.IFNA(VLOOKUP(B120,Sheet2!$A$2:$M$58,4,0),"-")</f>
        <v>-</v>
      </c>
      <c r="U120" s="34" t="str">
        <f>_xlfn.IFNA(VLOOKUP(B120,'TV Trx'!$B$4:$C$57,2,0),"-")</f>
        <v>-</v>
      </c>
      <c r="V120" s="34" t="str">
        <f t="shared" si="2"/>
        <v>-</v>
      </c>
      <c r="W120" s="32" t="str">
        <f>_xlfn.IFNA(VLOOKUP(B120,'CO Trx'!$A$4:$B$37,2,0),"-")</f>
        <v>-</v>
      </c>
      <c r="X120" s="32" t="str">
        <f>_xlfn.IFNA(VLOOKUP(B120,'CO Trx'!$A$49:$B$104,2,0),"-")</f>
        <v>-</v>
      </c>
      <c r="Y120" s="35" t="s">
        <v>6890</v>
      </c>
    </row>
    <row r="121" spans="1:28" x14ac:dyDescent="0.2">
      <c r="A121" s="1" t="s">
        <v>299</v>
      </c>
      <c r="B121" s="1" t="s">
        <v>300</v>
      </c>
      <c r="C121" s="1" t="s">
        <v>13</v>
      </c>
      <c r="D121" s="1" t="s">
        <v>301</v>
      </c>
      <c r="E121" s="1" t="s">
        <v>7315</v>
      </c>
      <c r="F121" s="1" t="s">
        <v>473</v>
      </c>
      <c r="G121" s="1" t="s">
        <v>473</v>
      </c>
      <c r="H121" s="1" t="s">
        <v>473</v>
      </c>
      <c r="I121" s="1" t="s">
        <v>473</v>
      </c>
      <c r="J121" s="1" t="s">
        <v>473</v>
      </c>
      <c r="K121" s="1" t="s">
        <v>473</v>
      </c>
      <c r="L121" s="1" t="s">
        <v>7316</v>
      </c>
      <c r="M121" s="1" t="s">
        <v>473</v>
      </c>
      <c r="N121" s="1" t="s">
        <v>7319</v>
      </c>
      <c r="O121" s="1" t="s">
        <v>7320</v>
      </c>
      <c r="P121" s="1" t="s">
        <v>8159</v>
      </c>
      <c r="Q121" s="28">
        <v>0</v>
      </c>
      <c r="R121" s="1">
        <v>0</v>
      </c>
      <c r="S121" s="1"/>
      <c r="T121" s="10" t="str">
        <f>_xlfn.IFNA(VLOOKUP(B121,Sheet2!$A$2:$M$58,4,0),"-")</f>
        <v>-</v>
      </c>
      <c r="U121" s="10" t="str">
        <f>_xlfn.IFNA(VLOOKUP(B121,'TV Trx'!$B$4:$C$57,2,0),"-")</f>
        <v>-</v>
      </c>
      <c r="V121" s="10" t="str">
        <f t="shared" si="2"/>
        <v>-</v>
      </c>
      <c r="W121" s="1" t="str">
        <f>_xlfn.IFNA(VLOOKUP(B121,'CO Trx'!$A$4:$B$37,2,0),"-")</f>
        <v>-</v>
      </c>
      <c r="X121" s="1" t="str">
        <f>_xlfn.IFNA(VLOOKUP(B121,'CO Trx'!$A$49:$B$104,2,0),"-")</f>
        <v>-</v>
      </c>
      <c r="Y121" s="21" t="s">
        <v>6890</v>
      </c>
      <c r="AA121" t="s">
        <v>7960</v>
      </c>
    </row>
    <row r="122" spans="1:28" x14ac:dyDescent="0.2">
      <c r="A122" s="1" t="s">
        <v>493</v>
      </c>
      <c r="B122" s="1" t="s">
        <v>494</v>
      </c>
      <c r="C122" s="1" t="s">
        <v>6</v>
      </c>
      <c r="D122" s="1" t="s">
        <v>495</v>
      </c>
      <c r="E122" s="1" t="s">
        <v>7321</v>
      </c>
      <c r="F122" s="1" t="s">
        <v>473</v>
      </c>
      <c r="G122" s="1" t="s">
        <v>473</v>
      </c>
      <c r="H122" s="1" t="s">
        <v>473</v>
      </c>
      <c r="I122" s="1" t="s">
        <v>473</v>
      </c>
      <c r="J122" s="1" t="s">
        <v>473</v>
      </c>
      <c r="K122" s="1" t="s">
        <v>473</v>
      </c>
      <c r="L122" s="1" t="s">
        <v>7322</v>
      </c>
      <c r="M122" s="1" t="s">
        <v>473</v>
      </c>
      <c r="N122" s="1" t="s">
        <v>7323</v>
      </c>
      <c r="O122" s="1" t="s">
        <v>7324</v>
      </c>
      <c r="P122" s="1">
        <v>0</v>
      </c>
      <c r="Q122" s="28">
        <v>0</v>
      </c>
      <c r="R122" s="1">
        <v>0</v>
      </c>
      <c r="S122" s="1"/>
      <c r="T122" s="10" t="str">
        <f>_xlfn.IFNA(VLOOKUP(B122,Sheet2!$A$2:$M$58,4,0),"-")</f>
        <v>-</v>
      </c>
      <c r="U122" s="10" t="str">
        <f>_xlfn.IFNA(VLOOKUP(B122,'TV Trx'!$B$4:$C$57,2,0),"-")</f>
        <v>-</v>
      </c>
      <c r="V122" s="10" t="str">
        <f t="shared" si="2"/>
        <v>-</v>
      </c>
      <c r="W122" s="1" t="str">
        <f>_xlfn.IFNA(VLOOKUP(B122,'CO Trx'!$A$4:$B$37,2,0),"-")</f>
        <v>-</v>
      </c>
      <c r="X122" s="1" t="str">
        <f>_xlfn.IFNA(VLOOKUP(B122,'CO Trx'!$A$49:$B$104,2,0),"-")</f>
        <v>-</v>
      </c>
      <c r="Y122" s="21" t="s">
        <v>6890</v>
      </c>
    </row>
    <row r="123" spans="1:28" x14ac:dyDescent="0.2">
      <c r="A123" s="1" t="s">
        <v>689</v>
      </c>
      <c r="B123" s="1" t="s">
        <v>690</v>
      </c>
      <c r="C123" s="1" t="s">
        <v>6</v>
      </c>
      <c r="D123" s="1" t="s">
        <v>691</v>
      </c>
      <c r="E123" s="1" t="s">
        <v>7325</v>
      </c>
      <c r="F123" s="1" t="s">
        <v>473</v>
      </c>
      <c r="G123" s="1" t="s">
        <v>473</v>
      </c>
      <c r="H123" s="1" t="s">
        <v>473</v>
      </c>
      <c r="I123" s="1" t="s">
        <v>473</v>
      </c>
      <c r="J123" s="1" t="s">
        <v>473</v>
      </c>
      <c r="K123" s="1" t="s">
        <v>473</v>
      </c>
      <c r="L123" s="1" t="s">
        <v>6974</v>
      </c>
      <c r="M123" s="1" t="s">
        <v>473</v>
      </c>
      <c r="N123" s="1" t="s">
        <v>7326</v>
      </c>
      <c r="O123" s="1" t="s">
        <v>7327</v>
      </c>
      <c r="P123" s="1">
        <v>0</v>
      </c>
      <c r="Q123" s="28">
        <v>0</v>
      </c>
      <c r="R123" s="1">
        <v>0</v>
      </c>
      <c r="S123" s="1"/>
      <c r="T123" s="10" t="str">
        <f>_xlfn.IFNA(VLOOKUP(B123,Sheet2!$A$2:$M$58,4,0),"-")</f>
        <v>-</v>
      </c>
      <c r="U123" s="10" t="str">
        <f>_xlfn.IFNA(VLOOKUP(B123,'TV Trx'!$B$4:$C$57,2,0),"-")</f>
        <v>-</v>
      </c>
      <c r="V123" s="10" t="str">
        <f t="shared" si="2"/>
        <v>-</v>
      </c>
      <c r="W123" s="1" t="str">
        <f>_xlfn.IFNA(VLOOKUP(B123,'CO Trx'!$A$4:$B$37,2,0),"-")</f>
        <v>-</v>
      </c>
      <c r="X123" s="1" t="str">
        <f>_xlfn.IFNA(VLOOKUP(B123,'CO Trx'!$A$49:$B$104,2,0),"-")</f>
        <v>-</v>
      </c>
      <c r="Y123" s="21" t="s">
        <v>6890</v>
      </c>
    </row>
    <row r="124" spans="1:28" x14ac:dyDescent="0.2">
      <c r="A124" s="1" t="s">
        <v>549</v>
      </c>
      <c r="B124" s="1" t="s">
        <v>550</v>
      </c>
      <c r="C124" s="1" t="s">
        <v>13</v>
      </c>
      <c r="D124" s="1" t="s">
        <v>551</v>
      </c>
      <c r="E124" s="1" t="s">
        <v>7328</v>
      </c>
      <c r="F124" s="1" t="s">
        <v>473</v>
      </c>
      <c r="G124" s="1" t="s">
        <v>473</v>
      </c>
      <c r="H124" s="1" t="s">
        <v>473</v>
      </c>
      <c r="I124" s="1" t="s">
        <v>473</v>
      </c>
      <c r="J124" s="1" t="s">
        <v>473</v>
      </c>
      <c r="K124" s="1" t="s">
        <v>473</v>
      </c>
      <c r="L124" s="1" t="s">
        <v>6974</v>
      </c>
      <c r="M124" s="1" t="s">
        <v>473</v>
      </c>
      <c r="N124" s="1" t="s">
        <v>7329</v>
      </c>
      <c r="O124" s="1" t="s">
        <v>7330</v>
      </c>
      <c r="P124" s="1" t="s">
        <v>8160</v>
      </c>
      <c r="Q124" s="28"/>
      <c r="R124" s="1" t="s">
        <v>8279</v>
      </c>
      <c r="S124" s="1"/>
      <c r="T124" s="10" t="str">
        <f>_xlfn.IFNA(VLOOKUP(B124,Sheet2!$A$2:$M$58,4,0),"-")</f>
        <v>-</v>
      </c>
      <c r="U124" s="10">
        <f>_xlfn.IFNA(VLOOKUP(B124,'TV Trx'!$B$4:$C$57,2,0),"-")</f>
        <v>45080</v>
      </c>
      <c r="V124" s="10">
        <f t="shared" si="2"/>
        <v>45080</v>
      </c>
      <c r="W124" s="1" t="str">
        <f>_xlfn.IFNA(VLOOKUP(B124,'CO Trx'!$A$4:$B$37,2,0),"-")</f>
        <v>-</v>
      </c>
      <c r="X124" s="1" t="str">
        <f>_xlfn.IFNA(VLOOKUP(B124,'CO Trx'!$A$49:$B$104,2,0),"-")</f>
        <v>-</v>
      </c>
      <c r="Y124" s="20" t="s">
        <v>6889</v>
      </c>
      <c r="AA124" t="s">
        <v>7961</v>
      </c>
      <c r="AB124" t="s">
        <v>7976</v>
      </c>
    </row>
    <row r="125" spans="1:28" x14ac:dyDescent="0.2">
      <c r="A125" s="1" t="s">
        <v>198</v>
      </c>
      <c r="B125" s="1" t="s">
        <v>199</v>
      </c>
      <c r="C125" s="1" t="s">
        <v>13</v>
      </c>
      <c r="D125" s="1" t="s">
        <v>200</v>
      </c>
      <c r="E125" s="1" t="s">
        <v>7331</v>
      </c>
      <c r="F125" s="1" t="s">
        <v>473</v>
      </c>
      <c r="G125" s="1" t="s">
        <v>473</v>
      </c>
      <c r="H125" s="1" t="s">
        <v>473</v>
      </c>
      <c r="I125" s="1" t="s">
        <v>473</v>
      </c>
      <c r="J125" s="1" t="s">
        <v>473</v>
      </c>
      <c r="K125" s="1" t="s">
        <v>473</v>
      </c>
      <c r="L125" s="1" t="s">
        <v>473</v>
      </c>
      <c r="M125" s="1" t="s">
        <v>473</v>
      </c>
      <c r="N125" s="1" t="s">
        <v>7332</v>
      </c>
      <c r="O125" s="1" t="s">
        <v>7333</v>
      </c>
      <c r="P125" s="1">
        <v>0</v>
      </c>
      <c r="Q125" s="28">
        <v>0</v>
      </c>
      <c r="R125" s="1">
        <v>0</v>
      </c>
      <c r="S125" s="1"/>
      <c r="T125" s="10" t="str">
        <f>_xlfn.IFNA(VLOOKUP(B125,Sheet2!$A$2:$M$58,4,0),"-")</f>
        <v>-</v>
      </c>
      <c r="U125" s="10" t="str">
        <f>_xlfn.IFNA(VLOOKUP(B125,'TV Trx'!$B$4:$C$57,2,0),"-")</f>
        <v>-</v>
      </c>
      <c r="V125" s="10" t="str">
        <f t="shared" si="2"/>
        <v>-</v>
      </c>
      <c r="W125" s="1" t="str">
        <f>_xlfn.IFNA(VLOOKUP(B125,'CO Trx'!$A$4:$B$37,2,0),"-")</f>
        <v>-</v>
      </c>
      <c r="X125" s="1" t="str">
        <f>_xlfn.IFNA(VLOOKUP(B125,'CO Trx'!$A$49:$B$104,2,0),"-")</f>
        <v>-</v>
      </c>
      <c r="Y125" s="21" t="s">
        <v>6890</v>
      </c>
    </row>
    <row r="126" spans="1:28" x14ac:dyDescent="0.2">
      <c r="A126" s="1" t="s">
        <v>713</v>
      </c>
      <c r="B126" s="1" t="s">
        <v>714</v>
      </c>
      <c r="C126" s="1" t="s">
        <v>13</v>
      </c>
      <c r="D126" s="1" t="s">
        <v>715</v>
      </c>
      <c r="E126" s="1" t="s">
        <v>7334</v>
      </c>
      <c r="F126" s="1" t="s">
        <v>473</v>
      </c>
      <c r="G126" s="1" t="s">
        <v>473</v>
      </c>
      <c r="H126" s="1" t="s">
        <v>473</v>
      </c>
      <c r="I126" s="1" t="s">
        <v>473</v>
      </c>
      <c r="J126" s="1" t="s">
        <v>473</v>
      </c>
      <c r="K126" s="1" t="s">
        <v>473</v>
      </c>
      <c r="L126" s="1" t="s">
        <v>473</v>
      </c>
      <c r="M126" s="1" t="s">
        <v>473</v>
      </c>
      <c r="N126" s="1" t="s">
        <v>7335</v>
      </c>
      <c r="O126" s="1" t="s">
        <v>7336</v>
      </c>
      <c r="P126" s="1">
        <v>0</v>
      </c>
      <c r="Q126" s="28">
        <v>0</v>
      </c>
      <c r="R126" s="1">
        <v>0</v>
      </c>
      <c r="S126" s="1"/>
      <c r="T126" s="10" t="str">
        <f>_xlfn.IFNA(VLOOKUP(B126,Sheet2!$A$2:$M$58,4,0),"-")</f>
        <v>-</v>
      </c>
      <c r="U126" s="10" t="str">
        <f>_xlfn.IFNA(VLOOKUP(B126,'TV Trx'!$B$4:$C$57,2,0),"-")</f>
        <v>-</v>
      </c>
      <c r="V126" s="10" t="str">
        <f t="shared" si="2"/>
        <v>-</v>
      </c>
      <c r="W126" s="1" t="str">
        <f>_xlfn.IFNA(VLOOKUP(B126,'CO Trx'!$A$4:$B$37,2,0),"-")</f>
        <v>-</v>
      </c>
      <c r="X126" s="1" t="str">
        <f>_xlfn.IFNA(VLOOKUP(B126,'CO Trx'!$A$49:$B$104,2,0),"-")</f>
        <v>-</v>
      </c>
      <c r="Y126" s="21" t="s">
        <v>6890</v>
      </c>
    </row>
    <row r="127" spans="1:28" x14ac:dyDescent="0.2">
      <c r="A127" s="1" t="s">
        <v>632</v>
      </c>
      <c r="B127" s="1" t="s">
        <v>633</v>
      </c>
      <c r="C127" s="1" t="s">
        <v>6</v>
      </c>
      <c r="D127" s="1" t="s">
        <v>634</v>
      </c>
      <c r="E127" s="1" t="s">
        <v>7337</v>
      </c>
      <c r="F127" s="1" t="s">
        <v>473</v>
      </c>
      <c r="G127" s="1" t="s">
        <v>473</v>
      </c>
      <c r="H127" s="1" t="s">
        <v>473</v>
      </c>
      <c r="I127" s="1" t="s">
        <v>473</v>
      </c>
      <c r="J127" s="1" t="s">
        <v>473</v>
      </c>
      <c r="K127" s="1" t="s">
        <v>473</v>
      </c>
      <c r="L127" s="1" t="s">
        <v>6974</v>
      </c>
      <c r="M127" s="1" t="s">
        <v>473</v>
      </c>
      <c r="N127" s="1" t="s">
        <v>7338</v>
      </c>
      <c r="O127" s="1" t="s">
        <v>7339</v>
      </c>
      <c r="P127" s="1" t="s">
        <v>8161</v>
      </c>
      <c r="Q127" s="28"/>
      <c r="R127" s="1"/>
      <c r="S127" s="1"/>
      <c r="T127" s="10">
        <f>_xlfn.IFNA(VLOOKUP(B127,Sheet2!$A$2:$M$58,4,0),"-")</f>
        <v>45086</v>
      </c>
      <c r="U127" s="10" t="str">
        <f>_xlfn.IFNA(VLOOKUP(B127,'TV Trx'!$B$4:$C$57,2,0),"-")</f>
        <v>-</v>
      </c>
      <c r="V127" s="10">
        <f t="shared" si="2"/>
        <v>45086</v>
      </c>
      <c r="W127" s="1">
        <f>_xlfn.IFNA(VLOOKUP(B127,'CO Trx'!$A$4:$B$37,2,0),"-")</f>
        <v>10</v>
      </c>
      <c r="X127" s="1">
        <f>_xlfn.IFNA(VLOOKUP(B127,'CO Trx'!$A$49:$B$104,2,0),"-")</f>
        <v>87</v>
      </c>
      <c r="Y127" s="20" t="s">
        <v>6889</v>
      </c>
      <c r="AA127" t="s">
        <v>8087</v>
      </c>
    </row>
    <row r="128" spans="1:28" x14ac:dyDescent="0.2">
      <c r="A128" s="1" t="s">
        <v>61</v>
      </c>
      <c r="B128" s="1" t="s">
        <v>62</v>
      </c>
      <c r="C128" s="1" t="s">
        <v>6</v>
      </c>
      <c r="D128" s="1" t="s">
        <v>63</v>
      </c>
      <c r="E128" s="1" t="s">
        <v>7340</v>
      </c>
      <c r="F128" s="1" t="s">
        <v>473</v>
      </c>
      <c r="G128" s="1" t="s">
        <v>473</v>
      </c>
      <c r="H128" s="1" t="s">
        <v>473</v>
      </c>
      <c r="I128" s="1" t="s">
        <v>473</v>
      </c>
      <c r="J128" s="1" t="s">
        <v>473</v>
      </c>
      <c r="K128" s="1" t="s">
        <v>473</v>
      </c>
      <c r="L128" s="1" t="s">
        <v>6974</v>
      </c>
      <c r="M128" s="1" t="s">
        <v>473</v>
      </c>
      <c r="N128" s="1" t="s">
        <v>7341</v>
      </c>
      <c r="O128" s="1" t="s">
        <v>7342</v>
      </c>
      <c r="P128" s="1">
        <v>0</v>
      </c>
      <c r="Q128" s="28">
        <v>0</v>
      </c>
      <c r="R128" s="1">
        <v>0</v>
      </c>
      <c r="S128" s="1"/>
      <c r="T128" s="10" t="str">
        <f>_xlfn.IFNA(VLOOKUP(B128,Sheet2!$A$2:$M$58,4,0),"-")</f>
        <v>-</v>
      </c>
      <c r="U128" s="10" t="str">
        <f>_xlfn.IFNA(VLOOKUP(B128,'TV Trx'!$B$4:$C$57,2,0),"-")</f>
        <v>-</v>
      </c>
      <c r="V128" s="10" t="str">
        <f t="shared" si="2"/>
        <v>-</v>
      </c>
      <c r="W128" s="1" t="str">
        <f>_xlfn.IFNA(VLOOKUP(B128,'CO Trx'!$A$4:$B$37,2,0),"-")</f>
        <v>-</v>
      </c>
      <c r="X128" s="1" t="str">
        <f>_xlfn.IFNA(VLOOKUP(B128,'CO Trx'!$A$49:$B$104,2,0),"-")</f>
        <v>-</v>
      </c>
      <c r="Y128" s="21" t="s">
        <v>6890</v>
      </c>
    </row>
    <row r="129" spans="1:28" x14ac:dyDescent="0.2">
      <c r="A129" s="1" t="s">
        <v>156</v>
      </c>
      <c r="B129" s="1" t="s">
        <v>157</v>
      </c>
      <c r="C129" s="1" t="s">
        <v>13</v>
      </c>
      <c r="D129" s="1" t="s">
        <v>158</v>
      </c>
      <c r="E129" s="1" t="s">
        <v>7343</v>
      </c>
      <c r="F129" s="1" t="s">
        <v>473</v>
      </c>
      <c r="G129" s="1" t="s">
        <v>473</v>
      </c>
      <c r="H129" s="1" t="s">
        <v>473</v>
      </c>
      <c r="I129" s="1" t="s">
        <v>473</v>
      </c>
      <c r="J129" s="1" t="s">
        <v>473</v>
      </c>
      <c r="K129" s="1" t="s">
        <v>473</v>
      </c>
      <c r="L129" s="1" t="s">
        <v>6974</v>
      </c>
      <c r="M129" s="1" t="s">
        <v>473</v>
      </c>
      <c r="N129" s="1" t="s">
        <v>7344</v>
      </c>
      <c r="O129" s="1" t="s">
        <v>7345</v>
      </c>
      <c r="P129" s="1" t="s">
        <v>8317</v>
      </c>
      <c r="Q129" s="28"/>
      <c r="R129" s="1" t="s">
        <v>8280</v>
      </c>
      <c r="S129" s="1"/>
      <c r="T129" s="10" t="str">
        <f>_xlfn.IFNA(VLOOKUP(B129,Sheet2!$A$2:$M$58,4,0),"-")</f>
        <v>-</v>
      </c>
      <c r="U129" s="10">
        <f>_xlfn.IFNA(VLOOKUP(B129,'TV Trx'!$B$4:$C$57,2,0),"-")</f>
        <v>45025</v>
      </c>
      <c r="V129" s="10">
        <f t="shared" si="2"/>
        <v>45025</v>
      </c>
      <c r="W129" s="1" t="str">
        <f>_xlfn.IFNA(VLOOKUP(B129,'CO Trx'!$A$4:$B$37,2,0),"-")</f>
        <v>-</v>
      </c>
      <c r="X129" s="1" t="str">
        <f>_xlfn.IFNA(VLOOKUP(B129,'CO Trx'!$A$49:$B$104,2,0),"-")</f>
        <v>-</v>
      </c>
      <c r="Y129" s="20" t="s">
        <v>6889</v>
      </c>
      <c r="AA129" t="s">
        <v>7977</v>
      </c>
      <c r="AB129" t="s">
        <v>8032</v>
      </c>
    </row>
    <row r="130" spans="1:28" x14ac:dyDescent="0.2">
      <c r="A130" s="1" t="s">
        <v>496</v>
      </c>
      <c r="B130" s="1" t="s">
        <v>497</v>
      </c>
      <c r="C130" s="1" t="s">
        <v>6</v>
      </c>
      <c r="D130" s="1" t="s">
        <v>158</v>
      </c>
      <c r="E130" s="1" t="s">
        <v>7343</v>
      </c>
      <c r="F130" s="1" t="s">
        <v>473</v>
      </c>
      <c r="G130" s="1" t="s">
        <v>473</v>
      </c>
      <c r="H130" s="1" t="s">
        <v>473</v>
      </c>
      <c r="I130" s="1" t="s">
        <v>473</v>
      </c>
      <c r="J130" s="1" t="s">
        <v>473</v>
      </c>
      <c r="K130" s="1" t="s">
        <v>473</v>
      </c>
      <c r="L130" s="1" t="s">
        <v>6974</v>
      </c>
      <c r="M130" s="1" t="s">
        <v>473</v>
      </c>
      <c r="N130" s="1" t="s">
        <v>7346</v>
      </c>
      <c r="O130" s="1" t="s">
        <v>7347</v>
      </c>
      <c r="P130" s="1">
        <v>0</v>
      </c>
      <c r="Q130" s="28">
        <v>0</v>
      </c>
      <c r="R130" s="1">
        <v>0</v>
      </c>
      <c r="S130" s="1"/>
      <c r="T130" s="10" t="str">
        <f>_xlfn.IFNA(VLOOKUP(B130,Sheet2!$A$2:$M$58,4,0),"-")</f>
        <v>-</v>
      </c>
      <c r="U130" s="10" t="str">
        <f>_xlfn.IFNA(VLOOKUP(B130,'TV Trx'!$B$4:$C$57,2,0),"-")</f>
        <v>-</v>
      </c>
      <c r="V130" s="10" t="str">
        <f t="shared" si="2"/>
        <v>-</v>
      </c>
      <c r="W130" s="1" t="str">
        <f>_xlfn.IFNA(VLOOKUP(B130,'CO Trx'!$A$4:$B$37,2,0),"-")</f>
        <v>-</v>
      </c>
      <c r="X130" s="1" t="str">
        <f>_xlfn.IFNA(VLOOKUP(B130,'CO Trx'!$A$49:$B$104,2,0),"-")</f>
        <v>-</v>
      </c>
      <c r="Y130" s="21" t="s">
        <v>6890</v>
      </c>
    </row>
    <row r="131" spans="1:28" x14ac:dyDescent="0.2">
      <c r="A131" s="1" t="s">
        <v>444</v>
      </c>
      <c r="B131" s="1" t="s">
        <v>445</v>
      </c>
      <c r="C131" s="1" t="s">
        <v>13</v>
      </c>
      <c r="D131" s="1" t="s">
        <v>446</v>
      </c>
      <c r="E131" s="1" t="s">
        <v>7348</v>
      </c>
      <c r="F131" s="1" t="s">
        <v>473</v>
      </c>
      <c r="G131" s="1" t="s">
        <v>473</v>
      </c>
      <c r="H131" s="1" t="s">
        <v>473</v>
      </c>
      <c r="I131" s="1" t="s">
        <v>473</v>
      </c>
      <c r="J131" s="1" t="s">
        <v>473</v>
      </c>
      <c r="K131" s="1" t="s">
        <v>473</v>
      </c>
      <c r="L131" s="1" t="s">
        <v>473</v>
      </c>
      <c r="M131" s="1" t="s">
        <v>473</v>
      </c>
      <c r="N131" s="1" t="s">
        <v>7349</v>
      </c>
      <c r="O131" s="1" t="s">
        <v>7350</v>
      </c>
      <c r="P131" s="1">
        <v>0</v>
      </c>
      <c r="Q131" s="28">
        <v>0</v>
      </c>
      <c r="R131" s="1">
        <v>0</v>
      </c>
      <c r="S131" s="1"/>
      <c r="T131" s="10" t="str">
        <f>_xlfn.IFNA(VLOOKUP(B131,Sheet2!$A$2:$M$58,4,0),"-")</f>
        <v>-</v>
      </c>
      <c r="U131" s="10" t="str">
        <f>_xlfn.IFNA(VLOOKUP(B131,'TV Trx'!$B$4:$C$57,2,0),"-")</f>
        <v>-</v>
      </c>
      <c r="V131" s="10" t="str">
        <f t="shared" si="2"/>
        <v>-</v>
      </c>
      <c r="W131" s="1" t="str">
        <f>_xlfn.IFNA(VLOOKUP(B131,'CO Trx'!$A$4:$B$37,2,0),"-")</f>
        <v>-</v>
      </c>
      <c r="X131" s="1" t="str">
        <f>_xlfn.IFNA(VLOOKUP(B131,'CO Trx'!$A$49:$B$104,2,0),"-")</f>
        <v>-</v>
      </c>
      <c r="Y131" s="21" t="s">
        <v>6890</v>
      </c>
    </row>
    <row r="132" spans="1:28" x14ac:dyDescent="0.2">
      <c r="A132" s="1" t="s">
        <v>450</v>
      </c>
      <c r="B132" s="1" t="s">
        <v>451</v>
      </c>
      <c r="C132" s="1" t="s">
        <v>13</v>
      </c>
      <c r="D132" s="1" t="s">
        <v>452</v>
      </c>
      <c r="E132" s="1" t="s">
        <v>7351</v>
      </c>
      <c r="F132" s="1" t="s">
        <v>473</v>
      </c>
      <c r="G132" s="1" t="s">
        <v>473</v>
      </c>
      <c r="H132" s="1" t="s">
        <v>473</v>
      </c>
      <c r="I132" s="1" t="s">
        <v>473</v>
      </c>
      <c r="J132" s="1" t="s">
        <v>473</v>
      </c>
      <c r="K132" s="1" t="s">
        <v>473</v>
      </c>
      <c r="L132" s="1" t="s">
        <v>6974</v>
      </c>
      <c r="M132" s="1" t="s">
        <v>473</v>
      </c>
      <c r="N132" s="1" t="s">
        <v>7352</v>
      </c>
      <c r="O132" s="1" t="s">
        <v>7353</v>
      </c>
      <c r="P132" s="1" t="s">
        <v>8162</v>
      </c>
      <c r="Q132" s="28"/>
      <c r="R132" s="1" t="s">
        <v>8281</v>
      </c>
      <c r="S132" s="1"/>
      <c r="T132" s="10" t="str">
        <f>_xlfn.IFNA(VLOOKUP(B132,Sheet2!$A$2:$M$58,4,0),"-")</f>
        <v>-</v>
      </c>
      <c r="U132" s="10">
        <f>_xlfn.IFNA(VLOOKUP(B132,'TV Trx'!$B$4:$C$57,2,0),"-")</f>
        <v>44951</v>
      </c>
      <c r="V132" s="10">
        <f t="shared" si="2"/>
        <v>44951</v>
      </c>
      <c r="W132" s="1" t="str">
        <f>_xlfn.IFNA(VLOOKUP(B132,'CO Trx'!$A$4:$B$37,2,0),"-")</f>
        <v>-</v>
      </c>
      <c r="X132" s="1" t="str">
        <f>_xlfn.IFNA(VLOOKUP(B132,'CO Trx'!$A$49:$B$104,2,0),"-")</f>
        <v>-</v>
      </c>
      <c r="Y132" s="22" t="s">
        <v>6891</v>
      </c>
      <c r="AA132" t="s">
        <v>7979</v>
      </c>
      <c r="AB132" t="s">
        <v>8033</v>
      </c>
    </row>
    <row r="133" spans="1:28" x14ac:dyDescent="0.2">
      <c r="A133" s="1" t="s">
        <v>745</v>
      </c>
      <c r="B133" s="1" t="s">
        <v>746</v>
      </c>
      <c r="C133" s="1" t="s">
        <v>6</v>
      </c>
      <c r="D133" s="1" t="s">
        <v>747</v>
      </c>
      <c r="E133" s="1" t="s">
        <v>7354</v>
      </c>
      <c r="F133" s="1" t="s">
        <v>473</v>
      </c>
      <c r="G133" s="1" t="s">
        <v>473</v>
      </c>
      <c r="H133" s="1" t="s">
        <v>473</v>
      </c>
      <c r="I133" s="1" t="s">
        <v>473</v>
      </c>
      <c r="J133" s="1" t="s">
        <v>473</v>
      </c>
      <c r="K133" s="1" t="s">
        <v>473</v>
      </c>
      <c r="L133" s="1" t="s">
        <v>6974</v>
      </c>
      <c r="M133" s="1" t="s">
        <v>473</v>
      </c>
      <c r="N133" s="1" t="s">
        <v>7355</v>
      </c>
      <c r="O133" s="1" t="s">
        <v>7356</v>
      </c>
      <c r="P133" s="1">
        <v>0</v>
      </c>
      <c r="Q133" s="28">
        <v>0</v>
      </c>
      <c r="R133" s="1">
        <v>0</v>
      </c>
      <c r="S133" s="1"/>
      <c r="T133" s="10" t="str">
        <f>_xlfn.IFNA(VLOOKUP(B133,Sheet2!$A$2:$M$58,4,0),"-")</f>
        <v>-</v>
      </c>
      <c r="U133" s="10" t="str">
        <f>_xlfn.IFNA(VLOOKUP(B133,'TV Trx'!$B$4:$C$57,2,0),"-")</f>
        <v>-</v>
      </c>
      <c r="V133" s="10" t="str">
        <f t="shared" si="2"/>
        <v>-</v>
      </c>
      <c r="W133" s="1" t="str">
        <f>_xlfn.IFNA(VLOOKUP(B133,'CO Trx'!$A$4:$B$37,2,0),"-")</f>
        <v>-</v>
      </c>
      <c r="X133" s="1" t="str">
        <f>_xlfn.IFNA(VLOOKUP(B133,'CO Trx'!$A$49:$B$104,2,0),"-")</f>
        <v>-</v>
      </c>
      <c r="Y133" s="21" t="s">
        <v>6890</v>
      </c>
    </row>
    <row r="134" spans="1:28" x14ac:dyDescent="0.2">
      <c r="A134" s="1" t="s">
        <v>484</v>
      </c>
      <c r="B134" s="1" t="s">
        <v>485</v>
      </c>
      <c r="C134" s="1" t="s">
        <v>13</v>
      </c>
      <c r="D134" s="1" t="s">
        <v>486</v>
      </c>
      <c r="E134" s="1" t="s">
        <v>473</v>
      </c>
      <c r="F134" s="1" t="s">
        <v>473</v>
      </c>
      <c r="G134" s="1" t="s">
        <v>473</v>
      </c>
      <c r="H134" s="1" t="s">
        <v>473</v>
      </c>
      <c r="I134" s="1" t="s">
        <v>473</v>
      </c>
      <c r="J134" s="1" t="s">
        <v>473</v>
      </c>
      <c r="K134" s="1" t="s">
        <v>473</v>
      </c>
      <c r="L134" s="1" t="s">
        <v>473</v>
      </c>
      <c r="M134" s="1" t="s">
        <v>473</v>
      </c>
      <c r="N134" s="1" t="s">
        <v>7357</v>
      </c>
      <c r="O134" s="1" t="s">
        <v>7358</v>
      </c>
      <c r="P134" s="1">
        <v>0</v>
      </c>
      <c r="Q134" s="28">
        <v>0</v>
      </c>
      <c r="R134" s="1">
        <v>0</v>
      </c>
      <c r="S134" s="1"/>
      <c r="T134" s="10" t="str">
        <f>_xlfn.IFNA(VLOOKUP(B134,Sheet2!$A$2:$M$58,4,0),"-")</f>
        <v>-</v>
      </c>
      <c r="U134" s="10" t="str">
        <f>_xlfn.IFNA(VLOOKUP(B134,'TV Trx'!$B$4:$C$57,2,0),"-")</f>
        <v>-</v>
      </c>
      <c r="V134" s="10" t="str">
        <f t="shared" si="2"/>
        <v>-</v>
      </c>
      <c r="W134" s="1" t="str">
        <f>_xlfn.IFNA(VLOOKUP(B134,'CO Trx'!$A$4:$B$37,2,0),"-")</f>
        <v>-</v>
      </c>
      <c r="X134" s="1" t="str">
        <f>_xlfn.IFNA(VLOOKUP(B134,'CO Trx'!$A$49:$B$104,2,0),"-")</f>
        <v>-</v>
      </c>
      <c r="Y134" s="21" t="s">
        <v>6890</v>
      </c>
    </row>
    <row r="135" spans="1:28" x14ac:dyDescent="0.2">
      <c r="A135" s="1" t="s">
        <v>85</v>
      </c>
      <c r="B135" s="1" t="s">
        <v>86</v>
      </c>
      <c r="C135" s="1" t="s">
        <v>13</v>
      </c>
      <c r="D135" s="1" t="s">
        <v>87</v>
      </c>
      <c r="E135" s="1" t="s">
        <v>7359</v>
      </c>
      <c r="F135" s="1" t="s">
        <v>473</v>
      </c>
      <c r="G135" s="1" t="s">
        <v>473</v>
      </c>
      <c r="H135" s="1" t="s">
        <v>473</v>
      </c>
      <c r="I135" s="1" t="s">
        <v>473</v>
      </c>
      <c r="J135" s="1" t="s">
        <v>473</v>
      </c>
      <c r="K135" s="1" t="s">
        <v>473</v>
      </c>
      <c r="L135" s="1" t="s">
        <v>6974</v>
      </c>
      <c r="M135" s="1" t="s">
        <v>473</v>
      </c>
      <c r="N135" s="1" t="s">
        <v>7360</v>
      </c>
      <c r="O135" s="1" t="s">
        <v>7361</v>
      </c>
      <c r="P135" s="1" t="s">
        <v>8163</v>
      </c>
      <c r="Q135" s="28">
        <v>0</v>
      </c>
      <c r="R135" s="1">
        <v>0</v>
      </c>
      <c r="S135" s="1"/>
      <c r="T135" s="10" t="str">
        <f>_xlfn.IFNA(VLOOKUP(B135,Sheet2!$A$2:$M$58,4,0),"-")</f>
        <v>-</v>
      </c>
      <c r="U135" s="10" t="str">
        <f>_xlfn.IFNA(VLOOKUP(B135,'TV Trx'!$B$4:$C$57,2,0),"-")</f>
        <v>-</v>
      </c>
      <c r="V135" s="10" t="str">
        <f t="shared" si="2"/>
        <v>-</v>
      </c>
      <c r="W135" s="1" t="str">
        <f>_xlfn.IFNA(VLOOKUP(B135,'CO Trx'!$A$4:$B$37,2,0),"-")</f>
        <v>-</v>
      </c>
      <c r="X135" s="1" t="str">
        <f>_xlfn.IFNA(VLOOKUP(B135,'CO Trx'!$A$49:$B$104,2,0),"-")</f>
        <v>-</v>
      </c>
      <c r="Y135" s="21" t="s">
        <v>6890</v>
      </c>
      <c r="AA135" t="s">
        <v>7980</v>
      </c>
    </row>
    <row r="136" spans="1:28" x14ac:dyDescent="0.2">
      <c r="A136" s="1" t="s">
        <v>180</v>
      </c>
      <c r="B136" s="1" t="s">
        <v>181</v>
      </c>
      <c r="C136" s="1" t="s">
        <v>13</v>
      </c>
      <c r="D136" s="1" t="s">
        <v>182</v>
      </c>
      <c r="E136" s="1" t="s">
        <v>7362</v>
      </c>
      <c r="F136" s="1" t="s">
        <v>473</v>
      </c>
      <c r="G136" s="1" t="s">
        <v>473</v>
      </c>
      <c r="H136" s="1" t="s">
        <v>473</v>
      </c>
      <c r="I136" s="1" t="s">
        <v>473</v>
      </c>
      <c r="J136" s="1" t="s">
        <v>473</v>
      </c>
      <c r="K136" s="1" t="s">
        <v>473</v>
      </c>
      <c r="L136" s="1" t="s">
        <v>7363</v>
      </c>
      <c r="M136" s="1" t="s">
        <v>473</v>
      </c>
      <c r="N136" s="1" t="s">
        <v>7364</v>
      </c>
      <c r="O136" s="1" t="s">
        <v>7365</v>
      </c>
      <c r="P136" s="1" t="s">
        <v>8164</v>
      </c>
      <c r="Q136" s="28"/>
      <c r="R136" s="1" t="s">
        <v>8282</v>
      </c>
      <c r="S136" s="1"/>
      <c r="T136" s="10" t="str">
        <f>_xlfn.IFNA(VLOOKUP(B136,Sheet2!$A$2:$M$58,4,0),"-")</f>
        <v>-</v>
      </c>
      <c r="U136" s="10">
        <f>_xlfn.IFNA(VLOOKUP(B136,'TV Trx'!$B$4:$C$57,2,0),"-")</f>
        <v>45077</v>
      </c>
      <c r="V136" s="10">
        <f t="shared" si="2"/>
        <v>45077</v>
      </c>
      <c r="W136" s="1" t="str">
        <f>_xlfn.IFNA(VLOOKUP(B136,'CO Trx'!$A$4:$B$37,2,0),"-")</f>
        <v>-</v>
      </c>
      <c r="X136" s="1" t="str">
        <f>_xlfn.IFNA(VLOOKUP(B136,'CO Trx'!$A$49:$B$104,2,0),"-")</f>
        <v>-</v>
      </c>
      <c r="Y136" s="20" t="s">
        <v>6889</v>
      </c>
      <c r="AA136" t="s">
        <v>7981</v>
      </c>
      <c r="AB136" t="s">
        <v>8034</v>
      </c>
    </row>
    <row r="137" spans="1:28" x14ac:dyDescent="0.2">
      <c r="A137" s="1" t="s">
        <v>288</v>
      </c>
      <c r="B137" s="1" t="s">
        <v>289</v>
      </c>
      <c r="C137" s="1" t="s">
        <v>13</v>
      </c>
      <c r="D137" s="1" t="s">
        <v>290</v>
      </c>
      <c r="E137" s="1" t="s">
        <v>7366</v>
      </c>
      <c r="F137" s="1" t="s">
        <v>473</v>
      </c>
      <c r="G137" s="1" t="s">
        <v>473</v>
      </c>
      <c r="H137" s="1" t="s">
        <v>473</v>
      </c>
      <c r="I137" s="1" t="s">
        <v>473</v>
      </c>
      <c r="J137" s="1" t="s">
        <v>473</v>
      </c>
      <c r="K137" s="1" t="s">
        <v>473</v>
      </c>
      <c r="L137" s="1" t="s">
        <v>6974</v>
      </c>
      <c r="M137" s="1" t="s">
        <v>473</v>
      </c>
      <c r="N137" s="1" t="s">
        <v>7367</v>
      </c>
      <c r="O137" s="1" t="s">
        <v>7368</v>
      </c>
      <c r="P137" s="1" t="s">
        <v>8165</v>
      </c>
      <c r="Q137" s="28"/>
      <c r="R137" s="1" t="s">
        <v>8283</v>
      </c>
      <c r="S137" s="1"/>
      <c r="T137" s="10" t="str">
        <f>_xlfn.IFNA(VLOOKUP(B137,Sheet2!$A$2:$M$58,4,0),"-")</f>
        <v>-</v>
      </c>
      <c r="U137" s="10">
        <f>_xlfn.IFNA(VLOOKUP(B137,'TV Trx'!$B$4:$C$57,2,0),"-")</f>
        <v>45086</v>
      </c>
      <c r="V137" s="10">
        <f t="shared" si="2"/>
        <v>45086</v>
      </c>
      <c r="W137" s="1" t="str">
        <f>_xlfn.IFNA(VLOOKUP(B137,'CO Trx'!$A$4:$B$37,2,0),"-")</f>
        <v>-</v>
      </c>
      <c r="X137" s="1" t="str">
        <f>_xlfn.IFNA(VLOOKUP(B137,'CO Trx'!$A$49:$B$104,2,0),"-")</f>
        <v>-</v>
      </c>
      <c r="Y137" s="20" t="s">
        <v>6889</v>
      </c>
      <c r="AA137" t="s">
        <v>7982</v>
      </c>
      <c r="AB137" t="s">
        <v>8035</v>
      </c>
    </row>
    <row r="138" spans="1:28" x14ac:dyDescent="0.2">
      <c r="A138" s="1" t="s">
        <v>736</v>
      </c>
      <c r="B138" s="1" t="s">
        <v>737</v>
      </c>
      <c r="C138" s="1" t="s">
        <v>6</v>
      </c>
      <c r="D138" s="1" t="s">
        <v>738</v>
      </c>
      <c r="E138" s="1" t="s">
        <v>7369</v>
      </c>
      <c r="F138" s="1" t="s">
        <v>473</v>
      </c>
      <c r="G138" s="1" t="s">
        <v>473</v>
      </c>
      <c r="H138" s="1" t="s">
        <v>473</v>
      </c>
      <c r="I138" s="1" t="s">
        <v>473</v>
      </c>
      <c r="J138" s="1" t="s">
        <v>473</v>
      </c>
      <c r="K138" s="1" t="s">
        <v>473</v>
      </c>
      <c r="L138" s="1" t="s">
        <v>6974</v>
      </c>
      <c r="M138" s="1" t="s">
        <v>473</v>
      </c>
      <c r="N138" s="1" t="s">
        <v>7370</v>
      </c>
      <c r="O138" s="1" t="s">
        <v>7371</v>
      </c>
      <c r="P138" s="1" t="s">
        <v>8166</v>
      </c>
      <c r="Q138" s="28"/>
      <c r="R138" s="1"/>
      <c r="S138" s="1"/>
      <c r="T138" s="10">
        <f>_xlfn.IFNA(VLOOKUP(B138,Sheet2!$A$2:$M$58,4,0),"-")</f>
        <v>45042</v>
      </c>
      <c r="U138" s="10" t="str">
        <f>_xlfn.IFNA(VLOOKUP(B138,'TV Trx'!$B$4:$C$57,2,0),"-")</f>
        <v>-</v>
      </c>
      <c r="V138" s="10">
        <f t="shared" si="2"/>
        <v>45042</v>
      </c>
      <c r="W138" s="1" t="str">
        <f>_xlfn.IFNA(VLOOKUP(B138,'CO Trx'!$A$4:$B$37,2,0),"-")</f>
        <v>-</v>
      </c>
      <c r="X138" s="1">
        <f>_xlfn.IFNA(VLOOKUP(B138,'CO Trx'!$A$49:$B$104,2,0),"-")</f>
        <v>75</v>
      </c>
      <c r="Y138" s="20" t="s">
        <v>6889</v>
      </c>
      <c r="AA138" t="s">
        <v>8088</v>
      </c>
      <c r="AB138" t="s">
        <v>7967</v>
      </c>
    </row>
    <row r="139" spans="1:28" x14ac:dyDescent="0.2">
      <c r="A139" s="1" t="s">
        <v>855</v>
      </c>
      <c r="B139" s="1" t="s">
        <v>856</v>
      </c>
      <c r="C139" s="1" t="s">
        <v>6</v>
      </c>
      <c r="D139" s="1" t="s">
        <v>857</v>
      </c>
      <c r="E139" s="1" t="s">
        <v>7372</v>
      </c>
      <c r="F139" s="1" t="s">
        <v>473</v>
      </c>
      <c r="G139" s="1" t="s">
        <v>473</v>
      </c>
      <c r="H139" s="1" t="s">
        <v>473</v>
      </c>
      <c r="I139" s="1" t="s">
        <v>473</v>
      </c>
      <c r="J139" s="1" t="s">
        <v>473</v>
      </c>
      <c r="K139" s="1" t="s">
        <v>473</v>
      </c>
      <c r="L139" s="1" t="s">
        <v>7363</v>
      </c>
      <c r="M139" s="1" t="s">
        <v>473</v>
      </c>
      <c r="N139" s="1" t="s">
        <v>7373</v>
      </c>
      <c r="O139" s="1" t="s">
        <v>7374</v>
      </c>
      <c r="P139" s="1" t="s">
        <v>8167</v>
      </c>
      <c r="Q139" s="28"/>
      <c r="R139" s="1"/>
      <c r="S139" s="1"/>
      <c r="T139" s="10">
        <f>_xlfn.IFNA(VLOOKUP(B139,Sheet2!$A$2:$M$58,4,0),"-")</f>
        <v>45077</v>
      </c>
      <c r="U139" s="10" t="str">
        <f>_xlfn.IFNA(VLOOKUP(B139,'TV Trx'!$B$4:$C$57,2,0),"-")</f>
        <v>-</v>
      </c>
      <c r="V139" s="10">
        <f t="shared" si="2"/>
        <v>45077</v>
      </c>
      <c r="W139" s="1">
        <f>_xlfn.IFNA(VLOOKUP(B139,'CO Trx'!$A$4:$B$37,2,0),"-")</f>
        <v>10</v>
      </c>
      <c r="X139" s="1">
        <f>_xlfn.IFNA(VLOOKUP(B139,'CO Trx'!$A$49:$B$104,2,0),"-")</f>
        <v>478</v>
      </c>
      <c r="Y139" s="20" t="s">
        <v>6889</v>
      </c>
      <c r="AA139" t="s">
        <v>8089</v>
      </c>
      <c r="AB139" t="s">
        <v>8034</v>
      </c>
    </row>
    <row r="140" spans="1:28" x14ac:dyDescent="0.2">
      <c r="A140" s="1" t="s">
        <v>405</v>
      </c>
      <c r="B140" s="1" t="s">
        <v>406</v>
      </c>
      <c r="C140" s="1" t="s">
        <v>13</v>
      </c>
      <c r="D140" s="1" t="s">
        <v>407</v>
      </c>
      <c r="E140" s="1" t="s">
        <v>6977</v>
      </c>
      <c r="F140" s="1" t="s">
        <v>473</v>
      </c>
      <c r="G140" s="1" t="s">
        <v>473</v>
      </c>
      <c r="H140" s="1" t="s">
        <v>473</v>
      </c>
      <c r="I140" s="1" t="s">
        <v>473</v>
      </c>
      <c r="J140" s="1" t="s">
        <v>473</v>
      </c>
      <c r="K140" s="1" t="s">
        <v>473</v>
      </c>
      <c r="L140" s="1" t="s">
        <v>473</v>
      </c>
      <c r="M140" s="1" t="s">
        <v>473</v>
      </c>
      <c r="N140" s="1" t="s">
        <v>7375</v>
      </c>
      <c r="O140" s="1" t="s">
        <v>7376</v>
      </c>
      <c r="P140" s="1">
        <v>0</v>
      </c>
      <c r="Q140" s="28">
        <v>0</v>
      </c>
      <c r="R140" s="1">
        <v>0</v>
      </c>
      <c r="S140" s="1"/>
      <c r="T140" s="10" t="str">
        <f>_xlfn.IFNA(VLOOKUP(B140,Sheet2!$A$2:$M$58,4,0),"-")</f>
        <v>-</v>
      </c>
      <c r="U140" s="10" t="str">
        <f>_xlfn.IFNA(VLOOKUP(B140,'TV Trx'!$B$4:$C$57,2,0),"-")</f>
        <v>-</v>
      </c>
      <c r="V140" s="10" t="str">
        <f t="shared" si="2"/>
        <v>-</v>
      </c>
      <c r="W140" s="1" t="str">
        <f>_xlfn.IFNA(VLOOKUP(B140,'CO Trx'!$A$4:$B$37,2,0),"-")</f>
        <v>-</v>
      </c>
      <c r="X140" s="1" t="str">
        <f>_xlfn.IFNA(VLOOKUP(B140,'CO Trx'!$A$49:$B$104,2,0),"-")</f>
        <v>-</v>
      </c>
      <c r="Y140" s="21" t="s">
        <v>6890</v>
      </c>
    </row>
    <row r="141" spans="1:28" x14ac:dyDescent="0.2">
      <c r="A141" s="1" t="s">
        <v>692</v>
      </c>
      <c r="B141" s="1" t="s">
        <v>693</v>
      </c>
      <c r="C141" s="1" t="s">
        <v>6</v>
      </c>
      <c r="D141" s="1" t="s">
        <v>694</v>
      </c>
      <c r="E141" s="1" t="s">
        <v>7377</v>
      </c>
      <c r="F141" s="1" t="s">
        <v>473</v>
      </c>
      <c r="G141" s="1" t="s">
        <v>473</v>
      </c>
      <c r="H141" s="1" t="s">
        <v>473</v>
      </c>
      <c r="I141" s="1" t="s">
        <v>473</v>
      </c>
      <c r="J141" s="1" t="s">
        <v>473</v>
      </c>
      <c r="K141" s="1" t="s">
        <v>473</v>
      </c>
      <c r="L141" s="1" t="s">
        <v>6974</v>
      </c>
      <c r="M141" s="1" t="s">
        <v>473</v>
      </c>
      <c r="N141" s="1" t="s">
        <v>7378</v>
      </c>
      <c r="O141" s="1" t="s">
        <v>7379</v>
      </c>
      <c r="P141" s="1" t="s">
        <v>8168</v>
      </c>
      <c r="Q141" s="28"/>
      <c r="R141" s="1"/>
      <c r="S141" s="1"/>
      <c r="T141" s="10">
        <f>_xlfn.IFNA(VLOOKUP(B141,Sheet2!$A$2:$M$58,4,0),"-")</f>
        <v>45057</v>
      </c>
      <c r="U141" s="10" t="str">
        <f>_xlfn.IFNA(VLOOKUP(B141,'TV Trx'!$B$4:$C$57,2,0),"-")</f>
        <v>-</v>
      </c>
      <c r="V141" s="10">
        <f t="shared" si="2"/>
        <v>45057</v>
      </c>
      <c r="W141" s="1">
        <f>_xlfn.IFNA(VLOOKUP(B141,'CO Trx'!$A$4:$B$37,2,0),"-")</f>
        <v>1</v>
      </c>
      <c r="X141" s="1">
        <f>_xlfn.IFNA(VLOOKUP(B141,'CO Trx'!$A$49:$B$104,2,0),"-")</f>
        <v>2</v>
      </c>
      <c r="Y141" s="20" t="s">
        <v>6889</v>
      </c>
      <c r="AA141" t="s">
        <v>8090</v>
      </c>
      <c r="AB141" t="s">
        <v>8049</v>
      </c>
    </row>
    <row r="142" spans="1:28" x14ac:dyDescent="0.2">
      <c r="A142" s="1" t="s">
        <v>659</v>
      </c>
      <c r="B142" s="1" t="s">
        <v>660</v>
      </c>
      <c r="C142" s="1" t="s">
        <v>13</v>
      </c>
      <c r="D142" s="1" t="s">
        <v>661</v>
      </c>
      <c r="E142" s="1" t="s">
        <v>473</v>
      </c>
      <c r="F142" s="1" t="s">
        <v>473</v>
      </c>
      <c r="G142" s="1" t="s">
        <v>473</v>
      </c>
      <c r="H142" s="1" t="s">
        <v>473</v>
      </c>
      <c r="I142" s="1" t="s">
        <v>473</v>
      </c>
      <c r="J142" s="1" t="s">
        <v>473</v>
      </c>
      <c r="K142" s="1" t="s">
        <v>473</v>
      </c>
      <c r="L142" s="1" t="s">
        <v>473</v>
      </c>
      <c r="M142" s="1" t="s">
        <v>473</v>
      </c>
      <c r="N142" s="1" t="s">
        <v>7380</v>
      </c>
      <c r="O142" s="1" t="s">
        <v>7381</v>
      </c>
      <c r="P142" s="1">
        <v>0</v>
      </c>
      <c r="Q142" s="28">
        <v>0</v>
      </c>
      <c r="R142" s="1">
        <v>0</v>
      </c>
      <c r="S142" s="1"/>
      <c r="T142" s="10" t="str">
        <f>_xlfn.IFNA(VLOOKUP(B142,Sheet2!$A$2:$M$58,4,0),"-")</f>
        <v>-</v>
      </c>
      <c r="U142" s="10" t="str">
        <f>_xlfn.IFNA(VLOOKUP(B142,'TV Trx'!$B$4:$C$57,2,0),"-")</f>
        <v>-</v>
      </c>
      <c r="V142" s="10" t="str">
        <f t="shared" si="2"/>
        <v>-</v>
      </c>
      <c r="W142" s="1" t="str">
        <f>_xlfn.IFNA(VLOOKUP(B142,'CO Trx'!$A$4:$B$37,2,0),"-")</f>
        <v>-</v>
      </c>
      <c r="X142" s="1" t="str">
        <f>_xlfn.IFNA(VLOOKUP(B142,'CO Trx'!$A$49:$B$104,2,0),"-")</f>
        <v>-</v>
      </c>
      <c r="Y142" s="21" t="s">
        <v>6890</v>
      </c>
    </row>
    <row r="143" spans="1:28" x14ac:dyDescent="0.2">
      <c r="A143" s="1" t="s">
        <v>516</v>
      </c>
      <c r="B143" s="1" t="s">
        <v>517</v>
      </c>
      <c r="C143" s="1" t="s">
        <v>13</v>
      </c>
      <c r="D143" s="1" t="s">
        <v>518</v>
      </c>
      <c r="E143" s="1" t="s">
        <v>7382</v>
      </c>
      <c r="F143" s="1" t="s">
        <v>473</v>
      </c>
      <c r="G143" s="1" t="s">
        <v>473</v>
      </c>
      <c r="H143" s="1" t="s">
        <v>473</v>
      </c>
      <c r="I143" s="1" t="s">
        <v>473</v>
      </c>
      <c r="J143" s="1" t="s">
        <v>473</v>
      </c>
      <c r="K143" s="1" t="s">
        <v>473</v>
      </c>
      <c r="L143" s="1" t="s">
        <v>6974</v>
      </c>
      <c r="M143" s="1" t="s">
        <v>473</v>
      </c>
      <c r="N143" s="1" t="s">
        <v>7383</v>
      </c>
      <c r="O143" s="1" t="s">
        <v>7384</v>
      </c>
      <c r="P143" s="1" t="s">
        <v>8169</v>
      </c>
      <c r="Q143" s="28"/>
      <c r="R143" s="1" t="s">
        <v>8284</v>
      </c>
      <c r="S143" s="1"/>
      <c r="T143" s="10" t="str">
        <f>_xlfn.IFNA(VLOOKUP(B143,Sheet2!$A$2:$M$58,4,0),"-")</f>
        <v>-</v>
      </c>
      <c r="U143" s="10">
        <f>_xlfn.IFNA(VLOOKUP(B143,'TV Trx'!$B$4:$C$57,2,0),"-")</f>
        <v>45025</v>
      </c>
      <c r="V143" s="10">
        <f t="shared" si="2"/>
        <v>45025</v>
      </c>
      <c r="W143" s="1" t="str">
        <f>_xlfn.IFNA(VLOOKUP(B143,'CO Trx'!$A$4:$B$37,2,0),"-")</f>
        <v>-</v>
      </c>
      <c r="X143" s="1" t="str">
        <f>_xlfn.IFNA(VLOOKUP(B143,'CO Trx'!$A$49:$B$104,2,0),"-")</f>
        <v>-</v>
      </c>
      <c r="Y143" s="20" t="s">
        <v>6889</v>
      </c>
      <c r="AA143" t="s">
        <v>7983</v>
      </c>
      <c r="AB143" t="s">
        <v>8036</v>
      </c>
    </row>
    <row r="144" spans="1:28" x14ac:dyDescent="0.2">
      <c r="A144" s="1" t="s">
        <v>561</v>
      </c>
      <c r="B144" s="1" t="s">
        <v>562</v>
      </c>
      <c r="C144" s="1" t="s">
        <v>13</v>
      </c>
      <c r="D144" s="1" t="s">
        <v>563</v>
      </c>
      <c r="E144" s="1" t="s">
        <v>473</v>
      </c>
      <c r="F144" s="1" t="s">
        <v>473</v>
      </c>
      <c r="G144" s="1" t="s">
        <v>473</v>
      </c>
      <c r="H144" s="1" t="s">
        <v>473</v>
      </c>
      <c r="I144" s="1" t="s">
        <v>473</v>
      </c>
      <c r="J144" s="1" t="s">
        <v>473</v>
      </c>
      <c r="K144" s="1" t="s">
        <v>473</v>
      </c>
      <c r="L144" s="1" t="s">
        <v>473</v>
      </c>
      <c r="M144" s="1" t="s">
        <v>473</v>
      </c>
      <c r="N144" s="1" t="s">
        <v>7385</v>
      </c>
      <c r="O144" s="1" t="s">
        <v>7386</v>
      </c>
      <c r="P144" s="1" t="s">
        <v>8170</v>
      </c>
      <c r="Q144" s="28">
        <v>0</v>
      </c>
      <c r="R144" s="1">
        <v>0</v>
      </c>
      <c r="S144" s="1"/>
      <c r="T144" s="10" t="str">
        <f>_xlfn.IFNA(VLOOKUP(B144,Sheet2!$A$2:$M$58,4,0),"-")</f>
        <v>-</v>
      </c>
      <c r="U144" s="10" t="str">
        <f>_xlfn.IFNA(VLOOKUP(B144,'TV Trx'!$B$4:$C$57,2,0),"-")</f>
        <v>-</v>
      </c>
      <c r="V144" s="10" t="str">
        <f t="shared" si="2"/>
        <v>-</v>
      </c>
      <c r="W144" s="1" t="str">
        <f>_xlfn.IFNA(VLOOKUP(B144,'CO Trx'!$A$4:$B$37,2,0),"-")</f>
        <v>-</v>
      </c>
      <c r="X144" s="1" t="str">
        <f>_xlfn.IFNA(VLOOKUP(B144,'CO Trx'!$A$49:$B$104,2,0),"-")</f>
        <v>-</v>
      </c>
      <c r="Y144" s="21" t="s">
        <v>6890</v>
      </c>
      <c r="AA144" t="s">
        <v>7984</v>
      </c>
    </row>
    <row r="145" spans="1:28" x14ac:dyDescent="0.2">
      <c r="A145" s="1" t="s">
        <v>576</v>
      </c>
      <c r="B145" s="1" t="s">
        <v>577</v>
      </c>
      <c r="C145" s="1" t="s">
        <v>13</v>
      </c>
      <c r="D145" s="1" t="s">
        <v>230</v>
      </c>
      <c r="E145" s="1" t="s">
        <v>7387</v>
      </c>
      <c r="F145" s="1" t="s">
        <v>473</v>
      </c>
      <c r="G145" s="1" t="s">
        <v>473</v>
      </c>
      <c r="H145" s="1" t="s">
        <v>473</v>
      </c>
      <c r="I145" s="1" t="s">
        <v>473</v>
      </c>
      <c r="J145" s="1" t="s">
        <v>473</v>
      </c>
      <c r="K145" s="1" t="s">
        <v>473</v>
      </c>
      <c r="L145" s="1" t="s">
        <v>6974</v>
      </c>
      <c r="M145" s="1" t="s">
        <v>473</v>
      </c>
      <c r="N145" s="1" t="s">
        <v>7388</v>
      </c>
      <c r="O145" s="1" t="s">
        <v>7389</v>
      </c>
      <c r="P145" s="1" t="s">
        <v>8171</v>
      </c>
      <c r="Q145" s="28"/>
      <c r="R145" s="1" t="s">
        <v>8285</v>
      </c>
      <c r="S145" s="1"/>
      <c r="T145" s="10" t="str">
        <f>_xlfn.IFNA(VLOOKUP(B145,Sheet2!$A$2:$M$58,4,0),"-")</f>
        <v>-</v>
      </c>
      <c r="U145" s="10">
        <f>_xlfn.IFNA(VLOOKUP(B145,'TV Trx'!$B$4:$C$57,2,0),"-")</f>
        <v>45066</v>
      </c>
      <c r="V145" s="10">
        <f t="shared" si="2"/>
        <v>45066</v>
      </c>
      <c r="W145" s="1" t="str">
        <f>_xlfn.IFNA(VLOOKUP(B145,'CO Trx'!$A$4:$B$37,2,0),"-")</f>
        <v>-</v>
      </c>
      <c r="X145" s="1" t="str">
        <f>_xlfn.IFNA(VLOOKUP(B145,'CO Trx'!$A$49:$B$104,2,0),"-")</f>
        <v>-</v>
      </c>
      <c r="Y145" s="20" t="s">
        <v>6889</v>
      </c>
      <c r="AA145" t="s">
        <v>7985</v>
      </c>
      <c r="AB145" t="s">
        <v>8037</v>
      </c>
    </row>
    <row r="146" spans="1:28" x14ac:dyDescent="0.2">
      <c r="A146" s="1" t="s">
        <v>228</v>
      </c>
      <c r="B146" s="1" t="s">
        <v>229</v>
      </c>
      <c r="C146" s="1" t="s">
        <v>6</v>
      </c>
      <c r="D146" s="1" t="s">
        <v>230</v>
      </c>
      <c r="E146" s="1" t="s">
        <v>7387</v>
      </c>
      <c r="F146" s="1" t="s">
        <v>473</v>
      </c>
      <c r="G146" s="1" t="s">
        <v>473</v>
      </c>
      <c r="H146" s="1" t="s">
        <v>473</v>
      </c>
      <c r="I146" s="1" t="s">
        <v>473</v>
      </c>
      <c r="J146" s="1" t="s">
        <v>473</v>
      </c>
      <c r="K146" s="1" t="s">
        <v>473</v>
      </c>
      <c r="L146" s="1" t="s">
        <v>6974</v>
      </c>
      <c r="M146" s="1" t="s">
        <v>473</v>
      </c>
      <c r="N146" s="1" t="s">
        <v>7390</v>
      </c>
      <c r="O146" s="1" t="s">
        <v>7391</v>
      </c>
      <c r="P146" s="1" t="s">
        <v>8171</v>
      </c>
      <c r="Q146" s="28"/>
      <c r="R146" s="1"/>
      <c r="S146" s="1"/>
      <c r="T146" s="10">
        <f>_xlfn.IFNA(VLOOKUP(B146,Sheet2!$A$2:$M$58,4,0),"-")</f>
        <v>45086</v>
      </c>
      <c r="U146" s="10" t="str">
        <f>_xlfn.IFNA(VLOOKUP(B146,'TV Trx'!$B$4:$C$57,2,0),"-")</f>
        <v>-</v>
      </c>
      <c r="V146" s="10">
        <f t="shared" si="2"/>
        <v>45086</v>
      </c>
      <c r="W146" s="1" t="str">
        <f>_xlfn.IFNA(VLOOKUP(B146,'CO Trx'!$A$4:$B$37,2,0),"-")</f>
        <v>-</v>
      </c>
      <c r="X146" s="1">
        <f>_xlfn.IFNA(VLOOKUP(B146,'CO Trx'!$A$49:$B$104,2,0),"-")</f>
        <v>29</v>
      </c>
      <c r="Y146" s="20" t="s">
        <v>6889</v>
      </c>
      <c r="AA146" t="s">
        <v>7985</v>
      </c>
      <c r="AB146" t="s">
        <v>7969</v>
      </c>
    </row>
    <row r="147" spans="1:28" x14ac:dyDescent="0.2">
      <c r="A147" s="1" t="s">
        <v>733</v>
      </c>
      <c r="B147" s="1" t="s">
        <v>734</v>
      </c>
      <c r="C147" s="1" t="s">
        <v>6</v>
      </c>
      <c r="D147" s="1" t="s">
        <v>735</v>
      </c>
      <c r="E147" s="1" t="s">
        <v>7392</v>
      </c>
      <c r="F147" s="1" t="s">
        <v>473</v>
      </c>
      <c r="G147" s="1" t="s">
        <v>473</v>
      </c>
      <c r="H147" s="1" t="s">
        <v>473</v>
      </c>
      <c r="I147" s="1" t="s">
        <v>473</v>
      </c>
      <c r="J147" s="1" t="s">
        <v>473</v>
      </c>
      <c r="K147" s="1" t="s">
        <v>473</v>
      </c>
      <c r="L147" s="1" t="s">
        <v>6974</v>
      </c>
      <c r="M147" s="1" t="s">
        <v>473</v>
      </c>
      <c r="N147" s="1" t="s">
        <v>7393</v>
      </c>
      <c r="O147" s="1" t="s">
        <v>7394</v>
      </c>
      <c r="P147" s="1" t="s">
        <v>8172</v>
      </c>
      <c r="Q147" s="28"/>
      <c r="R147" s="1"/>
      <c r="S147" s="1"/>
      <c r="T147" s="10">
        <f>_xlfn.IFNA(VLOOKUP(B147,Sheet2!$A$2:$M$58,4,0),"-")</f>
        <v>44951</v>
      </c>
      <c r="U147" s="10" t="str">
        <f>_xlfn.IFNA(VLOOKUP(B147,'TV Trx'!$B$4:$C$57,2,0),"-")</f>
        <v>-</v>
      </c>
      <c r="V147" s="10">
        <f t="shared" si="2"/>
        <v>44951</v>
      </c>
      <c r="W147" s="1" t="str">
        <f>_xlfn.IFNA(VLOOKUP(B147,'CO Trx'!$A$4:$B$37,2,0),"-")</f>
        <v>-</v>
      </c>
      <c r="X147" s="1">
        <f>_xlfn.IFNA(VLOOKUP(B147,'CO Trx'!$A$49:$B$104,2,0),"-")</f>
        <v>3</v>
      </c>
      <c r="Y147" s="22" t="s">
        <v>6891</v>
      </c>
      <c r="AA147" t="s">
        <v>8091</v>
      </c>
      <c r="AB147" t="s">
        <v>8033</v>
      </c>
    </row>
    <row r="148" spans="1:28" x14ac:dyDescent="0.2">
      <c r="A148" s="1" t="s">
        <v>273</v>
      </c>
      <c r="B148" s="1" t="s">
        <v>274</v>
      </c>
      <c r="C148" s="1" t="s">
        <v>13</v>
      </c>
      <c r="D148" s="1" t="s">
        <v>275</v>
      </c>
      <c r="E148" s="1" t="s">
        <v>7395</v>
      </c>
      <c r="F148" s="1" t="s">
        <v>473</v>
      </c>
      <c r="G148" s="1" t="s">
        <v>473</v>
      </c>
      <c r="H148" s="1" t="s">
        <v>473</v>
      </c>
      <c r="I148" s="1" t="s">
        <v>473</v>
      </c>
      <c r="J148" s="1" t="s">
        <v>473</v>
      </c>
      <c r="K148" s="1" t="s">
        <v>473</v>
      </c>
      <c r="L148" s="1" t="s">
        <v>6974</v>
      </c>
      <c r="M148" s="1" t="s">
        <v>473</v>
      </c>
      <c r="N148" s="1" t="s">
        <v>7396</v>
      </c>
      <c r="O148" s="1" t="s">
        <v>7397</v>
      </c>
      <c r="P148" s="1" t="s">
        <v>8173</v>
      </c>
      <c r="Q148" s="28"/>
      <c r="R148" s="1" t="s">
        <v>8286</v>
      </c>
      <c r="S148" s="1"/>
      <c r="T148" s="10" t="str">
        <f>_xlfn.IFNA(VLOOKUP(B148,Sheet2!$A$2:$M$58,4,0),"-")</f>
        <v>-</v>
      </c>
      <c r="U148" s="10">
        <f>_xlfn.IFNA(VLOOKUP(B148,'TV Trx'!$B$4:$C$57,2,0),"-")</f>
        <v>45079</v>
      </c>
      <c r="V148" s="10">
        <f t="shared" si="2"/>
        <v>45079</v>
      </c>
      <c r="W148" s="1" t="str">
        <f>_xlfn.IFNA(VLOOKUP(B148,'CO Trx'!$A$4:$B$37,2,0),"-")</f>
        <v>-</v>
      </c>
      <c r="X148" s="1" t="str">
        <f>_xlfn.IFNA(VLOOKUP(B148,'CO Trx'!$A$49:$B$104,2,0),"-")</f>
        <v>-</v>
      </c>
      <c r="Y148" s="20" t="s">
        <v>6889</v>
      </c>
      <c r="AA148" t="s">
        <v>7986</v>
      </c>
      <c r="AB148" t="s">
        <v>8038</v>
      </c>
    </row>
    <row r="149" spans="1:28" x14ac:dyDescent="0.2">
      <c r="A149" s="1" t="s">
        <v>906</v>
      </c>
      <c r="B149" s="1" t="s">
        <v>907</v>
      </c>
      <c r="C149" s="1" t="s">
        <v>6</v>
      </c>
      <c r="D149" s="1" t="s">
        <v>908</v>
      </c>
      <c r="E149" s="1" t="s">
        <v>7398</v>
      </c>
      <c r="F149" s="1" t="s">
        <v>473</v>
      </c>
      <c r="G149" s="1" t="s">
        <v>473</v>
      </c>
      <c r="H149" s="1" t="s">
        <v>473</v>
      </c>
      <c r="I149" s="1" t="s">
        <v>473</v>
      </c>
      <c r="J149" s="1" t="s">
        <v>473</v>
      </c>
      <c r="K149" s="1" t="s">
        <v>473</v>
      </c>
      <c r="L149" s="1" t="s">
        <v>6974</v>
      </c>
      <c r="M149" s="1" t="s">
        <v>473</v>
      </c>
      <c r="N149" s="1" t="s">
        <v>7399</v>
      </c>
      <c r="O149" s="1" t="s">
        <v>7400</v>
      </c>
      <c r="P149" s="1" t="s">
        <v>8174</v>
      </c>
      <c r="Q149" s="28"/>
      <c r="R149" s="1"/>
      <c r="S149" s="1"/>
      <c r="T149" s="10">
        <f>_xlfn.IFNA(VLOOKUP(B149,Sheet2!$A$2:$M$58,4,0),"-")</f>
        <v>45066</v>
      </c>
      <c r="U149" s="10" t="str">
        <f>_xlfn.IFNA(VLOOKUP(B149,'TV Trx'!$B$4:$C$57,2,0),"-")</f>
        <v>-</v>
      </c>
      <c r="V149" s="10">
        <f t="shared" si="2"/>
        <v>45066</v>
      </c>
      <c r="W149" s="1" t="str">
        <f>_xlfn.IFNA(VLOOKUP(B149,'CO Trx'!$A$4:$B$37,2,0),"-")</f>
        <v>-</v>
      </c>
      <c r="X149" s="1">
        <f>_xlfn.IFNA(VLOOKUP(B149,'CO Trx'!$A$49:$B$104,2,0),"-")</f>
        <v>93</v>
      </c>
      <c r="Y149" s="20" t="s">
        <v>6889</v>
      </c>
      <c r="AA149" t="s">
        <v>8092</v>
      </c>
      <c r="AB149" t="s">
        <v>8054</v>
      </c>
    </row>
    <row r="150" spans="1:28" x14ac:dyDescent="0.2">
      <c r="A150" s="1" t="s">
        <v>739</v>
      </c>
      <c r="B150" s="1" t="s">
        <v>740</v>
      </c>
      <c r="C150" s="1" t="s">
        <v>13</v>
      </c>
      <c r="D150" s="1" t="s">
        <v>741</v>
      </c>
      <c r="E150" s="1" t="s">
        <v>7401</v>
      </c>
      <c r="F150" s="1" t="s">
        <v>473</v>
      </c>
      <c r="G150" s="1" t="s">
        <v>473</v>
      </c>
      <c r="H150" s="1" t="s">
        <v>473</v>
      </c>
      <c r="I150" s="1" t="s">
        <v>473</v>
      </c>
      <c r="J150" s="1" t="s">
        <v>473</v>
      </c>
      <c r="K150" s="1" t="s">
        <v>473</v>
      </c>
      <c r="L150" s="1" t="s">
        <v>6974</v>
      </c>
      <c r="M150" s="1" t="s">
        <v>473</v>
      </c>
      <c r="N150" s="1" t="s">
        <v>7402</v>
      </c>
      <c r="O150" s="1" t="s">
        <v>7403</v>
      </c>
      <c r="P150" s="1" t="s">
        <v>8175</v>
      </c>
      <c r="Q150" s="28"/>
      <c r="R150" s="1" t="s">
        <v>8287</v>
      </c>
      <c r="S150" s="1"/>
      <c r="T150" s="10" t="str">
        <f>_xlfn.IFNA(VLOOKUP(B150,Sheet2!$A$2:$M$58,4,0),"-")</f>
        <v>-</v>
      </c>
      <c r="U150" s="10">
        <f>_xlfn.IFNA(VLOOKUP(B150,'TV Trx'!$B$4:$C$57,2,0),"-")</f>
        <v>45084</v>
      </c>
      <c r="V150" s="10">
        <f t="shared" si="2"/>
        <v>45084</v>
      </c>
      <c r="W150" s="1" t="str">
        <f>_xlfn.IFNA(VLOOKUP(B150,'CO Trx'!$A$4:$B$37,2,0),"-")</f>
        <v>-</v>
      </c>
      <c r="X150" s="1" t="str">
        <f>_xlfn.IFNA(VLOOKUP(B150,'CO Trx'!$A$49:$B$104,2,0),"-")</f>
        <v>-</v>
      </c>
      <c r="Y150" s="20" t="s">
        <v>6889</v>
      </c>
      <c r="AA150" t="s">
        <v>7987</v>
      </c>
      <c r="AB150" t="s">
        <v>8039</v>
      </c>
    </row>
    <row r="151" spans="1:28" x14ac:dyDescent="0.2">
      <c r="A151" s="1" t="s">
        <v>429</v>
      </c>
      <c r="B151" s="1" t="s">
        <v>430</v>
      </c>
      <c r="C151" s="1" t="s">
        <v>6</v>
      </c>
      <c r="D151" s="1" t="s">
        <v>431</v>
      </c>
      <c r="E151" s="1" t="s">
        <v>7404</v>
      </c>
      <c r="F151" s="1" t="s">
        <v>473</v>
      </c>
      <c r="G151" s="1" t="s">
        <v>473</v>
      </c>
      <c r="H151" s="1" t="s">
        <v>473</v>
      </c>
      <c r="I151" s="1" t="s">
        <v>473</v>
      </c>
      <c r="J151" s="1" t="s">
        <v>473</v>
      </c>
      <c r="K151" s="1" t="s">
        <v>473</v>
      </c>
      <c r="L151" s="1" t="s">
        <v>7405</v>
      </c>
      <c r="M151" s="1" t="s">
        <v>473</v>
      </c>
      <c r="N151" s="1" t="s">
        <v>7406</v>
      </c>
      <c r="O151" s="1" t="s">
        <v>7407</v>
      </c>
      <c r="P151" s="1" t="s">
        <v>8176</v>
      </c>
      <c r="Q151" s="28"/>
      <c r="R151" s="1"/>
      <c r="S151" s="1"/>
      <c r="T151" s="10">
        <f>_xlfn.IFNA(VLOOKUP(B151,Sheet2!$A$2:$M$58,4,0),"-")</f>
        <v>45023</v>
      </c>
      <c r="U151" s="10" t="str">
        <f>_xlfn.IFNA(VLOOKUP(B151,'TV Trx'!$B$4:$C$57,2,0),"-")</f>
        <v>-</v>
      </c>
      <c r="V151" s="10">
        <f t="shared" si="2"/>
        <v>45023</v>
      </c>
      <c r="W151" s="1">
        <f>_xlfn.IFNA(VLOOKUP(B151,'CO Trx'!$A$4:$B$37,2,0),"-")</f>
        <v>47</v>
      </c>
      <c r="X151" s="1">
        <f>_xlfn.IFNA(VLOOKUP(B151,'CO Trx'!$A$49:$B$104,2,0),"-")</f>
        <v>67</v>
      </c>
      <c r="Y151" s="20" t="s">
        <v>6889</v>
      </c>
      <c r="AA151" t="s">
        <v>8093</v>
      </c>
      <c r="AB151" t="s">
        <v>8042</v>
      </c>
    </row>
    <row r="152" spans="1:28" x14ac:dyDescent="0.2">
      <c r="A152" s="1" t="s">
        <v>100</v>
      </c>
      <c r="B152" s="1" t="s">
        <v>101</v>
      </c>
      <c r="C152" s="1" t="s">
        <v>6</v>
      </c>
      <c r="D152" s="1" t="s">
        <v>102</v>
      </c>
      <c r="E152" s="1" t="s">
        <v>7408</v>
      </c>
      <c r="F152" s="1" t="s">
        <v>473</v>
      </c>
      <c r="G152" s="1" t="s">
        <v>473</v>
      </c>
      <c r="H152" s="1" t="s">
        <v>473</v>
      </c>
      <c r="I152" s="1" t="s">
        <v>473</v>
      </c>
      <c r="J152" s="1" t="s">
        <v>473</v>
      </c>
      <c r="K152" s="1" t="s">
        <v>473</v>
      </c>
      <c r="L152" s="1" t="s">
        <v>6974</v>
      </c>
      <c r="M152" s="1" t="s">
        <v>473</v>
      </c>
      <c r="N152" s="1" t="s">
        <v>7409</v>
      </c>
      <c r="O152" s="1" t="s">
        <v>7410</v>
      </c>
      <c r="P152" s="1" t="s">
        <v>8177</v>
      </c>
      <c r="Q152" s="28"/>
      <c r="R152" s="1"/>
      <c r="S152" s="1"/>
      <c r="T152" s="10">
        <f>_xlfn.IFNA(VLOOKUP(B152,Sheet2!$A$2:$M$58,4,0),"-")</f>
        <v>45088</v>
      </c>
      <c r="U152" s="10" t="str">
        <f>_xlfn.IFNA(VLOOKUP(B152,'TV Trx'!$B$4:$C$57,2,0),"-")</f>
        <v>-</v>
      </c>
      <c r="V152" s="10">
        <f t="shared" ref="V152:V215" si="3">IF(C152="ACC_TYPE_CO",T152,U152)</f>
        <v>45088</v>
      </c>
      <c r="W152" s="1">
        <f>_xlfn.IFNA(VLOOKUP(B152,'CO Trx'!$A$4:$B$37,2,0),"-")</f>
        <v>35</v>
      </c>
      <c r="X152" s="1">
        <f>_xlfn.IFNA(VLOOKUP(B152,'CO Trx'!$A$49:$B$104,2,0),"-")</f>
        <v>1040</v>
      </c>
      <c r="Y152" s="20" t="s">
        <v>6889</v>
      </c>
      <c r="AA152" t="s">
        <v>8094</v>
      </c>
      <c r="AB152" t="s">
        <v>8063</v>
      </c>
    </row>
    <row r="153" spans="1:28" x14ac:dyDescent="0.2">
      <c r="A153" s="1" t="s">
        <v>653</v>
      </c>
      <c r="B153" s="1" t="s">
        <v>654</v>
      </c>
      <c r="C153" s="1" t="s">
        <v>6</v>
      </c>
      <c r="D153" s="1" t="s">
        <v>655</v>
      </c>
      <c r="E153" s="1" t="s">
        <v>7411</v>
      </c>
      <c r="F153" s="1" t="s">
        <v>473</v>
      </c>
      <c r="G153" s="1" t="s">
        <v>473</v>
      </c>
      <c r="H153" s="1" t="s">
        <v>7412</v>
      </c>
      <c r="I153" s="1" t="s">
        <v>7413</v>
      </c>
      <c r="J153" s="1" t="s">
        <v>6941</v>
      </c>
      <c r="K153" s="1" t="s">
        <v>473</v>
      </c>
      <c r="L153" s="1" t="s">
        <v>473</v>
      </c>
      <c r="M153" s="1" t="s">
        <v>473</v>
      </c>
      <c r="N153" s="1" t="s">
        <v>473</v>
      </c>
      <c r="O153" s="1" t="s">
        <v>7414</v>
      </c>
      <c r="P153" s="1">
        <v>0</v>
      </c>
      <c r="Q153" s="28">
        <v>0</v>
      </c>
      <c r="R153" s="1">
        <v>0</v>
      </c>
      <c r="S153" s="1"/>
      <c r="T153" s="10" t="str">
        <f>_xlfn.IFNA(VLOOKUP(B153,Sheet2!$A$2:$M$58,4,0),"-")</f>
        <v>-</v>
      </c>
      <c r="U153" s="10" t="str">
        <f>_xlfn.IFNA(VLOOKUP(B153,'TV Trx'!$B$4:$C$57,2,0),"-")</f>
        <v>-</v>
      </c>
      <c r="V153" s="10" t="str">
        <f t="shared" si="3"/>
        <v>-</v>
      </c>
      <c r="W153" s="1" t="str">
        <f>_xlfn.IFNA(VLOOKUP(B153,'CO Trx'!$A$4:$B$37,2,0),"-")</f>
        <v>-</v>
      </c>
      <c r="X153" s="1" t="str">
        <f>_xlfn.IFNA(VLOOKUP(B153,'CO Trx'!$A$49:$B$104,2,0),"-")</f>
        <v>-</v>
      </c>
      <c r="Y153" s="21" t="s">
        <v>6890</v>
      </c>
    </row>
    <row r="154" spans="1:28" x14ac:dyDescent="0.2">
      <c r="A154" s="1" t="s">
        <v>650</v>
      </c>
      <c r="B154" s="1" t="s">
        <v>651</v>
      </c>
      <c r="C154" s="1" t="s">
        <v>6</v>
      </c>
      <c r="D154" s="1" t="s">
        <v>652</v>
      </c>
      <c r="E154" s="1" t="s">
        <v>7415</v>
      </c>
      <c r="F154" s="1" t="s">
        <v>473</v>
      </c>
      <c r="G154" s="1" t="s">
        <v>473</v>
      </c>
      <c r="H154" s="1" t="s">
        <v>473</v>
      </c>
      <c r="I154" s="1" t="s">
        <v>473</v>
      </c>
      <c r="J154" s="1" t="s">
        <v>473</v>
      </c>
      <c r="K154" s="1" t="s">
        <v>473</v>
      </c>
      <c r="L154" s="1" t="s">
        <v>6974</v>
      </c>
      <c r="M154" s="1" t="s">
        <v>473</v>
      </c>
      <c r="N154" s="1" t="s">
        <v>7416</v>
      </c>
      <c r="O154" s="1" t="s">
        <v>7417</v>
      </c>
      <c r="P154" s="1" t="s">
        <v>8178</v>
      </c>
      <c r="Q154" s="28"/>
      <c r="R154" s="1"/>
      <c r="S154" s="1"/>
      <c r="T154" s="10">
        <f>_xlfn.IFNA(VLOOKUP(B154,Sheet2!$A$2:$M$58,4,0),"-")</f>
        <v>45060</v>
      </c>
      <c r="U154" s="10" t="str">
        <f>_xlfn.IFNA(VLOOKUP(B154,'TV Trx'!$B$4:$C$57,2,0),"-")</f>
        <v>-</v>
      </c>
      <c r="V154" s="10">
        <f t="shared" si="3"/>
        <v>45060</v>
      </c>
      <c r="W154" s="1">
        <f>_xlfn.IFNA(VLOOKUP(B154,'CO Trx'!$A$4:$B$37,2,0),"-")</f>
        <v>149</v>
      </c>
      <c r="X154" s="1">
        <f>_xlfn.IFNA(VLOOKUP(B154,'CO Trx'!$A$49:$B$104,2,0),"-")</f>
        <v>58</v>
      </c>
      <c r="Y154" s="20" t="s">
        <v>6889</v>
      </c>
      <c r="AA154" t="s">
        <v>8095</v>
      </c>
      <c r="AB154" t="s">
        <v>8066</v>
      </c>
    </row>
    <row r="155" spans="1:28" x14ac:dyDescent="0.2">
      <c r="A155" s="1" t="s">
        <v>698</v>
      </c>
      <c r="B155" s="1" t="s">
        <v>699</v>
      </c>
      <c r="C155" s="1" t="s">
        <v>6</v>
      </c>
      <c r="D155" s="1" t="s">
        <v>700</v>
      </c>
      <c r="E155" s="1" t="s">
        <v>7418</v>
      </c>
      <c r="F155" s="1" t="s">
        <v>473</v>
      </c>
      <c r="G155" s="1" t="s">
        <v>473</v>
      </c>
      <c r="H155" s="1" t="s">
        <v>7419</v>
      </c>
      <c r="I155" s="1" t="s">
        <v>7144</v>
      </c>
      <c r="J155" s="1" t="s">
        <v>6941</v>
      </c>
      <c r="K155" s="1" t="s">
        <v>473</v>
      </c>
      <c r="L155" s="1" t="s">
        <v>473</v>
      </c>
      <c r="M155" s="1" t="s">
        <v>473</v>
      </c>
      <c r="N155" s="1" t="s">
        <v>473</v>
      </c>
      <c r="O155" s="1" t="s">
        <v>7420</v>
      </c>
      <c r="P155" s="1">
        <v>0</v>
      </c>
      <c r="Q155" s="28">
        <v>0</v>
      </c>
      <c r="R155" s="1">
        <v>0</v>
      </c>
      <c r="S155" s="1"/>
      <c r="T155" s="10" t="str">
        <f>_xlfn.IFNA(VLOOKUP(B155,Sheet2!$A$2:$M$58,4,0),"-")</f>
        <v>-</v>
      </c>
      <c r="U155" s="10" t="str">
        <f>_xlfn.IFNA(VLOOKUP(B155,'TV Trx'!$B$4:$C$57,2,0),"-")</f>
        <v>-</v>
      </c>
      <c r="V155" s="10" t="str">
        <f t="shared" si="3"/>
        <v>-</v>
      </c>
      <c r="W155" s="1" t="str">
        <f>_xlfn.IFNA(VLOOKUP(B155,'CO Trx'!$A$4:$B$37,2,0),"-")</f>
        <v>-</v>
      </c>
      <c r="X155" s="1" t="str">
        <f>_xlfn.IFNA(VLOOKUP(B155,'CO Trx'!$A$49:$B$104,2,0),"-")</f>
        <v>-</v>
      </c>
      <c r="Y155" s="21" t="s">
        <v>6890</v>
      </c>
    </row>
    <row r="156" spans="1:28" x14ac:dyDescent="0.2">
      <c r="A156" s="1" t="s">
        <v>186</v>
      </c>
      <c r="B156" s="1" t="s">
        <v>187</v>
      </c>
      <c r="C156" s="1" t="s">
        <v>6</v>
      </c>
      <c r="D156" s="1" t="s">
        <v>188</v>
      </c>
      <c r="E156" s="1" t="s">
        <v>7421</v>
      </c>
      <c r="F156" s="1" t="s">
        <v>473</v>
      </c>
      <c r="G156" s="1" t="s">
        <v>473</v>
      </c>
      <c r="H156" s="1" t="s">
        <v>473</v>
      </c>
      <c r="I156" s="1" t="s">
        <v>473</v>
      </c>
      <c r="J156" s="1" t="s">
        <v>473</v>
      </c>
      <c r="K156" s="1" t="s">
        <v>473</v>
      </c>
      <c r="L156" s="1" t="s">
        <v>7422</v>
      </c>
      <c r="M156" s="1" t="s">
        <v>473</v>
      </c>
      <c r="N156" s="1" t="s">
        <v>7423</v>
      </c>
      <c r="O156" s="1" t="s">
        <v>7424</v>
      </c>
      <c r="P156" s="1">
        <v>0</v>
      </c>
      <c r="Q156" s="28">
        <v>0</v>
      </c>
      <c r="R156" s="1">
        <v>0</v>
      </c>
      <c r="S156" s="1"/>
      <c r="T156" s="10" t="str">
        <f>_xlfn.IFNA(VLOOKUP(B156,Sheet2!$A$2:$M$58,4,0),"-")</f>
        <v>-</v>
      </c>
      <c r="U156" s="10" t="str">
        <f>_xlfn.IFNA(VLOOKUP(B156,'TV Trx'!$B$4:$C$57,2,0),"-")</f>
        <v>-</v>
      </c>
      <c r="V156" s="10" t="str">
        <f t="shared" si="3"/>
        <v>-</v>
      </c>
      <c r="W156" s="1" t="str">
        <f>_xlfn.IFNA(VLOOKUP(B156,'CO Trx'!$A$4:$B$37,2,0),"-")</f>
        <v>-</v>
      </c>
      <c r="X156" s="1" t="str">
        <f>_xlfn.IFNA(VLOOKUP(B156,'CO Trx'!$A$49:$B$104,2,0),"-")</f>
        <v>-</v>
      </c>
      <c r="Y156" s="21" t="s">
        <v>6890</v>
      </c>
    </row>
    <row r="157" spans="1:28" x14ac:dyDescent="0.2">
      <c r="A157" s="1" t="s">
        <v>780</v>
      </c>
      <c r="B157" s="1" t="s">
        <v>781</v>
      </c>
      <c r="C157" s="1" t="s">
        <v>6</v>
      </c>
      <c r="D157" s="1" t="s">
        <v>782</v>
      </c>
      <c r="E157" s="1" t="s">
        <v>7425</v>
      </c>
      <c r="F157" s="1" t="s">
        <v>473</v>
      </c>
      <c r="G157" s="1" t="s">
        <v>473</v>
      </c>
      <c r="H157" s="1" t="s">
        <v>473</v>
      </c>
      <c r="I157" s="1" t="s">
        <v>473</v>
      </c>
      <c r="J157" s="1" t="s">
        <v>473</v>
      </c>
      <c r="K157" s="1" t="s">
        <v>473</v>
      </c>
      <c r="L157" s="1" t="s">
        <v>6974</v>
      </c>
      <c r="M157" s="1" t="s">
        <v>473</v>
      </c>
      <c r="N157" s="1" t="s">
        <v>7426</v>
      </c>
      <c r="O157" s="1" t="s">
        <v>7427</v>
      </c>
      <c r="P157" s="1" t="s">
        <v>8179</v>
      </c>
      <c r="Q157" s="28"/>
      <c r="R157" s="1"/>
      <c r="S157" s="1"/>
      <c r="T157" s="10">
        <f>_xlfn.IFNA(VLOOKUP(B157,Sheet2!$A$2:$M$58,4,0),"-")</f>
        <v>45085</v>
      </c>
      <c r="U157" s="10" t="str">
        <f>_xlfn.IFNA(VLOOKUP(B157,'TV Trx'!$B$4:$C$57,2,0),"-")</f>
        <v>-</v>
      </c>
      <c r="V157" s="10">
        <f t="shared" si="3"/>
        <v>45085</v>
      </c>
      <c r="W157" s="1">
        <f>_xlfn.IFNA(VLOOKUP(B157,'CO Trx'!$A$4:$B$37,2,0),"-")</f>
        <v>6</v>
      </c>
      <c r="X157" s="1">
        <f>_xlfn.IFNA(VLOOKUP(B157,'CO Trx'!$A$49:$B$104,2,0),"-")</f>
        <v>10</v>
      </c>
      <c r="Y157" s="20" t="s">
        <v>6889</v>
      </c>
      <c r="AA157" t="s">
        <v>8096</v>
      </c>
    </row>
    <row r="158" spans="1:28" x14ac:dyDescent="0.2">
      <c r="A158" s="1" t="s">
        <v>873</v>
      </c>
      <c r="B158" s="1" t="s">
        <v>874</v>
      </c>
      <c r="C158" s="1" t="s">
        <v>6</v>
      </c>
      <c r="D158" s="1" t="s">
        <v>875</v>
      </c>
      <c r="E158" s="1" t="s">
        <v>7428</v>
      </c>
      <c r="F158" s="1" t="s">
        <v>473</v>
      </c>
      <c r="G158" s="1" t="s">
        <v>473</v>
      </c>
      <c r="H158" s="1" t="s">
        <v>473</v>
      </c>
      <c r="I158" s="1" t="s">
        <v>473</v>
      </c>
      <c r="J158" s="1" t="s">
        <v>473</v>
      </c>
      <c r="K158" s="1" t="s">
        <v>473</v>
      </c>
      <c r="L158" s="1" t="s">
        <v>7429</v>
      </c>
      <c r="M158" s="1" t="s">
        <v>473</v>
      </c>
      <c r="N158" s="1" t="s">
        <v>7430</v>
      </c>
      <c r="O158" s="1" t="s">
        <v>7431</v>
      </c>
      <c r="P158" s="1">
        <v>0</v>
      </c>
      <c r="Q158" s="28">
        <v>0</v>
      </c>
      <c r="R158" s="1">
        <v>0</v>
      </c>
      <c r="S158" s="1"/>
      <c r="T158" s="10" t="str">
        <f>_xlfn.IFNA(VLOOKUP(B158,Sheet2!$A$2:$M$58,4,0),"-")</f>
        <v>-</v>
      </c>
      <c r="U158" s="10" t="str">
        <f>_xlfn.IFNA(VLOOKUP(B158,'TV Trx'!$B$4:$C$57,2,0),"-")</f>
        <v>-</v>
      </c>
      <c r="V158" s="10" t="str">
        <f t="shared" si="3"/>
        <v>-</v>
      </c>
      <c r="W158" s="1" t="str">
        <f>_xlfn.IFNA(VLOOKUP(B158,'CO Trx'!$A$4:$B$37,2,0),"-")</f>
        <v>-</v>
      </c>
      <c r="X158" s="1" t="str">
        <f>_xlfn.IFNA(VLOOKUP(B158,'CO Trx'!$A$49:$B$104,2,0),"-")</f>
        <v>-</v>
      </c>
      <c r="Y158" s="21" t="s">
        <v>6890</v>
      </c>
    </row>
    <row r="159" spans="1:28" x14ac:dyDescent="0.2">
      <c r="A159" s="1" t="s">
        <v>829</v>
      </c>
      <c r="B159" s="1" t="s">
        <v>830</v>
      </c>
      <c r="C159" s="1" t="s">
        <v>13</v>
      </c>
      <c r="D159" s="1" t="s">
        <v>831</v>
      </c>
      <c r="E159" s="1" t="s">
        <v>7432</v>
      </c>
      <c r="F159" s="1" t="s">
        <v>473</v>
      </c>
      <c r="G159" s="1" t="s">
        <v>473</v>
      </c>
      <c r="H159" s="1" t="s">
        <v>473</v>
      </c>
      <c r="I159" s="1" t="s">
        <v>473</v>
      </c>
      <c r="J159" s="1" t="s">
        <v>473</v>
      </c>
      <c r="K159" s="1" t="s">
        <v>473</v>
      </c>
      <c r="L159" s="1" t="s">
        <v>7433</v>
      </c>
      <c r="M159" s="1" t="s">
        <v>473</v>
      </c>
      <c r="N159" s="1" t="s">
        <v>7434</v>
      </c>
      <c r="O159" s="1" t="s">
        <v>7435</v>
      </c>
      <c r="P159" s="1">
        <v>0</v>
      </c>
      <c r="Q159" s="28">
        <v>0</v>
      </c>
      <c r="R159" s="1">
        <v>0</v>
      </c>
      <c r="S159" s="1"/>
      <c r="T159" s="10" t="str">
        <f>_xlfn.IFNA(VLOOKUP(B159,Sheet2!$A$2:$M$58,4,0),"-")</f>
        <v>-</v>
      </c>
      <c r="U159" s="10" t="str">
        <f>_xlfn.IFNA(VLOOKUP(B159,'TV Trx'!$B$4:$C$57,2,0),"-")</f>
        <v>-</v>
      </c>
      <c r="V159" s="10" t="str">
        <f t="shared" si="3"/>
        <v>-</v>
      </c>
      <c r="W159" s="1" t="str">
        <f>_xlfn.IFNA(VLOOKUP(B159,'CO Trx'!$A$4:$B$37,2,0),"-")</f>
        <v>-</v>
      </c>
      <c r="X159" s="1" t="str">
        <f>_xlfn.IFNA(VLOOKUP(B159,'CO Trx'!$A$49:$B$104,2,0),"-")</f>
        <v>-</v>
      </c>
      <c r="Y159" s="21" t="s">
        <v>6890</v>
      </c>
    </row>
    <row r="160" spans="1:28" x14ac:dyDescent="0.2">
      <c r="A160" s="1" t="s">
        <v>177</v>
      </c>
      <c r="B160" s="1" t="s">
        <v>178</v>
      </c>
      <c r="C160" s="1" t="s">
        <v>6</v>
      </c>
      <c r="D160" s="1" t="s">
        <v>179</v>
      </c>
      <c r="E160" s="1" t="s">
        <v>7436</v>
      </c>
      <c r="F160" s="1" t="s">
        <v>473</v>
      </c>
      <c r="G160" s="1" t="s">
        <v>473</v>
      </c>
      <c r="H160" s="1" t="s">
        <v>473</v>
      </c>
      <c r="I160" s="1" t="s">
        <v>473</v>
      </c>
      <c r="J160" s="1" t="s">
        <v>473</v>
      </c>
      <c r="K160" s="1" t="s">
        <v>473</v>
      </c>
      <c r="L160" s="1" t="s">
        <v>7437</v>
      </c>
      <c r="M160" s="1" t="s">
        <v>473</v>
      </c>
      <c r="N160" s="1" t="s">
        <v>7438</v>
      </c>
      <c r="O160" s="1" t="s">
        <v>7439</v>
      </c>
      <c r="P160" s="1" t="s">
        <v>8180</v>
      </c>
      <c r="Q160" s="28"/>
      <c r="R160" s="1"/>
      <c r="S160" s="1"/>
      <c r="T160" s="10">
        <f>_xlfn.IFNA(VLOOKUP(B160,Sheet2!$A$2:$M$58,4,0),"-")</f>
        <v>45059</v>
      </c>
      <c r="U160" s="10" t="str">
        <f>_xlfn.IFNA(VLOOKUP(B160,'TV Trx'!$B$4:$C$57,2,0),"-")</f>
        <v>-</v>
      </c>
      <c r="V160" s="10">
        <f t="shared" si="3"/>
        <v>45059</v>
      </c>
      <c r="W160" s="1" t="str">
        <f>_xlfn.IFNA(VLOOKUP(B160,'CO Trx'!$A$4:$B$37,2,0),"-")</f>
        <v>-</v>
      </c>
      <c r="X160" s="1">
        <f>_xlfn.IFNA(VLOOKUP(B160,'CO Trx'!$A$49:$B$104,2,0),"-")</f>
        <v>186</v>
      </c>
      <c r="Y160" s="20" t="s">
        <v>6889</v>
      </c>
      <c r="AA160" t="s">
        <v>8097</v>
      </c>
      <c r="AB160" t="s">
        <v>8075</v>
      </c>
    </row>
    <row r="161" spans="1:28" x14ac:dyDescent="0.2">
      <c r="A161" s="1" t="s">
        <v>326</v>
      </c>
      <c r="B161" s="1" t="s">
        <v>327</v>
      </c>
      <c r="C161" s="1" t="s">
        <v>6</v>
      </c>
      <c r="D161" s="1" t="s">
        <v>254</v>
      </c>
      <c r="E161" s="1" t="s">
        <v>7081</v>
      </c>
      <c r="F161" s="1" t="s">
        <v>473</v>
      </c>
      <c r="G161" s="1" t="s">
        <v>473</v>
      </c>
      <c r="H161" s="1" t="s">
        <v>473</v>
      </c>
      <c r="I161" s="1" t="s">
        <v>473</v>
      </c>
      <c r="J161" s="1" t="s">
        <v>473</v>
      </c>
      <c r="K161" s="1" t="s">
        <v>473</v>
      </c>
      <c r="L161" s="1" t="s">
        <v>7440</v>
      </c>
      <c r="M161" s="1" t="s">
        <v>473</v>
      </c>
      <c r="N161" s="1" t="s">
        <v>7441</v>
      </c>
      <c r="O161" s="1" t="s">
        <v>7442</v>
      </c>
      <c r="P161" s="1">
        <v>0</v>
      </c>
      <c r="Q161" s="28">
        <v>0</v>
      </c>
      <c r="R161" s="1">
        <v>0</v>
      </c>
      <c r="S161" s="1"/>
      <c r="T161" s="10" t="str">
        <f>_xlfn.IFNA(VLOOKUP(B161,Sheet2!$A$2:$M$58,4,0),"-")</f>
        <v>-</v>
      </c>
      <c r="U161" s="10" t="str">
        <f>_xlfn.IFNA(VLOOKUP(B161,'TV Trx'!$B$4:$C$57,2,0),"-")</f>
        <v>-</v>
      </c>
      <c r="V161" s="10" t="str">
        <f t="shared" si="3"/>
        <v>-</v>
      </c>
      <c r="W161" s="1" t="str">
        <f>_xlfn.IFNA(VLOOKUP(B161,'CO Trx'!$A$4:$B$37,2,0),"-")</f>
        <v>-</v>
      </c>
      <c r="X161" s="1" t="str">
        <f>_xlfn.IFNA(VLOOKUP(B161,'CO Trx'!$A$49:$B$104,2,0),"-")</f>
        <v>-</v>
      </c>
      <c r="Y161" s="21" t="s">
        <v>6890</v>
      </c>
    </row>
    <row r="162" spans="1:28" x14ac:dyDescent="0.2">
      <c r="A162" s="1" t="s">
        <v>355</v>
      </c>
      <c r="B162" s="1" t="s">
        <v>356</v>
      </c>
      <c r="C162" s="1" t="s">
        <v>6</v>
      </c>
      <c r="D162" s="1" t="s">
        <v>357</v>
      </c>
      <c r="E162" s="1" t="s">
        <v>7443</v>
      </c>
      <c r="F162" s="1" t="s">
        <v>473</v>
      </c>
      <c r="G162" s="1" t="s">
        <v>473</v>
      </c>
      <c r="H162" s="1" t="s">
        <v>473</v>
      </c>
      <c r="I162" s="1" t="s">
        <v>473</v>
      </c>
      <c r="J162" s="1" t="s">
        <v>473</v>
      </c>
      <c r="K162" s="1" t="s">
        <v>473</v>
      </c>
      <c r="L162" s="1" t="s">
        <v>6974</v>
      </c>
      <c r="M162" s="1" t="s">
        <v>473</v>
      </c>
      <c r="N162" s="1" t="s">
        <v>7444</v>
      </c>
      <c r="O162" s="1" t="s">
        <v>7445</v>
      </c>
      <c r="P162" s="1" t="s">
        <v>8181</v>
      </c>
      <c r="Q162" s="28"/>
      <c r="R162" s="1"/>
      <c r="S162" s="1"/>
      <c r="T162" s="10">
        <f>_xlfn.IFNA(VLOOKUP(B162,Sheet2!$A$2:$M$58,4,0),"-")</f>
        <v>45086</v>
      </c>
      <c r="U162" s="10" t="str">
        <f>_xlfn.IFNA(VLOOKUP(B162,'TV Trx'!$B$4:$C$57,2,0),"-")</f>
        <v>-</v>
      </c>
      <c r="V162" s="10">
        <f t="shared" si="3"/>
        <v>45086</v>
      </c>
      <c r="W162" s="1" t="str">
        <f>_xlfn.IFNA(VLOOKUP(B162,'CO Trx'!$A$4:$B$37,2,0),"-")</f>
        <v>-</v>
      </c>
      <c r="X162" s="1">
        <f>_xlfn.IFNA(VLOOKUP(B162,'CO Trx'!$A$49:$B$104,2,0),"-")</f>
        <v>7</v>
      </c>
      <c r="Y162" s="20" t="s">
        <v>6889</v>
      </c>
      <c r="AA162" t="s">
        <v>8098</v>
      </c>
      <c r="AB162" t="s">
        <v>8056</v>
      </c>
    </row>
    <row r="163" spans="1:28" x14ac:dyDescent="0.2">
      <c r="A163" s="1" t="s">
        <v>367</v>
      </c>
      <c r="B163" s="1" t="s">
        <v>368</v>
      </c>
      <c r="C163" s="1" t="s">
        <v>6</v>
      </c>
      <c r="D163" s="1" t="s">
        <v>369</v>
      </c>
      <c r="E163" s="1" t="s">
        <v>7446</v>
      </c>
      <c r="F163" s="1" t="s">
        <v>473</v>
      </c>
      <c r="G163" s="1" t="s">
        <v>473</v>
      </c>
      <c r="H163" s="1" t="s">
        <v>473</v>
      </c>
      <c r="I163" s="1" t="s">
        <v>473</v>
      </c>
      <c r="J163" s="1" t="s">
        <v>473</v>
      </c>
      <c r="K163" s="1" t="s">
        <v>473</v>
      </c>
      <c r="L163" s="1" t="s">
        <v>6974</v>
      </c>
      <c r="M163" s="1" t="s">
        <v>473</v>
      </c>
      <c r="N163" s="1" t="s">
        <v>7447</v>
      </c>
      <c r="O163" s="1" t="s">
        <v>7448</v>
      </c>
      <c r="P163" s="1" t="s">
        <v>8182</v>
      </c>
      <c r="Q163" s="28"/>
      <c r="R163" s="1"/>
      <c r="S163" s="1"/>
      <c r="T163" s="10">
        <f>_xlfn.IFNA(VLOOKUP(B163,Sheet2!$A$2:$M$58,4,0),"-")</f>
        <v>45066</v>
      </c>
      <c r="U163" s="10" t="str">
        <f>_xlfn.IFNA(VLOOKUP(B163,'TV Trx'!$B$4:$C$57,2,0),"-")</f>
        <v>-</v>
      </c>
      <c r="V163" s="10">
        <f t="shared" si="3"/>
        <v>45066</v>
      </c>
      <c r="W163" s="1">
        <f>_xlfn.IFNA(VLOOKUP(B163,'CO Trx'!$A$4:$B$37,2,0),"-")</f>
        <v>2</v>
      </c>
      <c r="X163" s="1">
        <f>_xlfn.IFNA(VLOOKUP(B163,'CO Trx'!$A$49:$B$104,2,0),"-")</f>
        <v>12</v>
      </c>
      <c r="Y163" s="20" t="s">
        <v>6889</v>
      </c>
      <c r="AA163" t="s">
        <v>8099</v>
      </c>
      <c r="AB163" t="s">
        <v>8037</v>
      </c>
    </row>
    <row r="164" spans="1:28" x14ac:dyDescent="0.2">
      <c r="A164" s="1" t="s">
        <v>258</v>
      </c>
      <c r="B164" s="1" t="s">
        <v>259</v>
      </c>
      <c r="C164" s="1" t="s">
        <v>13</v>
      </c>
      <c r="D164" s="1" t="s">
        <v>260</v>
      </c>
      <c r="E164" s="1" t="s">
        <v>7449</v>
      </c>
      <c r="F164" s="1" t="s">
        <v>473</v>
      </c>
      <c r="G164" s="1" t="s">
        <v>473</v>
      </c>
      <c r="H164" s="1" t="s">
        <v>7450</v>
      </c>
      <c r="I164" s="1" t="s">
        <v>6958</v>
      </c>
      <c r="J164" s="1" t="s">
        <v>6941</v>
      </c>
      <c r="K164" s="1" t="s">
        <v>473</v>
      </c>
      <c r="L164" s="1" t="s">
        <v>473</v>
      </c>
      <c r="M164" s="1" t="s">
        <v>473</v>
      </c>
      <c r="N164" s="1" t="s">
        <v>473</v>
      </c>
      <c r="O164" s="1" t="s">
        <v>7451</v>
      </c>
      <c r="P164" s="1">
        <v>0</v>
      </c>
      <c r="Q164" s="28">
        <v>0</v>
      </c>
      <c r="R164" s="1">
        <v>0</v>
      </c>
      <c r="S164" s="1"/>
      <c r="T164" s="10" t="str">
        <f>_xlfn.IFNA(VLOOKUP(B164,Sheet2!$A$2:$M$58,4,0),"-")</f>
        <v>-</v>
      </c>
      <c r="U164" s="10" t="str">
        <f>_xlfn.IFNA(VLOOKUP(B164,'TV Trx'!$B$4:$C$57,2,0),"-")</f>
        <v>-</v>
      </c>
      <c r="V164" s="10" t="str">
        <f t="shared" si="3"/>
        <v>-</v>
      </c>
      <c r="W164" s="1" t="str">
        <f>_xlfn.IFNA(VLOOKUP(B164,'CO Trx'!$A$4:$B$37,2,0),"-")</f>
        <v>-</v>
      </c>
      <c r="X164" s="1" t="str">
        <f>_xlfn.IFNA(VLOOKUP(B164,'CO Trx'!$A$49:$B$104,2,0),"-")</f>
        <v>-</v>
      </c>
      <c r="Y164" s="21" t="s">
        <v>6890</v>
      </c>
    </row>
    <row r="165" spans="1:28" x14ac:dyDescent="0.2">
      <c r="A165" s="1" t="s">
        <v>279</v>
      </c>
      <c r="B165" s="1" t="s">
        <v>280</v>
      </c>
      <c r="C165" s="1" t="s">
        <v>6</v>
      </c>
      <c r="D165" s="1" t="s">
        <v>281</v>
      </c>
      <c r="E165" s="1" t="s">
        <v>7452</v>
      </c>
      <c r="F165" s="1" t="s">
        <v>473</v>
      </c>
      <c r="G165" s="1" t="s">
        <v>473</v>
      </c>
      <c r="H165" s="1" t="s">
        <v>473</v>
      </c>
      <c r="I165" s="1" t="s">
        <v>473</v>
      </c>
      <c r="J165" s="1" t="s">
        <v>473</v>
      </c>
      <c r="K165" s="1" t="s">
        <v>473</v>
      </c>
      <c r="L165" s="1" t="s">
        <v>6974</v>
      </c>
      <c r="M165" s="1" t="s">
        <v>473</v>
      </c>
      <c r="N165" s="1" t="s">
        <v>7453</v>
      </c>
      <c r="O165" s="1" t="s">
        <v>7454</v>
      </c>
      <c r="P165" s="1" t="s">
        <v>8183</v>
      </c>
      <c r="Q165" s="28"/>
      <c r="R165" s="1"/>
      <c r="S165" s="1"/>
      <c r="T165" s="10">
        <f>_xlfn.IFNA(VLOOKUP(B165,Sheet2!$A$2:$M$58,4,0),"-")</f>
        <v>45060</v>
      </c>
      <c r="U165" s="10" t="str">
        <f>_xlfn.IFNA(VLOOKUP(B165,'TV Trx'!$B$4:$C$57,2,0),"-")</f>
        <v>-</v>
      </c>
      <c r="V165" s="10">
        <f t="shared" si="3"/>
        <v>45060</v>
      </c>
      <c r="W165" s="1" t="str">
        <f>_xlfn.IFNA(VLOOKUP(B165,'CO Trx'!$A$4:$B$37,2,0),"-")</f>
        <v>-</v>
      </c>
      <c r="X165" s="1">
        <f>_xlfn.IFNA(VLOOKUP(B165,'CO Trx'!$A$49:$B$104,2,0),"-")</f>
        <v>104</v>
      </c>
      <c r="Y165" s="20" t="s">
        <v>6889</v>
      </c>
      <c r="AA165" t="s">
        <v>8100</v>
      </c>
      <c r="AB165" t="s">
        <v>7974</v>
      </c>
    </row>
    <row r="166" spans="1:28" x14ac:dyDescent="0.2">
      <c r="A166" s="1" t="s">
        <v>704</v>
      </c>
      <c r="B166" s="1" t="s">
        <v>705</v>
      </c>
      <c r="C166" s="1" t="s">
        <v>13</v>
      </c>
      <c r="D166" s="1" t="s">
        <v>706</v>
      </c>
      <c r="E166" s="1" t="s">
        <v>7455</v>
      </c>
      <c r="F166" s="1" t="s">
        <v>473</v>
      </c>
      <c r="G166" s="1" t="s">
        <v>473</v>
      </c>
      <c r="H166" s="1" t="s">
        <v>7079</v>
      </c>
      <c r="I166" s="1" t="s">
        <v>6940</v>
      </c>
      <c r="J166" s="1" t="s">
        <v>6941</v>
      </c>
      <c r="K166" s="1" t="s">
        <v>473</v>
      </c>
      <c r="L166" s="1" t="s">
        <v>473</v>
      </c>
      <c r="M166" s="1" t="s">
        <v>473</v>
      </c>
      <c r="N166" s="1" t="s">
        <v>473</v>
      </c>
      <c r="O166" s="1" t="s">
        <v>7456</v>
      </c>
      <c r="P166" s="1">
        <v>0</v>
      </c>
      <c r="Q166" s="28">
        <v>0</v>
      </c>
      <c r="R166" s="1">
        <v>0</v>
      </c>
      <c r="S166" s="1"/>
      <c r="T166" s="10" t="str">
        <f>_xlfn.IFNA(VLOOKUP(B166,Sheet2!$A$2:$M$58,4,0),"-")</f>
        <v>-</v>
      </c>
      <c r="U166" s="10" t="str">
        <f>_xlfn.IFNA(VLOOKUP(B166,'TV Trx'!$B$4:$C$57,2,0),"-")</f>
        <v>-</v>
      </c>
      <c r="V166" s="10" t="str">
        <f t="shared" si="3"/>
        <v>-</v>
      </c>
      <c r="W166" s="1" t="str">
        <f>_xlfn.IFNA(VLOOKUP(B166,'CO Trx'!$A$4:$B$37,2,0),"-")</f>
        <v>-</v>
      </c>
      <c r="X166" s="1" t="str">
        <f>_xlfn.IFNA(VLOOKUP(B166,'CO Trx'!$A$49:$B$104,2,0),"-")</f>
        <v>-</v>
      </c>
      <c r="Y166" s="21" t="s">
        <v>6890</v>
      </c>
    </row>
    <row r="167" spans="1:28" x14ac:dyDescent="0.2">
      <c r="A167" s="1" t="s">
        <v>414</v>
      </c>
      <c r="B167" s="1" t="s">
        <v>415</v>
      </c>
      <c r="C167" s="1" t="s">
        <v>13</v>
      </c>
      <c r="D167" s="1" t="s">
        <v>416</v>
      </c>
      <c r="E167" s="1" t="s">
        <v>7457</v>
      </c>
      <c r="F167" s="1" t="s">
        <v>473</v>
      </c>
      <c r="G167" s="1" t="s">
        <v>473</v>
      </c>
      <c r="H167" s="1" t="s">
        <v>473</v>
      </c>
      <c r="I167" s="1" t="s">
        <v>473</v>
      </c>
      <c r="J167" s="1" t="s">
        <v>473</v>
      </c>
      <c r="K167" s="1" t="s">
        <v>473</v>
      </c>
      <c r="L167" s="1" t="s">
        <v>6974</v>
      </c>
      <c r="M167" s="1" t="s">
        <v>473</v>
      </c>
      <c r="N167" s="1" t="s">
        <v>7458</v>
      </c>
      <c r="O167" s="1" t="s">
        <v>7459</v>
      </c>
      <c r="P167" s="1" t="s">
        <v>8184</v>
      </c>
      <c r="Q167" s="28">
        <v>60001004310</v>
      </c>
      <c r="R167" s="1" t="s">
        <v>8254</v>
      </c>
      <c r="S167" s="1"/>
      <c r="T167" s="10" t="str">
        <f>_xlfn.IFNA(VLOOKUP(B167,Sheet2!$A$2:$M$58,4,0),"-")</f>
        <v>-</v>
      </c>
      <c r="U167" s="10" t="str">
        <f>_xlfn.IFNA(VLOOKUP(B167,'TV Trx'!$B$4:$C$57,2,0),"-")</f>
        <v>-</v>
      </c>
      <c r="V167" s="10" t="str">
        <f t="shared" si="3"/>
        <v>-</v>
      </c>
      <c r="W167" s="1" t="str">
        <f>_xlfn.IFNA(VLOOKUP(B167,'CO Trx'!$A$4:$B$37,2,0),"-")</f>
        <v>-</v>
      </c>
      <c r="X167" s="1" t="str">
        <f>_xlfn.IFNA(VLOOKUP(B167,'CO Trx'!$A$49:$B$104,2,0),"-")</f>
        <v>-</v>
      </c>
      <c r="Y167" s="21" t="s">
        <v>6890</v>
      </c>
      <c r="AA167" t="s">
        <v>7988</v>
      </c>
      <c r="AB167" t="s">
        <v>8040</v>
      </c>
    </row>
    <row r="168" spans="1:28" x14ac:dyDescent="0.2">
      <c r="A168" s="1" t="s">
        <v>573</v>
      </c>
      <c r="B168" s="1" t="s">
        <v>574</v>
      </c>
      <c r="C168" s="1" t="s">
        <v>6</v>
      </c>
      <c r="D168" s="1" t="s">
        <v>575</v>
      </c>
      <c r="E168" s="1" t="s">
        <v>7460</v>
      </c>
      <c r="F168" s="1" t="s">
        <v>473</v>
      </c>
      <c r="G168" s="1" t="s">
        <v>473</v>
      </c>
      <c r="H168" s="1" t="s">
        <v>473</v>
      </c>
      <c r="I168" s="1" t="s">
        <v>473</v>
      </c>
      <c r="J168" s="1" t="s">
        <v>473</v>
      </c>
      <c r="K168" s="1" t="s">
        <v>473</v>
      </c>
      <c r="L168" s="1" t="s">
        <v>7461</v>
      </c>
      <c r="M168" s="1" t="s">
        <v>473</v>
      </c>
      <c r="N168" s="1" t="s">
        <v>7462</v>
      </c>
      <c r="O168" s="1" t="s">
        <v>7463</v>
      </c>
      <c r="P168" s="1">
        <v>0</v>
      </c>
      <c r="Q168" s="28">
        <v>0</v>
      </c>
      <c r="R168" s="1">
        <v>0</v>
      </c>
      <c r="S168" s="1"/>
      <c r="T168" s="10" t="str">
        <f>_xlfn.IFNA(VLOOKUP(B168,Sheet2!$A$2:$M$58,4,0),"-")</f>
        <v>-</v>
      </c>
      <c r="U168" s="10" t="str">
        <f>_xlfn.IFNA(VLOOKUP(B168,'TV Trx'!$B$4:$C$57,2,0),"-")</f>
        <v>-</v>
      </c>
      <c r="V168" s="10" t="str">
        <f t="shared" si="3"/>
        <v>-</v>
      </c>
      <c r="W168" s="1" t="str">
        <f>_xlfn.IFNA(VLOOKUP(B168,'CO Trx'!$A$4:$B$37,2,0),"-")</f>
        <v>-</v>
      </c>
      <c r="X168" s="1" t="str">
        <f>_xlfn.IFNA(VLOOKUP(B168,'CO Trx'!$A$49:$B$104,2,0),"-")</f>
        <v>-</v>
      </c>
      <c r="Y168" s="21" t="s">
        <v>6890</v>
      </c>
    </row>
    <row r="169" spans="1:28" x14ac:dyDescent="0.2">
      <c r="A169" s="1" t="s">
        <v>623</v>
      </c>
      <c r="B169" s="1" t="s">
        <v>624</v>
      </c>
      <c r="C169" s="1" t="s">
        <v>6</v>
      </c>
      <c r="D169" s="1" t="s">
        <v>625</v>
      </c>
      <c r="E169" s="1" t="s">
        <v>7464</v>
      </c>
      <c r="F169" s="1" t="s">
        <v>473</v>
      </c>
      <c r="G169" s="1" t="s">
        <v>473</v>
      </c>
      <c r="H169" s="1" t="s">
        <v>473</v>
      </c>
      <c r="I169" s="1" t="s">
        <v>473</v>
      </c>
      <c r="J169" s="1" t="s">
        <v>473</v>
      </c>
      <c r="K169" s="1" t="s">
        <v>473</v>
      </c>
      <c r="L169" s="1" t="s">
        <v>6974</v>
      </c>
      <c r="M169" s="1" t="s">
        <v>473</v>
      </c>
      <c r="N169" s="1" t="s">
        <v>7465</v>
      </c>
      <c r="O169" s="1" t="s">
        <v>7466</v>
      </c>
      <c r="P169" s="1" t="s">
        <v>8185</v>
      </c>
      <c r="Q169" s="28"/>
      <c r="R169" s="1"/>
      <c r="S169" s="1"/>
      <c r="T169" s="10">
        <f>_xlfn.IFNA(VLOOKUP(B169,Sheet2!$A$2:$M$58,4,0),"-")</f>
        <v>45087</v>
      </c>
      <c r="U169" s="10" t="str">
        <f>_xlfn.IFNA(VLOOKUP(B169,'TV Trx'!$B$4:$C$57,2,0),"-")</f>
        <v>-</v>
      </c>
      <c r="V169" s="10">
        <f t="shared" si="3"/>
        <v>45087</v>
      </c>
      <c r="W169" s="1" t="str">
        <f>_xlfn.IFNA(VLOOKUP(B169,'CO Trx'!$A$4:$B$37,2,0),"-")</f>
        <v>-</v>
      </c>
      <c r="X169" s="1">
        <f>_xlfn.IFNA(VLOOKUP(B169,'CO Trx'!$A$49:$B$104,2,0),"-")</f>
        <v>3</v>
      </c>
      <c r="Y169" s="20" t="s">
        <v>6889</v>
      </c>
      <c r="AA169" t="s">
        <v>8101</v>
      </c>
      <c r="AB169" t="s">
        <v>7966</v>
      </c>
    </row>
    <row r="170" spans="1:28" x14ac:dyDescent="0.2">
      <c r="A170" s="1" t="s">
        <v>578</v>
      </c>
      <c r="B170" s="1" t="s">
        <v>579</v>
      </c>
      <c r="C170" s="1" t="s">
        <v>6</v>
      </c>
      <c r="D170" s="1" t="s">
        <v>580</v>
      </c>
      <c r="E170" s="1" t="s">
        <v>7467</v>
      </c>
      <c r="F170" s="1" t="s">
        <v>473</v>
      </c>
      <c r="G170" s="1" t="s">
        <v>473</v>
      </c>
      <c r="H170" s="1" t="s">
        <v>473</v>
      </c>
      <c r="I170" s="1" t="s">
        <v>473</v>
      </c>
      <c r="J170" s="1" t="s">
        <v>473</v>
      </c>
      <c r="K170" s="1" t="s">
        <v>473</v>
      </c>
      <c r="L170" s="1" t="s">
        <v>6974</v>
      </c>
      <c r="M170" s="1" t="s">
        <v>473</v>
      </c>
      <c r="N170" s="1" t="s">
        <v>7468</v>
      </c>
      <c r="O170" s="1" t="s">
        <v>7469</v>
      </c>
      <c r="P170" s="1" t="s">
        <v>8186</v>
      </c>
      <c r="Q170" s="28"/>
      <c r="R170" s="1"/>
      <c r="S170" s="1"/>
      <c r="T170" s="10">
        <f>_xlfn.IFNA(VLOOKUP(B170,Sheet2!$A$2:$M$58,4,0),"-")</f>
        <v>44973</v>
      </c>
      <c r="U170" s="10" t="str">
        <f>_xlfn.IFNA(VLOOKUP(B170,'TV Trx'!$B$4:$C$57,2,0),"-")</f>
        <v>-</v>
      </c>
      <c r="V170" s="10">
        <f t="shared" si="3"/>
        <v>44973</v>
      </c>
      <c r="W170" s="1">
        <f>_xlfn.IFNA(VLOOKUP(B170,'CO Trx'!$A$4:$B$37,2,0),"-")</f>
        <v>58</v>
      </c>
      <c r="X170" s="1">
        <f>_xlfn.IFNA(VLOOKUP(B170,'CO Trx'!$A$49:$B$104,2,0),"-")</f>
        <v>217</v>
      </c>
      <c r="Y170" s="22" t="s">
        <v>6891</v>
      </c>
      <c r="AA170" t="s">
        <v>8102</v>
      </c>
      <c r="AB170" t="s">
        <v>8044</v>
      </c>
    </row>
    <row r="171" spans="1:28" x14ac:dyDescent="0.2">
      <c r="A171" s="1" t="s">
        <v>719</v>
      </c>
      <c r="B171" s="1" t="s">
        <v>720</v>
      </c>
      <c r="C171" s="1" t="s">
        <v>6</v>
      </c>
      <c r="D171" s="1" t="s">
        <v>721</v>
      </c>
      <c r="E171" s="1" t="s">
        <v>7470</v>
      </c>
      <c r="F171" s="1" t="s">
        <v>473</v>
      </c>
      <c r="G171" s="1" t="s">
        <v>473</v>
      </c>
      <c r="H171" s="1" t="s">
        <v>473</v>
      </c>
      <c r="I171" s="1" t="s">
        <v>473</v>
      </c>
      <c r="J171" s="1" t="s">
        <v>473</v>
      </c>
      <c r="K171" s="1" t="s">
        <v>473</v>
      </c>
      <c r="L171" s="1" t="s">
        <v>6974</v>
      </c>
      <c r="M171" s="1" t="s">
        <v>473</v>
      </c>
      <c r="N171" s="1" t="s">
        <v>7471</v>
      </c>
      <c r="O171" s="1" t="s">
        <v>7472</v>
      </c>
      <c r="P171" s="1" t="s">
        <v>8187</v>
      </c>
      <c r="Q171" s="28"/>
      <c r="R171" s="1"/>
      <c r="S171" s="1"/>
      <c r="T171" s="10">
        <f>_xlfn.IFNA(VLOOKUP(B171,Sheet2!$A$2:$M$58,4,0),"-")</f>
        <v>45080</v>
      </c>
      <c r="U171" s="10" t="str">
        <f>_xlfn.IFNA(VLOOKUP(B171,'TV Trx'!$B$4:$C$57,2,0),"-")</f>
        <v>-</v>
      </c>
      <c r="V171" s="10">
        <f t="shared" si="3"/>
        <v>45080</v>
      </c>
      <c r="W171" s="1">
        <f>_xlfn.IFNA(VLOOKUP(B171,'CO Trx'!$A$4:$B$37,2,0),"-")</f>
        <v>1</v>
      </c>
      <c r="X171" s="1">
        <f>_xlfn.IFNA(VLOOKUP(B171,'CO Trx'!$A$49:$B$104,2,0),"-")</f>
        <v>94</v>
      </c>
      <c r="Y171" s="20" t="s">
        <v>6889</v>
      </c>
      <c r="AA171" t="s">
        <v>8103</v>
      </c>
      <c r="AB171" t="s">
        <v>8041</v>
      </c>
    </row>
    <row r="172" spans="1:28" x14ac:dyDescent="0.2">
      <c r="A172" s="1" t="s">
        <v>340</v>
      </c>
      <c r="B172" s="1" t="s">
        <v>341</v>
      </c>
      <c r="C172" s="1" t="s">
        <v>13</v>
      </c>
      <c r="D172" s="1" t="s">
        <v>342</v>
      </c>
      <c r="E172" s="1" t="s">
        <v>7473</v>
      </c>
      <c r="F172" s="1" t="s">
        <v>473</v>
      </c>
      <c r="G172" s="1" t="s">
        <v>473</v>
      </c>
      <c r="H172" s="1" t="s">
        <v>473</v>
      </c>
      <c r="I172" s="1" t="s">
        <v>473</v>
      </c>
      <c r="J172" s="1" t="s">
        <v>473</v>
      </c>
      <c r="K172" s="1" t="s">
        <v>473</v>
      </c>
      <c r="L172" s="1" t="s">
        <v>6974</v>
      </c>
      <c r="M172" s="1" t="s">
        <v>473</v>
      </c>
      <c r="N172" s="1" t="s">
        <v>7474</v>
      </c>
      <c r="O172" s="1" t="s">
        <v>7475</v>
      </c>
      <c r="P172" s="1" t="s">
        <v>8188</v>
      </c>
      <c r="Q172" s="28"/>
      <c r="R172" s="1" t="s">
        <v>8288</v>
      </c>
      <c r="S172" s="1"/>
      <c r="T172" s="10" t="str">
        <f>_xlfn.IFNA(VLOOKUP(B172,Sheet2!$A$2:$M$58,4,0),"-")</f>
        <v>-</v>
      </c>
      <c r="U172" s="10">
        <f>_xlfn.IFNA(VLOOKUP(B172,'TV Trx'!$B$4:$C$57,2,0),"-")</f>
        <v>45080</v>
      </c>
      <c r="V172" s="10">
        <f t="shared" si="3"/>
        <v>45080</v>
      </c>
      <c r="W172" s="1" t="str">
        <f>_xlfn.IFNA(VLOOKUP(B172,'CO Trx'!$A$4:$B$37,2,0),"-")</f>
        <v>-</v>
      </c>
      <c r="X172" s="1" t="str">
        <f>_xlfn.IFNA(VLOOKUP(B172,'CO Trx'!$A$49:$B$104,2,0),"-")</f>
        <v>-</v>
      </c>
      <c r="Y172" s="20" t="s">
        <v>6889</v>
      </c>
      <c r="AA172" t="s">
        <v>7989</v>
      </c>
      <c r="AB172" t="s">
        <v>8041</v>
      </c>
    </row>
    <row r="173" spans="1:28" x14ac:dyDescent="0.2">
      <c r="A173" s="1" t="s">
        <v>638</v>
      </c>
      <c r="B173" s="1" t="s">
        <v>639</v>
      </c>
      <c r="C173" s="1" t="s">
        <v>6</v>
      </c>
      <c r="D173" s="1" t="s">
        <v>640</v>
      </c>
      <c r="E173" s="1" t="s">
        <v>7476</v>
      </c>
      <c r="F173" s="1" t="s">
        <v>473</v>
      </c>
      <c r="G173" s="1" t="s">
        <v>473</v>
      </c>
      <c r="H173" s="1" t="s">
        <v>473</v>
      </c>
      <c r="I173" s="1" t="s">
        <v>473</v>
      </c>
      <c r="J173" s="1" t="s">
        <v>473</v>
      </c>
      <c r="K173" s="1" t="s">
        <v>473</v>
      </c>
      <c r="L173" s="1" t="s">
        <v>6974</v>
      </c>
      <c r="M173" s="1" t="s">
        <v>473</v>
      </c>
      <c r="N173" s="1" t="s">
        <v>7477</v>
      </c>
      <c r="O173" s="1" t="s">
        <v>7478</v>
      </c>
      <c r="P173" s="1" t="s">
        <v>8189</v>
      </c>
      <c r="Q173" s="28"/>
      <c r="R173" s="1"/>
      <c r="S173" s="1"/>
      <c r="T173" s="10">
        <f>_xlfn.IFNA(VLOOKUP(B173,Sheet2!$A$2:$M$58,4,0),"-")</f>
        <v>45029</v>
      </c>
      <c r="U173" s="10" t="str">
        <f>_xlfn.IFNA(VLOOKUP(B173,'TV Trx'!$B$4:$C$57,2,0),"-")</f>
        <v>-</v>
      </c>
      <c r="V173" s="10">
        <f t="shared" si="3"/>
        <v>45029</v>
      </c>
      <c r="W173" s="1">
        <f>_xlfn.IFNA(VLOOKUP(B173,'CO Trx'!$A$4:$B$37,2,0),"-")</f>
        <v>4</v>
      </c>
      <c r="X173" s="1">
        <f>_xlfn.IFNA(VLOOKUP(B173,'CO Trx'!$A$49:$B$104,2,0),"-")</f>
        <v>46</v>
      </c>
      <c r="Y173" s="20" t="s">
        <v>6889</v>
      </c>
      <c r="AA173" t="s">
        <v>8104</v>
      </c>
      <c r="AB173" t="s">
        <v>8058</v>
      </c>
    </row>
    <row r="174" spans="1:28" x14ac:dyDescent="0.2">
      <c r="A174" s="1" t="s">
        <v>807</v>
      </c>
      <c r="B174" s="1" t="s">
        <v>808</v>
      </c>
      <c r="C174" s="1" t="s">
        <v>6</v>
      </c>
      <c r="D174" s="1" t="s">
        <v>809</v>
      </c>
      <c r="E174" s="1" t="s">
        <v>7479</v>
      </c>
      <c r="F174" s="1" t="s">
        <v>473</v>
      </c>
      <c r="G174" s="1" t="s">
        <v>473</v>
      </c>
      <c r="H174" s="1" t="s">
        <v>473</v>
      </c>
      <c r="I174" s="1" t="s">
        <v>473</v>
      </c>
      <c r="J174" s="1" t="s">
        <v>473</v>
      </c>
      <c r="K174" s="1" t="s">
        <v>473</v>
      </c>
      <c r="L174" s="1" t="s">
        <v>7480</v>
      </c>
      <c r="M174" s="1" t="s">
        <v>473</v>
      </c>
      <c r="N174" s="1" t="s">
        <v>7481</v>
      </c>
      <c r="O174" s="1" t="s">
        <v>7482</v>
      </c>
      <c r="P174" s="1">
        <v>0</v>
      </c>
      <c r="Q174" s="28">
        <v>0</v>
      </c>
      <c r="R174" s="1">
        <v>0</v>
      </c>
      <c r="S174" s="1"/>
      <c r="T174" s="10" t="str">
        <f>_xlfn.IFNA(VLOOKUP(B174,Sheet2!$A$2:$M$58,4,0),"-")</f>
        <v>-</v>
      </c>
      <c r="U174" s="10" t="str">
        <f>_xlfn.IFNA(VLOOKUP(B174,'TV Trx'!$B$4:$C$57,2,0),"-")</f>
        <v>-</v>
      </c>
      <c r="V174" s="10" t="str">
        <f t="shared" si="3"/>
        <v>-</v>
      </c>
      <c r="W174" s="1" t="str">
        <f>_xlfn.IFNA(VLOOKUP(B174,'CO Trx'!$A$4:$B$37,2,0),"-")</f>
        <v>-</v>
      </c>
      <c r="X174" s="1" t="str">
        <f>_xlfn.IFNA(VLOOKUP(B174,'CO Trx'!$A$49:$B$104,2,0),"-")</f>
        <v>-</v>
      </c>
      <c r="Y174" s="21" t="s">
        <v>6890</v>
      </c>
    </row>
    <row r="175" spans="1:28" x14ac:dyDescent="0.2">
      <c r="A175" s="1" t="s">
        <v>213</v>
      </c>
      <c r="B175" s="1" t="s">
        <v>214</v>
      </c>
      <c r="C175" s="1" t="s">
        <v>13</v>
      </c>
      <c r="D175" s="1" t="s">
        <v>215</v>
      </c>
      <c r="E175" s="1" t="s">
        <v>7483</v>
      </c>
      <c r="F175" s="1" t="s">
        <v>473</v>
      </c>
      <c r="G175" s="1" t="s">
        <v>473</v>
      </c>
      <c r="H175" s="1" t="s">
        <v>473</v>
      </c>
      <c r="I175" s="1" t="s">
        <v>473</v>
      </c>
      <c r="J175" s="1" t="s">
        <v>473</v>
      </c>
      <c r="K175" s="1" t="s">
        <v>473</v>
      </c>
      <c r="L175" s="1" t="s">
        <v>7405</v>
      </c>
      <c r="M175" s="1" t="s">
        <v>473</v>
      </c>
      <c r="N175" s="1" t="s">
        <v>7484</v>
      </c>
      <c r="O175" s="1" t="s">
        <v>7485</v>
      </c>
      <c r="P175" s="1" t="s">
        <v>8190</v>
      </c>
      <c r="Q175" s="28"/>
      <c r="R175" s="1" t="s">
        <v>8289</v>
      </c>
      <c r="S175" s="1"/>
      <c r="T175" s="10" t="str">
        <f>_xlfn.IFNA(VLOOKUP(B175,Sheet2!$A$2:$M$58,4,0),"-")</f>
        <v>-</v>
      </c>
      <c r="U175" s="10">
        <f>_xlfn.IFNA(VLOOKUP(B175,'TV Trx'!$B$4:$C$57,2,0),"-")</f>
        <v>45056</v>
      </c>
      <c r="V175" s="10">
        <f t="shared" si="3"/>
        <v>45056</v>
      </c>
      <c r="W175" s="1" t="str">
        <f>_xlfn.IFNA(VLOOKUP(B175,'CO Trx'!$A$4:$B$37,2,0),"-")</f>
        <v>-</v>
      </c>
      <c r="X175" s="1" t="str">
        <f>_xlfn.IFNA(VLOOKUP(B175,'CO Trx'!$A$49:$B$104,2,0),"-")</f>
        <v>-</v>
      </c>
      <c r="Y175" s="20" t="s">
        <v>6889</v>
      </c>
      <c r="AA175" t="s">
        <v>7990</v>
      </c>
      <c r="AB175" t="s">
        <v>8042</v>
      </c>
    </row>
    <row r="176" spans="1:28" x14ac:dyDescent="0.2">
      <c r="A176" s="1" t="s">
        <v>468</v>
      </c>
      <c r="B176" s="1" t="s">
        <v>469</v>
      </c>
      <c r="C176" s="1" t="s">
        <v>13</v>
      </c>
      <c r="D176" s="1" t="s">
        <v>470</v>
      </c>
      <c r="E176" s="1" t="s">
        <v>7486</v>
      </c>
      <c r="F176" s="1" t="s">
        <v>473</v>
      </c>
      <c r="G176" s="1" t="s">
        <v>473</v>
      </c>
      <c r="H176" s="1" t="s">
        <v>473</v>
      </c>
      <c r="I176" s="1" t="s">
        <v>473</v>
      </c>
      <c r="J176" s="1" t="s">
        <v>473</v>
      </c>
      <c r="K176" s="1" t="s">
        <v>473</v>
      </c>
      <c r="L176" s="1" t="s">
        <v>6974</v>
      </c>
      <c r="M176" s="1" t="s">
        <v>473</v>
      </c>
      <c r="N176" s="1" t="s">
        <v>7487</v>
      </c>
      <c r="O176" s="1" t="s">
        <v>7488</v>
      </c>
      <c r="P176" s="1" t="s">
        <v>8191</v>
      </c>
      <c r="Q176" s="28"/>
      <c r="R176" s="1" t="s">
        <v>8290</v>
      </c>
      <c r="S176" s="1"/>
      <c r="T176" s="10" t="str">
        <f>_xlfn.IFNA(VLOOKUP(B176,Sheet2!$A$2:$M$58,4,0),"-")</f>
        <v>-</v>
      </c>
      <c r="U176" s="10">
        <f>_xlfn.IFNA(VLOOKUP(B176,'TV Trx'!$B$4:$C$57,2,0),"-")</f>
        <v>45065</v>
      </c>
      <c r="V176" s="10">
        <f t="shared" si="3"/>
        <v>45065</v>
      </c>
      <c r="W176" s="1" t="str">
        <f>_xlfn.IFNA(VLOOKUP(B176,'CO Trx'!$A$4:$B$37,2,0),"-")</f>
        <v>-</v>
      </c>
      <c r="X176" s="1" t="str">
        <f>_xlfn.IFNA(VLOOKUP(B176,'CO Trx'!$A$49:$B$104,2,0),"-")</f>
        <v>-</v>
      </c>
      <c r="Y176" s="20" t="s">
        <v>6889</v>
      </c>
      <c r="AA176" t="s">
        <v>7991</v>
      </c>
      <c r="AB176" t="s">
        <v>8043</v>
      </c>
    </row>
    <row r="177" spans="1:28" x14ac:dyDescent="0.2">
      <c r="A177" s="1" t="s">
        <v>432</v>
      </c>
      <c r="B177" s="1" t="s">
        <v>433</v>
      </c>
      <c r="C177" s="1" t="s">
        <v>13</v>
      </c>
      <c r="D177" s="1" t="s">
        <v>434</v>
      </c>
      <c r="E177" s="1" t="s">
        <v>473</v>
      </c>
      <c r="F177" s="1" t="s">
        <v>473</v>
      </c>
      <c r="G177" s="1" t="s">
        <v>473</v>
      </c>
      <c r="H177" s="1" t="s">
        <v>473</v>
      </c>
      <c r="I177" s="1" t="s">
        <v>473</v>
      </c>
      <c r="J177" s="1" t="s">
        <v>473</v>
      </c>
      <c r="K177" s="1" t="s">
        <v>473</v>
      </c>
      <c r="L177" s="1" t="s">
        <v>473</v>
      </c>
      <c r="M177" s="1" t="s">
        <v>473</v>
      </c>
      <c r="N177" s="1" t="s">
        <v>7489</v>
      </c>
      <c r="O177" s="1" t="s">
        <v>7490</v>
      </c>
      <c r="P177" s="1">
        <v>0</v>
      </c>
      <c r="Q177" s="28">
        <v>0</v>
      </c>
      <c r="R177" s="1">
        <v>0</v>
      </c>
      <c r="S177" s="1"/>
      <c r="T177" s="10" t="str">
        <f>_xlfn.IFNA(VLOOKUP(B177,Sheet2!$A$2:$M$58,4,0),"-")</f>
        <v>-</v>
      </c>
      <c r="U177" s="10" t="str">
        <f>_xlfn.IFNA(VLOOKUP(B177,'TV Trx'!$B$4:$C$57,2,0),"-")</f>
        <v>-</v>
      </c>
      <c r="V177" s="10" t="str">
        <f t="shared" si="3"/>
        <v>-</v>
      </c>
      <c r="W177" s="1" t="str">
        <f>_xlfn.IFNA(VLOOKUP(B177,'CO Trx'!$A$4:$B$37,2,0),"-")</f>
        <v>-</v>
      </c>
      <c r="X177" s="1" t="str">
        <f>_xlfn.IFNA(VLOOKUP(B177,'CO Trx'!$A$49:$B$104,2,0),"-")</f>
        <v>-</v>
      </c>
      <c r="Y177" s="21" t="s">
        <v>6890</v>
      </c>
    </row>
    <row r="178" spans="1:28" x14ac:dyDescent="0.2">
      <c r="A178" s="1" t="s">
        <v>314</v>
      </c>
      <c r="B178" s="1" t="s">
        <v>315</v>
      </c>
      <c r="C178" s="1" t="s">
        <v>13</v>
      </c>
      <c r="D178" s="1" t="s">
        <v>316</v>
      </c>
      <c r="E178" s="1" t="s">
        <v>473</v>
      </c>
      <c r="F178" s="1" t="s">
        <v>473</v>
      </c>
      <c r="G178" s="1" t="s">
        <v>473</v>
      </c>
      <c r="H178" s="1" t="s">
        <v>473</v>
      </c>
      <c r="I178" s="1" t="s">
        <v>473</v>
      </c>
      <c r="J178" s="1" t="s">
        <v>473</v>
      </c>
      <c r="K178" s="1" t="s">
        <v>473</v>
      </c>
      <c r="L178" s="1" t="s">
        <v>473</v>
      </c>
      <c r="M178" s="1" t="s">
        <v>473</v>
      </c>
      <c r="N178" s="1" t="s">
        <v>7491</v>
      </c>
      <c r="O178" s="1" t="s">
        <v>7492</v>
      </c>
      <c r="P178" s="1">
        <v>0</v>
      </c>
      <c r="Q178" s="28">
        <v>0</v>
      </c>
      <c r="R178" s="1">
        <v>0</v>
      </c>
      <c r="S178" s="1"/>
      <c r="T178" s="10" t="str">
        <f>_xlfn.IFNA(VLOOKUP(B178,Sheet2!$A$2:$M$58,4,0),"-")</f>
        <v>-</v>
      </c>
      <c r="U178" s="10" t="str">
        <f>_xlfn.IFNA(VLOOKUP(B178,'TV Trx'!$B$4:$C$57,2,0),"-")</f>
        <v>-</v>
      </c>
      <c r="V178" s="10" t="str">
        <f t="shared" si="3"/>
        <v>-</v>
      </c>
      <c r="W178" s="1" t="str">
        <f>_xlfn.IFNA(VLOOKUP(B178,'CO Trx'!$A$4:$B$37,2,0),"-")</f>
        <v>-</v>
      </c>
      <c r="X178" s="1" t="str">
        <f>_xlfn.IFNA(VLOOKUP(B178,'CO Trx'!$A$49:$B$104,2,0),"-")</f>
        <v>-</v>
      </c>
      <c r="Y178" s="21" t="s">
        <v>6890</v>
      </c>
    </row>
    <row r="179" spans="1:28" x14ac:dyDescent="0.2">
      <c r="A179" s="1" t="s">
        <v>168</v>
      </c>
      <c r="B179" s="1" t="s">
        <v>169</v>
      </c>
      <c r="C179" s="1" t="s">
        <v>23</v>
      </c>
      <c r="D179" s="1" t="s">
        <v>170</v>
      </c>
      <c r="E179" s="1" t="s">
        <v>7493</v>
      </c>
      <c r="F179" s="1" t="s">
        <v>473</v>
      </c>
      <c r="G179" s="1" t="s">
        <v>473</v>
      </c>
      <c r="H179" s="1" t="s">
        <v>473</v>
      </c>
      <c r="I179" s="1" t="s">
        <v>473</v>
      </c>
      <c r="J179" s="1" t="s">
        <v>473</v>
      </c>
      <c r="K179" s="1" t="s">
        <v>473</v>
      </c>
      <c r="L179" s="1" t="s">
        <v>7494</v>
      </c>
      <c r="M179" s="1" t="s">
        <v>473</v>
      </c>
      <c r="N179" s="1" t="s">
        <v>7495</v>
      </c>
      <c r="O179" s="1" t="s">
        <v>7496</v>
      </c>
      <c r="P179" s="1">
        <v>0</v>
      </c>
      <c r="Q179" s="28">
        <v>0</v>
      </c>
      <c r="R179" s="1">
        <v>0</v>
      </c>
      <c r="S179" s="1"/>
      <c r="T179" s="10" t="str">
        <f>_xlfn.IFNA(VLOOKUP(B179,Sheet2!$A$2:$M$58,4,0),"-")</f>
        <v>-</v>
      </c>
      <c r="U179" s="10" t="str">
        <f>_xlfn.IFNA(VLOOKUP(B179,'TV Trx'!$B$4:$C$57,2,0),"-")</f>
        <v>-</v>
      </c>
      <c r="V179" s="10" t="str">
        <f t="shared" si="3"/>
        <v>-</v>
      </c>
      <c r="W179" s="1" t="str">
        <f>_xlfn.IFNA(VLOOKUP(B179,'CO Trx'!$A$4:$B$37,2,0),"-")</f>
        <v>-</v>
      </c>
      <c r="X179" s="1" t="str">
        <f>_xlfn.IFNA(VLOOKUP(B179,'CO Trx'!$A$49:$B$104,2,0),"-")</f>
        <v>-</v>
      </c>
      <c r="Y179" s="21" t="s">
        <v>6890</v>
      </c>
    </row>
    <row r="180" spans="1:28" x14ac:dyDescent="0.2">
      <c r="A180" s="1" t="s">
        <v>602</v>
      </c>
      <c r="B180" s="1" t="s">
        <v>603</v>
      </c>
      <c r="C180" s="1" t="s">
        <v>6</v>
      </c>
      <c r="D180" s="1" t="s">
        <v>604</v>
      </c>
      <c r="E180" s="1" t="s">
        <v>7497</v>
      </c>
      <c r="F180" s="1" t="s">
        <v>473</v>
      </c>
      <c r="G180" s="1" t="s">
        <v>473</v>
      </c>
      <c r="H180" s="1" t="s">
        <v>473</v>
      </c>
      <c r="I180" s="1" t="s">
        <v>473</v>
      </c>
      <c r="J180" s="1" t="s">
        <v>473</v>
      </c>
      <c r="K180" s="1" t="s">
        <v>473</v>
      </c>
      <c r="L180" s="1" t="s">
        <v>7498</v>
      </c>
      <c r="M180" s="1" t="s">
        <v>473</v>
      </c>
      <c r="N180" s="1" t="s">
        <v>7499</v>
      </c>
      <c r="O180" s="1" t="s">
        <v>7500</v>
      </c>
      <c r="P180" s="1">
        <v>0</v>
      </c>
      <c r="Q180" s="28">
        <v>0</v>
      </c>
      <c r="R180" s="1">
        <v>0</v>
      </c>
      <c r="S180" s="1"/>
      <c r="T180" s="10" t="str">
        <f>_xlfn.IFNA(VLOOKUP(B180,Sheet2!$A$2:$M$58,4,0),"-")</f>
        <v>-</v>
      </c>
      <c r="U180" s="10" t="str">
        <f>_xlfn.IFNA(VLOOKUP(B180,'TV Trx'!$B$4:$C$57,2,0),"-")</f>
        <v>-</v>
      </c>
      <c r="V180" s="10" t="str">
        <f t="shared" si="3"/>
        <v>-</v>
      </c>
      <c r="W180" s="1" t="str">
        <f>_xlfn.IFNA(VLOOKUP(B180,'CO Trx'!$A$4:$B$37,2,0),"-")</f>
        <v>-</v>
      </c>
      <c r="X180" s="1" t="str">
        <f>_xlfn.IFNA(VLOOKUP(B180,'CO Trx'!$A$49:$B$104,2,0),"-")</f>
        <v>-</v>
      </c>
      <c r="Y180" s="21" t="s">
        <v>6890</v>
      </c>
    </row>
    <row r="181" spans="1:28" x14ac:dyDescent="0.2">
      <c r="A181" s="1" t="s">
        <v>270</v>
      </c>
      <c r="B181" s="1" t="s">
        <v>271</v>
      </c>
      <c r="C181" s="1" t="s">
        <v>6</v>
      </c>
      <c r="D181" s="1" t="s">
        <v>272</v>
      </c>
      <c r="E181" s="1" t="s">
        <v>7501</v>
      </c>
      <c r="F181" s="1" t="s">
        <v>473</v>
      </c>
      <c r="G181" s="1" t="s">
        <v>473</v>
      </c>
      <c r="H181" s="1" t="s">
        <v>473</v>
      </c>
      <c r="I181" s="1" t="s">
        <v>473</v>
      </c>
      <c r="J181" s="1" t="s">
        <v>473</v>
      </c>
      <c r="K181" s="1" t="s">
        <v>473</v>
      </c>
      <c r="L181" s="1" t="s">
        <v>6974</v>
      </c>
      <c r="M181" s="1" t="s">
        <v>473</v>
      </c>
      <c r="N181" s="1" t="s">
        <v>7502</v>
      </c>
      <c r="O181" s="1" t="s">
        <v>7503</v>
      </c>
      <c r="P181" s="1" t="s">
        <v>8192</v>
      </c>
      <c r="Q181" s="28"/>
      <c r="R181" s="1"/>
      <c r="S181" s="1"/>
      <c r="T181" s="10">
        <f>_xlfn.IFNA(VLOOKUP(B181,Sheet2!$A$2:$M$58,4,0),"-")</f>
        <v>45075</v>
      </c>
      <c r="U181" s="10" t="str">
        <f>_xlfn.IFNA(VLOOKUP(B181,'TV Trx'!$B$4:$C$57,2,0),"-")</f>
        <v>-</v>
      </c>
      <c r="V181" s="10">
        <f t="shared" si="3"/>
        <v>45075</v>
      </c>
      <c r="W181" s="1" t="str">
        <f>_xlfn.IFNA(VLOOKUP(B181,'CO Trx'!$A$4:$B$37,2,0),"-")</f>
        <v>-</v>
      </c>
      <c r="X181" s="1">
        <f>_xlfn.IFNA(VLOOKUP(B181,'CO Trx'!$A$49:$B$104,2,0),"-")</f>
        <v>1</v>
      </c>
      <c r="Y181" s="20" t="s">
        <v>6889</v>
      </c>
      <c r="AA181" t="s">
        <v>8105</v>
      </c>
      <c r="AB181" t="s">
        <v>8069</v>
      </c>
    </row>
    <row r="182" spans="1:28" x14ac:dyDescent="0.2">
      <c r="A182" s="1" t="s">
        <v>614</v>
      </c>
      <c r="B182" s="1" t="s">
        <v>615</v>
      </c>
      <c r="C182" s="1" t="s">
        <v>6</v>
      </c>
      <c r="D182" s="1" t="s">
        <v>616</v>
      </c>
      <c r="E182" s="1" t="s">
        <v>7504</v>
      </c>
      <c r="F182" s="1" t="s">
        <v>473</v>
      </c>
      <c r="G182" s="1" t="s">
        <v>473</v>
      </c>
      <c r="H182" s="1" t="s">
        <v>473</v>
      </c>
      <c r="I182" s="1" t="s">
        <v>473</v>
      </c>
      <c r="J182" s="1" t="s">
        <v>473</v>
      </c>
      <c r="K182" s="1" t="s">
        <v>473</v>
      </c>
      <c r="L182" s="1" t="s">
        <v>7505</v>
      </c>
      <c r="M182" s="1" t="s">
        <v>473</v>
      </c>
      <c r="N182" s="1" t="s">
        <v>7506</v>
      </c>
      <c r="O182" s="1" t="s">
        <v>7507</v>
      </c>
      <c r="P182" s="1">
        <v>0</v>
      </c>
      <c r="Q182" s="28">
        <v>0</v>
      </c>
      <c r="R182" s="1">
        <v>0</v>
      </c>
      <c r="S182" s="1"/>
      <c r="T182" s="10" t="str">
        <f>_xlfn.IFNA(VLOOKUP(B182,Sheet2!$A$2:$M$58,4,0),"-")</f>
        <v>-</v>
      </c>
      <c r="U182" s="10" t="str">
        <f>_xlfn.IFNA(VLOOKUP(B182,'TV Trx'!$B$4:$C$57,2,0),"-")</f>
        <v>-</v>
      </c>
      <c r="V182" s="10" t="str">
        <f t="shared" si="3"/>
        <v>-</v>
      </c>
      <c r="W182" s="1" t="str">
        <f>_xlfn.IFNA(VLOOKUP(B182,'CO Trx'!$A$4:$B$37,2,0),"-")</f>
        <v>-</v>
      </c>
      <c r="X182" s="1" t="str">
        <f>_xlfn.IFNA(VLOOKUP(B182,'CO Trx'!$A$49:$B$104,2,0),"-")</f>
        <v>-</v>
      </c>
      <c r="Y182" s="21" t="s">
        <v>6890</v>
      </c>
    </row>
    <row r="183" spans="1:28" x14ac:dyDescent="0.2">
      <c r="A183" s="1" t="s">
        <v>384</v>
      </c>
      <c r="B183" s="1" t="s">
        <v>385</v>
      </c>
      <c r="C183" s="1" t="s">
        <v>6</v>
      </c>
      <c r="D183" s="1" t="s">
        <v>386</v>
      </c>
      <c r="E183" s="1" t="s">
        <v>7508</v>
      </c>
      <c r="F183" s="1" t="s">
        <v>473</v>
      </c>
      <c r="G183" s="1" t="s">
        <v>473</v>
      </c>
      <c r="H183" s="1" t="s">
        <v>473</v>
      </c>
      <c r="I183" s="1" t="s">
        <v>473</v>
      </c>
      <c r="J183" s="1" t="s">
        <v>473</v>
      </c>
      <c r="K183" s="1" t="s">
        <v>473</v>
      </c>
      <c r="L183" s="1" t="s">
        <v>7509</v>
      </c>
      <c r="M183" s="1" t="s">
        <v>473</v>
      </c>
      <c r="N183" s="1" t="s">
        <v>7510</v>
      </c>
      <c r="O183" s="1" t="s">
        <v>7511</v>
      </c>
      <c r="P183" s="1">
        <v>0</v>
      </c>
      <c r="Q183" s="28">
        <v>0</v>
      </c>
      <c r="R183" s="1">
        <v>0</v>
      </c>
      <c r="S183" s="1"/>
      <c r="T183" s="10" t="str">
        <f>_xlfn.IFNA(VLOOKUP(B183,Sheet2!$A$2:$M$58,4,0),"-")</f>
        <v>-</v>
      </c>
      <c r="U183" s="10" t="str">
        <f>_xlfn.IFNA(VLOOKUP(B183,'TV Trx'!$B$4:$C$57,2,0),"-")</f>
        <v>-</v>
      </c>
      <c r="V183" s="10" t="str">
        <f t="shared" si="3"/>
        <v>-</v>
      </c>
      <c r="W183" s="1" t="str">
        <f>_xlfn.IFNA(VLOOKUP(B183,'CO Trx'!$A$4:$B$37,2,0),"-")</f>
        <v>-</v>
      </c>
      <c r="X183" s="1" t="str">
        <f>_xlfn.IFNA(VLOOKUP(B183,'CO Trx'!$A$49:$B$104,2,0),"-")</f>
        <v>-</v>
      </c>
      <c r="Y183" s="21" t="s">
        <v>6890</v>
      </c>
    </row>
    <row r="184" spans="1:28" x14ac:dyDescent="0.2">
      <c r="A184" s="1" t="s">
        <v>73</v>
      </c>
      <c r="B184" s="1" t="s">
        <v>74</v>
      </c>
      <c r="C184" s="1" t="s">
        <v>13</v>
      </c>
      <c r="D184" s="1" t="s">
        <v>75</v>
      </c>
      <c r="E184" s="1" t="s">
        <v>7512</v>
      </c>
      <c r="F184" s="1" t="s">
        <v>473</v>
      </c>
      <c r="G184" s="1" t="s">
        <v>473</v>
      </c>
      <c r="H184" s="1" t="s">
        <v>473</v>
      </c>
      <c r="I184" s="1" t="s">
        <v>473</v>
      </c>
      <c r="J184" s="1" t="s">
        <v>473</v>
      </c>
      <c r="K184" s="1" t="s">
        <v>473</v>
      </c>
      <c r="L184" s="1" t="s">
        <v>6974</v>
      </c>
      <c r="M184" s="1" t="s">
        <v>473</v>
      </c>
      <c r="N184" s="1" t="s">
        <v>7513</v>
      </c>
      <c r="O184" s="1" t="s">
        <v>7514</v>
      </c>
      <c r="P184" s="1" t="s">
        <v>8193</v>
      </c>
      <c r="Q184" s="28"/>
      <c r="R184" s="1" t="s">
        <v>8291</v>
      </c>
      <c r="S184" s="1"/>
      <c r="T184" s="10" t="str">
        <f>_xlfn.IFNA(VLOOKUP(B184,Sheet2!$A$2:$M$58,4,0),"-")</f>
        <v>-</v>
      </c>
      <c r="U184" s="10">
        <f>_xlfn.IFNA(VLOOKUP(B184,'TV Trx'!$B$4:$C$57,2,0),"-")</f>
        <v>44973</v>
      </c>
      <c r="V184" s="10">
        <f t="shared" si="3"/>
        <v>44973</v>
      </c>
      <c r="W184" s="1" t="str">
        <f>_xlfn.IFNA(VLOOKUP(B184,'CO Trx'!$A$4:$B$37,2,0),"-")</f>
        <v>-</v>
      </c>
      <c r="X184" s="1" t="str">
        <f>_xlfn.IFNA(VLOOKUP(B184,'CO Trx'!$A$49:$B$104,2,0),"-")</f>
        <v>-</v>
      </c>
      <c r="Y184" s="22" t="s">
        <v>6891</v>
      </c>
      <c r="AA184" t="s">
        <v>7992</v>
      </c>
      <c r="AB184" t="s">
        <v>8044</v>
      </c>
    </row>
    <row r="185" spans="1:28" x14ac:dyDescent="0.2">
      <c r="A185" s="1" t="s">
        <v>18</v>
      </c>
      <c r="B185" s="1" t="s">
        <v>19</v>
      </c>
      <c r="C185" s="1" t="s">
        <v>13</v>
      </c>
      <c r="D185" s="1" t="s">
        <v>20</v>
      </c>
      <c r="E185" s="1" t="s">
        <v>7515</v>
      </c>
      <c r="F185" s="1" t="s">
        <v>473</v>
      </c>
      <c r="G185" s="1" t="s">
        <v>473</v>
      </c>
      <c r="H185" s="1" t="s">
        <v>473</v>
      </c>
      <c r="I185" s="1" t="s">
        <v>473</v>
      </c>
      <c r="J185" s="1" t="s">
        <v>473</v>
      </c>
      <c r="K185" s="1" t="s">
        <v>473</v>
      </c>
      <c r="L185" s="1" t="s">
        <v>6974</v>
      </c>
      <c r="M185" s="1" t="s">
        <v>473</v>
      </c>
      <c r="N185" s="1" t="s">
        <v>7516</v>
      </c>
      <c r="O185" s="1" t="s">
        <v>7517</v>
      </c>
      <c r="P185" s="1" t="s">
        <v>8194</v>
      </c>
      <c r="Q185" s="28">
        <v>1200011994584</v>
      </c>
      <c r="R185" s="1" t="s">
        <v>8254</v>
      </c>
      <c r="S185" s="1"/>
      <c r="T185" s="10" t="str">
        <f>_xlfn.IFNA(VLOOKUP(B185,Sheet2!$A$2:$M$58,4,0),"-")</f>
        <v>-</v>
      </c>
      <c r="U185" s="10" t="str">
        <f>_xlfn.IFNA(VLOOKUP(B185,'TV Trx'!$B$4:$C$57,2,0),"-")</f>
        <v>-</v>
      </c>
      <c r="V185" s="10" t="str">
        <f t="shared" si="3"/>
        <v>-</v>
      </c>
      <c r="W185" s="1" t="str">
        <f>_xlfn.IFNA(VLOOKUP(B185,'CO Trx'!$A$4:$B$37,2,0),"-")</f>
        <v>-</v>
      </c>
      <c r="X185" s="1" t="str">
        <f>_xlfn.IFNA(VLOOKUP(B185,'CO Trx'!$A$49:$B$104,2,0),"-")</f>
        <v>-</v>
      </c>
      <c r="Y185" s="21" t="s">
        <v>6890</v>
      </c>
      <c r="AA185" t="s">
        <v>7993</v>
      </c>
      <c r="AB185" t="s">
        <v>8045</v>
      </c>
    </row>
    <row r="186" spans="1:28" x14ac:dyDescent="0.2">
      <c r="A186" s="1" t="s">
        <v>801</v>
      </c>
      <c r="B186" s="1" t="s">
        <v>802</v>
      </c>
      <c r="C186" s="1" t="s">
        <v>13</v>
      </c>
      <c r="D186" s="1" t="s">
        <v>803</v>
      </c>
      <c r="E186" s="1" t="s">
        <v>7518</v>
      </c>
      <c r="F186" s="1" t="s">
        <v>473</v>
      </c>
      <c r="G186" s="1" t="s">
        <v>473</v>
      </c>
      <c r="H186" s="1" t="s">
        <v>473</v>
      </c>
      <c r="I186" s="1" t="s">
        <v>473</v>
      </c>
      <c r="J186" s="1" t="s">
        <v>473</v>
      </c>
      <c r="K186" s="1" t="s">
        <v>473</v>
      </c>
      <c r="L186" s="1" t="s">
        <v>6974</v>
      </c>
      <c r="M186" s="1" t="s">
        <v>473</v>
      </c>
      <c r="N186" s="1" t="s">
        <v>7519</v>
      </c>
      <c r="O186" s="1" t="s">
        <v>7520</v>
      </c>
      <c r="P186" s="1" t="s">
        <v>8195</v>
      </c>
      <c r="Q186" s="28"/>
      <c r="R186" s="1" t="s">
        <v>8292</v>
      </c>
      <c r="S186" s="1"/>
      <c r="T186" s="10" t="str">
        <f>_xlfn.IFNA(VLOOKUP(B186,Sheet2!$A$2:$M$58,4,0),"-")</f>
        <v>-</v>
      </c>
      <c r="U186" s="10">
        <f>_xlfn.IFNA(VLOOKUP(B186,'TV Trx'!$B$4:$C$57,2,0),"-")</f>
        <v>45084</v>
      </c>
      <c r="V186" s="10">
        <f t="shared" si="3"/>
        <v>45084</v>
      </c>
      <c r="W186" s="1" t="str">
        <f>_xlfn.IFNA(VLOOKUP(B186,'CO Trx'!$A$4:$B$37,2,0),"-")</f>
        <v>-</v>
      </c>
      <c r="X186" s="1" t="str">
        <f>_xlfn.IFNA(VLOOKUP(B186,'CO Trx'!$A$49:$B$104,2,0),"-")</f>
        <v>-</v>
      </c>
      <c r="Y186" s="20" t="s">
        <v>6889</v>
      </c>
      <c r="AA186" t="s">
        <v>7994</v>
      </c>
      <c r="AB186" t="s">
        <v>8046</v>
      </c>
    </row>
    <row r="187" spans="1:28" x14ac:dyDescent="0.2">
      <c r="A187" s="1" t="s">
        <v>201</v>
      </c>
      <c r="B187" s="1" t="s">
        <v>202</v>
      </c>
      <c r="C187" s="1" t="s">
        <v>13</v>
      </c>
      <c r="D187" s="1" t="s">
        <v>203</v>
      </c>
      <c r="E187" s="1" t="s">
        <v>473</v>
      </c>
      <c r="F187" s="1" t="s">
        <v>473</v>
      </c>
      <c r="G187" s="1" t="s">
        <v>473</v>
      </c>
      <c r="H187" s="1" t="s">
        <v>473</v>
      </c>
      <c r="I187" s="1" t="s">
        <v>473</v>
      </c>
      <c r="J187" s="1" t="s">
        <v>473</v>
      </c>
      <c r="K187" s="1" t="s">
        <v>473</v>
      </c>
      <c r="L187" s="1" t="s">
        <v>473</v>
      </c>
      <c r="M187" s="1" t="s">
        <v>473</v>
      </c>
      <c r="N187" s="1" t="s">
        <v>7521</v>
      </c>
      <c r="O187" s="1" t="s">
        <v>7522</v>
      </c>
      <c r="P187" s="1">
        <v>0</v>
      </c>
      <c r="Q187" s="28">
        <v>0</v>
      </c>
      <c r="R187" s="1">
        <v>0</v>
      </c>
      <c r="S187" s="1"/>
      <c r="T187" s="10" t="str">
        <f>_xlfn.IFNA(VLOOKUP(B187,Sheet2!$A$2:$M$58,4,0),"-")</f>
        <v>-</v>
      </c>
      <c r="U187" s="10" t="str">
        <f>_xlfn.IFNA(VLOOKUP(B187,'TV Trx'!$B$4:$C$57,2,0),"-")</f>
        <v>-</v>
      </c>
      <c r="V187" s="10" t="str">
        <f t="shared" si="3"/>
        <v>-</v>
      </c>
      <c r="W187" s="1" t="str">
        <f>_xlfn.IFNA(VLOOKUP(B187,'CO Trx'!$A$4:$B$37,2,0),"-")</f>
        <v>-</v>
      </c>
      <c r="X187" s="1" t="str">
        <f>_xlfn.IFNA(VLOOKUP(B187,'CO Trx'!$A$49:$B$104,2,0),"-")</f>
        <v>-</v>
      </c>
      <c r="Y187" s="21" t="s">
        <v>6890</v>
      </c>
    </row>
    <row r="188" spans="1:28" x14ac:dyDescent="0.2">
      <c r="A188" s="1" t="s">
        <v>34</v>
      </c>
      <c r="B188" s="1" t="s">
        <v>35</v>
      </c>
      <c r="C188" s="1" t="s">
        <v>6</v>
      </c>
      <c r="D188" s="1" t="s">
        <v>36</v>
      </c>
      <c r="E188" s="1" t="s">
        <v>7523</v>
      </c>
      <c r="F188" s="1" t="s">
        <v>473</v>
      </c>
      <c r="G188" s="1" t="s">
        <v>473</v>
      </c>
      <c r="H188" s="1" t="s">
        <v>473</v>
      </c>
      <c r="I188" s="1" t="s">
        <v>473</v>
      </c>
      <c r="J188" s="1" t="s">
        <v>473</v>
      </c>
      <c r="K188" s="1" t="s">
        <v>473</v>
      </c>
      <c r="L188" s="1" t="s">
        <v>6974</v>
      </c>
      <c r="M188" s="1" t="s">
        <v>473</v>
      </c>
      <c r="N188" s="1" t="s">
        <v>7524</v>
      </c>
      <c r="O188" s="1" t="s">
        <v>7525</v>
      </c>
      <c r="P188" s="1" t="s">
        <v>8196</v>
      </c>
      <c r="Q188" s="28"/>
      <c r="R188" s="1"/>
      <c r="S188" s="1"/>
      <c r="T188" s="10">
        <f>_xlfn.IFNA(VLOOKUP(B188,Sheet2!$A$2:$M$58,4,0),"-")</f>
        <v>45059</v>
      </c>
      <c r="U188" s="10" t="str">
        <f>_xlfn.IFNA(VLOOKUP(B188,'TV Trx'!$B$4:$C$57,2,0),"-")</f>
        <v>-</v>
      </c>
      <c r="V188" s="10">
        <f t="shared" si="3"/>
        <v>45059</v>
      </c>
      <c r="W188" s="1">
        <f>_xlfn.IFNA(VLOOKUP(B188,'CO Trx'!$A$4:$B$37,2,0),"-")</f>
        <v>3</v>
      </c>
      <c r="X188" s="1">
        <f>_xlfn.IFNA(VLOOKUP(B188,'CO Trx'!$A$49:$B$104,2,0),"-")</f>
        <v>32</v>
      </c>
      <c r="Y188" s="20" t="s">
        <v>6889</v>
      </c>
      <c r="AA188" t="s">
        <v>8106</v>
      </c>
      <c r="AB188" t="s">
        <v>8060</v>
      </c>
    </row>
    <row r="189" spans="1:28" x14ac:dyDescent="0.2">
      <c r="A189" s="1" t="s">
        <v>82</v>
      </c>
      <c r="B189" s="1" t="s">
        <v>83</v>
      </c>
      <c r="C189" s="1" t="s">
        <v>6</v>
      </c>
      <c r="D189" s="1" t="s">
        <v>84</v>
      </c>
      <c r="E189" s="1" t="s">
        <v>7526</v>
      </c>
      <c r="F189" s="1" t="s">
        <v>473</v>
      </c>
      <c r="G189" s="1" t="s">
        <v>473</v>
      </c>
      <c r="H189" s="1" t="s">
        <v>473</v>
      </c>
      <c r="I189" s="1" t="s">
        <v>473</v>
      </c>
      <c r="J189" s="1" t="s">
        <v>473</v>
      </c>
      <c r="K189" s="1" t="s">
        <v>473</v>
      </c>
      <c r="L189" s="1" t="s">
        <v>6974</v>
      </c>
      <c r="M189" s="1" t="s">
        <v>473</v>
      </c>
      <c r="N189" s="1" t="s">
        <v>7527</v>
      </c>
      <c r="O189" s="1" t="s">
        <v>7528</v>
      </c>
      <c r="P189" s="1" t="s">
        <v>8197</v>
      </c>
      <c r="Q189" s="28"/>
      <c r="R189" s="1"/>
      <c r="S189" s="1"/>
      <c r="T189" s="10">
        <f>_xlfn.IFNA(VLOOKUP(B189,Sheet2!$A$2:$M$58,4,0),"-")</f>
        <v>45084</v>
      </c>
      <c r="U189" s="10" t="str">
        <f>_xlfn.IFNA(VLOOKUP(B189,'TV Trx'!$B$4:$C$57,2,0),"-")</f>
        <v>-</v>
      </c>
      <c r="V189" s="10">
        <f t="shared" si="3"/>
        <v>45084</v>
      </c>
      <c r="W189" s="1" t="str">
        <f>_xlfn.IFNA(VLOOKUP(B189,'CO Trx'!$A$4:$B$37,2,0),"-")</f>
        <v>-</v>
      </c>
      <c r="X189" s="1">
        <f>_xlfn.IFNA(VLOOKUP(B189,'CO Trx'!$A$49:$B$104,2,0),"-")</f>
        <v>102</v>
      </c>
      <c r="Y189" s="20" t="s">
        <v>6889</v>
      </c>
      <c r="AA189" t="s">
        <v>8107</v>
      </c>
      <c r="AB189" t="s">
        <v>8039</v>
      </c>
    </row>
    <row r="190" spans="1:28" x14ac:dyDescent="0.2">
      <c r="A190" s="1" t="s">
        <v>686</v>
      </c>
      <c r="B190" s="1" t="s">
        <v>687</v>
      </c>
      <c r="C190" s="1" t="s">
        <v>6</v>
      </c>
      <c r="D190" s="1" t="s">
        <v>688</v>
      </c>
      <c r="E190" s="1" t="s">
        <v>7529</v>
      </c>
      <c r="F190" s="1" t="s">
        <v>473</v>
      </c>
      <c r="G190" s="1" t="s">
        <v>473</v>
      </c>
      <c r="H190" s="1" t="s">
        <v>473</v>
      </c>
      <c r="I190" s="1" t="s">
        <v>473</v>
      </c>
      <c r="J190" s="1" t="s">
        <v>473</v>
      </c>
      <c r="K190" s="1" t="s">
        <v>473</v>
      </c>
      <c r="L190" s="1" t="s">
        <v>6974</v>
      </c>
      <c r="M190" s="1" t="s">
        <v>473</v>
      </c>
      <c r="N190" s="1" t="s">
        <v>7530</v>
      </c>
      <c r="O190" s="1" t="s">
        <v>7531</v>
      </c>
      <c r="P190" s="1" t="s">
        <v>8198</v>
      </c>
      <c r="Q190" s="28"/>
      <c r="R190" s="1"/>
      <c r="S190" s="1"/>
      <c r="T190" s="10">
        <f>_xlfn.IFNA(VLOOKUP(B190,Sheet2!$A$2:$M$58,4,0),"-")</f>
        <v>45079</v>
      </c>
      <c r="U190" s="10" t="str">
        <f>_xlfn.IFNA(VLOOKUP(B190,'TV Trx'!$B$4:$C$57,2,0),"-")</f>
        <v>-</v>
      </c>
      <c r="V190" s="10">
        <f t="shared" si="3"/>
        <v>45079</v>
      </c>
      <c r="W190" s="1">
        <f>_xlfn.IFNA(VLOOKUP(B190,'CO Trx'!$A$4:$B$37,2,0),"-")</f>
        <v>2</v>
      </c>
      <c r="X190" s="1">
        <f>_xlfn.IFNA(VLOOKUP(B190,'CO Trx'!$A$49:$B$104,2,0),"-")</f>
        <v>11</v>
      </c>
      <c r="Y190" s="20" t="s">
        <v>6889</v>
      </c>
      <c r="AA190" t="s">
        <v>8108</v>
      </c>
    </row>
    <row r="191" spans="1:28" x14ac:dyDescent="0.2">
      <c r="A191" s="1" t="s">
        <v>94</v>
      </c>
      <c r="B191" s="1" t="s">
        <v>95</v>
      </c>
      <c r="C191" s="1" t="s">
        <v>6</v>
      </c>
      <c r="D191" s="1" t="s">
        <v>96</v>
      </c>
      <c r="E191" s="1" t="s">
        <v>7532</v>
      </c>
      <c r="F191" s="1" t="s">
        <v>473</v>
      </c>
      <c r="G191" s="1" t="s">
        <v>473</v>
      </c>
      <c r="H191" s="1" t="s">
        <v>473</v>
      </c>
      <c r="I191" s="1" t="s">
        <v>473</v>
      </c>
      <c r="J191" s="1" t="s">
        <v>473</v>
      </c>
      <c r="K191" s="1" t="s">
        <v>473</v>
      </c>
      <c r="L191" s="1" t="s">
        <v>6974</v>
      </c>
      <c r="M191" s="1" t="s">
        <v>473</v>
      </c>
      <c r="N191" s="1" t="s">
        <v>7533</v>
      </c>
      <c r="O191" s="1" t="s">
        <v>7534</v>
      </c>
      <c r="P191" s="1" t="s">
        <v>8199</v>
      </c>
      <c r="Q191" s="28"/>
      <c r="R191" s="1"/>
      <c r="S191" s="1"/>
      <c r="T191" s="10">
        <f>_xlfn.IFNA(VLOOKUP(B191,Sheet2!$A$2:$M$58,4,0),"-")</f>
        <v>45060</v>
      </c>
      <c r="U191" s="10" t="str">
        <f>_xlfn.IFNA(VLOOKUP(B191,'TV Trx'!$B$4:$C$57,2,0),"-")</f>
        <v>-</v>
      </c>
      <c r="V191" s="10">
        <f t="shared" si="3"/>
        <v>45060</v>
      </c>
      <c r="W191" s="1">
        <f>_xlfn.IFNA(VLOOKUP(B191,'CO Trx'!$A$4:$B$37,2,0),"-")</f>
        <v>6</v>
      </c>
      <c r="X191" s="1">
        <f>_xlfn.IFNA(VLOOKUP(B191,'CO Trx'!$A$49:$B$104,2,0),"-")</f>
        <v>83</v>
      </c>
      <c r="Y191" s="20" t="s">
        <v>6889</v>
      </c>
      <c r="AA191" t="s">
        <v>8109</v>
      </c>
      <c r="AB191" t="s">
        <v>8069</v>
      </c>
    </row>
    <row r="192" spans="1:28" x14ac:dyDescent="0.2">
      <c r="A192" s="1" t="s">
        <v>390</v>
      </c>
      <c r="B192" s="1" t="s">
        <v>391</v>
      </c>
      <c r="C192" s="1" t="s">
        <v>6</v>
      </c>
      <c r="D192" s="1" t="s">
        <v>392</v>
      </c>
      <c r="E192" s="1" t="s">
        <v>7535</v>
      </c>
      <c r="F192" s="1" t="s">
        <v>473</v>
      </c>
      <c r="G192" s="1" t="s">
        <v>473</v>
      </c>
      <c r="H192" s="1" t="s">
        <v>473</v>
      </c>
      <c r="I192" s="1" t="s">
        <v>473</v>
      </c>
      <c r="J192" s="1" t="s">
        <v>473</v>
      </c>
      <c r="K192" s="1" t="s">
        <v>473</v>
      </c>
      <c r="L192" s="1" t="s">
        <v>6974</v>
      </c>
      <c r="M192" s="1" t="s">
        <v>473</v>
      </c>
      <c r="N192" s="1" t="s">
        <v>7536</v>
      </c>
      <c r="O192" s="1" t="s">
        <v>7537</v>
      </c>
      <c r="P192" s="1" t="s">
        <v>8200</v>
      </c>
      <c r="Q192" s="28"/>
      <c r="R192" s="1"/>
      <c r="S192" s="1"/>
      <c r="T192" s="10">
        <f>_xlfn.IFNA(VLOOKUP(B192,Sheet2!$A$2:$M$58,4,0),"-")</f>
        <v>45084</v>
      </c>
      <c r="U192" s="10" t="str">
        <f>_xlfn.IFNA(VLOOKUP(B192,'TV Trx'!$B$4:$C$57,2,0),"-")</f>
        <v>-</v>
      </c>
      <c r="V192" s="10">
        <f t="shared" si="3"/>
        <v>45084</v>
      </c>
      <c r="W192" s="1" t="str">
        <f>_xlfn.IFNA(VLOOKUP(B192,'CO Trx'!$A$4:$B$37,2,0),"-")</f>
        <v>-</v>
      </c>
      <c r="X192" s="1">
        <f>_xlfn.IFNA(VLOOKUP(B192,'CO Trx'!$A$49:$B$104,2,0),"-")</f>
        <v>1</v>
      </c>
      <c r="Y192" s="20" t="s">
        <v>6889</v>
      </c>
      <c r="AA192" t="s">
        <v>8110</v>
      </c>
      <c r="AB192" t="s">
        <v>8062</v>
      </c>
    </row>
    <row r="193" spans="1:28" x14ac:dyDescent="0.2">
      <c r="A193" s="1" t="s">
        <v>481</v>
      </c>
      <c r="B193" s="1" t="s">
        <v>482</v>
      </c>
      <c r="C193" s="1" t="s">
        <v>6</v>
      </c>
      <c r="D193" s="1" t="s">
        <v>483</v>
      </c>
      <c r="E193" s="1" t="s">
        <v>7538</v>
      </c>
      <c r="F193" s="1" t="s">
        <v>473</v>
      </c>
      <c r="G193" s="1" t="s">
        <v>473</v>
      </c>
      <c r="H193" s="1" t="s">
        <v>473</v>
      </c>
      <c r="I193" s="1" t="s">
        <v>473</v>
      </c>
      <c r="J193" s="1" t="s">
        <v>473</v>
      </c>
      <c r="K193" s="1" t="s">
        <v>473</v>
      </c>
      <c r="L193" s="1" t="s">
        <v>6974</v>
      </c>
      <c r="M193" s="1" t="s">
        <v>473</v>
      </c>
      <c r="N193" s="1" t="s">
        <v>7539</v>
      </c>
      <c r="O193" s="1" t="s">
        <v>7540</v>
      </c>
      <c r="P193" s="1">
        <v>0</v>
      </c>
      <c r="Q193" s="28">
        <v>0</v>
      </c>
      <c r="R193" s="1">
        <v>0</v>
      </c>
      <c r="S193" s="1"/>
      <c r="T193" s="10" t="str">
        <f>_xlfn.IFNA(VLOOKUP(B193,Sheet2!$A$2:$M$58,4,0),"-")</f>
        <v>-</v>
      </c>
      <c r="U193" s="10" t="str">
        <f>_xlfn.IFNA(VLOOKUP(B193,'TV Trx'!$B$4:$C$57,2,0),"-")</f>
        <v>-</v>
      </c>
      <c r="V193" s="10" t="str">
        <f t="shared" si="3"/>
        <v>-</v>
      </c>
      <c r="W193" s="1" t="str">
        <f>_xlfn.IFNA(VLOOKUP(B193,'CO Trx'!$A$4:$B$37,2,0),"-")</f>
        <v>-</v>
      </c>
      <c r="X193" s="1" t="str">
        <f>_xlfn.IFNA(VLOOKUP(B193,'CO Trx'!$A$49:$B$104,2,0),"-")</f>
        <v>-</v>
      </c>
      <c r="Y193" s="21" t="s">
        <v>6890</v>
      </c>
    </row>
    <row r="194" spans="1:28" x14ac:dyDescent="0.2">
      <c r="A194" s="1" t="s">
        <v>608</v>
      </c>
      <c r="B194" s="1" t="s">
        <v>609</v>
      </c>
      <c r="C194" s="1" t="s">
        <v>13</v>
      </c>
      <c r="D194" s="1" t="s">
        <v>610</v>
      </c>
      <c r="E194" s="1" t="s">
        <v>7541</v>
      </c>
      <c r="F194" s="1" t="s">
        <v>473</v>
      </c>
      <c r="G194" s="1" t="s">
        <v>473</v>
      </c>
      <c r="H194" s="1" t="s">
        <v>473</v>
      </c>
      <c r="I194" s="1" t="s">
        <v>473</v>
      </c>
      <c r="J194" s="1" t="s">
        <v>473</v>
      </c>
      <c r="K194" s="1" t="s">
        <v>473</v>
      </c>
      <c r="L194" s="1" t="s">
        <v>6974</v>
      </c>
      <c r="M194" s="1" t="s">
        <v>473</v>
      </c>
      <c r="N194" s="1" t="s">
        <v>7542</v>
      </c>
      <c r="O194" s="1" t="s">
        <v>7543</v>
      </c>
      <c r="P194" s="1" t="s">
        <v>8201</v>
      </c>
      <c r="Q194" s="28">
        <v>0</v>
      </c>
      <c r="R194" s="1">
        <v>0</v>
      </c>
      <c r="S194" s="1"/>
      <c r="T194" s="10" t="str">
        <f>_xlfn.IFNA(VLOOKUP(B194,Sheet2!$A$2:$M$58,4,0),"-")</f>
        <v>-</v>
      </c>
      <c r="U194" s="10" t="str">
        <f>_xlfn.IFNA(VLOOKUP(B194,'TV Trx'!$B$4:$C$57,2,0),"-")</f>
        <v>-</v>
      </c>
      <c r="V194" s="10" t="str">
        <f t="shared" si="3"/>
        <v>-</v>
      </c>
      <c r="W194" s="1" t="str">
        <f>_xlfn.IFNA(VLOOKUP(B194,'CO Trx'!$A$4:$B$37,2,0),"-")</f>
        <v>-</v>
      </c>
      <c r="X194" s="1" t="str">
        <f>_xlfn.IFNA(VLOOKUP(B194,'CO Trx'!$A$49:$B$104,2,0),"-")</f>
        <v>-</v>
      </c>
      <c r="Y194" s="21" t="s">
        <v>6890</v>
      </c>
      <c r="AA194" t="s">
        <v>7995</v>
      </c>
    </row>
    <row r="195" spans="1:28" x14ac:dyDescent="0.2">
      <c r="A195" s="1" t="s">
        <v>267</v>
      </c>
      <c r="B195" s="1" t="s">
        <v>268</v>
      </c>
      <c r="C195" s="1" t="s">
        <v>13</v>
      </c>
      <c r="D195" s="1" t="s">
        <v>269</v>
      </c>
      <c r="E195" s="1" t="s">
        <v>7544</v>
      </c>
      <c r="F195" s="1" t="s">
        <v>473</v>
      </c>
      <c r="G195" s="1" t="s">
        <v>473</v>
      </c>
      <c r="H195" s="1" t="s">
        <v>473</v>
      </c>
      <c r="I195" s="1" t="s">
        <v>473</v>
      </c>
      <c r="J195" s="1" t="s">
        <v>473</v>
      </c>
      <c r="K195" s="1" t="s">
        <v>473</v>
      </c>
      <c r="L195" s="1" t="s">
        <v>6974</v>
      </c>
      <c r="M195" s="1" t="s">
        <v>473</v>
      </c>
      <c r="N195" s="1" t="s">
        <v>7545</v>
      </c>
      <c r="O195" s="1" t="s">
        <v>7546</v>
      </c>
      <c r="P195" s="1" t="s">
        <v>8202</v>
      </c>
      <c r="Q195" s="28"/>
      <c r="R195" s="1" t="s">
        <v>8293</v>
      </c>
      <c r="S195" s="1"/>
      <c r="T195" s="10" t="str">
        <f>_xlfn.IFNA(VLOOKUP(B195,Sheet2!$A$2:$M$58,4,0),"-")</f>
        <v>-</v>
      </c>
      <c r="U195" s="10">
        <f>_xlfn.IFNA(VLOOKUP(B195,'TV Trx'!$B$4:$C$57,2,0),"-")</f>
        <v>45086</v>
      </c>
      <c r="V195" s="10">
        <f t="shared" si="3"/>
        <v>45086</v>
      </c>
      <c r="W195" s="1" t="str">
        <f>_xlfn.IFNA(VLOOKUP(B195,'CO Trx'!$A$4:$B$37,2,0),"-")</f>
        <v>-</v>
      </c>
      <c r="X195" s="1" t="str">
        <f>_xlfn.IFNA(VLOOKUP(B195,'CO Trx'!$A$49:$B$104,2,0),"-")</f>
        <v>-</v>
      </c>
      <c r="Y195" s="20" t="s">
        <v>6889</v>
      </c>
      <c r="AA195" t="s">
        <v>7996</v>
      </c>
      <c r="AB195" t="s">
        <v>8047</v>
      </c>
    </row>
    <row r="196" spans="1:28" x14ac:dyDescent="0.2">
      <c r="A196" s="1" t="s">
        <v>912</v>
      </c>
      <c r="B196" s="1" t="s">
        <v>913</v>
      </c>
      <c r="C196" s="1" t="s">
        <v>6</v>
      </c>
      <c r="D196" s="1" t="s">
        <v>914</v>
      </c>
      <c r="E196" s="1" t="s">
        <v>7547</v>
      </c>
      <c r="F196" s="1" t="s">
        <v>473</v>
      </c>
      <c r="G196" s="1" t="s">
        <v>473</v>
      </c>
      <c r="H196" s="1" t="s">
        <v>473</v>
      </c>
      <c r="I196" s="1" t="s">
        <v>473</v>
      </c>
      <c r="J196" s="1" t="s">
        <v>473</v>
      </c>
      <c r="K196" s="1" t="s">
        <v>473</v>
      </c>
      <c r="L196" s="1" t="s">
        <v>6974</v>
      </c>
      <c r="M196" s="1" t="s">
        <v>473</v>
      </c>
      <c r="N196" s="1" t="s">
        <v>7548</v>
      </c>
      <c r="O196" s="1" t="s">
        <v>7549</v>
      </c>
      <c r="P196" s="1">
        <v>0</v>
      </c>
      <c r="Q196" s="28">
        <v>7851115017</v>
      </c>
      <c r="R196" s="1" t="s">
        <v>8255</v>
      </c>
      <c r="S196" s="1"/>
      <c r="T196" s="10" t="str">
        <f>_xlfn.IFNA(VLOOKUP(B196,Sheet2!$A$2:$M$58,4,0),"-")</f>
        <v>-</v>
      </c>
      <c r="U196" s="10" t="str">
        <f>_xlfn.IFNA(VLOOKUP(B196,'TV Trx'!$B$4:$C$57,2,0),"-")</f>
        <v>-</v>
      </c>
      <c r="V196" s="10" t="str">
        <f t="shared" si="3"/>
        <v>-</v>
      </c>
      <c r="W196" s="1" t="str">
        <f>_xlfn.IFNA(VLOOKUP(B196,'CO Trx'!$A$4:$B$37,2,0),"-")</f>
        <v>-</v>
      </c>
      <c r="X196" s="1" t="str">
        <f>_xlfn.IFNA(VLOOKUP(B196,'CO Trx'!$A$49:$B$104,2,0),"-")</f>
        <v>-</v>
      </c>
      <c r="Y196" s="21" t="s">
        <v>6890</v>
      </c>
      <c r="AB196" t="s">
        <v>379</v>
      </c>
    </row>
    <row r="197" spans="1:28" x14ac:dyDescent="0.2">
      <c r="A197" s="1" t="s">
        <v>237</v>
      </c>
      <c r="B197" s="1" t="s">
        <v>238</v>
      </c>
      <c r="C197" s="1" t="s">
        <v>6</v>
      </c>
      <c r="D197" s="1" t="s">
        <v>239</v>
      </c>
      <c r="E197" s="1" t="s">
        <v>7550</v>
      </c>
      <c r="F197" s="1" t="s">
        <v>473</v>
      </c>
      <c r="G197" s="1" t="s">
        <v>473</v>
      </c>
      <c r="H197" s="1" t="s">
        <v>473</v>
      </c>
      <c r="I197" s="1" t="s">
        <v>473</v>
      </c>
      <c r="J197" s="1" t="s">
        <v>473</v>
      </c>
      <c r="K197" s="1" t="s">
        <v>473</v>
      </c>
      <c r="L197" s="1" t="s">
        <v>6974</v>
      </c>
      <c r="M197" s="1" t="s">
        <v>473</v>
      </c>
      <c r="N197" s="1" t="s">
        <v>7551</v>
      </c>
      <c r="O197" s="1" t="s">
        <v>7552</v>
      </c>
      <c r="P197" s="1" t="s">
        <v>8203</v>
      </c>
      <c r="Q197" s="28"/>
      <c r="R197" s="1"/>
      <c r="S197" s="1"/>
      <c r="T197" s="10">
        <f>_xlfn.IFNA(VLOOKUP(B197,Sheet2!$A$2:$M$58,4,0),"-")</f>
        <v>45085</v>
      </c>
      <c r="U197" s="10" t="str">
        <f>_xlfn.IFNA(VLOOKUP(B197,'TV Trx'!$B$4:$C$57,2,0),"-")</f>
        <v>-</v>
      </c>
      <c r="V197" s="10">
        <f t="shared" si="3"/>
        <v>45085</v>
      </c>
      <c r="W197" s="1">
        <f>_xlfn.IFNA(VLOOKUP(B197,'CO Trx'!$A$4:$B$37,2,0),"-")</f>
        <v>1</v>
      </c>
      <c r="X197" s="1">
        <f>_xlfn.IFNA(VLOOKUP(B197,'CO Trx'!$A$49:$B$104,2,0),"-")</f>
        <v>3</v>
      </c>
      <c r="Y197" s="20" t="s">
        <v>6889</v>
      </c>
      <c r="AA197" t="s">
        <v>8111</v>
      </c>
      <c r="AB197" t="s">
        <v>8065</v>
      </c>
    </row>
    <row r="198" spans="1:28" x14ac:dyDescent="0.2">
      <c r="A198" s="1" t="s">
        <v>641</v>
      </c>
      <c r="B198" s="1" t="s">
        <v>642</v>
      </c>
      <c r="C198" s="1" t="s">
        <v>23</v>
      </c>
      <c r="D198" s="1" t="s">
        <v>643</v>
      </c>
      <c r="E198" s="1" t="s">
        <v>7553</v>
      </c>
      <c r="F198" s="1" t="s">
        <v>473</v>
      </c>
      <c r="G198" s="1" t="s">
        <v>473</v>
      </c>
      <c r="H198" s="1" t="s">
        <v>7554</v>
      </c>
      <c r="I198" s="1" t="s">
        <v>7555</v>
      </c>
      <c r="J198" s="1" t="s">
        <v>7556</v>
      </c>
      <c r="K198" s="1" t="s">
        <v>473</v>
      </c>
      <c r="L198" s="1" t="s">
        <v>473</v>
      </c>
      <c r="M198" s="1" t="s">
        <v>473</v>
      </c>
      <c r="N198" s="1" t="s">
        <v>473</v>
      </c>
      <c r="O198" s="1" t="s">
        <v>7557</v>
      </c>
      <c r="P198" s="1">
        <v>0</v>
      </c>
      <c r="Q198" s="28">
        <v>0</v>
      </c>
      <c r="R198" s="1">
        <v>0</v>
      </c>
      <c r="S198" s="1"/>
      <c r="T198" s="10" t="str">
        <f>_xlfn.IFNA(VLOOKUP(B198,Sheet2!$A$2:$M$58,4,0),"-")</f>
        <v>-</v>
      </c>
      <c r="U198" s="10" t="str">
        <f>_xlfn.IFNA(VLOOKUP(B198,'TV Trx'!$B$4:$C$57,2,0),"-")</f>
        <v>-</v>
      </c>
      <c r="V198" s="10" t="str">
        <f t="shared" si="3"/>
        <v>-</v>
      </c>
      <c r="W198" s="1" t="str">
        <f>_xlfn.IFNA(VLOOKUP(B198,'CO Trx'!$A$4:$B$37,2,0),"-")</f>
        <v>-</v>
      </c>
      <c r="X198" s="1" t="str">
        <f>_xlfn.IFNA(VLOOKUP(B198,'CO Trx'!$A$49:$B$104,2,0),"-")</f>
        <v>-</v>
      </c>
      <c r="Y198" s="21" t="s">
        <v>6890</v>
      </c>
    </row>
    <row r="199" spans="1:28" x14ac:dyDescent="0.2">
      <c r="A199" s="1" t="s">
        <v>130</v>
      </c>
      <c r="B199" s="1" t="s">
        <v>131</v>
      </c>
      <c r="C199" s="1" t="s">
        <v>6</v>
      </c>
      <c r="D199" s="1" t="s">
        <v>132</v>
      </c>
      <c r="E199" s="1" t="s">
        <v>7558</v>
      </c>
      <c r="F199" s="1" t="s">
        <v>473</v>
      </c>
      <c r="G199" s="1" t="s">
        <v>473</v>
      </c>
      <c r="H199" s="1" t="s">
        <v>473</v>
      </c>
      <c r="I199" s="1" t="s">
        <v>473</v>
      </c>
      <c r="J199" s="1" t="s">
        <v>473</v>
      </c>
      <c r="K199" s="1" t="s">
        <v>473</v>
      </c>
      <c r="L199" s="1" t="s">
        <v>6974</v>
      </c>
      <c r="M199" s="1" t="s">
        <v>473</v>
      </c>
      <c r="N199" s="1" t="s">
        <v>7559</v>
      </c>
      <c r="O199" s="1" t="s">
        <v>7560</v>
      </c>
      <c r="P199" s="1" t="s">
        <v>8204</v>
      </c>
      <c r="Q199" s="28"/>
      <c r="R199" s="1"/>
      <c r="S199" s="1"/>
      <c r="T199" s="10">
        <f>_xlfn.IFNA(VLOOKUP(B199,Sheet2!$A$2:$M$58,4,0),"-")</f>
        <v>45026</v>
      </c>
      <c r="U199" s="10" t="str">
        <f>_xlfn.IFNA(VLOOKUP(B199,'TV Trx'!$B$4:$C$57,2,0),"-")</f>
        <v>-</v>
      </c>
      <c r="V199" s="10">
        <f t="shared" si="3"/>
        <v>45026</v>
      </c>
      <c r="W199" s="1">
        <f>_xlfn.IFNA(VLOOKUP(B199,'CO Trx'!$A$4:$B$37,2,0),"-")</f>
        <v>2</v>
      </c>
      <c r="X199" s="1">
        <f>_xlfn.IFNA(VLOOKUP(B199,'CO Trx'!$A$49:$B$104,2,0),"-")</f>
        <v>19</v>
      </c>
      <c r="Y199" s="20" t="s">
        <v>6889</v>
      </c>
      <c r="AA199" t="s">
        <v>8112</v>
      </c>
      <c r="AB199" t="s">
        <v>8069</v>
      </c>
    </row>
    <row r="200" spans="1:28" x14ac:dyDescent="0.2">
      <c r="A200" s="1" t="s">
        <v>320</v>
      </c>
      <c r="B200" s="1" t="s">
        <v>321</v>
      </c>
      <c r="C200" s="1" t="s">
        <v>6</v>
      </c>
      <c r="D200" s="1" t="s">
        <v>322</v>
      </c>
      <c r="E200" s="1" t="s">
        <v>7561</v>
      </c>
      <c r="F200" s="1" t="s">
        <v>473</v>
      </c>
      <c r="G200" s="1" t="s">
        <v>473</v>
      </c>
      <c r="H200" s="1" t="s">
        <v>473</v>
      </c>
      <c r="I200" s="1" t="s">
        <v>473</v>
      </c>
      <c r="J200" s="1" t="s">
        <v>473</v>
      </c>
      <c r="K200" s="1" t="s">
        <v>473</v>
      </c>
      <c r="L200" s="1" t="s">
        <v>6974</v>
      </c>
      <c r="M200" s="1" t="s">
        <v>473</v>
      </c>
      <c r="N200" s="1" t="s">
        <v>7562</v>
      </c>
      <c r="O200" s="1" t="s">
        <v>7563</v>
      </c>
      <c r="P200" s="1" t="s">
        <v>8205</v>
      </c>
      <c r="Q200" s="28"/>
      <c r="R200" s="1"/>
      <c r="S200" s="1"/>
      <c r="T200" s="10">
        <f>_xlfn.IFNA(VLOOKUP(B200,Sheet2!$A$2:$M$58,4,0),"-")</f>
        <v>45080</v>
      </c>
      <c r="U200" s="10" t="str">
        <f>_xlfn.IFNA(VLOOKUP(B200,'TV Trx'!$B$4:$C$57,2,0),"-")</f>
        <v>-</v>
      </c>
      <c r="V200" s="10">
        <f t="shared" si="3"/>
        <v>45080</v>
      </c>
      <c r="W200" s="1">
        <f>_xlfn.IFNA(VLOOKUP(B200,'CO Trx'!$A$4:$B$37,2,0),"-")</f>
        <v>4</v>
      </c>
      <c r="X200" s="1">
        <f>_xlfn.IFNA(VLOOKUP(B200,'CO Trx'!$A$49:$B$104,2,0),"-")</f>
        <v>3</v>
      </c>
      <c r="Y200" s="20" t="s">
        <v>6889</v>
      </c>
      <c r="AA200" t="s">
        <v>8113</v>
      </c>
      <c r="AB200" t="s">
        <v>8067</v>
      </c>
    </row>
    <row r="201" spans="1:28" x14ac:dyDescent="0.2">
      <c r="A201" s="1" t="s">
        <v>246</v>
      </c>
      <c r="B201" s="1" t="s">
        <v>247</v>
      </c>
      <c r="C201" s="1" t="s">
        <v>13</v>
      </c>
      <c r="D201" s="1" t="s">
        <v>248</v>
      </c>
      <c r="E201" s="1" t="s">
        <v>7564</v>
      </c>
      <c r="F201" s="1" t="s">
        <v>473</v>
      </c>
      <c r="G201" s="1" t="s">
        <v>473</v>
      </c>
      <c r="H201" s="1" t="s">
        <v>473</v>
      </c>
      <c r="I201" s="1" t="s">
        <v>473</v>
      </c>
      <c r="J201" s="1" t="s">
        <v>473</v>
      </c>
      <c r="K201" s="1" t="s">
        <v>473</v>
      </c>
      <c r="L201" s="1" t="s">
        <v>473</v>
      </c>
      <c r="M201" s="1" t="s">
        <v>473</v>
      </c>
      <c r="N201" s="1" t="s">
        <v>7565</v>
      </c>
      <c r="O201" s="1" t="s">
        <v>7566</v>
      </c>
      <c r="P201" s="1" t="s">
        <v>8206</v>
      </c>
      <c r="Q201" s="28"/>
      <c r="R201" s="1" t="s">
        <v>8294</v>
      </c>
      <c r="S201" s="1"/>
      <c r="T201" s="10" t="str">
        <f>_xlfn.IFNA(VLOOKUP(B201,Sheet2!$A$2:$M$58,4,0),"-")</f>
        <v>-</v>
      </c>
      <c r="U201" s="10">
        <f>_xlfn.IFNA(VLOOKUP(B201,'TV Trx'!$B$4:$C$57,2,0),"-")</f>
        <v>44950</v>
      </c>
      <c r="V201" s="10">
        <f t="shared" si="3"/>
        <v>44950</v>
      </c>
      <c r="W201" s="1" t="str">
        <f>_xlfn.IFNA(VLOOKUP(B201,'CO Trx'!$A$4:$B$37,2,0),"-")</f>
        <v>-</v>
      </c>
      <c r="X201" s="1" t="str">
        <f>_xlfn.IFNA(VLOOKUP(B201,'CO Trx'!$A$49:$B$104,2,0),"-")</f>
        <v>-</v>
      </c>
      <c r="Y201" s="22" t="s">
        <v>6891</v>
      </c>
      <c r="AA201" t="s">
        <v>7997</v>
      </c>
      <c r="AB201" t="s">
        <v>8048</v>
      </c>
    </row>
    <row r="202" spans="1:28" x14ac:dyDescent="0.2">
      <c r="A202" s="1" t="s">
        <v>462</v>
      </c>
      <c r="B202" s="1" t="s">
        <v>463</v>
      </c>
      <c r="C202" s="1" t="s">
        <v>6</v>
      </c>
      <c r="D202" s="1" t="s">
        <v>464</v>
      </c>
      <c r="E202" s="1" t="s">
        <v>7567</v>
      </c>
      <c r="F202" s="1" t="s">
        <v>473</v>
      </c>
      <c r="G202" s="1" t="s">
        <v>473</v>
      </c>
      <c r="H202" s="1" t="s">
        <v>473</v>
      </c>
      <c r="I202" s="1" t="s">
        <v>473</v>
      </c>
      <c r="J202" s="1" t="s">
        <v>473</v>
      </c>
      <c r="K202" s="1" t="s">
        <v>473</v>
      </c>
      <c r="L202" s="1" t="s">
        <v>6974</v>
      </c>
      <c r="M202" s="1" t="s">
        <v>473</v>
      </c>
      <c r="N202" s="1" t="s">
        <v>7568</v>
      </c>
      <c r="O202" s="1" t="s">
        <v>7569</v>
      </c>
      <c r="P202" s="1" t="s">
        <v>8207</v>
      </c>
      <c r="Q202" s="28"/>
      <c r="R202" s="1"/>
      <c r="S202" s="1"/>
      <c r="T202" s="10">
        <f>_xlfn.IFNA(VLOOKUP(B202,Sheet2!$A$2:$M$58,4,0),"-")</f>
        <v>45056</v>
      </c>
      <c r="U202" s="10" t="str">
        <f>_xlfn.IFNA(VLOOKUP(B202,'TV Trx'!$B$4:$C$57,2,0),"-")</f>
        <v>-</v>
      </c>
      <c r="V202" s="10">
        <f t="shared" si="3"/>
        <v>45056</v>
      </c>
      <c r="W202" s="1" t="str">
        <f>_xlfn.IFNA(VLOOKUP(B202,'CO Trx'!$A$4:$B$37,2,0),"-")</f>
        <v>-</v>
      </c>
      <c r="X202" s="1">
        <f>_xlfn.IFNA(VLOOKUP(B202,'CO Trx'!$A$49:$B$104,2,0),"-")</f>
        <v>28</v>
      </c>
      <c r="Y202" s="20" t="s">
        <v>6889</v>
      </c>
      <c r="AA202" t="s">
        <v>8114</v>
      </c>
      <c r="AB202" t="s">
        <v>8042</v>
      </c>
    </row>
    <row r="203" spans="1:28" x14ac:dyDescent="0.2">
      <c r="A203" s="1" t="s">
        <v>305</v>
      </c>
      <c r="B203" s="1" t="s">
        <v>306</v>
      </c>
      <c r="C203" s="1" t="s">
        <v>6</v>
      </c>
      <c r="D203" s="1" t="s">
        <v>307</v>
      </c>
      <c r="E203" s="1" t="s">
        <v>7570</v>
      </c>
      <c r="F203" s="1" t="s">
        <v>473</v>
      </c>
      <c r="G203" s="1" t="s">
        <v>473</v>
      </c>
      <c r="H203" s="1" t="s">
        <v>473</v>
      </c>
      <c r="I203" s="1" t="s">
        <v>473</v>
      </c>
      <c r="J203" s="1" t="s">
        <v>473</v>
      </c>
      <c r="K203" s="1" t="s">
        <v>473</v>
      </c>
      <c r="L203" s="1" t="s">
        <v>6974</v>
      </c>
      <c r="M203" s="1" t="s">
        <v>473</v>
      </c>
      <c r="N203" s="1" t="s">
        <v>7571</v>
      </c>
      <c r="O203" s="1" t="s">
        <v>7572</v>
      </c>
      <c r="P203" s="1">
        <v>0</v>
      </c>
      <c r="Q203" s="28">
        <v>0</v>
      </c>
      <c r="R203" s="1">
        <v>0</v>
      </c>
      <c r="S203" s="1"/>
      <c r="T203" s="10" t="str">
        <f>_xlfn.IFNA(VLOOKUP(B203,Sheet2!$A$2:$M$58,4,0),"-")</f>
        <v>-</v>
      </c>
      <c r="U203" s="10" t="str">
        <f>_xlfn.IFNA(VLOOKUP(B203,'TV Trx'!$B$4:$C$57,2,0),"-")</f>
        <v>-</v>
      </c>
      <c r="V203" s="10" t="str">
        <f t="shared" si="3"/>
        <v>-</v>
      </c>
      <c r="W203" s="1" t="str">
        <f>_xlfn.IFNA(VLOOKUP(B203,'CO Trx'!$A$4:$B$37,2,0),"-")</f>
        <v>-</v>
      </c>
      <c r="X203" s="1" t="str">
        <f>_xlfn.IFNA(VLOOKUP(B203,'CO Trx'!$A$49:$B$104,2,0),"-")</f>
        <v>-</v>
      </c>
      <c r="Y203" s="21" t="s">
        <v>6890</v>
      </c>
    </row>
    <row r="204" spans="1:28" x14ac:dyDescent="0.2">
      <c r="A204" s="1" t="s">
        <v>680</v>
      </c>
      <c r="B204" s="1" t="s">
        <v>681</v>
      </c>
      <c r="C204" s="1" t="s">
        <v>6</v>
      </c>
      <c r="D204" s="1" t="s">
        <v>682</v>
      </c>
      <c r="E204" s="1" t="s">
        <v>7573</v>
      </c>
      <c r="F204" s="1" t="s">
        <v>473</v>
      </c>
      <c r="G204" s="1" t="s">
        <v>473</v>
      </c>
      <c r="H204" s="1" t="s">
        <v>473</v>
      </c>
      <c r="I204" s="1" t="s">
        <v>473</v>
      </c>
      <c r="J204" s="1" t="s">
        <v>473</v>
      </c>
      <c r="K204" s="1" t="s">
        <v>473</v>
      </c>
      <c r="L204" s="1" t="s">
        <v>7574</v>
      </c>
      <c r="M204" s="1" t="s">
        <v>473</v>
      </c>
      <c r="N204" s="1" t="s">
        <v>7575</v>
      </c>
      <c r="O204" s="1" t="s">
        <v>7576</v>
      </c>
      <c r="P204" s="1">
        <v>0</v>
      </c>
      <c r="Q204" s="28">
        <v>0</v>
      </c>
      <c r="R204" s="1">
        <v>0</v>
      </c>
      <c r="S204" s="1"/>
      <c r="T204" s="10" t="str">
        <f>_xlfn.IFNA(VLOOKUP(B204,Sheet2!$A$2:$M$58,4,0),"-")</f>
        <v>-</v>
      </c>
      <c r="U204" s="10" t="str">
        <f>_xlfn.IFNA(VLOOKUP(B204,'TV Trx'!$B$4:$C$57,2,0),"-")</f>
        <v>-</v>
      </c>
      <c r="V204" s="10" t="str">
        <f t="shared" si="3"/>
        <v>-</v>
      </c>
      <c r="W204" s="1" t="str">
        <f>_xlfn.IFNA(VLOOKUP(B204,'CO Trx'!$A$4:$B$37,2,0),"-")</f>
        <v>-</v>
      </c>
      <c r="X204" s="1" t="str">
        <f>_xlfn.IFNA(VLOOKUP(B204,'CO Trx'!$A$49:$B$104,2,0),"-")</f>
        <v>-</v>
      </c>
      <c r="Y204" s="21" t="s">
        <v>6890</v>
      </c>
    </row>
    <row r="205" spans="1:28" x14ac:dyDescent="0.2">
      <c r="A205" s="1" t="s">
        <v>766</v>
      </c>
      <c r="B205" s="1" t="s">
        <v>767</v>
      </c>
      <c r="C205" s="1" t="s">
        <v>13</v>
      </c>
      <c r="D205" s="1" t="s">
        <v>768</v>
      </c>
      <c r="E205" s="1" t="s">
        <v>7577</v>
      </c>
      <c r="F205" s="1" t="s">
        <v>473</v>
      </c>
      <c r="G205" s="1" t="s">
        <v>473</v>
      </c>
      <c r="H205" s="1" t="s">
        <v>473</v>
      </c>
      <c r="I205" s="1" t="s">
        <v>473</v>
      </c>
      <c r="J205" s="1" t="s">
        <v>473</v>
      </c>
      <c r="K205" s="1" t="s">
        <v>473</v>
      </c>
      <c r="L205" s="1" t="s">
        <v>6974</v>
      </c>
      <c r="M205" s="1" t="s">
        <v>473</v>
      </c>
      <c r="N205" s="1" t="s">
        <v>7578</v>
      </c>
      <c r="O205" s="1" t="s">
        <v>7579</v>
      </c>
      <c r="P205" s="1" t="s">
        <v>8208</v>
      </c>
      <c r="Q205" s="28">
        <v>0</v>
      </c>
      <c r="R205" s="1">
        <v>0</v>
      </c>
      <c r="S205" s="1"/>
      <c r="T205" s="10" t="str">
        <f>_xlfn.IFNA(VLOOKUP(B205,Sheet2!$A$2:$M$58,4,0),"-")</f>
        <v>-</v>
      </c>
      <c r="U205" s="10" t="str">
        <f>_xlfn.IFNA(VLOOKUP(B205,'TV Trx'!$B$4:$C$57,2,0),"-")</f>
        <v>-</v>
      </c>
      <c r="V205" s="10" t="str">
        <f t="shared" si="3"/>
        <v>-</v>
      </c>
      <c r="W205" s="1" t="str">
        <f>_xlfn.IFNA(VLOOKUP(B205,'CO Trx'!$A$4:$B$37,2,0),"-")</f>
        <v>-</v>
      </c>
      <c r="X205" s="1" t="str">
        <f>_xlfn.IFNA(VLOOKUP(B205,'CO Trx'!$A$49:$B$104,2,0),"-")</f>
        <v>-</v>
      </c>
      <c r="Y205" s="21" t="s">
        <v>6890</v>
      </c>
      <c r="AA205" t="s">
        <v>7998</v>
      </c>
    </row>
    <row r="206" spans="1:28" x14ac:dyDescent="0.2">
      <c r="A206" s="1" t="s">
        <v>142</v>
      </c>
      <c r="B206" s="1" t="s">
        <v>143</v>
      </c>
      <c r="C206" s="1" t="s">
        <v>23</v>
      </c>
      <c r="D206" s="1" t="s">
        <v>144</v>
      </c>
      <c r="E206" s="1" t="s">
        <v>7580</v>
      </c>
      <c r="F206" s="1" t="s">
        <v>473</v>
      </c>
      <c r="G206" s="1" t="s">
        <v>473</v>
      </c>
      <c r="H206" s="1" t="s">
        <v>7581</v>
      </c>
      <c r="I206" s="1" t="s">
        <v>7582</v>
      </c>
      <c r="J206" s="1" t="s">
        <v>7583</v>
      </c>
      <c r="K206" s="1" t="s">
        <v>473</v>
      </c>
      <c r="L206" s="1" t="s">
        <v>7584</v>
      </c>
      <c r="M206" s="1" t="s">
        <v>473</v>
      </c>
      <c r="N206" s="1" t="s">
        <v>7585</v>
      </c>
      <c r="O206" s="1" t="s">
        <v>7586</v>
      </c>
      <c r="P206" s="1">
        <v>0</v>
      </c>
      <c r="Q206" s="28">
        <v>0</v>
      </c>
      <c r="R206" s="1">
        <v>0</v>
      </c>
      <c r="S206" s="1"/>
      <c r="T206" s="10" t="str">
        <f>_xlfn.IFNA(VLOOKUP(B206,Sheet2!$A$2:$M$58,4,0),"-")</f>
        <v>-</v>
      </c>
      <c r="U206" s="10" t="str">
        <f>_xlfn.IFNA(VLOOKUP(B206,'TV Trx'!$B$4:$C$57,2,0),"-")</f>
        <v>-</v>
      </c>
      <c r="V206" s="10" t="str">
        <f t="shared" si="3"/>
        <v>-</v>
      </c>
      <c r="W206" s="1" t="str">
        <f>_xlfn.IFNA(VLOOKUP(B206,'CO Trx'!$A$4:$B$37,2,0),"-")</f>
        <v>-</v>
      </c>
      <c r="X206" s="1" t="str">
        <f>_xlfn.IFNA(VLOOKUP(B206,'CO Trx'!$A$49:$B$104,2,0),"-")</f>
        <v>-</v>
      </c>
      <c r="Y206" s="21" t="s">
        <v>6890</v>
      </c>
    </row>
    <row r="207" spans="1:28" x14ac:dyDescent="0.2">
      <c r="A207" s="1" t="s">
        <v>861</v>
      </c>
      <c r="B207" s="1" t="s">
        <v>862</v>
      </c>
      <c r="C207" s="1" t="s">
        <v>6</v>
      </c>
      <c r="D207" s="1" t="s">
        <v>863</v>
      </c>
      <c r="E207" s="1" t="s">
        <v>7587</v>
      </c>
      <c r="F207" s="1" t="s">
        <v>473</v>
      </c>
      <c r="G207" s="1" t="s">
        <v>473</v>
      </c>
      <c r="H207" s="1" t="s">
        <v>473</v>
      </c>
      <c r="I207" s="1" t="s">
        <v>473</v>
      </c>
      <c r="J207" s="1" t="s">
        <v>473</v>
      </c>
      <c r="K207" s="1" t="s">
        <v>473</v>
      </c>
      <c r="L207" s="1" t="s">
        <v>6974</v>
      </c>
      <c r="M207" s="1" t="s">
        <v>473</v>
      </c>
      <c r="N207" s="1" t="s">
        <v>7588</v>
      </c>
      <c r="O207" s="1" t="s">
        <v>7589</v>
      </c>
      <c r="P207" s="1">
        <v>0</v>
      </c>
      <c r="Q207" s="28">
        <v>0</v>
      </c>
      <c r="R207" s="1">
        <v>0</v>
      </c>
      <c r="S207" s="1"/>
      <c r="T207" s="10" t="str">
        <f>_xlfn.IFNA(VLOOKUP(B207,Sheet2!$A$2:$M$58,4,0),"-")</f>
        <v>-</v>
      </c>
      <c r="U207" s="10" t="str">
        <f>_xlfn.IFNA(VLOOKUP(B207,'TV Trx'!$B$4:$C$57,2,0),"-")</f>
        <v>-</v>
      </c>
      <c r="V207" s="10" t="str">
        <f t="shared" si="3"/>
        <v>-</v>
      </c>
      <c r="W207" s="1" t="str">
        <f>_xlfn.IFNA(VLOOKUP(B207,'CO Trx'!$A$4:$B$37,2,0),"-")</f>
        <v>-</v>
      </c>
      <c r="X207" s="1" t="str">
        <f>_xlfn.IFNA(VLOOKUP(B207,'CO Trx'!$A$49:$B$104,2,0),"-")</f>
        <v>-</v>
      </c>
      <c r="Y207" s="21" t="s">
        <v>6890</v>
      </c>
    </row>
    <row r="208" spans="1:28" x14ac:dyDescent="0.2">
      <c r="A208" s="1" t="s">
        <v>291</v>
      </c>
      <c r="B208" s="1" t="s">
        <v>292</v>
      </c>
      <c r="C208" s="1" t="s">
        <v>13</v>
      </c>
      <c r="D208" s="1" t="s">
        <v>293</v>
      </c>
      <c r="E208" s="1" t="s">
        <v>7590</v>
      </c>
      <c r="F208" s="1" t="s">
        <v>473</v>
      </c>
      <c r="G208" s="1" t="s">
        <v>473</v>
      </c>
      <c r="H208" s="1" t="s">
        <v>473</v>
      </c>
      <c r="I208" s="1" t="s">
        <v>473</v>
      </c>
      <c r="J208" s="1" t="s">
        <v>473</v>
      </c>
      <c r="K208" s="1" t="s">
        <v>473</v>
      </c>
      <c r="L208" s="1" t="s">
        <v>6974</v>
      </c>
      <c r="M208" s="1" t="s">
        <v>473</v>
      </c>
      <c r="N208" s="1" t="s">
        <v>7591</v>
      </c>
      <c r="O208" s="1" t="s">
        <v>7592</v>
      </c>
      <c r="P208" s="1" t="s">
        <v>8209</v>
      </c>
      <c r="Q208" s="28"/>
      <c r="R208" s="1" t="s">
        <v>8295</v>
      </c>
      <c r="S208" s="1"/>
      <c r="T208" s="10" t="str">
        <f>_xlfn.IFNA(VLOOKUP(B208,Sheet2!$A$2:$M$58,4,0),"-")</f>
        <v>-</v>
      </c>
      <c r="U208" s="10">
        <f>_xlfn.IFNA(VLOOKUP(B208,'TV Trx'!$B$4:$C$57,2,0),"-")</f>
        <v>45057</v>
      </c>
      <c r="V208" s="10">
        <f t="shared" si="3"/>
        <v>45057</v>
      </c>
      <c r="W208" s="1" t="str">
        <f>_xlfn.IFNA(VLOOKUP(B208,'CO Trx'!$A$4:$B$37,2,0),"-")</f>
        <v>-</v>
      </c>
      <c r="X208" s="1" t="str">
        <f>_xlfn.IFNA(VLOOKUP(B208,'CO Trx'!$A$49:$B$104,2,0),"-")</f>
        <v>-</v>
      </c>
      <c r="Y208" s="20" t="s">
        <v>6889</v>
      </c>
      <c r="AA208" t="s">
        <v>7999</v>
      </c>
      <c r="AB208" t="s">
        <v>8049</v>
      </c>
    </row>
    <row r="209" spans="1:28" x14ac:dyDescent="0.2">
      <c r="A209" s="1" t="s">
        <v>133</v>
      </c>
      <c r="B209" s="1" t="s">
        <v>134</v>
      </c>
      <c r="C209" s="1" t="s">
        <v>13</v>
      </c>
      <c r="D209" s="1" t="s">
        <v>135</v>
      </c>
      <c r="E209" s="1" t="s">
        <v>7593</v>
      </c>
      <c r="F209" s="1" t="s">
        <v>473</v>
      </c>
      <c r="G209" s="1" t="s">
        <v>473</v>
      </c>
      <c r="H209" s="1" t="s">
        <v>473</v>
      </c>
      <c r="I209" s="1" t="s">
        <v>473</v>
      </c>
      <c r="J209" s="1" t="s">
        <v>473</v>
      </c>
      <c r="K209" s="1" t="s">
        <v>473</v>
      </c>
      <c r="L209" s="1" t="s">
        <v>6974</v>
      </c>
      <c r="M209" s="1" t="s">
        <v>473</v>
      </c>
      <c r="N209" s="1" t="s">
        <v>7594</v>
      </c>
      <c r="O209" s="1" t="s">
        <v>7595</v>
      </c>
      <c r="P209" s="1" t="s">
        <v>8210</v>
      </c>
      <c r="Q209" s="28"/>
      <c r="R209" s="1" t="s">
        <v>8296</v>
      </c>
      <c r="S209" s="1"/>
      <c r="T209" s="10" t="str">
        <f>_xlfn.IFNA(VLOOKUP(B209,Sheet2!$A$2:$M$58,4,0),"-")</f>
        <v>-</v>
      </c>
      <c r="U209" s="10">
        <f>_xlfn.IFNA(VLOOKUP(B209,'TV Trx'!$B$4:$C$57,2,0),"-")</f>
        <v>44966</v>
      </c>
      <c r="V209" s="10">
        <f t="shared" si="3"/>
        <v>44966</v>
      </c>
      <c r="W209" s="1" t="str">
        <f>_xlfn.IFNA(VLOOKUP(B209,'CO Trx'!$A$4:$B$37,2,0),"-")</f>
        <v>-</v>
      </c>
      <c r="X209" s="1" t="str">
        <f>_xlfn.IFNA(VLOOKUP(B209,'CO Trx'!$A$49:$B$104,2,0),"-")</f>
        <v>-</v>
      </c>
      <c r="Y209" s="22" t="s">
        <v>6891</v>
      </c>
      <c r="AA209" t="s">
        <v>8000</v>
      </c>
      <c r="AB209" t="s">
        <v>8050</v>
      </c>
    </row>
    <row r="210" spans="1:28" x14ac:dyDescent="0.2">
      <c r="A210" s="1" t="s">
        <v>154</v>
      </c>
      <c r="B210" s="1" t="s">
        <v>155</v>
      </c>
      <c r="C210" s="1" t="s">
        <v>6</v>
      </c>
      <c r="D210" s="1" t="s">
        <v>135</v>
      </c>
      <c r="E210" s="1" t="s">
        <v>7596</v>
      </c>
      <c r="F210" s="1" t="s">
        <v>473</v>
      </c>
      <c r="G210" s="1" t="s">
        <v>473</v>
      </c>
      <c r="H210" s="1" t="s">
        <v>473</v>
      </c>
      <c r="I210" s="1" t="s">
        <v>473</v>
      </c>
      <c r="J210" s="1" t="s">
        <v>473</v>
      </c>
      <c r="K210" s="1" t="s">
        <v>473</v>
      </c>
      <c r="L210" s="1" t="s">
        <v>6974</v>
      </c>
      <c r="M210" s="1" t="s">
        <v>473</v>
      </c>
      <c r="N210" s="1" t="s">
        <v>7597</v>
      </c>
      <c r="O210" s="1" t="s">
        <v>7598</v>
      </c>
      <c r="P210" s="1" t="s">
        <v>8210</v>
      </c>
      <c r="Q210" s="28"/>
      <c r="R210" s="1"/>
      <c r="S210" s="1"/>
      <c r="T210" s="10">
        <f>_xlfn.IFNA(VLOOKUP(B210,Sheet2!$A$2:$M$58,4,0),"-")</f>
        <v>45025</v>
      </c>
      <c r="U210" s="10" t="str">
        <f>_xlfn.IFNA(VLOOKUP(B210,'TV Trx'!$B$4:$C$57,2,0),"-")</f>
        <v>-</v>
      </c>
      <c r="V210" s="10">
        <f t="shared" si="3"/>
        <v>45025</v>
      </c>
      <c r="W210" s="1">
        <f>_xlfn.IFNA(VLOOKUP(B210,'CO Trx'!$A$4:$B$37,2,0),"-")</f>
        <v>7</v>
      </c>
      <c r="X210" s="1">
        <f>_xlfn.IFNA(VLOOKUP(B210,'CO Trx'!$A$49:$B$104,2,0),"-")</f>
        <v>87</v>
      </c>
      <c r="Y210" s="20" t="s">
        <v>6889</v>
      </c>
      <c r="AA210" t="s">
        <v>8000</v>
      </c>
      <c r="AB210" t="s">
        <v>8032</v>
      </c>
    </row>
    <row r="211" spans="1:28" x14ac:dyDescent="0.2">
      <c r="A211" s="1" t="s">
        <v>596</v>
      </c>
      <c r="B211" s="1" t="s">
        <v>597</v>
      </c>
      <c r="C211" s="1" t="s">
        <v>6</v>
      </c>
      <c r="D211" s="1" t="s">
        <v>598</v>
      </c>
      <c r="E211" s="1" t="s">
        <v>7599</v>
      </c>
      <c r="F211" s="1" t="s">
        <v>473</v>
      </c>
      <c r="G211" s="1" t="s">
        <v>473</v>
      </c>
      <c r="H211" s="1" t="s">
        <v>7600</v>
      </c>
      <c r="I211" s="1" t="s">
        <v>7413</v>
      </c>
      <c r="J211" s="1" t="s">
        <v>6941</v>
      </c>
      <c r="K211" s="1" t="s">
        <v>473</v>
      </c>
      <c r="L211" s="1" t="s">
        <v>7601</v>
      </c>
      <c r="M211" s="1" t="s">
        <v>473</v>
      </c>
      <c r="N211" s="1" t="s">
        <v>7602</v>
      </c>
      <c r="O211" s="1" t="s">
        <v>7603</v>
      </c>
      <c r="P211" s="1">
        <v>0</v>
      </c>
      <c r="Q211" s="28">
        <v>0</v>
      </c>
      <c r="R211" s="1">
        <v>0</v>
      </c>
      <c r="S211" s="1"/>
      <c r="T211" s="10" t="str">
        <f>_xlfn.IFNA(VLOOKUP(B211,Sheet2!$A$2:$M$58,4,0),"-")</f>
        <v>-</v>
      </c>
      <c r="U211" s="10" t="str">
        <f>_xlfn.IFNA(VLOOKUP(B211,'TV Trx'!$B$4:$C$57,2,0),"-")</f>
        <v>-</v>
      </c>
      <c r="V211" s="10" t="str">
        <f t="shared" si="3"/>
        <v>-</v>
      </c>
      <c r="W211" s="1" t="str">
        <f>_xlfn.IFNA(VLOOKUP(B211,'CO Trx'!$A$4:$B$37,2,0),"-")</f>
        <v>-</v>
      </c>
      <c r="X211" s="1" t="str">
        <f>_xlfn.IFNA(VLOOKUP(B211,'CO Trx'!$A$49:$B$104,2,0),"-")</f>
        <v>-</v>
      </c>
      <c r="Y211" s="21" t="s">
        <v>6890</v>
      </c>
    </row>
    <row r="212" spans="1:28" x14ac:dyDescent="0.2">
      <c r="A212" s="1" t="s">
        <v>231</v>
      </c>
      <c r="B212" s="1" t="s">
        <v>232</v>
      </c>
      <c r="C212" s="1" t="s">
        <v>6</v>
      </c>
      <c r="D212" s="1" t="s">
        <v>233</v>
      </c>
      <c r="E212" s="1" t="s">
        <v>7604</v>
      </c>
      <c r="F212" s="1" t="s">
        <v>473</v>
      </c>
      <c r="G212" s="1" t="s">
        <v>473</v>
      </c>
      <c r="H212" s="1" t="s">
        <v>473</v>
      </c>
      <c r="I212" s="1" t="s">
        <v>473</v>
      </c>
      <c r="J212" s="1" t="s">
        <v>473</v>
      </c>
      <c r="K212" s="1" t="s">
        <v>473</v>
      </c>
      <c r="L212" s="1" t="s">
        <v>6974</v>
      </c>
      <c r="M212" s="1" t="s">
        <v>473</v>
      </c>
      <c r="N212" s="1" t="s">
        <v>7605</v>
      </c>
      <c r="O212" s="1" t="s">
        <v>7606</v>
      </c>
      <c r="P212" s="1">
        <v>0</v>
      </c>
      <c r="Q212" s="28">
        <v>0</v>
      </c>
      <c r="R212" s="1">
        <v>0</v>
      </c>
      <c r="S212" s="1"/>
      <c r="T212" s="10" t="str">
        <f>_xlfn.IFNA(VLOOKUP(B212,Sheet2!$A$2:$M$58,4,0),"-")</f>
        <v>-</v>
      </c>
      <c r="U212" s="10" t="str">
        <f>_xlfn.IFNA(VLOOKUP(B212,'TV Trx'!$B$4:$C$57,2,0),"-")</f>
        <v>-</v>
      </c>
      <c r="V212" s="10" t="str">
        <f t="shared" si="3"/>
        <v>-</v>
      </c>
      <c r="W212" s="1" t="str">
        <f>_xlfn.IFNA(VLOOKUP(B212,'CO Trx'!$A$4:$B$37,2,0),"-")</f>
        <v>-</v>
      </c>
      <c r="X212" s="1" t="str">
        <f>_xlfn.IFNA(VLOOKUP(B212,'CO Trx'!$A$49:$B$104,2,0),"-")</f>
        <v>-</v>
      </c>
      <c r="Y212" s="21" t="s">
        <v>6890</v>
      </c>
    </row>
    <row r="213" spans="1:28" x14ac:dyDescent="0.2">
      <c r="A213" s="1" t="s">
        <v>552</v>
      </c>
      <c r="B213" s="1" t="s">
        <v>553</v>
      </c>
      <c r="C213" s="1" t="s">
        <v>13</v>
      </c>
      <c r="D213" s="1" t="s">
        <v>554</v>
      </c>
      <c r="E213" s="1" t="s">
        <v>7607</v>
      </c>
      <c r="F213" s="1" t="s">
        <v>473</v>
      </c>
      <c r="G213" s="1" t="s">
        <v>473</v>
      </c>
      <c r="H213" s="1" t="s">
        <v>473</v>
      </c>
      <c r="I213" s="1" t="s">
        <v>473</v>
      </c>
      <c r="J213" s="1" t="s">
        <v>473</v>
      </c>
      <c r="K213" s="1" t="s">
        <v>473</v>
      </c>
      <c r="L213" s="1" t="s">
        <v>6974</v>
      </c>
      <c r="M213" s="1" t="s">
        <v>473</v>
      </c>
      <c r="N213" s="1" t="s">
        <v>7608</v>
      </c>
      <c r="O213" s="1" t="s">
        <v>7609</v>
      </c>
      <c r="P213" s="1" t="s">
        <v>8211</v>
      </c>
      <c r="Q213" s="28"/>
      <c r="R213" s="1" t="s">
        <v>8297</v>
      </c>
      <c r="S213" s="1"/>
      <c r="T213" s="10" t="str">
        <f>_xlfn.IFNA(VLOOKUP(B213,Sheet2!$A$2:$M$58,4,0),"-")</f>
        <v>-</v>
      </c>
      <c r="U213" s="10">
        <f>_xlfn.IFNA(VLOOKUP(B213,'TV Trx'!$B$4:$C$57,2,0),"-")</f>
        <v>45072</v>
      </c>
      <c r="V213" s="10">
        <f t="shared" si="3"/>
        <v>45072</v>
      </c>
      <c r="W213" s="1" t="str">
        <f>_xlfn.IFNA(VLOOKUP(B213,'CO Trx'!$A$4:$B$37,2,0),"-")</f>
        <v>-</v>
      </c>
      <c r="X213" s="1" t="str">
        <f>_xlfn.IFNA(VLOOKUP(B213,'CO Trx'!$A$49:$B$104,2,0),"-")</f>
        <v>-</v>
      </c>
      <c r="Y213" s="20" t="s">
        <v>6889</v>
      </c>
      <c r="AA213" t="s">
        <v>8001</v>
      </c>
      <c r="AB213" t="s">
        <v>8051</v>
      </c>
    </row>
    <row r="214" spans="1:28" x14ac:dyDescent="0.2">
      <c r="A214" s="1" t="s">
        <v>331</v>
      </c>
      <c r="B214" s="1" t="s">
        <v>332</v>
      </c>
      <c r="C214" s="1" t="s">
        <v>6</v>
      </c>
      <c r="D214" s="1" t="s">
        <v>333</v>
      </c>
      <c r="E214" s="1" t="s">
        <v>7610</v>
      </c>
      <c r="F214" s="1" t="s">
        <v>473</v>
      </c>
      <c r="G214" s="1" t="s">
        <v>473</v>
      </c>
      <c r="H214" s="1" t="s">
        <v>473</v>
      </c>
      <c r="I214" s="1" t="s">
        <v>473</v>
      </c>
      <c r="J214" s="1" t="s">
        <v>473</v>
      </c>
      <c r="K214" s="1" t="s">
        <v>473</v>
      </c>
      <c r="L214" s="1" t="s">
        <v>7611</v>
      </c>
      <c r="M214" s="1" t="s">
        <v>473</v>
      </c>
      <c r="N214" s="1" t="s">
        <v>7612</v>
      </c>
      <c r="O214" s="1" t="s">
        <v>7613</v>
      </c>
      <c r="P214" s="1">
        <v>0</v>
      </c>
      <c r="Q214" s="28">
        <v>1250016168080</v>
      </c>
      <c r="R214" s="1" t="s">
        <v>8254</v>
      </c>
      <c r="S214" s="1"/>
      <c r="T214" s="10" t="str">
        <f>_xlfn.IFNA(VLOOKUP(B214,Sheet2!$A$2:$M$58,4,0),"-")</f>
        <v>-</v>
      </c>
      <c r="U214" s="10" t="str">
        <f>_xlfn.IFNA(VLOOKUP(B214,'TV Trx'!$B$4:$C$57,2,0),"-")</f>
        <v>-</v>
      </c>
      <c r="V214" s="10" t="str">
        <f t="shared" si="3"/>
        <v>-</v>
      </c>
      <c r="W214" s="1" t="str">
        <f>_xlfn.IFNA(VLOOKUP(B214,'CO Trx'!$A$4:$B$37,2,0),"-")</f>
        <v>-</v>
      </c>
      <c r="X214" s="1" t="str">
        <f>_xlfn.IFNA(VLOOKUP(B214,'CO Trx'!$A$49:$B$104,2,0),"-")</f>
        <v>-</v>
      </c>
      <c r="Y214" s="21" t="s">
        <v>6890</v>
      </c>
      <c r="AB214" t="s">
        <v>8072</v>
      </c>
    </row>
    <row r="215" spans="1:28" x14ac:dyDescent="0.2">
      <c r="A215" s="1" t="s">
        <v>795</v>
      </c>
      <c r="B215" s="1" t="s">
        <v>796</v>
      </c>
      <c r="C215" s="1" t="s">
        <v>13</v>
      </c>
      <c r="D215" s="1" t="s">
        <v>797</v>
      </c>
      <c r="E215" s="1" t="s">
        <v>7614</v>
      </c>
      <c r="F215" s="1" t="s">
        <v>473</v>
      </c>
      <c r="G215" s="1" t="s">
        <v>473</v>
      </c>
      <c r="H215" s="1" t="s">
        <v>473</v>
      </c>
      <c r="I215" s="1" t="s">
        <v>473</v>
      </c>
      <c r="J215" s="1" t="s">
        <v>473</v>
      </c>
      <c r="K215" s="1" t="s">
        <v>473</v>
      </c>
      <c r="L215" s="1" t="s">
        <v>6974</v>
      </c>
      <c r="M215" s="1" t="s">
        <v>473</v>
      </c>
      <c r="N215" s="1" t="s">
        <v>7615</v>
      </c>
      <c r="O215" s="1" t="s">
        <v>7616</v>
      </c>
      <c r="P215" s="1" t="s">
        <v>8212</v>
      </c>
      <c r="Q215" s="28">
        <v>0</v>
      </c>
      <c r="R215" s="1">
        <v>0</v>
      </c>
      <c r="S215" s="1"/>
      <c r="T215" s="10" t="str">
        <f>_xlfn.IFNA(VLOOKUP(B215,Sheet2!$A$2:$M$58,4,0),"-")</f>
        <v>-</v>
      </c>
      <c r="U215" s="10" t="str">
        <f>_xlfn.IFNA(VLOOKUP(B215,'TV Trx'!$B$4:$C$57,2,0),"-")</f>
        <v>-</v>
      </c>
      <c r="V215" s="10" t="str">
        <f t="shared" si="3"/>
        <v>-</v>
      </c>
      <c r="W215" s="1" t="str">
        <f>_xlfn.IFNA(VLOOKUP(B215,'CO Trx'!$A$4:$B$37,2,0),"-")</f>
        <v>-</v>
      </c>
      <c r="X215" s="1" t="str">
        <f>_xlfn.IFNA(VLOOKUP(B215,'CO Trx'!$A$49:$B$104,2,0),"-")</f>
        <v>-</v>
      </c>
      <c r="Y215" s="21" t="s">
        <v>6890</v>
      </c>
      <c r="AA215" t="s">
        <v>8002</v>
      </c>
    </row>
    <row r="216" spans="1:28" x14ac:dyDescent="0.2">
      <c r="A216" s="1" t="s">
        <v>769</v>
      </c>
      <c r="B216" s="1" t="s">
        <v>770</v>
      </c>
      <c r="C216" s="1" t="s">
        <v>6</v>
      </c>
      <c r="D216" s="1" t="s">
        <v>771</v>
      </c>
      <c r="E216" s="1" t="s">
        <v>7617</v>
      </c>
      <c r="F216" s="1" t="s">
        <v>473</v>
      </c>
      <c r="G216" s="1" t="s">
        <v>473</v>
      </c>
      <c r="H216" s="1" t="s">
        <v>473</v>
      </c>
      <c r="I216" s="1" t="s">
        <v>473</v>
      </c>
      <c r="J216" s="1" t="s">
        <v>473</v>
      </c>
      <c r="K216" s="1" t="s">
        <v>473</v>
      </c>
      <c r="L216" s="1" t="s">
        <v>7618</v>
      </c>
      <c r="M216" s="1" t="s">
        <v>473</v>
      </c>
      <c r="N216" s="1" t="s">
        <v>7619</v>
      </c>
      <c r="O216" s="1" t="s">
        <v>7620</v>
      </c>
      <c r="P216" s="1">
        <v>0</v>
      </c>
      <c r="Q216" s="28">
        <v>0</v>
      </c>
      <c r="R216" s="1">
        <v>0</v>
      </c>
      <c r="S216" s="1"/>
      <c r="T216" s="10" t="str">
        <f>_xlfn.IFNA(VLOOKUP(B216,Sheet2!$A$2:$M$58,4,0),"-")</f>
        <v>-</v>
      </c>
      <c r="U216" s="10" t="str">
        <f>_xlfn.IFNA(VLOOKUP(B216,'TV Trx'!$B$4:$C$57,2,0),"-")</f>
        <v>-</v>
      </c>
      <c r="V216" s="10" t="str">
        <f t="shared" ref="V216:V279" si="4">IF(C216="ACC_TYPE_CO",T216,U216)</f>
        <v>-</v>
      </c>
      <c r="W216" s="1" t="str">
        <f>_xlfn.IFNA(VLOOKUP(B216,'CO Trx'!$A$4:$B$37,2,0),"-")</f>
        <v>-</v>
      </c>
      <c r="X216" s="1" t="str">
        <f>_xlfn.IFNA(VLOOKUP(B216,'CO Trx'!$A$49:$B$104,2,0),"-")</f>
        <v>-</v>
      </c>
      <c r="Y216" s="21" t="s">
        <v>6890</v>
      </c>
    </row>
    <row r="217" spans="1:28" x14ac:dyDescent="0.2">
      <c r="A217" s="1" t="s">
        <v>411</v>
      </c>
      <c r="B217" s="1" t="s">
        <v>412</v>
      </c>
      <c r="C217" s="1" t="s">
        <v>6</v>
      </c>
      <c r="D217" s="1" t="s">
        <v>413</v>
      </c>
      <c r="E217" s="1" t="s">
        <v>7621</v>
      </c>
      <c r="F217" s="1" t="s">
        <v>473</v>
      </c>
      <c r="G217" s="1" t="s">
        <v>473</v>
      </c>
      <c r="H217" s="1" t="s">
        <v>473</v>
      </c>
      <c r="I217" s="1" t="s">
        <v>473</v>
      </c>
      <c r="J217" s="1" t="s">
        <v>473</v>
      </c>
      <c r="K217" s="1" t="s">
        <v>473</v>
      </c>
      <c r="L217" s="1" t="s">
        <v>7622</v>
      </c>
      <c r="M217" s="1" t="s">
        <v>473</v>
      </c>
      <c r="N217" s="1" t="s">
        <v>7623</v>
      </c>
      <c r="O217" s="1" t="s">
        <v>7624</v>
      </c>
      <c r="P217" s="1">
        <v>0</v>
      </c>
      <c r="Q217" s="28">
        <v>0</v>
      </c>
      <c r="R217" s="1">
        <v>0</v>
      </c>
      <c r="S217" s="1"/>
      <c r="T217" s="10" t="str">
        <f>_xlfn.IFNA(VLOOKUP(B217,Sheet2!$A$2:$M$58,4,0),"-")</f>
        <v>-</v>
      </c>
      <c r="U217" s="10" t="str">
        <f>_xlfn.IFNA(VLOOKUP(B217,'TV Trx'!$B$4:$C$57,2,0),"-")</f>
        <v>-</v>
      </c>
      <c r="V217" s="10" t="str">
        <f t="shared" si="4"/>
        <v>-</v>
      </c>
      <c r="W217" s="1" t="str">
        <f>_xlfn.IFNA(VLOOKUP(B217,'CO Trx'!$A$4:$B$37,2,0),"-")</f>
        <v>-</v>
      </c>
      <c r="X217" s="1" t="str">
        <f>_xlfn.IFNA(VLOOKUP(B217,'CO Trx'!$A$49:$B$104,2,0),"-")</f>
        <v>-</v>
      </c>
      <c r="Y217" s="21" t="s">
        <v>6890</v>
      </c>
    </row>
    <row r="218" spans="1:28" x14ac:dyDescent="0.2">
      <c r="A218" s="1" t="s">
        <v>234</v>
      </c>
      <c r="B218" s="1" t="s">
        <v>235</v>
      </c>
      <c r="C218" s="1" t="s">
        <v>6</v>
      </c>
      <c r="D218" s="1" t="s">
        <v>236</v>
      </c>
      <c r="E218" s="1" t="s">
        <v>473</v>
      </c>
      <c r="F218" s="1" t="s">
        <v>473</v>
      </c>
      <c r="G218" s="1" t="s">
        <v>473</v>
      </c>
      <c r="H218" s="1" t="s">
        <v>473</v>
      </c>
      <c r="I218" s="1" t="s">
        <v>473</v>
      </c>
      <c r="J218" s="1" t="s">
        <v>473</v>
      </c>
      <c r="K218" s="1" t="s">
        <v>473</v>
      </c>
      <c r="L218" s="1" t="s">
        <v>473</v>
      </c>
      <c r="M218" s="1" t="s">
        <v>473</v>
      </c>
      <c r="N218" s="1" t="s">
        <v>7625</v>
      </c>
      <c r="O218" s="1" t="s">
        <v>7626</v>
      </c>
      <c r="P218" s="1">
        <v>0</v>
      </c>
      <c r="Q218" s="28">
        <v>0</v>
      </c>
      <c r="R218" s="1">
        <v>0</v>
      </c>
      <c r="S218" s="1"/>
      <c r="T218" s="10" t="str">
        <f>_xlfn.IFNA(VLOOKUP(B218,Sheet2!$A$2:$M$58,4,0),"-")</f>
        <v>-</v>
      </c>
      <c r="U218" s="10" t="str">
        <f>_xlfn.IFNA(VLOOKUP(B218,'TV Trx'!$B$4:$C$57,2,0),"-")</f>
        <v>-</v>
      </c>
      <c r="V218" s="10" t="str">
        <f t="shared" si="4"/>
        <v>-</v>
      </c>
      <c r="W218" s="1" t="str">
        <f>_xlfn.IFNA(VLOOKUP(B218,'CO Trx'!$A$4:$B$37,2,0),"-")</f>
        <v>-</v>
      </c>
      <c r="X218" s="1" t="str">
        <f>_xlfn.IFNA(VLOOKUP(B218,'CO Trx'!$A$49:$B$104,2,0),"-")</f>
        <v>-</v>
      </c>
      <c r="Y218" s="21" t="s">
        <v>6890</v>
      </c>
    </row>
    <row r="219" spans="1:28" x14ac:dyDescent="0.2">
      <c r="A219" s="1" t="s">
        <v>43</v>
      </c>
      <c r="B219" s="1" t="s">
        <v>44</v>
      </c>
      <c r="C219" s="1" t="s">
        <v>13</v>
      </c>
      <c r="D219" s="1" t="s">
        <v>45</v>
      </c>
      <c r="E219" s="1" t="s">
        <v>473</v>
      </c>
      <c r="F219" s="1" t="s">
        <v>473</v>
      </c>
      <c r="G219" s="1" t="s">
        <v>473</v>
      </c>
      <c r="H219" s="1" t="s">
        <v>473</v>
      </c>
      <c r="I219" s="1" t="s">
        <v>473</v>
      </c>
      <c r="J219" s="1" t="s">
        <v>473</v>
      </c>
      <c r="K219" s="1" t="s">
        <v>473</v>
      </c>
      <c r="L219" s="1" t="s">
        <v>473</v>
      </c>
      <c r="M219" s="1" t="s">
        <v>473</v>
      </c>
      <c r="N219" s="1" t="s">
        <v>7627</v>
      </c>
      <c r="O219" s="1" t="s">
        <v>7628</v>
      </c>
      <c r="P219" s="1" t="s">
        <v>8213</v>
      </c>
      <c r="Q219" s="28">
        <v>0</v>
      </c>
      <c r="R219" s="1">
        <v>0</v>
      </c>
      <c r="S219" s="1"/>
      <c r="T219" s="10" t="str">
        <f>_xlfn.IFNA(VLOOKUP(B219,Sheet2!$A$2:$M$58,4,0),"-")</f>
        <v>-</v>
      </c>
      <c r="U219" s="10" t="str">
        <f>_xlfn.IFNA(VLOOKUP(B219,'TV Trx'!$B$4:$C$57,2,0),"-")</f>
        <v>-</v>
      </c>
      <c r="V219" s="10" t="str">
        <f t="shared" si="4"/>
        <v>-</v>
      </c>
      <c r="W219" s="1" t="str">
        <f>_xlfn.IFNA(VLOOKUP(B219,'CO Trx'!$A$4:$B$37,2,0),"-")</f>
        <v>-</v>
      </c>
      <c r="X219" s="1" t="str">
        <f>_xlfn.IFNA(VLOOKUP(B219,'CO Trx'!$A$49:$B$104,2,0),"-")</f>
        <v>-</v>
      </c>
      <c r="Y219" s="21" t="s">
        <v>6890</v>
      </c>
      <c r="AA219" t="s">
        <v>8003</v>
      </c>
    </row>
    <row r="220" spans="1:28" s="36" customFormat="1" x14ac:dyDescent="0.2">
      <c r="A220" s="32" t="s">
        <v>70</v>
      </c>
      <c r="B220" s="32" t="s">
        <v>71</v>
      </c>
      <c r="C220" s="32" t="s">
        <v>13</v>
      </c>
      <c r="D220" s="32" t="s">
        <v>72</v>
      </c>
      <c r="E220" s="32" t="s">
        <v>7629</v>
      </c>
      <c r="F220" s="32" t="s">
        <v>473</v>
      </c>
      <c r="G220" s="32" t="s">
        <v>473</v>
      </c>
      <c r="H220" s="32" t="s">
        <v>473</v>
      </c>
      <c r="I220" s="32" t="s">
        <v>473</v>
      </c>
      <c r="J220" s="32" t="s">
        <v>473</v>
      </c>
      <c r="K220" s="32" t="s">
        <v>473</v>
      </c>
      <c r="L220" s="32" t="s">
        <v>6974</v>
      </c>
      <c r="M220" s="32" t="s">
        <v>473</v>
      </c>
      <c r="N220" s="32" t="s">
        <v>7630</v>
      </c>
      <c r="O220" s="32" t="s">
        <v>7631</v>
      </c>
      <c r="P220" s="32" t="s">
        <v>8214</v>
      </c>
      <c r="Q220" s="33">
        <v>110501000972305</v>
      </c>
      <c r="R220" s="32" t="s">
        <v>8253</v>
      </c>
      <c r="S220" s="32"/>
      <c r="T220" s="34" t="str">
        <f>_xlfn.IFNA(VLOOKUP(B220,Sheet2!$A$2:$M$58,4,0),"-")</f>
        <v>-</v>
      </c>
      <c r="U220" s="34" t="str">
        <f>_xlfn.IFNA(VLOOKUP(B220,'TV Trx'!$B$4:$C$57,2,0),"-")</f>
        <v>-</v>
      </c>
      <c r="V220" s="34" t="str">
        <f t="shared" si="4"/>
        <v>-</v>
      </c>
      <c r="W220" s="32" t="str">
        <f>_xlfn.IFNA(VLOOKUP(B220,'CO Trx'!$A$4:$B$37,2,0),"-")</f>
        <v>-</v>
      </c>
      <c r="X220" s="32" t="str">
        <f>_xlfn.IFNA(VLOOKUP(B220,'CO Trx'!$A$49:$B$104,2,0),"-")</f>
        <v>-</v>
      </c>
      <c r="Y220" s="35" t="s">
        <v>6890</v>
      </c>
      <c r="AA220" s="36" t="s">
        <v>8004</v>
      </c>
      <c r="AB220" s="36" t="s">
        <v>8052</v>
      </c>
    </row>
    <row r="221" spans="1:28" x14ac:dyDescent="0.2">
      <c r="A221" s="1" t="s">
        <v>528</v>
      </c>
      <c r="B221" s="1" t="s">
        <v>529</v>
      </c>
      <c r="C221" s="1" t="s">
        <v>6</v>
      </c>
      <c r="D221" s="1" t="s">
        <v>530</v>
      </c>
      <c r="E221" s="1" t="s">
        <v>7632</v>
      </c>
      <c r="F221" s="1" t="s">
        <v>473</v>
      </c>
      <c r="G221" s="1" t="s">
        <v>473</v>
      </c>
      <c r="H221" s="1" t="s">
        <v>473</v>
      </c>
      <c r="I221" s="1" t="s">
        <v>473</v>
      </c>
      <c r="J221" s="1" t="s">
        <v>473</v>
      </c>
      <c r="K221" s="1" t="s">
        <v>473</v>
      </c>
      <c r="L221" s="1" t="s">
        <v>6974</v>
      </c>
      <c r="M221" s="1" t="s">
        <v>473</v>
      </c>
      <c r="N221" s="1" t="s">
        <v>7633</v>
      </c>
      <c r="O221" s="1" t="s">
        <v>7634</v>
      </c>
      <c r="P221" s="1">
        <v>0</v>
      </c>
      <c r="Q221" s="28">
        <v>0</v>
      </c>
      <c r="R221" s="1">
        <v>0</v>
      </c>
      <c r="S221" s="1"/>
      <c r="T221" s="10" t="str">
        <f>_xlfn.IFNA(VLOOKUP(B221,Sheet2!$A$2:$M$58,4,0),"-")</f>
        <v>-</v>
      </c>
      <c r="U221" s="10" t="str">
        <f>_xlfn.IFNA(VLOOKUP(B221,'TV Trx'!$B$4:$C$57,2,0),"-")</f>
        <v>-</v>
      </c>
      <c r="V221" s="10" t="str">
        <f t="shared" si="4"/>
        <v>-</v>
      </c>
      <c r="W221" s="1" t="str">
        <f>_xlfn.IFNA(VLOOKUP(B221,'CO Trx'!$A$4:$B$37,2,0),"-")</f>
        <v>-</v>
      </c>
      <c r="X221" s="1" t="str">
        <f>_xlfn.IFNA(VLOOKUP(B221,'CO Trx'!$A$49:$B$104,2,0),"-")</f>
        <v>-</v>
      </c>
      <c r="Y221" s="21" t="s">
        <v>6890</v>
      </c>
    </row>
    <row r="222" spans="1:28" x14ac:dyDescent="0.2">
      <c r="A222" s="1" t="s">
        <v>731</v>
      </c>
      <c r="B222" s="1" t="s">
        <v>732</v>
      </c>
      <c r="C222" s="1" t="s">
        <v>6</v>
      </c>
      <c r="D222" s="1" t="s">
        <v>78</v>
      </c>
      <c r="E222" s="1" t="s">
        <v>7635</v>
      </c>
      <c r="F222" s="1" t="s">
        <v>473</v>
      </c>
      <c r="G222" s="1" t="s">
        <v>473</v>
      </c>
      <c r="H222" s="1" t="s">
        <v>7176</v>
      </c>
      <c r="I222" s="1" t="s">
        <v>6963</v>
      </c>
      <c r="J222" s="1" t="s">
        <v>6964</v>
      </c>
      <c r="K222" s="1" t="s">
        <v>473</v>
      </c>
      <c r="L222" s="1" t="s">
        <v>7636</v>
      </c>
      <c r="M222" s="1" t="s">
        <v>473</v>
      </c>
      <c r="N222" s="1" t="s">
        <v>7637</v>
      </c>
      <c r="O222" s="1" t="s">
        <v>7638</v>
      </c>
      <c r="P222" s="1">
        <v>0</v>
      </c>
      <c r="Q222" s="28">
        <v>0</v>
      </c>
      <c r="R222" s="1">
        <v>0</v>
      </c>
      <c r="S222" s="1"/>
      <c r="T222" s="10" t="str">
        <f>_xlfn.IFNA(VLOOKUP(B222,Sheet2!$A$2:$M$58,4,0),"-")</f>
        <v>-</v>
      </c>
      <c r="U222" s="10" t="str">
        <f>_xlfn.IFNA(VLOOKUP(B222,'TV Trx'!$B$4:$C$57,2,0),"-")</f>
        <v>-</v>
      </c>
      <c r="V222" s="10" t="str">
        <f t="shared" si="4"/>
        <v>-</v>
      </c>
      <c r="W222" s="1" t="str">
        <f>_xlfn.IFNA(VLOOKUP(B222,'CO Trx'!$A$4:$B$37,2,0),"-")</f>
        <v>-</v>
      </c>
      <c r="X222" s="1" t="str">
        <f>_xlfn.IFNA(VLOOKUP(B222,'CO Trx'!$A$49:$B$104,2,0),"-")</f>
        <v>-</v>
      </c>
      <c r="Y222" s="21" t="s">
        <v>6890</v>
      </c>
    </row>
    <row r="223" spans="1:28" x14ac:dyDescent="0.2">
      <c r="A223" s="1" t="s">
        <v>540</v>
      </c>
      <c r="B223" s="1" t="s">
        <v>541</v>
      </c>
      <c r="C223" s="1" t="s">
        <v>13</v>
      </c>
      <c r="D223" s="1" t="s">
        <v>542</v>
      </c>
      <c r="E223" s="1" t="s">
        <v>7639</v>
      </c>
      <c r="F223" s="1" t="s">
        <v>473</v>
      </c>
      <c r="G223" s="1" t="s">
        <v>473</v>
      </c>
      <c r="H223" s="1" t="s">
        <v>473</v>
      </c>
      <c r="I223" s="1" t="s">
        <v>473</v>
      </c>
      <c r="J223" s="1" t="s">
        <v>473</v>
      </c>
      <c r="K223" s="1" t="s">
        <v>473</v>
      </c>
      <c r="L223" s="1" t="s">
        <v>6974</v>
      </c>
      <c r="M223" s="1" t="s">
        <v>473</v>
      </c>
      <c r="N223" s="1" t="s">
        <v>7640</v>
      </c>
      <c r="O223" s="1" t="s">
        <v>7641</v>
      </c>
      <c r="P223" s="1" t="s">
        <v>8215</v>
      </c>
      <c r="Q223" s="28"/>
      <c r="R223" s="1" t="s">
        <v>8298</v>
      </c>
      <c r="S223" s="1"/>
      <c r="T223" s="10" t="str">
        <f>_xlfn.IFNA(VLOOKUP(B223,Sheet2!$A$2:$M$58,4,0),"-")</f>
        <v>-</v>
      </c>
      <c r="U223" s="10">
        <f>_xlfn.IFNA(VLOOKUP(B223,'TV Trx'!$B$4:$C$57,2,0),"-")</f>
        <v>44951</v>
      </c>
      <c r="V223" s="10">
        <f t="shared" si="4"/>
        <v>44951</v>
      </c>
      <c r="W223" s="1" t="str">
        <f>_xlfn.IFNA(VLOOKUP(B223,'CO Trx'!$A$4:$B$37,2,0),"-")</f>
        <v>-</v>
      </c>
      <c r="X223" s="1" t="str">
        <f>_xlfn.IFNA(VLOOKUP(B223,'CO Trx'!$A$49:$B$104,2,0),"-")</f>
        <v>-</v>
      </c>
      <c r="Y223" s="22" t="s">
        <v>6891</v>
      </c>
      <c r="AA223" t="s">
        <v>8005</v>
      </c>
      <c r="AB223" t="s">
        <v>8053</v>
      </c>
    </row>
    <row r="224" spans="1:28" x14ac:dyDescent="0.2">
      <c r="A224" s="1" t="s">
        <v>55</v>
      </c>
      <c r="B224" s="1" t="s">
        <v>56</v>
      </c>
      <c r="C224" s="1" t="s">
        <v>13</v>
      </c>
      <c r="D224" s="1" t="s">
        <v>57</v>
      </c>
      <c r="E224" s="1" t="s">
        <v>7642</v>
      </c>
      <c r="F224" s="1" t="s">
        <v>473</v>
      </c>
      <c r="G224" s="1" t="s">
        <v>473</v>
      </c>
      <c r="H224" s="1" t="s">
        <v>473</v>
      </c>
      <c r="I224" s="1" t="s">
        <v>473</v>
      </c>
      <c r="J224" s="1" t="s">
        <v>473</v>
      </c>
      <c r="K224" s="1" t="s">
        <v>473</v>
      </c>
      <c r="L224" s="1" t="s">
        <v>6974</v>
      </c>
      <c r="M224" s="1" t="s">
        <v>473</v>
      </c>
      <c r="N224" s="1" t="s">
        <v>7643</v>
      </c>
      <c r="O224" s="1" t="s">
        <v>7644</v>
      </c>
      <c r="P224" s="1" t="s">
        <v>8216</v>
      </c>
      <c r="Q224" s="28"/>
      <c r="R224" s="1" t="s">
        <v>8299</v>
      </c>
      <c r="S224" s="1"/>
      <c r="T224" s="10" t="str">
        <f>_xlfn.IFNA(VLOOKUP(B224,Sheet2!$A$2:$M$58,4,0),"-")</f>
        <v>-</v>
      </c>
      <c r="U224" s="10">
        <f>_xlfn.IFNA(VLOOKUP(B224,'TV Trx'!$B$4:$C$57,2,0),"-")</f>
        <v>45066</v>
      </c>
      <c r="V224" s="10">
        <f t="shared" si="4"/>
        <v>45066</v>
      </c>
      <c r="W224" s="1" t="str">
        <f>_xlfn.IFNA(VLOOKUP(B224,'CO Trx'!$A$4:$B$37,2,0),"-")</f>
        <v>-</v>
      </c>
      <c r="X224" s="1" t="str">
        <f>_xlfn.IFNA(VLOOKUP(B224,'CO Trx'!$A$49:$B$104,2,0),"-")</f>
        <v>-</v>
      </c>
      <c r="Y224" s="20" t="s">
        <v>6889</v>
      </c>
      <c r="AA224" t="s">
        <v>8006</v>
      </c>
      <c r="AB224" t="s">
        <v>8054</v>
      </c>
    </row>
    <row r="225" spans="1:28" x14ac:dyDescent="0.2">
      <c r="A225" s="1" t="s">
        <v>79</v>
      </c>
      <c r="B225" s="1" t="s">
        <v>80</v>
      </c>
      <c r="C225" s="1" t="s">
        <v>13</v>
      </c>
      <c r="D225" s="1" t="s">
        <v>81</v>
      </c>
      <c r="E225" s="1" t="s">
        <v>473</v>
      </c>
      <c r="F225" s="1" t="s">
        <v>473</v>
      </c>
      <c r="G225" s="1" t="s">
        <v>473</v>
      </c>
      <c r="H225" s="1" t="s">
        <v>473</v>
      </c>
      <c r="I225" s="1" t="s">
        <v>473</v>
      </c>
      <c r="J225" s="1" t="s">
        <v>473</v>
      </c>
      <c r="K225" s="1" t="s">
        <v>473</v>
      </c>
      <c r="L225" s="1" t="s">
        <v>473</v>
      </c>
      <c r="M225" s="1" t="s">
        <v>473</v>
      </c>
      <c r="N225" s="1" t="s">
        <v>7645</v>
      </c>
      <c r="O225" s="1" t="s">
        <v>7646</v>
      </c>
      <c r="P225" s="1">
        <v>0</v>
      </c>
      <c r="Q225" s="28">
        <v>0</v>
      </c>
      <c r="R225" s="1">
        <v>0</v>
      </c>
      <c r="S225" s="1"/>
      <c r="T225" s="10" t="str">
        <f>_xlfn.IFNA(VLOOKUP(B225,Sheet2!$A$2:$M$58,4,0),"-")</f>
        <v>-</v>
      </c>
      <c r="U225" s="10" t="str">
        <f>_xlfn.IFNA(VLOOKUP(B225,'TV Trx'!$B$4:$C$57,2,0),"-")</f>
        <v>-</v>
      </c>
      <c r="V225" s="10" t="str">
        <f t="shared" si="4"/>
        <v>-</v>
      </c>
      <c r="W225" s="1" t="str">
        <f>_xlfn.IFNA(VLOOKUP(B225,'CO Trx'!$A$4:$B$37,2,0),"-")</f>
        <v>-</v>
      </c>
      <c r="X225" s="1" t="str">
        <f>_xlfn.IFNA(VLOOKUP(B225,'CO Trx'!$A$49:$B$104,2,0),"-")</f>
        <v>-</v>
      </c>
      <c r="Y225" s="21" t="s">
        <v>6890</v>
      </c>
    </row>
    <row r="226" spans="1:28" x14ac:dyDescent="0.2">
      <c r="A226" s="1" t="s">
        <v>453</v>
      </c>
      <c r="B226" s="1" t="s">
        <v>454</v>
      </c>
      <c r="C226" s="1" t="s">
        <v>13</v>
      </c>
      <c r="D226" s="1" t="s">
        <v>455</v>
      </c>
      <c r="E226" s="1" t="s">
        <v>7647</v>
      </c>
      <c r="F226" s="1" t="s">
        <v>473</v>
      </c>
      <c r="G226" s="1" t="s">
        <v>473</v>
      </c>
      <c r="H226" s="1" t="s">
        <v>473</v>
      </c>
      <c r="I226" s="1" t="s">
        <v>473</v>
      </c>
      <c r="J226" s="1" t="s">
        <v>473</v>
      </c>
      <c r="K226" s="1" t="s">
        <v>473</v>
      </c>
      <c r="L226" s="1" t="s">
        <v>6974</v>
      </c>
      <c r="M226" s="1" t="s">
        <v>473</v>
      </c>
      <c r="N226" s="1" t="s">
        <v>7648</v>
      </c>
      <c r="O226" s="1" t="s">
        <v>7649</v>
      </c>
      <c r="P226" s="1" t="s">
        <v>8217</v>
      </c>
      <c r="Q226" s="28"/>
      <c r="R226" s="1" t="s">
        <v>8300</v>
      </c>
      <c r="S226" s="1"/>
      <c r="T226" s="10" t="str">
        <f>_xlfn.IFNA(VLOOKUP(B226,Sheet2!$A$2:$M$58,4,0),"-")</f>
        <v>-</v>
      </c>
      <c r="U226" s="10">
        <f>_xlfn.IFNA(VLOOKUP(B226,'TV Trx'!$B$4:$C$57,2,0),"-")</f>
        <v>45068</v>
      </c>
      <c r="V226" s="10">
        <f t="shared" si="4"/>
        <v>45068</v>
      </c>
      <c r="W226" s="1" t="str">
        <f>_xlfn.IFNA(VLOOKUP(B226,'CO Trx'!$A$4:$B$37,2,0),"-")</f>
        <v>-</v>
      </c>
      <c r="X226" s="1" t="str">
        <f>_xlfn.IFNA(VLOOKUP(B226,'CO Trx'!$A$49:$B$104,2,0),"-")</f>
        <v>-</v>
      </c>
      <c r="Y226" s="20" t="s">
        <v>6889</v>
      </c>
      <c r="AA226" t="s">
        <v>8007</v>
      </c>
      <c r="AB226" t="s">
        <v>8055</v>
      </c>
    </row>
    <row r="227" spans="1:28" x14ac:dyDescent="0.2">
      <c r="A227" s="1" t="s">
        <v>783</v>
      </c>
      <c r="B227" s="1" t="s">
        <v>784</v>
      </c>
      <c r="C227" s="1" t="s">
        <v>6</v>
      </c>
      <c r="D227" s="1" t="s">
        <v>785</v>
      </c>
      <c r="E227" s="1" t="s">
        <v>7647</v>
      </c>
      <c r="F227" s="1" t="s">
        <v>473</v>
      </c>
      <c r="G227" s="1" t="s">
        <v>473</v>
      </c>
      <c r="H227" s="1" t="s">
        <v>473</v>
      </c>
      <c r="I227" s="1" t="s">
        <v>473</v>
      </c>
      <c r="J227" s="1" t="s">
        <v>473</v>
      </c>
      <c r="K227" s="1" t="s">
        <v>473</v>
      </c>
      <c r="L227" s="1" t="s">
        <v>6974</v>
      </c>
      <c r="M227" s="1" t="s">
        <v>473</v>
      </c>
      <c r="N227" s="1" t="s">
        <v>7650</v>
      </c>
      <c r="O227" s="1" t="s">
        <v>7651</v>
      </c>
      <c r="P227" s="1" t="s">
        <v>8217</v>
      </c>
      <c r="Q227" s="28"/>
      <c r="R227" s="1"/>
      <c r="S227" s="1"/>
      <c r="T227" s="10">
        <f>_xlfn.IFNA(VLOOKUP(B227,Sheet2!$A$2:$M$58,4,0),"-")</f>
        <v>45084</v>
      </c>
      <c r="U227" s="10" t="str">
        <f>_xlfn.IFNA(VLOOKUP(B227,'TV Trx'!$B$4:$C$57,2,0),"-")</f>
        <v>-</v>
      </c>
      <c r="V227" s="10">
        <f t="shared" si="4"/>
        <v>45084</v>
      </c>
      <c r="W227" s="1">
        <f>_xlfn.IFNA(VLOOKUP(B227,'CO Trx'!$A$4:$B$37,2,0),"-")</f>
        <v>6</v>
      </c>
      <c r="X227" s="1">
        <f>_xlfn.IFNA(VLOOKUP(B227,'CO Trx'!$A$49:$B$104,2,0),"-")</f>
        <v>8</v>
      </c>
      <c r="Y227" s="20" t="s">
        <v>6889</v>
      </c>
      <c r="AA227" t="s">
        <v>8115</v>
      </c>
      <c r="AB227" t="s">
        <v>8046</v>
      </c>
    </row>
    <row r="228" spans="1:28" x14ac:dyDescent="0.2">
      <c r="A228" s="1" t="s">
        <v>204</v>
      </c>
      <c r="B228" s="1" t="s">
        <v>205</v>
      </c>
      <c r="C228" s="1" t="s">
        <v>13</v>
      </c>
      <c r="D228" s="1" t="s">
        <v>206</v>
      </c>
      <c r="E228" s="1" t="s">
        <v>7652</v>
      </c>
      <c r="F228" s="1" t="s">
        <v>473</v>
      </c>
      <c r="G228" s="1" t="s">
        <v>473</v>
      </c>
      <c r="H228" s="1" t="s">
        <v>473</v>
      </c>
      <c r="I228" s="1" t="s">
        <v>473</v>
      </c>
      <c r="J228" s="1" t="s">
        <v>473</v>
      </c>
      <c r="K228" s="1" t="s">
        <v>473</v>
      </c>
      <c r="L228" s="1" t="s">
        <v>6974</v>
      </c>
      <c r="M228" s="1" t="s">
        <v>473</v>
      </c>
      <c r="N228" s="1" t="s">
        <v>7653</v>
      </c>
      <c r="O228" s="1" t="s">
        <v>7654</v>
      </c>
      <c r="P228" s="1" t="s">
        <v>8218</v>
      </c>
      <c r="Q228" s="28">
        <v>0</v>
      </c>
      <c r="R228" s="1">
        <v>0</v>
      </c>
      <c r="S228" s="1"/>
      <c r="T228" s="10" t="str">
        <f>_xlfn.IFNA(VLOOKUP(B228,Sheet2!$A$2:$M$58,4,0),"-")</f>
        <v>-</v>
      </c>
      <c r="U228" s="10" t="str">
        <f>_xlfn.IFNA(VLOOKUP(B228,'TV Trx'!$B$4:$C$57,2,0),"-")</f>
        <v>-</v>
      </c>
      <c r="V228" s="10" t="str">
        <f t="shared" si="4"/>
        <v>-</v>
      </c>
      <c r="W228" s="1" t="str">
        <f>_xlfn.IFNA(VLOOKUP(B228,'CO Trx'!$A$4:$B$37,2,0),"-")</f>
        <v>-</v>
      </c>
      <c r="X228" s="1" t="str">
        <f>_xlfn.IFNA(VLOOKUP(B228,'CO Trx'!$A$49:$B$104,2,0),"-")</f>
        <v>-</v>
      </c>
      <c r="Y228" s="21" t="s">
        <v>6890</v>
      </c>
      <c r="AA228" t="s">
        <v>8008</v>
      </c>
    </row>
    <row r="229" spans="1:28" x14ac:dyDescent="0.2">
      <c r="A229" s="1" t="s">
        <v>346</v>
      </c>
      <c r="B229" s="1" t="s">
        <v>347</v>
      </c>
      <c r="C229" s="1" t="s">
        <v>23</v>
      </c>
      <c r="D229" s="1" t="s">
        <v>348</v>
      </c>
      <c r="E229" s="1" t="s">
        <v>7655</v>
      </c>
      <c r="F229" s="1" t="s">
        <v>473</v>
      </c>
      <c r="G229" s="1" t="s">
        <v>473</v>
      </c>
      <c r="H229" s="1" t="s">
        <v>473</v>
      </c>
      <c r="I229" s="1" t="s">
        <v>473</v>
      </c>
      <c r="J229" s="1" t="s">
        <v>473</v>
      </c>
      <c r="K229" s="1" t="s">
        <v>473</v>
      </c>
      <c r="L229" s="1" t="s">
        <v>6974</v>
      </c>
      <c r="M229" s="1" t="s">
        <v>473</v>
      </c>
      <c r="N229" s="1" t="s">
        <v>7656</v>
      </c>
      <c r="O229" s="1" t="s">
        <v>7657</v>
      </c>
      <c r="P229" s="1">
        <v>0</v>
      </c>
      <c r="Q229" s="28">
        <v>0</v>
      </c>
      <c r="R229" s="1">
        <v>0</v>
      </c>
      <c r="S229" s="1"/>
      <c r="T229" s="10" t="str">
        <f>_xlfn.IFNA(VLOOKUP(B229,Sheet2!$A$2:$M$58,4,0),"-")</f>
        <v>-</v>
      </c>
      <c r="U229" s="10" t="str">
        <f>_xlfn.IFNA(VLOOKUP(B229,'TV Trx'!$B$4:$C$57,2,0),"-")</f>
        <v>-</v>
      </c>
      <c r="V229" s="10" t="str">
        <f t="shared" si="4"/>
        <v>-</v>
      </c>
      <c r="W229" s="1" t="str">
        <f>_xlfn.IFNA(VLOOKUP(B229,'CO Trx'!$A$4:$B$37,2,0),"-")</f>
        <v>-</v>
      </c>
      <c r="X229" s="1" t="str">
        <f>_xlfn.IFNA(VLOOKUP(B229,'CO Trx'!$A$49:$B$104,2,0),"-")</f>
        <v>-</v>
      </c>
      <c r="Y229" s="21" t="s">
        <v>6890</v>
      </c>
    </row>
    <row r="230" spans="1:28" x14ac:dyDescent="0.2">
      <c r="A230" s="1" t="s">
        <v>786</v>
      </c>
      <c r="B230" s="1" t="s">
        <v>787</v>
      </c>
      <c r="C230" s="1" t="s">
        <v>13</v>
      </c>
      <c r="D230" s="1" t="s">
        <v>788</v>
      </c>
      <c r="E230" s="1" t="s">
        <v>473</v>
      </c>
      <c r="F230" s="1" t="s">
        <v>473</v>
      </c>
      <c r="G230" s="1" t="s">
        <v>473</v>
      </c>
      <c r="H230" s="1" t="s">
        <v>473</v>
      </c>
      <c r="I230" s="1" t="s">
        <v>473</v>
      </c>
      <c r="J230" s="1" t="s">
        <v>473</v>
      </c>
      <c r="K230" s="1" t="s">
        <v>473</v>
      </c>
      <c r="L230" s="1" t="s">
        <v>473</v>
      </c>
      <c r="M230" s="1" t="s">
        <v>473</v>
      </c>
      <c r="N230" s="1" t="s">
        <v>7658</v>
      </c>
      <c r="O230" s="1" t="s">
        <v>7659</v>
      </c>
      <c r="P230" s="1">
        <v>0</v>
      </c>
      <c r="Q230" s="28">
        <v>0</v>
      </c>
      <c r="R230" s="1">
        <v>0</v>
      </c>
      <c r="S230" s="1"/>
      <c r="T230" s="10" t="str">
        <f>_xlfn.IFNA(VLOOKUP(B230,Sheet2!$A$2:$M$58,4,0),"-")</f>
        <v>-</v>
      </c>
      <c r="U230" s="10" t="str">
        <f>_xlfn.IFNA(VLOOKUP(B230,'TV Trx'!$B$4:$C$57,2,0),"-")</f>
        <v>-</v>
      </c>
      <c r="V230" s="10" t="str">
        <f t="shared" si="4"/>
        <v>-</v>
      </c>
      <c r="W230" s="1" t="str">
        <f>_xlfn.IFNA(VLOOKUP(B230,'CO Trx'!$A$4:$B$37,2,0),"-")</f>
        <v>-</v>
      </c>
      <c r="X230" s="1" t="str">
        <f>_xlfn.IFNA(VLOOKUP(B230,'CO Trx'!$A$49:$B$104,2,0),"-")</f>
        <v>-</v>
      </c>
      <c r="Y230" s="21" t="s">
        <v>6890</v>
      </c>
    </row>
    <row r="231" spans="1:28" x14ac:dyDescent="0.2">
      <c r="A231" s="1" t="s">
        <v>629</v>
      </c>
      <c r="B231" s="1" t="s">
        <v>630</v>
      </c>
      <c r="C231" s="1" t="s">
        <v>13</v>
      </c>
      <c r="D231" s="1" t="s">
        <v>631</v>
      </c>
      <c r="E231" s="1" t="s">
        <v>7660</v>
      </c>
      <c r="F231" s="1" t="s">
        <v>473</v>
      </c>
      <c r="G231" s="1" t="s">
        <v>473</v>
      </c>
      <c r="H231" s="1" t="s">
        <v>473</v>
      </c>
      <c r="I231" s="1" t="s">
        <v>473</v>
      </c>
      <c r="J231" s="1" t="s">
        <v>473</v>
      </c>
      <c r="K231" s="1" t="s">
        <v>473</v>
      </c>
      <c r="L231" s="1" t="s">
        <v>6974</v>
      </c>
      <c r="M231" s="1" t="s">
        <v>473</v>
      </c>
      <c r="N231" s="1" t="s">
        <v>7661</v>
      </c>
      <c r="O231" s="1" t="s">
        <v>7662</v>
      </c>
      <c r="P231" s="1" t="s">
        <v>8219</v>
      </c>
      <c r="Q231" s="28"/>
      <c r="R231" s="1" t="s">
        <v>8301</v>
      </c>
      <c r="S231" s="1"/>
      <c r="T231" s="10" t="str">
        <f>_xlfn.IFNA(VLOOKUP(B231,Sheet2!$A$2:$M$58,4,0),"-")</f>
        <v>-</v>
      </c>
      <c r="U231" s="10">
        <f>_xlfn.IFNA(VLOOKUP(B231,'TV Trx'!$B$4:$C$57,2,0),"-")</f>
        <v>45086</v>
      </c>
      <c r="V231" s="10">
        <f t="shared" si="4"/>
        <v>45086</v>
      </c>
      <c r="W231" s="1" t="str">
        <f>_xlfn.IFNA(VLOOKUP(B231,'CO Trx'!$A$4:$B$37,2,0),"-")</f>
        <v>-</v>
      </c>
      <c r="X231" s="1" t="str">
        <f>_xlfn.IFNA(VLOOKUP(B231,'CO Trx'!$A$49:$B$104,2,0),"-")</f>
        <v>-</v>
      </c>
      <c r="Y231" s="20" t="s">
        <v>6889</v>
      </c>
      <c r="AA231" t="s">
        <v>8009</v>
      </c>
      <c r="AB231" t="s">
        <v>8056</v>
      </c>
    </row>
    <row r="232" spans="1:28" x14ac:dyDescent="0.2">
      <c r="A232" s="1" t="s">
        <v>115</v>
      </c>
      <c r="B232" s="1" t="s">
        <v>116</v>
      </c>
      <c r="C232" s="1" t="s">
        <v>13</v>
      </c>
      <c r="D232" s="1" t="s">
        <v>117</v>
      </c>
      <c r="E232" s="1" t="s">
        <v>7663</v>
      </c>
      <c r="F232" s="1" t="s">
        <v>473</v>
      </c>
      <c r="G232" s="1" t="s">
        <v>473</v>
      </c>
      <c r="H232" s="1" t="s">
        <v>473</v>
      </c>
      <c r="I232" s="1" t="s">
        <v>473</v>
      </c>
      <c r="J232" s="1" t="s">
        <v>473</v>
      </c>
      <c r="K232" s="1" t="s">
        <v>473</v>
      </c>
      <c r="L232" s="1" t="s">
        <v>6974</v>
      </c>
      <c r="M232" s="1" t="s">
        <v>473</v>
      </c>
      <c r="N232" s="1" t="s">
        <v>7664</v>
      </c>
      <c r="O232" s="1" t="s">
        <v>7665</v>
      </c>
      <c r="P232" s="1" t="s">
        <v>8220</v>
      </c>
      <c r="Q232" s="28"/>
      <c r="R232" s="1" t="s">
        <v>8302</v>
      </c>
      <c r="S232" s="1"/>
      <c r="T232" s="10" t="str">
        <f>_xlfn.IFNA(VLOOKUP(B232,Sheet2!$A$2:$M$58,4,0),"-")</f>
        <v>-</v>
      </c>
      <c r="U232" s="10">
        <f>_xlfn.IFNA(VLOOKUP(B232,'TV Trx'!$B$4:$C$57,2,0),"-")</f>
        <v>45086</v>
      </c>
      <c r="V232" s="10">
        <f t="shared" si="4"/>
        <v>45086</v>
      </c>
      <c r="W232" s="1" t="str">
        <f>_xlfn.IFNA(VLOOKUP(B232,'CO Trx'!$A$4:$B$37,2,0),"-")</f>
        <v>-</v>
      </c>
      <c r="X232" s="1" t="str">
        <f>_xlfn.IFNA(VLOOKUP(B232,'CO Trx'!$A$49:$B$104,2,0),"-")</f>
        <v>-</v>
      </c>
      <c r="Y232" s="20" t="s">
        <v>6889</v>
      </c>
      <c r="AA232" t="s">
        <v>8010</v>
      </c>
      <c r="AB232" t="s">
        <v>8057</v>
      </c>
    </row>
    <row r="233" spans="1:28" x14ac:dyDescent="0.2">
      <c r="A233" s="1" t="s">
        <v>49</v>
      </c>
      <c r="B233" s="1" t="s">
        <v>50</v>
      </c>
      <c r="C233" s="1" t="s">
        <v>13</v>
      </c>
      <c r="D233" s="1" t="s">
        <v>51</v>
      </c>
      <c r="E233" s="1" t="s">
        <v>7666</v>
      </c>
      <c r="F233" s="1" t="s">
        <v>473</v>
      </c>
      <c r="G233" s="1" t="s">
        <v>473</v>
      </c>
      <c r="H233" s="1" t="s">
        <v>473</v>
      </c>
      <c r="I233" s="1" t="s">
        <v>473</v>
      </c>
      <c r="J233" s="1" t="s">
        <v>473</v>
      </c>
      <c r="K233" s="1" t="s">
        <v>473</v>
      </c>
      <c r="L233" s="1" t="s">
        <v>6974</v>
      </c>
      <c r="M233" s="1" t="s">
        <v>473</v>
      </c>
      <c r="N233" s="1" t="s">
        <v>7667</v>
      </c>
      <c r="O233" s="1" t="s">
        <v>7668</v>
      </c>
      <c r="P233" s="1" t="s">
        <v>8221</v>
      </c>
      <c r="Q233" s="28"/>
      <c r="R233" s="1" t="s">
        <v>8303</v>
      </c>
      <c r="S233" s="1"/>
      <c r="T233" s="10" t="str">
        <f>_xlfn.IFNA(VLOOKUP(B233,Sheet2!$A$2:$M$58,4,0),"-")</f>
        <v>-</v>
      </c>
      <c r="U233" s="10">
        <f>_xlfn.IFNA(VLOOKUP(B233,'TV Trx'!$B$4:$C$57,2,0),"-")</f>
        <v>45029</v>
      </c>
      <c r="V233" s="10">
        <f t="shared" si="4"/>
        <v>45029</v>
      </c>
      <c r="W233" s="1" t="str">
        <f>_xlfn.IFNA(VLOOKUP(B233,'CO Trx'!$A$4:$B$37,2,0),"-")</f>
        <v>-</v>
      </c>
      <c r="X233" s="1" t="str">
        <f>_xlfn.IFNA(VLOOKUP(B233,'CO Trx'!$A$49:$B$104,2,0),"-")</f>
        <v>-</v>
      </c>
      <c r="Y233" s="20" t="s">
        <v>6889</v>
      </c>
      <c r="AA233" t="s">
        <v>8011</v>
      </c>
      <c r="AB233" t="s">
        <v>8058</v>
      </c>
    </row>
    <row r="234" spans="1:28" x14ac:dyDescent="0.2">
      <c r="A234" s="1" t="s">
        <v>587</v>
      </c>
      <c r="B234" s="1" t="s">
        <v>588</v>
      </c>
      <c r="C234" s="1" t="s">
        <v>13</v>
      </c>
      <c r="D234" s="1" t="s">
        <v>589</v>
      </c>
      <c r="E234" s="1" t="s">
        <v>7669</v>
      </c>
      <c r="F234" s="1" t="s">
        <v>473</v>
      </c>
      <c r="G234" s="1" t="s">
        <v>473</v>
      </c>
      <c r="H234" s="1" t="s">
        <v>473</v>
      </c>
      <c r="I234" s="1" t="s">
        <v>473</v>
      </c>
      <c r="J234" s="1" t="s">
        <v>473</v>
      </c>
      <c r="K234" s="1" t="s">
        <v>473</v>
      </c>
      <c r="L234" s="1" t="s">
        <v>6974</v>
      </c>
      <c r="M234" s="1" t="s">
        <v>473</v>
      </c>
      <c r="N234" s="1" t="s">
        <v>7670</v>
      </c>
      <c r="O234" s="1" t="s">
        <v>7671</v>
      </c>
      <c r="P234" s="1" t="s">
        <v>8222</v>
      </c>
      <c r="Q234" s="28">
        <v>0</v>
      </c>
      <c r="R234" s="1">
        <v>0</v>
      </c>
      <c r="S234" s="1"/>
      <c r="T234" s="10" t="str">
        <f>_xlfn.IFNA(VLOOKUP(B234,Sheet2!$A$2:$M$58,4,0),"-")</f>
        <v>-</v>
      </c>
      <c r="U234" s="10" t="str">
        <f>_xlfn.IFNA(VLOOKUP(B234,'TV Trx'!$B$4:$C$57,2,0),"-")</f>
        <v>-</v>
      </c>
      <c r="V234" s="10" t="str">
        <f t="shared" si="4"/>
        <v>-</v>
      </c>
      <c r="W234" s="1" t="str">
        <f>_xlfn.IFNA(VLOOKUP(B234,'CO Trx'!$A$4:$B$37,2,0),"-")</f>
        <v>-</v>
      </c>
      <c r="X234" s="1" t="str">
        <f>_xlfn.IFNA(VLOOKUP(B234,'CO Trx'!$A$49:$B$104,2,0),"-")</f>
        <v>-</v>
      </c>
      <c r="Y234" s="21" t="s">
        <v>6890</v>
      </c>
      <c r="AA234" t="s">
        <v>8012</v>
      </c>
    </row>
    <row r="235" spans="1:28" x14ac:dyDescent="0.2">
      <c r="A235" s="1" t="s">
        <v>909</v>
      </c>
      <c r="B235" s="1" t="s">
        <v>910</v>
      </c>
      <c r="C235" s="1" t="s">
        <v>6</v>
      </c>
      <c r="D235" s="1" t="s">
        <v>911</v>
      </c>
      <c r="E235" s="1" t="s">
        <v>7672</v>
      </c>
      <c r="F235" s="1" t="s">
        <v>473</v>
      </c>
      <c r="G235" s="1" t="s">
        <v>473</v>
      </c>
      <c r="H235" s="1" t="s">
        <v>473</v>
      </c>
      <c r="I235" s="1" t="s">
        <v>473</v>
      </c>
      <c r="J235" s="1" t="s">
        <v>473</v>
      </c>
      <c r="K235" s="1" t="s">
        <v>473</v>
      </c>
      <c r="L235" s="1" t="s">
        <v>6974</v>
      </c>
      <c r="M235" s="1" t="s">
        <v>473</v>
      </c>
      <c r="N235" s="1" t="s">
        <v>7673</v>
      </c>
      <c r="O235" s="1" t="s">
        <v>7674</v>
      </c>
      <c r="P235" s="1" t="s">
        <v>8262</v>
      </c>
      <c r="Q235" s="28"/>
      <c r="R235" s="1"/>
      <c r="S235" s="1"/>
      <c r="T235" s="10">
        <f>_xlfn.IFNA(VLOOKUP(B235,Sheet2!$A$2:$M$58,4,0),"-")</f>
        <v>45017</v>
      </c>
      <c r="U235" s="10" t="str">
        <f>_xlfn.IFNA(VLOOKUP(B235,'TV Trx'!$B$4:$C$57,2,0),"-")</f>
        <v>-</v>
      </c>
      <c r="V235" s="10">
        <f t="shared" si="4"/>
        <v>45017</v>
      </c>
      <c r="W235" s="1" t="str">
        <f>_xlfn.IFNA(VLOOKUP(B235,'CO Trx'!$A$4:$B$37,2,0),"-")</f>
        <v>-</v>
      </c>
      <c r="X235" s="1">
        <f>_xlfn.IFNA(VLOOKUP(B235,'CO Trx'!$A$49:$B$104,2,0),"-")</f>
        <v>71</v>
      </c>
      <c r="Y235" s="20" t="s">
        <v>6889</v>
      </c>
      <c r="AA235" s="30" t="s">
        <v>8261</v>
      </c>
      <c r="AB235" t="s">
        <v>7965</v>
      </c>
    </row>
    <row r="236" spans="1:28" x14ac:dyDescent="0.2">
      <c r="A236" s="1" t="s">
        <v>302</v>
      </c>
      <c r="B236" s="1" t="s">
        <v>303</v>
      </c>
      <c r="C236" s="1" t="s">
        <v>13</v>
      </c>
      <c r="D236" s="1" t="s">
        <v>304</v>
      </c>
      <c r="E236" s="1" t="s">
        <v>7675</v>
      </c>
      <c r="F236" s="1" t="s">
        <v>473</v>
      </c>
      <c r="G236" s="1" t="s">
        <v>473</v>
      </c>
      <c r="H236" s="1" t="s">
        <v>473</v>
      </c>
      <c r="I236" s="1" t="s">
        <v>473</v>
      </c>
      <c r="J236" s="1" t="s">
        <v>473</v>
      </c>
      <c r="K236" s="1" t="s">
        <v>473</v>
      </c>
      <c r="L236" s="1" t="s">
        <v>6974</v>
      </c>
      <c r="M236" s="1" t="s">
        <v>473</v>
      </c>
      <c r="N236" s="1" t="s">
        <v>7676</v>
      </c>
      <c r="O236" s="1" t="s">
        <v>7677</v>
      </c>
      <c r="P236" s="1" t="s">
        <v>8223</v>
      </c>
      <c r="Q236" s="28"/>
      <c r="R236" s="1" t="s">
        <v>8304</v>
      </c>
      <c r="S236" s="1"/>
      <c r="T236" s="10" t="str">
        <f>_xlfn.IFNA(VLOOKUP(B236,Sheet2!$A$2:$M$58,4,0),"-")</f>
        <v>-</v>
      </c>
      <c r="U236" s="10">
        <f>_xlfn.IFNA(VLOOKUP(B236,'TV Trx'!$B$4:$C$57,2,0),"-")</f>
        <v>45079</v>
      </c>
      <c r="V236" s="10">
        <f t="shared" si="4"/>
        <v>45079</v>
      </c>
      <c r="W236" s="1" t="str">
        <f>_xlfn.IFNA(VLOOKUP(B236,'CO Trx'!$A$4:$B$37,2,0),"-")</f>
        <v>-</v>
      </c>
      <c r="X236" s="1" t="str">
        <f>_xlfn.IFNA(VLOOKUP(B236,'CO Trx'!$A$49:$B$104,2,0),"-")</f>
        <v>-</v>
      </c>
      <c r="Y236" s="20" t="s">
        <v>6889</v>
      </c>
      <c r="AA236" t="s">
        <v>8013</v>
      </c>
      <c r="AB236" t="s">
        <v>8059</v>
      </c>
    </row>
    <row r="237" spans="1:28" x14ac:dyDescent="0.2">
      <c r="A237" s="1" t="s">
        <v>52</v>
      </c>
      <c r="B237" s="1" t="s">
        <v>53</v>
      </c>
      <c r="C237" s="1" t="s">
        <v>23</v>
      </c>
      <c r="D237" s="1" t="s">
        <v>54</v>
      </c>
      <c r="E237" s="1" t="s">
        <v>7678</v>
      </c>
      <c r="F237" s="1" t="s">
        <v>473</v>
      </c>
      <c r="G237" s="1" t="s">
        <v>473</v>
      </c>
      <c r="H237" s="1" t="s">
        <v>473</v>
      </c>
      <c r="I237" s="1" t="s">
        <v>473</v>
      </c>
      <c r="J237" s="1" t="s">
        <v>473</v>
      </c>
      <c r="K237" s="1" t="s">
        <v>473</v>
      </c>
      <c r="L237" s="1" t="s">
        <v>7679</v>
      </c>
      <c r="M237" s="1" t="s">
        <v>473</v>
      </c>
      <c r="N237" s="1" t="s">
        <v>7680</v>
      </c>
      <c r="O237" s="1" t="s">
        <v>7681</v>
      </c>
      <c r="P237" s="1">
        <v>0</v>
      </c>
      <c r="Q237" s="28">
        <v>0</v>
      </c>
      <c r="R237" s="1">
        <v>0</v>
      </c>
      <c r="S237" s="1"/>
      <c r="T237" s="10" t="str">
        <f>_xlfn.IFNA(VLOOKUP(B237,Sheet2!$A$2:$M$58,4,0),"-")</f>
        <v>-</v>
      </c>
      <c r="U237" s="10" t="str">
        <f>_xlfn.IFNA(VLOOKUP(B237,'TV Trx'!$B$4:$C$57,2,0),"-")</f>
        <v>-</v>
      </c>
      <c r="V237" s="10" t="str">
        <f t="shared" si="4"/>
        <v>-</v>
      </c>
      <c r="W237" s="1" t="str">
        <f>_xlfn.IFNA(VLOOKUP(B237,'CO Trx'!$A$4:$B$37,2,0),"-")</f>
        <v>-</v>
      </c>
      <c r="X237" s="1" t="str">
        <f>_xlfn.IFNA(VLOOKUP(B237,'CO Trx'!$A$49:$B$104,2,0),"-")</f>
        <v>-</v>
      </c>
      <c r="Y237" s="21" t="s">
        <v>6890</v>
      </c>
    </row>
    <row r="238" spans="1:28" x14ac:dyDescent="0.2">
      <c r="A238" s="1" t="s">
        <v>918</v>
      </c>
      <c r="B238" s="1" t="s">
        <v>919</v>
      </c>
      <c r="C238" s="1" t="s">
        <v>6</v>
      </c>
      <c r="D238" s="1" t="s">
        <v>920</v>
      </c>
      <c r="E238" s="1" t="s">
        <v>7682</v>
      </c>
      <c r="F238" s="1" t="s">
        <v>473</v>
      </c>
      <c r="G238" s="1" t="s">
        <v>473</v>
      </c>
      <c r="H238" s="1" t="s">
        <v>473</v>
      </c>
      <c r="I238" s="1" t="s">
        <v>473</v>
      </c>
      <c r="J238" s="1" t="s">
        <v>473</v>
      </c>
      <c r="K238" s="1" t="s">
        <v>473</v>
      </c>
      <c r="L238" s="1" t="s">
        <v>6974</v>
      </c>
      <c r="M238" s="1" t="s">
        <v>473</v>
      </c>
      <c r="N238" s="1" t="s">
        <v>7683</v>
      </c>
      <c r="O238" s="1" t="s">
        <v>7684</v>
      </c>
      <c r="P238" s="1">
        <v>0</v>
      </c>
      <c r="Q238" s="28">
        <v>0</v>
      </c>
      <c r="R238" s="1">
        <v>0</v>
      </c>
      <c r="S238" s="1"/>
      <c r="T238" s="10" t="str">
        <f>_xlfn.IFNA(VLOOKUP(B238,Sheet2!$A$2:$M$58,4,0),"-")</f>
        <v>-</v>
      </c>
      <c r="U238" s="10" t="str">
        <f>_xlfn.IFNA(VLOOKUP(B238,'TV Trx'!$B$4:$C$57,2,0),"-")</f>
        <v>-</v>
      </c>
      <c r="V238" s="10" t="str">
        <f t="shared" si="4"/>
        <v>-</v>
      </c>
      <c r="W238" s="1" t="str">
        <f>_xlfn.IFNA(VLOOKUP(B238,'CO Trx'!$A$4:$B$37,2,0),"-")</f>
        <v>-</v>
      </c>
      <c r="X238" s="1" t="str">
        <f>_xlfn.IFNA(VLOOKUP(B238,'CO Trx'!$A$49:$B$104,2,0),"-")</f>
        <v>-</v>
      </c>
      <c r="Y238" s="21" t="s">
        <v>6890</v>
      </c>
    </row>
    <row r="239" spans="1:28" x14ac:dyDescent="0.2">
      <c r="A239" s="1" t="s">
        <v>760</v>
      </c>
      <c r="B239" s="1" t="s">
        <v>761</v>
      </c>
      <c r="C239" s="1" t="s">
        <v>13</v>
      </c>
      <c r="D239" s="1" t="s">
        <v>762</v>
      </c>
      <c r="E239" s="1" t="s">
        <v>7685</v>
      </c>
      <c r="F239" s="1" t="s">
        <v>473</v>
      </c>
      <c r="G239" s="1" t="s">
        <v>473</v>
      </c>
      <c r="H239" s="1" t="s">
        <v>473</v>
      </c>
      <c r="I239" s="1" t="s">
        <v>473</v>
      </c>
      <c r="J239" s="1" t="s">
        <v>473</v>
      </c>
      <c r="K239" s="1" t="s">
        <v>473</v>
      </c>
      <c r="L239" s="1" t="s">
        <v>6974</v>
      </c>
      <c r="M239" s="1" t="s">
        <v>473</v>
      </c>
      <c r="N239" s="1" t="s">
        <v>7686</v>
      </c>
      <c r="O239" s="1" t="s">
        <v>7687</v>
      </c>
      <c r="P239" s="1" t="s">
        <v>8224</v>
      </c>
      <c r="Q239" s="28"/>
      <c r="R239" s="1" t="s">
        <v>8305</v>
      </c>
      <c r="S239" s="1"/>
      <c r="T239" s="10" t="str">
        <f>_xlfn.IFNA(VLOOKUP(B239,Sheet2!$A$2:$M$58,4,0),"-")</f>
        <v>-</v>
      </c>
      <c r="U239" s="10">
        <f>_xlfn.IFNA(VLOOKUP(B239,'TV Trx'!$B$4:$C$57,2,0),"-")</f>
        <v>45059</v>
      </c>
      <c r="V239" s="10">
        <f t="shared" si="4"/>
        <v>45059</v>
      </c>
      <c r="W239" s="1" t="str">
        <f>_xlfn.IFNA(VLOOKUP(B239,'CO Trx'!$A$4:$B$37,2,0),"-")</f>
        <v>-</v>
      </c>
      <c r="X239" s="1" t="str">
        <f>_xlfn.IFNA(VLOOKUP(B239,'CO Trx'!$A$49:$B$104,2,0),"-")</f>
        <v>-</v>
      </c>
      <c r="Y239" s="20" t="s">
        <v>6889</v>
      </c>
      <c r="AA239" t="s">
        <v>8014</v>
      </c>
      <c r="AB239" t="s">
        <v>8060</v>
      </c>
    </row>
    <row r="240" spans="1:28" x14ac:dyDescent="0.2">
      <c r="A240" s="1" t="s">
        <v>558</v>
      </c>
      <c r="B240" s="1" t="s">
        <v>559</v>
      </c>
      <c r="C240" s="1" t="s">
        <v>6</v>
      </c>
      <c r="D240" s="1" t="s">
        <v>560</v>
      </c>
      <c r="E240" s="1" t="s">
        <v>7688</v>
      </c>
      <c r="F240" s="1" t="s">
        <v>473</v>
      </c>
      <c r="G240" s="1" t="s">
        <v>473</v>
      </c>
      <c r="H240" s="1" t="s">
        <v>473</v>
      </c>
      <c r="I240" s="1" t="s">
        <v>473</v>
      </c>
      <c r="J240" s="1" t="s">
        <v>473</v>
      </c>
      <c r="K240" s="1" t="s">
        <v>473</v>
      </c>
      <c r="L240" s="1" t="s">
        <v>6974</v>
      </c>
      <c r="M240" s="1" t="s">
        <v>473</v>
      </c>
      <c r="N240" s="1" t="s">
        <v>7689</v>
      </c>
      <c r="O240" s="1" t="s">
        <v>7690</v>
      </c>
      <c r="P240" s="1" t="s">
        <v>8225</v>
      </c>
      <c r="Q240" s="28"/>
      <c r="R240" s="1"/>
      <c r="S240" s="1"/>
      <c r="T240" s="10">
        <f>_xlfn.IFNA(VLOOKUP(B240,Sheet2!$A$2:$M$58,4,0),"-")</f>
        <v>45081</v>
      </c>
      <c r="U240" s="10" t="str">
        <f>_xlfn.IFNA(VLOOKUP(B240,'TV Trx'!$B$4:$C$57,2,0),"-")</f>
        <v>-</v>
      </c>
      <c r="V240" s="10">
        <f t="shared" si="4"/>
        <v>45081</v>
      </c>
      <c r="W240" s="1">
        <f>_xlfn.IFNA(VLOOKUP(B240,'CO Trx'!$A$4:$B$37,2,0),"-")</f>
        <v>3</v>
      </c>
      <c r="X240" s="1">
        <f>_xlfn.IFNA(VLOOKUP(B240,'CO Trx'!$A$49:$B$104,2,0),"-")</f>
        <v>11</v>
      </c>
      <c r="Y240" s="20" t="s">
        <v>6889</v>
      </c>
      <c r="AA240" t="s">
        <v>8116</v>
      </c>
      <c r="AB240" t="s">
        <v>8061</v>
      </c>
    </row>
    <row r="241" spans="1:28" x14ac:dyDescent="0.2">
      <c r="A241" s="1" t="s">
        <v>159</v>
      </c>
      <c r="B241" s="1" t="s">
        <v>160</v>
      </c>
      <c r="C241" s="1" t="s">
        <v>13</v>
      </c>
      <c r="D241" s="1" t="s">
        <v>161</v>
      </c>
      <c r="E241" s="1" t="s">
        <v>7691</v>
      </c>
      <c r="F241" s="1" t="s">
        <v>473</v>
      </c>
      <c r="G241" s="1" t="s">
        <v>473</v>
      </c>
      <c r="H241" s="1" t="s">
        <v>473</v>
      </c>
      <c r="I241" s="1" t="s">
        <v>473</v>
      </c>
      <c r="J241" s="1" t="s">
        <v>473</v>
      </c>
      <c r="K241" s="1" t="s">
        <v>473</v>
      </c>
      <c r="L241" s="1" t="s">
        <v>6974</v>
      </c>
      <c r="M241" s="1" t="s">
        <v>473</v>
      </c>
      <c r="N241" s="1" t="s">
        <v>7692</v>
      </c>
      <c r="O241" s="1" t="s">
        <v>7693</v>
      </c>
      <c r="P241" s="1" t="s">
        <v>8226</v>
      </c>
      <c r="Q241" s="28"/>
      <c r="R241" s="1" t="s">
        <v>8306</v>
      </c>
      <c r="S241" s="1"/>
      <c r="T241" s="10" t="str">
        <f>_xlfn.IFNA(VLOOKUP(B241,Sheet2!$A$2:$M$58,4,0),"-")</f>
        <v>-</v>
      </c>
      <c r="U241" s="10">
        <f>_xlfn.IFNA(VLOOKUP(B241,'TV Trx'!$B$4:$C$57,2,0),"-")</f>
        <v>45081</v>
      </c>
      <c r="V241" s="10">
        <f t="shared" si="4"/>
        <v>45081</v>
      </c>
      <c r="W241" s="1" t="str">
        <f>_xlfn.IFNA(VLOOKUP(B241,'CO Trx'!$A$4:$B$37,2,0),"-")</f>
        <v>-</v>
      </c>
      <c r="X241" s="1" t="str">
        <f>_xlfn.IFNA(VLOOKUP(B241,'CO Trx'!$A$49:$B$104,2,0),"-")</f>
        <v>-</v>
      </c>
      <c r="Y241" s="20" t="s">
        <v>6889</v>
      </c>
      <c r="AA241" t="s">
        <v>8015</v>
      </c>
      <c r="AB241" t="s">
        <v>8061</v>
      </c>
    </row>
    <row r="242" spans="1:28" x14ac:dyDescent="0.2">
      <c r="A242" s="1" t="s">
        <v>590</v>
      </c>
      <c r="B242" s="1" t="s">
        <v>591</v>
      </c>
      <c r="C242" s="1" t="s">
        <v>13</v>
      </c>
      <c r="D242" s="1" t="s">
        <v>592</v>
      </c>
      <c r="E242" s="1" t="s">
        <v>7694</v>
      </c>
      <c r="F242" s="1" t="s">
        <v>473</v>
      </c>
      <c r="G242" s="1" t="s">
        <v>473</v>
      </c>
      <c r="H242" s="1" t="s">
        <v>473</v>
      </c>
      <c r="I242" s="1" t="s">
        <v>473</v>
      </c>
      <c r="J242" s="1" t="s">
        <v>473</v>
      </c>
      <c r="K242" s="1" t="s">
        <v>473</v>
      </c>
      <c r="L242" s="1" t="s">
        <v>6974</v>
      </c>
      <c r="M242" s="1" t="s">
        <v>473</v>
      </c>
      <c r="N242" s="1" t="s">
        <v>7695</v>
      </c>
      <c r="O242" s="1" t="s">
        <v>7696</v>
      </c>
      <c r="P242" s="1" t="s">
        <v>8227</v>
      </c>
      <c r="Q242" s="28"/>
      <c r="R242" s="1" t="s">
        <v>8307</v>
      </c>
      <c r="S242" s="1"/>
      <c r="T242" s="10" t="str">
        <f>_xlfn.IFNA(VLOOKUP(B242,Sheet2!$A$2:$M$58,4,0),"-")</f>
        <v>-</v>
      </c>
      <c r="U242" s="10">
        <f>_xlfn.IFNA(VLOOKUP(B242,'TV Trx'!$B$4:$C$57,2,0),"-")</f>
        <v>45084</v>
      </c>
      <c r="V242" s="10">
        <f t="shared" si="4"/>
        <v>45084</v>
      </c>
      <c r="W242" s="1" t="str">
        <f>_xlfn.IFNA(VLOOKUP(B242,'CO Trx'!$A$4:$B$37,2,0),"-")</f>
        <v>-</v>
      </c>
      <c r="X242" s="1" t="str">
        <f>_xlfn.IFNA(VLOOKUP(B242,'CO Trx'!$A$49:$B$104,2,0),"-")</f>
        <v>-</v>
      </c>
      <c r="Y242" s="20" t="s">
        <v>6889</v>
      </c>
      <c r="AA242" t="s">
        <v>8016</v>
      </c>
      <c r="AB242" t="s">
        <v>8062</v>
      </c>
    </row>
    <row r="243" spans="1:28" x14ac:dyDescent="0.2">
      <c r="A243" s="1" t="s">
        <v>507</v>
      </c>
      <c r="B243" s="1" t="s">
        <v>508</v>
      </c>
      <c r="C243" s="1" t="s">
        <v>6</v>
      </c>
      <c r="D243" s="1" t="s">
        <v>509</v>
      </c>
      <c r="E243" s="1" t="s">
        <v>7697</v>
      </c>
      <c r="F243" s="1" t="s">
        <v>473</v>
      </c>
      <c r="G243" s="1" t="s">
        <v>473</v>
      </c>
      <c r="H243" s="1" t="s">
        <v>473</v>
      </c>
      <c r="I243" s="1" t="s">
        <v>473</v>
      </c>
      <c r="J243" s="1" t="s">
        <v>473</v>
      </c>
      <c r="K243" s="1" t="s">
        <v>473</v>
      </c>
      <c r="L243" s="1" t="s">
        <v>6974</v>
      </c>
      <c r="M243" s="1" t="s">
        <v>473</v>
      </c>
      <c r="N243" s="1" t="s">
        <v>7698</v>
      </c>
      <c r="O243" s="1" t="s">
        <v>7699</v>
      </c>
      <c r="P243" s="1">
        <v>0</v>
      </c>
      <c r="Q243" s="28">
        <v>0</v>
      </c>
      <c r="R243" s="1">
        <v>0</v>
      </c>
      <c r="S243" s="1"/>
      <c r="T243" s="10" t="str">
        <f>_xlfn.IFNA(VLOOKUP(B243,Sheet2!$A$2:$M$58,4,0),"-")</f>
        <v>-</v>
      </c>
      <c r="U243" s="10" t="str">
        <f>_xlfn.IFNA(VLOOKUP(B243,'TV Trx'!$B$4:$C$57,2,0),"-")</f>
        <v>-</v>
      </c>
      <c r="V243" s="10" t="str">
        <f t="shared" si="4"/>
        <v>-</v>
      </c>
      <c r="W243" s="1" t="str">
        <f>_xlfn.IFNA(VLOOKUP(B243,'CO Trx'!$A$4:$B$37,2,0),"-")</f>
        <v>-</v>
      </c>
      <c r="X243" s="1" t="str">
        <f>_xlfn.IFNA(VLOOKUP(B243,'CO Trx'!$A$49:$B$104,2,0),"-")</f>
        <v>-</v>
      </c>
      <c r="Y243" s="21" t="s">
        <v>6890</v>
      </c>
    </row>
    <row r="244" spans="1:28" x14ac:dyDescent="0.2">
      <c r="A244" s="1" t="s">
        <v>165</v>
      </c>
      <c r="B244" s="1" t="s">
        <v>166</v>
      </c>
      <c r="C244" s="1" t="s">
        <v>13</v>
      </c>
      <c r="D244" s="1" t="s">
        <v>167</v>
      </c>
      <c r="E244" s="1" t="s">
        <v>7700</v>
      </c>
      <c r="F244" s="1" t="s">
        <v>473</v>
      </c>
      <c r="G244" s="1" t="s">
        <v>473</v>
      </c>
      <c r="H244" s="1" t="s">
        <v>473</v>
      </c>
      <c r="I244" s="1" t="s">
        <v>473</v>
      </c>
      <c r="J244" s="1" t="s">
        <v>473</v>
      </c>
      <c r="K244" s="1" t="s">
        <v>473</v>
      </c>
      <c r="L244" s="1" t="s">
        <v>6974</v>
      </c>
      <c r="M244" s="1" t="s">
        <v>473</v>
      </c>
      <c r="N244" s="1" t="s">
        <v>7701</v>
      </c>
      <c r="O244" s="1" t="s">
        <v>7702</v>
      </c>
      <c r="P244" s="1" t="s">
        <v>8228</v>
      </c>
      <c r="Q244" s="28"/>
      <c r="R244" s="1" t="s">
        <v>8308</v>
      </c>
      <c r="S244" s="1"/>
      <c r="T244" s="10" t="str">
        <f>_xlfn.IFNA(VLOOKUP(B244,Sheet2!$A$2:$M$58,4,0),"-")</f>
        <v>-</v>
      </c>
      <c r="U244" s="10">
        <f>_xlfn.IFNA(VLOOKUP(B244,'TV Trx'!$B$4:$C$57,2,0),"-")</f>
        <v>45088</v>
      </c>
      <c r="V244" s="10">
        <f t="shared" si="4"/>
        <v>45088</v>
      </c>
      <c r="W244" s="1" t="str">
        <f>_xlfn.IFNA(VLOOKUP(B244,'CO Trx'!$A$4:$B$37,2,0),"-")</f>
        <v>-</v>
      </c>
      <c r="X244" s="1" t="str">
        <f>_xlfn.IFNA(VLOOKUP(B244,'CO Trx'!$A$49:$B$104,2,0),"-")</f>
        <v>-</v>
      </c>
      <c r="Y244" s="20" t="s">
        <v>6889</v>
      </c>
      <c r="AA244" t="s">
        <v>8017</v>
      </c>
      <c r="AB244" t="s">
        <v>8063</v>
      </c>
    </row>
    <row r="245" spans="1:28" x14ac:dyDescent="0.2">
      <c r="A245" s="1" t="s">
        <v>174</v>
      </c>
      <c r="B245" s="1" t="s">
        <v>175</v>
      </c>
      <c r="C245" s="1" t="s">
        <v>13</v>
      </c>
      <c r="D245" s="1" t="s">
        <v>176</v>
      </c>
      <c r="E245" s="1" t="s">
        <v>7703</v>
      </c>
      <c r="F245" s="1" t="s">
        <v>473</v>
      </c>
      <c r="G245" s="1" t="s">
        <v>473</v>
      </c>
      <c r="H245" s="1" t="s">
        <v>473</v>
      </c>
      <c r="I245" s="1" t="s">
        <v>473</v>
      </c>
      <c r="J245" s="1" t="s">
        <v>473</v>
      </c>
      <c r="K245" s="1" t="s">
        <v>473</v>
      </c>
      <c r="L245" s="1" t="s">
        <v>6974</v>
      </c>
      <c r="M245" s="1" t="s">
        <v>473</v>
      </c>
      <c r="N245" s="1" t="s">
        <v>7704</v>
      </c>
      <c r="O245" s="1" t="s">
        <v>7705</v>
      </c>
      <c r="P245" s="1" t="s">
        <v>8229</v>
      </c>
      <c r="Q245" s="28"/>
      <c r="R245" s="1" t="s">
        <v>8309</v>
      </c>
      <c r="S245" s="1"/>
      <c r="T245" s="10" t="str">
        <f>_xlfn.IFNA(VLOOKUP(B245,Sheet2!$A$2:$M$58,4,0),"-")</f>
        <v>-</v>
      </c>
      <c r="U245" s="10">
        <f>_xlfn.IFNA(VLOOKUP(B245,'TV Trx'!$B$4:$C$57,2,0),"-")</f>
        <v>45080</v>
      </c>
      <c r="V245" s="10">
        <f t="shared" si="4"/>
        <v>45080</v>
      </c>
      <c r="W245" s="1" t="str">
        <f>_xlfn.IFNA(VLOOKUP(B245,'CO Trx'!$A$4:$B$37,2,0),"-")</f>
        <v>-</v>
      </c>
      <c r="X245" s="1" t="str">
        <f>_xlfn.IFNA(VLOOKUP(B245,'CO Trx'!$A$49:$B$104,2,0),"-")</f>
        <v>-</v>
      </c>
      <c r="Y245" s="20" t="s">
        <v>6889</v>
      </c>
      <c r="AA245" t="s">
        <v>8018</v>
      </c>
      <c r="AB245" t="s">
        <v>8064</v>
      </c>
    </row>
    <row r="246" spans="1:28" x14ac:dyDescent="0.2">
      <c r="A246" s="1" t="s">
        <v>475</v>
      </c>
      <c r="B246" s="1" t="s">
        <v>476</v>
      </c>
      <c r="C246" s="1" t="s">
        <v>6</v>
      </c>
      <c r="D246" s="1" t="s">
        <v>477</v>
      </c>
      <c r="E246" s="1" t="s">
        <v>7706</v>
      </c>
      <c r="F246" s="1" t="s">
        <v>473</v>
      </c>
      <c r="G246" s="1" t="s">
        <v>473</v>
      </c>
      <c r="H246" s="1" t="s">
        <v>473</v>
      </c>
      <c r="I246" s="1" t="s">
        <v>473</v>
      </c>
      <c r="J246" s="1" t="s">
        <v>473</v>
      </c>
      <c r="K246" s="1" t="s">
        <v>473</v>
      </c>
      <c r="L246" s="1" t="s">
        <v>6974</v>
      </c>
      <c r="M246" s="1" t="s">
        <v>473</v>
      </c>
      <c r="N246" s="1" t="s">
        <v>7707</v>
      </c>
      <c r="O246" s="1" t="s">
        <v>7708</v>
      </c>
      <c r="P246" s="1">
        <v>0</v>
      </c>
      <c r="Q246" s="28">
        <v>0</v>
      </c>
      <c r="R246" s="1">
        <v>0</v>
      </c>
      <c r="S246" s="1"/>
      <c r="T246" s="10" t="str">
        <f>_xlfn.IFNA(VLOOKUP(B246,Sheet2!$A$2:$M$58,4,0),"-")</f>
        <v>-</v>
      </c>
      <c r="U246" s="10" t="str">
        <f>_xlfn.IFNA(VLOOKUP(B246,'TV Trx'!$B$4:$C$57,2,0),"-")</f>
        <v>-</v>
      </c>
      <c r="V246" s="10" t="str">
        <f t="shared" si="4"/>
        <v>-</v>
      </c>
      <c r="W246" s="1" t="str">
        <f>_xlfn.IFNA(VLOOKUP(B246,'CO Trx'!$A$4:$B$37,2,0),"-")</f>
        <v>-</v>
      </c>
      <c r="X246" s="1" t="str">
        <f>_xlfn.IFNA(VLOOKUP(B246,'CO Trx'!$A$49:$B$104,2,0),"-")</f>
        <v>-</v>
      </c>
      <c r="Y246" s="21" t="s">
        <v>6890</v>
      </c>
    </row>
    <row r="247" spans="1:28" x14ac:dyDescent="0.2">
      <c r="A247" s="1" t="s">
        <v>852</v>
      </c>
      <c r="B247" s="1" t="s">
        <v>853</v>
      </c>
      <c r="C247" s="1" t="s">
        <v>13</v>
      </c>
      <c r="D247" s="1" t="s">
        <v>854</v>
      </c>
      <c r="E247" s="1" t="s">
        <v>7709</v>
      </c>
      <c r="F247" s="1" t="s">
        <v>473</v>
      </c>
      <c r="G247" s="1" t="s">
        <v>473</v>
      </c>
      <c r="H247" s="1" t="s">
        <v>473</v>
      </c>
      <c r="I247" s="1" t="s">
        <v>473</v>
      </c>
      <c r="J247" s="1" t="s">
        <v>473</v>
      </c>
      <c r="K247" s="1" t="s">
        <v>473</v>
      </c>
      <c r="L247" s="1" t="s">
        <v>473</v>
      </c>
      <c r="M247" s="1" t="s">
        <v>473</v>
      </c>
      <c r="N247" s="1" t="s">
        <v>7710</v>
      </c>
      <c r="O247" s="1" t="s">
        <v>7711</v>
      </c>
      <c r="P247" s="1">
        <v>0</v>
      </c>
      <c r="Q247" s="28">
        <v>0</v>
      </c>
      <c r="R247" s="1">
        <v>0</v>
      </c>
      <c r="S247" s="1"/>
      <c r="T247" s="10" t="str">
        <f>_xlfn.IFNA(VLOOKUP(B247,Sheet2!$A$2:$M$58,4,0),"-")</f>
        <v>-</v>
      </c>
      <c r="U247" s="10" t="str">
        <f>_xlfn.IFNA(VLOOKUP(B247,'TV Trx'!$B$4:$C$57,2,0),"-")</f>
        <v>-</v>
      </c>
      <c r="V247" s="10" t="str">
        <f t="shared" si="4"/>
        <v>-</v>
      </c>
      <c r="W247" s="1" t="str">
        <f>_xlfn.IFNA(VLOOKUP(B247,'CO Trx'!$A$4:$B$37,2,0),"-")</f>
        <v>-</v>
      </c>
      <c r="X247" s="1" t="str">
        <f>_xlfn.IFNA(VLOOKUP(B247,'CO Trx'!$A$49:$B$104,2,0),"-")</f>
        <v>-</v>
      </c>
      <c r="Y247" s="21" t="s">
        <v>6890</v>
      </c>
    </row>
    <row r="248" spans="1:28" x14ac:dyDescent="0.2">
      <c r="A248" s="1" t="s">
        <v>308</v>
      </c>
      <c r="B248" s="1" t="s">
        <v>309</v>
      </c>
      <c r="C248" s="1" t="s">
        <v>6</v>
      </c>
      <c r="D248" s="1" t="s">
        <v>310</v>
      </c>
      <c r="E248" s="1" t="s">
        <v>7712</v>
      </c>
      <c r="F248" s="1" t="s">
        <v>473</v>
      </c>
      <c r="G248" s="1" t="s">
        <v>473</v>
      </c>
      <c r="H248" s="1" t="s">
        <v>473</v>
      </c>
      <c r="I248" s="1" t="s">
        <v>473</v>
      </c>
      <c r="J248" s="1" t="s">
        <v>473</v>
      </c>
      <c r="K248" s="1" t="s">
        <v>473</v>
      </c>
      <c r="L248" s="1" t="s">
        <v>6974</v>
      </c>
      <c r="M248" s="1" t="s">
        <v>473</v>
      </c>
      <c r="N248" s="1" t="s">
        <v>7713</v>
      </c>
      <c r="O248" s="1" t="s">
        <v>7714</v>
      </c>
      <c r="P248" s="1" t="s">
        <v>8230</v>
      </c>
      <c r="Q248" s="28"/>
      <c r="R248" s="1"/>
      <c r="S248" s="1"/>
      <c r="T248" s="10">
        <f>_xlfn.IFNA(VLOOKUP(B248,Sheet2!$A$2:$M$58,4,0),"-")</f>
        <v>45080</v>
      </c>
      <c r="U248" s="10" t="str">
        <f>_xlfn.IFNA(VLOOKUP(B248,'TV Trx'!$B$4:$C$57,2,0),"-")</f>
        <v>-</v>
      </c>
      <c r="V248" s="10">
        <f t="shared" si="4"/>
        <v>45080</v>
      </c>
      <c r="W248" s="1">
        <f>_xlfn.IFNA(VLOOKUP(B248,'CO Trx'!$A$4:$B$37,2,0),"-")</f>
        <v>24</v>
      </c>
      <c r="X248" s="1">
        <f>_xlfn.IFNA(VLOOKUP(B248,'CO Trx'!$A$49:$B$104,2,0),"-")</f>
        <v>254</v>
      </c>
      <c r="Y248" s="20" t="s">
        <v>6889</v>
      </c>
      <c r="AA248" t="s">
        <v>8117</v>
      </c>
      <c r="AB248" t="s">
        <v>8064</v>
      </c>
    </row>
    <row r="249" spans="1:28" x14ac:dyDescent="0.2">
      <c r="A249" s="1" t="s">
        <v>879</v>
      </c>
      <c r="B249" s="1" t="s">
        <v>880</v>
      </c>
      <c r="C249" s="1" t="s">
        <v>13</v>
      </c>
      <c r="D249" s="1" t="s">
        <v>881</v>
      </c>
      <c r="E249" s="1" t="s">
        <v>7715</v>
      </c>
      <c r="F249" s="1" t="s">
        <v>473</v>
      </c>
      <c r="G249" s="1" t="s">
        <v>473</v>
      </c>
      <c r="H249" s="1" t="s">
        <v>473</v>
      </c>
      <c r="I249" s="1" t="s">
        <v>473</v>
      </c>
      <c r="J249" s="1" t="s">
        <v>473</v>
      </c>
      <c r="K249" s="1" t="s">
        <v>473</v>
      </c>
      <c r="L249" s="1" t="s">
        <v>6974</v>
      </c>
      <c r="M249" s="1" t="s">
        <v>473</v>
      </c>
      <c r="N249" s="1" t="s">
        <v>7716</v>
      </c>
      <c r="O249" s="1" t="s">
        <v>7717</v>
      </c>
      <c r="P249" s="1" t="s">
        <v>8231</v>
      </c>
      <c r="Q249" s="28"/>
      <c r="R249" s="1" t="s">
        <v>8310</v>
      </c>
      <c r="S249" s="1"/>
      <c r="T249" s="10" t="str">
        <f>_xlfn.IFNA(VLOOKUP(B249,Sheet2!$A$2:$M$58,4,0),"-")</f>
        <v>-</v>
      </c>
      <c r="U249" s="10">
        <f>_xlfn.IFNA(VLOOKUP(B249,'TV Trx'!$B$4:$C$57,2,0),"-")</f>
        <v>45085</v>
      </c>
      <c r="V249" s="10">
        <f t="shared" si="4"/>
        <v>45085</v>
      </c>
      <c r="W249" s="1" t="str">
        <f>_xlfn.IFNA(VLOOKUP(B249,'CO Trx'!$A$4:$B$37,2,0),"-")</f>
        <v>-</v>
      </c>
      <c r="X249" s="1" t="str">
        <f>_xlfn.IFNA(VLOOKUP(B249,'CO Trx'!$A$49:$B$104,2,0),"-")</f>
        <v>-</v>
      </c>
      <c r="Y249" s="20" t="s">
        <v>6889</v>
      </c>
      <c r="AA249" t="s">
        <v>8019</v>
      </c>
      <c r="AB249" t="s">
        <v>8065</v>
      </c>
    </row>
    <row r="250" spans="1:28" x14ac:dyDescent="0.2">
      <c r="A250" s="1" t="s">
        <v>748</v>
      </c>
      <c r="B250" s="1" t="s">
        <v>749</v>
      </c>
      <c r="C250" s="1" t="s">
        <v>473</v>
      </c>
      <c r="D250" s="1" t="s">
        <v>750</v>
      </c>
      <c r="E250" s="1" t="s">
        <v>7718</v>
      </c>
      <c r="F250" s="1" t="s">
        <v>473</v>
      </c>
      <c r="G250" s="1" t="s">
        <v>473</v>
      </c>
      <c r="H250" s="1" t="s">
        <v>7719</v>
      </c>
      <c r="I250" s="1" t="s">
        <v>7720</v>
      </c>
      <c r="J250" s="1" t="s">
        <v>6969</v>
      </c>
      <c r="K250" s="1" t="s">
        <v>473</v>
      </c>
      <c r="L250" s="1" t="s">
        <v>7721</v>
      </c>
      <c r="M250" s="1" t="s">
        <v>473</v>
      </c>
      <c r="N250" s="1" t="s">
        <v>7722</v>
      </c>
      <c r="O250" s="1" t="s">
        <v>7723</v>
      </c>
      <c r="P250" s="1">
        <v>0</v>
      </c>
      <c r="Q250" s="28">
        <v>0</v>
      </c>
      <c r="R250" s="1">
        <v>0</v>
      </c>
      <c r="S250" s="1"/>
      <c r="T250" s="10" t="str">
        <f>_xlfn.IFNA(VLOOKUP(B250,Sheet2!$A$2:$M$58,4,0),"-")</f>
        <v>-</v>
      </c>
      <c r="U250" s="10" t="str">
        <f>_xlfn.IFNA(VLOOKUP(B250,'TV Trx'!$B$4:$C$57,2,0),"-")</f>
        <v>-</v>
      </c>
      <c r="V250" s="10" t="str">
        <f t="shared" si="4"/>
        <v>-</v>
      </c>
      <c r="W250" s="1" t="str">
        <f>_xlfn.IFNA(VLOOKUP(B250,'CO Trx'!$A$4:$B$37,2,0),"-")</f>
        <v>-</v>
      </c>
      <c r="X250" s="1" t="str">
        <f>_xlfn.IFNA(VLOOKUP(B250,'CO Trx'!$A$49:$B$104,2,0),"-")</f>
        <v>-</v>
      </c>
      <c r="Y250" s="21" t="s">
        <v>6890</v>
      </c>
    </row>
    <row r="251" spans="1:28" x14ac:dyDescent="0.2">
      <c r="A251" s="1" t="s">
        <v>192</v>
      </c>
      <c r="B251" s="1" t="s">
        <v>193</v>
      </c>
      <c r="C251" s="1" t="s">
        <v>23</v>
      </c>
      <c r="D251" s="1" t="s">
        <v>194</v>
      </c>
      <c r="E251" s="1" t="s">
        <v>7724</v>
      </c>
      <c r="F251" s="1" t="s">
        <v>473</v>
      </c>
      <c r="G251" s="1" t="s">
        <v>473</v>
      </c>
      <c r="H251" s="1" t="s">
        <v>473</v>
      </c>
      <c r="I251" s="1" t="s">
        <v>473</v>
      </c>
      <c r="J251" s="1" t="s">
        <v>473</v>
      </c>
      <c r="K251" s="1" t="s">
        <v>473</v>
      </c>
      <c r="L251" s="1" t="s">
        <v>7725</v>
      </c>
      <c r="M251" s="1" t="s">
        <v>473</v>
      </c>
      <c r="N251" s="1" t="s">
        <v>7726</v>
      </c>
      <c r="O251" s="1" t="s">
        <v>7727</v>
      </c>
      <c r="P251" s="1">
        <v>0</v>
      </c>
      <c r="Q251" s="28">
        <v>0</v>
      </c>
      <c r="R251" s="1">
        <v>0</v>
      </c>
      <c r="S251" s="1"/>
      <c r="T251" s="10" t="str">
        <f>_xlfn.IFNA(VLOOKUP(B251,Sheet2!$A$2:$M$58,4,0),"-")</f>
        <v>-</v>
      </c>
      <c r="U251" s="10" t="str">
        <f>_xlfn.IFNA(VLOOKUP(B251,'TV Trx'!$B$4:$C$57,2,0),"-")</f>
        <v>-</v>
      </c>
      <c r="V251" s="10" t="str">
        <f t="shared" si="4"/>
        <v>-</v>
      </c>
      <c r="W251" s="1" t="str">
        <f>_xlfn.IFNA(VLOOKUP(B251,'CO Trx'!$A$4:$B$37,2,0),"-")</f>
        <v>-</v>
      </c>
      <c r="X251" s="1" t="str">
        <f>_xlfn.IFNA(VLOOKUP(B251,'CO Trx'!$A$49:$B$104,2,0),"-")</f>
        <v>-</v>
      </c>
      <c r="Y251" s="21" t="s">
        <v>6890</v>
      </c>
    </row>
    <row r="252" spans="1:28" x14ac:dyDescent="0.2">
      <c r="A252" s="1" t="s">
        <v>393</v>
      </c>
      <c r="B252" s="1" t="s">
        <v>394</v>
      </c>
      <c r="C252" s="1" t="s">
        <v>6</v>
      </c>
      <c r="D252" s="1" t="s">
        <v>395</v>
      </c>
      <c r="E252" s="1" t="s">
        <v>7728</v>
      </c>
      <c r="F252" s="1" t="s">
        <v>473</v>
      </c>
      <c r="G252" s="1" t="s">
        <v>473</v>
      </c>
      <c r="H252" s="1" t="s">
        <v>473</v>
      </c>
      <c r="I252" s="1" t="s">
        <v>473</v>
      </c>
      <c r="J252" s="1" t="s">
        <v>473</v>
      </c>
      <c r="K252" s="1" t="s">
        <v>473</v>
      </c>
      <c r="L252" s="1" t="s">
        <v>6974</v>
      </c>
      <c r="M252" s="1" t="s">
        <v>473</v>
      </c>
      <c r="N252" s="1" t="s">
        <v>7729</v>
      </c>
      <c r="O252" s="1" t="s">
        <v>7730</v>
      </c>
      <c r="P252" s="1">
        <v>0</v>
      </c>
      <c r="Q252" s="28">
        <v>0</v>
      </c>
      <c r="R252" s="1">
        <v>0</v>
      </c>
      <c r="S252" s="1"/>
      <c r="T252" s="10" t="str">
        <f>_xlfn.IFNA(VLOOKUP(B252,Sheet2!$A$2:$M$58,4,0),"-")</f>
        <v>-</v>
      </c>
      <c r="U252" s="10" t="str">
        <f>_xlfn.IFNA(VLOOKUP(B252,'TV Trx'!$B$4:$C$57,2,0),"-")</f>
        <v>-</v>
      </c>
      <c r="V252" s="10" t="str">
        <f t="shared" si="4"/>
        <v>-</v>
      </c>
      <c r="W252" s="1" t="str">
        <f>_xlfn.IFNA(VLOOKUP(B252,'CO Trx'!$A$4:$B$37,2,0),"-")</f>
        <v>-</v>
      </c>
      <c r="X252" s="1" t="str">
        <f>_xlfn.IFNA(VLOOKUP(B252,'CO Trx'!$A$49:$B$104,2,0),"-")</f>
        <v>-</v>
      </c>
      <c r="Y252" s="21" t="s">
        <v>6890</v>
      </c>
    </row>
    <row r="253" spans="1:28" x14ac:dyDescent="0.2">
      <c r="A253" s="1" t="s">
        <v>581</v>
      </c>
      <c r="B253" s="1" t="s">
        <v>582</v>
      </c>
      <c r="C253" s="1" t="s">
        <v>13</v>
      </c>
      <c r="D253" s="1" t="s">
        <v>583</v>
      </c>
      <c r="E253" s="1" t="s">
        <v>7731</v>
      </c>
      <c r="F253" s="1" t="s">
        <v>473</v>
      </c>
      <c r="G253" s="1" t="s">
        <v>473</v>
      </c>
      <c r="H253" s="1" t="s">
        <v>473</v>
      </c>
      <c r="I253" s="1" t="s">
        <v>473</v>
      </c>
      <c r="J253" s="1" t="s">
        <v>473</v>
      </c>
      <c r="K253" s="1" t="s">
        <v>473</v>
      </c>
      <c r="L253" s="1" t="s">
        <v>6974</v>
      </c>
      <c r="M253" s="1" t="s">
        <v>473</v>
      </c>
      <c r="N253" s="1" t="s">
        <v>7732</v>
      </c>
      <c r="O253" s="1" t="s">
        <v>7733</v>
      </c>
      <c r="P253" s="1" t="s">
        <v>8232</v>
      </c>
      <c r="Q253" s="28"/>
      <c r="R253" s="1" t="s">
        <v>8311</v>
      </c>
      <c r="S253" s="1"/>
      <c r="T253" s="10" t="str">
        <f>_xlfn.IFNA(VLOOKUP(B253,Sheet2!$A$2:$M$58,4,0),"-")</f>
        <v>-</v>
      </c>
      <c r="U253" s="10">
        <f>_xlfn.IFNA(VLOOKUP(B253,'TV Trx'!$B$4:$C$57,2,0),"-")</f>
        <v>45060</v>
      </c>
      <c r="V253" s="10">
        <f t="shared" si="4"/>
        <v>45060</v>
      </c>
      <c r="W253" s="1" t="str">
        <f>_xlfn.IFNA(VLOOKUP(B253,'CO Trx'!$A$4:$B$37,2,0),"-")</f>
        <v>-</v>
      </c>
      <c r="X253" s="1" t="str">
        <f>_xlfn.IFNA(VLOOKUP(B253,'CO Trx'!$A$49:$B$104,2,0),"-")</f>
        <v>-</v>
      </c>
      <c r="Y253" s="20" t="s">
        <v>6889</v>
      </c>
      <c r="AA253" t="s">
        <v>8020</v>
      </c>
      <c r="AB253" t="s">
        <v>8066</v>
      </c>
    </row>
    <row r="254" spans="1:28" x14ac:dyDescent="0.2">
      <c r="A254" s="1" t="s">
        <v>820</v>
      </c>
      <c r="B254" s="1" t="s">
        <v>821</v>
      </c>
      <c r="C254" s="1" t="s">
        <v>13</v>
      </c>
      <c r="D254" s="1" t="s">
        <v>822</v>
      </c>
      <c r="E254" s="1" t="s">
        <v>7734</v>
      </c>
      <c r="F254" s="1" t="s">
        <v>473</v>
      </c>
      <c r="G254" s="1" t="s">
        <v>473</v>
      </c>
      <c r="H254" s="1" t="s">
        <v>473</v>
      </c>
      <c r="I254" s="1" t="s">
        <v>473</v>
      </c>
      <c r="J254" s="1" t="s">
        <v>473</v>
      </c>
      <c r="K254" s="1" t="s">
        <v>473</v>
      </c>
      <c r="L254" s="1" t="s">
        <v>6974</v>
      </c>
      <c r="M254" s="1" t="s">
        <v>473</v>
      </c>
      <c r="N254" s="1" t="s">
        <v>7735</v>
      </c>
      <c r="O254" s="1" t="s">
        <v>7736</v>
      </c>
      <c r="P254" s="1" t="s">
        <v>8233</v>
      </c>
      <c r="Q254" s="28"/>
      <c r="R254" s="1" t="s">
        <v>8312</v>
      </c>
      <c r="S254" s="1"/>
      <c r="T254" s="10" t="str">
        <f>_xlfn.IFNA(VLOOKUP(B254,Sheet2!$A$2:$M$58,4,0),"-")</f>
        <v>-</v>
      </c>
      <c r="U254" s="10">
        <f>_xlfn.IFNA(VLOOKUP(B254,'TV Trx'!$B$4:$C$57,2,0),"-")</f>
        <v>45080</v>
      </c>
      <c r="V254" s="10">
        <f t="shared" si="4"/>
        <v>45080</v>
      </c>
      <c r="W254" s="1" t="str">
        <f>_xlfn.IFNA(VLOOKUP(B254,'CO Trx'!$A$4:$B$37,2,0),"-")</f>
        <v>-</v>
      </c>
      <c r="X254" s="1" t="str">
        <f>_xlfn.IFNA(VLOOKUP(B254,'CO Trx'!$A$49:$B$104,2,0),"-")</f>
        <v>-</v>
      </c>
      <c r="Y254" s="20" t="s">
        <v>6889</v>
      </c>
      <c r="AA254" t="s">
        <v>8021</v>
      </c>
      <c r="AB254" t="s">
        <v>8067</v>
      </c>
    </row>
    <row r="255" spans="1:28" x14ac:dyDescent="0.2">
      <c r="A255" s="1" t="s">
        <v>317</v>
      </c>
      <c r="B255" s="1" t="s">
        <v>318</v>
      </c>
      <c r="C255" s="1" t="s">
        <v>13</v>
      </c>
      <c r="D255" s="1" t="s">
        <v>319</v>
      </c>
      <c r="E255" s="1" t="s">
        <v>7737</v>
      </c>
      <c r="F255" s="1" t="s">
        <v>473</v>
      </c>
      <c r="G255" s="1" t="s">
        <v>473</v>
      </c>
      <c r="H255" s="1" t="s">
        <v>473</v>
      </c>
      <c r="I255" s="1" t="s">
        <v>473</v>
      </c>
      <c r="J255" s="1" t="s">
        <v>473</v>
      </c>
      <c r="K255" s="1" t="s">
        <v>473</v>
      </c>
      <c r="L255" s="1" t="s">
        <v>6974</v>
      </c>
      <c r="M255" s="1" t="s">
        <v>473</v>
      </c>
      <c r="N255" s="1" t="s">
        <v>7738</v>
      </c>
      <c r="O255" s="1" t="s">
        <v>7739</v>
      </c>
      <c r="P255" s="1" t="s">
        <v>8234</v>
      </c>
      <c r="Q255" s="28">
        <v>0</v>
      </c>
      <c r="R255" s="1">
        <v>0</v>
      </c>
      <c r="S255" s="1"/>
      <c r="T255" s="10" t="str">
        <f>_xlfn.IFNA(VLOOKUP(B255,Sheet2!$A$2:$M$58,4,0),"-")</f>
        <v>-</v>
      </c>
      <c r="U255" s="10" t="str">
        <f>_xlfn.IFNA(VLOOKUP(B255,'TV Trx'!$B$4:$C$57,2,0),"-")</f>
        <v>-</v>
      </c>
      <c r="V255" s="10" t="str">
        <f t="shared" si="4"/>
        <v>-</v>
      </c>
      <c r="W255" s="1" t="str">
        <f>_xlfn.IFNA(VLOOKUP(B255,'CO Trx'!$A$4:$B$37,2,0),"-")</f>
        <v>-</v>
      </c>
      <c r="X255" s="1" t="str">
        <f>_xlfn.IFNA(VLOOKUP(B255,'CO Trx'!$A$49:$B$104,2,0),"-")</f>
        <v>-</v>
      </c>
      <c r="Y255" s="21" t="s">
        <v>6890</v>
      </c>
      <c r="AA255" t="s">
        <v>8022</v>
      </c>
    </row>
    <row r="256" spans="1:28" x14ac:dyDescent="0.2">
      <c r="A256" s="1" t="s">
        <v>216</v>
      </c>
      <c r="B256" s="1" t="s">
        <v>217</v>
      </c>
      <c r="C256" s="1" t="s">
        <v>13</v>
      </c>
      <c r="D256" s="1" t="s">
        <v>218</v>
      </c>
      <c r="E256" s="1" t="s">
        <v>7740</v>
      </c>
      <c r="F256" s="1" t="s">
        <v>473</v>
      </c>
      <c r="G256" s="1" t="s">
        <v>473</v>
      </c>
      <c r="H256" s="1" t="s">
        <v>473</v>
      </c>
      <c r="I256" s="1" t="s">
        <v>473</v>
      </c>
      <c r="J256" s="1" t="s">
        <v>473</v>
      </c>
      <c r="K256" s="1" t="s">
        <v>473</v>
      </c>
      <c r="L256" s="1" t="s">
        <v>6974</v>
      </c>
      <c r="M256" s="1" t="s">
        <v>473</v>
      </c>
      <c r="N256" s="1" t="s">
        <v>7741</v>
      </c>
      <c r="O256" s="1" t="s">
        <v>7742</v>
      </c>
      <c r="P256" s="1" t="s">
        <v>8235</v>
      </c>
      <c r="Q256" s="28">
        <v>0</v>
      </c>
      <c r="R256" s="1">
        <v>0</v>
      </c>
      <c r="S256" s="1"/>
      <c r="T256" s="10" t="str">
        <f>_xlfn.IFNA(VLOOKUP(B256,Sheet2!$A$2:$M$58,4,0),"-")</f>
        <v>-</v>
      </c>
      <c r="U256" s="10" t="str">
        <f>_xlfn.IFNA(VLOOKUP(B256,'TV Trx'!$B$4:$C$57,2,0),"-")</f>
        <v>-</v>
      </c>
      <c r="V256" s="10" t="str">
        <f t="shared" si="4"/>
        <v>-</v>
      </c>
      <c r="W256" s="1" t="str">
        <f>_xlfn.IFNA(VLOOKUP(B256,'CO Trx'!$A$4:$B$37,2,0),"-")</f>
        <v>-</v>
      </c>
      <c r="X256" s="1" t="str">
        <f>_xlfn.IFNA(VLOOKUP(B256,'CO Trx'!$A$49:$B$104,2,0),"-")</f>
        <v>-</v>
      </c>
      <c r="Y256" s="21" t="s">
        <v>6890</v>
      </c>
      <c r="AA256" t="s">
        <v>8023</v>
      </c>
    </row>
    <row r="257" spans="1:28" x14ac:dyDescent="0.2">
      <c r="A257" s="1" t="s">
        <v>644</v>
      </c>
      <c r="B257" s="1" t="s">
        <v>645</v>
      </c>
      <c r="C257" s="1" t="s">
        <v>6</v>
      </c>
      <c r="D257" s="1" t="s">
        <v>646</v>
      </c>
      <c r="E257" s="1" t="s">
        <v>7743</v>
      </c>
      <c r="F257" s="1" t="s">
        <v>473</v>
      </c>
      <c r="G257" s="1" t="s">
        <v>473</v>
      </c>
      <c r="H257" s="1" t="s">
        <v>7744</v>
      </c>
      <c r="I257" s="1" t="s">
        <v>6940</v>
      </c>
      <c r="J257" s="1" t="s">
        <v>6941</v>
      </c>
      <c r="K257" s="1" t="s">
        <v>473</v>
      </c>
      <c r="L257" s="1" t="s">
        <v>7745</v>
      </c>
      <c r="M257" s="1" t="s">
        <v>473</v>
      </c>
      <c r="N257" s="1" t="s">
        <v>7746</v>
      </c>
      <c r="O257" s="1" t="s">
        <v>7747</v>
      </c>
      <c r="P257" s="1">
        <v>0</v>
      </c>
      <c r="Q257" s="28">
        <v>0</v>
      </c>
      <c r="R257" s="1">
        <v>0</v>
      </c>
      <c r="S257" s="1"/>
      <c r="T257" s="10" t="str">
        <f>_xlfn.IFNA(VLOOKUP(B257,Sheet2!$A$2:$M$58,4,0),"-")</f>
        <v>-</v>
      </c>
      <c r="U257" s="10" t="str">
        <f>_xlfn.IFNA(VLOOKUP(B257,'TV Trx'!$B$4:$C$57,2,0),"-")</f>
        <v>-</v>
      </c>
      <c r="V257" s="10" t="str">
        <f t="shared" si="4"/>
        <v>-</v>
      </c>
      <c r="W257" s="1" t="str">
        <f>_xlfn.IFNA(VLOOKUP(B257,'CO Trx'!$A$4:$B$37,2,0),"-")</f>
        <v>-</v>
      </c>
      <c r="X257" s="1" t="str">
        <f>_xlfn.IFNA(VLOOKUP(B257,'CO Trx'!$A$49:$B$104,2,0),"-")</f>
        <v>-</v>
      </c>
      <c r="Y257" s="21" t="s">
        <v>6890</v>
      </c>
    </row>
    <row r="258" spans="1:28" x14ac:dyDescent="0.2">
      <c r="A258" s="1" t="s">
        <v>832</v>
      </c>
      <c r="B258" s="1" t="s">
        <v>833</v>
      </c>
      <c r="C258" s="1" t="s">
        <v>6</v>
      </c>
      <c r="D258" s="1" t="s">
        <v>834</v>
      </c>
      <c r="E258" s="1" t="s">
        <v>7748</v>
      </c>
      <c r="F258" s="1" t="s">
        <v>473</v>
      </c>
      <c r="G258" s="1" t="s">
        <v>473</v>
      </c>
      <c r="H258" s="1" t="s">
        <v>473</v>
      </c>
      <c r="I258" s="1" t="s">
        <v>473</v>
      </c>
      <c r="J258" s="1" t="s">
        <v>473</v>
      </c>
      <c r="K258" s="1" t="s">
        <v>473</v>
      </c>
      <c r="L258" s="1" t="s">
        <v>6974</v>
      </c>
      <c r="M258" s="1" t="s">
        <v>473</v>
      </c>
      <c r="N258" s="1" t="s">
        <v>7749</v>
      </c>
      <c r="O258" s="1" t="s">
        <v>7750</v>
      </c>
      <c r="P258" s="1" t="s">
        <v>8236</v>
      </c>
      <c r="Q258" s="28"/>
      <c r="R258" s="1"/>
      <c r="S258" s="1"/>
      <c r="T258" s="10">
        <f>_xlfn.IFNA(VLOOKUP(B258,Sheet2!$A$2:$M$58,4,0),"-")</f>
        <v>45083</v>
      </c>
      <c r="U258" s="10" t="str">
        <f>_xlfn.IFNA(VLOOKUP(B258,'TV Trx'!$B$4:$C$57,2,0),"-")</f>
        <v>-</v>
      </c>
      <c r="V258" s="10">
        <f t="shared" si="4"/>
        <v>45083</v>
      </c>
      <c r="W258" s="1">
        <f>_xlfn.IFNA(VLOOKUP(B258,'CO Trx'!$A$4:$B$37,2,0),"-")</f>
        <v>4</v>
      </c>
      <c r="X258" s="1">
        <f>_xlfn.IFNA(VLOOKUP(B258,'CO Trx'!$A$49:$B$104,2,0),"-")</f>
        <v>9</v>
      </c>
      <c r="Y258" s="20" t="s">
        <v>6889</v>
      </c>
      <c r="AA258" t="s">
        <v>8118</v>
      </c>
      <c r="AB258" t="s">
        <v>7968</v>
      </c>
    </row>
    <row r="259" spans="1:28" x14ac:dyDescent="0.2">
      <c r="A259" s="1" t="s">
        <v>97</v>
      </c>
      <c r="B259" s="1" t="s">
        <v>98</v>
      </c>
      <c r="C259" s="1" t="s">
        <v>13</v>
      </c>
      <c r="D259" s="1" t="s">
        <v>99</v>
      </c>
      <c r="E259" s="1" t="s">
        <v>7751</v>
      </c>
      <c r="F259" s="1" t="s">
        <v>473</v>
      </c>
      <c r="G259" s="1" t="s">
        <v>473</v>
      </c>
      <c r="H259" s="1" t="s">
        <v>473</v>
      </c>
      <c r="I259" s="1" t="s">
        <v>473</v>
      </c>
      <c r="J259" s="1" t="s">
        <v>473</v>
      </c>
      <c r="K259" s="1" t="s">
        <v>473</v>
      </c>
      <c r="L259" s="1" t="s">
        <v>6974</v>
      </c>
      <c r="M259" s="1" t="s">
        <v>473</v>
      </c>
      <c r="N259" s="1" t="s">
        <v>7752</v>
      </c>
      <c r="O259" s="1" t="s">
        <v>7753</v>
      </c>
      <c r="P259" s="1" t="s">
        <v>8237</v>
      </c>
      <c r="Q259" s="28">
        <v>761301724100</v>
      </c>
      <c r="R259" s="1" t="s">
        <v>8256</v>
      </c>
      <c r="S259" s="1"/>
      <c r="T259" s="10" t="str">
        <f>_xlfn.IFNA(VLOOKUP(B259,Sheet2!$A$2:$M$58,4,0),"-")</f>
        <v>-</v>
      </c>
      <c r="U259" s="10" t="str">
        <f>_xlfn.IFNA(VLOOKUP(B259,'TV Trx'!$B$4:$C$57,2,0),"-")</f>
        <v>-</v>
      </c>
      <c r="V259" s="10" t="str">
        <f t="shared" si="4"/>
        <v>-</v>
      </c>
      <c r="W259" s="1" t="str">
        <f>_xlfn.IFNA(VLOOKUP(B259,'CO Trx'!$A$4:$B$37,2,0),"-")</f>
        <v>-</v>
      </c>
      <c r="X259" s="1" t="str">
        <f>_xlfn.IFNA(VLOOKUP(B259,'CO Trx'!$A$49:$B$104,2,0),"-")</f>
        <v>-</v>
      </c>
      <c r="Y259" s="21" t="s">
        <v>6890</v>
      </c>
      <c r="AA259" t="s">
        <v>8024</v>
      </c>
      <c r="AB259" t="s">
        <v>8068</v>
      </c>
    </row>
    <row r="260" spans="1:28" x14ac:dyDescent="0.2">
      <c r="A260" s="1" t="s">
        <v>487</v>
      </c>
      <c r="B260" s="1" t="s">
        <v>488</v>
      </c>
      <c r="C260" s="1" t="s">
        <v>6</v>
      </c>
      <c r="D260" s="1" t="s">
        <v>489</v>
      </c>
      <c r="E260" s="1" t="s">
        <v>7754</v>
      </c>
      <c r="F260" s="1" t="s">
        <v>473</v>
      </c>
      <c r="G260" s="1" t="s">
        <v>473</v>
      </c>
      <c r="H260" s="1" t="s">
        <v>473</v>
      </c>
      <c r="I260" s="1" t="s">
        <v>473</v>
      </c>
      <c r="J260" s="1" t="s">
        <v>473</v>
      </c>
      <c r="K260" s="1" t="s">
        <v>473</v>
      </c>
      <c r="L260" s="1" t="s">
        <v>6974</v>
      </c>
      <c r="M260" s="1" t="s">
        <v>473</v>
      </c>
      <c r="N260" s="1" t="s">
        <v>7755</v>
      </c>
      <c r="O260" s="1" t="s">
        <v>7756</v>
      </c>
      <c r="P260" s="1">
        <v>0</v>
      </c>
      <c r="Q260" s="28">
        <v>0</v>
      </c>
      <c r="R260" s="1">
        <v>0</v>
      </c>
      <c r="S260" s="1"/>
      <c r="T260" s="10" t="str">
        <f>_xlfn.IFNA(VLOOKUP(B260,Sheet2!$A$2:$M$58,4,0),"-")</f>
        <v>-</v>
      </c>
      <c r="U260" s="10" t="str">
        <f>_xlfn.IFNA(VLOOKUP(B260,'TV Trx'!$B$4:$C$57,2,0),"-")</f>
        <v>-</v>
      </c>
      <c r="V260" s="10" t="str">
        <f t="shared" si="4"/>
        <v>-</v>
      </c>
      <c r="W260" s="1" t="str">
        <f>_xlfn.IFNA(VLOOKUP(B260,'CO Trx'!$A$4:$B$37,2,0),"-")</f>
        <v>-</v>
      </c>
      <c r="X260" s="1" t="str">
        <f>_xlfn.IFNA(VLOOKUP(B260,'CO Trx'!$A$49:$B$104,2,0),"-")</f>
        <v>-</v>
      </c>
      <c r="Y260" s="21" t="s">
        <v>6890</v>
      </c>
    </row>
    <row r="261" spans="1:28" x14ac:dyDescent="0.2">
      <c r="A261" s="1" t="s">
        <v>456</v>
      </c>
      <c r="B261" s="1" t="s">
        <v>457</v>
      </c>
      <c r="C261" s="1" t="s">
        <v>6</v>
      </c>
      <c r="D261" s="1" t="s">
        <v>458</v>
      </c>
      <c r="E261" s="1" t="s">
        <v>7757</v>
      </c>
      <c r="F261" s="1" t="s">
        <v>473</v>
      </c>
      <c r="G261" s="1" t="s">
        <v>473</v>
      </c>
      <c r="H261" s="1" t="s">
        <v>473</v>
      </c>
      <c r="I261" s="1" t="s">
        <v>473</v>
      </c>
      <c r="J261" s="1" t="s">
        <v>473</v>
      </c>
      <c r="K261" s="1" t="s">
        <v>473</v>
      </c>
      <c r="L261" s="1" t="s">
        <v>7758</v>
      </c>
      <c r="M261" s="1" t="s">
        <v>473</v>
      </c>
      <c r="N261" s="1" t="s">
        <v>7759</v>
      </c>
      <c r="O261" s="1" t="s">
        <v>7760</v>
      </c>
      <c r="P261" s="1">
        <v>0</v>
      </c>
      <c r="Q261" s="28">
        <v>0</v>
      </c>
      <c r="R261" s="1">
        <v>0</v>
      </c>
      <c r="S261" s="1"/>
      <c r="T261" s="10" t="str">
        <f>_xlfn.IFNA(VLOOKUP(B261,Sheet2!$A$2:$M$58,4,0),"-")</f>
        <v>-</v>
      </c>
      <c r="U261" s="10" t="str">
        <f>_xlfn.IFNA(VLOOKUP(B261,'TV Trx'!$B$4:$C$57,2,0),"-")</f>
        <v>-</v>
      </c>
      <c r="V261" s="10" t="str">
        <f t="shared" si="4"/>
        <v>-</v>
      </c>
      <c r="W261" s="1" t="str">
        <f>_xlfn.IFNA(VLOOKUP(B261,'CO Trx'!$A$4:$B$37,2,0),"-")</f>
        <v>-</v>
      </c>
      <c r="X261" s="1" t="str">
        <f>_xlfn.IFNA(VLOOKUP(B261,'CO Trx'!$A$49:$B$104,2,0),"-")</f>
        <v>-</v>
      </c>
      <c r="Y261" s="21" t="s">
        <v>6890</v>
      </c>
    </row>
    <row r="262" spans="1:28" x14ac:dyDescent="0.2">
      <c r="A262" s="1" t="s">
        <v>900</v>
      </c>
      <c r="B262" s="1" t="s">
        <v>901</v>
      </c>
      <c r="C262" s="1" t="s">
        <v>6</v>
      </c>
      <c r="D262" s="1" t="s">
        <v>902</v>
      </c>
      <c r="E262" s="1" t="s">
        <v>7761</v>
      </c>
      <c r="F262" s="1" t="s">
        <v>473</v>
      </c>
      <c r="G262" s="1" t="s">
        <v>473</v>
      </c>
      <c r="H262" s="1" t="s">
        <v>473</v>
      </c>
      <c r="I262" s="1" t="s">
        <v>473</v>
      </c>
      <c r="J262" s="1" t="s">
        <v>473</v>
      </c>
      <c r="K262" s="1" t="s">
        <v>473</v>
      </c>
      <c r="L262" s="1" t="s">
        <v>7762</v>
      </c>
      <c r="M262" s="1" t="s">
        <v>473</v>
      </c>
      <c r="N262" s="1" t="s">
        <v>7763</v>
      </c>
      <c r="O262" s="1" t="s">
        <v>7764</v>
      </c>
      <c r="P262" s="1">
        <v>0</v>
      </c>
      <c r="Q262" s="28">
        <v>0</v>
      </c>
      <c r="R262" s="1">
        <v>0</v>
      </c>
      <c r="S262" s="1"/>
      <c r="T262" s="10" t="str">
        <f>_xlfn.IFNA(VLOOKUP(B262,Sheet2!$A$2:$M$58,4,0),"-")</f>
        <v>-</v>
      </c>
      <c r="U262" s="10" t="str">
        <f>_xlfn.IFNA(VLOOKUP(B262,'TV Trx'!$B$4:$C$57,2,0),"-")</f>
        <v>-</v>
      </c>
      <c r="V262" s="10" t="str">
        <f t="shared" si="4"/>
        <v>-</v>
      </c>
      <c r="W262" s="1" t="str">
        <f>_xlfn.IFNA(VLOOKUP(B262,'CO Trx'!$A$4:$B$37,2,0),"-")</f>
        <v>-</v>
      </c>
      <c r="X262" s="1" t="str">
        <f>_xlfn.IFNA(VLOOKUP(B262,'CO Trx'!$A$49:$B$104,2,0),"-")</f>
        <v>-</v>
      </c>
      <c r="Y262" s="21" t="s">
        <v>6890</v>
      </c>
    </row>
    <row r="263" spans="1:28" x14ac:dyDescent="0.2">
      <c r="A263" s="1" t="s">
        <v>373</v>
      </c>
      <c r="B263" s="1" t="s">
        <v>374</v>
      </c>
      <c r="C263" s="1" t="s">
        <v>6</v>
      </c>
      <c r="D263" s="1" t="s">
        <v>375</v>
      </c>
      <c r="E263" s="1" t="s">
        <v>7765</v>
      </c>
      <c r="F263" s="1" t="s">
        <v>473</v>
      </c>
      <c r="G263" s="1" t="s">
        <v>473</v>
      </c>
      <c r="H263" s="1" t="s">
        <v>473</v>
      </c>
      <c r="I263" s="1" t="s">
        <v>473</v>
      </c>
      <c r="J263" s="1" t="s">
        <v>473</v>
      </c>
      <c r="K263" s="1" t="s">
        <v>473</v>
      </c>
      <c r="L263" s="1" t="s">
        <v>6974</v>
      </c>
      <c r="M263" s="1" t="s">
        <v>473</v>
      </c>
      <c r="N263" s="1" t="s">
        <v>7766</v>
      </c>
      <c r="O263" s="1" t="s">
        <v>7767</v>
      </c>
      <c r="P263" s="1" t="s">
        <v>8238</v>
      </c>
      <c r="Q263" s="28"/>
      <c r="R263" s="1"/>
      <c r="S263" s="1"/>
      <c r="T263" s="10">
        <f>_xlfn.IFNA(VLOOKUP(B263,Sheet2!$A$2:$M$58,4,0),"-")</f>
        <v>45065</v>
      </c>
      <c r="U263" s="10" t="str">
        <f>_xlfn.IFNA(VLOOKUP(B263,'TV Trx'!$B$4:$C$57,2,0),"-")</f>
        <v>-</v>
      </c>
      <c r="V263" s="10">
        <f t="shared" si="4"/>
        <v>45065</v>
      </c>
      <c r="W263" s="1">
        <f>_xlfn.IFNA(VLOOKUP(B263,'CO Trx'!$A$4:$B$37,2,0),"-")</f>
        <v>7</v>
      </c>
      <c r="X263" s="1">
        <f>_xlfn.IFNA(VLOOKUP(B263,'CO Trx'!$A$49:$B$104,2,0),"-")</f>
        <v>14</v>
      </c>
      <c r="Y263" s="20" t="s">
        <v>6889</v>
      </c>
      <c r="AA263" t="s">
        <v>8119</v>
      </c>
      <c r="AB263" t="s">
        <v>8043</v>
      </c>
    </row>
    <row r="264" spans="1:28" x14ac:dyDescent="0.2">
      <c r="A264" s="1" t="s">
        <v>31</v>
      </c>
      <c r="B264" s="1" t="s">
        <v>32</v>
      </c>
      <c r="C264" s="1" t="s">
        <v>6</v>
      </c>
      <c r="D264" s="1" t="s">
        <v>33</v>
      </c>
      <c r="E264" s="1" t="s">
        <v>7768</v>
      </c>
      <c r="F264" s="1" t="s">
        <v>473</v>
      </c>
      <c r="G264" s="1" t="s">
        <v>473</v>
      </c>
      <c r="H264" s="1" t="s">
        <v>473</v>
      </c>
      <c r="I264" s="1" t="s">
        <v>473</v>
      </c>
      <c r="J264" s="1" t="s">
        <v>473</v>
      </c>
      <c r="K264" s="1" t="s">
        <v>473</v>
      </c>
      <c r="L264" s="1" t="s">
        <v>6974</v>
      </c>
      <c r="M264" s="1" t="s">
        <v>473</v>
      </c>
      <c r="N264" s="1" t="s">
        <v>7769</v>
      </c>
      <c r="O264" s="1" t="s">
        <v>7770</v>
      </c>
      <c r="P264" s="1" t="s">
        <v>8239</v>
      </c>
      <c r="Q264" s="28"/>
      <c r="R264" s="1"/>
      <c r="S264" s="1"/>
      <c r="T264" s="10">
        <f>_xlfn.IFNA(VLOOKUP(B264,Sheet2!$A$2:$M$58,4,0),"-")</f>
        <v>45077</v>
      </c>
      <c r="U264" s="10" t="str">
        <f>_xlfn.IFNA(VLOOKUP(B264,'TV Trx'!$B$4:$C$57,2,0),"-")</f>
        <v>-</v>
      </c>
      <c r="V264" s="10">
        <f t="shared" si="4"/>
        <v>45077</v>
      </c>
      <c r="W264" s="1">
        <f>_xlfn.IFNA(VLOOKUP(B264,'CO Trx'!$A$4:$B$37,2,0),"-")</f>
        <v>5</v>
      </c>
      <c r="X264" s="1">
        <f>_xlfn.IFNA(VLOOKUP(B264,'CO Trx'!$A$49:$B$104,2,0),"-")</f>
        <v>52</v>
      </c>
      <c r="Y264" s="20" t="s">
        <v>6889</v>
      </c>
      <c r="AA264" t="s">
        <v>8120</v>
      </c>
      <c r="AB264" t="s">
        <v>7962</v>
      </c>
    </row>
    <row r="265" spans="1:28" x14ac:dyDescent="0.2">
      <c r="A265" s="1" t="s">
        <v>525</v>
      </c>
      <c r="B265" s="1" t="s">
        <v>526</v>
      </c>
      <c r="C265" s="1" t="s">
        <v>6</v>
      </c>
      <c r="D265" s="1" t="s">
        <v>527</v>
      </c>
      <c r="E265" s="1" t="s">
        <v>7771</v>
      </c>
      <c r="F265" s="1" t="s">
        <v>473</v>
      </c>
      <c r="G265" s="1" t="s">
        <v>473</v>
      </c>
      <c r="H265" s="1" t="s">
        <v>473</v>
      </c>
      <c r="I265" s="1" t="s">
        <v>473</v>
      </c>
      <c r="J265" s="1" t="s">
        <v>473</v>
      </c>
      <c r="K265" s="1" t="s">
        <v>473</v>
      </c>
      <c r="L265" s="1" t="s">
        <v>6974</v>
      </c>
      <c r="M265" s="1" t="s">
        <v>473</v>
      </c>
      <c r="N265" s="1" t="s">
        <v>7772</v>
      </c>
      <c r="O265" s="1" t="s">
        <v>7773</v>
      </c>
      <c r="P265" s="1" t="s">
        <v>8240</v>
      </c>
      <c r="Q265" s="28"/>
      <c r="R265" s="1"/>
      <c r="S265" s="1"/>
      <c r="T265" s="10">
        <f>_xlfn.IFNA(VLOOKUP(B265,Sheet2!$A$2:$M$58,4,0),"-")</f>
        <v>44951</v>
      </c>
      <c r="U265" s="10" t="str">
        <f>_xlfn.IFNA(VLOOKUP(B265,'TV Trx'!$B$4:$C$57,2,0),"-")</f>
        <v>-</v>
      </c>
      <c r="V265" s="10">
        <f t="shared" si="4"/>
        <v>44951</v>
      </c>
      <c r="W265" s="1" t="str">
        <f>_xlfn.IFNA(VLOOKUP(B265,'CO Trx'!$A$4:$B$37,2,0),"-")</f>
        <v>-</v>
      </c>
      <c r="X265" s="1">
        <f>_xlfn.IFNA(VLOOKUP(B265,'CO Trx'!$A$49:$B$104,2,0),"-")</f>
        <v>3</v>
      </c>
      <c r="Y265" s="22" t="s">
        <v>6891</v>
      </c>
      <c r="AA265" t="s">
        <v>8121</v>
      </c>
      <c r="AB265" t="s">
        <v>8053</v>
      </c>
    </row>
    <row r="266" spans="1:28" x14ac:dyDescent="0.2">
      <c r="A266" s="1" t="s">
        <v>763</v>
      </c>
      <c r="B266" s="1" t="s">
        <v>764</v>
      </c>
      <c r="C266" s="1" t="s">
        <v>6</v>
      </c>
      <c r="D266" s="1" t="s">
        <v>765</v>
      </c>
      <c r="E266" s="1" t="s">
        <v>7774</v>
      </c>
      <c r="F266" s="1" t="s">
        <v>473</v>
      </c>
      <c r="G266" s="1" t="s">
        <v>473</v>
      </c>
      <c r="H266" s="1" t="s">
        <v>473</v>
      </c>
      <c r="I266" s="1" t="s">
        <v>473</v>
      </c>
      <c r="J266" s="1" t="s">
        <v>473</v>
      </c>
      <c r="K266" s="1" t="s">
        <v>473</v>
      </c>
      <c r="L266" s="1" t="s">
        <v>473</v>
      </c>
      <c r="M266" s="1" t="s">
        <v>473</v>
      </c>
      <c r="N266" s="1" t="s">
        <v>7775</v>
      </c>
      <c r="O266" s="1" t="s">
        <v>7776</v>
      </c>
      <c r="P266" s="1">
        <v>0</v>
      </c>
      <c r="Q266" s="28">
        <v>0</v>
      </c>
      <c r="R266" s="1">
        <v>0</v>
      </c>
      <c r="S266" s="1"/>
      <c r="T266" s="10" t="str">
        <f>_xlfn.IFNA(VLOOKUP(B266,Sheet2!$A$2:$M$58,4,0),"-")</f>
        <v>-</v>
      </c>
      <c r="U266" s="10" t="str">
        <f>_xlfn.IFNA(VLOOKUP(B266,'TV Trx'!$B$4:$C$57,2,0),"-")</f>
        <v>-</v>
      </c>
      <c r="V266" s="10" t="str">
        <f t="shared" si="4"/>
        <v>-</v>
      </c>
      <c r="W266" s="1" t="str">
        <f>_xlfn.IFNA(VLOOKUP(B266,'CO Trx'!$A$4:$B$37,2,0),"-")</f>
        <v>-</v>
      </c>
      <c r="X266" s="1" t="str">
        <f>_xlfn.IFNA(VLOOKUP(B266,'CO Trx'!$A$49:$B$104,2,0),"-")</f>
        <v>-</v>
      </c>
      <c r="Y266" s="21" t="s">
        <v>6890</v>
      </c>
    </row>
    <row r="267" spans="1:28" x14ac:dyDescent="0.2">
      <c r="A267" s="1" t="s">
        <v>127</v>
      </c>
      <c r="B267" s="1" t="s">
        <v>128</v>
      </c>
      <c r="C267" s="1" t="s">
        <v>13</v>
      </c>
      <c r="D267" s="1" t="s">
        <v>129</v>
      </c>
      <c r="E267" s="1" t="s">
        <v>7777</v>
      </c>
      <c r="F267" s="1" t="s">
        <v>473</v>
      </c>
      <c r="G267" s="1" t="s">
        <v>473</v>
      </c>
      <c r="H267" s="1" t="s">
        <v>473</v>
      </c>
      <c r="I267" s="1" t="s">
        <v>473</v>
      </c>
      <c r="J267" s="1" t="s">
        <v>473</v>
      </c>
      <c r="K267" s="1" t="s">
        <v>473</v>
      </c>
      <c r="L267" s="1" t="s">
        <v>6974</v>
      </c>
      <c r="M267" s="1" t="s">
        <v>473</v>
      </c>
      <c r="N267" s="1" t="s">
        <v>7778</v>
      </c>
      <c r="O267" s="1" t="s">
        <v>7779</v>
      </c>
      <c r="P267" s="1" t="s">
        <v>8241</v>
      </c>
      <c r="Q267" s="28"/>
      <c r="R267" s="1" t="s">
        <v>8313</v>
      </c>
      <c r="S267" s="1"/>
      <c r="T267" s="10" t="str">
        <f>_xlfn.IFNA(VLOOKUP(B267,Sheet2!$A$2:$M$58,4,0),"-")</f>
        <v>-</v>
      </c>
      <c r="U267" s="10">
        <f>_xlfn.IFNA(VLOOKUP(B267,'TV Trx'!$B$4:$C$57,2,0),"-")</f>
        <v>45075</v>
      </c>
      <c r="V267" s="10">
        <f t="shared" si="4"/>
        <v>45075</v>
      </c>
      <c r="W267" s="1" t="str">
        <f>_xlfn.IFNA(VLOOKUP(B267,'CO Trx'!$A$4:$B$37,2,0),"-")</f>
        <v>-</v>
      </c>
      <c r="X267" s="1" t="str">
        <f>_xlfn.IFNA(VLOOKUP(B267,'CO Trx'!$A$49:$B$104,2,0),"-")</f>
        <v>-</v>
      </c>
      <c r="Y267" s="20" t="s">
        <v>6889</v>
      </c>
      <c r="AA267" t="s">
        <v>8025</v>
      </c>
      <c r="AB267" t="s">
        <v>8069</v>
      </c>
    </row>
    <row r="268" spans="1:28" x14ac:dyDescent="0.2">
      <c r="A268" s="1" t="s">
        <v>361</v>
      </c>
      <c r="B268" s="1" t="s">
        <v>362</v>
      </c>
      <c r="C268" s="1" t="s">
        <v>6</v>
      </c>
      <c r="D268" s="1" t="s">
        <v>363</v>
      </c>
      <c r="E268" s="1" t="s">
        <v>7780</v>
      </c>
      <c r="F268" s="1" t="s">
        <v>473</v>
      </c>
      <c r="G268" s="1" t="s">
        <v>473</v>
      </c>
      <c r="H268" s="1" t="s">
        <v>473</v>
      </c>
      <c r="I268" s="1" t="s">
        <v>473</v>
      </c>
      <c r="J268" s="1" t="s">
        <v>473</v>
      </c>
      <c r="K268" s="1" t="s">
        <v>473</v>
      </c>
      <c r="L268" s="1" t="s">
        <v>7095</v>
      </c>
      <c r="M268" s="1" t="s">
        <v>473</v>
      </c>
      <c r="N268" s="1" t="s">
        <v>7781</v>
      </c>
      <c r="O268" s="1" t="s">
        <v>7782</v>
      </c>
      <c r="P268" s="1">
        <v>0</v>
      </c>
      <c r="Q268" s="28">
        <v>0</v>
      </c>
      <c r="R268" s="1">
        <v>0</v>
      </c>
      <c r="S268" s="1"/>
      <c r="T268" s="10" t="str">
        <f>_xlfn.IFNA(VLOOKUP(B268,Sheet2!$A$2:$M$58,4,0),"-")</f>
        <v>-</v>
      </c>
      <c r="U268" s="10" t="str">
        <f>_xlfn.IFNA(VLOOKUP(B268,'TV Trx'!$B$4:$C$57,2,0),"-")</f>
        <v>-</v>
      </c>
      <c r="V268" s="10" t="str">
        <f t="shared" si="4"/>
        <v>-</v>
      </c>
      <c r="W268" s="1" t="str">
        <f>_xlfn.IFNA(VLOOKUP(B268,'CO Trx'!$A$4:$B$37,2,0),"-")</f>
        <v>-</v>
      </c>
      <c r="X268" s="1" t="str">
        <f>_xlfn.IFNA(VLOOKUP(B268,'CO Trx'!$A$49:$B$104,2,0),"-")</f>
        <v>-</v>
      </c>
      <c r="Y268" s="21" t="s">
        <v>6890</v>
      </c>
    </row>
    <row r="269" spans="1:28" x14ac:dyDescent="0.2">
      <c r="A269" s="1" t="s">
        <v>894</v>
      </c>
      <c r="B269" s="1" t="s">
        <v>895</v>
      </c>
      <c r="C269" s="1" t="s">
        <v>6</v>
      </c>
      <c r="D269" s="1" t="s">
        <v>896</v>
      </c>
      <c r="E269" s="1" t="s">
        <v>7783</v>
      </c>
      <c r="F269" s="1" t="s">
        <v>473</v>
      </c>
      <c r="G269" s="1" t="s">
        <v>473</v>
      </c>
      <c r="H269" s="1" t="s">
        <v>473</v>
      </c>
      <c r="I269" s="1" t="s">
        <v>473</v>
      </c>
      <c r="J269" s="1" t="s">
        <v>473</v>
      </c>
      <c r="K269" s="1" t="s">
        <v>473</v>
      </c>
      <c r="L269" s="1" t="s">
        <v>6974</v>
      </c>
      <c r="M269" s="1" t="s">
        <v>473</v>
      </c>
      <c r="N269" s="1" t="s">
        <v>7784</v>
      </c>
      <c r="O269" s="1" t="s">
        <v>7785</v>
      </c>
      <c r="P269" s="1">
        <v>0</v>
      </c>
      <c r="Q269" s="28">
        <v>0</v>
      </c>
      <c r="R269" s="1">
        <v>0</v>
      </c>
      <c r="S269" s="1"/>
      <c r="T269" s="10" t="str">
        <f>_xlfn.IFNA(VLOOKUP(B269,Sheet2!$A$2:$M$58,4,0),"-")</f>
        <v>-</v>
      </c>
      <c r="U269" s="10" t="str">
        <f>_xlfn.IFNA(VLOOKUP(B269,'TV Trx'!$B$4:$C$57,2,0),"-")</f>
        <v>-</v>
      </c>
      <c r="V269" s="10" t="str">
        <f t="shared" si="4"/>
        <v>-</v>
      </c>
      <c r="W269" s="1" t="str">
        <f>_xlfn.IFNA(VLOOKUP(B269,'CO Trx'!$A$4:$B$37,2,0),"-")</f>
        <v>-</v>
      </c>
      <c r="X269" s="1" t="str">
        <f>_xlfn.IFNA(VLOOKUP(B269,'CO Trx'!$A$49:$B$104,2,0),"-")</f>
        <v>-</v>
      </c>
      <c r="Y269" s="21" t="s">
        <v>6890</v>
      </c>
    </row>
    <row r="270" spans="1:28" x14ac:dyDescent="0.2">
      <c r="A270" s="1" t="s">
        <v>225</v>
      </c>
      <c r="B270" s="1" t="s">
        <v>226</v>
      </c>
      <c r="C270" s="1" t="s">
        <v>6</v>
      </c>
      <c r="D270" s="1" t="s">
        <v>227</v>
      </c>
      <c r="E270" s="1" t="s">
        <v>7786</v>
      </c>
      <c r="F270" s="1" t="s">
        <v>473</v>
      </c>
      <c r="G270" s="1" t="s">
        <v>473</v>
      </c>
      <c r="H270" s="1" t="s">
        <v>473</v>
      </c>
      <c r="I270" s="1" t="s">
        <v>473</v>
      </c>
      <c r="J270" s="1" t="s">
        <v>473</v>
      </c>
      <c r="K270" s="1" t="s">
        <v>473</v>
      </c>
      <c r="L270" s="1" t="s">
        <v>6974</v>
      </c>
      <c r="M270" s="1" t="s">
        <v>473</v>
      </c>
      <c r="N270" s="1" t="s">
        <v>7787</v>
      </c>
      <c r="O270" s="1" t="s">
        <v>7788</v>
      </c>
      <c r="P270" s="1" t="s">
        <v>8242</v>
      </c>
      <c r="Q270" s="28"/>
      <c r="R270" s="1"/>
      <c r="S270" s="1"/>
      <c r="T270" s="10">
        <f>_xlfn.IFNA(VLOOKUP(B270,Sheet2!$A$2:$M$58,4,0),"-")</f>
        <v>45071</v>
      </c>
      <c r="U270" s="10" t="str">
        <f>_xlfn.IFNA(VLOOKUP(B270,'TV Trx'!$B$4:$C$57,2,0),"-")</f>
        <v>-</v>
      </c>
      <c r="V270" s="10">
        <f t="shared" si="4"/>
        <v>45071</v>
      </c>
      <c r="W270" s="1" t="str">
        <f>_xlfn.IFNA(VLOOKUP(B270,'CO Trx'!$A$4:$B$37,2,0),"-")</f>
        <v>-</v>
      </c>
      <c r="X270" s="1">
        <f>_xlfn.IFNA(VLOOKUP(B270,'CO Trx'!$A$49:$B$104,2,0),"-")</f>
        <v>1826</v>
      </c>
      <c r="Y270" s="20" t="s">
        <v>6889</v>
      </c>
      <c r="AA270" t="s">
        <v>8122</v>
      </c>
      <c r="AB270" t="s">
        <v>7972</v>
      </c>
    </row>
    <row r="271" spans="1:28" x14ac:dyDescent="0.2">
      <c r="A271" s="1" t="s">
        <v>812</v>
      </c>
      <c r="B271" s="1" t="s">
        <v>813</v>
      </c>
      <c r="C271" s="1" t="s">
        <v>13</v>
      </c>
      <c r="D271" s="1" t="s">
        <v>814</v>
      </c>
      <c r="E271" s="1" t="s">
        <v>7789</v>
      </c>
      <c r="F271" s="1" t="s">
        <v>473</v>
      </c>
      <c r="G271" s="1" t="s">
        <v>473</v>
      </c>
      <c r="H271" s="1" t="s">
        <v>473</v>
      </c>
      <c r="I271" s="1" t="s">
        <v>473</v>
      </c>
      <c r="J271" s="1" t="s">
        <v>473</v>
      </c>
      <c r="K271" s="1" t="s">
        <v>473</v>
      </c>
      <c r="L271" s="1" t="s">
        <v>6974</v>
      </c>
      <c r="M271" s="1" t="s">
        <v>473</v>
      </c>
      <c r="N271" s="1" t="s">
        <v>7790</v>
      </c>
      <c r="O271" s="1" t="s">
        <v>7791</v>
      </c>
      <c r="P271" s="1" t="s">
        <v>8243</v>
      </c>
      <c r="Q271" s="28"/>
      <c r="R271" s="1" t="s">
        <v>8314</v>
      </c>
      <c r="S271" s="1"/>
      <c r="T271" s="10" t="str">
        <f>_xlfn.IFNA(VLOOKUP(B271,Sheet2!$A$2:$M$58,4,0),"-")</f>
        <v>-</v>
      </c>
      <c r="U271" s="10">
        <f>_xlfn.IFNA(VLOOKUP(B271,'TV Trx'!$B$4:$C$57,2,0),"-")</f>
        <v>45028</v>
      </c>
      <c r="V271" s="10">
        <f t="shared" si="4"/>
        <v>45028</v>
      </c>
      <c r="W271" s="1" t="str">
        <f>_xlfn.IFNA(VLOOKUP(B271,'CO Trx'!$A$4:$B$37,2,0),"-")</f>
        <v>-</v>
      </c>
      <c r="X271" s="1" t="str">
        <f>_xlfn.IFNA(VLOOKUP(B271,'CO Trx'!$A$49:$B$104,2,0),"-")</f>
        <v>-</v>
      </c>
      <c r="Y271" s="20" t="s">
        <v>6889</v>
      </c>
      <c r="AA271" t="s">
        <v>8026</v>
      </c>
      <c r="AB271" t="s">
        <v>8070</v>
      </c>
    </row>
    <row r="272" spans="1:28" x14ac:dyDescent="0.2">
      <c r="A272" s="1" t="s">
        <v>683</v>
      </c>
      <c r="B272" s="1" t="s">
        <v>684</v>
      </c>
      <c r="C272" s="1" t="s">
        <v>6</v>
      </c>
      <c r="D272" s="1" t="s">
        <v>685</v>
      </c>
      <c r="E272" s="1" t="s">
        <v>7789</v>
      </c>
      <c r="F272" s="1" t="s">
        <v>473</v>
      </c>
      <c r="G272" s="1" t="s">
        <v>473</v>
      </c>
      <c r="H272" s="1" t="s">
        <v>473</v>
      </c>
      <c r="I272" s="1" t="s">
        <v>473</v>
      </c>
      <c r="J272" s="1" t="s">
        <v>473</v>
      </c>
      <c r="K272" s="1" t="s">
        <v>473</v>
      </c>
      <c r="L272" s="1" t="s">
        <v>6974</v>
      </c>
      <c r="M272" s="1" t="s">
        <v>473</v>
      </c>
      <c r="N272" s="1" t="s">
        <v>7792</v>
      </c>
      <c r="O272" s="1" t="s">
        <v>7793</v>
      </c>
      <c r="P272" s="1" t="s">
        <v>8243</v>
      </c>
      <c r="Q272" s="28"/>
      <c r="R272" s="1"/>
      <c r="S272" s="1"/>
      <c r="T272" s="10">
        <f>_xlfn.IFNA(VLOOKUP(B272,Sheet2!$A$2:$M$58,4,0),"-")</f>
        <v>45072</v>
      </c>
      <c r="U272" s="10" t="str">
        <f>_xlfn.IFNA(VLOOKUP(B272,'TV Trx'!$B$4:$C$57,2,0),"-")</f>
        <v>-</v>
      </c>
      <c r="V272" s="10">
        <f t="shared" si="4"/>
        <v>45072</v>
      </c>
      <c r="W272" s="1">
        <f>_xlfn.IFNA(VLOOKUP(B272,'CO Trx'!$A$4:$B$37,2,0),"-")</f>
        <v>1</v>
      </c>
      <c r="X272" s="1">
        <f>_xlfn.IFNA(VLOOKUP(B272,'CO Trx'!$A$49:$B$104,2,0),"-")</f>
        <v>1</v>
      </c>
      <c r="Y272" s="20" t="s">
        <v>6889</v>
      </c>
      <c r="AA272" t="s">
        <v>8026</v>
      </c>
      <c r="AB272" t="s">
        <v>612</v>
      </c>
    </row>
    <row r="273" spans="1:28" x14ac:dyDescent="0.2">
      <c r="A273" s="1" t="s">
        <v>789</v>
      </c>
      <c r="B273" s="1" t="s">
        <v>790</v>
      </c>
      <c r="C273" s="1" t="s">
        <v>6</v>
      </c>
      <c r="D273" s="1" t="s">
        <v>791</v>
      </c>
      <c r="E273" s="1" t="s">
        <v>7794</v>
      </c>
      <c r="F273" s="1" t="s">
        <v>473</v>
      </c>
      <c r="G273" s="1" t="s">
        <v>473</v>
      </c>
      <c r="H273" s="1" t="s">
        <v>473</v>
      </c>
      <c r="I273" s="1" t="s">
        <v>473</v>
      </c>
      <c r="J273" s="1" t="s">
        <v>473</v>
      </c>
      <c r="K273" s="1" t="s">
        <v>473</v>
      </c>
      <c r="L273" s="1" t="s">
        <v>6974</v>
      </c>
      <c r="M273" s="1" t="s">
        <v>473</v>
      </c>
      <c r="N273" s="1" t="s">
        <v>7795</v>
      </c>
      <c r="O273" s="1" t="s">
        <v>7796</v>
      </c>
      <c r="P273" s="1" t="s">
        <v>8244</v>
      </c>
      <c r="Q273" s="28"/>
      <c r="R273" s="1"/>
      <c r="S273" s="1"/>
      <c r="T273" s="10">
        <f>_xlfn.IFNA(VLOOKUP(B273,Sheet2!$A$2:$M$58,4,0),"-")</f>
        <v>45072</v>
      </c>
      <c r="U273" s="10" t="str">
        <f>_xlfn.IFNA(VLOOKUP(B273,'TV Trx'!$B$4:$C$57,2,0),"-")</f>
        <v>-</v>
      </c>
      <c r="V273" s="10">
        <f t="shared" si="4"/>
        <v>45072</v>
      </c>
      <c r="W273" s="1">
        <f>_xlfn.IFNA(VLOOKUP(B273,'CO Trx'!$A$4:$B$37,2,0),"-")</f>
        <v>4</v>
      </c>
      <c r="X273" s="1">
        <f>_xlfn.IFNA(VLOOKUP(B273,'CO Trx'!$A$49:$B$104,2,0),"-")</f>
        <v>6</v>
      </c>
      <c r="Y273" s="20" t="s">
        <v>6889</v>
      </c>
      <c r="AA273" t="s">
        <v>8123</v>
      </c>
      <c r="AB273" t="s">
        <v>8038</v>
      </c>
    </row>
    <row r="274" spans="1:28" x14ac:dyDescent="0.2">
      <c r="A274" s="1" t="s">
        <v>151</v>
      </c>
      <c r="B274" s="1" t="s">
        <v>152</v>
      </c>
      <c r="C274" s="1" t="s">
        <v>13</v>
      </c>
      <c r="D274" s="1" t="s">
        <v>153</v>
      </c>
      <c r="E274" s="1" t="s">
        <v>7797</v>
      </c>
      <c r="F274" s="1" t="s">
        <v>473</v>
      </c>
      <c r="G274" s="1" t="s">
        <v>473</v>
      </c>
      <c r="H274" s="1" t="s">
        <v>7744</v>
      </c>
      <c r="I274" s="1" t="s">
        <v>6940</v>
      </c>
      <c r="J274" s="1" t="s">
        <v>6941</v>
      </c>
      <c r="K274" s="1" t="s">
        <v>473</v>
      </c>
      <c r="L274" s="1" t="s">
        <v>473</v>
      </c>
      <c r="M274" s="1" t="s">
        <v>473</v>
      </c>
      <c r="N274" s="1" t="s">
        <v>473</v>
      </c>
      <c r="O274" s="1" t="s">
        <v>7798</v>
      </c>
      <c r="P274" s="1">
        <v>0</v>
      </c>
      <c r="Q274" s="28">
        <v>0</v>
      </c>
      <c r="R274" s="1">
        <v>0</v>
      </c>
      <c r="S274" s="1"/>
      <c r="T274" s="10" t="str">
        <f>_xlfn.IFNA(VLOOKUP(B274,Sheet2!$A$2:$M$58,4,0),"-")</f>
        <v>-</v>
      </c>
      <c r="U274" s="10" t="str">
        <f>_xlfn.IFNA(VLOOKUP(B274,'TV Trx'!$B$4:$C$57,2,0),"-")</f>
        <v>-</v>
      </c>
      <c r="V274" s="10" t="str">
        <f t="shared" si="4"/>
        <v>-</v>
      </c>
      <c r="W274" s="1" t="str">
        <f>_xlfn.IFNA(VLOOKUP(B274,'CO Trx'!$A$4:$B$37,2,0),"-")</f>
        <v>-</v>
      </c>
      <c r="X274" s="1" t="str">
        <f>_xlfn.IFNA(VLOOKUP(B274,'CO Trx'!$A$49:$B$104,2,0),"-")</f>
        <v>-</v>
      </c>
      <c r="Y274" s="21" t="s">
        <v>6890</v>
      </c>
    </row>
    <row r="275" spans="1:28" x14ac:dyDescent="0.2">
      <c r="A275" s="1" t="s">
        <v>927</v>
      </c>
      <c r="B275" s="1" t="s">
        <v>928</v>
      </c>
      <c r="C275" s="1" t="s">
        <v>13</v>
      </c>
      <c r="D275" s="1" t="s">
        <v>929</v>
      </c>
      <c r="E275" s="1" t="s">
        <v>7799</v>
      </c>
      <c r="F275" s="1" t="s">
        <v>473</v>
      </c>
      <c r="G275" s="1" t="s">
        <v>473</v>
      </c>
      <c r="H275" s="1" t="s">
        <v>473</v>
      </c>
      <c r="I275" s="1" t="s">
        <v>473</v>
      </c>
      <c r="J275" s="1" t="s">
        <v>473</v>
      </c>
      <c r="K275" s="1" t="s">
        <v>473</v>
      </c>
      <c r="L275" s="1" t="s">
        <v>6974</v>
      </c>
      <c r="M275" s="1" t="s">
        <v>473</v>
      </c>
      <c r="N275" s="1" t="s">
        <v>7800</v>
      </c>
      <c r="O275" s="1" t="s">
        <v>7801</v>
      </c>
      <c r="P275" s="1" t="s">
        <v>8245</v>
      </c>
      <c r="Q275" s="28"/>
      <c r="R275" s="1" t="s">
        <v>8315</v>
      </c>
      <c r="S275" s="1"/>
      <c r="T275" s="10" t="str">
        <f>_xlfn.IFNA(VLOOKUP(B275,Sheet2!$A$2:$M$58,4,0),"-")</f>
        <v>-</v>
      </c>
      <c r="U275" s="10">
        <f>_xlfn.IFNA(VLOOKUP(B275,'TV Trx'!$B$4:$C$57,2,0),"-")</f>
        <v>45052</v>
      </c>
      <c r="V275" s="10">
        <f t="shared" si="4"/>
        <v>45052</v>
      </c>
      <c r="W275" s="1" t="str">
        <f>_xlfn.IFNA(VLOOKUP(B275,'CO Trx'!$A$4:$B$37,2,0),"-")</f>
        <v>-</v>
      </c>
      <c r="X275" s="1" t="str">
        <f>_xlfn.IFNA(VLOOKUP(B275,'CO Trx'!$A$49:$B$104,2,0),"-")</f>
        <v>-</v>
      </c>
      <c r="Y275" s="20" t="s">
        <v>6889</v>
      </c>
      <c r="AA275" t="s">
        <v>8027</v>
      </c>
      <c r="AB275" t="s">
        <v>8071</v>
      </c>
    </row>
    <row r="276" spans="1:28" x14ac:dyDescent="0.2">
      <c r="A276" s="1" t="s">
        <v>417</v>
      </c>
      <c r="B276" s="1" t="s">
        <v>418</v>
      </c>
      <c r="C276" s="1" t="s">
        <v>13</v>
      </c>
      <c r="D276" s="1" t="s">
        <v>419</v>
      </c>
      <c r="E276" s="1" t="s">
        <v>473</v>
      </c>
      <c r="F276" s="1" t="s">
        <v>473</v>
      </c>
      <c r="G276" s="1" t="s">
        <v>473</v>
      </c>
      <c r="H276" s="1" t="s">
        <v>473</v>
      </c>
      <c r="I276" s="1" t="s">
        <v>473</v>
      </c>
      <c r="J276" s="1" t="s">
        <v>473</v>
      </c>
      <c r="K276" s="1" t="s">
        <v>473</v>
      </c>
      <c r="L276" s="1" t="s">
        <v>6943</v>
      </c>
      <c r="M276" s="1" t="s">
        <v>473</v>
      </c>
      <c r="N276" s="1" t="s">
        <v>7802</v>
      </c>
      <c r="O276" s="1" t="s">
        <v>7803</v>
      </c>
      <c r="P276" s="1" t="s">
        <v>8246</v>
      </c>
      <c r="Q276" s="28">
        <v>0</v>
      </c>
      <c r="R276" s="1">
        <v>0</v>
      </c>
      <c r="S276" s="1"/>
      <c r="T276" s="10" t="str">
        <f>_xlfn.IFNA(VLOOKUP(B276,Sheet2!$A$2:$M$58,4,0),"-")</f>
        <v>-</v>
      </c>
      <c r="U276" s="10" t="str">
        <f>_xlfn.IFNA(VLOOKUP(B276,'TV Trx'!$B$4:$C$57,2,0),"-")</f>
        <v>-</v>
      </c>
      <c r="V276" s="10" t="str">
        <f t="shared" si="4"/>
        <v>-</v>
      </c>
      <c r="W276" s="1" t="str">
        <f>_xlfn.IFNA(VLOOKUP(B276,'CO Trx'!$A$4:$B$37,2,0),"-")</f>
        <v>-</v>
      </c>
      <c r="X276" s="1" t="str">
        <f>_xlfn.IFNA(VLOOKUP(B276,'CO Trx'!$A$49:$B$104,2,0),"-")</f>
        <v>-</v>
      </c>
      <c r="Y276" s="21" t="s">
        <v>6890</v>
      </c>
      <c r="AA276" t="s">
        <v>8028</v>
      </c>
    </row>
    <row r="277" spans="1:28" x14ac:dyDescent="0.2">
      <c r="A277" s="1" t="s">
        <v>381</v>
      </c>
      <c r="B277" s="1" t="s">
        <v>382</v>
      </c>
      <c r="C277" s="1" t="s">
        <v>6</v>
      </c>
      <c r="D277" s="1" t="s">
        <v>383</v>
      </c>
      <c r="E277" s="1" t="s">
        <v>7804</v>
      </c>
      <c r="F277" s="1" t="s">
        <v>473</v>
      </c>
      <c r="G277" s="1" t="s">
        <v>473</v>
      </c>
      <c r="H277" s="1" t="s">
        <v>473</v>
      </c>
      <c r="I277" s="1" t="s">
        <v>473</v>
      </c>
      <c r="J277" s="1" t="s">
        <v>473</v>
      </c>
      <c r="K277" s="1" t="s">
        <v>473</v>
      </c>
      <c r="L277" s="1" t="s">
        <v>6974</v>
      </c>
      <c r="M277" s="1" t="s">
        <v>473</v>
      </c>
      <c r="N277" s="1" t="s">
        <v>7805</v>
      </c>
      <c r="O277" s="1" t="s">
        <v>7806</v>
      </c>
      <c r="P277" s="1" t="s">
        <v>8247</v>
      </c>
      <c r="Q277" s="28"/>
      <c r="R277" s="1"/>
      <c r="S277" s="1"/>
      <c r="T277" s="10">
        <f>_xlfn.IFNA(VLOOKUP(B277,Sheet2!$A$2:$M$58,4,0),"-")</f>
        <v>45025</v>
      </c>
      <c r="U277" s="10" t="str">
        <f>_xlfn.IFNA(VLOOKUP(B277,'TV Trx'!$B$4:$C$57,2,0),"-")</f>
        <v>-</v>
      </c>
      <c r="V277" s="10">
        <f t="shared" si="4"/>
        <v>45025</v>
      </c>
      <c r="W277" s="1" t="str">
        <f>_xlfn.IFNA(VLOOKUP(B277,'CO Trx'!$A$4:$B$37,2,0),"-")</f>
        <v>-</v>
      </c>
      <c r="X277" s="1">
        <f>_xlfn.IFNA(VLOOKUP(B277,'CO Trx'!$A$49:$B$104,2,0),"-")</f>
        <v>1</v>
      </c>
      <c r="Y277" s="20" t="s">
        <v>6889</v>
      </c>
      <c r="AA277" t="s">
        <v>8124</v>
      </c>
      <c r="AB277" t="s">
        <v>8036</v>
      </c>
    </row>
    <row r="278" spans="1:28" x14ac:dyDescent="0.2">
      <c r="A278" s="1" t="s">
        <v>804</v>
      </c>
      <c r="B278" s="1" t="s">
        <v>805</v>
      </c>
      <c r="C278" s="1" t="s">
        <v>13</v>
      </c>
      <c r="D278" s="1" t="s">
        <v>806</v>
      </c>
      <c r="E278" s="1" t="s">
        <v>7807</v>
      </c>
      <c r="F278" s="1" t="s">
        <v>473</v>
      </c>
      <c r="G278" s="1" t="s">
        <v>473</v>
      </c>
      <c r="H278" s="1" t="s">
        <v>473</v>
      </c>
      <c r="I278" s="1" t="s">
        <v>473</v>
      </c>
      <c r="J278" s="1" t="s">
        <v>473</v>
      </c>
      <c r="K278" s="1" t="s">
        <v>473</v>
      </c>
      <c r="L278" s="1" t="s">
        <v>7405</v>
      </c>
      <c r="M278" s="1" t="s">
        <v>473</v>
      </c>
      <c r="N278" s="1" t="s">
        <v>7808</v>
      </c>
      <c r="O278" s="1" t="s">
        <v>7809</v>
      </c>
      <c r="P278" s="1" t="s">
        <v>8248</v>
      </c>
      <c r="Q278" s="28">
        <v>1250016168080</v>
      </c>
      <c r="R278" s="1" t="s">
        <v>8254</v>
      </c>
      <c r="S278" s="1"/>
      <c r="T278" s="10" t="str">
        <f>_xlfn.IFNA(VLOOKUP(B278,Sheet2!$A$2:$M$58,4,0),"-")</f>
        <v>-</v>
      </c>
      <c r="U278" s="10" t="str">
        <f>_xlfn.IFNA(VLOOKUP(B278,'TV Trx'!$B$4:$C$57,2,0),"-")</f>
        <v>-</v>
      </c>
      <c r="V278" s="10" t="str">
        <f t="shared" si="4"/>
        <v>-</v>
      </c>
      <c r="W278" s="1" t="str">
        <f>_xlfn.IFNA(VLOOKUP(B278,'CO Trx'!$A$4:$B$37,2,0),"-")</f>
        <v>-</v>
      </c>
      <c r="X278" s="1" t="str">
        <f>_xlfn.IFNA(VLOOKUP(B278,'CO Trx'!$A$49:$B$104,2,0),"-")</f>
        <v>-</v>
      </c>
      <c r="Y278" s="21" t="s">
        <v>6890</v>
      </c>
      <c r="AA278" t="s">
        <v>8029</v>
      </c>
      <c r="AB278" t="s">
        <v>8072</v>
      </c>
    </row>
    <row r="279" spans="1:28" x14ac:dyDescent="0.2">
      <c r="A279" s="1" t="s">
        <v>798</v>
      </c>
      <c r="B279" s="1" t="s">
        <v>799</v>
      </c>
      <c r="C279" s="1" t="s">
        <v>13</v>
      </c>
      <c r="D279" s="1" t="s">
        <v>800</v>
      </c>
      <c r="E279" s="1" t="s">
        <v>7810</v>
      </c>
      <c r="F279" s="1" t="s">
        <v>473</v>
      </c>
      <c r="G279" s="1" t="s">
        <v>473</v>
      </c>
      <c r="H279" s="1" t="s">
        <v>7811</v>
      </c>
      <c r="I279" s="1" t="s">
        <v>6940</v>
      </c>
      <c r="J279" s="1" t="s">
        <v>6941</v>
      </c>
      <c r="K279" s="1" t="s">
        <v>473</v>
      </c>
      <c r="L279" s="1" t="s">
        <v>473</v>
      </c>
      <c r="M279" s="1" t="s">
        <v>473</v>
      </c>
      <c r="N279" s="1" t="s">
        <v>473</v>
      </c>
      <c r="O279" s="1" t="s">
        <v>7812</v>
      </c>
      <c r="P279" s="1" t="s">
        <v>8249</v>
      </c>
      <c r="Q279" s="28">
        <v>0</v>
      </c>
      <c r="R279" s="1">
        <v>0</v>
      </c>
      <c r="S279" s="1"/>
      <c r="T279" s="10" t="str">
        <f>_xlfn.IFNA(VLOOKUP(B279,Sheet2!$A$2:$M$58,4,0),"-")</f>
        <v>-</v>
      </c>
      <c r="U279" s="10" t="str">
        <f>_xlfn.IFNA(VLOOKUP(B279,'TV Trx'!$B$4:$C$57,2,0),"-")</f>
        <v>-</v>
      </c>
      <c r="V279" s="10" t="str">
        <f t="shared" si="4"/>
        <v>-</v>
      </c>
      <c r="W279" s="1" t="str">
        <f>_xlfn.IFNA(VLOOKUP(B279,'CO Trx'!$A$4:$B$37,2,0),"-")</f>
        <v>-</v>
      </c>
      <c r="X279" s="1" t="str">
        <f>_xlfn.IFNA(VLOOKUP(B279,'CO Trx'!$A$49:$B$104,2,0),"-")</f>
        <v>-</v>
      </c>
      <c r="Y279" s="21" t="s">
        <v>6890</v>
      </c>
      <c r="AA279" t="s">
        <v>799</v>
      </c>
    </row>
    <row r="280" spans="1:28" x14ac:dyDescent="0.2">
      <c r="A280" s="1" t="s">
        <v>420</v>
      </c>
      <c r="B280" s="1" t="s">
        <v>421</v>
      </c>
      <c r="C280" s="1" t="s">
        <v>23</v>
      </c>
      <c r="D280" s="1" t="s">
        <v>422</v>
      </c>
      <c r="E280" s="1" t="s">
        <v>7813</v>
      </c>
      <c r="F280" s="1" t="s">
        <v>473</v>
      </c>
      <c r="G280" s="1" t="s">
        <v>473</v>
      </c>
      <c r="H280" s="1" t="s">
        <v>7814</v>
      </c>
      <c r="I280" s="1" t="s">
        <v>7208</v>
      </c>
      <c r="J280" s="1" t="s">
        <v>7136</v>
      </c>
      <c r="K280" s="1" t="s">
        <v>473</v>
      </c>
      <c r="L280" s="1" t="s">
        <v>473</v>
      </c>
      <c r="M280" s="1" t="s">
        <v>473</v>
      </c>
      <c r="N280" s="1" t="s">
        <v>473</v>
      </c>
      <c r="O280" s="1" t="s">
        <v>7815</v>
      </c>
      <c r="P280" s="1">
        <v>0</v>
      </c>
      <c r="Q280" s="28">
        <v>0</v>
      </c>
      <c r="R280" s="1">
        <v>0</v>
      </c>
      <c r="S280" s="1"/>
      <c r="T280" s="10" t="str">
        <f>_xlfn.IFNA(VLOOKUP(B280,Sheet2!$A$2:$M$58,4,0),"-")</f>
        <v>-</v>
      </c>
      <c r="U280" s="10" t="str">
        <f>_xlfn.IFNA(VLOOKUP(B280,'TV Trx'!$B$4:$C$57,2,0),"-")</f>
        <v>-</v>
      </c>
      <c r="V280" s="10" t="str">
        <f t="shared" ref="V280:V312" si="5">IF(C280="ACC_TYPE_CO",T280,U280)</f>
        <v>-</v>
      </c>
      <c r="W280" s="1" t="str">
        <f>_xlfn.IFNA(VLOOKUP(B280,'CO Trx'!$A$4:$B$37,2,0),"-")</f>
        <v>-</v>
      </c>
      <c r="X280" s="1" t="str">
        <f>_xlfn.IFNA(VLOOKUP(B280,'CO Trx'!$A$49:$B$104,2,0),"-")</f>
        <v>-</v>
      </c>
      <c r="Y280" s="21" t="s">
        <v>6890</v>
      </c>
    </row>
    <row r="281" spans="1:28" x14ac:dyDescent="0.2">
      <c r="A281" s="1" t="s">
        <v>285</v>
      </c>
      <c r="B281" s="1" t="s">
        <v>286</v>
      </c>
      <c r="C281" s="1" t="s">
        <v>6</v>
      </c>
      <c r="D281" s="1" t="s">
        <v>287</v>
      </c>
      <c r="E281" s="1" t="s">
        <v>7816</v>
      </c>
      <c r="F281" s="1" t="s">
        <v>473</v>
      </c>
      <c r="G281" s="1" t="s">
        <v>473</v>
      </c>
      <c r="H281" s="1" t="s">
        <v>473</v>
      </c>
      <c r="I281" s="1" t="s">
        <v>473</v>
      </c>
      <c r="J281" s="1" t="s">
        <v>473</v>
      </c>
      <c r="K281" s="1" t="s">
        <v>473</v>
      </c>
      <c r="L281" s="1" t="s">
        <v>473</v>
      </c>
      <c r="M281" s="1" t="s">
        <v>473</v>
      </c>
      <c r="N281" s="1" t="s">
        <v>7817</v>
      </c>
      <c r="O281" s="1" t="s">
        <v>7818</v>
      </c>
      <c r="P281" s="1">
        <v>0</v>
      </c>
      <c r="Q281" s="28">
        <v>1200011994584</v>
      </c>
      <c r="R281" s="1" t="s">
        <v>8254</v>
      </c>
      <c r="S281" s="1"/>
      <c r="T281" s="10" t="str">
        <f>_xlfn.IFNA(VLOOKUP(B281,Sheet2!$A$2:$M$58,4,0),"-")</f>
        <v>-</v>
      </c>
      <c r="U281" s="10" t="str">
        <f>_xlfn.IFNA(VLOOKUP(B281,'TV Trx'!$B$4:$C$57,2,0),"-")</f>
        <v>-</v>
      </c>
      <c r="V281" s="10" t="str">
        <f t="shared" si="5"/>
        <v>-</v>
      </c>
      <c r="W281" s="1" t="str">
        <f>_xlfn.IFNA(VLOOKUP(B281,'CO Trx'!$A$4:$B$37,2,0),"-")</f>
        <v>-</v>
      </c>
      <c r="X281" s="1" t="str">
        <f>_xlfn.IFNA(VLOOKUP(B281,'CO Trx'!$A$49:$B$104,2,0),"-")</f>
        <v>-</v>
      </c>
      <c r="Y281" s="21" t="s">
        <v>6890</v>
      </c>
      <c r="AB281" t="s">
        <v>8045</v>
      </c>
    </row>
    <row r="282" spans="1:28" x14ac:dyDescent="0.2">
      <c r="A282" s="1" t="s">
        <v>8</v>
      </c>
      <c r="B282" s="1" t="s">
        <v>9</v>
      </c>
      <c r="C282" s="1" t="s">
        <v>6</v>
      </c>
      <c r="D282" s="1" t="s">
        <v>10</v>
      </c>
      <c r="E282" s="1" t="s">
        <v>7819</v>
      </c>
      <c r="F282" s="1" t="s">
        <v>473</v>
      </c>
      <c r="G282" s="1" t="s">
        <v>473</v>
      </c>
      <c r="H282" s="1" t="s">
        <v>473</v>
      </c>
      <c r="I282" s="1" t="s">
        <v>473</v>
      </c>
      <c r="J282" s="1" t="s">
        <v>473</v>
      </c>
      <c r="K282" s="1" t="s">
        <v>473</v>
      </c>
      <c r="L282" s="1" t="s">
        <v>7106</v>
      </c>
      <c r="M282" s="1" t="s">
        <v>473</v>
      </c>
      <c r="N282" s="1" t="s">
        <v>7820</v>
      </c>
      <c r="O282" s="1" t="s">
        <v>7821</v>
      </c>
      <c r="P282" s="1" t="s">
        <v>8260</v>
      </c>
      <c r="Q282" s="28"/>
      <c r="R282" s="1"/>
      <c r="S282" s="1"/>
      <c r="T282" s="10">
        <f>_xlfn.IFNA(VLOOKUP(B282,Sheet2!$A$2:$M$58,4,0),"-")</f>
        <v>45085</v>
      </c>
      <c r="U282" s="10" t="str">
        <f>_xlfn.IFNA(VLOOKUP(B282,'TV Trx'!$B$4:$C$57,2,0),"-")</f>
        <v>-</v>
      </c>
      <c r="V282" s="10">
        <f t="shared" si="5"/>
        <v>45085</v>
      </c>
      <c r="W282" s="1">
        <f>_xlfn.IFNA(VLOOKUP(B282,'CO Trx'!$A$4:$B$37,2,0),"-")</f>
        <v>74</v>
      </c>
      <c r="X282" s="1">
        <f>_xlfn.IFNA(VLOOKUP(B282,'CO Trx'!$A$49:$B$104,2,0),"-")</f>
        <v>311</v>
      </c>
      <c r="Y282" s="20" t="s">
        <v>6889</v>
      </c>
      <c r="AA282" t="s">
        <v>8259</v>
      </c>
    </row>
    <row r="283" spans="1:28" x14ac:dyDescent="0.2">
      <c r="A283" s="1" t="s">
        <v>810</v>
      </c>
      <c r="B283" s="1" t="s">
        <v>811</v>
      </c>
      <c r="C283" s="1" t="s">
        <v>6</v>
      </c>
      <c r="D283" s="1" t="s">
        <v>10</v>
      </c>
      <c r="E283" s="1" t="s">
        <v>7819</v>
      </c>
      <c r="F283" s="1" t="s">
        <v>473</v>
      </c>
      <c r="G283" s="1" t="s">
        <v>473</v>
      </c>
      <c r="H283" s="1" t="s">
        <v>473</v>
      </c>
      <c r="I283" s="1" t="s">
        <v>473</v>
      </c>
      <c r="J283" s="1" t="s">
        <v>473</v>
      </c>
      <c r="K283" s="1" t="s">
        <v>473</v>
      </c>
      <c r="L283" s="1" t="s">
        <v>7106</v>
      </c>
      <c r="M283" s="1" t="s">
        <v>473</v>
      </c>
      <c r="N283" s="1" t="s">
        <v>7822</v>
      </c>
      <c r="O283" s="1" t="s">
        <v>7823</v>
      </c>
      <c r="P283" s="1">
        <v>0</v>
      </c>
      <c r="Q283" s="28">
        <v>0</v>
      </c>
      <c r="R283" s="1">
        <v>0</v>
      </c>
      <c r="S283" s="1"/>
      <c r="T283" s="10" t="str">
        <f>_xlfn.IFNA(VLOOKUP(B283,Sheet2!$A$2:$M$58,4,0),"-")</f>
        <v>-</v>
      </c>
      <c r="U283" s="10" t="str">
        <f>_xlfn.IFNA(VLOOKUP(B283,'TV Trx'!$B$4:$C$57,2,0),"-")</f>
        <v>-</v>
      </c>
      <c r="V283" s="10" t="str">
        <f t="shared" si="5"/>
        <v>-</v>
      </c>
      <c r="W283" s="1" t="str">
        <f>_xlfn.IFNA(VLOOKUP(B283,'CO Trx'!$A$4:$B$37,2,0),"-")</f>
        <v>-</v>
      </c>
      <c r="X283" s="1" t="str">
        <f>_xlfn.IFNA(VLOOKUP(B283,'CO Trx'!$A$49:$B$104,2,0),"-")</f>
        <v>-</v>
      </c>
      <c r="Y283" s="21" t="s">
        <v>6890</v>
      </c>
    </row>
    <row r="284" spans="1:28" x14ac:dyDescent="0.2">
      <c r="A284" s="1" t="s">
        <v>294</v>
      </c>
      <c r="B284" s="1" t="s">
        <v>295</v>
      </c>
      <c r="C284" s="1" t="s">
        <v>6</v>
      </c>
      <c r="D284" s="1" t="s">
        <v>296</v>
      </c>
      <c r="E284" s="1" t="s">
        <v>7824</v>
      </c>
      <c r="F284" s="1" t="s">
        <v>473</v>
      </c>
      <c r="G284" s="1" t="s">
        <v>473</v>
      </c>
      <c r="H284" s="1" t="s">
        <v>473</v>
      </c>
      <c r="I284" s="1" t="s">
        <v>473</v>
      </c>
      <c r="J284" s="1" t="s">
        <v>473</v>
      </c>
      <c r="K284" s="1" t="s">
        <v>473</v>
      </c>
      <c r="L284" s="1" t="s">
        <v>6974</v>
      </c>
      <c r="M284" s="1" t="s">
        <v>473</v>
      </c>
      <c r="N284" s="1" t="s">
        <v>7825</v>
      </c>
      <c r="O284" s="1" t="s">
        <v>7826</v>
      </c>
      <c r="P284" s="1" t="s">
        <v>8250</v>
      </c>
      <c r="Q284" s="28"/>
      <c r="R284" s="1"/>
      <c r="S284" s="1"/>
      <c r="T284" s="10">
        <f>_xlfn.IFNA(VLOOKUP(B284,Sheet2!$A$2:$M$58,4,0),"-")</f>
        <v>45076</v>
      </c>
      <c r="U284" s="10" t="str">
        <f>_xlfn.IFNA(VLOOKUP(B284,'TV Trx'!$B$4:$C$57,2,0),"-")</f>
        <v>-</v>
      </c>
      <c r="V284" s="10">
        <f t="shared" si="5"/>
        <v>45076</v>
      </c>
      <c r="W284" s="1">
        <f>_xlfn.IFNA(VLOOKUP(B284,'CO Trx'!$A$4:$B$37,2,0),"-")</f>
        <v>27</v>
      </c>
      <c r="X284" s="1">
        <f>_xlfn.IFNA(VLOOKUP(B284,'CO Trx'!$A$49:$B$104,2,0),"-")</f>
        <v>85</v>
      </c>
      <c r="Y284" s="20" t="s">
        <v>6889</v>
      </c>
      <c r="AA284" t="s">
        <v>8125</v>
      </c>
      <c r="AB284" t="s">
        <v>8073</v>
      </c>
    </row>
    <row r="285" spans="1:28" x14ac:dyDescent="0.2">
      <c r="A285" s="1" t="s">
        <v>139</v>
      </c>
      <c r="B285" s="1" t="s">
        <v>140</v>
      </c>
      <c r="C285" s="1" t="s">
        <v>13</v>
      </c>
      <c r="D285" s="1" t="s">
        <v>141</v>
      </c>
      <c r="E285" s="1" t="s">
        <v>7827</v>
      </c>
      <c r="F285" s="1" t="s">
        <v>473</v>
      </c>
      <c r="G285" s="1" t="s">
        <v>473</v>
      </c>
      <c r="H285" s="1" t="s">
        <v>473</v>
      </c>
      <c r="I285" s="1" t="s">
        <v>473</v>
      </c>
      <c r="J285" s="1" t="s">
        <v>473</v>
      </c>
      <c r="K285" s="1" t="s">
        <v>473</v>
      </c>
      <c r="L285" s="1" t="s">
        <v>6974</v>
      </c>
      <c r="M285" s="1" t="s">
        <v>473</v>
      </c>
      <c r="N285" s="1" t="s">
        <v>7828</v>
      </c>
      <c r="O285" s="1" t="s">
        <v>7829</v>
      </c>
      <c r="P285" s="1" t="s">
        <v>8251</v>
      </c>
      <c r="Q285" s="28"/>
      <c r="R285" s="1" t="s">
        <v>8316</v>
      </c>
      <c r="S285" s="1"/>
      <c r="T285" s="10" t="str">
        <f>_xlfn.IFNA(VLOOKUP(B285,Sheet2!$A$2:$M$58,4,0),"-")</f>
        <v>-</v>
      </c>
      <c r="U285" s="10">
        <f>_xlfn.IFNA(VLOOKUP(B285,'TV Trx'!$B$4:$C$57,2,0),"-")</f>
        <v>45066</v>
      </c>
      <c r="V285" s="10">
        <f t="shared" si="5"/>
        <v>45066</v>
      </c>
      <c r="W285" s="1" t="str">
        <f>_xlfn.IFNA(VLOOKUP(B285,'CO Trx'!$A$4:$B$37,2,0),"-")</f>
        <v>-</v>
      </c>
      <c r="X285" s="1" t="str">
        <f>_xlfn.IFNA(VLOOKUP(B285,'CO Trx'!$A$49:$B$104,2,0),"-")</f>
        <v>-</v>
      </c>
      <c r="Y285" s="20" t="s">
        <v>6889</v>
      </c>
      <c r="AA285" t="s">
        <v>8030</v>
      </c>
      <c r="AB285" t="s">
        <v>8073</v>
      </c>
    </row>
    <row r="286" spans="1:28" x14ac:dyDescent="0.2">
      <c r="A286" s="1" t="s">
        <v>124</v>
      </c>
      <c r="B286" s="1" t="s">
        <v>125</v>
      </c>
      <c r="C286" s="1" t="s">
        <v>6</v>
      </c>
      <c r="D286" s="1" t="s">
        <v>126</v>
      </c>
      <c r="E286" s="1" t="s">
        <v>7081</v>
      </c>
      <c r="F286" s="1" t="s">
        <v>473</v>
      </c>
      <c r="G286" s="1" t="s">
        <v>473</v>
      </c>
      <c r="H286" s="1" t="s">
        <v>473</v>
      </c>
      <c r="I286" s="1" t="s">
        <v>473</v>
      </c>
      <c r="J286" s="1" t="s">
        <v>473</v>
      </c>
      <c r="K286" s="1" t="s">
        <v>473</v>
      </c>
      <c r="L286" s="1" t="s">
        <v>473</v>
      </c>
      <c r="M286" s="1" t="s">
        <v>473</v>
      </c>
      <c r="N286" s="1" t="s">
        <v>7830</v>
      </c>
      <c r="O286" s="1" t="s">
        <v>7831</v>
      </c>
      <c r="P286" s="1">
        <v>0</v>
      </c>
      <c r="Q286" s="28">
        <v>0</v>
      </c>
      <c r="R286" s="1">
        <v>0</v>
      </c>
      <c r="S286" s="1"/>
      <c r="T286" s="10" t="str">
        <f>_xlfn.IFNA(VLOOKUP(B286,Sheet2!$A$2:$M$58,4,0),"-")</f>
        <v>-</v>
      </c>
      <c r="U286" s="10" t="str">
        <f>_xlfn.IFNA(VLOOKUP(B286,'TV Trx'!$B$4:$C$57,2,0),"-")</f>
        <v>-</v>
      </c>
      <c r="V286" s="10" t="str">
        <f t="shared" si="5"/>
        <v>-</v>
      </c>
      <c r="W286" s="1" t="str">
        <f>_xlfn.IFNA(VLOOKUP(B286,'CO Trx'!$A$4:$B$37,2,0),"-")</f>
        <v>-</v>
      </c>
      <c r="X286" s="1" t="str">
        <f>_xlfn.IFNA(VLOOKUP(B286,'CO Trx'!$A$49:$B$104,2,0),"-")</f>
        <v>-</v>
      </c>
      <c r="Y286" s="21" t="s">
        <v>6890</v>
      </c>
    </row>
    <row r="287" spans="1:28" x14ac:dyDescent="0.2">
      <c r="A287" s="1" t="s">
        <v>567</v>
      </c>
      <c r="B287" s="1" t="s">
        <v>568</v>
      </c>
      <c r="C287" s="1" t="s">
        <v>473</v>
      </c>
      <c r="D287" s="1" t="s">
        <v>569</v>
      </c>
      <c r="E287" s="1" t="s">
        <v>7832</v>
      </c>
      <c r="F287" s="1" t="s">
        <v>473</v>
      </c>
      <c r="G287" s="1" t="s">
        <v>473</v>
      </c>
      <c r="H287" s="1" t="s">
        <v>7833</v>
      </c>
      <c r="I287" s="1" t="s">
        <v>6940</v>
      </c>
      <c r="J287" s="1" t="s">
        <v>6941</v>
      </c>
      <c r="K287" s="1" t="s">
        <v>473</v>
      </c>
      <c r="L287" s="1" t="s">
        <v>7834</v>
      </c>
      <c r="M287" s="1" t="s">
        <v>473</v>
      </c>
      <c r="N287" s="1" t="s">
        <v>7835</v>
      </c>
      <c r="O287" s="1" t="s">
        <v>7836</v>
      </c>
      <c r="P287" s="1">
        <v>0</v>
      </c>
      <c r="Q287" s="28">
        <v>0</v>
      </c>
      <c r="R287" s="1">
        <v>0</v>
      </c>
      <c r="S287" s="1"/>
      <c r="T287" s="10" t="str">
        <f>_xlfn.IFNA(VLOOKUP(B287,Sheet2!$A$2:$M$58,4,0),"-")</f>
        <v>-</v>
      </c>
      <c r="U287" s="10" t="str">
        <f>_xlfn.IFNA(VLOOKUP(B287,'TV Trx'!$B$4:$C$57,2,0),"-")</f>
        <v>-</v>
      </c>
      <c r="V287" s="10" t="str">
        <f t="shared" si="5"/>
        <v>-</v>
      </c>
      <c r="W287" s="1" t="str">
        <f>_xlfn.IFNA(VLOOKUP(B287,'CO Trx'!$A$4:$B$37,2,0),"-")</f>
        <v>-</v>
      </c>
      <c r="X287" s="1" t="str">
        <f>_xlfn.IFNA(VLOOKUP(B287,'CO Trx'!$A$49:$B$104,2,0),"-")</f>
        <v>-</v>
      </c>
      <c r="Y287" s="21" t="s">
        <v>6890</v>
      </c>
    </row>
    <row r="288" spans="1:28" x14ac:dyDescent="0.2">
      <c r="A288" s="1" t="s">
        <v>21</v>
      </c>
      <c r="B288" s="1" t="s">
        <v>22</v>
      </c>
      <c r="C288" s="1" t="s">
        <v>23</v>
      </c>
      <c r="D288" s="1" t="s">
        <v>24</v>
      </c>
      <c r="E288" s="1" t="s">
        <v>7837</v>
      </c>
      <c r="F288" s="1" t="s">
        <v>473</v>
      </c>
      <c r="G288" s="1" t="s">
        <v>473</v>
      </c>
      <c r="H288" s="1" t="s">
        <v>473</v>
      </c>
      <c r="I288" s="1" t="s">
        <v>473</v>
      </c>
      <c r="J288" s="1" t="s">
        <v>473</v>
      </c>
      <c r="K288" s="1" t="s">
        <v>473</v>
      </c>
      <c r="L288" s="1" t="s">
        <v>7838</v>
      </c>
      <c r="M288" s="1" t="s">
        <v>473</v>
      </c>
      <c r="N288" s="1" t="s">
        <v>7839</v>
      </c>
      <c r="O288" s="1" t="s">
        <v>7840</v>
      </c>
      <c r="P288" s="1">
        <v>0</v>
      </c>
      <c r="Q288" s="28">
        <v>0</v>
      </c>
      <c r="R288" s="1">
        <v>0</v>
      </c>
      <c r="S288" s="1"/>
      <c r="T288" s="10" t="str">
        <f>_xlfn.IFNA(VLOOKUP(B288,Sheet2!$A$2:$M$58,4,0),"-")</f>
        <v>-</v>
      </c>
      <c r="U288" s="10" t="str">
        <f>_xlfn.IFNA(VLOOKUP(B288,'TV Trx'!$B$4:$C$57,2,0),"-")</f>
        <v>-</v>
      </c>
      <c r="V288" s="10" t="str">
        <f t="shared" si="5"/>
        <v>-</v>
      </c>
      <c r="W288" s="1" t="str">
        <f>_xlfn.IFNA(VLOOKUP(B288,'CO Trx'!$A$4:$B$37,2,0),"-")</f>
        <v>-</v>
      </c>
      <c r="X288" s="1" t="str">
        <f>_xlfn.IFNA(VLOOKUP(B288,'CO Trx'!$A$49:$B$104,2,0),"-")</f>
        <v>-</v>
      </c>
      <c r="Y288" s="21" t="s">
        <v>6890</v>
      </c>
    </row>
    <row r="289" spans="1:25" x14ac:dyDescent="0.2">
      <c r="A289" s="1" t="s">
        <v>656</v>
      </c>
      <c r="B289" s="1" t="s">
        <v>657</v>
      </c>
      <c r="C289" s="1" t="s">
        <v>6</v>
      </c>
      <c r="D289" s="1" t="s">
        <v>658</v>
      </c>
      <c r="E289" s="1" t="s">
        <v>7841</v>
      </c>
      <c r="F289" s="1" t="s">
        <v>473</v>
      </c>
      <c r="G289" s="1" t="s">
        <v>473</v>
      </c>
      <c r="H289" s="1" t="s">
        <v>7842</v>
      </c>
      <c r="I289" s="1" t="s">
        <v>7843</v>
      </c>
      <c r="J289" s="1" t="s">
        <v>7844</v>
      </c>
      <c r="K289" s="1" t="s">
        <v>473</v>
      </c>
      <c r="L289" s="1" t="s">
        <v>473</v>
      </c>
      <c r="M289" s="1" t="s">
        <v>473</v>
      </c>
      <c r="N289" s="1" t="s">
        <v>473</v>
      </c>
      <c r="O289" s="1" t="s">
        <v>7845</v>
      </c>
      <c r="P289" s="1">
        <v>0</v>
      </c>
      <c r="Q289" s="28">
        <v>0</v>
      </c>
      <c r="R289" s="1">
        <v>0</v>
      </c>
      <c r="S289" s="1"/>
      <c r="T289" s="10" t="str">
        <f>_xlfn.IFNA(VLOOKUP(B289,Sheet2!$A$2:$M$58,4,0),"-")</f>
        <v>-</v>
      </c>
      <c r="U289" s="10" t="str">
        <f>_xlfn.IFNA(VLOOKUP(B289,'TV Trx'!$B$4:$C$57,2,0),"-")</f>
        <v>-</v>
      </c>
      <c r="V289" s="10" t="str">
        <f t="shared" si="5"/>
        <v>-</v>
      </c>
      <c r="W289" s="1" t="str">
        <f>_xlfn.IFNA(VLOOKUP(B289,'CO Trx'!$A$4:$B$37,2,0),"-")</f>
        <v>-</v>
      </c>
      <c r="X289" s="1" t="str">
        <f>_xlfn.IFNA(VLOOKUP(B289,'CO Trx'!$A$49:$B$104,2,0),"-")</f>
        <v>-</v>
      </c>
      <c r="Y289" s="21" t="s">
        <v>6890</v>
      </c>
    </row>
    <row r="290" spans="1:25" x14ac:dyDescent="0.2">
      <c r="A290" s="1" t="s">
        <v>840</v>
      </c>
      <c r="B290" s="1" t="s">
        <v>841</v>
      </c>
      <c r="C290" s="1" t="s">
        <v>23</v>
      </c>
      <c r="D290" s="1" t="s">
        <v>842</v>
      </c>
      <c r="E290" s="1" t="s">
        <v>7846</v>
      </c>
      <c r="F290" s="1" t="s">
        <v>473</v>
      </c>
      <c r="G290" s="1" t="s">
        <v>473</v>
      </c>
      <c r="H290" s="1" t="s">
        <v>473</v>
      </c>
      <c r="I290" s="1" t="s">
        <v>473</v>
      </c>
      <c r="J290" s="1" t="s">
        <v>473</v>
      </c>
      <c r="K290" s="1" t="s">
        <v>473</v>
      </c>
      <c r="L290" s="1" t="s">
        <v>7847</v>
      </c>
      <c r="M290" s="1" t="s">
        <v>473</v>
      </c>
      <c r="N290" s="1" t="s">
        <v>7848</v>
      </c>
      <c r="O290" s="1" t="s">
        <v>7849</v>
      </c>
      <c r="P290" s="1">
        <v>0</v>
      </c>
      <c r="Q290" s="28">
        <v>0</v>
      </c>
      <c r="R290" s="1">
        <v>0</v>
      </c>
      <c r="S290" s="1"/>
      <c r="T290" s="10" t="str">
        <f>_xlfn.IFNA(VLOOKUP(B290,Sheet2!$A$2:$M$58,4,0),"-")</f>
        <v>-</v>
      </c>
      <c r="U290" s="10" t="str">
        <f>_xlfn.IFNA(VLOOKUP(B290,'TV Trx'!$B$4:$C$57,2,0),"-")</f>
        <v>-</v>
      </c>
      <c r="V290" s="10" t="str">
        <f t="shared" si="5"/>
        <v>-</v>
      </c>
      <c r="W290" s="1" t="str">
        <f>_xlfn.IFNA(VLOOKUP(B290,'CO Trx'!$A$4:$B$37,2,0),"-")</f>
        <v>-</v>
      </c>
      <c r="X290" s="1" t="str">
        <f>_xlfn.IFNA(VLOOKUP(B290,'CO Trx'!$A$49:$B$104,2,0),"-")</f>
        <v>-</v>
      </c>
      <c r="Y290" s="21" t="s">
        <v>6890</v>
      </c>
    </row>
    <row r="291" spans="1:25" x14ac:dyDescent="0.2">
      <c r="A291" s="1" t="s">
        <v>402</v>
      </c>
      <c r="B291" s="1" t="s">
        <v>403</v>
      </c>
      <c r="C291" s="1" t="s">
        <v>13</v>
      </c>
      <c r="D291" s="1" t="s">
        <v>404</v>
      </c>
      <c r="E291" s="1" t="s">
        <v>7850</v>
      </c>
      <c r="F291" s="1" t="s">
        <v>473</v>
      </c>
      <c r="G291" s="1" t="s">
        <v>473</v>
      </c>
      <c r="H291" s="1" t="s">
        <v>473</v>
      </c>
      <c r="I291" s="1" t="s">
        <v>473</v>
      </c>
      <c r="J291" s="1" t="s">
        <v>473</v>
      </c>
      <c r="K291" s="1" t="s">
        <v>473</v>
      </c>
      <c r="L291" s="1" t="s">
        <v>7127</v>
      </c>
      <c r="M291" s="1" t="s">
        <v>473</v>
      </c>
      <c r="N291" s="1" t="s">
        <v>7851</v>
      </c>
      <c r="O291" s="1" t="s">
        <v>7852</v>
      </c>
      <c r="P291" s="1">
        <v>0</v>
      </c>
      <c r="Q291" s="28">
        <v>0</v>
      </c>
      <c r="R291" s="1">
        <v>0</v>
      </c>
      <c r="S291" s="1"/>
      <c r="T291" s="10" t="str">
        <f>_xlfn.IFNA(VLOOKUP(B291,Sheet2!$A$2:$M$58,4,0),"-")</f>
        <v>-</v>
      </c>
      <c r="U291" s="10" t="str">
        <f>_xlfn.IFNA(VLOOKUP(B291,'TV Trx'!$B$4:$C$57,2,0),"-")</f>
        <v>-</v>
      </c>
      <c r="V291" s="10" t="str">
        <f t="shared" si="5"/>
        <v>-</v>
      </c>
      <c r="W291" s="1" t="str">
        <f>_xlfn.IFNA(VLOOKUP(B291,'CO Trx'!$A$4:$B$37,2,0),"-")</f>
        <v>-</v>
      </c>
      <c r="X291" s="1" t="str">
        <f>_xlfn.IFNA(VLOOKUP(B291,'CO Trx'!$A$49:$B$104,2,0),"-")</f>
        <v>-</v>
      </c>
      <c r="Y291" s="21" t="s">
        <v>6890</v>
      </c>
    </row>
    <row r="292" spans="1:25" x14ac:dyDescent="0.2">
      <c r="A292" s="1" t="s">
        <v>775</v>
      </c>
      <c r="B292" s="1" t="s">
        <v>776</v>
      </c>
      <c r="C292" s="1" t="s">
        <v>13</v>
      </c>
      <c r="D292" s="1" t="s">
        <v>607</v>
      </c>
      <c r="E292" s="1" t="s">
        <v>7853</v>
      </c>
      <c r="F292" s="1" t="s">
        <v>473</v>
      </c>
      <c r="G292" s="1" t="s">
        <v>473</v>
      </c>
      <c r="H292" s="1" t="s">
        <v>7811</v>
      </c>
      <c r="I292" s="1" t="s">
        <v>6940</v>
      </c>
      <c r="J292" s="1" t="s">
        <v>6941</v>
      </c>
      <c r="K292" s="1" t="s">
        <v>473</v>
      </c>
      <c r="L292" s="1" t="s">
        <v>473</v>
      </c>
      <c r="M292" s="1" t="s">
        <v>473</v>
      </c>
      <c r="N292" s="1" t="s">
        <v>473</v>
      </c>
      <c r="O292" s="1" t="s">
        <v>7854</v>
      </c>
      <c r="P292" s="1">
        <v>0</v>
      </c>
      <c r="Q292" s="28">
        <v>0</v>
      </c>
      <c r="R292" s="1">
        <v>0</v>
      </c>
      <c r="S292" s="1"/>
      <c r="T292" s="10" t="str">
        <f>_xlfn.IFNA(VLOOKUP(B292,Sheet2!$A$2:$M$58,4,0),"-")</f>
        <v>-</v>
      </c>
      <c r="U292" s="10" t="str">
        <f>_xlfn.IFNA(VLOOKUP(B292,'TV Trx'!$B$4:$C$57,2,0),"-")</f>
        <v>-</v>
      </c>
      <c r="V292" s="10" t="str">
        <f t="shared" si="5"/>
        <v>-</v>
      </c>
      <c r="W292" s="1" t="str">
        <f>_xlfn.IFNA(VLOOKUP(B292,'CO Trx'!$A$4:$B$37,2,0),"-")</f>
        <v>-</v>
      </c>
      <c r="X292" s="1" t="str">
        <f>_xlfn.IFNA(VLOOKUP(B292,'CO Trx'!$A$49:$B$104,2,0),"-")</f>
        <v>-</v>
      </c>
      <c r="Y292" s="21" t="s">
        <v>6890</v>
      </c>
    </row>
    <row r="293" spans="1:25" x14ac:dyDescent="0.2">
      <c r="A293" s="1" t="s">
        <v>605</v>
      </c>
      <c r="B293" s="1" t="s">
        <v>606</v>
      </c>
      <c r="C293" s="1" t="s">
        <v>13</v>
      </c>
      <c r="D293" s="1" t="s">
        <v>607</v>
      </c>
      <c r="E293" s="1" t="s">
        <v>7853</v>
      </c>
      <c r="F293" s="1" t="s">
        <v>473</v>
      </c>
      <c r="G293" s="1" t="s">
        <v>473</v>
      </c>
      <c r="H293" s="1" t="s">
        <v>7811</v>
      </c>
      <c r="I293" s="1" t="s">
        <v>6940</v>
      </c>
      <c r="J293" s="1" t="s">
        <v>6941</v>
      </c>
      <c r="K293" s="1" t="s">
        <v>473</v>
      </c>
      <c r="L293" s="1" t="s">
        <v>473</v>
      </c>
      <c r="M293" s="1" t="s">
        <v>473</v>
      </c>
      <c r="N293" s="1" t="s">
        <v>473</v>
      </c>
      <c r="O293" s="1" t="s">
        <v>7855</v>
      </c>
      <c r="P293" s="1">
        <v>0</v>
      </c>
      <c r="Q293" s="28">
        <v>0</v>
      </c>
      <c r="R293" s="1">
        <v>0</v>
      </c>
      <c r="S293" s="1"/>
      <c r="T293" s="10" t="str">
        <f>_xlfn.IFNA(VLOOKUP(B293,Sheet2!$A$2:$M$58,4,0),"-")</f>
        <v>-</v>
      </c>
      <c r="U293" s="10" t="str">
        <f>_xlfn.IFNA(VLOOKUP(B293,'TV Trx'!$B$4:$C$57,2,0),"-")</f>
        <v>-</v>
      </c>
      <c r="V293" s="10" t="str">
        <f t="shared" si="5"/>
        <v>-</v>
      </c>
      <c r="W293" s="1" t="str">
        <f>_xlfn.IFNA(VLOOKUP(B293,'CO Trx'!$A$4:$B$37,2,0),"-")</f>
        <v>-</v>
      </c>
      <c r="X293" s="1" t="str">
        <f>_xlfn.IFNA(VLOOKUP(B293,'CO Trx'!$A$49:$B$104,2,0),"-")</f>
        <v>-</v>
      </c>
      <c r="Y293" s="21" t="s">
        <v>6890</v>
      </c>
    </row>
    <row r="294" spans="1:25" x14ac:dyDescent="0.2">
      <c r="A294" s="1" t="s">
        <v>792</v>
      </c>
      <c r="B294" s="1" t="s">
        <v>793</v>
      </c>
      <c r="C294" s="1" t="s">
        <v>13</v>
      </c>
      <c r="D294" s="1" t="s">
        <v>794</v>
      </c>
      <c r="E294" s="1" t="s">
        <v>6928</v>
      </c>
      <c r="F294" s="1" t="s">
        <v>473</v>
      </c>
      <c r="G294" s="1" t="s">
        <v>473</v>
      </c>
      <c r="H294" s="1" t="s">
        <v>473</v>
      </c>
      <c r="I294" s="1" t="s">
        <v>473</v>
      </c>
      <c r="J294" s="1" t="s">
        <v>473</v>
      </c>
      <c r="K294" s="1" t="s">
        <v>473</v>
      </c>
      <c r="L294" s="1" t="s">
        <v>6943</v>
      </c>
      <c r="M294" s="1" t="s">
        <v>473</v>
      </c>
      <c r="N294" s="1" t="s">
        <v>7856</v>
      </c>
      <c r="O294" s="1" t="s">
        <v>7857</v>
      </c>
      <c r="P294" s="1">
        <v>0</v>
      </c>
      <c r="Q294" s="28">
        <v>0</v>
      </c>
      <c r="R294" s="1">
        <v>0</v>
      </c>
      <c r="S294" s="1"/>
      <c r="T294" s="10" t="str">
        <f>_xlfn.IFNA(VLOOKUP(B294,Sheet2!$A$2:$M$58,4,0),"-")</f>
        <v>-</v>
      </c>
      <c r="U294" s="10" t="str">
        <f>_xlfn.IFNA(VLOOKUP(B294,'TV Trx'!$B$4:$C$57,2,0),"-")</f>
        <v>-</v>
      </c>
      <c r="V294" s="10" t="str">
        <f t="shared" si="5"/>
        <v>-</v>
      </c>
      <c r="W294" s="1" t="str">
        <f>_xlfn.IFNA(VLOOKUP(B294,'CO Trx'!$A$4:$B$37,2,0),"-")</f>
        <v>-</v>
      </c>
      <c r="X294" s="1" t="str">
        <f>_xlfn.IFNA(VLOOKUP(B294,'CO Trx'!$A$49:$B$104,2,0),"-")</f>
        <v>-</v>
      </c>
      <c r="Y294" s="21" t="s">
        <v>6890</v>
      </c>
    </row>
    <row r="295" spans="1:25" x14ac:dyDescent="0.2">
      <c r="A295" s="1" t="s">
        <v>513</v>
      </c>
      <c r="B295" s="1" t="s">
        <v>514</v>
      </c>
      <c r="C295" s="1" t="s">
        <v>23</v>
      </c>
      <c r="D295" s="1" t="s">
        <v>515</v>
      </c>
      <c r="E295" s="1" t="s">
        <v>7858</v>
      </c>
      <c r="F295" s="1" t="s">
        <v>473</v>
      </c>
      <c r="G295" s="1" t="s">
        <v>473</v>
      </c>
      <c r="H295" s="1" t="s">
        <v>7859</v>
      </c>
      <c r="I295" s="1" t="s">
        <v>7555</v>
      </c>
      <c r="J295" s="1" t="s">
        <v>7860</v>
      </c>
      <c r="K295" s="1" t="s">
        <v>473</v>
      </c>
      <c r="L295" s="1" t="s">
        <v>473</v>
      </c>
      <c r="M295" s="1" t="s">
        <v>473</v>
      </c>
      <c r="N295" s="1" t="s">
        <v>473</v>
      </c>
      <c r="O295" s="1" t="s">
        <v>7861</v>
      </c>
      <c r="P295" s="1">
        <v>0</v>
      </c>
      <c r="Q295" s="28">
        <v>0</v>
      </c>
      <c r="R295" s="1">
        <v>0</v>
      </c>
      <c r="S295" s="1"/>
      <c r="T295" s="10" t="str">
        <f>_xlfn.IFNA(VLOOKUP(B295,Sheet2!$A$2:$M$58,4,0),"-")</f>
        <v>-</v>
      </c>
      <c r="U295" s="10" t="str">
        <f>_xlfn.IFNA(VLOOKUP(B295,'TV Trx'!$B$4:$C$57,2,0),"-")</f>
        <v>-</v>
      </c>
      <c r="V295" s="10" t="str">
        <f t="shared" si="5"/>
        <v>-</v>
      </c>
      <c r="W295" s="1" t="str">
        <f>_xlfn.IFNA(VLOOKUP(B295,'CO Trx'!$A$4:$B$37,2,0),"-")</f>
        <v>-</v>
      </c>
      <c r="X295" s="1" t="str">
        <f>_xlfn.IFNA(VLOOKUP(B295,'CO Trx'!$A$49:$B$104,2,0),"-")</f>
        <v>-</v>
      </c>
      <c r="Y295" s="21" t="s">
        <v>6890</v>
      </c>
    </row>
    <row r="296" spans="1:25" x14ac:dyDescent="0.2">
      <c r="A296" s="1" t="s">
        <v>364</v>
      </c>
      <c r="B296" s="1" t="s">
        <v>365</v>
      </c>
      <c r="C296" s="1" t="s">
        <v>13</v>
      </c>
      <c r="D296" s="1" t="s">
        <v>366</v>
      </c>
      <c r="E296" s="1" t="s">
        <v>7862</v>
      </c>
      <c r="F296" s="1" t="s">
        <v>473</v>
      </c>
      <c r="G296" s="1" t="s">
        <v>473</v>
      </c>
      <c r="H296" s="1" t="s">
        <v>7863</v>
      </c>
      <c r="I296" s="1" t="s">
        <v>7160</v>
      </c>
      <c r="J296" s="1" t="s">
        <v>7161</v>
      </c>
      <c r="K296" s="1" t="s">
        <v>473</v>
      </c>
      <c r="L296" s="1" t="s">
        <v>473</v>
      </c>
      <c r="M296" s="1" t="s">
        <v>473</v>
      </c>
      <c r="N296" s="1" t="s">
        <v>473</v>
      </c>
      <c r="O296" s="1" t="s">
        <v>7864</v>
      </c>
      <c r="P296" s="1">
        <v>0</v>
      </c>
      <c r="Q296" s="28">
        <v>0</v>
      </c>
      <c r="R296" s="1">
        <v>0</v>
      </c>
      <c r="S296" s="1"/>
      <c r="T296" s="10" t="str">
        <f>_xlfn.IFNA(VLOOKUP(B296,Sheet2!$A$2:$M$58,4,0),"-")</f>
        <v>-</v>
      </c>
      <c r="U296" s="10" t="str">
        <f>_xlfn.IFNA(VLOOKUP(B296,'TV Trx'!$B$4:$C$57,2,0),"-")</f>
        <v>-</v>
      </c>
      <c r="V296" s="10" t="str">
        <f t="shared" si="5"/>
        <v>-</v>
      </c>
      <c r="W296" s="1" t="str">
        <f>_xlfn.IFNA(VLOOKUP(B296,'CO Trx'!$A$4:$B$37,2,0),"-")</f>
        <v>-</v>
      </c>
      <c r="X296" s="1" t="str">
        <f>_xlfn.IFNA(VLOOKUP(B296,'CO Trx'!$A$49:$B$104,2,0),"-")</f>
        <v>-</v>
      </c>
      <c r="Y296" s="21" t="s">
        <v>6890</v>
      </c>
    </row>
    <row r="297" spans="1:25" x14ac:dyDescent="0.2">
      <c r="A297" s="1" t="s">
        <v>387</v>
      </c>
      <c r="B297" s="1" t="s">
        <v>388</v>
      </c>
      <c r="C297" s="1" t="s">
        <v>6</v>
      </c>
      <c r="D297" s="1" t="s">
        <v>389</v>
      </c>
      <c r="E297" s="1" t="s">
        <v>7865</v>
      </c>
      <c r="F297" s="1" t="s">
        <v>473</v>
      </c>
      <c r="G297" s="1" t="s">
        <v>473</v>
      </c>
      <c r="H297" s="1" t="s">
        <v>7866</v>
      </c>
      <c r="I297" s="1" t="s">
        <v>7867</v>
      </c>
      <c r="J297" s="1" t="s">
        <v>6964</v>
      </c>
      <c r="K297" s="1" t="s">
        <v>473</v>
      </c>
      <c r="L297" s="1" t="s">
        <v>7868</v>
      </c>
      <c r="M297" s="1" t="s">
        <v>473</v>
      </c>
      <c r="N297" s="1" t="s">
        <v>7869</v>
      </c>
      <c r="O297" s="1" t="s">
        <v>7870</v>
      </c>
      <c r="P297" s="1">
        <v>0</v>
      </c>
      <c r="Q297" s="28">
        <v>0</v>
      </c>
      <c r="R297" s="1">
        <v>0</v>
      </c>
      <c r="S297" s="1"/>
      <c r="T297" s="10" t="str">
        <f>_xlfn.IFNA(VLOOKUP(B297,Sheet2!$A$2:$M$58,4,0),"-")</f>
        <v>-</v>
      </c>
      <c r="U297" s="10" t="str">
        <f>_xlfn.IFNA(VLOOKUP(B297,'TV Trx'!$B$4:$C$57,2,0),"-")</f>
        <v>-</v>
      </c>
      <c r="V297" s="10" t="str">
        <f t="shared" si="5"/>
        <v>-</v>
      </c>
      <c r="W297" s="1" t="str">
        <f>_xlfn.IFNA(VLOOKUP(B297,'CO Trx'!$A$4:$B$37,2,0),"-")</f>
        <v>-</v>
      </c>
      <c r="X297" s="1" t="str">
        <f>_xlfn.IFNA(VLOOKUP(B297,'CO Trx'!$A$49:$B$104,2,0),"-")</f>
        <v>-</v>
      </c>
      <c r="Y297" s="21" t="s">
        <v>6890</v>
      </c>
    </row>
    <row r="298" spans="1:25" x14ac:dyDescent="0.2">
      <c r="A298" s="1" t="s">
        <v>695</v>
      </c>
      <c r="B298" s="1" t="s">
        <v>696</v>
      </c>
      <c r="C298" s="1" t="s">
        <v>6</v>
      </c>
      <c r="D298" s="1" t="s">
        <v>697</v>
      </c>
      <c r="E298" s="1" t="s">
        <v>7865</v>
      </c>
      <c r="F298" s="1" t="s">
        <v>473</v>
      </c>
      <c r="G298" s="1" t="s">
        <v>473</v>
      </c>
      <c r="H298" s="1" t="s">
        <v>7871</v>
      </c>
      <c r="I298" s="1" t="s">
        <v>7872</v>
      </c>
      <c r="J298" s="1" t="s">
        <v>7873</v>
      </c>
      <c r="K298" s="1" t="s">
        <v>473</v>
      </c>
      <c r="L298" s="1" t="s">
        <v>7868</v>
      </c>
      <c r="M298" s="1" t="s">
        <v>473</v>
      </c>
      <c r="N298" s="1" t="s">
        <v>7874</v>
      </c>
      <c r="O298" s="1" t="s">
        <v>7875</v>
      </c>
      <c r="P298" s="1">
        <v>0</v>
      </c>
      <c r="Q298" s="28">
        <v>0</v>
      </c>
      <c r="R298" s="1">
        <v>0</v>
      </c>
      <c r="S298" s="1"/>
      <c r="T298" s="10" t="str">
        <f>_xlfn.IFNA(VLOOKUP(B298,Sheet2!$A$2:$M$58,4,0),"-")</f>
        <v>-</v>
      </c>
      <c r="U298" s="10" t="str">
        <f>_xlfn.IFNA(VLOOKUP(B298,'TV Trx'!$B$4:$C$57,2,0),"-")</f>
        <v>-</v>
      </c>
      <c r="V298" s="10" t="str">
        <f t="shared" si="5"/>
        <v>-</v>
      </c>
      <c r="W298" s="1" t="str">
        <f>_xlfn.IFNA(VLOOKUP(B298,'CO Trx'!$A$4:$B$37,2,0),"-")</f>
        <v>-</v>
      </c>
      <c r="X298" s="1" t="str">
        <f>_xlfn.IFNA(VLOOKUP(B298,'CO Trx'!$A$49:$B$104,2,0),"-")</f>
        <v>-</v>
      </c>
      <c r="Y298" s="21" t="s">
        <v>6890</v>
      </c>
    </row>
    <row r="299" spans="1:25" x14ac:dyDescent="0.2">
      <c r="A299" s="1" t="s">
        <v>40</v>
      </c>
      <c r="B299" s="1" t="s">
        <v>41</v>
      </c>
      <c r="C299" s="1" t="s">
        <v>13</v>
      </c>
      <c r="D299" s="1" t="s">
        <v>42</v>
      </c>
      <c r="E299" s="1" t="s">
        <v>6928</v>
      </c>
      <c r="F299" s="1" t="s">
        <v>473</v>
      </c>
      <c r="G299" s="1" t="s">
        <v>473</v>
      </c>
      <c r="H299" s="1" t="s">
        <v>473</v>
      </c>
      <c r="I299" s="1" t="s">
        <v>473</v>
      </c>
      <c r="J299" s="1" t="s">
        <v>473</v>
      </c>
      <c r="K299" s="1" t="s">
        <v>473</v>
      </c>
      <c r="L299" s="1" t="s">
        <v>7876</v>
      </c>
      <c r="M299" s="1" t="s">
        <v>473</v>
      </c>
      <c r="N299" s="1" t="s">
        <v>7877</v>
      </c>
      <c r="O299" s="1" t="s">
        <v>7878</v>
      </c>
      <c r="P299" s="1">
        <v>0</v>
      </c>
      <c r="Q299" s="28">
        <v>0</v>
      </c>
      <c r="R299" s="1">
        <v>0</v>
      </c>
      <c r="S299" s="1"/>
      <c r="T299" s="10" t="str">
        <f>_xlfn.IFNA(VLOOKUP(B299,Sheet2!$A$2:$M$58,4,0),"-")</f>
        <v>-</v>
      </c>
      <c r="U299" s="10" t="str">
        <f>_xlfn.IFNA(VLOOKUP(B299,'TV Trx'!$B$4:$C$57,2,0),"-")</f>
        <v>-</v>
      </c>
      <c r="V299" s="10" t="str">
        <f t="shared" si="5"/>
        <v>-</v>
      </c>
      <c r="W299" s="1" t="str">
        <f>_xlfn.IFNA(VLOOKUP(B299,'CO Trx'!$A$4:$B$37,2,0),"-")</f>
        <v>-</v>
      </c>
      <c r="X299" s="1" t="str">
        <f>_xlfn.IFNA(VLOOKUP(B299,'CO Trx'!$A$49:$B$104,2,0),"-")</f>
        <v>-</v>
      </c>
      <c r="Y299" s="21" t="s">
        <v>6890</v>
      </c>
    </row>
    <row r="300" spans="1:25" x14ac:dyDescent="0.2">
      <c r="A300" s="1" t="s">
        <v>897</v>
      </c>
      <c r="B300" s="1" t="s">
        <v>898</v>
      </c>
      <c r="C300" s="1" t="s">
        <v>13</v>
      </c>
      <c r="D300" s="1" t="s">
        <v>899</v>
      </c>
      <c r="E300" s="1" t="s">
        <v>7879</v>
      </c>
      <c r="F300" s="1" t="s">
        <v>473</v>
      </c>
      <c r="G300" s="1" t="s">
        <v>473</v>
      </c>
      <c r="H300" s="1" t="s">
        <v>7419</v>
      </c>
      <c r="I300" s="1" t="s">
        <v>7144</v>
      </c>
      <c r="J300" s="1" t="s">
        <v>6941</v>
      </c>
      <c r="K300" s="1" t="s">
        <v>473</v>
      </c>
      <c r="L300" s="1" t="s">
        <v>473</v>
      </c>
      <c r="M300" s="1" t="s">
        <v>473</v>
      </c>
      <c r="N300" s="1" t="s">
        <v>473</v>
      </c>
      <c r="O300" s="1" t="s">
        <v>7880</v>
      </c>
      <c r="P300" s="1">
        <v>0</v>
      </c>
      <c r="Q300" s="28">
        <v>0</v>
      </c>
      <c r="R300" s="1">
        <v>0</v>
      </c>
      <c r="S300" s="1"/>
      <c r="T300" s="10" t="str">
        <f>_xlfn.IFNA(VLOOKUP(B300,Sheet2!$A$2:$M$58,4,0),"-")</f>
        <v>-</v>
      </c>
      <c r="U300" s="10" t="str">
        <f>_xlfn.IFNA(VLOOKUP(B300,'TV Trx'!$B$4:$C$57,2,0),"-")</f>
        <v>-</v>
      </c>
      <c r="V300" s="10" t="str">
        <f t="shared" si="5"/>
        <v>-</v>
      </c>
      <c r="W300" s="1" t="str">
        <f>_xlfn.IFNA(VLOOKUP(B300,'CO Trx'!$A$4:$B$37,2,0),"-")</f>
        <v>-</v>
      </c>
      <c r="X300" s="1" t="str">
        <f>_xlfn.IFNA(VLOOKUP(B300,'CO Trx'!$A$49:$B$104,2,0),"-")</f>
        <v>-</v>
      </c>
      <c r="Y300" s="21" t="s">
        <v>6890</v>
      </c>
    </row>
    <row r="301" spans="1:25" x14ac:dyDescent="0.2">
      <c r="A301" s="1" t="s">
        <v>183</v>
      </c>
      <c r="B301" s="1" t="s">
        <v>184</v>
      </c>
      <c r="C301" s="1" t="s">
        <v>23</v>
      </c>
      <c r="D301" s="1" t="s">
        <v>185</v>
      </c>
      <c r="E301" s="1" t="s">
        <v>7881</v>
      </c>
      <c r="F301" s="1" t="s">
        <v>473</v>
      </c>
      <c r="G301" s="1" t="s">
        <v>473</v>
      </c>
      <c r="H301" s="1" t="s">
        <v>473</v>
      </c>
      <c r="I301" s="1" t="s">
        <v>473</v>
      </c>
      <c r="J301" s="1" t="s">
        <v>473</v>
      </c>
      <c r="K301" s="1" t="s">
        <v>473</v>
      </c>
      <c r="L301" s="1" t="s">
        <v>7882</v>
      </c>
      <c r="M301" s="1" t="s">
        <v>473</v>
      </c>
      <c r="N301" s="1" t="s">
        <v>7883</v>
      </c>
      <c r="O301" s="1" t="s">
        <v>7884</v>
      </c>
      <c r="P301" s="1">
        <v>0</v>
      </c>
      <c r="Q301" s="28">
        <v>0</v>
      </c>
      <c r="R301" s="1">
        <v>0</v>
      </c>
      <c r="S301" s="1"/>
      <c r="T301" s="10" t="str">
        <f>_xlfn.IFNA(VLOOKUP(B301,Sheet2!$A$2:$M$58,4,0),"-")</f>
        <v>-</v>
      </c>
      <c r="U301" s="10" t="str">
        <f>_xlfn.IFNA(VLOOKUP(B301,'TV Trx'!$B$4:$C$57,2,0),"-")</f>
        <v>-</v>
      </c>
      <c r="V301" s="10" t="str">
        <f t="shared" si="5"/>
        <v>-</v>
      </c>
      <c r="W301" s="1" t="str">
        <f>_xlfn.IFNA(VLOOKUP(B301,'CO Trx'!$A$4:$B$37,2,0),"-")</f>
        <v>-</v>
      </c>
      <c r="X301" s="1" t="str">
        <f>_xlfn.IFNA(VLOOKUP(B301,'CO Trx'!$A$49:$B$104,2,0),"-")</f>
        <v>-</v>
      </c>
      <c r="Y301" s="21" t="s">
        <v>6890</v>
      </c>
    </row>
    <row r="302" spans="1:25" x14ac:dyDescent="0.2">
      <c r="A302" s="1" t="s">
        <v>777</v>
      </c>
      <c r="B302" s="1" t="s">
        <v>778</v>
      </c>
      <c r="C302" s="1" t="s">
        <v>6</v>
      </c>
      <c r="D302" s="1" t="s">
        <v>779</v>
      </c>
      <c r="E302" s="1" t="s">
        <v>7885</v>
      </c>
      <c r="F302" s="1" t="s">
        <v>473</v>
      </c>
      <c r="G302" s="1" t="s">
        <v>473</v>
      </c>
      <c r="H302" s="1" t="s">
        <v>7886</v>
      </c>
      <c r="I302" s="1" t="s">
        <v>7413</v>
      </c>
      <c r="J302" s="1" t="s">
        <v>6941</v>
      </c>
      <c r="K302" s="1" t="s">
        <v>473</v>
      </c>
      <c r="L302" s="1" t="s">
        <v>473</v>
      </c>
      <c r="M302" s="1" t="s">
        <v>473</v>
      </c>
      <c r="N302" s="1" t="s">
        <v>473</v>
      </c>
      <c r="O302" s="1" t="s">
        <v>7887</v>
      </c>
      <c r="P302" s="1">
        <v>0</v>
      </c>
      <c r="Q302" s="28">
        <v>0</v>
      </c>
      <c r="R302" s="1">
        <v>0</v>
      </c>
      <c r="S302" s="1"/>
      <c r="T302" s="10" t="str">
        <f>_xlfn.IFNA(VLOOKUP(B302,Sheet2!$A$2:$M$58,4,0),"-")</f>
        <v>-</v>
      </c>
      <c r="U302" s="10" t="str">
        <f>_xlfn.IFNA(VLOOKUP(B302,'TV Trx'!$B$4:$C$57,2,0),"-")</f>
        <v>-</v>
      </c>
      <c r="V302" s="10" t="str">
        <f t="shared" si="5"/>
        <v>-</v>
      </c>
      <c r="W302" s="1" t="str">
        <f>_xlfn.IFNA(VLOOKUP(B302,'CO Trx'!$A$4:$B$37,2,0),"-")</f>
        <v>-</v>
      </c>
      <c r="X302" s="1" t="str">
        <f>_xlfn.IFNA(VLOOKUP(B302,'CO Trx'!$A$49:$B$104,2,0),"-")</f>
        <v>-</v>
      </c>
      <c r="Y302" s="21" t="s">
        <v>6890</v>
      </c>
    </row>
    <row r="303" spans="1:25" x14ac:dyDescent="0.2">
      <c r="A303" s="1" t="s">
        <v>447</v>
      </c>
      <c r="B303" s="1" t="s">
        <v>448</v>
      </c>
      <c r="C303" s="1" t="s">
        <v>23</v>
      </c>
      <c r="D303" s="1" t="s">
        <v>449</v>
      </c>
      <c r="E303" s="1" t="s">
        <v>7888</v>
      </c>
      <c r="F303" s="1" t="s">
        <v>473</v>
      </c>
      <c r="G303" s="1" t="s">
        <v>473</v>
      </c>
      <c r="H303" s="1" t="s">
        <v>7889</v>
      </c>
      <c r="I303" s="1" t="s">
        <v>7890</v>
      </c>
      <c r="J303" s="1" t="s">
        <v>6964</v>
      </c>
      <c r="K303" s="1" t="s">
        <v>473</v>
      </c>
      <c r="L303" s="1" t="s">
        <v>7891</v>
      </c>
      <c r="M303" s="1" t="s">
        <v>473</v>
      </c>
      <c r="N303" s="1" t="s">
        <v>7892</v>
      </c>
      <c r="O303" s="1" t="s">
        <v>7893</v>
      </c>
      <c r="P303" s="1">
        <v>0</v>
      </c>
      <c r="Q303" s="28">
        <v>0</v>
      </c>
      <c r="R303" s="1">
        <v>0</v>
      </c>
      <c r="S303" s="1"/>
      <c r="T303" s="10" t="str">
        <f>_xlfn.IFNA(VLOOKUP(B303,Sheet2!$A$2:$M$58,4,0),"-")</f>
        <v>-</v>
      </c>
      <c r="U303" s="10" t="str">
        <f>_xlfn.IFNA(VLOOKUP(B303,'TV Trx'!$B$4:$C$57,2,0),"-")</f>
        <v>-</v>
      </c>
      <c r="V303" s="10" t="str">
        <f t="shared" si="5"/>
        <v>-</v>
      </c>
      <c r="W303" s="1" t="str">
        <f>_xlfn.IFNA(VLOOKUP(B303,'CO Trx'!$A$4:$B$37,2,0),"-")</f>
        <v>-</v>
      </c>
      <c r="X303" s="1" t="str">
        <f>_xlfn.IFNA(VLOOKUP(B303,'CO Trx'!$A$49:$B$104,2,0),"-")</f>
        <v>-</v>
      </c>
      <c r="Y303" s="21" t="s">
        <v>6890</v>
      </c>
    </row>
    <row r="304" spans="1:25" x14ac:dyDescent="0.2">
      <c r="A304" s="1" t="s">
        <v>555</v>
      </c>
      <c r="B304" s="1" t="s">
        <v>556</v>
      </c>
      <c r="C304" s="1" t="s">
        <v>6</v>
      </c>
      <c r="D304" s="1" t="s">
        <v>557</v>
      </c>
      <c r="E304" s="1" t="s">
        <v>7894</v>
      </c>
      <c r="F304" s="1" t="s">
        <v>473</v>
      </c>
      <c r="G304" s="1" t="s">
        <v>473</v>
      </c>
      <c r="H304" s="1" t="s">
        <v>473</v>
      </c>
      <c r="I304" s="1" t="s">
        <v>473</v>
      </c>
      <c r="J304" s="1" t="s">
        <v>473</v>
      </c>
      <c r="K304" s="1" t="s">
        <v>473</v>
      </c>
      <c r="L304" s="1" t="s">
        <v>7895</v>
      </c>
      <c r="M304" s="1" t="s">
        <v>473</v>
      </c>
      <c r="N304" s="1" t="s">
        <v>7896</v>
      </c>
      <c r="O304" s="1" t="s">
        <v>7897</v>
      </c>
      <c r="P304" s="1">
        <v>0</v>
      </c>
      <c r="Q304" s="28">
        <v>0</v>
      </c>
      <c r="R304" s="1">
        <v>0</v>
      </c>
      <c r="S304" s="1"/>
      <c r="T304" s="10" t="str">
        <f>_xlfn.IFNA(VLOOKUP(B304,Sheet2!$A$2:$M$58,4,0),"-")</f>
        <v>-</v>
      </c>
      <c r="U304" s="10" t="str">
        <f>_xlfn.IFNA(VLOOKUP(B304,'TV Trx'!$B$4:$C$57,2,0),"-")</f>
        <v>-</v>
      </c>
      <c r="V304" s="10" t="str">
        <f t="shared" si="5"/>
        <v>-</v>
      </c>
      <c r="W304" s="1" t="str">
        <f>_xlfn.IFNA(VLOOKUP(B304,'CO Trx'!$A$4:$B$37,2,0),"-")</f>
        <v>-</v>
      </c>
      <c r="X304" s="1" t="str">
        <f>_xlfn.IFNA(VLOOKUP(B304,'CO Trx'!$A$49:$B$104,2,0),"-")</f>
        <v>-</v>
      </c>
      <c r="Y304" s="21" t="s">
        <v>6890</v>
      </c>
    </row>
    <row r="305" spans="1:27" x14ac:dyDescent="0.2">
      <c r="A305" s="1" t="s">
        <v>426</v>
      </c>
      <c r="B305" s="1" t="s">
        <v>427</v>
      </c>
      <c r="C305" s="1" t="s">
        <v>13</v>
      </c>
      <c r="D305" s="1" t="s">
        <v>428</v>
      </c>
      <c r="E305" s="1" t="s">
        <v>7898</v>
      </c>
      <c r="F305" s="1" t="s">
        <v>473</v>
      </c>
      <c r="G305" s="1" t="s">
        <v>473</v>
      </c>
      <c r="H305" s="1" t="s">
        <v>7899</v>
      </c>
      <c r="I305" s="1" t="s">
        <v>6963</v>
      </c>
      <c r="J305" s="1" t="s">
        <v>6964</v>
      </c>
      <c r="K305" s="1" t="s">
        <v>473</v>
      </c>
      <c r="L305" s="1" t="s">
        <v>473</v>
      </c>
      <c r="M305" s="1" t="s">
        <v>473</v>
      </c>
      <c r="N305" s="1" t="s">
        <v>473</v>
      </c>
      <c r="O305" s="1" t="s">
        <v>7900</v>
      </c>
      <c r="P305" s="1" t="s">
        <v>8252</v>
      </c>
      <c r="Q305" s="28">
        <v>0</v>
      </c>
      <c r="R305" s="1">
        <v>0</v>
      </c>
      <c r="S305" s="1"/>
      <c r="T305" s="10" t="str">
        <f>_xlfn.IFNA(VLOOKUP(B305,Sheet2!$A$2:$M$58,4,0),"-")</f>
        <v>-</v>
      </c>
      <c r="U305" s="10" t="str">
        <f>_xlfn.IFNA(VLOOKUP(B305,'TV Trx'!$B$4:$C$57,2,0),"-")</f>
        <v>-</v>
      </c>
      <c r="V305" s="10" t="str">
        <f t="shared" si="5"/>
        <v>-</v>
      </c>
      <c r="W305" s="1" t="str">
        <f>_xlfn.IFNA(VLOOKUP(B305,'CO Trx'!$A$4:$B$37,2,0),"-")</f>
        <v>-</v>
      </c>
      <c r="X305" s="1" t="str">
        <f>_xlfn.IFNA(VLOOKUP(B305,'CO Trx'!$A$49:$B$104,2,0),"-")</f>
        <v>-</v>
      </c>
      <c r="Y305" s="21" t="s">
        <v>6890</v>
      </c>
      <c r="AA305" t="s">
        <v>8031</v>
      </c>
    </row>
    <row r="306" spans="1:27" x14ac:dyDescent="0.2">
      <c r="A306" s="1" t="s">
        <v>399</v>
      </c>
      <c r="B306" s="1" t="s">
        <v>400</v>
      </c>
      <c r="C306" s="1" t="s">
        <v>13</v>
      </c>
      <c r="D306" s="1" t="s">
        <v>401</v>
      </c>
      <c r="E306" s="1" t="s">
        <v>7901</v>
      </c>
      <c r="F306" s="1" t="s">
        <v>473</v>
      </c>
      <c r="G306" s="1" t="s">
        <v>473</v>
      </c>
      <c r="H306" s="1" t="s">
        <v>473</v>
      </c>
      <c r="I306" s="1" t="s">
        <v>473</v>
      </c>
      <c r="J306" s="1" t="s">
        <v>473</v>
      </c>
      <c r="K306" s="1" t="s">
        <v>473</v>
      </c>
      <c r="L306" s="1" t="s">
        <v>7902</v>
      </c>
      <c r="M306" s="1" t="s">
        <v>473</v>
      </c>
      <c r="N306" s="1" t="s">
        <v>7903</v>
      </c>
      <c r="O306" s="1" t="s">
        <v>7904</v>
      </c>
      <c r="P306" s="1">
        <v>0</v>
      </c>
      <c r="Q306" s="28">
        <v>0</v>
      </c>
      <c r="R306" s="1">
        <v>0</v>
      </c>
      <c r="S306" s="1"/>
      <c r="T306" s="10" t="str">
        <f>_xlfn.IFNA(VLOOKUP(B306,Sheet2!$A$2:$M$58,4,0),"-")</f>
        <v>-</v>
      </c>
      <c r="U306" s="10" t="str">
        <f>_xlfn.IFNA(VLOOKUP(B306,'TV Trx'!$B$4:$C$57,2,0),"-")</f>
        <v>-</v>
      </c>
      <c r="V306" s="10" t="str">
        <f t="shared" si="5"/>
        <v>-</v>
      </c>
      <c r="W306" s="1" t="str">
        <f>_xlfn.IFNA(VLOOKUP(B306,'CO Trx'!$A$4:$B$37,2,0),"-")</f>
        <v>-</v>
      </c>
      <c r="X306" s="1" t="str">
        <f>_xlfn.IFNA(VLOOKUP(B306,'CO Trx'!$A$49:$B$104,2,0),"-")</f>
        <v>-</v>
      </c>
      <c r="Y306" s="21" t="s">
        <v>6890</v>
      </c>
    </row>
    <row r="307" spans="1:27" x14ac:dyDescent="0.2">
      <c r="A307" s="1" t="s">
        <v>564</v>
      </c>
      <c r="B307" s="1" t="s">
        <v>565</v>
      </c>
      <c r="C307" s="1" t="s">
        <v>23</v>
      </c>
      <c r="D307" s="1" t="s">
        <v>566</v>
      </c>
      <c r="E307" s="1" t="s">
        <v>7901</v>
      </c>
      <c r="F307" s="1" t="s">
        <v>473</v>
      </c>
      <c r="G307" s="1" t="s">
        <v>473</v>
      </c>
      <c r="H307" s="1" t="s">
        <v>473</v>
      </c>
      <c r="I307" s="1" t="s">
        <v>473</v>
      </c>
      <c r="J307" s="1" t="s">
        <v>473</v>
      </c>
      <c r="K307" s="1" t="s">
        <v>473</v>
      </c>
      <c r="L307" s="1" t="s">
        <v>473</v>
      </c>
      <c r="M307" s="1" t="s">
        <v>473</v>
      </c>
      <c r="N307" s="1" t="s">
        <v>7905</v>
      </c>
      <c r="O307" s="1" t="s">
        <v>7906</v>
      </c>
      <c r="P307" s="1">
        <v>0</v>
      </c>
      <c r="Q307" s="28">
        <v>0</v>
      </c>
      <c r="R307" s="1">
        <v>0</v>
      </c>
      <c r="S307" s="1"/>
      <c r="T307" s="10" t="str">
        <f>_xlfn.IFNA(VLOOKUP(B307,Sheet2!$A$2:$M$58,4,0),"-")</f>
        <v>-</v>
      </c>
      <c r="U307" s="10" t="str">
        <f>_xlfn.IFNA(VLOOKUP(B307,'TV Trx'!$B$4:$C$57,2,0),"-")</f>
        <v>-</v>
      </c>
      <c r="V307" s="10" t="str">
        <f t="shared" si="5"/>
        <v>-</v>
      </c>
      <c r="W307" s="1" t="str">
        <f>_xlfn.IFNA(VLOOKUP(B307,'CO Trx'!$A$4:$B$37,2,0),"-")</f>
        <v>-</v>
      </c>
      <c r="X307" s="1" t="str">
        <f>_xlfn.IFNA(VLOOKUP(B307,'CO Trx'!$A$49:$B$104,2,0),"-")</f>
        <v>-</v>
      </c>
      <c r="Y307" s="21" t="s">
        <v>6890</v>
      </c>
    </row>
    <row r="308" spans="1:27" x14ac:dyDescent="0.2">
      <c r="A308" s="1" t="s">
        <v>349</v>
      </c>
      <c r="B308" s="1" t="s">
        <v>350</v>
      </c>
      <c r="C308" s="1" t="s">
        <v>13</v>
      </c>
      <c r="D308" s="1" t="s">
        <v>351</v>
      </c>
      <c r="E308" s="1" t="s">
        <v>6928</v>
      </c>
      <c r="F308" s="1" t="s">
        <v>473</v>
      </c>
      <c r="G308" s="1" t="s">
        <v>473</v>
      </c>
      <c r="H308" s="1" t="s">
        <v>473</v>
      </c>
      <c r="I308" s="1" t="s">
        <v>473</v>
      </c>
      <c r="J308" s="1" t="s">
        <v>473</v>
      </c>
      <c r="K308" s="1" t="s">
        <v>473</v>
      </c>
      <c r="L308" s="1" t="s">
        <v>473</v>
      </c>
      <c r="M308" s="1" t="s">
        <v>473</v>
      </c>
      <c r="N308" s="1" t="s">
        <v>7907</v>
      </c>
      <c r="O308" s="1" t="s">
        <v>7908</v>
      </c>
      <c r="P308" s="1">
        <v>0</v>
      </c>
      <c r="Q308" s="28">
        <v>0</v>
      </c>
      <c r="R308" s="1">
        <v>0</v>
      </c>
      <c r="S308" s="1"/>
      <c r="T308" s="10" t="str">
        <f>_xlfn.IFNA(VLOOKUP(B308,Sheet2!$A$2:$M$58,4,0),"-")</f>
        <v>-</v>
      </c>
      <c r="U308" s="10" t="str">
        <f>_xlfn.IFNA(VLOOKUP(B308,'TV Trx'!$B$4:$C$57,2,0),"-")</f>
        <v>-</v>
      </c>
      <c r="V308" s="10" t="str">
        <f t="shared" si="5"/>
        <v>-</v>
      </c>
      <c r="W308" s="1" t="str">
        <f>_xlfn.IFNA(VLOOKUP(B308,'CO Trx'!$A$4:$B$37,2,0),"-")</f>
        <v>-</v>
      </c>
      <c r="X308" s="1" t="str">
        <f>_xlfn.IFNA(VLOOKUP(B308,'CO Trx'!$A$49:$B$104,2,0),"-")</f>
        <v>-</v>
      </c>
      <c r="Y308" s="21" t="s">
        <v>6890</v>
      </c>
    </row>
    <row r="309" spans="1:27" x14ac:dyDescent="0.2">
      <c r="A309" s="1" t="s">
        <v>620</v>
      </c>
      <c r="B309" s="1" t="s">
        <v>621</v>
      </c>
      <c r="C309" s="1" t="s">
        <v>23</v>
      </c>
      <c r="D309" s="1" t="s">
        <v>622</v>
      </c>
      <c r="E309" s="1" t="s">
        <v>7909</v>
      </c>
      <c r="F309" s="1" t="s">
        <v>473</v>
      </c>
      <c r="G309" s="1" t="s">
        <v>473</v>
      </c>
      <c r="H309" s="1" t="s">
        <v>473</v>
      </c>
      <c r="I309" s="1" t="s">
        <v>473</v>
      </c>
      <c r="J309" s="1" t="s">
        <v>473</v>
      </c>
      <c r="K309" s="1" t="s">
        <v>473</v>
      </c>
      <c r="L309" s="1" t="s">
        <v>7910</v>
      </c>
      <c r="M309" s="1" t="s">
        <v>473</v>
      </c>
      <c r="N309" s="1" t="s">
        <v>7911</v>
      </c>
      <c r="O309" s="1" t="s">
        <v>7912</v>
      </c>
      <c r="P309" s="1">
        <v>0</v>
      </c>
      <c r="Q309" s="28">
        <v>0</v>
      </c>
      <c r="R309" s="1">
        <v>0</v>
      </c>
      <c r="S309" s="1"/>
      <c r="T309" s="10" t="str">
        <f>_xlfn.IFNA(VLOOKUP(B309,Sheet2!$A$2:$M$58,4,0),"-")</f>
        <v>-</v>
      </c>
      <c r="U309" s="10" t="str">
        <f>_xlfn.IFNA(VLOOKUP(B309,'TV Trx'!$B$4:$C$57,2,0),"-")</f>
        <v>-</v>
      </c>
      <c r="V309" s="10" t="str">
        <f t="shared" si="5"/>
        <v>-</v>
      </c>
      <c r="W309" s="1" t="str">
        <f>_xlfn.IFNA(VLOOKUP(B309,'CO Trx'!$A$4:$B$37,2,0),"-")</f>
        <v>-</v>
      </c>
      <c r="X309" s="1" t="str">
        <f>_xlfn.IFNA(VLOOKUP(B309,'CO Trx'!$A$49:$B$104,2,0),"-")</f>
        <v>-</v>
      </c>
      <c r="Y309" s="21" t="s">
        <v>6890</v>
      </c>
    </row>
    <row r="310" spans="1:27" x14ac:dyDescent="0.2">
      <c r="A310" s="1" t="s">
        <v>510</v>
      </c>
      <c r="B310" s="1" t="s">
        <v>511</v>
      </c>
      <c r="C310" s="1" t="s">
        <v>6</v>
      </c>
      <c r="D310" s="1" t="s">
        <v>512</v>
      </c>
      <c r="E310" s="1" t="s">
        <v>7913</v>
      </c>
      <c r="F310" s="1" t="s">
        <v>473</v>
      </c>
      <c r="G310" s="1" t="s">
        <v>473</v>
      </c>
      <c r="H310" s="1" t="s">
        <v>473</v>
      </c>
      <c r="I310" s="1" t="s">
        <v>473</v>
      </c>
      <c r="J310" s="1" t="s">
        <v>473</v>
      </c>
      <c r="K310" s="1" t="s">
        <v>473</v>
      </c>
      <c r="L310" s="1" t="s">
        <v>7914</v>
      </c>
      <c r="M310" s="1" t="s">
        <v>473</v>
      </c>
      <c r="N310" s="1" t="s">
        <v>7915</v>
      </c>
      <c r="O310" s="1" t="s">
        <v>7916</v>
      </c>
      <c r="P310" s="1">
        <v>0</v>
      </c>
      <c r="Q310" s="28">
        <v>0</v>
      </c>
      <c r="R310" s="1">
        <v>0</v>
      </c>
      <c r="S310" s="1"/>
      <c r="T310" s="10" t="str">
        <f>_xlfn.IFNA(VLOOKUP(B310,Sheet2!$A$2:$M$58,4,0),"-")</f>
        <v>-</v>
      </c>
      <c r="U310" s="10" t="str">
        <f>_xlfn.IFNA(VLOOKUP(B310,'TV Trx'!$B$4:$C$57,2,0),"-")</f>
        <v>-</v>
      </c>
      <c r="V310" s="10" t="str">
        <f t="shared" si="5"/>
        <v>-</v>
      </c>
      <c r="W310" s="1" t="str">
        <f>_xlfn.IFNA(VLOOKUP(B310,'CO Trx'!$A$4:$B$37,2,0),"-")</f>
        <v>-</v>
      </c>
      <c r="X310" s="1" t="str">
        <f>_xlfn.IFNA(VLOOKUP(B310,'CO Trx'!$A$49:$B$104,2,0),"-")</f>
        <v>-</v>
      </c>
      <c r="Y310" s="21" t="s">
        <v>6890</v>
      </c>
    </row>
    <row r="311" spans="1:27" x14ac:dyDescent="0.2">
      <c r="A311" s="1" t="s">
        <v>334</v>
      </c>
      <c r="B311" s="1" t="s">
        <v>335</v>
      </c>
      <c r="C311" s="1" t="s">
        <v>6</v>
      </c>
      <c r="D311" s="1" t="s">
        <v>336</v>
      </c>
      <c r="E311" s="1" t="s">
        <v>7917</v>
      </c>
      <c r="F311" s="1" t="s">
        <v>473</v>
      </c>
      <c r="G311" s="1" t="s">
        <v>473</v>
      </c>
      <c r="H311" s="1" t="s">
        <v>7918</v>
      </c>
      <c r="I311" s="1" t="s">
        <v>7919</v>
      </c>
      <c r="J311" s="1" t="s">
        <v>7920</v>
      </c>
      <c r="K311" s="1" t="s">
        <v>473</v>
      </c>
      <c r="L311" s="1" t="s">
        <v>473</v>
      </c>
      <c r="M311" s="1" t="s">
        <v>473</v>
      </c>
      <c r="N311" s="1" t="s">
        <v>473</v>
      </c>
      <c r="O311" s="1" t="s">
        <v>7921</v>
      </c>
      <c r="P311" s="1">
        <v>0</v>
      </c>
      <c r="Q311" s="28">
        <v>0</v>
      </c>
      <c r="R311" s="1">
        <v>0</v>
      </c>
      <c r="S311" s="1"/>
      <c r="T311" s="10" t="str">
        <f>_xlfn.IFNA(VLOOKUP(B311,Sheet2!$A$2:$M$58,4,0),"-")</f>
        <v>-</v>
      </c>
      <c r="U311" s="10" t="str">
        <f>_xlfn.IFNA(VLOOKUP(B311,'TV Trx'!$B$4:$C$57,2,0),"-")</f>
        <v>-</v>
      </c>
      <c r="V311" s="10" t="str">
        <f t="shared" si="5"/>
        <v>-</v>
      </c>
      <c r="W311" s="1" t="str">
        <f>_xlfn.IFNA(VLOOKUP(B311,'CO Trx'!$A$4:$B$37,2,0),"-")</f>
        <v>-</v>
      </c>
      <c r="X311" s="1" t="str">
        <f>_xlfn.IFNA(VLOOKUP(B311,'CO Trx'!$A$49:$B$104,2,0),"-")</f>
        <v>-</v>
      </c>
      <c r="Y311" s="21" t="s">
        <v>6890</v>
      </c>
    </row>
    <row r="312" spans="1:27" x14ac:dyDescent="0.2">
      <c r="A312" s="1" t="s">
        <v>118</v>
      </c>
      <c r="B312" s="1" t="s">
        <v>119</v>
      </c>
      <c r="C312" s="1" t="s">
        <v>6</v>
      </c>
      <c r="D312" s="1" t="s">
        <v>120</v>
      </c>
      <c r="E312" s="1" t="s">
        <v>7922</v>
      </c>
      <c r="F312" s="1" t="s">
        <v>473</v>
      </c>
      <c r="G312" s="1" t="s">
        <v>473</v>
      </c>
      <c r="H312" s="1" t="s">
        <v>473</v>
      </c>
      <c r="I312" s="1" t="s">
        <v>473</v>
      </c>
      <c r="J312" s="1" t="s">
        <v>473</v>
      </c>
      <c r="K312" s="1" t="s">
        <v>473</v>
      </c>
      <c r="L312" s="1" t="s">
        <v>7923</v>
      </c>
      <c r="M312" s="1" t="s">
        <v>473</v>
      </c>
      <c r="N312" s="1" t="s">
        <v>7924</v>
      </c>
      <c r="O312" s="1" t="s">
        <v>7925</v>
      </c>
      <c r="P312" s="1">
        <v>0</v>
      </c>
      <c r="Q312" s="28">
        <v>0</v>
      </c>
      <c r="R312" s="1">
        <v>0</v>
      </c>
      <c r="S312" s="1"/>
      <c r="T312" s="10" t="str">
        <f>_xlfn.IFNA(VLOOKUP(B312,Sheet2!$A$2:$M$58,4,0),"-")</f>
        <v>-</v>
      </c>
      <c r="U312" s="10" t="str">
        <f>_xlfn.IFNA(VLOOKUP(B312,'TV Trx'!$B$4:$C$57,2,0),"-")</f>
        <v>-</v>
      </c>
      <c r="V312" s="10" t="str">
        <f t="shared" si="5"/>
        <v>-</v>
      </c>
      <c r="W312" s="1" t="str">
        <f>_xlfn.IFNA(VLOOKUP(B312,'CO Trx'!$A$4:$B$37,2,0),"-")</f>
        <v>-</v>
      </c>
      <c r="X312" s="1" t="str">
        <f>_xlfn.IFNA(VLOOKUP(B312,'CO Trx'!$A$49:$B$104,2,0),"-")</f>
        <v>-</v>
      </c>
      <c r="Y312" s="21" t="s">
        <v>6890</v>
      </c>
    </row>
  </sheetData>
  <autoFilter ref="A1:Y312" xr:uid="{75482F08-9B70-4C1F-8F6C-E3F27BC4745A}"/>
  <conditionalFormatting sqref="C2:C312">
    <cfRule type="containsText" dxfId="19" priority="2" operator="containsText" text="ACC_TYPE_FF">
      <formula>NOT(ISERROR(SEARCH("ACC_TYPE_FF",C2)))</formula>
    </cfRule>
    <cfRule type="containsText" dxfId="18" priority="3" operator="containsText" text="ACC_TYPE_TO">
      <formula>NOT(ISERROR(SEARCH("ACC_TYPE_TO",C2)))</formula>
    </cfRule>
    <cfRule type="containsText" dxfId="17" priority="4" operator="containsText" text="ACC_TYPE_CO">
      <formula>NOT(ISERROR(SEARCH("ACC_TYPE_CO",C2)))</formula>
    </cfRule>
  </conditionalFormatting>
  <conditionalFormatting sqref="V2:V3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11FF-F181-430A-9BDB-E289E16DDEB1}">
  <dimension ref="A1:M58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O3" sqref="O3"/>
    </sheetView>
  </sheetViews>
  <sheetFormatPr baseColWidth="10" defaultColWidth="8.83203125" defaultRowHeight="15" x14ac:dyDescent="0.2"/>
  <cols>
    <col min="1" max="1" width="45" bestFit="1" customWidth="1"/>
    <col min="2" max="2" width="6.5" bestFit="1" customWidth="1"/>
    <col min="3" max="3" width="26.83203125" bestFit="1" customWidth="1"/>
    <col min="4" max="4" width="25.83203125" bestFit="1" customWidth="1"/>
    <col min="5" max="5" width="16" bestFit="1" customWidth="1"/>
    <col min="6" max="6" width="16.5" bestFit="1" customWidth="1"/>
    <col min="7" max="7" width="7.83203125" bestFit="1" customWidth="1"/>
    <col min="10" max="10" width="8.5" bestFit="1" customWidth="1"/>
    <col min="11" max="11" width="17" bestFit="1" customWidth="1"/>
    <col min="12" max="12" width="18.5" bestFit="1" customWidth="1"/>
    <col min="13" max="13" width="15.83203125" bestFit="1" customWidth="1"/>
  </cols>
  <sheetData>
    <row r="1" spans="1:13" x14ac:dyDescent="0.2">
      <c r="A1" s="2" t="s">
        <v>933</v>
      </c>
      <c r="B1" s="2" t="s">
        <v>934</v>
      </c>
      <c r="C1" s="2" t="s">
        <v>935</v>
      </c>
      <c r="D1" s="2" t="s">
        <v>936</v>
      </c>
      <c r="E1" s="2" t="s">
        <v>937</v>
      </c>
      <c r="F1" s="2" t="s">
        <v>938</v>
      </c>
      <c r="G1" s="2" t="s">
        <v>939</v>
      </c>
      <c r="H1" s="2" t="s">
        <v>940</v>
      </c>
      <c r="I1" s="2" t="s">
        <v>941</v>
      </c>
      <c r="J1" s="2" t="s">
        <v>942</v>
      </c>
      <c r="K1" s="2" t="s">
        <v>943</v>
      </c>
      <c r="L1" s="2" t="s">
        <v>944</v>
      </c>
      <c r="M1" s="2" t="s">
        <v>945</v>
      </c>
    </row>
    <row r="2" spans="1:13" x14ac:dyDescent="0.2">
      <c r="A2" t="s">
        <v>946</v>
      </c>
      <c r="B2" t="s">
        <v>947</v>
      </c>
      <c r="C2" s="3">
        <v>44854</v>
      </c>
      <c r="D2" s="3">
        <v>45071</v>
      </c>
      <c r="E2" s="4">
        <v>42811826</v>
      </c>
      <c r="F2" s="5">
        <v>15000000000</v>
      </c>
      <c r="G2" s="6">
        <v>2.8541217333333331E-3</v>
      </c>
      <c r="H2" s="7">
        <v>0</v>
      </c>
      <c r="I2" s="7">
        <v>0</v>
      </c>
      <c r="J2" s="7">
        <v>1826</v>
      </c>
      <c r="K2" t="s">
        <v>948</v>
      </c>
      <c r="L2" s="8">
        <v>17792844529</v>
      </c>
      <c r="M2" s="8">
        <v>476580341</v>
      </c>
    </row>
    <row r="3" spans="1:13" x14ac:dyDescent="0.2">
      <c r="A3" t="s">
        <v>949</v>
      </c>
      <c r="B3" t="s">
        <v>950</v>
      </c>
      <c r="C3" s="3">
        <v>44988</v>
      </c>
      <c r="D3" s="3">
        <v>45060</v>
      </c>
      <c r="E3" s="4">
        <v>1191504400</v>
      </c>
      <c r="F3" s="5">
        <v>4000000000</v>
      </c>
      <c r="G3" s="6">
        <v>0.29787609999999998</v>
      </c>
      <c r="H3" s="7">
        <v>0</v>
      </c>
      <c r="I3" s="7">
        <v>0</v>
      </c>
      <c r="J3" s="7">
        <v>104</v>
      </c>
      <c r="K3" t="s">
        <v>951</v>
      </c>
      <c r="L3" s="8">
        <v>3665305000</v>
      </c>
      <c r="M3" s="8">
        <v>104021003</v>
      </c>
    </row>
    <row r="4" spans="1:13" x14ac:dyDescent="0.2">
      <c r="A4" t="s">
        <v>952</v>
      </c>
      <c r="B4" t="s">
        <v>953</v>
      </c>
      <c r="C4" s="3">
        <v>45015</v>
      </c>
      <c r="D4" s="3">
        <v>45081</v>
      </c>
      <c r="E4" s="4">
        <v>1500906750</v>
      </c>
      <c r="F4" s="5">
        <v>3000000000</v>
      </c>
      <c r="G4" s="6">
        <v>0.50030224999999995</v>
      </c>
      <c r="H4" s="7">
        <v>0</v>
      </c>
      <c r="I4" s="7">
        <v>0</v>
      </c>
      <c r="J4" s="7">
        <v>11</v>
      </c>
      <c r="K4" t="s">
        <v>954</v>
      </c>
      <c r="L4" s="8">
        <v>2646282000</v>
      </c>
      <c r="M4" s="8">
        <v>117800170</v>
      </c>
    </row>
    <row r="5" spans="1:13" x14ac:dyDescent="0.2">
      <c r="A5" t="s">
        <v>442</v>
      </c>
      <c r="B5" t="s">
        <v>955</v>
      </c>
      <c r="C5" s="3">
        <v>44642</v>
      </c>
      <c r="D5" s="3">
        <v>45083</v>
      </c>
      <c r="E5" s="4">
        <v>179952875</v>
      </c>
      <c r="F5" s="5">
        <v>1400000000</v>
      </c>
      <c r="G5" s="6">
        <v>0.12853776785714285</v>
      </c>
      <c r="H5" s="7">
        <v>0</v>
      </c>
      <c r="I5" s="7">
        <v>0</v>
      </c>
      <c r="J5" s="7">
        <v>863</v>
      </c>
      <c r="K5" t="s">
        <v>956</v>
      </c>
      <c r="L5" s="8">
        <v>2146359125</v>
      </c>
      <c r="M5" s="8">
        <v>85842535</v>
      </c>
    </row>
    <row r="6" spans="1:13" x14ac:dyDescent="0.2">
      <c r="A6" t="s">
        <v>633</v>
      </c>
      <c r="B6" t="s">
        <v>947</v>
      </c>
      <c r="C6" s="3">
        <v>44959</v>
      </c>
      <c r="D6" s="3">
        <v>45086</v>
      </c>
      <c r="E6" s="4">
        <v>42076415</v>
      </c>
      <c r="F6" s="5">
        <v>1000000000</v>
      </c>
      <c r="G6" s="6">
        <v>4.2076414999999999E-2</v>
      </c>
      <c r="H6" s="7">
        <v>0</v>
      </c>
      <c r="I6" s="7">
        <v>0</v>
      </c>
      <c r="J6" s="7">
        <v>87</v>
      </c>
      <c r="K6" t="s">
        <v>957</v>
      </c>
      <c r="L6" s="8">
        <v>1866300000</v>
      </c>
      <c r="M6" s="8">
        <v>74920005</v>
      </c>
    </row>
    <row r="7" spans="1:13" x14ac:dyDescent="0.2">
      <c r="A7" t="s">
        <v>958</v>
      </c>
      <c r="B7" t="s">
        <v>953</v>
      </c>
      <c r="C7" s="3">
        <v>44917</v>
      </c>
      <c r="D7" s="3">
        <v>45088</v>
      </c>
      <c r="E7" s="4">
        <v>99373993</v>
      </c>
      <c r="F7" s="5">
        <v>700000000</v>
      </c>
      <c r="G7" s="6">
        <v>0.14196284714285715</v>
      </c>
      <c r="H7" s="7">
        <v>0</v>
      </c>
      <c r="I7" s="7">
        <v>0</v>
      </c>
      <c r="J7" s="7">
        <v>1040</v>
      </c>
      <c r="K7" t="s">
        <v>959</v>
      </c>
      <c r="L7" s="8">
        <v>1428541147</v>
      </c>
      <c r="M7" s="8">
        <v>52492746</v>
      </c>
    </row>
    <row r="8" spans="1:13" x14ac:dyDescent="0.2">
      <c r="A8" t="s">
        <v>960</v>
      </c>
      <c r="B8" t="s">
        <v>950</v>
      </c>
      <c r="C8" s="3">
        <v>45002</v>
      </c>
      <c r="D8" s="3">
        <v>45060</v>
      </c>
      <c r="E8" s="4">
        <v>2439619</v>
      </c>
      <c r="F8" s="5">
        <v>1000000000</v>
      </c>
      <c r="G8" s="6">
        <v>2.4396190000000001E-3</v>
      </c>
      <c r="H8" s="7">
        <v>0</v>
      </c>
      <c r="I8" s="7">
        <v>0</v>
      </c>
      <c r="J8" s="7">
        <v>83</v>
      </c>
      <c r="K8" t="s">
        <v>961</v>
      </c>
      <c r="L8" s="8">
        <v>983500000</v>
      </c>
      <c r="M8" s="8">
        <v>62345925</v>
      </c>
    </row>
    <row r="9" spans="1:13" x14ac:dyDescent="0.2">
      <c r="A9" t="s">
        <v>962</v>
      </c>
      <c r="B9" t="s">
        <v>947</v>
      </c>
      <c r="C9" s="3">
        <v>45012</v>
      </c>
      <c r="D9" s="3">
        <v>45025</v>
      </c>
      <c r="E9" s="4">
        <v>49724290</v>
      </c>
      <c r="F9" s="5">
        <v>1000000000</v>
      </c>
      <c r="G9" s="6">
        <v>4.9724289999999997E-2</v>
      </c>
      <c r="H9" s="7">
        <v>0</v>
      </c>
      <c r="I9" s="7">
        <v>0</v>
      </c>
      <c r="J9" s="7">
        <v>87</v>
      </c>
      <c r="K9" t="s">
        <v>963</v>
      </c>
      <c r="L9" s="8">
        <v>968088139</v>
      </c>
      <c r="M9" s="8">
        <v>40024468</v>
      </c>
    </row>
    <row r="10" spans="1:13" x14ac:dyDescent="0.2">
      <c r="A10" t="s">
        <v>964</v>
      </c>
      <c r="B10" t="s">
        <v>953</v>
      </c>
      <c r="C10" s="3">
        <v>44911</v>
      </c>
      <c r="D10" s="3">
        <v>45017</v>
      </c>
      <c r="E10" s="4">
        <v>415845000</v>
      </c>
      <c r="F10" s="5">
        <v>600000000</v>
      </c>
      <c r="G10" s="6">
        <v>0.693075</v>
      </c>
      <c r="H10" s="7">
        <v>0</v>
      </c>
      <c r="I10" s="7">
        <v>0</v>
      </c>
      <c r="J10" s="7">
        <v>71</v>
      </c>
      <c r="K10" t="s">
        <v>965</v>
      </c>
      <c r="L10" s="8">
        <v>914300000</v>
      </c>
      <c r="M10" s="8">
        <v>27342075</v>
      </c>
    </row>
    <row r="11" spans="1:13" x14ac:dyDescent="0.2">
      <c r="A11" t="s">
        <v>966</v>
      </c>
      <c r="B11" t="s">
        <v>953</v>
      </c>
      <c r="C11" s="3">
        <v>44958</v>
      </c>
      <c r="D11" s="3">
        <v>45066</v>
      </c>
      <c r="E11" s="4">
        <v>169791500</v>
      </c>
      <c r="F11" s="5">
        <v>500000000</v>
      </c>
      <c r="G11" s="6">
        <v>0.33958300000000002</v>
      </c>
      <c r="H11" s="7">
        <v>0</v>
      </c>
      <c r="I11" s="7">
        <v>0</v>
      </c>
      <c r="J11" s="7">
        <v>93</v>
      </c>
      <c r="K11" t="s">
        <v>967</v>
      </c>
      <c r="L11" s="8">
        <v>784053500</v>
      </c>
      <c r="M11" s="8">
        <v>37392722</v>
      </c>
    </row>
    <row r="12" spans="1:13" x14ac:dyDescent="0.2">
      <c r="A12" t="s">
        <v>968</v>
      </c>
      <c r="B12" t="s">
        <v>947</v>
      </c>
      <c r="C12" s="3">
        <v>44837</v>
      </c>
      <c r="D12" s="3">
        <v>45077</v>
      </c>
      <c r="E12" s="4">
        <v>3269250</v>
      </c>
      <c r="F12" s="5">
        <v>600000000</v>
      </c>
      <c r="G12" s="6">
        <v>5.4487499999999996E-3</v>
      </c>
      <c r="H12" s="7">
        <v>0</v>
      </c>
      <c r="I12" s="7">
        <v>0</v>
      </c>
      <c r="J12" s="7">
        <v>478</v>
      </c>
      <c r="K12" t="s">
        <v>969</v>
      </c>
      <c r="L12" s="8">
        <v>766300000</v>
      </c>
      <c r="M12" s="8">
        <v>25517790</v>
      </c>
    </row>
    <row r="13" spans="1:13" x14ac:dyDescent="0.2">
      <c r="A13" t="s">
        <v>970</v>
      </c>
      <c r="B13" t="s">
        <v>947</v>
      </c>
      <c r="C13" s="3">
        <v>45057</v>
      </c>
      <c r="D13" s="3">
        <v>45084</v>
      </c>
      <c r="E13" s="4">
        <v>214180250</v>
      </c>
      <c r="F13" s="5">
        <v>1000000000</v>
      </c>
      <c r="G13" s="6">
        <v>0.21418024999999999</v>
      </c>
      <c r="H13" s="7">
        <v>0</v>
      </c>
      <c r="I13" s="7">
        <v>0</v>
      </c>
      <c r="J13" s="7">
        <v>102</v>
      </c>
      <c r="K13" t="s">
        <v>971</v>
      </c>
      <c r="L13" s="8">
        <v>744500000</v>
      </c>
      <c r="M13" s="8">
        <v>44150250</v>
      </c>
    </row>
    <row r="14" spans="1:13" x14ac:dyDescent="0.2">
      <c r="A14" t="s">
        <v>972</v>
      </c>
      <c r="B14" t="s">
        <v>973</v>
      </c>
      <c r="C14" s="3">
        <v>45015</v>
      </c>
      <c r="D14" s="3">
        <v>45080</v>
      </c>
      <c r="E14" s="4">
        <v>103582000</v>
      </c>
      <c r="F14" s="5">
        <v>600000000</v>
      </c>
      <c r="G14" s="6">
        <v>0.17263666666666666</v>
      </c>
      <c r="H14" s="7">
        <v>0</v>
      </c>
      <c r="I14" s="7">
        <v>0</v>
      </c>
      <c r="J14" s="7">
        <v>94</v>
      </c>
      <c r="K14" t="s">
        <v>974</v>
      </c>
      <c r="L14" s="8">
        <v>704132000</v>
      </c>
      <c r="M14" s="8">
        <v>23189586</v>
      </c>
    </row>
    <row r="15" spans="1:13" x14ac:dyDescent="0.2">
      <c r="A15" t="s">
        <v>975</v>
      </c>
      <c r="B15" t="s">
        <v>947</v>
      </c>
      <c r="C15" s="3">
        <v>44951</v>
      </c>
      <c r="D15" s="3">
        <v>44973</v>
      </c>
      <c r="E15" s="4">
        <v>146102</v>
      </c>
      <c r="F15" s="5">
        <v>700000000</v>
      </c>
      <c r="G15" s="6">
        <v>2.0871714285714286E-4</v>
      </c>
      <c r="H15" s="7">
        <v>0</v>
      </c>
      <c r="I15" s="7">
        <v>0</v>
      </c>
      <c r="J15" s="7">
        <v>217</v>
      </c>
      <c r="K15" t="s">
        <v>976</v>
      </c>
      <c r="L15" s="8">
        <v>671371200</v>
      </c>
      <c r="M15" s="8">
        <v>32104434</v>
      </c>
    </row>
    <row r="16" spans="1:13" x14ac:dyDescent="0.2">
      <c r="A16" t="s">
        <v>977</v>
      </c>
      <c r="B16" t="s">
        <v>947</v>
      </c>
      <c r="C16" s="3">
        <v>44987</v>
      </c>
      <c r="D16" s="3">
        <v>45068</v>
      </c>
      <c r="E16" s="4">
        <v>10436250</v>
      </c>
      <c r="F16" s="5">
        <v>500000000</v>
      </c>
      <c r="G16" s="6">
        <v>2.0872499999999999E-2</v>
      </c>
      <c r="H16" s="7">
        <v>0</v>
      </c>
      <c r="I16" s="7">
        <v>0</v>
      </c>
      <c r="J16" s="7">
        <v>9</v>
      </c>
      <c r="K16" t="s">
        <v>978</v>
      </c>
      <c r="L16" s="8">
        <v>591000000</v>
      </c>
      <c r="M16" s="8">
        <v>24850125</v>
      </c>
    </row>
    <row r="17" spans="1:13" x14ac:dyDescent="0.2">
      <c r="A17" t="s">
        <v>979</v>
      </c>
      <c r="B17" t="s">
        <v>953</v>
      </c>
      <c r="C17" s="3">
        <v>45012</v>
      </c>
      <c r="D17" s="3">
        <v>45052</v>
      </c>
      <c r="E17" s="4">
        <v>536198750</v>
      </c>
      <c r="F17" s="5">
        <v>1000000000</v>
      </c>
      <c r="G17" s="6">
        <v>0.53619874999999995</v>
      </c>
      <c r="H17" s="7">
        <v>0</v>
      </c>
      <c r="I17" s="7">
        <v>0</v>
      </c>
      <c r="J17" s="7">
        <v>23</v>
      </c>
      <c r="K17" t="s">
        <v>980</v>
      </c>
      <c r="L17" s="8">
        <v>579935000</v>
      </c>
      <c r="M17" s="8">
        <v>23777954</v>
      </c>
    </row>
    <row r="18" spans="1:13" x14ac:dyDescent="0.2">
      <c r="A18" t="s">
        <v>981</v>
      </c>
      <c r="B18" t="s">
        <v>953</v>
      </c>
      <c r="C18" s="3">
        <v>45005</v>
      </c>
      <c r="D18" s="3">
        <v>45080</v>
      </c>
      <c r="E18" s="4">
        <v>594615000</v>
      </c>
      <c r="F18" s="5">
        <v>1000000000</v>
      </c>
      <c r="G18" s="6">
        <v>0.594615</v>
      </c>
      <c r="H18" s="7">
        <v>0</v>
      </c>
      <c r="I18" s="7">
        <v>0</v>
      </c>
      <c r="J18" s="7">
        <v>254</v>
      </c>
      <c r="K18" t="s">
        <v>982</v>
      </c>
      <c r="L18" s="8">
        <v>569221250</v>
      </c>
      <c r="M18" s="8">
        <v>32321919</v>
      </c>
    </row>
    <row r="19" spans="1:13" x14ac:dyDescent="0.2">
      <c r="A19" t="s">
        <v>983</v>
      </c>
      <c r="B19" t="s">
        <v>953</v>
      </c>
      <c r="C19" s="3">
        <v>44961</v>
      </c>
      <c r="D19" s="3">
        <v>45042</v>
      </c>
      <c r="E19" s="4">
        <v>-66200</v>
      </c>
      <c r="F19" s="5">
        <v>300000000</v>
      </c>
      <c r="G19" s="6">
        <v>-2.2066666666666667E-4</v>
      </c>
      <c r="H19" s="7">
        <v>0</v>
      </c>
      <c r="I19" s="7">
        <v>0</v>
      </c>
      <c r="J19" s="7">
        <v>75</v>
      </c>
      <c r="K19" t="s">
        <v>984</v>
      </c>
      <c r="L19" s="8">
        <v>438900000</v>
      </c>
      <c r="M19" s="8">
        <v>13011975</v>
      </c>
    </row>
    <row r="20" spans="1:13" x14ac:dyDescent="0.2">
      <c r="A20" t="s">
        <v>985</v>
      </c>
      <c r="B20" t="s">
        <v>953</v>
      </c>
      <c r="C20" s="3">
        <v>44978</v>
      </c>
      <c r="D20" s="3">
        <v>45080</v>
      </c>
      <c r="E20" s="4">
        <v>630625</v>
      </c>
      <c r="F20" s="5">
        <v>150000000</v>
      </c>
      <c r="G20" s="6">
        <v>4.2041666666666668E-3</v>
      </c>
      <c r="H20" s="7">
        <v>0</v>
      </c>
      <c r="I20" s="7">
        <v>0</v>
      </c>
      <c r="J20" s="7">
        <v>150</v>
      </c>
      <c r="K20" t="s">
        <v>986</v>
      </c>
      <c r="L20" s="8">
        <v>394003500</v>
      </c>
      <c r="M20" s="8">
        <v>13014798</v>
      </c>
    </row>
    <row r="21" spans="1:13" x14ac:dyDescent="0.2">
      <c r="A21" t="s">
        <v>624</v>
      </c>
      <c r="B21" t="s">
        <v>947</v>
      </c>
      <c r="C21" s="3">
        <v>45065</v>
      </c>
      <c r="D21" s="3">
        <v>45087</v>
      </c>
      <c r="E21" s="4">
        <v>36419600</v>
      </c>
      <c r="F21" s="5">
        <v>350000000</v>
      </c>
      <c r="G21" s="6">
        <v>0.104056</v>
      </c>
      <c r="H21" s="7">
        <v>0</v>
      </c>
      <c r="I21" s="7">
        <v>0</v>
      </c>
      <c r="J21" s="7">
        <v>3</v>
      </c>
      <c r="K21" t="s">
        <v>987</v>
      </c>
      <c r="L21" s="8">
        <v>294000000</v>
      </c>
      <c r="M21" s="8">
        <v>19663650</v>
      </c>
    </row>
    <row r="22" spans="1:13" x14ac:dyDescent="0.2">
      <c r="A22" t="s">
        <v>988</v>
      </c>
      <c r="B22" t="s">
        <v>947</v>
      </c>
      <c r="C22" s="3">
        <v>44951</v>
      </c>
      <c r="D22" s="3">
        <v>45029</v>
      </c>
      <c r="E22" s="4">
        <v>30894059</v>
      </c>
      <c r="F22" s="5">
        <v>150000000</v>
      </c>
      <c r="G22" s="6">
        <v>0.20596039333333332</v>
      </c>
      <c r="H22" s="7">
        <v>0</v>
      </c>
      <c r="I22" s="7">
        <v>0</v>
      </c>
      <c r="J22" s="7">
        <v>46</v>
      </c>
      <c r="K22" t="s">
        <v>989</v>
      </c>
      <c r="L22" s="8">
        <v>291742000</v>
      </c>
      <c r="M22" s="8">
        <v>9372324</v>
      </c>
    </row>
    <row r="23" spans="1:13" x14ac:dyDescent="0.2">
      <c r="A23" t="s">
        <v>990</v>
      </c>
      <c r="B23" t="s">
        <v>947</v>
      </c>
      <c r="C23" s="3">
        <v>45020</v>
      </c>
      <c r="D23" s="3">
        <v>45084</v>
      </c>
      <c r="E23" s="4">
        <v>16678000</v>
      </c>
      <c r="F23" s="5">
        <v>300000000</v>
      </c>
      <c r="G23" s="6">
        <v>5.5593333333333335E-2</v>
      </c>
      <c r="H23" s="7">
        <v>0</v>
      </c>
      <c r="I23" s="7">
        <v>0</v>
      </c>
      <c r="J23" s="7">
        <v>8</v>
      </c>
      <c r="K23" t="s">
        <v>991</v>
      </c>
      <c r="L23" s="8">
        <v>287500000</v>
      </c>
      <c r="M23" s="8">
        <v>12189187</v>
      </c>
    </row>
    <row r="24" spans="1:13" x14ac:dyDescent="0.2">
      <c r="A24" t="s">
        <v>992</v>
      </c>
      <c r="B24" t="s">
        <v>953</v>
      </c>
      <c r="C24" s="3">
        <v>44896</v>
      </c>
      <c r="D24" s="3">
        <v>45076</v>
      </c>
      <c r="E24" s="4">
        <v>55395790</v>
      </c>
      <c r="F24" s="5">
        <v>200000000</v>
      </c>
      <c r="G24" s="6">
        <v>0.27697895</v>
      </c>
      <c r="H24" s="7">
        <v>0</v>
      </c>
      <c r="I24" s="7">
        <v>0</v>
      </c>
      <c r="J24" s="7">
        <v>85</v>
      </c>
      <c r="K24" t="s">
        <v>993</v>
      </c>
      <c r="L24" s="8">
        <v>285235332</v>
      </c>
      <c r="M24" s="8">
        <v>14551371</v>
      </c>
    </row>
    <row r="25" spans="1:13" x14ac:dyDescent="0.2">
      <c r="A25" t="s">
        <v>178</v>
      </c>
      <c r="B25" t="s">
        <v>955</v>
      </c>
      <c r="C25" s="3">
        <v>44600</v>
      </c>
      <c r="D25" s="3">
        <v>45059</v>
      </c>
      <c r="E25" s="4">
        <v>1416746446</v>
      </c>
      <c r="F25" s="5">
        <v>1500000000</v>
      </c>
      <c r="G25" s="6">
        <v>0.9444976306666667</v>
      </c>
      <c r="H25" s="7">
        <v>0</v>
      </c>
      <c r="I25" s="7">
        <v>0</v>
      </c>
      <c r="J25" s="7">
        <v>186</v>
      </c>
      <c r="K25" t="s">
        <v>994</v>
      </c>
      <c r="L25" s="8">
        <v>240701888</v>
      </c>
      <c r="M25" s="8">
        <v>4129200</v>
      </c>
    </row>
    <row r="26" spans="1:13" x14ac:dyDescent="0.2">
      <c r="A26" t="s">
        <v>9</v>
      </c>
      <c r="B26" t="s">
        <v>955</v>
      </c>
      <c r="C26" s="3">
        <v>44476</v>
      </c>
      <c r="D26" s="3">
        <v>45085</v>
      </c>
      <c r="E26" s="4">
        <v>498608783</v>
      </c>
      <c r="F26" s="5">
        <v>900000000</v>
      </c>
      <c r="G26" s="6">
        <v>0.55400975888888893</v>
      </c>
      <c r="H26" s="7">
        <v>0</v>
      </c>
      <c r="I26" s="7">
        <v>0</v>
      </c>
      <c r="J26" s="7">
        <v>311</v>
      </c>
      <c r="K26" t="s">
        <v>995</v>
      </c>
      <c r="L26" s="8">
        <v>227295238</v>
      </c>
      <c r="M26" s="8">
        <v>15335857</v>
      </c>
    </row>
    <row r="27" spans="1:13" x14ac:dyDescent="0.2">
      <c r="A27" t="s">
        <v>996</v>
      </c>
      <c r="B27" t="s">
        <v>953</v>
      </c>
      <c r="C27" s="3">
        <v>44991</v>
      </c>
      <c r="D27" s="3">
        <v>45066</v>
      </c>
      <c r="E27" s="4">
        <v>-918000</v>
      </c>
      <c r="F27" s="5">
        <v>150000000</v>
      </c>
      <c r="G27" s="6">
        <v>-6.1199999999999996E-3</v>
      </c>
      <c r="H27" s="7">
        <v>0</v>
      </c>
      <c r="I27" s="7">
        <v>0</v>
      </c>
      <c r="J27" s="7">
        <v>12</v>
      </c>
      <c r="K27" t="s">
        <v>997</v>
      </c>
      <c r="L27" s="8">
        <v>212896000</v>
      </c>
      <c r="M27" s="8">
        <v>8604007</v>
      </c>
    </row>
    <row r="28" spans="1:13" x14ac:dyDescent="0.2">
      <c r="A28" t="s">
        <v>998</v>
      </c>
      <c r="B28" t="s">
        <v>947</v>
      </c>
      <c r="C28" s="3">
        <v>44966</v>
      </c>
      <c r="D28" s="3">
        <v>45047</v>
      </c>
      <c r="E28" s="4">
        <v>150000000</v>
      </c>
      <c r="F28" s="5">
        <v>150000000</v>
      </c>
      <c r="G28" s="6">
        <v>1</v>
      </c>
      <c r="H28" s="7">
        <v>0</v>
      </c>
      <c r="I28" s="7">
        <v>0</v>
      </c>
      <c r="J28" s="7">
        <v>7</v>
      </c>
      <c r="K28" t="s">
        <v>999</v>
      </c>
      <c r="L28" s="8">
        <v>194000001</v>
      </c>
      <c r="M28" s="8">
        <v>8807850</v>
      </c>
    </row>
    <row r="29" spans="1:13" x14ac:dyDescent="0.2">
      <c r="A29" t="s">
        <v>32</v>
      </c>
      <c r="B29" t="s">
        <v>950</v>
      </c>
      <c r="C29" s="3">
        <v>45021</v>
      </c>
      <c r="D29" s="3">
        <v>45077</v>
      </c>
      <c r="E29" s="4">
        <v>10845500</v>
      </c>
      <c r="F29" s="5">
        <v>150000000</v>
      </c>
      <c r="G29" s="6">
        <v>7.2303333333333331E-2</v>
      </c>
      <c r="H29" s="7">
        <v>0</v>
      </c>
      <c r="I29" s="7">
        <v>0</v>
      </c>
      <c r="J29" s="7">
        <v>52</v>
      </c>
      <c r="K29" t="s">
        <v>1000</v>
      </c>
      <c r="L29" s="8">
        <v>186800000</v>
      </c>
      <c r="M29" s="8">
        <v>6626699</v>
      </c>
    </row>
    <row r="30" spans="1:13" x14ac:dyDescent="0.2">
      <c r="A30" t="s">
        <v>1001</v>
      </c>
      <c r="B30" t="s">
        <v>947</v>
      </c>
      <c r="C30" s="3">
        <v>45057</v>
      </c>
      <c r="D30" s="3">
        <v>45072</v>
      </c>
      <c r="E30" s="4">
        <v>314972250</v>
      </c>
      <c r="F30" s="5">
        <v>500000000</v>
      </c>
      <c r="G30" s="6">
        <v>0.62994450000000002</v>
      </c>
      <c r="H30" s="7">
        <v>0</v>
      </c>
      <c r="I30" s="7">
        <v>0</v>
      </c>
      <c r="J30" s="7">
        <v>1</v>
      </c>
      <c r="K30" t="s">
        <v>1002</v>
      </c>
      <c r="L30" s="8">
        <v>185000000</v>
      </c>
      <c r="M30" s="8">
        <v>8241750</v>
      </c>
    </row>
    <row r="31" spans="1:13" x14ac:dyDescent="0.2">
      <c r="A31" t="s">
        <v>1003</v>
      </c>
      <c r="B31" t="s">
        <v>953</v>
      </c>
      <c r="C31" s="3">
        <v>45072</v>
      </c>
      <c r="D31" s="3">
        <v>45076</v>
      </c>
      <c r="E31" s="4">
        <v>-10866950</v>
      </c>
      <c r="F31" s="5">
        <v>150000000</v>
      </c>
      <c r="G31" s="6">
        <v>-7.2446333333333335E-2</v>
      </c>
      <c r="H31" s="7">
        <v>0</v>
      </c>
      <c r="I31" s="7">
        <v>0</v>
      </c>
      <c r="J31" s="7">
        <v>13</v>
      </c>
      <c r="K31" t="s">
        <v>1004</v>
      </c>
      <c r="L31" s="8">
        <v>160506200</v>
      </c>
      <c r="M31" s="8">
        <v>7487218</v>
      </c>
    </row>
    <row r="32" spans="1:13" x14ac:dyDescent="0.2">
      <c r="A32" t="s">
        <v>1005</v>
      </c>
      <c r="B32" t="s">
        <v>953</v>
      </c>
      <c r="C32" s="3">
        <v>45065</v>
      </c>
      <c r="D32" s="3">
        <v>45065</v>
      </c>
      <c r="E32" s="4">
        <v>-265811</v>
      </c>
      <c r="F32" s="5">
        <v>150000000</v>
      </c>
      <c r="G32" s="6">
        <v>-1.7720733333333333E-3</v>
      </c>
      <c r="H32" s="7">
        <v>0</v>
      </c>
      <c r="I32" s="7">
        <v>0</v>
      </c>
      <c r="J32" s="7">
        <v>14</v>
      </c>
      <c r="K32" t="s">
        <v>1006</v>
      </c>
      <c r="L32" s="8">
        <v>149877311</v>
      </c>
      <c r="M32" s="8">
        <v>5379414</v>
      </c>
    </row>
    <row r="33" spans="1:13" x14ac:dyDescent="0.2">
      <c r="A33" t="s">
        <v>1007</v>
      </c>
      <c r="B33" t="s">
        <v>950</v>
      </c>
      <c r="C33" s="3">
        <v>45068</v>
      </c>
      <c r="D33" s="3">
        <v>45083</v>
      </c>
      <c r="E33" s="4">
        <v>1167000</v>
      </c>
      <c r="F33" s="5">
        <v>150000000</v>
      </c>
      <c r="G33" s="6">
        <v>7.7799999999999996E-3</v>
      </c>
      <c r="H33" s="7">
        <v>0</v>
      </c>
      <c r="I33" s="7">
        <v>0</v>
      </c>
      <c r="J33" s="7">
        <v>12</v>
      </c>
      <c r="K33" t="s">
        <v>1008</v>
      </c>
      <c r="L33" s="8">
        <v>148500000</v>
      </c>
      <c r="M33" s="8">
        <v>8480400</v>
      </c>
    </row>
    <row r="34" spans="1:13" x14ac:dyDescent="0.2">
      <c r="A34" t="s">
        <v>1009</v>
      </c>
      <c r="B34" t="s">
        <v>973</v>
      </c>
      <c r="C34" s="3">
        <v>45014</v>
      </c>
      <c r="D34" s="3">
        <v>45072</v>
      </c>
      <c r="E34" s="4">
        <v>1914700</v>
      </c>
      <c r="F34" s="5">
        <v>150000000</v>
      </c>
      <c r="G34" s="6">
        <v>1.2764666666666667E-2</v>
      </c>
      <c r="H34" s="7">
        <v>0</v>
      </c>
      <c r="I34" s="7">
        <v>0</v>
      </c>
      <c r="J34" s="7">
        <v>6</v>
      </c>
      <c r="K34" t="s">
        <v>1010</v>
      </c>
      <c r="L34" s="8">
        <v>147918800</v>
      </c>
      <c r="M34" s="8">
        <v>5584765</v>
      </c>
    </row>
    <row r="35" spans="1:13" x14ac:dyDescent="0.2">
      <c r="A35" t="s">
        <v>271</v>
      </c>
      <c r="B35" t="s">
        <v>950</v>
      </c>
      <c r="C35" s="3">
        <v>45072</v>
      </c>
      <c r="D35" s="3">
        <v>45075</v>
      </c>
      <c r="E35" s="4">
        <v>-5686250</v>
      </c>
      <c r="F35" s="5">
        <v>150000000</v>
      </c>
      <c r="G35" s="6">
        <v>-3.7908333333333336E-2</v>
      </c>
      <c r="H35" s="7">
        <v>0</v>
      </c>
      <c r="I35" s="7">
        <v>0</v>
      </c>
      <c r="J35" s="7">
        <v>1</v>
      </c>
      <c r="K35" t="s">
        <v>1011</v>
      </c>
      <c r="L35" s="8">
        <v>147500000</v>
      </c>
      <c r="M35" s="8">
        <v>8214000</v>
      </c>
    </row>
    <row r="36" spans="1:13" x14ac:dyDescent="0.2">
      <c r="A36" t="s">
        <v>1012</v>
      </c>
      <c r="B36" t="s">
        <v>947</v>
      </c>
      <c r="C36" s="3">
        <v>45075</v>
      </c>
      <c r="D36" s="3">
        <v>45079</v>
      </c>
      <c r="E36" s="4">
        <v>-1385780</v>
      </c>
      <c r="F36" s="5">
        <v>150000000</v>
      </c>
      <c r="G36" s="6">
        <v>-9.2385333333333333E-3</v>
      </c>
      <c r="H36" s="7">
        <v>0</v>
      </c>
      <c r="I36" s="7">
        <v>0</v>
      </c>
      <c r="J36" s="7">
        <v>55</v>
      </c>
      <c r="K36" t="s">
        <v>1013</v>
      </c>
      <c r="L36" s="8">
        <v>144950000</v>
      </c>
      <c r="M36" s="8">
        <v>7962030</v>
      </c>
    </row>
    <row r="37" spans="1:13" x14ac:dyDescent="0.2">
      <c r="A37" t="s">
        <v>1014</v>
      </c>
      <c r="B37" t="s">
        <v>953</v>
      </c>
      <c r="C37" s="3">
        <v>44978</v>
      </c>
      <c r="D37" s="3">
        <v>45008</v>
      </c>
      <c r="E37" s="4">
        <v>37554500</v>
      </c>
      <c r="F37" s="5">
        <v>150000000</v>
      </c>
      <c r="G37" s="6">
        <v>0.25036333333333333</v>
      </c>
      <c r="H37" s="7">
        <v>0</v>
      </c>
      <c r="I37" s="7">
        <v>0</v>
      </c>
      <c r="J37" s="7">
        <v>43</v>
      </c>
      <c r="K37" t="s">
        <v>1015</v>
      </c>
      <c r="L37" s="8">
        <v>144516000</v>
      </c>
      <c r="M37" s="8">
        <v>6807671</v>
      </c>
    </row>
    <row r="38" spans="1:13" x14ac:dyDescent="0.2">
      <c r="A38" t="s">
        <v>131</v>
      </c>
      <c r="B38" t="s">
        <v>950</v>
      </c>
      <c r="C38" s="3">
        <v>45021</v>
      </c>
      <c r="D38" s="3">
        <v>45026</v>
      </c>
      <c r="E38" s="4">
        <v>6972750</v>
      </c>
      <c r="F38" s="5">
        <v>150000000</v>
      </c>
      <c r="G38" s="6">
        <v>4.6484999999999999E-2</v>
      </c>
      <c r="H38" s="7">
        <v>0</v>
      </c>
      <c r="I38" s="7">
        <v>0</v>
      </c>
      <c r="J38" s="7">
        <v>19</v>
      </c>
      <c r="K38" t="s">
        <v>1016</v>
      </c>
      <c r="L38" s="8">
        <v>142500000</v>
      </c>
      <c r="M38" s="8">
        <v>4481625</v>
      </c>
    </row>
    <row r="39" spans="1:13" x14ac:dyDescent="0.2">
      <c r="A39" t="s">
        <v>1017</v>
      </c>
      <c r="B39" t="s">
        <v>947</v>
      </c>
      <c r="C39" s="3">
        <v>45057</v>
      </c>
      <c r="D39" s="3">
        <v>45057</v>
      </c>
      <c r="E39" s="4">
        <v>354561000</v>
      </c>
      <c r="F39" s="5">
        <v>500000000</v>
      </c>
      <c r="G39" s="6">
        <v>0.70912200000000003</v>
      </c>
      <c r="H39" s="7">
        <v>0</v>
      </c>
      <c r="I39" s="7">
        <v>0</v>
      </c>
      <c r="J39" s="7">
        <v>2</v>
      </c>
      <c r="K39" t="s">
        <v>1018</v>
      </c>
      <c r="L39" s="8">
        <v>140000000</v>
      </c>
      <c r="M39" s="8">
        <v>5494500</v>
      </c>
    </row>
    <row r="40" spans="1:13" x14ac:dyDescent="0.2">
      <c r="A40" t="s">
        <v>687</v>
      </c>
      <c r="B40" t="s">
        <v>947</v>
      </c>
      <c r="C40" s="3">
        <v>45075</v>
      </c>
      <c r="D40" s="3">
        <v>45079</v>
      </c>
      <c r="E40" s="4">
        <v>2230000</v>
      </c>
      <c r="F40" s="5">
        <v>150000000</v>
      </c>
      <c r="G40" s="6">
        <v>1.4866666666666667E-2</v>
      </c>
      <c r="H40" s="7">
        <v>0</v>
      </c>
      <c r="I40" s="7">
        <v>0</v>
      </c>
      <c r="J40" s="7">
        <v>11</v>
      </c>
      <c r="K40" t="s">
        <v>1019</v>
      </c>
      <c r="L40" s="8">
        <v>140000000</v>
      </c>
      <c r="M40" s="8">
        <v>8075250</v>
      </c>
    </row>
    <row r="41" spans="1:13" x14ac:dyDescent="0.2">
      <c r="A41" t="s">
        <v>1020</v>
      </c>
      <c r="B41" t="s">
        <v>973</v>
      </c>
      <c r="C41" s="3">
        <v>45083</v>
      </c>
      <c r="D41" s="3">
        <v>45086</v>
      </c>
      <c r="E41" s="4">
        <v>11253750</v>
      </c>
      <c r="F41" s="5">
        <v>150000000</v>
      </c>
      <c r="G41" s="6">
        <v>7.5024999999999994E-2</v>
      </c>
      <c r="H41" s="7">
        <v>0</v>
      </c>
      <c r="I41" s="7">
        <v>0</v>
      </c>
      <c r="J41" s="7">
        <v>9</v>
      </c>
      <c r="K41" t="s">
        <v>1021</v>
      </c>
      <c r="L41" s="8">
        <v>135000000</v>
      </c>
      <c r="M41" s="8">
        <v>3946050</v>
      </c>
    </row>
    <row r="42" spans="1:13" x14ac:dyDescent="0.2">
      <c r="A42" t="s">
        <v>1022</v>
      </c>
      <c r="B42" t="s">
        <v>947</v>
      </c>
      <c r="C42" s="3">
        <v>44845</v>
      </c>
      <c r="D42" s="3">
        <v>45023</v>
      </c>
      <c r="E42" s="4">
        <v>2122926</v>
      </c>
      <c r="F42" s="5">
        <v>350000000</v>
      </c>
      <c r="G42" s="6">
        <v>6.0655028571428571E-3</v>
      </c>
      <c r="H42" s="7">
        <v>0</v>
      </c>
      <c r="I42" s="7">
        <v>0</v>
      </c>
      <c r="J42" s="7">
        <v>67</v>
      </c>
      <c r="K42" t="s">
        <v>1023</v>
      </c>
      <c r="L42" s="8">
        <v>134000000</v>
      </c>
      <c r="M42" s="8">
        <v>4834050</v>
      </c>
    </row>
    <row r="43" spans="1:13" x14ac:dyDescent="0.2">
      <c r="A43" t="s">
        <v>1024</v>
      </c>
      <c r="B43" t="s">
        <v>953</v>
      </c>
      <c r="C43" s="3">
        <v>45058</v>
      </c>
      <c r="D43" s="3">
        <v>45059</v>
      </c>
      <c r="E43" s="4">
        <v>19855248</v>
      </c>
      <c r="F43" s="5">
        <v>150000000</v>
      </c>
      <c r="G43" s="6">
        <v>0.13236832000000001</v>
      </c>
      <c r="H43" s="7">
        <v>0</v>
      </c>
      <c r="I43" s="7">
        <v>0</v>
      </c>
      <c r="J43" s="7">
        <v>32</v>
      </c>
      <c r="K43" t="s">
        <v>1025</v>
      </c>
      <c r="L43" s="8">
        <v>129256752</v>
      </c>
      <c r="M43" s="8">
        <v>5909585</v>
      </c>
    </row>
    <row r="44" spans="1:13" x14ac:dyDescent="0.2">
      <c r="A44" t="s">
        <v>356</v>
      </c>
      <c r="B44" t="s">
        <v>953</v>
      </c>
      <c r="C44" s="3">
        <v>45086</v>
      </c>
      <c r="D44" s="3">
        <v>45086</v>
      </c>
      <c r="E44" s="4">
        <v>33555750</v>
      </c>
      <c r="F44" s="5">
        <v>150000000</v>
      </c>
      <c r="G44" s="6">
        <v>0.22370499999999999</v>
      </c>
      <c r="H44" s="7">
        <v>0</v>
      </c>
      <c r="I44" s="7">
        <v>0</v>
      </c>
      <c r="J44" s="7">
        <v>7</v>
      </c>
      <c r="K44" t="s">
        <v>1026</v>
      </c>
      <c r="L44" s="8">
        <v>116250000</v>
      </c>
      <c r="M44" s="8">
        <v>4065375</v>
      </c>
    </row>
    <row r="45" spans="1:13" x14ac:dyDescent="0.2">
      <c r="A45" t="s">
        <v>1027</v>
      </c>
      <c r="B45" t="s">
        <v>947</v>
      </c>
      <c r="C45" s="3">
        <v>45068</v>
      </c>
      <c r="D45" s="3">
        <v>45085</v>
      </c>
      <c r="E45" s="4">
        <v>43458502</v>
      </c>
      <c r="F45" s="5">
        <v>150000000</v>
      </c>
      <c r="G45" s="6">
        <v>0.28972334666666666</v>
      </c>
      <c r="H45" s="7">
        <v>0</v>
      </c>
      <c r="I45" s="7">
        <v>0</v>
      </c>
      <c r="J45" s="7">
        <v>3</v>
      </c>
      <c r="K45" t="s">
        <v>1028</v>
      </c>
      <c r="L45" s="8">
        <v>103664800</v>
      </c>
      <c r="M45" s="8">
        <v>2959948</v>
      </c>
    </row>
    <row r="46" spans="1:13" x14ac:dyDescent="0.2">
      <c r="A46" t="s">
        <v>651</v>
      </c>
      <c r="B46" t="s">
        <v>947</v>
      </c>
      <c r="C46" s="3">
        <v>45057</v>
      </c>
      <c r="D46" s="3">
        <v>45060</v>
      </c>
      <c r="E46" s="4">
        <v>53079680</v>
      </c>
      <c r="F46" s="5">
        <v>150000000</v>
      </c>
      <c r="G46" s="6">
        <v>0.35386453333333334</v>
      </c>
      <c r="H46" s="7">
        <v>0</v>
      </c>
      <c r="I46" s="7">
        <v>0</v>
      </c>
      <c r="J46" s="7">
        <v>58</v>
      </c>
      <c r="K46" t="s">
        <v>1029</v>
      </c>
      <c r="L46" s="8">
        <v>92800000</v>
      </c>
      <c r="M46" s="8">
        <v>5729820</v>
      </c>
    </row>
    <row r="47" spans="1:13" x14ac:dyDescent="0.2">
      <c r="A47" t="s">
        <v>1030</v>
      </c>
      <c r="B47" t="s">
        <v>947</v>
      </c>
      <c r="C47" s="3">
        <v>44890</v>
      </c>
      <c r="D47" s="3">
        <v>44951</v>
      </c>
      <c r="E47" s="4">
        <v>100000000</v>
      </c>
      <c r="F47" s="5">
        <v>100000000</v>
      </c>
      <c r="G47" s="6">
        <v>1</v>
      </c>
      <c r="H47" s="7">
        <v>0</v>
      </c>
      <c r="I47" s="7">
        <v>0</v>
      </c>
      <c r="J47" s="7">
        <v>3</v>
      </c>
      <c r="K47" t="s">
        <v>1031</v>
      </c>
      <c r="L47" s="8">
        <v>80800000</v>
      </c>
      <c r="M47" s="8">
        <v>4650900</v>
      </c>
    </row>
    <row r="48" spans="1:13" x14ac:dyDescent="0.2">
      <c r="A48" t="s">
        <v>391</v>
      </c>
      <c r="B48" t="s">
        <v>947</v>
      </c>
      <c r="C48" s="3">
        <v>45083</v>
      </c>
      <c r="D48" s="3">
        <v>45084</v>
      </c>
      <c r="E48" s="4">
        <v>78057500</v>
      </c>
      <c r="F48" s="5">
        <v>150000000</v>
      </c>
      <c r="G48" s="6">
        <v>0.52038333333333331</v>
      </c>
      <c r="H48" s="7">
        <v>0</v>
      </c>
      <c r="I48" s="7">
        <v>0</v>
      </c>
      <c r="J48" s="7">
        <v>1</v>
      </c>
      <c r="K48" t="s">
        <v>1032</v>
      </c>
      <c r="L48" s="8">
        <v>70000000</v>
      </c>
      <c r="M48" s="8">
        <v>1970250</v>
      </c>
    </row>
    <row r="49" spans="1:13" x14ac:dyDescent="0.2">
      <c r="A49" t="s">
        <v>321</v>
      </c>
      <c r="B49" t="s">
        <v>950</v>
      </c>
      <c r="C49" s="3">
        <v>45075</v>
      </c>
      <c r="D49" s="3">
        <v>45080</v>
      </c>
      <c r="E49" s="4">
        <v>85116750</v>
      </c>
      <c r="F49" s="5">
        <v>150000000</v>
      </c>
      <c r="G49" s="6">
        <v>0.56744499999999998</v>
      </c>
      <c r="H49" s="7">
        <v>0</v>
      </c>
      <c r="I49" s="7">
        <v>0</v>
      </c>
      <c r="J49" s="7">
        <v>3</v>
      </c>
      <c r="K49" t="s">
        <v>1033</v>
      </c>
      <c r="L49" s="8">
        <v>64800000</v>
      </c>
      <c r="M49" s="8">
        <v>1881450</v>
      </c>
    </row>
    <row r="50" spans="1:13" x14ac:dyDescent="0.2">
      <c r="A50" t="s">
        <v>833</v>
      </c>
      <c r="B50" t="s">
        <v>947</v>
      </c>
      <c r="C50" s="3">
        <v>45077</v>
      </c>
      <c r="D50" s="3">
        <v>45083</v>
      </c>
      <c r="E50" s="4">
        <v>87962640</v>
      </c>
      <c r="F50" s="5">
        <v>150000000</v>
      </c>
      <c r="G50" s="6">
        <v>0.58641759999999998</v>
      </c>
      <c r="H50" s="7">
        <v>0</v>
      </c>
      <c r="I50" s="7">
        <v>0</v>
      </c>
      <c r="J50" s="7">
        <v>9</v>
      </c>
      <c r="K50" t="s">
        <v>1034</v>
      </c>
      <c r="L50" s="8">
        <v>59400000</v>
      </c>
      <c r="M50" s="8">
        <v>2887110</v>
      </c>
    </row>
    <row r="51" spans="1:13" x14ac:dyDescent="0.2">
      <c r="A51" t="s">
        <v>1035</v>
      </c>
      <c r="B51" t="s">
        <v>953</v>
      </c>
      <c r="C51" s="3">
        <v>45076</v>
      </c>
      <c r="D51" s="3">
        <v>45086</v>
      </c>
      <c r="E51" s="4">
        <v>90087820</v>
      </c>
      <c r="F51" s="5">
        <v>150000000</v>
      </c>
      <c r="G51" s="6">
        <v>0.60058546666666668</v>
      </c>
      <c r="H51" s="7">
        <v>0</v>
      </c>
      <c r="I51" s="7">
        <v>0</v>
      </c>
      <c r="J51" s="7">
        <v>29</v>
      </c>
      <c r="K51" t="s">
        <v>1036</v>
      </c>
      <c r="L51" s="8">
        <v>59107430</v>
      </c>
      <c r="M51" s="8">
        <v>2444962</v>
      </c>
    </row>
    <row r="52" spans="1:13" x14ac:dyDescent="0.2">
      <c r="A52" t="s">
        <v>1037</v>
      </c>
      <c r="B52" t="s">
        <v>947</v>
      </c>
      <c r="C52" s="3">
        <v>44854</v>
      </c>
      <c r="D52" s="3">
        <v>45056</v>
      </c>
      <c r="E52" s="4">
        <v>25265868</v>
      </c>
      <c r="F52" s="5">
        <v>150000000</v>
      </c>
      <c r="G52" s="6">
        <v>0.16843912</v>
      </c>
      <c r="H52" s="7">
        <v>0</v>
      </c>
      <c r="I52" s="7">
        <v>0</v>
      </c>
      <c r="J52" s="7">
        <v>28</v>
      </c>
      <c r="K52" t="s">
        <v>1038</v>
      </c>
      <c r="L52" s="8">
        <v>53935000</v>
      </c>
      <c r="M52" s="8">
        <v>1974357</v>
      </c>
    </row>
    <row r="53" spans="1:13" x14ac:dyDescent="0.2">
      <c r="A53" t="s">
        <v>424</v>
      </c>
      <c r="B53" t="s">
        <v>953</v>
      </c>
      <c r="C53" s="3">
        <v>45075</v>
      </c>
      <c r="D53" s="3">
        <v>45086</v>
      </c>
      <c r="E53" s="4">
        <v>89060244</v>
      </c>
      <c r="F53" s="5">
        <v>150000000</v>
      </c>
      <c r="G53" s="6">
        <v>0.59373496000000003</v>
      </c>
      <c r="H53" s="7">
        <v>0</v>
      </c>
      <c r="I53" s="7">
        <v>0</v>
      </c>
      <c r="J53" s="7">
        <v>9</v>
      </c>
      <c r="K53" t="s">
        <v>1039</v>
      </c>
      <c r="L53" s="8">
        <v>39434506</v>
      </c>
      <c r="M53" s="8">
        <v>2876087</v>
      </c>
    </row>
    <row r="54" spans="1:13" x14ac:dyDescent="0.2">
      <c r="A54" t="s">
        <v>2580</v>
      </c>
      <c r="D54" s="3">
        <v>44951</v>
      </c>
    </row>
    <row r="55" spans="1:13" x14ac:dyDescent="0.2">
      <c r="A55" t="s">
        <v>1040</v>
      </c>
      <c r="B55" t="s">
        <v>953</v>
      </c>
      <c r="C55" s="3">
        <v>45068</v>
      </c>
      <c r="D55" s="3">
        <v>45072</v>
      </c>
      <c r="E55" s="4">
        <v>119472250</v>
      </c>
      <c r="F55" s="5">
        <v>150000000</v>
      </c>
      <c r="G55" s="6">
        <v>0.79648166666666664</v>
      </c>
      <c r="H55" s="7">
        <v>0</v>
      </c>
      <c r="I55" s="7">
        <v>0</v>
      </c>
      <c r="J55" s="7">
        <v>1</v>
      </c>
      <c r="K55" t="s">
        <v>1041</v>
      </c>
      <c r="L55" s="8">
        <v>30500000</v>
      </c>
      <c r="M55" s="8">
        <v>1043400</v>
      </c>
    </row>
    <row r="56" spans="1:13" x14ac:dyDescent="0.2">
      <c r="A56" t="s">
        <v>1042</v>
      </c>
      <c r="B56" t="s">
        <v>955</v>
      </c>
      <c r="C56" s="3">
        <v>45057</v>
      </c>
      <c r="D56" s="3">
        <v>45085</v>
      </c>
      <c r="E56" s="4">
        <v>90915401</v>
      </c>
      <c r="F56" s="5">
        <v>150000000</v>
      </c>
      <c r="G56" s="6">
        <v>0.60610267333333334</v>
      </c>
      <c r="H56" s="7">
        <v>0</v>
      </c>
      <c r="I56" s="7">
        <v>0</v>
      </c>
      <c r="J56" s="7">
        <v>10</v>
      </c>
      <c r="K56" t="s">
        <v>1043</v>
      </c>
      <c r="L56" s="8">
        <v>12740000</v>
      </c>
      <c r="M56" s="8">
        <v>222000</v>
      </c>
    </row>
    <row r="57" spans="1:13" x14ac:dyDescent="0.2">
      <c r="A57" t="s">
        <v>1044</v>
      </c>
      <c r="B57" t="s">
        <v>973</v>
      </c>
      <c r="C57" s="3">
        <v>45022</v>
      </c>
      <c r="D57" s="3">
        <v>45025</v>
      </c>
      <c r="E57" s="4">
        <v>150000000</v>
      </c>
      <c r="F57" s="5">
        <v>150000000</v>
      </c>
      <c r="G57" s="6">
        <v>1</v>
      </c>
      <c r="H57" s="7">
        <v>0</v>
      </c>
      <c r="I57" s="7">
        <v>0</v>
      </c>
      <c r="J57" s="7">
        <v>1</v>
      </c>
      <c r="K57" t="s">
        <v>1045</v>
      </c>
      <c r="L57" s="8">
        <v>4400000</v>
      </c>
      <c r="M57" s="8">
        <v>210900</v>
      </c>
    </row>
    <row r="58" spans="1:13" x14ac:dyDescent="0.2">
      <c r="A58" t="s">
        <v>1046</v>
      </c>
      <c r="B58" t="s">
        <v>953</v>
      </c>
      <c r="C58" s="3">
        <v>45086</v>
      </c>
      <c r="D58" s="3"/>
      <c r="E58" s="4">
        <v>1500000000</v>
      </c>
      <c r="F58" s="5">
        <v>1500000000</v>
      </c>
      <c r="G58" s="6">
        <v>1</v>
      </c>
      <c r="H58" s="7"/>
      <c r="I58" s="7"/>
      <c r="J58" s="7"/>
      <c r="L58" s="8"/>
      <c r="M5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B2DE-D27F-4810-A698-923DC3DF3213}">
  <dimension ref="A1:B105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45" bestFit="1" customWidth="1"/>
    <col min="2" max="2" width="13.5" bestFit="1" customWidth="1"/>
    <col min="3" max="3" width="10.83203125" bestFit="1" customWidth="1"/>
    <col min="4" max="4" width="4.1640625" bestFit="1" customWidth="1"/>
    <col min="5" max="7" width="5" bestFit="1" customWidth="1"/>
    <col min="8" max="8" width="4" bestFit="1" customWidth="1"/>
    <col min="9" max="9" width="11" bestFit="1" customWidth="1"/>
  </cols>
  <sheetData>
    <row r="1" spans="1:2" x14ac:dyDescent="0.2">
      <c r="A1" s="16" t="s">
        <v>6879</v>
      </c>
      <c r="B1" t="s">
        <v>6877</v>
      </c>
    </row>
    <row r="3" spans="1:2" x14ac:dyDescent="0.2">
      <c r="A3" s="16" t="s">
        <v>1052</v>
      </c>
      <c r="B3" t="s">
        <v>6882</v>
      </c>
    </row>
    <row r="4" spans="1:2" x14ac:dyDescent="0.2">
      <c r="A4" t="s">
        <v>1012</v>
      </c>
      <c r="B4">
        <v>12</v>
      </c>
    </row>
    <row r="5" spans="1:2" x14ac:dyDescent="0.2">
      <c r="A5" t="s">
        <v>1040</v>
      </c>
      <c r="B5">
        <v>2</v>
      </c>
    </row>
    <row r="6" spans="1:2" x14ac:dyDescent="0.2">
      <c r="A6" t="s">
        <v>998</v>
      </c>
      <c r="B6">
        <v>1</v>
      </c>
    </row>
    <row r="7" spans="1:2" x14ac:dyDescent="0.2">
      <c r="A7" t="s">
        <v>442</v>
      </c>
      <c r="B7">
        <v>15</v>
      </c>
    </row>
    <row r="8" spans="1:2" x14ac:dyDescent="0.2">
      <c r="A8" t="s">
        <v>979</v>
      </c>
      <c r="B8">
        <v>1</v>
      </c>
    </row>
    <row r="9" spans="1:2" x14ac:dyDescent="0.2">
      <c r="A9" t="s">
        <v>1014</v>
      </c>
      <c r="B9">
        <v>2</v>
      </c>
    </row>
    <row r="10" spans="1:2" x14ac:dyDescent="0.2">
      <c r="A10" t="s">
        <v>633</v>
      </c>
      <c r="B10">
        <v>10</v>
      </c>
    </row>
    <row r="11" spans="1:2" x14ac:dyDescent="0.2">
      <c r="A11" t="s">
        <v>968</v>
      </c>
      <c r="B11">
        <v>10</v>
      </c>
    </row>
    <row r="12" spans="1:2" x14ac:dyDescent="0.2">
      <c r="A12" t="s">
        <v>1017</v>
      </c>
      <c r="B12">
        <v>1</v>
      </c>
    </row>
    <row r="13" spans="1:2" x14ac:dyDescent="0.2">
      <c r="A13" t="s">
        <v>1022</v>
      </c>
      <c r="B13">
        <v>47</v>
      </c>
    </row>
    <row r="14" spans="1:2" x14ac:dyDescent="0.2">
      <c r="A14" t="s">
        <v>958</v>
      </c>
      <c r="B14">
        <v>35</v>
      </c>
    </row>
    <row r="15" spans="1:2" x14ac:dyDescent="0.2">
      <c r="A15" t="s">
        <v>651</v>
      </c>
      <c r="B15">
        <v>149</v>
      </c>
    </row>
    <row r="16" spans="1:2" x14ac:dyDescent="0.2">
      <c r="A16" t="s">
        <v>1042</v>
      </c>
      <c r="B16">
        <v>6</v>
      </c>
    </row>
    <row r="17" spans="1:2" x14ac:dyDescent="0.2">
      <c r="A17" t="s">
        <v>996</v>
      </c>
      <c r="B17">
        <v>2</v>
      </c>
    </row>
    <row r="18" spans="1:2" x14ac:dyDescent="0.2">
      <c r="A18" t="s">
        <v>975</v>
      </c>
      <c r="B18">
        <v>58</v>
      </c>
    </row>
    <row r="19" spans="1:2" x14ac:dyDescent="0.2">
      <c r="A19" t="s">
        <v>972</v>
      </c>
      <c r="B19">
        <v>1</v>
      </c>
    </row>
    <row r="20" spans="1:2" x14ac:dyDescent="0.2">
      <c r="A20" t="s">
        <v>988</v>
      </c>
      <c r="B20">
        <v>4</v>
      </c>
    </row>
    <row r="21" spans="1:2" x14ac:dyDescent="0.2">
      <c r="A21" t="s">
        <v>1024</v>
      </c>
      <c r="B21">
        <v>3</v>
      </c>
    </row>
    <row r="22" spans="1:2" x14ac:dyDescent="0.2">
      <c r="A22" t="s">
        <v>687</v>
      </c>
      <c r="B22">
        <v>2</v>
      </c>
    </row>
    <row r="23" spans="1:2" x14ac:dyDescent="0.2">
      <c r="A23" t="s">
        <v>960</v>
      </c>
      <c r="B23">
        <v>6</v>
      </c>
    </row>
    <row r="24" spans="1:2" x14ac:dyDescent="0.2">
      <c r="A24" t="s">
        <v>1027</v>
      </c>
      <c r="B24">
        <v>1</v>
      </c>
    </row>
    <row r="25" spans="1:2" x14ac:dyDescent="0.2">
      <c r="A25" t="s">
        <v>131</v>
      </c>
      <c r="B25">
        <v>2</v>
      </c>
    </row>
    <row r="26" spans="1:2" x14ac:dyDescent="0.2">
      <c r="A26" t="s">
        <v>321</v>
      </c>
      <c r="B26">
        <v>4</v>
      </c>
    </row>
    <row r="27" spans="1:2" x14ac:dyDescent="0.2">
      <c r="A27" t="s">
        <v>4247</v>
      </c>
      <c r="B27">
        <v>7</v>
      </c>
    </row>
    <row r="28" spans="1:2" x14ac:dyDescent="0.2">
      <c r="A28" t="s">
        <v>990</v>
      </c>
      <c r="B28">
        <v>6</v>
      </c>
    </row>
    <row r="29" spans="1:2" x14ac:dyDescent="0.2">
      <c r="A29" t="s">
        <v>952</v>
      </c>
      <c r="B29">
        <v>3</v>
      </c>
    </row>
    <row r="30" spans="1:2" x14ac:dyDescent="0.2">
      <c r="A30" t="s">
        <v>981</v>
      </c>
      <c r="B30">
        <v>24</v>
      </c>
    </row>
    <row r="31" spans="1:2" x14ac:dyDescent="0.2">
      <c r="A31" t="s">
        <v>833</v>
      </c>
      <c r="B31">
        <v>4</v>
      </c>
    </row>
    <row r="32" spans="1:2" x14ac:dyDescent="0.2">
      <c r="A32" t="s">
        <v>1005</v>
      </c>
      <c r="B32">
        <v>7</v>
      </c>
    </row>
    <row r="33" spans="1:2" x14ac:dyDescent="0.2">
      <c r="A33" t="s">
        <v>32</v>
      </c>
      <c r="B33">
        <v>5</v>
      </c>
    </row>
    <row r="34" spans="1:2" x14ac:dyDescent="0.2">
      <c r="A34" t="s">
        <v>1001</v>
      </c>
      <c r="B34">
        <v>1</v>
      </c>
    </row>
    <row r="35" spans="1:2" x14ac:dyDescent="0.2">
      <c r="A35" t="s">
        <v>1009</v>
      </c>
      <c r="B35">
        <v>4</v>
      </c>
    </row>
    <row r="36" spans="1:2" x14ac:dyDescent="0.2">
      <c r="A36" t="s">
        <v>9</v>
      </c>
      <c r="B36">
        <v>74</v>
      </c>
    </row>
    <row r="37" spans="1:2" x14ac:dyDescent="0.2">
      <c r="A37" t="s">
        <v>992</v>
      </c>
      <c r="B37">
        <v>27</v>
      </c>
    </row>
    <row r="38" spans="1:2" x14ac:dyDescent="0.2">
      <c r="A38" t="s">
        <v>6881</v>
      </c>
      <c r="B38">
        <v>536</v>
      </c>
    </row>
    <row r="46" spans="1:2" x14ac:dyDescent="0.2">
      <c r="A46" s="16" t="s">
        <v>6879</v>
      </c>
      <c r="B46" t="s">
        <v>6878</v>
      </c>
    </row>
    <row r="48" spans="1:2" x14ac:dyDescent="0.2">
      <c r="A48" s="16" t="s">
        <v>6880</v>
      </c>
      <c r="B48" t="s">
        <v>6882</v>
      </c>
    </row>
    <row r="49" spans="1:2" x14ac:dyDescent="0.2">
      <c r="A49" s="17" t="s">
        <v>1007</v>
      </c>
      <c r="B49">
        <v>12</v>
      </c>
    </row>
    <row r="50" spans="1:2" x14ac:dyDescent="0.2">
      <c r="A50" s="17" t="s">
        <v>1012</v>
      </c>
      <c r="B50">
        <v>55</v>
      </c>
    </row>
    <row r="51" spans="1:2" x14ac:dyDescent="0.2">
      <c r="A51" s="17" t="s">
        <v>1040</v>
      </c>
      <c r="B51">
        <v>1</v>
      </c>
    </row>
    <row r="52" spans="1:2" x14ac:dyDescent="0.2">
      <c r="A52" s="17" t="s">
        <v>1003</v>
      </c>
      <c r="B52">
        <v>13</v>
      </c>
    </row>
    <row r="53" spans="1:2" x14ac:dyDescent="0.2">
      <c r="A53" s="17" t="s">
        <v>424</v>
      </c>
      <c r="B53">
        <v>9</v>
      </c>
    </row>
    <row r="54" spans="1:2" x14ac:dyDescent="0.2">
      <c r="A54" s="17" t="s">
        <v>985</v>
      </c>
      <c r="B54">
        <v>150</v>
      </c>
    </row>
    <row r="55" spans="1:2" x14ac:dyDescent="0.2">
      <c r="A55" s="17" t="s">
        <v>998</v>
      </c>
      <c r="B55">
        <v>7</v>
      </c>
    </row>
    <row r="56" spans="1:2" x14ac:dyDescent="0.2">
      <c r="A56" s="17" t="s">
        <v>442</v>
      </c>
      <c r="B56">
        <v>863</v>
      </c>
    </row>
    <row r="57" spans="1:2" x14ac:dyDescent="0.2">
      <c r="A57" s="17" t="s">
        <v>979</v>
      </c>
      <c r="B57">
        <v>23</v>
      </c>
    </row>
    <row r="58" spans="1:2" x14ac:dyDescent="0.2">
      <c r="A58" s="17" t="s">
        <v>977</v>
      </c>
      <c r="B58">
        <v>9</v>
      </c>
    </row>
    <row r="59" spans="1:2" x14ac:dyDescent="0.2">
      <c r="A59" s="17" t="s">
        <v>1014</v>
      </c>
      <c r="B59">
        <v>43</v>
      </c>
    </row>
    <row r="60" spans="1:2" x14ac:dyDescent="0.2">
      <c r="A60" s="17" t="s">
        <v>1020</v>
      </c>
      <c r="B60">
        <v>9</v>
      </c>
    </row>
    <row r="61" spans="1:2" x14ac:dyDescent="0.2">
      <c r="A61" s="17" t="s">
        <v>633</v>
      </c>
      <c r="B61">
        <v>87</v>
      </c>
    </row>
    <row r="62" spans="1:2" x14ac:dyDescent="0.2">
      <c r="A62" s="17" t="s">
        <v>983</v>
      </c>
      <c r="B62">
        <v>75</v>
      </c>
    </row>
    <row r="63" spans="1:2" x14ac:dyDescent="0.2">
      <c r="A63" s="17" t="s">
        <v>968</v>
      </c>
      <c r="B63">
        <v>478</v>
      </c>
    </row>
    <row r="64" spans="1:2" x14ac:dyDescent="0.2">
      <c r="A64" s="17" t="s">
        <v>1017</v>
      </c>
      <c r="B64">
        <v>2</v>
      </c>
    </row>
    <row r="65" spans="1:2" x14ac:dyDescent="0.2">
      <c r="A65" s="17" t="s">
        <v>1035</v>
      </c>
      <c r="B65">
        <v>29</v>
      </c>
    </row>
    <row r="66" spans="1:2" x14ac:dyDescent="0.2">
      <c r="A66" s="17" t="s">
        <v>2580</v>
      </c>
      <c r="B66">
        <v>3</v>
      </c>
    </row>
    <row r="67" spans="1:2" x14ac:dyDescent="0.2">
      <c r="A67" s="17" t="s">
        <v>966</v>
      </c>
      <c r="B67">
        <v>93</v>
      </c>
    </row>
    <row r="68" spans="1:2" x14ac:dyDescent="0.2">
      <c r="A68" s="17" t="s">
        <v>1022</v>
      </c>
      <c r="B68">
        <v>67</v>
      </c>
    </row>
    <row r="69" spans="1:2" x14ac:dyDescent="0.2">
      <c r="A69" s="17" t="s">
        <v>958</v>
      </c>
      <c r="B69">
        <v>1040</v>
      </c>
    </row>
    <row r="70" spans="1:2" x14ac:dyDescent="0.2">
      <c r="A70" s="17" t="s">
        <v>651</v>
      </c>
      <c r="B70">
        <v>58</v>
      </c>
    </row>
    <row r="71" spans="1:2" x14ac:dyDescent="0.2">
      <c r="A71" s="17" t="s">
        <v>1042</v>
      </c>
      <c r="B71">
        <v>10</v>
      </c>
    </row>
    <row r="72" spans="1:2" x14ac:dyDescent="0.2">
      <c r="A72" s="17" t="s">
        <v>178</v>
      </c>
      <c r="B72">
        <v>186</v>
      </c>
    </row>
    <row r="73" spans="1:2" x14ac:dyDescent="0.2">
      <c r="A73" s="17" t="s">
        <v>356</v>
      </c>
      <c r="B73">
        <v>7</v>
      </c>
    </row>
    <row r="74" spans="1:2" x14ac:dyDescent="0.2">
      <c r="A74" s="17" t="s">
        <v>996</v>
      </c>
      <c r="B74">
        <v>12</v>
      </c>
    </row>
    <row r="75" spans="1:2" x14ac:dyDescent="0.2">
      <c r="A75" s="17" t="s">
        <v>949</v>
      </c>
      <c r="B75">
        <v>104</v>
      </c>
    </row>
    <row r="76" spans="1:2" x14ac:dyDescent="0.2">
      <c r="A76" s="17" t="s">
        <v>624</v>
      </c>
      <c r="B76">
        <v>3</v>
      </c>
    </row>
    <row r="77" spans="1:2" x14ac:dyDescent="0.2">
      <c r="A77" s="17" t="s">
        <v>975</v>
      </c>
      <c r="B77">
        <v>217</v>
      </c>
    </row>
    <row r="78" spans="1:2" x14ac:dyDescent="0.2">
      <c r="A78" s="17" t="s">
        <v>972</v>
      </c>
      <c r="B78">
        <v>94</v>
      </c>
    </row>
    <row r="79" spans="1:2" x14ac:dyDescent="0.2">
      <c r="A79" s="17" t="s">
        <v>988</v>
      </c>
      <c r="B79">
        <v>46</v>
      </c>
    </row>
    <row r="80" spans="1:2" x14ac:dyDescent="0.2">
      <c r="A80" s="17" t="s">
        <v>271</v>
      </c>
      <c r="B80">
        <v>1</v>
      </c>
    </row>
    <row r="81" spans="1:2" x14ac:dyDescent="0.2">
      <c r="A81" s="17" t="s">
        <v>1024</v>
      </c>
      <c r="B81">
        <v>32</v>
      </c>
    </row>
    <row r="82" spans="1:2" x14ac:dyDescent="0.2">
      <c r="A82" s="17" t="s">
        <v>970</v>
      </c>
      <c r="B82">
        <v>102</v>
      </c>
    </row>
    <row r="83" spans="1:2" x14ac:dyDescent="0.2">
      <c r="A83" s="17" t="s">
        <v>687</v>
      </c>
      <c r="B83">
        <v>11</v>
      </c>
    </row>
    <row r="84" spans="1:2" x14ac:dyDescent="0.2">
      <c r="A84" s="17" t="s">
        <v>960</v>
      </c>
      <c r="B84">
        <v>83</v>
      </c>
    </row>
    <row r="85" spans="1:2" x14ac:dyDescent="0.2">
      <c r="A85" s="17" t="s">
        <v>391</v>
      </c>
      <c r="B85">
        <v>1</v>
      </c>
    </row>
    <row r="86" spans="1:2" x14ac:dyDescent="0.2">
      <c r="A86" s="17" t="s">
        <v>1027</v>
      </c>
      <c r="B86">
        <v>3</v>
      </c>
    </row>
    <row r="87" spans="1:2" x14ac:dyDescent="0.2">
      <c r="A87" s="17" t="s">
        <v>131</v>
      </c>
      <c r="B87">
        <v>19</v>
      </c>
    </row>
    <row r="88" spans="1:2" x14ac:dyDescent="0.2">
      <c r="A88" s="17" t="s">
        <v>321</v>
      </c>
      <c r="B88">
        <v>3</v>
      </c>
    </row>
    <row r="89" spans="1:2" x14ac:dyDescent="0.2">
      <c r="A89" s="17" t="s">
        <v>1037</v>
      </c>
      <c r="B89">
        <v>28</v>
      </c>
    </row>
    <row r="90" spans="1:2" x14ac:dyDescent="0.2">
      <c r="A90" s="17" t="s">
        <v>4247</v>
      </c>
      <c r="B90">
        <v>87</v>
      </c>
    </row>
    <row r="91" spans="1:2" x14ac:dyDescent="0.2">
      <c r="A91" s="17" t="s">
        <v>990</v>
      </c>
      <c r="B91">
        <v>8</v>
      </c>
    </row>
    <row r="92" spans="1:2" x14ac:dyDescent="0.2">
      <c r="A92" s="17" t="s">
        <v>964</v>
      </c>
      <c r="B92">
        <v>71</v>
      </c>
    </row>
    <row r="93" spans="1:2" x14ac:dyDescent="0.2">
      <c r="A93" s="17" t="s">
        <v>952</v>
      </c>
      <c r="B93">
        <v>11</v>
      </c>
    </row>
    <row r="94" spans="1:2" x14ac:dyDescent="0.2">
      <c r="A94" s="17" t="s">
        <v>981</v>
      </c>
      <c r="B94">
        <v>254</v>
      </c>
    </row>
    <row r="95" spans="1:2" x14ac:dyDescent="0.2">
      <c r="A95" s="17" t="s">
        <v>833</v>
      </c>
      <c r="B95">
        <v>9</v>
      </c>
    </row>
    <row r="96" spans="1:2" x14ac:dyDescent="0.2">
      <c r="A96" s="17" t="s">
        <v>1005</v>
      </c>
      <c r="B96">
        <v>14</v>
      </c>
    </row>
    <row r="97" spans="1:2" x14ac:dyDescent="0.2">
      <c r="A97" s="17" t="s">
        <v>32</v>
      </c>
      <c r="B97">
        <v>52</v>
      </c>
    </row>
    <row r="98" spans="1:2" x14ac:dyDescent="0.2">
      <c r="A98" s="17" t="s">
        <v>1030</v>
      </c>
      <c r="B98">
        <v>3</v>
      </c>
    </row>
    <row r="99" spans="1:2" x14ac:dyDescent="0.2">
      <c r="A99" s="17" t="s">
        <v>946</v>
      </c>
      <c r="B99">
        <v>1826</v>
      </c>
    </row>
    <row r="100" spans="1:2" x14ac:dyDescent="0.2">
      <c r="A100" s="17" t="s">
        <v>1001</v>
      </c>
      <c r="B100">
        <v>1</v>
      </c>
    </row>
    <row r="101" spans="1:2" x14ac:dyDescent="0.2">
      <c r="A101" s="17" t="s">
        <v>1009</v>
      </c>
      <c r="B101">
        <v>6</v>
      </c>
    </row>
    <row r="102" spans="1:2" x14ac:dyDescent="0.2">
      <c r="A102" s="17" t="s">
        <v>1044</v>
      </c>
      <c r="B102">
        <v>1</v>
      </c>
    </row>
    <row r="103" spans="1:2" x14ac:dyDescent="0.2">
      <c r="A103" s="17" t="s">
        <v>9</v>
      </c>
      <c r="B103">
        <v>311</v>
      </c>
    </row>
    <row r="104" spans="1:2" x14ac:dyDescent="0.2">
      <c r="A104" s="17" t="s">
        <v>992</v>
      </c>
      <c r="B104">
        <v>85</v>
      </c>
    </row>
    <row r="105" spans="1:2" x14ac:dyDescent="0.2">
      <c r="A105" s="17" t="s">
        <v>6881</v>
      </c>
      <c r="B105">
        <v>6827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4A06-2F51-4815-8E76-9BAFD41F8CFE}">
  <dimension ref="A3:C95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5.83203125" bestFit="1" customWidth="1"/>
    <col min="2" max="2" width="41.5" bestFit="1" customWidth="1"/>
    <col min="3" max="3" width="19.5" bestFit="1" customWidth="1"/>
    <col min="4" max="8" width="9.83203125" bestFit="1" customWidth="1"/>
    <col min="9" max="9" width="11" bestFit="1" customWidth="1"/>
    <col min="10" max="14" width="19.5" bestFit="1" customWidth="1"/>
    <col min="15" max="15" width="15.5" bestFit="1" customWidth="1"/>
    <col min="16" max="16" width="24.5" bestFit="1" customWidth="1"/>
  </cols>
  <sheetData>
    <row r="3" spans="1:3" x14ac:dyDescent="0.2">
      <c r="A3" s="16" t="s">
        <v>6879</v>
      </c>
      <c r="B3" s="16" t="s">
        <v>1056</v>
      </c>
      <c r="C3" t="s">
        <v>6884</v>
      </c>
    </row>
    <row r="4" spans="1:3" x14ac:dyDescent="0.2">
      <c r="A4" t="s">
        <v>6878</v>
      </c>
      <c r="B4" t="s">
        <v>6592</v>
      </c>
      <c r="C4" s="9">
        <v>45076</v>
      </c>
    </row>
    <row r="5" spans="1:3" x14ac:dyDescent="0.2">
      <c r="B5" t="s">
        <v>520</v>
      </c>
      <c r="C5" s="9">
        <v>45076</v>
      </c>
    </row>
    <row r="6" spans="1:3" x14ac:dyDescent="0.2">
      <c r="B6" t="s">
        <v>2361</v>
      </c>
      <c r="C6" s="9">
        <v>45058</v>
      </c>
    </row>
    <row r="7" spans="1:3" x14ac:dyDescent="0.2">
      <c r="B7" t="s">
        <v>3053</v>
      </c>
      <c r="C7" s="9">
        <v>45008</v>
      </c>
    </row>
    <row r="8" spans="1:3" x14ac:dyDescent="0.2">
      <c r="B8" t="s">
        <v>6540</v>
      </c>
      <c r="C8" s="9">
        <v>45072</v>
      </c>
    </row>
    <row r="9" spans="1:3" x14ac:dyDescent="0.2">
      <c r="B9" t="s">
        <v>2520</v>
      </c>
      <c r="C9" s="9">
        <v>45017</v>
      </c>
    </row>
    <row r="10" spans="1:3" x14ac:dyDescent="0.2">
      <c r="B10" t="s">
        <v>359</v>
      </c>
      <c r="C10" s="9">
        <v>45087</v>
      </c>
    </row>
    <row r="11" spans="1:3" x14ac:dyDescent="0.2">
      <c r="B11" t="s">
        <v>2896</v>
      </c>
      <c r="C11" s="9">
        <v>45042</v>
      </c>
    </row>
    <row r="12" spans="1:3" x14ac:dyDescent="0.2">
      <c r="B12" t="s">
        <v>262</v>
      </c>
      <c r="C12" s="9">
        <v>45083</v>
      </c>
    </row>
    <row r="13" spans="1:3" x14ac:dyDescent="0.2">
      <c r="B13" t="s">
        <v>6822</v>
      </c>
      <c r="C13" s="9">
        <v>45086</v>
      </c>
    </row>
    <row r="14" spans="1:3" x14ac:dyDescent="0.2">
      <c r="B14" t="s">
        <v>436</v>
      </c>
      <c r="C14" s="9">
        <v>45078</v>
      </c>
    </row>
    <row r="15" spans="1:3" x14ac:dyDescent="0.2">
      <c r="B15" t="s">
        <v>904</v>
      </c>
      <c r="C15" s="9">
        <v>45071</v>
      </c>
    </row>
    <row r="16" spans="1:3" x14ac:dyDescent="0.2">
      <c r="B16" t="s">
        <v>2382</v>
      </c>
      <c r="C16" s="9">
        <v>45071</v>
      </c>
    </row>
    <row r="17" spans="2:3" x14ac:dyDescent="0.2">
      <c r="B17" t="s">
        <v>916</v>
      </c>
      <c r="C17" s="9">
        <v>45082</v>
      </c>
    </row>
    <row r="18" spans="2:3" x14ac:dyDescent="0.2">
      <c r="B18" t="s">
        <v>1746</v>
      </c>
      <c r="C18" s="9">
        <v>45060</v>
      </c>
    </row>
    <row r="19" spans="2:3" x14ac:dyDescent="0.2">
      <c r="B19" t="s">
        <v>886</v>
      </c>
      <c r="C19" s="9">
        <v>45083</v>
      </c>
    </row>
    <row r="20" spans="2:3" x14ac:dyDescent="0.2">
      <c r="B20" t="s">
        <v>3063</v>
      </c>
      <c r="C20" s="9">
        <v>45080</v>
      </c>
    </row>
    <row r="21" spans="2:3" x14ac:dyDescent="0.2">
      <c r="B21" t="s">
        <v>4248</v>
      </c>
      <c r="C21" s="9">
        <v>45025</v>
      </c>
    </row>
    <row r="22" spans="2:3" x14ac:dyDescent="0.2">
      <c r="B22" t="s">
        <v>2581</v>
      </c>
      <c r="C22" s="9">
        <v>44951</v>
      </c>
    </row>
    <row r="23" spans="2:3" x14ac:dyDescent="0.2">
      <c r="B23" t="s">
        <v>1137</v>
      </c>
      <c r="C23" s="9">
        <v>45077</v>
      </c>
    </row>
    <row r="24" spans="2:3" x14ac:dyDescent="0.2">
      <c r="B24" t="s">
        <v>6849</v>
      </c>
      <c r="C24" s="9">
        <v>45086</v>
      </c>
    </row>
    <row r="25" spans="2:3" x14ac:dyDescent="0.2">
      <c r="B25" t="s">
        <v>5095</v>
      </c>
      <c r="C25" s="9">
        <v>45025</v>
      </c>
    </row>
    <row r="26" spans="2:3" x14ac:dyDescent="0.2">
      <c r="B26" t="s">
        <v>3191</v>
      </c>
      <c r="C26" s="9">
        <v>45066</v>
      </c>
    </row>
    <row r="27" spans="2:3" x14ac:dyDescent="0.2">
      <c r="B27" t="s">
        <v>4562</v>
      </c>
      <c r="C27" s="9">
        <v>45079</v>
      </c>
    </row>
    <row r="28" spans="2:3" x14ac:dyDescent="0.2">
      <c r="B28" t="s">
        <v>5780</v>
      </c>
      <c r="C28" s="9">
        <v>45084</v>
      </c>
    </row>
    <row r="29" spans="2:3" x14ac:dyDescent="0.2">
      <c r="B29" t="s">
        <v>4620</v>
      </c>
      <c r="C29" s="9">
        <v>45080</v>
      </c>
    </row>
    <row r="30" spans="2:3" x14ac:dyDescent="0.2">
      <c r="B30" t="s">
        <v>214</v>
      </c>
      <c r="C30" s="9">
        <v>45056</v>
      </c>
    </row>
    <row r="31" spans="2:3" x14ac:dyDescent="0.2">
      <c r="B31" t="s">
        <v>6225</v>
      </c>
      <c r="C31" s="9">
        <v>45065</v>
      </c>
    </row>
    <row r="32" spans="2:3" x14ac:dyDescent="0.2">
      <c r="B32" t="s">
        <v>2641</v>
      </c>
      <c r="C32" s="9">
        <v>44973</v>
      </c>
    </row>
    <row r="33" spans="2:3" x14ac:dyDescent="0.2">
      <c r="B33" t="s">
        <v>4732</v>
      </c>
      <c r="C33" s="9">
        <v>45084</v>
      </c>
    </row>
    <row r="34" spans="2:3" x14ac:dyDescent="0.2">
      <c r="B34" t="s">
        <v>268</v>
      </c>
      <c r="C34" s="9">
        <v>45086</v>
      </c>
    </row>
    <row r="35" spans="2:3" x14ac:dyDescent="0.2">
      <c r="B35" t="s">
        <v>2438</v>
      </c>
      <c r="C35" s="9">
        <v>44950</v>
      </c>
    </row>
    <row r="36" spans="2:3" x14ac:dyDescent="0.2">
      <c r="B36" t="s">
        <v>5777</v>
      </c>
      <c r="C36" s="9">
        <v>45057</v>
      </c>
    </row>
    <row r="37" spans="2:3" x14ac:dyDescent="0.2">
      <c r="B37" t="s">
        <v>2748</v>
      </c>
      <c r="C37" s="9">
        <v>44966</v>
      </c>
    </row>
    <row r="38" spans="2:3" x14ac:dyDescent="0.2">
      <c r="B38" t="s">
        <v>6476</v>
      </c>
      <c r="C38" s="9">
        <v>45072</v>
      </c>
    </row>
    <row r="39" spans="2:3" x14ac:dyDescent="0.2">
      <c r="B39" t="s">
        <v>2574</v>
      </c>
      <c r="C39" s="9">
        <v>44951</v>
      </c>
    </row>
    <row r="40" spans="2:3" x14ac:dyDescent="0.2">
      <c r="B40" t="s">
        <v>1515</v>
      </c>
      <c r="C40" s="9">
        <v>45066</v>
      </c>
    </row>
    <row r="41" spans="2:3" x14ac:dyDescent="0.2">
      <c r="B41" t="s">
        <v>3147</v>
      </c>
      <c r="C41" s="9">
        <v>45068</v>
      </c>
    </row>
    <row r="42" spans="2:3" x14ac:dyDescent="0.2">
      <c r="B42" t="s">
        <v>6852</v>
      </c>
      <c r="C42" s="9">
        <v>45086</v>
      </c>
    </row>
    <row r="43" spans="2:3" x14ac:dyDescent="0.2">
      <c r="B43" t="s">
        <v>116</v>
      </c>
      <c r="C43" s="9">
        <v>45086</v>
      </c>
    </row>
    <row r="44" spans="2:3" x14ac:dyDescent="0.2">
      <c r="B44" t="s">
        <v>2610</v>
      </c>
      <c r="C44" s="9">
        <v>45029</v>
      </c>
    </row>
    <row r="45" spans="2:3" x14ac:dyDescent="0.2">
      <c r="B45" t="s">
        <v>303</v>
      </c>
      <c r="C45" s="9">
        <v>45079</v>
      </c>
    </row>
    <row r="46" spans="2:3" x14ac:dyDescent="0.2">
      <c r="B46" t="s">
        <v>5814</v>
      </c>
      <c r="C46" s="9">
        <v>45059</v>
      </c>
    </row>
    <row r="47" spans="2:3" x14ac:dyDescent="0.2">
      <c r="B47" t="s">
        <v>4626</v>
      </c>
      <c r="C47" s="9">
        <v>45081</v>
      </c>
    </row>
    <row r="48" spans="2:3" x14ac:dyDescent="0.2">
      <c r="B48" t="s">
        <v>591</v>
      </c>
      <c r="C48" s="9">
        <v>45084</v>
      </c>
    </row>
    <row r="49" spans="1:3" x14ac:dyDescent="0.2">
      <c r="B49" t="s">
        <v>1074</v>
      </c>
      <c r="C49" s="9">
        <v>45088</v>
      </c>
    </row>
    <row r="50" spans="1:3" x14ac:dyDescent="0.2">
      <c r="B50" t="s">
        <v>4222</v>
      </c>
      <c r="C50" s="9">
        <v>45080</v>
      </c>
    </row>
    <row r="51" spans="1:3" x14ac:dyDescent="0.2">
      <c r="B51" t="s">
        <v>6468</v>
      </c>
      <c r="C51" s="9">
        <v>45085</v>
      </c>
    </row>
    <row r="52" spans="1:3" x14ac:dyDescent="0.2">
      <c r="B52" t="s">
        <v>5809</v>
      </c>
      <c r="C52" s="9">
        <v>45060</v>
      </c>
    </row>
    <row r="53" spans="1:3" x14ac:dyDescent="0.2">
      <c r="B53" t="s">
        <v>821</v>
      </c>
      <c r="C53" s="9">
        <v>45080</v>
      </c>
    </row>
    <row r="54" spans="1:3" x14ac:dyDescent="0.2">
      <c r="B54" t="s">
        <v>3814</v>
      </c>
      <c r="C54" s="9">
        <v>45075</v>
      </c>
    </row>
    <row r="55" spans="1:3" x14ac:dyDescent="0.2">
      <c r="B55" t="s">
        <v>2902</v>
      </c>
      <c r="C55" s="9">
        <v>45028</v>
      </c>
    </row>
    <row r="56" spans="1:3" x14ac:dyDescent="0.2">
      <c r="B56" t="s">
        <v>4368</v>
      </c>
      <c r="C56" s="9">
        <v>45052</v>
      </c>
    </row>
    <row r="57" spans="1:3" x14ac:dyDescent="0.2">
      <c r="B57" t="s">
        <v>2370</v>
      </c>
      <c r="C57" s="9">
        <v>45066</v>
      </c>
    </row>
    <row r="58" spans="1:3" x14ac:dyDescent="0.2">
      <c r="A58" t="s">
        <v>6877</v>
      </c>
      <c r="B58" t="s">
        <v>520</v>
      </c>
      <c r="C58" s="9">
        <v>45077</v>
      </c>
    </row>
    <row r="59" spans="1:3" x14ac:dyDescent="0.2">
      <c r="B59" t="s">
        <v>2361</v>
      </c>
      <c r="C59" s="9">
        <v>45085</v>
      </c>
    </row>
    <row r="60" spans="1:3" x14ac:dyDescent="0.2">
      <c r="B60" t="s">
        <v>3053</v>
      </c>
      <c r="C60" s="9">
        <v>45008</v>
      </c>
    </row>
    <row r="61" spans="1:3" x14ac:dyDescent="0.2">
      <c r="B61" t="s">
        <v>6540</v>
      </c>
      <c r="C61" s="9">
        <v>45072</v>
      </c>
    </row>
    <row r="62" spans="1:3" x14ac:dyDescent="0.2">
      <c r="B62" t="s">
        <v>262</v>
      </c>
      <c r="C62" s="9">
        <v>45082</v>
      </c>
    </row>
    <row r="63" spans="1:3" x14ac:dyDescent="0.2">
      <c r="B63" t="s">
        <v>436</v>
      </c>
      <c r="C63" s="9">
        <v>45085</v>
      </c>
    </row>
    <row r="64" spans="1:3" x14ac:dyDescent="0.2">
      <c r="B64" t="s">
        <v>916</v>
      </c>
      <c r="C64" s="9">
        <v>45083</v>
      </c>
    </row>
    <row r="65" spans="2:3" x14ac:dyDescent="0.2">
      <c r="B65" t="s">
        <v>2285</v>
      </c>
      <c r="C65" s="9">
        <v>45085</v>
      </c>
    </row>
    <row r="66" spans="2:3" x14ac:dyDescent="0.2">
      <c r="B66" t="s">
        <v>4248</v>
      </c>
      <c r="C66" s="9">
        <v>45025</v>
      </c>
    </row>
    <row r="67" spans="2:3" x14ac:dyDescent="0.2">
      <c r="B67" t="s">
        <v>1137</v>
      </c>
      <c r="C67" s="9">
        <v>45030</v>
      </c>
    </row>
    <row r="68" spans="2:3" x14ac:dyDescent="0.2">
      <c r="B68" t="s">
        <v>3191</v>
      </c>
      <c r="C68" s="9">
        <v>44993</v>
      </c>
    </row>
    <row r="69" spans="2:3" x14ac:dyDescent="0.2">
      <c r="B69" t="s">
        <v>4562</v>
      </c>
      <c r="C69" s="9">
        <v>45078</v>
      </c>
    </row>
    <row r="70" spans="2:3" x14ac:dyDescent="0.2">
      <c r="B70" t="s">
        <v>4620</v>
      </c>
      <c r="C70" s="9">
        <v>45052</v>
      </c>
    </row>
    <row r="71" spans="2:3" x14ac:dyDescent="0.2">
      <c r="B71" t="s">
        <v>214</v>
      </c>
      <c r="C71" s="9">
        <v>45023</v>
      </c>
    </row>
    <row r="72" spans="2:3" x14ac:dyDescent="0.2">
      <c r="B72" t="s">
        <v>6225</v>
      </c>
      <c r="C72" s="9">
        <v>45065</v>
      </c>
    </row>
    <row r="73" spans="2:3" x14ac:dyDescent="0.2">
      <c r="B73" t="s">
        <v>2641</v>
      </c>
      <c r="C73" s="9">
        <v>44971</v>
      </c>
    </row>
    <row r="74" spans="2:3" x14ac:dyDescent="0.2">
      <c r="B74" t="s">
        <v>4732</v>
      </c>
      <c r="C74" s="9">
        <v>45084</v>
      </c>
    </row>
    <row r="75" spans="2:3" x14ac:dyDescent="0.2">
      <c r="B75" t="s">
        <v>5777</v>
      </c>
      <c r="C75" s="9">
        <v>45057</v>
      </c>
    </row>
    <row r="76" spans="2:3" x14ac:dyDescent="0.2">
      <c r="B76" t="s">
        <v>2748</v>
      </c>
      <c r="C76" s="9">
        <v>44966</v>
      </c>
    </row>
    <row r="77" spans="2:3" x14ac:dyDescent="0.2">
      <c r="B77" t="s">
        <v>6476</v>
      </c>
      <c r="C77" s="9">
        <v>45069</v>
      </c>
    </row>
    <row r="78" spans="2:3" x14ac:dyDescent="0.2">
      <c r="B78" t="s">
        <v>3286</v>
      </c>
      <c r="C78" s="9">
        <v>45019</v>
      </c>
    </row>
    <row r="79" spans="2:3" x14ac:dyDescent="0.2">
      <c r="B79" t="s">
        <v>4659</v>
      </c>
      <c r="C79" s="9">
        <v>45083</v>
      </c>
    </row>
    <row r="80" spans="2:3" x14ac:dyDescent="0.2">
      <c r="B80" t="s">
        <v>205</v>
      </c>
      <c r="C80" s="9">
        <v>44952</v>
      </c>
    </row>
    <row r="81" spans="1:3" x14ac:dyDescent="0.2">
      <c r="B81" t="s">
        <v>116</v>
      </c>
      <c r="C81" s="9">
        <v>45086</v>
      </c>
    </row>
    <row r="82" spans="1:3" x14ac:dyDescent="0.2">
      <c r="B82" t="s">
        <v>2610</v>
      </c>
      <c r="C82" s="9">
        <v>45008</v>
      </c>
    </row>
    <row r="83" spans="1:3" x14ac:dyDescent="0.2">
      <c r="B83" t="s">
        <v>303</v>
      </c>
      <c r="C83" s="9">
        <v>45079</v>
      </c>
    </row>
    <row r="84" spans="1:3" x14ac:dyDescent="0.2">
      <c r="B84" t="s">
        <v>5814</v>
      </c>
      <c r="C84" s="9">
        <v>45059</v>
      </c>
    </row>
    <row r="85" spans="1:3" x14ac:dyDescent="0.2">
      <c r="B85" t="s">
        <v>4626</v>
      </c>
      <c r="C85" s="9">
        <v>45053</v>
      </c>
    </row>
    <row r="86" spans="1:3" x14ac:dyDescent="0.2">
      <c r="B86" t="s">
        <v>1074</v>
      </c>
      <c r="C86" s="9">
        <v>45088</v>
      </c>
    </row>
    <row r="87" spans="1:3" x14ac:dyDescent="0.2">
      <c r="B87" t="s">
        <v>4222</v>
      </c>
      <c r="C87" s="9">
        <v>45053</v>
      </c>
    </row>
    <row r="88" spans="1:3" x14ac:dyDescent="0.2">
      <c r="B88" t="s">
        <v>6468</v>
      </c>
      <c r="C88" s="9">
        <v>45085</v>
      </c>
    </row>
    <row r="89" spans="1:3" x14ac:dyDescent="0.2">
      <c r="B89" t="s">
        <v>5809</v>
      </c>
      <c r="C89" s="9">
        <v>45060</v>
      </c>
    </row>
    <row r="90" spans="1:3" x14ac:dyDescent="0.2">
      <c r="B90" t="s">
        <v>821</v>
      </c>
      <c r="C90" s="9">
        <v>45080</v>
      </c>
    </row>
    <row r="91" spans="1:3" x14ac:dyDescent="0.2">
      <c r="B91" t="s">
        <v>3814</v>
      </c>
      <c r="C91" s="9">
        <v>45060</v>
      </c>
    </row>
    <row r="92" spans="1:3" x14ac:dyDescent="0.2">
      <c r="B92" t="s">
        <v>2902</v>
      </c>
      <c r="C92" s="9">
        <v>45047</v>
      </c>
    </row>
    <row r="93" spans="1:3" x14ac:dyDescent="0.2">
      <c r="B93" t="s">
        <v>4368</v>
      </c>
      <c r="C93" s="9">
        <v>45013</v>
      </c>
    </row>
    <row r="94" spans="1:3" x14ac:dyDescent="0.2">
      <c r="B94" t="s">
        <v>2370</v>
      </c>
      <c r="C94" s="9">
        <v>45076</v>
      </c>
    </row>
    <row r="95" spans="1:3" x14ac:dyDescent="0.2">
      <c r="A95" t="s">
        <v>6881</v>
      </c>
      <c r="C95" s="9">
        <v>45088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2FC1-6C7C-4EC2-B7C8-F09D032A8945}">
  <dimension ref="A1:N5753"/>
  <sheetViews>
    <sheetView workbookViewId="0"/>
  </sheetViews>
  <sheetFormatPr baseColWidth="10" defaultColWidth="8.83203125" defaultRowHeight="15" x14ac:dyDescent="0.2"/>
  <cols>
    <col min="1" max="1" width="19.83203125" bestFit="1" customWidth="1"/>
    <col min="3" max="3" width="14.5" customWidth="1"/>
    <col min="4" max="4" width="37.1640625" bestFit="1" customWidth="1"/>
    <col min="5" max="5" width="17.5" style="12" bestFit="1" customWidth="1"/>
    <col min="6" max="6" width="16.5" style="12" customWidth="1"/>
    <col min="7" max="7" width="13.5" customWidth="1"/>
    <col min="8" max="8" width="18" bestFit="1" customWidth="1"/>
    <col min="9" max="9" width="42.83203125" bestFit="1" customWidth="1"/>
    <col min="10" max="10" width="16.1640625" style="12" customWidth="1"/>
    <col min="12" max="12" width="9.5" customWidth="1"/>
    <col min="13" max="13" width="12.5" customWidth="1"/>
    <col min="14" max="14" width="13.83203125" bestFit="1" customWidth="1"/>
  </cols>
  <sheetData>
    <row r="1" spans="1:14" x14ac:dyDescent="0.2">
      <c r="A1" t="s">
        <v>1049</v>
      </c>
      <c r="B1" t="s">
        <v>1050</v>
      </c>
      <c r="C1" t="s">
        <v>1051</v>
      </c>
      <c r="D1" t="s">
        <v>1052</v>
      </c>
      <c r="E1" s="11" t="s">
        <v>944</v>
      </c>
      <c r="F1" s="11" t="s">
        <v>1053</v>
      </c>
      <c r="G1" t="s">
        <v>1054</v>
      </c>
      <c r="H1" t="s">
        <v>1055</v>
      </c>
      <c r="I1" t="s">
        <v>1056</v>
      </c>
      <c r="J1" s="12" t="s">
        <v>1057</v>
      </c>
      <c r="K1" t="s">
        <v>1058</v>
      </c>
      <c r="L1" t="s">
        <v>1059</v>
      </c>
      <c r="M1" t="s">
        <v>1060</v>
      </c>
      <c r="N1" t="s">
        <v>6879</v>
      </c>
    </row>
    <row r="2" spans="1:14" x14ac:dyDescent="0.2">
      <c r="A2" t="s">
        <v>1061</v>
      </c>
      <c r="B2" t="s">
        <v>1062</v>
      </c>
      <c r="C2" s="9">
        <v>44928</v>
      </c>
      <c r="D2" t="s">
        <v>442</v>
      </c>
      <c r="E2" s="13">
        <v>1575000</v>
      </c>
      <c r="F2" s="13">
        <v>16650</v>
      </c>
      <c r="G2" s="9">
        <v>44931</v>
      </c>
      <c r="H2" t="s">
        <v>1063</v>
      </c>
      <c r="I2" t="s">
        <v>916</v>
      </c>
      <c r="J2" s="13">
        <v>52447</v>
      </c>
      <c r="K2">
        <v>1</v>
      </c>
      <c r="L2" t="s">
        <v>1064</v>
      </c>
      <c r="M2" t="s">
        <v>1065</v>
      </c>
      <c r="N2" s="15" t="s">
        <v>6878</v>
      </c>
    </row>
    <row r="3" spans="1:14" x14ac:dyDescent="0.2">
      <c r="A3" t="s">
        <v>1066</v>
      </c>
      <c r="B3" t="s">
        <v>1062</v>
      </c>
      <c r="C3" s="9">
        <v>44929</v>
      </c>
      <c r="D3" t="s">
        <v>442</v>
      </c>
      <c r="E3" s="13">
        <v>5225000</v>
      </c>
      <c r="F3" s="13">
        <v>16650</v>
      </c>
      <c r="G3" s="9">
        <v>44931</v>
      </c>
      <c r="H3" t="s">
        <v>1063</v>
      </c>
      <c r="I3" t="s">
        <v>916</v>
      </c>
      <c r="J3" s="13">
        <v>173992</v>
      </c>
      <c r="K3">
        <v>1</v>
      </c>
      <c r="L3" t="s">
        <v>1064</v>
      </c>
      <c r="M3" t="s">
        <v>1065</v>
      </c>
      <c r="N3" s="15" t="s">
        <v>6878</v>
      </c>
    </row>
    <row r="4" spans="1:14" x14ac:dyDescent="0.2">
      <c r="A4" t="s">
        <v>1067</v>
      </c>
      <c r="B4" t="s">
        <v>1062</v>
      </c>
      <c r="C4" s="9">
        <v>44929</v>
      </c>
      <c r="D4" t="s">
        <v>442</v>
      </c>
      <c r="E4" s="13">
        <v>2460000</v>
      </c>
      <c r="F4" s="13">
        <v>16650</v>
      </c>
      <c r="G4" s="9">
        <v>44931</v>
      </c>
      <c r="H4" t="s">
        <v>1063</v>
      </c>
      <c r="I4" t="s">
        <v>916</v>
      </c>
      <c r="J4" s="13">
        <v>81918</v>
      </c>
      <c r="K4">
        <v>1</v>
      </c>
      <c r="L4" t="s">
        <v>1064</v>
      </c>
      <c r="M4" t="s">
        <v>1065</v>
      </c>
      <c r="N4" s="15" t="s">
        <v>6878</v>
      </c>
    </row>
    <row r="5" spans="1:14" x14ac:dyDescent="0.2">
      <c r="A5" t="s">
        <v>1068</v>
      </c>
      <c r="B5" t="s">
        <v>1069</v>
      </c>
      <c r="C5" s="9">
        <v>44929</v>
      </c>
      <c r="D5" t="s">
        <v>442</v>
      </c>
      <c r="E5" s="13">
        <v>2050000</v>
      </c>
      <c r="F5" s="13">
        <v>16650</v>
      </c>
      <c r="G5" s="9">
        <v>44931</v>
      </c>
      <c r="H5" t="s">
        <v>1063</v>
      </c>
      <c r="I5" t="s">
        <v>916</v>
      </c>
      <c r="J5" s="13">
        <v>68265</v>
      </c>
      <c r="K5">
        <v>1</v>
      </c>
      <c r="L5" t="s">
        <v>1064</v>
      </c>
      <c r="M5" t="s">
        <v>1065</v>
      </c>
      <c r="N5" s="15" t="s">
        <v>6878</v>
      </c>
    </row>
    <row r="6" spans="1:14" x14ac:dyDescent="0.2">
      <c r="A6" t="s">
        <v>1070</v>
      </c>
      <c r="B6" t="s">
        <v>1069</v>
      </c>
      <c r="C6" s="9">
        <v>44929</v>
      </c>
      <c r="D6" t="s">
        <v>442</v>
      </c>
      <c r="E6" s="13">
        <v>2050000</v>
      </c>
      <c r="F6" s="13">
        <v>16650</v>
      </c>
      <c r="G6" s="9">
        <v>44931</v>
      </c>
      <c r="H6" t="s">
        <v>1063</v>
      </c>
      <c r="I6" t="s">
        <v>916</v>
      </c>
      <c r="J6" s="13">
        <v>68265</v>
      </c>
      <c r="K6">
        <v>1</v>
      </c>
      <c r="L6" t="s">
        <v>1064</v>
      </c>
      <c r="M6" t="s">
        <v>1065</v>
      </c>
      <c r="N6" s="15" t="s">
        <v>6878</v>
      </c>
    </row>
    <row r="7" spans="1:14" x14ac:dyDescent="0.2">
      <c r="A7" t="s">
        <v>1071</v>
      </c>
      <c r="B7" t="s">
        <v>1069</v>
      </c>
      <c r="C7" s="9">
        <v>44929</v>
      </c>
      <c r="D7" t="s">
        <v>442</v>
      </c>
      <c r="E7" s="13">
        <v>2250000</v>
      </c>
      <c r="F7" s="13">
        <v>16650</v>
      </c>
      <c r="G7" s="9">
        <v>44937</v>
      </c>
      <c r="H7" t="s">
        <v>1063</v>
      </c>
      <c r="I7" t="s">
        <v>916</v>
      </c>
      <c r="J7" s="13">
        <v>74925</v>
      </c>
      <c r="K7">
        <v>1</v>
      </c>
      <c r="L7" t="s">
        <v>1064</v>
      </c>
      <c r="M7" t="s">
        <v>1065</v>
      </c>
      <c r="N7" s="15" t="s">
        <v>6878</v>
      </c>
    </row>
    <row r="8" spans="1:14" x14ac:dyDescent="0.2">
      <c r="A8" t="s">
        <v>1072</v>
      </c>
      <c r="B8" t="s">
        <v>1069</v>
      </c>
      <c r="C8" s="9">
        <v>44929</v>
      </c>
      <c r="D8" t="s">
        <v>442</v>
      </c>
      <c r="E8" s="13">
        <v>3225000</v>
      </c>
      <c r="F8" s="13">
        <v>16650</v>
      </c>
      <c r="G8" s="9">
        <v>44937</v>
      </c>
      <c r="H8" t="s">
        <v>1063</v>
      </c>
      <c r="I8" t="s">
        <v>916</v>
      </c>
      <c r="J8" s="13">
        <v>107392</v>
      </c>
      <c r="K8">
        <v>1</v>
      </c>
      <c r="L8" t="s">
        <v>1064</v>
      </c>
      <c r="M8" t="s">
        <v>1065</v>
      </c>
      <c r="N8" s="15" t="s">
        <v>6878</v>
      </c>
    </row>
    <row r="9" spans="1:14" x14ac:dyDescent="0.2">
      <c r="A9" t="s">
        <v>1073</v>
      </c>
      <c r="B9" t="s">
        <v>1069</v>
      </c>
      <c r="C9" s="9">
        <v>44929</v>
      </c>
      <c r="D9" t="s">
        <v>958</v>
      </c>
      <c r="E9" s="13">
        <v>18855210</v>
      </c>
      <c r="F9" s="13">
        <v>179820</v>
      </c>
      <c r="G9" s="9">
        <v>44932</v>
      </c>
      <c r="H9" t="s">
        <v>1063</v>
      </c>
      <c r="I9" t="s">
        <v>1074</v>
      </c>
      <c r="J9" s="13">
        <v>418585</v>
      </c>
      <c r="K9">
        <v>9</v>
      </c>
      <c r="L9" t="s">
        <v>1064</v>
      </c>
      <c r="M9" t="s">
        <v>1075</v>
      </c>
      <c r="N9" s="15" t="s">
        <v>6878</v>
      </c>
    </row>
    <row r="10" spans="1:14" x14ac:dyDescent="0.2">
      <c r="A10" t="s">
        <v>1076</v>
      </c>
      <c r="B10" t="s">
        <v>1069</v>
      </c>
      <c r="C10" s="9">
        <v>44930</v>
      </c>
      <c r="D10" t="s">
        <v>958</v>
      </c>
      <c r="E10" s="13">
        <v>12285845</v>
      </c>
      <c r="F10" s="13">
        <v>139860</v>
      </c>
      <c r="G10" s="9">
        <v>44932</v>
      </c>
      <c r="H10" t="s">
        <v>1063</v>
      </c>
      <c r="I10" t="s">
        <v>1074</v>
      </c>
      <c r="J10" s="13">
        <v>272744</v>
      </c>
      <c r="K10">
        <v>7</v>
      </c>
      <c r="L10" t="s">
        <v>1064</v>
      </c>
      <c r="M10" t="s">
        <v>1075</v>
      </c>
      <c r="N10" s="15" t="s">
        <v>6878</v>
      </c>
    </row>
    <row r="11" spans="1:14" x14ac:dyDescent="0.2">
      <c r="A11" t="s">
        <v>1077</v>
      </c>
      <c r="B11" t="s">
        <v>1062</v>
      </c>
      <c r="C11" s="9">
        <v>44930</v>
      </c>
      <c r="D11" t="s">
        <v>442</v>
      </c>
      <c r="E11" s="13">
        <v>2625000</v>
      </c>
      <c r="F11" s="13">
        <v>16650</v>
      </c>
      <c r="G11" s="9">
        <v>44937</v>
      </c>
      <c r="H11" t="s">
        <v>1063</v>
      </c>
      <c r="I11" t="s">
        <v>916</v>
      </c>
      <c r="J11" s="13">
        <v>87412</v>
      </c>
      <c r="K11">
        <v>1</v>
      </c>
      <c r="L11" t="s">
        <v>1064</v>
      </c>
      <c r="M11" t="s">
        <v>1065</v>
      </c>
      <c r="N11" s="15" t="s">
        <v>6878</v>
      </c>
    </row>
    <row r="12" spans="1:14" x14ac:dyDescent="0.2">
      <c r="A12" t="s">
        <v>1078</v>
      </c>
      <c r="B12" t="s">
        <v>1062</v>
      </c>
      <c r="C12" s="9">
        <v>44930</v>
      </c>
      <c r="D12" t="s">
        <v>442</v>
      </c>
      <c r="E12" s="13">
        <v>2625000</v>
      </c>
      <c r="F12" s="13">
        <v>16650</v>
      </c>
      <c r="G12" s="9">
        <v>44937</v>
      </c>
      <c r="H12" t="s">
        <v>1063</v>
      </c>
      <c r="I12" t="s">
        <v>916</v>
      </c>
      <c r="J12" s="13">
        <v>87412</v>
      </c>
      <c r="K12">
        <v>1</v>
      </c>
      <c r="L12" t="s">
        <v>1064</v>
      </c>
      <c r="M12" t="s">
        <v>1065</v>
      </c>
      <c r="N12" s="15" t="s">
        <v>6878</v>
      </c>
    </row>
    <row r="13" spans="1:14" x14ac:dyDescent="0.2">
      <c r="A13" t="s">
        <v>1079</v>
      </c>
      <c r="B13" t="s">
        <v>1062</v>
      </c>
      <c r="C13" s="9">
        <v>44930</v>
      </c>
      <c r="D13" t="s">
        <v>442</v>
      </c>
      <c r="E13" s="13">
        <v>1775000</v>
      </c>
      <c r="F13" s="13">
        <v>16650</v>
      </c>
      <c r="G13" s="9">
        <v>44937</v>
      </c>
      <c r="H13" t="s">
        <v>1063</v>
      </c>
      <c r="I13" t="s">
        <v>916</v>
      </c>
      <c r="J13" s="13">
        <v>59107</v>
      </c>
      <c r="K13">
        <v>1</v>
      </c>
      <c r="L13" t="s">
        <v>1064</v>
      </c>
      <c r="M13" t="s">
        <v>1065</v>
      </c>
      <c r="N13" s="15" t="s">
        <v>6878</v>
      </c>
    </row>
    <row r="14" spans="1:14" x14ac:dyDescent="0.2">
      <c r="A14" t="s">
        <v>1080</v>
      </c>
      <c r="B14" t="s">
        <v>1062</v>
      </c>
      <c r="C14" s="9">
        <v>44930</v>
      </c>
      <c r="D14" t="s">
        <v>442</v>
      </c>
      <c r="E14" s="13">
        <v>2625000</v>
      </c>
      <c r="F14" s="13">
        <v>16650</v>
      </c>
      <c r="G14" s="9">
        <v>44937</v>
      </c>
      <c r="H14" t="s">
        <v>1063</v>
      </c>
      <c r="I14" t="s">
        <v>916</v>
      </c>
      <c r="J14" s="13">
        <v>87412</v>
      </c>
      <c r="K14">
        <v>1</v>
      </c>
      <c r="L14" t="s">
        <v>1064</v>
      </c>
      <c r="M14" t="s">
        <v>1065</v>
      </c>
      <c r="N14" s="15" t="s">
        <v>6878</v>
      </c>
    </row>
    <row r="15" spans="1:14" x14ac:dyDescent="0.2">
      <c r="A15" t="s">
        <v>1081</v>
      </c>
      <c r="B15" t="s">
        <v>1062</v>
      </c>
      <c r="C15" s="9">
        <v>44930</v>
      </c>
      <c r="D15" t="s">
        <v>442</v>
      </c>
      <c r="E15" s="13">
        <v>3250000</v>
      </c>
      <c r="F15" s="13">
        <v>16650</v>
      </c>
      <c r="G15" s="9">
        <v>44937</v>
      </c>
      <c r="H15" t="s">
        <v>1063</v>
      </c>
      <c r="I15" t="s">
        <v>916</v>
      </c>
      <c r="J15" s="13">
        <v>108225</v>
      </c>
      <c r="K15">
        <v>1</v>
      </c>
      <c r="L15" t="s">
        <v>1064</v>
      </c>
      <c r="M15" t="s">
        <v>1065</v>
      </c>
      <c r="N15" s="15" t="s">
        <v>6878</v>
      </c>
    </row>
    <row r="16" spans="1:14" x14ac:dyDescent="0.2">
      <c r="A16" t="s">
        <v>1082</v>
      </c>
      <c r="B16" t="s">
        <v>1069</v>
      </c>
      <c r="C16" s="9">
        <v>44930</v>
      </c>
      <c r="D16" t="s">
        <v>442</v>
      </c>
      <c r="E16" s="13">
        <v>1225000</v>
      </c>
      <c r="F16" s="13">
        <v>16650</v>
      </c>
      <c r="G16" s="9">
        <v>44937</v>
      </c>
      <c r="H16" t="s">
        <v>1063</v>
      </c>
      <c r="I16" t="s">
        <v>916</v>
      </c>
      <c r="J16" s="13">
        <v>40792</v>
      </c>
      <c r="K16">
        <v>1</v>
      </c>
      <c r="L16" t="s">
        <v>1064</v>
      </c>
      <c r="M16" t="s">
        <v>1065</v>
      </c>
      <c r="N16" s="15" t="s">
        <v>6878</v>
      </c>
    </row>
    <row r="17" spans="1:14" x14ac:dyDescent="0.2">
      <c r="A17" t="s">
        <v>1083</v>
      </c>
      <c r="B17" t="s">
        <v>1069</v>
      </c>
      <c r="C17" s="9">
        <v>44930</v>
      </c>
      <c r="D17" t="s">
        <v>442</v>
      </c>
      <c r="E17" s="13">
        <v>2625000</v>
      </c>
      <c r="F17" s="13">
        <v>16650</v>
      </c>
      <c r="G17" s="9">
        <v>44937</v>
      </c>
      <c r="H17" t="s">
        <v>1063</v>
      </c>
      <c r="I17" t="s">
        <v>916</v>
      </c>
      <c r="J17" s="13">
        <v>87412</v>
      </c>
      <c r="K17">
        <v>1</v>
      </c>
      <c r="L17" t="s">
        <v>1064</v>
      </c>
      <c r="M17" t="s">
        <v>1065</v>
      </c>
      <c r="N17" s="15" t="s">
        <v>6878</v>
      </c>
    </row>
    <row r="18" spans="1:14" x14ac:dyDescent="0.2">
      <c r="A18" t="s">
        <v>1084</v>
      </c>
      <c r="B18" t="s">
        <v>1069</v>
      </c>
      <c r="C18" s="9">
        <v>44932</v>
      </c>
      <c r="D18" t="s">
        <v>958</v>
      </c>
      <c r="E18" s="13">
        <v>34830473</v>
      </c>
      <c r="F18" s="13">
        <v>99900</v>
      </c>
      <c r="G18" s="9">
        <v>44944</v>
      </c>
      <c r="H18" t="s">
        <v>1063</v>
      </c>
      <c r="I18" t="s">
        <v>1074</v>
      </c>
      <c r="J18" s="13">
        <v>773235</v>
      </c>
      <c r="K18">
        <v>5</v>
      </c>
      <c r="L18" t="s">
        <v>1064</v>
      </c>
      <c r="M18" t="s">
        <v>1075</v>
      </c>
      <c r="N18" s="15" t="s">
        <v>6878</v>
      </c>
    </row>
    <row r="19" spans="1:14" x14ac:dyDescent="0.2">
      <c r="A19" t="s">
        <v>1085</v>
      </c>
      <c r="B19" t="s">
        <v>1069</v>
      </c>
      <c r="C19" s="9">
        <v>44932</v>
      </c>
      <c r="D19" t="s">
        <v>958</v>
      </c>
      <c r="E19" s="13">
        <v>5460000</v>
      </c>
      <c r="F19" s="13">
        <v>259740</v>
      </c>
      <c r="G19" s="9">
        <v>44936</v>
      </c>
      <c r="H19" t="s">
        <v>1063</v>
      </c>
      <c r="I19" t="s">
        <v>1074</v>
      </c>
      <c r="J19" s="13">
        <v>121212</v>
      </c>
      <c r="K19">
        <v>13</v>
      </c>
      <c r="L19" t="s">
        <v>1064</v>
      </c>
      <c r="M19" t="s">
        <v>1075</v>
      </c>
      <c r="N19" s="15" t="s">
        <v>6878</v>
      </c>
    </row>
    <row r="20" spans="1:14" x14ac:dyDescent="0.2">
      <c r="A20" t="s">
        <v>1086</v>
      </c>
      <c r="B20" t="s">
        <v>1062</v>
      </c>
      <c r="C20" s="9">
        <v>44932</v>
      </c>
      <c r="D20" t="s">
        <v>442</v>
      </c>
      <c r="E20" s="13">
        <v>1000000</v>
      </c>
      <c r="F20" s="13">
        <v>16650</v>
      </c>
      <c r="G20" s="9">
        <v>44937</v>
      </c>
      <c r="H20" t="s">
        <v>1063</v>
      </c>
      <c r="I20" t="s">
        <v>916</v>
      </c>
      <c r="J20" s="13">
        <v>33300</v>
      </c>
      <c r="K20">
        <v>1</v>
      </c>
      <c r="L20" t="s">
        <v>1064</v>
      </c>
      <c r="M20" t="s">
        <v>1065</v>
      </c>
      <c r="N20" s="15" t="s">
        <v>6878</v>
      </c>
    </row>
    <row r="21" spans="1:14" x14ac:dyDescent="0.2">
      <c r="A21" t="s">
        <v>1087</v>
      </c>
      <c r="B21" t="s">
        <v>1062</v>
      </c>
      <c r="C21" s="9">
        <v>44932</v>
      </c>
      <c r="D21" t="s">
        <v>442</v>
      </c>
      <c r="E21" s="13">
        <v>2625000</v>
      </c>
      <c r="F21" s="13">
        <v>16650</v>
      </c>
      <c r="G21" s="9">
        <v>44937</v>
      </c>
      <c r="H21" t="s">
        <v>1063</v>
      </c>
      <c r="I21" t="s">
        <v>916</v>
      </c>
      <c r="J21" s="13">
        <v>87412</v>
      </c>
      <c r="K21">
        <v>1</v>
      </c>
      <c r="L21" t="s">
        <v>1064</v>
      </c>
      <c r="M21" t="s">
        <v>1065</v>
      </c>
      <c r="N21" s="15" t="s">
        <v>6878</v>
      </c>
    </row>
    <row r="22" spans="1:14" x14ac:dyDescent="0.2">
      <c r="A22" t="s">
        <v>1088</v>
      </c>
      <c r="B22" t="s">
        <v>1062</v>
      </c>
      <c r="C22" s="9">
        <v>44932</v>
      </c>
      <c r="D22" t="s">
        <v>442</v>
      </c>
      <c r="E22" s="13">
        <v>2125000</v>
      </c>
      <c r="F22" s="13">
        <v>16650</v>
      </c>
      <c r="G22" s="9">
        <v>44937</v>
      </c>
      <c r="H22" t="s">
        <v>1063</v>
      </c>
      <c r="I22" t="s">
        <v>916</v>
      </c>
      <c r="J22" s="13">
        <v>70762</v>
      </c>
      <c r="K22">
        <v>1</v>
      </c>
      <c r="L22" t="s">
        <v>1064</v>
      </c>
      <c r="M22" t="s">
        <v>1065</v>
      </c>
      <c r="N22" s="15" t="s">
        <v>6878</v>
      </c>
    </row>
    <row r="23" spans="1:14" x14ac:dyDescent="0.2">
      <c r="A23" t="s">
        <v>1089</v>
      </c>
      <c r="B23" t="s">
        <v>1062</v>
      </c>
      <c r="C23" s="9">
        <v>44932</v>
      </c>
      <c r="D23" t="s">
        <v>442</v>
      </c>
      <c r="E23" s="13">
        <v>3250000</v>
      </c>
      <c r="F23" s="13">
        <v>16650</v>
      </c>
      <c r="G23" s="9">
        <v>44937</v>
      </c>
      <c r="H23" t="s">
        <v>1063</v>
      </c>
      <c r="I23" t="s">
        <v>916</v>
      </c>
      <c r="J23" s="13">
        <v>108225</v>
      </c>
      <c r="K23">
        <v>1</v>
      </c>
      <c r="L23" t="s">
        <v>1064</v>
      </c>
      <c r="M23" t="s">
        <v>1065</v>
      </c>
      <c r="N23" s="15" t="s">
        <v>6878</v>
      </c>
    </row>
    <row r="24" spans="1:14" x14ac:dyDescent="0.2">
      <c r="A24" t="s">
        <v>1090</v>
      </c>
      <c r="B24" t="s">
        <v>1062</v>
      </c>
      <c r="C24" s="9">
        <v>44932</v>
      </c>
      <c r="D24" t="s">
        <v>442</v>
      </c>
      <c r="E24" s="13">
        <v>3250000</v>
      </c>
      <c r="F24" s="13">
        <v>16650</v>
      </c>
      <c r="G24" s="9">
        <v>44937</v>
      </c>
      <c r="H24" t="s">
        <v>1063</v>
      </c>
      <c r="I24" t="s">
        <v>916</v>
      </c>
      <c r="J24" s="13">
        <v>108225</v>
      </c>
      <c r="K24">
        <v>1</v>
      </c>
      <c r="L24" t="s">
        <v>1064</v>
      </c>
      <c r="M24" t="s">
        <v>1065</v>
      </c>
      <c r="N24" s="15" t="s">
        <v>6878</v>
      </c>
    </row>
    <row r="25" spans="1:14" x14ac:dyDescent="0.2">
      <c r="A25" t="s">
        <v>1091</v>
      </c>
      <c r="B25" t="s">
        <v>1062</v>
      </c>
      <c r="C25" s="9">
        <v>44932</v>
      </c>
      <c r="D25" t="s">
        <v>442</v>
      </c>
      <c r="E25" s="13">
        <v>2525000</v>
      </c>
      <c r="F25" s="13">
        <v>16650</v>
      </c>
      <c r="G25" s="9">
        <v>44937</v>
      </c>
      <c r="H25" t="s">
        <v>1063</v>
      </c>
      <c r="I25" t="s">
        <v>916</v>
      </c>
      <c r="J25" s="13">
        <v>84082</v>
      </c>
      <c r="K25">
        <v>1</v>
      </c>
      <c r="L25" t="s">
        <v>1064</v>
      </c>
      <c r="M25" t="s">
        <v>1065</v>
      </c>
      <c r="N25" s="15" t="s">
        <v>6878</v>
      </c>
    </row>
    <row r="26" spans="1:14" x14ac:dyDescent="0.2">
      <c r="A26" t="s">
        <v>1092</v>
      </c>
      <c r="B26" t="s">
        <v>1062</v>
      </c>
      <c r="C26" s="9">
        <v>44932</v>
      </c>
      <c r="D26" t="s">
        <v>442</v>
      </c>
      <c r="E26" s="13">
        <v>1450000</v>
      </c>
      <c r="F26" s="13">
        <v>16650</v>
      </c>
      <c r="G26" s="9">
        <v>44937</v>
      </c>
      <c r="H26" t="s">
        <v>1063</v>
      </c>
      <c r="I26" t="s">
        <v>916</v>
      </c>
      <c r="J26" s="13">
        <v>48285</v>
      </c>
      <c r="K26">
        <v>1</v>
      </c>
      <c r="L26" t="s">
        <v>1064</v>
      </c>
      <c r="M26" t="s">
        <v>1065</v>
      </c>
      <c r="N26" s="15" t="s">
        <v>6878</v>
      </c>
    </row>
    <row r="27" spans="1:14" x14ac:dyDescent="0.2">
      <c r="A27" t="s">
        <v>1093</v>
      </c>
      <c r="B27" t="s">
        <v>1062</v>
      </c>
      <c r="C27" s="9">
        <v>44932</v>
      </c>
      <c r="D27" t="s">
        <v>442</v>
      </c>
      <c r="E27" s="13">
        <v>2787000</v>
      </c>
      <c r="F27" s="13">
        <v>16650</v>
      </c>
      <c r="G27" s="9">
        <v>44937</v>
      </c>
      <c r="H27" t="s">
        <v>1063</v>
      </c>
      <c r="I27" t="s">
        <v>916</v>
      </c>
      <c r="J27" s="13">
        <v>92807</v>
      </c>
      <c r="K27">
        <v>1</v>
      </c>
      <c r="L27" t="s">
        <v>1064</v>
      </c>
      <c r="M27" t="s">
        <v>1065</v>
      </c>
      <c r="N27" s="15" t="s">
        <v>6878</v>
      </c>
    </row>
    <row r="28" spans="1:14" x14ac:dyDescent="0.2">
      <c r="A28" t="s">
        <v>1094</v>
      </c>
      <c r="B28" t="s">
        <v>1062</v>
      </c>
      <c r="C28" s="9">
        <v>44932</v>
      </c>
      <c r="D28" t="s">
        <v>442</v>
      </c>
      <c r="E28" s="13">
        <v>1825000</v>
      </c>
      <c r="F28" s="13">
        <v>16650</v>
      </c>
      <c r="G28" s="9">
        <v>44937</v>
      </c>
      <c r="H28" t="s">
        <v>1063</v>
      </c>
      <c r="I28" t="s">
        <v>916</v>
      </c>
      <c r="J28" s="13">
        <v>60772</v>
      </c>
      <c r="K28">
        <v>1</v>
      </c>
      <c r="L28" t="s">
        <v>1064</v>
      </c>
      <c r="M28" t="s">
        <v>1065</v>
      </c>
      <c r="N28" s="15" t="s">
        <v>6878</v>
      </c>
    </row>
    <row r="29" spans="1:14" x14ac:dyDescent="0.2">
      <c r="A29" t="s">
        <v>1095</v>
      </c>
      <c r="B29" t="s">
        <v>1062</v>
      </c>
      <c r="C29" s="9">
        <v>44932</v>
      </c>
      <c r="D29" t="s">
        <v>442</v>
      </c>
      <c r="E29" s="13">
        <v>2250000</v>
      </c>
      <c r="F29" s="13">
        <v>16650</v>
      </c>
      <c r="G29" s="9">
        <v>44937</v>
      </c>
      <c r="H29" t="s">
        <v>1063</v>
      </c>
      <c r="I29" t="s">
        <v>916</v>
      </c>
      <c r="J29" s="13">
        <v>74925</v>
      </c>
      <c r="K29">
        <v>1</v>
      </c>
      <c r="L29" t="s">
        <v>1064</v>
      </c>
      <c r="M29" t="s">
        <v>1065</v>
      </c>
      <c r="N29" s="15" t="s">
        <v>6878</v>
      </c>
    </row>
    <row r="30" spans="1:14" x14ac:dyDescent="0.2">
      <c r="A30" t="s">
        <v>1096</v>
      </c>
      <c r="B30" t="s">
        <v>1069</v>
      </c>
      <c r="C30" s="9">
        <v>44933</v>
      </c>
      <c r="D30" t="s">
        <v>958</v>
      </c>
      <c r="E30" s="13">
        <v>8987250</v>
      </c>
      <c r="F30" s="13">
        <v>259740</v>
      </c>
      <c r="G30" s="9">
        <v>44936</v>
      </c>
      <c r="H30" t="s">
        <v>1063</v>
      </c>
      <c r="I30" t="s">
        <v>1074</v>
      </c>
      <c r="J30" s="13">
        <v>199516</v>
      </c>
      <c r="K30">
        <v>13</v>
      </c>
      <c r="L30" t="s">
        <v>1064</v>
      </c>
      <c r="M30" t="s">
        <v>1075</v>
      </c>
      <c r="N30" s="15" t="s">
        <v>6878</v>
      </c>
    </row>
    <row r="31" spans="1:14" x14ac:dyDescent="0.2">
      <c r="A31" t="s">
        <v>1097</v>
      </c>
      <c r="B31" t="s">
        <v>1062</v>
      </c>
      <c r="C31" s="9">
        <v>44935</v>
      </c>
      <c r="D31" t="s">
        <v>442</v>
      </c>
      <c r="E31" s="13">
        <v>2625000</v>
      </c>
      <c r="F31" s="13">
        <v>16650</v>
      </c>
      <c r="G31" s="9">
        <v>44937</v>
      </c>
      <c r="H31" t="s">
        <v>1063</v>
      </c>
      <c r="I31" t="s">
        <v>916</v>
      </c>
      <c r="J31" s="13">
        <v>87412</v>
      </c>
      <c r="K31">
        <v>1</v>
      </c>
      <c r="L31" t="s">
        <v>1064</v>
      </c>
      <c r="M31" t="s">
        <v>1065</v>
      </c>
      <c r="N31" s="15" t="s">
        <v>6878</v>
      </c>
    </row>
    <row r="32" spans="1:14" x14ac:dyDescent="0.2">
      <c r="A32" t="s">
        <v>1098</v>
      </c>
      <c r="B32" t="s">
        <v>1062</v>
      </c>
      <c r="C32" s="9">
        <v>44935</v>
      </c>
      <c r="D32" t="s">
        <v>442</v>
      </c>
      <c r="E32" s="13">
        <v>2625000</v>
      </c>
      <c r="F32" s="13">
        <v>16650</v>
      </c>
      <c r="G32" s="9">
        <v>44937</v>
      </c>
      <c r="H32" t="s">
        <v>1063</v>
      </c>
      <c r="I32" t="s">
        <v>916</v>
      </c>
      <c r="J32" s="13">
        <v>87412</v>
      </c>
      <c r="K32">
        <v>1</v>
      </c>
      <c r="L32" t="s">
        <v>1064</v>
      </c>
      <c r="M32" t="s">
        <v>1065</v>
      </c>
      <c r="N32" s="15" t="s">
        <v>6878</v>
      </c>
    </row>
    <row r="33" spans="1:14" x14ac:dyDescent="0.2">
      <c r="A33" t="s">
        <v>1099</v>
      </c>
      <c r="B33" t="s">
        <v>1062</v>
      </c>
      <c r="C33" s="9">
        <v>44935</v>
      </c>
      <c r="D33" t="s">
        <v>442</v>
      </c>
      <c r="E33" s="13">
        <v>2625000</v>
      </c>
      <c r="F33" s="13">
        <v>16650</v>
      </c>
      <c r="G33" s="9">
        <v>44937</v>
      </c>
      <c r="H33" t="s">
        <v>1063</v>
      </c>
      <c r="I33" t="s">
        <v>916</v>
      </c>
      <c r="J33" s="13">
        <v>87412</v>
      </c>
      <c r="K33">
        <v>1</v>
      </c>
      <c r="L33" t="s">
        <v>1064</v>
      </c>
      <c r="M33" t="s">
        <v>1065</v>
      </c>
      <c r="N33" s="15" t="s">
        <v>6878</v>
      </c>
    </row>
    <row r="34" spans="1:14" x14ac:dyDescent="0.2">
      <c r="A34" t="s">
        <v>1100</v>
      </c>
      <c r="B34" t="s">
        <v>1062</v>
      </c>
      <c r="C34" s="9">
        <v>44935</v>
      </c>
      <c r="D34" t="s">
        <v>442</v>
      </c>
      <c r="E34" s="13">
        <v>2900000</v>
      </c>
      <c r="F34" s="13">
        <v>16650</v>
      </c>
      <c r="G34" s="9">
        <v>44937</v>
      </c>
      <c r="H34" t="s">
        <v>1063</v>
      </c>
      <c r="I34" t="s">
        <v>916</v>
      </c>
      <c r="J34" s="13">
        <v>96570</v>
      </c>
      <c r="K34">
        <v>1</v>
      </c>
      <c r="L34" t="s">
        <v>1064</v>
      </c>
      <c r="M34" t="s">
        <v>1065</v>
      </c>
      <c r="N34" s="15" t="s">
        <v>6878</v>
      </c>
    </row>
    <row r="35" spans="1:14" x14ac:dyDescent="0.2">
      <c r="A35" t="s">
        <v>1101</v>
      </c>
      <c r="B35" t="s">
        <v>1062</v>
      </c>
      <c r="C35" s="9">
        <v>44935</v>
      </c>
      <c r="D35" t="s">
        <v>442</v>
      </c>
      <c r="E35" s="13">
        <v>2900000</v>
      </c>
      <c r="F35" s="13">
        <v>16650</v>
      </c>
      <c r="G35" s="9">
        <v>44937</v>
      </c>
      <c r="H35" t="s">
        <v>1063</v>
      </c>
      <c r="I35" t="s">
        <v>916</v>
      </c>
      <c r="J35" s="13">
        <v>96570</v>
      </c>
      <c r="K35">
        <v>1</v>
      </c>
      <c r="L35" t="s">
        <v>1064</v>
      </c>
      <c r="M35" t="s">
        <v>1065</v>
      </c>
      <c r="N35" s="15" t="s">
        <v>6878</v>
      </c>
    </row>
    <row r="36" spans="1:14" x14ac:dyDescent="0.2">
      <c r="A36" t="s">
        <v>1102</v>
      </c>
      <c r="B36" t="s">
        <v>1062</v>
      </c>
      <c r="C36" s="9">
        <v>44935</v>
      </c>
      <c r="D36" t="s">
        <v>442</v>
      </c>
      <c r="E36" s="13">
        <v>2900000</v>
      </c>
      <c r="F36" s="13">
        <v>16650</v>
      </c>
      <c r="G36" s="9">
        <v>44943</v>
      </c>
      <c r="H36" t="s">
        <v>1063</v>
      </c>
      <c r="I36" t="s">
        <v>916</v>
      </c>
      <c r="J36" s="13">
        <v>96570</v>
      </c>
      <c r="K36">
        <v>1</v>
      </c>
      <c r="L36" t="s">
        <v>1064</v>
      </c>
      <c r="M36" t="s">
        <v>1065</v>
      </c>
      <c r="N36" s="15" t="s">
        <v>6878</v>
      </c>
    </row>
    <row r="37" spans="1:14" x14ac:dyDescent="0.2">
      <c r="A37" t="s">
        <v>1103</v>
      </c>
      <c r="B37" t="s">
        <v>1062</v>
      </c>
      <c r="C37" s="9">
        <v>44935</v>
      </c>
      <c r="D37" t="s">
        <v>442</v>
      </c>
      <c r="E37" s="13">
        <v>2900000</v>
      </c>
      <c r="F37" s="13">
        <v>16650</v>
      </c>
      <c r="G37" s="9">
        <v>44943</v>
      </c>
      <c r="H37" t="s">
        <v>1063</v>
      </c>
      <c r="I37" t="s">
        <v>916</v>
      </c>
      <c r="J37" s="13">
        <v>96570</v>
      </c>
      <c r="K37">
        <v>1</v>
      </c>
      <c r="L37" t="s">
        <v>1064</v>
      </c>
      <c r="M37" t="s">
        <v>1065</v>
      </c>
      <c r="N37" s="15" t="s">
        <v>6878</v>
      </c>
    </row>
    <row r="38" spans="1:14" x14ac:dyDescent="0.2">
      <c r="A38" t="s">
        <v>1104</v>
      </c>
      <c r="B38" t="s">
        <v>1062</v>
      </c>
      <c r="C38" s="9">
        <v>44935</v>
      </c>
      <c r="D38" t="s">
        <v>442</v>
      </c>
      <c r="E38" s="13">
        <v>1450000</v>
      </c>
      <c r="F38" s="13">
        <v>16650</v>
      </c>
      <c r="G38" s="9">
        <v>44944</v>
      </c>
      <c r="H38" t="s">
        <v>1063</v>
      </c>
      <c r="I38" t="s">
        <v>916</v>
      </c>
      <c r="J38" s="13">
        <v>48285</v>
      </c>
      <c r="K38">
        <v>1</v>
      </c>
      <c r="L38" t="s">
        <v>1064</v>
      </c>
      <c r="M38" t="s">
        <v>1065</v>
      </c>
      <c r="N38" s="15" t="s">
        <v>6878</v>
      </c>
    </row>
    <row r="39" spans="1:14" x14ac:dyDescent="0.2">
      <c r="A39" t="s">
        <v>1105</v>
      </c>
      <c r="B39" t="s">
        <v>1069</v>
      </c>
      <c r="C39" s="9">
        <v>44935</v>
      </c>
      <c r="D39" t="s">
        <v>442</v>
      </c>
      <c r="E39" s="13">
        <v>1175000</v>
      </c>
      <c r="F39" s="13">
        <v>16650</v>
      </c>
      <c r="G39" s="9">
        <v>44944</v>
      </c>
      <c r="H39" t="s">
        <v>1063</v>
      </c>
      <c r="I39" t="s">
        <v>916</v>
      </c>
      <c r="J39" s="13">
        <v>39127</v>
      </c>
      <c r="K39">
        <v>1</v>
      </c>
      <c r="L39" t="s">
        <v>1064</v>
      </c>
      <c r="M39" t="s">
        <v>1065</v>
      </c>
      <c r="N39" s="15" t="s">
        <v>6878</v>
      </c>
    </row>
    <row r="40" spans="1:14" x14ac:dyDescent="0.2">
      <c r="A40" t="s">
        <v>1106</v>
      </c>
      <c r="B40" t="s">
        <v>1069</v>
      </c>
      <c r="C40" s="9">
        <v>44935</v>
      </c>
      <c r="D40" t="s">
        <v>1037</v>
      </c>
      <c r="E40" s="13">
        <v>1800000</v>
      </c>
      <c r="F40" s="13">
        <v>27750</v>
      </c>
      <c r="G40" s="9">
        <v>44938</v>
      </c>
      <c r="H40" t="s">
        <v>1063</v>
      </c>
      <c r="I40" t="s">
        <v>214</v>
      </c>
      <c r="J40" s="13">
        <v>39960</v>
      </c>
      <c r="K40">
        <v>1</v>
      </c>
      <c r="L40" t="s">
        <v>1064</v>
      </c>
      <c r="M40" t="s">
        <v>1107</v>
      </c>
      <c r="N40" s="15" t="s">
        <v>6878</v>
      </c>
    </row>
    <row r="41" spans="1:14" x14ac:dyDescent="0.2">
      <c r="A41" t="s">
        <v>1108</v>
      </c>
      <c r="B41" t="s">
        <v>1069</v>
      </c>
      <c r="C41" s="9">
        <v>44936</v>
      </c>
      <c r="D41" t="s">
        <v>958</v>
      </c>
      <c r="E41" s="13">
        <v>8420367</v>
      </c>
      <c r="F41" s="13">
        <v>159840</v>
      </c>
      <c r="G41" s="9">
        <v>44937</v>
      </c>
      <c r="H41" t="s">
        <v>1063</v>
      </c>
      <c r="I41" t="s">
        <v>1074</v>
      </c>
      <c r="J41" s="13">
        <v>186931</v>
      </c>
      <c r="K41">
        <v>8</v>
      </c>
      <c r="L41" t="s">
        <v>1064</v>
      </c>
      <c r="M41" t="s">
        <v>1075</v>
      </c>
      <c r="N41" s="15" t="s">
        <v>6878</v>
      </c>
    </row>
    <row r="42" spans="1:14" x14ac:dyDescent="0.2">
      <c r="A42" t="s">
        <v>1109</v>
      </c>
      <c r="B42" t="s">
        <v>1069</v>
      </c>
      <c r="C42" s="9">
        <v>44937</v>
      </c>
      <c r="D42" t="s">
        <v>958</v>
      </c>
      <c r="E42" s="13">
        <v>26498677</v>
      </c>
      <c r="F42" s="13">
        <v>299700</v>
      </c>
      <c r="G42" s="9">
        <v>44938</v>
      </c>
      <c r="H42" t="s">
        <v>1063</v>
      </c>
      <c r="I42" t="s">
        <v>1074</v>
      </c>
      <c r="J42" s="13">
        <v>588270</v>
      </c>
      <c r="K42">
        <v>15</v>
      </c>
      <c r="L42" t="s">
        <v>1064</v>
      </c>
      <c r="M42" t="s">
        <v>1075</v>
      </c>
      <c r="N42" s="15" t="s">
        <v>6878</v>
      </c>
    </row>
    <row r="43" spans="1:14" x14ac:dyDescent="0.2">
      <c r="A43" t="s">
        <v>1110</v>
      </c>
      <c r="B43" t="s">
        <v>1062</v>
      </c>
      <c r="C43" s="9">
        <v>44937</v>
      </c>
      <c r="D43" t="s">
        <v>1022</v>
      </c>
      <c r="E43" s="13">
        <v>2000000</v>
      </c>
      <c r="F43" s="13">
        <v>27750</v>
      </c>
      <c r="G43" s="9">
        <v>44939</v>
      </c>
      <c r="H43" t="s">
        <v>1111</v>
      </c>
      <c r="I43" t="s">
        <v>214</v>
      </c>
      <c r="J43" s="13">
        <v>44400</v>
      </c>
      <c r="K43">
        <v>1</v>
      </c>
      <c r="L43" t="s">
        <v>1064</v>
      </c>
      <c r="M43" t="s">
        <v>1112</v>
      </c>
      <c r="N43" s="15" t="s">
        <v>6878</v>
      </c>
    </row>
    <row r="44" spans="1:14" x14ac:dyDescent="0.2">
      <c r="A44" t="s">
        <v>1113</v>
      </c>
      <c r="B44" t="s">
        <v>1062</v>
      </c>
      <c r="C44" s="9">
        <v>44937</v>
      </c>
      <c r="D44" t="s">
        <v>442</v>
      </c>
      <c r="E44" s="13">
        <v>2625000</v>
      </c>
      <c r="F44" s="13">
        <v>16650</v>
      </c>
      <c r="G44" s="9">
        <v>44944</v>
      </c>
      <c r="H44" t="s">
        <v>1063</v>
      </c>
      <c r="I44" t="s">
        <v>916</v>
      </c>
      <c r="J44" s="13">
        <v>87412</v>
      </c>
      <c r="K44">
        <v>1</v>
      </c>
      <c r="L44" t="s">
        <v>1064</v>
      </c>
      <c r="M44" t="s">
        <v>1065</v>
      </c>
      <c r="N44" s="15" t="s">
        <v>6878</v>
      </c>
    </row>
    <row r="45" spans="1:14" x14ac:dyDescent="0.2">
      <c r="A45" t="s">
        <v>1114</v>
      </c>
      <c r="B45" t="s">
        <v>1062</v>
      </c>
      <c r="C45" s="9">
        <v>44937</v>
      </c>
      <c r="D45" t="s">
        <v>442</v>
      </c>
      <c r="E45" s="13">
        <v>2625000</v>
      </c>
      <c r="F45" s="13">
        <v>16650</v>
      </c>
      <c r="G45" s="9">
        <v>44944</v>
      </c>
      <c r="H45" t="s">
        <v>1063</v>
      </c>
      <c r="I45" t="s">
        <v>916</v>
      </c>
      <c r="J45" s="13">
        <v>87412</v>
      </c>
      <c r="K45">
        <v>1</v>
      </c>
      <c r="L45" t="s">
        <v>1064</v>
      </c>
      <c r="M45" t="s">
        <v>1065</v>
      </c>
      <c r="N45" s="15" t="s">
        <v>6878</v>
      </c>
    </row>
    <row r="46" spans="1:14" x14ac:dyDescent="0.2">
      <c r="A46" t="s">
        <v>1115</v>
      </c>
      <c r="B46" t="s">
        <v>1062</v>
      </c>
      <c r="C46" s="9">
        <v>44937</v>
      </c>
      <c r="D46" t="s">
        <v>442</v>
      </c>
      <c r="E46" s="13">
        <v>4125000</v>
      </c>
      <c r="F46" s="13">
        <v>16650</v>
      </c>
      <c r="G46" s="9">
        <v>44944</v>
      </c>
      <c r="H46" t="s">
        <v>1063</v>
      </c>
      <c r="I46" t="s">
        <v>916</v>
      </c>
      <c r="J46" s="13">
        <v>137362</v>
      </c>
      <c r="K46">
        <v>1</v>
      </c>
      <c r="L46" t="s">
        <v>1064</v>
      </c>
      <c r="M46" t="s">
        <v>1065</v>
      </c>
      <c r="N46" s="15" t="s">
        <v>6878</v>
      </c>
    </row>
    <row r="47" spans="1:14" x14ac:dyDescent="0.2">
      <c r="A47" t="s">
        <v>1116</v>
      </c>
      <c r="B47" t="s">
        <v>1062</v>
      </c>
      <c r="C47" s="9">
        <v>44937</v>
      </c>
      <c r="D47" t="s">
        <v>1022</v>
      </c>
      <c r="E47" s="13">
        <v>2000000</v>
      </c>
      <c r="F47" s="13">
        <v>27750</v>
      </c>
      <c r="G47" s="9">
        <v>44939</v>
      </c>
      <c r="H47" t="s">
        <v>1111</v>
      </c>
      <c r="I47" t="s">
        <v>214</v>
      </c>
      <c r="J47" s="13">
        <v>44400</v>
      </c>
      <c r="K47">
        <v>1</v>
      </c>
      <c r="L47" t="s">
        <v>1064</v>
      </c>
      <c r="M47" t="s">
        <v>1112</v>
      </c>
      <c r="N47" s="15" t="s">
        <v>6878</v>
      </c>
    </row>
    <row r="48" spans="1:14" x14ac:dyDescent="0.2">
      <c r="A48" t="s">
        <v>1117</v>
      </c>
      <c r="B48" t="s">
        <v>1062</v>
      </c>
      <c r="C48" s="9">
        <v>44937</v>
      </c>
      <c r="D48" t="s">
        <v>442</v>
      </c>
      <c r="E48" s="13">
        <v>2900000</v>
      </c>
      <c r="F48" s="13">
        <v>16650</v>
      </c>
      <c r="G48" s="9">
        <v>44944</v>
      </c>
      <c r="H48" t="s">
        <v>1063</v>
      </c>
      <c r="I48" t="s">
        <v>916</v>
      </c>
      <c r="J48" s="13">
        <v>96570</v>
      </c>
      <c r="K48">
        <v>1</v>
      </c>
      <c r="L48" t="s">
        <v>1064</v>
      </c>
      <c r="M48" t="s">
        <v>1065</v>
      </c>
      <c r="N48" s="15" t="s">
        <v>6878</v>
      </c>
    </row>
    <row r="49" spans="1:14" x14ac:dyDescent="0.2">
      <c r="A49" t="s">
        <v>1118</v>
      </c>
      <c r="B49" t="s">
        <v>1062</v>
      </c>
      <c r="C49" s="9">
        <v>44937</v>
      </c>
      <c r="D49" t="s">
        <v>442</v>
      </c>
      <c r="E49" s="13">
        <v>2900000</v>
      </c>
      <c r="F49" s="13">
        <v>16650</v>
      </c>
      <c r="G49" s="9">
        <v>44944</v>
      </c>
      <c r="H49" t="s">
        <v>1063</v>
      </c>
      <c r="I49" t="s">
        <v>916</v>
      </c>
      <c r="J49" s="13">
        <v>96570</v>
      </c>
      <c r="K49">
        <v>1</v>
      </c>
      <c r="L49" t="s">
        <v>1064</v>
      </c>
      <c r="M49" t="s">
        <v>1065</v>
      </c>
      <c r="N49" s="15" t="s">
        <v>6878</v>
      </c>
    </row>
    <row r="50" spans="1:14" x14ac:dyDescent="0.2">
      <c r="A50" t="s">
        <v>1119</v>
      </c>
      <c r="B50" t="s">
        <v>1062</v>
      </c>
      <c r="C50" s="9">
        <v>44937</v>
      </c>
      <c r="D50" t="s">
        <v>1022</v>
      </c>
      <c r="E50" s="13">
        <v>2000000</v>
      </c>
      <c r="F50" s="13">
        <v>27750</v>
      </c>
      <c r="G50" s="9">
        <v>44939</v>
      </c>
      <c r="H50" t="s">
        <v>1111</v>
      </c>
      <c r="I50" t="s">
        <v>214</v>
      </c>
      <c r="J50" s="13">
        <v>44400</v>
      </c>
      <c r="K50">
        <v>1</v>
      </c>
      <c r="L50" t="s">
        <v>1064</v>
      </c>
      <c r="M50" t="s">
        <v>1112</v>
      </c>
      <c r="N50" s="15" t="s">
        <v>6878</v>
      </c>
    </row>
    <row r="51" spans="1:14" x14ac:dyDescent="0.2">
      <c r="A51" t="s">
        <v>1120</v>
      </c>
      <c r="B51" t="s">
        <v>1062</v>
      </c>
      <c r="C51" s="9">
        <v>44937</v>
      </c>
      <c r="D51" t="s">
        <v>442</v>
      </c>
      <c r="E51" s="13">
        <v>2900000</v>
      </c>
      <c r="F51" s="13">
        <v>16650</v>
      </c>
      <c r="G51" s="9">
        <v>44944</v>
      </c>
      <c r="H51" t="s">
        <v>1063</v>
      </c>
      <c r="I51" t="s">
        <v>916</v>
      </c>
      <c r="J51" s="13">
        <v>96570</v>
      </c>
      <c r="K51">
        <v>1</v>
      </c>
      <c r="L51" t="s">
        <v>1064</v>
      </c>
      <c r="M51" t="s">
        <v>1065</v>
      </c>
      <c r="N51" s="15" t="s">
        <v>6878</v>
      </c>
    </row>
    <row r="52" spans="1:14" x14ac:dyDescent="0.2">
      <c r="A52" t="s">
        <v>1121</v>
      </c>
      <c r="B52" t="s">
        <v>1062</v>
      </c>
      <c r="C52" s="9">
        <v>44938</v>
      </c>
      <c r="D52" t="s">
        <v>442</v>
      </c>
      <c r="E52" s="13">
        <v>2900000</v>
      </c>
      <c r="F52" s="13">
        <v>16650</v>
      </c>
      <c r="G52" s="9">
        <v>44944</v>
      </c>
      <c r="H52" t="s">
        <v>1063</v>
      </c>
      <c r="I52" t="s">
        <v>916</v>
      </c>
      <c r="J52" s="13">
        <v>96570</v>
      </c>
      <c r="K52">
        <v>1</v>
      </c>
      <c r="L52" t="s">
        <v>1064</v>
      </c>
      <c r="M52" t="s">
        <v>1065</v>
      </c>
      <c r="N52" s="15" t="s">
        <v>6878</v>
      </c>
    </row>
    <row r="53" spans="1:14" x14ac:dyDescent="0.2">
      <c r="A53" t="s">
        <v>1122</v>
      </c>
      <c r="B53" t="s">
        <v>1062</v>
      </c>
      <c r="C53" s="9">
        <v>44938</v>
      </c>
      <c r="D53" t="s">
        <v>442</v>
      </c>
      <c r="E53" s="13">
        <v>2900000</v>
      </c>
      <c r="F53" s="13">
        <v>16650</v>
      </c>
      <c r="G53" s="9">
        <v>44944</v>
      </c>
      <c r="H53" t="s">
        <v>1063</v>
      </c>
      <c r="I53" t="s">
        <v>916</v>
      </c>
      <c r="J53" s="13">
        <v>96570</v>
      </c>
      <c r="K53">
        <v>1</v>
      </c>
      <c r="L53" t="s">
        <v>1064</v>
      </c>
      <c r="M53" t="s">
        <v>1065</v>
      </c>
      <c r="N53" s="15" t="s">
        <v>6878</v>
      </c>
    </row>
    <row r="54" spans="1:14" x14ac:dyDescent="0.2">
      <c r="A54" t="s">
        <v>1123</v>
      </c>
      <c r="B54" t="s">
        <v>1062</v>
      </c>
      <c r="C54" s="9">
        <v>44938</v>
      </c>
      <c r="D54" t="s">
        <v>1022</v>
      </c>
      <c r="E54" s="13">
        <v>2000000</v>
      </c>
      <c r="F54" s="13">
        <v>27750</v>
      </c>
      <c r="G54" s="9">
        <v>44939</v>
      </c>
      <c r="H54" t="s">
        <v>1111</v>
      </c>
      <c r="I54" t="s">
        <v>214</v>
      </c>
      <c r="J54" s="13">
        <v>44400</v>
      </c>
      <c r="K54">
        <v>1</v>
      </c>
      <c r="L54" t="s">
        <v>1064</v>
      </c>
      <c r="M54" t="s">
        <v>1112</v>
      </c>
      <c r="N54" s="15" t="s">
        <v>6878</v>
      </c>
    </row>
    <row r="55" spans="1:14" x14ac:dyDescent="0.2">
      <c r="A55" t="s">
        <v>1124</v>
      </c>
      <c r="B55" t="s">
        <v>1062</v>
      </c>
      <c r="C55" s="9">
        <v>44938</v>
      </c>
      <c r="D55" t="s">
        <v>442</v>
      </c>
      <c r="E55" s="13">
        <v>2900000</v>
      </c>
      <c r="F55" s="13">
        <v>16650</v>
      </c>
      <c r="G55" s="9">
        <v>44944</v>
      </c>
      <c r="H55" t="s">
        <v>1063</v>
      </c>
      <c r="I55" t="s">
        <v>916</v>
      </c>
      <c r="J55" s="13">
        <v>96570</v>
      </c>
      <c r="K55">
        <v>1</v>
      </c>
      <c r="L55" t="s">
        <v>1064</v>
      </c>
      <c r="M55" t="s">
        <v>1065</v>
      </c>
      <c r="N55" s="15" t="s">
        <v>6878</v>
      </c>
    </row>
    <row r="56" spans="1:14" x14ac:dyDescent="0.2">
      <c r="A56" t="s">
        <v>1125</v>
      </c>
      <c r="B56" t="s">
        <v>1062</v>
      </c>
      <c r="C56" s="9">
        <v>44938</v>
      </c>
      <c r="D56" t="s">
        <v>442</v>
      </c>
      <c r="E56" s="13">
        <v>2900000</v>
      </c>
      <c r="F56" s="13">
        <v>16650</v>
      </c>
      <c r="G56" s="9">
        <v>44944</v>
      </c>
      <c r="H56" t="s">
        <v>1063</v>
      </c>
      <c r="I56" t="s">
        <v>916</v>
      </c>
      <c r="J56" s="13">
        <v>96570</v>
      </c>
      <c r="K56">
        <v>1</v>
      </c>
      <c r="L56" t="s">
        <v>1064</v>
      </c>
      <c r="M56" t="s">
        <v>1065</v>
      </c>
      <c r="N56" s="15" t="s">
        <v>6878</v>
      </c>
    </row>
    <row r="57" spans="1:14" x14ac:dyDescent="0.2">
      <c r="A57" t="s">
        <v>1126</v>
      </c>
      <c r="B57" t="s">
        <v>1062</v>
      </c>
      <c r="C57" s="9">
        <v>44938</v>
      </c>
      <c r="D57" t="s">
        <v>442</v>
      </c>
      <c r="E57" s="13">
        <v>2900000</v>
      </c>
      <c r="F57" s="13">
        <v>16650</v>
      </c>
      <c r="G57" s="9">
        <v>44944</v>
      </c>
      <c r="H57" t="s">
        <v>1063</v>
      </c>
      <c r="I57" t="s">
        <v>916</v>
      </c>
      <c r="J57" s="13">
        <v>96570</v>
      </c>
      <c r="K57">
        <v>1</v>
      </c>
      <c r="L57" t="s">
        <v>1064</v>
      </c>
      <c r="M57" t="s">
        <v>1065</v>
      </c>
      <c r="N57" s="15" t="s">
        <v>6878</v>
      </c>
    </row>
    <row r="58" spans="1:14" x14ac:dyDescent="0.2">
      <c r="A58" t="s">
        <v>1127</v>
      </c>
      <c r="B58" t="s">
        <v>1062</v>
      </c>
      <c r="C58" s="9">
        <v>44938</v>
      </c>
      <c r="D58" t="s">
        <v>442</v>
      </c>
      <c r="E58" s="13">
        <v>2900000</v>
      </c>
      <c r="F58" s="13">
        <v>16650</v>
      </c>
      <c r="G58" s="9">
        <v>44944</v>
      </c>
      <c r="H58" t="s">
        <v>1063</v>
      </c>
      <c r="I58" t="s">
        <v>916</v>
      </c>
      <c r="J58" s="13">
        <v>96570</v>
      </c>
      <c r="K58">
        <v>1</v>
      </c>
      <c r="L58" t="s">
        <v>1064</v>
      </c>
      <c r="M58" t="s">
        <v>1065</v>
      </c>
      <c r="N58" s="15" t="s">
        <v>6878</v>
      </c>
    </row>
    <row r="59" spans="1:14" x14ac:dyDescent="0.2">
      <c r="A59" t="s">
        <v>1128</v>
      </c>
      <c r="B59" t="s">
        <v>1062</v>
      </c>
      <c r="C59" s="9">
        <v>44938</v>
      </c>
      <c r="D59" t="s">
        <v>442</v>
      </c>
      <c r="E59" s="13">
        <v>4200000</v>
      </c>
      <c r="F59" s="13">
        <v>16650</v>
      </c>
      <c r="G59" s="9">
        <v>44972</v>
      </c>
      <c r="H59" t="s">
        <v>1063</v>
      </c>
      <c r="I59" t="s">
        <v>916</v>
      </c>
      <c r="J59" s="13">
        <v>139860</v>
      </c>
      <c r="K59">
        <v>1</v>
      </c>
      <c r="L59" t="s">
        <v>1064</v>
      </c>
      <c r="M59" t="s">
        <v>1065</v>
      </c>
      <c r="N59" s="15" t="s">
        <v>6878</v>
      </c>
    </row>
    <row r="60" spans="1:14" x14ac:dyDescent="0.2">
      <c r="A60" t="s">
        <v>1129</v>
      </c>
      <c r="B60" t="s">
        <v>1062</v>
      </c>
      <c r="C60" s="9">
        <v>44938</v>
      </c>
      <c r="D60" t="s">
        <v>1022</v>
      </c>
      <c r="E60" s="13">
        <v>2000000</v>
      </c>
      <c r="F60" s="13">
        <v>27750</v>
      </c>
      <c r="G60" s="9">
        <v>44943</v>
      </c>
      <c r="H60" t="s">
        <v>1111</v>
      </c>
      <c r="I60" t="s">
        <v>214</v>
      </c>
      <c r="J60" s="13">
        <v>44400</v>
      </c>
      <c r="K60">
        <v>1</v>
      </c>
      <c r="L60" t="s">
        <v>1064</v>
      </c>
      <c r="M60" t="s">
        <v>1112</v>
      </c>
      <c r="N60" s="15" t="s">
        <v>6878</v>
      </c>
    </row>
    <row r="61" spans="1:14" x14ac:dyDescent="0.2">
      <c r="A61" t="s">
        <v>1130</v>
      </c>
      <c r="B61" t="s">
        <v>1062</v>
      </c>
      <c r="C61" s="9">
        <v>44938</v>
      </c>
      <c r="D61" t="s">
        <v>442</v>
      </c>
      <c r="E61" s="13">
        <v>4200000</v>
      </c>
      <c r="F61" s="13">
        <v>16650</v>
      </c>
      <c r="G61" s="9">
        <v>44972</v>
      </c>
      <c r="H61" t="s">
        <v>1063</v>
      </c>
      <c r="I61" t="s">
        <v>916</v>
      </c>
      <c r="J61" s="13">
        <v>139860</v>
      </c>
      <c r="K61">
        <v>1</v>
      </c>
      <c r="L61" t="s">
        <v>1064</v>
      </c>
      <c r="M61" t="s">
        <v>1065</v>
      </c>
      <c r="N61" s="15" t="s">
        <v>6878</v>
      </c>
    </row>
    <row r="62" spans="1:14" x14ac:dyDescent="0.2">
      <c r="A62" t="s">
        <v>1131</v>
      </c>
      <c r="B62" t="s">
        <v>1062</v>
      </c>
      <c r="C62" s="9">
        <v>44938</v>
      </c>
      <c r="D62" t="s">
        <v>442</v>
      </c>
      <c r="E62" s="13">
        <v>2900000</v>
      </c>
      <c r="F62" s="13">
        <v>16650</v>
      </c>
      <c r="G62" s="9">
        <v>44944</v>
      </c>
      <c r="H62" t="s">
        <v>1063</v>
      </c>
      <c r="I62" t="s">
        <v>916</v>
      </c>
      <c r="J62" s="13">
        <v>96570</v>
      </c>
      <c r="K62">
        <v>1</v>
      </c>
      <c r="L62" t="s">
        <v>1064</v>
      </c>
      <c r="M62" t="s">
        <v>1065</v>
      </c>
      <c r="N62" s="15" t="s">
        <v>6878</v>
      </c>
    </row>
    <row r="63" spans="1:14" x14ac:dyDescent="0.2">
      <c r="A63" t="s">
        <v>1132</v>
      </c>
      <c r="B63" t="s">
        <v>1062</v>
      </c>
      <c r="C63" s="9">
        <v>44938</v>
      </c>
      <c r="D63" t="s">
        <v>1022</v>
      </c>
      <c r="E63" s="13">
        <v>2000000</v>
      </c>
      <c r="F63" s="13">
        <v>27750</v>
      </c>
      <c r="G63" s="9">
        <v>44943</v>
      </c>
      <c r="H63" t="s">
        <v>1111</v>
      </c>
      <c r="I63" t="s">
        <v>214</v>
      </c>
      <c r="J63" s="13">
        <v>44400</v>
      </c>
      <c r="K63">
        <v>1</v>
      </c>
      <c r="L63" t="s">
        <v>1064</v>
      </c>
      <c r="M63" t="s">
        <v>1112</v>
      </c>
      <c r="N63" s="15" t="s">
        <v>6878</v>
      </c>
    </row>
    <row r="64" spans="1:14" x14ac:dyDescent="0.2">
      <c r="A64" t="s">
        <v>1133</v>
      </c>
      <c r="B64" t="s">
        <v>1062</v>
      </c>
      <c r="C64" s="9">
        <v>44938</v>
      </c>
      <c r="D64" t="s">
        <v>1022</v>
      </c>
      <c r="E64" s="13">
        <v>2000000</v>
      </c>
      <c r="F64" s="13">
        <v>27750</v>
      </c>
      <c r="G64" s="9">
        <v>44943</v>
      </c>
      <c r="H64" t="s">
        <v>1111</v>
      </c>
      <c r="I64" t="s">
        <v>214</v>
      </c>
      <c r="J64" s="13">
        <v>44400</v>
      </c>
      <c r="K64">
        <v>1</v>
      </c>
      <c r="L64" t="s">
        <v>1064</v>
      </c>
      <c r="M64" t="s">
        <v>1112</v>
      </c>
      <c r="N64" s="15" t="s">
        <v>6878</v>
      </c>
    </row>
    <row r="65" spans="1:14" x14ac:dyDescent="0.2">
      <c r="A65" t="s">
        <v>1134</v>
      </c>
      <c r="B65" t="s">
        <v>1062</v>
      </c>
      <c r="C65" s="9">
        <v>44938</v>
      </c>
      <c r="D65" t="s">
        <v>1022</v>
      </c>
      <c r="E65" s="13">
        <v>2000000</v>
      </c>
      <c r="F65" s="13">
        <v>27750</v>
      </c>
      <c r="G65" s="9">
        <v>44943</v>
      </c>
      <c r="H65" t="s">
        <v>1111</v>
      </c>
      <c r="I65" t="s">
        <v>214</v>
      </c>
      <c r="J65" s="13">
        <v>44400</v>
      </c>
      <c r="K65">
        <v>1</v>
      </c>
      <c r="L65" t="s">
        <v>1064</v>
      </c>
      <c r="M65" t="s">
        <v>1112</v>
      </c>
      <c r="N65" s="15" t="s">
        <v>6878</v>
      </c>
    </row>
    <row r="66" spans="1:14" x14ac:dyDescent="0.2">
      <c r="A66" t="s">
        <v>1135</v>
      </c>
      <c r="B66" t="s">
        <v>1062</v>
      </c>
      <c r="C66" s="9">
        <v>44938</v>
      </c>
      <c r="D66" t="s">
        <v>442</v>
      </c>
      <c r="E66" s="13">
        <v>2625000</v>
      </c>
      <c r="F66" s="13">
        <v>16650</v>
      </c>
      <c r="G66" s="9">
        <v>44944</v>
      </c>
      <c r="H66" t="s">
        <v>1063</v>
      </c>
      <c r="I66" t="s">
        <v>916</v>
      </c>
      <c r="J66" s="13">
        <v>87412</v>
      </c>
      <c r="K66">
        <v>1</v>
      </c>
      <c r="L66" t="s">
        <v>1064</v>
      </c>
      <c r="M66" t="s">
        <v>1065</v>
      </c>
      <c r="N66" s="15" t="s">
        <v>6878</v>
      </c>
    </row>
    <row r="67" spans="1:14" x14ac:dyDescent="0.2">
      <c r="A67" t="s">
        <v>1136</v>
      </c>
      <c r="B67" t="s">
        <v>1069</v>
      </c>
      <c r="C67" s="9">
        <v>44938</v>
      </c>
      <c r="D67" t="s">
        <v>968</v>
      </c>
      <c r="E67" s="13">
        <v>16000000</v>
      </c>
      <c r="F67" s="13">
        <v>532800</v>
      </c>
      <c r="G67" s="9">
        <v>44939</v>
      </c>
      <c r="H67" t="s">
        <v>1063</v>
      </c>
      <c r="I67" t="s">
        <v>1137</v>
      </c>
      <c r="J67" s="13"/>
      <c r="K67">
        <v>10</v>
      </c>
      <c r="L67" t="s">
        <v>1064</v>
      </c>
      <c r="M67" t="s">
        <v>1138</v>
      </c>
      <c r="N67" s="15" t="s">
        <v>6878</v>
      </c>
    </row>
    <row r="68" spans="1:14" x14ac:dyDescent="0.2">
      <c r="A68" t="s">
        <v>1139</v>
      </c>
      <c r="B68" t="s">
        <v>1062</v>
      </c>
      <c r="C68" s="9">
        <v>44938</v>
      </c>
      <c r="D68" t="s">
        <v>442</v>
      </c>
      <c r="E68" s="13">
        <v>2625000</v>
      </c>
      <c r="F68" s="13">
        <v>16650</v>
      </c>
      <c r="G68" s="9">
        <v>44944</v>
      </c>
      <c r="H68" t="s">
        <v>1063</v>
      </c>
      <c r="I68" t="s">
        <v>916</v>
      </c>
      <c r="J68" s="13">
        <v>87412</v>
      </c>
      <c r="K68">
        <v>1</v>
      </c>
      <c r="L68" t="s">
        <v>1064</v>
      </c>
      <c r="M68" t="s">
        <v>1065</v>
      </c>
      <c r="N68" s="15" t="s">
        <v>6878</v>
      </c>
    </row>
    <row r="69" spans="1:14" x14ac:dyDescent="0.2">
      <c r="A69" t="s">
        <v>1140</v>
      </c>
      <c r="B69" t="s">
        <v>1062</v>
      </c>
      <c r="C69" s="9">
        <v>44938</v>
      </c>
      <c r="D69" t="s">
        <v>1022</v>
      </c>
      <c r="E69" s="13">
        <v>6000000</v>
      </c>
      <c r="F69" s="13">
        <v>83250</v>
      </c>
      <c r="G69" s="9">
        <v>44939</v>
      </c>
      <c r="H69" t="s">
        <v>1111</v>
      </c>
      <c r="I69" t="s">
        <v>214</v>
      </c>
      <c r="J69" s="13">
        <v>133200</v>
      </c>
      <c r="K69">
        <v>3</v>
      </c>
      <c r="L69" t="s">
        <v>1064</v>
      </c>
      <c r="M69" t="s">
        <v>1112</v>
      </c>
      <c r="N69" s="15" t="s">
        <v>6878</v>
      </c>
    </row>
    <row r="70" spans="1:14" x14ac:dyDescent="0.2">
      <c r="A70" t="s">
        <v>1141</v>
      </c>
      <c r="B70" t="s">
        <v>1062</v>
      </c>
      <c r="C70" s="9">
        <v>44938</v>
      </c>
      <c r="D70" t="s">
        <v>442</v>
      </c>
      <c r="E70" s="13">
        <v>2575000</v>
      </c>
      <c r="F70" s="13">
        <v>16650</v>
      </c>
      <c r="G70" s="9">
        <v>44944</v>
      </c>
      <c r="H70" t="s">
        <v>1063</v>
      </c>
      <c r="I70" t="s">
        <v>916</v>
      </c>
      <c r="J70" s="13">
        <v>85747</v>
      </c>
      <c r="K70">
        <v>1</v>
      </c>
      <c r="L70" t="s">
        <v>1064</v>
      </c>
      <c r="M70" t="s">
        <v>1065</v>
      </c>
      <c r="N70" s="15" t="s">
        <v>6878</v>
      </c>
    </row>
    <row r="71" spans="1:14" x14ac:dyDescent="0.2">
      <c r="A71" t="s">
        <v>1142</v>
      </c>
      <c r="B71" t="s">
        <v>1069</v>
      </c>
      <c r="C71" s="9">
        <v>44938</v>
      </c>
      <c r="D71" t="s">
        <v>968</v>
      </c>
      <c r="E71" s="13">
        <v>16000000</v>
      </c>
      <c r="F71" s="13">
        <v>532800</v>
      </c>
      <c r="G71" s="9">
        <v>44939</v>
      </c>
      <c r="H71" t="s">
        <v>1063</v>
      </c>
      <c r="I71" t="s">
        <v>1137</v>
      </c>
      <c r="J71" s="13"/>
      <c r="K71">
        <v>10</v>
      </c>
      <c r="L71" t="s">
        <v>1064</v>
      </c>
      <c r="M71" t="s">
        <v>1138</v>
      </c>
      <c r="N71" s="15" t="s">
        <v>6878</v>
      </c>
    </row>
    <row r="72" spans="1:14" x14ac:dyDescent="0.2">
      <c r="A72" t="s">
        <v>1143</v>
      </c>
      <c r="B72" t="s">
        <v>1062</v>
      </c>
      <c r="C72" s="9">
        <v>44938</v>
      </c>
      <c r="D72" t="s">
        <v>442</v>
      </c>
      <c r="E72" s="13">
        <v>2900000</v>
      </c>
      <c r="F72" s="13">
        <v>16650</v>
      </c>
      <c r="G72" s="9">
        <v>44944</v>
      </c>
      <c r="H72" t="s">
        <v>1063</v>
      </c>
      <c r="I72" t="s">
        <v>916</v>
      </c>
      <c r="J72" s="13">
        <v>96570</v>
      </c>
      <c r="K72">
        <v>1</v>
      </c>
      <c r="L72" t="s">
        <v>1064</v>
      </c>
      <c r="M72" t="s">
        <v>1065</v>
      </c>
      <c r="N72" s="15" t="s">
        <v>6878</v>
      </c>
    </row>
    <row r="73" spans="1:14" x14ac:dyDescent="0.2">
      <c r="A73" t="s">
        <v>1144</v>
      </c>
      <c r="B73" t="s">
        <v>1069</v>
      </c>
      <c r="C73" s="9">
        <v>44938</v>
      </c>
      <c r="D73" t="s">
        <v>968</v>
      </c>
      <c r="E73" s="13">
        <v>3200000</v>
      </c>
      <c r="F73" s="13">
        <v>106560</v>
      </c>
      <c r="G73" s="9">
        <v>44939</v>
      </c>
      <c r="H73" t="s">
        <v>1063</v>
      </c>
      <c r="I73" t="s">
        <v>1137</v>
      </c>
      <c r="J73" s="13"/>
      <c r="K73">
        <v>2</v>
      </c>
      <c r="L73" t="s">
        <v>1064</v>
      </c>
      <c r="M73" t="s">
        <v>1138</v>
      </c>
      <c r="N73" s="15" t="s">
        <v>6878</v>
      </c>
    </row>
    <row r="74" spans="1:14" x14ac:dyDescent="0.2">
      <c r="A74" t="s">
        <v>1145</v>
      </c>
      <c r="B74" t="s">
        <v>1062</v>
      </c>
      <c r="C74" s="9">
        <v>44938</v>
      </c>
      <c r="D74" t="s">
        <v>442</v>
      </c>
      <c r="E74" s="13">
        <v>2900000</v>
      </c>
      <c r="F74" s="13">
        <v>16650</v>
      </c>
      <c r="G74" s="9">
        <v>44944</v>
      </c>
      <c r="H74" t="s">
        <v>1063</v>
      </c>
      <c r="I74" t="s">
        <v>916</v>
      </c>
      <c r="J74" s="13">
        <v>96570</v>
      </c>
      <c r="K74">
        <v>1</v>
      </c>
      <c r="L74" t="s">
        <v>1064</v>
      </c>
      <c r="M74" t="s">
        <v>1065</v>
      </c>
      <c r="N74" s="15" t="s">
        <v>6878</v>
      </c>
    </row>
    <row r="75" spans="1:14" x14ac:dyDescent="0.2">
      <c r="A75" t="s">
        <v>1146</v>
      </c>
      <c r="B75" t="s">
        <v>1062</v>
      </c>
      <c r="C75" s="9">
        <v>44938</v>
      </c>
      <c r="D75" t="s">
        <v>442</v>
      </c>
      <c r="E75" s="13">
        <v>2900000</v>
      </c>
      <c r="F75" s="13">
        <v>16650</v>
      </c>
      <c r="G75" s="9">
        <v>44944</v>
      </c>
      <c r="H75" t="s">
        <v>1063</v>
      </c>
      <c r="I75" t="s">
        <v>916</v>
      </c>
      <c r="J75" s="13">
        <v>96570</v>
      </c>
      <c r="K75">
        <v>1</v>
      </c>
      <c r="L75" t="s">
        <v>1064</v>
      </c>
      <c r="M75" t="s">
        <v>1065</v>
      </c>
      <c r="N75" s="15" t="s">
        <v>6878</v>
      </c>
    </row>
    <row r="76" spans="1:14" x14ac:dyDescent="0.2">
      <c r="A76" t="s">
        <v>1147</v>
      </c>
      <c r="B76" t="s">
        <v>1062</v>
      </c>
      <c r="C76" s="9">
        <v>44938</v>
      </c>
      <c r="D76" t="s">
        <v>442</v>
      </c>
      <c r="E76" s="13">
        <v>2900000</v>
      </c>
      <c r="F76" s="13">
        <v>16650</v>
      </c>
      <c r="G76" s="9">
        <v>44944</v>
      </c>
      <c r="H76" t="s">
        <v>1063</v>
      </c>
      <c r="I76" t="s">
        <v>916</v>
      </c>
      <c r="J76" s="13">
        <v>96570</v>
      </c>
      <c r="K76">
        <v>1</v>
      </c>
      <c r="L76" t="s">
        <v>1064</v>
      </c>
      <c r="M76" t="s">
        <v>1065</v>
      </c>
      <c r="N76" s="15" t="s">
        <v>6878</v>
      </c>
    </row>
    <row r="77" spans="1:14" x14ac:dyDescent="0.2">
      <c r="A77" t="s">
        <v>1148</v>
      </c>
      <c r="B77" t="s">
        <v>1069</v>
      </c>
      <c r="C77" s="9">
        <v>44938</v>
      </c>
      <c r="D77" t="s">
        <v>968</v>
      </c>
      <c r="E77" s="13">
        <v>16000000</v>
      </c>
      <c r="F77" s="13">
        <v>532800</v>
      </c>
      <c r="G77" s="9">
        <v>44939</v>
      </c>
      <c r="H77" t="s">
        <v>1063</v>
      </c>
      <c r="I77" t="s">
        <v>1137</v>
      </c>
      <c r="J77" s="13"/>
      <c r="K77">
        <v>10</v>
      </c>
      <c r="L77" t="s">
        <v>1064</v>
      </c>
      <c r="M77" t="s">
        <v>1138</v>
      </c>
      <c r="N77" s="15" t="s">
        <v>6878</v>
      </c>
    </row>
    <row r="78" spans="1:14" x14ac:dyDescent="0.2">
      <c r="A78" t="s">
        <v>1149</v>
      </c>
      <c r="B78" t="s">
        <v>1062</v>
      </c>
      <c r="C78" s="9">
        <v>44938</v>
      </c>
      <c r="D78" t="s">
        <v>442</v>
      </c>
      <c r="E78" s="13">
        <v>2900000</v>
      </c>
      <c r="F78" s="13">
        <v>16650</v>
      </c>
      <c r="G78" s="9">
        <v>44944</v>
      </c>
      <c r="H78" t="s">
        <v>1063</v>
      </c>
      <c r="I78" t="s">
        <v>916</v>
      </c>
      <c r="J78" s="13">
        <v>96570</v>
      </c>
      <c r="K78">
        <v>1</v>
      </c>
      <c r="L78" t="s">
        <v>1064</v>
      </c>
      <c r="M78" t="s">
        <v>1065</v>
      </c>
      <c r="N78" s="15" t="s">
        <v>6878</v>
      </c>
    </row>
    <row r="79" spans="1:14" x14ac:dyDescent="0.2">
      <c r="A79" t="s">
        <v>1150</v>
      </c>
      <c r="B79" t="s">
        <v>1062</v>
      </c>
      <c r="C79" s="9">
        <v>44938</v>
      </c>
      <c r="D79" t="s">
        <v>442</v>
      </c>
      <c r="E79" s="13">
        <v>2900000</v>
      </c>
      <c r="F79" s="13">
        <v>16650</v>
      </c>
      <c r="G79" s="9">
        <v>44944</v>
      </c>
      <c r="H79" t="s">
        <v>1063</v>
      </c>
      <c r="I79" t="s">
        <v>916</v>
      </c>
      <c r="J79" s="13">
        <v>96570</v>
      </c>
      <c r="K79">
        <v>1</v>
      </c>
      <c r="L79" t="s">
        <v>1064</v>
      </c>
      <c r="M79" t="s">
        <v>1065</v>
      </c>
      <c r="N79" s="15" t="s">
        <v>6878</v>
      </c>
    </row>
    <row r="80" spans="1:14" x14ac:dyDescent="0.2">
      <c r="A80" t="s">
        <v>1151</v>
      </c>
      <c r="B80" t="s">
        <v>1062</v>
      </c>
      <c r="C80" s="9">
        <v>44938</v>
      </c>
      <c r="D80" t="s">
        <v>442</v>
      </c>
      <c r="E80" s="13">
        <v>2900000</v>
      </c>
      <c r="F80" s="13">
        <v>16650</v>
      </c>
      <c r="G80" s="9">
        <v>44944</v>
      </c>
      <c r="H80" t="s">
        <v>1063</v>
      </c>
      <c r="I80" t="s">
        <v>916</v>
      </c>
      <c r="J80" s="13">
        <v>96570</v>
      </c>
      <c r="K80">
        <v>1</v>
      </c>
      <c r="L80" t="s">
        <v>1064</v>
      </c>
      <c r="M80" t="s">
        <v>1065</v>
      </c>
      <c r="N80" s="15" t="s">
        <v>6878</v>
      </c>
    </row>
    <row r="81" spans="1:14" x14ac:dyDescent="0.2">
      <c r="A81" t="s">
        <v>1152</v>
      </c>
      <c r="B81" t="s">
        <v>1069</v>
      </c>
      <c r="C81" s="9">
        <v>44938</v>
      </c>
      <c r="D81" t="s">
        <v>968</v>
      </c>
      <c r="E81" s="13">
        <v>16000000</v>
      </c>
      <c r="F81" s="13">
        <v>532800</v>
      </c>
      <c r="G81" s="9">
        <v>44939</v>
      </c>
      <c r="H81" t="s">
        <v>1063</v>
      </c>
      <c r="I81" t="s">
        <v>1137</v>
      </c>
      <c r="J81" s="13"/>
      <c r="K81">
        <v>10</v>
      </c>
      <c r="L81" t="s">
        <v>1064</v>
      </c>
      <c r="M81" t="s">
        <v>1138</v>
      </c>
      <c r="N81" s="15" t="s">
        <v>6878</v>
      </c>
    </row>
    <row r="82" spans="1:14" x14ac:dyDescent="0.2">
      <c r="A82" t="s">
        <v>1153</v>
      </c>
      <c r="B82" t="s">
        <v>1062</v>
      </c>
      <c r="C82" s="9">
        <v>44938</v>
      </c>
      <c r="D82" t="s">
        <v>442</v>
      </c>
      <c r="E82" s="13">
        <v>2900000</v>
      </c>
      <c r="F82" s="13">
        <v>16650</v>
      </c>
      <c r="G82" s="9">
        <v>44951</v>
      </c>
      <c r="H82" t="s">
        <v>1063</v>
      </c>
      <c r="I82" t="s">
        <v>916</v>
      </c>
      <c r="J82" s="13">
        <v>96570</v>
      </c>
      <c r="K82">
        <v>1</v>
      </c>
      <c r="L82" t="s">
        <v>1064</v>
      </c>
      <c r="M82" t="s">
        <v>1065</v>
      </c>
      <c r="N82" s="15" t="s">
        <v>6878</v>
      </c>
    </row>
    <row r="83" spans="1:14" x14ac:dyDescent="0.2">
      <c r="A83" t="s">
        <v>1154</v>
      </c>
      <c r="B83" t="s">
        <v>1062</v>
      </c>
      <c r="C83" s="9">
        <v>44938</v>
      </c>
      <c r="D83" t="s">
        <v>442</v>
      </c>
      <c r="E83" s="13">
        <v>2900000</v>
      </c>
      <c r="F83" s="13">
        <v>16650</v>
      </c>
      <c r="G83" s="9">
        <v>44951</v>
      </c>
      <c r="H83" t="s">
        <v>1063</v>
      </c>
      <c r="I83" t="s">
        <v>916</v>
      </c>
      <c r="J83" s="13">
        <v>96570</v>
      </c>
      <c r="K83">
        <v>1</v>
      </c>
      <c r="L83" t="s">
        <v>1064</v>
      </c>
      <c r="M83" t="s">
        <v>1065</v>
      </c>
      <c r="N83" s="15" t="s">
        <v>6878</v>
      </c>
    </row>
    <row r="84" spans="1:14" x14ac:dyDescent="0.2">
      <c r="A84" t="s">
        <v>1155</v>
      </c>
      <c r="B84" t="s">
        <v>1069</v>
      </c>
      <c r="C84" s="9">
        <v>44938</v>
      </c>
      <c r="D84" t="s">
        <v>968</v>
      </c>
      <c r="E84" s="13">
        <v>8000000</v>
      </c>
      <c r="F84" s="13">
        <v>266400</v>
      </c>
      <c r="G84" s="9">
        <v>44939</v>
      </c>
      <c r="H84" t="s">
        <v>1063</v>
      </c>
      <c r="I84" t="s">
        <v>1137</v>
      </c>
      <c r="J84" s="13"/>
      <c r="K84">
        <v>5</v>
      </c>
      <c r="L84" t="s">
        <v>1064</v>
      </c>
      <c r="M84" t="s">
        <v>1138</v>
      </c>
      <c r="N84" s="15" t="s">
        <v>6878</v>
      </c>
    </row>
    <row r="85" spans="1:14" x14ac:dyDescent="0.2">
      <c r="A85" t="s">
        <v>1156</v>
      </c>
      <c r="B85" t="s">
        <v>1062</v>
      </c>
      <c r="C85" s="9">
        <v>44938</v>
      </c>
      <c r="D85" t="s">
        <v>442</v>
      </c>
      <c r="E85" s="13">
        <v>2525000</v>
      </c>
      <c r="F85" s="13">
        <v>16650</v>
      </c>
      <c r="G85" s="9">
        <v>44951</v>
      </c>
      <c r="H85" t="s">
        <v>1063</v>
      </c>
      <c r="I85" t="s">
        <v>916</v>
      </c>
      <c r="J85" s="13">
        <v>84082</v>
      </c>
      <c r="K85">
        <v>1</v>
      </c>
      <c r="L85" t="s">
        <v>1064</v>
      </c>
      <c r="M85" t="s">
        <v>1065</v>
      </c>
      <c r="N85" s="15" t="s">
        <v>6878</v>
      </c>
    </row>
    <row r="86" spans="1:14" x14ac:dyDescent="0.2">
      <c r="A86" t="s">
        <v>1157</v>
      </c>
      <c r="B86" t="s">
        <v>1062</v>
      </c>
      <c r="C86" s="9">
        <v>44938</v>
      </c>
      <c r="D86" t="s">
        <v>442</v>
      </c>
      <c r="E86" s="13">
        <v>1950000</v>
      </c>
      <c r="F86" s="13">
        <v>16650</v>
      </c>
      <c r="G86" s="9">
        <v>44951</v>
      </c>
      <c r="H86" t="s">
        <v>1063</v>
      </c>
      <c r="I86" t="s">
        <v>916</v>
      </c>
      <c r="J86" s="13">
        <v>64935</v>
      </c>
      <c r="K86">
        <v>1</v>
      </c>
      <c r="L86" t="s">
        <v>1064</v>
      </c>
      <c r="M86" t="s">
        <v>1065</v>
      </c>
      <c r="N86" s="15" t="s">
        <v>6878</v>
      </c>
    </row>
    <row r="87" spans="1:14" x14ac:dyDescent="0.2">
      <c r="A87" t="s">
        <v>1158</v>
      </c>
      <c r="B87" t="s">
        <v>1062</v>
      </c>
      <c r="C87" s="9">
        <v>44938</v>
      </c>
      <c r="D87" t="s">
        <v>442</v>
      </c>
      <c r="E87" s="13">
        <v>3125000</v>
      </c>
      <c r="F87" s="13">
        <v>16650</v>
      </c>
      <c r="G87" s="9">
        <v>44951</v>
      </c>
      <c r="H87" t="s">
        <v>1063</v>
      </c>
      <c r="I87" t="s">
        <v>916</v>
      </c>
      <c r="J87" s="13">
        <v>104062</v>
      </c>
      <c r="K87">
        <v>1</v>
      </c>
      <c r="L87" t="s">
        <v>1064</v>
      </c>
      <c r="M87" t="s">
        <v>1065</v>
      </c>
      <c r="N87" s="15" t="s">
        <v>6878</v>
      </c>
    </row>
    <row r="88" spans="1:14" x14ac:dyDescent="0.2">
      <c r="A88" t="s">
        <v>1159</v>
      </c>
      <c r="B88" t="s">
        <v>1062</v>
      </c>
      <c r="C88" s="9">
        <v>44938</v>
      </c>
      <c r="D88" t="s">
        <v>442</v>
      </c>
      <c r="E88" s="13">
        <v>2525000</v>
      </c>
      <c r="F88" s="13">
        <v>16650</v>
      </c>
      <c r="G88" s="9">
        <v>44951</v>
      </c>
      <c r="H88" t="s">
        <v>1063</v>
      </c>
      <c r="I88" t="s">
        <v>916</v>
      </c>
      <c r="J88" s="13">
        <v>84082</v>
      </c>
      <c r="K88">
        <v>1</v>
      </c>
      <c r="L88" t="s">
        <v>1064</v>
      </c>
      <c r="M88" t="s">
        <v>1065</v>
      </c>
      <c r="N88" s="15" t="s">
        <v>6878</v>
      </c>
    </row>
    <row r="89" spans="1:14" x14ac:dyDescent="0.2">
      <c r="A89" t="s">
        <v>1160</v>
      </c>
      <c r="B89" t="s">
        <v>1062</v>
      </c>
      <c r="C89" s="9">
        <v>44938</v>
      </c>
      <c r="D89" t="s">
        <v>442</v>
      </c>
      <c r="E89" s="13">
        <v>1000000</v>
      </c>
      <c r="F89" s="13">
        <v>16650</v>
      </c>
      <c r="G89" s="9">
        <v>44951</v>
      </c>
      <c r="H89" t="s">
        <v>1063</v>
      </c>
      <c r="I89" t="s">
        <v>916</v>
      </c>
      <c r="J89" s="13">
        <v>33300</v>
      </c>
      <c r="K89">
        <v>1</v>
      </c>
      <c r="L89" t="s">
        <v>1064</v>
      </c>
      <c r="M89" t="s">
        <v>1065</v>
      </c>
      <c r="N89" s="15" t="s">
        <v>6878</v>
      </c>
    </row>
    <row r="90" spans="1:14" x14ac:dyDescent="0.2">
      <c r="A90" t="s">
        <v>1161</v>
      </c>
      <c r="B90" t="s">
        <v>1069</v>
      </c>
      <c r="C90" s="9">
        <v>44938</v>
      </c>
      <c r="D90" t="s">
        <v>958</v>
      </c>
      <c r="E90" s="13">
        <v>1740500</v>
      </c>
      <c r="F90" s="13">
        <v>19980</v>
      </c>
      <c r="G90" s="9">
        <v>44938</v>
      </c>
      <c r="H90" t="s">
        <v>1063</v>
      </c>
      <c r="I90" t="s">
        <v>1074</v>
      </c>
      <c r="J90" s="13">
        <v>38639</v>
      </c>
      <c r="K90">
        <v>1</v>
      </c>
      <c r="L90" t="s">
        <v>1064</v>
      </c>
      <c r="M90" t="s">
        <v>1075</v>
      </c>
      <c r="N90" s="15" t="s">
        <v>6878</v>
      </c>
    </row>
    <row r="91" spans="1:14" x14ac:dyDescent="0.2">
      <c r="A91" t="s">
        <v>1162</v>
      </c>
      <c r="B91" t="s">
        <v>1069</v>
      </c>
      <c r="C91" s="9">
        <v>44938</v>
      </c>
      <c r="D91" t="s">
        <v>958</v>
      </c>
      <c r="E91" s="13">
        <v>31358019</v>
      </c>
      <c r="F91" s="13">
        <v>319680</v>
      </c>
      <c r="G91" s="9">
        <v>44939</v>
      </c>
      <c r="H91" t="s">
        <v>1063</v>
      </c>
      <c r="I91" t="s">
        <v>1074</v>
      </c>
      <c r="J91" s="13">
        <v>696147</v>
      </c>
      <c r="K91">
        <v>16</v>
      </c>
      <c r="L91" t="s">
        <v>1064</v>
      </c>
      <c r="M91" t="s">
        <v>1075</v>
      </c>
      <c r="N91" s="15" t="s">
        <v>6878</v>
      </c>
    </row>
    <row r="92" spans="1:14" x14ac:dyDescent="0.2">
      <c r="A92" t="s">
        <v>1163</v>
      </c>
      <c r="B92" t="s">
        <v>1062</v>
      </c>
      <c r="C92" s="9">
        <v>44939</v>
      </c>
      <c r="D92" t="s">
        <v>178</v>
      </c>
      <c r="E92" s="13">
        <v>1176000</v>
      </c>
      <c r="F92" s="13">
        <v>22200</v>
      </c>
      <c r="G92" s="9">
        <v>44940</v>
      </c>
      <c r="H92" t="s">
        <v>1063</v>
      </c>
      <c r="I92" t="s">
        <v>904</v>
      </c>
      <c r="J92" s="13"/>
      <c r="K92">
        <v>1</v>
      </c>
      <c r="L92" t="s">
        <v>1064</v>
      </c>
      <c r="M92" t="s">
        <v>1164</v>
      </c>
      <c r="N92" s="15" t="s">
        <v>6878</v>
      </c>
    </row>
    <row r="93" spans="1:14" x14ac:dyDescent="0.2">
      <c r="A93" t="s">
        <v>1165</v>
      </c>
      <c r="B93" t="s">
        <v>1062</v>
      </c>
      <c r="C93" s="9">
        <v>44939</v>
      </c>
      <c r="D93" t="s">
        <v>178</v>
      </c>
      <c r="E93" s="13">
        <v>7644000</v>
      </c>
      <c r="F93" s="13">
        <v>133200</v>
      </c>
      <c r="G93" s="9">
        <v>44940</v>
      </c>
      <c r="H93" t="s">
        <v>1063</v>
      </c>
      <c r="I93" t="s">
        <v>904</v>
      </c>
      <c r="J93" s="13"/>
      <c r="K93">
        <v>6</v>
      </c>
      <c r="L93" t="s">
        <v>1064</v>
      </c>
      <c r="M93" t="s">
        <v>1164</v>
      </c>
      <c r="N93" s="15" t="s">
        <v>6878</v>
      </c>
    </row>
    <row r="94" spans="1:14" x14ac:dyDescent="0.2">
      <c r="A94" t="s">
        <v>1166</v>
      </c>
      <c r="B94" t="s">
        <v>1062</v>
      </c>
      <c r="C94" s="9">
        <v>44939</v>
      </c>
      <c r="D94" t="s">
        <v>178</v>
      </c>
      <c r="E94" s="13">
        <v>12642000</v>
      </c>
      <c r="F94" s="13">
        <v>222000</v>
      </c>
      <c r="G94" s="9">
        <v>44940</v>
      </c>
      <c r="H94" t="s">
        <v>1063</v>
      </c>
      <c r="I94" t="s">
        <v>904</v>
      </c>
      <c r="J94" s="13"/>
      <c r="K94">
        <v>10</v>
      </c>
      <c r="L94" t="s">
        <v>1064</v>
      </c>
      <c r="M94" t="s">
        <v>1164</v>
      </c>
      <c r="N94" s="15" t="s">
        <v>6878</v>
      </c>
    </row>
    <row r="95" spans="1:14" x14ac:dyDescent="0.2">
      <c r="A95" t="s">
        <v>1167</v>
      </c>
      <c r="B95" t="s">
        <v>1062</v>
      </c>
      <c r="C95" s="9">
        <v>44939</v>
      </c>
      <c r="D95" t="s">
        <v>178</v>
      </c>
      <c r="E95" s="13">
        <v>16072000</v>
      </c>
      <c r="F95" s="13">
        <v>288600</v>
      </c>
      <c r="G95" s="9">
        <v>44940</v>
      </c>
      <c r="H95" t="s">
        <v>1063</v>
      </c>
      <c r="I95" t="s">
        <v>904</v>
      </c>
      <c r="J95" s="13"/>
      <c r="K95">
        <v>13</v>
      </c>
      <c r="L95" t="s">
        <v>1064</v>
      </c>
      <c r="M95" t="s">
        <v>1164</v>
      </c>
      <c r="N95" s="15" t="s">
        <v>6878</v>
      </c>
    </row>
    <row r="96" spans="1:14" x14ac:dyDescent="0.2">
      <c r="A96" t="s">
        <v>1168</v>
      </c>
      <c r="B96" t="s">
        <v>1062</v>
      </c>
      <c r="C96" s="9">
        <v>44939</v>
      </c>
      <c r="D96" t="s">
        <v>1022</v>
      </c>
      <c r="E96" s="13">
        <v>2000000</v>
      </c>
      <c r="F96" s="13">
        <v>27750</v>
      </c>
      <c r="G96" s="9">
        <v>44943</v>
      </c>
      <c r="H96" t="s">
        <v>1111</v>
      </c>
      <c r="I96" t="s">
        <v>214</v>
      </c>
      <c r="J96" s="13">
        <v>44400</v>
      </c>
      <c r="K96">
        <v>1</v>
      </c>
      <c r="L96" t="s">
        <v>1064</v>
      </c>
      <c r="M96" t="s">
        <v>1112</v>
      </c>
      <c r="N96" s="15" t="s">
        <v>6878</v>
      </c>
    </row>
    <row r="97" spans="1:14" x14ac:dyDescent="0.2">
      <c r="A97" t="s">
        <v>1169</v>
      </c>
      <c r="B97" t="s">
        <v>1062</v>
      </c>
      <c r="C97" s="9">
        <v>44939</v>
      </c>
      <c r="D97" t="s">
        <v>1022</v>
      </c>
      <c r="E97" s="13">
        <v>2000000</v>
      </c>
      <c r="F97" s="13">
        <v>27750</v>
      </c>
      <c r="G97" s="9">
        <v>44943</v>
      </c>
      <c r="H97" t="s">
        <v>1111</v>
      </c>
      <c r="I97" t="s">
        <v>214</v>
      </c>
      <c r="J97" s="13">
        <v>44400</v>
      </c>
      <c r="K97">
        <v>1</v>
      </c>
      <c r="L97" t="s">
        <v>1064</v>
      </c>
      <c r="M97" t="s">
        <v>1112</v>
      </c>
      <c r="N97" s="15" t="s">
        <v>6878</v>
      </c>
    </row>
    <row r="98" spans="1:14" x14ac:dyDescent="0.2">
      <c r="A98" t="s">
        <v>1170</v>
      </c>
      <c r="B98" t="s">
        <v>1069</v>
      </c>
      <c r="C98" s="9">
        <v>44939</v>
      </c>
      <c r="D98" t="s">
        <v>958</v>
      </c>
      <c r="E98" s="13">
        <v>25161500</v>
      </c>
      <c r="F98" s="13">
        <v>279720</v>
      </c>
      <c r="G98" s="9">
        <v>44944</v>
      </c>
      <c r="H98" t="s">
        <v>1063</v>
      </c>
      <c r="I98" t="s">
        <v>1074</v>
      </c>
      <c r="J98" s="13">
        <v>558585</v>
      </c>
      <c r="K98">
        <v>14</v>
      </c>
      <c r="L98" t="s">
        <v>1064</v>
      </c>
      <c r="M98" t="s">
        <v>1075</v>
      </c>
      <c r="N98" s="15" t="s">
        <v>6878</v>
      </c>
    </row>
    <row r="99" spans="1:14" x14ac:dyDescent="0.2">
      <c r="A99" t="s">
        <v>1171</v>
      </c>
      <c r="B99" t="s">
        <v>1062</v>
      </c>
      <c r="C99" s="9">
        <v>44939</v>
      </c>
      <c r="D99" t="s">
        <v>178</v>
      </c>
      <c r="E99" s="13">
        <v>3626000</v>
      </c>
      <c r="F99" s="13">
        <v>66600</v>
      </c>
      <c r="G99" s="9">
        <v>44940</v>
      </c>
      <c r="H99" t="s">
        <v>1063</v>
      </c>
      <c r="I99" t="s">
        <v>904</v>
      </c>
      <c r="J99" s="13"/>
      <c r="K99">
        <v>3</v>
      </c>
      <c r="L99" t="s">
        <v>1064</v>
      </c>
      <c r="M99" t="s">
        <v>1164</v>
      </c>
      <c r="N99" s="15" t="s">
        <v>6878</v>
      </c>
    </row>
    <row r="100" spans="1:14" x14ac:dyDescent="0.2">
      <c r="A100" t="s">
        <v>1172</v>
      </c>
      <c r="B100" t="s">
        <v>1062</v>
      </c>
      <c r="C100" s="9">
        <v>44939</v>
      </c>
      <c r="D100" t="s">
        <v>178</v>
      </c>
      <c r="E100" s="13">
        <v>6370000</v>
      </c>
      <c r="F100" s="13">
        <v>111000</v>
      </c>
      <c r="G100" s="9">
        <v>44940</v>
      </c>
      <c r="H100" t="s">
        <v>1063</v>
      </c>
      <c r="I100" t="s">
        <v>904</v>
      </c>
      <c r="J100" s="13"/>
      <c r="K100">
        <v>5</v>
      </c>
      <c r="L100" t="s">
        <v>1064</v>
      </c>
      <c r="M100" t="s">
        <v>1164</v>
      </c>
      <c r="N100" s="15" t="s">
        <v>6878</v>
      </c>
    </row>
    <row r="101" spans="1:14" x14ac:dyDescent="0.2">
      <c r="A101" t="s">
        <v>1173</v>
      </c>
      <c r="B101" t="s">
        <v>1069</v>
      </c>
      <c r="C101" s="9">
        <v>44942</v>
      </c>
      <c r="D101" t="s">
        <v>958</v>
      </c>
      <c r="E101" s="13">
        <v>14951217</v>
      </c>
      <c r="F101" s="13">
        <v>159840</v>
      </c>
      <c r="G101" s="9">
        <v>44944</v>
      </c>
      <c r="H101" t="s">
        <v>1063</v>
      </c>
      <c r="I101" t="s">
        <v>1074</v>
      </c>
      <c r="J101" s="13">
        <v>331916</v>
      </c>
      <c r="K101">
        <v>8</v>
      </c>
      <c r="L101" t="s">
        <v>1064</v>
      </c>
      <c r="M101" t="s">
        <v>1075</v>
      </c>
      <c r="N101" s="15" t="s">
        <v>6878</v>
      </c>
    </row>
    <row r="102" spans="1:14" x14ac:dyDescent="0.2">
      <c r="A102" t="s">
        <v>1174</v>
      </c>
      <c r="B102" t="s">
        <v>1062</v>
      </c>
      <c r="C102" s="9">
        <v>44942</v>
      </c>
      <c r="D102" t="s">
        <v>1022</v>
      </c>
      <c r="E102" s="13">
        <v>2000000</v>
      </c>
      <c r="F102" s="13">
        <v>27750</v>
      </c>
      <c r="G102" s="9">
        <v>44967</v>
      </c>
      <c r="H102" t="s">
        <v>1111</v>
      </c>
      <c r="I102" t="s">
        <v>214</v>
      </c>
      <c r="J102" s="13">
        <v>44400</v>
      </c>
      <c r="K102">
        <v>1</v>
      </c>
      <c r="L102" t="s">
        <v>1064</v>
      </c>
      <c r="M102" t="s">
        <v>1112</v>
      </c>
      <c r="N102" s="15" t="s">
        <v>6878</v>
      </c>
    </row>
    <row r="103" spans="1:14" x14ac:dyDescent="0.2">
      <c r="A103" t="s">
        <v>1175</v>
      </c>
      <c r="B103" t="s">
        <v>1062</v>
      </c>
      <c r="C103" s="9">
        <v>44942</v>
      </c>
      <c r="D103" t="s">
        <v>1022</v>
      </c>
      <c r="E103" s="13">
        <v>2000000</v>
      </c>
      <c r="F103" s="13">
        <v>27750</v>
      </c>
      <c r="G103" s="9">
        <v>44967</v>
      </c>
      <c r="H103" t="s">
        <v>1111</v>
      </c>
      <c r="I103" t="s">
        <v>214</v>
      </c>
      <c r="J103" s="13">
        <v>44400</v>
      </c>
      <c r="K103">
        <v>1</v>
      </c>
      <c r="L103" t="s">
        <v>1064</v>
      </c>
      <c r="M103" t="s">
        <v>1112</v>
      </c>
      <c r="N103" s="15" t="s">
        <v>6878</v>
      </c>
    </row>
    <row r="104" spans="1:14" x14ac:dyDescent="0.2">
      <c r="A104" t="s">
        <v>1176</v>
      </c>
      <c r="B104" t="s">
        <v>1062</v>
      </c>
      <c r="C104" s="9">
        <v>44942</v>
      </c>
      <c r="D104" t="s">
        <v>1022</v>
      </c>
      <c r="E104" s="13">
        <v>2000000</v>
      </c>
      <c r="F104" s="13">
        <v>27750</v>
      </c>
      <c r="G104" s="9">
        <v>44967</v>
      </c>
      <c r="H104" t="s">
        <v>1111</v>
      </c>
      <c r="I104" t="s">
        <v>214</v>
      </c>
      <c r="J104" s="13">
        <v>44400</v>
      </c>
      <c r="K104">
        <v>1</v>
      </c>
      <c r="L104" t="s">
        <v>1064</v>
      </c>
      <c r="M104" t="s">
        <v>1112</v>
      </c>
      <c r="N104" s="15" t="s">
        <v>6878</v>
      </c>
    </row>
    <row r="105" spans="1:14" x14ac:dyDescent="0.2">
      <c r="A105" t="s">
        <v>1177</v>
      </c>
      <c r="B105" t="s">
        <v>1062</v>
      </c>
      <c r="C105" s="9">
        <v>44942</v>
      </c>
      <c r="D105" t="s">
        <v>1022</v>
      </c>
      <c r="E105" s="13">
        <v>2000000</v>
      </c>
      <c r="F105" s="13">
        <v>27750</v>
      </c>
      <c r="G105" s="9">
        <v>44967</v>
      </c>
      <c r="H105" t="s">
        <v>1111</v>
      </c>
      <c r="I105" t="s">
        <v>214</v>
      </c>
      <c r="J105" s="13">
        <v>44400</v>
      </c>
      <c r="K105">
        <v>1</v>
      </c>
      <c r="L105" t="s">
        <v>1064</v>
      </c>
      <c r="M105" t="s">
        <v>1112</v>
      </c>
      <c r="N105" s="15" t="s">
        <v>6878</v>
      </c>
    </row>
    <row r="106" spans="1:14" x14ac:dyDescent="0.2">
      <c r="A106" t="s">
        <v>1178</v>
      </c>
      <c r="B106" t="s">
        <v>1062</v>
      </c>
      <c r="C106" s="9">
        <v>44942</v>
      </c>
      <c r="D106" t="s">
        <v>1022</v>
      </c>
      <c r="E106" s="13">
        <v>2000000</v>
      </c>
      <c r="F106" s="13">
        <v>27750</v>
      </c>
      <c r="G106" s="9">
        <v>44970</v>
      </c>
      <c r="H106" t="s">
        <v>1111</v>
      </c>
      <c r="I106" t="s">
        <v>214</v>
      </c>
      <c r="J106" s="13">
        <v>44400</v>
      </c>
      <c r="K106">
        <v>1</v>
      </c>
      <c r="L106" t="s">
        <v>1064</v>
      </c>
      <c r="M106" t="s">
        <v>1112</v>
      </c>
      <c r="N106" s="15" t="s">
        <v>6878</v>
      </c>
    </row>
    <row r="107" spans="1:14" x14ac:dyDescent="0.2">
      <c r="A107" t="s">
        <v>1179</v>
      </c>
      <c r="B107" t="s">
        <v>1062</v>
      </c>
      <c r="C107" s="9">
        <v>44942</v>
      </c>
      <c r="D107" t="s">
        <v>1022</v>
      </c>
      <c r="E107" s="13">
        <v>2000000</v>
      </c>
      <c r="F107" s="13">
        <v>27750</v>
      </c>
      <c r="G107" s="9">
        <v>44967</v>
      </c>
      <c r="H107" t="s">
        <v>1111</v>
      </c>
      <c r="I107" t="s">
        <v>214</v>
      </c>
      <c r="J107" s="13">
        <v>44400</v>
      </c>
      <c r="K107">
        <v>1</v>
      </c>
      <c r="L107" t="s">
        <v>1064</v>
      </c>
      <c r="M107" t="s">
        <v>1112</v>
      </c>
      <c r="N107" s="15" t="s">
        <v>6878</v>
      </c>
    </row>
    <row r="108" spans="1:14" x14ac:dyDescent="0.2">
      <c r="A108" t="s">
        <v>1180</v>
      </c>
      <c r="B108" t="s">
        <v>1062</v>
      </c>
      <c r="C108" s="9">
        <v>44942</v>
      </c>
      <c r="D108" t="s">
        <v>1022</v>
      </c>
      <c r="E108" s="13">
        <v>2000000</v>
      </c>
      <c r="F108" s="13">
        <v>27750</v>
      </c>
      <c r="G108" s="9">
        <v>44970</v>
      </c>
      <c r="H108" t="s">
        <v>1111</v>
      </c>
      <c r="I108" t="s">
        <v>214</v>
      </c>
      <c r="J108" s="13">
        <v>44400</v>
      </c>
      <c r="K108">
        <v>1</v>
      </c>
      <c r="L108" t="s">
        <v>1064</v>
      </c>
      <c r="M108" t="s">
        <v>1112</v>
      </c>
      <c r="N108" s="15" t="s">
        <v>6878</v>
      </c>
    </row>
    <row r="109" spans="1:14" x14ac:dyDescent="0.2">
      <c r="A109" t="s">
        <v>1181</v>
      </c>
      <c r="B109" t="s">
        <v>1062</v>
      </c>
      <c r="C109" s="9">
        <v>44942</v>
      </c>
      <c r="D109" t="s">
        <v>1022</v>
      </c>
      <c r="E109" s="13">
        <v>2000000</v>
      </c>
      <c r="F109" s="13">
        <v>27750</v>
      </c>
      <c r="G109" s="9">
        <v>44970</v>
      </c>
      <c r="H109" t="s">
        <v>1111</v>
      </c>
      <c r="I109" t="s">
        <v>214</v>
      </c>
      <c r="J109" s="13">
        <v>44400</v>
      </c>
      <c r="K109">
        <v>1</v>
      </c>
      <c r="L109" t="s">
        <v>1064</v>
      </c>
      <c r="M109" t="s">
        <v>1112</v>
      </c>
      <c r="N109" s="15" t="s">
        <v>6878</v>
      </c>
    </row>
    <row r="110" spans="1:14" x14ac:dyDescent="0.2">
      <c r="A110" t="s">
        <v>1182</v>
      </c>
      <c r="B110" t="s">
        <v>1069</v>
      </c>
      <c r="C110" s="9">
        <v>44943</v>
      </c>
      <c r="D110" t="s">
        <v>958</v>
      </c>
      <c r="E110" s="13">
        <v>2530000</v>
      </c>
      <c r="F110" s="13">
        <v>19980</v>
      </c>
      <c r="G110" s="9">
        <v>44981</v>
      </c>
      <c r="H110" t="s">
        <v>1063</v>
      </c>
      <c r="I110" t="s">
        <v>1074</v>
      </c>
      <c r="J110" s="13">
        <v>56166</v>
      </c>
      <c r="K110">
        <v>1</v>
      </c>
      <c r="L110" t="s">
        <v>1064</v>
      </c>
      <c r="M110" t="s">
        <v>1075</v>
      </c>
      <c r="N110" s="15" t="s">
        <v>6878</v>
      </c>
    </row>
    <row r="111" spans="1:14" x14ac:dyDescent="0.2">
      <c r="A111" t="s">
        <v>1183</v>
      </c>
      <c r="B111" t="s">
        <v>1069</v>
      </c>
      <c r="C111" s="9">
        <v>44943</v>
      </c>
      <c r="D111" t="s">
        <v>958</v>
      </c>
      <c r="E111" s="13">
        <v>14290470</v>
      </c>
      <c r="F111" s="13">
        <v>179820</v>
      </c>
      <c r="G111" s="9">
        <v>44944</v>
      </c>
      <c r="H111" t="s">
        <v>1063</v>
      </c>
      <c r="I111" t="s">
        <v>1074</v>
      </c>
      <c r="J111" s="13">
        <v>317247</v>
      </c>
      <c r="K111">
        <v>9</v>
      </c>
      <c r="L111" t="s">
        <v>1064</v>
      </c>
      <c r="M111" t="s">
        <v>1075</v>
      </c>
      <c r="N111" s="15" t="s">
        <v>6878</v>
      </c>
    </row>
    <row r="112" spans="1:14" x14ac:dyDescent="0.2">
      <c r="A112" t="s">
        <v>1184</v>
      </c>
      <c r="B112" t="s">
        <v>1069</v>
      </c>
      <c r="C112" s="9">
        <v>44943</v>
      </c>
      <c r="D112" t="s">
        <v>958</v>
      </c>
      <c r="E112" s="13">
        <v>6240000</v>
      </c>
      <c r="F112" s="13">
        <v>18000</v>
      </c>
      <c r="H112" t="s">
        <v>1185</v>
      </c>
      <c r="I112" t="s">
        <v>1074</v>
      </c>
      <c r="J112" s="13">
        <v>0</v>
      </c>
      <c r="K112">
        <v>8</v>
      </c>
      <c r="L112" t="s">
        <v>1064</v>
      </c>
      <c r="M112" t="s">
        <v>1075</v>
      </c>
      <c r="N112" s="14" t="s">
        <v>6877</v>
      </c>
    </row>
    <row r="113" spans="1:14" x14ac:dyDescent="0.2">
      <c r="A113" t="s">
        <v>1186</v>
      </c>
      <c r="B113" t="s">
        <v>1062</v>
      </c>
      <c r="C113" s="9">
        <v>44943</v>
      </c>
      <c r="D113" t="s">
        <v>442</v>
      </c>
      <c r="E113" s="13">
        <v>2787000</v>
      </c>
      <c r="F113" s="13">
        <v>16650</v>
      </c>
      <c r="G113" s="9">
        <v>44951</v>
      </c>
      <c r="H113" t="s">
        <v>1063</v>
      </c>
      <c r="I113" t="s">
        <v>916</v>
      </c>
      <c r="J113" s="13">
        <v>92807</v>
      </c>
      <c r="K113">
        <v>1</v>
      </c>
      <c r="L113" t="s">
        <v>1064</v>
      </c>
      <c r="M113" t="s">
        <v>1065</v>
      </c>
      <c r="N113" s="15" t="s">
        <v>6878</v>
      </c>
    </row>
    <row r="114" spans="1:14" x14ac:dyDescent="0.2">
      <c r="A114" t="s">
        <v>1187</v>
      </c>
      <c r="B114" t="s">
        <v>1062</v>
      </c>
      <c r="C114" s="9">
        <v>44943</v>
      </c>
      <c r="D114" t="s">
        <v>442</v>
      </c>
      <c r="E114" s="13">
        <v>2375000</v>
      </c>
      <c r="F114" s="13">
        <v>16650</v>
      </c>
      <c r="G114" s="9">
        <v>44951</v>
      </c>
      <c r="H114" t="s">
        <v>1063</v>
      </c>
      <c r="I114" t="s">
        <v>916</v>
      </c>
      <c r="J114" s="13">
        <v>79087</v>
      </c>
      <c r="K114">
        <v>1</v>
      </c>
      <c r="L114" t="s">
        <v>1064</v>
      </c>
      <c r="M114" t="s">
        <v>1065</v>
      </c>
      <c r="N114" s="15" t="s">
        <v>6878</v>
      </c>
    </row>
    <row r="115" spans="1:14" x14ac:dyDescent="0.2">
      <c r="A115" t="s">
        <v>1188</v>
      </c>
      <c r="B115" t="s">
        <v>1062</v>
      </c>
      <c r="C115" s="9">
        <v>44943</v>
      </c>
      <c r="D115" t="s">
        <v>442</v>
      </c>
      <c r="E115" s="13">
        <v>2525000</v>
      </c>
      <c r="F115" s="13">
        <v>16650</v>
      </c>
      <c r="G115" s="9">
        <v>44951</v>
      </c>
      <c r="H115" t="s">
        <v>1063</v>
      </c>
      <c r="I115" t="s">
        <v>916</v>
      </c>
      <c r="J115" s="13">
        <v>84082</v>
      </c>
      <c r="K115">
        <v>1</v>
      </c>
      <c r="L115" t="s">
        <v>1064</v>
      </c>
      <c r="M115" t="s">
        <v>1065</v>
      </c>
      <c r="N115" s="15" t="s">
        <v>6878</v>
      </c>
    </row>
    <row r="116" spans="1:14" x14ac:dyDescent="0.2">
      <c r="A116" t="s">
        <v>1189</v>
      </c>
      <c r="B116" t="s">
        <v>1069</v>
      </c>
      <c r="C116" s="9">
        <v>44944</v>
      </c>
      <c r="D116" t="s">
        <v>958</v>
      </c>
      <c r="E116" s="13">
        <v>14582000</v>
      </c>
      <c r="F116" s="13">
        <v>159840</v>
      </c>
      <c r="G116" s="9">
        <v>44952</v>
      </c>
      <c r="H116" t="s">
        <v>1063</v>
      </c>
      <c r="I116" t="s">
        <v>1074</v>
      </c>
      <c r="J116" s="13">
        <v>323720</v>
      </c>
      <c r="K116">
        <v>8</v>
      </c>
      <c r="L116" t="s">
        <v>1064</v>
      </c>
      <c r="M116" t="s">
        <v>1075</v>
      </c>
      <c r="N116" s="15" t="s">
        <v>6878</v>
      </c>
    </row>
    <row r="117" spans="1:14" x14ac:dyDescent="0.2">
      <c r="A117" t="s">
        <v>1190</v>
      </c>
      <c r="B117" t="s">
        <v>1062</v>
      </c>
      <c r="C117" s="9">
        <v>44945</v>
      </c>
      <c r="D117" t="s">
        <v>442</v>
      </c>
      <c r="E117" s="13">
        <v>1950000</v>
      </c>
      <c r="F117" s="13">
        <v>16650</v>
      </c>
      <c r="G117" s="9">
        <v>44951</v>
      </c>
      <c r="H117" t="s">
        <v>1063</v>
      </c>
      <c r="I117" t="s">
        <v>916</v>
      </c>
      <c r="J117" s="13">
        <v>64935</v>
      </c>
      <c r="K117">
        <v>1</v>
      </c>
      <c r="L117" t="s">
        <v>1064</v>
      </c>
      <c r="M117" t="s">
        <v>1065</v>
      </c>
      <c r="N117" s="15" t="s">
        <v>6878</v>
      </c>
    </row>
    <row r="118" spans="1:14" x14ac:dyDescent="0.2">
      <c r="A118" t="s">
        <v>1191</v>
      </c>
      <c r="B118" t="s">
        <v>1062</v>
      </c>
      <c r="C118" s="9">
        <v>44945</v>
      </c>
      <c r="D118" t="s">
        <v>442</v>
      </c>
      <c r="E118" s="13">
        <v>3187500</v>
      </c>
      <c r="F118" s="13">
        <v>16650</v>
      </c>
      <c r="G118" s="9">
        <v>44951</v>
      </c>
      <c r="H118" t="s">
        <v>1063</v>
      </c>
      <c r="I118" t="s">
        <v>916</v>
      </c>
      <c r="J118" s="13">
        <v>106143</v>
      </c>
      <c r="K118">
        <v>1</v>
      </c>
      <c r="L118" t="s">
        <v>1064</v>
      </c>
      <c r="M118" t="s">
        <v>1065</v>
      </c>
      <c r="N118" s="15" t="s">
        <v>6878</v>
      </c>
    </row>
    <row r="119" spans="1:14" x14ac:dyDescent="0.2">
      <c r="A119" t="s">
        <v>1192</v>
      </c>
      <c r="B119" t="s">
        <v>1062</v>
      </c>
      <c r="C119" s="9">
        <v>44945</v>
      </c>
      <c r="D119" t="s">
        <v>442</v>
      </c>
      <c r="E119" s="13">
        <v>2900000</v>
      </c>
      <c r="F119" s="13">
        <v>16650</v>
      </c>
      <c r="G119" s="9">
        <v>44951</v>
      </c>
      <c r="H119" t="s">
        <v>1063</v>
      </c>
      <c r="I119" t="s">
        <v>916</v>
      </c>
      <c r="J119" s="13">
        <v>96570</v>
      </c>
      <c r="K119">
        <v>1</v>
      </c>
      <c r="L119" t="s">
        <v>1064</v>
      </c>
      <c r="M119" t="s">
        <v>1065</v>
      </c>
      <c r="N119" s="15" t="s">
        <v>6878</v>
      </c>
    </row>
    <row r="120" spans="1:14" x14ac:dyDescent="0.2">
      <c r="A120" t="s">
        <v>1193</v>
      </c>
      <c r="B120" t="s">
        <v>1062</v>
      </c>
      <c r="C120" s="9">
        <v>44945</v>
      </c>
      <c r="D120" t="s">
        <v>442</v>
      </c>
      <c r="E120" s="13">
        <v>2900000</v>
      </c>
      <c r="F120" s="13">
        <v>16650</v>
      </c>
      <c r="G120" s="9">
        <v>44951</v>
      </c>
      <c r="H120" t="s">
        <v>1063</v>
      </c>
      <c r="I120" t="s">
        <v>916</v>
      </c>
      <c r="J120" s="13">
        <v>96570</v>
      </c>
      <c r="K120">
        <v>1</v>
      </c>
      <c r="L120" t="s">
        <v>1064</v>
      </c>
      <c r="M120" t="s">
        <v>1065</v>
      </c>
      <c r="N120" s="15" t="s">
        <v>6878</v>
      </c>
    </row>
    <row r="121" spans="1:14" x14ac:dyDescent="0.2">
      <c r="A121" t="s">
        <v>1194</v>
      </c>
      <c r="B121" t="s">
        <v>1062</v>
      </c>
      <c r="C121" s="9">
        <v>44945</v>
      </c>
      <c r="D121" t="s">
        <v>442</v>
      </c>
      <c r="E121" s="13">
        <v>2900000</v>
      </c>
      <c r="F121" s="13">
        <v>16650</v>
      </c>
      <c r="G121" s="9">
        <v>44951</v>
      </c>
      <c r="H121" t="s">
        <v>1063</v>
      </c>
      <c r="I121" t="s">
        <v>916</v>
      </c>
      <c r="J121" s="13">
        <v>96570</v>
      </c>
      <c r="K121">
        <v>1</v>
      </c>
      <c r="L121" t="s">
        <v>1064</v>
      </c>
      <c r="M121" t="s">
        <v>1065</v>
      </c>
      <c r="N121" s="15" t="s">
        <v>6878</v>
      </c>
    </row>
    <row r="122" spans="1:14" x14ac:dyDescent="0.2">
      <c r="A122" t="s">
        <v>1195</v>
      </c>
      <c r="B122" t="s">
        <v>1062</v>
      </c>
      <c r="C122" s="9">
        <v>44945</v>
      </c>
      <c r="D122" t="s">
        <v>442</v>
      </c>
      <c r="E122" s="13">
        <v>2900000</v>
      </c>
      <c r="F122" s="13">
        <v>16650</v>
      </c>
      <c r="G122" s="9">
        <v>44951</v>
      </c>
      <c r="H122" t="s">
        <v>1063</v>
      </c>
      <c r="I122" t="s">
        <v>916</v>
      </c>
      <c r="J122" s="13">
        <v>96570</v>
      </c>
      <c r="K122">
        <v>1</v>
      </c>
      <c r="L122" t="s">
        <v>1064</v>
      </c>
      <c r="M122" t="s">
        <v>1065</v>
      </c>
      <c r="N122" s="15" t="s">
        <v>6878</v>
      </c>
    </row>
    <row r="123" spans="1:14" x14ac:dyDescent="0.2">
      <c r="A123" t="s">
        <v>1196</v>
      </c>
      <c r="B123" t="s">
        <v>1062</v>
      </c>
      <c r="C123" s="9">
        <v>44945</v>
      </c>
      <c r="D123" t="s">
        <v>442</v>
      </c>
      <c r="E123" s="13">
        <v>2900000</v>
      </c>
      <c r="F123" s="13">
        <v>16650</v>
      </c>
      <c r="G123" s="9">
        <v>44951</v>
      </c>
      <c r="H123" t="s">
        <v>1063</v>
      </c>
      <c r="I123" t="s">
        <v>916</v>
      </c>
      <c r="J123" s="13">
        <v>96570</v>
      </c>
      <c r="K123">
        <v>1</v>
      </c>
      <c r="L123" t="s">
        <v>1064</v>
      </c>
      <c r="M123" t="s">
        <v>1065</v>
      </c>
      <c r="N123" s="15" t="s">
        <v>6878</v>
      </c>
    </row>
    <row r="124" spans="1:14" x14ac:dyDescent="0.2">
      <c r="A124" t="s">
        <v>1197</v>
      </c>
      <c r="B124" t="s">
        <v>1062</v>
      </c>
      <c r="C124" s="9">
        <v>44945</v>
      </c>
      <c r="D124" t="s">
        <v>442</v>
      </c>
      <c r="E124" s="13">
        <v>2900000</v>
      </c>
      <c r="F124" s="13">
        <v>16650</v>
      </c>
      <c r="G124" s="9">
        <v>44951</v>
      </c>
      <c r="H124" t="s">
        <v>1063</v>
      </c>
      <c r="I124" t="s">
        <v>916</v>
      </c>
      <c r="J124" s="13">
        <v>96570</v>
      </c>
      <c r="K124">
        <v>1</v>
      </c>
      <c r="L124" t="s">
        <v>1064</v>
      </c>
      <c r="M124" t="s">
        <v>1065</v>
      </c>
      <c r="N124" s="15" t="s">
        <v>6878</v>
      </c>
    </row>
    <row r="125" spans="1:14" x14ac:dyDescent="0.2">
      <c r="A125" t="s">
        <v>1198</v>
      </c>
      <c r="B125" t="s">
        <v>1062</v>
      </c>
      <c r="C125" s="9">
        <v>44945</v>
      </c>
      <c r="D125" t="s">
        <v>442</v>
      </c>
      <c r="E125" s="13">
        <v>2900000</v>
      </c>
      <c r="F125" s="13">
        <v>16650</v>
      </c>
      <c r="G125" s="9">
        <v>44951</v>
      </c>
      <c r="H125" t="s">
        <v>1063</v>
      </c>
      <c r="I125" t="s">
        <v>916</v>
      </c>
      <c r="J125" s="13">
        <v>96570</v>
      </c>
      <c r="K125">
        <v>1</v>
      </c>
      <c r="L125" t="s">
        <v>1064</v>
      </c>
      <c r="M125" t="s">
        <v>1065</v>
      </c>
      <c r="N125" s="15" t="s">
        <v>6878</v>
      </c>
    </row>
    <row r="126" spans="1:14" x14ac:dyDescent="0.2">
      <c r="A126" t="s">
        <v>1199</v>
      </c>
      <c r="B126" t="s">
        <v>1062</v>
      </c>
      <c r="C126" s="9">
        <v>44945</v>
      </c>
      <c r="D126" t="s">
        <v>442</v>
      </c>
      <c r="E126" s="13">
        <v>2900000</v>
      </c>
      <c r="F126" s="13">
        <v>16650</v>
      </c>
      <c r="G126" s="9">
        <v>44951</v>
      </c>
      <c r="H126" t="s">
        <v>1063</v>
      </c>
      <c r="I126" t="s">
        <v>916</v>
      </c>
      <c r="J126" s="13">
        <v>96570</v>
      </c>
      <c r="K126">
        <v>1</v>
      </c>
      <c r="L126" t="s">
        <v>1064</v>
      </c>
      <c r="M126" t="s">
        <v>1065</v>
      </c>
      <c r="N126" s="15" t="s">
        <v>6878</v>
      </c>
    </row>
    <row r="127" spans="1:14" x14ac:dyDescent="0.2">
      <c r="A127" t="s">
        <v>1200</v>
      </c>
      <c r="B127" t="s">
        <v>1062</v>
      </c>
      <c r="C127" s="9">
        <v>44945</v>
      </c>
      <c r="D127" t="s">
        <v>442</v>
      </c>
      <c r="E127" s="13">
        <v>2900000</v>
      </c>
      <c r="F127" s="13">
        <v>16650</v>
      </c>
      <c r="G127" s="9">
        <v>44951</v>
      </c>
      <c r="H127" t="s">
        <v>1063</v>
      </c>
      <c r="I127" t="s">
        <v>916</v>
      </c>
      <c r="J127" s="13">
        <v>96570</v>
      </c>
      <c r="K127">
        <v>1</v>
      </c>
      <c r="L127" t="s">
        <v>1064</v>
      </c>
      <c r="M127" t="s">
        <v>1065</v>
      </c>
      <c r="N127" s="15" t="s">
        <v>6878</v>
      </c>
    </row>
    <row r="128" spans="1:14" x14ac:dyDescent="0.2">
      <c r="A128" t="s">
        <v>1201</v>
      </c>
      <c r="B128" t="s">
        <v>1062</v>
      </c>
      <c r="C128" s="9">
        <v>44945</v>
      </c>
      <c r="D128" t="s">
        <v>442</v>
      </c>
      <c r="E128" s="13">
        <v>2900000</v>
      </c>
      <c r="F128" s="13">
        <v>16650</v>
      </c>
      <c r="G128" s="9">
        <v>44951</v>
      </c>
      <c r="H128" t="s">
        <v>1063</v>
      </c>
      <c r="I128" t="s">
        <v>916</v>
      </c>
      <c r="J128" s="13">
        <v>96570</v>
      </c>
      <c r="K128">
        <v>1</v>
      </c>
      <c r="L128" t="s">
        <v>1064</v>
      </c>
      <c r="M128" t="s">
        <v>1065</v>
      </c>
      <c r="N128" s="15" t="s">
        <v>6878</v>
      </c>
    </row>
    <row r="129" spans="1:14" x14ac:dyDescent="0.2">
      <c r="A129" t="s">
        <v>1202</v>
      </c>
      <c r="B129" t="s">
        <v>1062</v>
      </c>
      <c r="C129" s="9">
        <v>44945</v>
      </c>
      <c r="D129" t="s">
        <v>442</v>
      </c>
      <c r="E129" s="13">
        <v>2900000</v>
      </c>
      <c r="F129" s="13">
        <v>16650</v>
      </c>
      <c r="G129" s="9">
        <v>44951</v>
      </c>
      <c r="H129" t="s">
        <v>1063</v>
      </c>
      <c r="I129" t="s">
        <v>916</v>
      </c>
      <c r="J129" s="13">
        <v>96570</v>
      </c>
      <c r="K129">
        <v>1</v>
      </c>
      <c r="L129" t="s">
        <v>1064</v>
      </c>
      <c r="M129" t="s">
        <v>1065</v>
      </c>
      <c r="N129" s="15" t="s">
        <v>6878</v>
      </c>
    </row>
    <row r="130" spans="1:14" x14ac:dyDescent="0.2">
      <c r="A130" t="s">
        <v>1203</v>
      </c>
      <c r="B130" t="s">
        <v>1062</v>
      </c>
      <c r="C130" s="9">
        <v>44945</v>
      </c>
      <c r="D130" t="s">
        <v>442</v>
      </c>
      <c r="E130" s="13">
        <v>2900000</v>
      </c>
      <c r="F130" s="13">
        <v>16650</v>
      </c>
      <c r="G130" s="9">
        <v>44951</v>
      </c>
      <c r="H130" t="s">
        <v>1063</v>
      </c>
      <c r="I130" t="s">
        <v>916</v>
      </c>
      <c r="J130" s="13">
        <v>96570</v>
      </c>
      <c r="K130">
        <v>1</v>
      </c>
      <c r="L130" t="s">
        <v>1064</v>
      </c>
      <c r="M130" t="s">
        <v>1065</v>
      </c>
      <c r="N130" s="15" t="s">
        <v>6878</v>
      </c>
    </row>
    <row r="131" spans="1:14" x14ac:dyDescent="0.2">
      <c r="A131" t="s">
        <v>1204</v>
      </c>
      <c r="B131" t="s">
        <v>1062</v>
      </c>
      <c r="C131" s="9">
        <v>44945</v>
      </c>
      <c r="D131" t="s">
        <v>442</v>
      </c>
      <c r="E131" s="13">
        <v>2900000</v>
      </c>
      <c r="F131" s="13">
        <v>16650</v>
      </c>
      <c r="G131" s="9">
        <v>44951</v>
      </c>
      <c r="H131" t="s">
        <v>1063</v>
      </c>
      <c r="I131" t="s">
        <v>916</v>
      </c>
      <c r="J131" s="13">
        <v>96570</v>
      </c>
      <c r="K131">
        <v>1</v>
      </c>
      <c r="L131" t="s">
        <v>1064</v>
      </c>
      <c r="M131" t="s">
        <v>1065</v>
      </c>
      <c r="N131" s="15" t="s">
        <v>6878</v>
      </c>
    </row>
    <row r="132" spans="1:14" x14ac:dyDescent="0.2">
      <c r="A132" t="s">
        <v>1205</v>
      </c>
      <c r="B132" t="s">
        <v>1062</v>
      </c>
      <c r="C132" s="9">
        <v>44945</v>
      </c>
      <c r="D132" t="s">
        <v>442</v>
      </c>
      <c r="E132" s="13">
        <v>2900000</v>
      </c>
      <c r="F132" s="13">
        <v>16650</v>
      </c>
      <c r="G132" s="9">
        <v>44951</v>
      </c>
      <c r="H132" t="s">
        <v>1063</v>
      </c>
      <c r="I132" t="s">
        <v>916</v>
      </c>
      <c r="J132" s="13">
        <v>96570</v>
      </c>
      <c r="K132">
        <v>1</v>
      </c>
      <c r="L132" t="s">
        <v>1064</v>
      </c>
      <c r="M132" t="s">
        <v>1065</v>
      </c>
      <c r="N132" s="15" t="s">
        <v>6878</v>
      </c>
    </row>
    <row r="133" spans="1:14" x14ac:dyDescent="0.2">
      <c r="A133" t="s">
        <v>1206</v>
      </c>
      <c r="B133" t="s">
        <v>1062</v>
      </c>
      <c r="C133" s="9">
        <v>44945</v>
      </c>
      <c r="D133" t="s">
        <v>442</v>
      </c>
      <c r="E133" s="13">
        <v>2900000</v>
      </c>
      <c r="F133" s="13">
        <v>16650</v>
      </c>
      <c r="G133" s="9">
        <v>44951</v>
      </c>
      <c r="H133" t="s">
        <v>1063</v>
      </c>
      <c r="I133" t="s">
        <v>916</v>
      </c>
      <c r="J133" s="13">
        <v>96570</v>
      </c>
      <c r="K133">
        <v>1</v>
      </c>
      <c r="L133" t="s">
        <v>1064</v>
      </c>
      <c r="M133" t="s">
        <v>1065</v>
      </c>
      <c r="N133" s="15" t="s">
        <v>6878</v>
      </c>
    </row>
    <row r="134" spans="1:14" x14ac:dyDescent="0.2">
      <c r="A134" t="s">
        <v>1207</v>
      </c>
      <c r="B134" t="s">
        <v>1062</v>
      </c>
      <c r="C134" s="9">
        <v>44945</v>
      </c>
      <c r="D134" t="s">
        <v>442</v>
      </c>
      <c r="E134" s="13">
        <v>2900000</v>
      </c>
      <c r="F134" s="13">
        <v>16650</v>
      </c>
      <c r="G134" s="9">
        <v>44951</v>
      </c>
      <c r="H134" t="s">
        <v>1063</v>
      </c>
      <c r="I134" t="s">
        <v>916</v>
      </c>
      <c r="J134" s="13">
        <v>96570</v>
      </c>
      <c r="K134">
        <v>1</v>
      </c>
      <c r="L134" t="s">
        <v>1064</v>
      </c>
      <c r="M134" t="s">
        <v>1065</v>
      </c>
      <c r="N134" s="15" t="s">
        <v>6878</v>
      </c>
    </row>
    <row r="135" spans="1:14" x14ac:dyDescent="0.2">
      <c r="A135" t="s">
        <v>1208</v>
      </c>
      <c r="B135" t="s">
        <v>1062</v>
      </c>
      <c r="C135" s="9">
        <v>44945</v>
      </c>
      <c r="D135" t="s">
        <v>1022</v>
      </c>
      <c r="E135" s="13">
        <v>4000000</v>
      </c>
      <c r="F135" s="13">
        <v>55500</v>
      </c>
      <c r="G135" s="9">
        <v>44970</v>
      </c>
      <c r="H135" t="s">
        <v>1111</v>
      </c>
      <c r="I135" t="s">
        <v>214</v>
      </c>
      <c r="J135" s="13">
        <v>88800</v>
      </c>
      <c r="K135">
        <v>2</v>
      </c>
      <c r="L135" t="s">
        <v>1064</v>
      </c>
      <c r="M135" t="s">
        <v>1112</v>
      </c>
      <c r="N135" s="15" t="s">
        <v>6878</v>
      </c>
    </row>
    <row r="136" spans="1:14" x14ac:dyDescent="0.2">
      <c r="A136" t="s">
        <v>1209</v>
      </c>
      <c r="B136" t="s">
        <v>1062</v>
      </c>
      <c r="C136" s="9">
        <v>44945</v>
      </c>
      <c r="D136" t="s">
        <v>442</v>
      </c>
      <c r="E136" s="13">
        <v>2900000</v>
      </c>
      <c r="F136" s="13">
        <v>16650</v>
      </c>
      <c r="G136" s="9">
        <v>44951</v>
      </c>
      <c r="H136" t="s">
        <v>1063</v>
      </c>
      <c r="I136" t="s">
        <v>916</v>
      </c>
      <c r="J136" s="13">
        <v>96570</v>
      </c>
      <c r="K136">
        <v>1</v>
      </c>
      <c r="L136" t="s">
        <v>1064</v>
      </c>
      <c r="M136" t="s">
        <v>1065</v>
      </c>
      <c r="N136" s="15" t="s">
        <v>6878</v>
      </c>
    </row>
    <row r="137" spans="1:14" x14ac:dyDescent="0.2">
      <c r="A137" t="s">
        <v>1210</v>
      </c>
      <c r="B137" t="s">
        <v>1062</v>
      </c>
      <c r="C137" s="9">
        <v>44945</v>
      </c>
      <c r="D137" t="s">
        <v>1022</v>
      </c>
      <c r="E137" s="13">
        <v>4000000</v>
      </c>
      <c r="F137" s="13">
        <v>55500</v>
      </c>
      <c r="G137" s="9">
        <v>44970</v>
      </c>
      <c r="H137" t="s">
        <v>1111</v>
      </c>
      <c r="I137" t="s">
        <v>214</v>
      </c>
      <c r="J137" s="13">
        <v>88800</v>
      </c>
      <c r="K137">
        <v>2</v>
      </c>
      <c r="L137" t="s">
        <v>1064</v>
      </c>
      <c r="M137" t="s">
        <v>1112</v>
      </c>
      <c r="N137" s="15" t="s">
        <v>6878</v>
      </c>
    </row>
    <row r="138" spans="1:14" x14ac:dyDescent="0.2">
      <c r="A138" t="s">
        <v>1211</v>
      </c>
      <c r="B138" t="s">
        <v>1062</v>
      </c>
      <c r="C138" s="9">
        <v>44946</v>
      </c>
      <c r="D138" t="s">
        <v>178</v>
      </c>
      <c r="E138" s="13">
        <v>17836000</v>
      </c>
      <c r="F138" s="13">
        <v>310800</v>
      </c>
      <c r="G138" s="9">
        <v>44948</v>
      </c>
      <c r="H138" t="s">
        <v>1063</v>
      </c>
      <c r="I138" t="s">
        <v>904</v>
      </c>
      <c r="J138" s="13"/>
      <c r="K138">
        <v>14</v>
      </c>
      <c r="L138" t="s">
        <v>1064</v>
      </c>
      <c r="M138" t="s">
        <v>1164</v>
      </c>
      <c r="N138" s="15" t="s">
        <v>6878</v>
      </c>
    </row>
    <row r="139" spans="1:14" x14ac:dyDescent="0.2">
      <c r="A139" t="s">
        <v>1212</v>
      </c>
      <c r="B139" t="s">
        <v>1062</v>
      </c>
      <c r="C139" s="9">
        <v>44946</v>
      </c>
      <c r="D139" t="s">
        <v>178</v>
      </c>
      <c r="E139" s="13">
        <v>1273999</v>
      </c>
      <c r="F139" s="13">
        <v>22200</v>
      </c>
      <c r="G139" s="9">
        <v>44948</v>
      </c>
      <c r="H139" t="s">
        <v>1063</v>
      </c>
      <c r="I139" t="s">
        <v>904</v>
      </c>
      <c r="J139" s="13"/>
      <c r="K139">
        <v>1</v>
      </c>
      <c r="L139" t="s">
        <v>1064</v>
      </c>
      <c r="M139" t="s">
        <v>1164</v>
      </c>
      <c r="N139" s="15" t="s">
        <v>6878</v>
      </c>
    </row>
    <row r="140" spans="1:14" x14ac:dyDescent="0.2">
      <c r="A140" t="s">
        <v>1213</v>
      </c>
      <c r="B140" t="s">
        <v>1062</v>
      </c>
      <c r="C140" s="9">
        <v>44946</v>
      </c>
      <c r="D140" t="s">
        <v>1022</v>
      </c>
      <c r="E140" s="13">
        <v>6000000</v>
      </c>
      <c r="F140" s="13">
        <v>83250</v>
      </c>
      <c r="G140" s="9">
        <v>44970</v>
      </c>
      <c r="H140" t="s">
        <v>1111</v>
      </c>
      <c r="I140" t="s">
        <v>214</v>
      </c>
      <c r="J140" s="13">
        <v>133200</v>
      </c>
      <c r="K140">
        <v>3</v>
      </c>
      <c r="L140" t="s">
        <v>1064</v>
      </c>
      <c r="M140" t="s">
        <v>1112</v>
      </c>
      <c r="N140" s="15" t="s">
        <v>6878</v>
      </c>
    </row>
    <row r="141" spans="1:14" x14ac:dyDescent="0.2">
      <c r="A141" t="s">
        <v>1214</v>
      </c>
      <c r="B141" t="s">
        <v>1062</v>
      </c>
      <c r="C141" s="9">
        <v>44946</v>
      </c>
      <c r="D141" t="s">
        <v>1022</v>
      </c>
      <c r="E141" s="13">
        <v>2000000</v>
      </c>
      <c r="F141" s="13">
        <v>27750</v>
      </c>
      <c r="G141" s="9">
        <v>45002</v>
      </c>
      <c r="H141" t="s">
        <v>1111</v>
      </c>
      <c r="I141" t="s">
        <v>214</v>
      </c>
      <c r="J141" s="13">
        <v>44400</v>
      </c>
      <c r="K141">
        <v>1</v>
      </c>
      <c r="L141" t="s">
        <v>1064</v>
      </c>
      <c r="M141" t="s">
        <v>1112</v>
      </c>
      <c r="N141" s="15" t="s">
        <v>6878</v>
      </c>
    </row>
    <row r="142" spans="1:14" x14ac:dyDescent="0.2">
      <c r="A142" t="s">
        <v>1215</v>
      </c>
      <c r="B142" t="s">
        <v>1062</v>
      </c>
      <c r="C142" s="9">
        <v>44946</v>
      </c>
      <c r="D142" t="s">
        <v>442</v>
      </c>
      <c r="E142" s="13">
        <v>2900000</v>
      </c>
      <c r="F142" s="13">
        <v>16650</v>
      </c>
      <c r="G142" s="9">
        <v>44951</v>
      </c>
      <c r="H142" t="s">
        <v>1063</v>
      </c>
      <c r="I142" t="s">
        <v>916</v>
      </c>
      <c r="J142" s="13">
        <v>96570</v>
      </c>
      <c r="K142">
        <v>1</v>
      </c>
      <c r="L142" t="s">
        <v>1064</v>
      </c>
      <c r="M142" t="s">
        <v>1065</v>
      </c>
      <c r="N142" s="15" t="s">
        <v>6878</v>
      </c>
    </row>
    <row r="143" spans="1:14" x14ac:dyDescent="0.2">
      <c r="A143" t="s">
        <v>1216</v>
      </c>
      <c r="B143" t="s">
        <v>1062</v>
      </c>
      <c r="C143" s="9">
        <v>44946</v>
      </c>
      <c r="D143" t="s">
        <v>442</v>
      </c>
      <c r="E143" s="13">
        <v>2900000</v>
      </c>
      <c r="F143" s="13">
        <v>16650</v>
      </c>
      <c r="G143" s="9">
        <v>44951</v>
      </c>
      <c r="H143" t="s">
        <v>1063</v>
      </c>
      <c r="I143" t="s">
        <v>916</v>
      </c>
      <c r="J143" s="13">
        <v>96570</v>
      </c>
      <c r="K143">
        <v>1</v>
      </c>
      <c r="L143" t="s">
        <v>1064</v>
      </c>
      <c r="M143" t="s">
        <v>1065</v>
      </c>
      <c r="N143" s="15" t="s">
        <v>6878</v>
      </c>
    </row>
    <row r="144" spans="1:14" x14ac:dyDescent="0.2">
      <c r="A144" t="s">
        <v>1217</v>
      </c>
      <c r="B144" t="s">
        <v>1062</v>
      </c>
      <c r="C144" s="9">
        <v>44946</v>
      </c>
      <c r="D144" t="s">
        <v>442</v>
      </c>
      <c r="E144" s="13">
        <v>2900000</v>
      </c>
      <c r="F144" s="13">
        <v>16650</v>
      </c>
      <c r="G144" s="9">
        <v>44951</v>
      </c>
      <c r="H144" t="s">
        <v>1063</v>
      </c>
      <c r="I144" t="s">
        <v>916</v>
      </c>
      <c r="J144" s="13">
        <v>96570</v>
      </c>
      <c r="K144">
        <v>1</v>
      </c>
      <c r="L144" t="s">
        <v>1064</v>
      </c>
      <c r="M144" t="s">
        <v>1065</v>
      </c>
      <c r="N144" s="15" t="s">
        <v>6878</v>
      </c>
    </row>
    <row r="145" spans="1:14" x14ac:dyDescent="0.2">
      <c r="A145" t="s">
        <v>1218</v>
      </c>
      <c r="B145" t="s">
        <v>1062</v>
      </c>
      <c r="C145" s="9">
        <v>44946</v>
      </c>
      <c r="D145" t="s">
        <v>442</v>
      </c>
      <c r="E145" s="13">
        <v>2900000</v>
      </c>
      <c r="F145" s="13">
        <v>16650</v>
      </c>
      <c r="G145" s="9">
        <v>44951</v>
      </c>
      <c r="H145" t="s">
        <v>1063</v>
      </c>
      <c r="I145" t="s">
        <v>916</v>
      </c>
      <c r="J145" s="13">
        <v>96570</v>
      </c>
      <c r="K145">
        <v>1</v>
      </c>
      <c r="L145" t="s">
        <v>1064</v>
      </c>
      <c r="M145" t="s">
        <v>1065</v>
      </c>
      <c r="N145" s="15" t="s">
        <v>6878</v>
      </c>
    </row>
    <row r="146" spans="1:14" x14ac:dyDescent="0.2">
      <c r="A146" t="s">
        <v>1219</v>
      </c>
      <c r="B146" t="s">
        <v>1062</v>
      </c>
      <c r="C146" s="9">
        <v>44946</v>
      </c>
      <c r="D146" t="s">
        <v>442</v>
      </c>
      <c r="E146" s="13">
        <v>2900000</v>
      </c>
      <c r="F146" s="13">
        <v>16650</v>
      </c>
      <c r="G146" s="9">
        <v>44951</v>
      </c>
      <c r="H146" t="s">
        <v>1063</v>
      </c>
      <c r="I146" t="s">
        <v>916</v>
      </c>
      <c r="J146" s="13">
        <v>96570</v>
      </c>
      <c r="K146">
        <v>1</v>
      </c>
      <c r="L146" t="s">
        <v>1064</v>
      </c>
      <c r="M146" t="s">
        <v>1065</v>
      </c>
      <c r="N146" s="15" t="s">
        <v>6878</v>
      </c>
    </row>
    <row r="147" spans="1:14" x14ac:dyDescent="0.2">
      <c r="A147" t="s">
        <v>1220</v>
      </c>
      <c r="B147" t="s">
        <v>1062</v>
      </c>
      <c r="C147" s="9">
        <v>44946</v>
      </c>
      <c r="D147" t="s">
        <v>442</v>
      </c>
      <c r="E147" s="13">
        <v>2900000</v>
      </c>
      <c r="F147" s="13">
        <v>16650</v>
      </c>
      <c r="G147" s="9">
        <v>44951</v>
      </c>
      <c r="H147" t="s">
        <v>1063</v>
      </c>
      <c r="I147" t="s">
        <v>916</v>
      </c>
      <c r="J147" s="13">
        <v>96570</v>
      </c>
      <c r="K147">
        <v>1</v>
      </c>
      <c r="L147" t="s">
        <v>1064</v>
      </c>
      <c r="M147" t="s">
        <v>1065</v>
      </c>
      <c r="N147" s="15" t="s">
        <v>6878</v>
      </c>
    </row>
    <row r="148" spans="1:14" x14ac:dyDescent="0.2">
      <c r="A148" t="s">
        <v>1221</v>
      </c>
      <c r="B148" t="s">
        <v>1062</v>
      </c>
      <c r="C148" s="9">
        <v>44946</v>
      </c>
      <c r="D148" t="s">
        <v>442</v>
      </c>
      <c r="E148" s="13">
        <v>2900000</v>
      </c>
      <c r="F148" s="13">
        <v>16650</v>
      </c>
      <c r="G148" s="9">
        <v>44951</v>
      </c>
      <c r="H148" t="s">
        <v>1063</v>
      </c>
      <c r="I148" t="s">
        <v>916</v>
      </c>
      <c r="J148" s="13">
        <v>96570</v>
      </c>
      <c r="K148">
        <v>1</v>
      </c>
      <c r="L148" t="s">
        <v>1064</v>
      </c>
      <c r="M148" t="s">
        <v>1065</v>
      </c>
      <c r="N148" s="15" t="s">
        <v>6878</v>
      </c>
    </row>
    <row r="149" spans="1:14" x14ac:dyDescent="0.2">
      <c r="A149" t="s">
        <v>1222</v>
      </c>
      <c r="B149" t="s">
        <v>1062</v>
      </c>
      <c r="C149" s="9">
        <v>44946</v>
      </c>
      <c r="D149" t="s">
        <v>442</v>
      </c>
      <c r="E149" s="13">
        <v>2900000</v>
      </c>
      <c r="F149" s="13">
        <v>16650</v>
      </c>
      <c r="G149" s="9">
        <v>44951</v>
      </c>
      <c r="H149" t="s">
        <v>1063</v>
      </c>
      <c r="I149" t="s">
        <v>916</v>
      </c>
      <c r="J149" s="13">
        <v>96570</v>
      </c>
      <c r="K149">
        <v>1</v>
      </c>
      <c r="L149" t="s">
        <v>1064</v>
      </c>
      <c r="M149" t="s">
        <v>1065</v>
      </c>
      <c r="N149" s="15" t="s">
        <v>6878</v>
      </c>
    </row>
    <row r="150" spans="1:14" x14ac:dyDescent="0.2">
      <c r="A150" t="s">
        <v>1223</v>
      </c>
      <c r="B150" t="s">
        <v>1062</v>
      </c>
      <c r="C150" s="9">
        <v>44946</v>
      </c>
      <c r="D150" t="s">
        <v>442</v>
      </c>
      <c r="E150" s="13">
        <v>2450000</v>
      </c>
      <c r="F150" s="13">
        <v>16650</v>
      </c>
      <c r="G150" s="9">
        <v>44952</v>
      </c>
      <c r="H150" t="s">
        <v>1063</v>
      </c>
      <c r="I150" t="s">
        <v>916</v>
      </c>
      <c r="J150" s="13">
        <v>81585</v>
      </c>
      <c r="K150">
        <v>1</v>
      </c>
      <c r="L150" t="s">
        <v>1064</v>
      </c>
      <c r="M150" t="s">
        <v>1065</v>
      </c>
      <c r="N150" s="15" t="s">
        <v>6878</v>
      </c>
    </row>
    <row r="151" spans="1:14" x14ac:dyDescent="0.2">
      <c r="A151" t="s">
        <v>1224</v>
      </c>
      <c r="B151" t="s">
        <v>1062</v>
      </c>
      <c r="C151" s="9">
        <v>44946</v>
      </c>
      <c r="D151" t="s">
        <v>442</v>
      </c>
      <c r="E151" s="13">
        <v>2625000</v>
      </c>
      <c r="F151" s="13">
        <v>16650</v>
      </c>
      <c r="G151" s="9">
        <v>44951</v>
      </c>
      <c r="H151" t="s">
        <v>1063</v>
      </c>
      <c r="I151" t="s">
        <v>916</v>
      </c>
      <c r="J151" s="13">
        <v>87412</v>
      </c>
      <c r="K151">
        <v>1</v>
      </c>
      <c r="L151" t="s">
        <v>1064</v>
      </c>
      <c r="M151" t="s">
        <v>1065</v>
      </c>
      <c r="N151" s="15" t="s">
        <v>6878</v>
      </c>
    </row>
    <row r="152" spans="1:14" x14ac:dyDescent="0.2">
      <c r="A152" t="s">
        <v>1225</v>
      </c>
      <c r="B152" t="s">
        <v>1062</v>
      </c>
      <c r="C152" s="9">
        <v>44946</v>
      </c>
      <c r="D152" t="s">
        <v>442</v>
      </c>
      <c r="E152" s="13">
        <v>1125000</v>
      </c>
      <c r="F152" s="13">
        <v>16650</v>
      </c>
      <c r="G152" s="9">
        <v>44951</v>
      </c>
      <c r="H152" t="s">
        <v>1063</v>
      </c>
      <c r="I152" t="s">
        <v>916</v>
      </c>
      <c r="J152" s="13">
        <v>37462</v>
      </c>
      <c r="K152">
        <v>1</v>
      </c>
      <c r="L152" t="s">
        <v>1064</v>
      </c>
      <c r="M152" t="s">
        <v>1065</v>
      </c>
      <c r="N152" s="15" t="s">
        <v>6878</v>
      </c>
    </row>
    <row r="153" spans="1:14" x14ac:dyDescent="0.2">
      <c r="A153" t="s">
        <v>1226</v>
      </c>
      <c r="B153" t="s">
        <v>1062</v>
      </c>
      <c r="C153" s="9">
        <v>44946</v>
      </c>
      <c r="D153" t="s">
        <v>442</v>
      </c>
      <c r="E153" s="13">
        <v>2381250</v>
      </c>
      <c r="F153" s="13">
        <v>16650</v>
      </c>
      <c r="G153" s="9">
        <v>44957</v>
      </c>
      <c r="H153" t="s">
        <v>1063</v>
      </c>
      <c r="I153" t="s">
        <v>916</v>
      </c>
      <c r="J153" s="13">
        <v>79295</v>
      </c>
      <c r="K153">
        <v>1</v>
      </c>
      <c r="L153" t="s">
        <v>1064</v>
      </c>
      <c r="M153" t="s">
        <v>1065</v>
      </c>
      <c r="N153" s="15" t="s">
        <v>6878</v>
      </c>
    </row>
    <row r="154" spans="1:14" x14ac:dyDescent="0.2">
      <c r="A154" t="s">
        <v>1227</v>
      </c>
      <c r="B154" t="s">
        <v>1062</v>
      </c>
      <c r="C154" s="9">
        <v>44946</v>
      </c>
      <c r="D154" t="s">
        <v>442</v>
      </c>
      <c r="E154" s="13">
        <v>2625000</v>
      </c>
      <c r="F154" s="13">
        <v>16650</v>
      </c>
      <c r="G154" s="9">
        <v>44957</v>
      </c>
      <c r="H154" t="s">
        <v>1063</v>
      </c>
      <c r="I154" t="s">
        <v>916</v>
      </c>
      <c r="J154" s="13">
        <v>87412</v>
      </c>
      <c r="K154">
        <v>1</v>
      </c>
      <c r="L154" t="s">
        <v>1064</v>
      </c>
      <c r="M154" t="s">
        <v>1065</v>
      </c>
      <c r="N154" s="15" t="s">
        <v>6878</v>
      </c>
    </row>
    <row r="155" spans="1:14" x14ac:dyDescent="0.2">
      <c r="A155" t="s">
        <v>1228</v>
      </c>
      <c r="B155" t="s">
        <v>1062</v>
      </c>
      <c r="C155" s="9">
        <v>44946</v>
      </c>
      <c r="D155" t="s">
        <v>442</v>
      </c>
      <c r="E155" s="13">
        <v>2520000</v>
      </c>
      <c r="F155" s="13">
        <v>16650</v>
      </c>
      <c r="G155" s="9">
        <v>44957</v>
      </c>
      <c r="H155" t="s">
        <v>1063</v>
      </c>
      <c r="I155" t="s">
        <v>916</v>
      </c>
      <c r="J155" s="13">
        <v>83916</v>
      </c>
      <c r="K155">
        <v>1</v>
      </c>
      <c r="L155" t="s">
        <v>1064</v>
      </c>
      <c r="M155" t="s">
        <v>1065</v>
      </c>
      <c r="N155" s="15" t="s">
        <v>6878</v>
      </c>
    </row>
    <row r="156" spans="1:14" x14ac:dyDescent="0.2">
      <c r="A156" t="s">
        <v>1229</v>
      </c>
      <c r="B156" t="s">
        <v>1062</v>
      </c>
      <c r="C156" s="9">
        <v>44946</v>
      </c>
      <c r="D156" t="s">
        <v>442</v>
      </c>
      <c r="E156" s="13">
        <v>2450000</v>
      </c>
      <c r="F156" s="13">
        <v>16650</v>
      </c>
      <c r="G156" s="9">
        <v>44957</v>
      </c>
      <c r="H156" t="s">
        <v>1063</v>
      </c>
      <c r="I156" t="s">
        <v>916</v>
      </c>
      <c r="J156" s="13">
        <v>81585</v>
      </c>
      <c r="K156">
        <v>1</v>
      </c>
      <c r="L156" t="s">
        <v>1064</v>
      </c>
      <c r="M156" t="s">
        <v>1065</v>
      </c>
      <c r="N156" s="15" t="s">
        <v>6878</v>
      </c>
    </row>
    <row r="157" spans="1:14" x14ac:dyDescent="0.2">
      <c r="A157" t="s">
        <v>1230</v>
      </c>
      <c r="B157" t="s">
        <v>1062</v>
      </c>
      <c r="C157" s="9">
        <v>44946</v>
      </c>
      <c r="D157" t="s">
        <v>442</v>
      </c>
      <c r="E157" s="13">
        <v>2625000</v>
      </c>
      <c r="F157" s="13">
        <v>16650</v>
      </c>
      <c r="G157" s="9">
        <v>44957</v>
      </c>
      <c r="H157" t="s">
        <v>1063</v>
      </c>
      <c r="I157" t="s">
        <v>916</v>
      </c>
      <c r="J157" s="13">
        <v>87412</v>
      </c>
      <c r="K157">
        <v>1</v>
      </c>
      <c r="L157" t="s">
        <v>1064</v>
      </c>
      <c r="M157" t="s">
        <v>1065</v>
      </c>
      <c r="N157" s="15" t="s">
        <v>6878</v>
      </c>
    </row>
    <row r="158" spans="1:14" x14ac:dyDescent="0.2">
      <c r="A158" t="s">
        <v>1231</v>
      </c>
      <c r="B158" t="s">
        <v>1062</v>
      </c>
      <c r="C158" s="9">
        <v>44946</v>
      </c>
      <c r="D158" t="s">
        <v>442</v>
      </c>
      <c r="E158" s="13">
        <v>1440000</v>
      </c>
      <c r="F158" s="13">
        <v>16650</v>
      </c>
      <c r="G158" s="9">
        <v>44957</v>
      </c>
      <c r="H158" t="s">
        <v>1063</v>
      </c>
      <c r="I158" t="s">
        <v>916</v>
      </c>
      <c r="J158" s="13">
        <v>47952</v>
      </c>
      <c r="K158">
        <v>1</v>
      </c>
      <c r="L158" t="s">
        <v>1064</v>
      </c>
      <c r="M158" t="s">
        <v>1065</v>
      </c>
      <c r="N158" s="15" t="s">
        <v>6878</v>
      </c>
    </row>
    <row r="159" spans="1:14" x14ac:dyDescent="0.2">
      <c r="A159" t="s">
        <v>1232</v>
      </c>
      <c r="B159" t="s">
        <v>1069</v>
      </c>
      <c r="C159" s="9">
        <v>44946</v>
      </c>
      <c r="D159" t="s">
        <v>442</v>
      </c>
      <c r="E159" s="13">
        <v>1225000</v>
      </c>
      <c r="F159" s="13">
        <v>16650</v>
      </c>
      <c r="G159" s="9">
        <v>44957</v>
      </c>
      <c r="H159" t="s">
        <v>1063</v>
      </c>
      <c r="I159" t="s">
        <v>916</v>
      </c>
      <c r="J159" s="13">
        <v>40792</v>
      </c>
      <c r="K159">
        <v>1</v>
      </c>
      <c r="L159" t="s">
        <v>1064</v>
      </c>
      <c r="M159" t="s">
        <v>1065</v>
      </c>
      <c r="N159" s="15" t="s">
        <v>6878</v>
      </c>
    </row>
    <row r="160" spans="1:14" x14ac:dyDescent="0.2">
      <c r="A160" t="s">
        <v>1233</v>
      </c>
      <c r="B160" t="s">
        <v>1069</v>
      </c>
      <c r="C160" s="9">
        <v>44946</v>
      </c>
      <c r="D160" t="s">
        <v>442</v>
      </c>
      <c r="E160" s="13">
        <v>1225000</v>
      </c>
      <c r="F160" s="13">
        <v>16650</v>
      </c>
      <c r="G160" s="9">
        <v>44980</v>
      </c>
      <c r="H160" t="s">
        <v>1063</v>
      </c>
      <c r="I160" t="s">
        <v>916</v>
      </c>
      <c r="J160" s="13">
        <v>40792</v>
      </c>
      <c r="K160">
        <v>1</v>
      </c>
      <c r="L160" t="s">
        <v>1064</v>
      </c>
      <c r="M160" t="s">
        <v>1065</v>
      </c>
      <c r="N160" s="15" t="s">
        <v>6878</v>
      </c>
    </row>
    <row r="161" spans="1:14" x14ac:dyDescent="0.2">
      <c r="A161" t="s">
        <v>1234</v>
      </c>
      <c r="B161" t="s">
        <v>1062</v>
      </c>
      <c r="C161" s="9">
        <v>44946</v>
      </c>
      <c r="D161" t="s">
        <v>442</v>
      </c>
      <c r="E161" s="13">
        <v>2575000</v>
      </c>
      <c r="F161" s="13">
        <v>16650</v>
      </c>
      <c r="G161" s="9">
        <v>44957</v>
      </c>
      <c r="H161" t="s">
        <v>1063</v>
      </c>
      <c r="I161" t="s">
        <v>916</v>
      </c>
      <c r="J161" s="13">
        <v>85747</v>
      </c>
      <c r="K161">
        <v>1</v>
      </c>
      <c r="L161" t="s">
        <v>1064</v>
      </c>
      <c r="M161" t="s">
        <v>1065</v>
      </c>
      <c r="N161" s="15" t="s">
        <v>6878</v>
      </c>
    </row>
    <row r="162" spans="1:14" x14ac:dyDescent="0.2">
      <c r="A162" t="s">
        <v>1235</v>
      </c>
      <c r="B162" t="s">
        <v>1062</v>
      </c>
      <c r="C162" s="9">
        <v>44946</v>
      </c>
      <c r="D162" t="s">
        <v>442</v>
      </c>
      <c r="E162" s="13">
        <v>2375000</v>
      </c>
      <c r="F162" s="13">
        <v>16650</v>
      </c>
      <c r="G162" s="9">
        <v>44957</v>
      </c>
      <c r="H162" t="s">
        <v>1063</v>
      </c>
      <c r="I162" t="s">
        <v>916</v>
      </c>
      <c r="J162" s="13">
        <v>79087</v>
      </c>
      <c r="K162">
        <v>1</v>
      </c>
      <c r="L162" t="s">
        <v>1064</v>
      </c>
      <c r="M162" t="s">
        <v>1065</v>
      </c>
      <c r="N162" s="15" t="s">
        <v>6878</v>
      </c>
    </row>
    <row r="163" spans="1:14" x14ac:dyDescent="0.2">
      <c r="A163" t="s">
        <v>1236</v>
      </c>
      <c r="B163" t="s">
        <v>1062</v>
      </c>
      <c r="C163" s="9">
        <v>44946</v>
      </c>
      <c r="D163" t="s">
        <v>442</v>
      </c>
      <c r="E163" s="13">
        <v>2625000</v>
      </c>
      <c r="F163" s="13">
        <v>16650</v>
      </c>
      <c r="G163" s="9">
        <v>44957</v>
      </c>
      <c r="H163" t="s">
        <v>1063</v>
      </c>
      <c r="I163" t="s">
        <v>916</v>
      </c>
      <c r="J163" s="13">
        <v>87412</v>
      </c>
      <c r="K163">
        <v>1</v>
      </c>
      <c r="L163" t="s">
        <v>1064</v>
      </c>
      <c r="M163" t="s">
        <v>1065</v>
      </c>
      <c r="N163" s="15" t="s">
        <v>6878</v>
      </c>
    </row>
    <row r="164" spans="1:14" x14ac:dyDescent="0.2">
      <c r="A164" t="s">
        <v>1237</v>
      </c>
      <c r="B164" t="s">
        <v>1062</v>
      </c>
      <c r="C164" s="9">
        <v>44946</v>
      </c>
      <c r="D164" t="s">
        <v>442</v>
      </c>
      <c r="E164" s="13">
        <v>1125000</v>
      </c>
      <c r="F164" s="13">
        <v>16650</v>
      </c>
      <c r="G164" s="9">
        <v>44957</v>
      </c>
      <c r="H164" t="s">
        <v>1063</v>
      </c>
      <c r="I164" t="s">
        <v>916</v>
      </c>
      <c r="J164" s="13">
        <v>37462</v>
      </c>
      <c r="K164">
        <v>1</v>
      </c>
      <c r="L164" t="s">
        <v>1064</v>
      </c>
      <c r="M164" t="s">
        <v>1065</v>
      </c>
      <c r="N164" s="15" t="s">
        <v>6878</v>
      </c>
    </row>
    <row r="165" spans="1:14" x14ac:dyDescent="0.2">
      <c r="A165" t="s">
        <v>1238</v>
      </c>
      <c r="B165" t="s">
        <v>1062</v>
      </c>
      <c r="C165" s="9">
        <v>44946</v>
      </c>
      <c r="D165" t="s">
        <v>442</v>
      </c>
      <c r="E165" s="13">
        <v>2000000</v>
      </c>
      <c r="F165" s="13">
        <v>16650</v>
      </c>
      <c r="G165" s="9">
        <v>44980</v>
      </c>
      <c r="H165" t="s">
        <v>1063</v>
      </c>
      <c r="I165" t="s">
        <v>916</v>
      </c>
      <c r="J165" s="13">
        <v>66600</v>
      </c>
      <c r="K165">
        <v>1</v>
      </c>
      <c r="L165" t="s">
        <v>1064</v>
      </c>
      <c r="M165" t="s">
        <v>1065</v>
      </c>
      <c r="N165" s="15" t="s">
        <v>6878</v>
      </c>
    </row>
    <row r="166" spans="1:14" x14ac:dyDescent="0.2">
      <c r="A166" t="s">
        <v>1239</v>
      </c>
      <c r="B166" t="s">
        <v>1062</v>
      </c>
      <c r="C166" s="9">
        <v>44946</v>
      </c>
      <c r="D166" t="s">
        <v>442</v>
      </c>
      <c r="E166" s="13">
        <v>3075000</v>
      </c>
      <c r="F166" s="13">
        <v>16650</v>
      </c>
      <c r="G166" s="9">
        <v>44957</v>
      </c>
      <c r="H166" t="s">
        <v>1063</v>
      </c>
      <c r="I166" t="s">
        <v>916</v>
      </c>
      <c r="J166" s="13">
        <v>102397</v>
      </c>
      <c r="K166">
        <v>1</v>
      </c>
      <c r="L166" t="s">
        <v>1064</v>
      </c>
      <c r="M166" t="s">
        <v>1065</v>
      </c>
      <c r="N166" s="15" t="s">
        <v>6878</v>
      </c>
    </row>
    <row r="167" spans="1:14" x14ac:dyDescent="0.2">
      <c r="A167" t="s">
        <v>1240</v>
      </c>
      <c r="B167" t="s">
        <v>1062</v>
      </c>
      <c r="C167" s="9">
        <v>44946</v>
      </c>
      <c r="D167" t="s">
        <v>442</v>
      </c>
      <c r="E167" s="13">
        <v>3125000</v>
      </c>
      <c r="F167" s="13">
        <v>16650</v>
      </c>
      <c r="G167" s="9">
        <v>44957</v>
      </c>
      <c r="H167" t="s">
        <v>1063</v>
      </c>
      <c r="I167" t="s">
        <v>916</v>
      </c>
      <c r="J167" s="13">
        <v>104062</v>
      </c>
      <c r="K167">
        <v>1</v>
      </c>
      <c r="L167" t="s">
        <v>1064</v>
      </c>
      <c r="M167" t="s">
        <v>1065</v>
      </c>
      <c r="N167" s="15" t="s">
        <v>6878</v>
      </c>
    </row>
    <row r="168" spans="1:14" x14ac:dyDescent="0.2">
      <c r="A168" t="s">
        <v>1241</v>
      </c>
      <c r="B168" t="s">
        <v>1062</v>
      </c>
      <c r="C168" s="9">
        <v>44946</v>
      </c>
      <c r="D168" t="s">
        <v>442</v>
      </c>
      <c r="E168" s="13">
        <v>2776500</v>
      </c>
      <c r="F168" s="13">
        <v>16650</v>
      </c>
      <c r="G168" s="9">
        <v>44957</v>
      </c>
      <c r="H168" t="s">
        <v>1063</v>
      </c>
      <c r="I168" t="s">
        <v>916</v>
      </c>
      <c r="J168" s="13">
        <v>92457</v>
      </c>
      <c r="K168">
        <v>1</v>
      </c>
      <c r="L168" t="s">
        <v>1064</v>
      </c>
      <c r="M168" t="s">
        <v>1065</v>
      </c>
      <c r="N168" s="15" t="s">
        <v>6878</v>
      </c>
    </row>
    <row r="169" spans="1:14" x14ac:dyDescent="0.2">
      <c r="A169" t="s">
        <v>1242</v>
      </c>
      <c r="B169" t="s">
        <v>1062</v>
      </c>
      <c r="C169" s="9">
        <v>44946</v>
      </c>
      <c r="D169" t="s">
        <v>442</v>
      </c>
      <c r="E169" s="13">
        <v>1075000</v>
      </c>
      <c r="F169" s="13">
        <v>16650</v>
      </c>
      <c r="G169" s="9">
        <v>44957</v>
      </c>
      <c r="H169" t="s">
        <v>1063</v>
      </c>
      <c r="I169" t="s">
        <v>916</v>
      </c>
      <c r="J169" s="13">
        <v>35797</v>
      </c>
      <c r="K169">
        <v>1</v>
      </c>
      <c r="L169" t="s">
        <v>1064</v>
      </c>
      <c r="M169" t="s">
        <v>1065</v>
      </c>
      <c r="N169" s="15" t="s">
        <v>6878</v>
      </c>
    </row>
    <row r="170" spans="1:14" x14ac:dyDescent="0.2">
      <c r="A170" t="s">
        <v>1243</v>
      </c>
      <c r="B170" t="s">
        <v>1062</v>
      </c>
      <c r="C170" s="9">
        <v>44946</v>
      </c>
      <c r="D170" t="s">
        <v>442</v>
      </c>
      <c r="E170" s="13">
        <v>2787000</v>
      </c>
      <c r="F170" s="13">
        <v>16650</v>
      </c>
      <c r="G170" s="9">
        <v>44957</v>
      </c>
      <c r="H170" t="s">
        <v>1063</v>
      </c>
      <c r="I170" t="s">
        <v>916</v>
      </c>
      <c r="J170" s="13">
        <v>92807</v>
      </c>
      <c r="K170">
        <v>1</v>
      </c>
      <c r="L170" t="s">
        <v>1064</v>
      </c>
      <c r="M170" t="s">
        <v>1065</v>
      </c>
      <c r="N170" s="15" t="s">
        <v>6878</v>
      </c>
    </row>
    <row r="171" spans="1:14" x14ac:dyDescent="0.2">
      <c r="A171" t="s">
        <v>1244</v>
      </c>
      <c r="B171" t="s">
        <v>1062</v>
      </c>
      <c r="C171" s="9">
        <v>44946</v>
      </c>
      <c r="D171" t="s">
        <v>442</v>
      </c>
      <c r="E171" s="13">
        <v>2000000</v>
      </c>
      <c r="F171" s="13">
        <v>16650</v>
      </c>
      <c r="G171" s="9">
        <v>44957</v>
      </c>
      <c r="H171" t="s">
        <v>1063</v>
      </c>
      <c r="I171" t="s">
        <v>916</v>
      </c>
      <c r="J171" s="13">
        <v>66600</v>
      </c>
      <c r="K171">
        <v>1</v>
      </c>
      <c r="L171" t="s">
        <v>1064</v>
      </c>
      <c r="M171" t="s">
        <v>1065</v>
      </c>
      <c r="N171" s="15" t="s">
        <v>6878</v>
      </c>
    </row>
    <row r="172" spans="1:14" x14ac:dyDescent="0.2">
      <c r="A172" t="s">
        <v>1245</v>
      </c>
      <c r="B172" t="s">
        <v>1062</v>
      </c>
      <c r="C172" s="9">
        <v>44946</v>
      </c>
      <c r="D172" t="s">
        <v>442</v>
      </c>
      <c r="E172" s="13">
        <v>2325000</v>
      </c>
      <c r="F172" s="13">
        <v>16650</v>
      </c>
      <c r="G172" s="9">
        <v>44957</v>
      </c>
      <c r="H172" t="s">
        <v>1063</v>
      </c>
      <c r="I172" t="s">
        <v>916</v>
      </c>
      <c r="J172" s="13">
        <v>77422</v>
      </c>
      <c r="K172">
        <v>1</v>
      </c>
      <c r="L172" t="s">
        <v>1064</v>
      </c>
      <c r="M172" t="s">
        <v>1065</v>
      </c>
      <c r="N172" s="15" t="s">
        <v>6878</v>
      </c>
    </row>
    <row r="173" spans="1:14" x14ac:dyDescent="0.2">
      <c r="A173" t="s">
        <v>1246</v>
      </c>
      <c r="B173" t="s">
        <v>1062</v>
      </c>
      <c r="C173" s="9">
        <v>44946</v>
      </c>
      <c r="D173" t="s">
        <v>442</v>
      </c>
      <c r="E173" s="13">
        <v>1250000</v>
      </c>
      <c r="F173" s="13">
        <v>16650</v>
      </c>
      <c r="G173" s="9">
        <v>44957</v>
      </c>
      <c r="H173" t="s">
        <v>1063</v>
      </c>
      <c r="I173" t="s">
        <v>916</v>
      </c>
      <c r="J173" s="13">
        <v>41625</v>
      </c>
      <c r="K173">
        <v>1</v>
      </c>
      <c r="L173" t="s">
        <v>1064</v>
      </c>
      <c r="M173" t="s">
        <v>1065</v>
      </c>
      <c r="N173" s="15" t="s">
        <v>6878</v>
      </c>
    </row>
    <row r="174" spans="1:14" x14ac:dyDescent="0.2">
      <c r="A174" t="s">
        <v>1247</v>
      </c>
      <c r="B174" t="s">
        <v>1062</v>
      </c>
      <c r="C174" s="9">
        <v>44946</v>
      </c>
      <c r="D174" t="s">
        <v>442</v>
      </c>
      <c r="E174" s="13">
        <v>3325000</v>
      </c>
      <c r="F174" s="13">
        <v>16650</v>
      </c>
      <c r="G174" s="9">
        <v>44958</v>
      </c>
      <c r="H174" t="s">
        <v>1063</v>
      </c>
      <c r="I174" t="s">
        <v>916</v>
      </c>
      <c r="J174" s="13">
        <v>110722</v>
      </c>
      <c r="K174">
        <v>1</v>
      </c>
      <c r="L174" t="s">
        <v>1064</v>
      </c>
      <c r="M174" t="s">
        <v>1065</v>
      </c>
      <c r="N174" s="15" t="s">
        <v>6878</v>
      </c>
    </row>
    <row r="175" spans="1:14" x14ac:dyDescent="0.2">
      <c r="A175" t="s">
        <v>1248</v>
      </c>
      <c r="B175" t="s">
        <v>1062</v>
      </c>
      <c r="C175" s="9">
        <v>44946</v>
      </c>
      <c r="D175" t="s">
        <v>442</v>
      </c>
      <c r="E175" s="13">
        <v>2000000</v>
      </c>
      <c r="F175" s="13">
        <v>16650</v>
      </c>
      <c r="G175" s="9">
        <v>44958</v>
      </c>
      <c r="H175" t="s">
        <v>1063</v>
      </c>
      <c r="I175" t="s">
        <v>916</v>
      </c>
      <c r="J175" s="13">
        <v>66600</v>
      </c>
      <c r="K175">
        <v>1</v>
      </c>
      <c r="L175" t="s">
        <v>1064</v>
      </c>
      <c r="M175" t="s">
        <v>1065</v>
      </c>
      <c r="N175" s="15" t="s">
        <v>6878</v>
      </c>
    </row>
    <row r="176" spans="1:14" x14ac:dyDescent="0.2">
      <c r="A176" t="s">
        <v>1249</v>
      </c>
      <c r="B176" t="s">
        <v>1062</v>
      </c>
      <c r="C176" s="9">
        <v>44947</v>
      </c>
      <c r="D176" t="s">
        <v>442</v>
      </c>
      <c r="E176" s="13">
        <v>1075000</v>
      </c>
      <c r="F176" s="13">
        <v>16650</v>
      </c>
      <c r="G176" s="9">
        <v>44958</v>
      </c>
      <c r="H176" t="s">
        <v>1063</v>
      </c>
      <c r="I176" t="s">
        <v>916</v>
      </c>
      <c r="J176" s="13">
        <v>35797</v>
      </c>
      <c r="K176">
        <v>1</v>
      </c>
      <c r="L176" t="s">
        <v>1064</v>
      </c>
      <c r="M176" t="s">
        <v>1065</v>
      </c>
      <c r="N176" s="15" t="s">
        <v>6878</v>
      </c>
    </row>
    <row r="177" spans="1:14" x14ac:dyDescent="0.2">
      <c r="A177" t="s">
        <v>1250</v>
      </c>
      <c r="B177" t="s">
        <v>1062</v>
      </c>
      <c r="C177" s="9">
        <v>44947</v>
      </c>
      <c r="D177" t="s">
        <v>442</v>
      </c>
      <c r="E177" s="13">
        <v>1125000</v>
      </c>
      <c r="F177" s="13">
        <v>16650</v>
      </c>
      <c r="G177" s="9">
        <v>44958</v>
      </c>
      <c r="H177" t="s">
        <v>1063</v>
      </c>
      <c r="I177" t="s">
        <v>916</v>
      </c>
      <c r="J177" s="13">
        <v>37462</v>
      </c>
      <c r="K177">
        <v>1</v>
      </c>
      <c r="L177" t="s">
        <v>1064</v>
      </c>
      <c r="M177" t="s">
        <v>1065</v>
      </c>
      <c r="N177" s="15" t="s">
        <v>6878</v>
      </c>
    </row>
    <row r="178" spans="1:14" x14ac:dyDescent="0.2">
      <c r="A178" t="s">
        <v>1251</v>
      </c>
      <c r="B178" t="s">
        <v>1062</v>
      </c>
      <c r="C178" s="9">
        <v>44947</v>
      </c>
      <c r="D178" t="s">
        <v>442</v>
      </c>
      <c r="E178" s="13">
        <v>1000000</v>
      </c>
      <c r="F178" s="13">
        <v>16650</v>
      </c>
      <c r="G178" s="9">
        <v>44958</v>
      </c>
      <c r="H178" t="s">
        <v>1063</v>
      </c>
      <c r="I178" t="s">
        <v>916</v>
      </c>
      <c r="J178" s="13">
        <v>33300</v>
      </c>
      <c r="K178">
        <v>1</v>
      </c>
      <c r="L178" t="s">
        <v>1064</v>
      </c>
      <c r="M178" t="s">
        <v>1065</v>
      </c>
      <c r="N178" s="15" t="s">
        <v>6878</v>
      </c>
    </row>
    <row r="179" spans="1:14" x14ac:dyDescent="0.2">
      <c r="A179" t="s">
        <v>1252</v>
      </c>
      <c r="B179" t="s">
        <v>1062</v>
      </c>
      <c r="C179" s="9">
        <v>44947</v>
      </c>
      <c r="D179" t="s">
        <v>442</v>
      </c>
      <c r="E179" s="13">
        <v>2900000</v>
      </c>
      <c r="F179" s="13">
        <v>16650</v>
      </c>
      <c r="G179" s="9">
        <v>44958</v>
      </c>
      <c r="H179" t="s">
        <v>1063</v>
      </c>
      <c r="I179" t="s">
        <v>916</v>
      </c>
      <c r="J179" s="13">
        <v>96570</v>
      </c>
      <c r="K179">
        <v>1</v>
      </c>
      <c r="L179" t="s">
        <v>1064</v>
      </c>
      <c r="M179" t="s">
        <v>1065</v>
      </c>
      <c r="N179" s="15" t="s">
        <v>6878</v>
      </c>
    </row>
    <row r="180" spans="1:14" x14ac:dyDescent="0.2">
      <c r="A180" t="s">
        <v>1253</v>
      </c>
      <c r="B180" t="s">
        <v>1062</v>
      </c>
      <c r="C180" s="9">
        <v>44947</v>
      </c>
      <c r="D180" t="s">
        <v>442</v>
      </c>
      <c r="E180" s="13">
        <v>4325000</v>
      </c>
      <c r="F180" s="13">
        <v>16650</v>
      </c>
      <c r="G180" s="9">
        <v>44958</v>
      </c>
      <c r="H180" t="s">
        <v>1063</v>
      </c>
      <c r="I180" t="s">
        <v>916</v>
      </c>
      <c r="J180" s="13">
        <v>144022</v>
      </c>
      <c r="K180">
        <v>1</v>
      </c>
      <c r="L180" t="s">
        <v>1064</v>
      </c>
      <c r="M180" t="s">
        <v>1065</v>
      </c>
      <c r="N180" s="15" t="s">
        <v>6878</v>
      </c>
    </row>
    <row r="181" spans="1:14" x14ac:dyDescent="0.2">
      <c r="A181" t="s">
        <v>1254</v>
      </c>
      <c r="B181" t="s">
        <v>1062</v>
      </c>
      <c r="C181" s="9">
        <v>44947</v>
      </c>
      <c r="D181" t="s">
        <v>442</v>
      </c>
      <c r="E181" s="13">
        <v>4250000</v>
      </c>
      <c r="F181" s="13">
        <v>16650</v>
      </c>
      <c r="G181" s="9">
        <v>44958</v>
      </c>
      <c r="H181" t="s">
        <v>1063</v>
      </c>
      <c r="I181" t="s">
        <v>916</v>
      </c>
      <c r="J181" s="13">
        <v>141525</v>
      </c>
      <c r="K181">
        <v>1</v>
      </c>
      <c r="L181" t="s">
        <v>1064</v>
      </c>
      <c r="M181" t="s">
        <v>1065</v>
      </c>
      <c r="N181" s="15" t="s">
        <v>6878</v>
      </c>
    </row>
    <row r="182" spans="1:14" x14ac:dyDescent="0.2">
      <c r="A182" t="s">
        <v>1255</v>
      </c>
      <c r="B182" t="s">
        <v>1062</v>
      </c>
      <c r="C182" s="9">
        <v>44949</v>
      </c>
      <c r="D182" t="s">
        <v>442</v>
      </c>
      <c r="E182" s="13">
        <v>2625000</v>
      </c>
      <c r="F182" s="13">
        <v>16650</v>
      </c>
      <c r="G182" s="9">
        <v>44958</v>
      </c>
      <c r="H182" t="s">
        <v>1063</v>
      </c>
      <c r="I182" t="s">
        <v>916</v>
      </c>
      <c r="J182" s="13">
        <v>87412</v>
      </c>
      <c r="K182">
        <v>1</v>
      </c>
      <c r="L182" t="s">
        <v>1064</v>
      </c>
      <c r="M182" t="s">
        <v>1065</v>
      </c>
      <c r="N182" s="15" t="s">
        <v>6878</v>
      </c>
    </row>
    <row r="183" spans="1:14" x14ac:dyDescent="0.2">
      <c r="A183" t="s">
        <v>1256</v>
      </c>
      <c r="B183" t="s">
        <v>1062</v>
      </c>
      <c r="C183" s="9">
        <v>44949</v>
      </c>
      <c r="D183" t="s">
        <v>442</v>
      </c>
      <c r="E183" s="13">
        <v>2625000</v>
      </c>
      <c r="F183" s="13">
        <v>16650</v>
      </c>
      <c r="G183" s="9">
        <v>44958</v>
      </c>
      <c r="H183" t="s">
        <v>1063</v>
      </c>
      <c r="I183" t="s">
        <v>916</v>
      </c>
      <c r="J183" s="13">
        <v>87412</v>
      </c>
      <c r="K183">
        <v>1</v>
      </c>
      <c r="L183" t="s">
        <v>1064</v>
      </c>
      <c r="M183" t="s">
        <v>1065</v>
      </c>
      <c r="N183" s="15" t="s">
        <v>6878</v>
      </c>
    </row>
    <row r="184" spans="1:14" x14ac:dyDescent="0.2">
      <c r="A184" t="s">
        <v>1257</v>
      </c>
      <c r="B184" t="s">
        <v>1062</v>
      </c>
      <c r="C184" s="9">
        <v>44949</v>
      </c>
      <c r="D184" t="s">
        <v>442</v>
      </c>
      <c r="E184" s="13">
        <v>2625000</v>
      </c>
      <c r="F184" s="13">
        <v>16650</v>
      </c>
      <c r="G184" s="9">
        <v>44963</v>
      </c>
      <c r="H184" t="s">
        <v>1063</v>
      </c>
      <c r="I184" t="s">
        <v>916</v>
      </c>
      <c r="J184" s="13">
        <v>87412</v>
      </c>
      <c r="K184">
        <v>1</v>
      </c>
      <c r="L184" t="s">
        <v>1064</v>
      </c>
      <c r="M184" t="s">
        <v>1065</v>
      </c>
      <c r="N184" s="15" t="s">
        <v>6878</v>
      </c>
    </row>
    <row r="185" spans="1:14" x14ac:dyDescent="0.2">
      <c r="A185" t="s">
        <v>1258</v>
      </c>
      <c r="B185" t="s">
        <v>1062</v>
      </c>
      <c r="C185" s="9">
        <v>44949</v>
      </c>
      <c r="D185" t="s">
        <v>442</v>
      </c>
      <c r="E185" s="13">
        <v>2625000</v>
      </c>
      <c r="F185" s="13">
        <v>16650</v>
      </c>
      <c r="G185" s="9">
        <v>44963</v>
      </c>
      <c r="H185" t="s">
        <v>1063</v>
      </c>
      <c r="I185" t="s">
        <v>916</v>
      </c>
      <c r="J185" s="13">
        <v>87412</v>
      </c>
      <c r="K185">
        <v>1</v>
      </c>
      <c r="L185" t="s">
        <v>1064</v>
      </c>
      <c r="M185" t="s">
        <v>1065</v>
      </c>
      <c r="N185" s="15" t="s">
        <v>6878</v>
      </c>
    </row>
    <row r="186" spans="1:14" x14ac:dyDescent="0.2">
      <c r="A186" t="s">
        <v>1259</v>
      </c>
      <c r="B186" t="s">
        <v>1062</v>
      </c>
      <c r="C186" s="9">
        <v>44949</v>
      </c>
      <c r="D186" t="s">
        <v>442</v>
      </c>
      <c r="E186" s="13">
        <v>1440000</v>
      </c>
      <c r="F186" s="13">
        <v>16650</v>
      </c>
      <c r="G186" s="9">
        <v>44963</v>
      </c>
      <c r="H186" t="s">
        <v>1063</v>
      </c>
      <c r="I186" t="s">
        <v>916</v>
      </c>
      <c r="J186" s="13">
        <v>47952</v>
      </c>
      <c r="K186">
        <v>1</v>
      </c>
      <c r="L186" t="s">
        <v>1064</v>
      </c>
      <c r="M186" t="s">
        <v>1065</v>
      </c>
      <c r="N186" s="15" t="s">
        <v>6878</v>
      </c>
    </row>
    <row r="187" spans="1:14" x14ac:dyDescent="0.2">
      <c r="A187" t="s">
        <v>1260</v>
      </c>
      <c r="B187" t="s">
        <v>1062</v>
      </c>
      <c r="C187" s="9">
        <v>44951</v>
      </c>
      <c r="D187" t="s">
        <v>442</v>
      </c>
      <c r="E187" s="13">
        <v>1575000</v>
      </c>
      <c r="F187" s="13">
        <v>16650</v>
      </c>
      <c r="G187" s="9">
        <v>44963</v>
      </c>
      <c r="H187" t="s">
        <v>1063</v>
      </c>
      <c r="I187" t="s">
        <v>916</v>
      </c>
      <c r="J187" s="13">
        <v>52447</v>
      </c>
      <c r="K187">
        <v>1</v>
      </c>
      <c r="L187" t="s">
        <v>1064</v>
      </c>
      <c r="M187" t="s">
        <v>1065</v>
      </c>
      <c r="N187" s="15" t="s">
        <v>6878</v>
      </c>
    </row>
    <row r="188" spans="1:14" x14ac:dyDescent="0.2">
      <c r="A188" t="s">
        <v>1261</v>
      </c>
      <c r="B188" t="s">
        <v>1062</v>
      </c>
      <c r="C188" s="9">
        <v>44951</v>
      </c>
      <c r="D188" t="s">
        <v>442</v>
      </c>
      <c r="E188" s="13">
        <v>2625000</v>
      </c>
      <c r="F188" s="13">
        <v>16650</v>
      </c>
      <c r="G188" s="9">
        <v>44963</v>
      </c>
      <c r="H188" t="s">
        <v>1063</v>
      </c>
      <c r="I188" t="s">
        <v>916</v>
      </c>
      <c r="J188" s="13">
        <v>87412</v>
      </c>
      <c r="K188">
        <v>1</v>
      </c>
      <c r="L188" t="s">
        <v>1064</v>
      </c>
      <c r="M188" t="s">
        <v>1065</v>
      </c>
      <c r="N188" s="15" t="s">
        <v>6878</v>
      </c>
    </row>
    <row r="189" spans="1:14" x14ac:dyDescent="0.2">
      <c r="A189" t="s">
        <v>1262</v>
      </c>
      <c r="B189" t="s">
        <v>1062</v>
      </c>
      <c r="C189" s="9">
        <v>44951</v>
      </c>
      <c r="D189" t="s">
        <v>442</v>
      </c>
      <c r="E189" s="13">
        <v>2625000</v>
      </c>
      <c r="F189" s="13">
        <v>16650</v>
      </c>
      <c r="G189" s="9">
        <v>44961</v>
      </c>
      <c r="H189" t="s">
        <v>1063</v>
      </c>
      <c r="I189" t="s">
        <v>916</v>
      </c>
      <c r="J189" s="13">
        <v>87412</v>
      </c>
      <c r="K189">
        <v>1</v>
      </c>
      <c r="L189" t="s">
        <v>1064</v>
      </c>
      <c r="M189" t="s">
        <v>1065</v>
      </c>
      <c r="N189" s="15" t="s">
        <v>6878</v>
      </c>
    </row>
    <row r="190" spans="1:14" x14ac:dyDescent="0.2">
      <c r="A190" t="s">
        <v>1263</v>
      </c>
      <c r="B190" t="s">
        <v>1062</v>
      </c>
      <c r="C190" s="9">
        <v>44951</v>
      </c>
      <c r="D190" t="s">
        <v>442</v>
      </c>
      <c r="E190" s="13">
        <v>2900000</v>
      </c>
      <c r="F190" s="13">
        <v>16650</v>
      </c>
      <c r="G190" s="9">
        <v>44970</v>
      </c>
      <c r="H190" t="s">
        <v>1063</v>
      </c>
      <c r="I190" t="s">
        <v>916</v>
      </c>
      <c r="J190" s="13">
        <v>96570</v>
      </c>
      <c r="K190">
        <v>1</v>
      </c>
      <c r="L190" t="s">
        <v>1064</v>
      </c>
      <c r="M190" t="s">
        <v>1065</v>
      </c>
      <c r="N190" s="15" t="s">
        <v>6878</v>
      </c>
    </row>
    <row r="191" spans="1:14" x14ac:dyDescent="0.2">
      <c r="A191" t="s">
        <v>1264</v>
      </c>
      <c r="B191" t="s">
        <v>1062</v>
      </c>
      <c r="C191" s="9">
        <v>44951</v>
      </c>
      <c r="D191" t="s">
        <v>442</v>
      </c>
      <c r="E191" s="13">
        <v>2900000</v>
      </c>
      <c r="F191" s="13">
        <v>16650</v>
      </c>
      <c r="G191" s="9">
        <v>44961</v>
      </c>
      <c r="H191" t="s">
        <v>1063</v>
      </c>
      <c r="I191" t="s">
        <v>916</v>
      </c>
      <c r="J191" s="13">
        <v>96570</v>
      </c>
      <c r="K191">
        <v>1</v>
      </c>
      <c r="L191" t="s">
        <v>1064</v>
      </c>
      <c r="M191" t="s">
        <v>1065</v>
      </c>
      <c r="N191" s="15" t="s">
        <v>6878</v>
      </c>
    </row>
    <row r="192" spans="1:14" x14ac:dyDescent="0.2">
      <c r="A192" t="s">
        <v>1265</v>
      </c>
      <c r="B192" t="s">
        <v>1062</v>
      </c>
      <c r="C192" s="9">
        <v>44951</v>
      </c>
      <c r="D192" t="s">
        <v>442</v>
      </c>
      <c r="E192" s="13">
        <v>2900000</v>
      </c>
      <c r="F192" s="13">
        <v>16650</v>
      </c>
      <c r="G192" s="9">
        <v>44961</v>
      </c>
      <c r="H192" t="s">
        <v>1063</v>
      </c>
      <c r="I192" t="s">
        <v>916</v>
      </c>
      <c r="J192" s="13">
        <v>96570</v>
      </c>
      <c r="K192">
        <v>1</v>
      </c>
      <c r="L192" t="s">
        <v>1064</v>
      </c>
      <c r="M192" t="s">
        <v>1065</v>
      </c>
      <c r="N192" s="15" t="s">
        <v>6878</v>
      </c>
    </row>
    <row r="193" spans="1:14" x14ac:dyDescent="0.2">
      <c r="A193" t="s">
        <v>1266</v>
      </c>
      <c r="B193" t="s">
        <v>1062</v>
      </c>
      <c r="C193" s="9">
        <v>44951</v>
      </c>
      <c r="D193" t="s">
        <v>442</v>
      </c>
      <c r="E193" s="13">
        <v>2900000</v>
      </c>
      <c r="F193" s="13">
        <v>16650</v>
      </c>
      <c r="G193" s="9">
        <v>44961</v>
      </c>
      <c r="H193" t="s">
        <v>1063</v>
      </c>
      <c r="I193" t="s">
        <v>916</v>
      </c>
      <c r="J193" s="13">
        <v>96570</v>
      </c>
      <c r="K193">
        <v>1</v>
      </c>
      <c r="L193" t="s">
        <v>1064</v>
      </c>
      <c r="M193" t="s">
        <v>1065</v>
      </c>
      <c r="N193" s="15" t="s">
        <v>6878</v>
      </c>
    </row>
    <row r="194" spans="1:14" x14ac:dyDescent="0.2">
      <c r="A194" t="s">
        <v>1267</v>
      </c>
      <c r="B194" t="s">
        <v>1062</v>
      </c>
      <c r="C194" s="9">
        <v>44951</v>
      </c>
      <c r="D194" t="s">
        <v>442</v>
      </c>
      <c r="E194" s="13">
        <v>2900000</v>
      </c>
      <c r="F194" s="13">
        <v>16650</v>
      </c>
      <c r="G194" s="9">
        <v>44961</v>
      </c>
      <c r="H194" t="s">
        <v>1063</v>
      </c>
      <c r="I194" t="s">
        <v>916</v>
      </c>
      <c r="J194" s="13">
        <v>96570</v>
      </c>
      <c r="K194">
        <v>1</v>
      </c>
      <c r="L194" t="s">
        <v>1064</v>
      </c>
      <c r="M194" t="s">
        <v>1065</v>
      </c>
      <c r="N194" s="15" t="s">
        <v>6878</v>
      </c>
    </row>
    <row r="195" spans="1:14" x14ac:dyDescent="0.2">
      <c r="A195" t="s">
        <v>1268</v>
      </c>
      <c r="B195" t="s">
        <v>1062</v>
      </c>
      <c r="C195" s="9">
        <v>44951</v>
      </c>
      <c r="D195" t="s">
        <v>442</v>
      </c>
      <c r="E195" s="13">
        <v>2900000</v>
      </c>
      <c r="F195" s="13">
        <v>16650</v>
      </c>
      <c r="G195" s="9">
        <v>44961</v>
      </c>
      <c r="H195" t="s">
        <v>1063</v>
      </c>
      <c r="I195" t="s">
        <v>916</v>
      </c>
      <c r="J195" s="13">
        <v>96570</v>
      </c>
      <c r="K195">
        <v>1</v>
      </c>
      <c r="L195" t="s">
        <v>1064</v>
      </c>
      <c r="M195" t="s">
        <v>1065</v>
      </c>
      <c r="N195" s="15" t="s">
        <v>6878</v>
      </c>
    </row>
    <row r="196" spans="1:14" x14ac:dyDescent="0.2">
      <c r="A196" t="s">
        <v>1269</v>
      </c>
      <c r="B196" t="s">
        <v>1062</v>
      </c>
      <c r="C196" s="9">
        <v>44951</v>
      </c>
      <c r="D196" t="s">
        <v>442</v>
      </c>
      <c r="E196" s="13">
        <v>2900000</v>
      </c>
      <c r="F196" s="13">
        <v>16650</v>
      </c>
      <c r="G196" s="9">
        <v>44961</v>
      </c>
      <c r="H196" t="s">
        <v>1063</v>
      </c>
      <c r="I196" t="s">
        <v>916</v>
      </c>
      <c r="J196" s="13">
        <v>96570</v>
      </c>
      <c r="K196">
        <v>1</v>
      </c>
      <c r="L196" t="s">
        <v>1064</v>
      </c>
      <c r="M196" t="s">
        <v>1065</v>
      </c>
      <c r="N196" s="15" t="s">
        <v>6878</v>
      </c>
    </row>
    <row r="197" spans="1:14" x14ac:dyDescent="0.2">
      <c r="A197" t="s">
        <v>1270</v>
      </c>
      <c r="B197" t="s">
        <v>1062</v>
      </c>
      <c r="C197" s="9">
        <v>44951</v>
      </c>
      <c r="D197" t="s">
        <v>442</v>
      </c>
      <c r="E197" s="13">
        <v>2900000</v>
      </c>
      <c r="F197" s="13">
        <v>16650</v>
      </c>
      <c r="G197" s="9">
        <v>44961</v>
      </c>
      <c r="H197" t="s">
        <v>1063</v>
      </c>
      <c r="I197" t="s">
        <v>916</v>
      </c>
      <c r="J197" s="13">
        <v>96570</v>
      </c>
      <c r="K197">
        <v>1</v>
      </c>
      <c r="L197" t="s">
        <v>1064</v>
      </c>
      <c r="M197" t="s">
        <v>1065</v>
      </c>
      <c r="N197" s="15" t="s">
        <v>6878</v>
      </c>
    </row>
    <row r="198" spans="1:14" x14ac:dyDescent="0.2">
      <c r="A198" t="s">
        <v>1271</v>
      </c>
      <c r="B198" t="s">
        <v>1062</v>
      </c>
      <c r="C198" s="9">
        <v>44951</v>
      </c>
      <c r="D198" t="s">
        <v>442</v>
      </c>
      <c r="E198" s="13">
        <v>2900000</v>
      </c>
      <c r="F198" s="13">
        <v>16650</v>
      </c>
      <c r="G198" s="9">
        <v>44961</v>
      </c>
      <c r="H198" t="s">
        <v>1063</v>
      </c>
      <c r="I198" t="s">
        <v>916</v>
      </c>
      <c r="J198" s="13">
        <v>96570</v>
      </c>
      <c r="K198">
        <v>1</v>
      </c>
      <c r="L198" t="s">
        <v>1064</v>
      </c>
      <c r="M198" t="s">
        <v>1065</v>
      </c>
      <c r="N198" s="15" t="s">
        <v>6878</v>
      </c>
    </row>
    <row r="199" spans="1:14" x14ac:dyDescent="0.2">
      <c r="A199" t="s">
        <v>1272</v>
      </c>
      <c r="B199" t="s">
        <v>1062</v>
      </c>
      <c r="C199" s="9">
        <v>44951</v>
      </c>
      <c r="D199" t="s">
        <v>442</v>
      </c>
      <c r="E199" s="13">
        <v>1700000</v>
      </c>
      <c r="F199" s="13">
        <v>16650</v>
      </c>
      <c r="G199" s="9">
        <v>44961</v>
      </c>
      <c r="H199" t="s">
        <v>1063</v>
      </c>
      <c r="I199" t="s">
        <v>916</v>
      </c>
      <c r="J199" s="13">
        <v>56610</v>
      </c>
      <c r="K199">
        <v>1</v>
      </c>
      <c r="L199" t="s">
        <v>1064</v>
      </c>
      <c r="M199" t="s">
        <v>1065</v>
      </c>
      <c r="N199" s="15" t="s">
        <v>6878</v>
      </c>
    </row>
    <row r="200" spans="1:14" x14ac:dyDescent="0.2">
      <c r="A200" t="s">
        <v>1273</v>
      </c>
      <c r="B200" t="s">
        <v>1062</v>
      </c>
      <c r="C200" s="9">
        <v>44951</v>
      </c>
      <c r="D200" t="s">
        <v>442</v>
      </c>
      <c r="E200" s="13">
        <v>2450000</v>
      </c>
      <c r="F200" s="13">
        <v>16650</v>
      </c>
      <c r="G200" s="9">
        <v>44961</v>
      </c>
      <c r="H200" t="s">
        <v>1063</v>
      </c>
      <c r="I200" t="s">
        <v>916</v>
      </c>
      <c r="J200" s="13">
        <v>81585</v>
      </c>
      <c r="K200">
        <v>1</v>
      </c>
      <c r="L200" t="s">
        <v>1064</v>
      </c>
      <c r="M200" t="s">
        <v>1065</v>
      </c>
      <c r="N200" s="15" t="s">
        <v>6878</v>
      </c>
    </row>
    <row r="201" spans="1:14" x14ac:dyDescent="0.2">
      <c r="A201" t="s">
        <v>1274</v>
      </c>
      <c r="B201" t="s">
        <v>1069</v>
      </c>
      <c r="C201" s="9">
        <v>44951</v>
      </c>
      <c r="D201" t="s">
        <v>442</v>
      </c>
      <c r="E201" s="13">
        <v>2475000</v>
      </c>
      <c r="F201" s="13">
        <v>16650</v>
      </c>
      <c r="G201" s="9">
        <v>44961</v>
      </c>
      <c r="H201" t="s">
        <v>1063</v>
      </c>
      <c r="I201" t="s">
        <v>916</v>
      </c>
      <c r="J201" s="13">
        <v>82417</v>
      </c>
      <c r="K201">
        <v>1</v>
      </c>
      <c r="L201" t="s">
        <v>1064</v>
      </c>
      <c r="M201" t="s">
        <v>1065</v>
      </c>
      <c r="N201" s="15" t="s">
        <v>6878</v>
      </c>
    </row>
    <row r="202" spans="1:14" x14ac:dyDescent="0.2">
      <c r="A202" t="s">
        <v>1275</v>
      </c>
      <c r="B202" t="s">
        <v>1069</v>
      </c>
      <c r="C202" s="9">
        <v>44951</v>
      </c>
      <c r="D202" t="s">
        <v>442</v>
      </c>
      <c r="E202" s="13">
        <v>2675000</v>
      </c>
      <c r="F202" s="13">
        <v>16650</v>
      </c>
      <c r="G202" s="9">
        <v>44961</v>
      </c>
      <c r="H202" t="s">
        <v>1063</v>
      </c>
      <c r="I202" t="s">
        <v>916</v>
      </c>
      <c r="J202" s="13">
        <v>89077</v>
      </c>
      <c r="K202">
        <v>1</v>
      </c>
      <c r="L202" t="s">
        <v>1064</v>
      </c>
      <c r="M202" t="s">
        <v>1065</v>
      </c>
      <c r="N202" s="15" t="s">
        <v>6878</v>
      </c>
    </row>
    <row r="203" spans="1:14" x14ac:dyDescent="0.2">
      <c r="A203" t="s">
        <v>1276</v>
      </c>
      <c r="B203" t="s">
        <v>1062</v>
      </c>
      <c r="C203" s="9">
        <v>44951</v>
      </c>
      <c r="D203" t="s">
        <v>442</v>
      </c>
      <c r="E203" s="13">
        <v>2625000</v>
      </c>
      <c r="F203" s="13">
        <v>16650</v>
      </c>
      <c r="G203" s="9">
        <v>44961</v>
      </c>
      <c r="H203" t="s">
        <v>1063</v>
      </c>
      <c r="I203" t="s">
        <v>916</v>
      </c>
      <c r="J203" s="13">
        <v>87412</v>
      </c>
      <c r="K203">
        <v>1</v>
      </c>
      <c r="L203" t="s">
        <v>1064</v>
      </c>
      <c r="M203" t="s">
        <v>1065</v>
      </c>
      <c r="N203" s="15" t="s">
        <v>6878</v>
      </c>
    </row>
    <row r="204" spans="1:14" x14ac:dyDescent="0.2">
      <c r="A204" t="s">
        <v>1277</v>
      </c>
      <c r="B204" t="s">
        <v>1062</v>
      </c>
      <c r="C204" s="9">
        <v>44951</v>
      </c>
      <c r="D204" t="s">
        <v>442</v>
      </c>
      <c r="E204" s="13">
        <v>2575000</v>
      </c>
      <c r="F204" s="13">
        <v>16650</v>
      </c>
      <c r="G204" s="9">
        <v>44961</v>
      </c>
      <c r="H204" t="s">
        <v>1063</v>
      </c>
      <c r="I204" t="s">
        <v>916</v>
      </c>
      <c r="J204" s="13">
        <v>85747</v>
      </c>
      <c r="K204">
        <v>1</v>
      </c>
      <c r="L204" t="s">
        <v>1064</v>
      </c>
      <c r="M204" t="s">
        <v>1065</v>
      </c>
      <c r="N204" s="15" t="s">
        <v>6878</v>
      </c>
    </row>
    <row r="205" spans="1:14" x14ac:dyDescent="0.2">
      <c r="A205" t="s">
        <v>1278</v>
      </c>
      <c r="B205" t="s">
        <v>1062</v>
      </c>
      <c r="C205" s="9">
        <v>44951</v>
      </c>
      <c r="D205" t="s">
        <v>442</v>
      </c>
      <c r="E205" s="13">
        <v>1500000</v>
      </c>
      <c r="F205" s="13">
        <v>16650</v>
      </c>
      <c r="G205" s="9">
        <v>44961</v>
      </c>
      <c r="H205" t="s">
        <v>1063</v>
      </c>
      <c r="I205" t="s">
        <v>916</v>
      </c>
      <c r="J205" s="13">
        <v>49950</v>
      </c>
      <c r="K205">
        <v>1</v>
      </c>
      <c r="L205" t="s">
        <v>1064</v>
      </c>
      <c r="M205" t="s">
        <v>1065</v>
      </c>
      <c r="N205" s="15" t="s">
        <v>6878</v>
      </c>
    </row>
    <row r="206" spans="1:14" x14ac:dyDescent="0.2">
      <c r="A206" t="s">
        <v>1279</v>
      </c>
      <c r="B206" t="s">
        <v>1062</v>
      </c>
      <c r="C206" s="9">
        <v>44952</v>
      </c>
      <c r="D206" t="s">
        <v>442</v>
      </c>
      <c r="E206" s="13">
        <v>3100000</v>
      </c>
      <c r="F206" s="13">
        <v>16650</v>
      </c>
      <c r="G206" s="9">
        <v>44961</v>
      </c>
      <c r="H206" t="s">
        <v>1063</v>
      </c>
      <c r="I206" t="s">
        <v>916</v>
      </c>
      <c r="J206" s="13">
        <v>103230</v>
      </c>
      <c r="K206">
        <v>1</v>
      </c>
      <c r="L206" t="s">
        <v>1064</v>
      </c>
      <c r="M206" t="s">
        <v>1065</v>
      </c>
      <c r="N206" s="15" t="s">
        <v>6878</v>
      </c>
    </row>
    <row r="207" spans="1:14" x14ac:dyDescent="0.2">
      <c r="A207" t="s">
        <v>1280</v>
      </c>
      <c r="B207" t="s">
        <v>1062</v>
      </c>
      <c r="C207" s="9">
        <v>44952</v>
      </c>
      <c r="D207" t="s">
        <v>442</v>
      </c>
      <c r="E207" s="13">
        <v>2575000</v>
      </c>
      <c r="F207" s="13">
        <v>16650</v>
      </c>
      <c r="G207" s="9">
        <v>44965</v>
      </c>
      <c r="H207" t="s">
        <v>1063</v>
      </c>
      <c r="I207" t="s">
        <v>916</v>
      </c>
      <c r="J207" s="13">
        <v>85747</v>
      </c>
      <c r="K207">
        <v>1</v>
      </c>
      <c r="L207" t="s">
        <v>1064</v>
      </c>
      <c r="M207" t="s">
        <v>1065</v>
      </c>
      <c r="N207" s="15" t="s">
        <v>6878</v>
      </c>
    </row>
    <row r="208" spans="1:14" x14ac:dyDescent="0.2">
      <c r="A208" t="s">
        <v>1281</v>
      </c>
      <c r="B208" t="s">
        <v>1062</v>
      </c>
      <c r="C208" s="9">
        <v>44952</v>
      </c>
      <c r="D208" t="s">
        <v>442</v>
      </c>
      <c r="E208" s="13">
        <v>1875000</v>
      </c>
      <c r="F208" s="13">
        <v>16650</v>
      </c>
      <c r="G208" s="9">
        <v>44965</v>
      </c>
      <c r="H208" t="s">
        <v>1063</v>
      </c>
      <c r="I208" t="s">
        <v>916</v>
      </c>
      <c r="J208" s="13">
        <v>62437</v>
      </c>
      <c r="K208">
        <v>1</v>
      </c>
      <c r="L208" t="s">
        <v>1064</v>
      </c>
      <c r="M208" t="s">
        <v>1065</v>
      </c>
      <c r="N208" s="15" t="s">
        <v>6878</v>
      </c>
    </row>
    <row r="209" spans="1:14" x14ac:dyDescent="0.2">
      <c r="A209" t="s">
        <v>1282</v>
      </c>
      <c r="B209" t="s">
        <v>1062</v>
      </c>
      <c r="C209" s="9">
        <v>44952</v>
      </c>
      <c r="D209" t="s">
        <v>442</v>
      </c>
      <c r="E209" s="13">
        <v>1575000</v>
      </c>
      <c r="F209" s="13">
        <v>16650</v>
      </c>
      <c r="G209" s="9">
        <v>44965</v>
      </c>
      <c r="H209" t="s">
        <v>1063</v>
      </c>
      <c r="I209" t="s">
        <v>916</v>
      </c>
      <c r="J209" s="13">
        <v>52447</v>
      </c>
      <c r="K209">
        <v>1</v>
      </c>
      <c r="L209" t="s">
        <v>1064</v>
      </c>
      <c r="M209" t="s">
        <v>1065</v>
      </c>
      <c r="N209" s="15" t="s">
        <v>6878</v>
      </c>
    </row>
    <row r="210" spans="1:14" x14ac:dyDescent="0.2">
      <c r="A210" t="s">
        <v>1283</v>
      </c>
      <c r="B210" t="s">
        <v>1062</v>
      </c>
      <c r="C210" s="9">
        <v>44952</v>
      </c>
      <c r="D210" t="s">
        <v>442</v>
      </c>
      <c r="E210" s="13">
        <v>1440000</v>
      </c>
      <c r="F210" s="13">
        <v>16650</v>
      </c>
      <c r="G210" s="9">
        <v>44965</v>
      </c>
      <c r="H210" t="s">
        <v>1063</v>
      </c>
      <c r="I210" t="s">
        <v>916</v>
      </c>
      <c r="J210" s="13">
        <v>47952</v>
      </c>
      <c r="K210">
        <v>1</v>
      </c>
      <c r="L210" t="s">
        <v>1064</v>
      </c>
      <c r="M210" t="s">
        <v>1065</v>
      </c>
      <c r="N210" s="15" t="s">
        <v>6878</v>
      </c>
    </row>
    <row r="211" spans="1:14" x14ac:dyDescent="0.2">
      <c r="A211" t="s">
        <v>1284</v>
      </c>
      <c r="B211" t="s">
        <v>1069</v>
      </c>
      <c r="C211" s="9">
        <v>44952</v>
      </c>
      <c r="D211" t="s">
        <v>958</v>
      </c>
      <c r="E211" s="13">
        <v>30480438</v>
      </c>
      <c r="F211" s="13">
        <v>319680</v>
      </c>
      <c r="G211" s="9">
        <v>44952</v>
      </c>
      <c r="H211" t="s">
        <v>1063</v>
      </c>
      <c r="I211" t="s">
        <v>1074</v>
      </c>
      <c r="J211" s="13">
        <v>676664</v>
      </c>
      <c r="K211">
        <v>16</v>
      </c>
      <c r="L211" t="s">
        <v>1064</v>
      </c>
      <c r="M211" t="s">
        <v>1075</v>
      </c>
      <c r="N211" s="15" t="s">
        <v>6878</v>
      </c>
    </row>
    <row r="212" spans="1:14" x14ac:dyDescent="0.2">
      <c r="A212" t="s">
        <v>1285</v>
      </c>
      <c r="B212" t="s">
        <v>1062</v>
      </c>
      <c r="C212" s="9">
        <v>44953</v>
      </c>
      <c r="D212" t="s">
        <v>442</v>
      </c>
      <c r="E212" s="13">
        <v>2900000</v>
      </c>
      <c r="F212" s="13">
        <v>16650</v>
      </c>
      <c r="G212" s="9">
        <v>44965</v>
      </c>
      <c r="H212" t="s">
        <v>1063</v>
      </c>
      <c r="I212" t="s">
        <v>916</v>
      </c>
      <c r="J212" s="13">
        <v>96570</v>
      </c>
      <c r="K212">
        <v>1</v>
      </c>
      <c r="L212" t="s">
        <v>1064</v>
      </c>
      <c r="M212" t="s">
        <v>1065</v>
      </c>
      <c r="N212" s="15" t="s">
        <v>6878</v>
      </c>
    </row>
    <row r="213" spans="1:14" x14ac:dyDescent="0.2">
      <c r="A213" t="s">
        <v>1286</v>
      </c>
      <c r="B213" t="s">
        <v>1062</v>
      </c>
      <c r="C213" s="9">
        <v>44953</v>
      </c>
      <c r="D213" t="s">
        <v>442</v>
      </c>
      <c r="E213" s="13">
        <v>2900000</v>
      </c>
      <c r="F213" s="13">
        <v>16650</v>
      </c>
      <c r="G213" s="9">
        <v>44965</v>
      </c>
      <c r="H213" t="s">
        <v>1063</v>
      </c>
      <c r="I213" t="s">
        <v>916</v>
      </c>
      <c r="J213" s="13">
        <v>96570</v>
      </c>
      <c r="K213">
        <v>1</v>
      </c>
      <c r="L213" t="s">
        <v>1064</v>
      </c>
      <c r="M213" t="s">
        <v>1065</v>
      </c>
      <c r="N213" s="15" t="s">
        <v>6878</v>
      </c>
    </row>
    <row r="214" spans="1:14" x14ac:dyDescent="0.2">
      <c r="A214" t="s">
        <v>1287</v>
      </c>
      <c r="B214" t="s">
        <v>1062</v>
      </c>
      <c r="C214" s="9">
        <v>44953</v>
      </c>
      <c r="D214" t="s">
        <v>442</v>
      </c>
      <c r="E214" s="13">
        <v>2900000</v>
      </c>
      <c r="F214" s="13">
        <v>16650</v>
      </c>
      <c r="G214" s="9">
        <v>44965</v>
      </c>
      <c r="H214" t="s">
        <v>1063</v>
      </c>
      <c r="I214" t="s">
        <v>916</v>
      </c>
      <c r="J214" s="13">
        <v>96570</v>
      </c>
      <c r="K214">
        <v>1</v>
      </c>
      <c r="L214" t="s">
        <v>1064</v>
      </c>
      <c r="M214" t="s">
        <v>1065</v>
      </c>
      <c r="N214" s="15" t="s">
        <v>6878</v>
      </c>
    </row>
    <row r="215" spans="1:14" x14ac:dyDescent="0.2">
      <c r="A215" t="s">
        <v>1288</v>
      </c>
      <c r="B215" t="s">
        <v>1062</v>
      </c>
      <c r="C215" s="9">
        <v>44953</v>
      </c>
      <c r="D215" t="s">
        <v>442</v>
      </c>
      <c r="E215" s="13">
        <v>2900000</v>
      </c>
      <c r="F215" s="13">
        <v>16650</v>
      </c>
      <c r="G215" s="9">
        <v>44965</v>
      </c>
      <c r="H215" t="s">
        <v>1063</v>
      </c>
      <c r="I215" t="s">
        <v>916</v>
      </c>
      <c r="J215" s="13">
        <v>96570</v>
      </c>
      <c r="K215">
        <v>1</v>
      </c>
      <c r="L215" t="s">
        <v>1064</v>
      </c>
      <c r="M215" t="s">
        <v>1065</v>
      </c>
      <c r="N215" s="15" t="s">
        <v>6878</v>
      </c>
    </row>
    <row r="216" spans="1:14" x14ac:dyDescent="0.2">
      <c r="A216" t="s">
        <v>1289</v>
      </c>
      <c r="B216" t="s">
        <v>1062</v>
      </c>
      <c r="C216" s="9">
        <v>44953</v>
      </c>
      <c r="D216" t="s">
        <v>442</v>
      </c>
      <c r="E216" s="13">
        <v>2900000</v>
      </c>
      <c r="F216" s="13">
        <v>16650</v>
      </c>
      <c r="G216" s="9">
        <v>44965</v>
      </c>
      <c r="H216" t="s">
        <v>1063</v>
      </c>
      <c r="I216" t="s">
        <v>916</v>
      </c>
      <c r="J216" s="13">
        <v>96570</v>
      </c>
      <c r="K216">
        <v>1</v>
      </c>
      <c r="L216" t="s">
        <v>1064</v>
      </c>
      <c r="M216" t="s">
        <v>1065</v>
      </c>
      <c r="N216" s="15" t="s">
        <v>6878</v>
      </c>
    </row>
    <row r="217" spans="1:14" x14ac:dyDescent="0.2">
      <c r="A217" t="s">
        <v>1290</v>
      </c>
      <c r="B217" t="s">
        <v>1062</v>
      </c>
      <c r="C217" s="9">
        <v>44953</v>
      </c>
      <c r="D217" t="s">
        <v>442</v>
      </c>
      <c r="E217" s="13">
        <v>2900000</v>
      </c>
      <c r="F217" s="13">
        <v>16650</v>
      </c>
      <c r="G217" s="9">
        <v>44965</v>
      </c>
      <c r="H217" t="s">
        <v>1063</v>
      </c>
      <c r="I217" t="s">
        <v>916</v>
      </c>
      <c r="J217" s="13">
        <v>96570</v>
      </c>
      <c r="K217">
        <v>1</v>
      </c>
      <c r="L217" t="s">
        <v>1064</v>
      </c>
      <c r="M217" t="s">
        <v>1065</v>
      </c>
      <c r="N217" s="15" t="s">
        <v>6878</v>
      </c>
    </row>
    <row r="218" spans="1:14" x14ac:dyDescent="0.2">
      <c r="A218" t="s">
        <v>1291</v>
      </c>
      <c r="B218" t="s">
        <v>1062</v>
      </c>
      <c r="C218" s="9">
        <v>44953</v>
      </c>
      <c r="D218" t="s">
        <v>442</v>
      </c>
      <c r="E218" s="13">
        <v>2900000</v>
      </c>
      <c r="F218" s="13">
        <v>16650</v>
      </c>
      <c r="G218" s="9">
        <v>44965</v>
      </c>
      <c r="H218" t="s">
        <v>1063</v>
      </c>
      <c r="I218" t="s">
        <v>916</v>
      </c>
      <c r="J218" s="13">
        <v>96570</v>
      </c>
      <c r="K218">
        <v>1</v>
      </c>
      <c r="L218" t="s">
        <v>1064</v>
      </c>
      <c r="M218" t="s">
        <v>1065</v>
      </c>
      <c r="N218" s="15" t="s">
        <v>6878</v>
      </c>
    </row>
    <row r="219" spans="1:14" x14ac:dyDescent="0.2">
      <c r="A219" t="s">
        <v>1292</v>
      </c>
      <c r="B219" t="s">
        <v>1062</v>
      </c>
      <c r="C219" s="9">
        <v>44953</v>
      </c>
      <c r="D219" t="s">
        <v>442</v>
      </c>
      <c r="E219" s="13">
        <v>2900000</v>
      </c>
      <c r="F219" s="13">
        <v>16650</v>
      </c>
      <c r="G219" s="9">
        <v>44965</v>
      </c>
      <c r="H219" t="s">
        <v>1063</v>
      </c>
      <c r="I219" t="s">
        <v>916</v>
      </c>
      <c r="J219" s="13">
        <v>96570</v>
      </c>
      <c r="K219">
        <v>1</v>
      </c>
      <c r="L219" t="s">
        <v>1064</v>
      </c>
      <c r="M219" t="s">
        <v>1065</v>
      </c>
      <c r="N219" s="15" t="s">
        <v>6878</v>
      </c>
    </row>
    <row r="220" spans="1:14" x14ac:dyDescent="0.2">
      <c r="A220" t="s">
        <v>1293</v>
      </c>
      <c r="B220" t="s">
        <v>1062</v>
      </c>
      <c r="C220" s="9">
        <v>44953</v>
      </c>
      <c r="D220" t="s">
        <v>442</v>
      </c>
      <c r="E220" s="13">
        <v>2900000</v>
      </c>
      <c r="F220" s="13">
        <v>16650</v>
      </c>
      <c r="G220" s="9">
        <v>44965</v>
      </c>
      <c r="H220" t="s">
        <v>1063</v>
      </c>
      <c r="I220" t="s">
        <v>916</v>
      </c>
      <c r="J220" s="13">
        <v>96570</v>
      </c>
      <c r="K220">
        <v>1</v>
      </c>
      <c r="L220" t="s">
        <v>1064</v>
      </c>
      <c r="M220" t="s">
        <v>1065</v>
      </c>
      <c r="N220" s="15" t="s">
        <v>6878</v>
      </c>
    </row>
    <row r="221" spans="1:14" x14ac:dyDescent="0.2">
      <c r="A221" t="s">
        <v>1294</v>
      </c>
      <c r="B221" t="s">
        <v>1062</v>
      </c>
      <c r="C221" s="9">
        <v>44953</v>
      </c>
      <c r="D221" t="s">
        <v>1022</v>
      </c>
      <c r="E221" s="13">
        <v>2000000</v>
      </c>
      <c r="F221" s="13">
        <v>27750</v>
      </c>
      <c r="G221" s="9">
        <v>45002</v>
      </c>
      <c r="H221" t="s">
        <v>1111</v>
      </c>
      <c r="I221" t="s">
        <v>214</v>
      </c>
      <c r="J221" s="13">
        <v>44400</v>
      </c>
      <c r="K221">
        <v>1</v>
      </c>
      <c r="L221" t="s">
        <v>1064</v>
      </c>
      <c r="M221" t="s">
        <v>1112</v>
      </c>
      <c r="N221" s="15" t="s">
        <v>6878</v>
      </c>
    </row>
    <row r="222" spans="1:14" x14ac:dyDescent="0.2">
      <c r="A222" t="s">
        <v>1295</v>
      </c>
      <c r="B222" t="s">
        <v>1062</v>
      </c>
      <c r="C222" s="9">
        <v>44953</v>
      </c>
      <c r="D222" t="s">
        <v>1022</v>
      </c>
      <c r="E222" s="13">
        <v>2000000</v>
      </c>
      <c r="F222" s="13">
        <v>27750</v>
      </c>
      <c r="G222" s="9">
        <v>45002</v>
      </c>
      <c r="H222" t="s">
        <v>1111</v>
      </c>
      <c r="I222" t="s">
        <v>214</v>
      </c>
      <c r="J222" s="13">
        <v>44400</v>
      </c>
      <c r="K222">
        <v>1</v>
      </c>
      <c r="L222" t="s">
        <v>1064</v>
      </c>
      <c r="M222" t="s">
        <v>1112</v>
      </c>
      <c r="N222" s="15" t="s">
        <v>6878</v>
      </c>
    </row>
    <row r="223" spans="1:14" x14ac:dyDescent="0.2">
      <c r="A223" t="s">
        <v>1296</v>
      </c>
      <c r="B223" t="s">
        <v>1062</v>
      </c>
      <c r="C223" s="9">
        <v>44953</v>
      </c>
      <c r="D223" t="s">
        <v>442</v>
      </c>
      <c r="E223" s="13">
        <v>2625000</v>
      </c>
      <c r="F223" s="13">
        <v>16650</v>
      </c>
      <c r="G223" s="9">
        <v>44965</v>
      </c>
      <c r="H223" t="s">
        <v>1063</v>
      </c>
      <c r="I223" t="s">
        <v>916</v>
      </c>
      <c r="J223" s="13">
        <v>87412</v>
      </c>
      <c r="K223">
        <v>1</v>
      </c>
      <c r="L223" t="s">
        <v>1064</v>
      </c>
      <c r="M223" t="s">
        <v>1065</v>
      </c>
      <c r="N223" s="15" t="s">
        <v>6878</v>
      </c>
    </row>
    <row r="224" spans="1:14" x14ac:dyDescent="0.2">
      <c r="A224" t="s">
        <v>1297</v>
      </c>
      <c r="B224" t="s">
        <v>1062</v>
      </c>
      <c r="C224" s="9">
        <v>44953</v>
      </c>
      <c r="D224" t="s">
        <v>1022</v>
      </c>
      <c r="E224" s="13">
        <v>2000000</v>
      </c>
      <c r="F224" s="13">
        <v>27750</v>
      </c>
      <c r="G224" s="9">
        <v>45002</v>
      </c>
      <c r="H224" t="s">
        <v>1111</v>
      </c>
      <c r="I224" t="s">
        <v>214</v>
      </c>
      <c r="J224" s="13">
        <v>44400</v>
      </c>
      <c r="K224">
        <v>1</v>
      </c>
      <c r="L224" t="s">
        <v>1064</v>
      </c>
      <c r="M224" t="s">
        <v>1112</v>
      </c>
      <c r="N224" s="15" t="s">
        <v>6878</v>
      </c>
    </row>
    <row r="225" spans="1:14" x14ac:dyDescent="0.2">
      <c r="A225" t="s">
        <v>1298</v>
      </c>
      <c r="B225" t="s">
        <v>1062</v>
      </c>
      <c r="C225" s="9">
        <v>44953</v>
      </c>
      <c r="D225" t="s">
        <v>442</v>
      </c>
      <c r="E225" s="13">
        <v>2787000</v>
      </c>
      <c r="F225" s="13">
        <v>16650</v>
      </c>
      <c r="G225" s="9">
        <v>44965</v>
      </c>
      <c r="H225" t="s">
        <v>1063</v>
      </c>
      <c r="I225" t="s">
        <v>916</v>
      </c>
      <c r="J225" s="13">
        <v>92807</v>
      </c>
      <c r="K225">
        <v>1</v>
      </c>
      <c r="L225" t="s">
        <v>1064</v>
      </c>
      <c r="M225" t="s">
        <v>1065</v>
      </c>
      <c r="N225" s="15" t="s">
        <v>6878</v>
      </c>
    </row>
    <row r="226" spans="1:14" x14ac:dyDescent="0.2">
      <c r="A226" t="s">
        <v>1299</v>
      </c>
      <c r="B226" t="s">
        <v>1062</v>
      </c>
      <c r="C226" s="9">
        <v>44953</v>
      </c>
      <c r="D226" t="s">
        <v>442</v>
      </c>
      <c r="E226" s="13">
        <v>3250000</v>
      </c>
      <c r="F226" s="13">
        <v>16650</v>
      </c>
      <c r="G226" s="9">
        <v>44965</v>
      </c>
      <c r="H226" t="s">
        <v>1063</v>
      </c>
      <c r="I226" t="s">
        <v>916</v>
      </c>
      <c r="J226" s="13">
        <v>108225</v>
      </c>
      <c r="K226">
        <v>1</v>
      </c>
      <c r="L226" t="s">
        <v>1064</v>
      </c>
      <c r="M226" t="s">
        <v>1065</v>
      </c>
      <c r="N226" s="15" t="s">
        <v>6878</v>
      </c>
    </row>
    <row r="227" spans="1:14" x14ac:dyDescent="0.2">
      <c r="A227" t="s">
        <v>1300</v>
      </c>
      <c r="B227" t="s">
        <v>1062</v>
      </c>
      <c r="C227" s="9">
        <v>44953</v>
      </c>
      <c r="D227" t="s">
        <v>442</v>
      </c>
      <c r="E227" s="13">
        <v>3100000</v>
      </c>
      <c r="F227" s="13">
        <v>16650</v>
      </c>
      <c r="G227" s="9">
        <v>44970</v>
      </c>
      <c r="H227" t="s">
        <v>1063</v>
      </c>
      <c r="I227" t="s">
        <v>916</v>
      </c>
      <c r="J227" s="13">
        <v>103230</v>
      </c>
      <c r="K227">
        <v>1</v>
      </c>
      <c r="L227" t="s">
        <v>1064</v>
      </c>
      <c r="M227" t="s">
        <v>1065</v>
      </c>
      <c r="N227" s="15" t="s">
        <v>6878</v>
      </c>
    </row>
    <row r="228" spans="1:14" x14ac:dyDescent="0.2">
      <c r="A228" t="s">
        <v>1301</v>
      </c>
      <c r="B228" t="s">
        <v>1062</v>
      </c>
      <c r="C228" s="9">
        <v>44953</v>
      </c>
      <c r="D228" t="s">
        <v>442</v>
      </c>
      <c r="E228" s="13">
        <v>1250000</v>
      </c>
      <c r="F228" s="13">
        <v>16650</v>
      </c>
      <c r="G228" s="9">
        <v>44965</v>
      </c>
      <c r="H228" t="s">
        <v>1063</v>
      </c>
      <c r="I228" t="s">
        <v>916</v>
      </c>
      <c r="J228" s="13">
        <v>41625</v>
      </c>
      <c r="K228">
        <v>1</v>
      </c>
      <c r="L228" t="s">
        <v>1064</v>
      </c>
      <c r="M228" t="s">
        <v>1065</v>
      </c>
      <c r="N228" s="15" t="s">
        <v>6878</v>
      </c>
    </row>
    <row r="229" spans="1:14" x14ac:dyDescent="0.2">
      <c r="A229" t="s">
        <v>1302</v>
      </c>
      <c r="B229" t="s">
        <v>1069</v>
      </c>
      <c r="C229" s="9">
        <v>44953</v>
      </c>
      <c r="D229" t="s">
        <v>958</v>
      </c>
      <c r="E229" s="13">
        <v>17557602</v>
      </c>
      <c r="F229" s="13">
        <v>159840</v>
      </c>
      <c r="G229" s="9">
        <v>44953</v>
      </c>
      <c r="H229" t="s">
        <v>1063</v>
      </c>
      <c r="I229" t="s">
        <v>1074</v>
      </c>
      <c r="J229" s="13">
        <v>389778</v>
      </c>
      <c r="K229">
        <v>8</v>
      </c>
      <c r="L229" t="s">
        <v>1064</v>
      </c>
      <c r="M229" t="s">
        <v>1075</v>
      </c>
      <c r="N229" s="15" t="s">
        <v>6878</v>
      </c>
    </row>
    <row r="230" spans="1:14" x14ac:dyDescent="0.2">
      <c r="A230" t="s">
        <v>1303</v>
      </c>
      <c r="B230" t="s">
        <v>1069</v>
      </c>
      <c r="C230" s="9">
        <v>44953</v>
      </c>
      <c r="D230" t="s">
        <v>958</v>
      </c>
      <c r="E230" s="13">
        <v>6606000</v>
      </c>
      <c r="F230" s="13">
        <v>99900</v>
      </c>
      <c r="G230" s="9">
        <v>44953</v>
      </c>
      <c r="H230" t="s">
        <v>1063</v>
      </c>
      <c r="I230" t="s">
        <v>1074</v>
      </c>
      <c r="J230" s="13">
        <v>146653</v>
      </c>
      <c r="K230">
        <v>5</v>
      </c>
      <c r="L230" t="s">
        <v>1064</v>
      </c>
      <c r="M230" t="s">
        <v>1075</v>
      </c>
      <c r="N230" s="15" t="s">
        <v>6878</v>
      </c>
    </row>
    <row r="231" spans="1:14" x14ac:dyDescent="0.2">
      <c r="A231" t="s">
        <v>1304</v>
      </c>
      <c r="B231" t="s">
        <v>1069</v>
      </c>
      <c r="C231" s="9">
        <v>44953</v>
      </c>
      <c r="D231" t="s">
        <v>958</v>
      </c>
      <c r="E231" s="13">
        <v>2415750</v>
      </c>
      <c r="F231" s="13">
        <v>39960</v>
      </c>
      <c r="G231" s="9">
        <v>44953</v>
      </c>
      <c r="H231" t="s">
        <v>1063</v>
      </c>
      <c r="I231" t="s">
        <v>1074</v>
      </c>
      <c r="J231" s="13">
        <v>53629</v>
      </c>
      <c r="K231">
        <v>2</v>
      </c>
      <c r="L231" t="s">
        <v>1064</v>
      </c>
      <c r="M231" t="s">
        <v>1075</v>
      </c>
      <c r="N231" s="15" t="s">
        <v>6878</v>
      </c>
    </row>
    <row r="232" spans="1:14" x14ac:dyDescent="0.2">
      <c r="A232" t="s">
        <v>1305</v>
      </c>
      <c r="B232" t="s">
        <v>1062</v>
      </c>
      <c r="C232" s="9">
        <v>44954</v>
      </c>
      <c r="D232" t="s">
        <v>178</v>
      </c>
      <c r="E232" s="13">
        <v>12740000</v>
      </c>
      <c r="F232" s="13">
        <v>222000</v>
      </c>
      <c r="G232" s="9">
        <v>44954</v>
      </c>
      <c r="H232" t="s">
        <v>1063</v>
      </c>
      <c r="I232" t="s">
        <v>904</v>
      </c>
      <c r="J232" s="13"/>
      <c r="K232">
        <v>10</v>
      </c>
      <c r="L232" t="s">
        <v>1064</v>
      </c>
      <c r="M232" t="s">
        <v>1164</v>
      </c>
      <c r="N232" s="15" t="s">
        <v>6878</v>
      </c>
    </row>
    <row r="233" spans="1:14" x14ac:dyDescent="0.2">
      <c r="A233" t="s">
        <v>1306</v>
      </c>
      <c r="B233" t="s">
        <v>1062</v>
      </c>
      <c r="C233" s="9">
        <v>44954</v>
      </c>
      <c r="D233" t="s">
        <v>178</v>
      </c>
      <c r="E233" s="13">
        <v>3822000</v>
      </c>
      <c r="F233" s="13">
        <v>66600</v>
      </c>
      <c r="G233" s="9">
        <v>44954</v>
      </c>
      <c r="H233" t="s">
        <v>1063</v>
      </c>
      <c r="I233" t="s">
        <v>904</v>
      </c>
      <c r="J233" s="13"/>
      <c r="K233">
        <v>3</v>
      </c>
      <c r="L233" t="s">
        <v>1064</v>
      </c>
      <c r="M233" t="s">
        <v>1164</v>
      </c>
      <c r="N233" s="15" t="s">
        <v>6878</v>
      </c>
    </row>
    <row r="234" spans="1:14" x14ac:dyDescent="0.2">
      <c r="A234" t="s">
        <v>1307</v>
      </c>
      <c r="B234" t="s">
        <v>1062</v>
      </c>
      <c r="C234" s="9">
        <v>44954</v>
      </c>
      <c r="D234" t="s">
        <v>178</v>
      </c>
      <c r="E234" s="13">
        <v>1176000</v>
      </c>
      <c r="F234" s="13">
        <v>22200</v>
      </c>
      <c r="G234" s="9">
        <v>44954</v>
      </c>
      <c r="H234" t="s">
        <v>1063</v>
      </c>
      <c r="I234" t="s">
        <v>904</v>
      </c>
      <c r="J234" s="13"/>
      <c r="K234">
        <v>1</v>
      </c>
      <c r="L234" t="s">
        <v>1064</v>
      </c>
      <c r="M234" t="s">
        <v>1164</v>
      </c>
      <c r="N234" s="15" t="s">
        <v>6878</v>
      </c>
    </row>
    <row r="235" spans="1:14" x14ac:dyDescent="0.2">
      <c r="A235" t="s">
        <v>1308</v>
      </c>
      <c r="B235" t="s">
        <v>1062</v>
      </c>
      <c r="C235" s="9">
        <v>44955</v>
      </c>
      <c r="D235" t="s">
        <v>442</v>
      </c>
      <c r="E235" s="13">
        <v>2900000</v>
      </c>
      <c r="F235" s="13">
        <v>16650</v>
      </c>
      <c r="G235" s="9">
        <v>44965</v>
      </c>
      <c r="H235" t="s">
        <v>1063</v>
      </c>
      <c r="I235" t="s">
        <v>916</v>
      </c>
      <c r="J235" s="13">
        <v>96570</v>
      </c>
      <c r="K235">
        <v>1</v>
      </c>
      <c r="L235" t="s">
        <v>1064</v>
      </c>
      <c r="M235" t="s">
        <v>1065</v>
      </c>
      <c r="N235" s="15" t="s">
        <v>6878</v>
      </c>
    </row>
    <row r="236" spans="1:14" x14ac:dyDescent="0.2">
      <c r="A236" t="s">
        <v>1309</v>
      </c>
      <c r="B236" t="s">
        <v>1062</v>
      </c>
      <c r="C236" s="9">
        <v>44955</v>
      </c>
      <c r="D236" t="s">
        <v>442</v>
      </c>
      <c r="E236" s="13">
        <v>2900000</v>
      </c>
      <c r="F236" s="13">
        <v>16650</v>
      </c>
      <c r="G236" s="9">
        <v>44965</v>
      </c>
      <c r="H236" t="s">
        <v>1063</v>
      </c>
      <c r="I236" t="s">
        <v>916</v>
      </c>
      <c r="J236" s="13">
        <v>96570</v>
      </c>
      <c r="K236">
        <v>1</v>
      </c>
      <c r="L236" t="s">
        <v>1064</v>
      </c>
      <c r="M236" t="s">
        <v>1065</v>
      </c>
      <c r="N236" s="15" t="s">
        <v>6878</v>
      </c>
    </row>
    <row r="237" spans="1:14" x14ac:dyDescent="0.2">
      <c r="A237" t="s">
        <v>1310</v>
      </c>
      <c r="B237" t="s">
        <v>1062</v>
      </c>
      <c r="C237" s="9">
        <v>44955</v>
      </c>
      <c r="D237" t="s">
        <v>442</v>
      </c>
      <c r="E237" s="13">
        <v>2900000</v>
      </c>
      <c r="F237" s="13">
        <v>16650</v>
      </c>
      <c r="G237" s="9">
        <v>44965</v>
      </c>
      <c r="H237" t="s">
        <v>1063</v>
      </c>
      <c r="I237" t="s">
        <v>916</v>
      </c>
      <c r="J237" s="13">
        <v>96570</v>
      </c>
      <c r="K237">
        <v>1</v>
      </c>
      <c r="L237" t="s">
        <v>1064</v>
      </c>
      <c r="M237" t="s">
        <v>1065</v>
      </c>
      <c r="N237" s="15" t="s">
        <v>6878</v>
      </c>
    </row>
    <row r="238" spans="1:14" x14ac:dyDescent="0.2">
      <c r="A238" t="s">
        <v>1311</v>
      </c>
      <c r="B238" t="s">
        <v>1062</v>
      </c>
      <c r="C238" s="9">
        <v>44955</v>
      </c>
      <c r="D238" t="s">
        <v>442</v>
      </c>
      <c r="E238" s="13">
        <v>2900000</v>
      </c>
      <c r="F238" s="13">
        <v>16650</v>
      </c>
      <c r="G238" s="9">
        <v>44965</v>
      </c>
      <c r="H238" t="s">
        <v>1063</v>
      </c>
      <c r="I238" t="s">
        <v>916</v>
      </c>
      <c r="J238" s="13">
        <v>96570</v>
      </c>
      <c r="K238">
        <v>1</v>
      </c>
      <c r="L238" t="s">
        <v>1064</v>
      </c>
      <c r="M238" t="s">
        <v>1065</v>
      </c>
      <c r="N238" s="15" t="s">
        <v>6878</v>
      </c>
    </row>
    <row r="239" spans="1:14" x14ac:dyDescent="0.2">
      <c r="A239" t="s">
        <v>1312</v>
      </c>
      <c r="B239" t="s">
        <v>1062</v>
      </c>
      <c r="C239" s="9">
        <v>44955</v>
      </c>
      <c r="D239" t="s">
        <v>442</v>
      </c>
      <c r="E239" s="13">
        <v>2900000</v>
      </c>
      <c r="F239" s="13">
        <v>16650</v>
      </c>
      <c r="G239" s="9">
        <v>44965</v>
      </c>
      <c r="H239" t="s">
        <v>1063</v>
      </c>
      <c r="I239" t="s">
        <v>916</v>
      </c>
      <c r="J239" s="13">
        <v>96570</v>
      </c>
      <c r="K239">
        <v>1</v>
      </c>
      <c r="L239" t="s">
        <v>1064</v>
      </c>
      <c r="M239" t="s">
        <v>1065</v>
      </c>
      <c r="N239" s="15" t="s">
        <v>6878</v>
      </c>
    </row>
    <row r="240" spans="1:14" x14ac:dyDescent="0.2">
      <c r="A240" t="s">
        <v>1313</v>
      </c>
      <c r="B240" t="s">
        <v>1062</v>
      </c>
      <c r="C240" s="9">
        <v>44955</v>
      </c>
      <c r="D240" t="s">
        <v>442</v>
      </c>
      <c r="E240" s="13">
        <v>2900000</v>
      </c>
      <c r="F240" s="13">
        <v>16650</v>
      </c>
      <c r="G240" s="9">
        <v>44965</v>
      </c>
      <c r="H240" t="s">
        <v>1063</v>
      </c>
      <c r="I240" t="s">
        <v>916</v>
      </c>
      <c r="J240" s="13">
        <v>96570</v>
      </c>
      <c r="K240">
        <v>1</v>
      </c>
      <c r="L240" t="s">
        <v>1064</v>
      </c>
      <c r="M240" t="s">
        <v>1065</v>
      </c>
      <c r="N240" s="15" t="s">
        <v>6878</v>
      </c>
    </row>
    <row r="241" spans="1:14" x14ac:dyDescent="0.2">
      <c r="A241" t="s">
        <v>1314</v>
      </c>
      <c r="B241" t="s">
        <v>1062</v>
      </c>
      <c r="C241" s="9">
        <v>44955</v>
      </c>
      <c r="D241" t="s">
        <v>442</v>
      </c>
      <c r="E241" s="13">
        <v>2900000</v>
      </c>
      <c r="F241" s="13">
        <v>16650</v>
      </c>
      <c r="G241" s="9">
        <v>44965</v>
      </c>
      <c r="H241" t="s">
        <v>1063</v>
      </c>
      <c r="I241" t="s">
        <v>916</v>
      </c>
      <c r="J241" s="13">
        <v>96570</v>
      </c>
      <c r="K241">
        <v>1</v>
      </c>
      <c r="L241" t="s">
        <v>1064</v>
      </c>
      <c r="M241" t="s">
        <v>1065</v>
      </c>
      <c r="N241" s="15" t="s">
        <v>6878</v>
      </c>
    </row>
    <row r="242" spans="1:14" x14ac:dyDescent="0.2">
      <c r="A242" t="s">
        <v>1315</v>
      </c>
      <c r="B242" t="s">
        <v>1062</v>
      </c>
      <c r="C242" s="9">
        <v>44955</v>
      </c>
      <c r="D242" t="s">
        <v>442</v>
      </c>
      <c r="E242" s="13">
        <v>2500000</v>
      </c>
      <c r="F242" s="13">
        <v>16650</v>
      </c>
      <c r="G242" s="9">
        <v>44966</v>
      </c>
      <c r="H242" t="s">
        <v>1063</v>
      </c>
      <c r="I242" t="s">
        <v>916</v>
      </c>
      <c r="J242" s="13">
        <v>83250</v>
      </c>
      <c r="K242">
        <v>1</v>
      </c>
      <c r="L242" t="s">
        <v>1064</v>
      </c>
      <c r="M242" t="s">
        <v>1065</v>
      </c>
      <c r="N242" s="15" t="s">
        <v>6878</v>
      </c>
    </row>
    <row r="243" spans="1:14" x14ac:dyDescent="0.2">
      <c r="A243" t="s">
        <v>1316</v>
      </c>
      <c r="B243" t="s">
        <v>1062</v>
      </c>
      <c r="C243" s="9">
        <v>44956</v>
      </c>
      <c r="D243" t="s">
        <v>442</v>
      </c>
      <c r="E243" s="13">
        <v>2375000</v>
      </c>
      <c r="F243" s="13">
        <v>16650</v>
      </c>
      <c r="G243" s="9">
        <v>44966</v>
      </c>
      <c r="H243" t="s">
        <v>1063</v>
      </c>
      <c r="I243" t="s">
        <v>916</v>
      </c>
      <c r="J243" s="13">
        <v>79087</v>
      </c>
      <c r="K243">
        <v>1</v>
      </c>
      <c r="L243" t="s">
        <v>1064</v>
      </c>
      <c r="M243" t="s">
        <v>1065</v>
      </c>
      <c r="N243" s="15" t="s">
        <v>6878</v>
      </c>
    </row>
    <row r="244" spans="1:14" x14ac:dyDescent="0.2">
      <c r="A244" t="s">
        <v>1317</v>
      </c>
      <c r="B244" t="s">
        <v>1062</v>
      </c>
      <c r="C244" s="9">
        <v>44956</v>
      </c>
      <c r="D244" t="s">
        <v>442</v>
      </c>
      <c r="E244" s="13">
        <v>2625000</v>
      </c>
      <c r="F244" s="13">
        <v>16650</v>
      </c>
      <c r="G244" s="9">
        <v>44966</v>
      </c>
      <c r="H244" t="s">
        <v>1063</v>
      </c>
      <c r="I244" t="s">
        <v>916</v>
      </c>
      <c r="J244" s="13">
        <v>87412</v>
      </c>
      <c r="K244">
        <v>1</v>
      </c>
      <c r="L244" t="s">
        <v>1064</v>
      </c>
      <c r="M244" t="s">
        <v>1065</v>
      </c>
      <c r="N244" s="15" t="s">
        <v>6878</v>
      </c>
    </row>
    <row r="245" spans="1:14" x14ac:dyDescent="0.2">
      <c r="A245" t="s">
        <v>1318</v>
      </c>
      <c r="B245" t="s">
        <v>1062</v>
      </c>
      <c r="C245" s="9">
        <v>44956</v>
      </c>
      <c r="D245" t="s">
        <v>442</v>
      </c>
      <c r="E245" s="13">
        <v>2520000</v>
      </c>
      <c r="F245" s="13">
        <v>16650</v>
      </c>
      <c r="G245" s="9">
        <v>44966</v>
      </c>
      <c r="H245" t="s">
        <v>1063</v>
      </c>
      <c r="I245" t="s">
        <v>916</v>
      </c>
      <c r="J245" s="13">
        <v>83916</v>
      </c>
      <c r="K245">
        <v>1</v>
      </c>
      <c r="L245" t="s">
        <v>1064</v>
      </c>
      <c r="M245" t="s">
        <v>1065</v>
      </c>
      <c r="N245" s="15" t="s">
        <v>6878</v>
      </c>
    </row>
    <row r="246" spans="1:14" x14ac:dyDescent="0.2">
      <c r="A246" t="s">
        <v>1319</v>
      </c>
      <c r="B246" t="s">
        <v>1062</v>
      </c>
      <c r="C246" s="9">
        <v>44956</v>
      </c>
      <c r="D246" t="s">
        <v>442</v>
      </c>
      <c r="E246" s="13">
        <v>2520000</v>
      </c>
      <c r="F246" s="13">
        <v>16650</v>
      </c>
      <c r="G246" s="9">
        <v>44966</v>
      </c>
      <c r="H246" t="s">
        <v>1063</v>
      </c>
      <c r="I246" t="s">
        <v>916</v>
      </c>
      <c r="J246" s="13">
        <v>83916</v>
      </c>
      <c r="K246">
        <v>1</v>
      </c>
      <c r="L246" t="s">
        <v>1064</v>
      </c>
      <c r="M246" t="s">
        <v>1065</v>
      </c>
      <c r="N246" s="15" t="s">
        <v>6878</v>
      </c>
    </row>
    <row r="247" spans="1:14" x14ac:dyDescent="0.2">
      <c r="A247" t="s">
        <v>1320</v>
      </c>
      <c r="B247" t="s">
        <v>1062</v>
      </c>
      <c r="C247" s="9">
        <v>44956</v>
      </c>
      <c r="D247" t="s">
        <v>442</v>
      </c>
      <c r="E247" s="13">
        <v>2625000</v>
      </c>
      <c r="F247" s="13">
        <v>16650</v>
      </c>
      <c r="G247" s="9">
        <v>44966</v>
      </c>
      <c r="H247" t="s">
        <v>1063</v>
      </c>
      <c r="I247" t="s">
        <v>916</v>
      </c>
      <c r="J247" s="13">
        <v>87412</v>
      </c>
      <c r="K247">
        <v>1</v>
      </c>
      <c r="L247" t="s">
        <v>1064</v>
      </c>
      <c r="M247" t="s">
        <v>1065</v>
      </c>
      <c r="N247" s="15" t="s">
        <v>6878</v>
      </c>
    </row>
    <row r="248" spans="1:14" x14ac:dyDescent="0.2">
      <c r="A248" t="s">
        <v>1321</v>
      </c>
      <c r="B248" t="s">
        <v>1062</v>
      </c>
      <c r="C248" s="9">
        <v>44956</v>
      </c>
      <c r="D248" t="s">
        <v>442</v>
      </c>
      <c r="E248" s="13">
        <v>2900000</v>
      </c>
      <c r="F248" s="13">
        <v>16650</v>
      </c>
      <c r="G248" s="9">
        <v>44966</v>
      </c>
      <c r="H248" t="s">
        <v>1063</v>
      </c>
      <c r="I248" t="s">
        <v>916</v>
      </c>
      <c r="J248" s="13">
        <v>96570</v>
      </c>
      <c r="K248">
        <v>1</v>
      </c>
      <c r="L248" t="s">
        <v>1064</v>
      </c>
      <c r="M248" t="s">
        <v>1065</v>
      </c>
      <c r="N248" s="15" t="s">
        <v>6878</v>
      </c>
    </row>
    <row r="249" spans="1:14" x14ac:dyDescent="0.2">
      <c r="A249" t="s">
        <v>1322</v>
      </c>
      <c r="B249" t="s">
        <v>1062</v>
      </c>
      <c r="C249" s="9">
        <v>44956</v>
      </c>
      <c r="D249" t="s">
        <v>442</v>
      </c>
      <c r="E249" s="13">
        <v>2900000</v>
      </c>
      <c r="F249" s="13">
        <v>16650</v>
      </c>
      <c r="G249" s="9">
        <v>44966</v>
      </c>
      <c r="H249" t="s">
        <v>1063</v>
      </c>
      <c r="I249" t="s">
        <v>916</v>
      </c>
      <c r="J249" s="13">
        <v>96570</v>
      </c>
      <c r="K249">
        <v>1</v>
      </c>
      <c r="L249" t="s">
        <v>1064</v>
      </c>
      <c r="M249" t="s">
        <v>1065</v>
      </c>
      <c r="N249" s="15" t="s">
        <v>6878</v>
      </c>
    </row>
    <row r="250" spans="1:14" x14ac:dyDescent="0.2">
      <c r="A250" t="s">
        <v>1323</v>
      </c>
      <c r="B250" t="s">
        <v>1062</v>
      </c>
      <c r="C250" s="9">
        <v>44956</v>
      </c>
      <c r="D250" t="s">
        <v>442</v>
      </c>
      <c r="E250" s="13">
        <v>2900000</v>
      </c>
      <c r="F250" s="13">
        <v>16650</v>
      </c>
      <c r="G250" s="9">
        <v>44965</v>
      </c>
      <c r="H250" t="s">
        <v>1063</v>
      </c>
      <c r="I250" t="s">
        <v>916</v>
      </c>
      <c r="J250" s="13">
        <v>96570</v>
      </c>
      <c r="K250">
        <v>1</v>
      </c>
      <c r="L250" t="s">
        <v>1064</v>
      </c>
      <c r="M250" t="s">
        <v>1065</v>
      </c>
      <c r="N250" s="15" t="s">
        <v>6878</v>
      </c>
    </row>
    <row r="251" spans="1:14" x14ac:dyDescent="0.2">
      <c r="A251" t="s">
        <v>1324</v>
      </c>
      <c r="B251" t="s">
        <v>1062</v>
      </c>
      <c r="C251" s="9">
        <v>44956</v>
      </c>
      <c r="D251" t="s">
        <v>442</v>
      </c>
      <c r="E251" s="13">
        <v>2900000</v>
      </c>
      <c r="F251" s="13">
        <v>16650</v>
      </c>
      <c r="G251" s="9">
        <v>44965</v>
      </c>
      <c r="H251" t="s">
        <v>1063</v>
      </c>
      <c r="I251" t="s">
        <v>916</v>
      </c>
      <c r="J251" s="13">
        <v>96570</v>
      </c>
      <c r="K251">
        <v>1</v>
      </c>
      <c r="L251" t="s">
        <v>1064</v>
      </c>
      <c r="M251" t="s">
        <v>1065</v>
      </c>
      <c r="N251" s="15" t="s">
        <v>6878</v>
      </c>
    </row>
    <row r="252" spans="1:14" x14ac:dyDescent="0.2">
      <c r="A252" t="s">
        <v>1325</v>
      </c>
      <c r="B252" t="s">
        <v>1062</v>
      </c>
      <c r="C252" s="9">
        <v>44956</v>
      </c>
      <c r="D252" t="s">
        <v>442</v>
      </c>
      <c r="E252" s="13">
        <v>2900000</v>
      </c>
      <c r="F252" s="13">
        <v>16650</v>
      </c>
      <c r="G252" s="9">
        <v>44965</v>
      </c>
      <c r="H252" t="s">
        <v>1063</v>
      </c>
      <c r="I252" t="s">
        <v>916</v>
      </c>
      <c r="J252" s="13">
        <v>96570</v>
      </c>
      <c r="K252">
        <v>1</v>
      </c>
      <c r="L252" t="s">
        <v>1064</v>
      </c>
      <c r="M252" t="s">
        <v>1065</v>
      </c>
      <c r="N252" s="15" t="s">
        <v>6878</v>
      </c>
    </row>
    <row r="253" spans="1:14" x14ac:dyDescent="0.2">
      <c r="A253" t="s">
        <v>1326</v>
      </c>
      <c r="B253" t="s">
        <v>1062</v>
      </c>
      <c r="C253" s="9">
        <v>44956</v>
      </c>
      <c r="D253" t="s">
        <v>442</v>
      </c>
      <c r="E253" s="13">
        <v>2900000</v>
      </c>
      <c r="F253" s="13">
        <v>16650</v>
      </c>
      <c r="G253" s="9">
        <v>44965</v>
      </c>
      <c r="H253" t="s">
        <v>1063</v>
      </c>
      <c r="I253" t="s">
        <v>916</v>
      </c>
      <c r="J253" s="13">
        <v>96570</v>
      </c>
      <c r="K253">
        <v>1</v>
      </c>
      <c r="L253" t="s">
        <v>1064</v>
      </c>
      <c r="M253" t="s">
        <v>1065</v>
      </c>
      <c r="N253" s="15" t="s">
        <v>6878</v>
      </c>
    </row>
    <row r="254" spans="1:14" x14ac:dyDescent="0.2">
      <c r="A254" t="s">
        <v>1327</v>
      </c>
      <c r="B254" t="s">
        <v>1062</v>
      </c>
      <c r="C254" s="9">
        <v>44956</v>
      </c>
      <c r="D254" t="s">
        <v>442</v>
      </c>
      <c r="E254" s="13">
        <v>2900000</v>
      </c>
      <c r="F254" s="13">
        <v>16650</v>
      </c>
      <c r="G254" s="9">
        <v>44965</v>
      </c>
      <c r="H254" t="s">
        <v>1063</v>
      </c>
      <c r="I254" t="s">
        <v>916</v>
      </c>
      <c r="J254" s="13">
        <v>96570</v>
      </c>
      <c r="K254">
        <v>1</v>
      </c>
      <c r="L254" t="s">
        <v>1064</v>
      </c>
      <c r="M254" t="s">
        <v>1065</v>
      </c>
      <c r="N254" s="15" t="s">
        <v>6878</v>
      </c>
    </row>
    <row r="255" spans="1:14" x14ac:dyDescent="0.2">
      <c r="A255" t="s">
        <v>1328</v>
      </c>
      <c r="B255" t="s">
        <v>1062</v>
      </c>
      <c r="C255" s="9">
        <v>44956</v>
      </c>
      <c r="D255" t="s">
        <v>442</v>
      </c>
      <c r="E255" s="13">
        <v>2900000</v>
      </c>
      <c r="F255" s="13">
        <v>16650</v>
      </c>
      <c r="G255" s="9">
        <v>44965</v>
      </c>
      <c r="H255" t="s">
        <v>1063</v>
      </c>
      <c r="I255" t="s">
        <v>916</v>
      </c>
      <c r="J255" s="13">
        <v>96570</v>
      </c>
      <c r="K255">
        <v>1</v>
      </c>
      <c r="L255" t="s">
        <v>1064</v>
      </c>
      <c r="M255" t="s">
        <v>1065</v>
      </c>
      <c r="N255" s="15" t="s">
        <v>6878</v>
      </c>
    </row>
    <row r="256" spans="1:14" x14ac:dyDescent="0.2">
      <c r="A256" t="s">
        <v>1329</v>
      </c>
      <c r="B256" t="s">
        <v>1062</v>
      </c>
      <c r="C256" s="9">
        <v>44956</v>
      </c>
      <c r="D256" t="s">
        <v>442</v>
      </c>
      <c r="E256" s="13">
        <v>2900000</v>
      </c>
      <c r="F256" s="13">
        <v>16650</v>
      </c>
      <c r="G256" s="9">
        <v>44965</v>
      </c>
      <c r="H256" t="s">
        <v>1063</v>
      </c>
      <c r="I256" t="s">
        <v>916</v>
      </c>
      <c r="J256" s="13">
        <v>96570</v>
      </c>
      <c r="K256">
        <v>1</v>
      </c>
      <c r="L256" t="s">
        <v>1064</v>
      </c>
      <c r="M256" t="s">
        <v>1065</v>
      </c>
      <c r="N256" s="15" t="s">
        <v>6878</v>
      </c>
    </row>
    <row r="257" spans="1:14" x14ac:dyDescent="0.2">
      <c r="A257" t="s">
        <v>1330</v>
      </c>
      <c r="B257" t="s">
        <v>1062</v>
      </c>
      <c r="C257" s="9">
        <v>44956</v>
      </c>
      <c r="D257" t="s">
        <v>442</v>
      </c>
      <c r="E257" s="13">
        <v>2900000</v>
      </c>
      <c r="F257" s="13">
        <v>16650</v>
      </c>
      <c r="G257" s="9">
        <v>44965</v>
      </c>
      <c r="H257" t="s">
        <v>1063</v>
      </c>
      <c r="I257" t="s">
        <v>916</v>
      </c>
      <c r="J257" s="13">
        <v>96570</v>
      </c>
      <c r="K257">
        <v>1</v>
      </c>
      <c r="L257" t="s">
        <v>1064</v>
      </c>
      <c r="M257" t="s">
        <v>1065</v>
      </c>
      <c r="N257" s="15" t="s">
        <v>6878</v>
      </c>
    </row>
    <row r="258" spans="1:14" x14ac:dyDescent="0.2">
      <c r="A258" t="s">
        <v>1331</v>
      </c>
      <c r="B258" t="s">
        <v>1062</v>
      </c>
      <c r="C258" s="9">
        <v>44957</v>
      </c>
      <c r="D258" t="s">
        <v>1022</v>
      </c>
      <c r="E258" s="13">
        <v>2000000</v>
      </c>
      <c r="F258" s="13">
        <v>27750</v>
      </c>
      <c r="G258" s="9">
        <v>45002</v>
      </c>
      <c r="H258" t="s">
        <v>1111</v>
      </c>
      <c r="I258" t="s">
        <v>214</v>
      </c>
      <c r="J258" s="13">
        <v>44400</v>
      </c>
      <c r="K258">
        <v>1</v>
      </c>
      <c r="L258" t="s">
        <v>1064</v>
      </c>
      <c r="M258" t="s">
        <v>1112</v>
      </c>
      <c r="N258" s="15" t="s">
        <v>6878</v>
      </c>
    </row>
    <row r="259" spans="1:14" x14ac:dyDescent="0.2">
      <c r="A259" t="s">
        <v>1332</v>
      </c>
      <c r="B259" t="s">
        <v>1062</v>
      </c>
      <c r="C259" s="9">
        <v>44957</v>
      </c>
      <c r="D259" t="s">
        <v>1022</v>
      </c>
      <c r="E259" s="13">
        <v>8000000</v>
      </c>
      <c r="F259" s="13">
        <v>111000</v>
      </c>
      <c r="G259" s="9">
        <v>45002</v>
      </c>
      <c r="H259" t="s">
        <v>1111</v>
      </c>
      <c r="I259" t="s">
        <v>214</v>
      </c>
      <c r="J259" s="13">
        <v>177600</v>
      </c>
      <c r="K259">
        <v>4</v>
      </c>
      <c r="L259" t="s">
        <v>1064</v>
      </c>
      <c r="M259" t="s">
        <v>1112</v>
      </c>
      <c r="N259" s="15" t="s">
        <v>6878</v>
      </c>
    </row>
    <row r="260" spans="1:14" x14ac:dyDescent="0.2">
      <c r="A260" t="s">
        <v>1333</v>
      </c>
      <c r="B260" t="s">
        <v>1062</v>
      </c>
      <c r="C260" s="9">
        <v>44957</v>
      </c>
      <c r="D260" t="s">
        <v>1022</v>
      </c>
      <c r="E260" s="13">
        <v>2000000</v>
      </c>
      <c r="F260" s="13">
        <v>27750</v>
      </c>
      <c r="G260" s="9">
        <v>45002</v>
      </c>
      <c r="H260" t="s">
        <v>1111</v>
      </c>
      <c r="I260" t="s">
        <v>214</v>
      </c>
      <c r="J260" s="13">
        <v>44400</v>
      </c>
      <c r="K260">
        <v>1</v>
      </c>
      <c r="L260" t="s">
        <v>1064</v>
      </c>
      <c r="M260" t="s">
        <v>1112</v>
      </c>
      <c r="N260" s="15" t="s">
        <v>6878</v>
      </c>
    </row>
    <row r="261" spans="1:14" x14ac:dyDescent="0.2">
      <c r="A261" t="s">
        <v>1334</v>
      </c>
      <c r="B261" t="s">
        <v>1069</v>
      </c>
      <c r="C261" s="9">
        <v>44957</v>
      </c>
      <c r="D261" t="s">
        <v>442</v>
      </c>
      <c r="E261" s="13">
        <v>2050000</v>
      </c>
      <c r="F261" s="13">
        <v>16650</v>
      </c>
      <c r="G261" s="9">
        <v>44966</v>
      </c>
      <c r="H261" t="s">
        <v>1063</v>
      </c>
      <c r="I261" t="s">
        <v>916</v>
      </c>
      <c r="J261" s="13">
        <v>68265</v>
      </c>
      <c r="K261">
        <v>1</v>
      </c>
      <c r="L261" t="s">
        <v>1064</v>
      </c>
      <c r="M261" t="s">
        <v>1065</v>
      </c>
      <c r="N261" s="15" t="s">
        <v>6878</v>
      </c>
    </row>
    <row r="262" spans="1:14" x14ac:dyDescent="0.2">
      <c r="A262" t="s">
        <v>1335</v>
      </c>
      <c r="B262" t="s">
        <v>1069</v>
      </c>
      <c r="C262" s="9">
        <v>44957</v>
      </c>
      <c r="D262" t="s">
        <v>442</v>
      </c>
      <c r="E262" s="13">
        <v>2050000</v>
      </c>
      <c r="F262" s="13">
        <v>16650</v>
      </c>
      <c r="G262" s="9">
        <v>44966</v>
      </c>
      <c r="H262" t="s">
        <v>1063</v>
      </c>
      <c r="I262" t="s">
        <v>916</v>
      </c>
      <c r="J262" s="13">
        <v>68265</v>
      </c>
      <c r="K262">
        <v>1</v>
      </c>
      <c r="L262" t="s">
        <v>1064</v>
      </c>
      <c r="M262" t="s">
        <v>1065</v>
      </c>
      <c r="N262" s="15" t="s">
        <v>6878</v>
      </c>
    </row>
    <row r="263" spans="1:14" x14ac:dyDescent="0.2">
      <c r="A263" t="s">
        <v>1336</v>
      </c>
      <c r="B263" t="s">
        <v>1062</v>
      </c>
      <c r="C263" s="9">
        <v>44957</v>
      </c>
      <c r="D263" t="s">
        <v>442</v>
      </c>
      <c r="E263" s="13">
        <v>2625000</v>
      </c>
      <c r="F263" s="13">
        <v>16650</v>
      </c>
      <c r="G263" s="9">
        <v>44968</v>
      </c>
      <c r="H263" t="s">
        <v>1063</v>
      </c>
      <c r="I263" t="s">
        <v>916</v>
      </c>
      <c r="J263" s="13">
        <v>87412</v>
      </c>
      <c r="K263">
        <v>1</v>
      </c>
      <c r="L263" t="s">
        <v>1064</v>
      </c>
      <c r="M263" t="s">
        <v>1065</v>
      </c>
      <c r="N263" s="15" t="s">
        <v>6878</v>
      </c>
    </row>
    <row r="264" spans="1:14" x14ac:dyDescent="0.2">
      <c r="A264" t="s">
        <v>1337</v>
      </c>
      <c r="B264" t="s">
        <v>1062</v>
      </c>
      <c r="C264" s="9">
        <v>44957</v>
      </c>
      <c r="D264" t="s">
        <v>442</v>
      </c>
      <c r="E264" s="13">
        <v>2625000</v>
      </c>
      <c r="F264" s="13">
        <v>16650</v>
      </c>
      <c r="G264" s="9">
        <v>44968</v>
      </c>
      <c r="H264" t="s">
        <v>1063</v>
      </c>
      <c r="I264" t="s">
        <v>916</v>
      </c>
      <c r="J264" s="13">
        <v>87412</v>
      </c>
      <c r="K264">
        <v>1</v>
      </c>
      <c r="L264" t="s">
        <v>1064</v>
      </c>
      <c r="M264" t="s">
        <v>1065</v>
      </c>
      <c r="N264" s="15" t="s">
        <v>6878</v>
      </c>
    </row>
    <row r="265" spans="1:14" x14ac:dyDescent="0.2">
      <c r="A265" t="s">
        <v>1338</v>
      </c>
      <c r="B265" t="s">
        <v>1062</v>
      </c>
      <c r="C265" s="9">
        <v>44957</v>
      </c>
      <c r="D265" t="s">
        <v>442</v>
      </c>
      <c r="E265" s="13">
        <v>2450000</v>
      </c>
      <c r="F265" s="13">
        <v>16650</v>
      </c>
      <c r="G265" s="9">
        <v>44968</v>
      </c>
      <c r="H265" t="s">
        <v>1063</v>
      </c>
      <c r="I265" t="s">
        <v>916</v>
      </c>
      <c r="J265" s="13">
        <v>81585</v>
      </c>
      <c r="K265">
        <v>1</v>
      </c>
      <c r="L265" t="s">
        <v>1064</v>
      </c>
      <c r="M265" t="s">
        <v>1065</v>
      </c>
      <c r="N265" s="15" t="s">
        <v>6878</v>
      </c>
    </row>
    <row r="266" spans="1:14" x14ac:dyDescent="0.2">
      <c r="A266" t="s">
        <v>1339</v>
      </c>
      <c r="B266" t="s">
        <v>1062</v>
      </c>
      <c r="C266" s="9">
        <v>44958</v>
      </c>
      <c r="D266" t="s">
        <v>442</v>
      </c>
      <c r="E266" s="13">
        <v>2900000</v>
      </c>
      <c r="F266" s="13">
        <v>16650</v>
      </c>
      <c r="G266" s="9">
        <v>44968</v>
      </c>
      <c r="H266" t="s">
        <v>1063</v>
      </c>
      <c r="I266" t="s">
        <v>916</v>
      </c>
      <c r="J266" s="13">
        <v>96570</v>
      </c>
      <c r="K266">
        <v>1</v>
      </c>
      <c r="L266" t="s">
        <v>1064</v>
      </c>
      <c r="M266" t="s">
        <v>1065</v>
      </c>
      <c r="N266" s="15" t="s">
        <v>6878</v>
      </c>
    </row>
    <row r="267" spans="1:14" x14ac:dyDescent="0.2">
      <c r="A267" t="s">
        <v>1340</v>
      </c>
      <c r="B267" t="s">
        <v>1062</v>
      </c>
      <c r="C267" s="9">
        <v>44958</v>
      </c>
      <c r="D267" t="s">
        <v>442</v>
      </c>
      <c r="E267" s="13">
        <v>2900000</v>
      </c>
      <c r="F267" s="13">
        <v>16650</v>
      </c>
      <c r="G267" s="9">
        <v>44968</v>
      </c>
      <c r="H267" t="s">
        <v>1063</v>
      </c>
      <c r="I267" t="s">
        <v>916</v>
      </c>
      <c r="J267" s="13">
        <v>96570</v>
      </c>
      <c r="K267">
        <v>1</v>
      </c>
      <c r="L267" t="s">
        <v>1064</v>
      </c>
      <c r="M267" t="s">
        <v>1065</v>
      </c>
      <c r="N267" s="15" t="s">
        <v>6878</v>
      </c>
    </row>
    <row r="268" spans="1:14" x14ac:dyDescent="0.2">
      <c r="A268" t="s">
        <v>1341</v>
      </c>
      <c r="B268" t="s">
        <v>1062</v>
      </c>
      <c r="C268" s="9">
        <v>44958</v>
      </c>
      <c r="D268" t="s">
        <v>442</v>
      </c>
      <c r="E268" s="13">
        <v>2900000</v>
      </c>
      <c r="F268" s="13">
        <v>16650</v>
      </c>
      <c r="G268" s="9">
        <v>44968</v>
      </c>
      <c r="H268" t="s">
        <v>1063</v>
      </c>
      <c r="I268" t="s">
        <v>916</v>
      </c>
      <c r="J268" s="13">
        <v>96570</v>
      </c>
      <c r="K268">
        <v>1</v>
      </c>
      <c r="L268" t="s">
        <v>1064</v>
      </c>
      <c r="M268" t="s">
        <v>1065</v>
      </c>
      <c r="N268" s="15" t="s">
        <v>6878</v>
      </c>
    </row>
    <row r="269" spans="1:14" x14ac:dyDescent="0.2">
      <c r="A269" t="s">
        <v>1342</v>
      </c>
      <c r="B269" t="s">
        <v>1062</v>
      </c>
      <c r="C269" s="9">
        <v>44958</v>
      </c>
      <c r="D269" t="s">
        <v>442</v>
      </c>
      <c r="E269" s="13">
        <v>2900000</v>
      </c>
      <c r="F269" s="13">
        <v>16650</v>
      </c>
      <c r="G269" s="9">
        <v>44968</v>
      </c>
      <c r="H269" t="s">
        <v>1063</v>
      </c>
      <c r="I269" t="s">
        <v>916</v>
      </c>
      <c r="J269" s="13">
        <v>96570</v>
      </c>
      <c r="K269">
        <v>1</v>
      </c>
      <c r="L269" t="s">
        <v>1064</v>
      </c>
      <c r="M269" t="s">
        <v>1065</v>
      </c>
      <c r="N269" s="15" t="s">
        <v>6878</v>
      </c>
    </row>
    <row r="270" spans="1:14" x14ac:dyDescent="0.2">
      <c r="A270" t="s">
        <v>1343</v>
      </c>
      <c r="B270" t="s">
        <v>1062</v>
      </c>
      <c r="C270" s="9">
        <v>44958</v>
      </c>
      <c r="D270" t="s">
        <v>442</v>
      </c>
      <c r="E270" s="13">
        <v>2900000</v>
      </c>
      <c r="F270" s="13">
        <v>16650</v>
      </c>
      <c r="G270" s="9">
        <v>44968</v>
      </c>
      <c r="H270" t="s">
        <v>1063</v>
      </c>
      <c r="I270" t="s">
        <v>916</v>
      </c>
      <c r="J270" s="13">
        <v>96570</v>
      </c>
      <c r="K270">
        <v>1</v>
      </c>
      <c r="L270" t="s">
        <v>1064</v>
      </c>
      <c r="M270" t="s">
        <v>1065</v>
      </c>
      <c r="N270" s="15" t="s">
        <v>6878</v>
      </c>
    </row>
    <row r="271" spans="1:14" x14ac:dyDescent="0.2">
      <c r="A271" t="s">
        <v>1344</v>
      </c>
      <c r="B271" t="s">
        <v>1062</v>
      </c>
      <c r="C271" s="9">
        <v>44958</v>
      </c>
      <c r="D271" t="s">
        <v>442</v>
      </c>
      <c r="E271" s="13">
        <v>2900000</v>
      </c>
      <c r="F271" s="13">
        <v>16650</v>
      </c>
      <c r="G271" s="9">
        <v>44967</v>
      </c>
      <c r="H271" t="s">
        <v>1063</v>
      </c>
      <c r="I271" t="s">
        <v>916</v>
      </c>
      <c r="J271" s="13">
        <v>96570</v>
      </c>
      <c r="K271">
        <v>1</v>
      </c>
      <c r="L271" t="s">
        <v>1064</v>
      </c>
      <c r="M271" t="s">
        <v>1065</v>
      </c>
      <c r="N271" s="15" t="s">
        <v>6878</v>
      </c>
    </row>
    <row r="272" spans="1:14" x14ac:dyDescent="0.2">
      <c r="A272" t="s">
        <v>1345</v>
      </c>
      <c r="B272" t="s">
        <v>1062</v>
      </c>
      <c r="C272" s="9">
        <v>44958</v>
      </c>
      <c r="D272" t="s">
        <v>442</v>
      </c>
      <c r="E272" s="13">
        <v>2900000</v>
      </c>
      <c r="F272" s="13">
        <v>16650</v>
      </c>
      <c r="G272" s="9">
        <v>44967</v>
      </c>
      <c r="H272" t="s">
        <v>1063</v>
      </c>
      <c r="I272" t="s">
        <v>916</v>
      </c>
      <c r="J272" s="13">
        <v>96570</v>
      </c>
      <c r="K272">
        <v>1</v>
      </c>
      <c r="L272" t="s">
        <v>1064</v>
      </c>
      <c r="M272" t="s">
        <v>1065</v>
      </c>
      <c r="N272" s="15" t="s">
        <v>6878</v>
      </c>
    </row>
    <row r="273" spans="1:14" x14ac:dyDescent="0.2">
      <c r="A273" t="s">
        <v>1346</v>
      </c>
      <c r="B273" t="s">
        <v>1062</v>
      </c>
      <c r="C273" s="9">
        <v>44958</v>
      </c>
      <c r="D273" t="s">
        <v>442</v>
      </c>
      <c r="E273" s="13">
        <v>2900000</v>
      </c>
      <c r="F273" s="13">
        <v>16650</v>
      </c>
      <c r="G273" s="9">
        <v>44967</v>
      </c>
      <c r="H273" t="s">
        <v>1063</v>
      </c>
      <c r="I273" t="s">
        <v>916</v>
      </c>
      <c r="J273" s="13">
        <v>96570</v>
      </c>
      <c r="K273">
        <v>1</v>
      </c>
      <c r="L273" t="s">
        <v>1064</v>
      </c>
      <c r="M273" t="s">
        <v>1065</v>
      </c>
      <c r="N273" s="15" t="s">
        <v>6878</v>
      </c>
    </row>
    <row r="274" spans="1:14" x14ac:dyDescent="0.2">
      <c r="A274" t="s">
        <v>1347</v>
      </c>
      <c r="B274" t="s">
        <v>1062</v>
      </c>
      <c r="C274" s="9">
        <v>44958</v>
      </c>
      <c r="D274" t="s">
        <v>442</v>
      </c>
      <c r="E274" s="13">
        <v>2900000</v>
      </c>
      <c r="F274" s="13">
        <v>16650</v>
      </c>
      <c r="G274" s="9">
        <v>44967</v>
      </c>
      <c r="H274" t="s">
        <v>1063</v>
      </c>
      <c r="I274" t="s">
        <v>916</v>
      </c>
      <c r="J274" s="13">
        <v>96570</v>
      </c>
      <c r="K274">
        <v>1</v>
      </c>
      <c r="L274" t="s">
        <v>1064</v>
      </c>
      <c r="M274" t="s">
        <v>1065</v>
      </c>
      <c r="N274" s="15" t="s">
        <v>6878</v>
      </c>
    </row>
    <row r="275" spans="1:14" x14ac:dyDescent="0.2">
      <c r="A275" t="s">
        <v>1348</v>
      </c>
      <c r="B275" t="s">
        <v>1062</v>
      </c>
      <c r="C275" s="9">
        <v>44958</v>
      </c>
      <c r="D275" t="s">
        <v>442</v>
      </c>
      <c r="E275" s="13">
        <v>2900000</v>
      </c>
      <c r="F275" s="13">
        <v>16650</v>
      </c>
      <c r="G275" s="9">
        <v>44967</v>
      </c>
      <c r="H275" t="s">
        <v>1063</v>
      </c>
      <c r="I275" t="s">
        <v>916</v>
      </c>
      <c r="J275" s="13">
        <v>96570</v>
      </c>
      <c r="K275">
        <v>1</v>
      </c>
      <c r="L275" t="s">
        <v>1064</v>
      </c>
      <c r="M275" t="s">
        <v>1065</v>
      </c>
      <c r="N275" s="15" t="s">
        <v>6878</v>
      </c>
    </row>
    <row r="276" spans="1:14" x14ac:dyDescent="0.2">
      <c r="A276" t="s">
        <v>1349</v>
      </c>
      <c r="B276" t="s">
        <v>1062</v>
      </c>
      <c r="C276" s="9">
        <v>44958</v>
      </c>
      <c r="D276" t="s">
        <v>442</v>
      </c>
      <c r="E276" s="13">
        <v>1000000</v>
      </c>
      <c r="F276" s="13">
        <v>16650</v>
      </c>
      <c r="G276" s="9">
        <v>44967</v>
      </c>
      <c r="H276" t="s">
        <v>1063</v>
      </c>
      <c r="I276" t="s">
        <v>916</v>
      </c>
      <c r="J276" s="13">
        <v>33300</v>
      </c>
      <c r="K276">
        <v>1</v>
      </c>
      <c r="L276" t="s">
        <v>1064</v>
      </c>
      <c r="M276" t="s">
        <v>1065</v>
      </c>
      <c r="N276" s="15" t="s">
        <v>6878</v>
      </c>
    </row>
    <row r="277" spans="1:14" x14ac:dyDescent="0.2">
      <c r="A277" t="s">
        <v>1350</v>
      </c>
      <c r="B277" t="s">
        <v>1062</v>
      </c>
      <c r="C277" s="9">
        <v>44958</v>
      </c>
      <c r="D277" t="s">
        <v>442</v>
      </c>
      <c r="E277" s="13">
        <v>2625000</v>
      </c>
      <c r="F277" s="13">
        <v>16650</v>
      </c>
      <c r="G277" s="9">
        <v>44971</v>
      </c>
      <c r="H277" t="s">
        <v>1063</v>
      </c>
      <c r="I277" t="s">
        <v>916</v>
      </c>
      <c r="J277" s="13">
        <v>87412</v>
      </c>
      <c r="K277">
        <v>1</v>
      </c>
      <c r="L277" t="s">
        <v>1064</v>
      </c>
      <c r="M277" t="s">
        <v>1065</v>
      </c>
      <c r="N277" s="15" t="s">
        <v>6878</v>
      </c>
    </row>
    <row r="278" spans="1:14" x14ac:dyDescent="0.2">
      <c r="A278" t="s">
        <v>1351</v>
      </c>
      <c r="B278" t="s">
        <v>1062</v>
      </c>
      <c r="C278" s="9">
        <v>44958</v>
      </c>
      <c r="D278" t="s">
        <v>442</v>
      </c>
      <c r="E278" s="13">
        <v>2625000</v>
      </c>
      <c r="F278" s="13">
        <v>16650</v>
      </c>
      <c r="G278" s="9">
        <v>44970</v>
      </c>
      <c r="H278" t="s">
        <v>1063</v>
      </c>
      <c r="I278" t="s">
        <v>916</v>
      </c>
      <c r="J278" s="13">
        <v>87412</v>
      </c>
      <c r="K278">
        <v>1</v>
      </c>
      <c r="L278" t="s">
        <v>1064</v>
      </c>
      <c r="M278" t="s">
        <v>1065</v>
      </c>
      <c r="N278" s="15" t="s">
        <v>6878</v>
      </c>
    </row>
    <row r="279" spans="1:14" x14ac:dyDescent="0.2">
      <c r="A279" t="s">
        <v>1352</v>
      </c>
      <c r="B279" t="s">
        <v>1062</v>
      </c>
      <c r="C279" s="9">
        <v>44958</v>
      </c>
      <c r="D279" t="s">
        <v>442</v>
      </c>
      <c r="E279" s="13">
        <v>2900000</v>
      </c>
      <c r="F279" s="13">
        <v>16650</v>
      </c>
      <c r="G279" s="9">
        <v>44971</v>
      </c>
      <c r="H279" t="s">
        <v>1063</v>
      </c>
      <c r="I279" t="s">
        <v>916</v>
      </c>
      <c r="J279" s="13">
        <v>96570</v>
      </c>
      <c r="K279">
        <v>1</v>
      </c>
      <c r="L279" t="s">
        <v>1064</v>
      </c>
      <c r="M279" t="s">
        <v>1065</v>
      </c>
      <c r="N279" s="15" t="s">
        <v>6878</v>
      </c>
    </row>
    <row r="280" spans="1:14" x14ac:dyDescent="0.2">
      <c r="A280" t="s">
        <v>1353</v>
      </c>
      <c r="B280" t="s">
        <v>1062</v>
      </c>
      <c r="C280" s="9">
        <v>44958</v>
      </c>
      <c r="D280" t="s">
        <v>442</v>
      </c>
      <c r="E280" s="13">
        <v>2900000</v>
      </c>
      <c r="F280" s="13">
        <v>16650</v>
      </c>
      <c r="G280" s="9">
        <v>44971</v>
      </c>
      <c r="H280" t="s">
        <v>1063</v>
      </c>
      <c r="I280" t="s">
        <v>916</v>
      </c>
      <c r="J280" s="13">
        <v>96570</v>
      </c>
      <c r="K280">
        <v>1</v>
      </c>
      <c r="L280" t="s">
        <v>1064</v>
      </c>
      <c r="M280" t="s">
        <v>1065</v>
      </c>
      <c r="N280" s="15" t="s">
        <v>6878</v>
      </c>
    </row>
    <row r="281" spans="1:14" x14ac:dyDescent="0.2">
      <c r="A281" t="s">
        <v>1354</v>
      </c>
      <c r="B281" t="s">
        <v>1062</v>
      </c>
      <c r="C281" s="9">
        <v>44958</v>
      </c>
      <c r="D281" t="s">
        <v>442</v>
      </c>
      <c r="E281" s="13">
        <v>2900000</v>
      </c>
      <c r="F281" s="13">
        <v>16650</v>
      </c>
      <c r="G281" s="9">
        <v>44971</v>
      </c>
      <c r="H281" t="s">
        <v>1063</v>
      </c>
      <c r="I281" t="s">
        <v>916</v>
      </c>
      <c r="J281" s="13">
        <v>96570</v>
      </c>
      <c r="K281">
        <v>1</v>
      </c>
      <c r="L281" t="s">
        <v>1064</v>
      </c>
      <c r="M281" t="s">
        <v>1065</v>
      </c>
      <c r="N281" s="15" t="s">
        <v>6878</v>
      </c>
    </row>
    <row r="282" spans="1:14" x14ac:dyDescent="0.2">
      <c r="A282" t="s">
        <v>1355</v>
      </c>
      <c r="B282" t="s">
        <v>1062</v>
      </c>
      <c r="C282" s="9">
        <v>44958</v>
      </c>
      <c r="D282" t="s">
        <v>442</v>
      </c>
      <c r="E282" s="13">
        <v>2900000</v>
      </c>
      <c r="F282" s="13">
        <v>16650</v>
      </c>
      <c r="G282" s="9">
        <v>44995</v>
      </c>
      <c r="H282" t="s">
        <v>1063</v>
      </c>
      <c r="I282" t="s">
        <v>916</v>
      </c>
      <c r="J282" s="13">
        <v>96570</v>
      </c>
      <c r="K282">
        <v>1</v>
      </c>
      <c r="L282" t="s">
        <v>1064</v>
      </c>
      <c r="M282" t="s">
        <v>1065</v>
      </c>
      <c r="N282" s="15" t="s">
        <v>6878</v>
      </c>
    </row>
    <row r="283" spans="1:14" x14ac:dyDescent="0.2">
      <c r="A283" t="s">
        <v>1356</v>
      </c>
      <c r="B283" t="s">
        <v>1062</v>
      </c>
      <c r="C283" s="9">
        <v>44958</v>
      </c>
      <c r="D283" t="s">
        <v>442</v>
      </c>
      <c r="E283" s="13">
        <v>2900000</v>
      </c>
      <c r="F283" s="13">
        <v>16650</v>
      </c>
      <c r="G283" s="9">
        <v>44971</v>
      </c>
      <c r="H283" t="s">
        <v>1063</v>
      </c>
      <c r="I283" t="s">
        <v>916</v>
      </c>
      <c r="J283" s="13">
        <v>96570</v>
      </c>
      <c r="K283">
        <v>1</v>
      </c>
      <c r="L283" t="s">
        <v>1064</v>
      </c>
      <c r="M283" t="s">
        <v>1065</v>
      </c>
      <c r="N283" s="15" t="s">
        <v>6878</v>
      </c>
    </row>
    <row r="284" spans="1:14" x14ac:dyDescent="0.2">
      <c r="A284" t="s">
        <v>1357</v>
      </c>
      <c r="B284" t="s">
        <v>1062</v>
      </c>
      <c r="C284" s="9">
        <v>44958</v>
      </c>
      <c r="D284" t="s">
        <v>442</v>
      </c>
      <c r="E284" s="13">
        <v>1950000</v>
      </c>
      <c r="F284" s="13">
        <v>16650</v>
      </c>
      <c r="G284" s="9">
        <v>44971</v>
      </c>
      <c r="H284" t="s">
        <v>1063</v>
      </c>
      <c r="I284" t="s">
        <v>916</v>
      </c>
      <c r="J284" s="13">
        <v>64935</v>
      </c>
      <c r="K284">
        <v>1</v>
      </c>
      <c r="L284" t="s">
        <v>1064</v>
      </c>
      <c r="M284" t="s">
        <v>1065</v>
      </c>
      <c r="N284" s="15" t="s">
        <v>6878</v>
      </c>
    </row>
    <row r="285" spans="1:14" x14ac:dyDescent="0.2">
      <c r="A285" t="s">
        <v>1358</v>
      </c>
      <c r="B285" t="s">
        <v>1062</v>
      </c>
      <c r="C285" s="9">
        <v>44958</v>
      </c>
      <c r="D285" t="s">
        <v>442</v>
      </c>
      <c r="E285" s="13">
        <v>2525000</v>
      </c>
      <c r="F285" s="13">
        <v>16650</v>
      </c>
      <c r="G285" s="9">
        <v>44971</v>
      </c>
      <c r="H285" t="s">
        <v>1063</v>
      </c>
      <c r="I285" t="s">
        <v>916</v>
      </c>
      <c r="J285" s="13">
        <v>84082</v>
      </c>
      <c r="K285">
        <v>1</v>
      </c>
      <c r="L285" t="s">
        <v>1064</v>
      </c>
      <c r="M285" t="s">
        <v>1065</v>
      </c>
      <c r="N285" s="15" t="s">
        <v>6878</v>
      </c>
    </row>
    <row r="286" spans="1:14" x14ac:dyDescent="0.2">
      <c r="A286" t="s">
        <v>1359</v>
      </c>
      <c r="B286" t="s">
        <v>1062</v>
      </c>
      <c r="C286" s="9">
        <v>44958</v>
      </c>
      <c r="D286" t="s">
        <v>442</v>
      </c>
      <c r="E286" s="13">
        <v>1000000</v>
      </c>
      <c r="F286" s="13">
        <v>16650</v>
      </c>
      <c r="G286" s="9">
        <v>44970</v>
      </c>
      <c r="H286" t="s">
        <v>1063</v>
      </c>
      <c r="I286" t="s">
        <v>916</v>
      </c>
      <c r="J286" s="13">
        <v>33300</v>
      </c>
      <c r="K286">
        <v>1</v>
      </c>
      <c r="L286" t="s">
        <v>1064</v>
      </c>
      <c r="M286" t="s">
        <v>1065</v>
      </c>
      <c r="N286" s="15" t="s">
        <v>6878</v>
      </c>
    </row>
    <row r="287" spans="1:14" x14ac:dyDescent="0.2">
      <c r="A287" t="s">
        <v>1360</v>
      </c>
      <c r="B287" t="s">
        <v>1069</v>
      </c>
      <c r="C287" s="9">
        <v>44958</v>
      </c>
      <c r="D287" t="s">
        <v>958</v>
      </c>
      <c r="E287" s="13">
        <v>19212500</v>
      </c>
      <c r="F287" s="13">
        <v>319680</v>
      </c>
      <c r="G287" s="9">
        <v>44959</v>
      </c>
      <c r="H287" t="s">
        <v>1063</v>
      </c>
      <c r="I287" t="s">
        <v>1074</v>
      </c>
      <c r="J287" s="13">
        <v>426517</v>
      </c>
      <c r="K287">
        <v>16</v>
      </c>
      <c r="L287" t="s">
        <v>1064</v>
      </c>
      <c r="M287" t="s">
        <v>1075</v>
      </c>
      <c r="N287" s="15" t="s">
        <v>6878</v>
      </c>
    </row>
    <row r="288" spans="1:14" x14ac:dyDescent="0.2">
      <c r="A288" t="s">
        <v>1361</v>
      </c>
      <c r="B288" t="s">
        <v>1069</v>
      </c>
      <c r="C288" s="9">
        <v>44959</v>
      </c>
      <c r="D288" t="s">
        <v>1037</v>
      </c>
      <c r="E288" s="13">
        <v>1800000</v>
      </c>
      <c r="F288" s="13">
        <v>27750</v>
      </c>
      <c r="G288" s="9">
        <v>44963</v>
      </c>
      <c r="H288" t="s">
        <v>1063</v>
      </c>
      <c r="I288" t="s">
        <v>214</v>
      </c>
      <c r="J288" s="13">
        <v>39960</v>
      </c>
      <c r="K288">
        <v>1</v>
      </c>
      <c r="L288" t="s">
        <v>1064</v>
      </c>
      <c r="M288" t="s">
        <v>1107</v>
      </c>
      <c r="N288" s="15" t="s">
        <v>6878</v>
      </c>
    </row>
    <row r="289" spans="1:14" x14ac:dyDescent="0.2">
      <c r="A289" t="s">
        <v>1362</v>
      </c>
      <c r="B289" t="s">
        <v>1069</v>
      </c>
      <c r="C289" s="9">
        <v>44959</v>
      </c>
      <c r="D289" t="s">
        <v>958</v>
      </c>
      <c r="E289" s="13">
        <v>8546137</v>
      </c>
      <c r="F289" s="13">
        <v>119880</v>
      </c>
      <c r="G289" s="9">
        <v>44959</v>
      </c>
      <c r="H289" t="s">
        <v>1063</v>
      </c>
      <c r="I289" t="s">
        <v>1074</v>
      </c>
      <c r="J289" s="13">
        <v>189723</v>
      </c>
      <c r="K289">
        <v>6</v>
      </c>
      <c r="L289" t="s">
        <v>1064</v>
      </c>
      <c r="M289" t="s">
        <v>1075</v>
      </c>
      <c r="N289" s="15" t="s">
        <v>6878</v>
      </c>
    </row>
    <row r="290" spans="1:14" x14ac:dyDescent="0.2">
      <c r="A290" t="s">
        <v>1363</v>
      </c>
      <c r="B290" t="s">
        <v>1069</v>
      </c>
      <c r="C290" s="9">
        <v>44959</v>
      </c>
      <c r="D290" t="s">
        <v>958</v>
      </c>
      <c r="E290" s="13">
        <v>8051550</v>
      </c>
      <c r="F290" s="13">
        <v>139860</v>
      </c>
      <c r="G290" s="9">
        <v>44959</v>
      </c>
      <c r="H290" t="s">
        <v>1063</v>
      </c>
      <c r="I290" t="s">
        <v>1074</v>
      </c>
      <c r="J290" s="13">
        <v>178744</v>
      </c>
      <c r="K290">
        <v>7</v>
      </c>
      <c r="L290" t="s">
        <v>1064</v>
      </c>
      <c r="M290" t="s">
        <v>1075</v>
      </c>
      <c r="N290" s="15" t="s">
        <v>6878</v>
      </c>
    </row>
    <row r="291" spans="1:14" x14ac:dyDescent="0.2">
      <c r="A291" t="s">
        <v>1364</v>
      </c>
      <c r="B291" t="s">
        <v>1069</v>
      </c>
      <c r="C291" s="9">
        <v>44959</v>
      </c>
      <c r="D291" t="s">
        <v>958</v>
      </c>
      <c r="E291" s="13">
        <v>13859616</v>
      </c>
      <c r="F291" s="13">
        <v>159840</v>
      </c>
      <c r="G291" s="9">
        <v>44959</v>
      </c>
      <c r="H291" t="s">
        <v>1063</v>
      </c>
      <c r="I291" t="s">
        <v>1074</v>
      </c>
      <c r="J291" s="13">
        <v>307683</v>
      </c>
      <c r="K291">
        <v>8</v>
      </c>
      <c r="L291" t="s">
        <v>1064</v>
      </c>
      <c r="M291" t="s">
        <v>1075</v>
      </c>
      <c r="N291" s="15" t="s">
        <v>6878</v>
      </c>
    </row>
    <row r="292" spans="1:14" x14ac:dyDescent="0.2">
      <c r="A292" t="s">
        <v>1365</v>
      </c>
      <c r="B292" t="s">
        <v>1062</v>
      </c>
      <c r="C292" s="9">
        <v>44959</v>
      </c>
      <c r="D292" t="s">
        <v>1022</v>
      </c>
      <c r="E292" s="13">
        <v>2000000</v>
      </c>
      <c r="F292" s="13">
        <v>27750</v>
      </c>
      <c r="G292" s="9">
        <v>45002</v>
      </c>
      <c r="H292" t="s">
        <v>1111</v>
      </c>
      <c r="I292" t="s">
        <v>214</v>
      </c>
      <c r="J292" s="13">
        <v>44400</v>
      </c>
      <c r="K292">
        <v>1</v>
      </c>
      <c r="L292" t="s">
        <v>1064</v>
      </c>
      <c r="M292" t="s">
        <v>1112</v>
      </c>
      <c r="N292" s="15" t="s">
        <v>6878</v>
      </c>
    </row>
    <row r="293" spans="1:14" x14ac:dyDescent="0.2">
      <c r="A293" t="s">
        <v>1366</v>
      </c>
      <c r="B293" t="s">
        <v>1062</v>
      </c>
      <c r="C293" s="9">
        <v>44960</v>
      </c>
      <c r="D293" t="s">
        <v>442</v>
      </c>
      <c r="E293" s="13">
        <v>6134500</v>
      </c>
      <c r="F293" s="13">
        <v>16650</v>
      </c>
      <c r="G293" s="9">
        <v>44994</v>
      </c>
      <c r="H293" t="s">
        <v>1063</v>
      </c>
      <c r="I293" t="s">
        <v>916</v>
      </c>
      <c r="J293" s="13">
        <v>204278</v>
      </c>
      <c r="K293">
        <v>1</v>
      </c>
      <c r="L293" t="s">
        <v>1064</v>
      </c>
      <c r="M293" t="s">
        <v>1065</v>
      </c>
      <c r="N293" s="15" t="s">
        <v>6878</v>
      </c>
    </row>
    <row r="294" spans="1:14" x14ac:dyDescent="0.2">
      <c r="A294" t="s">
        <v>1367</v>
      </c>
      <c r="B294" t="s">
        <v>1062</v>
      </c>
      <c r="C294" s="9">
        <v>44960</v>
      </c>
      <c r="D294" t="s">
        <v>178</v>
      </c>
      <c r="E294" s="13">
        <v>11074000</v>
      </c>
      <c r="F294" s="13">
        <v>199800</v>
      </c>
      <c r="G294" s="9">
        <v>44961</v>
      </c>
      <c r="H294" t="s">
        <v>1063</v>
      </c>
      <c r="I294" t="s">
        <v>904</v>
      </c>
      <c r="J294" s="13"/>
      <c r="K294">
        <v>9</v>
      </c>
      <c r="L294" t="s">
        <v>1064</v>
      </c>
      <c r="M294" t="s">
        <v>1164</v>
      </c>
      <c r="N294" s="15" t="s">
        <v>6878</v>
      </c>
    </row>
    <row r="295" spans="1:14" x14ac:dyDescent="0.2">
      <c r="A295" t="s">
        <v>1368</v>
      </c>
      <c r="B295" t="s">
        <v>1062</v>
      </c>
      <c r="C295" s="9">
        <v>44960</v>
      </c>
      <c r="D295" t="s">
        <v>442</v>
      </c>
      <c r="E295" s="13">
        <v>2625000</v>
      </c>
      <c r="F295" s="13">
        <v>16650</v>
      </c>
      <c r="G295" s="9">
        <v>44971</v>
      </c>
      <c r="H295" t="s">
        <v>1063</v>
      </c>
      <c r="I295" t="s">
        <v>916</v>
      </c>
      <c r="J295" s="13">
        <v>87412</v>
      </c>
      <c r="K295">
        <v>1</v>
      </c>
      <c r="L295" t="s">
        <v>1064</v>
      </c>
      <c r="M295" t="s">
        <v>1065</v>
      </c>
      <c r="N295" s="15" t="s">
        <v>6878</v>
      </c>
    </row>
    <row r="296" spans="1:14" x14ac:dyDescent="0.2">
      <c r="A296" t="s">
        <v>1369</v>
      </c>
      <c r="B296" t="s">
        <v>1062</v>
      </c>
      <c r="C296" s="9">
        <v>44960</v>
      </c>
      <c r="D296" t="s">
        <v>178</v>
      </c>
      <c r="E296" s="13">
        <v>3822000</v>
      </c>
      <c r="F296" s="13">
        <v>66600</v>
      </c>
      <c r="G296" s="9">
        <v>44961</v>
      </c>
      <c r="H296" t="s">
        <v>1063</v>
      </c>
      <c r="I296" t="s">
        <v>904</v>
      </c>
      <c r="J296" s="13"/>
      <c r="K296">
        <v>3</v>
      </c>
      <c r="L296" t="s">
        <v>1064</v>
      </c>
      <c r="M296" t="s">
        <v>1164</v>
      </c>
      <c r="N296" s="15" t="s">
        <v>6878</v>
      </c>
    </row>
    <row r="297" spans="1:14" x14ac:dyDescent="0.2">
      <c r="A297" t="s">
        <v>1370</v>
      </c>
      <c r="B297" t="s">
        <v>1062</v>
      </c>
      <c r="C297" s="9">
        <v>44960</v>
      </c>
      <c r="D297" t="s">
        <v>442</v>
      </c>
      <c r="E297" s="13">
        <v>3250000</v>
      </c>
      <c r="F297" s="13">
        <v>16650</v>
      </c>
      <c r="G297" s="9">
        <v>44971</v>
      </c>
      <c r="H297" t="s">
        <v>1063</v>
      </c>
      <c r="I297" t="s">
        <v>916</v>
      </c>
      <c r="J297" s="13">
        <v>108225</v>
      </c>
      <c r="K297">
        <v>1</v>
      </c>
      <c r="L297" t="s">
        <v>1064</v>
      </c>
      <c r="M297" t="s">
        <v>1065</v>
      </c>
      <c r="N297" s="15" t="s">
        <v>6878</v>
      </c>
    </row>
    <row r="298" spans="1:14" x14ac:dyDescent="0.2">
      <c r="A298" t="s">
        <v>1371</v>
      </c>
      <c r="B298" t="s">
        <v>1062</v>
      </c>
      <c r="C298" s="9">
        <v>44960</v>
      </c>
      <c r="D298" t="s">
        <v>442</v>
      </c>
      <c r="E298" s="13">
        <v>2525000</v>
      </c>
      <c r="F298" s="13">
        <v>16650</v>
      </c>
      <c r="G298" s="9">
        <v>44971</v>
      </c>
      <c r="H298" t="s">
        <v>1063</v>
      </c>
      <c r="I298" t="s">
        <v>916</v>
      </c>
      <c r="J298" s="13">
        <v>84082</v>
      </c>
      <c r="K298">
        <v>1</v>
      </c>
      <c r="L298" t="s">
        <v>1064</v>
      </c>
      <c r="M298" t="s">
        <v>1065</v>
      </c>
      <c r="N298" s="15" t="s">
        <v>6878</v>
      </c>
    </row>
    <row r="299" spans="1:14" x14ac:dyDescent="0.2">
      <c r="A299" t="s">
        <v>1372</v>
      </c>
      <c r="B299" t="s">
        <v>1062</v>
      </c>
      <c r="C299" s="9">
        <v>44960</v>
      </c>
      <c r="D299" t="s">
        <v>178</v>
      </c>
      <c r="E299" s="13">
        <v>7644000</v>
      </c>
      <c r="F299" s="13">
        <v>133200</v>
      </c>
      <c r="G299" s="9">
        <v>44961</v>
      </c>
      <c r="H299" t="s">
        <v>1063</v>
      </c>
      <c r="I299" t="s">
        <v>904</v>
      </c>
      <c r="J299" s="13"/>
      <c r="K299">
        <v>6</v>
      </c>
      <c r="L299" t="s">
        <v>1064</v>
      </c>
      <c r="M299" t="s">
        <v>1164</v>
      </c>
      <c r="N299" s="15" t="s">
        <v>6878</v>
      </c>
    </row>
    <row r="300" spans="1:14" x14ac:dyDescent="0.2">
      <c r="A300" t="s">
        <v>1373</v>
      </c>
      <c r="B300" t="s">
        <v>1062</v>
      </c>
      <c r="C300" s="9">
        <v>44960</v>
      </c>
      <c r="D300" t="s">
        <v>442</v>
      </c>
      <c r="E300" s="13">
        <v>2710000</v>
      </c>
      <c r="F300" s="13">
        <v>16650</v>
      </c>
      <c r="G300" s="9">
        <v>44971</v>
      </c>
      <c r="H300" t="s">
        <v>1063</v>
      </c>
      <c r="I300" t="s">
        <v>916</v>
      </c>
      <c r="J300" s="13">
        <v>90243</v>
      </c>
      <c r="K300">
        <v>1</v>
      </c>
      <c r="L300" t="s">
        <v>1064</v>
      </c>
      <c r="M300" t="s">
        <v>1065</v>
      </c>
      <c r="N300" s="15" t="s">
        <v>6878</v>
      </c>
    </row>
    <row r="301" spans="1:14" x14ac:dyDescent="0.2">
      <c r="A301" t="s">
        <v>1374</v>
      </c>
      <c r="B301" t="s">
        <v>1062</v>
      </c>
      <c r="C301" s="9">
        <v>44960</v>
      </c>
      <c r="D301" t="s">
        <v>442</v>
      </c>
      <c r="E301" s="13">
        <v>1950000</v>
      </c>
      <c r="F301" s="13">
        <v>16650</v>
      </c>
      <c r="G301" s="9">
        <v>44972</v>
      </c>
      <c r="H301" t="s">
        <v>1063</v>
      </c>
      <c r="I301" t="s">
        <v>916</v>
      </c>
      <c r="J301" s="13">
        <v>64935</v>
      </c>
      <c r="K301">
        <v>1</v>
      </c>
      <c r="L301" t="s">
        <v>1064</v>
      </c>
      <c r="M301" t="s">
        <v>1065</v>
      </c>
      <c r="N301" s="15" t="s">
        <v>6878</v>
      </c>
    </row>
    <row r="302" spans="1:14" x14ac:dyDescent="0.2">
      <c r="A302" t="s">
        <v>1375</v>
      </c>
      <c r="B302" t="s">
        <v>1062</v>
      </c>
      <c r="C302" s="9">
        <v>44960</v>
      </c>
      <c r="D302" t="s">
        <v>442</v>
      </c>
      <c r="E302" s="13">
        <v>2000000</v>
      </c>
      <c r="F302" s="13">
        <v>16650</v>
      </c>
      <c r="G302" s="9">
        <v>44971</v>
      </c>
      <c r="H302" t="s">
        <v>1063</v>
      </c>
      <c r="I302" t="s">
        <v>916</v>
      </c>
      <c r="J302" s="13">
        <v>66600</v>
      </c>
      <c r="K302">
        <v>1</v>
      </c>
      <c r="L302" t="s">
        <v>1064</v>
      </c>
      <c r="M302" t="s">
        <v>1065</v>
      </c>
      <c r="N302" s="15" t="s">
        <v>6878</v>
      </c>
    </row>
    <row r="303" spans="1:14" x14ac:dyDescent="0.2">
      <c r="A303" t="s">
        <v>1376</v>
      </c>
      <c r="B303" t="s">
        <v>1062</v>
      </c>
      <c r="C303" s="9">
        <v>44960</v>
      </c>
      <c r="D303" t="s">
        <v>442</v>
      </c>
      <c r="E303" s="13">
        <v>2000000</v>
      </c>
      <c r="F303" s="13">
        <v>16650</v>
      </c>
      <c r="G303" s="9">
        <v>44971</v>
      </c>
      <c r="H303" t="s">
        <v>1063</v>
      </c>
      <c r="I303" t="s">
        <v>916</v>
      </c>
      <c r="J303" s="13">
        <v>66600</v>
      </c>
      <c r="K303">
        <v>1</v>
      </c>
      <c r="L303" t="s">
        <v>1064</v>
      </c>
      <c r="M303" t="s">
        <v>1065</v>
      </c>
      <c r="N303" s="15" t="s">
        <v>6878</v>
      </c>
    </row>
    <row r="304" spans="1:14" x14ac:dyDescent="0.2">
      <c r="A304" t="s">
        <v>1377</v>
      </c>
      <c r="B304" t="s">
        <v>1062</v>
      </c>
      <c r="C304" s="9">
        <v>44960</v>
      </c>
      <c r="D304" t="s">
        <v>442</v>
      </c>
      <c r="E304" s="13">
        <v>1500000</v>
      </c>
      <c r="F304" s="13">
        <v>16650</v>
      </c>
      <c r="G304" s="9">
        <v>44971</v>
      </c>
      <c r="H304" t="s">
        <v>1063</v>
      </c>
      <c r="I304" t="s">
        <v>916</v>
      </c>
      <c r="J304" s="13">
        <v>49950</v>
      </c>
      <c r="K304">
        <v>1</v>
      </c>
      <c r="L304" t="s">
        <v>1064</v>
      </c>
      <c r="M304" t="s">
        <v>1065</v>
      </c>
      <c r="N304" s="15" t="s">
        <v>6878</v>
      </c>
    </row>
    <row r="305" spans="1:14" x14ac:dyDescent="0.2">
      <c r="A305" t="s">
        <v>1378</v>
      </c>
      <c r="B305" t="s">
        <v>1062</v>
      </c>
      <c r="C305" s="9">
        <v>44963</v>
      </c>
      <c r="D305" t="s">
        <v>1022</v>
      </c>
      <c r="E305" s="13">
        <v>4000000</v>
      </c>
      <c r="F305" s="13">
        <v>55500</v>
      </c>
      <c r="G305" s="9">
        <v>45014</v>
      </c>
      <c r="H305" t="s">
        <v>1111</v>
      </c>
      <c r="I305" t="s">
        <v>214</v>
      </c>
      <c r="J305" s="13">
        <v>88800</v>
      </c>
      <c r="K305">
        <v>2</v>
      </c>
      <c r="L305" t="s">
        <v>1064</v>
      </c>
      <c r="M305" t="s">
        <v>1112</v>
      </c>
      <c r="N305" s="15" t="s">
        <v>6878</v>
      </c>
    </row>
    <row r="306" spans="1:14" x14ac:dyDescent="0.2">
      <c r="A306" t="s">
        <v>1379</v>
      </c>
      <c r="B306" t="s">
        <v>1062</v>
      </c>
      <c r="C306" s="9">
        <v>44963</v>
      </c>
      <c r="D306" t="s">
        <v>1022</v>
      </c>
      <c r="E306" s="13">
        <v>6000000</v>
      </c>
      <c r="F306" s="13">
        <v>83250</v>
      </c>
      <c r="G306" s="9">
        <v>45014</v>
      </c>
      <c r="H306" t="s">
        <v>1111</v>
      </c>
      <c r="I306" t="s">
        <v>214</v>
      </c>
      <c r="J306" s="13">
        <v>133200</v>
      </c>
      <c r="K306">
        <v>3</v>
      </c>
      <c r="L306" t="s">
        <v>1064</v>
      </c>
      <c r="M306" t="s">
        <v>1112</v>
      </c>
      <c r="N306" s="15" t="s">
        <v>6878</v>
      </c>
    </row>
    <row r="307" spans="1:14" x14ac:dyDescent="0.2">
      <c r="A307" t="s">
        <v>1380</v>
      </c>
      <c r="B307" t="s">
        <v>1062</v>
      </c>
      <c r="C307" s="9">
        <v>44963</v>
      </c>
      <c r="D307" t="s">
        <v>442</v>
      </c>
      <c r="E307" s="13">
        <v>2625000</v>
      </c>
      <c r="F307" s="13">
        <v>16650</v>
      </c>
      <c r="G307" s="9">
        <v>44972</v>
      </c>
      <c r="H307" t="s">
        <v>1063</v>
      </c>
      <c r="I307" t="s">
        <v>916</v>
      </c>
      <c r="J307" s="13">
        <v>87412</v>
      </c>
      <c r="K307">
        <v>1</v>
      </c>
      <c r="L307" t="s">
        <v>1064</v>
      </c>
      <c r="M307" t="s">
        <v>1065</v>
      </c>
      <c r="N307" s="15" t="s">
        <v>6878</v>
      </c>
    </row>
    <row r="308" spans="1:14" x14ac:dyDescent="0.2">
      <c r="A308" t="s">
        <v>1381</v>
      </c>
      <c r="B308" t="s">
        <v>1062</v>
      </c>
      <c r="C308" s="9">
        <v>44963</v>
      </c>
      <c r="D308" t="s">
        <v>1022</v>
      </c>
      <c r="E308" s="13">
        <v>6000000</v>
      </c>
      <c r="F308" s="13">
        <v>83250</v>
      </c>
      <c r="G308" s="9">
        <v>45014</v>
      </c>
      <c r="H308" t="s">
        <v>1111</v>
      </c>
      <c r="I308" t="s">
        <v>214</v>
      </c>
      <c r="J308" s="13">
        <v>133200</v>
      </c>
      <c r="K308">
        <v>3</v>
      </c>
      <c r="L308" t="s">
        <v>1064</v>
      </c>
      <c r="M308" t="s">
        <v>1112</v>
      </c>
      <c r="N308" s="15" t="s">
        <v>6878</v>
      </c>
    </row>
    <row r="309" spans="1:14" x14ac:dyDescent="0.2">
      <c r="A309" t="s">
        <v>1382</v>
      </c>
      <c r="B309" t="s">
        <v>1062</v>
      </c>
      <c r="C309" s="9">
        <v>44963</v>
      </c>
      <c r="D309" t="s">
        <v>442</v>
      </c>
      <c r="E309" s="13">
        <v>2770000</v>
      </c>
      <c r="F309" s="13">
        <v>16650</v>
      </c>
      <c r="G309" s="9">
        <v>44979</v>
      </c>
      <c r="H309" t="s">
        <v>1063</v>
      </c>
      <c r="I309" t="s">
        <v>916</v>
      </c>
      <c r="J309" s="13">
        <v>92241</v>
      </c>
      <c r="K309">
        <v>1</v>
      </c>
      <c r="L309" t="s">
        <v>1064</v>
      </c>
      <c r="M309" t="s">
        <v>1065</v>
      </c>
      <c r="N309" s="15" t="s">
        <v>6878</v>
      </c>
    </row>
    <row r="310" spans="1:14" x14ac:dyDescent="0.2">
      <c r="A310" t="s">
        <v>1383</v>
      </c>
      <c r="B310" t="s">
        <v>1062</v>
      </c>
      <c r="C310" s="9">
        <v>44963</v>
      </c>
      <c r="D310" t="s">
        <v>1022</v>
      </c>
      <c r="E310" s="13">
        <v>4000000</v>
      </c>
      <c r="F310" s="13">
        <v>55500</v>
      </c>
      <c r="G310" s="9">
        <v>45014</v>
      </c>
      <c r="H310" t="s">
        <v>1111</v>
      </c>
      <c r="I310" t="s">
        <v>214</v>
      </c>
      <c r="J310" s="13">
        <v>88800</v>
      </c>
      <c r="K310">
        <v>2</v>
      </c>
      <c r="L310" t="s">
        <v>1064</v>
      </c>
      <c r="M310" t="s">
        <v>1112</v>
      </c>
      <c r="N310" s="15" t="s">
        <v>6878</v>
      </c>
    </row>
    <row r="311" spans="1:14" x14ac:dyDescent="0.2">
      <c r="A311" t="s">
        <v>1384</v>
      </c>
      <c r="B311" t="s">
        <v>1062</v>
      </c>
      <c r="C311" s="9">
        <v>44963</v>
      </c>
      <c r="D311" t="s">
        <v>1022</v>
      </c>
      <c r="E311" s="13">
        <v>2000000</v>
      </c>
      <c r="F311" s="13">
        <v>27750</v>
      </c>
      <c r="G311" s="9">
        <v>45014</v>
      </c>
      <c r="H311" t="s">
        <v>1111</v>
      </c>
      <c r="I311" t="s">
        <v>214</v>
      </c>
      <c r="J311" s="13">
        <v>44400</v>
      </c>
      <c r="K311">
        <v>1</v>
      </c>
      <c r="L311" t="s">
        <v>1064</v>
      </c>
      <c r="M311" t="s">
        <v>1112</v>
      </c>
      <c r="N311" s="15" t="s">
        <v>6878</v>
      </c>
    </row>
    <row r="312" spans="1:14" x14ac:dyDescent="0.2">
      <c r="A312" t="s">
        <v>1385</v>
      </c>
      <c r="B312" t="s">
        <v>1062</v>
      </c>
      <c r="C312" s="9">
        <v>44963</v>
      </c>
      <c r="D312" t="s">
        <v>442</v>
      </c>
      <c r="E312" s="13">
        <v>1575000</v>
      </c>
      <c r="F312" s="13">
        <v>16650</v>
      </c>
      <c r="G312" s="9">
        <v>44973</v>
      </c>
      <c r="H312" t="s">
        <v>1063</v>
      </c>
      <c r="I312" t="s">
        <v>916</v>
      </c>
      <c r="J312" s="13">
        <v>52447</v>
      </c>
      <c r="K312">
        <v>1</v>
      </c>
      <c r="L312" t="s">
        <v>1064</v>
      </c>
      <c r="M312" t="s">
        <v>1065</v>
      </c>
      <c r="N312" s="15" t="s">
        <v>6878</v>
      </c>
    </row>
    <row r="313" spans="1:14" x14ac:dyDescent="0.2">
      <c r="A313" t="s">
        <v>1386</v>
      </c>
      <c r="B313" t="s">
        <v>1062</v>
      </c>
      <c r="C313" s="9">
        <v>44963</v>
      </c>
      <c r="D313" t="s">
        <v>442</v>
      </c>
      <c r="E313" s="13">
        <v>2625000</v>
      </c>
      <c r="F313" s="13">
        <v>16650</v>
      </c>
      <c r="G313" s="9">
        <v>44973</v>
      </c>
      <c r="H313" t="s">
        <v>1063</v>
      </c>
      <c r="I313" t="s">
        <v>916</v>
      </c>
      <c r="J313" s="13">
        <v>87412</v>
      </c>
      <c r="K313">
        <v>1</v>
      </c>
      <c r="L313" t="s">
        <v>1064</v>
      </c>
      <c r="M313" t="s">
        <v>1065</v>
      </c>
      <c r="N313" s="15" t="s">
        <v>6878</v>
      </c>
    </row>
    <row r="314" spans="1:14" x14ac:dyDescent="0.2">
      <c r="A314" t="s">
        <v>1387</v>
      </c>
      <c r="B314" t="s">
        <v>1062</v>
      </c>
      <c r="C314" s="9">
        <v>44963</v>
      </c>
      <c r="D314" t="s">
        <v>442</v>
      </c>
      <c r="E314" s="13">
        <v>2625000</v>
      </c>
      <c r="F314" s="13">
        <v>16650</v>
      </c>
      <c r="G314" s="9">
        <v>44973</v>
      </c>
      <c r="H314" t="s">
        <v>1063</v>
      </c>
      <c r="I314" t="s">
        <v>916</v>
      </c>
      <c r="J314" s="13">
        <v>87412</v>
      </c>
      <c r="K314">
        <v>1</v>
      </c>
      <c r="L314" t="s">
        <v>1064</v>
      </c>
      <c r="M314" t="s">
        <v>1065</v>
      </c>
      <c r="N314" s="15" t="s">
        <v>6878</v>
      </c>
    </row>
    <row r="315" spans="1:14" x14ac:dyDescent="0.2">
      <c r="A315" t="s">
        <v>1388</v>
      </c>
      <c r="B315" t="s">
        <v>1062</v>
      </c>
      <c r="C315" s="9">
        <v>44963</v>
      </c>
      <c r="D315" t="s">
        <v>442</v>
      </c>
      <c r="E315" s="13">
        <v>2625000</v>
      </c>
      <c r="F315" s="13">
        <v>16650</v>
      </c>
      <c r="G315" s="9">
        <v>44973</v>
      </c>
      <c r="H315" t="s">
        <v>1063</v>
      </c>
      <c r="I315" t="s">
        <v>916</v>
      </c>
      <c r="J315" s="13">
        <v>87412</v>
      </c>
      <c r="K315">
        <v>1</v>
      </c>
      <c r="L315" t="s">
        <v>1064</v>
      </c>
      <c r="M315" t="s">
        <v>1065</v>
      </c>
      <c r="N315" s="15" t="s">
        <v>6878</v>
      </c>
    </row>
    <row r="316" spans="1:14" x14ac:dyDescent="0.2">
      <c r="A316" t="s">
        <v>1389</v>
      </c>
      <c r="B316" t="s">
        <v>1062</v>
      </c>
      <c r="C316" s="9">
        <v>44963</v>
      </c>
      <c r="D316" t="s">
        <v>442</v>
      </c>
      <c r="E316" s="13">
        <v>2970000</v>
      </c>
      <c r="F316" s="13">
        <v>16650</v>
      </c>
      <c r="G316" s="9">
        <v>44973</v>
      </c>
      <c r="H316" t="s">
        <v>1063</v>
      </c>
      <c r="I316" t="s">
        <v>916</v>
      </c>
      <c r="J316" s="13">
        <v>98901</v>
      </c>
      <c r="K316">
        <v>1</v>
      </c>
      <c r="L316" t="s">
        <v>1064</v>
      </c>
      <c r="M316" t="s">
        <v>1065</v>
      </c>
      <c r="N316" s="15" t="s">
        <v>6878</v>
      </c>
    </row>
    <row r="317" spans="1:14" x14ac:dyDescent="0.2">
      <c r="A317" t="s">
        <v>1390</v>
      </c>
      <c r="B317" t="s">
        <v>1062</v>
      </c>
      <c r="C317" s="9">
        <v>44963</v>
      </c>
      <c r="D317" t="s">
        <v>442</v>
      </c>
      <c r="E317" s="13">
        <v>2520000</v>
      </c>
      <c r="F317" s="13">
        <v>16650</v>
      </c>
      <c r="G317" s="9">
        <v>44973</v>
      </c>
      <c r="H317" t="s">
        <v>1063</v>
      </c>
      <c r="I317" t="s">
        <v>916</v>
      </c>
      <c r="J317" s="13">
        <v>83916</v>
      </c>
      <c r="K317">
        <v>1</v>
      </c>
      <c r="L317" t="s">
        <v>1064</v>
      </c>
      <c r="M317" t="s">
        <v>1065</v>
      </c>
      <c r="N317" s="15" t="s">
        <v>6878</v>
      </c>
    </row>
    <row r="318" spans="1:14" x14ac:dyDescent="0.2">
      <c r="A318" t="s">
        <v>1391</v>
      </c>
      <c r="B318" t="s">
        <v>1062</v>
      </c>
      <c r="C318" s="9">
        <v>44963</v>
      </c>
      <c r="D318" t="s">
        <v>442</v>
      </c>
      <c r="E318" s="13">
        <v>2625000</v>
      </c>
      <c r="F318" s="13">
        <v>16650</v>
      </c>
      <c r="G318" s="9">
        <v>44973</v>
      </c>
      <c r="H318" t="s">
        <v>1063</v>
      </c>
      <c r="I318" t="s">
        <v>916</v>
      </c>
      <c r="J318" s="13">
        <v>87412</v>
      </c>
      <c r="K318">
        <v>1</v>
      </c>
      <c r="L318" t="s">
        <v>1064</v>
      </c>
      <c r="M318" t="s">
        <v>1065</v>
      </c>
      <c r="N318" s="15" t="s">
        <v>6878</v>
      </c>
    </row>
    <row r="319" spans="1:14" x14ac:dyDescent="0.2">
      <c r="A319" t="s">
        <v>1392</v>
      </c>
      <c r="B319" t="s">
        <v>1069</v>
      </c>
      <c r="C319" s="9">
        <v>44964</v>
      </c>
      <c r="D319" t="s">
        <v>442</v>
      </c>
      <c r="E319" s="13">
        <v>2050000</v>
      </c>
      <c r="F319" s="13">
        <v>16650</v>
      </c>
      <c r="G319" s="9">
        <v>44973</v>
      </c>
      <c r="H319" t="s">
        <v>1063</v>
      </c>
      <c r="I319" t="s">
        <v>916</v>
      </c>
      <c r="J319" s="13">
        <v>68265</v>
      </c>
      <c r="K319">
        <v>1</v>
      </c>
      <c r="L319" t="s">
        <v>1064</v>
      </c>
      <c r="M319" t="s">
        <v>1065</v>
      </c>
      <c r="N319" s="15" t="s">
        <v>6878</v>
      </c>
    </row>
    <row r="320" spans="1:14" x14ac:dyDescent="0.2">
      <c r="A320" t="s">
        <v>1393</v>
      </c>
      <c r="B320" t="s">
        <v>1069</v>
      </c>
      <c r="C320" s="9">
        <v>44964</v>
      </c>
      <c r="D320" t="s">
        <v>442</v>
      </c>
      <c r="E320" s="13">
        <v>3025000</v>
      </c>
      <c r="F320" s="13">
        <v>16650</v>
      </c>
      <c r="G320" s="9">
        <v>44979</v>
      </c>
      <c r="H320" t="s">
        <v>1063</v>
      </c>
      <c r="I320" t="s">
        <v>916</v>
      </c>
      <c r="J320" s="13">
        <v>100732</v>
      </c>
      <c r="K320">
        <v>1</v>
      </c>
      <c r="L320" t="s">
        <v>1064</v>
      </c>
      <c r="M320" t="s">
        <v>1065</v>
      </c>
      <c r="N320" s="15" t="s">
        <v>6878</v>
      </c>
    </row>
    <row r="321" spans="1:14" x14ac:dyDescent="0.2">
      <c r="A321" t="s">
        <v>1394</v>
      </c>
      <c r="B321" t="s">
        <v>1069</v>
      </c>
      <c r="C321" s="9">
        <v>44964</v>
      </c>
      <c r="D321" t="s">
        <v>442</v>
      </c>
      <c r="E321" s="13">
        <v>2050000</v>
      </c>
      <c r="F321" s="13">
        <v>16650</v>
      </c>
      <c r="G321" s="9">
        <v>44974</v>
      </c>
      <c r="H321" t="s">
        <v>1063</v>
      </c>
      <c r="I321" t="s">
        <v>916</v>
      </c>
      <c r="J321" s="13">
        <v>68265</v>
      </c>
      <c r="K321">
        <v>1</v>
      </c>
      <c r="L321" t="s">
        <v>1064</v>
      </c>
      <c r="M321" t="s">
        <v>1065</v>
      </c>
      <c r="N321" s="15" t="s">
        <v>6878</v>
      </c>
    </row>
    <row r="322" spans="1:14" x14ac:dyDescent="0.2">
      <c r="A322" t="s">
        <v>1395</v>
      </c>
      <c r="B322" t="s">
        <v>1062</v>
      </c>
      <c r="C322" s="9">
        <v>44964</v>
      </c>
      <c r="D322" t="s">
        <v>442</v>
      </c>
      <c r="E322" s="13">
        <v>3075000</v>
      </c>
      <c r="F322" s="13">
        <v>16650</v>
      </c>
      <c r="G322" s="9">
        <v>44979</v>
      </c>
      <c r="H322" t="s">
        <v>1063</v>
      </c>
      <c r="I322" t="s">
        <v>916</v>
      </c>
      <c r="J322" s="13">
        <v>102397</v>
      </c>
      <c r="K322">
        <v>1</v>
      </c>
      <c r="L322" t="s">
        <v>1064</v>
      </c>
      <c r="M322" t="s">
        <v>1065</v>
      </c>
      <c r="N322" s="15" t="s">
        <v>6878</v>
      </c>
    </row>
    <row r="323" spans="1:14" x14ac:dyDescent="0.2">
      <c r="A323" t="s">
        <v>1396</v>
      </c>
      <c r="B323" t="s">
        <v>1062</v>
      </c>
      <c r="C323" s="9">
        <v>44964</v>
      </c>
      <c r="D323" t="s">
        <v>442</v>
      </c>
      <c r="E323" s="13">
        <v>2900000</v>
      </c>
      <c r="F323" s="13">
        <v>16650</v>
      </c>
      <c r="G323" s="9">
        <v>44979</v>
      </c>
      <c r="H323" t="s">
        <v>1063</v>
      </c>
      <c r="I323" t="s">
        <v>916</v>
      </c>
      <c r="J323" s="13">
        <v>96570</v>
      </c>
      <c r="K323">
        <v>1</v>
      </c>
      <c r="L323" t="s">
        <v>1064</v>
      </c>
      <c r="M323" t="s">
        <v>1065</v>
      </c>
      <c r="N323" s="15" t="s">
        <v>6878</v>
      </c>
    </row>
    <row r="324" spans="1:14" x14ac:dyDescent="0.2">
      <c r="A324" t="s">
        <v>1397</v>
      </c>
      <c r="B324" t="s">
        <v>1062</v>
      </c>
      <c r="C324" s="9">
        <v>44964</v>
      </c>
      <c r="D324" t="s">
        <v>442</v>
      </c>
      <c r="E324" s="13">
        <v>2900000</v>
      </c>
      <c r="F324" s="13">
        <v>16650</v>
      </c>
      <c r="G324" s="9">
        <v>44979</v>
      </c>
      <c r="H324" t="s">
        <v>1063</v>
      </c>
      <c r="I324" t="s">
        <v>916</v>
      </c>
      <c r="J324" s="13">
        <v>96570</v>
      </c>
      <c r="K324">
        <v>1</v>
      </c>
      <c r="L324" t="s">
        <v>1064</v>
      </c>
      <c r="M324" t="s">
        <v>1065</v>
      </c>
      <c r="N324" s="15" t="s">
        <v>6878</v>
      </c>
    </row>
    <row r="325" spans="1:14" x14ac:dyDescent="0.2">
      <c r="A325" t="s">
        <v>1398</v>
      </c>
      <c r="B325" t="s">
        <v>1062</v>
      </c>
      <c r="C325" s="9">
        <v>44964</v>
      </c>
      <c r="D325" t="s">
        <v>442</v>
      </c>
      <c r="E325" s="13">
        <v>2900000</v>
      </c>
      <c r="F325" s="13">
        <v>16650</v>
      </c>
      <c r="G325" s="9">
        <v>44974</v>
      </c>
      <c r="H325" t="s">
        <v>1063</v>
      </c>
      <c r="I325" t="s">
        <v>916</v>
      </c>
      <c r="J325" s="13">
        <v>96570</v>
      </c>
      <c r="K325">
        <v>1</v>
      </c>
      <c r="L325" t="s">
        <v>1064</v>
      </c>
      <c r="M325" t="s">
        <v>1065</v>
      </c>
      <c r="N325" s="15" t="s">
        <v>6878</v>
      </c>
    </row>
    <row r="326" spans="1:14" x14ac:dyDescent="0.2">
      <c r="A326" t="s">
        <v>1399</v>
      </c>
      <c r="B326" t="s">
        <v>1062</v>
      </c>
      <c r="C326" s="9">
        <v>44964</v>
      </c>
      <c r="D326" t="s">
        <v>442</v>
      </c>
      <c r="E326" s="13">
        <v>3700000</v>
      </c>
      <c r="F326" s="13">
        <v>16650</v>
      </c>
      <c r="G326" s="9">
        <v>44974</v>
      </c>
      <c r="H326" t="s">
        <v>1063</v>
      </c>
      <c r="I326" t="s">
        <v>916</v>
      </c>
      <c r="J326" s="13">
        <v>123210</v>
      </c>
      <c r="K326">
        <v>1</v>
      </c>
      <c r="L326" t="s">
        <v>1064</v>
      </c>
      <c r="M326" t="s">
        <v>1065</v>
      </c>
      <c r="N326" s="15" t="s">
        <v>6878</v>
      </c>
    </row>
    <row r="327" spans="1:14" x14ac:dyDescent="0.2">
      <c r="A327" t="s">
        <v>1400</v>
      </c>
      <c r="B327" t="s">
        <v>1062</v>
      </c>
      <c r="C327" s="9">
        <v>44964</v>
      </c>
      <c r="D327" t="s">
        <v>442</v>
      </c>
      <c r="E327" s="13">
        <v>2900000</v>
      </c>
      <c r="F327" s="13">
        <v>16650</v>
      </c>
      <c r="G327" s="9">
        <v>44974</v>
      </c>
      <c r="H327" t="s">
        <v>1063</v>
      </c>
      <c r="I327" t="s">
        <v>916</v>
      </c>
      <c r="J327" s="13">
        <v>96570</v>
      </c>
      <c r="K327">
        <v>1</v>
      </c>
      <c r="L327" t="s">
        <v>1064</v>
      </c>
      <c r="M327" t="s">
        <v>1065</v>
      </c>
      <c r="N327" s="15" t="s">
        <v>6878</v>
      </c>
    </row>
    <row r="328" spans="1:14" x14ac:dyDescent="0.2">
      <c r="A328" t="s">
        <v>1401</v>
      </c>
      <c r="B328" t="s">
        <v>1062</v>
      </c>
      <c r="C328" s="9">
        <v>44964</v>
      </c>
      <c r="D328" t="s">
        <v>442</v>
      </c>
      <c r="E328" s="13">
        <v>2900000</v>
      </c>
      <c r="F328" s="13">
        <v>16650</v>
      </c>
      <c r="G328" s="9">
        <v>44974</v>
      </c>
      <c r="H328" t="s">
        <v>1063</v>
      </c>
      <c r="I328" t="s">
        <v>916</v>
      </c>
      <c r="J328" s="13">
        <v>96570</v>
      </c>
      <c r="K328">
        <v>1</v>
      </c>
      <c r="L328" t="s">
        <v>1064</v>
      </c>
      <c r="M328" t="s">
        <v>1065</v>
      </c>
      <c r="N328" s="15" t="s">
        <v>6878</v>
      </c>
    </row>
    <row r="329" spans="1:14" x14ac:dyDescent="0.2">
      <c r="A329" t="s">
        <v>1402</v>
      </c>
      <c r="B329" t="s">
        <v>1062</v>
      </c>
      <c r="C329" s="9">
        <v>44964</v>
      </c>
      <c r="D329" t="s">
        <v>442</v>
      </c>
      <c r="E329" s="13">
        <v>2900000</v>
      </c>
      <c r="F329" s="13">
        <v>16650</v>
      </c>
      <c r="G329" s="9">
        <v>44974</v>
      </c>
      <c r="H329" t="s">
        <v>1063</v>
      </c>
      <c r="I329" t="s">
        <v>916</v>
      </c>
      <c r="J329" s="13">
        <v>96570</v>
      </c>
      <c r="K329">
        <v>1</v>
      </c>
      <c r="L329" t="s">
        <v>1064</v>
      </c>
      <c r="M329" t="s">
        <v>1065</v>
      </c>
      <c r="N329" s="15" t="s">
        <v>6878</v>
      </c>
    </row>
    <row r="330" spans="1:14" x14ac:dyDescent="0.2">
      <c r="A330" t="s">
        <v>1403</v>
      </c>
      <c r="B330" t="s">
        <v>1062</v>
      </c>
      <c r="C330" s="9">
        <v>44964</v>
      </c>
      <c r="D330" t="s">
        <v>442</v>
      </c>
      <c r="E330" s="13">
        <v>2900000</v>
      </c>
      <c r="F330" s="13">
        <v>16650</v>
      </c>
      <c r="G330" s="9">
        <v>44974</v>
      </c>
      <c r="H330" t="s">
        <v>1063</v>
      </c>
      <c r="I330" t="s">
        <v>916</v>
      </c>
      <c r="J330" s="13">
        <v>96570</v>
      </c>
      <c r="K330">
        <v>1</v>
      </c>
      <c r="L330" t="s">
        <v>1064</v>
      </c>
      <c r="M330" t="s">
        <v>1065</v>
      </c>
      <c r="N330" s="15" t="s">
        <v>6878</v>
      </c>
    </row>
    <row r="331" spans="1:14" x14ac:dyDescent="0.2">
      <c r="A331" t="s">
        <v>1404</v>
      </c>
      <c r="B331" t="s">
        <v>1062</v>
      </c>
      <c r="C331" s="9">
        <v>44964</v>
      </c>
      <c r="D331" t="s">
        <v>442</v>
      </c>
      <c r="E331" s="13">
        <v>2900000</v>
      </c>
      <c r="F331" s="13">
        <v>16650</v>
      </c>
      <c r="G331" s="9">
        <v>44974</v>
      </c>
      <c r="H331" t="s">
        <v>1063</v>
      </c>
      <c r="I331" t="s">
        <v>916</v>
      </c>
      <c r="J331" s="13">
        <v>96570</v>
      </c>
      <c r="K331">
        <v>1</v>
      </c>
      <c r="L331" t="s">
        <v>1064</v>
      </c>
      <c r="M331" t="s">
        <v>1065</v>
      </c>
      <c r="N331" s="15" t="s">
        <v>6878</v>
      </c>
    </row>
    <row r="332" spans="1:14" x14ac:dyDescent="0.2">
      <c r="A332" t="s">
        <v>1405</v>
      </c>
      <c r="B332" t="s">
        <v>1062</v>
      </c>
      <c r="C332" s="9">
        <v>44964</v>
      </c>
      <c r="D332" t="s">
        <v>442</v>
      </c>
      <c r="E332" s="13">
        <v>2900000</v>
      </c>
      <c r="F332" s="13">
        <v>16650</v>
      </c>
      <c r="G332" s="9">
        <v>44974</v>
      </c>
      <c r="H332" t="s">
        <v>1063</v>
      </c>
      <c r="I332" t="s">
        <v>916</v>
      </c>
      <c r="J332" s="13">
        <v>96570</v>
      </c>
      <c r="K332">
        <v>1</v>
      </c>
      <c r="L332" t="s">
        <v>1064</v>
      </c>
      <c r="M332" t="s">
        <v>1065</v>
      </c>
      <c r="N332" s="15" t="s">
        <v>6878</v>
      </c>
    </row>
    <row r="333" spans="1:14" x14ac:dyDescent="0.2">
      <c r="A333" t="s">
        <v>1406</v>
      </c>
      <c r="B333" t="s">
        <v>1062</v>
      </c>
      <c r="C333" s="9">
        <v>44964</v>
      </c>
      <c r="D333" t="s">
        <v>442</v>
      </c>
      <c r="E333" s="13">
        <v>2900000</v>
      </c>
      <c r="F333" s="13">
        <v>16650</v>
      </c>
      <c r="G333" s="9">
        <v>44974</v>
      </c>
      <c r="H333" t="s">
        <v>1063</v>
      </c>
      <c r="I333" t="s">
        <v>916</v>
      </c>
      <c r="J333" s="13">
        <v>96570</v>
      </c>
      <c r="K333">
        <v>1</v>
      </c>
      <c r="L333" t="s">
        <v>1064</v>
      </c>
      <c r="M333" t="s">
        <v>1065</v>
      </c>
      <c r="N333" s="15" t="s">
        <v>6878</v>
      </c>
    </row>
    <row r="334" spans="1:14" x14ac:dyDescent="0.2">
      <c r="A334" t="s">
        <v>1407</v>
      </c>
      <c r="B334" t="s">
        <v>1062</v>
      </c>
      <c r="C334" s="9">
        <v>44964</v>
      </c>
      <c r="D334" t="s">
        <v>442</v>
      </c>
      <c r="E334" s="13">
        <v>2900000</v>
      </c>
      <c r="F334" s="13">
        <v>16650</v>
      </c>
      <c r="G334" s="9">
        <v>44974</v>
      </c>
      <c r="H334" t="s">
        <v>1063</v>
      </c>
      <c r="I334" t="s">
        <v>916</v>
      </c>
      <c r="J334" s="13">
        <v>96570</v>
      </c>
      <c r="K334">
        <v>1</v>
      </c>
      <c r="L334" t="s">
        <v>1064</v>
      </c>
      <c r="M334" t="s">
        <v>1065</v>
      </c>
      <c r="N334" s="15" t="s">
        <v>6878</v>
      </c>
    </row>
    <row r="335" spans="1:14" x14ac:dyDescent="0.2">
      <c r="A335" t="s">
        <v>1408</v>
      </c>
      <c r="B335" t="s">
        <v>1062</v>
      </c>
      <c r="C335" s="9">
        <v>44964</v>
      </c>
      <c r="D335" t="s">
        <v>442</v>
      </c>
      <c r="E335" s="13">
        <v>2900000</v>
      </c>
      <c r="F335" s="13">
        <v>16650</v>
      </c>
      <c r="G335" s="9">
        <v>44974</v>
      </c>
      <c r="H335" t="s">
        <v>1063</v>
      </c>
      <c r="I335" t="s">
        <v>916</v>
      </c>
      <c r="J335" s="13">
        <v>96570</v>
      </c>
      <c r="K335">
        <v>1</v>
      </c>
      <c r="L335" t="s">
        <v>1064</v>
      </c>
      <c r="M335" t="s">
        <v>1065</v>
      </c>
      <c r="N335" s="15" t="s">
        <v>6878</v>
      </c>
    </row>
    <row r="336" spans="1:14" x14ac:dyDescent="0.2">
      <c r="A336" t="s">
        <v>1409</v>
      </c>
      <c r="B336" t="s">
        <v>1062</v>
      </c>
      <c r="C336" s="9">
        <v>44964</v>
      </c>
      <c r="D336" t="s">
        <v>442</v>
      </c>
      <c r="E336" s="13">
        <v>2900000</v>
      </c>
      <c r="F336" s="13">
        <v>16650</v>
      </c>
      <c r="G336" s="9">
        <v>44980</v>
      </c>
      <c r="H336" t="s">
        <v>1063</v>
      </c>
      <c r="I336" t="s">
        <v>916</v>
      </c>
      <c r="J336" s="13">
        <v>96570</v>
      </c>
      <c r="K336">
        <v>1</v>
      </c>
      <c r="L336" t="s">
        <v>1064</v>
      </c>
      <c r="M336" t="s">
        <v>1065</v>
      </c>
      <c r="N336" s="15" t="s">
        <v>6878</v>
      </c>
    </row>
    <row r="337" spans="1:14" x14ac:dyDescent="0.2">
      <c r="A337" t="s">
        <v>1410</v>
      </c>
      <c r="B337" t="s">
        <v>1062</v>
      </c>
      <c r="C337" s="9">
        <v>44964</v>
      </c>
      <c r="D337" t="s">
        <v>442</v>
      </c>
      <c r="E337" s="13">
        <v>2900000</v>
      </c>
      <c r="F337" s="13">
        <v>16650</v>
      </c>
      <c r="G337" s="9">
        <v>44980</v>
      </c>
      <c r="H337" t="s">
        <v>1063</v>
      </c>
      <c r="I337" t="s">
        <v>916</v>
      </c>
      <c r="J337" s="13">
        <v>96570</v>
      </c>
      <c r="K337">
        <v>1</v>
      </c>
      <c r="L337" t="s">
        <v>1064</v>
      </c>
      <c r="M337" t="s">
        <v>1065</v>
      </c>
      <c r="N337" s="15" t="s">
        <v>6878</v>
      </c>
    </row>
    <row r="338" spans="1:14" x14ac:dyDescent="0.2">
      <c r="A338" t="s">
        <v>1411</v>
      </c>
      <c r="B338" t="s">
        <v>1062</v>
      </c>
      <c r="C338" s="9">
        <v>44964</v>
      </c>
      <c r="D338" t="s">
        <v>442</v>
      </c>
      <c r="E338" s="13">
        <v>2900000</v>
      </c>
      <c r="F338" s="13">
        <v>16650</v>
      </c>
      <c r="G338" s="9">
        <v>44980</v>
      </c>
      <c r="H338" t="s">
        <v>1063</v>
      </c>
      <c r="I338" t="s">
        <v>916</v>
      </c>
      <c r="J338" s="13">
        <v>96570</v>
      </c>
      <c r="K338">
        <v>1</v>
      </c>
      <c r="L338" t="s">
        <v>1064</v>
      </c>
      <c r="M338" t="s">
        <v>1065</v>
      </c>
      <c r="N338" s="15" t="s">
        <v>6878</v>
      </c>
    </row>
    <row r="339" spans="1:14" x14ac:dyDescent="0.2">
      <c r="A339" t="s">
        <v>1412</v>
      </c>
      <c r="B339" t="s">
        <v>1062</v>
      </c>
      <c r="C339" s="9">
        <v>44964</v>
      </c>
      <c r="D339" t="s">
        <v>442</v>
      </c>
      <c r="E339" s="13">
        <v>2900000</v>
      </c>
      <c r="F339" s="13">
        <v>16650</v>
      </c>
      <c r="G339" s="9">
        <v>44980</v>
      </c>
      <c r="H339" t="s">
        <v>1063</v>
      </c>
      <c r="I339" t="s">
        <v>916</v>
      </c>
      <c r="J339" s="13">
        <v>96570</v>
      </c>
      <c r="K339">
        <v>1</v>
      </c>
      <c r="L339" t="s">
        <v>1064</v>
      </c>
      <c r="M339" t="s">
        <v>1065</v>
      </c>
      <c r="N339" s="15" t="s">
        <v>6878</v>
      </c>
    </row>
    <row r="340" spans="1:14" x14ac:dyDescent="0.2">
      <c r="A340" t="s">
        <v>1413</v>
      </c>
      <c r="B340" t="s">
        <v>1062</v>
      </c>
      <c r="C340" s="9">
        <v>44964</v>
      </c>
      <c r="D340" t="s">
        <v>442</v>
      </c>
      <c r="E340" s="13">
        <v>2900000</v>
      </c>
      <c r="F340" s="13">
        <v>16650</v>
      </c>
      <c r="G340" s="9">
        <v>44980</v>
      </c>
      <c r="H340" t="s">
        <v>1063</v>
      </c>
      <c r="I340" t="s">
        <v>916</v>
      </c>
      <c r="J340" s="13">
        <v>96570</v>
      </c>
      <c r="K340">
        <v>1</v>
      </c>
      <c r="L340" t="s">
        <v>1064</v>
      </c>
      <c r="M340" t="s">
        <v>1065</v>
      </c>
      <c r="N340" s="15" t="s">
        <v>6878</v>
      </c>
    </row>
    <row r="341" spans="1:14" x14ac:dyDescent="0.2">
      <c r="A341" t="s">
        <v>1414</v>
      </c>
      <c r="B341" t="s">
        <v>1062</v>
      </c>
      <c r="C341" s="9">
        <v>44964</v>
      </c>
      <c r="D341" t="s">
        <v>442</v>
      </c>
      <c r="E341" s="13">
        <v>2900000</v>
      </c>
      <c r="F341" s="13">
        <v>16650</v>
      </c>
      <c r="G341" s="9">
        <v>44980</v>
      </c>
      <c r="H341" t="s">
        <v>1063</v>
      </c>
      <c r="I341" t="s">
        <v>916</v>
      </c>
      <c r="J341" s="13">
        <v>96570</v>
      </c>
      <c r="K341">
        <v>1</v>
      </c>
      <c r="L341" t="s">
        <v>1064</v>
      </c>
      <c r="M341" t="s">
        <v>1065</v>
      </c>
      <c r="N341" s="15" t="s">
        <v>6878</v>
      </c>
    </row>
    <row r="342" spans="1:14" x14ac:dyDescent="0.2">
      <c r="A342" t="s">
        <v>1415</v>
      </c>
      <c r="B342" t="s">
        <v>1062</v>
      </c>
      <c r="C342" s="9">
        <v>44965</v>
      </c>
      <c r="D342" t="s">
        <v>442</v>
      </c>
      <c r="E342" s="13">
        <v>1500000</v>
      </c>
      <c r="F342" s="13">
        <v>16650</v>
      </c>
      <c r="G342" s="9">
        <v>44980</v>
      </c>
      <c r="H342" t="s">
        <v>1063</v>
      </c>
      <c r="I342" t="s">
        <v>916</v>
      </c>
      <c r="J342" s="13">
        <v>49950</v>
      </c>
      <c r="K342">
        <v>1</v>
      </c>
      <c r="L342" t="s">
        <v>1064</v>
      </c>
      <c r="M342" t="s">
        <v>1065</v>
      </c>
      <c r="N342" s="15" t="s">
        <v>6878</v>
      </c>
    </row>
    <row r="343" spans="1:14" x14ac:dyDescent="0.2">
      <c r="A343" t="s">
        <v>1416</v>
      </c>
      <c r="B343" t="s">
        <v>1062</v>
      </c>
      <c r="C343" s="9">
        <v>44965</v>
      </c>
      <c r="D343" t="s">
        <v>442</v>
      </c>
      <c r="E343" s="13">
        <v>2625000</v>
      </c>
      <c r="F343" s="13">
        <v>16650</v>
      </c>
      <c r="G343" s="9">
        <v>44980</v>
      </c>
      <c r="H343" t="s">
        <v>1063</v>
      </c>
      <c r="I343" t="s">
        <v>916</v>
      </c>
      <c r="J343" s="13">
        <v>87412</v>
      </c>
      <c r="K343">
        <v>1</v>
      </c>
      <c r="L343" t="s">
        <v>1064</v>
      </c>
      <c r="M343" t="s">
        <v>1065</v>
      </c>
      <c r="N343" s="15" t="s">
        <v>6878</v>
      </c>
    </row>
    <row r="344" spans="1:14" x14ac:dyDescent="0.2">
      <c r="A344" t="s">
        <v>1417</v>
      </c>
      <c r="B344" t="s">
        <v>1062</v>
      </c>
      <c r="C344" s="9">
        <v>44965</v>
      </c>
      <c r="D344" t="s">
        <v>442</v>
      </c>
      <c r="E344" s="13">
        <v>2625000</v>
      </c>
      <c r="F344" s="13">
        <v>16650</v>
      </c>
      <c r="G344" s="9">
        <v>44980</v>
      </c>
      <c r="H344" t="s">
        <v>1063</v>
      </c>
      <c r="I344" t="s">
        <v>916</v>
      </c>
      <c r="J344" s="13">
        <v>87412</v>
      </c>
      <c r="K344">
        <v>1</v>
      </c>
      <c r="L344" t="s">
        <v>1064</v>
      </c>
      <c r="M344" t="s">
        <v>1065</v>
      </c>
      <c r="N344" s="15" t="s">
        <v>6878</v>
      </c>
    </row>
    <row r="345" spans="1:14" x14ac:dyDescent="0.2">
      <c r="A345" t="s">
        <v>1418</v>
      </c>
      <c r="B345" t="s">
        <v>1069</v>
      </c>
      <c r="C345" s="9">
        <v>44965</v>
      </c>
      <c r="D345" t="s">
        <v>442</v>
      </c>
      <c r="E345" s="13">
        <v>2100000</v>
      </c>
      <c r="F345" s="13">
        <v>16650</v>
      </c>
      <c r="G345" s="9">
        <v>44980</v>
      </c>
      <c r="H345" t="s">
        <v>1063</v>
      </c>
      <c r="I345" t="s">
        <v>916</v>
      </c>
      <c r="J345" s="13">
        <v>69930</v>
      </c>
      <c r="K345">
        <v>1</v>
      </c>
      <c r="L345" t="s">
        <v>1064</v>
      </c>
      <c r="M345" t="s">
        <v>1065</v>
      </c>
      <c r="N345" s="15" t="s">
        <v>6878</v>
      </c>
    </row>
    <row r="346" spans="1:14" x14ac:dyDescent="0.2">
      <c r="A346" t="s">
        <v>1419</v>
      </c>
      <c r="B346" t="s">
        <v>1069</v>
      </c>
      <c r="C346" s="9">
        <v>44965</v>
      </c>
      <c r="D346" t="s">
        <v>442</v>
      </c>
      <c r="E346" s="13">
        <v>2100000</v>
      </c>
      <c r="F346" s="13">
        <v>16650</v>
      </c>
      <c r="G346" s="9">
        <v>44980</v>
      </c>
      <c r="H346" t="s">
        <v>1063</v>
      </c>
      <c r="I346" t="s">
        <v>916</v>
      </c>
      <c r="J346" s="13">
        <v>69930</v>
      </c>
      <c r="K346">
        <v>1</v>
      </c>
      <c r="L346" t="s">
        <v>1064</v>
      </c>
      <c r="M346" t="s">
        <v>1065</v>
      </c>
      <c r="N346" s="15" t="s">
        <v>6878</v>
      </c>
    </row>
    <row r="347" spans="1:14" x14ac:dyDescent="0.2">
      <c r="A347" t="s">
        <v>1420</v>
      </c>
      <c r="B347" t="s">
        <v>1062</v>
      </c>
      <c r="C347" s="9">
        <v>44965</v>
      </c>
      <c r="D347" t="s">
        <v>442</v>
      </c>
      <c r="E347" s="13">
        <v>2450000</v>
      </c>
      <c r="F347" s="13">
        <v>16650</v>
      </c>
      <c r="G347" s="9">
        <v>44994</v>
      </c>
      <c r="H347" t="s">
        <v>1063</v>
      </c>
      <c r="I347" t="s">
        <v>916</v>
      </c>
      <c r="J347" s="13">
        <v>81585</v>
      </c>
      <c r="K347">
        <v>1</v>
      </c>
      <c r="L347" t="s">
        <v>1064</v>
      </c>
      <c r="M347" t="s">
        <v>1065</v>
      </c>
      <c r="N347" s="15" t="s">
        <v>6878</v>
      </c>
    </row>
    <row r="348" spans="1:14" x14ac:dyDescent="0.2">
      <c r="A348" t="s">
        <v>1421</v>
      </c>
      <c r="B348" t="s">
        <v>1069</v>
      </c>
      <c r="C348" s="9">
        <v>44965</v>
      </c>
      <c r="D348" t="s">
        <v>442</v>
      </c>
      <c r="E348" s="13">
        <v>2675000</v>
      </c>
      <c r="F348" s="13">
        <v>16650</v>
      </c>
      <c r="G348" s="9">
        <v>44980</v>
      </c>
      <c r="H348" t="s">
        <v>1063</v>
      </c>
      <c r="I348" t="s">
        <v>916</v>
      </c>
      <c r="J348" s="13">
        <v>89077</v>
      </c>
      <c r="K348">
        <v>1</v>
      </c>
      <c r="L348" t="s">
        <v>1064</v>
      </c>
      <c r="M348" t="s">
        <v>1065</v>
      </c>
      <c r="N348" s="15" t="s">
        <v>6878</v>
      </c>
    </row>
    <row r="349" spans="1:14" x14ac:dyDescent="0.2">
      <c r="A349" t="s">
        <v>1422</v>
      </c>
      <c r="B349" t="s">
        <v>1062</v>
      </c>
      <c r="C349" s="9">
        <v>44965</v>
      </c>
      <c r="D349" t="s">
        <v>442</v>
      </c>
      <c r="E349" s="13">
        <v>2900000</v>
      </c>
      <c r="F349" s="13">
        <v>16650</v>
      </c>
      <c r="G349" s="9">
        <v>44991</v>
      </c>
      <c r="H349" t="s">
        <v>1063</v>
      </c>
      <c r="I349" t="s">
        <v>916</v>
      </c>
      <c r="J349" s="13">
        <v>96570</v>
      </c>
      <c r="K349">
        <v>1</v>
      </c>
      <c r="L349" t="s">
        <v>1064</v>
      </c>
      <c r="M349" t="s">
        <v>1065</v>
      </c>
      <c r="N349" s="15" t="s">
        <v>6878</v>
      </c>
    </row>
    <row r="350" spans="1:14" x14ac:dyDescent="0.2">
      <c r="A350" t="s">
        <v>1423</v>
      </c>
      <c r="B350" t="s">
        <v>1062</v>
      </c>
      <c r="C350" s="9">
        <v>44965</v>
      </c>
      <c r="D350" t="s">
        <v>442</v>
      </c>
      <c r="E350" s="13">
        <v>2900000</v>
      </c>
      <c r="F350" s="13">
        <v>16650</v>
      </c>
      <c r="G350" s="9">
        <v>44981</v>
      </c>
      <c r="H350" t="s">
        <v>1063</v>
      </c>
      <c r="I350" t="s">
        <v>916</v>
      </c>
      <c r="J350" s="13">
        <v>96570</v>
      </c>
      <c r="K350">
        <v>1</v>
      </c>
      <c r="L350" t="s">
        <v>1064</v>
      </c>
      <c r="M350" t="s">
        <v>1065</v>
      </c>
      <c r="N350" s="15" t="s">
        <v>6878</v>
      </c>
    </row>
    <row r="351" spans="1:14" x14ac:dyDescent="0.2">
      <c r="A351" t="s">
        <v>1424</v>
      </c>
      <c r="B351" t="s">
        <v>1062</v>
      </c>
      <c r="C351" s="9">
        <v>44965</v>
      </c>
      <c r="D351" t="s">
        <v>442</v>
      </c>
      <c r="E351" s="13">
        <v>2900000</v>
      </c>
      <c r="F351" s="13">
        <v>16650</v>
      </c>
      <c r="G351" s="9">
        <v>44981</v>
      </c>
      <c r="H351" t="s">
        <v>1063</v>
      </c>
      <c r="I351" t="s">
        <v>916</v>
      </c>
      <c r="J351" s="13">
        <v>96570</v>
      </c>
      <c r="K351">
        <v>1</v>
      </c>
      <c r="L351" t="s">
        <v>1064</v>
      </c>
      <c r="M351" t="s">
        <v>1065</v>
      </c>
      <c r="N351" s="15" t="s">
        <v>6878</v>
      </c>
    </row>
    <row r="352" spans="1:14" x14ac:dyDescent="0.2">
      <c r="A352" t="s">
        <v>1425</v>
      </c>
      <c r="B352" t="s">
        <v>1062</v>
      </c>
      <c r="C352" s="9">
        <v>44965</v>
      </c>
      <c r="D352" t="s">
        <v>442</v>
      </c>
      <c r="E352" s="13">
        <v>2900000</v>
      </c>
      <c r="F352" s="13">
        <v>16650</v>
      </c>
      <c r="G352" s="9">
        <v>44991</v>
      </c>
      <c r="H352" t="s">
        <v>1063</v>
      </c>
      <c r="I352" t="s">
        <v>916</v>
      </c>
      <c r="J352" s="13">
        <v>96570</v>
      </c>
      <c r="K352">
        <v>1</v>
      </c>
      <c r="L352" t="s">
        <v>1064</v>
      </c>
      <c r="M352" t="s">
        <v>1065</v>
      </c>
      <c r="N352" s="15" t="s">
        <v>6878</v>
      </c>
    </row>
    <row r="353" spans="1:14" x14ac:dyDescent="0.2">
      <c r="A353" t="s">
        <v>1426</v>
      </c>
      <c r="B353" t="s">
        <v>1062</v>
      </c>
      <c r="C353" s="9">
        <v>44965</v>
      </c>
      <c r="D353" t="s">
        <v>442</v>
      </c>
      <c r="E353" s="13">
        <v>2900000</v>
      </c>
      <c r="F353" s="13">
        <v>16650</v>
      </c>
      <c r="G353" s="9">
        <v>44981</v>
      </c>
      <c r="H353" t="s">
        <v>1063</v>
      </c>
      <c r="I353" t="s">
        <v>916</v>
      </c>
      <c r="J353" s="13">
        <v>96570</v>
      </c>
      <c r="K353">
        <v>1</v>
      </c>
      <c r="L353" t="s">
        <v>1064</v>
      </c>
      <c r="M353" t="s">
        <v>1065</v>
      </c>
      <c r="N353" s="15" t="s">
        <v>6878</v>
      </c>
    </row>
    <row r="354" spans="1:14" x14ac:dyDescent="0.2">
      <c r="A354" t="s">
        <v>1427</v>
      </c>
      <c r="B354" t="s">
        <v>1062</v>
      </c>
      <c r="C354" s="9">
        <v>44965</v>
      </c>
      <c r="D354" t="s">
        <v>442</v>
      </c>
      <c r="E354" s="13">
        <v>2900000</v>
      </c>
      <c r="F354" s="13">
        <v>16650</v>
      </c>
      <c r="G354" s="9">
        <v>44981</v>
      </c>
      <c r="H354" t="s">
        <v>1063</v>
      </c>
      <c r="I354" t="s">
        <v>916</v>
      </c>
      <c r="J354" s="13">
        <v>96570</v>
      </c>
      <c r="K354">
        <v>1</v>
      </c>
      <c r="L354" t="s">
        <v>1064</v>
      </c>
      <c r="M354" t="s">
        <v>1065</v>
      </c>
      <c r="N354" s="15" t="s">
        <v>6878</v>
      </c>
    </row>
    <row r="355" spans="1:14" x14ac:dyDescent="0.2">
      <c r="A355" t="s">
        <v>1428</v>
      </c>
      <c r="B355" t="s">
        <v>1062</v>
      </c>
      <c r="C355" s="9">
        <v>44965</v>
      </c>
      <c r="D355" t="s">
        <v>442</v>
      </c>
      <c r="E355" s="13">
        <v>2900000</v>
      </c>
      <c r="F355" s="13">
        <v>16650</v>
      </c>
      <c r="G355" s="9">
        <v>44981</v>
      </c>
      <c r="H355" t="s">
        <v>1063</v>
      </c>
      <c r="I355" t="s">
        <v>916</v>
      </c>
      <c r="J355" s="13">
        <v>96570</v>
      </c>
      <c r="K355">
        <v>1</v>
      </c>
      <c r="L355" t="s">
        <v>1064</v>
      </c>
      <c r="M355" t="s">
        <v>1065</v>
      </c>
      <c r="N355" s="15" t="s">
        <v>6878</v>
      </c>
    </row>
    <row r="356" spans="1:14" x14ac:dyDescent="0.2">
      <c r="A356" t="s">
        <v>1429</v>
      </c>
      <c r="B356" t="s">
        <v>1062</v>
      </c>
      <c r="C356" s="9">
        <v>44965</v>
      </c>
      <c r="D356" t="s">
        <v>442</v>
      </c>
      <c r="E356" s="13">
        <v>2900000</v>
      </c>
      <c r="F356" s="13">
        <v>16650</v>
      </c>
      <c r="G356" s="9">
        <v>44981</v>
      </c>
      <c r="H356" t="s">
        <v>1063</v>
      </c>
      <c r="I356" t="s">
        <v>916</v>
      </c>
      <c r="J356" s="13">
        <v>96570</v>
      </c>
      <c r="K356">
        <v>1</v>
      </c>
      <c r="L356" t="s">
        <v>1064</v>
      </c>
      <c r="M356" t="s">
        <v>1065</v>
      </c>
      <c r="N356" s="15" t="s">
        <v>6878</v>
      </c>
    </row>
    <row r="357" spans="1:14" x14ac:dyDescent="0.2">
      <c r="A357" t="s">
        <v>1430</v>
      </c>
      <c r="B357" t="s">
        <v>1062</v>
      </c>
      <c r="C357" s="9">
        <v>44965</v>
      </c>
      <c r="D357" t="s">
        <v>442</v>
      </c>
      <c r="E357" s="13">
        <v>2900000</v>
      </c>
      <c r="F357" s="13">
        <v>16650</v>
      </c>
      <c r="G357" s="9">
        <v>44980</v>
      </c>
      <c r="H357" t="s">
        <v>1063</v>
      </c>
      <c r="I357" t="s">
        <v>916</v>
      </c>
      <c r="J357" s="13">
        <v>96570</v>
      </c>
      <c r="K357">
        <v>1</v>
      </c>
      <c r="L357" t="s">
        <v>1064</v>
      </c>
      <c r="M357" t="s">
        <v>1065</v>
      </c>
      <c r="N357" s="15" t="s">
        <v>6878</v>
      </c>
    </row>
    <row r="358" spans="1:14" x14ac:dyDescent="0.2">
      <c r="A358" t="s">
        <v>1431</v>
      </c>
      <c r="B358" t="s">
        <v>1062</v>
      </c>
      <c r="C358" s="9">
        <v>44965</v>
      </c>
      <c r="D358" t="s">
        <v>442</v>
      </c>
      <c r="E358" s="13">
        <v>2900000</v>
      </c>
      <c r="F358" s="13">
        <v>16650</v>
      </c>
      <c r="G358" s="9">
        <v>44980</v>
      </c>
      <c r="H358" t="s">
        <v>1063</v>
      </c>
      <c r="I358" t="s">
        <v>916</v>
      </c>
      <c r="J358" s="13">
        <v>96570</v>
      </c>
      <c r="K358">
        <v>1</v>
      </c>
      <c r="L358" t="s">
        <v>1064</v>
      </c>
      <c r="M358" t="s">
        <v>1065</v>
      </c>
      <c r="N358" s="15" t="s">
        <v>6878</v>
      </c>
    </row>
    <row r="359" spans="1:14" x14ac:dyDescent="0.2">
      <c r="A359" t="s">
        <v>1432</v>
      </c>
      <c r="B359" t="s">
        <v>1062</v>
      </c>
      <c r="C359" s="9">
        <v>44965</v>
      </c>
      <c r="D359" t="s">
        <v>442</v>
      </c>
      <c r="E359" s="13">
        <v>2900000</v>
      </c>
      <c r="F359" s="13">
        <v>16650</v>
      </c>
      <c r="G359" s="9">
        <v>44981</v>
      </c>
      <c r="H359" t="s">
        <v>1063</v>
      </c>
      <c r="I359" t="s">
        <v>916</v>
      </c>
      <c r="J359" s="13">
        <v>96570</v>
      </c>
      <c r="K359">
        <v>1</v>
      </c>
      <c r="L359" t="s">
        <v>1064</v>
      </c>
      <c r="M359" t="s">
        <v>1065</v>
      </c>
      <c r="N359" s="15" t="s">
        <v>6878</v>
      </c>
    </row>
    <row r="360" spans="1:14" x14ac:dyDescent="0.2">
      <c r="A360" t="s">
        <v>1433</v>
      </c>
      <c r="B360" t="s">
        <v>1062</v>
      </c>
      <c r="C360" s="9">
        <v>44965</v>
      </c>
      <c r="D360" t="s">
        <v>442</v>
      </c>
      <c r="E360" s="13">
        <v>2900000</v>
      </c>
      <c r="F360" s="13">
        <v>16650</v>
      </c>
      <c r="G360" s="9">
        <v>44986</v>
      </c>
      <c r="H360" t="s">
        <v>1063</v>
      </c>
      <c r="I360" t="s">
        <v>916</v>
      </c>
      <c r="J360" s="13">
        <v>96570</v>
      </c>
      <c r="K360">
        <v>1</v>
      </c>
      <c r="L360" t="s">
        <v>1064</v>
      </c>
      <c r="M360" t="s">
        <v>1065</v>
      </c>
      <c r="N360" s="15" t="s">
        <v>6878</v>
      </c>
    </row>
    <row r="361" spans="1:14" x14ac:dyDescent="0.2">
      <c r="A361" t="s">
        <v>1434</v>
      </c>
      <c r="B361" t="s">
        <v>1062</v>
      </c>
      <c r="C361" s="9">
        <v>44965</v>
      </c>
      <c r="D361" t="s">
        <v>442</v>
      </c>
      <c r="E361" s="13">
        <v>2900000</v>
      </c>
      <c r="F361" s="13">
        <v>16650</v>
      </c>
      <c r="G361" s="9">
        <v>44986</v>
      </c>
      <c r="H361" t="s">
        <v>1063</v>
      </c>
      <c r="I361" t="s">
        <v>916</v>
      </c>
      <c r="J361" s="13">
        <v>96570</v>
      </c>
      <c r="K361">
        <v>1</v>
      </c>
      <c r="L361" t="s">
        <v>1064</v>
      </c>
      <c r="M361" t="s">
        <v>1065</v>
      </c>
      <c r="N361" s="15" t="s">
        <v>6878</v>
      </c>
    </row>
    <row r="362" spans="1:14" x14ac:dyDescent="0.2">
      <c r="A362" t="s">
        <v>1435</v>
      </c>
      <c r="B362" t="s">
        <v>1062</v>
      </c>
      <c r="C362" s="9">
        <v>44965</v>
      </c>
      <c r="D362" t="s">
        <v>442</v>
      </c>
      <c r="E362" s="13">
        <v>2900000</v>
      </c>
      <c r="F362" s="13">
        <v>16650</v>
      </c>
      <c r="G362" s="9">
        <v>44986</v>
      </c>
      <c r="H362" t="s">
        <v>1063</v>
      </c>
      <c r="I362" t="s">
        <v>916</v>
      </c>
      <c r="J362" s="13">
        <v>96570</v>
      </c>
      <c r="K362">
        <v>1</v>
      </c>
      <c r="L362" t="s">
        <v>1064</v>
      </c>
      <c r="M362" t="s">
        <v>1065</v>
      </c>
      <c r="N362" s="15" t="s">
        <v>6878</v>
      </c>
    </row>
    <row r="363" spans="1:14" x14ac:dyDescent="0.2">
      <c r="A363" t="s">
        <v>1436</v>
      </c>
      <c r="B363" t="s">
        <v>1062</v>
      </c>
      <c r="C363" s="9">
        <v>44965</v>
      </c>
      <c r="D363" t="s">
        <v>442</v>
      </c>
      <c r="E363" s="13">
        <v>2900000</v>
      </c>
      <c r="F363" s="13">
        <v>16650</v>
      </c>
      <c r="G363" s="9">
        <v>44986</v>
      </c>
      <c r="H363" t="s">
        <v>1063</v>
      </c>
      <c r="I363" t="s">
        <v>916</v>
      </c>
      <c r="J363" s="13">
        <v>96570</v>
      </c>
      <c r="K363">
        <v>1</v>
      </c>
      <c r="L363" t="s">
        <v>1064</v>
      </c>
      <c r="M363" t="s">
        <v>1065</v>
      </c>
      <c r="N363" s="15" t="s">
        <v>6878</v>
      </c>
    </row>
    <row r="364" spans="1:14" x14ac:dyDescent="0.2">
      <c r="A364" t="s">
        <v>1437</v>
      </c>
      <c r="B364" t="s">
        <v>1062</v>
      </c>
      <c r="C364" s="9">
        <v>44966</v>
      </c>
      <c r="D364" t="s">
        <v>442</v>
      </c>
      <c r="E364" s="13">
        <v>2900000</v>
      </c>
      <c r="F364" s="13">
        <v>16650</v>
      </c>
      <c r="G364" s="9">
        <v>44981</v>
      </c>
      <c r="H364" t="s">
        <v>1063</v>
      </c>
      <c r="I364" t="s">
        <v>916</v>
      </c>
      <c r="J364" s="13">
        <v>96570</v>
      </c>
      <c r="K364">
        <v>1</v>
      </c>
      <c r="L364" t="s">
        <v>1064</v>
      </c>
      <c r="M364" t="s">
        <v>1065</v>
      </c>
      <c r="N364" s="15" t="s">
        <v>6878</v>
      </c>
    </row>
    <row r="365" spans="1:14" x14ac:dyDescent="0.2">
      <c r="A365" t="s">
        <v>1438</v>
      </c>
      <c r="B365" t="s">
        <v>1062</v>
      </c>
      <c r="C365" s="9">
        <v>44966</v>
      </c>
      <c r="D365" t="s">
        <v>442</v>
      </c>
      <c r="E365" s="13">
        <v>2625000</v>
      </c>
      <c r="F365" s="13">
        <v>16650</v>
      </c>
      <c r="G365" s="9">
        <v>44986</v>
      </c>
      <c r="H365" t="s">
        <v>1063</v>
      </c>
      <c r="I365" t="s">
        <v>916</v>
      </c>
      <c r="J365" s="13">
        <v>87412</v>
      </c>
      <c r="K365">
        <v>1</v>
      </c>
      <c r="L365" t="s">
        <v>1064</v>
      </c>
      <c r="M365" t="s">
        <v>1065</v>
      </c>
      <c r="N365" s="15" t="s">
        <v>6878</v>
      </c>
    </row>
    <row r="366" spans="1:14" x14ac:dyDescent="0.2">
      <c r="A366" t="s">
        <v>1439</v>
      </c>
      <c r="B366" t="s">
        <v>1062</v>
      </c>
      <c r="C366" s="9">
        <v>44966</v>
      </c>
      <c r="D366" t="s">
        <v>442</v>
      </c>
      <c r="E366" s="13">
        <v>3062500</v>
      </c>
      <c r="F366" s="13">
        <v>16650</v>
      </c>
      <c r="G366" s="9">
        <v>44986</v>
      </c>
      <c r="H366" t="s">
        <v>1063</v>
      </c>
      <c r="I366" t="s">
        <v>916</v>
      </c>
      <c r="J366" s="13">
        <v>101981</v>
      </c>
      <c r="K366">
        <v>1</v>
      </c>
      <c r="L366" t="s">
        <v>1064</v>
      </c>
      <c r="M366" t="s">
        <v>1065</v>
      </c>
      <c r="N366" s="15" t="s">
        <v>6878</v>
      </c>
    </row>
    <row r="367" spans="1:14" x14ac:dyDescent="0.2">
      <c r="A367" t="s">
        <v>1440</v>
      </c>
      <c r="B367" t="s">
        <v>1062</v>
      </c>
      <c r="C367" s="9">
        <v>44966</v>
      </c>
      <c r="D367" t="s">
        <v>442</v>
      </c>
      <c r="E367" s="13">
        <v>2900000</v>
      </c>
      <c r="F367" s="13">
        <v>16650</v>
      </c>
      <c r="G367" s="9">
        <v>44986</v>
      </c>
      <c r="H367" t="s">
        <v>1063</v>
      </c>
      <c r="I367" t="s">
        <v>916</v>
      </c>
      <c r="J367" s="13">
        <v>96570</v>
      </c>
      <c r="K367">
        <v>1</v>
      </c>
      <c r="L367" t="s">
        <v>1064</v>
      </c>
      <c r="M367" t="s">
        <v>1065</v>
      </c>
      <c r="N367" s="15" t="s">
        <v>6878</v>
      </c>
    </row>
    <row r="368" spans="1:14" x14ac:dyDescent="0.2">
      <c r="A368" t="s">
        <v>1441</v>
      </c>
      <c r="B368" t="s">
        <v>1062</v>
      </c>
      <c r="C368" s="9">
        <v>44966</v>
      </c>
      <c r="D368" t="s">
        <v>442</v>
      </c>
      <c r="E368" s="13">
        <v>3062500</v>
      </c>
      <c r="F368" s="13">
        <v>16650</v>
      </c>
      <c r="G368" s="9">
        <v>44986</v>
      </c>
      <c r="H368" t="s">
        <v>1063</v>
      </c>
      <c r="I368" t="s">
        <v>916</v>
      </c>
      <c r="J368" s="13">
        <v>101981</v>
      </c>
      <c r="K368">
        <v>1</v>
      </c>
      <c r="L368" t="s">
        <v>1064</v>
      </c>
      <c r="M368" t="s">
        <v>1065</v>
      </c>
      <c r="N368" s="15" t="s">
        <v>6878</v>
      </c>
    </row>
    <row r="369" spans="1:14" x14ac:dyDescent="0.2">
      <c r="A369" t="s">
        <v>1442</v>
      </c>
      <c r="B369" t="s">
        <v>1062</v>
      </c>
      <c r="C369" s="9">
        <v>44966</v>
      </c>
      <c r="D369" t="s">
        <v>442</v>
      </c>
      <c r="E369" s="13">
        <v>2900000</v>
      </c>
      <c r="F369" s="13">
        <v>16650</v>
      </c>
      <c r="G369" s="9">
        <v>44986</v>
      </c>
      <c r="H369" t="s">
        <v>1063</v>
      </c>
      <c r="I369" t="s">
        <v>916</v>
      </c>
      <c r="J369" s="13">
        <v>96570</v>
      </c>
      <c r="K369">
        <v>1</v>
      </c>
      <c r="L369" t="s">
        <v>1064</v>
      </c>
      <c r="M369" t="s">
        <v>1065</v>
      </c>
      <c r="N369" s="15" t="s">
        <v>6878</v>
      </c>
    </row>
    <row r="370" spans="1:14" x14ac:dyDescent="0.2">
      <c r="A370" t="s">
        <v>1443</v>
      </c>
      <c r="B370" t="s">
        <v>1062</v>
      </c>
      <c r="C370" s="9">
        <v>44966</v>
      </c>
      <c r="D370" t="s">
        <v>442</v>
      </c>
      <c r="E370" s="13">
        <v>3062500</v>
      </c>
      <c r="F370" s="13">
        <v>16650</v>
      </c>
      <c r="G370" s="9">
        <v>44991</v>
      </c>
      <c r="H370" t="s">
        <v>1063</v>
      </c>
      <c r="I370" t="s">
        <v>916</v>
      </c>
      <c r="J370" s="13">
        <v>101981</v>
      </c>
      <c r="K370">
        <v>1</v>
      </c>
      <c r="L370" t="s">
        <v>1064</v>
      </c>
      <c r="M370" t="s">
        <v>1065</v>
      </c>
      <c r="N370" s="15" t="s">
        <v>6878</v>
      </c>
    </row>
    <row r="371" spans="1:14" x14ac:dyDescent="0.2">
      <c r="A371" t="s">
        <v>1444</v>
      </c>
      <c r="B371" t="s">
        <v>1062</v>
      </c>
      <c r="C371" s="9">
        <v>44966</v>
      </c>
      <c r="D371" t="s">
        <v>442</v>
      </c>
      <c r="E371" s="13">
        <v>3062500</v>
      </c>
      <c r="F371" s="13">
        <v>16650</v>
      </c>
      <c r="G371" s="9">
        <v>44986</v>
      </c>
      <c r="H371" t="s">
        <v>1063</v>
      </c>
      <c r="I371" t="s">
        <v>916</v>
      </c>
      <c r="J371" s="13">
        <v>101981</v>
      </c>
      <c r="K371">
        <v>1</v>
      </c>
      <c r="L371" t="s">
        <v>1064</v>
      </c>
      <c r="M371" t="s">
        <v>1065</v>
      </c>
      <c r="N371" s="15" t="s">
        <v>6878</v>
      </c>
    </row>
    <row r="372" spans="1:14" x14ac:dyDescent="0.2">
      <c r="A372" t="s">
        <v>1445</v>
      </c>
      <c r="B372" t="s">
        <v>1062</v>
      </c>
      <c r="C372" s="9">
        <v>44966</v>
      </c>
      <c r="D372" t="s">
        <v>442</v>
      </c>
      <c r="E372" s="13">
        <v>1125000</v>
      </c>
      <c r="F372" s="13">
        <v>16650</v>
      </c>
      <c r="G372" s="9">
        <v>44986</v>
      </c>
      <c r="H372" t="s">
        <v>1063</v>
      </c>
      <c r="I372" t="s">
        <v>916</v>
      </c>
      <c r="J372" s="13">
        <v>37462</v>
      </c>
      <c r="K372">
        <v>1</v>
      </c>
      <c r="L372" t="s">
        <v>1064</v>
      </c>
      <c r="M372" t="s">
        <v>1065</v>
      </c>
      <c r="N372" s="15" t="s">
        <v>6878</v>
      </c>
    </row>
    <row r="373" spans="1:14" x14ac:dyDescent="0.2">
      <c r="A373" t="s">
        <v>1446</v>
      </c>
      <c r="B373" t="s">
        <v>1062</v>
      </c>
      <c r="C373" s="9">
        <v>44966</v>
      </c>
      <c r="D373" t="s">
        <v>442</v>
      </c>
      <c r="E373" s="13">
        <v>2525000</v>
      </c>
      <c r="F373" s="13">
        <v>16650</v>
      </c>
      <c r="G373" s="9">
        <v>44986</v>
      </c>
      <c r="H373" t="s">
        <v>1063</v>
      </c>
      <c r="I373" t="s">
        <v>916</v>
      </c>
      <c r="J373" s="13">
        <v>84082</v>
      </c>
      <c r="K373">
        <v>1</v>
      </c>
      <c r="L373" t="s">
        <v>1064</v>
      </c>
      <c r="M373" t="s">
        <v>1065</v>
      </c>
      <c r="N373" s="15" t="s">
        <v>6878</v>
      </c>
    </row>
    <row r="374" spans="1:14" x14ac:dyDescent="0.2">
      <c r="A374" t="s">
        <v>1447</v>
      </c>
      <c r="B374" t="s">
        <v>1062</v>
      </c>
      <c r="C374" s="9">
        <v>44966</v>
      </c>
      <c r="D374" t="s">
        <v>442</v>
      </c>
      <c r="E374" s="13">
        <v>3125000</v>
      </c>
      <c r="F374" s="13">
        <v>16650</v>
      </c>
      <c r="G374" s="9">
        <v>44986</v>
      </c>
      <c r="H374" t="s">
        <v>1063</v>
      </c>
      <c r="I374" t="s">
        <v>916</v>
      </c>
      <c r="J374" s="13">
        <v>104062</v>
      </c>
      <c r="K374">
        <v>1</v>
      </c>
      <c r="L374" t="s">
        <v>1064</v>
      </c>
      <c r="M374" t="s">
        <v>1065</v>
      </c>
      <c r="N374" s="15" t="s">
        <v>6878</v>
      </c>
    </row>
    <row r="375" spans="1:14" x14ac:dyDescent="0.2">
      <c r="A375" t="s">
        <v>1448</v>
      </c>
      <c r="B375" t="s">
        <v>1062</v>
      </c>
      <c r="C375" s="9">
        <v>44966</v>
      </c>
      <c r="D375" t="s">
        <v>442</v>
      </c>
      <c r="E375" s="13">
        <v>1950000</v>
      </c>
      <c r="F375" s="13">
        <v>16650</v>
      </c>
      <c r="G375" s="9">
        <v>44991</v>
      </c>
      <c r="H375" t="s">
        <v>1063</v>
      </c>
      <c r="I375" t="s">
        <v>916</v>
      </c>
      <c r="J375" s="13">
        <v>64935</v>
      </c>
      <c r="K375">
        <v>1</v>
      </c>
      <c r="L375" t="s">
        <v>1064</v>
      </c>
      <c r="M375" t="s">
        <v>1065</v>
      </c>
      <c r="N375" s="15" t="s">
        <v>6878</v>
      </c>
    </row>
    <row r="376" spans="1:14" x14ac:dyDescent="0.2">
      <c r="A376" t="s">
        <v>1449</v>
      </c>
      <c r="B376" t="s">
        <v>1062</v>
      </c>
      <c r="C376" s="9">
        <v>44966</v>
      </c>
      <c r="D376" t="s">
        <v>442</v>
      </c>
      <c r="E376" s="13">
        <v>2460000</v>
      </c>
      <c r="F376" s="13">
        <v>16650</v>
      </c>
      <c r="G376" s="9">
        <v>44991</v>
      </c>
      <c r="H376" t="s">
        <v>1063</v>
      </c>
      <c r="I376" t="s">
        <v>916</v>
      </c>
      <c r="J376" s="13">
        <v>81918</v>
      </c>
      <c r="K376">
        <v>1</v>
      </c>
      <c r="L376" t="s">
        <v>1064</v>
      </c>
      <c r="M376" t="s">
        <v>1065</v>
      </c>
      <c r="N376" s="15" t="s">
        <v>6878</v>
      </c>
    </row>
    <row r="377" spans="1:14" x14ac:dyDescent="0.2">
      <c r="A377" t="s">
        <v>1450</v>
      </c>
      <c r="B377" t="s">
        <v>1062</v>
      </c>
      <c r="C377" s="9">
        <v>44966</v>
      </c>
      <c r="D377" t="s">
        <v>442</v>
      </c>
      <c r="E377" s="13">
        <v>2520000</v>
      </c>
      <c r="F377" s="13">
        <v>16650</v>
      </c>
      <c r="G377" s="9">
        <v>44986</v>
      </c>
      <c r="H377" t="s">
        <v>1063</v>
      </c>
      <c r="I377" t="s">
        <v>916</v>
      </c>
      <c r="J377" s="13">
        <v>83916</v>
      </c>
      <c r="K377">
        <v>1</v>
      </c>
      <c r="L377" t="s">
        <v>1064</v>
      </c>
      <c r="M377" t="s">
        <v>1065</v>
      </c>
      <c r="N377" s="15" t="s">
        <v>6878</v>
      </c>
    </row>
    <row r="378" spans="1:14" x14ac:dyDescent="0.2">
      <c r="A378" t="s">
        <v>1451</v>
      </c>
      <c r="B378" t="s">
        <v>1062</v>
      </c>
      <c r="C378" s="9">
        <v>44966</v>
      </c>
      <c r="D378" t="s">
        <v>442</v>
      </c>
      <c r="E378" s="13">
        <v>2520000</v>
      </c>
      <c r="F378" s="13">
        <v>16650</v>
      </c>
      <c r="G378" s="9">
        <v>44986</v>
      </c>
      <c r="H378" t="s">
        <v>1063</v>
      </c>
      <c r="I378" t="s">
        <v>916</v>
      </c>
      <c r="J378" s="13">
        <v>83916</v>
      </c>
      <c r="K378">
        <v>1</v>
      </c>
      <c r="L378" t="s">
        <v>1064</v>
      </c>
      <c r="M378" t="s">
        <v>1065</v>
      </c>
      <c r="N378" s="15" t="s">
        <v>6878</v>
      </c>
    </row>
    <row r="379" spans="1:14" x14ac:dyDescent="0.2">
      <c r="A379" t="s">
        <v>1452</v>
      </c>
      <c r="B379" t="s">
        <v>1062</v>
      </c>
      <c r="C379" s="9">
        <v>44966</v>
      </c>
      <c r="D379" t="s">
        <v>442</v>
      </c>
      <c r="E379" s="13">
        <v>1575000</v>
      </c>
      <c r="F379" s="13">
        <v>16650</v>
      </c>
      <c r="G379" s="9">
        <v>44991</v>
      </c>
      <c r="H379" t="s">
        <v>1063</v>
      </c>
      <c r="I379" t="s">
        <v>916</v>
      </c>
      <c r="J379" s="13">
        <v>52447</v>
      </c>
      <c r="K379">
        <v>1</v>
      </c>
      <c r="L379" t="s">
        <v>1064</v>
      </c>
      <c r="M379" t="s">
        <v>1065</v>
      </c>
      <c r="N379" s="15" t="s">
        <v>6878</v>
      </c>
    </row>
    <row r="380" spans="1:14" x14ac:dyDescent="0.2">
      <c r="A380" t="s">
        <v>1453</v>
      </c>
      <c r="B380" t="s">
        <v>1062</v>
      </c>
      <c r="C380" s="9">
        <v>44966</v>
      </c>
      <c r="D380" t="s">
        <v>442</v>
      </c>
      <c r="E380" s="13">
        <v>1000000</v>
      </c>
      <c r="F380" s="13">
        <v>16650</v>
      </c>
      <c r="G380" s="9">
        <v>44986</v>
      </c>
      <c r="H380" t="s">
        <v>1063</v>
      </c>
      <c r="I380" t="s">
        <v>916</v>
      </c>
      <c r="J380" s="13">
        <v>33300</v>
      </c>
      <c r="K380">
        <v>1</v>
      </c>
      <c r="L380" t="s">
        <v>1064</v>
      </c>
      <c r="M380" t="s">
        <v>1065</v>
      </c>
      <c r="N380" s="15" t="s">
        <v>6878</v>
      </c>
    </row>
    <row r="381" spans="1:14" x14ac:dyDescent="0.2">
      <c r="A381" t="s">
        <v>1454</v>
      </c>
      <c r="B381" t="s">
        <v>1069</v>
      </c>
      <c r="C381" s="9">
        <v>44966</v>
      </c>
      <c r="D381" t="s">
        <v>958</v>
      </c>
      <c r="E381" s="13">
        <v>11358540</v>
      </c>
      <c r="F381" s="13">
        <v>139860</v>
      </c>
      <c r="G381" s="9">
        <v>44967</v>
      </c>
      <c r="H381" t="s">
        <v>1063</v>
      </c>
      <c r="I381" t="s">
        <v>1074</v>
      </c>
      <c r="J381" s="13">
        <v>252158</v>
      </c>
      <c r="K381">
        <v>7</v>
      </c>
      <c r="L381" t="s">
        <v>1064</v>
      </c>
      <c r="M381" t="s">
        <v>1075</v>
      </c>
      <c r="N381" s="15" t="s">
        <v>6878</v>
      </c>
    </row>
    <row r="382" spans="1:14" x14ac:dyDescent="0.2">
      <c r="A382" t="s">
        <v>1455</v>
      </c>
      <c r="B382" t="s">
        <v>1062</v>
      </c>
      <c r="C382" s="9">
        <v>44966</v>
      </c>
      <c r="D382" t="s">
        <v>442</v>
      </c>
      <c r="E382" s="13">
        <v>2787500</v>
      </c>
      <c r="F382" s="13">
        <v>16650</v>
      </c>
      <c r="G382" s="9">
        <v>44991</v>
      </c>
      <c r="H382" t="s">
        <v>1063</v>
      </c>
      <c r="I382" t="s">
        <v>916</v>
      </c>
      <c r="J382" s="13">
        <v>92823</v>
      </c>
      <c r="K382">
        <v>1</v>
      </c>
      <c r="L382" t="s">
        <v>1064</v>
      </c>
      <c r="M382" t="s">
        <v>1065</v>
      </c>
      <c r="N382" s="15" t="s">
        <v>6878</v>
      </c>
    </row>
    <row r="383" spans="1:14" x14ac:dyDescent="0.2">
      <c r="A383" t="s">
        <v>1456</v>
      </c>
      <c r="B383" t="s">
        <v>1069</v>
      </c>
      <c r="C383" s="9">
        <v>44966</v>
      </c>
      <c r="D383" t="s">
        <v>958</v>
      </c>
      <c r="E383" s="13">
        <v>1695750</v>
      </c>
      <c r="F383" s="13">
        <v>19980</v>
      </c>
      <c r="G383" s="9">
        <v>44967</v>
      </c>
      <c r="H383" t="s">
        <v>1063</v>
      </c>
      <c r="I383" t="s">
        <v>1074</v>
      </c>
      <c r="J383" s="13">
        <v>37645</v>
      </c>
      <c r="K383">
        <v>1</v>
      </c>
      <c r="L383" t="s">
        <v>1064</v>
      </c>
      <c r="M383" t="s">
        <v>1075</v>
      </c>
      <c r="N383" s="15" t="s">
        <v>6878</v>
      </c>
    </row>
    <row r="384" spans="1:14" x14ac:dyDescent="0.2">
      <c r="A384" t="s">
        <v>1457</v>
      </c>
      <c r="B384" t="s">
        <v>1062</v>
      </c>
      <c r="C384" s="9">
        <v>44966</v>
      </c>
      <c r="D384" t="s">
        <v>442</v>
      </c>
      <c r="E384" s="13">
        <v>2625000</v>
      </c>
      <c r="F384" s="13">
        <v>16650</v>
      </c>
      <c r="G384" s="9">
        <v>44994</v>
      </c>
      <c r="H384" t="s">
        <v>1063</v>
      </c>
      <c r="I384" t="s">
        <v>916</v>
      </c>
      <c r="J384" s="13">
        <v>87412</v>
      </c>
      <c r="K384">
        <v>1</v>
      </c>
      <c r="L384" t="s">
        <v>1064</v>
      </c>
      <c r="M384" t="s">
        <v>1065</v>
      </c>
      <c r="N384" s="15" t="s">
        <v>6878</v>
      </c>
    </row>
    <row r="385" spans="1:14" x14ac:dyDescent="0.2">
      <c r="A385" t="s">
        <v>1458</v>
      </c>
      <c r="B385" t="s">
        <v>1062</v>
      </c>
      <c r="C385" s="9">
        <v>44966</v>
      </c>
      <c r="D385" t="s">
        <v>442</v>
      </c>
      <c r="E385" s="13">
        <v>2625000</v>
      </c>
      <c r="F385" s="13">
        <v>16650</v>
      </c>
      <c r="G385" s="9">
        <v>44991</v>
      </c>
      <c r="H385" t="s">
        <v>1063</v>
      </c>
      <c r="I385" t="s">
        <v>916</v>
      </c>
      <c r="J385" s="13">
        <v>87412</v>
      </c>
      <c r="K385">
        <v>1</v>
      </c>
      <c r="L385" t="s">
        <v>1064</v>
      </c>
      <c r="M385" t="s">
        <v>1065</v>
      </c>
      <c r="N385" s="15" t="s">
        <v>6878</v>
      </c>
    </row>
    <row r="386" spans="1:14" x14ac:dyDescent="0.2">
      <c r="A386" t="s">
        <v>1459</v>
      </c>
      <c r="B386" t="s">
        <v>1062</v>
      </c>
      <c r="C386" s="9">
        <v>44966</v>
      </c>
      <c r="D386" t="s">
        <v>442</v>
      </c>
      <c r="E386" s="13">
        <v>2525000</v>
      </c>
      <c r="F386" s="13">
        <v>16650</v>
      </c>
      <c r="G386" s="9">
        <v>44991</v>
      </c>
      <c r="H386" t="s">
        <v>1063</v>
      </c>
      <c r="I386" t="s">
        <v>916</v>
      </c>
      <c r="J386" s="13">
        <v>84082</v>
      </c>
      <c r="K386">
        <v>1</v>
      </c>
      <c r="L386" t="s">
        <v>1064</v>
      </c>
      <c r="M386" t="s">
        <v>1065</v>
      </c>
      <c r="N386" s="15" t="s">
        <v>6878</v>
      </c>
    </row>
    <row r="387" spans="1:14" x14ac:dyDescent="0.2">
      <c r="A387" t="s">
        <v>1460</v>
      </c>
      <c r="B387" t="s">
        <v>1062</v>
      </c>
      <c r="C387" s="9">
        <v>44966</v>
      </c>
      <c r="D387" t="s">
        <v>442</v>
      </c>
      <c r="E387" s="13">
        <v>1325000</v>
      </c>
      <c r="F387" s="13">
        <v>16650</v>
      </c>
      <c r="G387" s="9">
        <v>44991</v>
      </c>
      <c r="H387" t="s">
        <v>1063</v>
      </c>
      <c r="I387" t="s">
        <v>916</v>
      </c>
      <c r="J387" s="13">
        <v>44122</v>
      </c>
      <c r="K387">
        <v>1</v>
      </c>
      <c r="L387" t="s">
        <v>1064</v>
      </c>
      <c r="M387" t="s">
        <v>1065</v>
      </c>
      <c r="N387" s="15" t="s">
        <v>6878</v>
      </c>
    </row>
    <row r="388" spans="1:14" x14ac:dyDescent="0.2">
      <c r="A388" t="s">
        <v>1461</v>
      </c>
      <c r="B388" t="s">
        <v>1062</v>
      </c>
      <c r="C388" s="9">
        <v>44966</v>
      </c>
      <c r="D388" t="s">
        <v>442</v>
      </c>
      <c r="E388" s="13">
        <v>4650000</v>
      </c>
      <c r="F388" s="13">
        <v>16650</v>
      </c>
      <c r="G388" s="9">
        <v>44991</v>
      </c>
      <c r="H388" t="s">
        <v>1063</v>
      </c>
      <c r="I388" t="s">
        <v>916</v>
      </c>
      <c r="J388" s="13">
        <v>154845</v>
      </c>
      <c r="K388">
        <v>1</v>
      </c>
      <c r="L388" t="s">
        <v>1064</v>
      </c>
      <c r="M388" t="s">
        <v>1065</v>
      </c>
      <c r="N388" s="15" t="s">
        <v>6878</v>
      </c>
    </row>
    <row r="389" spans="1:14" x14ac:dyDescent="0.2">
      <c r="A389" t="s">
        <v>1462</v>
      </c>
      <c r="B389" t="s">
        <v>1062</v>
      </c>
      <c r="C389" s="9">
        <v>44966</v>
      </c>
      <c r="D389" t="s">
        <v>442</v>
      </c>
      <c r="E389" s="13">
        <v>2475000</v>
      </c>
      <c r="F389" s="13">
        <v>16650</v>
      </c>
      <c r="G389" s="9">
        <v>44991</v>
      </c>
      <c r="H389" t="s">
        <v>1063</v>
      </c>
      <c r="I389" t="s">
        <v>916</v>
      </c>
      <c r="J389" s="13">
        <v>82417</v>
      </c>
      <c r="K389">
        <v>1</v>
      </c>
      <c r="L389" t="s">
        <v>1064</v>
      </c>
      <c r="M389" t="s">
        <v>1065</v>
      </c>
      <c r="N389" s="15" t="s">
        <v>6878</v>
      </c>
    </row>
    <row r="390" spans="1:14" x14ac:dyDescent="0.2">
      <c r="A390" t="s">
        <v>1463</v>
      </c>
      <c r="B390" t="s">
        <v>1062</v>
      </c>
      <c r="C390" s="9">
        <v>44966</v>
      </c>
      <c r="D390" t="s">
        <v>442</v>
      </c>
      <c r="E390" s="13">
        <v>3125000</v>
      </c>
      <c r="F390" s="13">
        <v>16650</v>
      </c>
      <c r="G390" s="9">
        <v>44991</v>
      </c>
      <c r="H390" t="s">
        <v>1063</v>
      </c>
      <c r="I390" t="s">
        <v>916</v>
      </c>
      <c r="J390" s="13">
        <v>104062</v>
      </c>
      <c r="K390">
        <v>1</v>
      </c>
      <c r="L390" t="s">
        <v>1064</v>
      </c>
      <c r="M390" t="s">
        <v>1065</v>
      </c>
      <c r="N390" s="15" t="s">
        <v>6878</v>
      </c>
    </row>
    <row r="391" spans="1:14" x14ac:dyDescent="0.2">
      <c r="A391" t="s">
        <v>1464</v>
      </c>
      <c r="B391" t="s">
        <v>1062</v>
      </c>
      <c r="C391" s="9">
        <v>44966</v>
      </c>
      <c r="D391" t="s">
        <v>442</v>
      </c>
      <c r="E391" s="13">
        <v>1875000</v>
      </c>
      <c r="F391" s="13">
        <v>16650</v>
      </c>
      <c r="G391" s="9">
        <v>44991</v>
      </c>
      <c r="H391" t="s">
        <v>1063</v>
      </c>
      <c r="I391" t="s">
        <v>916</v>
      </c>
      <c r="J391" s="13">
        <v>62437</v>
      </c>
      <c r="K391">
        <v>1</v>
      </c>
      <c r="L391" t="s">
        <v>1064</v>
      </c>
      <c r="M391" t="s">
        <v>1065</v>
      </c>
      <c r="N391" s="15" t="s">
        <v>6878</v>
      </c>
    </row>
    <row r="392" spans="1:14" x14ac:dyDescent="0.2">
      <c r="A392" t="s">
        <v>1465</v>
      </c>
      <c r="B392" t="s">
        <v>1062</v>
      </c>
      <c r="C392" s="9">
        <v>44966</v>
      </c>
      <c r="D392" t="s">
        <v>442</v>
      </c>
      <c r="E392" s="13">
        <v>2475000</v>
      </c>
      <c r="F392" s="13">
        <v>16650</v>
      </c>
      <c r="G392" s="9">
        <v>44991</v>
      </c>
      <c r="H392" t="s">
        <v>1063</v>
      </c>
      <c r="I392" t="s">
        <v>916</v>
      </c>
      <c r="J392" s="13">
        <v>82417</v>
      </c>
      <c r="K392">
        <v>1</v>
      </c>
      <c r="L392" t="s">
        <v>1064</v>
      </c>
      <c r="M392" t="s">
        <v>1065</v>
      </c>
      <c r="N392" s="15" t="s">
        <v>6878</v>
      </c>
    </row>
    <row r="393" spans="1:14" x14ac:dyDescent="0.2">
      <c r="A393" t="s">
        <v>1466</v>
      </c>
      <c r="B393" t="s">
        <v>1062</v>
      </c>
      <c r="C393" s="9">
        <v>44966</v>
      </c>
      <c r="D393" t="s">
        <v>442</v>
      </c>
      <c r="E393" s="13">
        <v>1575000</v>
      </c>
      <c r="F393" s="13">
        <v>16650</v>
      </c>
      <c r="G393" s="9">
        <v>44991</v>
      </c>
      <c r="H393" t="s">
        <v>1063</v>
      </c>
      <c r="I393" t="s">
        <v>916</v>
      </c>
      <c r="J393" s="13">
        <v>52447</v>
      </c>
      <c r="K393">
        <v>1</v>
      </c>
      <c r="L393" t="s">
        <v>1064</v>
      </c>
      <c r="M393" t="s">
        <v>1065</v>
      </c>
      <c r="N393" s="15" t="s">
        <v>6878</v>
      </c>
    </row>
    <row r="394" spans="1:14" x14ac:dyDescent="0.2">
      <c r="A394" t="s">
        <v>1467</v>
      </c>
      <c r="B394" t="s">
        <v>1069</v>
      </c>
      <c r="C394" s="9">
        <v>44966</v>
      </c>
      <c r="D394" t="s">
        <v>958</v>
      </c>
      <c r="E394" s="13">
        <v>13359935</v>
      </c>
      <c r="F394" s="13">
        <v>159840</v>
      </c>
      <c r="G394" s="9">
        <v>44967</v>
      </c>
      <c r="H394" t="s">
        <v>1063</v>
      </c>
      <c r="I394" t="s">
        <v>1074</v>
      </c>
      <c r="J394" s="13">
        <v>296589</v>
      </c>
      <c r="K394">
        <v>8</v>
      </c>
      <c r="L394" t="s">
        <v>1064</v>
      </c>
      <c r="M394" t="s">
        <v>1075</v>
      </c>
      <c r="N394" s="15" t="s">
        <v>6878</v>
      </c>
    </row>
    <row r="395" spans="1:14" x14ac:dyDescent="0.2">
      <c r="A395" t="s">
        <v>1468</v>
      </c>
      <c r="B395" t="s">
        <v>1062</v>
      </c>
      <c r="C395" s="9">
        <v>44967</v>
      </c>
      <c r="D395" t="s">
        <v>1022</v>
      </c>
      <c r="E395" s="13">
        <v>2000000</v>
      </c>
      <c r="F395" s="13">
        <v>27750</v>
      </c>
      <c r="G395" s="9">
        <v>45022</v>
      </c>
      <c r="H395" t="s">
        <v>1111</v>
      </c>
      <c r="I395" t="s">
        <v>214</v>
      </c>
      <c r="J395" s="13">
        <v>44400</v>
      </c>
      <c r="K395">
        <v>1</v>
      </c>
      <c r="L395" t="s">
        <v>1064</v>
      </c>
      <c r="M395" t="s">
        <v>1112</v>
      </c>
      <c r="N395" s="15" t="s">
        <v>6878</v>
      </c>
    </row>
    <row r="396" spans="1:14" x14ac:dyDescent="0.2">
      <c r="A396" t="s">
        <v>1469</v>
      </c>
      <c r="B396" t="s">
        <v>1062</v>
      </c>
      <c r="C396" s="9">
        <v>44967</v>
      </c>
      <c r="D396" t="s">
        <v>1022</v>
      </c>
      <c r="E396" s="13">
        <v>6000000</v>
      </c>
      <c r="F396" s="13">
        <v>83250</v>
      </c>
      <c r="G396" s="9">
        <v>45022</v>
      </c>
      <c r="H396" t="s">
        <v>1111</v>
      </c>
      <c r="I396" t="s">
        <v>214</v>
      </c>
      <c r="J396" s="13">
        <v>133200</v>
      </c>
      <c r="K396">
        <v>3</v>
      </c>
      <c r="L396" t="s">
        <v>1064</v>
      </c>
      <c r="M396" t="s">
        <v>1112</v>
      </c>
      <c r="N396" s="15" t="s">
        <v>6878</v>
      </c>
    </row>
    <row r="397" spans="1:14" x14ac:dyDescent="0.2">
      <c r="A397" t="s">
        <v>1470</v>
      </c>
      <c r="B397" t="s">
        <v>1062</v>
      </c>
      <c r="C397" s="9">
        <v>44967</v>
      </c>
      <c r="D397" t="s">
        <v>1022</v>
      </c>
      <c r="E397" s="13">
        <v>2000000</v>
      </c>
      <c r="F397" s="13">
        <v>27750</v>
      </c>
      <c r="G397" s="9">
        <v>45022</v>
      </c>
      <c r="H397" t="s">
        <v>1111</v>
      </c>
      <c r="I397" t="s">
        <v>214</v>
      </c>
      <c r="J397" s="13">
        <v>44400</v>
      </c>
      <c r="K397">
        <v>1</v>
      </c>
      <c r="L397" t="s">
        <v>1064</v>
      </c>
      <c r="M397" t="s">
        <v>1112</v>
      </c>
      <c r="N397" s="15" t="s">
        <v>6878</v>
      </c>
    </row>
    <row r="398" spans="1:14" x14ac:dyDescent="0.2">
      <c r="A398" t="s">
        <v>1471</v>
      </c>
      <c r="B398" t="s">
        <v>1062</v>
      </c>
      <c r="C398" s="9">
        <v>44967</v>
      </c>
      <c r="D398" t="s">
        <v>1022</v>
      </c>
      <c r="E398" s="13">
        <v>2000000</v>
      </c>
      <c r="F398" s="13">
        <v>27750</v>
      </c>
      <c r="G398" s="9">
        <v>45022</v>
      </c>
      <c r="H398" t="s">
        <v>1111</v>
      </c>
      <c r="I398" t="s">
        <v>214</v>
      </c>
      <c r="J398" s="13">
        <v>44400</v>
      </c>
      <c r="K398">
        <v>1</v>
      </c>
      <c r="L398" t="s">
        <v>1064</v>
      </c>
      <c r="M398" t="s">
        <v>1112</v>
      </c>
      <c r="N398" s="15" t="s">
        <v>6878</v>
      </c>
    </row>
    <row r="399" spans="1:14" x14ac:dyDescent="0.2">
      <c r="A399" t="s">
        <v>1472</v>
      </c>
      <c r="B399" t="s">
        <v>1069</v>
      </c>
      <c r="C399" s="9">
        <v>44967</v>
      </c>
      <c r="D399" t="s">
        <v>958</v>
      </c>
      <c r="E399" s="13">
        <v>12450267</v>
      </c>
      <c r="F399" s="13">
        <v>159840</v>
      </c>
      <c r="G399" s="9">
        <v>44967</v>
      </c>
      <c r="H399" t="s">
        <v>1063</v>
      </c>
      <c r="I399" t="s">
        <v>1074</v>
      </c>
      <c r="J399" s="13">
        <v>276395</v>
      </c>
      <c r="K399">
        <v>8</v>
      </c>
      <c r="L399" t="s">
        <v>1064</v>
      </c>
      <c r="M399" t="s">
        <v>1075</v>
      </c>
      <c r="N399" s="15" t="s">
        <v>6878</v>
      </c>
    </row>
    <row r="400" spans="1:14" x14ac:dyDescent="0.2">
      <c r="A400" t="s">
        <v>1473</v>
      </c>
      <c r="B400" t="s">
        <v>1062</v>
      </c>
      <c r="C400" s="9">
        <v>44967</v>
      </c>
      <c r="D400" t="s">
        <v>442</v>
      </c>
      <c r="E400" s="13">
        <v>3250000</v>
      </c>
      <c r="F400" s="13">
        <v>16650</v>
      </c>
      <c r="G400" s="9">
        <v>44991</v>
      </c>
      <c r="H400" t="s">
        <v>1063</v>
      </c>
      <c r="I400" t="s">
        <v>916</v>
      </c>
      <c r="J400" s="13">
        <v>108225</v>
      </c>
      <c r="K400">
        <v>1</v>
      </c>
      <c r="L400" t="s">
        <v>1064</v>
      </c>
      <c r="M400" t="s">
        <v>1065</v>
      </c>
      <c r="N400" s="15" t="s">
        <v>6878</v>
      </c>
    </row>
    <row r="401" spans="1:14" x14ac:dyDescent="0.2">
      <c r="A401" t="s">
        <v>1474</v>
      </c>
      <c r="B401" t="s">
        <v>1062</v>
      </c>
      <c r="C401" s="9">
        <v>44967</v>
      </c>
      <c r="D401" t="s">
        <v>442</v>
      </c>
      <c r="E401" s="13">
        <v>3250000</v>
      </c>
      <c r="F401" s="13">
        <v>16650</v>
      </c>
      <c r="G401" s="9">
        <v>44991</v>
      </c>
      <c r="H401" t="s">
        <v>1063</v>
      </c>
      <c r="I401" t="s">
        <v>916</v>
      </c>
      <c r="J401" s="13">
        <v>108225</v>
      </c>
      <c r="K401">
        <v>1</v>
      </c>
      <c r="L401" t="s">
        <v>1064</v>
      </c>
      <c r="M401" t="s">
        <v>1065</v>
      </c>
      <c r="N401" s="15" t="s">
        <v>6878</v>
      </c>
    </row>
    <row r="402" spans="1:14" x14ac:dyDescent="0.2">
      <c r="A402" t="s">
        <v>1475</v>
      </c>
      <c r="B402" t="s">
        <v>1069</v>
      </c>
      <c r="C402" s="9">
        <v>44967</v>
      </c>
      <c r="D402" t="s">
        <v>958</v>
      </c>
      <c r="E402" s="13">
        <v>15671843</v>
      </c>
      <c r="F402" s="13">
        <v>259740</v>
      </c>
      <c r="G402" s="9">
        <v>44967</v>
      </c>
      <c r="H402" t="s">
        <v>1063</v>
      </c>
      <c r="I402" t="s">
        <v>1074</v>
      </c>
      <c r="J402" s="13">
        <v>347913</v>
      </c>
      <c r="K402">
        <v>13</v>
      </c>
      <c r="L402" t="s">
        <v>1064</v>
      </c>
      <c r="M402" t="s">
        <v>1075</v>
      </c>
      <c r="N402" s="15" t="s">
        <v>6878</v>
      </c>
    </row>
    <row r="403" spans="1:14" x14ac:dyDescent="0.2">
      <c r="A403" t="s">
        <v>1476</v>
      </c>
      <c r="B403" t="s">
        <v>1069</v>
      </c>
      <c r="C403" s="9">
        <v>44967</v>
      </c>
      <c r="D403" t="s">
        <v>958</v>
      </c>
      <c r="E403" s="13">
        <v>2340000</v>
      </c>
      <c r="F403" s="13">
        <v>59940</v>
      </c>
      <c r="G403" s="9">
        <v>44967</v>
      </c>
      <c r="H403" t="s">
        <v>1063</v>
      </c>
      <c r="I403" t="s">
        <v>1074</v>
      </c>
      <c r="J403" s="13">
        <v>51948</v>
      </c>
      <c r="K403">
        <v>3</v>
      </c>
      <c r="L403" t="s">
        <v>1064</v>
      </c>
      <c r="M403" t="s">
        <v>1075</v>
      </c>
      <c r="N403" s="15" t="s">
        <v>6878</v>
      </c>
    </row>
    <row r="404" spans="1:14" x14ac:dyDescent="0.2">
      <c r="A404" t="s">
        <v>1477</v>
      </c>
      <c r="B404" t="s">
        <v>1069</v>
      </c>
      <c r="C404" s="9">
        <v>44967</v>
      </c>
      <c r="D404" t="s">
        <v>958</v>
      </c>
      <c r="E404" s="13">
        <v>13913250</v>
      </c>
      <c r="F404" s="13">
        <v>159840</v>
      </c>
      <c r="G404" s="9">
        <v>44967</v>
      </c>
      <c r="H404" t="s">
        <v>1063</v>
      </c>
      <c r="I404" t="s">
        <v>1074</v>
      </c>
      <c r="J404" s="13">
        <v>308874</v>
      </c>
      <c r="K404">
        <v>8</v>
      </c>
      <c r="L404" t="s">
        <v>1064</v>
      </c>
      <c r="M404" t="s">
        <v>1075</v>
      </c>
      <c r="N404" s="15" t="s">
        <v>6878</v>
      </c>
    </row>
    <row r="405" spans="1:14" x14ac:dyDescent="0.2">
      <c r="A405" t="s">
        <v>1478</v>
      </c>
      <c r="B405" t="s">
        <v>1062</v>
      </c>
      <c r="C405" s="9">
        <v>44969</v>
      </c>
      <c r="D405" t="s">
        <v>442</v>
      </c>
      <c r="E405" s="13">
        <v>875000</v>
      </c>
      <c r="F405" s="13">
        <v>16650</v>
      </c>
      <c r="G405" s="9">
        <v>44991</v>
      </c>
      <c r="H405" t="s">
        <v>1063</v>
      </c>
      <c r="I405" t="s">
        <v>916</v>
      </c>
      <c r="J405" s="13">
        <v>29137</v>
      </c>
      <c r="K405">
        <v>1</v>
      </c>
      <c r="L405" t="s">
        <v>1064</v>
      </c>
      <c r="M405" t="s">
        <v>1065</v>
      </c>
      <c r="N405" s="15" t="s">
        <v>6878</v>
      </c>
    </row>
    <row r="406" spans="1:14" x14ac:dyDescent="0.2">
      <c r="A406" t="s">
        <v>1479</v>
      </c>
      <c r="B406" t="s">
        <v>1062</v>
      </c>
      <c r="C406" s="9">
        <v>44969</v>
      </c>
      <c r="D406" t="s">
        <v>442</v>
      </c>
      <c r="E406" s="13">
        <v>1125000</v>
      </c>
      <c r="F406" s="13">
        <v>16650</v>
      </c>
      <c r="G406" s="9">
        <v>44991</v>
      </c>
      <c r="H406" t="s">
        <v>1063</v>
      </c>
      <c r="I406" t="s">
        <v>916</v>
      </c>
      <c r="J406" s="13">
        <v>37462</v>
      </c>
      <c r="K406">
        <v>1</v>
      </c>
      <c r="L406" t="s">
        <v>1064</v>
      </c>
      <c r="M406" t="s">
        <v>1065</v>
      </c>
      <c r="N406" s="15" t="s">
        <v>6878</v>
      </c>
    </row>
    <row r="407" spans="1:14" x14ac:dyDescent="0.2">
      <c r="A407" t="s">
        <v>1480</v>
      </c>
      <c r="B407" t="s">
        <v>1062</v>
      </c>
      <c r="C407" s="9">
        <v>44969</v>
      </c>
      <c r="D407" t="s">
        <v>1022</v>
      </c>
      <c r="E407" s="13">
        <v>2000000</v>
      </c>
      <c r="F407" s="13">
        <v>27750</v>
      </c>
      <c r="G407" s="9">
        <v>45022</v>
      </c>
      <c r="H407" t="s">
        <v>1111</v>
      </c>
      <c r="I407" t="s">
        <v>214</v>
      </c>
      <c r="J407" s="13">
        <v>44400</v>
      </c>
      <c r="K407">
        <v>1</v>
      </c>
      <c r="L407" t="s">
        <v>1064</v>
      </c>
      <c r="M407" t="s">
        <v>1112</v>
      </c>
      <c r="N407" s="15" t="s">
        <v>6878</v>
      </c>
    </row>
    <row r="408" spans="1:14" x14ac:dyDescent="0.2">
      <c r="A408" t="s">
        <v>1481</v>
      </c>
      <c r="B408" t="s">
        <v>1062</v>
      </c>
      <c r="C408" s="9">
        <v>44969</v>
      </c>
      <c r="D408" t="s">
        <v>1022</v>
      </c>
      <c r="E408" s="13">
        <v>2000000</v>
      </c>
      <c r="F408" s="13">
        <v>27750</v>
      </c>
      <c r="G408" s="9">
        <v>45022</v>
      </c>
      <c r="H408" t="s">
        <v>1111</v>
      </c>
      <c r="I408" t="s">
        <v>214</v>
      </c>
      <c r="J408" s="13">
        <v>44400</v>
      </c>
      <c r="K408">
        <v>1</v>
      </c>
      <c r="L408" t="s">
        <v>1064</v>
      </c>
      <c r="M408" t="s">
        <v>1112</v>
      </c>
      <c r="N408" s="15" t="s">
        <v>6878</v>
      </c>
    </row>
    <row r="409" spans="1:14" x14ac:dyDescent="0.2">
      <c r="A409" t="s">
        <v>1482</v>
      </c>
      <c r="B409" t="s">
        <v>1062</v>
      </c>
      <c r="C409" s="9">
        <v>44969</v>
      </c>
      <c r="D409" t="s">
        <v>1022</v>
      </c>
      <c r="E409" s="13">
        <v>2000000</v>
      </c>
      <c r="F409" s="13">
        <v>27750</v>
      </c>
      <c r="G409" s="9">
        <v>45022</v>
      </c>
      <c r="H409" t="s">
        <v>1111</v>
      </c>
      <c r="I409" t="s">
        <v>214</v>
      </c>
      <c r="J409" s="13">
        <v>44400</v>
      </c>
      <c r="K409">
        <v>1</v>
      </c>
      <c r="L409" t="s">
        <v>1064</v>
      </c>
      <c r="M409" t="s">
        <v>1112</v>
      </c>
      <c r="N409" s="15" t="s">
        <v>6878</v>
      </c>
    </row>
    <row r="410" spans="1:14" x14ac:dyDescent="0.2">
      <c r="A410" t="s">
        <v>1483</v>
      </c>
      <c r="B410" t="s">
        <v>1062</v>
      </c>
      <c r="C410" s="9">
        <v>44969</v>
      </c>
      <c r="D410" t="s">
        <v>1022</v>
      </c>
      <c r="E410" s="13">
        <v>4000000</v>
      </c>
      <c r="F410" s="13">
        <v>55500</v>
      </c>
      <c r="G410" s="9">
        <v>45022</v>
      </c>
      <c r="H410" t="s">
        <v>1111</v>
      </c>
      <c r="I410" t="s">
        <v>214</v>
      </c>
      <c r="J410" s="13">
        <v>88800</v>
      </c>
      <c r="K410">
        <v>2</v>
      </c>
      <c r="L410" t="s">
        <v>1064</v>
      </c>
      <c r="M410" t="s">
        <v>1112</v>
      </c>
      <c r="N410" s="15" t="s">
        <v>6878</v>
      </c>
    </row>
    <row r="411" spans="1:14" x14ac:dyDescent="0.2">
      <c r="A411" t="s">
        <v>1484</v>
      </c>
      <c r="B411" t="s">
        <v>1069</v>
      </c>
      <c r="C411" s="9">
        <v>44970</v>
      </c>
      <c r="D411" t="s">
        <v>1037</v>
      </c>
      <c r="E411" s="13">
        <v>3840000</v>
      </c>
      <c r="F411" s="13">
        <v>55500</v>
      </c>
      <c r="G411" s="9">
        <v>44971</v>
      </c>
      <c r="H411" t="s">
        <v>1063</v>
      </c>
      <c r="I411" t="s">
        <v>214</v>
      </c>
      <c r="J411" s="13">
        <v>85248</v>
      </c>
      <c r="K411">
        <v>2</v>
      </c>
      <c r="L411" t="s">
        <v>1064</v>
      </c>
      <c r="M411" t="s">
        <v>1107</v>
      </c>
      <c r="N411" s="15" t="s">
        <v>6878</v>
      </c>
    </row>
    <row r="412" spans="1:14" x14ac:dyDescent="0.2">
      <c r="A412" t="s">
        <v>1485</v>
      </c>
      <c r="B412" t="s">
        <v>1062</v>
      </c>
      <c r="C412" s="9">
        <v>44970</v>
      </c>
      <c r="D412" t="s">
        <v>442</v>
      </c>
      <c r="E412" s="13">
        <v>2625000</v>
      </c>
      <c r="F412" s="13">
        <v>16650</v>
      </c>
      <c r="G412" s="9">
        <v>44991</v>
      </c>
      <c r="H412" t="s">
        <v>1063</v>
      </c>
      <c r="I412" t="s">
        <v>916</v>
      </c>
      <c r="J412" s="13">
        <v>87412</v>
      </c>
      <c r="K412">
        <v>1</v>
      </c>
      <c r="L412" t="s">
        <v>1064</v>
      </c>
      <c r="M412" t="s">
        <v>1065</v>
      </c>
      <c r="N412" s="15" t="s">
        <v>6878</v>
      </c>
    </row>
    <row r="413" spans="1:14" x14ac:dyDescent="0.2">
      <c r="A413" t="s">
        <v>1486</v>
      </c>
      <c r="B413" t="s">
        <v>1062</v>
      </c>
      <c r="C413" s="9">
        <v>44970</v>
      </c>
      <c r="D413" t="s">
        <v>442</v>
      </c>
      <c r="E413" s="13">
        <v>2625000</v>
      </c>
      <c r="F413" s="13">
        <v>16650</v>
      </c>
      <c r="G413" s="9">
        <v>44991</v>
      </c>
      <c r="H413" t="s">
        <v>1063</v>
      </c>
      <c r="I413" t="s">
        <v>916</v>
      </c>
      <c r="J413" s="13">
        <v>87412</v>
      </c>
      <c r="K413">
        <v>1</v>
      </c>
      <c r="L413" t="s">
        <v>1064</v>
      </c>
      <c r="M413" t="s">
        <v>1065</v>
      </c>
      <c r="N413" s="15" t="s">
        <v>6878</v>
      </c>
    </row>
    <row r="414" spans="1:14" x14ac:dyDescent="0.2">
      <c r="A414" t="s">
        <v>1487</v>
      </c>
      <c r="B414" t="s">
        <v>1062</v>
      </c>
      <c r="C414" s="9">
        <v>44970</v>
      </c>
      <c r="D414" t="s">
        <v>442</v>
      </c>
      <c r="E414" s="13">
        <v>1440000</v>
      </c>
      <c r="F414" s="13">
        <v>16650</v>
      </c>
      <c r="G414" s="9">
        <v>44991</v>
      </c>
      <c r="H414" t="s">
        <v>1063</v>
      </c>
      <c r="I414" t="s">
        <v>916</v>
      </c>
      <c r="J414" s="13">
        <v>47952</v>
      </c>
      <c r="K414">
        <v>1</v>
      </c>
      <c r="L414" t="s">
        <v>1064</v>
      </c>
      <c r="M414" t="s">
        <v>1065</v>
      </c>
      <c r="N414" s="15" t="s">
        <v>6878</v>
      </c>
    </row>
    <row r="415" spans="1:14" x14ac:dyDescent="0.2">
      <c r="A415" t="s">
        <v>1488</v>
      </c>
      <c r="B415" t="s">
        <v>1062</v>
      </c>
      <c r="C415" s="9">
        <v>44970</v>
      </c>
      <c r="D415" t="s">
        <v>442</v>
      </c>
      <c r="E415" s="13">
        <v>2520000</v>
      </c>
      <c r="F415" s="13">
        <v>16650</v>
      </c>
      <c r="G415" s="9">
        <v>44994</v>
      </c>
      <c r="H415" t="s">
        <v>1063</v>
      </c>
      <c r="I415" t="s">
        <v>916</v>
      </c>
      <c r="J415" s="13">
        <v>83916</v>
      </c>
      <c r="K415">
        <v>1</v>
      </c>
      <c r="L415" t="s">
        <v>1064</v>
      </c>
      <c r="M415" t="s">
        <v>1065</v>
      </c>
      <c r="N415" s="15" t="s">
        <v>6878</v>
      </c>
    </row>
    <row r="416" spans="1:14" x14ac:dyDescent="0.2">
      <c r="A416" t="s">
        <v>1489</v>
      </c>
      <c r="B416" t="s">
        <v>1069</v>
      </c>
      <c r="C416" s="9">
        <v>44971</v>
      </c>
      <c r="D416" t="s">
        <v>442</v>
      </c>
      <c r="E416" s="13">
        <v>3000000</v>
      </c>
      <c r="F416" s="13">
        <v>16650</v>
      </c>
      <c r="G416" s="9">
        <v>44994</v>
      </c>
      <c r="H416" t="s">
        <v>1063</v>
      </c>
      <c r="I416" t="s">
        <v>916</v>
      </c>
      <c r="J416" s="13">
        <v>99900</v>
      </c>
      <c r="K416">
        <v>1</v>
      </c>
      <c r="L416" t="s">
        <v>1064</v>
      </c>
      <c r="M416" t="s">
        <v>1065</v>
      </c>
      <c r="N416" s="15" t="s">
        <v>6878</v>
      </c>
    </row>
    <row r="417" spans="1:14" x14ac:dyDescent="0.2">
      <c r="A417" t="s">
        <v>1490</v>
      </c>
      <c r="B417" t="s">
        <v>1062</v>
      </c>
      <c r="C417" s="9">
        <v>44971</v>
      </c>
      <c r="D417" t="s">
        <v>442</v>
      </c>
      <c r="E417" s="13">
        <v>2250000</v>
      </c>
      <c r="F417" s="13">
        <v>16650</v>
      </c>
      <c r="G417" s="9">
        <v>44994</v>
      </c>
      <c r="H417" t="s">
        <v>1063</v>
      </c>
      <c r="I417" t="s">
        <v>916</v>
      </c>
      <c r="J417" s="13">
        <v>74925</v>
      </c>
      <c r="K417">
        <v>1</v>
      </c>
      <c r="L417" t="s">
        <v>1064</v>
      </c>
      <c r="M417" t="s">
        <v>1065</v>
      </c>
      <c r="N417" s="15" t="s">
        <v>6878</v>
      </c>
    </row>
    <row r="418" spans="1:14" x14ac:dyDescent="0.2">
      <c r="A418" t="s">
        <v>1491</v>
      </c>
      <c r="B418" t="s">
        <v>1069</v>
      </c>
      <c r="C418" s="9">
        <v>44971</v>
      </c>
      <c r="D418" t="s">
        <v>442</v>
      </c>
      <c r="E418" s="13">
        <v>1175000</v>
      </c>
      <c r="F418" s="13">
        <v>16650</v>
      </c>
      <c r="G418" s="9">
        <v>44991</v>
      </c>
      <c r="H418" t="s">
        <v>1063</v>
      </c>
      <c r="I418" t="s">
        <v>916</v>
      </c>
      <c r="J418" s="13">
        <v>39127</v>
      </c>
      <c r="K418">
        <v>1</v>
      </c>
      <c r="L418" t="s">
        <v>1064</v>
      </c>
      <c r="M418" t="s">
        <v>1065</v>
      </c>
      <c r="N418" s="15" t="s">
        <v>6878</v>
      </c>
    </row>
    <row r="419" spans="1:14" x14ac:dyDescent="0.2">
      <c r="A419" t="s">
        <v>1492</v>
      </c>
      <c r="B419" t="s">
        <v>1062</v>
      </c>
      <c r="C419" s="9">
        <v>44971</v>
      </c>
      <c r="D419" t="s">
        <v>442</v>
      </c>
      <c r="E419" s="13">
        <v>2625000</v>
      </c>
      <c r="F419" s="13">
        <v>16650</v>
      </c>
      <c r="G419" s="9">
        <v>44991</v>
      </c>
      <c r="H419" t="s">
        <v>1063</v>
      </c>
      <c r="I419" t="s">
        <v>916</v>
      </c>
      <c r="J419" s="13">
        <v>87412</v>
      </c>
      <c r="K419">
        <v>1</v>
      </c>
      <c r="L419" t="s">
        <v>1064</v>
      </c>
      <c r="M419" t="s">
        <v>1065</v>
      </c>
      <c r="N419" s="15" t="s">
        <v>6878</v>
      </c>
    </row>
    <row r="420" spans="1:14" x14ac:dyDescent="0.2">
      <c r="A420" t="s">
        <v>1493</v>
      </c>
      <c r="B420" t="s">
        <v>1062</v>
      </c>
      <c r="C420" s="9">
        <v>44971</v>
      </c>
      <c r="D420" t="s">
        <v>442</v>
      </c>
      <c r="E420" s="13">
        <v>3000000</v>
      </c>
      <c r="F420" s="13">
        <v>16650</v>
      </c>
      <c r="G420" s="9">
        <v>44991</v>
      </c>
      <c r="H420" t="s">
        <v>1063</v>
      </c>
      <c r="I420" t="s">
        <v>916</v>
      </c>
      <c r="J420" s="13">
        <v>99900</v>
      </c>
      <c r="K420">
        <v>1</v>
      </c>
      <c r="L420" t="s">
        <v>1064</v>
      </c>
      <c r="M420" t="s">
        <v>1065</v>
      </c>
      <c r="N420" s="15" t="s">
        <v>6878</v>
      </c>
    </row>
    <row r="421" spans="1:14" x14ac:dyDescent="0.2">
      <c r="A421" t="s">
        <v>1494</v>
      </c>
      <c r="B421" t="s">
        <v>1062</v>
      </c>
      <c r="C421" s="9">
        <v>44971</v>
      </c>
      <c r="D421" t="s">
        <v>442</v>
      </c>
      <c r="E421" s="13">
        <v>2520000</v>
      </c>
      <c r="F421" s="13">
        <v>16650</v>
      </c>
      <c r="G421" s="9">
        <v>44991</v>
      </c>
      <c r="H421" t="s">
        <v>1063</v>
      </c>
      <c r="I421" t="s">
        <v>916</v>
      </c>
      <c r="J421" s="13">
        <v>83916</v>
      </c>
      <c r="K421">
        <v>1</v>
      </c>
      <c r="L421" t="s">
        <v>1064</v>
      </c>
      <c r="M421" t="s">
        <v>1065</v>
      </c>
      <c r="N421" s="15" t="s">
        <v>6878</v>
      </c>
    </row>
    <row r="422" spans="1:14" x14ac:dyDescent="0.2">
      <c r="A422" t="s">
        <v>1495</v>
      </c>
      <c r="B422" t="s">
        <v>1062</v>
      </c>
      <c r="C422" s="9">
        <v>44971</v>
      </c>
      <c r="D422" t="s">
        <v>442</v>
      </c>
      <c r="E422" s="13">
        <v>1500000</v>
      </c>
      <c r="F422" s="13">
        <v>16650</v>
      </c>
      <c r="G422" s="9">
        <v>44991</v>
      </c>
      <c r="H422" t="s">
        <v>1063</v>
      </c>
      <c r="I422" t="s">
        <v>916</v>
      </c>
      <c r="J422" s="13">
        <v>49950</v>
      </c>
      <c r="K422">
        <v>1</v>
      </c>
      <c r="L422" t="s">
        <v>1064</v>
      </c>
      <c r="M422" t="s">
        <v>1065</v>
      </c>
      <c r="N422" s="15" t="s">
        <v>6878</v>
      </c>
    </row>
    <row r="423" spans="1:14" x14ac:dyDescent="0.2">
      <c r="A423" t="s">
        <v>1496</v>
      </c>
      <c r="B423" t="s">
        <v>1062</v>
      </c>
      <c r="C423" s="9">
        <v>44971</v>
      </c>
      <c r="D423" t="s">
        <v>442</v>
      </c>
      <c r="E423" s="13">
        <v>2625000</v>
      </c>
      <c r="F423" s="13">
        <v>16650</v>
      </c>
      <c r="G423" s="9">
        <v>44995</v>
      </c>
      <c r="H423" t="s">
        <v>1063</v>
      </c>
      <c r="I423" t="s">
        <v>916</v>
      </c>
      <c r="J423" s="13">
        <v>87412</v>
      </c>
      <c r="K423">
        <v>1</v>
      </c>
      <c r="L423" t="s">
        <v>1064</v>
      </c>
      <c r="M423" t="s">
        <v>1065</v>
      </c>
      <c r="N423" s="15" t="s">
        <v>6878</v>
      </c>
    </row>
    <row r="424" spans="1:14" x14ac:dyDescent="0.2">
      <c r="A424" t="s">
        <v>1497</v>
      </c>
      <c r="B424" t="s">
        <v>1062</v>
      </c>
      <c r="C424" s="9">
        <v>44972</v>
      </c>
      <c r="D424" t="s">
        <v>442</v>
      </c>
      <c r="E424" s="13">
        <v>1950000</v>
      </c>
      <c r="F424" s="13">
        <v>16650</v>
      </c>
      <c r="G424" s="9">
        <v>44995</v>
      </c>
      <c r="H424" t="s">
        <v>1063</v>
      </c>
      <c r="I424" t="s">
        <v>916</v>
      </c>
      <c r="J424" s="13">
        <v>64935</v>
      </c>
      <c r="K424">
        <v>1</v>
      </c>
      <c r="L424" t="s">
        <v>1064</v>
      </c>
      <c r="M424" t="s">
        <v>1065</v>
      </c>
      <c r="N424" s="15" t="s">
        <v>6878</v>
      </c>
    </row>
    <row r="425" spans="1:14" x14ac:dyDescent="0.2">
      <c r="A425" t="s">
        <v>1498</v>
      </c>
      <c r="B425" t="s">
        <v>1062</v>
      </c>
      <c r="C425" s="9">
        <v>44972</v>
      </c>
      <c r="D425" t="s">
        <v>442</v>
      </c>
      <c r="E425" s="13">
        <v>2625000</v>
      </c>
      <c r="F425" s="13">
        <v>16650</v>
      </c>
      <c r="G425" s="9">
        <v>44995</v>
      </c>
      <c r="H425" t="s">
        <v>1063</v>
      </c>
      <c r="I425" t="s">
        <v>916</v>
      </c>
      <c r="J425" s="13">
        <v>87412</v>
      </c>
      <c r="K425">
        <v>1</v>
      </c>
      <c r="L425" t="s">
        <v>1064</v>
      </c>
      <c r="M425" t="s">
        <v>1065</v>
      </c>
      <c r="N425" s="15" t="s">
        <v>6878</v>
      </c>
    </row>
    <row r="426" spans="1:14" x14ac:dyDescent="0.2">
      <c r="A426" t="s">
        <v>1499</v>
      </c>
      <c r="B426" t="s">
        <v>1062</v>
      </c>
      <c r="C426" s="9">
        <v>44972</v>
      </c>
      <c r="D426" t="s">
        <v>442</v>
      </c>
      <c r="E426" s="13">
        <v>2575000</v>
      </c>
      <c r="F426" s="13">
        <v>16650</v>
      </c>
      <c r="G426" s="9">
        <v>44995</v>
      </c>
      <c r="H426" t="s">
        <v>1063</v>
      </c>
      <c r="I426" t="s">
        <v>916</v>
      </c>
      <c r="J426" s="13">
        <v>85747</v>
      </c>
      <c r="K426">
        <v>1</v>
      </c>
      <c r="L426" t="s">
        <v>1064</v>
      </c>
      <c r="M426" t="s">
        <v>1065</v>
      </c>
      <c r="N426" s="15" t="s">
        <v>6878</v>
      </c>
    </row>
    <row r="427" spans="1:14" x14ac:dyDescent="0.2">
      <c r="A427" t="s">
        <v>1500</v>
      </c>
      <c r="B427" t="s">
        <v>1062</v>
      </c>
      <c r="C427" s="9">
        <v>44972</v>
      </c>
      <c r="D427" t="s">
        <v>442</v>
      </c>
      <c r="E427" s="13">
        <v>1125000</v>
      </c>
      <c r="F427" s="13">
        <v>16650</v>
      </c>
      <c r="G427" s="9">
        <v>44995</v>
      </c>
      <c r="H427" t="s">
        <v>1063</v>
      </c>
      <c r="I427" t="s">
        <v>916</v>
      </c>
      <c r="J427" s="13">
        <v>37462</v>
      </c>
      <c r="K427">
        <v>1</v>
      </c>
      <c r="L427" t="s">
        <v>1064</v>
      </c>
      <c r="M427" t="s">
        <v>1065</v>
      </c>
      <c r="N427" s="15" t="s">
        <v>6878</v>
      </c>
    </row>
    <row r="428" spans="1:14" x14ac:dyDescent="0.2">
      <c r="A428" t="s">
        <v>1501</v>
      </c>
      <c r="B428" t="s">
        <v>1062</v>
      </c>
      <c r="C428" s="9">
        <v>44972</v>
      </c>
      <c r="D428" t="s">
        <v>442</v>
      </c>
      <c r="E428" s="13">
        <v>1700000</v>
      </c>
      <c r="F428" s="13">
        <v>16650</v>
      </c>
      <c r="G428" s="9">
        <v>44995</v>
      </c>
      <c r="H428" t="s">
        <v>1063</v>
      </c>
      <c r="I428" t="s">
        <v>916</v>
      </c>
      <c r="J428" s="13">
        <v>56610</v>
      </c>
      <c r="K428">
        <v>1</v>
      </c>
      <c r="L428" t="s">
        <v>1064</v>
      </c>
      <c r="M428" t="s">
        <v>1065</v>
      </c>
      <c r="N428" s="15" t="s">
        <v>6878</v>
      </c>
    </row>
    <row r="429" spans="1:14" x14ac:dyDescent="0.2">
      <c r="A429" t="s">
        <v>1502</v>
      </c>
      <c r="B429" t="s">
        <v>1062</v>
      </c>
      <c r="C429" s="9">
        <v>44972</v>
      </c>
      <c r="D429" t="s">
        <v>442</v>
      </c>
      <c r="E429" s="13">
        <v>1440000</v>
      </c>
      <c r="F429" s="13">
        <v>16650</v>
      </c>
      <c r="G429" s="9">
        <v>44994</v>
      </c>
      <c r="H429" t="s">
        <v>1063</v>
      </c>
      <c r="I429" t="s">
        <v>916</v>
      </c>
      <c r="J429" s="13">
        <v>47952</v>
      </c>
      <c r="K429">
        <v>1</v>
      </c>
      <c r="L429" t="s">
        <v>1064</v>
      </c>
      <c r="M429" t="s">
        <v>1065</v>
      </c>
      <c r="N429" s="15" t="s">
        <v>6878</v>
      </c>
    </row>
    <row r="430" spans="1:14" x14ac:dyDescent="0.2">
      <c r="A430" t="s">
        <v>1503</v>
      </c>
      <c r="B430" t="s">
        <v>1062</v>
      </c>
      <c r="C430" s="9">
        <v>44973</v>
      </c>
      <c r="D430" t="s">
        <v>442</v>
      </c>
      <c r="E430" s="13">
        <v>2787500</v>
      </c>
      <c r="F430" s="13">
        <v>16650</v>
      </c>
      <c r="G430" s="9">
        <v>44994</v>
      </c>
      <c r="H430" t="s">
        <v>1063</v>
      </c>
      <c r="I430" t="s">
        <v>916</v>
      </c>
      <c r="J430" s="13">
        <v>92823</v>
      </c>
      <c r="K430">
        <v>1</v>
      </c>
      <c r="L430" t="s">
        <v>1064</v>
      </c>
      <c r="M430" t="s">
        <v>1065</v>
      </c>
      <c r="N430" s="15" t="s">
        <v>6878</v>
      </c>
    </row>
    <row r="431" spans="1:14" x14ac:dyDescent="0.2">
      <c r="A431" t="s">
        <v>1504</v>
      </c>
      <c r="B431" t="s">
        <v>1062</v>
      </c>
      <c r="C431" s="9">
        <v>44973</v>
      </c>
      <c r="D431" t="s">
        <v>442</v>
      </c>
      <c r="E431" s="13">
        <v>2625000</v>
      </c>
      <c r="F431" s="13">
        <v>16650</v>
      </c>
      <c r="G431" s="9">
        <v>44994</v>
      </c>
      <c r="H431" t="s">
        <v>1063</v>
      </c>
      <c r="I431" t="s">
        <v>916</v>
      </c>
      <c r="J431" s="13">
        <v>87412</v>
      </c>
      <c r="K431">
        <v>1</v>
      </c>
      <c r="L431" t="s">
        <v>1064</v>
      </c>
      <c r="M431" t="s">
        <v>1065</v>
      </c>
      <c r="N431" s="15" t="s">
        <v>6878</v>
      </c>
    </row>
    <row r="432" spans="1:14" x14ac:dyDescent="0.2">
      <c r="A432" t="s">
        <v>1505</v>
      </c>
      <c r="B432" t="s">
        <v>1062</v>
      </c>
      <c r="C432" s="9">
        <v>44973</v>
      </c>
      <c r="D432" t="s">
        <v>442</v>
      </c>
      <c r="E432" s="13">
        <v>2787500</v>
      </c>
      <c r="F432" s="13">
        <v>16650</v>
      </c>
      <c r="G432" s="9">
        <v>44994</v>
      </c>
      <c r="H432" t="s">
        <v>1063</v>
      </c>
      <c r="I432" t="s">
        <v>916</v>
      </c>
      <c r="J432" s="13">
        <v>92823</v>
      </c>
      <c r="K432">
        <v>1</v>
      </c>
      <c r="L432" t="s">
        <v>1064</v>
      </c>
      <c r="M432" t="s">
        <v>1065</v>
      </c>
      <c r="N432" s="15" t="s">
        <v>6878</v>
      </c>
    </row>
    <row r="433" spans="1:14" x14ac:dyDescent="0.2">
      <c r="A433" t="s">
        <v>1506</v>
      </c>
      <c r="B433" t="s">
        <v>1062</v>
      </c>
      <c r="C433" s="9">
        <v>44973</v>
      </c>
      <c r="D433" t="s">
        <v>442</v>
      </c>
      <c r="E433" s="13">
        <v>3250000</v>
      </c>
      <c r="F433" s="13">
        <v>16650</v>
      </c>
      <c r="G433" s="9">
        <v>44994</v>
      </c>
      <c r="H433" t="s">
        <v>1063</v>
      </c>
      <c r="I433" t="s">
        <v>916</v>
      </c>
      <c r="J433" s="13">
        <v>108225</v>
      </c>
      <c r="K433">
        <v>1</v>
      </c>
      <c r="L433" t="s">
        <v>1064</v>
      </c>
      <c r="M433" t="s">
        <v>1065</v>
      </c>
      <c r="N433" s="15" t="s">
        <v>6878</v>
      </c>
    </row>
    <row r="434" spans="1:14" x14ac:dyDescent="0.2">
      <c r="A434" t="s">
        <v>1507</v>
      </c>
      <c r="B434" t="s">
        <v>1062</v>
      </c>
      <c r="C434" s="9">
        <v>44974</v>
      </c>
      <c r="D434" t="s">
        <v>442</v>
      </c>
      <c r="E434" s="13">
        <v>2950000</v>
      </c>
      <c r="F434" s="13">
        <v>16650</v>
      </c>
      <c r="G434" s="9">
        <v>44994</v>
      </c>
      <c r="H434" t="s">
        <v>1063</v>
      </c>
      <c r="I434" t="s">
        <v>916</v>
      </c>
      <c r="J434" s="13">
        <v>98235</v>
      </c>
      <c r="K434">
        <v>1</v>
      </c>
      <c r="L434" t="s">
        <v>1064</v>
      </c>
      <c r="M434" t="s">
        <v>1065</v>
      </c>
      <c r="N434" s="15" t="s">
        <v>6878</v>
      </c>
    </row>
    <row r="435" spans="1:14" x14ac:dyDescent="0.2">
      <c r="A435" t="s">
        <v>1508</v>
      </c>
      <c r="B435" t="s">
        <v>1062</v>
      </c>
      <c r="C435" s="9">
        <v>44974</v>
      </c>
      <c r="D435" t="s">
        <v>442</v>
      </c>
      <c r="E435" s="13">
        <v>2950000</v>
      </c>
      <c r="F435" s="13">
        <v>16650</v>
      </c>
      <c r="G435" s="9">
        <v>44994</v>
      </c>
      <c r="H435" t="s">
        <v>1063</v>
      </c>
      <c r="I435" t="s">
        <v>916</v>
      </c>
      <c r="J435" s="13">
        <v>98235</v>
      </c>
      <c r="K435">
        <v>1</v>
      </c>
      <c r="L435" t="s">
        <v>1064</v>
      </c>
      <c r="M435" t="s">
        <v>1065</v>
      </c>
      <c r="N435" s="15" t="s">
        <v>6878</v>
      </c>
    </row>
    <row r="436" spans="1:14" x14ac:dyDescent="0.2">
      <c r="A436" t="s">
        <v>1509</v>
      </c>
      <c r="B436" t="s">
        <v>1062</v>
      </c>
      <c r="C436" s="9">
        <v>44974</v>
      </c>
      <c r="D436" t="s">
        <v>442</v>
      </c>
      <c r="E436" s="13">
        <v>2950000</v>
      </c>
      <c r="F436" s="13">
        <v>16650</v>
      </c>
      <c r="G436" s="9">
        <v>44994</v>
      </c>
      <c r="H436" t="s">
        <v>1063</v>
      </c>
      <c r="I436" t="s">
        <v>916</v>
      </c>
      <c r="J436" s="13">
        <v>98235</v>
      </c>
      <c r="K436">
        <v>1</v>
      </c>
      <c r="L436" t="s">
        <v>1064</v>
      </c>
      <c r="M436" t="s">
        <v>1065</v>
      </c>
      <c r="N436" s="15" t="s">
        <v>6878</v>
      </c>
    </row>
    <row r="437" spans="1:14" x14ac:dyDescent="0.2">
      <c r="A437" t="s">
        <v>1510</v>
      </c>
      <c r="B437" t="s">
        <v>1062</v>
      </c>
      <c r="C437" s="9">
        <v>44974</v>
      </c>
      <c r="D437" t="s">
        <v>442</v>
      </c>
      <c r="E437" s="13">
        <v>1950000</v>
      </c>
      <c r="F437" s="13">
        <v>16650</v>
      </c>
      <c r="G437" s="9">
        <v>44994</v>
      </c>
      <c r="H437" t="s">
        <v>1063</v>
      </c>
      <c r="I437" t="s">
        <v>916</v>
      </c>
      <c r="J437" s="13">
        <v>64935</v>
      </c>
      <c r="K437">
        <v>1</v>
      </c>
      <c r="L437" t="s">
        <v>1064</v>
      </c>
      <c r="M437" t="s">
        <v>1065</v>
      </c>
      <c r="N437" s="15" t="s">
        <v>6878</v>
      </c>
    </row>
    <row r="438" spans="1:14" x14ac:dyDescent="0.2">
      <c r="A438" t="s">
        <v>1511</v>
      </c>
      <c r="B438" t="s">
        <v>1062</v>
      </c>
      <c r="C438" s="9">
        <v>44974</v>
      </c>
      <c r="D438" t="s">
        <v>442</v>
      </c>
      <c r="E438" s="13">
        <v>3075000</v>
      </c>
      <c r="F438" s="13">
        <v>16650</v>
      </c>
      <c r="G438" s="9">
        <v>44994</v>
      </c>
      <c r="H438" t="s">
        <v>1063</v>
      </c>
      <c r="I438" t="s">
        <v>916</v>
      </c>
      <c r="J438" s="13">
        <v>102397</v>
      </c>
      <c r="K438">
        <v>1</v>
      </c>
      <c r="L438" t="s">
        <v>1064</v>
      </c>
      <c r="M438" t="s">
        <v>1065</v>
      </c>
      <c r="N438" s="15" t="s">
        <v>6878</v>
      </c>
    </row>
    <row r="439" spans="1:14" x14ac:dyDescent="0.2">
      <c r="A439" t="s">
        <v>1512</v>
      </c>
      <c r="B439" t="s">
        <v>1069</v>
      </c>
      <c r="C439" s="9">
        <v>44974</v>
      </c>
      <c r="D439" t="s">
        <v>968</v>
      </c>
      <c r="E439" s="13">
        <v>8000000</v>
      </c>
      <c r="F439" s="13">
        <v>266400</v>
      </c>
      <c r="G439" s="9">
        <v>44995</v>
      </c>
      <c r="H439" t="s">
        <v>1063</v>
      </c>
      <c r="I439" t="s">
        <v>1137</v>
      </c>
      <c r="J439" s="13"/>
      <c r="K439">
        <v>5</v>
      </c>
      <c r="L439" t="s">
        <v>1064</v>
      </c>
      <c r="M439" t="s">
        <v>1138</v>
      </c>
      <c r="N439" s="15" t="s">
        <v>6878</v>
      </c>
    </row>
    <row r="440" spans="1:14" x14ac:dyDescent="0.2">
      <c r="A440" t="s">
        <v>1513</v>
      </c>
      <c r="B440" t="s">
        <v>1069</v>
      </c>
      <c r="C440" s="9">
        <v>44974</v>
      </c>
      <c r="D440" t="s">
        <v>968</v>
      </c>
      <c r="E440" s="13">
        <v>16000000</v>
      </c>
      <c r="F440" s="13">
        <v>532800</v>
      </c>
      <c r="G440" s="9">
        <v>44995</v>
      </c>
      <c r="H440" t="s">
        <v>1063</v>
      </c>
      <c r="I440" t="s">
        <v>1137</v>
      </c>
      <c r="J440" s="13"/>
      <c r="K440">
        <v>10</v>
      </c>
      <c r="L440" t="s">
        <v>1064</v>
      </c>
      <c r="M440" t="s">
        <v>1138</v>
      </c>
      <c r="N440" s="15" t="s">
        <v>6878</v>
      </c>
    </row>
    <row r="441" spans="1:14" x14ac:dyDescent="0.2">
      <c r="A441" t="s">
        <v>1514</v>
      </c>
      <c r="B441" t="s">
        <v>1062</v>
      </c>
      <c r="C441" s="9">
        <v>44974</v>
      </c>
      <c r="D441" t="s">
        <v>966</v>
      </c>
      <c r="E441" s="13">
        <v>45500000</v>
      </c>
      <c r="F441" s="13">
        <v>27750</v>
      </c>
      <c r="G441" s="9">
        <v>44976</v>
      </c>
      <c r="H441" t="s">
        <v>1063</v>
      </c>
      <c r="I441" t="s">
        <v>1515</v>
      </c>
      <c r="J441" s="13">
        <v>2020200</v>
      </c>
      <c r="K441">
        <v>1</v>
      </c>
      <c r="L441" t="s">
        <v>1064</v>
      </c>
      <c r="M441" t="s">
        <v>1516</v>
      </c>
      <c r="N441" s="15" t="s">
        <v>6878</v>
      </c>
    </row>
    <row r="442" spans="1:14" x14ac:dyDescent="0.2">
      <c r="A442" t="s">
        <v>1517</v>
      </c>
      <c r="B442" t="s">
        <v>1069</v>
      </c>
      <c r="C442" s="9">
        <v>44974</v>
      </c>
      <c r="D442" t="s">
        <v>958</v>
      </c>
      <c r="E442" s="13">
        <v>12508500</v>
      </c>
      <c r="F442" s="13">
        <v>139860</v>
      </c>
      <c r="G442" s="9">
        <v>44975</v>
      </c>
      <c r="H442" t="s">
        <v>1063</v>
      </c>
      <c r="I442" t="s">
        <v>1074</v>
      </c>
      <c r="J442" s="13">
        <v>277688</v>
      </c>
      <c r="K442">
        <v>7</v>
      </c>
      <c r="L442" t="s">
        <v>1064</v>
      </c>
      <c r="M442" t="s">
        <v>1075</v>
      </c>
      <c r="N442" s="15" t="s">
        <v>6878</v>
      </c>
    </row>
    <row r="443" spans="1:14" x14ac:dyDescent="0.2">
      <c r="A443" t="s">
        <v>1518</v>
      </c>
      <c r="B443" t="s">
        <v>1069</v>
      </c>
      <c r="C443" s="9">
        <v>44974</v>
      </c>
      <c r="D443" t="s">
        <v>958</v>
      </c>
      <c r="E443" s="13">
        <v>14051650</v>
      </c>
      <c r="F443" s="13">
        <v>159840</v>
      </c>
      <c r="G443" s="9">
        <v>44975</v>
      </c>
      <c r="H443" t="s">
        <v>1063</v>
      </c>
      <c r="I443" t="s">
        <v>1074</v>
      </c>
      <c r="J443" s="13">
        <v>311946</v>
      </c>
      <c r="K443">
        <v>8</v>
      </c>
      <c r="L443" t="s">
        <v>1064</v>
      </c>
      <c r="M443" t="s">
        <v>1075</v>
      </c>
      <c r="N443" s="15" t="s">
        <v>6878</v>
      </c>
    </row>
    <row r="444" spans="1:14" x14ac:dyDescent="0.2">
      <c r="A444" t="s">
        <v>1519</v>
      </c>
      <c r="B444" t="s">
        <v>1069</v>
      </c>
      <c r="C444" s="9">
        <v>44974</v>
      </c>
      <c r="D444" t="s">
        <v>958</v>
      </c>
      <c r="E444" s="13">
        <v>8080150</v>
      </c>
      <c r="F444" s="13">
        <v>139860</v>
      </c>
      <c r="G444" s="9">
        <v>44975</v>
      </c>
      <c r="H444" t="s">
        <v>1063</v>
      </c>
      <c r="I444" t="s">
        <v>1074</v>
      </c>
      <c r="J444" s="13">
        <v>179379</v>
      </c>
      <c r="K444">
        <v>7</v>
      </c>
      <c r="L444" t="s">
        <v>1064</v>
      </c>
      <c r="M444" t="s">
        <v>1075</v>
      </c>
      <c r="N444" s="15" t="s">
        <v>6878</v>
      </c>
    </row>
    <row r="445" spans="1:14" x14ac:dyDescent="0.2">
      <c r="A445" t="s">
        <v>1520</v>
      </c>
      <c r="B445" t="s">
        <v>1069</v>
      </c>
      <c r="C445" s="9">
        <v>44974</v>
      </c>
      <c r="D445" t="s">
        <v>958</v>
      </c>
      <c r="E445" s="13">
        <v>780000</v>
      </c>
      <c r="F445" s="13">
        <v>19980</v>
      </c>
      <c r="G445" s="9">
        <v>44975</v>
      </c>
      <c r="H445" t="s">
        <v>1063</v>
      </c>
      <c r="I445" t="s">
        <v>1074</v>
      </c>
      <c r="J445" s="13">
        <v>17316</v>
      </c>
      <c r="K445">
        <v>1</v>
      </c>
      <c r="L445" t="s">
        <v>1064</v>
      </c>
      <c r="M445" t="s">
        <v>1075</v>
      </c>
      <c r="N445" s="15" t="s">
        <v>6878</v>
      </c>
    </row>
    <row r="446" spans="1:14" x14ac:dyDescent="0.2">
      <c r="A446" t="s">
        <v>1521</v>
      </c>
      <c r="B446" t="s">
        <v>1069</v>
      </c>
      <c r="C446" s="9">
        <v>44974</v>
      </c>
      <c r="D446" t="s">
        <v>958</v>
      </c>
      <c r="E446" s="13">
        <v>13102680</v>
      </c>
      <c r="F446" s="13">
        <v>119880</v>
      </c>
      <c r="G446" s="9">
        <v>44975</v>
      </c>
      <c r="H446" t="s">
        <v>1063</v>
      </c>
      <c r="I446" t="s">
        <v>1074</v>
      </c>
      <c r="J446" s="13">
        <v>290878</v>
      </c>
      <c r="K446">
        <v>6</v>
      </c>
      <c r="L446" t="s">
        <v>1064</v>
      </c>
      <c r="M446" t="s">
        <v>1075</v>
      </c>
      <c r="N446" s="15" t="s">
        <v>6878</v>
      </c>
    </row>
    <row r="447" spans="1:14" x14ac:dyDescent="0.2">
      <c r="A447" t="s">
        <v>1522</v>
      </c>
      <c r="B447" t="s">
        <v>1062</v>
      </c>
      <c r="C447" s="9">
        <v>44975</v>
      </c>
      <c r="D447" t="s">
        <v>178</v>
      </c>
      <c r="E447" s="13">
        <v>4998000</v>
      </c>
      <c r="F447" s="13">
        <v>88800</v>
      </c>
      <c r="G447" s="9">
        <v>44975</v>
      </c>
      <c r="H447" t="s">
        <v>1063</v>
      </c>
      <c r="I447" t="s">
        <v>904</v>
      </c>
      <c r="J447" s="13"/>
      <c r="K447">
        <v>4</v>
      </c>
      <c r="L447" t="s">
        <v>1064</v>
      </c>
      <c r="M447" t="s">
        <v>1164</v>
      </c>
      <c r="N447" s="15" t="s">
        <v>6878</v>
      </c>
    </row>
    <row r="448" spans="1:14" x14ac:dyDescent="0.2">
      <c r="A448" t="s">
        <v>1523</v>
      </c>
      <c r="B448" t="s">
        <v>1062</v>
      </c>
      <c r="C448" s="9">
        <v>44975</v>
      </c>
      <c r="D448" t="s">
        <v>178</v>
      </c>
      <c r="E448" s="13">
        <v>17444000</v>
      </c>
      <c r="F448" s="13">
        <v>310800</v>
      </c>
      <c r="G448" s="9">
        <v>44975</v>
      </c>
      <c r="H448" t="s">
        <v>1063</v>
      </c>
      <c r="I448" t="s">
        <v>904</v>
      </c>
      <c r="J448" s="13"/>
      <c r="K448">
        <v>14</v>
      </c>
      <c r="L448" t="s">
        <v>1064</v>
      </c>
      <c r="M448" t="s">
        <v>1164</v>
      </c>
      <c r="N448" s="15" t="s">
        <v>6878</v>
      </c>
    </row>
    <row r="449" spans="1:14" x14ac:dyDescent="0.2">
      <c r="A449" t="s">
        <v>1524</v>
      </c>
      <c r="B449" t="s">
        <v>1069</v>
      </c>
      <c r="C449" s="9">
        <v>44975</v>
      </c>
      <c r="D449" t="s">
        <v>958</v>
      </c>
      <c r="E449" s="13">
        <v>2481500</v>
      </c>
      <c r="F449" s="13">
        <v>19980</v>
      </c>
      <c r="G449" s="9">
        <v>44976</v>
      </c>
      <c r="H449" t="s">
        <v>1063</v>
      </c>
      <c r="I449" t="s">
        <v>1074</v>
      </c>
      <c r="J449" s="13">
        <v>55089</v>
      </c>
      <c r="K449">
        <v>1</v>
      </c>
      <c r="L449" t="s">
        <v>1064</v>
      </c>
      <c r="M449" t="s">
        <v>1075</v>
      </c>
      <c r="N449" s="15" t="s">
        <v>6878</v>
      </c>
    </row>
    <row r="450" spans="1:14" x14ac:dyDescent="0.2">
      <c r="A450" t="s">
        <v>1525</v>
      </c>
      <c r="B450" t="s">
        <v>1069</v>
      </c>
      <c r="C450" s="9">
        <v>44975</v>
      </c>
      <c r="D450" t="s">
        <v>958</v>
      </c>
      <c r="E450" s="13">
        <v>5271000</v>
      </c>
      <c r="F450" s="13">
        <v>39960</v>
      </c>
      <c r="G450" s="9">
        <v>44976</v>
      </c>
      <c r="H450" t="s">
        <v>1063</v>
      </c>
      <c r="I450" t="s">
        <v>1074</v>
      </c>
      <c r="J450" s="13">
        <v>117016</v>
      </c>
      <c r="K450">
        <v>2</v>
      </c>
      <c r="L450" t="s">
        <v>1064</v>
      </c>
      <c r="M450" t="s">
        <v>1075</v>
      </c>
      <c r="N450" s="15" t="s">
        <v>6878</v>
      </c>
    </row>
    <row r="451" spans="1:14" x14ac:dyDescent="0.2">
      <c r="A451" t="s">
        <v>1526</v>
      </c>
      <c r="B451" t="s">
        <v>1069</v>
      </c>
      <c r="C451" s="9">
        <v>44975</v>
      </c>
      <c r="D451" t="s">
        <v>958</v>
      </c>
      <c r="E451" s="13">
        <v>2449000</v>
      </c>
      <c r="F451" s="13">
        <v>19980</v>
      </c>
      <c r="G451" s="9">
        <v>44976</v>
      </c>
      <c r="H451" t="s">
        <v>1063</v>
      </c>
      <c r="I451" t="s">
        <v>1074</v>
      </c>
      <c r="J451" s="13">
        <v>54367</v>
      </c>
      <c r="K451">
        <v>1</v>
      </c>
      <c r="L451" t="s">
        <v>1064</v>
      </c>
      <c r="M451" t="s">
        <v>1075</v>
      </c>
      <c r="N451" s="15" t="s">
        <v>6878</v>
      </c>
    </row>
    <row r="452" spans="1:14" x14ac:dyDescent="0.2">
      <c r="A452" t="s">
        <v>1527</v>
      </c>
      <c r="B452" t="s">
        <v>1069</v>
      </c>
      <c r="C452" s="9">
        <v>44975</v>
      </c>
      <c r="D452" t="s">
        <v>958</v>
      </c>
      <c r="E452" s="13">
        <v>2363000</v>
      </c>
      <c r="F452" s="13">
        <v>19980</v>
      </c>
      <c r="G452" s="9">
        <v>44976</v>
      </c>
      <c r="H452" t="s">
        <v>1063</v>
      </c>
      <c r="I452" t="s">
        <v>1074</v>
      </c>
      <c r="J452" s="13">
        <v>52458</v>
      </c>
      <c r="K452">
        <v>1</v>
      </c>
      <c r="L452" t="s">
        <v>1064</v>
      </c>
      <c r="M452" t="s">
        <v>1075</v>
      </c>
      <c r="N452" s="15" t="s">
        <v>6878</v>
      </c>
    </row>
    <row r="453" spans="1:14" x14ac:dyDescent="0.2">
      <c r="A453" t="s">
        <v>1528</v>
      </c>
      <c r="B453" t="s">
        <v>1069</v>
      </c>
      <c r="C453" s="9">
        <v>44975</v>
      </c>
      <c r="D453" t="s">
        <v>958</v>
      </c>
      <c r="E453" s="13">
        <v>2514500</v>
      </c>
      <c r="F453" s="13">
        <v>19980</v>
      </c>
      <c r="G453" s="9">
        <v>44976</v>
      </c>
      <c r="H453" t="s">
        <v>1063</v>
      </c>
      <c r="I453" t="s">
        <v>1074</v>
      </c>
      <c r="J453" s="13">
        <v>55821</v>
      </c>
      <c r="K453">
        <v>1</v>
      </c>
      <c r="L453" t="s">
        <v>1064</v>
      </c>
      <c r="M453" t="s">
        <v>1075</v>
      </c>
      <c r="N453" s="15" t="s">
        <v>6878</v>
      </c>
    </row>
    <row r="454" spans="1:14" x14ac:dyDescent="0.2">
      <c r="A454" t="s">
        <v>1529</v>
      </c>
      <c r="B454" t="s">
        <v>1069</v>
      </c>
      <c r="C454" s="9">
        <v>44975</v>
      </c>
      <c r="D454" t="s">
        <v>958</v>
      </c>
      <c r="E454" s="13">
        <v>2536500</v>
      </c>
      <c r="F454" s="13">
        <v>19980</v>
      </c>
      <c r="G454" s="9">
        <v>44976</v>
      </c>
      <c r="H454" t="s">
        <v>1063</v>
      </c>
      <c r="I454" t="s">
        <v>1074</v>
      </c>
      <c r="J454" s="13">
        <v>56310</v>
      </c>
      <c r="K454">
        <v>1</v>
      </c>
      <c r="L454" t="s">
        <v>1064</v>
      </c>
      <c r="M454" t="s">
        <v>1075</v>
      </c>
      <c r="N454" s="15" t="s">
        <v>6878</v>
      </c>
    </row>
    <row r="455" spans="1:14" x14ac:dyDescent="0.2">
      <c r="A455" t="s">
        <v>1530</v>
      </c>
      <c r="B455" t="s">
        <v>1069</v>
      </c>
      <c r="C455" s="9">
        <v>44975</v>
      </c>
      <c r="D455" t="s">
        <v>958</v>
      </c>
      <c r="E455" s="13">
        <v>1955100</v>
      </c>
      <c r="F455" s="13">
        <v>19980</v>
      </c>
      <c r="G455" s="9">
        <v>44976</v>
      </c>
      <c r="H455" t="s">
        <v>1063</v>
      </c>
      <c r="I455" t="s">
        <v>1074</v>
      </c>
      <c r="J455" s="13">
        <v>43403</v>
      </c>
      <c r="K455">
        <v>1</v>
      </c>
      <c r="L455" t="s">
        <v>1064</v>
      </c>
      <c r="M455" t="s">
        <v>1075</v>
      </c>
      <c r="N455" s="15" t="s">
        <v>6878</v>
      </c>
    </row>
    <row r="456" spans="1:14" x14ac:dyDescent="0.2">
      <c r="A456" t="s">
        <v>1531</v>
      </c>
      <c r="B456" t="s">
        <v>1062</v>
      </c>
      <c r="C456" s="9">
        <v>44975</v>
      </c>
      <c r="D456" t="s">
        <v>958</v>
      </c>
      <c r="E456" s="13">
        <v>1815000</v>
      </c>
      <c r="F456" s="13">
        <v>19980</v>
      </c>
      <c r="G456" s="9">
        <v>44976</v>
      </c>
      <c r="H456" t="s">
        <v>1063</v>
      </c>
      <c r="I456" t="s">
        <v>1074</v>
      </c>
      <c r="J456" s="13">
        <v>40293</v>
      </c>
      <c r="K456">
        <v>1</v>
      </c>
      <c r="L456" t="s">
        <v>1064</v>
      </c>
      <c r="M456" t="s">
        <v>1075</v>
      </c>
      <c r="N456" s="15" t="s">
        <v>6878</v>
      </c>
    </row>
    <row r="457" spans="1:14" x14ac:dyDescent="0.2">
      <c r="A457" t="s">
        <v>1532</v>
      </c>
      <c r="B457" t="s">
        <v>1069</v>
      </c>
      <c r="C457" s="9">
        <v>44975</v>
      </c>
      <c r="D457" t="s">
        <v>958</v>
      </c>
      <c r="E457" s="13">
        <v>4193200</v>
      </c>
      <c r="F457" s="13">
        <v>39960</v>
      </c>
      <c r="G457" s="9">
        <v>44976</v>
      </c>
      <c r="H457" t="s">
        <v>1063</v>
      </c>
      <c r="I457" t="s">
        <v>1074</v>
      </c>
      <c r="J457" s="13">
        <v>93089</v>
      </c>
      <c r="K457">
        <v>2</v>
      </c>
      <c r="L457" t="s">
        <v>1064</v>
      </c>
      <c r="M457" t="s">
        <v>1075</v>
      </c>
      <c r="N457" s="15" t="s">
        <v>6878</v>
      </c>
    </row>
    <row r="458" spans="1:14" x14ac:dyDescent="0.2">
      <c r="A458" t="s">
        <v>1533</v>
      </c>
      <c r="B458" t="s">
        <v>1062</v>
      </c>
      <c r="C458" s="9">
        <v>44976</v>
      </c>
      <c r="D458" t="s">
        <v>958</v>
      </c>
      <c r="E458" s="13">
        <v>5060000</v>
      </c>
      <c r="F458" s="13">
        <v>39960</v>
      </c>
      <c r="G458" s="9">
        <v>44976</v>
      </c>
      <c r="H458" t="s">
        <v>1063</v>
      </c>
      <c r="I458" t="s">
        <v>1074</v>
      </c>
      <c r="J458" s="13">
        <v>112332</v>
      </c>
      <c r="K458">
        <v>2</v>
      </c>
      <c r="L458" t="s">
        <v>1064</v>
      </c>
      <c r="M458" t="s">
        <v>1075</v>
      </c>
      <c r="N458" s="15" t="s">
        <v>6878</v>
      </c>
    </row>
    <row r="459" spans="1:14" x14ac:dyDescent="0.2">
      <c r="A459" t="s">
        <v>1534</v>
      </c>
      <c r="B459" t="s">
        <v>1069</v>
      </c>
      <c r="C459" s="9">
        <v>44976</v>
      </c>
      <c r="D459" t="s">
        <v>958</v>
      </c>
      <c r="E459" s="13">
        <v>1909500</v>
      </c>
      <c r="F459" s="13">
        <v>19980</v>
      </c>
      <c r="G459" s="9">
        <v>44976</v>
      </c>
      <c r="H459" t="s">
        <v>1063</v>
      </c>
      <c r="I459" t="s">
        <v>1074</v>
      </c>
      <c r="J459" s="13">
        <v>42390</v>
      </c>
      <c r="K459">
        <v>1</v>
      </c>
      <c r="L459" t="s">
        <v>1064</v>
      </c>
      <c r="M459" t="s">
        <v>1075</v>
      </c>
      <c r="N459" s="15" t="s">
        <v>6878</v>
      </c>
    </row>
    <row r="460" spans="1:14" x14ac:dyDescent="0.2">
      <c r="A460" t="s">
        <v>1535</v>
      </c>
      <c r="B460" t="s">
        <v>1062</v>
      </c>
      <c r="C460" s="9">
        <v>44976</v>
      </c>
      <c r="D460" t="s">
        <v>442</v>
      </c>
      <c r="E460" s="13">
        <v>1950000</v>
      </c>
      <c r="F460" s="13">
        <v>16650</v>
      </c>
      <c r="G460" s="9">
        <v>44995</v>
      </c>
      <c r="H460" t="s">
        <v>1063</v>
      </c>
      <c r="I460" t="s">
        <v>916</v>
      </c>
      <c r="J460" s="13">
        <v>64935</v>
      </c>
      <c r="K460">
        <v>1</v>
      </c>
      <c r="L460" t="s">
        <v>1064</v>
      </c>
      <c r="M460" t="s">
        <v>1065</v>
      </c>
      <c r="N460" s="15" t="s">
        <v>6878</v>
      </c>
    </row>
    <row r="461" spans="1:14" x14ac:dyDescent="0.2">
      <c r="A461" t="s">
        <v>1536</v>
      </c>
      <c r="B461" t="s">
        <v>1062</v>
      </c>
      <c r="C461" s="9">
        <v>44976</v>
      </c>
      <c r="D461" t="s">
        <v>442</v>
      </c>
      <c r="E461" s="13">
        <v>2900000</v>
      </c>
      <c r="F461" s="13">
        <v>16650</v>
      </c>
      <c r="G461" s="9">
        <v>44995</v>
      </c>
      <c r="H461" t="s">
        <v>1063</v>
      </c>
      <c r="I461" t="s">
        <v>916</v>
      </c>
      <c r="J461" s="13">
        <v>96570</v>
      </c>
      <c r="K461">
        <v>1</v>
      </c>
      <c r="L461" t="s">
        <v>1064</v>
      </c>
      <c r="M461" t="s">
        <v>1065</v>
      </c>
      <c r="N461" s="15" t="s">
        <v>6878</v>
      </c>
    </row>
    <row r="462" spans="1:14" x14ac:dyDescent="0.2">
      <c r="A462" t="s">
        <v>1537</v>
      </c>
      <c r="B462" t="s">
        <v>1062</v>
      </c>
      <c r="C462" s="9">
        <v>44976</v>
      </c>
      <c r="D462" t="s">
        <v>442</v>
      </c>
      <c r="E462" s="13">
        <v>2900000</v>
      </c>
      <c r="F462" s="13">
        <v>16650</v>
      </c>
      <c r="G462" s="9">
        <v>44995</v>
      </c>
      <c r="H462" t="s">
        <v>1063</v>
      </c>
      <c r="I462" t="s">
        <v>916</v>
      </c>
      <c r="J462" s="13">
        <v>96570</v>
      </c>
      <c r="K462">
        <v>1</v>
      </c>
      <c r="L462" t="s">
        <v>1064</v>
      </c>
      <c r="M462" t="s">
        <v>1065</v>
      </c>
      <c r="N462" s="15" t="s">
        <v>6878</v>
      </c>
    </row>
    <row r="463" spans="1:14" x14ac:dyDescent="0.2">
      <c r="A463" t="s">
        <v>1538</v>
      </c>
      <c r="B463" t="s">
        <v>1062</v>
      </c>
      <c r="C463" s="9">
        <v>44976</v>
      </c>
      <c r="D463" t="s">
        <v>442</v>
      </c>
      <c r="E463" s="13">
        <v>2900000</v>
      </c>
      <c r="F463" s="13">
        <v>16650</v>
      </c>
      <c r="G463" s="9">
        <v>44995</v>
      </c>
      <c r="H463" t="s">
        <v>1063</v>
      </c>
      <c r="I463" t="s">
        <v>916</v>
      </c>
      <c r="J463" s="13">
        <v>96570</v>
      </c>
      <c r="K463">
        <v>1</v>
      </c>
      <c r="L463" t="s">
        <v>1064</v>
      </c>
      <c r="M463" t="s">
        <v>1065</v>
      </c>
      <c r="N463" s="15" t="s">
        <v>6878</v>
      </c>
    </row>
    <row r="464" spans="1:14" x14ac:dyDescent="0.2">
      <c r="A464" t="s">
        <v>1539</v>
      </c>
      <c r="B464" t="s">
        <v>1062</v>
      </c>
      <c r="C464" s="9">
        <v>44976</v>
      </c>
      <c r="D464" t="s">
        <v>442</v>
      </c>
      <c r="E464" s="13">
        <v>2900000</v>
      </c>
      <c r="F464" s="13">
        <v>16650</v>
      </c>
      <c r="G464" s="9">
        <v>44995</v>
      </c>
      <c r="H464" t="s">
        <v>1063</v>
      </c>
      <c r="I464" t="s">
        <v>916</v>
      </c>
      <c r="J464" s="13">
        <v>96570</v>
      </c>
      <c r="K464">
        <v>1</v>
      </c>
      <c r="L464" t="s">
        <v>1064</v>
      </c>
      <c r="M464" t="s">
        <v>1065</v>
      </c>
      <c r="N464" s="15" t="s">
        <v>6878</v>
      </c>
    </row>
    <row r="465" spans="1:14" x14ac:dyDescent="0.2">
      <c r="A465" t="s">
        <v>1540</v>
      </c>
      <c r="B465" t="s">
        <v>1062</v>
      </c>
      <c r="C465" s="9">
        <v>44976</v>
      </c>
      <c r="D465" t="s">
        <v>442</v>
      </c>
      <c r="E465" s="13">
        <v>2900000</v>
      </c>
      <c r="F465" s="13">
        <v>16650</v>
      </c>
      <c r="G465" s="9">
        <v>44995</v>
      </c>
      <c r="H465" t="s">
        <v>1063</v>
      </c>
      <c r="I465" t="s">
        <v>916</v>
      </c>
      <c r="J465" s="13">
        <v>96570</v>
      </c>
      <c r="K465">
        <v>1</v>
      </c>
      <c r="L465" t="s">
        <v>1064</v>
      </c>
      <c r="M465" t="s">
        <v>1065</v>
      </c>
      <c r="N465" s="15" t="s">
        <v>6878</v>
      </c>
    </row>
    <row r="466" spans="1:14" x14ac:dyDescent="0.2">
      <c r="A466" t="s">
        <v>1541</v>
      </c>
      <c r="B466" t="s">
        <v>1062</v>
      </c>
      <c r="C466" s="9">
        <v>44976</v>
      </c>
      <c r="D466" t="s">
        <v>442</v>
      </c>
      <c r="E466" s="13">
        <v>2900000</v>
      </c>
      <c r="F466" s="13">
        <v>16650</v>
      </c>
      <c r="G466" s="9">
        <v>44995</v>
      </c>
      <c r="H466" t="s">
        <v>1063</v>
      </c>
      <c r="I466" t="s">
        <v>916</v>
      </c>
      <c r="J466" s="13">
        <v>96570</v>
      </c>
      <c r="K466">
        <v>1</v>
      </c>
      <c r="L466" t="s">
        <v>1064</v>
      </c>
      <c r="M466" t="s">
        <v>1065</v>
      </c>
      <c r="N466" s="15" t="s">
        <v>6878</v>
      </c>
    </row>
    <row r="467" spans="1:14" x14ac:dyDescent="0.2">
      <c r="A467" t="s">
        <v>1542</v>
      </c>
      <c r="B467" t="s">
        <v>1062</v>
      </c>
      <c r="C467" s="9">
        <v>44976</v>
      </c>
      <c r="D467" t="s">
        <v>442</v>
      </c>
      <c r="E467" s="13">
        <v>2900000</v>
      </c>
      <c r="F467" s="13">
        <v>16650</v>
      </c>
      <c r="G467" s="9">
        <v>44995</v>
      </c>
      <c r="H467" t="s">
        <v>1063</v>
      </c>
      <c r="I467" t="s">
        <v>916</v>
      </c>
      <c r="J467" s="13">
        <v>96570</v>
      </c>
      <c r="K467">
        <v>1</v>
      </c>
      <c r="L467" t="s">
        <v>1064</v>
      </c>
      <c r="M467" t="s">
        <v>1065</v>
      </c>
      <c r="N467" s="15" t="s">
        <v>6878</v>
      </c>
    </row>
    <row r="468" spans="1:14" x14ac:dyDescent="0.2">
      <c r="A468" t="s">
        <v>1543</v>
      </c>
      <c r="B468" t="s">
        <v>1062</v>
      </c>
      <c r="C468" s="9">
        <v>44976</v>
      </c>
      <c r="D468" t="s">
        <v>442</v>
      </c>
      <c r="E468" s="13">
        <v>2900000</v>
      </c>
      <c r="F468" s="13">
        <v>16650</v>
      </c>
      <c r="G468" s="9">
        <v>44995</v>
      </c>
      <c r="H468" t="s">
        <v>1063</v>
      </c>
      <c r="I468" t="s">
        <v>916</v>
      </c>
      <c r="J468" s="13">
        <v>96570</v>
      </c>
      <c r="K468">
        <v>1</v>
      </c>
      <c r="L468" t="s">
        <v>1064</v>
      </c>
      <c r="M468" t="s">
        <v>1065</v>
      </c>
      <c r="N468" s="15" t="s">
        <v>6878</v>
      </c>
    </row>
    <row r="469" spans="1:14" x14ac:dyDescent="0.2">
      <c r="A469" t="s">
        <v>1544</v>
      </c>
      <c r="B469" t="s">
        <v>1062</v>
      </c>
      <c r="C469" s="9">
        <v>44976</v>
      </c>
      <c r="D469" t="s">
        <v>442</v>
      </c>
      <c r="E469" s="13">
        <v>2900000</v>
      </c>
      <c r="F469" s="13">
        <v>16650</v>
      </c>
      <c r="G469" s="9">
        <v>44998</v>
      </c>
      <c r="H469" t="s">
        <v>1111</v>
      </c>
      <c r="I469" t="s">
        <v>916</v>
      </c>
      <c r="J469" s="13">
        <v>96570</v>
      </c>
      <c r="K469">
        <v>1</v>
      </c>
      <c r="L469" t="s">
        <v>1064</v>
      </c>
      <c r="M469" t="s">
        <v>1065</v>
      </c>
      <c r="N469" s="15" t="s">
        <v>6878</v>
      </c>
    </row>
    <row r="470" spans="1:14" x14ac:dyDescent="0.2">
      <c r="A470" t="s">
        <v>1545</v>
      </c>
      <c r="B470" t="s">
        <v>1062</v>
      </c>
      <c r="C470" s="9">
        <v>44976</v>
      </c>
      <c r="D470" t="s">
        <v>442</v>
      </c>
      <c r="E470" s="13">
        <v>2900000</v>
      </c>
      <c r="F470" s="13">
        <v>16650</v>
      </c>
      <c r="G470" s="9">
        <v>44998</v>
      </c>
      <c r="H470" t="s">
        <v>1111</v>
      </c>
      <c r="I470" t="s">
        <v>916</v>
      </c>
      <c r="J470" s="13">
        <v>96570</v>
      </c>
      <c r="K470">
        <v>1</v>
      </c>
      <c r="L470" t="s">
        <v>1064</v>
      </c>
      <c r="M470" t="s">
        <v>1065</v>
      </c>
      <c r="N470" s="15" t="s">
        <v>6878</v>
      </c>
    </row>
    <row r="471" spans="1:14" x14ac:dyDescent="0.2">
      <c r="A471" t="s">
        <v>1546</v>
      </c>
      <c r="B471" t="s">
        <v>1062</v>
      </c>
      <c r="C471" s="9">
        <v>44976</v>
      </c>
      <c r="D471" t="s">
        <v>442</v>
      </c>
      <c r="E471" s="13">
        <v>2900000</v>
      </c>
      <c r="F471" s="13">
        <v>16650</v>
      </c>
      <c r="G471" s="9">
        <v>44998</v>
      </c>
      <c r="H471" t="s">
        <v>1111</v>
      </c>
      <c r="I471" t="s">
        <v>916</v>
      </c>
      <c r="J471" s="13">
        <v>96570</v>
      </c>
      <c r="K471">
        <v>1</v>
      </c>
      <c r="L471" t="s">
        <v>1064</v>
      </c>
      <c r="M471" t="s">
        <v>1065</v>
      </c>
      <c r="N471" s="15" t="s">
        <v>6878</v>
      </c>
    </row>
    <row r="472" spans="1:14" x14ac:dyDescent="0.2">
      <c r="A472" t="s">
        <v>1547</v>
      </c>
      <c r="B472" t="s">
        <v>1062</v>
      </c>
      <c r="C472" s="9">
        <v>44976</v>
      </c>
      <c r="D472" t="s">
        <v>442</v>
      </c>
      <c r="E472" s="13">
        <v>2900000</v>
      </c>
      <c r="F472" s="13">
        <v>16650</v>
      </c>
      <c r="G472" s="9">
        <v>44998</v>
      </c>
      <c r="H472" t="s">
        <v>1111</v>
      </c>
      <c r="I472" t="s">
        <v>916</v>
      </c>
      <c r="J472" s="13">
        <v>96570</v>
      </c>
      <c r="K472">
        <v>1</v>
      </c>
      <c r="L472" t="s">
        <v>1064</v>
      </c>
      <c r="M472" t="s">
        <v>1065</v>
      </c>
      <c r="N472" s="15" t="s">
        <v>6878</v>
      </c>
    </row>
    <row r="473" spans="1:14" x14ac:dyDescent="0.2">
      <c r="A473" t="s">
        <v>1548</v>
      </c>
      <c r="B473" t="s">
        <v>1062</v>
      </c>
      <c r="C473" s="9">
        <v>44976</v>
      </c>
      <c r="D473" t="s">
        <v>442</v>
      </c>
      <c r="E473" s="13">
        <v>2900000</v>
      </c>
      <c r="F473" s="13">
        <v>16650</v>
      </c>
      <c r="G473" s="9">
        <v>44998</v>
      </c>
      <c r="H473" t="s">
        <v>1111</v>
      </c>
      <c r="I473" t="s">
        <v>916</v>
      </c>
      <c r="J473" s="13">
        <v>96570</v>
      </c>
      <c r="K473">
        <v>1</v>
      </c>
      <c r="L473" t="s">
        <v>1064</v>
      </c>
      <c r="M473" t="s">
        <v>1065</v>
      </c>
      <c r="N473" s="15" t="s">
        <v>6878</v>
      </c>
    </row>
    <row r="474" spans="1:14" x14ac:dyDescent="0.2">
      <c r="A474" t="s">
        <v>1549</v>
      </c>
      <c r="B474" t="s">
        <v>1062</v>
      </c>
      <c r="C474" s="9">
        <v>44976</v>
      </c>
      <c r="D474" t="s">
        <v>442</v>
      </c>
      <c r="E474" s="13">
        <v>2900000</v>
      </c>
      <c r="F474" s="13">
        <v>16650</v>
      </c>
      <c r="G474" s="9">
        <v>44998</v>
      </c>
      <c r="H474" t="s">
        <v>1111</v>
      </c>
      <c r="I474" t="s">
        <v>916</v>
      </c>
      <c r="J474" s="13">
        <v>96570</v>
      </c>
      <c r="K474">
        <v>1</v>
      </c>
      <c r="L474" t="s">
        <v>1064</v>
      </c>
      <c r="M474" t="s">
        <v>1065</v>
      </c>
      <c r="N474" s="15" t="s">
        <v>6878</v>
      </c>
    </row>
    <row r="475" spans="1:14" x14ac:dyDescent="0.2">
      <c r="A475" t="s">
        <v>1550</v>
      </c>
      <c r="B475" t="s">
        <v>1062</v>
      </c>
      <c r="C475" s="9">
        <v>44976</v>
      </c>
      <c r="D475" t="s">
        <v>442</v>
      </c>
      <c r="E475" s="13">
        <v>2900000</v>
      </c>
      <c r="F475" s="13">
        <v>16650</v>
      </c>
      <c r="G475" s="9">
        <v>44998</v>
      </c>
      <c r="H475" t="s">
        <v>1111</v>
      </c>
      <c r="I475" t="s">
        <v>916</v>
      </c>
      <c r="J475" s="13">
        <v>96570</v>
      </c>
      <c r="K475">
        <v>1</v>
      </c>
      <c r="L475" t="s">
        <v>1064</v>
      </c>
      <c r="M475" t="s">
        <v>1065</v>
      </c>
      <c r="N475" s="15" t="s">
        <v>6878</v>
      </c>
    </row>
    <row r="476" spans="1:14" x14ac:dyDescent="0.2">
      <c r="A476" t="s">
        <v>1551</v>
      </c>
      <c r="B476" t="s">
        <v>1062</v>
      </c>
      <c r="C476" s="9">
        <v>44976</v>
      </c>
      <c r="D476" t="s">
        <v>442</v>
      </c>
      <c r="E476" s="13">
        <v>2900000</v>
      </c>
      <c r="F476" s="13">
        <v>16650</v>
      </c>
      <c r="G476" s="9">
        <v>44998</v>
      </c>
      <c r="H476" t="s">
        <v>1063</v>
      </c>
      <c r="I476" t="s">
        <v>916</v>
      </c>
      <c r="J476" s="13">
        <v>96570</v>
      </c>
      <c r="K476">
        <v>1</v>
      </c>
      <c r="L476" t="s">
        <v>1064</v>
      </c>
      <c r="M476" t="s">
        <v>1065</v>
      </c>
      <c r="N476" s="15" t="s">
        <v>6878</v>
      </c>
    </row>
    <row r="477" spans="1:14" x14ac:dyDescent="0.2">
      <c r="A477" t="s">
        <v>1552</v>
      </c>
      <c r="B477" t="s">
        <v>1062</v>
      </c>
      <c r="C477" s="9">
        <v>44976</v>
      </c>
      <c r="D477" t="s">
        <v>442</v>
      </c>
      <c r="E477" s="13">
        <v>2900000</v>
      </c>
      <c r="F477" s="13">
        <v>16650</v>
      </c>
      <c r="G477" s="9">
        <v>44998</v>
      </c>
      <c r="H477" t="s">
        <v>1063</v>
      </c>
      <c r="I477" t="s">
        <v>916</v>
      </c>
      <c r="J477" s="13">
        <v>96570</v>
      </c>
      <c r="K477">
        <v>1</v>
      </c>
      <c r="L477" t="s">
        <v>1064</v>
      </c>
      <c r="M477" t="s">
        <v>1065</v>
      </c>
      <c r="N477" s="15" t="s">
        <v>6878</v>
      </c>
    </row>
    <row r="478" spans="1:14" x14ac:dyDescent="0.2">
      <c r="A478" t="s">
        <v>1553</v>
      </c>
      <c r="B478" t="s">
        <v>1062</v>
      </c>
      <c r="C478" s="9">
        <v>44976</v>
      </c>
      <c r="D478" t="s">
        <v>442</v>
      </c>
      <c r="E478" s="13">
        <v>2900000</v>
      </c>
      <c r="F478" s="13">
        <v>16650</v>
      </c>
      <c r="G478" s="9">
        <v>44998</v>
      </c>
      <c r="H478" t="s">
        <v>1063</v>
      </c>
      <c r="I478" t="s">
        <v>916</v>
      </c>
      <c r="J478" s="13">
        <v>96570</v>
      </c>
      <c r="K478">
        <v>1</v>
      </c>
      <c r="L478" t="s">
        <v>1064</v>
      </c>
      <c r="M478" t="s">
        <v>1065</v>
      </c>
      <c r="N478" s="15" t="s">
        <v>6878</v>
      </c>
    </row>
    <row r="479" spans="1:14" x14ac:dyDescent="0.2">
      <c r="A479" t="s">
        <v>1554</v>
      </c>
      <c r="B479" t="s">
        <v>1062</v>
      </c>
      <c r="C479" s="9">
        <v>44977</v>
      </c>
      <c r="D479" t="s">
        <v>442</v>
      </c>
      <c r="E479" s="13">
        <v>2900000</v>
      </c>
      <c r="F479" s="13">
        <v>16650</v>
      </c>
      <c r="G479" s="9">
        <v>44998</v>
      </c>
      <c r="H479" t="s">
        <v>1111</v>
      </c>
      <c r="I479" t="s">
        <v>916</v>
      </c>
      <c r="J479" s="13">
        <v>96570</v>
      </c>
      <c r="K479">
        <v>1</v>
      </c>
      <c r="L479" t="s">
        <v>1064</v>
      </c>
      <c r="M479" t="s">
        <v>1065</v>
      </c>
      <c r="N479" s="15" t="s">
        <v>6878</v>
      </c>
    </row>
    <row r="480" spans="1:14" x14ac:dyDescent="0.2">
      <c r="A480" t="s">
        <v>1555</v>
      </c>
      <c r="B480" t="s">
        <v>1062</v>
      </c>
      <c r="C480" s="9">
        <v>44977</v>
      </c>
      <c r="D480" t="s">
        <v>442</v>
      </c>
      <c r="E480" s="13">
        <v>2900000</v>
      </c>
      <c r="F480" s="13">
        <v>16650</v>
      </c>
      <c r="G480" s="9">
        <v>44998</v>
      </c>
      <c r="H480" t="s">
        <v>1111</v>
      </c>
      <c r="I480" t="s">
        <v>916</v>
      </c>
      <c r="J480" s="13">
        <v>96570</v>
      </c>
      <c r="K480">
        <v>1</v>
      </c>
      <c r="L480" t="s">
        <v>1064</v>
      </c>
      <c r="M480" t="s">
        <v>1065</v>
      </c>
      <c r="N480" s="15" t="s">
        <v>6878</v>
      </c>
    </row>
    <row r="481" spans="1:14" x14ac:dyDescent="0.2">
      <c r="A481" t="s">
        <v>1556</v>
      </c>
      <c r="B481" t="s">
        <v>1062</v>
      </c>
      <c r="C481" s="9">
        <v>44977</v>
      </c>
      <c r="D481" t="s">
        <v>442</v>
      </c>
      <c r="E481" s="13">
        <v>2900000</v>
      </c>
      <c r="F481" s="13">
        <v>16650</v>
      </c>
      <c r="G481" s="9">
        <v>44998</v>
      </c>
      <c r="H481" t="s">
        <v>1111</v>
      </c>
      <c r="I481" t="s">
        <v>916</v>
      </c>
      <c r="J481" s="13">
        <v>96570</v>
      </c>
      <c r="K481">
        <v>1</v>
      </c>
      <c r="L481" t="s">
        <v>1064</v>
      </c>
      <c r="M481" t="s">
        <v>1065</v>
      </c>
      <c r="N481" s="15" t="s">
        <v>6878</v>
      </c>
    </row>
    <row r="482" spans="1:14" x14ac:dyDescent="0.2">
      <c r="A482" t="s">
        <v>1557</v>
      </c>
      <c r="B482" t="s">
        <v>1062</v>
      </c>
      <c r="C482" s="9">
        <v>44977</v>
      </c>
      <c r="D482" t="s">
        <v>442</v>
      </c>
      <c r="E482" s="13">
        <v>2900000</v>
      </c>
      <c r="F482" s="13">
        <v>16650</v>
      </c>
      <c r="G482" s="9">
        <v>44998</v>
      </c>
      <c r="H482" t="s">
        <v>1111</v>
      </c>
      <c r="I482" t="s">
        <v>916</v>
      </c>
      <c r="J482" s="13">
        <v>96570</v>
      </c>
      <c r="K482">
        <v>1</v>
      </c>
      <c r="L482" t="s">
        <v>1064</v>
      </c>
      <c r="M482" t="s">
        <v>1065</v>
      </c>
      <c r="N482" s="15" t="s">
        <v>6878</v>
      </c>
    </row>
    <row r="483" spans="1:14" x14ac:dyDescent="0.2">
      <c r="A483" t="s">
        <v>1558</v>
      </c>
      <c r="B483" t="s">
        <v>1062</v>
      </c>
      <c r="C483" s="9">
        <v>44977</v>
      </c>
      <c r="D483" t="s">
        <v>442</v>
      </c>
      <c r="E483" s="13">
        <v>2900000</v>
      </c>
      <c r="F483" s="13">
        <v>16650</v>
      </c>
      <c r="G483" s="9">
        <v>44998</v>
      </c>
      <c r="H483" t="s">
        <v>1111</v>
      </c>
      <c r="I483" t="s">
        <v>916</v>
      </c>
      <c r="J483" s="13">
        <v>96570</v>
      </c>
      <c r="K483">
        <v>1</v>
      </c>
      <c r="L483" t="s">
        <v>1064</v>
      </c>
      <c r="M483" t="s">
        <v>1065</v>
      </c>
      <c r="N483" s="15" t="s">
        <v>6878</v>
      </c>
    </row>
    <row r="484" spans="1:14" x14ac:dyDescent="0.2">
      <c r="A484" t="s">
        <v>1559</v>
      </c>
      <c r="B484" t="s">
        <v>1062</v>
      </c>
      <c r="C484" s="9">
        <v>44977</v>
      </c>
      <c r="D484" t="s">
        <v>442</v>
      </c>
      <c r="E484" s="13">
        <v>2900000</v>
      </c>
      <c r="F484" s="13">
        <v>16650</v>
      </c>
      <c r="G484" s="9">
        <v>44998</v>
      </c>
      <c r="H484" t="s">
        <v>1111</v>
      </c>
      <c r="I484" t="s">
        <v>916</v>
      </c>
      <c r="J484" s="13">
        <v>96570</v>
      </c>
      <c r="K484">
        <v>1</v>
      </c>
      <c r="L484" t="s">
        <v>1064</v>
      </c>
      <c r="M484" t="s">
        <v>1065</v>
      </c>
      <c r="N484" s="15" t="s">
        <v>6878</v>
      </c>
    </row>
    <row r="485" spans="1:14" x14ac:dyDescent="0.2">
      <c r="A485" t="s">
        <v>1560</v>
      </c>
      <c r="B485" t="s">
        <v>1062</v>
      </c>
      <c r="C485" s="9">
        <v>44977</v>
      </c>
      <c r="D485" t="s">
        <v>442</v>
      </c>
      <c r="E485" s="13">
        <v>2900000</v>
      </c>
      <c r="F485" s="13">
        <v>16650</v>
      </c>
      <c r="G485" s="9">
        <v>44998</v>
      </c>
      <c r="H485" t="s">
        <v>1111</v>
      </c>
      <c r="I485" t="s">
        <v>916</v>
      </c>
      <c r="J485" s="13">
        <v>96570</v>
      </c>
      <c r="K485">
        <v>1</v>
      </c>
      <c r="L485" t="s">
        <v>1064</v>
      </c>
      <c r="M485" t="s">
        <v>1065</v>
      </c>
      <c r="N485" s="15" t="s">
        <v>6878</v>
      </c>
    </row>
    <row r="486" spans="1:14" x14ac:dyDescent="0.2">
      <c r="A486" t="s">
        <v>1561</v>
      </c>
      <c r="B486" t="s">
        <v>1062</v>
      </c>
      <c r="C486" s="9">
        <v>44977</v>
      </c>
      <c r="D486" t="s">
        <v>442</v>
      </c>
      <c r="E486" s="13">
        <v>2900000</v>
      </c>
      <c r="F486" s="13">
        <v>16650</v>
      </c>
      <c r="G486" s="9">
        <v>44998</v>
      </c>
      <c r="H486" t="s">
        <v>1111</v>
      </c>
      <c r="I486" t="s">
        <v>916</v>
      </c>
      <c r="J486" s="13">
        <v>96570</v>
      </c>
      <c r="K486">
        <v>1</v>
      </c>
      <c r="L486" t="s">
        <v>1064</v>
      </c>
      <c r="M486" t="s">
        <v>1065</v>
      </c>
      <c r="N486" s="15" t="s">
        <v>6878</v>
      </c>
    </row>
    <row r="487" spans="1:14" x14ac:dyDescent="0.2">
      <c r="A487" t="s">
        <v>1562</v>
      </c>
      <c r="B487" t="s">
        <v>1062</v>
      </c>
      <c r="C487" s="9">
        <v>44977</v>
      </c>
      <c r="D487" t="s">
        <v>442</v>
      </c>
      <c r="E487" s="13">
        <v>2900000</v>
      </c>
      <c r="F487" s="13">
        <v>16650</v>
      </c>
      <c r="G487" s="9">
        <v>45005</v>
      </c>
      <c r="H487" t="s">
        <v>1111</v>
      </c>
      <c r="I487" t="s">
        <v>916</v>
      </c>
      <c r="J487" s="13">
        <v>96570</v>
      </c>
      <c r="K487">
        <v>1</v>
      </c>
      <c r="L487" t="s">
        <v>1064</v>
      </c>
      <c r="M487" t="s">
        <v>1065</v>
      </c>
      <c r="N487" s="15" t="s">
        <v>6878</v>
      </c>
    </row>
    <row r="488" spans="1:14" x14ac:dyDescent="0.2">
      <c r="A488" t="s">
        <v>1563</v>
      </c>
      <c r="B488" t="s">
        <v>1062</v>
      </c>
      <c r="C488" s="9">
        <v>44977</v>
      </c>
      <c r="D488" t="s">
        <v>442</v>
      </c>
      <c r="E488" s="13">
        <v>2900000</v>
      </c>
      <c r="F488" s="13">
        <v>16650</v>
      </c>
      <c r="G488" s="9">
        <v>44998</v>
      </c>
      <c r="H488" t="s">
        <v>1111</v>
      </c>
      <c r="I488" t="s">
        <v>916</v>
      </c>
      <c r="J488" s="13">
        <v>96570</v>
      </c>
      <c r="K488">
        <v>1</v>
      </c>
      <c r="L488" t="s">
        <v>1064</v>
      </c>
      <c r="M488" t="s">
        <v>1065</v>
      </c>
      <c r="N488" s="15" t="s">
        <v>6878</v>
      </c>
    </row>
    <row r="489" spans="1:14" x14ac:dyDescent="0.2">
      <c r="A489" t="s">
        <v>1564</v>
      </c>
      <c r="B489" t="s">
        <v>1062</v>
      </c>
      <c r="C489" s="9">
        <v>44977</v>
      </c>
      <c r="D489" t="s">
        <v>442</v>
      </c>
      <c r="E489" s="13">
        <v>2900000</v>
      </c>
      <c r="F489" s="13">
        <v>16650</v>
      </c>
      <c r="G489" s="9">
        <v>44998</v>
      </c>
      <c r="H489" t="s">
        <v>1111</v>
      </c>
      <c r="I489" t="s">
        <v>916</v>
      </c>
      <c r="J489" s="13">
        <v>96570</v>
      </c>
      <c r="K489">
        <v>1</v>
      </c>
      <c r="L489" t="s">
        <v>1064</v>
      </c>
      <c r="M489" t="s">
        <v>1065</v>
      </c>
      <c r="N489" s="15" t="s">
        <v>6878</v>
      </c>
    </row>
    <row r="490" spans="1:14" x14ac:dyDescent="0.2">
      <c r="A490" t="s">
        <v>1565</v>
      </c>
      <c r="B490" t="s">
        <v>1062</v>
      </c>
      <c r="C490" s="9">
        <v>44977</v>
      </c>
      <c r="D490" t="s">
        <v>442</v>
      </c>
      <c r="E490" s="13">
        <v>2900000</v>
      </c>
      <c r="F490" s="13">
        <v>16650</v>
      </c>
      <c r="G490" s="9">
        <v>44998</v>
      </c>
      <c r="H490" t="s">
        <v>1111</v>
      </c>
      <c r="I490" t="s">
        <v>916</v>
      </c>
      <c r="J490" s="13">
        <v>96570</v>
      </c>
      <c r="K490">
        <v>1</v>
      </c>
      <c r="L490" t="s">
        <v>1064</v>
      </c>
      <c r="M490" t="s">
        <v>1065</v>
      </c>
      <c r="N490" s="15" t="s">
        <v>6878</v>
      </c>
    </row>
    <row r="491" spans="1:14" x14ac:dyDescent="0.2">
      <c r="A491" t="s">
        <v>1566</v>
      </c>
      <c r="B491" t="s">
        <v>1062</v>
      </c>
      <c r="C491" s="9">
        <v>44977</v>
      </c>
      <c r="D491" t="s">
        <v>442</v>
      </c>
      <c r="E491" s="13">
        <v>1293875</v>
      </c>
      <c r="F491" s="13">
        <v>16650</v>
      </c>
      <c r="G491" s="9">
        <v>45005</v>
      </c>
      <c r="H491" t="s">
        <v>1111</v>
      </c>
      <c r="I491" t="s">
        <v>916</v>
      </c>
      <c r="J491" s="13">
        <v>43085</v>
      </c>
      <c r="K491">
        <v>1</v>
      </c>
      <c r="L491" t="s">
        <v>1064</v>
      </c>
      <c r="M491" t="s">
        <v>1065</v>
      </c>
      <c r="N491" s="15" t="s">
        <v>6878</v>
      </c>
    </row>
    <row r="492" spans="1:14" x14ac:dyDescent="0.2">
      <c r="A492" t="s">
        <v>1567</v>
      </c>
      <c r="B492" t="s">
        <v>1062</v>
      </c>
      <c r="C492" s="9">
        <v>44977</v>
      </c>
      <c r="D492" t="s">
        <v>442</v>
      </c>
      <c r="E492" s="13">
        <v>1125000</v>
      </c>
      <c r="F492" s="13">
        <v>16650</v>
      </c>
      <c r="G492" s="9">
        <v>44998</v>
      </c>
      <c r="H492" t="s">
        <v>1111</v>
      </c>
      <c r="I492" t="s">
        <v>916</v>
      </c>
      <c r="J492" s="13">
        <v>37462</v>
      </c>
      <c r="K492">
        <v>1</v>
      </c>
      <c r="L492" t="s">
        <v>1064</v>
      </c>
      <c r="M492" t="s">
        <v>1065</v>
      </c>
      <c r="N492" s="15" t="s">
        <v>6878</v>
      </c>
    </row>
    <row r="493" spans="1:14" x14ac:dyDescent="0.2">
      <c r="A493" t="s">
        <v>1568</v>
      </c>
      <c r="B493" t="s">
        <v>1062</v>
      </c>
      <c r="C493" s="9">
        <v>44978</v>
      </c>
      <c r="D493" t="s">
        <v>442</v>
      </c>
      <c r="E493" s="13">
        <v>1125000</v>
      </c>
      <c r="F493" s="13">
        <v>16650</v>
      </c>
      <c r="G493" s="9">
        <v>44998</v>
      </c>
      <c r="H493" t="s">
        <v>1111</v>
      </c>
      <c r="I493" t="s">
        <v>916</v>
      </c>
      <c r="J493" s="13">
        <v>37462</v>
      </c>
      <c r="K493">
        <v>1</v>
      </c>
      <c r="L493" t="s">
        <v>1064</v>
      </c>
      <c r="M493" t="s">
        <v>1065</v>
      </c>
      <c r="N493" s="15" t="s">
        <v>6878</v>
      </c>
    </row>
    <row r="494" spans="1:14" x14ac:dyDescent="0.2">
      <c r="A494" t="s">
        <v>1569</v>
      </c>
      <c r="B494" t="s">
        <v>1062</v>
      </c>
      <c r="C494" s="9">
        <v>44978</v>
      </c>
      <c r="D494" t="s">
        <v>442</v>
      </c>
      <c r="E494" s="13">
        <v>1125000</v>
      </c>
      <c r="F494" s="13">
        <v>16650</v>
      </c>
      <c r="G494" s="9">
        <v>45005</v>
      </c>
      <c r="H494" t="s">
        <v>1111</v>
      </c>
      <c r="I494" t="s">
        <v>916</v>
      </c>
      <c r="J494" s="13">
        <v>37462</v>
      </c>
      <c r="K494">
        <v>1</v>
      </c>
      <c r="L494" t="s">
        <v>1064</v>
      </c>
      <c r="M494" t="s">
        <v>1065</v>
      </c>
      <c r="N494" s="15" t="s">
        <v>6878</v>
      </c>
    </row>
    <row r="495" spans="1:14" x14ac:dyDescent="0.2">
      <c r="A495" t="s">
        <v>1570</v>
      </c>
      <c r="B495" t="s">
        <v>1062</v>
      </c>
      <c r="C495" s="9">
        <v>44978</v>
      </c>
      <c r="D495" t="s">
        <v>442</v>
      </c>
      <c r="E495" s="13">
        <v>2900000</v>
      </c>
      <c r="F495" s="13">
        <v>16650</v>
      </c>
      <c r="G495" s="9">
        <v>44998</v>
      </c>
      <c r="H495" t="s">
        <v>1111</v>
      </c>
      <c r="I495" t="s">
        <v>916</v>
      </c>
      <c r="J495" s="13">
        <v>96570</v>
      </c>
      <c r="K495">
        <v>1</v>
      </c>
      <c r="L495" t="s">
        <v>1064</v>
      </c>
      <c r="M495" t="s">
        <v>1065</v>
      </c>
      <c r="N495" s="15" t="s">
        <v>6878</v>
      </c>
    </row>
    <row r="496" spans="1:14" x14ac:dyDescent="0.2">
      <c r="A496" t="s">
        <v>1571</v>
      </c>
      <c r="B496" t="s">
        <v>1062</v>
      </c>
      <c r="C496" s="9">
        <v>44978</v>
      </c>
      <c r="D496" t="s">
        <v>442</v>
      </c>
      <c r="E496" s="13">
        <v>2900000</v>
      </c>
      <c r="F496" s="13">
        <v>16650</v>
      </c>
      <c r="G496" s="9">
        <v>44998</v>
      </c>
      <c r="H496" t="s">
        <v>1111</v>
      </c>
      <c r="I496" t="s">
        <v>916</v>
      </c>
      <c r="J496" s="13">
        <v>96570</v>
      </c>
      <c r="K496">
        <v>1</v>
      </c>
      <c r="L496" t="s">
        <v>1064</v>
      </c>
      <c r="M496" t="s">
        <v>1065</v>
      </c>
      <c r="N496" s="15" t="s">
        <v>6878</v>
      </c>
    </row>
    <row r="497" spans="1:14" x14ac:dyDescent="0.2">
      <c r="A497" t="s">
        <v>1572</v>
      </c>
      <c r="B497" t="s">
        <v>1062</v>
      </c>
      <c r="C497" s="9">
        <v>44978</v>
      </c>
      <c r="D497" t="s">
        <v>442</v>
      </c>
      <c r="E497" s="13">
        <v>2900000</v>
      </c>
      <c r="F497" s="13">
        <v>16650</v>
      </c>
      <c r="G497" s="9">
        <v>44998</v>
      </c>
      <c r="H497" t="s">
        <v>1111</v>
      </c>
      <c r="I497" t="s">
        <v>916</v>
      </c>
      <c r="J497" s="13">
        <v>96570</v>
      </c>
      <c r="K497">
        <v>1</v>
      </c>
      <c r="L497" t="s">
        <v>1064</v>
      </c>
      <c r="M497" t="s">
        <v>1065</v>
      </c>
      <c r="N497" s="15" t="s">
        <v>6878</v>
      </c>
    </row>
    <row r="498" spans="1:14" x14ac:dyDescent="0.2">
      <c r="A498" t="s">
        <v>1573</v>
      </c>
      <c r="B498" t="s">
        <v>1062</v>
      </c>
      <c r="C498" s="9">
        <v>44978</v>
      </c>
      <c r="D498" t="s">
        <v>442</v>
      </c>
      <c r="E498" s="13">
        <v>2900000</v>
      </c>
      <c r="F498" s="13">
        <v>16650</v>
      </c>
      <c r="G498" s="9">
        <v>44998</v>
      </c>
      <c r="H498" t="s">
        <v>1111</v>
      </c>
      <c r="I498" t="s">
        <v>916</v>
      </c>
      <c r="J498" s="13">
        <v>96570</v>
      </c>
      <c r="K498">
        <v>1</v>
      </c>
      <c r="L498" t="s">
        <v>1064</v>
      </c>
      <c r="M498" t="s">
        <v>1065</v>
      </c>
      <c r="N498" s="15" t="s">
        <v>6878</v>
      </c>
    </row>
    <row r="499" spans="1:14" x14ac:dyDescent="0.2">
      <c r="A499" t="s">
        <v>1574</v>
      </c>
      <c r="B499" t="s">
        <v>1062</v>
      </c>
      <c r="C499" s="9">
        <v>44978</v>
      </c>
      <c r="D499" t="s">
        <v>442</v>
      </c>
      <c r="E499" s="13">
        <v>2900000</v>
      </c>
      <c r="F499" s="13">
        <v>16650</v>
      </c>
      <c r="G499" s="9">
        <v>45006</v>
      </c>
      <c r="H499" t="s">
        <v>1111</v>
      </c>
      <c r="I499" t="s">
        <v>916</v>
      </c>
      <c r="J499" s="13">
        <v>96570</v>
      </c>
      <c r="K499">
        <v>1</v>
      </c>
      <c r="L499" t="s">
        <v>1064</v>
      </c>
      <c r="M499" t="s">
        <v>1065</v>
      </c>
      <c r="N499" s="15" t="s">
        <v>6878</v>
      </c>
    </row>
    <row r="500" spans="1:14" x14ac:dyDescent="0.2">
      <c r="A500" t="s">
        <v>1575</v>
      </c>
      <c r="B500" t="s">
        <v>1062</v>
      </c>
      <c r="C500" s="9">
        <v>44978</v>
      </c>
      <c r="D500" t="s">
        <v>442</v>
      </c>
      <c r="E500" s="13">
        <v>2900000</v>
      </c>
      <c r="F500" s="13">
        <v>16650</v>
      </c>
      <c r="G500" s="9">
        <v>44998</v>
      </c>
      <c r="H500" t="s">
        <v>1111</v>
      </c>
      <c r="I500" t="s">
        <v>916</v>
      </c>
      <c r="J500" s="13">
        <v>96570</v>
      </c>
      <c r="K500">
        <v>1</v>
      </c>
      <c r="L500" t="s">
        <v>1064</v>
      </c>
      <c r="M500" t="s">
        <v>1065</v>
      </c>
      <c r="N500" s="15" t="s">
        <v>6878</v>
      </c>
    </row>
    <row r="501" spans="1:14" x14ac:dyDescent="0.2">
      <c r="A501" t="s">
        <v>1576</v>
      </c>
      <c r="B501" t="s">
        <v>1062</v>
      </c>
      <c r="C501" s="9">
        <v>44978</v>
      </c>
      <c r="D501" t="s">
        <v>442</v>
      </c>
      <c r="E501" s="13">
        <v>2625000</v>
      </c>
      <c r="F501" s="13">
        <v>16650</v>
      </c>
      <c r="G501" s="9">
        <v>44998</v>
      </c>
      <c r="H501" t="s">
        <v>1111</v>
      </c>
      <c r="I501" t="s">
        <v>916</v>
      </c>
      <c r="J501" s="13">
        <v>87412</v>
      </c>
      <c r="K501">
        <v>1</v>
      </c>
      <c r="L501" t="s">
        <v>1064</v>
      </c>
      <c r="M501" t="s">
        <v>1065</v>
      </c>
      <c r="N501" s="15" t="s">
        <v>6878</v>
      </c>
    </row>
    <row r="502" spans="1:14" x14ac:dyDescent="0.2">
      <c r="A502" t="s">
        <v>1577</v>
      </c>
      <c r="B502" t="s">
        <v>1069</v>
      </c>
      <c r="C502" s="9">
        <v>44978</v>
      </c>
      <c r="D502" t="s">
        <v>442</v>
      </c>
      <c r="E502" s="13">
        <v>1225000</v>
      </c>
      <c r="F502" s="13">
        <v>16650</v>
      </c>
      <c r="G502" s="9">
        <v>45005</v>
      </c>
      <c r="H502" t="s">
        <v>1111</v>
      </c>
      <c r="I502" t="s">
        <v>916</v>
      </c>
      <c r="J502" s="13">
        <v>40792</v>
      </c>
      <c r="K502">
        <v>1</v>
      </c>
      <c r="L502" t="s">
        <v>1064</v>
      </c>
      <c r="M502" t="s">
        <v>1065</v>
      </c>
      <c r="N502" s="15" t="s">
        <v>6878</v>
      </c>
    </row>
    <row r="503" spans="1:14" x14ac:dyDescent="0.2">
      <c r="A503" t="s">
        <v>1578</v>
      </c>
      <c r="B503" t="s">
        <v>1069</v>
      </c>
      <c r="C503" s="9">
        <v>44978</v>
      </c>
      <c r="D503" t="s">
        <v>442</v>
      </c>
      <c r="E503" s="13">
        <v>1175000</v>
      </c>
      <c r="F503" s="13">
        <v>16650</v>
      </c>
      <c r="G503" s="9">
        <v>45005</v>
      </c>
      <c r="H503" t="s">
        <v>1111</v>
      </c>
      <c r="I503" t="s">
        <v>916</v>
      </c>
      <c r="J503" s="13">
        <v>39127</v>
      </c>
      <c r="K503">
        <v>1</v>
      </c>
      <c r="L503" t="s">
        <v>1064</v>
      </c>
      <c r="M503" t="s">
        <v>1065</v>
      </c>
      <c r="N503" s="15" t="s">
        <v>6878</v>
      </c>
    </row>
    <row r="504" spans="1:14" x14ac:dyDescent="0.2">
      <c r="A504" t="s">
        <v>1579</v>
      </c>
      <c r="B504" t="s">
        <v>1062</v>
      </c>
      <c r="C504" s="9">
        <v>44978</v>
      </c>
      <c r="D504" t="s">
        <v>442</v>
      </c>
      <c r="E504" s="13">
        <v>2200000</v>
      </c>
      <c r="F504" s="13">
        <v>16650</v>
      </c>
      <c r="G504" s="9">
        <v>45005</v>
      </c>
      <c r="H504" t="s">
        <v>1111</v>
      </c>
      <c r="I504" t="s">
        <v>916</v>
      </c>
      <c r="J504" s="13">
        <v>73260</v>
      </c>
      <c r="K504">
        <v>1</v>
      </c>
      <c r="L504" t="s">
        <v>1064</v>
      </c>
      <c r="M504" t="s">
        <v>1065</v>
      </c>
      <c r="N504" s="15" t="s">
        <v>6878</v>
      </c>
    </row>
    <row r="505" spans="1:14" x14ac:dyDescent="0.2">
      <c r="A505" t="s">
        <v>1580</v>
      </c>
      <c r="B505" t="s">
        <v>1062</v>
      </c>
      <c r="C505" s="9">
        <v>44978</v>
      </c>
      <c r="D505" t="s">
        <v>442</v>
      </c>
      <c r="E505" s="13">
        <v>1125000</v>
      </c>
      <c r="F505" s="13">
        <v>16650</v>
      </c>
      <c r="G505" s="9">
        <v>45005</v>
      </c>
      <c r="H505" t="s">
        <v>1111</v>
      </c>
      <c r="I505" t="s">
        <v>916</v>
      </c>
      <c r="J505" s="13">
        <v>37462</v>
      </c>
      <c r="K505">
        <v>1</v>
      </c>
      <c r="L505" t="s">
        <v>1064</v>
      </c>
      <c r="M505" t="s">
        <v>1065</v>
      </c>
      <c r="N505" s="15" t="s">
        <v>6878</v>
      </c>
    </row>
    <row r="506" spans="1:14" x14ac:dyDescent="0.2">
      <c r="A506" t="s">
        <v>1581</v>
      </c>
      <c r="B506" t="s">
        <v>1062</v>
      </c>
      <c r="C506" s="9">
        <v>44979</v>
      </c>
      <c r="D506" t="s">
        <v>442</v>
      </c>
      <c r="E506" s="13">
        <v>2900000</v>
      </c>
      <c r="F506" s="13">
        <v>16650</v>
      </c>
      <c r="G506" s="9">
        <v>45005</v>
      </c>
      <c r="H506" t="s">
        <v>1111</v>
      </c>
      <c r="I506" t="s">
        <v>916</v>
      </c>
      <c r="J506" s="13">
        <v>96570</v>
      </c>
      <c r="K506">
        <v>1</v>
      </c>
      <c r="L506" t="s">
        <v>1064</v>
      </c>
      <c r="M506" t="s">
        <v>1065</v>
      </c>
      <c r="N506" s="15" t="s">
        <v>6878</v>
      </c>
    </row>
    <row r="507" spans="1:14" x14ac:dyDescent="0.2">
      <c r="A507" t="s">
        <v>1582</v>
      </c>
      <c r="B507" t="s">
        <v>1062</v>
      </c>
      <c r="C507" s="9">
        <v>44979</v>
      </c>
      <c r="D507" t="s">
        <v>442</v>
      </c>
      <c r="E507" s="13">
        <v>2900000</v>
      </c>
      <c r="F507" s="13">
        <v>16650</v>
      </c>
      <c r="G507" s="9">
        <v>45005</v>
      </c>
      <c r="H507" t="s">
        <v>1111</v>
      </c>
      <c r="I507" t="s">
        <v>916</v>
      </c>
      <c r="J507" s="13">
        <v>96570</v>
      </c>
      <c r="K507">
        <v>1</v>
      </c>
      <c r="L507" t="s">
        <v>1064</v>
      </c>
      <c r="M507" t="s">
        <v>1065</v>
      </c>
      <c r="N507" s="15" t="s">
        <v>6878</v>
      </c>
    </row>
    <row r="508" spans="1:14" x14ac:dyDescent="0.2">
      <c r="A508" t="s">
        <v>1583</v>
      </c>
      <c r="B508" t="s">
        <v>1062</v>
      </c>
      <c r="C508" s="9">
        <v>44979</v>
      </c>
      <c r="D508" t="s">
        <v>442</v>
      </c>
      <c r="E508" s="13">
        <v>2900000</v>
      </c>
      <c r="F508" s="13">
        <v>16650</v>
      </c>
      <c r="G508" s="9">
        <v>45005</v>
      </c>
      <c r="H508" t="s">
        <v>1111</v>
      </c>
      <c r="I508" t="s">
        <v>916</v>
      </c>
      <c r="J508" s="13">
        <v>96570</v>
      </c>
      <c r="K508">
        <v>1</v>
      </c>
      <c r="L508" t="s">
        <v>1064</v>
      </c>
      <c r="M508" t="s">
        <v>1065</v>
      </c>
      <c r="N508" s="15" t="s">
        <v>6878</v>
      </c>
    </row>
    <row r="509" spans="1:14" x14ac:dyDescent="0.2">
      <c r="A509" t="s">
        <v>1584</v>
      </c>
      <c r="B509" t="s">
        <v>1062</v>
      </c>
      <c r="C509" s="9">
        <v>44979</v>
      </c>
      <c r="D509" t="s">
        <v>442</v>
      </c>
      <c r="E509" s="13">
        <v>2900000</v>
      </c>
      <c r="F509" s="13">
        <v>16650</v>
      </c>
      <c r="G509" s="9">
        <v>45005</v>
      </c>
      <c r="H509" t="s">
        <v>1111</v>
      </c>
      <c r="I509" t="s">
        <v>916</v>
      </c>
      <c r="J509" s="13">
        <v>96570</v>
      </c>
      <c r="K509">
        <v>1</v>
      </c>
      <c r="L509" t="s">
        <v>1064</v>
      </c>
      <c r="M509" t="s">
        <v>1065</v>
      </c>
      <c r="N509" s="15" t="s">
        <v>6878</v>
      </c>
    </row>
    <row r="510" spans="1:14" x14ac:dyDescent="0.2">
      <c r="A510" t="s">
        <v>1585</v>
      </c>
      <c r="B510" t="s">
        <v>1062</v>
      </c>
      <c r="C510" s="9">
        <v>44979</v>
      </c>
      <c r="D510" t="s">
        <v>442</v>
      </c>
      <c r="E510" s="13">
        <v>2900000</v>
      </c>
      <c r="F510" s="13">
        <v>16650</v>
      </c>
      <c r="G510" s="9">
        <v>45005</v>
      </c>
      <c r="H510" t="s">
        <v>1111</v>
      </c>
      <c r="I510" t="s">
        <v>916</v>
      </c>
      <c r="J510" s="13">
        <v>96570</v>
      </c>
      <c r="K510">
        <v>1</v>
      </c>
      <c r="L510" t="s">
        <v>1064</v>
      </c>
      <c r="M510" t="s">
        <v>1065</v>
      </c>
      <c r="N510" s="15" t="s">
        <v>6878</v>
      </c>
    </row>
    <row r="511" spans="1:14" x14ac:dyDescent="0.2">
      <c r="A511" t="s">
        <v>1586</v>
      </c>
      <c r="B511" t="s">
        <v>1062</v>
      </c>
      <c r="C511" s="9">
        <v>44979</v>
      </c>
      <c r="D511" t="s">
        <v>442</v>
      </c>
      <c r="E511" s="13">
        <v>2900000</v>
      </c>
      <c r="F511" s="13">
        <v>16650</v>
      </c>
      <c r="G511" s="9">
        <v>45005</v>
      </c>
      <c r="H511" t="s">
        <v>1111</v>
      </c>
      <c r="I511" t="s">
        <v>916</v>
      </c>
      <c r="J511" s="13">
        <v>96570</v>
      </c>
      <c r="K511">
        <v>1</v>
      </c>
      <c r="L511" t="s">
        <v>1064</v>
      </c>
      <c r="M511" t="s">
        <v>1065</v>
      </c>
      <c r="N511" s="15" t="s">
        <v>6878</v>
      </c>
    </row>
    <row r="512" spans="1:14" x14ac:dyDescent="0.2">
      <c r="A512" t="s">
        <v>1587</v>
      </c>
      <c r="B512" t="s">
        <v>1062</v>
      </c>
      <c r="C512" s="9">
        <v>44979</v>
      </c>
      <c r="D512" t="s">
        <v>442</v>
      </c>
      <c r="E512" s="13">
        <v>2900000</v>
      </c>
      <c r="F512" s="13">
        <v>16650</v>
      </c>
      <c r="G512" s="9">
        <v>45005</v>
      </c>
      <c r="H512" t="s">
        <v>1111</v>
      </c>
      <c r="I512" t="s">
        <v>916</v>
      </c>
      <c r="J512" s="13">
        <v>96570</v>
      </c>
      <c r="K512">
        <v>1</v>
      </c>
      <c r="L512" t="s">
        <v>1064</v>
      </c>
      <c r="M512" t="s">
        <v>1065</v>
      </c>
      <c r="N512" s="15" t="s">
        <v>6878</v>
      </c>
    </row>
    <row r="513" spans="1:14" x14ac:dyDescent="0.2">
      <c r="A513" t="s">
        <v>1588</v>
      </c>
      <c r="B513" t="s">
        <v>1062</v>
      </c>
      <c r="C513" s="9">
        <v>44979</v>
      </c>
      <c r="D513" t="s">
        <v>442</v>
      </c>
      <c r="E513" s="13">
        <v>2900000</v>
      </c>
      <c r="F513" s="13">
        <v>16650</v>
      </c>
      <c r="G513" s="9">
        <v>45005</v>
      </c>
      <c r="H513" t="s">
        <v>1111</v>
      </c>
      <c r="I513" t="s">
        <v>916</v>
      </c>
      <c r="J513" s="13">
        <v>96570</v>
      </c>
      <c r="K513">
        <v>1</v>
      </c>
      <c r="L513" t="s">
        <v>1064</v>
      </c>
      <c r="M513" t="s">
        <v>1065</v>
      </c>
      <c r="N513" s="15" t="s">
        <v>6878</v>
      </c>
    </row>
    <row r="514" spans="1:14" x14ac:dyDescent="0.2">
      <c r="A514" t="s">
        <v>1589</v>
      </c>
      <c r="B514" t="s">
        <v>1062</v>
      </c>
      <c r="C514" s="9">
        <v>44979</v>
      </c>
      <c r="D514" t="s">
        <v>442</v>
      </c>
      <c r="E514" s="13">
        <v>2900000</v>
      </c>
      <c r="F514" s="13">
        <v>16650</v>
      </c>
      <c r="G514" s="9">
        <v>45005</v>
      </c>
      <c r="H514" t="s">
        <v>1111</v>
      </c>
      <c r="I514" t="s">
        <v>916</v>
      </c>
      <c r="J514" s="13">
        <v>96570</v>
      </c>
      <c r="K514">
        <v>1</v>
      </c>
      <c r="L514" t="s">
        <v>1064</v>
      </c>
      <c r="M514" t="s">
        <v>1065</v>
      </c>
      <c r="N514" s="15" t="s">
        <v>6878</v>
      </c>
    </row>
    <row r="515" spans="1:14" x14ac:dyDescent="0.2">
      <c r="A515" t="s">
        <v>1590</v>
      </c>
      <c r="B515" t="s">
        <v>1062</v>
      </c>
      <c r="C515" s="9">
        <v>44979</v>
      </c>
      <c r="D515" t="s">
        <v>442</v>
      </c>
      <c r="E515" s="13">
        <v>2900000</v>
      </c>
      <c r="F515" s="13">
        <v>16650</v>
      </c>
      <c r="G515" s="9">
        <v>45005</v>
      </c>
      <c r="H515" t="s">
        <v>1111</v>
      </c>
      <c r="I515" t="s">
        <v>916</v>
      </c>
      <c r="J515" s="13">
        <v>96570</v>
      </c>
      <c r="K515">
        <v>1</v>
      </c>
      <c r="L515" t="s">
        <v>1064</v>
      </c>
      <c r="M515" t="s">
        <v>1065</v>
      </c>
      <c r="N515" s="15" t="s">
        <v>6878</v>
      </c>
    </row>
    <row r="516" spans="1:14" x14ac:dyDescent="0.2">
      <c r="A516" t="s">
        <v>1591</v>
      </c>
      <c r="B516" t="s">
        <v>1062</v>
      </c>
      <c r="C516" s="9">
        <v>44979</v>
      </c>
      <c r="D516" t="s">
        <v>442</v>
      </c>
      <c r="E516" s="13">
        <v>2900000</v>
      </c>
      <c r="F516" s="13">
        <v>16650</v>
      </c>
      <c r="G516" s="9">
        <v>45005</v>
      </c>
      <c r="H516" t="s">
        <v>1111</v>
      </c>
      <c r="I516" t="s">
        <v>916</v>
      </c>
      <c r="J516" s="13">
        <v>96570</v>
      </c>
      <c r="K516">
        <v>1</v>
      </c>
      <c r="L516" t="s">
        <v>1064</v>
      </c>
      <c r="M516" t="s">
        <v>1065</v>
      </c>
      <c r="N516" s="15" t="s">
        <v>6878</v>
      </c>
    </row>
    <row r="517" spans="1:14" x14ac:dyDescent="0.2">
      <c r="A517" t="s">
        <v>1592</v>
      </c>
      <c r="B517" t="s">
        <v>1062</v>
      </c>
      <c r="C517" s="9">
        <v>44979</v>
      </c>
      <c r="D517" t="s">
        <v>442</v>
      </c>
      <c r="E517" s="13">
        <v>2900000</v>
      </c>
      <c r="F517" s="13">
        <v>16650</v>
      </c>
      <c r="G517" s="9">
        <v>45005</v>
      </c>
      <c r="H517" t="s">
        <v>1111</v>
      </c>
      <c r="I517" t="s">
        <v>916</v>
      </c>
      <c r="J517" s="13">
        <v>96570</v>
      </c>
      <c r="K517">
        <v>1</v>
      </c>
      <c r="L517" t="s">
        <v>1064</v>
      </c>
      <c r="M517" t="s">
        <v>1065</v>
      </c>
      <c r="N517" s="15" t="s">
        <v>6878</v>
      </c>
    </row>
    <row r="518" spans="1:14" x14ac:dyDescent="0.2">
      <c r="A518" t="s">
        <v>1593</v>
      </c>
      <c r="B518" t="s">
        <v>1062</v>
      </c>
      <c r="C518" s="9">
        <v>44979</v>
      </c>
      <c r="D518" t="s">
        <v>442</v>
      </c>
      <c r="E518" s="13">
        <v>2900000</v>
      </c>
      <c r="F518" s="13">
        <v>16650</v>
      </c>
      <c r="G518" s="9">
        <v>45005</v>
      </c>
      <c r="H518" t="s">
        <v>1111</v>
      </c>
      <c r="I518" t="s">
        <v>916</v>
      </c>
      <c r="J518" s="13">
        <v>96570</v>
      </c>
      <c r="K518">
        <v>1</v>
      </c>
      <c r="L518" t="s">
        <v>1064</v>
      </c>
      <c r="M518" t="s">
        <v>1065</v>
      </c>
      <c r="N518" s="15" t="s">
        <v>6878</v>
      </c>
    </row>
    <row r="519" spans="1:14" x14ac:dyDescent="0.2">
      <c r="A519" t="s">
        <v>1594</v>
      </c>
      <c r="B519" t="s">
        <v>1062</v>
      </c>
      <c r="C519" s="9">
        <v>44979</v>
      </c>
      <c r="D519" t="s">
        <v>442</v>
      </c>
      <c r="E519" s="13">
        <v>2900000</v>
      </c>
      <c r="F519" s="13">
        <v>16650</v>
      </c>
      <c r="G519" s="9">
        <v>45005</v>
      </c>
      <c r="H519" t="s">
        <v>1111</v>
      </c>
      <c r="I519" t="s">
        <v>916</v>
      </c>
      <c r="J519" s="13">
        <v>96570</v>
      </c>
      <c r="K519">
        <v>1</v>
      </c>
      <c r="L519" t="s">
        <v>1064</v>
      </c>
      <c r="M519" t="s">
        <v>1065</v>
      </c>
      <c r="N519" s="15" t="s">
        <v>6878</v>
      </c>
    </row>
    <row r="520" spans="1:14" x14ac:dyDescent="0.2">
      <c r="A520" t="s">
        <v>1595</v>
      </c>
      <c r="B520" t="s">
        <v>1062</v>
      </c>
      <c r="C520" s="9">
        <v>44979</v>
      </c>
      <c r="D520" t="s">
        <v>442</v>
      </c>
      <c r="E520" s="13">
        <v>2900000</v>
      </c>
      <c r="F520" s="13">
        <v>16650</v>
      </c>
      <c r="G520" s="9">
        <v>45005</v>
      </c>
      <c r="H520" t="s">
        <v>1111</v>
      </c>
      <c r="I520" t="s">
        <v>916</v>
      </c>
      <c r="J520" s="13">
        <v>96570</v>
      </c>
      <c r="K520">
        <v>1</v>
      </c>
      <c r="L520" t="s">
        <v>1064</v>
      </c>
      <c r="M520" t="s">
        <v>1065</v>
      </c>
      <c r="N520" s="15" t="s">
        <v>6878</v>
      </c>
    </row>
    <row r="521" spans="1:14" x14ac:dyDescent="0.2">
      <c r="A521" t="s">
        <v>1596</v>
      </c>
      <c r="B521" t="s">
        <v>1062</v>
      </c>
      <c r="C521" s="9">
        <v>44979</v>
      </c>
      <c r="D521" t="s">
        <v>442</v>
      </c>
      <c r="E521" s="13">
        <v>2900000</v>
      </c>
      <c r="F521" s="13">
        <v>16650</v>
      </c>
      <c r="G521" s="9">
        <v>45005</v>
      </c>
      <c r="H521" t="s">
        <v>1111</v>
      </c>
      <c r="I521" t="s">
        <v>916</v>
      </c>
      <c r="J521" s="13">
        <v>96570</v>
      </c>
      <c r="K521">
        <v>1</v>
      </c>
      <c r="L521" t="s">
        <v>1064</v>
      </c>
      <c r="M521" t="s">
        <v>1065</v>
      </c>
      <c r="N521" s="15" t="s">
        <v>6878</v>
      </c>
    </row>
    <row r="522" spans="1:14" x14ac:dyDescent="0.2">
      <c r="A522" t="s">
        <v>1597</v>
      </c>
      <c r="B522" t="s">
        <v>1062</v>
      </c>
      <c r="C522" s="9">
        <v>44980</v>
      </c>
      <c r="D522" t="s">
        <v>442</v>
      </c>
      <c r="E522" s="13">
        <v>2575000</v>
      </c>
      <c r="F522" s="13">
        <v>16650</v>
      </c>
      <c r="G522" s="9">
        <v>45005</v>
      </c>
      <c r="H522" t="s">
        <v>1111</v>
      </c>
      <c r="I522" t="s">
        <v>916</v>
      </c>
      <c r="J522" s="13">
        <v>85747</v>
      </c>
      <c r="K522">
        <v>1</v>
      </c>
      <c r="L522" t="s">
        <v>1064</v>
      </c>
      <c r="M522" t="s">
        <v>1065</v>
      </c>
      <c r="N522" s="15" t="s">
        <v>6878</v>
      </c>
    </row>
    <row r="523" spans="1:14" x14ac:dyDescent="0.2">
      <c r="A523" t="s">
        <v>1598</v>
      </c>
      <c r="B523" t="s">
        <v>1062</v>
      </c>
      <c r="C523" s="9">
        <v>44980</v>
      </c>
      <c r="D523" t="s">
        <v>442</v>
      </c>
      <c r="E523" s="13">
        <v>2625000</v>
      </c>
      <c r="F523" s="13">
        <v>16650</v>
      </c>
      <c r="G523" s="9">
        <v>45005</v>
      </c>
      <c r="H523" t="s">
        <v>1111</v>
      </c>
      <c r="I523" t="s">
        <v>916</v>
      </c>
      <c r="J523" s="13">
        <v>87412</v>
      </c>
      <c r="K523">
        <v>1</v>
      </c>
      <c r="L523" t="s">
        <v>1064</v>
      </c>
      <c r="M523" t="s">
        <v>1065</v>
      </c>
      <c r="N523" s="15" t="s">
        <v>6878</v>
      </c>
    </row>
    <row r="524" spans="1:14" x14ac:dyDescent="0.2">
      <c r="A524" t="s">
        <v>1599</v>
      </c>
      <c r="B524" t="s">
        <v>1062</v>
      </c>
      <c r="C524" s="9">
        <v>44980</v>
      </c>
      <c r="D524" t="s">
        <v>442</v>
      </c>
      <c r="E524" s="13">
        <v>2900000</v>
      </c>
      <c r="F524" s="13">
        <v>16650</v>
      </c>
      <c r="G524" s="9">
        <v>45005</v>
      </c>
      <c r="H524" t="s">
        <v>1111</v>
      </c>
      <c r="I524" t="s">
        <v>916</v>
      </c>
      <c r="J524" s="13">
        <v>96570</v>
      </c>
      <c r="K524">
        <v>1</v>
      </c>
      <c r="L524" t="s">
        <v>1064</v>
      </c>
      <c r="M524" t="s">
        <v>1065</v>
      </c>
      <c r="N524" s="15" t="s">
        <v>6878</v>
      </c>
    </row>
    <row r="525" spans="1:14" x14ac:dyDescent="0.2">
      <c r="A525" t="s">
        <v>1600</v>
      </c>
      <c r="B525" t="s">
        <v>1062</v>
      </c>
      <c r="C525" s="9">
        <v>44980</v>
      </c>
      <c r="D525" t="s">
        <v>442</v>
      </c>
      <c r="E525" s="13">
        <v>2900000</v>
      </c>
      <c r="F525" s="13">
        <v>16650</v>
      </c>
      <c r="G525" s="9">
        <v>45005</v>
      </c>
      <c r="H525" t="s">
        <v>1111</v>
      </c>
      <c r="I525" t="s">
        <v>916</v>
      </c>
      <c r="J525" s="13">
        <v>96570</v>
      </c>
      <c r="K525">
        <v>1</v>
      </c>
      <c r="L525" t="s">
        <v>1064</v>
      </c>
      <c r="M525" t="s">
        <v>1065</v>
      </c>
      <c r="N525" s="15" t="s">
        <v>6878</v>
      </c>
    </row>
    <row r="526" spans="1:14" x14ac:dyDescent="0.2">
      <c r="A526" t="s">
        <v>1601</v>
      </c>
      <c r="B526" t="s">
        <v>1062</v>
      </c>
      <c r="C526" s="9">
        <v>44980</v>
      </c>
      <c r="D526" t="s">
        <v>442</v>
      </c>
      <c r="E526" s="13">
        <v>4200000</v>
      </c>
      <c r="F526" s="13">
        <v>16650</v>
      </c>
      <c r="G526" s="9">
        <v>45006</v>
      </c>
      <c r="H526" t="s">
        <v>1111</v>
      </c>
      <c r="I526" t="s">
        <v>916</v>
      </c>
      <c r="J526" s="13">
        <v>139860</v>
      </c>
      <c r="K526">
        <v>1</v>
      </c>
      <c r="L526" t="s">
        <v>1064</v>
      </c>
      <c r="M526" t="s">
        <v>1065</v>
      </c>
      <c r="N526" s="15" t="s">
        <v>6878</v>
      </c>
    </row>
    <row r="527" spans="1:14" x14ac:dyDescent="0.2">
      <c r="A527" t="s">
        <v>1602</v>
      </c>
      <c r="B527" t="s">
        <v>1062</v>
      </c>
      <c r="C527" s="9">
        <v>44980</v>
      </c>
      <c r="D527" t="s">
        <v>442</v>
      </c>
      <c r="E527" s="13">
        <v>1440000</v>
      </c>
      <c r="F527" s="13">
        <v>16650</v>
      </c>
      <c r="G527" s="9">
        <v>45006</v>
      </c>
      <c r="H527" t="s">
        <v>1111</v>
      </c>
      <c r="I527" t="s">
        <v>916</v>
      </c>
      <c r="J527" s="13">
        <v>47952</v>
      </c>
      <c r="K527">
        <v>1</v>
      </c>
      <c r="L527" t="s">
        <v>1064</v>
      </c>
      <c r="M527" t="s">
        <v>1065</v>
      </c>
      <c r="N527" s="15" t="s">
        <v>6878</v>
      </c>
    </row>
    <row r="528" spans="1:14" x14ac:dyDescent="0.2">
      <c r="A528" t="s">
        <v>1603</v>
      </c>
      <c r="B528" t="s">
        <v>1062</v>
      </c>
      <c r="C528" s="9">
        <v>44980</v>
      </c>
      <c r="D528" t="s">
        <v>442</v>
      </c>
      <c r="E528" s="13">
        <v>2250000</v>
      </c>
      <c r="F528" s="13">
        <v>16650</v>
      </c>
      <c r="G528" s="9">
        <v>45006</v>
      </c>
      <c r="H528" t="s">
        <v>1111</v>
      </c>
      <c r="I528" t="s">
        <v>916</v>
      </c>
      <c r="J528" s="13">
        <v>74925</v>
      </c>
      <c r="K528">
        <v>1</v>
      </c>
      <c r="L528" t="s">
        <v>1064</v>
      </c>
      <c r="M528" t="s">
        <v>1065</v>
      </c>
      <c r="N528" s="15" t="s">
        <v>6878</v>
      </c>
    </row>
    <row r="529" spans="1:14" x14ac:dyDescent="0.2">
      <c r="A529" t="s">
        <v>1604</v>
      </c>
      <c r="B529" t="s">
        <v>1062</v>
      </c>
      <c r="C529" s="9">
        <v>44980</v>
      </c>
      <c r="D529" t="s">
        <v>442</v>
      </c>
      <c r="E529" s="13">
        <v>1000000</v>
      </c>
      <c r="F529" s="13">
        <v>16650</v>
      </c>
      <c r="G529" s="9">
        <v>45006</v>
      </c>
      <c r="H529" t="s">
        <v>1111</v>
      </c>
      <c r="I529" t="s">
        <v>916</v>
      </c>
      <c r="J529" s="13">
        <v>33300</v>
      </c>
      <c r="K529">
        <v>1</v>
      </c>
      <c r="L529" t="s">
        <v>1064</v>
      </c>
      <c r="M529" t="s">
        <v>1065</v>
      </c>
      <c r="N529" s="15" t="s">
        <v>6878</v>
      </c>
    </row>
    <row r="530" spans="1:14" x14ac:dyDescent="0.2">
      <c r="A530" t="s">
        <v>1605</v>
      </c>
      <c r="B530" t="s">
        <v>1062</v>
      </c>
      <c r="C530" s="9">
        <v>44980</v>
      </c>
      <c r="D530" t="s">
        <v>442</v>
      </c>
      <c r="E530" s="13">
        <v>2625000</v>
      </c>
      <c r="F530" s="13">
        <v>16650</v>
      </c>
      <c r="G530" s="9">
        <v>45006</v>
      </c>
      <c r="H530" t="s">
        <v>1111</v>
      </c>
      <c r="I530" t="s">
        <v>916</v>
      </c>
      <c r="J530" s="13">
        <v>87412</v>
      </c>
      <c r="K530">
        <v>1</v>
      </c>
      <c r="L530" t="s">
        <v>1064</v>
      </c>
      <c r="M530" t="s">
        <v>1065</v>
      </c>
      <c r="N530" s="15" t="s">
        <v>6878</v>
      </c>
    </row>
    <row r="531" spans="1:14" x14ac:dyDescent="0.2">
      <c r="A531" t="s">
        <v>1606</v>
      </c>
      <c r="B531" t="s">
        <v>1062</v>
      </c>
      <c r="C531" s="9">
        <v>44980</v>
      </c>
      <c r="D531" t="s">
        <v>442</v>
      </c>
      <c r="E531" s="13">
        <v>2625000</v>
      </c>
      <c r="F531" s="13">
        <v>16650</v>
      </c>
      <c r="G531" s="9">
        <v>45006</v>
      </c>
      <c r="H531" t="s">
        <v>1111</v>
      </c>
      <c r="I531" t="s">
        <v>916</v>
      </c>
      <c r="J531" s="13">
        <v>87412</v>
      </c>
      <c r="K531">
        <v>1</v>
      </c>
      <c r="L531" t="s">
        <v>1064</v>
      </c>
      <c r="M531" t="s">
        <v>1065</v>
      </c>
      <c r="N531" s="15" t="s">
        <v>6878</v>
      </c>
    </row>
    <row r="532" spans="1:14" x14ac:dyDescent="0.2">
      <c r="A532" t="s">
        <v>1607</v>
      </c>
      <c r="B532" t="s">
        <v>1062</v>
      </c>
      <c r="C532" s="9">
        <v>44980</v>
      </c>
      <c r="D532" t="s">
        <v>442</v>
      </c>
      <c r="E532" s="13">
        <v>2575000</v>
      </c>
      <c r="F532" s="13">
        <v>16650</v>
      </c>
      <c r="G532" s="9">
        <v>45006</v>
      </c>
      <c r="H532" t="s">
        <v>1111</v>
      </c>
      <c r="I532" t="s">
        <v>916</v>
      </c>
      <c r="J532" s="13">
        <v>85747</v>
      </c>
      <c r="K532">
        <v>1</v>
      </c>
      <c r="L532" t="s">
        <v>1064</v>
      </c>
      <c r="M532" t="s">
        <v>1065</v>
      </c>
      <c r="N532" s="15" t="s">
        <v>6878</v>
      </c>
    </row>
    <row r="533" spans="1:14" x14ac:dyDescent="0.2">
      <c r="A533" t="s">
        <v>1608</v>
      </c>
      <c r="B533" t="s">
        <v>1062</v>
      </c>
      <c r="C533" s="9">
        <v>44980</v>
      </c>
      <c r="D533" t="s">
        <v>442</v>
      </c>
      <c r="E533" s="13">
        <v>1450000</v>
      </c>
      <c r="F533" s="13">
        <v>16650</v>
      </c>
      <c r="G533" s="9">
        <v>45006</v>
      </c>
      <c r="H533" t="s">
        <v>1111</v>
      </c>
      <c r="I533" t="s">
        <v>916</v>
      </c>
      <c r="J533" s="13">
        <v>48285</v>
      </c>
      <c r="K533">
        <v>1</v>
      </c>
      <c r="L533" t="s">
        <v>1064</v>
      </c>
      <c r="M533" t="s">
        <v>1065</v>
      </c>
      <c r="N533" s="15" t="s">
        <v>6878</v>
      </c>
    </row>
    <row r="534" spans="1:14" x14ac:dyDescent="0.2">
      <c r="A534" t="s">
        <v>1609</v>
      </c>
      <c r="B534" t="s">
        <v>1062</v>
      </c>
      <c r="C534" s="9">
        <v>44980</v>
      </c>
      <c r="D534" t="s">
        <v>442</v>
      </c>
      <c r="E534" s="13">
        <v>2250000</v>
      </c>
      <c r="F534" s="13">
        <v>16650</v>
      </c>
      <c r="G534" s="9">
        <v>45006</v>
      </c>
      <c r="H534" t="s">
        <v>1111</v>
      </c>
      <c r="I534" t="s">
        <v>916</v>
      </c>
      <c r="J534" s="13">
        <v>74925</v>
      </c>
      <c r="K534">
        <v>1</v>
      </c>
      <c r="L534" t="s">
        <v>1064</v>
      </c>
      <c r="M534" t="s">
        <v>1065</v>
      </c>
      <c r="N534" s="15" t="s">
        <v>6878</v>
      </c>
    </row>
    <row r="535" spans="1:14" x14ac:dyDescent="0.2">
      <c r="A535" t="s">
        <v>1610</v>
      </c>
      <c r="B535" t="s">
        <v>1062</v>
      </c>
      <c r="C535" s="9">
        <v>44980</v>
      </c>
      <c r="D535" t="s">
        <v>442</v>
      </c>
      <c r="E535" s="13">
        <v>1075000</v>
      </c>
      <c r="F535" s="13">
        <v>16650</v>
      </c>
      <c r="G535" s="9">
        <v>45006</v>
      </c>
      <c r="H535" t="s">
        <v>1111</v>
      </c>
      <c r="I535" t="s">
        <v>916</v>
      </c>
      <c r="J535" s="13">
        <v>35797</v>
      </c>
      <c r="K535">
        <v>1</v>
      </c>
      <c r="L535" t="s">
        <v>1064</v>
      </c>
      <c r="M535" t="s">
        <v>1065</v>
      </c>
      <c r="N535" s="15" t="s">
        <v>6878</v>
      </c>
    </row>
    <row r="536" spans="1:14" x14ac:dyDescent="0.2">
      <c r="A536" t="s">
        <v>1611</v>
      </c>
      <c r="B536" t="s">
        <v>1062</v>
      </c>
      <c r="C536" s="9">
        <v>44980</v>
      </c>
      <c r="D536" t="s">
        <v>442</v>
      </c>
      <c r="E536" s="13">
        <v>1125000</v>
      </c>
      <c r="F536" s="13">
        <v>16650</v>
      </c>
      <c r="G536" s="9">
        <v>45006</v>
      </c>
      <c r="H536" t="s">
        <v>1111</v>
      </c>
      <c r="I536" t="s">
        <v>916</v>
      </c>
      <c r="J536" s="13">
        <v>37462</v>
      </c>
      <c r="K536">
        <v>1</v>
      </c>
      <c r="L536" t="s">
        <v>1064</v>
      </c>
      <c r="M536" t="s">
        <v>1065</v>
      </c>
      <c r="N536" s="15" t="s">
        <v>6878</v>
      </c>
    </row>
    <row r="537" spans="1:14" x14ac:dyDescent="0.2">
      <c r="A537" t="s">
        <v>1612</v>
      </c>
      <c r="B537" t="s">
        <v>1069</v>
      </c>
      <c r="C537" s="9">
        <v>44980</v>
      </c>
      <c r="D537" t="s">
        <v>958</v>
      </c>
      <c r="E537" s="13">
        <v>3669000</v>
      </c>
      <c r="F537" s="13">
        <v>39960</v>
      </c>
      <c r="G537" s="9">
        <v>44981</v>
      </c>
      <c r="H537" t="s">
        <v>1063</v>
      </c>
      <c r="I537" t="s">
        <v>1074</v>
      </c>
      <c r="J537" s="13">
        <v>81451</v>
      </c>
      <c r="K537">
        <v>2</v>
      </c>
      <c r="L537" t="s">
        <v>1064</v>
      </c>
      <c r="M537" t="s">
        <v>1075</v>
      </c>
      <c r="N537" s="15" t="s">
        <v>6878</v>
      </c>
    </row>
    <row r="538" spans="1:14" x14ac:dyDescent="0.2">
      <c r="A538" t="s">
        <v>1613</v>
      </c>
      <c r="B538" t="s">
        <v>1069</v>
      </c>
      <c r="C538" s="9">
        <v>44980</v>
      </c>
      <c r="D538" t="s">
        <v>958</v>
      </c>
      <c r="E538" s="13">
        <v>14666852</v>
      </c>
      <c r="F538" s="13">
        <v>159840</v>
      </c>
      <c r="G538" s="9">
        <v>44981</v>
      </c>
      <c r="H538" t="s">
        <v>1063</v>
      </c>
      <c r="I538" t="s">
        <v>1074</v>
      </c>
      <c r="J538" s="13">
        <v>325604</v>
      </c>
      <c r="K538">
        <v>8</v>
      </c>
      <c r="L538" t="s">
        <v>1064</v>
      </c>
      <c r="M538" t="s">
        <v>1075</v>
      </c>
      <c r="N538" s="15" t="s">
        <v>6878</v>
      </c>
    </row>
    <row r="539" spans="1:14" x14ac:dyDescent="0.2">
      <c r="A539" t="s">
        <v>1614</v>
      </c>
      <c r="B539" t="s">
        <v>1069</v>
      </c>
      <c r="C539" s="9">
        <v>44980</v>
      </c>
      <c r="D539" t="s">
        <v>958</v>
      </c>
      <c r="E539" s="13">
        <v>3120000</v>
      </c>
      <c r="F539" s="13">
        <v>79920</v>
      </c>
      <c r="G539" s="9">
        <v>44981</v>
      </c>
      <c r="H539" t="s">
        <v>1063</v>
      </c>
      <c r="I539" t="s">
        <v>1074</v>
      </c>
      <c r="J539" s="13">
        <v>69264</v>
      </c>
      <c r="K539">
        <v>4</v>
      </c>
      <c r="L539" t="s">
        <v>1064</v>
      </c>
      <c r="M539" t="s">
        <v>1075</v>
      </c>
      <c r="N539" s="15" t="s">
        <v>6878</v>
      </c>
    </row>
    <row r="540" spans="1:14" x14ac:dyDescent="0.2">
      <c r="A540" t="s">
        <v>1615</v>
      </c>
      <c r="B540" t="s">
        <v>1069</v>
      </c>
      <c r="C540" s="9">
        <v>44980</v>
      </c>
      <c r="D540" t="s">
        <v>958</v>
      </c>
      <c r="E540" s="13">
        <v>6872500</v>
      </c>
      <c r="F540" s="13">
        <v>79920</v>
      </c>
      <c r="G540" s="9">
        <v>44981</v>
      </c>
      <c r="H540" t="s">
        <v>1063</v>
      </c>
      <c r="I540" t="s">
        <v>1074</v>
      </c>
      <c r="J540" s="13">
        <v>152569</v>
      </c>
      <c r="K540">
        <v>4</v>
      </c>
      <c r="L540" t="s">
        <v>1064</v>
      </c>
      <c r="M540" t="s">
        <v>1075</v>
      </c>
      <c r="N540" s="15" t="s">
        <v>6878</v>
      </c>
    </row>
    <row r="541" spans="1:14" x14ac:dyDescent="0.2">
      <c r="A541" t="s">
        <v>1616</v>
      </c>
      <c r="B541" t="s">
        <v>1069</v>
      </c>
      <c r="C541" s="9">
        <v>44980</v>
      </c>
      <c r="D541" t="s">
        <v>958</v>
      </c>
      <c r="E541" s="13">
        <v>29880924</v>
      </c>
      <c r="F541" s="13">
        <v>319680</v>
      </c>
      <c r="G541" s="9">
        <v>44981</v>
      </c>
      <c r="H541" t="s">
        <v>1063</v>
      </c>
      <c r="I541" t="s">
        <v>1074</v>
      </c>
      <c r="J541" s="13">
        <v>663355</v>
      </c>
      <c r="K541">
        <v>16</v>
      </c>
      <c r="L541" t="s">
        <v>1064</v>
      </c>
      <c r="M541" t="s">
        <v>1075</v>
      </c>
      <c r="N541" s="15" t="s">
        <v>6878</v>
      </c>
    </row>
    <row r="542" spans="1:14" x14ac:dyDescent="0.2">
      <c r="A542" t="s">
        <v>1617</v>
      </c>
      <c r="B542" t="s">
        <v>1069</v>
      </c>
      <c r="C542" s="9">
        <v>44981</v>
      </c>
      <c r="D542" t="s">
        <v>958</v>
      </c>
      <c r="E542" s="13">
        <v>11824000</v>
      </c>
      <c r="F542" s="13">
        <v>159840</v>
      </c>
      <c r="G542" s="9">
        <v>44981</v>
      </c>
      <c r="H542" t="s">
        <v>1063</v>
      </c>
      <c r="I542" t="s">
        <v>1074</v>
      </c>
      <c r="J542" s="13">
        <v>262492</v>
      </c>
      <c r="K542">
        <v>8</v>
      </c>
      <c r="L542" t="s">
        <v>1064</v>
      </c>
      <c r="M542" t="s">
        <v>1075</v>
      </c>
      <c r="N542" s="15" t="s">
        <v>6878</v>
      </c>
    </row>
    <row r="543" spans="1:14" x14ac:dyDescent="0.2">
      <c r="A543" t="s">
        <v>1618</v>
      </c>
      <c r="B543" t="s">
        <v>1062</v>
      </c>
      <c r="C543" s="9">
        <v>44981</v>
      </c>
      <c r="D543" t="s">
        <v>442</v>
      </c>
      <c r="E543" s="13">
        <v>2625000</v>
      </c>
      <c r="F543" s="13">
        <v>16650</v>
      </c>
      <c r="G543" s="9">
        <v>45006</v>
      </c>
      <c r="H543" t="s">
        <v>1111</v>
      </c>
      <c r="I543" t="s">
        <v>916</v>
      </c>
      <c r="J543" s="13">
        <v>87412</v>
      </c>
      <c r="K543">
        <v>1</v>
      </c>
      <c r="L543" t="s">
        <v>1064</v>
      </c>
      <c r="M543" t="s">
        <v>1065</v>
      </c>
      <c r="N543" s="15" t="s">
        <v>6878</v>
      </c>
    </row>
    <row r="544" spans="1:14" x14ac:dyDescent="0.2">
      <c r="A544" t="s">
        <v>1619</v>
      </c>
      <c r="B544" t="s">
        <v>1069</v>
      </c>
      <c r="C544" s="9">
        <v>44981</v>
      </c>
      <c r="D544" t="s">
        <v>958</v>
      </c>
      <c r="E544" s="13">
        <v>7155750</v>
      </c>
      <c r="F544" s="13">
        <v>159840</v>
      </c>
      <c r="G544" s="9">
        <v>44981</v>
      </c>
      <c r="H544" t="s">
        <v>1063</v>
      </c>
      <c r="I544" t="s">
        <v>1074</v>
      </c>
      <c r="J544" s="13">
        <v>158857</v>
      </c>
      <c r="K544">
        <v>8</v>
      </c>
      <c r="L544" t="s">
        <v>1064</v>
      </c>
      <c r="M544" t="s">
        <v>1075</v>
      </c>
      <c r="N544" s="15" t="s">
        <v>6878</v>
      </c>
    </row>
    <row r="545" spans="1:14" x14ac:dyDescent="0.2">
      <c r="A545" t="s">
        <v>1620</v>
      </c>
      <c r="B545" t="s">
        <v>1062</v>
      </c>
      <c r="C545" s="9">
        <v>44981</v>
      </c>
      <c r="D545" t="s">
        <v>442</v>
      </c>
      <c r="E545" s="13">
        <v>3250000</v>
      </c>
      <c r="F545" s="13">
        <v>16650</v>
      </c>
      <c r="G545" s="9">
        <v>45006</v>
      </c>
      <c r="H545" t="s">
        <v>1111</v>
      </c>
      <c r="I545" t="s">
        <v>916</v>
      </c>
      <c r="J545" s="13">
        <v>108225</v>
      </c>
      <c r="K545">
        <v>1</v>
      </c>
      <c r="L545" t="s">
        <v>1064</v>
      </c>
      <c r="M545" t="s">
        <v>1065</v>
      </c>
      <c r="N545" s="15" t="s">
        <v>6878</v>
      </c>
    </row>
    <row r="546" spans="1:14" x14ac:dyDescent="0.2">
      <c r="A546" t="s">
        <v>1621</v>
      </c>
      <c r="B546" t="s">
        <v>1062</v>
      </c>
      <c r="C546" s="9">
        <v>44981</v>
      </c>
      <c r="D546" t="s">
        <v>442</v>
      </c>
      <c r="E546" s="13">
        <v>2950000</v>
      </c>
      <c r="F546" s="13">
        <v>16650</v>
      </c>
      <c r="G546" s="9">
        <v>45006</v>
      </c>
      <c r="H546" t="s">
        <v>1111</v>
      </c>
      <c r="I546" t="s">
        <v>916</v>
      </c>
      <c r="J546" s="13">
        <v>98235</v>
      </c>
      <c r="K546">
        <v>1</v>
      </c>
      <c r="L546" t="s">
        <v>1064</v>
      </c>
      <c r="M546" t="s">
        <v>1065</v>
      </c>
      <c r="N546" s="15" t="s">
        <v>6878</v>
      </c>
    </row>
    <row r="547" spans="1:14" x14ac:dyDescent="0.2">
      <c r="A547" t="s">
        <v>1622</v>
      </c>
      <c r="B547" t="s">
        <v>1062</v>
      </c>
      <c r="C547" s="9">
        <v>44981</v>
      </c>
      <c r="D547" t="s">
        <v>442</v>
      </c>
      <c r="E547" s="13">
        <v>2950000</v>
      </c>
      <c r="F547" s="13">
        <v>16650</v>
      </c>
      <c r="G547" s="9">
        <v>45010</v>
      </c>
      <c r="H547" t="s">
        <v>1111</v>
      </c>
      <c r="I547" t="s">
        <v>916</v>
      </c>
      <c r="J547" s="13">
        <v>98235</v>
      </c>
      <c r="K547">
        <v>1</v>
      </c>
      <c r="L547" t="s">
        <v>1064</v>
      </c>
      <c r="M547" t="s">
        <v>1065</v>
      </c>
      <c r="N547" s="15" t="s">
        <v>6878</v>
      </c>
    </row>
    <row r="548" spans="1:14" x14ac:dyDescent="0.2">
      <c r="A548" t="s">
        <v>1623</v>
      </c>
      <c r="B548" t="s">
        <v>1062</v>
      </c>
      <c r="C548" s="9">
        <v>44981</v>
      </c>
      <c r="D548" t="s">
        <v>442</v>
      </c>
      <c r="E548" s="13">
        <v>1125000</v>
      </c>
      <c r="F548" s="13">
        <v>16650</v>
      </c>
      <c r="G548" s="9">
        <v>45005</v>
      </c>
      <c r="H548" t="s">
        <v>1111</v>
      </c>
      <c r="I548" t="s">
        <v>916</v>
      </c>
      <c r="J548" s="13">
        <v>37462</v>
      </c>
      <c r="K548">
        <v>1</v>
      </c>
      <c r="L548" t="s">
        <v>1064</v>
      </c>
      <c r="M548" t="s">
        <v>1065</v>
      </c>
      <c r="N548" s="15" t="s">
        <v>6878</v>
      </c>
    </row>
    <row r="549" spans="1:14" x14ac:dyDescent="0.2">
      <c r="A549" t="s">
        <v>1624</v>
      </c>
      <c r="B549" t="s">
        <v>1062</v>
      </c>
      <c r="C549" s="9">
        <v>44981</v>
      </c>
      <c r="D549" t="s">
        <v>442</v>
      </c>
      <c r="E549" s="13">
        <v>1000000</v>
      </c>
      <c r="F549" s="13">
        <v>16650</v>
      </c>
      <c r="G549" s="9">
        <v>45005</v>
      </c>
      <c r="H549" t="s">
        <v>1111</v>
      </c>
      <c r="I549" t="s">
        <v>916</v>
      </c>
      <c r="J549" s="13">
        <v>33300</v>
      </c>
      <c r="K549">
        <v>1</v>
      </c>
      <c r="L549" t="s">
        <v>1064</v>
      </c>
      <c r="M549" t="s">
        <v>1065</v>
      </c>
      <c r="N549" s="15" t="s">
        <v>6878</v>
      </c>
    </row>
    <row r="550" spans="1:14" x14ac:dyDescent="0.2">
      <c r="A550" t="s">
        <v>1625</v>
      </c>
      <c r="B550" t="s">
        <v>1062</v>
      </c>
      <c r="C550" s="9">
        <v>44981</v>
      </c>
      <c r="D550" t="s">
        <v>442</v>
      </c>
      <c r="E550" s="13">
        <v>2787500</v>
      </c>
      <c r="F550" s="13">
        <v>16650</v>
      </c>
      <c r="G550" s="9">
        <v>45010</v>
      </c>
      <c r="H550" t="s">
        <v>1111</v>
      </c>
      <c r="I550" t="s">
        <v>916</v>
      </c>
      <c r="J550" s="13">
        <v>92823</v>
      </c>
      <c r="K550">
        <v>1</v>
      </c>
      <c r="L550" t="s">
        <v>1064</v>
      </c>
      <c r="M550" t="s">
        <v>1065</v>
      </c>
      <c r="N550" s="15" t="s">
        <v>6878</v>
      </c>
    </row>
    <row r="551" spans="1:14" x14ac:dyDescent="0.2">
      <c r="A551" t="s">
        <v>1626</v>
      </c>
      <c r="B551" t="s">
        <v>1069</v>
      </c>
      <c r="C551" s="9">
        <v>44981</v>
      </c>
      <c r="D551" t="s">
        <v>958</v>
      </c>
      <c r="E551" s="13">
        <v>20021726</v>
      </c>
      <c r="F551" s="13">
        <v>319680</v>
      </c>
      <c r="G551" s="9">
        <v>44981</v>
      </c>
      <c r="H551" t="s">
        <v>1063</v>
      </c>
      <c r="I551" t="s">
        <v>1074</v>
      </c>
      <c r="J551" s="13">
        <v>444481</v>
      </c>
      <c r="K551">
        <v>16</v>
      </c>
      <c r="L551" t="s">
        <v>1064</v>
      </c>
      <c r="M551" t="s">
        <v>1075</v>
      </c>
      <c r="N551" s="15" t="s">
        <v>6878</v>
      </c>
    </row>
    <row r="552" spans="1:14" x14ac:dyDescent="0.2">
      <c r="A552" t="s">
        <v>1627</v>
      </c>
      <c r="B552" t="s">
        <v>1062</v>
      </c>
      <c r="C552" s="9">
        <v>44981</v>
      </c>
      <c r="D552" t="s">
        <v>442</v>
      </c>
      <c r="E552" s="13">
        <v>2250000</v>
      </c>
      <c r="F552" s="13">
        <v>16650</v>
      </c>
      <c r="G552" s="9">
        <v>45005</v>
      </c>
      <c r="H552" t="s">
        <v>1111</v>
      </c>
      <c r="I552" t="s">
        <v>916</v>
      </c>
      <c r="J552" s="13">
        <v>74925</v>
      </c>
      <c r="K552">
        <v>1</v>
      </c>
      <c r="L552" t="s">
        <v>1064</v>
      </c>
      <c r="M552" t="s">
        <v>1065</v>
      </c>
      <c r="N552" s="15" t="s">
        <v>6878</v>
      </c>
    </row>
    <row r="553" spans="1:14" x14ac:dyDescent="0.2">
      <c r="A553" t="s">
        <v>1628</v>
      </c>
      <c r="B553" t="s">
        <v>1062</v>
      </c>
      <c r="C553" s="9">
        <v>44981</v>
      </c>
      <c r="D553" t="s">
        <v>442</v>
      </c>
      <c r="E553" s="13">
        <v>1875000</v>
      </c>
      <c r="F553" s="13">
        <v>16650</v>
      </c>
      <c r="G553" s="9">
        <v>45005</v>
      </c>
      <c r="H553" t="s">
        <v>1111</v>
      </c>
      <c r="I553" t="s">
        <v>916</v>
      </c>
      <c r="J553" s="13">
        <v>62437</v>
      </c>
      <c r="K553">
        <v>1</v>
      </c>
      <c r="L553" t="s">
        <v>1064</v>
      </c>
      <c r="M553" t="s">
        <v>1065</v>
      </c>
      <c r="N553" s="15" t="s">
        <v>6878</v>
      </c>
    </row>
    <row r="554" spans="1:14" x14ac:dyDescent="0.2">
      <c r="A554" t="s">
        <v>1629</v>
      </c>
      <c r="B554" t="s">
        <v>1062</v>
      </c>
      <c r="C554" s="9">
        <v>44981</v>
      </c>
      <c r="D554" t="s">
        <v>178</v>
      </c>
      <c r="E554" s="13">
        <v>1274000</v>
      </c>
      <c r="F554" s="13">
        <v>22200</v>
      </c>
      <c r="G554" s="9">
        <v>44981</v>
      </c>
      <c r="H554" t="s">
        <v>1063</v>
      </c>
      <c r="I554" t="s">
        <v>904</v>
      </c>
      <c r="J554" s="13"/>
      <c r="K554">
        <v>1</v>
      </c>
      <c r="L554" t="s">
        <v>1064</v>
      </c>
      <c r="M554" t="s">
        <v>1164</v>
      </c>
      <c r="N554" s="15" t="s">
        <v>6878</v>
      </c>
    </row>
    <row r="555" spans="1:14" x14ac:dyDescent="0.2">
      <c r="A555" t="s">
        <v>1630</v>
      </c>
      <c r="B555" t="s">
        <v>1062</v>
      </c>
      <c r="C555" s="9">
        <v>44981</v>
      </c>
      <c r="D555" t="s">
        <v>178</v>
      </c>
      <c r="E555" s="13">
        <v>1274000</v>
      </c>
      <c r="F555" s="13">
        <v>22200</v>
      </c>
      <c r="G555" s="9">
        <v>44981</v>
      </c>
      <c r="H555" t="s">
        <v>1063</v>
      </c>
      <c r="I555" t="s">
        <v>904</v>
      </c>
      <c r="J555" s="13"/>
      <c r="K555">
        <v>1</v>
      </c>
      <c r="L555" t="s">
        <v>1064</v>
      </c>
      <c r="M555" t="s">
        <v>1164</v>
      </c>
      <c r="N555" s="15" t="s">
        <v>6878</v>
      </c>
    </row>
    <row r="556" spans="1:14" x14ac:dyDescent="0.2">
      <c r="A556" t="s">
        <v>1631</v>
      </c>
      <c r="B556" t="s">
        <v>1069</v>
      </c>
      <c r="C556" s="9">
        <v>44981</v>
      </c>
      <c r="D556" t="s">
        <v>958</v>
      </c>
      <c r="E556" s="13">
        <v>26821513</v>
      </c>
      <c r="F556" s="13">
        <v>319680</v>
      </c>
      <c r="G556" s="9">
        <v>44981</v>
      </c>
      <c r="H556" t="s">
        <v>1063</v>
      </c>
      <c r="I556" t="s">
        <v>1074</v>
      </c>
      <c r="J556" s="13">
        <v>595437</v>
      </c>
      <c r="K556">
        <v>16</v>
      </c>
      <c r="L556" t="s">
        <v>1064</v>
      </c>
      <c r="M556" t="s">
        <v>1075</v>
      </c>
      <c r="N556" s="15" t="s">
        <v>6878</v>
      </c>
    </row>
    <row r="557" spans="1:14" x14ac:dyDescent="0.2">
      <c r="A557" t="s">
        <v>1632</v>
      </c>
      <c r="B557" t="s">
        <v>1062</v>
      </c>
      <c r="C557" s="9">
        <v>44981</v>
      </c>
      <c r="D557" t="s">
        <v>958</v>
      </c>
      <c r="E557" s="13">
        <v>4000000</v>
      </c>
      <c r="F557" s="13">
        <v>79920</v>
      </c>
      <c r="G557" s="9">
        <v>44981</v>
      </c>
      <c r="H557" t="s">
        <v>1063</v>
      </c>
      <c r="I557" t="s">
        <v>1074</v>
      </c>
      <c r="J557" s="13">
        <v>88800</v>
      </c>
      <c r="K557">
        <v>4</v>
      </c>
      <c r="L557" t="s">
        <v>1064</v>
      </c>
      <c r="M557" t="s">
        <v>1075</v>
      </c>
      <c r="N557" s="15" t="s">
        <v>6878</v>
      </c>
    </row>
    <row r="558" spans="1:14" x14ac:dyDescent="0.2">
      <c r="A558" t="s">
        <v>1633</v>
      </c>
      <c r="B558" t="s">
        <v>1069</v>
      </c>
      <c r="C558" s="9">
        <v>44981</v>
      </c>
      <c r="D558" t="s">
        <v>958</v>
      </c>
      <c r="E558" s="13">
        <v>1848000</v>
      </c>
      <c r="F558" s="13">
        <v>19980</v>
      </c>
      <c r="G558" s="9">
        <v>44981</v>
      </c>
      <c r="H558" t="s">
        <v>1063</v>
      </c>
      <c r="I558" t="s">
        <v>1074</v>
      </c>
      <c r="J558" s="13">
        <v>41025</v>
      </c>
      <c r="K558">
        <v>1</v>
      </c>
      <c r="L558" t="s">
        <v>1064</v>
      </c>
      <c r="M558" t="s">
        <v>1075</v>
      </c>
      <c r="N558" s="15" t="s">
        <v>6878</v>
      </c>
    </row>
    <row r="559" spans="1:14" x14ac:dyDescent="0.2">
      <c r="A559" t="s">
        <v>1634</v>
      </c>
      <c r="B559" t="s">
        <v>1069</v>
      </c>
      <c r="C559" s="9">
        <v>44981</v>
      </c>
      <c r="D559" t="s">
        <v>958</v>
      </c>
      <c r="E559" s="13">
        <v>3007300</v>
      </c>
      <c r="F559" s="13">
        <v>19980</v>
      </c>
      <c r="G559" s="9">
        <v>44981</v>
      </c>
      <c r="H559" t="s">
        <v>1063</v>
      </c>
      <c r="I559" t="s">
        <v>1074</v>
      </c>
      <c r="J559" s="13">
        <v>66762</v>
      </c>
      <c r="K559">
        <v>1</v>
      </c>
      <c r="L559" t="s">
        <v>1064</v>
      </c>
      <c r="M559" t="s">
        <v>1075</v>
      </c>
      <c r="N559" s="15" t="s">
        <v>6878</v>
      </c>
    </row>
    <row r="560" spans="1:14" x14ac:dyDescent="0.2">
      <c r="A560" t="s">
        <v>1635</v>
      </c>
      <c r="B560" t="s">
        <v>1062</v>
      </c>
      <c r="C560" s="9">
        <v>44981</v>
      </c>
      <c r="D560" t="s">
        <v>958</v>
      </c>
      <c r="E560" s="13">
        <v>5060000</v>
      </c>
      <c r="F560" s="13">
        <v>39960</v>
      </c>
      <c r="G560" s="9">
        <v>44981</v>
      </c>
      <c r="H560" t="s">
        <v>1063</v>
      </c>
      <c r="I560" t="s">
        <v>1074</v>
      </c>
      <c r="J560" s="13">
        <v>112332</v>
      </c>
      <c r="K560">
        <v>2</v>
      </c>
      <c r="L560" t="s">
        <v>1064</v>
      </c>
      <c r="M560" t="s">
        <v>1075</v>
      </c>
      <c r="N560" s="15" t="s">
        <v>6878</v>
      </c>
    </row>
    <row r="561" spans="1:14" x14ac:dyDescent="0.2">
      <c r="A561" t="s">
        <v>1636</v>
      </c>
      <c r="B561" t="s">
        <v>1062</v>
      </c>
      <c r="C561" s="9">
        <v>44981</v>
      </c>
      <c r="D561" t="s">
        <v>958</v>
      </c>
      <c r="E561" s="13">
        <v>2530000</v>
      </c>
      <c r="F561" s="13">
        <v>19980</v>
      </c>
      <c r="G561" s="9">
        <v>44981</v>
      </c>
      <c r="H561" t="s">
        <v>1063</v>
      </c>
      <c r="I561" t="s">
        <v>1074</v>
      </c>
      <c r="J561" s="13">
        <v>56166</v>
      </c>
      <c r="K561">
        <v>1</v>
      </c>
      <c r="L561" t="s">
        <v>1064</v>
      </c>
      <c r="M561" t="s">
        <v>1075</v>
      </c>
      <c r="N561" s="15" t="s">
        <v>6878</v>
      </c>
    </row>
    <row r="562" spans="1:14" x14ac:dyDescent="0.2">
      <c r="A562" t="s">
        <v>1637</v>
      </c>
      <c r="B562" t="s">
        <v>1062</v>
      </c>
      <c r="C562" s="9">
        <v>44981</v>
      </c>
      <c r="D562" t="s">
        <v>958</v>
      </c>
      <c r="E562" s="13">
        <v>6000000</v>
      </c>
      <c r="F562" s="13">
        <v>119880</v>
      </c>
      <c r="G562" s="9">
        <v>44981</v>
      </c>
      <c r="H562" t="s">
        <v>1063</v>
      </c>
      <c r="I562" t="s">
        <v>1074</v>
      </c>
      <c r="J562" s="13">
        <v>133200</v>
      </c>
      <c r="K562">
        <v>6</v>
      </c>
      <c r="L562" t="s">
        <v>1064</v>
      </c>
      <c r="M562" t="s">
        <v>1075</v>
      </c>
      <c r="N562" s="15" t="s">
        <v>6878</v>
      </c>
    </row>
    <row r="563" spans="1:14" x14ac:dyDescent="0.2">
      <c r="A563" t="s">
        <v>1638</v>
      </c>
      <c r="B563" t="s">
        <v>1062</v>
      </c>
      <c r="C563" s="9">
        <v>44981</v>
      </c>
      <c r="D563" t="s">
        <v>958</v>
      </c>
      <c r="E563" s="13">
        <v>1450000</v>
      </c>
      <c r="F563" s="13">
        <v>39960</v>
      </c>
      <c r="G563" s="9">
        <v>44981</v>
      </c>
      <c r="H563" t="s">
        <v>1063</v>
      </c>
      <c r="I563" t="s">
        <v>1074</v>
      </c>
      <c r="J563" s="13">
        <v>32190</v>
      </c>
      <c r="K563">
        <v>2</v>
      </c>
      <c r="L563" t="s">
        <v>1064</v>
      </c>
      <c r="M563" t="s">
        <v>1075</v>
      </c>
      <c r="N563" s="15" t="s">
        <v>6878</v>
      </c>
    </row>
    <row r="564" spans="1:14" x14ac:dyDescent="0.2">
      <c r="A564" t="s">
        <v>1639</v>
      </c>
      <c r="B564" t="s">
        <v>1069</v>
      </c>
      <c r="C564" s="9">
        <v>44981</v>
      </c>
      <c r="D564" t="s">
        <v>958</v>
      </c>
      <c r="E564" s="13">
        <v>1595000</v>
      </c>
      <c r="F564" s="13">
        <v>19980</v>
      </c>
      <c r="G564" s="9">
        <v>44981</v>
      </c>
      <c r="H564" t="s">
        <v>1063</v>
      </c>
      <c r="I564" t="s">
        <v>1074</v>
      </c>
      <c r="J564" s="13">
        <v>35409</v>
      </c>
      <c r="K564">
        <v>1</v>
      </c>
      <c r="L564" t="s">
        <v>1064</v>
      </c>
      <c r="M564" t="s">
        <v>1075</v>
      </c>
      <c r="N564" s="15" t="s">
        <v>6878</v>
      </c>
    </row>
    <row r="565" spans="1:14" x14ac:dyDescent="0.2">
      <c r="A565" t="s">
        <v>1640</v>
      </c>
      <c r="B565" t="s">
        <v>1062</v>
      </c>
      <c r="C565" s="9">
        <v>44981</v>
      </c>
      <c r="D565" t="s">
        <v>958</v>
      </c>
      <c r="E565" s="13">
        <v>7590000</v>
      </c>
      <c r="F565" s="13">
        <v>59940</v>
      </c>
      <c r="G565" s="9">
        <v>44981</v>
      </c>
      <c r="H565" t="s">
        <v>1063</v>
      </c>
      <c r="I565" t="s">
        <v>1074</v>
      </c>
      <c r="J565" s="13">
        <v>168498</v>
      </c>
      <c r="K565">
        <v>3</v>
      </c>
      <c r="L565" t="s">
        <v>1064</v>
      </c>
      <c r="M565" t="s">
        <v>1075</v>
      </c>
      <c r="N565" s="15" t="s">
        <v>6878</v>
      </c>
    </row>
    <row r="566" spans="1:14" x14ac:dyDescent="0.2">
      <c r="A566" t="s">
        <v>1641</v>
      </c>
      <c r="B566" t="s">
        <v>1069</v>
      </c>
      <c r="C566" s="9">
        <v>44981</v>
      </c>
      <c r="D566" t="s">
        <v>958</v>
      </c>
      <c r="E566" s="13">
        <v>1848450</v>
      </c>
      <c r="F566" s="13">
        <v>19980</v>
      </c>
      <c r="G566" s="9">
        <v>44981</v>
      </c>
      <c r="H566" t="s">
        <v>1063</v>
      </c>
      <c r="I566" t="s">
        <v>1074</v>
      </c>
      <c r="J566" s="13">
        <v>41035</v>
      </c>
      <c r="K566">
        <v>1</v>
      </c>
      <c r="L566" t="s">
        <v>1064</v>
      </c>
      <c r="M566" t="s">
        <v>1075</v>
      </c>
      <c r="N566" s="15" t="s">
        <v>6878</v>
      </c>
    </row>
    <row r="567" spans="1:14" x14ac:dyDescent="0.2">
      <c r="A567" t="s">
        <v>1642</v>
      </c>
      <c r="B567" t="s">
        <v>1069</v>
      </c>
      <c r="C567" s="9">
        <v>44981</v>
      </c>
      <c r="D567" t="s">
        <v>958</v>
      </c>
      <c r="E567" s="13">
        <v>1909500</v>
      </c>
      <c r="F567" s="13">
        <v>19980</v>
      </c>
      <c r="G567" s="9">
        <v>44981</v>
      </c>
      <c r="H567" t="s">
        <v>1063</v>
      </c>
      <c r="I567" t="s">
        <v>1074</v>
      </c>
      <c r="J567" s="13">
        <v>42390</v>
      </c>
      <c r="K567">
        <v>1</v>
      </c>
      <c r="L567" t="s">
        <v>1064</v>
      </c>
      <c r="M567" t="s">
        <v>1075</v>
      </c>
      <c r="N567" s="15" t="s">
        <v>6878</v>
      </c>
    </row>
    <row r="568" spans="1:14" x14ac:dyDescent="0.2">
      <c r="A568" t="s">
        <v>1643</v>
      </c>
      <c r="B568" t="s">
        <v>1069</v>
      </c>
      <c r="C568" s="9">
        <v>44981</v>
      </c>
      <c r="D568" t="s">
        <v>958</v>
      </c>
      <c r="E568" s="13">
        <v>2392200</v>
      </c>
      <c r="F568" s="13">
        <v>19980</v>
      </c>
      <c r="G568" s="9">
        <v>44981</v>
      </c>
      <c r="H568" t="s">
        <v>1063</v>
      </c>
      <c r="I568" t="s">
        <v>1074</v>
      </c>
      <c r="J568" s="13">
        <v>53106</v>
      </c>
      <c r="K568">
        <v>1</v>
      </c>
      <c r="L568" t="s">
        <v>1064</v>
      </c>
      <c r="M568" t="s">
        <v>1075</v>
      </c>
      <c r="N568" s="15" t="s">
        <v>6878</v>
      </c>
    </row>
    <row r="569" spans="1:14" x14ac:dyDescent="0.2">
      <c r="A569" t="s">
        <v>1644</v>
      </c>
      <c r="B569" t="s">
        <v>1062</v>
      </c>
      <c r="C569" s="9">
        <v>44981</v>
      </c>
      <c r="D569" t="s">
        <v>958</v>
      </c>
      <c r="E569" s="13">
        <v>2530000</v>
      </c>
      <c r="F569" s="13">
        <v>19980</v>
      </c>
      <c r="G569" s="9">
        <v>44981</v>
      </c>
      <c r="H569" t="s">
        <v>1063</v>
      </c>
      <c r="I569" t="s">
        <v>1074</v>
      </c>
      <c r="J569" s="13">
        <v>56166</v>
      </c>
      <c r="K569">
        <v>1</v>
      </c>
      <c r="L569" t="s">
        <v>1064</v>
      </c>
      <c r="M569" t="s">
        <v>1075</v>
      </c>
      <c r="N569" s="15" t="s">
        <v>6878</v>
      </c>
    </row>
    <row r="570" spans="1:14" x14ac:dyDescent="0.2">
      <c r="A570" t="s">
        <v>1645</v>
      </c>
      <c r="B570" t="s">
        <v>1062</v>
      </c>
      <c r="C570" s="9">
        <v>44981</v>
      </c>
      <c r="D570" t="s">
        <v>958</v>
      </c>
      <c r="E570" s="13">
        <v>5060000</v>
      </c>
      <c r="F570" s="13">
        <v>39960</v>
      </c>
      <c r="G570" s="9">
        <v>44981</v>
      </c>
      <c r="H570" t="s">
        <v>1063</v>
      </c>
      <c r="I570" t="s">
        <v>1074</v>
      </c>
      <c r="J570" s="13">
        <v>112332</v>
      </c>
      <c r="K570">
        <v>2</v>
      </c>
      <c r="L570" t="s">
        <v>1064</v>
      </c>
      <c r="M570" t="s">
        <v>1075</v>
      </c>
      <c r="N570" s="15" t="s">
        <v>6878</v>
      </c>
    </row>
    <row r="571" spans="1:14" x14ac:dyDescent="0.2">
      <c r="A571" t="s">
        <v>1646</v>
      </c>
      <c r="B571" t="s">
        <v>1062</v>
      </c>
      <c r="C571" s="9">
        <v>44981</v>
      </c>
      <c r="D571" t="s">
        <v>958</v>
      </c>
      <c r="E571" s="13">
        <v>7590000</v>
      </c>
      <c r="F571" s="13">
        <v>59940</v>
      </c>
      <c r="G571" s="9">
        <v>44981</v>
      </c>
      <c r="H571" t="s">
        <v>1063</v>
      </c>
      <c r="I571" t="s">
        <v>1074</v>
      </c>
      <c r="J571" s="13">
        <v>168498</v>
      </c>
      <c r="K571">
        <v>3</v>
      </c>
      <c r="L571" t="s">
        <v>1064</v>
      </c>
      <c r="M571" t="s">
        <v>1075</v>
      </c>
      <c r="N571" s="15" t="s">
        <v>6878</v>
      </c>
    </row>
    <row r="572" spans="1:14" x14ac:dyDescent="0.2">
      <c r="A572" t="s">
        <v>1647</v>
      </c>
      <c r="B572" t="s">
        <v>1062</v>
      </c>
      <c r="C572" s="9">
        <v>44981</v>
      </c>
      <c r="D572" t="s">
        <v>958</v>
      </c>
      <c r="E572" s="13">
        <v>7590000</v>
      </c>
      <c r="F572" s="13">
        <v>59940</v>
      </c>
      <c r="G572" s="9">
        <v>44981</v>
      </c>
      <c r="H572" t="s">
        <v>1063</v>
      </c>
      <c r="I572" t="s">
        <v>1074</v>
      </c>
      <c r="J572" s="13">
        <v>168498</v>
      </c>
      <c r="K572">
        <v>3</v>
      </c>
      <c r="L572" t="s">
        <v>1064</v>
      </c>
      <c r="M572" t="s">
        <v>1075</v>
      </c>
      <c r="N572" s="15" t="s">
        <v>6878</v>
      </c>
    </row>
    <row r="573" spans="1:14" x14ac:dyDescent="0.2">
      <c r="A573" t="s">
        <v>1648</v>
      </c>
      <c r="B573" t="s">
        <v>1062</v>
      </c>
      <c r="C573" s="9">
        <v>44981</v>
      </c>
      <c r="D573" t="s">
        <v>958</v>
      </c>
      <c r="E573" s="13">
        <v>2530000</v>
      </c>
      <c r="F573" s="13">
        <v>19980</v>
      </c>
      <c r="G573" s="9">
        <v>44981</v>
      </c>
      <c r="H573" t="s">
        <v>1063</v>
      </c>
      <c r="I573" t="s">
        <v>1074</v>
      </c>
      <c r="J573" s="13">
        <v>56166</v>
      </c>
      <c r="K573">
        <v>1</v>
      </c>
      <c r="L573" t="s">
        <v>1064</v>
      </c>
      <c r="M573" t="s">
        <v>1075</v>
      </c>
      <c r="N573" s="15" t="s">
        <v>6878</v>
      </c>
    </row>
    <row r="574" spans="1:14" x14ac:dyDescent="0.2">
      <c r="A574" t="s">
        <v>1649</v>
      </c>
      <c r="B574" t="s">
        <v>1062</v>
      </c>
      <c r="C574" s="9">
        <v>44981</v>
      </c>
      <c r="D574" t="s">
        <v>442</v>
      </c>
      <c r="E574" s="13">
        <v>3100000</v>
      </c>
      <c r="F574" s="13">
        <v>16650</v>
      </c>
      <c r="G574" s="9">
        <v>45005</v>
      </c>
      <c r="H574" t="s">
        <v>1111</v>
      </c>
      <c r="I574" t="s">
        <v>916</v>
      </c>
      <c r="J574" s="13">
        <v>103230</v>
      </c>
      <c r="K574">
        <v>1</v>
      </c>
      <c r="L574" t="s">
        <v>1064</v>
      </c>
      <c r="M574" t="s">
        <v>1065</v>
      </c>
      <c r="N574" s="15" t="s">
        <v>6878</v>
      </c>
    </row>
    <row r="575" spans="1:14" x14ac:dyDescent="0.2">
      <c r="A575" t="s">
        <v>1650</v>
      </c>
      <c r="B575" t="s">
        <v>1062</v>
      </c>
      <c r="C575" s="9">
        <v>44981</v>
      </c>
      <c r="D575" t="s">
        <v>442</v>
      </c>
      <c r="E575" s="13">
        <v>3100000</v>
      </c>
      <c r="F575" s="13">
        <v>16650</v>
      </c>
      <c r="G575" s="9">
        <v>44994</v>
      </c>
      <c r="H575" t="s">
        <v>1063</v>
      </c>
      <c r="I575" t="s">
        <v>916</v>
      </c>
      <c r="J575" s="13">
        <v>103230</v>
      </c>
      <c r="K575">
        <v>1</v>
      </c>
      <c r="L575" t="s">
        <v>1064</v>
      </c>
      <c r="M575" t="s">
        <v>1065</v>
      </c>
      <c r="N575" s="15" t="s">
        <v>6878</v>
      </c>
    </row>
    <row r="576" spans="1:14" x14ac:dyDescent="0.2">
      <c r="A576" t="s">
        <v>1651</v>
      </c>
      <c r="B576" t="s">
        <v>1062</v>
      </c>
      <c r="C576" s="9">
        <v>44981</v>
      </c>
      <c r="D576" t="s">
        <v>442</v>
      </c>
      <c r="E576" s="13">
        <v>4325000</v>
      </c>
      <c r="F576" s="13">
        <v>16650</v>
      </c>
      <c r="G576" s="9">
        <v>44994</v>
      </c>
      <c r="H576" t="s">
        <v>1063</v>
      </c>
      <c r="I576" t="s">
        <v>916</v>
      </c>
      <c r="J576" s="13">
        <v>144022</v>
      </c>
      <c r="K576">
        <v>1</v>
      </c>
      <c r="L576" t="s">
        <v>1064</v>
      </c>
      <c r="M576" t="s">
        <v>1065</v>
      </c>
      <c r="N576" s="15" t="s">
        <v>6878</v>
      </c>
    </row>
    <row r="577" spans="1:14" x14ac:dyDescent="0.2">
      <c r="A577" t="s">
        <v>1652</v>
      </c>
      <c r="B577" t="s">
        <v>1069</v>
      </c>
      <c r="C577" s="9">
        <v>44981</v>
      </c>
      <c r="D577" t="s">
        <v>442</v>
      </c>
      <c r="E577" s="13">
        <v>2675000</v>
      </c>
      <c r="F577" s="13">
        <v>16650</v>
      </c>
      <c r="G577" s="9">
        <v>45005</v>
      </c>
      <c r="H577" t="s">
        <v>1111</v>
      </c>
      <c r="I577" t="s">
        <v>916</v>
      </c>
      <c r="J577" s="13">
        <v>89077</v>
      </c>
      <c r="K577">
        <v>1</v>
      </c>
      <c r="L577" t="s">
        <v>1064</v>
      </c>
      <c r="M577" t="s">
        <v>1065</v>
      </c>
      <c r="N577" s="15" t="s">
        <v>6878</v>
      </c>
    </row>
    <row r="578" spans="1:14" x14ac:dyDescent="0.2">
      <c r="A578" t="s">
        <v>1653</v>
      </c>
      <c r="B578" t="s">
        <v>1062</v>
      </c>
      <c r="C578" s="9">
        <v>44981</v>
      </c>
      <c r="D578" t="s">
        <v>442</v>
      </c>
      <c r="E578" s="13">
        <v>1950000</v>
      </c>
      <c r="F578" s="13">
        <v>16650</v>
      </c>
      <c r="G578" s="9">
        <v>44994</v>
      </c>
      <c r="H578" t="s">
        <v>1063</v>
      </c>
      <c r="I578" t="s">
        <v>916</v>
      </c>
      <c r="J578" s="13">
        <v>64935</v>
      </c>
      <c r="K578">
        <v>1</v>
      </c>
      <c r="L578" t="s">
        <v>1064</v>
      </c>
      <c r="M578" t="s">
        <v>1065</v>
      </c>
      <c r="N578" s="15" t="s">
        <v>6878</v>
      </c>
    </row>
    <row r="579" spans="1:14" x14ac:dyDescent="0.2">
      <c r="A579" t="s">
        <v>1654</v>
      </c>
      <c r="B579" t="s">
        <v>1062</v>
      </c>
      <c r="C579" s="9">
        <v>44983</v>
      </c>
      <c r="D579" t="s">
        <v>1022</v>
      </c>
      <c r="E579" s="13">
        <v>2000000</v>
      </c>
      <c r="F579" s="13">
        <v>27750</v>
      </c>
      <c r="G579" s="9">
        <v>45022</v>
      </c>
      <c r="H579" t="s">
        <v>1111</v>
      </c>
      <c r="I579" t="s">
        <v>214</v>
      </c>
      <c r="J579" s="13">
        <v>44400</v>
      </c>
      <c r="K579">
        <v>1</v>
      </c>
      <c r="L579" t="s">
        <v>1064</v>
      </c>
      <c r="M579" t="s">
        <v>1112</v>
      </c>
      <c r="N579" s="15" t="s">
        <v>6878</v>
      </c>
    </row>
    <row r="580" spans="1:14" x14ac:dyDescent="0.2">
      <c r="A580" t="s">
        <v>1655</v>
      </c>
      <c r="B580" t="s">
        <v>1062</v>
      </c>
      <c r="C580" s="9">
        <v>44983</v>
      </c>
      <c r="D580" t="s">
        <v>1022</v>
      </c>
      <c r="E580" s="13">
        <v>2000000</v>
      </c>
      <c r="F580" s="13">
        <v>27750</v>
      </c>
      <c r="G580" s="9">
        <v>45022</v>
      </c>
      <c r="H580" t="s">
        <v>1111</v>
      </c>
      <c r="I580" t="s">
        <v>214</v>
      </c>
      <c r="J580" s="13">
        <v>44400</v>
      </c>
      <c r="K580">
        <v>1</v>
      </c>
      <c r="L580" t="s">
        <v>1064</v>
      </c>
      <c r="M580" t="s">
        <v>1112</v>
      </c>
      <c r="N580" s="15" t="s">
        <v>6878</v>
      </c>
    </row>
    <row r="581" spans="1:14" x14ac:dyDescent="0.2">
      <c r="A581" t="s">
        <v>1656</v>
      </c>
      <c r="B581" t="s">
        <v>1062</v>
      </c>
      <c r="C581" s="9">
        <v>44983</v>
      </c>
      <c r="D581" t="s">
        <v>1022</v>
      </c>
      <c r="E581" s="13">
        <v>6000000</v>
      </c>
      <c r="F581" s="13">
        <v>83250</v>
      </c>
      <c r="G581" s="9">
        <v>45022</v>
      </c>
      <c r="H581" t="s">
        <v>1111</v>
      </c>
      <c r="I581" t="s">
        <v>214</v>
      </c>
      <c r="J581" s="13">
        <v>133200</v>
      </c>
      <c r="K581">
        <v>3</v>
      </c>
      <c r="L581" t="s">
        <v>1064</v>
      </c>
      <c r="M581" t="s">
        <v>1112</v>
      </c>
      <c r="N581" s="15" t="s">
        <v>6878</v>
      </c>
    </row>
    <row r="582" spans="1:14" x14ac:dyDescent="0.2">
      <c r="A582" t="s">
        <v>1657</v>
      </c>
      <c r="B582" t="s">
        <v>1062</v>
      </c>
      <c r="C582" s="9">
        <v>44983</v>
      </c>
      <c r="D582" t="s">
        <v>1022</v>
      </c>
      <c r="E582" s="13">
        <v>2000000</v>
      </c>
      <c r="F582" s="13">
        <v>27750</v>
      </c>
      <c r="G582" s="9">
        <v>45022</v>
      </c>
      <c r="H582" t="s">
        <v>1111</v>
      </c>
      <c r="I582" t="s">
        <v>214</v>
      </c>
      <c r="J582" s="13">
        <v>44400</v>
      </c>
      <c r="K582">
        <v>1</v>
      </c>
      <c r="L582" t="s">
        <v>1064</v>
      </c>
      <c r="M582" t="s">
        <v>1112</v>
      </c>
      <c r="N582" s="15" t="s">
        <v>6878</v>
      </c>
    </row>
    <row r="583" spans="1:14" x14ac:dyDescent="0.2">
      <c r="A583" t="s">
        <v>1658</v>
      </c>
      <c r="B583" t="s">
        <v>1062</v>
      </c>
      <c r="C583" s="9">
        <v>44983</v>
      </c>
      <c r="D583" t="s">
        <v>1022</v>
      </c>
      <c r="E583" s="13">
        <v>2000000</v>
      </c>
      <c r="F583" s="13">
        <v>25000</v>
      </c>
      <c r="H583" t="s">
        <v>1659</v>
      </c>
      <c r="I583" t="s">
        <v>214</v>
      </c>
      <c r="J583" s="13">
        <v>0</v>
      </c>
      <c r="K583">
        <v>1</v>
      </c>
      <c r="L583" t="s">
        <v>1064</v>
      </c>
      <c r="M583" t="s">
        <v>1112</v>
      </c>
      <c r="N583" s="14" t="s">
        <v>6877</v>
      </c>
    </row>
    <row r="584" spans="1:14" x14ac:dyDescent="0.2">
      <c r="A584" t="s">
        <v>1660</v>
      </c>
      <c r="B584" t="s">
        <v>1062</v>
      </c>
      <c r="C584" s="9">
        <v>44983</v>
      </c>
      <c r="D584" t="s">
        <v>1022</v>
      </c>
      <c r="E584" s="13">
        <v>2000000</v>
      </c>
      <c r="F584" s="13">
        <v>25000</v>
      </c>
      <c r="H584" t="s">
        <v>1659</v>
      </c>
      <c r="I584" t="s">
        <v>214</v>
      </c>
      <c r="J584" s="13">
        <v>0</v>
      </c>
      <c r="K584">
        <v>1</v>
      </c>
      <c r="L584" t="s">
        <v>1064</v>
      </c>
      <c r="M584" t="s">
        <v>1112</v>
      </c>
      <c r="N584" s="14" t="s">
        <v>6877</v>
      </c>
    </row>
    <row r="585" spans="1:14" x14ac:dyDescent="0.2">
      <c r="A585" t="s">
        <v>1661</v>
      </c>
      <c r="B585" t="s">
        <v>1062</v>
      </c>
      <c r="C585" s="9">
        <v>44983</v>
      </c>
      <c r="D585" t="s">
        <v>1022</v>
      </c>
      <c r="E585" s="13">
        <v>2000000</v>
      </c>
      <c r="F585" s="13">
        <v>25000</v>
      </c>
      <c r="H585" t="s">
        <v>1659</v>
      </c>
      <c r="I585" t="s">
        <v>214</v>
      </c>
      <c r="J585" s="13">
        <v>0</v>
      </c>
      <c r="K585">
        <v>1</v>
      </c>
      <c r="L585" t="s">
        <v>1064</v>
      </c>
      <c r="M585" t="s">
        <v>1112</v>
      </c>
      <c r="N585" s="14" t="s">
        <v>6877</v>
      </c>
    </row>
    <row r="586" spans="1:14" x14ac:dyDescent="0.2">
      <c r="A586" t="s">
        <v>1662</v>
      </c>
      <c r="B586" t="s">
        <v>1062</v>
      </c>
      <c r="C586" s="9">
        <v>44983</v>
      </c>
      <c r="D586" t="s">
        <v>1022</v>
      </c>
      <c r="E586" s="13">
        <v>6000000</v>
      </c>
      <c r="F586" s="13">
        <v>25000</v>
      </c>
      <c r="H586" t="s">
        <v>1659</v>
      </c>
      <c r="I586" t="s">
        <v>214</v>
      </c>
      <c r="J586" s="13">
        <v>0</v>
      </c>
      <c r="K586">
        <v>3</v>
      </c>
      <c r="L586" t="s">
        <v>1064</v>
      </c>
      <c r="M586" t="s">
        <v>1112</v>
      </c>
      <c r="N586" s="14" t="s">
        <v>6877</v>
      </c>
    </row>
    <row r="587" spans="1:14" x14ac:dyDescent="0.2">
      <c r="A587" t="s">
        <v>1663</v>
      </c>
      <c r="B587" t="s">
        <v>1062</v>
      </c>
      <c r="C587" s="9">
        <v>44983</v>
      </c>
      <c r="D587" t="s">
        <v>1022</v>
      </c>
      <c r="E587" s="13">
        <v>2000000</v>
      </c>
      <c r="F587" s="13">
        <v>25000</v>
      </c>
      <c r="H587" t="s">
        <v>1659</v>
      </c>
      <c r="I587" t="s">
        <v>214</v>
      </c>
      <c r="J587" s="13">
        <v>0</v>
      </c>
      <c r="K587">
        <v>1</v>
      </c>
      <c r="L587" t="s">
        <v>1064</v>
      </c>
      <c r="M587" t="s">
        <v>1112</v>
      </c>
      <c r="N587" s="14" t="s">
        <v>6877</v>
      </c>
    </row>
    <row r="588" spans="1:14" x14ac:dyDescent="0.2">
      <c r="A588" t="s">
        <v>1664</v>
      </c>
      <c r="B588" t="s">
        <v>1062</v>
      </c>
      <c r="C588" s="9">
        <v>44983</v>
      </c>
      <c r="D588" t="s">
        <v>1022</v>
      </c>
      <c r="E588" s="13">
        <v>2000000</v>
      </c>
      <c r="F588" s="13">
        <v>25000</v>
      </c>
      <c r="H588" t="s">
        <v>1659</v>
      </c>
      <c r="I588" t="s">
        <v>214</v>
      </c>
      <c r="J588" s="13">
        <v>0</v>
      </c>
      <c r="K588">
        <v>1</v>
      </c>
      <c r="L588" t="s">
        <v>1064</v>
      </c>
      <c r="M588" t="s">
        <v>1112</v>
      </c>
      <c r="N588" s="14" t="s">
        <v>6877</v>
      </c>
    </row>
    <row r="589" spans="1:14" x14ac:dyDescent="0.2">
      <c r="A589" t="s">
        <v>1665</v>
      </c>
      <c r="B589" t="s">
        <v>1062</v>
      </c>
      <c r="C589" s="9">
        <v>44983</v>
      </c>
      <c r="D589" t="s">
        <v>1022</v>
      </c>
      <c r="E589" s="13">
        <v>2000000</v>
      </c>
      <c r="F589" s="13">
        <v>25000</v>
      </c>
      <c r="H589" t="s">
        <v>1659</v>
      </c>
      <c r="I589" t="s">
        <v>214</v>
      </c>
      <c r="J589" s="13">
        <v>0</v>
      </c>
      <c r="K589">
        <v>1</v>
      </c>
      <c r="L589" t="s">
        <v>1064</v>
      </c>
      <c r="M589" t="s">
        <v>1112</v>
      </c>
      <c r="N589" s="14" t="s">
        <v>6877</v>
      </c>
    </row>
    <row r="590" spans="1:14" x14ac:dyDescent="0.2">
      <c r="A590" t="s">
        <v>1666</v>
      </c>
      <c r="B590" t="s">
        <v>1062</v>
      </c>
      <c r="C590" s="9">
        <v>44983</v>
      </c>
      <c r="D590" t="s">
        <v>1022</v>
      </c>
      <c r="E590" s="13">
        <v>2000000</v>
      </c>
      <c r="F590" s="13">
        <v>25000</v>
      </c>
      <c r="H590" t="s">
        <v>1659</v>
      </c>
      <c r="I590" t="s">
        <v>214</v>
      </c>
      <c r="J590" s="13">
        <v>0</v>
      </c>
      <c r="K590">
        <v>1</v>
      </c>
      <c r="L590" t="s">
        <v>1064</v>
      </c>
      <c r="M590" t="s">
        <v>1112</v>
      </c>
      <c r="N590" s="14" t="s">
        <v>6877</v>
      </c>
    </row>
    <row r="591" spans="1:14" x14ac:dyDescent="0.2">
      <c r="A591" t="s">
        <v>1667</v>
      </c>
      <c r="B591" t="s">
        <v>1062</v>
      </c>
      <c r="C591" s="9">
        <v>44985</v>
      </c>
      <c r="D591" t="s">
        <v>442</v>
      </c>
      <c r="E591" s="13">
        <v>1825000</v>
      </c>
      <c r="F591" s="13">
        <v>16650</v>
      </c>
      <c r="G591" s="9">
        <v>44994</v>
      </c>
      <c r="H591" t="s">
        <v>1063</v>
      </c>
      <c r="I591" t="s">
        <v>916</v>
      </c>
      <c r="J591" s="13">
        <v>60772</v>
      </c>
      <c r="K591">
        <v>1</v>
      </c>
      <c r="L591" t="s">
        <v>1064</v>
      </c>
      <c r="M591" t="s">
        <v>1065</v>
      </c>
      <c r="N591" s="15" t="s">
        <v>6878</v>
      </c>
    </row>
    <row r="592" spans="1:14" x14ac:dyDescent="0.2">
      <c r="A592" t="s">
        <v>1668</v>
      </c>
      <c r="B592" t="s">
        <v>1062</v>
      </c>
      <c r="C592" s="9">
        <v>44985</v>
      </c>
      <c r="D592" t="s">
        <v>442</v>
      </c>
      <c r="E592" s="13">
        <v>2625000</v>
      </c>
      <c r="F592" s="13">
        <v>16650</v>
      </c>
      <c r="G592" s="9">
        <v>45005</v>
      </c>
      <c r="H592" t="s">
        <v>1111</v>
      </c>
      <c r="I592" t="s">
        <v>916</v>
      </c>
      <c r="J592" s="13">
        <v>87412</v>
      </c>
      <c r="K592">
        <v>1</v>
      </c>
      <c r="L592" t="s">
        <v>1064</v>
      </c>
      <c r="M592" t="s">
        <v>1065</v>
      </c>
      <c r="N592" s="15" t="s">
        <v>6878</v>
      </c>
    </row>
    <row r="593" spans="1:14" x14ac:dyDescent="0.2">
      <c r="A593" t="s">
        <v>1669</v>
      </c>
      <c r="B593" t="s">
        <v>1062</v>
      </c>
      <c r="C593" s="9">
        <v>44985</v>
      </c>
      <c r="D593" t="s">
        <v>442</v>
      </c>
      <c r="E593" s="13">
        <v>875000</v>
      </c>
      <c r="F593" s="13">
        <v>16650</v>
      </c>
      <c r="G593" s="9">
        <v>45010</v>
      </c>
      <c r="H593" t="s">
        <v>1111</v>
      </c>
      <c r="I593" t="s">
        <v>916</v>
      </c>
      <c r="J593" s="13">
        <v>29137</v>
      </c>
      <c r="K593">
        <v>1</v>
      </c>
      <c r="L593" t="s">
        <v>1064</v>
      </c>
      <c r="M593" t="s">
        <v>1065</v>
      </c>
      <c r="N593" s="15" t="s">
        <v>6878</v>
      </c>
    </row>
    <row r="594" spans="1:14" x14ac:dyDescent="0.2">
      <c r="A594" t="s">
        <v>1670</v>
      </c>
      <c r="B594" t="s">
        <v>1062</v>
      </c>
      <c r="C594" s="9">
        <v>44985</v>
      </c>
      <c r="D594" t="s">
        <v>442</v>
      </c>
      <c r="E594" s="13">
        <v>2160000</v>
      </c>
      <c r="F594" s="13">
        <v>16650</v>
      </c>
      <c r="G594" s="9">
        <v>45010</v>
      </c>
      <c r="H594" t="s">
        <v>1111</v>
      </c>
      <c r="I594" t="s">
        <v>916</v>
      </c>
      <c r="J594" s="13">
        <v>71928</v>
      </c>
      <c r="K594">
        <v>1</v>
      </c>
      <c r="L594" t="s">
        <v>1064</v>
      </c>
      <c r="M594" t="s">
        <v>1065</v>
      </c>
      <c r="N594" s="15" t="s">
        <v>6878</v>
      </c>
    </row>
    <row r="595" spans="1:14" x14ac:dyDescent="0.2">
      <c r="A595" t="s">
        <v>1671</v>
      </c>
      <c r="B595" t="s">
        <v>1062</v>
      </c>
      <c r="C595" s="9">
        <v>44985</v>
      </c>
      <c r="D595" t="s">
        <v>442</v>
      </c>
      <c r="E595" s="13">
        <v>1000000</v>
      </c>
      <c r="F595" s="13">
        <v>16650</v>
      </c>
      <c r="G595" s="9">
        <v>45010</v>
      </c>
      <c r="H595" t="s">
        <v>1111</v>
      </c>
      <c r="I595" t="s">
        <v>916</v>
      </c>
      <c r="J595" s="13">
        <v>33300</v>
      </c>
      <c r="K595">
        <v>1</v>
      </c>
      <c r="L595" t="s">
        <v>1064</v>
      </c>
      <c r="M595" t="s">
        <v>1065</v>
      </c>
      <c r="N595" s="15" t="s">
        <v>6878</v>
      </c>
    </row>
    <row r="596" spans="1:14" x14ac:dyDescent="0.2">
      <c r="A596" t="s">
        <v>1672</v>
      </c>
      <c r="B596" t="s">
        <v>1069</v>
      </c>
      <c r="C596" s="9">
        <v>44985</v>
      </c>
      <c r="D596" t="s">
        <v>442</v>
      </c>
      <c r="E596" s="13">
        <v>1225000</v>
      </c>
      <c r="F596" s="13">
        <v>16650</v>
      </c>
      <c r="G596" s="9">
        <v>45010</v>
      </c>
      <c r="H596" t="s">
        <v>1111</v>
      </c>
      <c r="I596" t="s">
        <v>916</v>
      </c>
      <c r="J596" s="13">
        <v>40792</v>
      </c>
      <c r="K596">
        <v>1</v>
      </c>
      <c r="L596" t="s">
        <v>1064</v>
      </c>
      <c r="M596" t="s">
        <v>1065</v>
      </c>
      <c r="N596" s="15" t="s">
        <v>6878</v>
      </c>
    </row>
    <row r="597" spans="1:14" x14ac:dyDescent="0.2">
      <c r="A597" t="s">
        <v>1673</v>
      </c>
      <c r="B597" t="s">
        <v>1062</v>
      </c>
      <c r="C597" s="9">
        <v>44985</v>
      </c>
      <c r="D597" t="s">
        <v>442</v>
      </c>
      <c r="E597" s="13">
        <v>2625000</v>
      </c>
      <c r="F597" s="13">
        <v>16650</v>
      </c>
      <c r="G597" s="9">
        <v>44994</v>
      </c>
      <c r="H597" t="s">
        <v>1111</v>
      </c>
      <c r="I597" t="s">
        <v>916</v>
      </c>
      <c r="J597" s="13">
        <v>87412</v>
      </c>
      <c r="K597">
        <v>1</v>
      </c>
      <c r="L597" t="s">
        <v>1064</v>
      </c>
      <c r="M597" t="s">
        <v>1065</v>
      </c>
      <c r="N597" s="15" t="s">
        <v>6878</v>
      </c>
    </row>
    <row r="598" spans="1:14" x14ac:dyDescent="0.2">
      <c r="A598" t="s">
        <v>1674</v>
      </c>
      <c r="B598" t="s">
        <v>1062</v>
      </c>
      <c r="C598" s="9">
        <v>44985</v>
      </c>
      <c r="D598" t="s">
        <v>1022</v>
      </c>
      <c r="E598" s="13">
        <v>2000000</v>
      </c>
      <c r="F598" s="13">
        <v>25000</v>
      </c>
      <c r="H598" t="s">
        <v>1659</v>
      </c>
      <c r="I598" t="s">
        <v>214</v>
      </c>
      <c r="J598" s="13">
        <v>0</v>
      </c>
      <c r="K598">
        <v>1</v>
      </c>
      <c r="L598" t="s">
        <v>1064</v>
      </c>
      <c r="M598" t="s">
        <v>1112</v>
      </c>
      <c r="N598" s="14" t="s">
        <v>6877</v>
      </c>
    </row>
    <row r="599" spans="1:14" x14ac:dyDescent="0.2">
      <c r="A599" t="s">
        <v>1675</v>
      </c>
      <c r="B599" t="s">
        <v>1062</v>
      </c>
      <c r="C599" s="9">
        <v>44985</v>
      </c>
      <c r="D599" t="s">
        <v>1022</v>
      </c>
      <c r="E599" s="13">
        <v>2000000</v>
      </c>
      <c r="F599" s="13">
        <v>25000</v>
      </c>
      <c r="H599" t="s">
        <v>1659</v>
      </c>
      <c r="I599" t="s">
        <v>214</v>
      </c>
      <c r="J599" s="13">
        <v>0</v>
      </c>
      <c r="K599">
        <v>1</v>
      </c>
      <c r="L599" t="s">
        <v>1064</v>
      </c>
      <c r="M599" t="s">
        <v>1112</v>
      </c>
      <c r="N599" s="14" t="s">
        <v>6877</v>
      </c>
    </row>
    <row r="600" spans="1:14" x14ac:dyDescent="0.2">
      <c r="A600" t="s">
        <v>1676</v>
      </c>
      <c r="B600" t="s">
        <v>1062</v>
      </c>
      <c r="C600" s="9">
        <v>44985</v>
      </c>
      <c r="D600" t="s">
        <v>1022</v>
      </c>
      <c r="E600" s="13">
        <v>2000000</v>
      </c>
      <c r="F600" s="13">
        <v>25000</v>
      </c>
      <c r="H600" t="s">
        <v>1659</v>
      </c>
      <c r="I600" t="s">
        <v>214</v>
      </c>
      <c r="J600" s="13">
        <v>0</v>
      </c>
      <c r="K600">
        <v>1</v>
      </c>
      <c r="L600" t="s">
        <v>1064</v>
      </c>
      <c r="M600" t="s">
        <v>1112</v>
      </c>
      <c r="N600" s="14" t="s">
        <v>6877</v>
      </c>
    </row>
    <row r="601" spans="1:14" x14ac:dyDescent="0.2">
      <c r="A601" t="s">
        <v>1677</v>
      </c>
      <c r="B601" t="s">
        <v>1062</v>
      </c>
      <c r="C601" s="9">
        <v>44985</v>
      </c>
      <c r="D601" t="s">
        <v>442</v>
      </c>
      <c r="E601" s="13">
        <v>1000000</v>
      </c>
      <c r="F601" s="13">
        <v>16650</v>
      </c>
      <c r="G601" s="9">
        <v>44994</v>
      </c>
      <c r="H601" t="s">
        <v>1063</v>
      </c>
      <c r="I601" t="s">
        <v>916</v>
      </c>
      <c r="J601" s="13">
        <v>33300</v>
      </c>
      <c r="K601">
        <v>1</v>
      </c>
      <c r="L601" t="s">
        <v>1064</v>
      </c>
      <c r="M601" t="s">
        <v>1065</v>
      </c>
      <c r="N601" s="15" t="s">
        <v>6878</v>
      </c>
    </row>
    <row r="602" spans="1:14" x14ac:dyDescent="0.2">
      <c r="A602" t="s">
        <v>1678</v>
      </c>
      <c r="B602" t="s">
        <v>1062</v>
      </c>
      <c r="C602" s="9">
        <v>44985</v>
      </c>
      <c r="D602" t="s">
        <v>1022</v>
      </c>
      <c r="E602" s="13">
        <v>2000000</v>
      </c>
      <c r="F602" s="13">
        <v>25000</v>
      </c>
      <c r="H602" t="s">
        <v>1659</v>
      </c>
      <c r="I602" t="s">
        <v>214</v>
      </c>
      <c r="J602" s="13">
        <v>0</v>
      </c>
      <c r="K602">
        <v>1</v>
      </c>
      <c r="L602" t="s">
        <v>1064</v>
      </c>
      <c r="M602" t="s">
        <v>1112</v>
      </c>
      <c r="N602" s="14" t="s">
        <v>6877</v>
      </c>
    </row>
    <row r="603" spans="1:14" x14ac:dyDescent="0.2">
      <c r="A603" t="s">
        <v>1679</v>
      </c>
      <c r="B603" t="s">
        <v>1062</v>
      </c>
      <c r="C603" s="9">
        <v>44985</v>
      </c>
      <c r="D603" t="s">
        <v>1022</v>
      </c>
      <c r="E603" s="13">
        <v>2000000</v>
      </c>
      <c r="F603" s="13">
        <v>25000</v>
      </c>
      <c r="H603" t="s">
        <v>1659</v>
      </c>
      <c r="I603" t="s">
        <v>214</v>
      </c>
      <c r="J603" s="13">
        <v>0</v>
      </c>
      <c r="K603">
        <v>1</v>
      </c>
      <c r="L603" t="s">
        <v>1064</v>
      </c>
      <c r="M603" t="s">
        <v>1112</v>
      </c>
      <c r="N603" s="14" t="s">
        <v>6877</v>
      </c>
    </row>
    <row r="604" spans="1:14" x14ac:dyDescent="0.2">
      <c r="A604" t="s">
        <v>1680</v>
      </c>
      <c r="B604" t="s">
        <v>1062</v>
      </c>
      <c r="C604" s="9">
        <v>44985</v>
      </c>
      <c r="D604" t="s">
        <v>1022</v>
      </c>
      <c r="E604" s="13">
        <v>2000000</v>
      </c>
      <c r="F604" s="13">
        <v>25000</v>
      </c>
      <c r="H604" t="s">
        <v>1659</v>
      </c>
      <c r="I604" t="s">
        <v>214</v>
      </c>
      <c r="J604" s="13">
        <v>0</v>
      </c>
      <c r="K604">
        <v>1</v>
      </c>
      <c r="L604" t="s">
        <v>1064</v>
      </c>
      <c r="M604" t="s">
        <v>1112</v>
      </c>
      <c r="N604" s="14" t="s">
        <v>6877</v>
      </c>
    </row>
    <row r="605" spans="1:14" x14ac:dyDescent="0.2">
      <c r="A605" t="s">
        <v>1681</v>
      </c>
      <c r="B605" t="s">
        <v>1062</v>
      </c>
      <c r="C605" s="9">
        <v>44986</v>
      </c>
      <c r="D605" t="s">
        <v>442</v>
      </c>
      <c r="E605" s="13">
        <v>2625000</v>
      </c>
      <c r="F605" s="13">
        <v>16650</v>
      </c>
      <c r="G605" s="9">
        <v>45010</v>
      </c>
      <c r="H605" t="s">
        <v>1111</v>
      </c>
      <c r="I605" t="s">
        <v>916</v>
      </c>
      <c r="J605" s="13">
        <v>87412</v>
      </c>
      <c r="K605">
        <v>1</v>
      </c>
      <c r="L605" t="s">
        <v>1064</v>
      </c>
      <c r="M605" t="s">
        <v>1065</v>
      </c>
      <c r="N605" s="15" t="s">
        <v>6878</v>
      </c>
    </row>
    <row r="606" spans="1:14" x14ac:dyDescent="0.2">
      <c r="A606" t="s">
        <v>1682</v>
      </c>
      <c r="B606" t="s">
        <v>1062</v>
      </c>
      <c r="C606" s="9">
        <v>44986</v>
      </c>
      <c r="D606" t="s">
        <v>442</v>
      </c>
      <c r="E606" s="13">
        <v>2625000</v>
      </c>
      <c r="F606" s="13">
        <v>16650</v>
      </c>
      <c r="G606" s="9">
        <v>45010</v>
      </c>
      <c r="H606" t="s">
        <v>1111</v>
      </c>
      <c r="I606" t="s">
        <v>916</v>
      </c>
      <c r="J606" s="13">
        <v>87412</v>
      </c>
      <c r="K606">
        <v>1</v>
      </c>
      <c r="L606" t="s">
        <v>1064</v>
      </c>
      <c r="M606" t="s">
        <v>1065</v>
      </c>
      <c r="N606" s="15" t="s">
        <v>6878</v>
      </c>
    </row>
    <row r="607" spans="1:14" x14ac:dyDescent="0.2">
      <c r="A607" t="s">
        <v>1683</v>
      </c>
      <c r="B607" t="s">
        <v>1062</v>
      </c>
      <c r="C607" s="9">
        <v>44986</v>
      </c>
      <c r="D607" t="s">
        <v>442</v>
      </c>
      <c r="E607" s="13">
        <v>2900000</v>
      </c>
      <c r="F607" s="13">
        <v>16650</v>
      </c>
      <c r="G607" s="9">
        <v>45010</v>
      </c>
      <c r="H607" t="s">
        <v>1111</v>
      </c>
      <c r="I607" t="s">
        <v>916</v>
      </c>
      <c r="J607" s="13">
        <v>96570</v>
      </c>
      <c r="K607">
        <v>1</v>
      </c>
      <c r="L607" t="s">
        <v>1064</v>
      </c>
      <c r="M607" t="s">
        <v>1065</v>
      </c>
      <c r="N607" s="15" t="s">
        <v>6878</v>
      </c>
    </row>
    <row r="608" spans="1:14" x14ac:dyDescent="0.2">
      <c r="A608" t="s">
        <v>1684</v>
      </c>
      <c r="B608" t="s">
        <v>1062</v>
      </c>
      <c r="C608" s="9">
        <v>44986</v>
      </c>
      <c r="D608" t="s">
        <v>442</v>
      </c>
      <c r="E608" s="13">
        <v>2900000</v>
      </c>
      <c r="F608" s="13">
        <v>16650</v>
      </c>
      <c r="G608" s="9">
        <v>45010</v>
      </c>
      <c r="H608" t="s">
        <v>1111</v>
      </c>
      <c r="I608" t="s">
        <v>916</v>
      </c>
      <c r="J608" s="13">
        <v>96570</v>
      </c>
      <c r="K608">
        <v>1</v>
      </c>
      <c r="L608" t="s">
        <v>1064</v>
      </c>
      <c r="M608" t="s">
        <v>1065</v>
      </c>
      <c r="N608" s="15" t="s">
        <v>6878</v>
      </c>
    </row>
    <row r="609" spans="1:14" x14ac:dyDescent="0.2">
      <c r="A609" t="s">
        <v>1685</v>
      </c>
      <c r="B609" t="s">
        <v>1062</v>
      </c>
      <c r="C609" s="9">
        <v>44986</v>
      </c>
      <c r="D609" t="s">
        <v>442</v>
      </c>
      <c r="E609" s="13">
        <v>2900000</v>
      </c>
      <c r="F609" s="13">
        <v>16650</v>
      </c>
      <c r="G609" s="9">
        <v>45010</v>
      </c>
      <c r="H609" t="s">
        <v>1111</v>
      </c>
      <c r="I609" t="s">
        <v>916</v>
      </c>
      <c r="J609" s="13">
        <v>96570</v>
      </c>
      <c r="K609">
        <v>1</v>
      </c>
      <c r="L609" t="s">
        <v>1064</v>
      </c>
      <c r="M609" t="s">
        <v>1065</v>
      </c>
      <c r="N609" s="15" t="s">
        <v>6878</v>
      </c>
    </row>
    <row r="610" spans="1:14" x14ac:dyDescent="0.2">
      <c r="A610" t="s">
        <v>1686</v>
      </c>
      <c r="B610" t="s">
        <v>1062</v>
      </c>
      <c r="C610" s="9">
        <v>44986</v>
      </c>
      <c r="D610" t="s">
        <v>442</v>
      </c>
      <c r="E610" s="13">
        <v>2900000</v>
      </c>
      <c r="F610" s="13">
        <v>16650</v>
      </c>
      <c r="G610" s="9">
        <v>45010</v>
      </c>
      <c r="H610" t="s">
        <v>1111</v>
      </c>
      <c r="I610" t="s">
        <v>916</v>
      </c>
      <c r="J610" s="13">
        <v>96570</v>
      </c>
      <c r="K610">
        <v>1</v>
      </c>
      <c r="L610" t="s">
        <v>1064</v>
      </c>
      <c r="M610" t="s">
        <v>1065</v>
      </c>
      <c r="N610" s="15" t="s">
        <v>6878</v>
      </c>
    </row>
    <row r="611" spans="1:14" x14ac:dyDescent="0.2">
      <c r="A611" t="s">
        <v>1687</v>
      </c>
      <c r="B611" t="s">
        <v>1062</v>
      </c>
      <c r="C611" s="9">
        <v>44986</v>
      </c>
      <c r="D611" t="s">
        <v>442</v>
      </c>
      <c r="E611" s="13">
        <v>2900000</v>
      </c>
      <c r="F611" s="13">
        <v>16650</v>
      </c>
      <c r="G611" s="9">
        <v>45010</v>
      </c>
      <c r="H611" t="s">
        <v>1111</v>
      </c>
      <c r="I611" t="s">
        <v>916</v>
      </c>
      <c r="J611" s="13">
        <v>96570</v>
      </c>
      <c r="K611">
        <v>1</v>
      </c>
      <c r="L611" t="s">
        <v>1064</v>
      </c>
      <c r="M611" t="s">
        <v>1065</v>
      </c>
      <c r="N611" s="15" t="s">
        <v>6878</v>
      </c>
    </row>
    <row r="612" spans="1:14" x14ac:dyDescent="0.2">
      <c r="A612" t="s">
        <v>1688</v>
      </c>
      <c r="B612" t="s">
        <v>1062</v>
      </c>
      <c r="C612" s="9">
        <v>44986</v>
      </c>
      <c r="D612" t="s">
        <v>442</v>
      </c>
      <c r="E612" s="13">
        <v>2900000</v>
      </c>
      <c r="F612" s="13">
        <v>16650</v>
      </c>
      <c r="G612" s="9">
        <v>45010</v>
      </c>
      <c r="H612" t="s">
        <v>1111</v>
      </c>
      <c r="I612" t="s">
        <v>916</v>
      </c>
      <c r="J612" s="13">
        <v>96570</v>
      </c>
      <c r="K612">
        <v>1</v>
      </c>
      <c r="L612" t="s">
        <v>1064</v>
      </c>
      <c r="M612" t="s">
        <v>1065</v>
      </c>
      <c r="N612" s="15" t="s">
        <v>6878</v>
      </c>
    </row>
    <row r="613" spans="1:14" x14ac:dyDescent="0.2">
      <c r="A613" t="s">
        <v>1689</v>
      </c>
      <c r="B613" t="s">
        <v>1062</v>
      </c>
      <c r="C613" s="9">
        <v>44986</v>
      </c>
      <c r="D613" t="s">
        <v>442</v>
      </c>
      <c r="E613" s="13">
        <v>2900000</v>
      </c>
      <c r="F613" s="13">
        <v>16650</v>
      </c>
      <c r="G613" s="9">
        <v>45010</v>
      </c>
      <c r="H613" t="s">
        <v>1111</v>
      </c>
      <c r="I613" t="s">
        <v>916</v>
      </c>
      <c r="J613" s="13">
        <v>96570</v>
      </c>
      <c r="K613">
        <v>1</v>
      </c>
      <c r="L613" t="s">
        <v>1064</v>
      </c>
      <c r="M613" t="s">
        <v>1065</v>
      </c>
      <c r="N613" s="15" t="s">
        <v>6878</v>
      </c>
    </row>
    <row r="614" spans="1:14" x14ac:dyDescent="0.2">
      <c r="A614" t="s">
        <v>1690</v>
      </c>
      <c r="B614" t="s">
        <v>1062</v>
      </c>
      <c r="C614" s="9">
        <v>44986</v>
      </c>
      <c r="D614" t="s">
        <v>442</v>
      </c>
      <c r="E614" s="13">
        <v>2900000</v>
      </c>
      <c r="F614" s="13">
        <v>16650</v>
      </c>
      <c r="G614" s="9">
        <v>45010</v>
      </c>
      <c r="H614" t="s">
        <v>1111</v>
      </c>
      <c r="I614" t="s">
        <v>916</v>
      </c>
      <c r="J614" s="13">
        <v>96570</v>
      </c>
      <c r="K614">
        <v>1</v>
      </c>
      <c r="L614" t="s">
        <v>1064</v>
      </c>
      <c r="M614" t="s">
        <v>1065</v>
      </c>
      <c r="N614" s="15" t="s">
        <v>6878</v>
      </c>
    </row>
    <row r="615" spans="1:14" x14ac:dyDescent="0.2">
      <c r="A615" t="s">
        <v>1691</v>
      </c>
      <c r="B615" t="s">
        <v>1062</v>
      </c>
      <c r="C615" s="9">
        <v>44986</v>
      </c>
      <c r="D615" t="s">
        <v>442</v>
      </c>
      <c r="E615" s="13">
        <v>2900000</v>
      </c>
      <c r="F615" s="13">
        <v>16650</v>
      </c>
      <c r="G615" s="9">
        <v>45010</v>
      </c>
      <c r="H615" t="s">
        <v>1111</v>
      </c>
      <c r="I615" t="s">
        <v>916</v>
      </c>
      <c r="J615" s="13">
        <v>96570</v>
      </c>
      <c r="K615">
        <v>1</v>
      </c>
      <c r="L615" t="s">
        <v>1064</v>
      </c>
      <c r="M615" t="s">
        <v>1065</v>
      </c>
      <c r="N615" s="15" t="s">
        <v>6878</v>
      </c>
    </row>
    <row r="616" spans="1:14" x14ac:dyDescent="0.2">
      <c r="A616" t="s">
        <v>1692</v>
      </c>
      <c r="B616" t="s">
        <v>1062</v>
      </c>
      <c r="C616" s="9">
        <v>44986</v>
      </c>
      <c r="D616" t="s">
        <v>442</v>
      </c>
      <c r="E616" s="13">
        <v>2900000</v>
      </c>
      <c r="F616" s="13">
        <v>16650</v>
      </c>
      <c r="G616" s="9">
        <v>45010</v>
      </c>
      <c r="H616" t="s">
        <v>1111</v>
      </c>
      <c r="I616" t="s">
        <v>916</v>
      </c>
      <c r="J616" s="13">
        <v>96570</v>
      </c>
      <c r="K616">
        <v>1</v>
      </c>
      <c r="L616" t="s">
        <v>1064</v>
      </c>
      <c r="M616" t="s">
        <v>1065</v>
      </c>
      <c r="N616" s="15" t="s">
        <v>6878</v>
      </c>
    </row>
    <row r="617" spans="1:14" x14ac:dyDescent="0.2">
      <c r="A617" t="s">
        <v>1693</v>
      </c>
      <c r="B617" t="s">
        <v>1062</v>
      </c>
      <c r="C617" s="9">
        <v>44986</v>
      </c>
      <c r="D617" t="s">
        <v>442</v>
      </c>
      <c r="E617" s="13">
        <v>2900000</v>
      </c>
      <c r="F617" s="13">
        <v>16650</v>
      </c>
      <c r="G617" s="9">
        <v>45010</v>
      </c>
      <c r="H617" t="s">
        <v>1111</v>
      </c>
      <c r="I617" t="s">
        <v>916</v>
      </c>
      <c r="J617" s="13">
        <v>96570</v>
      </c>
      <c r="K617">
        <v>1</v>
      </c>
      <c r="L617" t="s">
        <v>1064</v>
      </c>
      <c r="M617" t="s">
        <v>1065</v>
      </c>
      <c r="N617" s="15" t="s">
        <v>6878</v>
      </c>
    </row>
    <row r="618" spans="1:14" x14ac:dyDescent="0.2">
      <c r="A618" t="s">
        <v>1694</v>
      </c>
      <c r="B618" t="s">
        <v>1062</v>
      </c>
      <c r="C618" s="9">
        <v>44987</v>
      </c>
      <c r="D618" t="s">
        <v>442</v>
      </c>
      <c r="E618" s="13">
        <v>2900000</v>
      </c>
      <c r="F618" s="13">
        <v>16650</v>
      </c>
      <c r="G618" s="9">
        <v>45010</v>
      </c>
      <c r="H618" t="s">
        <v>1111</v>
      </c>
      <c r="I618" t="s">
        <v>916</v>
      </c>
      <c r="J618" s="13">
        <v>96570</v>
      </c>
      <c r="K618">
        <v>1</v>
      </c>
      <c r="L618" t="s">
        <v>1064</v>
      </c>
      <c r="M618" t="s">
        <v>1065</v>
      </c>
      <c r="N618" s="15" t="s">
        <v>6878</v>
      </c>
    </row>
    <row r="619" spans="1:14" x14ac:dyDescent="0.2">
      <c r="A619" t="s">
        <v>1695</v>
      </c>
      <c r="B619" t="s">
        <v>1062</v>
      </c>
      <c r="C619" s="9">
        <v>44987</v>
      </c>
      <c r="D619" t="s">
        <v>442</v>
      </c>
      <c r="E619" s="13">
        <v>1050000</v>
      </c>
      <c r="F619" s="13">
        <v>16650</v>
      </c>
      <c r="G619" s="9">
        <v>45010</v>
      </c>
      <c r="H619" t="s">
        <v>1111</v>
      </c>
      <c r="I619" t="s">
        <v>916</v>
      </c>
      <c r="J619" s="13">
        <v>34965</v>
      </c>
      <c r="K619">
        <v>1</v>
      </c>
      <c r="L619" t="s">
        <v>1064</v>
      </c>
      <c r="M619" t="s">
        <v>1065</v>
      </c>
      <c r="N619" s="15" t="s">
        <v>6878</v>
      </c>
    </row>
    <row r="620" spans="1:14" x14ac:dyDescent="0.2">
      <c r="A620" t="s">
        <v>1696</v>
      </c>
      <c r="B620" t="s">
        <v>1062</v>
      </c>
      <c r="C620" s="9">
        <v>44987</v>
      </c>
      <c r="D620" t="s">
        <v>442</v>
      </c>
      <c r="E620" s="13">
        <v>2625000</v>
      </c>
      <c r="F620" s="13">
        <v>16650</v>
      </c>
      <c r="G620" s="9">
        <v>45010</v>
      </c>
      <c r="H620" t="s">
        <v>1111</v>
      </c>
      <c r="I620" t="s">
        <v>916</v>
      </c>
      <c r="J620" s="13">
        <v>87412</v>
      </c>
      <c r="K620">
        <v>1</v>
      </c>
      <c r="L620" t="s">
        <v>1064</v>
      </c>
      <c r="M620" t="s">
        <v>1065</v>
      </c>
      <c r="N620" s="15" t="s">
        <v>6878</v>
      </c>
    </row>
    <row r="621" spans="1:14" x14ac:dyDescent="0.2">
      <c r="A621" t="s">
        <v>1697</v>
      </c>
      <c r="B621" t="s">
        <v>1062</v>
      </c>
      <c r="C621" s="9">
        <v>44987</v>
      </c>
      <c r="D621" t="s">
        <v>442</v>
      </c>
      <c r="E621" s="13">
        <v>2250000</v>
      </c>
      <c r="F621" s="13">
        <v>16650</v>
      </c>
      <c r="G621" s="9">
        <v>45010</v>
      </c>
      <c r="H621" t="s">
        <v>1111</v>
      </c>
      <c r="I621" t="s">
        <v>916</v>
      </c>
      <c r="J621" s="13">
        <v>74925</v>
      </c>
      <c r="K621">
        <v>1</v>
      </c>
      <c r="L621" t="s">
        <v>1064</v>
      </c>
      <c r="M621" t="s">
        <v>1065</v>
      </c>
      <c r="N621" s="15" t="s">
        <v>6878</v>
      </c>
    </row>
    <row r="622" spans="1:14" x14ac:dyDescent="0.2">
      <c r="A622" t="s">
        <v>1698</v>
      </c>
      <c r="B622" t="s">
        <v>1062</v>
      </c>
      <c r="C622" s="9">
        <v>44987</v>
      </c>
      <c r="D622" t="s">
        <v>442</v>
      </c>
      <c r="E622" s="13">
        <v>2250000</v>
      </c>
      <c r="F622" s="13">
        <v>16650</v>
      </c>
      <c r="G622" s="9">
        <v>45010</v>
      </c>
      <c r="H622" t="s">
        <v>1111</v>
      </c>
      <c r="I622" t="s">
        <v>916</v>
      </c>
      <c r="J622" s="13">
        <v>74925</v>
      </c>
      <c r="K622">
        <v>1</v>
      </c>
      <c r="L622" t="s">
        <v>1064</v>
      </c>
      <c r="M622" t="s">
        <v>1065</v>
      </c>
      <c r="N622" s="15" t="s">
        <v>6878</v>
      </c>
    </row>
    <row r="623" spans="1:14" x14ac:dyDescent="0.2">
      <c r="A623" t="s">
        <v>1699</v>
      </c>
      <c r="B623" t="s">
        <v>1069</v>
      </c>
      <c r="C623" s="9">
        <v>44987</v>
      </c>
      <c r="D623" t="s">
        <v>442</v>
      </c>
      <c r="E623" s="13">
        <v>1600000</v>
      </c>
      <c r="F623" s="13">
        <v>16650</v>
      </c>
      <c r="G623" s="9">
        <v>45010</v>
      </c>
      <c r="H623" t="s">
        <v>1111</v>
      </c>
      <c r="I623" t="s">
        <v>916</v>
      </c>
      <c r="J623" s="13">
        <v>53280</v>
      </c>
      <c r="K623">
        <v>1</v>
      </c>
      <c r="L623" t="s">
        <v>1064</v>
      </c>
      <c r="M623" t="s">
        <v>1065</v>
      </c>
      <c r="N623" s="15" t="s">
        <v>6878</v>
      </c>
    </row>
    <row r="624" spans="1:14" x14ac:dyDescent="0.2">
      <c r="A624" t="s">
        <v>1700</v>
      </c>
      <c r="B624" t="s">
        <v>1062</v>
      </c>
      <c r="C624" s="9">
        <v>44988</v>
      </c>
      <c r="D624" t="s">
        <v>442</v>
      </c>
      <c r="E624" s="13">
        <v>2625000</v>
      </c>
      <c r="F624" s="13">
        <v>16650</v>
      </c>
      <c r="G624" s="9">
        <v>45010</v>
      </c>
      <c r="H624" t="s">
        <v>1111</v>
      </c>
      <c r="I624" t="s">
        <v>916</v>
      </c>
      <c r="J624" s="13">
        <v>87412</v>
      </c>
      <c r="K624">
        <v>1</v>
      </c>
      <c r="L624" t="s">
        <v>1064</v>
      </c>
      <c r="M624" t="s">
        <v>1065</v>
      </c>
      <c r="N624" s="15" t="s">
        <v>6878</v>
      </c>
    </row>
    <row r="625" spans="1:14" x14ac:dyDescent="0.2">
      <c r="A625" t="s">
        <v>1701</v>
      </c>
      <c r="B625" t="s">
        <v>1069</v>
      </c>
      <c r="C625" s="9">
        <v>44988</v>
      </c>
      <c r="D625" t="s">
        <v>442</v>
      </c>
      <c r="E625" s="13">
        <v>2725000</v>
      </c>
      <c r="F625" s="13">
        <v>16650</v>
      </c>
      <c r="G625" s="9">
        <v>45010</v>
      </c>
      <c r="H625" t="s">
        <v>1111</v>
      </c>
      <c r="I625" t="s">
        <v>916</v>
      </c>
      <c r="J625" s="13">
        <v>90742</v>
      </c>
      <c r="K625">
        <v>1</v>
      </c>
      <c r="L625" t="s">
        <v>1064</v>
      </c>
      <c r="M625" t="s">
        <v>1065</v>
      </c>
      <c r="N625" s="15" t="s">
        <v>6878</v>
      </c>
    </row>
    <row r="626" spans="1:14" x14ac:dyDescent="0.2">
      <c r="A626" t="s">
        <v>1702</v>
      </c>
      <c r="B626" t="s">
        <v>1062</v>
      </c>
      <c r="C626" s="9">
        <v>44988</v>
      </c>
      <c r="D626" t="s">
        <v>442</v>
      </c>
      <c r="E626" s="13">
        <v>2575000</v>
      </c>
      <c r="F626" s="13">
        <v>16650</v>
      </c>
      <c r="G626" s="9">
        <v>45010</v>
      </c>
      <c r="H626" t="s">
        <v>1111</v>
      </c>
      <c r="I626" t="s">
        <v>916</v>
      </c>
      <c r="J626" s="13">
        <v>85747</v>
      </c>
      <c r="K626">
        <v>1</v>
      </c>
      <c r="L626" t="s">
        <v>1064</v>
      </c>
      <c r="M626" t="s">
        <v>1065</v>
      </c>
      <c r="N626" s="15" t="s">
        <v>6878</v>
      </c>
    </row>
    <row r="627" spans="1:14" x14ac:dyDescent="0.2">
      <c r="A627" t="s">
        <v>1703</v>
      </c>
      <c r="B627" t="s">
        <v>1062</v>
      </c>
      <c r="C627" s="9">
        <v>44988</v>
      </c>
      <c r="D627" t="s">
        <v>442</v>
      </c>
      <c r="E627" s="13">
        <v>2737500</v>
      </c>
      <c r="F627" s="13">
        <v>16650</v>
      </c>
      <c r="G627" s="9">
        <v>45010</v>
      </c>
      <c r="H627" t="s">
        <v>1111</v>
      </c>
      <c r="I627" t="s">
        <v>916</v>
      </c>
      <c r="J627" s="13">
        <v>91158</v>
      </c>
      <c r="K627">
        <v>1</v>
      </c>
      <c r="L627" t="s">
        <v>1064</v>
      </c>
      <c r="M627" t="s">
        <v>1065</v>
      </c>
      <c r="N627" s="15" t="s">
        <v>6878</v>
      </c>
    </row>
    <row r="628" spans="1:14" x14ac:dyDescent="0.2">
      <c r="A628" t="s">
        <v>1704</v>
      </c>
      <c r="B628" t="s">
        <v>1062</v>
      </c>
      <c r="C628" s="9">
        <v>44988</v>
      </c>
      <c r="D628" t="s">
        <v>442</v>
      </c>
      <c r="E628" s="13">
        <v>2400000</v>
      </c>
      <c r="F628" s="13">
        <v>16650</v>
      </c>
      <c r="G628" s="9">
        <v>45010</v>
      </c>
      <c r="H628" t="s">
        <v>1111</v>
      </c>
      <c r="I628" t="s">
        <v>916</v>
      </c>
      <c r="J628" s="13">
        <v>79920</v>
      </c>
      <c r="K628">
        <v>1</v>
      </c>
      <c r="L628" t="s">
        <v>1064</v>
      </c>
      <c r="M628" t="s">
        <v>1065</v>
      </c>
      <c r="N628" s="15" t="s">
        <v>6878</v>
      </c>
    </row>
    <row r="629" spans="1:14" x14ac:dyDescent="0.2">
      <c r="A629" t="s">
        <v>1705</v>
      </c>
      <c r="B629" t="s">
        <v>1062</v>
      </c>
      <c r="C629" s="9">
        <v>44988</v>
      </c>
      <c r="D629" t="s">
        <v>442</v>
      </c>
      <c r="E629" s="13">
        <v>2900000</v>
      </c>
      <c r="F629" s="13">
        <v>16650</v>
      </c>
      <c r="G629" s="9">
        <v>45010</v>
      </c>
      <c r="H629" t="s">
        <v>1111</v>
      </c>
      <c r="I629" t="s">
        <v>916</v>
      </c>
      <c r="J629" s="13">
        <v>96570</v>
      </c>
      <c r="K629">
        <v>1</v>
      </c>
      <c r="L629" t="s">
        <v>1064</v>
      </c>
      <c r="M629" t="s">
        <v>1065</v>
      </c>
      <c r="N629" s="15" t="s">
        <v>6878</v>
      </c>
    </row>
    <row r="630" spans="1:14" x14ac:dyDescent="0.2">
      <c r="A630" t="s">
        <v>1706</v>
      </c>
      <c r="B630" t="s">
        <v>1062</v>
      </c>
      <c r="C630" s="9">
        <v>44988</v>
      </c>
      <c r="D630" t="s">
        <v>442</v>
      </c>
      <c r="E630" s="13">
        <v>2900000</v>
      </c>
      <c r="F630" s="13">
        <v>16650</v>
      </c>
      <c r="G630" s="9">
        <v>45010</v>
      </c>
      <c r="H630" t="s">
        <v>1111</v>
      </c>
      <c r="I630" t="s">
        <v>916</v>
      </c>
      <c r="J630" s="13">
        <v>96570</v>
      </c>
      <c r="K630">
        <v>1</v>
      </c>
      <c r="L630" t="s">
        <v>1064</v>
      </c>
      <c r="M630" t="s">
        <v>1065</v>
      </c>
      <c r="N630" s="15" t="s">
        <v>6878</v>
      </c>
    </row>
    <row r="631" spans="1:14" x14ac:dyDescent="0.2">
      <c r="A631" t="s">
        <v>1707</v>
      </c>
      <c r="B631" t="s">
        <v>1062</v>
      </c>
      <c r="C631" s="9">
        <v>44988</v>
      </c>
      <c r="D631" t="s">
        <v>442</v>
      </c>
      <c r="E631" s="13">
        <v>2900000</v>
      </c>
      <c r="F631" s="13">
        <v>16650</v>
      </c>
      <c r="G631" s="9">
        <v>45010</v>
      </c>
      <c r="H631" t="s">
        <v>1111</v>
      </c>
      <c r="I631" t="s">
        <v>916</v>
      </c>
      <c r="J631" s="13">
        <v>96570</v>
      </c>
      <c r="K631">
        <v>1</v>
      </c>
      <c r="L631" t="s">
        <v>1064</v>
      </c>
      <c r="M631" t="s">
        <v>1065</v>
      </c>
      <c r="N631" s="15" t="s">
        <v>6878</v>
      </c>
    </row>
    <row r="632" spans="1:14" x14ac:dyDescent="0.2">
      <c r="A632" t="s">
        <v>1708</v>
      </c>
      <c r="B632" t="s">
        <v>1062</v>
      </c>
      <c r="C632" s="9">
        <v>44988</v>
      </c>
      <c r="D632" t="s">
        <v>442</v>
      </c>
      <c r="E632" s="13">
        <v>2900000</v>
      </c>
      <c r="F632" s="13">
        <v>16650</v>
      </c>
      <c r="G632" s="9">
        <v>45010</v>
      </c>
      <c r="H632" t="s">
        <v>1111</v>
      </c>
      <c r="I632" t="s">
        <v>916</v>
      </c>
      <c r="J632" s="13">
        <v>96570</v>
      </c>
      <c r="K632">
        <v>1</v>
      </c>
      <c r="L632" t="s">
        <v>1064</v>
      </c>
      <c r="M632" t="s">
        <v>1065</v>
      </c>
      <c r="N632" s="15" t="s">
        <v>6878</v>
      </c>
    </row>
    <row r="633" spans="1:14" x14ac:dyDescent="0.2">
      <c r="A633" t="s">
        <v>1709</v>
      </c>
      <c r="B633" t="s">
        <v>1062</v>
      </c>
      <c r="C633" s="9">
        <v>44988</v>
      </c>
      <c r="D633" t="s">
        <v>442</v>
      </c>
      <c r="E633" s="13">
        <v>2900000</v>
      </c>
      <c r="F633" s="13">
        <v>16650</v>
      </c>
      <c r="G633" s="9">
        <v>45010</v>
      </c>
      <c r="H633" t="s">
        <v>1111</v>
      </c>
      <c r="I633" t="s">
        <v>916</v>
      </c>
      <c r="J633" s="13">
        <v>96570</v>
      </c>
      <c r="K633">
        <v>1</v>
      </c>
      <c r="L633" t="s">
        <v>1064</v>
      </c>
      <c r="M633" t="s">
        <v>1065</v>
      </c>
      <c r="N633" s="15" t="s">
        <v>6878</v>
      </c>
    </row>
    <row r="634" spans="1:14" x14ac:dyDescent="0.2">
      <c r="A634" t="s">
        <v>1710</v>
      </c>
      <c r="B634" t="s">
        <v>1062</v>
      </c>
      <c r="C634" s="9">
        <v>44988</v>
      </c>
      <c r="D634" t="s">
        <v>442</v>
      </c>
      <c r="E634" s="13">
        <v>2900000</v>
      </c>
      <c r="F634" s="13">
        <v>16650</v>
      </c>
      <c r="G634" s="9">
        <v>45010</v>
      </c>
      <c r="H634" t="s">
        <v>1111</v>
      </c>
      <c r="I634" t="s">
        <v>916</v>
      </c>
      <c r="J634" s="13">
        <v>96570</v>
      </c>
      <c r="K634">
        <v>1</v>
      </c>
      <c r="L634" t="s">
        <v>1064</v>
      </c>
      <c r="M634" t="s">
        <v>1065</v>
      </c>
      <c r="N634" s="15" t="s">
        <v>6878</v>
      </c>
    </row>
    <row r="635" spans="1:14" x14ac:dyDescent="0.2">
      <c r="A635" t="s">
        <v>1711</v>
      </c>
      <c r="B635" t="s">
        <v>1062</v>
      </c>
      <c r="C635" s="9">
        <v>44988</v>
      </c>
      <c r="D635" t="s">
        <v>442</v>
      </c>
      <c r="E635" s="13">
        <v>2900000</v>
      </c>
      <c r="F635" s="13">
        <v>16650</v>
      </c>
      <c r="G635" s="9">
        <v>45010</v>
      </c>
      <c r="H635" t="s">
        <v>1111</v>
      </c>
      <c r="I635" t="s">
        <v>916</v>
      </c>
      <c r="J635" s="13">
        <v>96570</v>
      </c>
      <c r="K635">
        <v>1</v>
      </c>
      <c r="L635" t="s">
        <v>1064</v>
      </c>
      <c r="M635" t="s">
        <v>1065</v>
      </c>
      <c r="N635" s="15" t="s">
        <v>6878</v>
      </c>
    </row>
    <row r="636" spans="1:14" x14ac:dyDescent="0.2">
      <c r="A636" t="s">
        <v>1712</v>
      </c>
      <c r="B636" t="s">
        <v>1062</v>
      </c>
      <c r="C636" s="9">
        <v>44988</v>
      </c>
      <c r="D636" t="s">
        <v>442</v>
      </c>
      <c r="E636" s="13">
        <v>2900000</v>
      </c>
      <c r="F636" s="13">
        <v>16650</v>
      </c>
      <c r="G636" s="9">
        <v>45010</v>
      </c>
      <c r="H636" t="s">
        <v>1111</v>
      </c>
      <c r="I636" t="s">
        <v>916</v>
      </c>
      <c r="J636" s="13">
        <v>96570</v>
      </c>
      <c r="K636">
        <v>1</v>
      </c>
      <c r="L636" t="s">
        <v>1064</v>
      </c>
      <c r="M636" t="s">
        <v>1065</v>
      </c>
      <c r="N636" s="15" t="s">
        <v>6878</v>
      </c>
    </row>
    <row r="637" spans="1:14" x14ac:dyDescent="0.2">
      <c r="A637" t="s">
        <v>1713</v>
      </c>
      <c r="B637" t="s">
        <v>1062</v>
      </c>
      <c r="C637" s="9">
        <v>44988</v>
      </c>
      <c r="D637" t="s">
        <v>442</v>
      </c>
      <c r="E637" s="13">
        <v>2900000</v>
      </c>
      <c r="F637" s="13">
        <v>16650</v>
      </c>
      <c r="G637" s="9">
        <v>45014</v>
      </c>
      <c r="H637" t="s">
        <v>1111</v>
      </c>
      <c r="I637" t="s">
        <v>916</v>
      </c>
      <c r="J637" s="13">
        <v>96570</v>
      </c>
      <c r="K637">
        <v>1</v>
      </c>
      <c r="L637" t="s">
        <v>1064</v>
      </c>
      <c r="M637" t="s">
        <v>1065</v>
      </c>
      <c r="N637" s="15" t="s">
        <v>6878</v>
      </c>
    </row>
    <row r="638" spans="1:14" x14ac:dyDescent="0.2">
      <c r="A638" t="s">
        <v>1714</v>
      </c>
      <c r="B638" t="s">
        <v>1062</v>
      </c>
      <c r="C638" s="9">
        <v>44988</v>
      </c>
      <c r="D638" t="s">
        <v>442</v>
      </c>
      <c r="E638" s="13">
        <v>2900000</v>
      </c>
      <c r="F638" s="13">
        <v>16650</v>
      </c>
      <c r="G638" s="9">
        <v>45010</v>
      </c>
      <c r="H638" t="s">
        <v>1111</v>
      </c>
      <c r="I638" t="s">
        <v>916</v>
      </c>
      <c r="J638" s="13">
        <v>96570</v>
      </c>
      <c r="K638">
        <v>1</v>
      </c>
      <c r="L638" t="s">
        <v>1064</v>
      </c>
      <c r="M638" t="s">
        <v>1065</v>
      </c>
      <c r="N638" s="15" t="s">
        <v>6878</v>
      </c>
    </row>
    <row r="639" spans="1:14" x14ac:dyDescent="0.2">
      <c r="A639" t="s">
        <v>1715</v>
      </c>
      <c r="B639" t="s">
        <v>1062</v>
      </c>
      <c r="C639" s="9">
        <v>44988</v>
      </c>
      <c r="D639" t="s">
        <v>442</v>
      </c>
      <c r="E639" s="13">
        <v>2900000</v>
      </c>
      <c r="F639" s="13">
        <v>16650</v>
      </c>
      <c r="G639" s="9">
        <v>45010</v>
      </c>
      <c r="H639" t="s">
        <v>1111</v>
      </c>
      <c r="I639" t="s">
        <v>916</v>
      </c>
      <c r="J639" s="13">
        <v>96570</v>
      </c>
      <c r="K639">
        <v>1</v>
      </c>
      <c r="L639" t="s">
        <v>1064</v>
      </c>
      <c r="M639" t="s">
        <v>1065</v>
      </c>
      <c r="N639" s="15" t="s">
        <v>6878</v>
      </c>
    </row>
    <row r="640" spans="1:14" x14ac:dyDescent="0.2">
      <c r="A640" t="s">
        <v>1716</v>
      </c>
      <c r="B640" t="s">
        <v>1062</v>
      </c>
      <c r="C640" s="9">
        <v>44988</v>
      </c>
      <c r="D640" t="s">
        <v>442</v>
      </c>
      <c r="E640" s="13">
        <v>2900000</v>
      </c>
      <c r="F640" s="13">
        <v>16650</v>
      </c>
      <c r="G640" s="9">
        <v>45010</v>
      </c>
      <c r="H640" t="s">
        <v>1111</v>
      </c>
      <c r="I640" t="s">
        <v>916</v>
      </c>
      <c r="J640" s="13">
        <v>96570</v>
      </c>
      <c r="K640">
        <v>1</v>
      </c>
      <c r="L640" t="s">
        <v>1064</v>
      </c>
      <c r="M640" t="s">
        <v>1065</v>
      </c>
      <c r="N640" s="15" t="s">
        <v>6878</v>
      </c>
    </row>
    <row r="641" spans="1:14" x14ac:dyDescent="0.2">
      <c r="A641" t="s">
        <v>1717</v>
      </c>
      <c r="B641" t="s">
        <v>1062</v>
      </c>
      <c r="C641" s="9">
        <v>44988</v>
      </c>
      <c r="D641" t="s">
        <v>442</v>
      </c>
      <c r="E641" s="13">
        <v>1440000</v>
      </c>
      <c r="F641" s="13">
        <v>16650</v>
      </c>
      <c r="G641" s="9">
        <v>45014</v>
      </c>
      <c r="H641" t="s">
        <v>1111</v>
      </c>
      <c r="I641" t="s">
        <v>916</v>
      </c>
      <c r="J641" s="13">
        <v>47952</v>
      </c>
      <c r="K641">
        <v>1</v>
      </c>
      <c r="L641" t="s">
        <v>1064</v>
      </c>
      <c r="M641" t="s">
        <v>1065</v>
      </c>
      <c r="N641" s="15" t="s">
        <v>6878</v>
      </c>
    </row>
    <row r="642" spans="1:14" x14ac:dyDescent="0.2">
      <c r="A642" t="s">
        <v>1718</v>
      </c>
      <c r="B642" t="s">
        <v>1062</v>
      </c>
      <c r="C642" s="9">
        <v>44988</v>
      </c>
      <c r="D642" t="s">
        <v>442</v>
      </c>
      <c r="E642" s="13">
        <v>2250000</v>
      </c>
      <c r="F642" s="13">
        <v>16650</v>
      </c>
      <c r="G642" s="9">
        <v>45014</v>
      </c>
      <c r="H642" t="s">
        <v>1111</v>
      </c>
      <c r="I642" t="s">
        <v>916</v>
      </c>
      <c r="J642" s="13">
        <v>74925</v>
      </c>
      <c r="K642">
        <v>1</v>
      </c>
      <c r="L642" t="s">
        <v>1064</v>
      </c>
      <c r="M642" t="s">
        <v>1065</v>
      </c>
      <c r="N642" s="15" t="s">
        <v>6878</v>
      </c>
    </row>
    <row r="643" spans="1:14" x14ac:dyDescent="0.2">
      <c r="A643" t="s">
        <v>1719</v>
      </c>
      <c r="B643" t="s">
        <v>1062</v>
      </c>
      <c r="C643" s="9">
        <v>44988</v>
      </c>
      <c r="D643" t="s">
        <v>442</v>
      </c>
      <c r="E643" s="13">
        <v>2250000</v>
      </c>
      <c r="F643" s="13">
        <v>16650</v>
      </c>
      <c r="G643" s="9">
        <v>45014</v>
      </c>
      <c r="H643" t="s">
        <v>1111</v>
      </c>
      <c r="I643" t="s">
        <v>916</v>
      </c>
      <c r="J643" s="13">
        <v>74925</v>
      </c>
      <c r="K643">
        <v>1</v>
      </c>
      <c r="L643" t="s">
        <v>1064</v>
      </c>
      <c r="M643" t="s">
        <v>1065</v>
      </c>
      <c r="N643" s="15" t="s">
        <v>6878</v>
      </c>
    </row>
    <row r="644" spans="1:14" x14ac:dyDescent="0.2">
      <c r="A644" t="s">
        <v>1720</v>
      </c>
      <c r="B644" t="s">
        <v>1062</v>
      </c>
      <c r="C644" s="9">
        <v>44988</v>
      </c>
      <c r="D644" t="s">
        <v>442</v>
      </c>
      <c r="E644" s="13">
        <v>2625000</v>
      </c>
      <c r="F644" s="13">
        <v>16650</v>
      </c>
      <c r="G644" s="9">
        <v>45014</v>
      </c>
      <c r="H644" t="s">
        <v>1111</v>
      </c>
      <c r="I644" t="s">
        <v>916</v>
      </c>
      <c r="J644" s="13">
        <v>87412</v>
      </c>
      <c r="K644">
        <v>1</v>
      </c>
      <c r="L644" t="s">
        <v>1064</v>
      </c>
      <c r="M644" t="s">
        <v>1065</v>
      </c>
      <c r="N644" s="15" t="s">
        <v>6878</v>
      </c>
    </row>
    <row r="645" spans="1:14" x14ac:dyDescent="0.2">
      <c r="A645" t="s">
        <v>1721</v>
      </c>
      <c r="B645" t="s">
        <v>1062</v>
      </c>
      <c r="C645" s="9">
        <v>44988</v>
      </c>
      <c r="D645" t="s">
        <v>442</v>
      </c>
      <c r="E645" s="13">
        <v>1700000</v>
      </c>
      <c r="F645" s="13">
        <v>16650</v>
      </c>
      <c r="G645" s="9">
        <v>45014</v>
      </c>
      <c r="H645" t="s">
        <v>1111</v>
      </c>
      <c r="I645" t="s">
        <v>916</v>
      </c>
      <c r="J645" s="13">
        <v>56610</v>
      </c>
      <c r="K645">
        <v>1</v>
      </c>
      <c r="L645" t="s">
        <v>1064</v>
      </c>
      <c r="M645" t="s">
        <v>1065</v>
      </c>
      <c r="N645" s="15" t="s">
        <v>6878</v>
      </c>
    </row>
    <row r="646" spans="1:14" x14ac:dyDescent="0.2">
      <c r="A646" t="s">
        <v>1722</v>
      </c>
      <c r="B646" t="s">
        <v>1062</v>
      </c>
      <c r="C646" s="9">
        <v>44988</v>
      </c>
      <c r="D646" t="s">
        <v>442</v>
      </c>
      <c r="E646" s="13">
        <v>1350000</v>
      </c>
      <c r="F646" s="13">
        <v>16650</v>
      </c>
      <c r="G646" s="9">
        <v>45021</v>
      </c>
      <c r="H646" t="s">
        <v>1111</v>
      </c>
      <c r="I646" t="s">
        <v>916</v>
      </c>
      <c r="J646" s="13">
        <v>44955</v>
      </c>
      <c r="K646">
        <v>1</v>
      </c>
      <c r="L646" t="s">
        <v>1064</v>
      </c>
      <c r="M646" t="s">
        <v>1065</v>
      </c>
      <c r="N646" s="15" t="s">
        <v>6878</v>
      </c>
    </row>
    <row r="647" spans="1:14" x14ac:dyDescent="0.2">
      <c r="A647" t="s">
        <v>1723</v>
      </c>
      <c r="B647" t="s">
        <v>1062</v>
      </c>
      <c r="C647" s="9">
        <v>44988</v>
      </c>
      <c r="D647" t="s">
        <v>178</v>
      </c>
      <c r="E647" s="13">
        <v>7644000</v>
      </c>
      <c r="F647" s="13">
        <v>133200</v>
      </c>
      <c r="G647" s="9">
        <v>44988</v>
      </c>
      <c r="H647" t="s">
        <v>1063</v>
      </c>
      <c r="I647" t="s">
        <v>904</v>
      </c>
      <c r="J647" s="13"/>
      <c r="K647">
        <v>6</v>
      </c>
      <c r="L647" t="s">
        <v>1064</v>
      </c>
      <c r="M647" t="s">
        <v>1164</v>
      </c>
      <c r="N647" s="15" t="s">
        <v>6878</v>
      </c>
    </row>
    <row r="648" spans="1:14" x14ac:dyDescent="0.2">
      <c r="A648" t="s">
        <v>1724</v>
      </c>
      <c r="B648" t="s">
        <v>1062</v>
      </c>
      <c r="C648" s="9">
        <v>44988</v>
      </c>
      <c r="D648" t="s">
        <v>442</v>
      </c>
      <c r="E648" s="13">
        <v>825000</v>
      </c>
      <c r="F648" s="13">
        <v>16650</v>
      </c>
      <c r="G648" s="9">
        <v>45021</v>
      </c>
      <c r="H648" t="s">
        <v>1111</v>
      </c>
      <c r="I648" t="s">
        <v>916</v>
      </c>
      <c r="J648" s="13">
        <v>27472</v>
      </c>
      <c r="K648">
        <v>1</v>
      </c>
      <c r="L648" t="s">
        <v>1064</v>
      </c>
      <c r="M648" t="s">
        <v>1065</v>
      </c>
      <c r="N648" s="15" t="s">
        <v>6878</v>
      </c>
    </row>
    <row r="649" spans="1:14" x14ac:dyDescent="0.2">
      <c r="A649" t="s">
        <v>1725</v>
      </c>
      <c r="B649" t="s">
        <v>1062</v>
      </c>
      <c r="C649" s="9">
        <v>44988</v>
      </c>
      <c r="D649" t="s">
        <v>178</v>
      </c>
      <c r="E649" s="13">
        <v>2547998</v>
      </c>
      <c r="F649" s="13">
        <v>44400</v>
      </c>
      <c r="G649" s="9">
        <v>44988</v>
      </c>
      <c r="H649" t="s">
        <v>1063</v>
      </c>
      <c r="I649" t="s">
        <v>904</v>
      </c>
      <c r="J649" s="13"/>
      <c r="K649">
        <v>2</v>
      </c>
      <c r="L649" t="s">
        <v>1064</v>
      </c>
      <c r="M649" t="s">
        <v>1164</v>
      </c>
      <c r="N649" s="15" t="s">
        <v>6878</v>
      </c>
    </row>
    <row r="650" spans="1:14" x14ac:dyDescent="0.2">
      <c r="A650" t="s">
        <v>1726</v>
      </c>
      <c r="B650" t="s">
        <v>1062</v>
      </c>
      <c r="C650" s="9">
        <v>44988</v>
      </c>
      <c r="D650" t="s">
        <v>178</v>
      </c>
      <c r="E650" s="13">
        <v>11171997</v>
      </c>
      <c r="F650" s="13">
        <v>199800</v>
      </c>
      <c r="G650" s="9">
        <v>44988</v>
      </c>
      <c r="H650" t="s">
        <v>1063</v>
      </c>
      <c r="I650" t="s">
        <v>904</v>
      </c>
      <c r="J650" s="13"/>
      <c r="K650">
        <v>9</v>
      </c>
      <c r="L650" t="s">
        <v>1064</v>
      </c>
      <c r="M650" t="s">
        <v>1164</v>
      </c>
      <c r="N650" s="15" t="s">
        <v>6878</v>
      </c>
    </row>
    <row r="651" spans="1:14" x14ac:dyDescent="0.2">
      <c r="A651" t="s">
        <v>1727</v>
      </c>
      <c r="B651" t="s">
        <v>1062</v>
      </c>
      <c r="C651" s="9">
        <v>44988</v>
      </c>
      <c r="D651" t="s">
        <v>178</v>
      </c>
      <c r="E651" s="13">
        <v>3626000</v>
      </c>
      <c r="F651" s="13">
        <v>66600</v>
      </c>
      <c r="G651" s="9">
        <v>44988</v>
      </c>
      <c r="H651" t="s">
        <v>1063</v>
      </c>
      <c r="I651" t="s">
        <v>904</v>
      </c>
      <c r="J651" s="13"/>
      <c r="K651">
        <v>3</v>
      </c>
      <c r="L651" t="s">
        <v>1064</v>
      </c>
      <c r="M651" t="s">
        <v>1164</v>
      </c>
      <c r="N651" s="15" t="s">
        <v>6878</v>
      </c>
    </row>
    <row r="652" spans="1:14" x14ac:dyDescent="0.2">
      <c r="A652" t="s">
        <v>1728</v>
      </c>
      <c r="B652" t="s">
        <v>1069</v>
      </c>
      <c r="C652" s="9">
        <v>44988</v>
      </c>
      <c r="D652" t="s">
        <v>958</v>
      </c>
      <c r="E652" s="13">
        <v>5440483</v>
      </c>
      <c r="F652" s="13">
        <v>59940</v>
      </c>
      <c r="G652" s="9">
        <v>44988</v>
      </c>
      <c r="H652" t="s">
        <v>1063</v>
      </c>
      <c r="I652" t="s">
        <v>1074</v>
      </c>
      <c r="J652" s="13">
        <v>120777</v>
      </c>
      <c r="K652">
        <v>3</v>
      </c>
      <c r="L652" t="s">
        <v>1064</v>
      </c>
      <c r="M652" t="s">
        <v>1075</v>
      </c>
      <c r="N652" s="15" t="s">
        <v>6878</v>
      </c>
    </row>
    <row r="653" spans="1:14" x14ac:dyDescent="0.2">
      <c r="A653" t="s">
        <v>1729</v>
      </c>
      <c r="B653" t="s">
        <v>1069</v>
      </c>
      <c r="C653" s="9">
        <v>44988</v>
      </c>
      <c r="D653" t="s">
        <v>958</v>
      </c>
      <c r="E653" s="13">
        <v>7654800</v>
      </c>
      <c r="F653" s="13">
        <v>119880</v>
      </c>
      <c r="G653" s="9">
        <v>44988</v>
      </c>
      <c r="H653" t="s">
        <v>1063</v>
      </c>
      <c r="I653" t="s">
        <v>1074</v>
      </c>
      <c r="J653" s="13">
        <v>169936</v>
      </c>
      <c r="K653">
        <v>6</v>
      </c>
      <c r="L653" t="s">
        <v>1064</v>
      </c>
      <c r="M653" t="s">
        <v>1075</v>
      </c>
      <c r="N653" s="15" t="s">
        <v>6878</v>
      </c>
    </row>
    <row r="654" spans="1:14" x14ac:dyDescent="0.2">
      <c r="A654" t="s">
        <v>1730</v>
      </c>
      <c r="B654" t="s">
        <v>1069</v>
      </c>
      <c r="C654" s="9">
        <v>44988</v>
      </c>
      <c r="D654" t="s">
        <v>958</v>
      </c>
      <c r="E654" s="13">
        <v>25097103</v>
      </c>
      <c r="F654" s="13">
        <v>199800</v>
      </c>
      <c r="G654" s="9">
        <v>44988</v>
      </c>
      <c r="H654" t="s">
        <v>1063</v>
      </c>
      <c r="I654" t="s">
        <v>1074</v>
      </c>
      <c r="J654" s="13">
        <v>557155</v>
      </c>
      <c r="K654">
        <v>10</v>
      </c>
      <c r="L654" t="s">
        <v>1064</v>
      </c>
      <c r="M654" t="s">
        <v>1075</v>
      </c>
      <c r="N654" s="15" t="s">
        <v>6878</v>
      </c>
    </row>
    <row r="655" spans="1:14" x14ac:dyDescent="0.2">
      <c r="A655" t="s">
        <v>1731</v>
      </c>
      <c r="B655" t="s">
        <v>1069</v>
      </c>
      <c r="C655" s="9">
        <v>44988</v>
      </c>
      <c r="D655" t="s">
        <v>958</v>
      </c>
      <c r="E655" s="13">
        <v>13395750</v>
      </c>
      <c r="F655" s="13">
        <v>319680</v>
      </c>
      <c r="G655" s="9">
        <v>44988</v>
      </c>
      <c r="H655" t="s">
        <v>1063</v>
      </c>
      <c r="I655" t="s">
        <v>1074</v>
      </c>
      <c r="J655" s="13">
        <v>297385</v>
      </c>
      <c r="K655">
        <v>16</v>
      </c>
      <c r="L655" t="s">
        <v>1064</v>
      </c>
      <c r="M655" t="s">
        <v>1075</v>
      </c>
      <c r="N655" s="15" t="s">
        <v>6878</v>
      </c>
    </row>
    <row r="656" spans="1:14" x14ac:dyDescent="0.2">
      <c r="A656" t="s">
        <v>1732</v>
      </c>
      <c r="B656" t="s">
        <v>1069</v>
      </c>
      <c r="C656" s="9">
        <v>44988</v>
      </c>
      <c r="D656" t="s">
        <v>958</v>
      </c>
      <c r="E656" s="13">
        <v>3085000</v>
      </c>
      <c r="F656" s="13">
        <v>19980</v>
      </c>
      <c r="G656" s="9">
        <v>44988</v>
      </c>
      <c r="H656" t="s">
        <v>1063</v>
      </c>
      <c r="I656" t="s">
        <v>1074</v>
      </c>
      <c r="J656" s="13">
        <v>68487</v>
      </c>
      <c r="K656">
        <v>1</v>
      </c>
      <c r="L656" t="s">
        <v>1064</v>
      </c>
      <c r="M656" t="s">
        <v>1075</v>
      </c>
      <c r="N656" s="15" t="s">
        <v>6878</v>
      </c>
    </row>
    <row r="657" spans="1:14" x14ac:dyDescent="0.2">
      <c r="A657" t="s">
        <v>1733</v>
      </c>
      <c r="B657" t="s">
        <v>1062</v>
      </c>
      <c r="C657" s="9">
        <v>44990</v>
      </c>
      <c r="D657" t="s">
        <v>442</v>
      </c>
      <c r="E657" s="13">
        <v>2900000</v>
      </c>
      <c r="F657" s="13">
        <v>16650</v>
      </c>
      <c r="G657" s="9">
        <v>45014</v>
      </c>
      <c r="H657" t="s">
        <v>1111</v>
      </c>
      <c r="I657" t="s">
        <v>916</v>
      </c>
      <c r="J657" s="13">
        <v>96570</v>
      </c>
      <c r="K657">
        <v>1</v>
      </c>
      <c r="L657" t="s">
        <v>1064</v>
      </c>
      <c r="M657" t="s">
        <v>1065</v>
      </c>
      <c r="N657" s="15" t="s">
        <v>6878</v>
      </c>
    </row>
    <row r="658" spans="1:14" x14ac:dyDescent="0.2">
      <c r="A658" t="s">
        <v>1734</v>
      </c>
      <c r="B658" t="s">
        <v>1062</v>
      </c>
      <c r="C658" s="9">
        <v>44990</v>
      </c>
      <c r="D658" t="s">
        <v>442</v>
      </c>
      <c r="E658" s="13">
        <v>2900000</v>
      </c>
      <c r="F658" s="13">
        <v>16650</v>
      </c>
      <c r="G658" s="9">
        <v>45014</v>
      </c>
      <c r="H658" t="s">
        <v>1111</v>
      </c>
      <c r="I658" t="s">
        <v>916</v>
      </c>
      <c r="J658" s="13">
        <v>96570</v>
      </c>
      <c r="K658">
        <v>1</v>
      </c>
      <c r="L658" t="s">
        <v>1064</v>
      </c>
      <c r="M658" t="s">
        <v>1065</v>
      </c>
      <c r="N658" s="15" t="s">
        <v>6878</v>
      </c>
    </row>
    <row r="659" spans="1:14" x14ac:dyDescent="0.2">
      <c r="A659" t="s">
        <v>1735</v>
      </c>
      <c r="B659" t="s">
        <v>1062</v>
      </c>
      <c r="C659" s="9">
        <v>44990</v>
      </c>
      <c r="D659" t="s">
        <v>442</v>
      </c>
      <c r="E659" s="13">
        <v>2900000</v>
      </c>
      <c r="F659" s="13">
        <v>16650</v>
      </c>
      <c r="G659" s="9">
        <v>45014</v>
      </c>
      <c r="H659" t="s">
        <v>1111</v>
      </c>
      <c r="I659" t="s">
        <v>916</v>
      </c>
      <c r="J659" s="13">
        <v>96570</v>
      </c>
      <c r="K659">
        <v>1</v>
      </c>
      <c r="L659" t="s">
        <v>1064</v>
      </c>
      <c r="M659" t="s">
        <v>1065</v>
      </c>
      <c r="N659" s="15" t="s">
        <v>6878</v>
      </c>
    </row>
    <row r="660" spans="1:14" x14ac:dyDescent="0.2">
      <c r="A660" t="s">
        <v>1736</v>
      </c>
      <c r="B660" t="s">
        <v>1062</v>
      </c>
      <c r="C660" s="9">
        <v>44990</v>
      </c>
      <c r="D660" t="s">
        <v>442</v>
      </c>
      <c r="E660" s="13">
        <v>2900000</v>
      </c>
      <c r="F660" s="13">
        <v>16650</v>
      </c>
      <c r="G660" s="9">
        <v>45014</v>
      </c>
      <c r="H660" t="s">
        <v>1111</v>
      </c>
      <c r="I660" t="s">
        <v>916</v>
      </c>
      <c r="J660" s="13">
        <v>96570</v>
      </c>
      <c r="K660">
        <v>1</v>
      </c>
      <c r="L660" t="s">
        <v>1064</v>
      </c>
      <c r="M660" t="s">
        <v>1065</v>
      </c>
      <c r="N660" s="15" t="s">
        <v>6878</v>
      </c>
    </row>
    <row r="661" spans="1:14" x14ac:dyDescent="0.2">
      <c r="A661" t="s">
        <v>1737</v>
      </c>
      <c r="B661" t="s">
        <v>1062</v>
      </c>
      <c r="C661" s="9">
        <v>44990</v>
      </c>
      <c r="D661" t="s">
        <v>442</v>
      </c>
      <c r="E661" s="13">
        <v>2625000</v>
      </c>
      <c r="F661" s="13">
        <v>16650</v>
      </c>
      <c r="G661" s="9">
        <v>45014</v>
      </c>
      <c r="H661" t="s">
        <v>1111</v>
      </c>
      <c r="I661" t="s">
        <v>916</v>
      </c>
      <c r="J661" s="13">
        <v>87412</v>
      </c>
      <c r="K661">
        <v>1</v>
      </c>
      <c r="L661" t="s">
        <v>1064</v>
      </c>
      <c r="M661" t="s">
        <v>1065</v>
      </c>
      <c r="N661" s="15" t="s">
        <v>6878</v>
      </c>
    </row>
    <row r="662" spans="1:14" x14ac:dyDescent="0.2">
      <c r="A662" t="s">
        <v>1738</v>
      </c>
      <c r="B662" t="s">
        <v>1062</v>
      </c>
      <c r="C662" s="9">
        <v>44990</v>
      </c>
      <c r="D662" t="s">
        <v>442</v>
      </c>
      <c r="E662" s="13">
        <v>2250000</v>
      </c>
      <c r="F662" s="13">
        <v>16650</v>
      </c>
      <c r="G662" s="9">
        <v>45014</v>
      </c>
      <c r="H662" t="s">
        <v>1111</v>
      </c>
      <c r="I662" t="s">
        <v>916</v>
      </c>
      <c r="J662" s="13">
        <v>74925</v>
      </c>
      <c r="K662">
        <v>1</v>
      </c>
      <c r="L662" t="s">
        <v>1064</v>
      </c>
      <c r="M662" t="s">
        <v>1065</v>
      </c>
      <c r="N662" s="15" t="s">
        <v>6878</v>
      </c>
    </row>
    <row r="663" spans="1:14" x14ac:dyDescent="0.2">
      <c r="A663" t="s">
        <v>1739</v>
      </c>
      <c r="B663" t="s">
        <v>1069</v>
      </c>
      <c r="C663" s="9">
        <v>44991</v>
      </c>
      <c r="D663" t="s">
        <v>442</v>
      </c>
      <c r="E663" s="13">
        <v>2600000</v>
      </c>
      <c r="F663" s="13">
        <v>16650</v>
      </c>
      <c r="G663" s="9">
        <v>45014</v>
      </c>
      <c r="H663" t="s">
        <v>1111</v>
      </c>
      <c r="I663" t="s">
        <v>916</v>
      </c>
      <c r="J663" s="13">
        <v>86580</v>
      </c>
      <c r="K663">
        <v>1</v>
      </c>
      <c r="L663" t="s">
        <v>1064</v>
      </c>
      <c r="M663" t="s">
        <v>1065</v>
      </c>
      <c r="N663" s="15" t="s">
        <v>6878</v>
      </c>
    </row>
    <row r="664" spans="1:14" x14ac:dyDescent="0.2">
      <c r="A664" t="s">
        <v>1740</v>
      </c>
      <c r="B664" t="s">
        <v>1062</v>
      </c>
      <c r="C664" s="9">
        <v>44991</v>
      </c>
      <c r="D664" t="s">
        <v>442</v>
      </c>
      <c r="E664" s="13">
        <v>2575000</v>
      </c>
      <c r="F664" s="13">
        <v>16650</v>
      </c>
      <c r="G664" s="9">
        <v>45015</v>
      </c>
      <c r="H664" t="s">
        <v>1111</v>
      </c>
      <c r="I664" t="s">
        <v>916</v>
      </c>
      <c r="J664" s="13">
        <v>85747</v>
      </c>
      <c r="K664">
        <v>1</v>
      </c>
      <c r="L664" t="s">
        <v>1064</v>
      </c>
      <c r="M664" t="s">
        <v>1065</v>
      </c>
      <c r="N664" s="15" t="s">
        <v>6878</v>
      </c>
    </row>
    <row r="665" spans="1:14" x14ac:dyDescent="0.2">
      <c r="A665" t="s">
        <v>1741</v>
      </c>
      <c r="B665" t="s">
        <v>1069</v>
      </c>
      <c r="C665" s="9">
        <v>44991</v>
      </c>
      <c r="D665" t="s">
        <v>442</v>
      </c>
      <c r="E665" s="13">
        <v>1225000</v>
      </c>
      <c r="F665" s="13">
        <v>16650</v>
      </c>
      <c r="G665" s="9">
        <v>45014</v>
      </c>
      <c r="H665" t="s">
        <v>1111</v>
      </c>
      <c r="I665" t="s">
        <v>916</v>
      </c>
      <c r="J665" s="13">
        <v>40792</v>
      </c>
      <c r="K665">
        <v>1</v>
      </c>
      <c r="L665" t="s">
        <v>1064</v>
      </c>
      <c r="M665" t="s">
        <v>1065</v>
      </c>
      <c r="N665" s="15" t="s">
        <v>6878</v>
      </c>
    </row>
    <row r="666" spans="1:14" x14ac:dyDescent="0.2">
      <c r="A666" t="s">
        <v>1742</v>
      </c>
      <c r="B666" t="s">
        <v>1062</v>
      </c>
      <c r="C666" s="9">
        <v>44991</v>
      </c>
      <c r="D666" t="s">
        <v>442</v>
      </c>
      <c r="E666" s="13">
        <v>3575000</v>
      </c>
      <c r="F666" s="13">
        <v>16650</v>
      </c>
      <c r="G666" s="9">
        <v>45014</v>
      </c>
      <c r="H666" t="s">
        <v>1111</v>
      </c>
      <c r="I666" t="s">
        <v>916</v>
      </c>
      <c r="J666" s="13">
        <v>119047</v>
      </c>
      <c r="K666">
        <v>1</v>
      </c>
      <c r="L666" t="s">
        <v>1064</v>
      </c>
      <c r="M666" t="s">
        <v>1065</v>
      </c>
      <c r="N666" s="15" t="s">
        <v>6878</v>
      </c>
    </row>
    <row r="667" spans="1:14" x14ac:dyDescent="0.2">
      <c r="A667" t="s">
        <v>1743</v>
      </c>
      <c r="B667" t="s">
        <v>1069</v>
      </c>
      <c r="C667" s="9">
        <v>44991</v>
      </c>
      <c r="D667" t="s">
        <v>442</v>
      </c>
      <c r="E667" s="13">
        <v>1225000</v>
      </c>
      <c r="F667" s="13">
        <v>16650</v>
      </c>
      <c r="G667" s="9">
        <v>45014</v>
      </c>
      <c r="H667" t="s">
        <v>1111</v>
      </c>
      <c r="I667" t="s">
        <v>916</v>
      </c>
      <c r="J667" s="13">
        <v>40792</v>
      </c>
      <c r="K667">
        <v>1</v>
      </c>
      <c r="L667" t="s">
        <v>1064</v>
      </c>
      <c r="M667" t="s">
        <v>1065</v>
      </c>
      <c r="N667" s="15" t="s">
        <v>6878</v>
      </c>
    </row>
    <row r="668" spans="1:14" x14ac:dyDescent="0.2">
      <c r="A668" t="s">
        <v>1744</v>
      </c>
      <c r="B668" t="s">
        <v>1062</v>
      </c>
      <c r="C668" s="9">
        <v>44991</v>
      </c>
      <c r="D668" t="s">
        <v>442</v>
      </c>
      <c r="E668" s="13">
        <v>2575000</v>
      </c>
      <c r="F668" s="13">
        <v>16650</v>
      </c>
      <c r="G668" s="9">
        <v>45014</v>
      </c>
      <c r="H668" t="s">
        <v>1111</v>
      </c>
      <c r="I668" t="s">
        <v>916</v>
      </c>
      <c r="J668" s="13">
        <v>85747</v>
      </c>
      <c r="K668">
        <v>1</v>
      </c>
      <c r="L668" t="s">
        <v>1064</v>
      </c>
      <c r="M668" t="s">
        <v>1065</v>
      </c>
      <c r="N668" s="15" t="s">
        <v>6878</v>
      </c>
    </row>
    <row r="669" spans="1:14" x14ac:dyDescent="0.2">
      <c r="A669" t="s">
        <v>1745</v>
      </c>
      <c r="B669" t="s">
        <v>1069</v>
      </c>
      <c r="C669" s="9">
        <v>44991</v>
      </c>
      <c r="D669" t="s">
        <v>949</v>
      </c>
      <c r="E669" s="13">
        <v>14750000</v>
      </c>
      <c r="F669" s="13">
        <v>22200</v>
      </c>
      <c r="G669" s="9">
        <v>44991</v>
      </c>
      <c r="H669" t="s">
        <v>1063</v>
      </c>
      <c r="I669" t="s">
        <v>1746</v>
      </c>
      <c r="J669" s="13">
        <v>409312</v>
      </c>
      <c r="K669">
        <v>1</v>
      </c>
      <c r="L669" t="s">
        <v>1064</v>
      </c>
      <c r="M669" t="s">
        <v>1747</v>
      </c>
      <c r="N669" s="15" t="s">
        <v>6878</v>
      </c>
    </row>
    <row r="670" spans="1:14" x14ac:dyDescent="0.2">
      <c r="A670" t="s">
        <v>1748</v>
      </c>
      <c r="B670" t="s">
        <v>1069</v>
      </c>
      <c r="C670" s="9">
        <v>44991</v>
      </c>
      <c r="D670" t="s">
        <v>949</v>
      </c>
      <c r="E670" s="13">
        <v>130980000</v>
      </c>
      <c r="F670" s="13">
        <v>22200</v>
      </c>
      <c r="G670" s="9">
        <v>44991</v>
      </c>
      <c r="H670" t="s">
        <v>1063</v>
      </c>
      <c r="I670" t="s">
        <v>1746</v>
      </c>
      <c r="J670" s="13">
        <v>3634695</v>
      </c>
      <c r="K670">
        <v>1</v>
      </c>
      <c r="L670" t="s">
        <v>1064</v>
      </c>
      <c r="M670" t="s">
        <v>1747</v>
      </c>
      <c r="N670" s="15" t="s">
        <v>6878</v>
      </c>
    </row>
    <row r="671" spans="1:14" x14ac:dyDescent="0.2">
      <c r="A671" t="s">
        <v>1749</v>
      </c>
      <c r="B671" t="s">
        <v>1062</v>
      </c>
      <c r="C671" s="9">
        <v>44992</v>
      </c>
      <c r="D671" t="s">
        <v>442</v>
      </c>
      <c r="E671" s="13">
        <v>6750000</v>
      </c>
      <c r="F671" s="13">
        <v>16650</v>
      </c>
      <c r="G671" s="9">
        <v>45014</v>
      </c>
      <c r="H671" t="s">
        <v>1111</v>
      </c>
      <c r="I671" t="s">
        <v>916</v>
      </c>
      <c r="J671" s="13">
        <v>224775</v>
      </c>
      <c r="K671">
        <v>1</v>
      </c>
      <c r="L671" t="s">
        <v>1064</v>
      </c>
      <c r="M671" t="s">
        <v>1065</v>
      </c>
      <c r="N671" s="15" t="s">
        <v>6878</v>
      </c>
    </row>
    <row r="672" spans="1:14" x14ac:dyDescent="0.2">
      <c r="A672" t="s">
        <v>1750</v>
      </c>
      <c r="B672" t="s">
        <v>1062</v>
      </c>
      <c r="C672" s="9">
        <v>44992</v>
      </c>
      <c r="D672" t="s">
        <v>442</v>
      </c>
      <c r="E672" s="13">
        <v>3250000</v>
      </c>
      <c r="F672" s="13">
        <v>16650</v>
      </c>
      <c r="G672" s="9">
        <v>45015</v>
      </c>
      <c r="H672" t="s">
        <v>1111</v>
      </c>
      <c r="I672" t="s">
        <v>916</v>
      </c>
      <c r="J672" s="13">
        <v>108225</v>
      </c>
      <c r="K672">
        <v>1</v>
      </c>
      <c r="L672" t="s">
        <v>1064</v>
      </c>
      <c r="M672" t="s">
        <v>1065</v>
      </c>
      <c r="N672" s="15" t="s">
        <v>6878</v>
      </c>
    </row>
    <row r="673" spans="1:14" x14ac:dyDescent="0.2">
      <c r="A673" t="s">
        <v>1751</v>
      </c>
      <c r="B673" t="s">
        <v>1062</v>
      </c>
      <c r="C673" s="9">
        <v>44992</v>
      </c>
      <c r="D673" t="s">
        <v>442</v>
      </c>
      <c r="E673" s="13">
        <v>1575000</v>
      </c>
      <c r="F673" s="13">
        <v>16650</v>
      </c>
      <c r="G673" s="9">
        <v>45015</v>
      </c>
      <c r="H673" t="s">
        <v>1111</v>
      </c>
      <c r="I673" t="s">
        <v>916</v>
      </c>
      <c r="J673" s="13">
        <v>52447</v>
      </c>
      <c r="K673">
        <v>1</v>
      </c>
      <c r="L673" t="s">
        <v>1064</v>
      </c>
      <c r="M673" t="s">
        <v>1065</v>
      </c>
      <c r="N673" s="15" t="s">
        <v>6878</v>
      </c>
    </row>
    <row r="674" spans="1:14" x14ac:dyDescent="0.2">
      <c r="A674" t="s">
        <v>1752</v>
      </c>
      <c r="B674" t="s">
        <v>1062</v>
      </c>
      <c r="C674" s="9">
        <v>44992</v>
      </c>
      <c r="D674" t="s">
        <v>442</v>
      </c>
      <c r="E674" s="13">
        <v>1125000</v>
      </c>
      <c r="F674" s="13">
        <v>16650</v>
      </c>
      <c r="G674" s="9">
        <v>45015</v>
      </c>
      <c r="H674" t="s">
        <v>1111</v>
      </c>
      <c r="I674" t="s">
        <v>916</v>
      </c>
      <c r="J674" s="13">
        <v>37462</v>
      </c>
      <c r="K674">
        <v>1</v>
      </c>
      <c r="L674" t="s">
        <v>1064</v>
      </c>
      <c r="M674" t="s">
        <v>1065</v>
      </c>
      <c r="N674" s="15" t="s">
        <v>6878</v>
      </c>
    </row>
    <row r="675" spans="1:14" x14ac:dyDescent="0.2">
      <c r="A675" t="s">
        <v>1753</v>
      </c>
      <c r="B675" t="s">
        <v>1069</v>
      </c>
      <c r="C675" s="9">
        <v>44992</v>
      </c>
      <c r="D675" t="s">
        <v>442</v>
      </c>
      <c r="E675" s="13">
        <v>1175000</v>
      </c>
      <c r="F675" s="13">
        <v>16650</v>
      </c>
      <c r="G675" s="9">
        <v>45015</v>
      </c>
      <c r="H675" t="s">
        <v>1111</v>
      </c>
      <c r="I675" t="s">
        <v>916</v>
      </c>
      <c r="J675" s="13">
        <v>39127</v>
      </c>
      <c r="K675">
        <v>1</v>
      </c>
      <c r="L675" t="s">
        <v>1064</v>
      </c>
      <c r="M675" t="s">
        <v>1065</v>
      </c>
      <c r="N675" s="15" t="s">
        <v>6878</v>
      </c>
    </row>
    <row r="676" spans="1:14" x14ac:dyDescent="0.2">
      <c r="A676" t="s">
        <v>1754</v>
      </c>
      <c r="B676" t="s">
        <v>1062</v>
      </c>
      <c r="C676" s="9">
        <v>44992</v>
      </c>
      <c r="D676" t="s">
        <v>442</v>
      </c>
      <c r="E676" s="13">
        <v>1890000</v>
      </c>
      <c r="F676" s="13">
        <v>16650</v>
      </c>
      <c r="G676" s="9">
        <v>45015</v>
      </c>
      <c r="H676" t="s">
        <v>1111</v>
      </c>
      <c r="I676" t="s">
        <v>916</v>
      </c>
      <c r="J676" s="13">
        <v>62937</v>
      </c>
      <c r="K676">
        <v>1</v>
      </c>
      <c r="L676" t="s">
        <v>1064</v>
      </c>
      <c r="M676" t="s">
        <v>1065</v>
      </c>
      <c r="N676" s="15" t="s">
        <v>6878</v>
      </c>
    </row>
    <row r="677" spans="1:14" x14ac:dyDescent="0.2">
      <c r="A677" t="s">
        <v>1755</v>
      </c>
      <c r="B677" t="s">
        <v>1062</v>
      </c>
      <c r="C677" s="9">
        <v>44992</v>
      </c>
      <c r="D677" t="s">
        <v>442</v>
      </c>
      <c r="E677" s="13">
        <v>2625000</v>
      </c>
      <c r="F677" s="13">
        <v>16650</v>
      </c>
      <c r="G677" s="9">
        <v>45015</v>
      </c>
      <c r="H677" t="s">
        <v>1111</v>
      </c>
      <c r="I677" t="s">
        <v>916</v>
      </c>
      <c r="J677" s="13">
        <v>87412</v>
      </c>
      <c r="K677">
        <v>1</v>
      </c>
      <c r="L677" t="s">
        <v>1064</v>
      </c>
      <c r="M677" t="s">
        <v>1065</v>
      </c>
      <c r="N677" s="15" t="s">
        <v>6878</v>
      </c>
    </row>
    <row r="678" spans="1:14" x14ac:dyDescent="0.2">
      <c r="A678" t="s">
        <v>1756</v>
      </c>
      <c r="B678" t="s">
        <v>1062</v>
      </c>
      <c r="C678" s="9">
        <v>44992</v>
      </c>
      <c r="D678" t="s">
        <v>442</v>
      </c>
      <c r="E678" s="13">
        <v>1050000</v>
      </c>
      <c r="F678" s="13">
        <v>16650</v>
      </c>
      <c r="G678" s="9">
        <v>45015</v>
      </c>
      <c r="H678" t="s">
        <v>1111</v>
      </c>
      <c r="I678" t="s">
        <v>916</v>
      </c>
      <c r="J678" s="13">
        <v>34965</v>
      </c>
      <c r="K678">
        <v>1</v>
      </c>
      <c r="L678" t="s">
        <v>1064</v>
      </c>
      <c r="M678" t="s">
        <v>1065</v>
      </c>
      <c r="N678" s="15" t="s">
        <v>6878</v>
      </c>
    </row>
    <row r="679" spans="1:14" x14ac:dyDescent="0.2">
      <c r="A679" t="s">
        <v>1757</v>
      </c>
      <c r="B679" t="s">
        <v>1062</v>
      </c>
      <c r="C679" s="9">
        <v>44992</v>
      </c>
      <c r="D679" t="s">
        <v>442</v>
      </c>
      <c r="E679" s="13">
        <v>2575000</v>
      </c>
      <c r="F679" s="13">
        <v>16650</v>
      </c>
      <c r="G679" s="9">
        <v>45015</v>
      </c>
      <c r="H679" t="s">
        <v>1111</v>
      </c>
      <c r="I679" t="s">
        <v>916</v>
      </c>
      <c r="J679" s="13">
        <v>85747</v>
      </c>
      <c r="K679">
        <v>1</v>
      </c>
      <c r="L679" t="s">
        <v>1064</v>
      </c>
      <c r="M679" t="s">
        <v>1065</v>
      </c>
      <c r="N679" s="15" t="s">
        <v>6878</v>
      </c>
    </row>
    <row r="680" spans="1:14" x14ac:dyDescent="0.2">
      <c r="A680" t="s">
        <v>1758</v>
      </c>
      <c r="B680" t="s">
        <v>1062</v>
      </c>
      <c r="C680" s="9">
        <v>44992</v>
      </c>
      <c r="D680" t="s">
        <v>442</v>
      </c>
      <c r="E680" s="13">
        <v>2625000</v>
      </c>
      <c r="F680" s="13">
        <v>16650</v>
      </c>
      <c r="G680" s="9">
        <v>45016</v>
      </c>
      <c r="H680" t="s">
        <v>1111</v>
      </c>
      <c r="I680" t="s">
        <v>916</v>
      </c>
      <c r="J680" s="13">
        <v>87412</v>
      </c>
      <c r="K680">
        <v>1</v>
      </c>
      <c r="L680" t="s">
        <v>1064</v>
      </c>
      <c r="M680" t="s">
        <v>1065</v>
      </c>
      <c r="N680" s="15" t="s">
        <v>6878</v>
      </c>
    </row>
    <row r="681" spans="1:14" x14ac:dyDescent="0.2">
      <c r="A681" t="s">
        <v>1759</v>
      </c>
      <c r="B681" t="s">
        <v>1062</v>
      </c>
      <c r="C681" s="9">
        <v>44992</v>
      </c>
      <c r="D681" t="s">
        <v>442</v>
      </c>
      <c r="E681" s="13">
        <v>2575000</v>
      </c>
      <c r="F681" s="13">
        <v>16650</v>
      </c>
      <c r="G681" s="9">
        <v>45016</v>
      </c>
      <c r="H681" t="s">
        <v>1111</v>
      </c>
      <c r="I681" t="s">
        <v>916</v>
      </c>
      <c r="J681" s="13">
        <v>85747</v>
      </c>
      <c r="K681">
        <v>1</v>
      </c>
      <c r="L681" t="s">
        <v>1064</v>
      </c>
      <c r="M681" t="s">
        <v>1065</v>
      </c>
      <c r="N681" s="15" t="s">
        <v>6878</v>
      </c>
    </row>
    <row r="682" spans="1:14" x14ac:dyDescent="0.2">
      <c r="A682" t="s">
        <v>1760</v>
      </c>
      <c r="B682" t="s">
        <v>1069</v>
      </c>
      <c r="C682" s="9">
        <v>44993</v>
      </c>
      <c r="D682" t="s">
        <v>968</v>
      </c>
      <c r="E682" s="13">
        <v>16000000</v>
      </c>
      <c r="F682" s="13">
        <v>532800</v>
      </c>
      <c r="G682" s="9">
        <v>44995</v>
      </c>
      <c r="H682" t="s">
        <v>1063</v>
      </c>
      <c r="I682" t="s">
        <v>1137</v>
      </c>
      <c r="J682" s="13"/>
      <c r="K682">
        <v>10</v>
      </c>
      <c r="L682" t="s">
        <v>1064</v>
      </c>
      <c r="M682" t="s">
        <v>1138</v>
      </c>
      <c r="N682" s="15" t="s">
        <v>6878</v>
      </c>
    </row>
    <row r="683" spans="1:14" x14ac:dyDescent="0.2">
      <c r="A683" t="s">
        <v>1761</v>
      </c>
      <c r="B683" t="s">
        <v>1069</v>
      </c>
      <c r="C683" s="9">
        <v>44993</v>
      </c>
      <c r="D683" t="s">
        <v>968</v>
      </c>
      <c r="E683" s="13">
        <v>9600000</v>
      </c>
      <c r="F683" s="13">
        <v>319680</v>
      </c>
      <c r="G683" s="9">
        <v>44995</v>
      </c>
      <c r="H683" t="s">
        <v>1063</v>
      </c>
      <c r="I683" t="s">
        <v>1137</v>
      </c>
      <c r="J683" s="13"/>
      <c r="K683">
        <v>6</v>
      </c>
      <c r="L683" t="s">
        <v>1064</v>
      </c>
      <c r="M683" t="s">
        <v>1138</v>
      </c>
      <c r="N683" s="15" t="s">
        <v>6878</v>
      </c>
    </row>
    <row r="684" spans="1:14" x14ac:dyDescent="0.2">
      <c r="A684" t="s">
        <v>1762</v>
      </c>
      <c r="B684" t="s">
        <v>1069</v>
      </c>
      <c r="C684" s="9">
        <v>44993</v>
      </c>
      <c r="D684" t="s">
        <v>968</v>
      </c>
      <c r="E684" s="13">
        <v>16000000</v>
      </c>
      <c r="F684" s="13">
        <v>532800</v>
      </c>
      <c r="G684" s="9">
        <v>44995</v>
      </c>
      <c r="H684" t="s">
        <v>1063</v>
      </c>
      <c r="I684" t="s">
        <v>1137</v>
      </c>
      <c r="J684" s="13"/>
      <c r="K684">
        <v>10</v>
      </c>
      <c r="L684" t="s">
        <v>1064</v>
      </c>
      <c r="M684" t="s">
        <v>1138</v>
      </c>
      <c r="N684" s="15" t="s">
        <v>6878</v>
      </c>
    </row>
    <row r="685" spans="1:14" x14ac:dyDescent="0.2">
      <c r="A685" t="s">
        <v>1763</v>
      </c>
      <c r="B685" t="s">
        <v>1069</v>
      </c>
      <c r="C685" s="9">
        <v>44993</v>
      </c>
      <c r="D685" t="s">
        <v>968</v>
      </c>
      <c r="E685" s="13">
        <v>16000000</v>
      </c>
      <c r="F685" s="13">
        <v>532800</v>
      </c>
      <c r="G685" s="9">
        <v>44995</v>
      </c>
      <c r="H685" t="s">
        <v>1063</v>
      </c>
      <c r="I685" t="s">
        <v>1137</v>
      </c>
      <c r="J685" s="13"/>
      <c r="K685">
        <v>10</v>
      </c>
      <c r="L685" t="s">
        <v>1064</v>
      </c>
      <c r="M685" t="s">
        <v>1138</v>
      </c>
      <c r="N685" s="15" t="s">
        <v>6878</v>
      </c>
    </row>
    <row r="686" spans="1:14" x14ac:dyDescent="0.2">
      <c r="A686" t="s">
        <v>1764</v>
      </c>
      <c r="B686" t="s">
        <v>1069</v>
      </c>
      <c r="C686" s="9">
        <v>44993</v>
      </c>
      <c r="D686" t="s">
        <v>968</v>
      </c>
      <c r="E686" s="13">
        <v>32000000</v>
      </c>
      <c r="F686" s="13">
        <v>1065600</v>
      </c>
      <c r="G686" s="9">
        <v>45002</v>
      </c>
      <c r="H686" t="s">
        <v>1111</v>
      </c>
      <c r="I686" t="s">
        <v>1137</v>
      </c>
      <c r="J686" s="13"/>
      <c r="K686">
        <v>20</v>
      </c>
      <c r="L686" t="s">
        <v>1064</v>
      </c>
      <c r="M686" t="s">
        <v>1138</v>
      </c>
      <c r="N686" s="15" t="s">
        <v>6878</v>
      </c>
    </row>
    <row r="687" spans="1:14" x14ac:dyDescent="0.2">
      <c r="A687" t="s">
        <v>1765</v>
      </c>
      <c r="B687" t="s">
        <v>1069</v>
      </c>
      <c r="C687" s="9">
        <v>44993</v>
      </c>
      <c r="D687" t="s">
        <v>968</v>
      </c>
      <c r="E687" s="13">
        <v>32000000</v>
      </c>
      <c r="F687" s="13">
        <v>1065600</v>
      </c>
      <c r="G687" s="9">
        <v>44995</v>
      </c>
      <c r="H687" t="s">
        <v>1063</v>
      </c>
      <c r="I687" t="s">
        <v>1137</v>
      </c>
      <c r="J687" s="13"/>
      <c r="K687">
        <v>20</v>
      </c>
      <c r="L687" t="s">
        <v>1064</v>
      </c>
      <c r="M687" t="s">
        <v>1138</v>
      </c>
      <c r="N687" s="15" t="s">
        <v>6878</v>
      </c>
    </row>
    <row r="688" spans="1:14" x14ac:dyDescent="0.2">
      <c r="A688" t="s">
        <v>1766</v>
      </c>
      <c r="B688" t="s">
        <v>1069</v>
      </c>
      <c r="C688" s="9">
        <v>44993</v>
      </c>
      <c r="D688" t="s">
        <v>442</v>
      </c>
      <c r="E688" s="13">
        <v>2050000</v>
      </c>
      <c r="F688" s="13">
        <v>16650</v>
      </c>
      <c r="G688" s="9">
        <v>45016</v>
      </c>
      <c r="H688" t="s">
        <v>1111</v>
      </c>
      <c r="I688" t="s">
        <v>916</v>
      </c>
      <c r="J688" s="13">
        <v>68265</v>
      </c>
      <c r="K688">
        <v>1</v>
      </c>
      <c r="L688" t="s">
        <v>1064</v>
      </c>
      <c r="M688" t="s">
        <v>1065</v>
      </c>
      <c r="N688" s="15" t="s">
        <v>6878</v>
      </c>
    </row>
    <row r="689" spans="1:14" x14ac:dyDescent="0.2">
      <c r="A689" t="s">
        <v>1767</v>
      </c>
      <c r="B689" t="s">
        <v>1069</v>
      </c>
      <c r="C689" s="9">
        <v>44993</v>
      </c>
      <c r="D689" t="s">
        <v>442</v>
      </c>
      <c r="E689" s="13">
        <v>2050000</v>
      </c>
      <c r="F689" s="13">
        <v>16650</v>
      </c>
      <c r="G689" s="9">
        <v>45016</v>
      </c>
      <c r="H689" t="s">
        <v>1111</v>
      </c>
      <c r="I689" t="s">
        <v>916</v>
      </c>
      <c r="J689" s="13">
        <v>68265</v>
      </c>
      <c r="K689">
        <v>1</v>
      </c>
      <c r="L689" t="s">
        <v>1064</v>
      </c>
      <c r="M689" t="s">
        <v>1065</v>
      </c>
      <c r="N689" s="15" t="s">
        <v>6878</v>
      </c>
    </row>
    <row r="690" spans="1:14" x14ac:dyDescent="0.2">
      <c r="A690" t="s">
        <v>1768</v>
      </c>
      <c r="B690" t="s">
        <v>1062</v>
      </c>
      <c r="C690" s="9">
        <v>44993</v>
      </c>
      <c r="D690" t="s">
        <v>442</v>
      </c>
      <c r="E690" s="13">
        <v>2625000</v>
      </c>
      <c r="F690" s="13">
        <v>16650</v>
      </c>
      <c r="G690" s="9">
        <v>45016</v>
      </c>
      <c r="H690" t="s">
        <v>1111</v>
      </c>
      <c r="I690" t="s">
        <v>916</v>
      </c>
      <c r="J690" s="13">
        <v>87412</v>
      </c>
      <c r="K690">
        <v>1</v>
      </c>
      <c r="L690" t="s">
        <v>1064</v>
      </c>
      <c r="M690" t="s">
        <v>1065</v>
      </c>
      <c r="N690" s="15" t="s">
        <v>6878</v>
      </c>
    </row>
    <row r="691" spans="1:14" x14ac:dyDescent="0.2">
      <c r="A691" t="s">
        <v>1769</v>
      </c>
      <c r="B691" t="s">
        <v>1062</v>
      </c>
      <c r="C691" s="9">
        <v>44993</v>
      </c>
      <c r="D691" t="s">
        <v>442</v>
      </c>
      <c r="E691" s="13">
        <v>2625000</v>
      </c>
      <c r="F691" s="13">
        <v>16650</v>
      </c>
      <c r="G691" s="9">
        <v>45016</v>
      </c>
      <c r="H691" t="s">
        <v>1111</v>
      </c>
      <c r="I691" t="s">
        <v>916</v>
      </c>
      <c r="J691" s="13">
        <v>87412</v>
      </c>
      <c r="K691">
        <v>1</v>
      </c>
      <c r="L691" t="s">
        <v>1064</v>
      </c>
      <c r="M691" t="s">
        <v>1065</v>
      </c>
      <c r="N691" s="15" t="s">
        <v>6878</v>
      </c>
    </row>
    <row r="692" spans="1:14" x14ac:dyDescent="0.2">
      <c r="A692" t="s">
        <v>1770</v>
      </c>
      <c r="B692" t="s">
        <v>1062</v>
      </c>
      <c r="C692" s="9">
        <v>44993</v>
      </c>
      <c r="D692" t="s">
        <v>442</v>
      </c>
      <c r="E692" s="13">
        <v>2625000</v>
      </c>
      <c r="F692" s="13">
        <v>16650</v>
      </c>
      <c r="G692" s="9">
        <v>45016</v>
      </c>
      <c r="H692" t="s">
        <v>1111</v>
      </c>
      <c r="I692" t="s">
        <v>916</v>
      </c>
      <c r="J692" s="13">
        <v>87412</v>
      </c>
      <c r="K692">
        <v>1</v>
      </c>
      <c r="L692" t="s">
        <v>1064</v>
      </c>
      <c r="M692" t="s">
        <v>1065</v>
      </c>
      <c r="N692" s="15" t="s">
        <v>6878</v>
      </c>
    </row>
    <row r="693" spans="1:14" x14ac:dyDescent="0.2">
      <c r="A693" t="s">
        <v>1771</v>
      </c>
      <c r="B693" t="s">
        <v>1062</v>
      </c>
      <c r="C693" s="9">
        <v>44993</v>
      </c>
      <c r="D693" t="s">
        <v>442</v>
      </c>
      <c r="E693" s="13">
        <v>2675000</v>
      </c>
      <c r="F693" s="13">
        <v>16650</v>
      </c>
      <c r="G693" s="9">
        <v>45016</v>
      </c>
      <c r="H693" t="s">
        <v>1111</v>
      </c>
      <c r="I693" t="s">
        <v>916</v>
      </c>
      <c r="J693" s="13">
        <v>89077</v>
      </c>
      <c r="K693">
        <v>1</v>
      </c>
      <c r="L693" t="s">
        <v>1064</v>
      </c>
      <c r="M693" t="s">
        <v>1065</v>
      </c>
      <c r="N693" s="15" t="s">
        <v>6878</v>
      </c>
    </row>
    <row r="694" spans="1:14" x14ac:dyDescent="0.2">
      <c r="A694" t="s">
        <v>1772</v>
      </c>
      <c r="B694" t="s">
        <v>1062</v>
      </c>
      <c r="C694" s="9">
        <v>44993</v>
      </c>
      <c r="D694" t="s">
        <v>442</v>
      </c>
      <c r="E694" s="13">
        <v>2375000</v>
      </c>
      <c r="F694" s="13">
        <v>16650</v>
      </c>
      <c r="G694" s="9">
        <v>45016</v>
      </c>
      <c r="H694" t="s">
        <v>1111</v>
      </c>
      <c r="I694" t="s">
        <v>916</v>
      </c>
      <c r="J694" s="13">
        <v>79087</v>
      </c>
      <c r="K694">
        <v>1</v>
      </c>
      <c r="L694" t="s">
        <v>1064</v>
      </c>
      <c r="M694" t="s">
        <v>1065</v>
      </c>
      <c r="N694" s="15" t="s">
        <v>6878</v>
      </c>
    </row>
    <row r="695" spans="1:14" x14ac:dyDescent="0.2">
      <c r="A695" t="s">
        <v>1773</v>
      </c>
      <c r="B695" t="s">
        <v>1062</v>
      </c>
      <c r="C695" s="9">
        <v>44993</v>
      </c>
      <c r="D695" t="s">
        <v>442</v>
      </c>
      <c r="E695" s="13">
        <v>2000000</v>
      </c>
      <c r="F695" s="13">
        <v>16650</v>
      </c>
      <c r="G695" s="9">
        <v>45016</v>
      </c>
      <c r="H695" t="s">
        <v>1111</v>
      </c>
      <c r="I695" t="s">
        <v>916</v>
      </c>
      <c r="J695" s="13">
        <v>66600</v>
      </c>
      <c r="K695">
        <v>1</v>
      </c>
      <c r="L695" t="s">
        <v>1064</v>
      </c>
      <c r="M695" t="s">
        <v>1065</v>
      </c>
      <c r="N695" s="15" t="s">
        <v>6878</v>
      </c>
    </row>
    <row r="696" spans="1:14" x14ac:dyDescent="0.2">
      <c r="A696" t="s">
        <v>1774</v>
      </c>
      <c r="B696" t="s">
        <v>1062</v>
      </c>
      <c r="C696" s="9">
        <v>44993</v>
      </c>
      <c r="D696" t="s">
        <v>442</v>
      </c>
      <c r="E696" s="13">
        <v>2625000</v>
      </c>
      <c r="F696" s="13">
        <v>16650</v>
      </c>
      <c r="G696" s="9">
        <v>45016</v>
      </c>
      <c r="H696" t="s">
        <v>1111</v>
      </c>
      <c r="I696" t="s">
        <v>916</v>
      </c>
      <c r="J696" s="13">
        <v>87412</v>
      </c>
      <c r="K696">
        <v>1</v>
      </c>
      <c r="L696" t="s">
        <v>1064</v>
      </c>
      <c r="M696" t="s">
        <v>1065</v>
      </c>
      <c r="N696" s="15" t="s">
        <v>6878</v>
      </c>
    </row>
    <row r="697" spans="1:14" x14ac:dyDescent="0.2">
      <c r="A697" t="s">
        <v>1775</v>
      </c>
      <c r="B697" t="s">
        <v>1062</v>
      </c>
      <c r="C697" s="9">
        <v>44993</v>
      </c>
      <c r="D697" t="s">
        <v>442</v>
      </c>
      <c r="E697" s="13">
        <v>1125000</v>
      </c>
      <c r="F697" s="13">
        <v>16650</v>
      </c>
      <c r="G697" s="9">
        <v>45016</v>
      </c>
      <c r="H697" t="s">
        <v>1111</v>
      </c>
      <c r="I697" t="s">
        <v>916</v>
      </c>
      <c r="J697" s="13">
        <v>37462</v>
      </c>
      <c r="K697">
        <v>1</v>
      </c>
      <c r="L697" t="s">
        <v>1064</v>
      </c>
      <c r="M697" t="s">
        <v>1065</v>
      </c>
      <c r="N697" s="15" t="s">
        <v>6878</v>
      </c>
    </row>
    <row r="698" spans="1:14" x14ac:dyDescent="0.2">
      <c r="A698" t="s">
        <v>1776</v>
      </c>
      <c r="B698" t="s">
        <v>1062</v>
      </c>
      <c r="C698" s="9">
        <v>44993</v>
      </c>
      <c r="D698" t="s">
        <v>442</v>
      </c>
      <c r="E698" s="13">
        <v>2625000</v>
      </c>
      <c r="F698" s="13">
        <v>16650</v>
      </c>
      <c r="G698" s="9">
        <v>45016</v>
      </c>
      <c r="H698" t="s">
        <v>1111</v>
      </c>
      <c r="I698" t="s">
        <v>916</v>
      </c>
      <c r="J698" s="13">
        <v>87412</v>
      </c>
      <c r="K698">
        <v>1</v>
      </c>
      <c r="L698" t="s">
        <v>1064</v>
      </c>
      <c r="M698" t="s">
        <v>1065</v>
      </c>
      <c r="N698" s="15" t="s">
        <v>6878</v>
      </c>
    </row>
    <row r="699" spans="1:14" x14ac:dyDescent="0.2">
      <c r="A699" t="s">
        <v>1777</v>
      </c>
      <c r="B699" t="s">
        <v>1062</v>
      </c>
      <c r="C699" s="9">
        <v>44993</v>
      </c>
      <c r="D699" t="s">
        <v>442</v>
      </c>
      <c r="E699" s="13">
        <v>2460000</v>
      </c>
      <c r="F699" s="13">
        <v>16650</v>
      </c>
      <c r="G699" s="9">
        <v>45016</v>
      </c>
      <c r="H699" t="s">
        <v>1111</v>
      </c>
      <c r="I699" t="s">
        <v>916</v>
      </c>
      <c r="J699" s="13">
        <v>81918</v>
      </c>
      <c r="K699">
        <v>1</v>
      </c>
      <c r="L699" t="s">
        <v>1064</v>
      </c>
      <c r="M699" t="s">
        <v>1065</v>
      </c>
      <c r="N699" s="15" t="s">
        <v>6878</v>
      </c>
    </row>
    <row r="700" spans="1:14" x14ac:dyDescent="0.2">
      <c r="A700" t="s">
        <v>1778</v>
      </c>
      <c r="B700" t="s">
        <v>1062</v>
      </c>
      <c r="C700" s="9">
        <v>44993</v>
      </c>
      <c r="D700" t="s">
        <v>442</v>
      </c>
      <c r="E700" s="13">
        <v>1350000</v>
      </c>
      <c r="F700" s="13">
        <v>16650</v>
      </c>
      <c r="G700" s="9">
        <v>45016</v>
      </c>
      <c r="H700" t="s">
        <v>1111</v>
      </c>
      <c r="I700" t="s">
        <v>916</v>
      </c>
      <c r="J700" s="13">
        <v>44955</v>
      </c>
      <c r="K700">
        <v>1</v>
      </c>
      <c r="L700" t="s">
        <v>1064</v>
      </c>
      <c r="M700" t="s">
        <v>1065</v>
      </c>
      <c r="N700" s="15" t="s">
        <v>6878</v>
      </c>
    </row>
    <row r="701" spans="1:14" x14ac:dyDescent="0.2">
      <c r="A701" t="s">
        <v>1779</v>
      </c>
      <c r="B701" t="s">
        <v>1062</v>
      </c>
      <c r="C701" s="9">
        <v>44993</v>
      </c>
      <c r="D701" t="s">
        <v>442</v>
      </c>
      <c r="E701" s="13">
        <v>1050000</v>
      </c>
      <c r="F701" s="13">
        <v>16650</v>
      </c>
      <c r="G701" s="9">
        <v>45017</v>
      </c>
      <c r="H701" t="s">
        <v>1111</v>
      </c>
      <c r="I701" t="s">
        <v>916</v>
      </c>
      <c r="J701" s="13">
        <v>34965</v>
      </c>
      <c r="K701">
        <v>1</v>
      </c>
      <c r="L701" t="s">
        <v>1064</v>
      </c>
      <c r="M701" t="s">
        <v>1065</v>
      </c>
      <c r="N701" s="15" t="s">
        <v>6878</v>
      </c>
    </row>
    <row r="702" spans="1:14" x14ac:dyDescent="0.2">
      <c r="A702" t="s">
        <v>1780</v>
      </c>
      <c r="B702" t="s">
        <v>1069</v>
      </c>
      <c r="C702" s="9">
        <v>44993</v>
      </c>
      <c r="D702" t="s">
        <v>442</v>
      </c>
      <c r="E702" s="13">
        <v>1600000</v>
      </c>
      <c r="F702" s="13">
        <v>16650</v>
      </c>
      <c r="G702" s="9">
        <v>45017</v>
      </c>
      <c r="H702" t="s">
        <v>1111</v>
      </c>
      <c r="I702" t="s">
        <v>916</v>
      </c>
      <c r="J702" s="13">
        <v>53280</v>
      </c>
      <c r="K702">
        <v>1</v>
      </c>
      <c r="L702" t="s">
        <v>1064</v>
      </c>
      <c r="M702" t="s">
        <v>1065</v>
      </c>
      <c r="N702" s="15" t="s">
        <v>6878</v>
      </c>
    </row>
    <row r="703" spans="1:14" x14ac:dyDescent="0.2">
      <c r="A703" t="s">
        <v>1781</v>
      </c>
      <c r="B703" t="s">
        <v>1062</v>
      </c>
      <c r="C703" s="9">
        <v>44995</v>
      </c>
      <c r="D703" t="s">
        <v>442</v>
      </c>
      <c r="E703" s="13">
        <v>2625000</v>
      </c>
      <c r="F703" s="13">
        <v>16650</v>
      </c>
      <c r="G703" s="9">
        <v>45017</v>
      </c>
      <c r="H703" t="s">
        <v>1111</v>
      </c>
      <c r="I703" t="s">
        <v>916</v>
      </c>
      <c r="J703" s="13">
        <v>87412</v>
      </c>
      <c r="K703">
        <v>1</v>
      </c>
      <c r="L703" t="s">
        <v>1064</v>
      </c>
      <c r="M703" t="s">
        <v>1065</v>
      </c>
      <c r="N703" s="15" t="s">
        <v>6878</v>
      </c>
    </row>
    <row r="704" spans="1:14" x14ac:dyDescent="0.2">
      <c r="A704" t="s">
        <v>1782</v>
      </c>
      <c r="B704" t="s">
        <v>1062</v>
      </c>
      <c r="C704" s="9">
        <v>44995</v>
      </c>
      <c r="D704" t="s">
        <v>442</v>
      </c>
      <c r="E704" s="13">
        <v>2787500</v>
      </c>
      <c r="F704" s="13">
        <v>16650</v>
      </c>
      <c r="G704" s="9">
        <v>45017</v>
      </c>
      <c r="H704" t="s">
        <v>1111</v>
      </c>
      <c r="I704" t="s">
        <v>916</v>
      </c>
      <c r="J704" s="13">
        <v>92823</v>
      </c>
      <c r="K704">
        <v>1</v>
      </c>
      <c r="L704" t="s">
        <v>1064</v>
      </c>
      <c r="M704" t="s">
        <v>1065</v>
      </c>
      <c r="N704" s="15" t="s">
        <v>6878</v>
      </c>
    </row>
    <row r="705" spans="1:14" x14ac:dyDescent="0.2">
      <c r="A705" t="s">
        <v>1783</v>
      </c>
      <c r="B705" t="s">
        <v>1062</v>
      </c>
      <c r="C705" s="9">
        <v>44995</v>
      </c>
      <c r="D705" t="s">
        <v>442</v>
      </c>
      <c r="E705" s="13">
        <v>2787500</v>
      </c>
      <c r="F705" s="13">
        <v>16650</v>
      </c>
      <c r="G705" s="9">
        <v>45017</v>
      </c>
      <c r="H705" t="s">
        <v>1111</v>
      </c>
      <c r="I705" t="s">
        <v>916</v>
      </c>
      <c r="J705" s="13">
        <v>92823</v>
      </c>
      <c r="K705">
        <v>1</v>
      </c>
      <c r="L705" t="s">
        <v>1064</v>
      </c>
      <c r="M705" t="s">
        <v>1065</v>
      </c>
      <c r="N705" s="15" t="s">
        <v>6878</v>
      </c>
    </row>
    <row r="706" spans="1:14" x14ac:dyDescent="0.2">
      <c r="A706" t="s">
        <v>1784</v>
      </c>
      <c r="B706" t="s">
        <v>1062</v>
      </c>
      <c r="C706" s="9">
        <v>44995</v>
      </c>
      <c r="D706" t="s">
        <v>442</v>
      </c>
      <c r="E706" s="13">
        <v>1500000</v>
      </c>
      <c r="F706" s="13">
        <v>16650</v>
      </c>
      <c r="G706" s="9">
        <v>45017</v>
      </c>
      <c r="H706" t="s">
        <v>1111</v>
      </c>
      <c r="I706" t="s">
        <v>916</v>
      </c>
      <c r="J706" s="13">
        <v>49950</v>
      </c>
      <c r="K706">
        <v>1</v>
      </c>
      <c r="L706" t="s">
        <v>1064</v>
      </c>
      <c r="M706" t="s">
        <v>1065</v>
      </c>
      <c r="N706" s="15" t="s">
        <v>6878</v>
      </c>
    </row>
    <row r="707" spans="1:14" x14ac:dyDescent="0.2">
      <c r="A707" t="s">
        <v>1785</v>
      </c>
      <c r="B707" t="s">
        <v>1062</v>
      </c>
      <c r="C707" s="9">
        <v>44995</v>
      </c>
      <c r="D707" t="s">
        <v>442</v>
      </c>
      <c r="E707" s="13">
        <v>2950000</v>
      </c>
      <c r="F707" s="13">
        <v>16650</v>
      </c>
      <c r="G707" s="9">
        <v>45017</v>
      </c>
      <c r="H707" t="s">
        <v>1111</v>
      </c>
      <c r="I707" t="s">
        <v>916</v>
      </c>
      <c r="J707" s="13">
        <v>98235</v>
      </c>
      <c r="K707">
        <v>1</v>
      </c>
      <c r="L707" t="s">
        <v>1064</v>
      </c>
      <c r="M707" t="s">
        <v>1065</v>
      </c>
      <c r="N707" s="15" t="s">
        <v>6878</v>
      </c>
    </row>
    <row r="708" spans="1:14" x14ac:dyDescent="0.2">
      <c r="A708" t="s">
        <v>1786</v>
      </c>
      <c r="B708" t="s">
        <v>1062</v>
      </c>
      <c r="C708" s="9">
        <v>44995</v>
      </c>
      <c r="D708" t="s">
        <v>442</v>
      </c>
      <c r="E708" s="13">
        <v>1875000</v>
      </c>
      <c r="F708" s="13">
        <v>16650</v>
      </c>
      <c r="G708" s="9">
        <v>45017</v>
      </c>
      <c r="H708" t="s">
        <v>1111</v>
      </c>
      <c r="I708" t="s">
        <v>916</v>
      </c>
      <c r="J708" s="13">
        <v>62437</v>
      </c>
      <c r="K708">
        <v>1</v>
      </c>
      <c r="L708" t="s">
        <v>1064</v>
      </c>
      <c r="M708" t="s">
        <v>1065</v>
      </c>
      <c r="N708" s="15" t="s">
        <v>6878</v>
      </c>
    </row>
    <row r="709" spans="1:14" x14ac:dyDescent="0.2">
      <c r="A709" t="s">
        <v>1787</v>
      </c>
      <c r="B709" t="s">
        <v>1062</v>
      </c>
      <c r="C709" s="9">
        <v>44995</v>
      </c>
      <c r="D709" t="s">
        <v>178</v>
      </c>
      <c r="E709" s="13">
        <v>1274000</v>
      </c>
      <c r="F709" s="13">
        <v>22200</v>
      </c>
      <c r="G709" s="9">
        <v>44995</v>
      </c>
      <c r="H709" t="s">
        <v>1063</v>
      </c>
      <c r="I709" t="s">
        <v>904</v>
      </c>
      <c r="J709" s="13"/>
      <c r="K709">
        <v>1</v>
      </c>
      <c r="L709" t="s">
        <v>1064</v>
      </c>
      <c r="M709" t="s">
        <v>1164</v>
      </c>
      <c r="N709" s="15" t="s">
        <v>6878</v>
      </c>
    </row>
    <row r="710" spans="1:14" x14ac:dyDescent="0.2">
      <c r="A710" t="s">
        <v>1788</v>
      </c>
      <c r="B710" t="s">
        <v>1069</v>
      </c>
      <c r="C710" s="9">
        <v>44995</v>
      </c>
      <c r="D710" t="s">
        <v>958</v>
      </c>
      <c r="E710" s="13">
        <v>15103015</v>
      </c>
      <c r="F710" s="13">
        <v>299700</v>
      </c>
      <c r="G710" s="9">
        <v>44996</v>
      </c>
      <c r="H710" t="s">
        <v>1063</v>
      </c>
      <c r="I710" t="s">
        <v>1074</v>
      </c>
      <c r="J710" s="13">
        <v>335286</v>
      </c>
      <c r="K710">
        <v>15</v>
      </c>
      <c r="L710" t="s">
        <v>1064</v>
      </c>
      <c r="M710" t="s">
        <v>1075</v>
      </c>
      <c r="N710" s="15" t="s">
        <v>6878</v>
      </c>
    </row>
    <row r="711" spans="1:14" x14ac:dyDescent="0.2">
      <c r="A711" t="s">
        <v>1789</v>
      </c>
      <c r="B711" t="s">
        <v>1069</v>
      </c>
      <c r="C711" s="9">
        <v>44995</v>
      </c>
      <c r="D711" t="s">
        <v>958</v>
      </c>
      <c r="E711" s="13">
        <v>5460000</v>
      </c>
      <c r="F711" s="13">
        <v>139860</v>
      </c>
      <c r="G711" s="9">
        <v>44996</v>
      </c>
      <c r="H711" t="s">
        <v>1063</v>
      </c>
      <c r="I711" t="s">
        <v>1074</v>
      </c>
      <c r="J711" s="13">
        <v>121212</v>
      </c>
      <c r="K711">
        <v>7</v>
      </c>
      <c r="L711" t="s">
        <v>1064</v>
      </c>
      <c r="M711" t="s">
        <v>1075</v>
      </c>
      <c r="N711" s="15" t="s">
        <v>6878</v>
      </c>
    </row>
    <row r="712" spans="1:14" x14ac:dyDescent="0.2">
      <c r="A712" t="s">
        <v>1790</v>
      </c>
      <c r="B712" t="s">
        <v>1069</v>
      </c>
      <c r="C712" s="9">
        <v>44995</v>
      </c>
      <c r="D712" t="s">
        <v>958</v>
      </c>
      <c r="E712" s="13">
        <v>7800000</v>
      </c>
      <c r="F712" s="13">
        <v>199800</v>
      </c>
      <c r="G712" s="9">
        <v>44996</v>
      </c>
      <c r="H712" t="s">
        <v>1063</v>
      </c>
      <c r="I712" t="s">
        <v>1074</v>
      </c>
      <c r="J712" s="13">
        <v>173160</v>
      </c>
      <c r="K712">
        <v>10</v>
      </c>
      <c r="L712" t="s">
        <v>1064</v>
      </c>
      <c r="M712" t="s">
        <v>1075</v>
      </c>
      <c r="N712" s="15" t="s">
        <v>6878</v>
      </c>
    </row>
    <row r="713" spans="1:14" x14ac:dyDescent="0.2">
      <c r="A713" t="s">
        <v>1791</v>
      </c>
      <c r="B713" t="s">
        <v>1069</v>
      </c>
      <c r="C713" s="9">
        <v>44996</v>
      </c>
      <c r="D713" t="s">
        <v>958</v>
      </c>
      <c r="E713" s="13">
        <v>14052330</v>
      </c>
      <c r="F713" s="13">
        <v>199800</v>
      </c>
      <c r="G713" s="9">
        <v>44996</v>
      </c>
      <c r="H713" t="s">
        <v>1063</v>
      </c>
      <c r="I713" t="s">
        <v>1074</v>
      </c>
      <c r="J713" s="13">
        <v>311961</v>
      </c>
      <c r="K713">
        <v>10</v>
      </c>
      <c r="L713" t="s">
        <v>1064</v>
      </c>
      <c r="M713" t="s">
        <v>1075</v>
      </c>
      <c r="N713" s="15" t="s">
        <v>6878</v>
      </c>
    </row>
    <row r="714" spans="1:14" x14ac:dyDescent="0.2">
      <c r="A714" t="s">
        <v>1792</v>
      </c>
      <c r="B714" t="s">
        <v>1069</v>
      </c>
      <c r="C714" s="9">
        <v>44996</v>
      </c>
      <c r="D714" t="s">
        <v>958</v>
      </c>
      <c r="E714" s="13">
        <v>9039714</v>
      </c>
      <c r="F714" s="13">
        <v>99900</v>
      </c>
      <c r="G714" s="9">
        <v>44996</v>
      </c>
      <c r="H714" t="s">
        <v>1063</v>
      </c>
      <c r="I714" t="s">
        <v>1074</v>
      </c>
      <c r="J714" s="13">
        <v>200681</v>
      </c>
      <c r="K714">
        <v>5</v>
      </c>
      <c r="L714" t="s">
        <v>1064</v>
      </c>
      <c r="M714" t="s">
        <v>1075</v>
      </c>
      <c r="N714" s="15" t="s">
        <v>6878</v>
      </c>
    </row>
    <row r="715" spans="1:14" x14ac:dyDescent="0.2">
      <c r="A715" t="s">
        <v>1793</v>
      </c>
      <c r="B715" t="s">
        <v>1062</v>
      </c>
      <c r="C715" s="9">
        <v>44997</v>
      </c>
      <c r="D715" t="s">
        <v>442</v>
      </c>
      <c r="E715" s="13">
        <v>3100000</v>
      </c>
      <c r="F715" s="13">
        <v>16650</v>
      </c>
      <c r="G715" s="9">
        <v>45017</v>
      </c>
      <c r="H715" t="s">
        <v>1111</v>
      </c>
      <c r="I715" t="s">
        <v>916</v>
      </c>
      <c r="J715" s="13">
        <v>103230</v>
      </c>
      <c r="K715">
        <v>1</v>
      </c>
      <c r="L715" t="s">
        <v>1064</v>
      </c>
      <c r="M715" t="s">
        <v>1065</v>
      </c>
      <c r="N715" s="15" t="s">
        <v>6878</v>
      </c>
    </row>
    <row r="716" spans="1:14" x14ac:dyDescent="0.2">
      <c r="A716" t="s">
        <v>1794</v>
      </c>
      <c r="B716" t="s">
        <v>1062</v>
      </c>
      <c r="C716" s="9">
        <v>44997</v>
      </c>
      <c r="D716" t="s">
        <v>442</v>
      </c>
      <c r="E716" s="13">
        <v>3250000</v>
      </c>
      <c r="F716" s="13">
        <v>16650</v>
      </c>
      <c r="G716" s="9">
        <v>45017</v>
      </c>
      <c r="H716" t="s">
        <v>1111</v>
      </c>
      <c r="I716" t="s">
        <v>916</v>
      </c>
      <c r="J716" s="13">
        <v>108225</v>
      </c>
      <c r="K716">
        <v>1</v>
      </c>
      <c r="L716" t="s">
        <v>1064</v>
      </c>
      <c r="M716" t="s">
        <v>1065</v>
      </c>
      <c r="N716" s="15" t="s">
        <v>6878</v>
      </c>
    </row>
    <row r="717" spans="1:14" x14ac:dyDescent="0.2">
      <c r="A717" t="s">
        <v>1795</v>
      </c>
      <c r="B717" t="s">
        <v>1062</v>
      </c>
      <c r="C717" s="9">
        <v>44997</v>
      </c>
      <c r="D717" t="s">
        <v>442</v>
      </c>
      <c r="E717" s="13">
        <v>2950000</v>
      </c>
      <c r="F717" s="13">
        <v>16650</v>
      </c>
      <c r="G717" s="9">
        <v>45017</v>
      </c>
      <c r="H717" t="s">
        <v>1111</v>
      </c>
      <c r="I717" t="s">
        <v>916</v>
      </c>
      <c r="J717" s="13">
        <v>98235</v>
      </c>
      <c r="K717">
        <v>1</v>
      </c>
      <c r="L717" t="s">
        <v>1064</v>
      </c>
      <c r="M717" t="s">
        <v>1065</v>
      </c>
      <c r="N717" s="15" t="s">
        <v>6878</v>
      </c>
    </row>
    <row r="718" spans="1:14" x14ac:dyDescent="0.2">
      <c r="A718" t="s">
        <v>1796</v>
      </c>
      <c r="B718" t="s">
        <v>1062</v>
      </c>
      <c r="C718" s="9">
        <v>44997</v>
      </c>
      <c r="D718" t="s">
        <v>442</v>
      </c>
      <c r="E718" s="13">
        <v>1950000</v>
      </c>
      <c r="F718" s="13">
        <v>16650</v>
      </c>
      <c r="G718" s="9">
        <v>45021</v>
      </c>
      <c r="H718" t="s">
        <v>1111</v>
      </c>
      <c r="I718" t="s">
        <v>916</v>
      </c>
      <c r="J718" s="13">
        <v>64935</v>
      </c>
      <c r="K718">
        <v>1</v>
      </c>
      <c r="L718" t="s">
        <v>1064</v>
      </c>
      <c r="M718" t="s">
        <v>1065</v>
      </c>
      <c r="N718" s="15" t="s">
        <v>6878</v>
      </c>
    </row>
    <row r="719" spans="1:14" x14ac:dyDescent="0.2">
      <c r="A719" t="s">
        <v>1797</v>
      </c>
      <c r="B719" t="s">
        <v>1062</v>
      </c>
      <c r="C719" s="9">
        <v>44997</v>
      </c>
      <c r="D719" t="s">
        <v>442</v>
      </c>
      <c r="E719" s="13">
        <v>1700000</v>
      </c>
      <c r="F719" s="13">
        <v>16650</v>
      </c>
      <c r="G719" s="9">
        <v>45017</v>
      </c>
      <c r="H719" t="s">
        <v>1111</v>
      </c>
      <c r="I719" t="s">
        <v>916</v>
      </c>
      <c r="J719" s="13">
        <v>56610</v>
      </c>
      <c r="K719">
        <v>1</v>
      </c>
      <c r="L719" t="s">
        <v>1064</v>
      </c>
      <c r="M719" t="s">
        <v>1065</v>
      </c>
      <c r="N719" s="15" t="s">
        <v>6878</v>
      </c>
    </row>
    <row r="720" spans="1:14" x14ac:dyDescent="0.2">
      <c r="A720" t="s">
        <v>1798</v>
      </c>
      <c r="B720" t="s">
        <v>1062</v>
      </c>
      <c r="C720" s="9">
        <v>44997</v>
      </c>
      <c r="D720" t="s">
        <v>442</v>
      </c>
      <c r="E720" s="13">
        <v>3500000</v>
      </c>
      <c r="F720" s="13">
        <v>16650</v>
      </c>
      <c r="G720" s="9">
        <v>45020</v>
      </c>
      <c r="H720" t="s">
        <v>1111</v>
      </c>
      <c r="I720" t="s">
        <v>916</v>
      </c>
      <c r="J720" s="13">
        <v>116550</v>
      </c>
      <c r="K720">
        <v>1</v>
      </c>
      <c r="L720" t="s">
        <v>1064</v>
      </c>
      <c r="M720" t="s">
        <v>1065</v>
      </c>
      <c r="N720" s="15" t="s">
        <v>6878</v>
      </c>
    </row>
    <row r="721" spans="1:14" x14ac:dyDescent="0.2">
      <c r="A721" t="s">
        <v>1799</v>
      </c>
      <c r="B721" t="s">
        <v>1062</v>
      </c>
      <c r="C721" s="9">
        <v>44998</v>
      </c>
      <c r="D721" t="s">
        <v>442</v>
      </c>
      <c r="E721" s="13">
        <v>2575000</v>
      </c>
      <c r="F721" s="13">
        <v>16650</v>
      </c>
      <c r="G721" s="9">
        <v>45017</v>
      </c>
      <c r="H721" t="s">
        <v>1111</v>
      </c>
      <c r="I721" t="s">
        <v>916</v>
      </c>
      <c r="J721" s="13">
        <v>85747</v>
      </c>
      <c r="K721">
        <v>1</v>
      </c>
      <c r="L721" t="s">
        <v>1064</v>
      </c>
      <c r="M721" t="s">
        <v>1065</v>
      </c>
      <c r="N721" s="15" t="s">
        <v>6878</v>
      </c>
    </row>
    <row r="722" spans="1:14" x14ac:dyDescent="0.2">
      <c r="A722" t="s">
        <v>1800</v>
      </c>
      <c r="B722" t="s">
        <v>1062</v>
      </c>
      <c r="C722" s="9">
        <v>44998</v>
      </c>
      <c r="D722" t="s">
        <v>442</v>
      </c>
      <c r="E722" s="13">
        <v>2625000</v>
      </c>
      <c r="F722" s="13">
        <v>16650</v>
      </c>
      <c r="G722" s="9">
        <v>45017</v>
      </c>
      <c r="H722" t="s">
        <v>1111</v>
      </c>
      <c r="I722" t="s">
        <v>916</v>
      </c>
      <c r="J722" s="13">
        <v>87412</v>
      </c>
      <c r="K722">
        <v>1</v>
      </c>
      <c r="L722" t="s">
        <v>1064</v>
      </c>
      <c r="M722" t="s">
        <v>1065</v>
      </c>
      <c r="N722" s="15" t="s">
        <v>6878</v>
      </c>
    </row>
    <row r="723" spans="1:14" x14ac:dyDescent="0.2">
      <c r="A723" t="s">
        <v>1801</v>
      </c>
      <c r="B723" t="s">
        <v>1062</v>
      </c>
      <c r="C723" s="9">
        <v>44998</v>
      </c>
      <c r="D723" t="s">
        <v>442</v>
      </c>
      <c r="E723" s="13">
        <v>1575000</v>
      </c>
      <c r="F723" s="13">
        <v>16650</v>
      </c>
      <c r="G723" s="9">
        <v>45017</v>
      </c>
      <c r="H723" t="s">
        <v>1111</v>
      </c>
      <c r="I723" t="s">
        <v>916</v>
      </c>
      <c r="J723" s="13">
        <v>52447</v>
      </c>
      <c r="K723">
        <v>1</v>
      </c>
      <c r="L723" t="s">
        <v>1064</v>
      </c>
      <c r="M723" t="s">
        <v>1065</v>
      </c>
      <c r="N723" s="15" t="s">
        <v>6878</v>
      </c>
    </row>
    <row r="724" spans="1:14" x14ac:dyDescent="0.2">
      <c r="A724" t="s">
        <v>1802</v>
      </c>
      <c r="B724" t="s">
        <v>1062</v>
      </c>
      <c r="C724" s="9">
        <v>44998</v>
      </c>
      <c r="D724" t="s">
        <v>442</v>
      </c>
      <c r="E724" s="13">
        <v>1325000</v>
      </c>
      <c r="F724" s="13">
        <v>16650</v>
      </c>
      <c r="G724" s="9">
        <v>45017</v>
      </c>
      <c r="H724" t="s">
        <v>1111</v>
      </c>
      <c r="I724" t="s">
        <v>916</v>
      </c>
      <c r="J724" s="13">
        <v>44122</v>
      </c>
      <c r="K724">
        <v>1</v>
      </c>
      <c r="L724" t="s">
        <v>1064</v>
      </c>
      <c r="M724" t="s">
        <v>1065</v>
      </c>
      <c r="N724" s="15" t="s">
        <v>6878</v>
      </c>
    </row>
    <row r="725" spans="1:14" x14ac:dyDescent="0.2">
      <c r="A725" t="s">
        <v>1803</v>
      </c>
      <c r="B725" t="s">
        <v>1062</v>
      </c>
      <c r="C725" s="9">
        <v>44999</v>
      </c>
      <c r="D725" t="s">
        <v>442</v>
      </c>
      <c r="E725" s="13">
        <v>2625000</v>
      </c>
      <c r="F725" s="13">
        <v>16650</v>
      </c>
      <c r="G725" s="9">
        <v>45017</v>
      </c>
      <c r="H725" t="s">
        <v>1111</v>
      </c>
      <c r="I725" t="s">
        <v>916</v>
      </c>
      <c r="J725" s="13">
        <v>87412</v>
      </c>
      <c r="K725">
        <v>1</v>
      </c>
      <c r="L725" t="s">
        <v>1064</v>
      </c>
      <c r="M725" t="s">
        <v>1065</v>
      </c>
      <c r="N725" s="15" t="s">
        <v>6878</v>
      </c>
    </row>
    <row r="726" spans="1:14" x14ac:dyDescent="0.2">
      <c r="A726" t="s">
        <v>1804</v>
      </c>
      <c r="B726" t="s">
        <v>1062</v>
      </c>
      <c r="C726" s="9">
        <v>44999</v>
      </c>
      <c r="D726" t="s">
        <v>442</v>
      </c>
      <c r="E726" s="13">
        <v>1050000</v>
      </c>
      <c r="F726" s="13">
        <v>16650</v>
      </c>
      <c r="G726" s="9">
        <v>45017</v>
      </c>
      <c r="H726" t="s">
        <v>1111</v>
      </c>
      <c r="I726" t="s">
        <v>916</v>
      </c>
      <c r="J726" s="13">
        <v>34965</v>
      </c>
      <c r="K726">
        <v>1</v>
      </c>
      <c r="L726" t="s">
        <v>1064</v>
      </c>
      <c r="M726" t="s">
        <v>1065</v>
      </c>
      <c r="N726" s="15" t="s">
        <v>6878</v>
      </c>
    </row>
    <row r="727" spans="1:14" x14ac:dyDescent="0.2">
      <c r="A727" t="s">
        <v>1805</v>
      </c>
      <c r="B727" t="s">
        <v>1062</v>
      </c>
      <c r="C727" s="9">
        <v>44999</v>
      </c>
      <c r="D727" t="s">
        <v>442</v>
      </c>
      <c r="E727" s="13">
        <v>800000</v>
      </c>
      <c r="F727" s="13">
        <v>16650</v>
      </c>
      <c r="G727" s="9">
        <v>45017</v>
      </c>
      <c r="H727" t="s">
        <v>1111</v>
      </c>
      <c r="I727" t="s">
        <v>916</v>
      </c>
      <c r="J727" s="13">
        <v>26640</v>
      </c>
      <c r="K727">
        <v>1</v>
      </c>
      <c r="L727" t="s">
        <v>1064</v>
      </c>
      <c r="M727" t="s">
        <v>1065</v>
      </c>
      <c r="N727" s="15" t="s">
        <v>6878</v>
      </c>
    </row>
    <row r="728" spans="1:14" x14ac:dyDescent="0.2">
      <c r="A728" t="s">
        <v>1806</v>
      </c>
      <c r="B728" t="s">
        <v>1069</v>
      </c>
      <c r="C728" s="9">
        <v>44999</v>
      </c>
      <c r="D728" t="s">
        <v>968</v>
      </c>
      <c r="E728" s="13">
        <v>14400000</v>
      </c>
      <c r="F728" s="13">
        <v>479520</v>
      </c>
      <c r="G728" s="9">
        <v>45002</v>
      </c>
      <c r="H728" t="s">
        <v>1111</v>
      </c>
      <c r="I728" t="s">
        <v>1137</v>
      </c>
      <c r="J728" s="13"/>
      <c r="K728">
        <v>9</v>
      </c>
      <c r="L728" t="s">
        <v>1064</v>
      </c>
      <c r="M728" t="s">
        <v>1138</v>
      </c>
      <c r="N728" s="15" t="s">
        <v>6878</v>
      </c>
    </row>
    <row r="729" spans="1:14" x14ac:dyDescent="0.2">
      <c r="A729" t="s">
        <v>1807</v>
      </c>
      <c r="B729" t="s">
        <v>1069</v>
      </c>
      <c r="C729" s="9">
        <v>44999</v>
      </c>
      <c r="D729" t="s">
        <v>968</v>
      </c>
      <c r="E729" s="13">
        <v>22400000</v>
      </c>
      <c r="F729" s="13">
        <v>745920</v>
      </c>
      <c r="G729" s="9">
        <v>45002</v>
      </c>
      <c r="H729" t="s">
        <v>1111</v>
      </c>
      <c r="I729" t="s">
        <v>1137</v>
      </c>
      <c r="J729" s="13"/>
      <c r="K729">
        <v>14</v>
      </c>
      <c r="L729" t="s">
        <v>1064</v>
      </c>
      <c r="M729" t="s">
        <v>1138</v>
      </c>
      <c r="N729" s="15" t="s">
        <v>6878</v>
      </c>
    </row>
    <row r="730" spans="1:14" x14ac:dyDescent="0.2">
      <c r="A730" t="s">
        <v>1808</v>
      </c>
      <c r="B730" t="s">
        <v>1069</v>
      </c>
      <c r="C730" s="9">
        <v>44999</v>
      </c>
      <c r="D730" t="s">
        <v>968</v>
      </c>
      <c r="E730" s="13">
        <v>16000000</v>
      </c>
      <c r="F730" s="13">
        <v>532800</v>
      </c>
      <c r="G730" s="9">
        <v>45002</v>
      </c>
      <c r="H730" t="s">
        <v>1111</v>
      </c>
      <c r="I730" t="s">
        <v>1137</v>
      </c>
      <c r="J730" s="13"/>
      <c r="K730">
        <v>10</v>
      </c>
      <c r="L730" t="s">
        <v>1064</v>
      </c>
      <c r="M730" t="s">
        <v>1138</v>
      </c>
      <c r="N730" s="15" t="s">
        <v>6878</v>
      </c>
    </row>
    <row r="731" spans="1:14" x14ac:dyDescent="0.2">
      <c r="A731" t="s">
        <v>1809</v>
      </c>
      <c r="B731" t="s">
        <v>1069</v>
      </c>
      <c r="C731" s="9">
        <v>44999</v>
      </c>
      <c r="D731" t="s">
        <v>968</v>
      </c>
      <c r="E731" s="13">
        <v>4800000</v>
      </c>
      <c r="F731" s="13">
        <v>159840</v>
      </c>
      <c r="G731" s="9">
        <v>45002</v>
      </c>
      <c r="H731" t="s">
        <v>1111</v>
      </c>
      <c r="I731" t="s">
        <v>1137</v>
      </c>
      <c r="J731" s="13"/>
      <c r="K731">
        <v>3</v>
      </c>
      <c r="L731" t="s">
        <v>1064</v>
      </c>
      <c r="M731" t="s">
        <v>1138</v>
      </c>
      <c r="N731" s="15" t="s">
        <v>6878</v>
      </c>
    </row>
    <row r="732" spans="1:14" x14ac:dyDescent="0.2">
      <c r="A732" t="s">
        <v>1810</v>
      </c>
      <c r="B732" t="s">
        <v>1069</v>
      </c>
      <c r="C732" s="9">
        <v>44999</v>
      </c>
      <c r="D732" t="s">
        <v>968</v>
      </c>
      <c r="E732" s="13">
        <v>6400000</v>
      </c>
      <c r="F732" s="13">
        <v>213120</v>
      </c>
      <c r="G732" s="9">
        <v>45002</v>
      </c>
      <c r="H732" t="s">
        <v>1111</v>
      </c>
      <c r="I732" t="s">
        <v>1137</v>
      </c>
      <c r="J732" s="13"/>
      <c r="K732">
        <v>4</v>
      </c>
      <c r="L732" t="s">
        <v>1064</v>
      </c>
      <c r="M732" t="s">
        <v>1138</v>
      </c>
      <c r="N732" s="15" t="s">
        <v>6878</v>
      </c>
    </row>
    <row r="733" spans="1:14" x14ac:dyDescent="0.2">
      <c r="A733" t="s">
        <v>1811</v>
      </c>
      <c r="B733" t="s">
        <v>1062</v>
      </c>
      <c r="C733" s="9">
        <v>45001</v>
      </c>
      <c r="D733" t="s">
        <v>442</v>
      </c>
      <c r="E733" s="13">
        <v>2625000</v>
      </c>
      <c r="F733" s="13">
        <v>16650</v>
      </c>
      <c r="G733" s="9">
        <v>45017</v>
      </c>
      <c r="H733" t="s">
        <v>1111</v>
      </c>
      <c r="I733" t="s">
        <v>916</v>
      </c>
      <c r="J733" s="13">
        <v>87412</v>
      </c>
      <c r="K733">
        <v>1</v>
      </c>
      <c r="L733" t="s">
        <v>1064</v>
      </c>
      <c r="M733" t="s">
        <v>1065</v>
      </c>
      <c r="N733" s="15" t="s">
        <v>6878</v>
      </c>
    </row>
    <row r="734" spans="1:14" x14ac:dyDescent="0.2">
      <c r="A734" t="s">
        <v>1812</v>
      </c>
      <c r="B734" t="s">
        <v>1062</v>
      </c>
      <c r="C734" s="9">
        <v>45001</v>
      </c>
      <c r="D734" t="s">
        <v>442</v>
      </c>
      <c r="E734" s="13">
        <v>1575000</v>
      </c>
      <c r="F734" s="13">
        <v>16650</v>
      </c>
      <c r="G734" s="9">
        <v>45017</v>
      </c>
      <c r="H734" t="s">
        <v>1111</v>
      </c>
      <c r="I734" t="s">
        <v>916</v>
      </c>
      <c r="J734" s="13">
        <v>52447</v>
      </c>
      <c r="K734">
        <v>1</v>
      </c>
      <c r="L734" t="s">
        <v>1064</v>
      </c>
      <c r="M734" t="s">
        <v>1065</v>
      </c>
      <c r="N734" s="15" t="s">
        <v>6878</v>
      </c>
    </row>
    <row r="735" spans="1:14" x14ac:dyDescent="0.2">
      <c r="A735" t="s">
        <v>1813</v>
      </c>
      <c r="B735" t="s">
        <v>1062</v>
      </c>
      <c r="C735" s="9">
        <v>45001</v>
      </c>
      <c r="D735" t="s">
        <v>442</v>
      </c>
      <c r="E735" s="13">
        <v>2625000</v>
      </c>
      <c r="F735" s="13">
        <v>16650</v>
      </c>
      <c r="G735" s="9">
        <v>45020</v>
      </c>
      <c r="H735" t="s">
        <v>1111</v>
      </c>
      <c r="I735" t="s">
        <v>916</v>
      </c>
      <c r="J735" s="13">
        <v>87412</v>
      </c>
      <c r="K735">
        <v>1</v>
      </c>
      <c r="L735" t="s">
        <v>1064</v>
      </c>
      <c r="M735" t="s">
        <v>1065</v>
      </c>
      <c r="N735" s="15" t="s">
        <v>6878</v>
      </c>
    </row>
    <row r="736" spans="1:14" x14ac:dyDescent="0.2">
      <c r="A736" t="s">
        <v>1814</v>
      </c>
      <c r="B736" t="s">
        <v>1062</v>
      </c>
      <c r="C736" s="9">
        <v>45001</v>
      </c>
      <c r="D736" t="s">
        <v>442</v>
      </c>
      <c r="E736" s="13">
        <v>2625000</v>
      </c>
      <c r="F736" s="13">
        <v>16650</v>
      </c>
      <c r="G736" s="9">
        <v>45020</v>
      </c>
      <c r="H736" t="s">
        <v>1111</v>
      </c>
      <c r="I736" t="s">
        <v>916</v>
      </c>
      <c r="J736" s="13">
        <v>87412</v>
      </c>
      <c r="K736">
        <v>1</v>
      </c>
      <c r="L736" t="s">
        <v>1064</v>
      </c>
      <c r="M736" t="s">
        <v>1065</v>
      </c>
      <c r="N736" s="15" t="s">
        <v>6878</v>
      </c>
    </row>
    <row r="737" spans="1:14" x14ac:dyDescent="0.2">
      <c r="A737" t="s">
        <v>1815</v>
      </c>
      <c r="B737" t="s">
        <v>1062</v>
      </c>
      <c r="C737" s="9">
        <v>45001</v>
      </c>
      <c r="D737" t="s">
        <v>442</v>
      </c>
      <c r="E737" s="13">
        <v>2625000</v>
      </c>
      <c r="F737" s="13">
        <v>16650</v>
      </c>
      <c r="G737" s="9">
        <v>45020</v>
      </c>
      <c r="H737" t="s">
        <v>1111</v>
      </c>
      <c r="I737" t="s">
        <v>916</v>
      </c>
      <c r="J737" s="13">
        <v>87412</v>
      </c>
      <c r="K737">
        <v>1</v>
      </c>
      <c r="L737" t="s">
        <v>1064</v>
      </c>
      <c r="M737" t="s">
        <v>1065</v>
      </c>
      <c r="N737" s="15" t="s">
        <v>6878</v>
      </c>
    </row>
    <row r="738" spans="1:14" x14ac:dyDescent="0.2">
      <c r="A738" t="s">
        <v>1816</v>
      </c>
      <c r="B738" t="s">
        <v>1062</v>
      </c>
      <c r="C738" s="9">
        <v>45001</v>
      </c>
      <c r="D738" t="s">
        <v>442</v>
      </c>
      <c r="E738" s="13">
        <v>2675000</v>
      </c>
      <c r="F738" s="13">
        <v>16650</v>
      </c>
      <c r="G738" s="9">
        <v>45020</v>
      </c>
      <c r="H738" t="s">
        <v>1111</v>
      </c>
      <c r="I738" t="s">
        <v>916</v>
      </c>
      <c r="J738" s="13">
        <v>89077</v>
      </c>
      <c r="K738">
        <v>1</v>
      </c>
      <c r="L738" t="s">
        <v>1064</v>
      </c>
      <c r="M738" t="s">
        <v>1065</v>
      </c>
      <c r="N738" s="15" t="s">
        <v>6878</v>
      </c>
    </row>
    <row r="739" spans="1:14" x14ac:dyDescent="0.2">
      <c r="A739" t="s">
        <v>1817</v>
      </c>
      <c r="B739" t="s">
        <v>1062</v>
      </c>
      <c r="C739" s="9">
        <v>45001</v>
      </c>
      <c r="D739" t="s">
        <v>442</v>
      </c>
      <c r="E739" s="13">
        <v>3250000</v>
      </c>
      <c r="F739" s="13">
        <v>16650</v>
      </c>
      <c r="G739" s="9">
        <v>45020</v>
      </c>
      <c r="H739" t="s">
        <v>1111</v>
      </c>
      <c r="I739" t="s">
        <v>916</v>
      </c>
      <c r="J739" s="13">
        <v>108225</v>
      </c>
      <c r="K739">
        <v>1</v>
      </c>
      <c r="L739" t="s">
        <v>1064</v>
      </c>
      <c r="M739" t="s">
        <v>1065</v>
      </c>
      <c r="N739" s="15" t="s">
        <v>6878</v>
      </c>
    </row>
    <row r="740" spans="1:14" x14ac:dyDescent="0.2">
      <c r="A740" t="s">
        <v>1818</v>
      </c>
      <c r="B740" t="s">
        <v>1062</v>
      </c>
      <c r="C740" s="9">
        <v>45001</v>
      </c>
      <c r="D740" t="s">
        <v>442</v>
      </c>
      <c r="E740" s="13">
        <v>3250000</v>
      </c>
      <c r="F740" s="13">
        <v>16650</v>
      </c>
      <c r="G740" s="9">
        <v>45020</v>
      </c>
      <c r="H740" t="s">
        <v>1111</v>
      </c>
      <c r="I740" t="s">
        <v>916</v>
      </c>
      <c r="J740" s="13">
        <v>108225</v>
      </c>
      <c r="K740">
        <v>1</v>
      </c>
      <c r="L740" t="s">
        <v>1064</v>
      </c>
      <c r="M740" t="s">
        <v>1065</v>
      </c>
      <c r="N740" s="15" t="s">
        <v>6878</v>
      </c>
    </row>
    <row r="741" spans="1:14" x14ac:dyDescent="0.2">
      <c r="A741" t="s">
        <v>1819</v>
      </c>
      <c r="B741" t="s">
        <v>1062</v>
      </c>
      <c r="C741" s="9">
        <v>45001</v>
      </c>
      <c r="D741" t="s">
        <v>442</v>
      </c>
      <c r="E741" s="13">
        <v>1825000</v>
      </c>
      <c r="F741" s="13">
        <v>16650</v>
      </c>
      <c r="G741" s="9">
        <v>45020</v>
      </c>
      <c r="H741" t="s">
        <v>1111</v>
      </c>
      <c r="I741" t="s">
        <v>916</v>
      </c>
      <c r="J741" s="13">
        <v>60772</v>
      </c>
      <c r="K741">
        <v>1</v>
      </c>
      <c r="L741" t="s">
        <v>1064</v>
      </c>
      <c r="M741" t="s">
        <v>1065</v>
      </c>
      <c r="N741" s="15" t="s">
        <v>6878</v>
      </c>
    </row>
    <row r="742" spans="1:14" x14ac:dyDescent="0.2">
      <c r="A742" t="s">
        <v>1820</v>
      </c>
      <c r="B742" t="s">
        <v>1062</v>
      </c>
      <c r="C742" s="9">
        <v>45001</v>
      </c>
      <c r="D742" t="s">
        <v>442</v>
      </c>
      <c r="E742" s="13">
        <v>3075000</v>
      </c>
      <c r="F742" s="13">
        <v>16650</v>
      </c>
      <c r="G742" s="9">
        <v>45021</v>
      </c>
      <c r="H742" t="s">
        <v>1111</v>
      </c>
      <c r="I742" t="s">
        <v>916</v>
      </c>
      <c r="J742" s="13">
        <v>102397</v>
      </c>
      <c r="K742">
        <v>1</v>
      </c>
      <c r="L742" t="s">
        <v>1064</v>
      </c>
      <c r="M742" t="s">
        <v>1065</v>
      </c>
      <c r="N742" s="15" t="s">
        <v>6878</v>
      </c>
    </row>
    <row r="743" spans="1:14" x14ac:dyDescent="0.2">
      <c r="A743" t="s">
        <v>1821</v>
      </c>
      <c r="B743" t="s">
        <v>1062</v>
      </c>
      <c r="C743" s="9">
        <v>45001</v>
      </c>
      <c r="D743" t="s">
        <v>442</v>
      </c>
      <c r="E743" s="13">
        <v>825000</v>
      </c>
      <c r="F743" s="13">
        <v>16650</v>
      </c>
      <c r="G743" s="9">
        <v>45024</v>
      </c>
      <c r="H743" t="s">
        <v>1111</v>
      </c>
      <c r="I743" t="s">
        <v>916</v>
      </c>
      <c r="J743" s="13">
        <v>27472</v>
      </c>
      <c r="K743">
        <v>1</v>
      </c>
      <c r="L743" t="s">
        <v>1064</v>
      </c>
      <c r="M743" t="s">
        <v>1065</v>
      </c>
      <c r="N743" s="15" t="s">
        <v>6878</v>
      </c>
    </row>
    <row r="744" spans="1:14" x14ac:dyDescent="0.2">
      <c r="A744" t="s">
        <v>1822</v>
      </c>
      <c r="B744" t="s">
        <v>1062</v>
      </c>
      <c r="C744" s="9">
        <v>45001</v>
      </c>
      <c r="D744" t="s">
        <v>442</v>
      </c>
      <c r="E744" s="13">
        <v>1050000</v>
      </c>
      <c r="F744" s="13">
        <v>16650</v>
      </c>
      <c r="G744" s="9">
        <v>45021</v>
      </c>
      <c r="H744" t="s">
        <v>1111</v>
      </c>
      <c r="I744" t="s">
        <v>916</v>
      </c>
      <c r="J744" s="13">
        <v>34965</v>
      </c>
      <c r="K744">
        <v>1</v>
      </c>
      <c r="L744" t="s">
        <v>1064</v>
      </c>
      <c r="M744" t="s">
        <v>1065</v>
      </c>
      <c r="N744" s="15" t="s">
        <v>6878</v>
      </c>
    </row>
    <row r="745" spans="1:14" x14ac:dyDescent="0.2">
      <c r="A745" t="s">
        <v>1823</v>
      </c>
      <c r="B745" t="s">
        <v>1062</v>
      </c>
      <c r="C745" s="9">
        <v>45001</v>
      </c>
      <c r="D745" t="s">
        <v>442</v>
      </c>
      <c r="E745" s="13">
        <v>3250000</v>
      </c>
      <c r="F745" s="13">
        <v>16650</v>
      </c>
      <c r="G745" s="9">
        <v>45005</v>
      </c>
      <c r="H745" t="s">
        <v>1111</v>
      </c>
      <c r="I745" t="s">
        <v>916</v>
      </c>
      <c r="J745" s="13">
        <v>108225</v>
      </c>
      <c r="K745">
        <v>1</v>
      </c>
      <c r="L745" t="s">
        <v>1064</v>
      </c>
      <c r="M745" t="s">
        <v>1065</v>
      </c>
      <c r="N745" s="15" t="s">
        <v>6878</v>
      </c>
    </row>
    <row r="746" spans="1:14" x14ac:dyDescent="0.2">
      <c r="A746" t="s">
        <v>1824</v>
      </c>
      <c r="B746" t="s">
        <v>1062</v>
      </c>
      <c r="C746" s="9">
        <v>45001</v>
      </c>
      <c r="D746" t="s">
        <v>1022</v>
      </c>
      <c r="E746" s="13">
        <v>2000000</v>
      </c>
      <c r="F746" s="13">
        <v>25000</v>
      </c>
      <c r="H746" t="s">
        <v>1659</v>
      </c>
      <c r="I746" t="s">
        <v>214</v>
      </c>
      <c r="J746" s="13">
        <v>0</v>
      </c>
      <c r="K746">
        <v>1</v>
      </c>
      <c r="L746" t="s">
        <v>1064</v>
      </c>
      <c r="M746" t="s">
        <v>1112</v>
      </c>
      <c r="N746" s="14" t="s">
        <v>6877</v>
      </c>
    </row>
    <row r="747" spans="1:14" x14ac:dyDescent="0.2">
      <c r="A747" t="s">
        <v>1825</v>
      </c>
      <c r="B747" t="s">
        <v>1062</v>
      </c>
      <c r="C747" s="9">
        <v>45001</v>
      </c>
      <c r="D747" t="s">
        <v>1022</v>
      </c>
      <c r="E747" s="13">
        <v>2000000</v>
      </c>
      <c r="F747" s="13">
        <v>25000</v>
      </c>
      <c r="H747" t="s">
        <v>1659</v>
      </c>
      <c r="I747" t="s">
        <v>214</v>
      </c>
      <c r="J747" s="13">
        <v>0</v>
      </c>
      <c r="K747">
        <v>1</v>
      </c>
      <c r="L747" t="s">
        <v>1064</v>
      </c>
      <c r="M747" t="s">
        <v>1112</v>
      </c>
      <c r="N747" s="14" t="s">
        <v>6877</v>
      </c>
    </row>
    <row r="748" spans="1:14" x14ac:dyDescent="0.2">
      <c r="A748" t="s">
        <v>1826</v>
      </c>
      <c r="B748" t="s">
        <v>1062</v>
      </c>
      <c r="C748" s="9">
        <v>45001</v>
      </c>
      <c r="D748" t="s">
        <v>1022</v>
      </c>
      <c r="E748" s="13">
        <v>6000000</v>
      </c>
      <c r="F748" s="13">
        <v>25000</v>
      </c>
      <c r="H748" t="s">
        <v>1659</v>
      </c>
      <c r="I748" t="s">
        <v>214</v>
      </c>
      <c r="J748" s="13">
        <v>0</v>
      </c>
      <c r="K748">
        <v>3</v>
      </c>
      <c r="L748" t="s">
        <v>1064</v>
      </c>
      <c r="M748" t="s">
        <v>1112</v>
      </c>
      <c r="N748" s="14" t="s">
        <v>6877</v>
      </c>
    </row>
    <row r="749" spans="1:14" x14ac:dyDescent="0.2">
      <c r="A749" t="s">
        <v>1827</v>
      </c>
      <c r="B749" t="s">
        <v>1062</v>
      </c>
      <c r="C749" s="9">
        <v>45001</v>
      </c>
      <c r="D749" t="s">
        <v>1022</v>
      </c>
      <c r="E749" s="13">
        <v>2000000</v>
      </c>
      <c r="F749" s="13">
        <v>25000</v>
      </c>
      <c r="H749" t="s">
        <v>1659</v>
      </c>
      <c r="I749" t="s">
        <v>214</v>
      </c>
      <c r="J749" s="13">
        <v>0</v>
      </c>
      <c r="K749">
        <v>1</v>
      </c>
      <c r="L749" t="s">
        <v>1064</v>
      </c>
      <c r="M749" t="s">
        <v>1112</v>
      </c>
      <c r="N749" s="14" t="s">
        <v>6877</v>
      </c>
    </row>
    <row r="750" spans="1:14" x14ac:dyDescent="0.2">
      <c r="A750" t="s">
        <v>1828</v>
      </c>
      <c r="B750" t="s">
        <v>1062</v>
      </c>
      <c r="C750" s="9">
        <v>45001</v>
      </c>
      <c r="D750" t="s">
        <v>1022</v>
      </c>
      <c r="E750" s="13">
        <v>4000000</v>
      </c>
      <c r="F750" s="13">
        <v>25000</v>
      </c>
      <c r="H750" t="s">
        <v>1659</v>
      </c>
      <c r="I750" t="s">
        <v>214</v>
      </c>
      <c r="J750" s="13">
        <v>0</v>
      </c>
      <c r="K750">
        <v>2</v>
      </c>
      <c r="L750" t="s">
        <v>1064</v>
      </c>
      <c r="M750" t="s">
        <v>1112</v>
      </c>
      <c r="N750" s="14" t="s">
        <v>6877</v>
      </c>
    </row>
    <row r="751" spans="1:14" x14ac:dyDescent="0.2">
      <c r="A751" t="s">
        <v>1829</v>
      </c>
      <c r="B751" t="s">
        <v>1062</v>
      </c>
      <c r="C751" s="9">
        <v>45001</v>
      </c>
      <c r="D751" t="s">
        <v>1022</v>
      </c>
      <c r="E751" s="13">
        <v>2000000</v>
      </c>
      <c r="F751" s="13">
        <v>25000</v>
      </c>
      <c r="H751" t="s">
        <v>1659</v>
      </c>
      <c r="I751" t="s">
        <v>214</v>
      </c>
      <c r="J751" s="13">
        <v>0</v>
      </c>
      <c r="K751">
        <v>1</v>
      </c>
      <c r="L751" t="s">
        <v>1064</v>
      </c>
      <c r="M751" t="s">
        <v>1112</v>
      </c>
      <c r="N751" s="14" t="s">
        <v>6877</v>
      </c>
    </row>
    <row r="752" spans="1:14" x14ac:dyDescent="0.2">
      <c r="A752" t="s">
        <v>1830</v>
      </c>
      <c r="B752" t="s">
        <v>1062</v>
      </c>
      <c r="C752" s="9">
        <v>45001</v>
      </c>
      <c r="D752" t="s">
        <v>1022</v>
      </c>
      <c r="E752" s="13">
        <v>2000000</v>
      </c>
      <c r="F752" s="13">
        <v>25000</v>
      </c>
      <c r="H752" t="s">
        <v>1659</v>
      </c>
      <c r="I752" t="s">
        <v>214</v>
      </c>
      <c r="J752" s="13">
        <v>0</v>
      </c>
      <c r="K752">
        <v>1</v>
      </c>
      <c r="L752" t="s">
        <v>1064</v>
      </c>
      <c r="M752" t="s">
        <v>1112</v>
      </c>
      <c r="N752" s="14" t="s">
        <v>6877</v>
      </c>
    </row>
    <row r="753" spans="1:14" x14ac:dyDescent="0.2">
      <c r="A753" t="s">
        <v>1831</v>
      </c>
      <c r="B753" t="s">
        <v>1062</v>
      </c>
      <c r="C753" s="9">
        <v>45001</v>
      </c>
      <c r="D753" t="s">
        <v>1022</v>
      </c>
      <c r="E753" s="13">
        <v>2000000</v>
      </c>
      <c r="F753" s="13">
        <v>25000</v>
      </c>
      <c r="H753" t="s">
        <v>1659</v>
      </c>
      <c r="I753" t="s">
        <v>214</v>
      </c>
      <c r="J753" s="13">
        <v>0</v>
      </c>
      <c r="K753">
        <v>1</v>
      </c>
      <c r="L753" t="s">
        <v>1064</v>
      </c>
      <c r="M753" t="s">
        <v>1112</v>
      </c>
      <c r="N753" s="14" t="s">
        <v>6877</v>
      </c>
    </row>
    <row r="754" spans="1:14" x14ac:dyDescent="0.2">
      <c r="A754" t="s">
        <v>1832</v>
      </c>
      <c r="B754" t="s">
        <v>1062</v>
      </c>
      <c r="C754" s="9">
        <v>45001</v>
      </c>
      <c r="D754" t="s">
        <v>1022</v>
      </c>
      <c r="E754" s="13">
        <v>2000000</v>
      </c>
      <c r="F754" s="13">
        <v>25000</v>
      </c>
      <c r="H754" t="s">
        <v>1659</v>
      </c>
      <c r="I754" t="s">
        <v>214</v>
      </c>
      <c r="J754" s="13">
        <v>0</v>
      </c>
      <c r="K754">
        <v>1</v>
      </c>
      <c r="L754" t="s">
        <v>1064</v>
      </c>
      <c r="M754" t="s">
        <v>1112</v>
      </c>
      <c r="N754" s="14" t="s">
        <v>6877</v>
      </c>
    </row>
    <row r="755" spans="1:14" x14ac:dyDescent="0.2">
      <c r="A755" t="s">
        <v>1833</v>
      </c>
      <c r="B755" t="s">
        <v>1062</v>
      </c>
      <c r="C755" s="9">
        <v>45001</v>
      </c>
      <c r="D755" t="s">
        <v>1022</v>
      </c>
      <c r="E755" s="13">
        <v>2000000</v>
      </c>
      <c r="F755" s="13">
        <v>25000</v>
      </c>
      <c r="H755" t="s">
        <v>1659</v>
      </c>
      <c r="I755" t="s">
        <v>214</v>
      </c>
      <c r="J755" s="13">
        <v>0</v>
      </c>
      <c r="K755">
        <v>1</v>
      </c>
      <c r="L755" t="s">
        <v>1064</v>
      </c>
      <c r="M755" t="s">
        <v>1112</v>
      </c>
      <c r="N755" s="14" t="s">
        <v>6877</v>
      </c>
    </row>
    <row r="756" spans="1:14" x14ac:dyDescent="0.2">
      <c r="A756" t="s">
        <v>1834</v>
      </c>
      <c r="B756" t="s">
        <v>1062</v>
      </c>
      <c r="C756" s="9">
        <v>45002</v>
      </c>
      <c r="D756" t="s">
        <v>442</v>
      </c>
      <c r="E756" s="13">
        <v>2787500</v>
      </c>
      <c r="F756" s="13">
        <v>16650</v>
      </c>
      <c r="G756" s="9">
        <v>45021</v>
      </c>
      <c r="H756" t="s">
        <v>1111</v>
      </c>
      <c r="I756" t="s">
        <v>916</v>
      </c>
      <c r="J756" s="13">
        <v>92823</v>
      </c>
      <c r="K756">
        <v>1</v>
      </c>
      <c r="L756" t="s">
        <v>1064</v>
      </c>
      <c r="M756" t="s">
        <v>1065</v>
      </c>
      <c r="N756" s="15" t="s">
        <v>6878</v>
      </c>
    </row>
    <row r="757" spans="1:14" x14ac:dyDescent="0.2">
      <c r="A757" t="s">
        <v>1835</v>
      </c>
      <c r="B757" t="s">
        <v>1062</v>
      </c>
      <c r="C757" s="9">
        <v>45002</v>
      </c>
      <c r="D757" t="s">
        <v>442</v>
      </c>
      <c r="E757" s="13">
        <v>2625000</v>
      </c>
      <c r="F757" s="13">
        <v>16650</v>
      </c>
      <c r="G757" s="9">
        <v>45021</v>
      </c>
      <c r="H757" t="s">
        <v>1111</v>
      </c>
      <c r="I757" t="s">
        <v>916</v>
      </c>
      <c r="J757" s="13">
        <v>87412</v>
      </c>
      <c r="K757">
        <v>1</v>
      </c>
      <c r="L757" t="s">
        <v>1064</v>
      </c>
      <c r="M757" t="s">
        <v>1065</v>
      </c>
      <c r="N757" s="15" t="s">
        <v>6878</v>
      </c>
    </row>
    <row r="758" spans="1:14" x14ac:dyDescent="0.2">
      <c r="A758" t="s">
        <v>1836</v>
      </c>
      <c r="B758" t="s">
        <v>1062</v>
      </c>
      <c r="C758" s="9">
        <v>45002</v>
      </c>
      <c r="D758" t="s">
        <v>442</v>
      </c>
      <c r="E758" s="13">
        <v>2625000</v>
      </c>
      <c r="F758" s="13">
        <v>16650</v>
      </c>
      <c r="G758" s="9">
        <v>45021</v>
      </c>
      <c r="H758" t="s">
        <v>1111</v>
      </c>
      <c r="I758" t="s">
        <v>916</v>
      </c>
      <c r="J758" s="13">
        <v>87412</v>
      </c>
      <c r="K758">
        <v>1</v>
      </c>
      <c r="L758" t="s">
        <v>1064</v>
      </c>
      <c r="M758" t="s">
        <v>1065</v>
      </c>
      <c r="N758" s="15" t="s">
        <v>6878</v>
      </c>
    </row>
    <row r="759" spans="1:14" x14ac:dyDescent="0.2">
      <c r="A759" t="s">
        <v>1837</v>
      </c>
      <c r="B759" t="s">
        <v>1062</v>
      </c>
      <c r="C759" s="9">
        <v>45002</v>
      </c>
      <c r="D759" t="s">
        <v>442</v>
      </c>
      <c r="E759" s="13">
        <v>1825000</v>
      </c>
      <c r="F759" s="13">
        <v>16650</v>
      </c>
      <c r="G759" s="9">
        <v>45021</v>
      </c>
      <c r="H759" t="s">
        <v>1111</v>
      </c>
      <c r="I759" t="s">
        <v>916</v>
      </c>
      <c r="J759" s="13">
        <v>60772</v>
      </c>
      <c r="K759">
        <v>1</v>
      </c>
      <c r="L759" t="s">
        <v>1064</v>
      </c>
      <c r="M759" t="s">
        <v>1065</v>
      </c>
      <c r="N759" s="15" t="s">
        <v>6878</v>
      </c>
    </row>
    <row r="760" spans="1:14" x14ac:dyDescent="0.2">
      <c r="A760" t="s">
        <v>1838</v>
      </c>
      <c r="B760" t="s">
        <v>1062</v>
      </c>
      <c r="C760" s="9">
        <v>45002</v>
      </c>
      <c r="D760" t="s">
        <v>442</v>
      </c>
      <c r="E760" s="13">
        <v>3250000</v>
      </c>
      <c r="F760" s="13">
        <v>16650</v>
      </c>
      <c r="G760" s="9">
        <v>45021</v>
      </c>
      <c r="H760" t="s">
        <v>1111</v>
      </c>
      <c r="I760" t="s">
        <v>916</v>
      </c>
      <c r="J760" s="13">
        <v>108225</v>
      </c>
      <c r="K760">
        <v>1</v>
      </c>
      <c r="L760" t="s">
        <v>1064</v>
      </c>
      <c r="M760" t="s">
        <v>1065</v>
      </c>
      <c r="N760" s="15" t="s">
        <v>6878</v>
      </c>
    </row>
    <row r="761" spans="1:14" x14ac:dyDescent="0.2">
      <c r="A761" t="s">
        <v>1839</v>
      </c>
      <c r="B761" t="s">
        <v>1062</v>
      </c>
      <c r="C761" s="9">
        <v>45002</v>
      </c>
      <c r="D761" t="s">
        <v>442</v>
      </c>
      <c r="E761" s="13">
        <v>2000000</v>
      </c>
      <c r="F761" s="13">
        <v>16650</v>
      </c>
      <c r="G761" s="9">
        <v>45021</v>
      </c>
      <c r="H761" t="s">
        <v>1111</v>
      </c>
      <c r="I761" t="s">
        <v>916</v>
      </c>
      <c r="J761" s="13">
        <v>66600</v>
      </c>
      <c r="K761">
        <v>1</v>
      </c>
      <c r="L761" t="s">
        <v>1064</v>
      </c>
      <c r="M761" t="s">
        <v>1065</v>
      </c>
      <c r="N761" s="15" t="s">
        <v>6878</v>
      </c>
    </row>
    <row r="762" spans="1:14" x14ac:dyDescent="0.2">
      <c r="A762" t="s">
        <v>1840</v>
      </c>
      <c r="B762" t="s">
        <v>1062</v>
      </c>
      <c r="C762" s="9">
        <v>45002</v>
      </c>
      <c r="D762" t="s">
        <v>442</v>
      </c>
      <c r="E762" s="13">
        <v>1125000</v>
      </c>
      <c r="F762" s="13">
        <v>16650</v>
      </c>
      <c r="G762" s="9">
        <v>45021</v>
      </c>
      <c r="H762" t="s">
        <v>1111</v>
      </c>
      <c r="I762" t="s">
        <v>916</v>
      </c>
      <c r="J762" s="13">
        <v>37462</v>
      </c>
      <c r="K762">
        <v>1</v>
      </c>
      <c r="L762" t="s">
        <v>1064</v>
      </c>
      <c r="M762" t="s">
        <v>1065</v>
      </c>
      <c r="N762" s="15" t="s">
        <v>6878</v>
      </c>
    </row>
    <row r="763" spans="1:14" x14ac:dyDescent="0.2">
      <c r="A763" t="s">
        <v>1841</v>
      </c>
      <c r="B763" t="s">
        <v>1062</v>
      </c>
      <c r="C763" s="9">
        <v>45002</v>
      </c>
      <c r="D763" t="s">
        <v>442</v>
      </c>
      <c r="E763" s="13">
        <v>1875000</v>
      </c>
      <c r="F763" s="13">
        <v>16650</v>
      </c>
      <c r="G763" s="9">
        <v>45021</v>
      </c>
      <c r="H763" t="s">
        <v>1111</v>
      </c>
      <c r="I763" t="s">
        <v>916</v>
      </c>
      <c r="J763" s="13">
        <v>62437</v>
      </c>
      <c r="K763">
        <v>1</v>
      </c>
      <c r="L763" t="s">
        <v>1064</v>
      </c>
      <c r="M763" t="s">
        <v>1065</v>
      </c>
      <c r="N763" s="15" t="s">
        <v>6878</v>
      </c>
    </row>
    <row r="764" spans="1:14" x14ac:dyDescent="0.2">
      <c r="A764" t="s">
        <v>1842</v>
      </c>
      <c r="B764" t="s">
        <v>1062</v>
      </c>
      <c r="C764" s="9">
        <v>45002</v>
      </c>
      <c r="D764" t="s">
        <v>442</v>
      </c>
      <c r="E764" s="13">
        <v>2500000</v>
      </c>
      <c r="F764" s="13">
        <v>16650</v>
      </c>
      <c r="G764" s="9">
        <v>45021</v>
      </c>
      <c r="H764" t="s">
        <v>1111</v>
      </c>
      <c r="I764" t="s">
        <v>916</v>
      </c>
      <c r="J764" s="13">
        <v>83250</v>
      </c>
      <c r="K764">
        <v>1</v>
      </c>
      <c r="L764" t="s">
        <v>1064</v>
      </c>
      <c r="M764" t="s">
        <v>1065</v>
      </c>
      <c r="N764" s="15" t="s">
        <v>6878</v>
      </c>
    </row>
    <row r="765" spans="1:14" x14ac:dyDescent="0.2">
      <c r="A765" t="s">
        <v>1843</v>
      </c>
      <c r="B765" t="s">
        <v>1062</v>
      </c>
      <c r="C765" s="9">
        <v>45002</v>
      </c>
      <c r="D765" t="s">
        <v>442</v>
      </c>
      <c r="E765" s="13">
        <v>1440000</v>
      </c>
      <c r="F765" s="13">
        <v>16650</v>
      </c>
      <c r="G765" s="9">
        <v>45021</v>
      </c>
      <c r="H765" t="s">
        <v>1111</v>
      </c>
      <c r="I765" t="s">
        <v>916</v>
      </c>
      <c r="J765" s="13">
        <v>47952</v>
      </c>
      <c r="K765">
        <v>1</v>
      </c>
      <c r="L765" t="s">
        <v>1064</v>
      </c>
      <c r="M765" t="s">
        <v>1065</v>
      </c>
      <c r="N765" s="15" t="s">
        <v>6878</v>
      </c>
    </row>
    <row r="766" spans="1:14" x14ac:dyDescent="0.2">
      <c r="A766" t="s">
        <v>1844</v>
      </c>
      <c r="B766" t="s">
        <v>1069</v>
      </c>
      <c r="C766" s="9">
        <v>45002</v>
      </c>
      <c r="D766" t="s">
        <v>968</v>
      </c>
      <c r="E766" s="13">
        <v>16000000</v>
      </c>
      <c r="F766" s="13">
        <v>532800</v>
      </c>
      <c r="G766" s="9">
        <v>45002</v>
      </c>
      <c r="H766" t="s">
        <v>1111</v>
      </c>
      <c r="I766" t="s">
        <v>1137</v>
      </c>
      <c r="J766" s="13"/>
      <c r="K766">
        <v>10</v>
      </c>
      <c r="L766" t="s">
        <v>1064</v>
      </c>
      <c r="M766" t="s">
        <v>1138</v>
      </c>
      <c r="N766" s="15" t="s">
        <v>6878</v>
      </c>
    </row>
    <row r="767" spans="1:14" x14ac:dyDescent="0.2">
      <c r="A767" t="s">
        <v>1845</v>
      </c>
      <c r="B767" t="s">
        <v>1062</v>
      </c>
      <c r="C767" s="9">
        <v>45002</v>
      </c>
      <c r="D767" t="s">
        <v>178</v>
      </c>
      <c r="E767" s="13">
        <v>1687625</v>
      </c>
      <c r="F767" s="13">
        <v>22200</v>
      </c>
      <c r="G767" s="9">
        <v>45003</v>
      </c>
      <c r="H767" t="s">
        <v>1063</v>
      </c>
      <c r="I767" t="s">
        <v>904</v>
      </c>
      <c r="J767" s="13"/>
      <c r="K767">
        <v>1</v>
      </c>
      <c r="L767" t="s">
        <v>1064</v>
      </c>
      <c r="M767" t="s">
        <v>1164</v>
      </c>
      <c r="N767" s="15" t="s">
        <v>6878</v>
      </c>
    </row>
    <row r="768" spans="1:14" x14ac:dyDescent="0.2">
      <c r="A768" t="s">
        <v>1846</v>
      </c>
      <c r="B768" t="s">
        <v>1062</v>
      </c>
      <c r="C768" s="9">
        <v>45002</v>
      </c>
      <c r="D768" t="s">
        <v>178</v>
      </c>
      <c r="E768" s="13">
        <v>1175999</v>
      </c>
      <c r="F768" s="13">
        <v>22200</v>
      </c>
      <c r="G768" s="9">
        <v>45003</v>
      </c>
      <c r="H768" t="s">
        <v>1063</v>
      </c>
      <c r="I768" t="s">
        <v>904</v>
      </c>
      <c r="J768" s="13"/>
      <c r="K768">
        <v>1</v>
      </c>
      <c r="L768" t="s">
        <v>1064</v>
      </c>
      <c r="M768" t="s">
        <v>1164</v>
      </c>
      <c r="N768" s="15" t="s">
        <v>6878</v>
      </c>
    </row>
    <row r="769" spans="1:14" x14ac:dyDescent="0.2">
      <c r="A769" t="s">
        <v>1847</v>
      </c>
      <c r="B769" t="s">
        <v>1062</v>
      </c>
      <c r="C769" s="9">
        <v>45002</v>
      </c>
      <c r="D769" t="s">
        <v>178</v>
      </c>
      <c r="E769" s="13">
        <v>3314999</v>
      </c>
      <c r="F769" s="13">
        <v>44400</v>
      </c>
      <c r="G769" s="9">
        <v>45003</v>
      </c>
      <c r="H769" t="s">
        <v>1063</v>
      </c>
      <c r="I769" t="s">
        <v>904</v>
      </c>
      <c r="J769" s="13"/>
      <c r="K769">
        <v>2</v>
      </c>
      <c r="L769" t="s">
        <v>1064</v>
      </c>
      <c r="M769" t="s">
        <v>1164</v>
      </c>
      <c r="N769" s="15" t="s">
        <v>6878</v>
      </c>
    </row>
    <row r="770" spans="1:14" x14ac:dyDescent="0.2">
      <c r="A770" t="s">
        <v>1848</v>
      </c>
      <c r="B770" t="s">
        <v>1062</v>
      </c>
      <c r="C770" s="9">
        <v>45002</v>
      </c>
      <c r="D770" t="s">
        <v>178</v>
      </c>
      <c r="E770" s="13">
        <v>6370000</v>
      </c>
      <c r="F770" s="13">
        <v>111000</v>
      </c>
      <c r="G770" s="9">
        <v>45003</v>
      </c>
      <c r="H770" t="s">
        <v>1063</v>
      </c>
      <c r="I770" t="s">
        <v>904</v>
      </c>
      <c r="J770" s="13"/>
      <c r="K770">
        <v>5</v>
      </c>
      <c r="L770" t="s">
        <v>1064</v>
      </c>
      <c r="M770" t="s">
        <v>1164</v>
      </c>
      <c r="N770" s="15" t="s">
        <v>6878</v>
      </c>
    </row>
    <row r="771" spans="1:14" x14ac:dyDescent="0.2">
      <c r="A771" t="s">
        <v>1849</v>
      </c>
      <c r="B771" t="s">
        <v>1062</v>
      </c>
      <c r="C771" s="9">
        <v>45003</v>
      </c>
      <c r="D771" t="s">
        <v>178</v>
      </c>
      <c r="E771" s="13">
        <v>6806400</v>
      </c>
      <c r="F771" s="13">
        <v>88800</v>
      </c>
      <c r="G771" s="9">
        <v>45003</v>
      </c>
      <c r="H771" t="s">
        <v>1063</v>
      </c>
      <c r="I771" t="s">
        <v>904</v>
      </c>
      <c r="J771" s="13"/>
      <c r="K771">
        <v>4</v>
      </c>
      <c r="L771" t="s">
        <v>1064</v>
      </c>
      <c r="M771" t="s">
        <v>1164</v>
      </c>
      <c r="N771" s="15" t="s">
        <v>6878</v>
      </c>
    </row>
    <row r="772" spans="1:14" x14ac:dyDescent="0.2">
      <c r="A772" t="s">
        <v>1850</v>
      </c>
      <c r="B772" t="s">
        <v>1062</v>
      </c>
      <c r="C772" s="9">
        <v>45003</v>
      </c>
      <c r="D772" t="s">
        <v>178</v>
      </c>
      <c r="E772" s="13">
        <v>9702500</v>
      </c>
      <c r="F772" s="13">
        <v>111000</v>
      </c>
      <c r="G772" s="9">
        <v>45003</v>
      </c>
      <c r="H772" t="s">
        <v>1063</v>
      </c>
      <c r="I772" t="s">
        <v>904</v>
      </c>
      <c r="J772" s="13"/>
      <c r="K772">
        <v>5</v>
      </c>
      <c r="L772" t="s">
        <v>1064</v>
      </c>
      <c r="M772" t="s">
        <v>1164</v>
      </c>
      <c r="N772" s="15" t="s">
        <v>6878</v>
      </c>
    </row>
    <row r="773" spans="1:14" x14ac:dyDescent="0.2">
      <c r="A773" t="s">
        <v>1851</v>
      </c>
      <c r="B773" t="s">
        <v>1069</v>
      </c>
      <c r="C773" s="9">
        <v>45003</v>
      </c>
      <c r="D773" t="s">
        <v>958</v>
      </c>
      <c r="E773" s="13">
        <v>12484754</v>
      </c>
      <c r="F773" s="13">
        <v>199800</v>
      </c>
      <c r="G773" s="9">
        <v>45003</v>
      </c>
      <c r="H773" t="s">
        <v>1063</v>
      </c>
      <c r="I773" t="s">
        <v>1074</v>
      </c>
      <c r="J773" s="13">
        <v>277161</v>
      </c>
      <c r="K773">
        <v>10</v>
      </c>
      <c r="L773" t="s">
        <v>1064</v>
      </c>
      <c r="M773" t="s">
        <v>1075</v>
      </c>
      <c r="N773" s="15" t="s">
        <v>6878</v>
      </c>
    </row>
    <row r="774" spans="1:14" x14ac:dyDescent="0.2">
      <c r="A774" t="s">
        <v>1852</v>
      </c>
      <c r="B774" t="s">
        <v>1069</v>
      </c>
      <c r="C774" s="9">
        <v>45003</v>
      </c>
      <c r="D774" t="s">
        <v>949</v>
      </c>
      <c r="E774" s="13">
        <v>88500000</v>
      </c>
      <c r="F774" s="13">
        <v>133200</v>
      </c>
      <c r="G774" s="9">
        <v>45003</v>
      </c>
      <c r="H774" t="s">
        <v>1063</v>
      </c>
      <c r="I774" t="s">
        <v>1746</v>
      </c>
      <c r="J774" s="13">
        <v>2455875</v>
      </c>
      <c r="K774">
        <v>6</v>
      </c>
      <c r="L774" t="s">
        <v>1064</v>
      </c>
      <c r="M774" t="s">
        <v>1747</v>
      </c>
      <c r="N774" s="15" t="s">
        <v>6878</v>
      </c>
    </row>
    <row r="775" spans="1:14" x14ac:dyDescent="0.2">
      <c r="A775" t="s">
        <v>1853</v>
      </c>
      <c r="B775" t="s">
        <v>1069</v>
      </c>
      <c r="C775" s="9">
        <v>45003</v>
      </c>
      <c r="D775" t="s">
        <v>949</v>
      </c>
      <c r="E775" s="13">
        <v>88500000</v>
      </c>
      <c r="F775" s="13">
        <v>133200</v>
      </c>
      <c r="G775" s="9">
        <v>45003</v>
      </c>
      <c r="H775" t="s">
        <v>1063</v>
      </c>
      <c r="I775" t="s">
        <v>1746</v>
      </c>
      <c r="J775" s="13">
        <v>2455875</v>
      </c>
      <c r="K775">
        <v>6</v>
      </c>
      <c r="L775" t="s">
        <v>1064</v>
      </c>
      <c r="M775" t="s">
        <v>1747</v>
      </c>
      <c r="N775" s="15" t="s">
        <v>6878</v>
      </c>
    </row>
    <row r="776" spans="1:14" x14ac:dyDescent="0.2">
      <c r="A776" t="s">
        <v>1854</v>
      </c>
      <c r="B776" t="s">
        <v>1069</v>
      </c>
      <c r="C776" s="9">
        <v>45003</v>
      </c>
      <c r="D776" t="s">
        <v>958</v>
      </c>
      <c r="E776" s="13">
        <v>1745700</v>
      </c>
      <c r="F776" s="13">
        <v>19980</v>
      </c>
      <c r="G776" s="9">
        <v>45004</v>
      </c>
      <c r="H776" t="s">
        <v>1063</v>
      </c>
      <c r="I776" t="s">
        <v>1074</v>
      </c>
      <c r="J776" s="13">
        <v>38754</v>
      </c>
      <c r="K776">
        <v>1</v>
      </c>
      <c r="L776" t="s">
        <v>1064</v>
      </c>
      <c r="M776" t="s">
        <v>1075</v>
      </c>
      <c r="N776" s="15" t="s">
        <v>6878</v>
      </c>
    </row>
    <row r="777" spans="1:14" x14ac:dyDescent="0.2">
      <c r="A777" t="s">
        <v>1855</v>
      </c>
      <c r="B777" t="s">
        <v>1069</v>
      </c>
      <c r="C777" s="9">
        <v>45003</v>
      </c>
      <c r="D777" t="s">
        <v>958</v>
      </c>
      <c r="E777" s="13">
        <v>3900000</v>
      </c>
      <c r="F777" s="13">
        <v>99900</v>
      </c>
      <c r="G777" s="9">
        <v>45004</v>
      </c>
      <c r="H777" t="s">
        <v>1063</v>
      </c>
      <c r="I777" t="s">
        <v>1074</v>
      </c>
      <c r="J777" s="13">
        <v>86580</v>
      </c>
      <c r="K777">
        <v>5</v>
      </c>
      <c r="L777" t="s">
        <v>1064</v>
      </c>
      <c r="M777" t="s">
        <v>1075</v>
      </c>
      <c r="N777" s="15" t="s">
        <v>6878</v>
      </c>
    </row>
    <row r="778" spans="1:14" x14ac:dyDescent="0.2">
      <c r="A778" t="s">
        <v>1856</v>
      </c>
      <c r="B778" t="s">
        <v>1069</v>
      </c>
      <c r="C778" s="9">
        <v>45003</v>
      </c>
      <c r="D778" t="s">
        <v>958</v>
      </c>
      <c r="E778" s="13">
        <v>13953530</v>
      </c>
      <c r="F778" s="13">
        <v>99900</v>
      </c>
      <c r="G778" s="9">
        <v>45017</v>
      </c>
      <c r="H778" t="s">
        <v>1063</v>
      </c>
      <c r="I778" t="s">
        <v>1074</v>
      </c>
      <c r="J778" s="13">
        <v>309767</v>
      </c>
      <c r="K778">
        <v>5</v>
      </c>
      <c r="L778" t="s">
        <v>1064</v>
      </c>
      <c r="M778" t="s">
        <v>1075</v>
      </c>
      <c r="N778" s="15" t="s">
        <v>6878</v>
      </c>
    </row>
    <row r="779" spans="1:14" x14ac:dyDescent="0.2">
      <c r="A779" t="s">
        <v>1857</v>
      </c>
      <c r="B779" t="s">
        <v>1069</v>
      </c>
      <c r="C779" s="9">
        <v>45003</v>
      </c>
      <c r="D779" t="s">
        <v>958</v>
      </c>
      <c r="E779" s="13">
        <v>3900000</v>
      </c>
      <c r="F779" s="13">
        <v>99900</v>
      </c>
      <c r="G779" s="9">
        <v>45004</v>
      </c>
      <c r="H779" t="s">
        <v>1063</v>
      </c>
      <c r="I779" t="s">
        <v>1074</v>
      </c>
      <c r="J779" s="13">
        <v>86580</v>
      </c>
      <c r="K779">
        <v>5</v>
      </c>
      <c r="L779" t="s">
        <v>1064</v>
      </c>
      <c r="M779" t="s">
        <v>1075</v>
      </c>
      <c r="N779" s="15" t="s">
        <v>6878</v>
      </c>
    </row>
    <row r="780" spans="1:14" x14ac:dyDescent="0.2">
      <c r="A780" t="s">
        <v>1858</v>
      </c>
      <c r="B780" t="s">
        <v>1069</v>
      </c>
      <c r="C780" s="9">
        <v>45003</v>
      </c>
      <c r="D780" t="s">
        <v>958</v>
      </c>
      <c r="E780" s="13">
        <v>8801000</v>
      </c>
      <c r="F780" s="13">
        <v>99900</v>
      </c>
      <c r="G780" s="9">
        <v>45004</v>
      </c>
      <c r="H780" t="s">
        <v>1063</v>
      </c>
      <c r="I780" t="s">
        <v>1074</v>
      </c>
      <c r="J780" s="13">
        <v>195382</v>
      </c>
      <c r="K780">
        <v>5</v>
      </c>
      <c r="L780" t="s">
        <v>1064</v>
      </c>
      <c r="M780" t="s">
        <v>1075</v>
      </c>
      <c r="N780" s="15" t="s">
        <v>6878</v>
      </c>
    </row>
    <row r="781" spans="1:14" x14ac:dyDescent="0.2">
      <c r="A781" t="s">
        <v>1859</v>
      </c>
      <c r="B781" t="s">
        <v>1069</v>
      </c>
      <c r="C781" s="9">
        <v>45005</v>
      </c>
      <c r="D781" t="s">
        <v>968</v>
      </c>
      <c r="E781" s="13">
        <v>16000000</v>
      </c>
      <c r="F781" s="13">
        <v>532800</v>
      </c>
      <c r="G781" s="9">
        <v>45009</v>
      </c>
      <c r="H781" t="s">
        <v>1111</v>
      </c>
      <c r="I781" t="s">
        <v>1137</v>
      </c>
      <c r="J781" s="13"/>
      <c r="K781">
        <v>10</v>
      </c>
      <c r="L781" t="s">
        <v>1064</v>
      </c>
      <c r="M781" t="s">
        <v>1138</v>
      </c>
      <c r="N781" s="15" t="s">
        <v>6878</v>
      </c>
    </row>
    <row r="782" spans="1:14" x14ac:dyDescent="0.2">
      <c r="A782" t="s">
        <v>1860</v>
      </c>
      <c r="B782" t="s">
        <v>1069</v>
      </c>
      <c r="C782" s="9">
        <v>45005</v>
      </c>
      <c r="D782" t="s">
        <v>968</v>
      </c>
      <c r="E782" s="13">
        <v>12800000</v>
      </c>
      <c r="F782" s="13">
        <v>426240</v>
      </c>
      <c r="G782" s="9">
        <v>45009</v>
      </c>
      <c r="H782" t="s">
        <v>1111</v>
      </c>
      <c r="I782" t="s">
        <v>1137</v>
      </c>
      <c r="J782" s="13"/>
      <c r="K782">
        <v>8</v>
      </c>
      <c r="L782" t="s">
        <v>1064</v>
      </c>
      <c r="M782" t="s">
        <v>1138</v>
      </c>
      <c r="N782" s="15" t="s">
        <v>6878</v>
      </c>
    </row>
    <row r="783" spans="1:14" x14ac:dyDescent="0.2">
      <c r="A783" t="s">
        <v>1861</v>
      </c>
      <c r="B783" t="s">
        <v>1069</v>
      </c>
      <c r="C783" s="9">
        <v>45006</v>
      </c>
      <c r="D783" t="s">
        <v>968</v>
      </c>
      <c r="E783" s="13">
        <v>8000000</v>
      </c>
      <c r="F783" s="13">
        <v>266400</v>
      </c>
      <c r="G783" s="9">
        <v>45009</v>
      </c>
      <c r="H783" t="s">
        <v>1111</v>
      </c>
      <c r="I783" t="s">
        <v>1137</v>
      </c>
      <c r="J783" s="13"/>
      <c r="K783">
        <v>5</v>
      </c>
      <c r="L783" t="s">
        <v>1064</v>
      </c>
      <c r="M783" t="s">
        <v>1138</v>
      </c>
      <c r="N783" s="15" t="s">
        <v>6878</v>
      </c>
    </row>
    <row r="784" spans="1:14" x14ac:dyDescent="0.2">
      <c r="A784" t="s">
        <v>1862</v>
      </c>
      <c r="B784" t="s">
        <v>1069</v>
      </c>
      <c r="C784" s="9">
        <v>45006</v>
      </c>
      <c r="D784" t="s">
        <v>968</v>
      </c>
      <c r="E784" s="13">
        <v>16000000</v>
      </c>
      <c r="F784" s="13">
        <v>532800</v>
      </c>
      <c r="G784" s="9">
        <v>45017</v>
      </c>
      <c r="H784" t="s">
        <v>1111</v>
      </c>
      <c r="I784" t="s">
        <v>1137</v>
      </c>
      <c r="J784" s="13"/>
      <c r="K784">
        <v>10</v>
      </c>
      <c r="L784" t="s">
        <v>1064</v>
      </c>
      <c r="M784" t="s">
        <v>1138</v>
      </c>
      <c r="N784" s="15" t="s">
        <v>6878</v>
      </c>
    </row>
    <row r="785" spans="1:14" x14ac:dyDescent="0.2">
      <c r="A785" t="s">
        <v>1863</v>
      </c>
      <c r="B785" t="s">
        <v>1069</v>
      </c>
      <c r="C785" s="9">
        <v>45007</v>
      </c>
      <c r="D785" t="s">
        <v>968</v>
      </c>
      <c r="E785" s="13">
        <v>24000000</v>
      </c>
      <c r="F785" s="13">
        <v>799200</v>
      </c>
      <c r="G785" s="9">
        <v>45009</v>
      </c>
      <c r="H785" t="s">
        <v>1111</v>
      </c>
      <c r="I785" t="s">
        <v>1137</v>
      </c>
      <c r="J785" s="13"/>
      <c r="K785">
        <v>15</v>
      </c>
      <c r="L785" t="s">
        <v>1064</v>
      </c>
      <c r="M785" t="s">
        <v>1138</v>
      </c>
      <c r="N785" s="15" t="s">
        <v>6878</v>
      </c>
    </row>
    <row r="786" spans="1:14" x14ac:dyDescent="0.2">
      <c r="A786" t="s">
        <v>1864</v>
      </c>
      <c r="B786" t="s">
        <v>1069</v>
      </c>
      <c r="C786" s="9">
        <v>45007</v>
      </c>
      <c r="D786" t="s">
        <v>968</v>
      </c>
      <c r="E786" s="13">
        <v>32000000</v>
      </c>
      <c r="F786" s="13">
        <v>1065600</v>
      </c>
      <c r="G786" s="9">
        <v>45009</v>
      </c>
      <c r="H786" t="s">
        <v>1111</v>
      </c>
      <c r="I786" t="s">
        <v>1137</v>
      </c>
      <c r="J786" s="13"/>
      <c r="K786">
        <v>20</v>
      </c>
      <c r="L786" t="s">
        <v>1064</v>
      </c>
      <c r="M786" t="s">
        <v>1138</v>
      </c>
      <c r="N786" s="15" t="s">
        <v>6878</v>
      </c>
    </row>
    <row r="787" spans="1:14" x14ac:dyDescent="0.2">
      <c r="A787" t="s">
        <v>1865</v>
      </c>
      <c r="B787" t="s">
        <v>1069</v>
      </c>
      <c r="C787" s="9">
        <v>45007</v>
      </c>
      <c r="D787" t="s">
        <v>968</v>
      </c>
      <c r="E787" s="13">
        <v>17600000</v>
      </c>
      <c r="F787" s="13">
        <v>586080</v>
      </c>
      <c r="G787" s="9">
        <v>45009</v>
      </c>
      <c r="H787" t="s">
        <v>1111</v>
      </c>
      <c r="I787" t="s">
        <v>1137</v>
      </c>
      <c r="J787" s="13"/>
      <c r="K787">
        <v>11</v>
      </c>
      <c r="L787" t="s">
        <v>1064</v>
      </c>
      <c r="M787" t="s">
        <v>1138</v>
      </c>
      <c r="N787" s="15" t="s">
        <v>6878</v>
      </c>
    </row>
    <row r="788" spans="1:14" x14ac:dyDescent="0.2">
      <c r="A788" t="s">
        <v>1866</v>
      </c>
      <c r="B788" t="s">
        <v>1062</v>
      </c>
      <c r="C788" s="9">
        <v>45007</v>
      </c>
      <c r="D788" t="s">
        <v>442</v>
      </c>
      <c r="E788" s="13">
        <v>1700000</v>
      </c>
      <c r="F788" s="13">
        <v>16650</v>
      </c>
      <c r="G788" s="9">
        <v>45021</v>
      </c>
      <c r="H788" t="s">
        <v>1111</v>
      </c>
      <c r="I788" t="s">
        <v>916</v>
      </c>
      <c r="J788" s="13">
        <v>56610</v>
      </c>
      <c r="K788">
        <v>1</v>
      </c>
      <c r="L788" t="s">
        <v>1064</v>
      </c>
      <c r="M788" t="s">
        <v>1065</v>
      </c>
      <c r="N788" s="15" t="s">
        <v>6878</v>
      </c>
    </row>
    <row r="789" spans="1:14" x14ac:dyDescent="0.2">
      <c r="A789" t="s">
        <v>1867</v>
      </c>
      <c r="B789" t="s">
        <v>1062</v>
      </c>
      <c r="C789" s="9">
        <v>45007</v>
      </c>
      <c r="D789" t="s">
        <v>442</v>
      </c>
      <c r="E789" s="13">
        <v>2500000</v>
      </c>
      <c r="F789" s="13">
        <v>16650</v>
      </c>
      <c r="G789" s="9">
        <v>45021</v>
      </c>
      <c r="H789" t="s">
        <v>1111</v>
      </c>
      <c r="I789" t="s">
        <v>916</v>
      </c>
      <c r="J789" s="13">
        <v>83250</v>
      </c>
      <c r="K789">
        <v>1</v>
      </c>
      <c r="L789" t="s">
        <v>1064</v>
      </c>
      <c r="M789" t="s">
        <v>1065</v>
      </c>
      <c r="N789" s="15" t="s">
        <v>6878</v>
      </c>
    </row>
    <row r="790" spans="1:14" x14ac:dyDescent="0.2">
      <c r="A790" t="s">
        <v>1868</v>
      </c>
      <c r="B790" t="s">
        <v>1062</v>
      </c>
      <c r="C790" s="9">
        <v>45007</v>
      </c>
      <c r="D790" t="s">
        <v>442</v>
      </c>
      <c r="E790" s="13">
        <v>2625000</v>
      </c>
      <c r="F790" s="13">
        <v>16650</v>
      </c>
      <c r="G790" s="9">
        <v>45021</v>
      </c>
      <c r="H790" t="s">
        <v>1111</v>
      </c>
      <c r="I790" t="s">
        <v>916</v>
      </c>
      <c r="J790" s="13">
        <v>87412</v>
      </c>
      <c r="K790">
        <v>1</v>
      </c>
      <c r="L790" t="s">
        <v>1064</v>
      </c>
      <c r="M790" t="s">
        <v>1065</v>
      </c>
      <c r="N790" s="15" t="s">
        <v>6878</v>
      </c>
    </row>
    <row r="791" spans="1:14" x14ac:dyDescent="0.2">
      <c r="A791" t="s">
        <v>1869</v>
      </c>
      <c r="B791" t="s">
        <v>1062</v>
      </c>
      <c r="C791" s="9">
        <v>45007</v>
      </c>
      <c r="D791" t="s">
        <v>442</v>
      </c>
      <c r="E791" s="13">
        <v>2925000</v>
      </c>
      <c r="F791" s="13">
        <v>16650</v>
      </c>
      <c r="G791" s="9">
        <v>45022</v>
      </c>
      <c r="H791" t="s">
        <v>1111</v>
      </c>
      <c r="I791" t="s">
        <v>916</v>
      </c>
      <c r="J791" s="13">
        <v>97402</v>
      </c>
      <c r="K791">
        <v>1</v>
      </c>
      <c r="L791" t="s">
        <v>1064</v>
      </c>
      <c r="M791" t="s">
        <v>1065</v>
      </c>
      <c r="N791" s="15" t="s">
        <v>6878</v>
      </c>
    </row>
    <row r="792" spans="1:14" x14ac:dyDescent="0.2">
      <c r="A792" t="s">
        <v>1870</v>
      </c>
      <c r="B792" t="s">
        <v>1062</v>
      </c>
      <c r="C792" s="9">
        <v>45007</v>
      </c>
      <c r="D792" t="s">
        <v>442</v>
      </c>
      <c r="E792" s="13">
        <v>2450000</v>
      </c>
      <c r="F792" s="13">
        <v>16650</v>
      </c>
      <c r="G792" s="9">
        <v>45028</v>
      </c>
      <c r="H792" t="s">
        <v>1111</v>
      </c>
      <c r="I792" t="s">
        <v>916</v>
      </c>
      <c r="J792" s="13">
        <v>81585</v>
      </c>
      <c r="K792">
        <v>1</v>
      </c>
      <c r="L792" t="s">
        <v>1064</v>
      </c>
      <c r="M792" t="s">
        <v>1065</v>
      </c>
      <c r="N792" s="15" t="s">
        <v>6878</v>
      </c>
    </row>
    <row r="793" spans="1:14" x14ac:dyDescent="0.2">
      <c r="A793" t="s">
        <v>1871</v>
      </c>
      <c r="B793" t="s">
        <v>1062</v>
      </c>
      <c r="C793" s="9">
        <v>45007</v>
      </c>
      <c r="D793" t="s">
        <v>442</v>
      </c>
      <c r="E793" s="13">
        <v>2625000</v>
      </c>
      <c r="F793" s="13">
        <v>16650</v>
      </c>
      <c r="G793" s="9">
        <v>45021</v>
      </c>
      <c r="H793" t="s">
        <v>1111</v>
      </c>
      <c r="I793" t="s">
        <v>916</v>
      </c>
      <c r="J793" s="13">
        <v>87412</v>
      </c>
      <c r="K793">
        <v>1</v>
      </c>
      <c r="L793" t="s">
        <v>1064</v>
      </c>
      <c r="M793" t="s">
        <v>1065</v>
      </c>
      <c r="N793" s="15" t="s">
        <v>6878</v>
      </c>
    </row>
    <row r="794" spans="1:14" x14ac:dyDescent="0.2">
      <c r="A794" t="s">
        <v>1872</v>
      </c>
      <c r="B794" t="s">
        <v>1062</v>
      </c>
      <c r="C794" s="9">
        <v>45007</v>
      </c>
      <c r="D794" t="s">
        <v>442</v>
      </c>
      <c r="E794" s="13">
        <v>2200000</v>
      </c>
      <c r="F794" s="13">
        <v>16650</v>
      </c>
      <c r="G794" s="9">
        <v>45021</v>
      </c>
      <c r="H794" t="s">
        <v>1111</v>
      </c>
      <c r="I794" t="s">
        <v>916</v>
      </c>
      <c r="J794" s="13">
        <v>73260</v>
      </c>
      <c r="K794">
        <v>1</v>
      </c>
      <c r="L794" t="s">
        <v>1064</v>
      </c>
      <c r="M794" t="s">
        <v>1065</v>
      </c>
      <c r="N794" s="15" t="s">
        <v>6878</v>
      </c>
    </row>
    <row r="795" spans="1:14" x14ac:dyDescent="0.2">
      <c r="A795" t="s">
        <v>1873</v>
      </c>
      <c r="B795" t="s">
        <v>1062</v>
      </c>
      <c r="C795" s="9">
        <v>45007</v>
      </c>
      <c r="D795" t="s">
        <v>442</v>
      </c>
      <c r="E795" s="13">
        <v>2200000</v>
      </c>
      <c r="F795" s="13">
        <v>16650</v>
      </c>
      <c r="G795" s="9">
        <v>45021</v>
      </c>
      <c r="H795" t="s">
        <v>1111</v>
      </c>
      <c r="I795" t="s">
        <v>916</v>
      </c>
      <c r="J795" s="13">
        <v>73260</v>
      </c>
      <c r="K795">
        <v>1</v>
      </c>
      <c r="L795" t="s">
        <v>1064</v>
      </c>
      <c r="M795" t="s">
        <v>1065</v>
      </c>
      <c r="N795" s="15" t="s">
        <v>6878</v>
      </c>
    </row>
    <row r="796" spans="1:14" x14ac:dyDescent="0.2">
      <c r="A796" t="s">
        <v>1874</v>
      </c>
      <c r="B796" t="s">
        <v>1062</v>
      </c>
      <c r="C796" s="9">
        <v>45007</v>
      </c>
      <c r="D796" t="s">
        <v>442</v>
      </c>
      <c r="E796" s="13">
        <v>2200000</v>
      </c>
      <c r="F796" s="13">
        <v>16650</v>
      </c>
      <c r="G796" s="9">
        <v>45021</v>
      </c>
      <c r="H796" t="s">
        <v>1111</v>
      </c>
      <c r="I796" t="s">
        <v>916</v>
      </c>
      <c r="J796" s="13">
        <v>73260</v>
      </c>
      <c r="K796">
        <v>1</v>
      </c>
      <c r="L796" t="s">
        <v>1064</v>
      </c>
      <c r="M796" t="s">
        <v>1065</v>
      </c>
      <c r="N796" s="15" t="s">
        <v>6878</v>
      </c>
    </row>
    <row r="797" spans="1:14" x14ac:dyDescent="0.2">
      <c r="A797" t="s">
        <v>1875</v>
      </c>
      <c r="B797" t="s">
        <v>1062</v>
      </c>
      <c r="C797" s="9">
        <v>45007</v>
      </c>
      <c r="D797" t="s">
        <v>442</v>
      </c>
      <c r="E797" s="13">
        <v>1025000</v>
      </c>
      <c r="F797" s="13">
        <v>16650</v>
      </c>
      <c r="G797" s="9">
        <v>45028</v>
      </c>
      <c r="H797" t="s">
        <v>1111</v>
      </c>
      <c r="I797" t="s">
        <v>916</v>
      </c>
      <c r="J797" s="13">
        <v>34132</v>
      </c>
      <c r="K797">
        <v>1</v>
      </c>
      <c r="L797" t="s">
        <v>1064</v>
      </c>
      <c r="M797" t="s">
        <v>1065</v>
      </c>
      <c r="N797" s="15" t="s">
        <v>6878</v>
      </c>
    </row>
    <row r="798" spans="1:14" x14ac:dyDescent="0.2">
      <c r="A798" t="s">
        <v>1876</v>
      </c>
      <c r="B798" t="s">
        <v>1062</v>
      </c>
      <c r="C798" s="9">
        <v>45007</v>
      </c>
      <c r="D798" t="s">
        <v>442</v>
      </c>
      <c r="E798" s="13">
        <v>3075000</v>
      </c>
      <c r="F798" s="13">
        <v>16650</v>
      </c>
      <c r="G798" s="9">
        <v>45021</v>
      </c>
      <c r="H798" t="s">
        <v>1111</v>
      </c>
      <c r="I798" t="s">
        <v>916</v>
      </c>
      <c r="J798" s="13">
        <v>102397</v>
      </c>
      <c r="K798">
        <v>1</v>
      </c>
      <c r="L798" t="s">
        <v>1064</v>
      </c>
      <c r="M798" t="s">
        <v>1065</v>
      </c>
      <c r="N798" s="15" t="s">
        <v>6878</v>
      </c>
    </row>
    <row r="799" spans="1:14" x14ac:dyDescent="0.2">
      <c r="A799" t="s">
        <v>1877</v>
      </c>
      <c r="B799" t="s">
        <v>1069</v>
      </c>
      <c r="C799" s="9">
        <v>45007</v>
      </c>
      <c r="D799" t="s">
        <v>442</v>
      </c>
      <c r="E799" s="13">
        <v>2675000</v>
      </c>
      <c r="F799" s="13">
        <v>16650</v>
      </c>
      <c r="G799" s="9">
        <v>45021</v>
      </c>
      <c r="H799" t="s">
        <v>1111</v>
      </c>
      <c r="I799" t="s">
        <v>916</v>
      </c>
      <c r="J799" s="13">
        <v>89077</v>
      </c>
      <c r="K799">
        <v>1</v>
      </c>
      <c r="L799" t="s">
        <v>1064</v>
      </c>
      <c r="M799" t="s">
        <v>1065</v>
      </c>
      <c r="N799" s="15" t="s">
        <v>6878</v>
      </c>
    </row>
    <row r="800" spans="1:14" x14ac:dyDescent="0.2">
      <c r="A800" t="s">
        <v>1878</v>
      </c>
      <c r="B800" t="s">
        <v>1069</v>
      </c>
      <c r="C800" s="9">
        <v>45007</v>
      </c>
      <c r="D800" t="s">
        <v>442</v>
      </c>
      <c r="E800" s="13">
        <v>2675000</v>
      </c>
      <c r="F800" s="13">
        <v>16650</v>
      </c>
      <c r="G800" s="9">
        <v>45021</v>
      </c>
      <c r="H800" t="s">
        <v>1111</v>
      </c>
      <c r="I800" t="s">
        <v>916</v>
      </c>
      <c r="J800" s="13">
        <v>89077</v>
      </c>
      <c r="K800">
        <v>1</v>
      </c>
      <c r="L800" t="s">
        <v>1064</v>
      </c>
      <c r="M800" t="s">
        <v>1065</v>
      </c>
      <c r="N800" s="15" t="s">
        <v>6878</v>
      </c>
    </row>
    <row r="801" spans="1:14" x14ac:dyDescent="0.2">
      <c r="A801" t="s">
        <v>1879</v>
      </c>
      <c r="B801" t="s">
        <v>1069</v>
      </c>
      <c r="C801" s="9">
        <v>45007</v>
      </c>
      <c r="D801" t="s">
        <v>442</v>
      </c>
      <c r="E801" s="13">
        <v>825000</v>
      </c>
      <c r="F801" s="13">
        <v>16650</v>
      </c>
      <c r="G801" s="9">
        <v>45022</v>
      </c>
      <c r="H801" t="s">
        <v>1111</v>
      </c>
      <c r="I801" t="s">
        <v>916</v>
      </c>
      <c r="J801" s="13">
        <v>27472</v>
      </c>
      <c r="K801">
        <v>1</v>
      </c>
      <c r="L801" t="s">
        <v>1064</v>
      </c>
      <c r="M801" t="s">
        <v>1065</v>
      </c>
      <c r="N801" s="15" t="s">
        <v>6878</v>
      </c>
    </row>
    <row r="802" spans="1:14" x14ac:dyDescent="0.2">
      <c r="A802" t="s">
        <v>1880</v>
      </c>
      <c r="B802" t="s">
        <v>1062</v>
      </c>
      <c r="C802" s="9">
        <v>45007</v>
      </c>
      <c r="D802" t="s">
        <v>442</v>
      </c>
      <c r="E802" s="13">
        <v>1875000</v>
      </c>
      <c r="F802" s="13">
        <v>16650</v>
      </c>
      <c r="G802" s="9">
        <v>45022</v>
      </c>
      <c r="H802" t="s">
        <v>1111</v>
      </c>
      <c r="I802" t="s">
        <v>916</v>
      </c>
      <c r="J802" s="13">
        <v>62437</v>
      </c>
      <c r="K802">
        <v>1</v>
      </c>
      <c r="L802" t="s">
        <v>1064</v>
      </c>
      <c r="M802" t="s">
        <v>1065</v>
      </c>
      <c r="N802" s="15" t="s">
        <v>6878</v>
      </c>
    </row>
    <row r="803" spans="1:14" x14ac:dyDescent="0.2">
      <c r="A803" t="s">
        <v>1881</v>
      </c>
      <c r="B803" t="s">
        <v>1062</v>
      </c>
      <c r="C803" s="9">
        <v>45007</v>
      </c>
      <c r="D803" t="s">
        <v>442</v>
      </c>
      <c r="E803" s="13">
        <v>1000000</v>
      </c>
      <c r="F803" s="13">
        <v>16650</v>
      </c>
      <c r="G803" s="9">
        <v>45028</v>
      </c>
      <c r="H803" t="s">
        <v>1111</v>
      </c>
      <c r="I803" t="s">
        <v>916</v>
      </c>
      <c r="J803" s="13">
        <v>33300</v>
      </c>
      <c r="K803">
        <v>1</v>
      </c>
      <c r="L803" t="s">
        <v>1064</v>
      </c>
      <c r="M803" t="s">
        <v>1065</v>
      </c>
      <c r="N803" s="15" t="s">
        <v>6878</v>
      </c>
    </row>
    <row r="804" spans="1:14" x14ac:dyDescent="0.2">
      <c r="A804" t="s">
        <v>1882</v>
      </c>
      <c r="B804" t="s">
        <v>1062</v>
      </c>
      <c r="C804" s="9">
        <v>45008</v>
      </c>
      <c r="D804" t="s">
        <v>442</v>
      </c>
      <c r="E804" s="13">
        <v>2900000</v>
      </c>
      <c r="F804" s="13">
        <v>16650</v>
      </c>
      <c r="G804" s="9">
        <v>45028</v>
      </c>
      <c r="H804" t="s">
        <v>1111</v>
      </c>
      <c r="I804" t="s">
        <v>916</v>
      </c>
      <c r="J804" s="13">
        <v>96570</v>
      </c>
      <c r="K804">
        <v>1</v>
      </c>
      <c r="L804" t="s">
        <v>1064</v>
      </c>
      <c r="M804" t="s">
        <v>1065</v>
      </c>
      <c r="N804" s="15" t="s">
        <v>6878</v>
      </c>
    </row>
    <row r="805" spans="1:14" x14ac:dyDescent="0.2">
      <c r="A805" t="s">
        <v>1883</v>
      </c>
      <c r="B805" t="s">
        <v>1062</v>
      </c>
      <c r="C805" s="9">
        <v>45008</v>
      </c>
      <c r="D805" t="s">
        <v>442</v>
      </c>
      <c r="E805" s="13">
        <v>2900000</v>
      </c>
      <c r="F805" s="13">
        <v>16650</v>
      </c>
      <c r="G805" s="9">
        <v>45028</v>
      </c>
      <c r="H805" t="s">
        <v>1111</v>
      </c>
      <c r="I805" t="s">
        <v>916</v>
      </c>
      <c r="J805" s="13">
        <v>96570</v>
      </c>
      <c r="K805">
        <v>1</v>
      </c>
      <c r="L805" t="s">
        <v>1064</v>
      </c>
      <c r="M805" t="s">
        <v>1065</v>
      </c>
      <c r="N805" s="15" t="s">
        <v>6878</v>
      </c>
    </row>
    <row r="806" spans="1:14" x14ac:dyDescent="0.2">
      <c r="A806" t="s">
        <v>1884</v>
      </c>
      <c r="B806" t="s">
        <v>1069</v>
      </c>
      <c r="C806" s="9">
        <v>45009</v>
      </c>
      <c r="D806" t="s">
        <v>1037</v>
      </c>
      <c r="E806" s="13">
        <v>1920000</v>
      </c>
      <c r="F806" s="13">
        <v>27750</v>
      </c>
      <c r="G806" s="9">
        <v>45009</v>
      </c>
      <c r="H806" t="s">
        <v>1063</v>
      </c>
      <c r="I806" t="s">
        <v>214</v>
      </c>
      <c r="J806" s="13">
        <v>42624</v>
      </c>
      <c r="K806">
        <v>1</v>
      </c>
      <c r="L806" t="s">
        <v>1064</v>
      </c>
      <c r="M806" t="s">
        <v>1107</v>
      </c>
      <c r="N806" s="15" t="s">
        <v>6878</v>
      </c>
    </row>
    <row r="807" spans="1:14" x14ac:dyDescent="0.2">
      <c r="A807" t="s">
        <v>1885</v>
      </c>
      <c r="B807" t="s">
        <v>1062</v>
      </c>
      <c r="C807" s="9">
        <v>45009</v>
      </c>
      <c r="D807" t="s">
        <v>442</v>
      </c>
      <c r="E807" s="13">
        <v>2900000</v>
      </c>
      <c r="F807" s="13">
        <v>16650</v>
      </c>
      <c r="G807" s="9">
        <v>45028</v>
      </c>
      <c r="H807" t="s">
        <v>1111</v>
      </c>
      <c r="I807" t="s">
        <v>916</v>
      </c>
      <c r="J807" s="13">
        <v>96570</v>
      </c>
      <c r="K807">
        <v>1</v>
      </c>
      <c r="L807" t="s">
        <v>1064</v>
      </c>
      <c r="M807" t="s">
        <v>1065</v>
      </c>
      <c r="N807" s="15" t="s">
        <v>6878</v>
      </c>
    </row>
    <row r="808" spans="1:14" x14ac:dyDescent="0.2">
      <c r="A808" t="s">
        <v>1886</v>
      </c>
      <c r="B808" t="s">
        <v>1062</v>
      </c>
      <c r="C808" s="9">
        <v>45009</v>
      </c>
      <c r="D808" t="s">
        <v>442</v>
      </c>
      <c r="E808" s="13">
        <v>2900000</v>
      </c>
      <c r="F808" s="13">
        <v>16650</v>
      </c>
      <c r="G808" s="9">
        <v>45028</v>
      </c>
      <c r="H808" t="s">
        <v>1111</v>
      </c>
      <c r="I808" t="s">
        <v>916</v>
      </c>
      <c r="J808" s="13">
        <v>96570</v>
      </c>
      <c r="K808">
        <v>1</v>
      </c>
      <c r="L808" t="s">
        <v>1064</v>
      </c>
      <c r="M808" t="s">
        <v>1065</v>
      </c>
      <c r="N808" s="15" t="s">
        <v>6878</v>
      </c>
    </row>
    <row r="809" spans="1:14" x14ac:dyDescent="0.2">
      <c r="A809" t="s">
        <v>1887</v>
      </c>
      <c r="B809" t="s">
        <v>1062</v>
      </c>
      <c r="C809" s="9">
        <v>45009</v>
      </c>
      <c r="D809" t="s">
        <v>442</v>
      </c>
      <c r="E809" s="13">
        <v>2900000</v>
      </c>
      <c r="F809" s="13">
        <v>16650</v>
      </c>
      <c r="G809" s="9">
        <v>45049</v>
      </c>
      <c r="H809" t="s">
        <v>1111</v>
      </c>
      <c r="I809" t="s">
        <v>916</v>
      </c>
      <c r="J809" s="13">
        <v>96570</v>
      </c>
      <c r="K809">
        <v>1</v>
      </c>
      <c r="L809" t="s">
        <v>1064</v>
      </c>
      <c r="M809" t="s">
        <v>1065</v>
      </c>
      <c r="N809" s="15" t="s">
        <v>6878</v>
      </c>
    </row>
    <row r="810" spans="1:14" x14ac:dyDescent="0.2">
      <c r="A810" t="s">
        <v>1888</v>
      </c>
      <c r="B810" t="s">
        <v>1062</v>
      </c>
      <c r="C810" s="9">
        <v>45009</v>
      </c>
      <c r="D810" t="s">
        <v>442</v>
      </c>
      <c r="E810" s="13">
        <v>2900000</v>
      </c>
      <c r="F810" s="13">
        <v>16650</v>
      </c>
      <c r="G810" s="9">
        <v>45028</v>
      </c>
      <c r="H810" t="s">
        <v>1111</v>
      </c>
      <c r="I810" t="s">
        <v>916</v>
      </c>
      <c r="J810" s="13">
        <v>96570</v>
      </c>
      <c r="K810">
        <v>1</v>
      </c>
      <c r="L810" t="s">
        <v>1064</v>
      </c>
      <c r="M810" t="s">
        <v>1065</v>
      </c>
      <c r="N810" s="15" t="s">
        <v>6878</v>
      </c>
    </row>
    <row r="811" spans="1:14" x14ac:dyDescent="0.2">
      <c r="A811" t="s">
        <v>1889</v>
      </c>
      <c r="B811" t="s">
        <v>1062</v>
      </c>
      <c r="C811" s="9">
        <v>45009</v>
      </c>
      <c r="D811" t="s">
        <v>442</v>
      </c>
      <c r="E811" s="13">
        <v>2900000</v>
      </c>
      <c r="F811" s="13">
        <v>16650</v>
      </c>
      <c r="G811" s="9">
        <v>45028</v>
      </c>
      <c r="H811" t="s">
        <v>1111</v>
      </c>
      <c r="I811" t="s">
        <v>916</v>
      </c>
      <c r="J811" s="13">
        <v>96570</v>
      </c>
      <c r="K811">
        <v>1</v>
      </c>
      <c r="L811" t="s">
        <v>1064</v>
      </c>
      <c r="M811" t="s">
        <v>1065</v>
      </c>
      <c r="N811" s="15" t="s">
        <v>6878</v>
      </c>
    </row>
    <row r="812" spans="1:14" x14ac:dyDescent="0.2">
      <c r="A812" t="s">
        <v>1890</v>
      </c>
      <c r="B812" t="s">
        <v>1062</v>
      </c>
      <c r="C812" s="9">
        <v>45009</v>
      </c>
      <c r="D812" t="s">
        <v>442</v>
      </c>
      <c r="E812" s="13">
        <v>2900000</v>
      </c>
      <c r="F812" s="13">
        <v>16650</v>
      </c>
      <c r="G812" s="9">
        <v>45028</v>
      </c>
      <c r="H812" t="s">
        <v>1111</v>
      </c>
      <c r="I812" t="s">
        <v>916</v>
      </c>
      <c r="J812" s="13">
        <v>96570</v>
      </c>
      <c r="K812">
        <v>1</v>
      </c>
      <c r="L812" t="s">
        <v>1064</v>
      </c>
      <c r="M812" t="s">
        <v>1065</v>
      </c>
      <c r="N812" s="15" t="s">
        <v>6878</v>
      </c>
    </row>
    <row r="813" spans="1:14" x14ac:dyDescent="0.2">
      <c r="A813" t="s">
        <v>1891</v>
      </c>
      <c r="B813" t="s">
        <v>1062</v>
      </c>
      <c r="C813" s="9">
        <v>45009</v>
      </c>
      <c r="D813" t="s">
        <v>442</v>
      </c>
      <c r="E813" s="13">
        <v>2787500</v>
      </c>
      <c r="F813" s="13">
        <v>16650</v>
      </c>
      <c r="G813" s="9">
        <v>45022</v>
      </c>
      <c r="H813" t="s">
        <v>1111</v>
      </c>
      <c r="I813" t="s">
        <v>916</v>
      </c>
      <c r="J813" s="13">
        <v>92823</v>
      </c>
      <c r="K813">
        <v>1</v>
      </c>
      <c r="L813" t="s">
        <v>1064</v>
      </c>
      <c r="M813" t="s">
        <v>1065</v>
      </c>
      <c r="N813" s="15" t="s">
        <v>6878</v>
      </c>
    </row>
    <row r="814" spans="1:14" x14ac:dyDescent="0.2">
      <c r="A814" t="s">
        <v>1892</v>
      </c>
      <c r="B814" t="s">
        <v>1069</v>
      </c>
      <c r="C814" s="9">
        <v>45009</v>
      </c>
      <c r="D814" t="s">
        <v>1037</v>
      </c>
      <c r="E814" s="13">
        <v>2160000</v>
      </c>
      <c r="F814" s="13">
        <v>27750</v>
      </c>
      <c r="G814" s="9">
        <v>45009</v>
      </c>
      <c r="H814" t="s">
        <v>1063</v>
      </c>
      <c r="I814" t="s">
        <v>214</v>
      </c>
      <c r="J814" s="13">
        <v>47952</v>
      </c>
      <c r="K814">
        <v>1</v>
      </c>
      <c r="L814" t="s">
        <v>1064</v>
      </c>
      <c r="M814" t="s">
        <v>1107</v>
      </c>
      <c r="N814" s="15" t="s">
        <v>6878</v>
      </c>
    </row>
    <row r="815" spans="1:14" x14ac:dyDescent="0.2">
      <c r="A815" t="s">
        <v>1893</v>
      </c>
      <c r="B815" t="s">
        <v>1062</v>
      </c>
      <c r="C815" s="9">
        <v>45009</v>
      </c>
      <c r="D815" t="s">
        <v>442</v>
      </c>
      <c r="E815" s="13">
        <v>2575000</v>
      </c>
      <c r="F815" s="13">
        <v>16650</v>
      </c>
      <c r="G815" s="9">
        <v>45022</v>
      </c>
      <c r="H815" t="s">
        <v>1111</v>
      </c>
      <c r="I815" t="s">
        <v>916</v>
      </c>
      <c r="J815" s="13">
        <v>85747</v>
      </c>
      <c r="K815">
        <v>1</v>
      </c>
      <c r="L815" t="s">
        <v>1064</v>
      </c>
      <c r="M815" t="s">
        <v>1065</v>
      </c>
      <c r="N815" s="15" t="s">
        <v>6878</v>
      </c>
    </row>
    <row r="816" spans="1:14" x14ac:dyDescent="0.2">
      <c r="A816" t="s">
        <v>1894</v>
      </c>
      <c r="B816" t="s">
        <v>1062</v>
      </c>
      <c r="C816" s="9">
        <v>45009</v>
      </c>
      <c r="D816" t="s">
        <v>442</v>
      </c>
      <c r="E816" s="13">
        <v>2575000</v>
      </c>
      <c r="F816" s="13">
        <v>16650</v>
      </c>
      <c r="G816" s="9">
        <v>45022</v>
      </c>
      <c r="H816" t="s">
        <v>1111</v>
      </c>
      <c r="I816" t="s">
        <v>916</v>
      </c>
      <c r="J816" s="13">
        <v>85747</v>
      </c>
      <c r="K816">
        <v>1</v>
      </c>
      <c r="L816" t="s">
        <v>1064</v>
      </c>
      <c r="M816" t="s">
        <v>1065</v>
      </c>
      <c r="N816" s="15" t="s">
        <v>6878</v>
      </c>
    </row>
    <row r="817" spans="1:14" x14ac:dyDescent="0.2">
      <c r="A817" t="s">
        <v>1895</v>
      </c>
      <c r="B817" t="s">
        <v>1062</v>
      </c>
      <c r="C817" s="9">
        <v>45009</v>
      </c>
      <c r="D817" t="s">
        <v>442</v>
      </c>
      <c r="E817" s="13">
        <v>2950000</v>
      </c>
      <c r="F817" s="13">
        <v>16650</v>
      </c>
      <c r="G817" s="9">
        <v>45022</v>
      </c>
      <c r="H817" t="s">
        <v>1111</v>
      </c>
      <c r="I817" t="s">
        <v>916</v>
      </c>
      <c r="J817" s="13">
        <v>98235</v>
      </c>
      <c r="K817">
        <v>1</v>
      </c>
      <c r="L817" t="s">
        <v>1064</v>
      </c>
      <c r="M817" t="s">
        <v>1065</v>
      </c>
      <c r="N817" s="15" t="s">
        <v>6878</v>
      </c>
    </row>
    <row r="818" spans="1:14" x14ac:dyDescent="0.2">
      <c r="A818" t="s">
        <v>1896</v>
      </c>
      <c r="B818" t="s">
        <v>1062</v>
      </c>
      <c r="C818" s="9">
        <v>45009</v>
      </c>
      <c r="D818" t="s">
        <v>442</v>
      </c>
      <c r="E818" s="13">
        <v>5175000</v>
      </c>
      <c r="F818" s="13">
        <v>16650</v>
      </c>
      <c r="G818" s="9">
        <v>45022</v>
      </c>
      <c r="H818" t="s">
        <v>1111</v>
      </c>
      <c r="I818" t="s">
        <v>916</v>
      </c>
      <c r="J818" s="13">
        <v>172327</v>
      </c>
      <c r="K818">
        <v>1</v>
      </c>
      <c r="L818" t="s">
        <v>1064</v>
      </c>
      <c r="M818" t="s">
        <v>1065</v>
      </c>
      <c r="N818" s="15" t="s">
        <v>6878</v>
      </c>
    </row>
    <row r="819" spans="1:14" x14ac:dyDescent="0.2">
      <c r="A819" t="s">
        <v>1897</v>
      </c>
      <c r="B819" t="s">
        <v>1062</v>
      </c>
      <c r="C819" s="9">
        <v>45009</v>
      </c>
      <c r="D819" t="s">
        <v>442</v>
      </c>
      <c r="E819" s="13">
        <v>2900000</v>
      </c>
      <c r="F819" s="13">
        <v>16650</v>
      </c>
      <c r="G819" s="9">
        <v>45028</v>
      </c>
      <c r="H819" t="s">
        <v>1111</v>
      </c>
      <c r="I819" t="s">
        <v>916</v>
      </c>
      <c r="J819" s="13">
        <v>96570</v>
      </c>
      <c r="K819">
        <v>1</v>
      </c>
      <c r="L819" t="s">
        <v>1064</v>
      </c>
      <c r="M819" t="s">
        <v>1065</v>
      </c>
      <c r="N819" s="15" t="s">
        <v>6878</v>
      </c>
    </row>
    <row r="820" spans="1:14" x14ac:dyDescent="0.2">
      <c r="A820" t="s">
        <v>1898</v>
      </c>
      <c r="B820" t="s">
        <v>1062</v>
      </c>
      <c r="C820" s="9">
        <v>45009</v>
      </c>
      <c r="D820" t="s">
        <v>442</v>
      </c>
      <c r="E820" s="13">
        <v>2900000</v>
      </c>
      <c r="F820" s="13">
        <v>16650</v>
      </c>
      <c r="G820" s="9">
        <v>45028</v>
      </c>
      <c r="H820" t="s">
        <v>1111</v>
      </c>
      <c r="I820" t="s">
        <v>916</v>
      </c>
      <c r="J820" s="13">
        <v>96570</v>
      </c>
      <c r="K820">
        <v>1</v>
      </c>
      <c r="L820" t="s">
        <v>1064</v>
      </c>
      <c r="M820" t="s">
        <v>1065</v>
      </c>
      <c r="N820" s="15" t="s">
        <v>6878</v>
      </c>
    </row>
    <row r="821" spans="1:14" x14ac:dyDescent="0.2">
      <c r="A821" t="s">
        <v>1899</v>
      </c>
      <c r="B821" t="s">
        <v>1062</v>
      </c>
      <c r="C821" s="9">
        <v>45009</v>
      </c>
      <c r="D821" t="s">
        <v>442</v>
      </c>
      <c r="E821" s="13">
        <v>2900000</v>
      </c>
      <c r="F821" s="13">
        <v>16650</v>
      </c>
      <c r="G821" s="9">
        <v>45028</v>
      </c>
      <c r="H821" t="s">
        <v>1111</v>
      </c>
      <c r="I821" t="s">
        <v>916</v>
      </c>
      <c r="J821" s="13">
        <v>96570</v>
      </c>
      <c r="K821">
        <v>1</v>
      </c>
      <c r="L821" t="s">
        <v>1064</v>
      </c>
      <c r="M821" t="s">
        <v>1065</v>
      </c>
      <c r="N821" s="15" t="s">
        <v>6878</v>
      </c>
    </row>
    <row r="822" spans="1:14" x14ac:dyDescent="0.2">
      <c r="A822" t="s">
        <v>1900</v>
      </c>
      <c r="B822" t="s">
        <v>1062</v>
      </c>
      <c r="C822" s="9">
        <v>45009</v>
      </c>
      <c r="D822" t="s">
        <v>442</v>
      </c>
      <c r="E822" s="13">
        <v>2900000</v>
      </c>
      <c r="F822" s="13">
        <v>16650</v>
      </c>
      <c r="G822" s="9">
        <v>45028</v>
      </c>
      <c r="H822" t="s">
        <v>1111</v>
      </c>
      <c r="I822" t="s">
        <v>916</v>
      </c>
      <c r="J822" s="13">
        <v>96570</v>
      </c>
      <c r="K822">
        <v>1</v>
      </c>
      <c r="L822" t="s">
        <v>1064</v>
      </c>
      <c r="M822" t="s">
        <v>1065</v>
      </c>
      <c r="N822" s="15" t="s">
        <v>6878</v>
      </c>
    </row>
    <row r="823" spans="1:14" x14ac:dyDescent="0.2">
      <c r="A823" t="s">
        <v>1901</v>
      </c>
      <c r="B823" t="s">
        <v>1062</v>
      </c>
      <c r="C823" s="9">
        <v>45009</v>
      </c>
      <c r="D823" t="s">
        <v>442</v>
      </c>
      <c r="E823" s="13">
        <v>2900000</v>
      </c>
      <c r="F823" s="13">
        <v>16650</v>
      </c>
      <c r="G823" s="9">
        <v>45028</v>
      </c>
      <c r="H823" t="s">
        <v>1111</v>
      </c>
      <c r="I823" t="s">
        <v>916</v>
      </c>
      <c r="J823" s="13">
        <v>96570</v>
      </c>
      <c r="K823">
        <v>1</v>
      </c>
      <c r="L823" t="s">
        <v>1064</v>
      </c>
      <c r="M823" t="s">
        <v>1065</v>
      </c>
      <c r="N823" s="15" t="s">
        <v>6878</v>
      </c>
    </row>
    <row r="824" spans="1:14" x14ac:dyDescent="0.2">
      <c r="A824" t="s">
        <v>1902</v>
      </c>
      <c r="B824" t="s">
        <v>1062</v>
      </c>
      <c r="C824" s="9">
        <v>45009</v>
      </c>
      <c r="D824" t="s">
        <v>442</v>
      </c>
      <c r="E824" s="13">
        <v>2900000</v>
      </c>
      <c r="F824" s="13">
        <v>16650</v>
      </c>
      <c r="G824" s="9">
        <v>45028</v>
      </c>
      <c r="H824" t="s">
        <v>1111</v>
      </c>
      <c r="I824" t="s">
        <v>916</v>
      </c>
      <c r="J824" s="13">
        <v>96570</v>
      </c>
      <c r="K824">
        <v>1</v>
      </c>
      <c r="L824" t="s">
        <v>1064</v>
      </c>
      <c r="M824" t="s">
        <v>1065</v>
      </c>
      <c r="N824" s="15" t="s">
        <v>6878</v>
      </c>
    </row>
    <row r="825" spans="1:14" x14ac:dyDescent="0.2">
      <c r="A825" t="s">
        <v>1903</v>
      </c>
      <c r="B825" t="s">
        <v>1062</v>
      </c>
      <c r="C825" s="9">
        <v>45009</v>
      </c>
      <c r="D825" t="s">
        <v>442</v>
      </c>
      <c r="E825" s="13">
        <v>2900000</v>
      </c>
      <c r="F825" s="13">
        <v>16650</v>
      </c>
      <c r="G825" s="9">
        <v>45028</v>
      </c>
      <c r="H825" t="s">
        <v>1111</v>
      </c>
      <c r="I825" t="s">
        <v>916</v>
      </c>
      <c r="J825" s="13">
        <v>96570</v>
      </c>
      <c r="K825">
        <v>1</v>
      </c>
      <c r="L825" t="s">
        <v>1064</v>
      </c>
      <c r="M825" t="s">
        <v>1065</v>
      </c>
      <c r="N825" s="15" t="s">
        <v>6878</v>
      </c>
    </row>
    <row r="826" spans="1:14" x14ac:dyDescent="0.2">
      <c r="A826" t="s">
        <v>1904</v>
      </c>
      <c r="B826" t="s">
        <v>1062</v>
      </c>
      <c r="C826" s="9">
        <v>45009</v>
      </c>
      <c r="D826" t="s">
        <v>442</v>
      </c>
      <c r="E826" s="13">
        <v>2900000</v>
      </c>
      <c r="F826" s="13">
        <v>16650</v>
      </c>
      <c r="G826" s="9">
        <v>45028</v>
      </c>
      <c r="H826" t="s">
        <v>1111</v>
      </c>
      <c r="I826" t="s">
        <v>916</v>
      </c>
      <c r="J826" s="13">
        <v>96570</v>
      </c>
      <c r="K826">
        <v>1</v>
      </c>
      <c r="L826" t="s">
        <v>1064</v>
      </c>
      <c r="M826" t="s">
        <v>1065</v>
      </c>
      <c r="N826" s="15" t="s">
        <v>6878</v>
      </c>
    </row>
    <row r="827" spans="1:14" x14ac:dyDescent="0.2">
      <c r="A827" t="s">
        <v>1905</v>
      </c>
      <c r="B827" t="s">
        <v>1062</v>
      </c>
      <c r="C827" s="9">
        <v>45009</v>
      </c>
      <c r="D827" t="s">
        <v>442</v>
      </c>
      <c r="E827" s="13">
        <v>2900000</v>
      </c>
      <c r="F827" s="13">
        <v>16650</v>
      </c>
      <c r="G827" s="9">
        <v>45028</v>
      </c>
      <c r="H827" t="s">
        <v>1111</v>
      </c>
      <c r="I827" t="s">
        <v>916</v>
      </c>
      <c r="J827" s="13">
        <v>96570</v>
      </c>
      <c r="K827">
        <v>1</v>
      </c>
      <c r="L827" t="s">
        <v>1064</v>
      </c>
      <c r="M827" t="s">
        <v>1065</v>
      </c>
      <c r="N827" s="15" t="s">
        <v>6878</v>
      </c>
    </row>
    <row r="828" spans="1:14" x14ac:dyDescent="0.2">
      <c r="A828" t="s">
        <v>1906</v>
      </c>
      <c r="B828" t="s">
        <v>1062</v>
      </c>
      <c r="C828" s="9">
        <v>45009</v>
      </c>
      <c r="D828" t="s">
        <v>442</v>
      </c>
      <c r="E828" s="13">
        <v>2900000</v>
      </c>
      <c r="F828" s="13">
        <v>16650</v>
      </c>
      <c r="G828" s="9">
        <v>45028</v>
      </c>
      <c r="H828" t="s">
        <v>1111</v>
      </c>
      <c r="I828" t="s">
        <v>916</v>
      </c>
      <c r="J828" s="13">
        <v>96570</v>
      </c>
      <c r="K828">
        <v>1</v>
      </c>
      <c r="L828" t="s">
        <v>1064</v>
      </c>
      <c r="M828" t="s">
        <v>1065</v>
      </c>
      <c r="N828" s="15" t="s">
        <v>6878</v>
      </c>
    </row>
    <row r="829" spans="1:14" x14ac:dyDescent="0.2">
      <c r="A829" t="s">
        <v>1907</v>
      </c>
      <c r="B829" t="s">
        <v>1062</v>
      </c>
      <c r="C829" s="9">
        <v>45009</v>
      </c>
      <c r="D829" t="s">
        <v>442</v>
      </c>
      <c r="E829" s="13">
        <v>2900000</v>
      </c>
      <c r="F829" s="13">
        <v>16650</v>
      </c>
      <c r="G829" s="9">
        <v>45028</v>
      </c>
      <c r="H829" t="s">
        <v>1111</v>
      </c>
      <c r="I829" t="s">
        <v>916</v>
      </c>
      <c r="J829" s="13">
        <v>96570</v>
      </c>
      <c r="K829">
        <v>1</v>
      </c>
      <c r="L829" t="s">
        <v>1064</v>
      </c>
      <c r="M829" t="s">
        <v>1065</v>
      </c>
      <c r="N829" s="15" t="s">
        <v>6878</v>
      </c>
    </row>
    <row r="830" spans="1:14" x14ac:dyDescent="0.2">
      <c r="A830" t="s">
        <v>1908</v>
      </c>
      <c r="B830" t="s">
        <v>1062</v>
      </c>
      <c r="C830" s="9">
        <v>45009</v>
      </c>
      <c r="D830" t="s">
        <v>442</v>
      </c>
      <c r="E830" s="13">
        <v>2900000</v>
      </c>
      <c r="F830" s="13">
        <v>16650</v>
      </c>
      <c r="G830" s="9">
        <v>45044</v>
      </c>
      <c r="H830" t="s">
        <v>1111</v>
      </c>
      <c r="I830" t="s">
        <v>916</v>
      </c>
      <c r="J830" s="13">
        <v>96570</v>
      </c>
      <c r="K830">
        <v>1</v>
      </c>
      <c r="L830" t="s">
        <v>1064</v>
      </c>
      <c r="M830" t="s">
        <v>1065</v>
      </c>
      <c r="N830" s="15" t="s">
        <v>6878</v>
      </c>
    </row>
    <row r="831" spans="1:14" x14ac:dyDescent="0.2">
      <c r="A831" t="s">
        <v>1909</v>
      </c>
      <c r="B831" t="s">
        <v>1062</v>
      </c>
      <c r="C831" s="9">
        <v>45009</v>
      </c>
      <c r="D831" t="s">
        <v>442</v>
      </c>
      <c r="E831" s="13">
        <v>2900000</v>
      </c>
      <c r="F831" s="13">
        <v>16650</v>
      </c>
      <c r="G831" s="9">
        <v>45033</v>
      </c>
      <c r="H831" t="s">
        <v>1111</v>
      </c>
      <c r="I831" t="s">
        <v>916</v>
      </c>
      <c r="J831" s="13">
        <v>96570</v>
      </c>
      <c r="K831">
        <v>1</v>
      </c>
      <c r="L831" t="s">
        <v>1064</v>
      </c>
      <c r="M831" t="s">
        <v>1065</v>
      </c>
      <c r="N831" s="15" t="s">
        <v>6878</v>
      </c>
    </row>
    <row r="832" spans="1:14" x14ac:dyDescent="0.2">
      <c r="A832" t="s">
        <v>1910</v>
      </c>
      <c r="B832" t="s">
        <v>1062</v>
      </c>
      <c r="C832" s="9">
        <v>45010</v>
      </c>
      <c r="D832" t="s">
        <v>178</v>
      </c>
      <c r="E832" s="13">
        <v>1826375</v>
      </c>
      <c r="F832" s="13">
        <v>22200</v>
      </c>
      <c r="G832" s="9">
        <v>45010</v>
      </c>
      <c r="H832" t="s">
        <v>1063</v>
      </c>
      <c r="I832" t="s">
        <v>904</v>
      </c>
      <c r="J832" s="13"/>
      <c r="K832">
        <v>1</v>
      </c>
      <c r="L832" t="s">
        <v>1064</v>
      </c>
      <c r="M832" t="s">
        <v>1164</v>
      </c>
      <c r="N832" s="15" t="s">
        <v>6878</v>
      </c>
    </row>
    <row r="833" spans="1:14" x14ac:dyDescent="0.2">
      <c r="A833" t="s">
        <v>1911</v>
      </c>
      <c r="B833" t="s">
        <v>1062</v>
      </c>
      <c r="C833" s="9">
        <v>45010</v>
      </c>
      <c r="D833" t="s">
        <v>178</v>
      </c>
      <c r="E833" s="13">
        <v>2548000</v>
      </c>
      <c r="F833" s="13">
        <v>44400</v>
      </c>
      <c r="G833" s="9">
        <v>45010</v>
      </c>
      <c r="H833" t="s">
        <v>1063</v>
      </c>
      <c r="I833" t="s">
        <v>904</v>
      </c>
      <c r="J833" s="13"/>
      <c r="K833">
        <v>2</v>
      </c>
      <c r="L833" t="s">
        <v>1064</v>
      </c>
      <c r="M833" t="s">
        <v>1164</v>
      </c>
      <c r="N833" s="15" t="s">
        <v>6878</v>
      </c>
    </row>
    <row r="834" spans="1:14" x14ac:dyDescent="0.2">
      <c r="A834" t="s">
        <v>1912</v>
      </c>
      <c r="B834" t="s">
        <v>1069</v>
      </c>
      <c r="C834" s="9">
        <v>45010</v>
      </c>
      <c r="D834" t="s">
        <v>949</v>
      </c>
      <c r="E834" s="13">
        <v>147500000</v>
      </c>
      <c r="F834" s="13">
        <v>222000</v>
      </c>
      <c r="G834" s="9">
        <v>45010</v>
      </c>
      <c r="H834" t="s">
        <v>1063</v>
      </c>
      <c r="I834" t="s">
        <v>1746</v>
      </c>
      <c r="J834" s="13">
        <v>4093125</v>
      </c>
      <c r="K834">
        <v>10</v>
      </c>
      <c r="L834" t="s">
        <v>1064</v>
      </c>
      <c r="M834" t="s">
        <v>1747</v>
      </c>
      <c r="N834" s="15" t="s">
        <v>6878</v>
      </c>
    </row>
    <row r="835" spans="1:14" x14ac:dyDescent="0.2">
      <c r="A835" t="s">
        <v>1913</v>
      </c>
      <c r="B835" t="s">
        <v>1069</v>
      </c>
      <c r="C835" s="9">
        <v>45010</v>
      </c>
      <c r="D835" t="s">
        <v>949</v>
      </c>
      <c r="E835" s="13">
        <v>88500000</v>
      </c>
      <c r="F835" s="13">
        <v>133200</v>
      </c>
      <c r="G835" s="9">
        <v>45010</v>
      </c>
      <c r="H835" t="s">
        <v>1063</v>
      </c>
      <c r="I835" t="s">
        <v>1746</v>
      </c>
      <c r="J835" s="13">
        <v>2455875</v>
      </c>
      <c r="K835">
        <v>6</v>
      </c>
      <c r="L835" t="s">
        <v>1064</v>
      </c>
      <c r="M835" t="s">
        <v>1747</v>
      </c>
      <c r="N835" s="15" t="s">
        <v>6878</v>
      </c>
    </row>
    <row r="836" spans="1:14" x14ac:dyDescent="0.2">
      <c r="A836" t="s">
        <v>1914</v>
      </c>
      <c r="B836" t="s">
        <v>1062</v>
      </c>
      <c r="C836" s="9">
        <v>45011</v>
      </c>
      <c r="D836" t="s">
        <v>442</v>
      </c>
      <c r="E836" s="13">
        <v>1875000</v>
      </c>
      <c r="F836" s="13">
        <v>16650</v>
      </c>
      <c r="G836" s="9">
        <v>45022</v>
      </c>
      <c r="H836" t="s">
        <v>1111</v>
      </c>
      <c r="I836" t="s">
        <v>916</v>
      </c>
      <c r="J836" s="13">
        <v>62437</v>
      </c>
      <c r="K836">
        <v>1</v>
      </c>
      <c r="L836" t="s">
        <v>1064</v>
      </c>
      <c r="M836" t="s">
        <v>1065</v>
      </c>
      <c r="N836" s="15" t="s">
        <v>6878</v>
      </c>
    </row>
    <row r="837" spans="1:14" x14ac:dyDescent="0.2">
      <c r="A837" t="s">
        <v>1915</v>
      </c>
      <c r="B837" t="s">
        <v>1062</v>
      </c>
      <c r="C837" s="9">
        <v>45011</v>
      </c>
      <c r="D837" t="s">
        <v>442</v>
      </c>
      <c r="E837" s="13">
        <v>2900000</v>
      </c>
      <c r="F837" s="13">
        <v>16650</v>
      </c>
      <c r="G837" s="9">
        <v>45033</v>
      </c>
      <c r="H837" t="s">
        <v>1111</v>
      </c>
      <c r="I837" t="s">
        <v>916</v>
      </c>
      <c r="J837" s="13">
        <v>96570</v>
      </c>
      <c r="K837">
        <v>1</v>
      </c>
      <c r="L837" t="s">
        <v>1064</v>
      </c>
      <c r="M837" t="s">
        <v>1065</v>
      </c>
      <c r="N837" s="15" t="s">
        <v>6878</v>
      </c>
    </row>
    <row r="838" spans="1:14" x14ac:dyDescent="0.2">
      <c r="A838" t="s">
        <v>1916</v>
      </c>
      <c r="B838" t="s">
        <v>1062</v>
      </c>
      <c r="C838" s="9">
        <v>45011</v>
      </c>
      <c r="D838" t="s">
        <v>442</v>
      </c>
      <c r="E838" s="13">
        <v>2900000</v>
      </c>
      <c r="F838" s="13">
        <v>16650</v>
      </c>
      <c r="G838" s="9">
        <v>45033</v>
      </c>
      <c r="H838" t="s">
        <v>1111</v>
      </c>
      <c r="I838" t="s">
        <v>916</v>
      </c>
      <c r="J838" s="13">
        <v>96570</v>
      </c>
      <c r="K838">
        <v>1</v>
      </c>
      <c r="L838" t="s">
        <v>1064</v>
      </c>
      <c r="M838" t="s">
        <v>1065</v>
      </c>
      <c r="N838" s="15" t="s">
        <v>6878</v>
      </c>
    </row>
    <row r="839" spans="1:14" x14ac:dyDescent="0.2">
      <c r="A839" t="s">
        <v>1917</v>
      </c>
      <c r="B839" t="s">
        <v>1062</v>
      </c>
      <c r="C839" s="9">
        <v>45011</v>
      </c>
      <c r="D839" t="s">
        <v>442</v>
      </c>
      <c r="E839" s="13">
        <v>2900000</v>
      </c>
      <c r="F839" s="13">
        <v>16650</v>
      </c>
      <c r="G839" s="9">
        <v>45033</v>
      </c>
      <c r="H839" t="s">
        <v>1111</v>
      </c>
      <c r="I839" t="s">
        <v>916</v>
      </c>
      <c r="J839" s="13">
        <v>96570</v>
      </c>
      <c r="K839">
        <v>1</v>
      </c>
      <c r="L839" t="s">
        <v>1064</v>
      </c>
      <c r="M839" t="s">
        <v>1065</v>
      </c>
      <c r="N839" s="15" t="s">
        <v>6878</v>
      </c>
    </row>
    <row r="840" spans="1:14" x14ac:dyDescent="0.2">
      <c r="A840" t="s">
        <v>1918</v>
      </c>
      <c r="B840" t="s">
        <v>1062</v>
      </c>
      <c r="C840" s="9">
        <v>45011</v>
      </c>
      <c r="D840" t="s">
        <v>442</v>
      </c>
      <c r="E840" s="13">
        <v>2900000</v>
      </c>
      <c r="F840" s="13">
        <v>16650</v>
      </c>
      <c r="G840" s="9">
        <v>45033</v>
      </c>
      <c r="H840" t="s">
        <v>1111</v>
      </c>
      <c r="I840" t="s">
        <v>916</v>
      </c>
      <c r="J840" s="13">
        <v>96570</v>
      </c>
      <c r="K840">
        <v>1</v>
      </c>
      <c r="L840" t="s">
        <v>1064</v>
      </c>
      <c r="M840" t="s">
        <v>1065</v>
      </c>
      <c r="N840" s="15" t="s">
        <v>6878</v>
      </c>
    </row>
    <row r="841" spans="1:14" x14ac:dyDescent="0.2">
      <c r="A841" t="s">
        <v>1919</v>
      </c>
      <c r="B841" t="s">
        <v>1062</v>
      </c>
      <c r="C841" s="9">
        <v>45011</v>
      </c>
      <c r="D841" t="s">
        <v>442</v>
      </c>
      <c r="E841" s="13">
        <v>2900000</v>
      </c>
      <c r="F841" s="13">
        <v>16650</v>
      </c>
      <c r="G841" s="9">
        <v>45033</v>
      </c>
      <c r="H841" t="s">
        <v>1111</v>
      </c>
      <c r="I841" t="s">
        <v>916</v>
      </c>
      <c r="J841" s="13">
        <v>96570</v>
      </c>
      <c r="K841">
        <v>1</v>
      </c>
      <c r="L841" t="s">
        <v>1064</v>
      </c>
      <c r="M841" t="s">
        <v>1065</v>
      </c>
      <c r="N841" s="15" t="s">
        <v>6878</v>
      </c>
    </row>
    <row r="842" spans="1:14" x14ac:dyDescent="0.2">
      <c r="A842" t="s">
        <v>1920</v>
      </c>
      <c r="B842" t="s">
        <v>1062</v>
      </c>
      <c r="C842" s="9">
        <v>45011</v>
      </c>
      <c r="D842" t="s">
        <v>442</v>
      </c>
      <c r="E842" s="13">
        <v>2900000</v>
      </c>
      <c r="F842" s="13">
        <v>16650</v>
      </c>
      <c r="G842" s="9">
        <v>45033</v>
      </c>
      <c r="H842" t="s">
        <v>1111</v>
      </c>
      <c r="I842" t="s">
        <v>916</v>
      </c>
      <c r="J842" s="13">
        <v>96570</v>
      </c>
      <c r="K842">
        <v>1</v>
      </c>
      <c r="L842" t="s">
        <v>1064</v>
      </c>
      <c r="M842" t="s">
        <v>1065</v>
      </c>
      <c r="N842" s="15" t="s">
        <v>6878</v>
      </c>
    </row>
    <row r="843" spans="1:14" x14ac:dyDescent="0.2">
      <c r="A843" t="s">
        <v>1921</v>
      </c>
      <c r="B843" t="s">
        <v>1062</v>
      </c>
      <c r="C843" s="9">
        <v>45011</v>
      </c>
      <c r="D843" t="s">
        <v>442</v>
      </c>
      <c r="E843" s="13">
        <v>2900000</v>
      </c>
      <c r="F843" s="13">
        <v>16650</v>
      </c>
      <c r="G843" s="9">
        <v>45033</v>
      </c>
      <c r="H843" t="s">
        <v>1111</v>
      </c>
      <c r="I843" t="s">
        <v>916</v>
      </c>
      <c r="J843" s="13">
        <v>96570</v>
      </c>
      <c r="K843">
        <v>1</v>
      </c>
      <c r="L843" t="s">
        <v>1064</v>
      </c>
      <c r="M843" t="s">
        <v>1065</v>
      </c>
      <c r="N843" s="15" t="s">
        <v>6878</v>
      </c>
    </row>
    <row r="844" spans="1:14" x14ac:dyDescent="0.2">
      <c r="A844" t="s">
        <v>1922</v>
      </c>
      <c r="B844" t="s">
        <v>1062</v>
      </c>
      <c r="C844" s="9">
        <v>45011</v>
      </c>
      <c r="D844" t="s">
        <v>442</v>
      </c>
      <c r="E844" s="13">
        <v>2900000</v>
      </c>
      <c r="F844" s="13">
        <v>16650</v>
      </c>
      <c r="G844" s="9">
        <v>45033</v>
      </c>
      <c r="H844" t="s">
        <v>1111</v>
      </c>
      <c r="I844" t="s">
        <v>916</v>
      </c>
      <c r="J844" s="13">
        <v>96570</v>
      </c>
      <c r="K844">
        <v>1</v>
      </c>
      <c r="L844" t="s">
        <v>1064</v>
      </c>
      <c r="M844" t="s">
        <v>1065</v>
      </c>
      <c r="N844" s="15" t="s">
        <v>6878</v>
      </c>
    </row>
    <row r="845" spans="1:14" x14ac:dyDescent="0.2">
      <c r="A845" t="s">
        <v>1923</v>
      </c>
      <c r="B845" t="s">
        <v>1062</v>
      </c>
      <c r="C845" s="9">
        <v>45011</v>
      </c>
      <c r="D845" t="s">
        <v>442</v>
      </c>
      <c r="E845" s="13">
        <v>2900000</v>
      </c>
      <c r="F845" s="13">
        <v>16650</v>
      </c>
      <c r="G845" s="9">
        <v>45033</v>
      </c>
      <c r="H845" t="s">
        <v>1111</v>
      </c>
      <c r="I845" t="s">
        <v>916</v>
      </c>
      <c r="J845" s="13">
        <v>96570</v>
      </c>
      <c r="K845">
        <v>1</v>
      </c>
      <c r="L845" t="s">
        <v>1064</v>
      </c>
      <c r="M845" t="s">
        <v>1065</v>
      </c>
      <c r="N845" s="15" t="s">
        <v>6878</v>
      </c>
    </row>
    <row r="846" spans="1:14" x14ac:dyDescent="0.2">
      <c r="A846" t="s">
        <v>1924</v>
      </c>
      <c r="B846" t="s">
        <v>1062</v>
      </c>
      <c r="C846" s="9">
        <v>45011</v>
      </c>
      <c r="D846" t="s">
        <v>442</v>
      </c>
      <c r="E846" s="13">
        <v>2900000</v>
      </c>
      <c r="F846" s="13">
        <v>16650</v>
      </c>
      <c r="G846" s="9">
        <v>45033</v>
      </c>
      <c r="H846" t="s">
        <v>1111</v>
      </c>
      <c r="I846" t="s">
        <v>916</v>
      </c>
      <c r="J846" s="13">
        <v>96570</v>
      </c>
      <c r="K846">
        <v>1</v>
      </c>
      <c r="L846" t="s">
        <v>1064</v>
      </c>
      <c r="M846" t="s">
        <v>1065</v>
      </c>
      <c r="N846" s="15" t="s">
        <v>6878</v>
      </c>
    </row>
    <row r="847" spans="1:14" x14ac:dyDescent="0.2">
      <c r="A847" t="s">
        <v>1925</v>
      </c>
      <c r="B847" t="s">
        <v>1062</v>
      </c>
      <c r="C847" s="9">
        <v>45011</v>
      </c>
      <c r="D847" t="s">
        <v>442</v>
      </c>
      <c r="E847" s="13">
        <v>2900000</v>
      </c>
      <c r="F847" s="13">
        <v>16650</v>
      </c>
      <c r="G847" s="9">
        <v>45033</v>
      </c>
      <c r="H847" t="s">
        <v>1111</v>
      </c>
      <c r="I847" t="s">
        <v>916</v>
      </c>
      <c r="J847" s="13">
        <v>96570</v>
      </c>
      <c r="K847">
        <v>1</v>
      </c>
      <c r="L847" t="s">
        <v>1064</v>
      </c>
      <c r="M847" t="s">
        <v>1065</v>
      </c>
      <c r="N847" s="15" t="s">
        <v>6878</v>
      </c>
    </row>
    <row r="848" spans="1:14" x14ac:dyDescent="0.2">
      <c r="A848" t="s">
        <v>1926</v>
      </c>
      <c r="B848" t="s">
        <v>1062</v>
      </c>
      <c r="C848" s="9">
        <v>45011</v>
      </c>
      <c r="D848" t="s">
        <v>442</v>
      </c>
      <c r="E848" s="13">
        <v>2900000</v>
      </c>
      <c r="F848" s="13">
        <v>16650</v>
      </c>
      <c r="G848" s="9">
        <v>45044</v>
      </c>
      <c r="H848" t="s">
        <v>1111</v>
      </c>
      <c r="I848" t="s">
        <v>916</v>
      </c>
      <c r="J848" s="13">
        <v>96570</v>
      </c>
      <c r="K848">
        <v>1</v>
      </c>
      <c r="L848" t="s">
        <v>1064</v>
      </c>
      <c r="M848" t="s">
        <v>1065</v>
      </c>
      <c r="N848" s="15" t="s">
        <v>6878</v>
      </c>
    </row>
    <row r="849" spans="1:14" x14ac:dyDescent="0.2">
      <c r="A849" t="s">
        <v>1927</v>
      </c>
      <c r="B849" t="s">
        <v>1062</v>
      </c>
      <c r="C849" s="9">
        <v>45011</v>
      </c>
      <c r="D849" t="s">
        <v>442</v>
      </c>
      <c r="E849" s="13">
        <v>2900000</v>
      </c>
      <c r="F849" s="13">
        <v>16650</v>
      </c>
      <c r="G849" s="9">
        <v>45043</v>
      </c>
      <c r="H849" t="s">
        <v>1111</v>
      </c>
      <c r="I849" t="s">
        <v>916</v>
      </c>
      <c r="J849" s="13">
        <v>96570</v>
      </c>
      <c r="K849">
        <v>1</v>
      </c>
      <c r="L849" t="s">
        <v>1064</v>
      </c>
      <c r="M849" t="s">
        <v>1065</v>
      </c>
      <c r="N849" s="15" t="s">
        <v>6878</v>
      </c>
    </row>
    <row r="850" spans="1:14" x14ac:dyDescent="0.2">
      <c r="A850" t="s">
        <v>1928</v>
      </c>
      <c r="B850" t="s">
        <v>1062</v>
      </c>
      <c r="C850" s="9">
        <v>45011</v>
      </c>
      <c r="D850" t="s">
        <v>442</v>
      </c>
      <c r="E850" s="13">
        <v>2900000</v>
      </c>
      <c r="F850" s="13">
        <v>16650</v>
      </c>
      <c r="G850" s="9">
        <v>45043</v>
      </c>
      <c r="H850" t="s">
        <v>1111</v>
      </c>
      <c r="I850" t="s">
        <v>916</v>
      </c>
      <c r="J850" s="13">
        <v>96570</v>
      </c>
      <c r="K850">
        <v>1</v>
      </c>
      <c r="L850" t="s">
        <v>1064</v>
      </c>
      <c r="M850" t="s">
        <v>1065</v>
      </c>
      <c r="N850" s="15" t="s">
        <v>6878</v>
      </c>
    </row>
    <row r="851" spans="1:14" x14ac:dyDescent="0.2">
      <c r="A851" t="s">
        <v>1929</v>
      </c>
      <c r="B851" t="s">
        <v>1062</v>
      </c>
      <c r="C851" s="9">
        <v>45011</v>
      </c>
      <c r="D851" t="s">
        <v>442</v>
      </c>
      <c r="E851" s="13">
        <v>2900000</v>
      </c>
      <c r="F851" s="13">
        <v>16650</v>
      </c>
      <c r="G851" s="9">
        <v>45033</v>
      </c>
      <c r="H851" t="s">
        <v>1111</v>
      </c>
      <c r="I851" t="s">
        <v>916</v>
      </c>
      <c r="J851" s="13">
        <v>96570</v>
      </c>
      <c r="K851">
        <v>1</v>
      </c>
      <c r="L851" t="s">
        <v>1064</v>
      </c>
      <c r="M851" t="s">
        <v>1065</v>
      </c>
      <c r="N851" s="15" t="s">
        <v>6878</v>
      </c>
    </row>
    <row r="852" spans="1:14" x14ac:dyDescent="0.2">
      <c r="A852" t="s">
        <v>1930</v>
      </c>
      <c r="B852" t="s">
        <v>1062</v>
      </c>
      <c r="C852" s="9">
        <v>45011</v>
      </c>
      <c r="D852" t="s">
        <v>442</v>
      </c>
      <c r="E852" s="13">
        <v>2900000</v>
      </c>
      <c r="F852" s="13">
        <v>16650</v>
      </c>
      <c r="G852" s="9">
        <v>45033</v>
      </c>
      <c r="H852" t="s">
        <v>1111</v>
      </c>
      <c r="I852" t="s">
        <v>916</v>
      </c>
      <c r="J852" s="13">
        <v>96570</v>
      </c>
      <c r="K852">
        <v>1</v>
      </c>
      <c r="L852" t="s">
        <v>1064</v>
      </c>
      <c r="M852" t="s">
        <v>1065</v>
      </c>
      <c r="N852" s="15" t="s">
        <v>6878</v>
      </c>
    </row>
    <row r="853" spans="1:14" x14ac:dyDescent="0.2">
      <c r="A853" t="s">
        <v>1931</v>
      </c>
      <c r="B853" t="s">
        <v>1062</v>
      </c>
      <c r="C853" s="9">
        <v>45011</v>
      </c>
      <c r="D853" t="s">
        <v>442</v>
      </c>
      <c r="E853" s="13">
        <v>2900000</v>
      </c>
      <c r="F853" s="13">
        <v>16650</v>
      </c>
      <c r="G853" s="9">
        <v>45033</v>
      </c>
      <c r="H853" t="s">
        <v>1111</v>
      </c>
      <c r="I853" t="s">
        <v>916</v>
      </c>
      <c r="J853" s="13">
        <v>96570</v>
      </c>
      <c r="K853">
        <v>1</v>
      </c>
      <c r="L853" t="s">
        <v>1064</v>
      </c>
      <c r="M853" t="s">
        <v>1065</v>
      </c>
      <c r="N853" s="15" t="s">
        <v>6878</v>
      </c>
    </row>
    <row r="854" spans="1:14" x14ac:dyDescent="0.2">
      <c r="A854" t="s">
        <v>1932</v>
      </c>
      <c r="B854" t="s">
        <v>1062</v>
      </c>
      <c r="C854" s="9">
        <v>45011</v>
      </c>
      <c r="D854" t="s">
        <v>442</v>
      </c>
      <c r="E854" s="13">
        <v>2900000</v>
      </c>
      <c r="F854" s="13">
        <v>16650</v>
      </c>
      <c r="G854" s="9">
        <v>45033</v>
      </c>
      <c r="H854" t="s">
        <v>1111</v>
      </c>
      <c r="I854" t="s">
        <v>916</v>
      </c>
      <c r="J854" s="13">
        <v>96570</v>
      </c>
      <c r="K854">
        <v>1</v>
      </c>
      <c r="L854" t="s">
        <v>1064</v>
      </c>
      <c r="M854" t="s">
        <v>1065</v>
      </c>
      <c r="N854" s="15" t="s">
        <v>6878</v>
      </c>
    </row>
    <row r="855" spans="1:14" x14ac:dyDescent="0.2">
      <c r="A855" t="s">
        <v>1933</v>
      </c>
      <c r="B855" t="s">
        <v>1062</v>
      </c>
      <c r="C855" s="9">
        <v>45011</v>
      </c>
      <c r="D855" t="s">
        <v>442</v>
      </c>
      <c r="E855" s="13">
        <v>2900000</v>
      </c>
      <c r="F855" s="13">
        <v>16650</v>
      </c>
      <c r="G855" s="9">
        <v>45033</v>
      </c>
      <c r="H855" t="s">
        <v>1111</v>
      </c>
      <c r="I855" t="s">
        <v>916</v>
      </c>
      <c r="J855" s="13">
        <v>96570</v>
      </c>
      <c r="K855">
        <v>1</v>
      </c>
      <c r="L855" t="s">
        <v>1064</v>
      </c>
      <c r="M855" t="s">
        <v>1065</v>
      </c>
      <c r="N855" s="15" t="s">
        <v>6878</v>
      </c>
    </row>
    <row r="856" spans="1:14" x14ac:dyDescent="0.2">
      <c r="A856" t="s">
        <v>1934</v>
      </c>
      <c r="B856" t="s">
        <v>1062</v>
      </c>
      <c r="C856" s="9">
        <v>45011</v>
      </c>
      <c r="D856" t="s">
        <v>442</v>
      </c>
      <c r="E856" s="13">
        <v>2900000</v>
      </c>
      <c r="F856" s="13">
        <v>16650</v>
      </c>
      <c r="G856" s="9">
        <v>45033</v>
      </c>
      <c r="H856" t="s">
        <v>1111</v>
      </c>
      <c r="I856" t="s">
        <v>916</v>
      </c>
      <c r="J856" s="13">
        <v>96570</v>
      </c>
      <c r="K856">
        <v>1</v>
      </c>
      <c r="L856" t="s">
        <v>1064</v>
      </c>
      <c r="M856" t="s">
        <v>1065</v>
      </c>
      <c r="N856" s="15" t="s">
        <v>6878</v>
      </c>
    </row>
    <row r="857" spans="1:14" x14ac:dyDescent="0.2">
      <c r="A857" t="s">
        <v>1935</v>
      </c>
      <c r="B857" t="s">
        <v>1062</v>
      </c>
      <c r="C857" s="9">
        <v>45011</v>
      </c>
      <c r="D857" t="s">
        <v>442</v>
      </c>
      <c r="E857" s="13">
        <v>2900000</v>
      </c>
      <c r="F857" s="13">
        <v>16650</v>
      </c>
      <c r="G857" s="9">
        <v>45033</v>
      </c>
      <c r="H857" t="s">
        <v>1111</v>
      </c>
      <c r="I857" t="s">
        <v>916</v>
      </c>
      <c r="J857" s="13">
        <v>96570</v>
      </c>
      <c r="K857">
        <v>1</v>
      </c>
      <c r="L857" t="s">
        <v>1064</v>
      </c>
      <c r="M857" t="s">
        <v>1065</v>
      </c>
      <c r="N857" s="15" t="s">
        <v>6878</v>
      </c>
    </row>
    <row r="858" spans="1:14" x14ac:dyDescent="0.2">
      <c r="A858" t="s">
        <v>1936</v>
      </c>
      <c r="B858" t="s">
        <v>1062</v>
      </c>
      <c r="C858" s="9">
        <v>45011</v>
      </c>
      <c r="D858" t="s">
        <v>1022</v>
      </c>
      <c r="E858" s="13">
        <v>2000000</v>
      </c>
      <c r="F858" s="13">
        <v>25000</v>
      </c>
      <c r="H858" t="s">
        <v>1659</v>
      </c>
      <c r="I858" t="s">
        <v>214</v>
      </c>
      <c r="J858" s="13">
        <v>0</v>
      </c>
      <c r="K858">
        <v>1</v>
      </c>
      <c r="L858" t="s">
        <v>1064</v>
      </c>
      <c r="M858" t="s">
        <v>1112</v>
      </c>
      <c r="N858" s="14" t="s">
        <v>6877</v>
      </c>
    </row>
    <row r="859" spans="1:14" x14ac:dyDescent="0.2">
      <c r="A859" t="s">
        <v>1937</v>
      </c>
      <c r="B859" t="s">
        <v>1062</v>
      </c>
      <c r="C859" s="9">
        <v>45011</v>
      </c>
      <c r="D859" t="s">
        <v>1022</v>
      </c>
      <c r="E859" s="13">
        <v>2000000</v>
      </c>
      <c r="F859" s="13">
        <v>25000</v>
      </c>
      <c r="H859" t="s">
        <v>1659</v>
      </c>
      <c r="I859" t="s">
        <v>214</v>
      </c>
      <c r="J859" s="13">
        <v>0</v>
      </c>
      <c r="K859">
        <v>1</v>
      </c>
      <c r="L859" t="s">
        <v>1064</v>
      </c>
      <c r="M859" t="s">
        <v>1112</v>
      </c>
      <c r="N859" s="14" t="s">
        <v>6877</v>
      </c>
    </row>
    <row r="860" spans="1:14" x14ac:dyDescent="0.2">
      <c r="A860" t="s">
        <v>1938</v>
      </c>
      <c r="B860" t="s">
        <v>1062</v>
      </c>
      <c r="C860" s="9">
        <v>45011</v>
      </c>
      <c r="D860" t="s">
        <v>1022</v>
      </c>
      <c r="E860" s="13">
        <v>2000000</v>
      </c>
      <c r="F860" s="13">
        <v>25000</v>
      </c>
      <c r="H860" t="s">
        <v>1659</v>
      </c>
      <c r="I860" t="s">
        <v>214</v>
      </c>
      <c r="J860" s="13">
        <v>0</v>
      </c>
      <c r="K860">
        <v>1</v>
      </c>
      <c r="L860" t="s">
        <v>1064</v>
      </c>
      <c r="M860" t="s">
        <v>1112</v>
      </c>
      <c r="N860" s="14" t="s">
        <v>6877</v>
      </c>
    </row>
    <row r="861" spans="1:14" x14ac:dyDescent="0.2">
      <c r="A861" t="s">
        <v>1939</v>
      </c>
      <c r="B861" t="s">
        <v>1062</v>
      </c>
      <c r="C861" s="9">
        <v>45011</v>
      </c>
      <c r="D861" t="s">
        <v>1022</v>
      </c>
      <c r="E861" s="13">
        <v>2000000</v>
      </c>
      <c r="F861" s="13">
        <v>25000</v>
      </c>
      <c r="H861" t="s">
        <v>1659</v>
      </c>
      <c r="I861" t="s">
        <v>214</v>
      </c>
      <c r="J861" s="13">
        <v>0</v>
      </c>
      <c r="K861">
        <v>1</v>
      </c>
      <c r="L861" t="s">
        <v>1064</v>
      </c>
      <c r="M861" t="s">
        <v>1112</v>
      </c>
      <c r="N861" s="14" t="s">
        <v>6877</v>
      </c>
    </row>
    <row r="862" spans="1:14" x14ac:dyDescent="0.2">
      <c r="A862" t="s">
        <v>1940</v>
      </c>
      <c r="B862" t="s">
        <v>1062</v>
      </c>
      <c r="C862" s="9">
        <v>45011</v>
      </c>
      <c r="D862" t="s">
        <v>1022</v>
      </c>
      <c r="E862" s="13">
        <v>2000000</v>
      </c>
      <c r="F862" s="13">
        <v>25000</v>
      </c>
      <c r="H862" t="s">
        <v>1659</v>
      </c>
      <c r="I862" t="s">
        <v>214</v>
      </c>
      <c r="J862" s="13">
        <v>0</v>
      </c>
      <c r="K862">
        <v>1</v>
      </c>
      <c r="L862" t="s">
        <v>1064</v>
      </c>
      <c r="M862" t="s">
        <v>1112</v>
      </c>
      <c r="N862" s="14" t="s">
        <v>6877</v>
      </c>
    </row>
    <row r="863" spans="1:14" x14ac:dyDescent="0.2">
      <c r="A863" t="s">
        <v>1941</v>
      </c>
      <c r="B863" t="s">
        <v>1062</v>
      </c>
      <c r="C863" s="9">
        <v>45012</v>
      </c>
      <c r="D863" t="s">
        <v>442</v>
      </c>
      <c r="E863" s="13">
        <v>2625000</v>
      </c>
      <c r="F863" s="13">
        <v>16650</v>
      </c>
      <c r="G863" s="9">
        <v>45022</v>
      </c>
      <c r="H863" t="s">
        <v>1111</v>
      </c>
      <c r="I863" t="s">
        <v>916</v>
      </c>
      <c r="J863" s="13">
        <v>87412</v>
      </c>
      <c r="K863">
        <v>1</v>
      </c>
      <c r="L863" t="s">
        <v>1064</v>
      </c>
      <c r="M863" t="s">
        <v>1065</v>
      </c>
      <c r="N863" s="15" t="s">
        <v>6878</v>
      </c>
    </row>
    <row r="864" spans="1:14" x14ac:dyDescent="0.2">
      <c r="A864" t="s">
        <v>1942</v>
      </c>
      <c r="B864" t="s">
        <v>1062</v>
      </c>
      <c r="C864" s="9">
        <v>45012</v>
      </c>
      <c r="D864" t="s">
        <v>442</v>
      </c>
      <c r="E864" s="13">
        <v>2625000</v>
      </c>
      <c r="F864" s="13">
        <v>16650</v>
      </c>
      <c r="G864" s="9">
        <v>45022</v>
      </c>
      <c r="H864" t="s">
        <v>1111</v>
      </c>
      <c r="I864" t="s">
        <v>916</v>
      </c>
      <c r="J864" s="13">
        <v>87412</v>
      </c>
      <c r="K864">
        <v>1</v>
      </c>
      <c r="L864" t="s">
        <v>1064</v>
      </c>
      <c r="M864" t="s">
        <v>1065</v>
      </c>
      <c r="N864" s="15" t="s">
        <v>6878</v>
      </c>
    </row>
    <row r="865" spans="1:14" x14ac:dyDescent="0.2">
      <c r="A865" t="s">
        <v>1943</v>
      </c>
      <c r="B865" t="s">
        <v>1062</v>
      </c>
      <c r="C865" s="9">
        <v>45012</v>
      </c>
      <c r="D865" t="s">
        <v>442</v>
      </c>
      <c r="E865" s="13">
        <v>2200000</v>
      </c>
      <c r="F865" s="13">
        <v>16650</v>
      </c>
      <c r="G865" s="9">
        <v>45022</v>
      </c>
      <c r="H865" t="s">
        <v>1111</v>
      </c>
      <c r="I865" t="s">
        <v>916</v>
      </c>
      <c r="J865" s="13">
        <v>73260</v>
      </c>
      <c r="K865">
        <v>1</v>
      </c>
      <c r="L865" t="s">
        <v>1064</v>
      </c>
      <c r="M865" t="s">
        <v>1065</v>
      </c>
      <c r="N865" s="15" t="s">
        <v>6878</v>
      </c>
    </row>
    <row r="866" spans="1:14" x14ac:dyDescent="0.2">
      <c r="A866" t="s">
        <v>1944</v>
      </c>
      <c r="B866" t="s">
        <v>1062</v>
      </c>
      <c r="C866" s="9">
        <v>45012</v>
      </c>
      <c r="D866" t="s">
        <v>442</v>
      </c>
      <c r="E866" s="13">
        <v>1125000</v>
      </c>
      <c r="F866" s="13">
        <v>16650</v>
      </c>
      <c r="G866" s="9">
        <v>45022</v>
      </c>
      <c r="H866" t="s">
        <v>1111</v>
      </c>
      <c r="I866" t="s">
        <v>916</v>
      </c>
      <c r="J866" s="13">
        <v>37462</v>
      </c>
      <c r="K866">
        <v>1</v>
      </c>
      <c r="L866" t="s">
        <v>1064</v>
      </c>
      <c r="M866" t="s">
        <v>1065</v>
      </c>
      <c r="N866" s="15" t="s">
        <v>6878</v>
      </c>
    </row>
    <row r="867" spans="1:14" x14ac:dyDescent="0.2">
      <c r="A867" t="s">
        <v>1945</v>
      </c>
      <c r="B867" t="s">
        <v>1062</v>
      </c>
      <c r="C867" s="9">
        <v>45012</v>
      </c>
      <c r="D867" t="s">
        <v>442</v>
      </c>
      <c r="E867" s="13">
        <v>2450000</v>
      </c>
      <c r="F867" s="13">
        <v>16650</v>
      </c>
      <c r="G867" s="9">
        <v>45043</v>
      </c>
      <c r="H867" t="s">
        <v>1111</v>
      </c>
      <c r="I867" t="s">
        <v>916</v>
      </c>
      <c r="J867" s="13">
        <v>81585</v>
      </c>
      <c r="K867">
        <v>1</v>
      </c>
      <c r="L867" t="s">
        <v>1064</v>
      </c>
      <c r="M867" t="s">
        <v>1065</v>
      </c>
      <c r="N867" s="15" t="s">
        <v>6878</v>
      </c>
    </row>
    <row r="868" spans="1:14" x14ac:dyDescent="0.2">
      <c r="A868" t="s">
        <v>1946</v>
      </c>
      <c r="B868" t="s">
        <v>1062</v>
      </c>
      <c r="C868" s="9">
        <v>45012</v>
      </c>
      <c r="D868" t="s">
        <v>442</v>
      </c>
      <c r="E868" s="13">
        <v>1125000</v>
      </c>
      <c r="F868" s="13">
        <v>16650</v>
      </c>
      <c r="G868" s="9">
        <v>45049</v>
      </c>
      <c r="H868" t="s">
        <v>1111</v>
      </c>
      <c r="I868" t="s">
        <v>916</v>
      </c>
      <c r="J868" s="13">
        <v>37462</v>
      </c>
      <c r="K868">
        <v>1</v>
      </c>
      <c r="L868" t="s">
        <v>1064</v>
      </c>
      <c r="M868" t="s">
        <v>1065</v>
      </c>
      <c r="N868" s="15" t="s">
        <v>6878</v>
      </c>
    </row>
    <row r="869" spans="1:14" x14ac:dyDescent="0.2">
      <c r="A869" t="s">
        <v>1947</v>
      </c>
      <c r="B869" t="s">
        <v>1062</v>
      </c>
      <c r="C869" s="9">
        <v>45012</v>
      </c>
      <c r="D869" t="s">
        <v>442</v>
      </c>
      <c r="E869" s="13">
        <v>1125000</v>
      </c>
      <c r="F869" s="13">
        <v>16650</v>
      </c>
      <c r="G869" s="9">
        <v>45024</v>
      </c>
      <c r="H869" t="s">
        <v>1111</v>
      </c>
      <c r="I869" t="s">
        <v>916</v>
      </c>
      <c r="J869" s="13">
        <v>37462</v>
      </c>
      <c r="K869">
        <v>1</v>
      </c>
      <c r="L869" t="s">
        <v>1064</v>
      </c>
      <c r="M869" t="s">
        <v>1065</v>
      </c>
      <c r="N869" s="15" t="s">
        <v>6878</v>
      </c>
    </row>
    <row r="870" spans="1:14" x14ac:dyDescent="0.2">
      <c r="A870" t="s">
        <v>1948</v>
      </c>
      <c r="B870" t="s">
        <v>1062</v>
      </c>
      <c r="C870" s="9">
        <v>45013</v>
      </c>
      <c r="D870" t="s">
        <v>442</v>
      </c>
      <c r="E870" s="13">
        <v>1440000</v>
      </c>
      <c r="F870" s="13">
        <v>16650</v>
      </c>
      <c r="G870" s="9">
        <v>45049</v>
      </c>
      <c r="H870" t="s">
        <v>1111</v>
      </c>
      <c r="I870" t="s">
        <v>916</v>
      </c>
      <c r="J870" s="13">
        <v>47952</v>
      </c>
      <c r="K870">
        <v>1</v>
      </c>
      <c r="L870" t="s">
        <v>1064</v>
      </c>
      <c r="M870" t="s">
        <v>1065</v>
      </c>
      <c r="N870" s="15" t="s">
        <v>6878</v>
      </c>
    </row>
    <row r="871" spans="1:14" x14ac:dyDescent="0.2">
      <c r="A871" t="s">
        <v>1949</v>
      </c>
      <c r="B871" t="s">
        <v>1062</v>
      </c>
      <c r="C871" s="9">
        <v>45013</v>
      </c>
      <c r="D871" t="s">
        <v>442</v>
      </c>
      <c r="E871" s="13">
        <v>2250000</v>
      </c>
      <c r="F871" s="13">
        <v>16650</v>
      </c>
      <c r="G871" s="9">
        <v>45024</v>
      </c>
      <c r="H871" t="s">
        <v>1111</v>
      </c>
      <c r="I871" t="s">
        <v>916</v>
      </c>
      <c r="J871" s="13">
        <v>74925</v>
      </c>
      <c r="K871">
        <v>1</v>
      </c>
      <c r="L871" t="s">
        <v>1064</v>
      </c>
      <c r="M871" t="s">
        <v>1065</v>
      </c>
      <c r="N871" s="15" t="s">
        <v>6878</v>
      </c>
    </row>
    <row r="872" spans="1:14" x14ac:dyDescent="0.2">
      <c r="A872" t="s">
        <v>1950</v>
      </c>
      <c r="B872" t="s">
        <v>1062</v>
      </c>
      <c r="C872" s="9">
        <v>45013</v>
      </c>
      <c r="D872" t="s">
        <v>442</v>
      </c>
      <c r="E872" s="13">
        <v>1575000</v>
      </c>
      <c r="F872" s="13">
        <v>16650</v>
      </c>
      <c r="G872" s="9">
        <v>45024</v>
      </c>
      <c r="H872" t="s">
        <v>1111</v>
      </c>
      <c r="I872" t="s">
        <v>916</v>
      </c>
      <c r="J872" s="13">
        <v>52447</v>
      </c>
      <c r="K872">
        <v>1</v>
      </c>
      <c r="L872" t="s">
        <v>1064</v>
      </c>
      <c r="M872" t="s">
        <v>1065</v>
      </c>
      <c r="N872" s="15" t="s">
        <v>6878</v>
      </c>
    </row>
    <row r="873" spans="1:14" x14ac:dyDescent="0.2">
      <c r="A873" t="s">
        <v>1951</v>
      </c>
      <c r="B873" t="s">
        <v>1062</v>
      </c>
      <c r="C873" s="9">
        <v>45013</v>
      </c>
      <c r="D873" t="s">
        <v>442</v>
      </c>
      <c r="E873" s="13">
        <v>1500000</v>
      </c>
      <c r="F873" s="13">
        <v>16650</v>
      </c>
      <c r="G873" s="9">
        <v>45024</v>
      </c>
      <c r="H873" t="s">
        <v>1111</v>
      </c>
      <c r="I873" t="s">
        <v>916</v>
      </c>
      <c r="J873" s="13">
        <v>49950</v>
      </c>
      <c r="K873">
        <v>1</v>
      </c>
      <c r="L873" t="s">
        <v>1064</v>
      </c>
      <c r="M873" t="s">
        <v>1065</v>
      </c>
      <c r="N873" s="15" t="s">
        <v>6878</v>
      </c>
    </row>
    <row r="874" spans="1:14" x14ac:dyDescent="0.2">
      <c r="A874" t="s">
        <v>1952</v>
      </c>
      <c r="B874" t="s">
        <v>1062</v>
      </c>
      <c r="C874" s="9">
        <v>45013</v>
      </c>
      <c r="D874" t="s">
        <v>442</v>
      </c>
      <c r="E874" s="13">
        <v>1125000</v>
      </c>
      <c r="F874" s="13">
        <v>16650</v>
      </c>
      <c r="G874" s="9">
        <v>45024</v>
      </c>
      <c r="H874" t="s">
        <v>1111</v>
      </c>
      <c r="I874" t="s">
        <v>916</v>
      </c>
      <c r="J874" s="13">
        <v>37462</v>
      </c>
      <c r="K874">
        <v>1</v>
      </c>
      <c r="L874" t="s">
        <v>1064</v>
      </c>
      <c r="M874" t="s">
        <v>1065</v>
      </c>
      <c r="N874" s="15" t="s">
        <v>6878</v>
      </c>
    </row>
    <row r="875" spans="1:14" x14ac:dyDescent="0.2">
      <c r="A875" t="s">
        <v>1953</v>
      </c>
      <c r="B875" t="s">
        <v>1062</v>
      </c>
      <c r="C875" s="9">
        <v>45013</v>
      </c>
      <c r="D875" t="s">
        <v>442</v>
      </c>
      <c r="E875" s="13">
        <v>2625000</v>
      </c>
      <c r="F875" s="13">
        <v>16650</v>
      </c>
      <c r="G875" s="9">
        <v>45024</v>
      </c>
      <c r="H875" t="s">
        <v>1111</v>
      </c>
      <c r="I875" t="s">
        <v>916</v>
      </c>
      <c r="J875" s="13">
        <v>87412</v>
      </c>
      <c r="K875">
        <v>1</v>
      </c>
      <c r="L875" t="s">
        <v>1064</v>
      </c>
      <c r="M875" t="s">
        <v>1065</v>
      </c>
      <c r="N875" s="15" t="s">
        <v>6878</v>
      </c>
    </row>
    <row r="876" spans="1:14" x14ac:dyDescent="0.2">
      <c r="A876" t="s">
        <v>1954</v>
      </c>
      <c r="B876" t="s">
        <v>1062</v>
      </c>
      <c r="C876" s="9">
        <v>45013</v>
      </c>
      <c r="D876" t="s">
        <v>442</v>
      </c>
      <c r="E876" s="13">
        <v>2450000</v>
      </c>
      <c r="F876" s="13">
        <v>16650</v>
      </c>
      <c r="G876" s="9">
        <v>45043</v>
      </c>
      <c r="H876" t="s">
        <v>1111</v>
      </c>
      <c r="I876" t="s">
        <v>916</v>
      </c>
      <c r="J876" s="13">
        <v>81585</v>
      </c>
      <c r="K876">
        <v>1</v>
      </c>
      <c r="L876" t="s">
        <v>1064</v>
      </c>
      <c r="M876" t="s">
        <v>1065</v>
      </c>
      <c r="N876" s="15" t="s">
        <v>6878</v>
      </c>
    </row>
    <row r="877" spans="1:14" x14ac:dyDescent="0.2">
      <c r="A877" t="s">
        <v>1955</v>
      </c>
      <c r="B877" t="s">
        <v>1062</v>
      </c>
      <c r="C877" s="9">
        <v>45013</v>
      </c>
      <c r="D877" t="s">
        <v>442</v>
      </c>
      <c r="E877" s="13">
        <v>2450000</v>
      </c>
      <c r="F877" s="13">
        <v>16650</v>
      </c>
      <c r="G877" s="9">
        <v>45043</v>
      </c>
      <c r="H877" t="s">
        <v>1111</v>
      </c>
      <c r="I877" t="s">
        <v>916</v>
      </c>
      <c r="J877" s="13">
        <v>81585</v>
      </c>
      <c r="K877">
        <v>1</v>
      </c>
      <c r="L877" t="s">
        <v>1064</v>
      </c>
      <c r="M877" t="s">
        <v>1065</v>
      </c>
      <c r="N877" s="15" t="s">
        <v>6878</v>
      </c>
    </row>
    <row r="878" spans="1:14" x14ac:dyDescent="0.2">
      <c r="A878" t="s">
        <v>1956</v>
      </c>
      <c r="B878" t="s">
        <v>1062</v>
      </c>
      <c r="C878" s="9">
        <v>45013</v>
      </c>
      <c r="D878" t="s">
        <v>442</v>
      </c>
      <c r="E878" s="13">
        <v>2450000</v>
      </c>
      <c r="F878" s="13">
        <v>16650</v>
      </c>
      <c r="G878" s="9">
        <v>45043</v>
      </c>
      <c r="H878" t="s">
        <v>1111</v>
      </c>
      <c r="I878" t="s">
        <v>916</v>
      </c>
      <c r="J878" s="13">
        <v>81585</v>
      </c>
      <c r="K878">
        <v>1</v>
      </c>
      <c r="L878" t="s">
        <v>1064</v>
      </c>
      <c r="M878" t="s">
        <v>1065</v>
      </c>
      <c r="N878" s="15" t="s">
        <v>6878</v>
      </c>
    </row>
    <row r="879" spans="1:14" x14ac:dyDescent="0.2">
      <c r="A879" t="s">
        <v>1957</v>
      </c>
      <c r="B879" t="s">
        <v>1062</v>
      </c>
      <c r="C879" s="9">
        <v>45013</v>
      </c>
      <c r="D879" t="s">
        <v>442</v>
      </c>
      <c r="E879" s="13">
        <v>1000000</v>
      </c>
      <c r="F879" s="13">
        <v>16650</v>
      </c>
      <c r="G879" s="9">
        <v>45043</v>
      </c>
      <c r="H879" t="s">
        <v>1111</v>
      </c>
      <c r="I879" t="s">
        <v>916</v>
      </c>
      <c r="J879" s="13">
        <v>33300</v>
      </c>
      <c r="K879">
        <v>1</v>
      </c>
      <c r="L879" t="s">
        <v>1064</v>
      </c>
      <c r="M879" t="s">
        <v>1065</v>
      </c>
      <c r="N879" s="15" t="s">
        <v>6878</v>
      </c>
    </row>
    <row r="880" spans="1:14" x14ac:dyDescent="0.2">
      <c r="A880" t="s">
        <v>1958</v>
      </c>
      <c r="B880" t="s">
        <v>1069</v>
      </c>
      <c r="C880" s="9">
        <v>45013</v>
      </c>
      <c r="D880" t="s">
        <v>442</v>
      </c>
      <c r="E880" s="13">
        <v>6350000</v>
      </c>
      <c r="F880" s="13">
        <v>16650</v>
      </c>
      <c r="G880" s="9">
        <v>45043</v>
      </c>
      <c r="H880" t="s">
        <v>1111</v>
      </c>
      <c r="I880" t="s">
        <v>916</v>
      </c>
      <c r="J880" s="13">
        <v>211455</v>
      </c>
      <c r="K880">
        <v>1</v>
      </c>
      <c r="L880" t="s">
        <v>1064</v>
      </c>
      <c r="M880" t="s">
        <v>1065</v>
      </c>
      <c r="N880" s="15" t="s">
        <v>6878</v>
      </c>
    </row>
    <row r="881" spans="1:14" x14ac:dyDescent="0.2">
      <c r="A881" t="s">
        <v>1959</v>
      </c>
      <c r="B881" t="s">
        <v>1069</v>
      </c>
      <c r="C881" s="9">
        <v>45013</v>
      </c>
      <c r="D881" t="s">
        <v>442</v>
      </c>
      <c r="E881" s="13">
        <v>1475000</v>
      </c>
      <c r="F881" s="13">
        <v>16650</v>
      </c>
      <c r="G881" s="9">
        <v>45022</v>
      </c>
      <c r="H881" t="s">
        <v>1111</v>
      </c>
      <c r="I881" t="s">
        <v>916</v>
      </c>
      <c r="J881" s="13">
        <v>49117</v>
      </c>
      <c r="K881">
        <v>1</v>
      </c>
      <c r="L881" t="s">
        <v>1064</v>
      </c>
      <c r="M881" t="s">
        <v>1065</v>
      </c>
      <c r="N881" s="15" t="s">
        <v>6878</v>
      </c>
    </row>
    <row r="882" spans="1:14" x14ac:dyDescent="0.2">
      <c r="A882" t="s">
        <v>1960</v>
      </c>
      <c r="B882" t="s">
        <v>1069</v>
      </c>
      <c r="C882" s="9">
        <v>45013</v>
      </c>
      <c r="D882" t="s">
        <v>968</v>
      </c>
      <c r="E882" s="13">
        <v>16000000</v>
      </c>
      <c r="F882" s="13">
        <v>532800</v>
      </c>
      <c r="G882" s="9">
        <v>45017</v>
      </c>
      <c r="H882" t="s">
        <v>1111</v>
      </c>
      <c r="I882" t="s">
        <v>1137</v>
      </c>
      <c r="J882" s="13"/>
      <c r="K882">
        <v>10</v>
      </c>
      <c r="L882" t="s">
        <v>1064</v>
      </c>
      <c r="M882" t="s">
        <v>1138</v>
      </c>
      <c r="N882" s="15" t="s">
        <v>6878</v>
      </c>
    </row>
    <row r="883" spans="1:14" x14ac:dyDescent="0.2">
      <c r="A883" t="s">
        <v>1961</v>
      </c>
      <c r="B883" t="s">
        <v>1069</v>
      </c>
      <c r="C883" s="9">
        <v>45013</v>
      </c>
      <c r="D883" t="s">
        <v>968</v>
      </c>
      <c r="E883" s="13">
        <v>24000000</v>
      </c>
      <c r="F883" s="13">
        <v>799200</v>
      </c>
      <c r="G883" s="9">
        <v>45017</v>
      </c>
      <c r="H883" t="s">
        <v>1111</v>
      </c>
      <c r="I883" t="s">
        <v>1137</v>
      </c>
      <c r="J883" s="13"/>
      <c r="K883">
        <v>15</v>
      </c>
      <c r="L883" t="s">
        <v>1064</v>
      </c>
      <c r="M883" t="s">
        <v>1138</v>
      </c>
      <c r="N883" s="15" t="s">
        <v>6878</v>
      </c>
    </row>
    <row r="884" spans="1:14" x14ac:dyDescent="0.2">
      <c r="A884" t="s">
        <v>1962</v>
      </c>
      <c r="B884" t="s">
        <v>1069</v>
      </c>
      <c r="C884" s="9">
        <v>45013</v>
      </c>
      <c r="D884" t="s">
        <v>968</v>
      </c>
      <c r="E884" s="13">
        <v>8000000</v>
      </c>
      <c r="F884" s="13">
        <v>266400</v>
      </c>
      <c r="G884" s="9">
        <v>45017</v>
      </c>
      <c r="H884" t="s">
        <v>1111</v>
      </c>
      <c r="I884" t="s">
        <v>1137</v>
      </c>
      <c r="J884" s="13"/>
      <c r="K884">
        <v>5</v>
      </c>
      <c r="L884" t="s">
        <v>1064</v>
      </c>
      <c r="M884" t="s">
        <v>1138</v>
      </c>
      <c r="N884" s="15" t="s">
        <v>6878</v>
      </c>
    </row>
    <row r="885" spans="1:14" x14ac:dyDescent="0.2">
      <c r="A885" t="s">
        <v>1963</v>
      </c>
      <c r="B885" t="s">
        <v>1069</v>
      </c>
      <c r="C885" s="9">
        <v>45013</v>
      </c>
      <c r="D885" t="s">
        <v>968</v>
      </c>
      <c r="E885" s="13">
        <v>8000000</v>
      </c>
      <c r="F885" s="13">
        <v>266400</v>
      </c>
      <c r="G885" s="9">
        <v>45017</v>
      </c>
      <c r="H885" t="s">
        <v>1111</v>
      </c>
      <c r="I885" t="s">
        <v>1137</v>
      </c>
      <c r="J885" s="13"/>
      <c r="K885">
        <v>5</v>
      </c>
      <c r="L885" t="s">
        <v>1064</v>
      </c>
      <c r="M885" t="s">
        <v>1138</v>
      </c>
      <c r="N885" s="15" t="s">
        <v>6878</v>
      </c>
    </row>
    <row r="886" spans="1:14" x14ac:dyDescent="0.2">
      <c r="A886" t="s">
        <v>1964</v>
      </c>
      <c r="B886" t="s">
        <v>1069</v>
      </c>
      <c r="C886" s="9">
        <v>45013</v>
      </c>
      <c r="D886" t="s">
        <v>968</v>
      </c>
      <c r="E886" s="13">
        <v>32000000</v>
      </c>
      <c r="F886" s="13">
        <v>1065600</v>
      </c>
      <c r="G886" s="9">
        <v>45017</v>
      </c>
      <c r="H886" t="s">
        <v>1111</v>
      </c>
      <c r="I886" t="s">
        <v>1137</v>
      </c>
      <c r="J886" s="13"/>
      <c r="K886">
        <v>20</v>
      </c>
      <c r="L886" t="s">
        <v>1064</v>
      </c>
      <c r="M886" t="s">
        <v>1138</v>
      </c>
      <c r="N886" s="15" t="s">
        <v>6878</v>
      </c>
    </row>
    <row r="887" spans="1:14" x14ac:dyDescent="0.2">
      <c r="A887" t="s">
        <v>1965</v>
      </c>
      <c r="B887" t="s">
        <v>1062</v>
      </c>
      <c r="C887" s="9">
        <v>45014</v>
      </c>
      <c r="D887" t="s">
        <v>1022</v>
      </c>
      <c r="E887" s="13">
        <v>2000000</v>
      </c>
      <c r="F887" s="13">
        <v>25000</v>
      </c>
      <c r="H887" t="s">
        <v>1659</v>
      </c>
      <c r="I887" t="s">
        <v>214</v>
      </c>
      <c r="J887" s="13">
        <v>0</v>
      </c>
      <c r="K887">
        <v>1</v>
      </c>
      <c r="L887" t="s">
        <v>1064</v>
      </c>
      <c r="M887" t="s">
        <v>1112</v>
      </c>
      <c r="N887" s="14" t="s">
        <v>6877</v>
      </c>
    </row>
    <row r="888" spans="1:14" x14ac:dyDescent="0.2">
      <c r="A888" t="s">
        <v>1966</v>
      </c>
      <c r="B888" t="s">
        <v>1062</v>
      </c>
      <c r="C888" s="9">
        <v>45014</v>
      </c>
      <c r="D888" t="s">
        <v>1022</v>
      </c>
      <c r="E888" s="13">
        <v>2000000</v>
      </c>
      <c r="F888" s="13">
        <v>25000</v>
      </c>
      <c r="H888" t="s">
        <v>1659</v>
      </c>
      <c r="I888" t="s">
        <v>214</v>
      </c>
      <c r="J888" s="13">
        <v>0</v>
      </c>
      <c r="K888">
        <v>1</v>
      </c>
      <c r="L888" t="s">
        <v>1064</v>
      </c>
      <c r="M888" t="s">
        <v>1112</v>
      </c>
      <c r="N888" s="14" t="s">
        <v>6877</v>
      </c>
    </row>
    <row r="889" spans="1:14" x14ac:dyDescent="0.2">
      <c r="A889" t="s">
        <v>1967</v>
      </c>
      <c r="B889" t="s">
        <v>1062</v>
      </c>
      <c r="C889" s="9">
        <v>45014</v>
      </c>
      <c r="D889" t="s">
        <v>1022</v>
      </c>
      <c r="E889" s="13">
        <v>2000000</v>
      </c>
      <c r="F889" s="13">
        <v>25000</v>
      </c>
      <c r="H889" t="s">
        <v>1659</v>
      </c>
      <c r="I889" t="s">
        <v>214</v>
      </c>
      <c r="J889" s="13">
        <v>0</v>
      </c>
      <c r="K889">
        <v>1</v>
      </c>
      <c r="L889" t="s">
        <v>1064</v>
      </c>
      <c r="M889" t="s">
        <v>1112</v>
      </c>
      <c r="N889" s="14" t="s">
        <v>6877</v>
      </c>
    </row>
    <row r="890" spans="1:14" x14ac:dyDescent="0.2">
      <c r="A890" t="s">
        <v>1968</v>
      </c>
      <c r="B890" t="s">
        <v>1062</v>
      </c>
      <c r="C890" s="9">
        <v>45014</v>
      </c>
      <c r="D890" t="s">
        <v>442</v>
      </c>
      <c r="E890" s="13">
        <v>2575000</v>
      </c>
      <c r="F890" s="13">
        <v>16650</v>
      </c>
      <c r="G890" s="9">
        <v>45024</v>
      </c>
      <c r="H890" t="s">
        <v>1111</v>
      </c>
      <c r="I890" t="s">
        <v>916</v>
      </c>
      <c r="J890" s="13">
        <v>85747</v>
      </c>
      <c r="K890">
        <v>1</v>
      </c>
      <c r="L890" t="s">
        <v>1064</v>
      </c>
      <c r="M890" t="s">
        <v>1065</v>
      </c>
      <c r="N890" s="15" t="s">
        <v>6878</v>
      </c>
    </row>
    <row r="891" spans="1:14" x14ac:dyDescent="0.2">
      <c r="A891" t="s">
        <v>1969</v>
      </c>
      <c r="B891" t="s">
        <v>1062</v>
      </c>
      <c r="C891" s="9">
        <v>45014</v>
      </c>
      <c r="D891" t="s">
        <v>442</v>
      </c>
      <c r="E891" s="13">
        <v>1500000</v>
      </c>
      <c r="F891" s="13">
        <v>16650</v>
      </c>
      <c r="G891" s="9">
        <v>45024</v>
      </c>
      <c r="H891" t="s">
        <v>1111</v>
      </c>
      <c r="I891" t="s">
        <v>916</v>
      </c>
      <c r="J891" s="13">
        <v>49950</v>
      </c>
      <c r="K891">
        <v>1</v>
      </c>
      <c r="L891" t="s">
        <v>1064</v>
      </c>
      <c r="M891" t="s">
        <v>1065</v>
      </c>
      <c r="N891" s="15" t="s">
        <v>6878</v>
      </c>
    </row>
    <row r="892" spans="1:14" x14ac:dyDescent="0.2">
      <c r="A892" t="s">
        <v>1970</v>
      </c>
      <c r="B892" t="s">
        <v>1062</v>
      </c>
      <c r="C892" s="9">
        <v>45014</v>
      </c>
      <c r="D892" t="s">
        <v>442</v>
      </c>
      <c r="E892" s="13">
        <v>2450000</v>
      </c>
      <c r="F892" s="13">
        <v>16650</v>
      </c>
      <c r="G892" s="9">
        <v>45043</v>
      </c>
      <c r="H892" t="s">
        <v>1111</v>
      </c>
      <c r="I892" t="s">
        <v>916</v>
      </c>
      <c r="J892" s="13">
        <v>81585</v>
      </c>
      <c r="K892">
        <v>1</v>
      </c>
      <c r="L892" t="s">
        <v>1064</v>
      </c>
      <c r="M892" t="s">
        <v>1065</v>
      </c>
      <c r="N892" s="15" t="s">
        <v>6878</v>
      </c>
    </row>
    <row r="893" spans="1:14" x14ac:dyDescent="0.2">
      <c r="A893" t="s">
        <v>1971</v>
      </c>
      <c r="B893" t="s">
        <v>1062</v>
      </c>
      <c r="C893" s="9">
        <v>45014</v>
      </c>
      <c r="D893" t="s">
        <v>442</v>
      </c>
      <c r="E893" s="13">
        <v>2575000</v>
      </c>
      <c r="F893" s="13">
        <v>16650</v>
      </c>
      <c r="G893" s="9">
        <v>45024</v>
      </c>
      <c r="H893" t="s">
        <v>1111</v>
      </c>
      <c r="I893" t="s">
        <v>916</v>
      </c>
      <c r="J893" s="13">
        <v>85747</v>
      </c>
      <c r="K893">
        <v>1</v>
      </c>
      <c r="L893" t="s">
        <v>1064</v>
      </c>
      <c r="M893" t="s">
        <v>1065</v>
      </c>
      <c r="N893" s="15" t="s">
        <v>6878</v>
      </c>
    </row>
    <row r="894" spans="1:14" x14ac:dyDescent="0.2">
      <c r="A894" t="s">
        <v>1972</v>
      </c>
      <c r="B894" t="s">
        <v>1062</v>
      </c>
      <c r="C894" s="9">
        <v>45014</v>
      </c>
      <c r="D894" t="s">
        <v>442</v>
      </c>
      <c r="E894" s="13">
        <v>2575000</v>
      </c>
      <c r="F894" s="13">
        <v>16650</v>
      </c>
      <c r="G894" s="9">
        <v>45024</v>
      </c>
      <c r="H894" t="s">
        <v>1111</v>
      </c>
      <c r="I894" t="s">
        <v>916</v>
      </c>
      <c r="J894" s="13">
        <v>85747</v>
      </c>
      <c r="K894">
        <v>1</v>
      </c>
      <c r="L894" t="s">
        <v>1064</v>
      </c>
      <c r="M894" t="s">
        <v>1065</v>
      </c>
      <c r="N894" s="15" t="s">
        <v>6878</v>
      </c>
    </row>
    <row r="895" spans="1:14" x14ac:dyDescent="0.2">
      <c r="A895" t="s">
        <v>1973</v>
      </c>
      <c r="B895" t="s">
        <v>1062</v>
      </c>
      <c r="C895" s="9">
        <v>45014</v>
      </c>
      <c r="D895" t="s">
        <v>442</v>
      </c>
      <c r="E895" s="13">
        <v>2575000</v>
      </c>
      <c r="F895" s="13">
        <v>16650</v>
      </c>
      <c r="G895" s="9">
        <v>45024</v>
      </c>
      <c r="H895" t="s">
        <v>1111</v>
      </c>
      <c r="I895" t="s">
        <v>916</v>
      </c>
      <c r="J895" s="13">
        <v>85747</v>
      </c>
      <c r="K895">
        <v>1</v>
      </c>
      <c r="L895" t="s">
        <v>1064</v>
      </c>
      <c r="M895" t="s">
        <v>1065</v>
      </c>
      <c r="N895" s="15" t="s">
        <v>6878</v>
      </c>
    </row>
    <row r="896" spans="1:14" x14ac:dyDescent="0.2">
      <c r="A896" t="s">
        <v>1974</v>
      </c>
      <c r="B896" t="s">
        <v>1062</v>
      </c>
      <c r="C896" s="9">
        <v>45014</v>
      </c>
      <c r="D896" t="s">
        <v>442</v>
      </c>
      <c r="E896" s="13">
        <v>2625000</v>
      </c>
      <c r="F896" s="13">
        <v>16650</v>
      </c>
      <c r="G896" s="9">
        <v>45024</v>
      </c>
      <c r="H896" t="s">
        <v>1111</v>
      </c>
      <c r="I896" t="s">
        <v>916</v>
      </c>
      <c r="J896" s="13">
        <v>87412</v>
      </c>
      <c r="K896">
        <v>1</v>
      </c>
      <c r="L896" t="s">
        <v>1064</v>
      </c>
      <c r="M896" t="s">
        <v>1065</v>
      </c>
      <c r="N896" s="15" t="s">
        <v>6878</v>
      </c>
    </row>
    <row r="897" spans="1:14" x14ac:dyDescent="0.2">
      <c r="A897" t="s">
        <v>1975</v>
      </c>
      <c r="B897" t="s">
        <v>1062</v>
      </c>
      <c r="C897" s="9">
        <v>45014</v>
      </c>
      <c r="D897" t="s">
        <v>442</v>
      </c>
      <c r="E897" s="13">
        <v>2950000</v>
      </c>
      <c r="F897" s="13">
        <v>16650</v>
      </c>
      <c r="G897" s="9">
        <v>45024</v>
      </c>
      <c r="H897" t="s">
        <v>1111</v>
      </c>
      <c r="I897" t="s">
        <v>916</v>
      </c>
      <c r="J897" s="13">
        <v>98235</v>
      </c>
      <c r="K897">
        <v>1</v>
      </c>
      <c r="L897" t="s">
        <v>1064</v>
      </c>
      <c r="M897" t="s">
        <v>1065</v>
      </c>
      <c r="N897" s="15" t="s">
        <v>6878</v>
      </c>
    </row>
    <row r="898" spans="1:14" x14ac:dyDescent="0.2">
      <c r="A898" t="s">
        <v>1976</v>
      </c>
      <c r="B898" t="s">
        <v>1062</v>
      </c>
      <c r="C898" s="9">
        <v>45014</v>
      </c>
      <c r="D898" t="s">
        <v>442</v>
      </c>
      <c r="E898" s="13">
        <v>5075000</v>
      </c>
      <c r="F898" s="13">
        <v>16650</v>
      </c>
      <c r="G898" s="9">
        <v>45024</v>
      </c>
      <c r="H898" t="s">
        <v>1111</v>
      </c>
      <c r="I898" t="s">
        <v>916</v>
      </c>
      <c r="J898" s="13">
        <v>168997</v>
      </c>
      <c r="K898">
        <v>1</v>
      </c>
      <c r="L898" t="s">
        <v>1064</v>
      </c>
      <c r="M898" t="s">
        <v>1065</v>
      </c>
      <c r="N898" s="15" t="s">
        <v>6878</v>
      </c>
    </row>
    <row r="899" spans="1:14" x14ac:dyDescent="0.2">
      <c r="A899" t="s">
        <v>1977</v>
      </c>
      <c r="B899" t="s">
        <v>1062</v>
      </c>
      <c r="C899" s="9">
        <v>45014</v>
      </c>
      <c r="D899" t="s">
        <v>442</v>
      </c>
      <c r="E899" s="13">
        <v>1075000</v>
      </c>
      <c r="F899" s="13">
        <v>16650</v>
      </c>
      <c r="G899" s="9">
        <v>45024</v>
      </c>
      <c r="H899" t="s">
        <v>1111</v>
      </c>
      <c r="I899" t="s">
        <v>916</v>
      </c>
      <c r="J899" s="13">
        <v>35797</v>
      </c>
      <c r="K899">
        <v>1</v>
      </c>
      <c r="L899" t="s">
        <v>1064</v>
      </c>
      <c r="M899" t="s">
        <v>1065</v>
      </c>
      <c r="N899" s="15" t="s">
        <v>6878</v>
      </c>
    </row>
    <row r="900" spans="1:14" x14ac:dyDescent="0.2">
      <c r="A900" t="s">
        <v>1978</v>
      </c>
      <c r="B900" t="s">
        <v>1062</v>
      </c>
      <c r="C900" s="9">
        <v>45014</v>
      </c>
      <c r="D900" t="s">
        <v>442</v>
      </c>
      <c r="E900" s="13">
        <v>1000000</v>
      </c>
      <c r="F900" s="13">
        <v>16650</v>
      </c>
      <c r="G900" s="9">
        <v>45043</v>
      </c>
      <c r="H900" t="s">
        <v>1111</v>
      </c>
      <c r="I900" t="s">
        <v>916</v>
      </c>
      <c r="J900" s="13">
        <v>33300</v>
      </c>
      <c r="K900">
        <v>1</v>
      </c>
      <c r="L900" t="s">
        <v>1064</v>
      </c>
      <c r="M900" t="s">
        <v>1065</v>
      </c>
      <c r="N900" s="15" t="s">
        <v>6878</v>
      </c>
    </row>
    <row r="901" spans="1:14" x14ac:dyDescent="0.2">
      <c r="A901" t="s">
        <v>1979</v>
      </c>
      <c r="B901" t="s">
        <v>1062</v>
      </c>
      <c r="C901" s="9">
        <v>45014</v>
      </c>
      <c r="D901" t="s">
        <v>442</v>
      </c>
      <c r="E901" s="13">
        <v>2800000</v>
      </c>
      <c r="F901" s="13">
        <v>16650</v>
      </c>
      <c r="G901" s="9">
        <v>45024</v>
      </c>
      <c r="H901" t="s">
        <v>1111</v>
      </c>
      <c r="I901" t="s">
        <v>916</v>
      </c>
      <c r="J901" s="13">
        <v>93240</v>
      </c>
      <c r="K901">
        <v>1</v>
      </c>
      <c r="L901" t="s">
        <v>1064</v>
      </c>
      <c r="M901" t="s">
        <v>1065</v>
      </c>
      <c r="N901" s="15" t="s">
        <v>6878</v>
      </c>
    </row>
    <row r="902" spans="1:14" x14ac:dyDescent="0.2">
      <c r="A902" t="s">
        <v>1980</v>
      </c>
      <c r="B902" t="s">
        <v>1062</v>
      </c>
      <c r="C902" s="9">
        <v>45014</v>
      </c>
      <c r="D902" t="s">
        <v>442</v>
      </c>
      <c r="E902" s="13">
        <v>4650000</v>
      </c>
      <c r="F902" s="13">
        <v>16650</v>
      </c>
      <c r="G902" s="9">
        <v>45043</v>
      </c>
      <c r="H902" t="s">
        <v>1111</v>
      </c>
      <c r="I902" t="s">
        <v>916</v>
      </c>
      <c r="J902" s="13">
        <v>154845</v>
      </c>
      <c r="K902">
        <v>1</v>
      </c>
      <c r="L902" t="s">
        <v>1064</v>
      </c>
      <c r="M902" t="s">
        <v>1065</v>
      </c>
      <c r="N902" s="15" t="s">
        <v>6878</v>
      </c>
    </row>
    <row r="903" spans="1:14" x14ac:dyDescent="0.2">
      <c r="A903" t="s">
        <v>1981</v>
      </c>
      <c r="B903" t="s">
        <v>1062</v>
      </c>
      <c r="C903" s="9">
        <v>45016</v>
      </c>
      <c r="D903" t="s">
        <v>178</v>
      </c>
      <c r="E903" s="13">
        <v>11171997</v>
      </c>
      <c r="F903" s="13">
        <v>199800</v>
      </c>
      <c r="G903" s="9">
        <v>45017</v>
      </c>
      <c r="H903" t="s">
        <v>1111</v>
      </c>
      <c r="I903" t="s">
        <v>904</v>
      </c>
      <c r="J903" s="13"/>
      <c r="K903">
        <v>9</v>
      </c>
      <c r="L903" t="s">
        <v>1064</v>
      </c>
      <c r="M903" t="s">
        <v>1164</v>
      </c>
      <c r="N903" s="15" t="s">
        <v>6878</v>
      </c>
    </row>
    <row r="904" spans="1:14" x14ac:dyDescent="0.2">
      <c r="A904" t="s">
        <v>1982</v>
      </c>
      <c r="B904" t="s">
        <v>1062</v>
      </c>
      <c r="C904" s="9">
        <v>45016</v>
      </c>
      <c r="D904" t="s">
        <v>178</v>
      </c>
      <c r="E904" s="13">
        <v>10094000</v>
      </c>
      <c r="F904" s="13">
        <v>177600</v>
      </c>
      <c r="G904" s="9">
        <v>45017</v>
      </c>
      <c r="H904" t="s">
        <v>1111</v>
      </c>
      <c r="I904" t="s">
        <v>904</v>
      </c>
      <c r="J904" s="13"/>
      <c r="K904">
        <v>8</v>
      </c>
      <c r="L904" t="s">
        <v>1064</v>
      </c>
      <c r="M904" t="s">
        <v>1164</v>
      </c>
      <c r="N904" s="15" t="s">
        <v>6878</v>
      </c>
    </row>
    <row r="905" spans="1:14" x14ac:dyDescent="0.2">
      <c r="A905" t="s">
        <v>1983</v>
      </c>
      <c r="B905" t="s">
        <v>1062</v>
      </c>
      <c r="C905" s="9">
        <v>45016</v>
      </c>
      <c r="D905" t="s">
        <v>442</v>
      </c>
      <c r="E905" s="13">
        <v>2575000</v>
      </c>
      <c r="F905" s="13">
        <v>16650</v>
      </c>
      <c r="G905" s="9">
        <v>45024</v>
      </c>
      <c r="H905" t="s">
        <v>1111</v>
      </c>
      <c r="I905" t="s">
        <v>916</v>
      </c>
      <c r="J905" s="13">
        <v>85747</v>
      </c>
      <c r="K905">
        <v>1</v>
      </c>
      <c r="L905" t="s">
        <v>1064</v>
      </c>
      <c r="M905" t="s">
        <v>1065</v>
      </c>
      <c r="N905" s="15" t="s">
        <v>6878</v>
      </c>
    </row>
    <row r="906" spans="1:14" x14ac:dyDescent="0.2">
      <c r="A906" t="s">
        <v>1984</v>
      </c>
      <c r="B906" t="s">
        <v>1062</v>
      </c>
      <c r="C906" s="9">
        <v>45016</v>
      </c>
      <c r="D906" t="s">
        <v>442</v>
      </c>
      <c r="E906" s="13">
        <v>2575000</v>
      </c>
      <c r="F906" s="13">
        <v>16650</v>
      </c>
      <c r="G906" s="9">
        <v>45024</v>
      </c>
      <c r="H906" t="s">
        <v>1111</v>
      </c>
      <c r="I906" t="s">
        <v>916</v>
      </c>
      <c r="J906" s="13">
        <v>85747</v>
      </c>
      <c r="K906">
        <v>1</v>
      </c>
      <c r="L906" t="s">
        <v>1064</v>
      </c>
      <c r="M906" t="s">
        <v>1065</v>
      </c>
      <c r="N906" s="15" t="s">
        <v>6878</v>
      </c>
    </row>
    <row r="907" spans="1:14" x14ac:dyDescent="0.2">
      <c r="A907" t="s">
        <v>1985</v>
      </c>
      <c r="B907" t="s">
        <v>1062</v>
      </c>
      <c r="C907" s="9">
        <v>45016</v>
      </c>
      <c r="D907" t="s">
        <v>442</v>
      </c>
      <c r="E907" s="13">
        <v>2625000</v>
      </c>
      <c r="F907" s="13">
        <v>16650</v>
      </c>
      <c r="G907" s="9">
        <v>45043</v>
      </c>
      <c r="H907" t="s">
        <v>1111</v>
      </c>
      <c r="I907" t="s">
        <v>916</v>
      </c>
      <c r="J907" s="13">
        <v>87412</v>
      </c>
      <c r="K907">
        <v>1</v>
      </c>
      <c r="L907" t="s">
        <v>1064</v>
      </c>
      <c r="M907" t="s">
        <v>1065</v>
      </c>
      <c r="N907" s="15" t="s">
        <v>6878</v>
      </c>
    </row>
    <row r="908" spans="1:14" x14ac:dyDescent="0.2">
      <c r="A908" t="s">
        <v>1986</v>
      </c>
      <c r="B908" t="s">
        <v>1062</v>
      </c>
      <c r="C908" s="9">
        <v>45016</v>
      </c>
      <c r="D908" t="s">
        <v>442</v>
      </c>
      <c r="E908" s="13">
        <v>2950000</v>
      </c>
      <c r="F908" s="13">
        <v>16650</v>
      </c>
      <c r="G908" s="9">
        <v>45043</v>
      </c>
      <c r="H908" t="s">
        <v>1111</v>
      </c>
      <c r="I908" t="s">
        <v>916</v>
      </c>
      <c r="J908" s="13">
        <v>98235</v>
      </c>
      <c r="K908">
        <v>1</v>
      </c>
      <c r="L908" t="s">
        <v>1064</v>
      </c>
      <c r="M908" t="s">
        <v>1065</v>
      </c>
      <c r="N908" s="15" t="s">
        <v>6878</v>
      </c>
    </row>
    <row r="909" spans="1:14" x14ac:dyDescent="0.2">
      <c r="A909" t="s">
        <v>1987</v>
      </c>
      <c r="B909" t="s">
        <v>1062</v>
      </c>
      <c r="C909" s="9">
        <v>45016</v>
      </c>
      <c r="D909" t="s">
        <v>442</v>
      </c>
      <c r="E909" s="13">
        <v>1000000</v>
      </c>
      <c r="F909" s="13">
        <v>16650</v>
      </c>
      <c r="G909" s="9">
        <v>45049</v>
      </c>
      <c r="H909" t="s">
        <v>1111</v>
      </c>
      <c r="I909" t="s">
        <v>916</v>
      </c>
      <c r="J909" s="13">
        <v>33300</v>
      </c>
      <c r="K909">
        <v>1</v>
      </c>
      <c r="L909" t="s">
        <v>1064</v>
      </c>
      <c r="M909" t="s">
        <v>1065</v>
      </c>
      <c r="N909" s="15" t="s">
        <v>6878</v>
      </c>
    </row>
    <row r="910" spans="1:14" x14ac:dyDescent="0.2">
      <c r="A910" t="s">
        <v>1988</v>
      </c>
      <c r="B910" t="s">
        <v>1062</v>
      </c>
      <c r="C910" s="9">
        <v>45016</v>
      </c>
      <c r="D910" t="s">
        <v>442</v>
      </c>
      <c r="E910" s="13">
        <v>2325000</v>
      </c>
      <c r="F910" s="13">
        <v>16650</v>
      </c>
      <c r="G910" s="9">
        <v>45049</v>
      </c>
      <c r="H910" t="s">
        <v>1111</v>
      </c>
      <c r="I910" t="s">
        <v>916</v>
      </c>
      <c r="J910" s="13">
        <v>77422</v>
      </c>
      <c r="K910">
        <v>1</v>
      </c>
      <c r="L910" t="s">
        <v>1064</v>
      </c>
      <c r="M910" t="s">
        <v>1065</v>
      </c>
      <c r="N910" s="15" t="s">
        <v>6878</v>
      </c>
    </row>
    <row r="911" spans="1:14" x14ac:dyDescent="0.2">
      <c r="A911" t="s">
        <v>1989</v>
      </c>
      <c r="B911" t="s">
        <v>1062</v>
      </c>
      <c r="C911" s="9">
        <v>45016</v>
      </c>
      <c r="D911" t="s">
        <v>1022</v>
      </c>
      <c r="E911" s="13">
        <v>2000000</v>
      </c>
      <c r="F911" s="13">
        <v>25000</v>
      </c>
      <c r="H911" t="s">
        <v>1659</v>
      </c>
      <c r="I911" t="s">
        <v>214</v>
      </c>
      <c r="J911" s="13">
        <v>0</v>
      </c>
      <c r="K911">
        <v>1</v>
      </c>
      <c r="L911" t="s">
        <v>1064</v>
      </c>
      <c r="M911" t="s">
        <v>1112</v>
      </c>
      <c r="N911" s="14" t="s">
        <v>6877</v>
      </c>
    </row>
    <row r="912" spans="1:14" x14ac:dyDescent="0.2">
      <c r="A912" t="s">
        <v>1990</v>
      </c>
      <c r="B912" t="s">
        <v>1062</v>
      </c>
      <c r="C912" s="9">
        <v>45016</v>
      </c>
      <c r="D912" t="s">
        <v>1022</v>
      </c>
      <c r="E912" s="13">
        <v>2000000</v>
      </c>
      <c r="F912" s="13">
        <v>25000</v>
      </c>
      <c r="H912" t="s">
        <v>1659</v>
      </c>
      <c r="I912" t="s">
        <v>214</v>
      </c>
      <c r="J912" s="13">
        <v>0</v>
      </c>
      <c r="K912">
        <v>1</v>
      </c>
      <c r="L912" t="s">
        <v>1064</v>
      </c>
      <c r="M912" t="s">
        <v>1112</v>
      </c>
      <c r="N912" s="14" t="s">
        <v>6877</v>
      </c>
    </row>
    <row r="913" spans="1:14" x14ac:dyDescent="0.2">
      <c r="A913" t="s">
        <v>1991</v>
      </c>
      <c r="B913" t="s">
        <v>1062</v>
      </c>
      <c r="C913" s="9">
        <v>45016</v>
      </c>
      <c r="D913" t="s">
        <v>1022</v>
      </c>
      <c r="E913" s="13">
        <v>2000000</v>
      </c>
      <c r="F913" s="13">
        <v>25000</v>
      </c>
      <c r="H913" t="s">
        <v>1659</v>
      </c>
      <c r="I913" t="s">
        <v>214</v>
      </c>
      <c r="J913" s="13">
        <v>0</v>
      </c>
      <c r="K913">
        <v>1</v>
      </c>
      <c r="L913" t="s">
        <v>1064</v>
      </c>
      <c r="M913" t="s">
        <v>1112</v>
      </c>
      <c r="N913" s="14" t="s">
        <v>6877</v>
      </c>
    </row>
    <row r="914" spans="1:14" x14ac:dyDescent="0.2">
      <c r="A914" t="s">
        <v>1992</v>
      </c>
      <c r="B914" t="s">
        <v>1062</v>
      </c>
      <c r="C914" s="9">
        <v>45016</v>
      </c>
      <c r="D914" t="s">
        <v>1022</v>
      </c>
      <c r="E914" s="13">
        <v>2000000</v>
      </c>
      <c r="F914" s="13">
        <v>25000</v>
      </c>
      <c r="H914" t="s">
        <v>1659</v>
      </c>
      <c r="I914" t="s">
        <v>214</v>
      </c>
      <c r="J914" s="13">
        <v>0</v>
      </c>
      <c r="K914">
        <v>1</v>
      </c>
      <c r="L914" t="s">
        <v>1064</v>
      </c>
      <c r="M914" t="s">
        <v>1112</v>
      </c>
      <c r="N914" s="14" t="s">
        <v>6877</v>
      </c>
    </row>
    <row r="915" spans="1:14" x14ac:dyDescent="0.2">
      <c r="A915" t="s">
        <v>1993</v>
      </c>
      <c r="B915" t="s">
        <v>1062</v>
      </c>
      <c r="C915" s="9">
        <v>45016</v>
      </c>
      <c r="D915" t="s">
        <v>1022</v>
      </c>
      <c r="E915" s="13">
        <v>2000000</v>
      </c>
      <c r="F915" s="13">
        <v>25000</v>
      </c>
      <c r="H915" t="s">
        <v>1659</v>
      </c>
      <c r="I915" t="s">
        <v>214</v>
      </c>
      <c r="J915" s="13">
        <v>0</v>
      </c>
      <c r="K915">
        <v>1</v>
      </c>
      <c r="L915" t="s">
        <v>1064</v>
      </c>
      <c r="M915" t="s">
        <v>1112</v>
      </c>
      <c r="N915" s="14" t="s">
        <v>6877</v>
      </c>
    </row>
    <row r="916" spans="1:14" x14ac:dyDescent="0.2">
      <c r="A916" t="s">
        <v>1994</v>
      </c>
      <c r="B916" t="s">
        <v>1062</v>
      </c>
      <c r="C916" s="9">
        <v>45017</v>
      </c>
      <c r="D916" t="s">
        <v>958</v>
      </c>
      <c r="E916" s="13">
        <v>6600000</v>
      </c>
      <c r="F916" s="13">
        <v>99900</v>
      </c>
      <c r="G916" s="9">
        <v>45022</v>
      </c>
      <c r="H916" t="s">
        <v>1063</v>
      </c>
      <c r="I916" t="s">
        <v>1074</v>
      </c>
      <c r="J916" s="13">
        <v>146520</v>
      </c>
      <c r="K916">
        <v>5</v>
      </c>
      <c r="L916" t="s">
        <v>1064</v>
      </c>
      <c r="M916" t="s">
        <v>1075</v>
      </c>
      <c r="N916" s="15" t="s">
        <v>6878</v>
      </c>
    </row>
    <row r="917" spans="1:14" x14ac:dyDescent="0.2">
      <c r="A917" t="s">
        <v>1995</v>
      </c>
      <c r="B917" t="s">
        <v>1069</v>
      </c>
      <c r="C917" s="9">
        <v>45017</v>
      </c>
      <c r="D917" t="s">
        <v>949</v>
      </c>
      <c r="E917" s="13">
        <v>88500000</v>
      </c>
      <c r="F917" s="13">
        <v>133200</v>
      </c>
      <c r="G917" s="9">
        <v>45018</v>
      </c>
      <c r="H917" t="s">
        <v>1111</v>
      </c>
      <c r="I917" t="s">
        <v>1746</v>
      </c>
      <c r="J917" s="13">
        <v>2455875</v>
      </c>
      <c r="K917">
        <v>6</v>
      </c>
      <c r="L917" t="s">
        <v>1064</v>
      </c>
      <c r="M917" t="s">
        <v>1747</v>
      </c>
      <c r="N917" s="15" t="s">
        <v>6878</v>
      </c>
    </row>
    <row r="918" spans="1:14" x14ac:dyDescent="0.2">
      <c r="A918" t="s">
        <v>1996</v>
      </c>
      <c r="B918" t="s">
        <v>1069</v>
      </c>
      <c r="C918" s="9">
        <v>45018</v>
      </c>
      <c r="D918" t="s">
        <v>949</v>
      </c>
      <c r="E918" s="13">
        <v>59000000</v>
      </c>
      <c r="F918" s="13">
        <v>88800</v>
      </c>
      <c r="G918" s="9">
        <v>45021</v>
      </c>
      <c r="H918" t="s">
        <v>1111</v>
      </c>
      <c r="I918" t="s">
        <v>1746</v>
      </c>
      <c r="J918" s="13">
        <v>1637250</v>
      </c>
      <c r="K918">
        <v>4</v>
      </c>
      <c r="L918" t="s">
        <v>1064</v>
      </c>
      <c r="M918" t="s">
        <v>1747</v>
      </c>
      <c r="N918" s="15" t="s">
        <v>6878</v>
      </c>
    </row>
    <row r="919" spans="1:14" x14ac:dyDescent="0.2">
      <c r="A919" t="s">
        <v>1997</v>
      </c>
      <c r="B919" t="s">
        <v>1069</v>
      </c>
      <c r="C919" s="9">
        <v>45018</v>
      </c>
      <c r="D919" t="s">
        <v>949</v>
      </c>
      <c r="E919" s="13">
        <v>14750000</v>
      </c>
      <c r="F919" s="13">
        <v>22200</v>
      </c>
      <c r="G919" s="9">
        <v>45018</v>
      </c>
      <c r="H919" t="s">
        <v>1111</v>
      </c>
      <c r="I919" t="s">
        <v>1746</v>
      </c>
      <c r="J919" s="13">
        <v>409312</v>
      </c>
      <c r="K919">
        <v>1</v>
      </c>
      <c r="L919" t="s">
        <v>1064</v>
      </c>
      <c r="M919" t="s">
        <v>1747</v>
      </c>
      <c r="N919" s="15" t="s">
        <v>6878</v>
      </c>
    </row>
    <row r="920" spans="1:14" x14ac:dyDescent="0.2">
      <c r="A920" t="s">
        <v>1998</v>
      </c>
      <c r="B920" t="s">
        <v>1069</v>
      </c>
      <c r="C920" s="9">
        <v>45018</v>
      </c>
      <c r="D920" t="s">
        <v>949</v>
      </c>
      <c r="E920" s="13">
        <v>14750000</v>
      </c>
      <c r="F920" s="13">
        <v>22200</v>
      </c>
      <c r="G920" s="9">
        <v>45021</v>
      </c>
      <c r="H920" t="s">
        <v>1111</v>
      </c>
      <c r="I920" t="s">
        <v>1746</v>
      </c>
      <c r="J920" s="13">
        <v>409312</v>
      </c>
      <c r="K920">
        <v>1</v>
      </c>
      <c r="L920" t="s">
        <v>1064</v>
      </c>
      <c r="M920" t="s">
        <v>1747</v>
      </c>
      <c r="N920" s="15" t="s">
        <v>6878</v>
      </c>
    </row>
    <row r="921" spans="1:14" x14ac:dyDescent="0.2">
      <c r="A921" t="s">
        <v>1999</v>
      </c>
      <c r="B921" t="s">
        <v>1069</v>
      </c>
      <c r="C921" s="9">
        <v>45018</v>
      </c>
      <c r="D921" t="s">
        <v>949</v>
      </c>
      <c r="E921" s="13">
        <v>14750000</v>
      </c>
      <c r="F921" s="13">
        <v>22200</v>
      </c>
      <c r="G921" s="9">
        <v>45018</v>
      </c>
      <c r="H921" t="s">
        <v>1111</v>
      </c>
      <c r="I921" t="s">
        <v>1746</v>
      </c>
      <c r="J921" s="13">
        <v>409312</v>
      </c>
      <c r="K921">
        <v>1</v>
      </c>
      <c r="L921" t="s">
        <v>1064</v>
      </c>
      <c r="M921" t="s">
        <v>1747</v>
      </c>
      <c r="N921" s="15" t="s">
        <v>6878</v>
      </c>
    </row>
    <row r="922" spans="1:14" x14ac:dyDescent="0.2">
      <c r="A922" t="s">
        <v>2000</v>
      </c>
      <c r="B922" t="s">
        <v>1069</v>
      </c>
      <c r="C922" s="9">
        <v>45018</v>
      </c>
      <c r="D922" t="s">
        <v>949</v>
      </c>
      <c r="E922" s="13">
        <v>14750000</v>
      </c>
      <c r="F922" s="13">
        <v>22200</v>
      </c>
      <c r="G922" s="9">
        <v>45018</v>
      </c>
      <c r="H922" t="s">
        <v>1111</v>
      </c>
      <c r="I922" t="s">
        <v>1746</v>
      </c>
      <c r="J922" s="13">
        <v>409312</v>
      </c>
      <c r="K922">
        <v>1</v>
      </c>
      <c r="L922" t="s">
        <v>1064</v>
      </c>
      <c r="M922" t="s">
        <v>1747</v>
      </c>
      <c r="N922" s="15" t="s">
        <v>6878</v>
      </c>
    </row>
    <row r="923" spans="1:14" x14ac:dyDescent="0.2">
      <c r="A923" t="s">
        <v>2001</v>
      </c>
      <c r="B923" t="s">
        <v>1062</v>
      </c>
      <c r="C923" s="9">
        <v>45018</v>
      </c>
      <c r="D923" t="s">
        <v>442</v>
      </c>
      <c r="E923" s="13">
        <v>1440000</v>
      </c>
      <c r="F923" s="13">
        <v>16650</v>
      </c>
      <c r="G923" s="9">
        <v>45049</v>
      </c>
      <c r="H923" t="s">
        <v>1111</v>
      </c>
      <c r="I923" t="s">
        <v>916</v>
      </c>
      <c r="J923" s="13">
        <v>47952</v>
      </c>
      <c r="K923">
        <v>1</v>
      </c>
      <c r="L923" t="s">
        <v>1064</v>
      </c>
      <c r="M923" t="s">
        <v>1065</v>
      </c>
      <c r="N923" s="15" t="s">
        <v>6878</v>
      </c>
    </row>
    <row r="924" spans="1:14" x14ac:dyDescent="0.2">
      <c r="A924" t="s">
        <v>2002</v>
      </c>
      <c r="B924" t="s">
        <v>1062</v>
      </c>
      <c r="C924" s="9">
        <v>45018</v>
      </c>
      <c r="D924" t="s">
        <v>442</v>
      </c>
      <c r="E924" s="13">
        <v>2575000</v>
      </c>
      <c r="F924" s="13">
        <v>16650</v>
      </c>
      <c r="G924" s="9">
        <v>45049</v>
      </c>
      <c r="H924" t="s">
        <v>1111</v>
      </c>
      <c r="I924" t="s">
        <v>916</v>
      </c>
      <c r="J924" s="13">
        <v>85747</v>
      </c>
      <c r="K924">
        <v>1</v>
      </c>
      <c r="L924" t="s">
        <v>1064</v>
      </c>
      <c r="M924" t="s">
        <v>1065</v>
      </c>
      <c r="N924" s="15" t="s">
        <v>6878</v>
      </c>
    </row>
    <row r="925" spans="1:14" x14ac:dyDescent="0.2">
      <c r="A925" t="s">
        <v>2003</v>
      </c>
      <c r="B925" t="s">
        <v>1062</v>
      </c>
      <c r="C925" s="9">
        <v>45018</v>
      </c>
      <c r="D925" t="s">
        <v>442</v>
      </c>
      <c r="E925" s="13">
        <v>2625000</v>
      </c>
      <c r="F925" s="13">
        <v>16650</v>
      </c>
      <c r="G925" s="9">
        <v>45049</v>
      </c>
      <c r="H925" t="s">
        <v>1111</v>
      </c>
      <c r="I925" t="s">
        <v>916</v>
      </c>
      <c r="J925" s="13">
        <v>87412</v>
      </c>
      <c r="K925">
        <v>1</v>
      </c>
      <c r="L925" t="s">
        <v>1064</v>
      </c>
      <c r="M925" t="s">
        <v>1065</v>
      </c>
      <c r="N925" s="15" t="s">
        <v>6878</v>
      </c>
    </row>
    <row r="926" spans="1:14" x14ac:dyDescent="0.2">
      <c r="A926" t="s">
        <v>2004</v>
      </c>
      <c r="B926" t="s">
        <v>1062</v>
      </c>
      <c r="C926" s="9">
        <v>45018</v>
      </c>
      <c r="D926" t="s">
        <v>442</v>
      </c>
      <c r="E926" s="13">
        <v>1125000</v>
      </c>
      <c r="F926" s="13">
        <v>16650</v>
      </c>
      <c r="G926" s="9">
        <v>45049</v>
      </c>
      <c r="H926" t="s">
        <v>1111</v>
      </c>
      <c r="I926" t="s">
        <v>916</v>
      </c>
      <c r="J926" s="13">
        <v>37462</v>
      </c>
      <c r="K926">
        <v>1</v>
      </c>
      <c r="L926" t="s">
        <v>1064</v>
      </c>
      <c r="M926" t="s">
        <v>1065</v>
      </c>
      <c r="N926" s="15" t="s">
        <v>6878</v>
      </c>
    </row>
    <row r="927" spans="1:14" x14ac:dyDescent="0.2">
      <c r="A927" t="s">
        <v>2005</v>
      </c>
      <c r="B927" t="s">
        <v>1062</v>
      </c>
      <c r="C927" s="9">
        <v>45018</v>
      </c>
      <c r="D927" t="s">
        <v>442</v>
      </c>
      <c r="E927" s="13">
        <v>2575000</v>
      </c>
      <c r="F927" s="13">
        <v>16650</v>
      </c>
      <c r="G927" s="9">
        <v>45049</v>
      </c>
      <c r="H927" t="s">
        <v>1111</v>
      </c>
      <c r="I927" t="s">
        <v>916</v>
      </c>
      <c r="J927" s="13">
        <v>85747</v>
      </c>
      <c r="K927">
        <v>1</v>
      </c>
      <c r="L927" t="s">
        <v>1064</v>
      </c>
      <c r="M927" t="s">
        <v>1065</v>
      </c>
      <c r="N927" s="15" t="s">
        <v>6878</v>
      </c>
    </row>
    <row r="928" spans="1:14" x14ac:dyDescent="0.2">
      <c r="A928" t="s">
        <v>2006</v>
      </c>
      <c r="B928" t="s">
        <v>1062</v>
      </c>
      <c r="C928" s="9">
        <v>45018</v>
      </c>
      <c r="D928" t="s">
        <v>442</v>
      </c>
      <c r="E928" s="13">
        <v>2450000</v>
      </c>
      <c r="F928" s="13">
        <v>16650</v>
      </c>
      <c r="G928" s="9">
        <v>45049</v>
      </c>
      <c r="H928" t="s">
        <v>1111</v>
      </c>
      <c r="I928" t="s">
        <v>916</v>
      </c>
      <c r="J928" s="13">
        <v>81585</v>
      </c>
      <c r="K928">
        <v>1</v>
      </c>
      <c r="L928" t="s">
        <v>1064</v>
      </c>
      <c r="M928" t="s">
        <v>1065</v>
      </c>
      <c r="N928" s="15" t="s">
        <v>6878</v>
      </c>
    </row>
    <row r="929" spans="1:14" x14ac:dyDescent="0.2">
      <c r="A929" t="s">
        <v>2007</v>
      </c>
      <c r="B929" t="s">
        <v>1069</v>
      </c>
      <c r="C929" s="9">
        <v>45019</v>
      </c>
      <c r="D929" t="s">
        <v>1037</v>
      </c>
      <c r="E929" s="13">
        <v>3450000</v>
      </c>
      <c r="F929" s="13">
        <v>55500</v>
      </c>
      <c r="G929" s="9">
        <v>45020</v>
      </c>
      <c r="H929" t="s">
        <v>1063</v>
      </c>
      <c r="I929" t="s">
        <v>214</v>
      </c>
      <c r="J929" s="13">
        <v>76590</v>
      </c>
      <c r="K929">
        <v>2</v>
      </c>
      <c r="L929" t="s">
        <v>1064</v>
      </c>
      <c r="M929" t="s">
        <v>1107</v>
      </c>
      <c r="N929" s="15" t="s">
        <v>6878</v>
      </c>
    </row>
    <row r="930" spans="1:14" x14ac:dyDescent="0.2">
      <c r="A930" t="s">
        <v>2008</v>
      </c>
      <c r="B930" t="s">
        <v>1069</v>
      </c>
      <c r="C930" s="9">
        <v>45019</v>
      </c>
      <c r="D930" t="s">
        <v>1037</v>
      </c>
      <c r="E930" s="13">
        <v>25200000</v>
      </c>
      <c r="F930" s="13">
        <v>388500</v>
      </c>
      <c r="G930" s="9">
        <v>45020</v>
      </c>
      <c r="H930" t="s">
        <v>1063</v>
      </c>
      <c r="I930" t="s">
        <v>214</v>
      </c>
      <c r="J930" s="13">
        <v>559440</v>
      </c>
      <c r="K930">
        <v>14</v>
      </c>
      <c r="L930" t="s">
        <v>1064</v>
      </c>
      <c r="M930" t="s">
        <v>1107</v>
      </c>
      <c r="N930" s="15" t="s">
        <v>6878</v>
      </c>
    </row>
    <row r="931" spans="1:14" x14ac:dyDescent="0.2">
      <c r="A931" t="s">
        <v>2009</v>
      </c>
      <c r="B931" t="s">
        <v>1062</v>
      </c>
      <c r="C931" s="9">
        <v>45019</v>
      </c>
      <c r="D931" t="s">
        <v>442</v>
      </c>
      <c r="E931" s="13">
        <v>2625000</v>
      </c>
      <c r="F931" s="13">
        <v>16650</v>
      </c>
      <c r="G931" s="9">
        <v>45049</v>
      </c>
      <c r="H931" t="s">
        <v>1111</v>
      </c>
      <c r="I931" t="s">
        <v>916</v>
      </c>
      <c r="J931" s="13">
        <v>87412</v>
      </c>
      <c r="K931">
        <v>1</v>
      </c>
      <c r="L931" t="s">
        <v>1064</v>
      </c>
      <c r="M931" t="s">
        <v>1065</v>
      </c>
      <c r="N931" s="15" t="s">
        <v>6878</v>
      </c>
    </row>
    <row r="932" spans="1:14" x14ac:dyDescent="0.2">
      <c r="A932" t="s">
        <v>2010</v>
      </c>
      <c r="B932" t="s">
        <v>1062</v>
      </c>
      <c r="C932" s="9">
        <v>45019</v>
      </c>
      <c r="D932" t="s">
        <v>442</v>
      </c>
      <c r="E932" s="13">
        <v>2625000</v>
      </c>
      <c r="F932" s="13">
        <v>16650</v>
      </c>
      <c r="G932" s="9">
        <v>45049</v>
      </c>
      <c r="H932" t="s">
        <v>1111</v>
      </c>
      <c r="I932" t="s">
        <v>916</v>
      </c>
      <c r="J932" s="13">
        <v>87412</v>
      </c>
      <c r="K932">
        <v>1</v>
      </c>
      <c r="L932" t="s">
        <v>1064</v>
      </c>
      <c r="M932" t="s">
        <v>1065</v>
      </c>
      <c r="N932" s="15" t="s">
        <v>6878</v>
      </c>
    </row>
    <row r="933" spans="1:14" x14ac:dyDescent="0.2">
      <c r="A933" t="s">
        <v>2011</v>
      </c>
      <c r="B933" t="s">
        <v>1062</v>
      </c>
      <c r="C933" s="9">
        <v>45019</v>
      </c>
      <c r="D933" t="s">
        <v>442</v>
      </c>
      <c r="E933" s="13">
        <v>2250000</v>
      </c>
      <c r="F933" s="13">
        <v>16650</v>
      </c>
      <c r="G933" s="9">
        <v>45049</v>
      </c>
      <c r="H933" t="s">
        <v>1111</v>
      </c>
      <c r="I933" t="s">
        <v>916</v>
      </c>
      <c r="J933" s="13">
        <v>74925</v>
      </c>
      <c r="K933">
        <v>1</v>
      </c>
      <c r="L933" t="s">
        <v>1064</v>
      </c>
      <c r="M933" t="s">
        <v>1065</v>
      </c>
      <c r="N933" s="15" t="s">
        <v>6878</v>
      </c>
    </row>
    <row r="934" spans="1:14" x14ac:dyDescent="0.2">
      <c r="A934" t="s">
        <v>2012</v>
      </c>
      <c r="B934" t="s">
        <v>1062</v>
      </c>
      <c r="C934" s="9">
        <v>45019</v>
      </c>
      <c r="D934" t="s">
        <v>442</v>
      </c>
      <c r="E934" s="13">
        <v>3100000</v>
      </c>
      <c r="F934" s="13">
        <v>16650</v>
      </c>
      <c r="G934" s="9">
        <v>45052</v>
      </c>
      <c r="H934" t="s">
        <v>1111</v>
      </c>
      <c r="I934" t="s">
        <v>916</v>
      </c>
      <c r="J934" s="13">
        <v>103230</v>
      </c>
      <c r="K934">
        <v>1</v>
      </c>
      <c r="L934" t="s">
        <v>1064</v>
      </c>
      <c r="M934" t="s">
        <v>1065</v>
      </c>
      <c r="N934" s="15" t="s">
        <v>6878</v>
      </c>
    </row>
    <row r="935" spans="1:14" x14ac:dyDescent="0.2">
      <c r="A935" t="s">
        <v>2013</v>
      </c>
      <c r="B935" t="s">
        <v>1062</v>
      </c>
      <c r="C935" s="9">
        <v>45019</v>
      </c>
      <c r="D935" t="s">
        <v>442</v>
      </c>
      <c r="E935" s="13">
        <v>1125000</v>
      </c>
      <c r="F935" s="13">
        <v>16650</v>
      </c>
      <c r="G935" s="9">
        <v>45052</v>
      </c>
      <c r="H935" t="s">
        <v>1111</v>
      </c>
      <c r="I935" t="s">
        <v>916</v>
      </c>
      <c r="J935" s="13">
        <v>37462</v>
      </c>
      <c r="K935">
        <v>1</v>
      </c>
      <c r="L935" t="s">
        <v>1064</v>
      </c>
      <c r="M935" t="s">
        <v>1065</v>
      </c>
      <c r="N935" s="15" t="s">
        <v>6878</v>
      </c>
    </row>
    <row r="936" spans="1:14" x14ac:dyDescent="0.2">
      <c r="A936" t="s">
        <v>2014</v>
      </c>
      <c r="B936" t="s">
        <v>1062</v>
      </c>
      <c r="C936" s="9">
        <v>45019</v>
      </c>
      <c r="D936" t="s">
        <v>442</v>
      </c>
      <c r="E936" s="13">
        <v>1000000</v>
      </c>
      <c r="F936" s="13">
        <v>16650</v>
      </c>
      <c r="G936" s="9">
        <v>45052</v>
      </c>
      <c r="H936" t="s">
        <v>1111</v>
      </c>
      <c r="I936" t="s">
        <v>916</v>
      </c>
      <c r="J936" s="13">
        <v>33300</v>
      </c>
      <c r="K936">
        <v>1</v>
      </c>
      <c r="L936" t="s">
        <v>1064</v>
      </c>
      <c r="M936" t="s">
        <v>1065</v>
      </c>
      <c r="N936" s="15" t="s">
        <v>6878</v>
      </c>
    </row>
    <row r="937" spans="1:14" x14ac:dyDescent="0.2">
      <c r="A937" t="s">
        <v>2015</v>
      </c>
      <c r="B937" t="s">
        <v>1062</v>
      </c>
      <c r="C937" s="9">
        <v>45020</v>
      </c>
      <c r="D937" t="s">
        <v>442</v>
      </c>
      <c r="E937" s="13">
        <v>2450000</v>
      </c>
      <c r="F937" s="13">
        <v>16650</v>
      </c>
      <c r="G937" s="9">
        <v>45052</v>
      </c>
      <c r="H937" t="s">
        <v>1111</v>
      </c>
      <c r="I937" t="s">
        <v>916</v>
      </c>
      <c r="J937" s="13">
        <v>81585</v>
      </c>
      <c r="K937">
        <v>1</v>
      </c>
      <c r="L937" t="s">
        <v>1064</v>
      </c>
      <c r="M937" t="s">
        <v>1065</v>
      </c>
      <c r="N937" s="15" t="s">
        <v>6878</v>
      </c>
    </row>
    <row r="938" spans="1:14" x14ac:dyDescent="0.2">
      <c r="A938" t="s">
        <v>2016</v>
      </c>
      <c r="B938" t="s">
        <v>1062</v>
      </c>
      <c r="C938" s="9">
        <v>45020</v>
      </c>
      <c r="D938" t="s">
        <v>442</v>
      </c>
      <c r="E938" s="13">
        <v>2575000</v>
      </c>
      <c r="F938" s="13">
        <v>16650</v>
      </c>
      <c r="G938" s="9">
        <v>45052</v>
      </c>
      <c r="H938" t="s">
        <v>1111</v>
      </c>
      <c r="I938" t="s">
        <v>916</v>
      </c>
      <c r="J938" s="13">
        <v>85747</v>
      </c>
      <c r="K938">
        <v>1</v>
      </c>
      <c r="L938" t="s">
        <v>1064</v>
      </c>
      <c r="M938" t="s">
        <v>1065</v>
      </c>
      <c r="N938" s="15" t="s">
        <v>6878</v>
      </c>
    </row>
    <row r="939" spans="1:14" x14ac:dyDescent="0.2">
      <c r="A939" t="s">
        <v>2017</v>
      </c>
      <c r="B939" t="s">
        <v>1062</v>
      </c>
      <c r="C939" s="9">
        <v>45020</v>
      </c>
      <c r="D939" t="s">
        <v>442</v>
      </c>
      <c r="E939" s="13">
        <v>2625000</v>
      </c>
      <c r="F939" s="13">
        <v>16650</v>
      </c>
      <c r="G939" s="9">
        <v>45052</v>
      </c>
      <c r="H939" t="s">
        <v>1111</v>
      </c>
      <c r="I939" t="s">
        <v>916</v>
      </c>
      <c r="J939" s="13">
        <v>87412</v>
      </c>
      <c r="K939">
        <v>1</v>
      </c>
      <c r="L939" t="s">
        <v>1064</v>
      </c>
      <c r="M939" t="s">
        <v>1065</v>
      </c>
      <c r="N939" s="15" t="s">
        <v>6878</v>
      </c>
    </row>
    <row r="940" spans="1:14" x14ac:dyDescent="0.2">
      <c r="A940" t="s">
        <v>2018</v>
      </c>
      <c r="B940" t="s">
        <v>1062</v>
      </c>
      <c r="C940" s="9">
        <v>45020</v>
      </c>
      <c r="D940" t="s">
        <v>442</v>
      </c>
      <c r="E940" s="13">
        <v>3250000</v>
      </c>
      <c r="F940" s="13">
        <v>16650</v>
      </c>
      <c r="G940" s="9">
        <v>45052</v>
      </c>
      <c r="H940" t="s">
        <v>1111</v>
      </c>
      <c r="I940" t="s">
        <v>916</v>
      </c>
      <c r="J940" s="13">
        <v>108225</v>
      </c>
      <c r="K940">
        <v>1</v>
      </c>
      <c r="L940" t="s">
        <v>1064</v>
      </c>
      <c r="M940" t="s">
        <v>1065</v>
      </c>
      <c r="N940" s="15" t="s">
        <v>6878</v>
      </c>
    </row>
    <row r="941" spans="1:14" x14ac:dyDescent="0.2">
      <c r="A941" t="s">
        <v>2019</v>
      </c>
      <c r="B941" t="s">
        <v>1062</v>
      </c>
      <c r="C941" s="9">
        <v>45021</v>
      </c>
      <c r="D941" t="s">
        <v>442</v>
      </c>
      <c r="E941" s="13">
        <v>3250000</v>
      </c>
      <c r="F941" s="13">
        <v>16650</v>
      </c>
      <c r="G941" s="9">
        <v>45052</v>
      </c>
      <c r="H941" t="s">
        <v>1111</v>
      </c>
      <c r="I941" t="s">
        <v>916</v>
      </c>
      <c r="J941" s="13">
        <v>108225</v>
      </c>
      <c r="K941">
        <v>1</v>
      </c>
      <c r="L941" t="s">
        <v>1064</v>
      </c>
      <c r="M941" t="s">
        <v>1065</v>
      </c>
      <c r="N941" s="15" t="s">
        <v>6878</v>
      </c>
    </row>
    <row r="942" spans="1:14" x14ac:dyDescent="0.2">
      <c r="A942" t="s">
        <v>2020</v>
      </c>
      <c r="B942" t="s">
        <v>1062</v>
      </c>
      <c r="C942" s="9">
        <v>45021</v>
      </c>
      <c r="D942" t="s">
        <v>442</v>
      </c>
      <c r="E942" s="13">
        <v>2575000</v>
      </c>
      <c r="F942" s="13">
        <v>16650</v>
      </c>
      <c r="G942" s="9">
        <v>45052</v>
      </c>
      <c r="H942" t="s">
        <v>1111</v>
      </c>
      <c r="I942" t="s">
        <v>916</v>
      </c>
      <c r="J942" s="13">
        <v>85747</v>
      </c>
      <c r="K942">
        <v>1</v>
      </c>
      <c r="L942" t="s">
        <v>1064</v>
      </c>
      <c r="M942" t="s">
        <v>1065</v>
      </c>
      <c r="N942" s="15" t="s">
        <v>6878</v>
      </c>
    </row>
    <row r="943" spans="1:14" x14ac:dyDescent="0.2">
      <c r="A943" t="s">
        <v>2021</v>
      </c>
      <c r="B943" t="s">
        <v>1062</v>
      </c>
      <c r="C943" s="9">
        <v>45021</v>
      </c>
      <c r="D943" t="s">
        <v>442</v>
      </c>
      <c r="E943" s="13">
        <v>2475000</v>
      </c>
      <c r="F943" s="13">
        <v>16650</v>
      </c>
      <c r="G943" s="9">
        <v>45052</v>
      </c>
      <c r="H943" t="s">
        <v>1111</v>
      </c>
      <c r="I943" t="s">
        <v>916</v>
      </c>
      <c r="J943" s="13">
        <v>82417</v>
      </c>
      <c r="K943">
        <v>1</v>
      </c>
      <c r="L943" t="s">
        <v>1064</v>
      </c>
      <c r="M943" t="s">
        <v>1065</v>
      </c>
      <c r="N943" s="15" t="s">
        <v>6878</v>
      </c>
    </row>
    <row r="944" spans="1:14" x14ac:dyDescent="0.2">
      <c r="A944" t="s">
        <v>2022</v>
      </c>
      <c r="B944" t="s">
        <v>1069</v>
      </c>
      <c r="C944" s="9">
        <v>45021</v>
      </c>
      <c r="D944" t="s">
        <v>949</v>
      </c>
      <c r="E944" s="13">
        <v>11110000</v>
      </c>
      <c r="F944" s="13">
        <v>22200</v>
      </c>
      <c r="G944" s="9">
        <v>45022</v>
      </c>
      <c r="H944" t="s">
        <v>1111</v>
      </c>
      <c r="I944" t="s">
        <v>1746</v>
      </c>
      <c r="J944" s="13">
        <v>308302</v>
      </c>
      <c r="K944">
        <v>1</v>
      </c>
      <c r="L944" t="s">
        <v>1064</v>
      </c>
      <c r="M944" t="s">
        <v>1747</v>
      </c>
      <c r="N944" s="15" t="s">
        <v>6878</v>
      </c>
    </row>
    <row r="945" spans="1:14" x14ac:dyDescent="0.2">
      <c r="A945" t="s">
        <v>2023</v>
      </c>
      <c r="B945" t="s">
        <v>1069</v>
      </c>
      <c r="C945" s="9">
        <v>45021</v>
      </c>
      <c r="D945" t="s">
        <v>968</v>
      </c>
      <c r="E945" s="13">
        <v>16000000</v>
      </c>
      <c r="F945" s="13">
        <v>532800</v>
      </c>
      <c r="G945" s="9">
        <v>45022</v>
      </c>
      <c r="H945" t="s">
        <v>1111</v>
      </c>
      <c r="I945" t="s">
        <v>1137</v>
      </c>
      <c r="J945" s="13"/>
      <c r="K945">
        <v>10</v>
      </c>
      <c r="L945" t="s">
        <v>1064</v>
      </c>
      <c r="M945" t="s">
        <v>1138</v>
      </c>
      <c r="N945" s="15" t="s">
        <v>6878</v>
      </c>
    </row>
    <row r="946" spans="1:14" x14ac:dyDescent="0.2">
      <c r="A946" t="s">
        <v>2024</v>
      </c>
      <c r="B946" t="s">
        <v>1069</v>
      </c>
      <c r="C946" s="9">
        <v>45021</v>
      </c>
      <c r="D946" t="s">
        <v>968</v>
      </c>
      <c r="E946" s="13">
        <v>16000000</v>
      </c>
      <c r="F946" s="13">
        <v>532800</v>
      </c>
      <c r="G946" s="9">
        <v>45022</v>
      </c>
      <c r="H946" t="s">
        <v>1111</v>
      </c>
      <c r="I946" t="s">
        <v>1137</v>
      </c>
      <c r="J946" s="13"/>
      <c r="K946">
        <v>10</v>
      </c>
      <c r="L946" t="s">
        <v>1064</v>
      </c>
      <c r="M946" t="s">
        <v>1138</v>
      </c>
      <c r="N946" s="15" t="s">
        <v>6878</v>
      </c>
    </row>
    <row r="947" spans="1:14" x14ac:dyDescent="0.2">
      <c r="A947" t="s">
        <v>2025</v>
      </c>
      <c r="B947" t="s">
        <v>1069</v>
      </c>
      <c r="C947" s="9">
        <v>45021</v>
      </c>
      <c r="D947" t="s">
        <v>968</v>
      </c>
      <c r="E947" s="13">
        <v>20800000</v>
      </c>
      <c r="F947" s="13">
        <v>692640</v>
      </c>
      <c r="G947" s="9">
        <v>45022</v>
      </c>
      <c r="H947" t="s">
        <v>1111</v>
      </c>
      <c r="I947" t="s">
        <v>1137</v>
      </c>
      <c r="J947" s="13"/>
      <c r="K947">
        <v>13</v>
      </c>
      <c r="L947" t="s">
        <v>1064</v>
      </c>
      <c r="M947" t="s">
        <v>1138</v>
      </c>
      <c r="N947" s="15" t="s">
        <v>6878</v>
      </c>
    </row>
    <row r="948" spans="1:14" x14ac:dyDescent="0.2">
      <c r="A948" t="s">
        <v>2026</v>
      </c>
      <c r="B948" t="s">
        <v>1069</v>
      </c>
      <c r="C948" s="9">
        <v>45021</v>
      </c>
      <c r="D948" t="s">
        <v>949</v>
      </c>
      <c r="E948" s="13">
        <v>22210000</v>
      </c>
      <c r="F948" s="13">
        <v>44400</v>
      </c>
      <c r="G948" s="9">
        <v>45022</v>
      </c>
      <c r="H948" t="s">
        <v>1111</v>
      </c>
      <c r="I948" t="s">
        <v>1746</v>
      </c>
      <c r="J948" s="13">
        <v>616327</v>
      </c>
      <c r="K948">
        <v>2</v>
      </c>
      <c r="L948" t="s">
        <v>1064</v>
      </c>
      <c r="M948" t="s">
        <v>1747</v>
      </c>
      <c r="N948" s="15" t="s">
        <v>6878</v>
      </c>
    </row>
    <row r="949" spans="1:14" x14ac:dyDescent="0.2">
      <c r="A949" t="s">
        <v>2027</v>
      </c>
      <c r="B949" t="s">
        <v>1062</v>
      </c>
      <c r="C949" s="9">
        <v>45021</v>
      </c>
      <c r="D949" t="s">
        <v>442</v>
      </c>
      <c r="E949" s="13">
        <v>2500000</v>
      </c>
      <c r="F949" s="13">
        <v>16650</v>
      </c>
      <c r="G949" s="9">
        <v>45052</v>
      </c>
      <c r="H949" t="s">
        <v>1111</v>
      </c>
      <c r="I949" t="s">
        <v>916</v>
      </c>
      <c r="J949" s="13">
        <v>83250</v>
      </c>
      <c r="K949">
        <v>1</v>
      </c>
      <c r="L949" t="s">
        <v>1064</v>
      </c>
      <c r="M949" t="s">
        <v>1065</v>
      </c>
      <c r="N949" s="15" t="s">
        <v>6878</v>
      </c>
    </row>
    <row r="950" spans="1:14" x14ac:dyDescent="0.2">
      <c r="A950" t="s">
        <v>2028</v>
      </c>
      <c r="B950" t="s">
        <v>1062</v>
      </c>
      <c r="C950" s="9">
        <v>45022</v>
      </c>
      <c r="D950" t="s">
        <v>442</v>
      </c>
      <c r="E950" s="13">
        <v>2625000</v>
      </c>
      <c r="F950" s="13">
        <v>16650</v>
      </c>
      <c r="G950" s="9">
        <v>45052</v>
      </c>
      <c r="H950" t="s">
        <v>1111</v>
      </c>
      <c r="I950" t="s">
        <v>916</v>
      </c>
      <c r="J950" s="13">
        <v>87412</v>
      </c>
      <c r="K950">
        <v>1</v>
      </c>
      <c r="L950" t="s">
        <v>1064</v>
      </c>
      <c r="M950" t="s">
        <v>1065</v>
      </c>
      <c r="N950" s="15" t="s">
        <v>6878</v>
      </c>
    </row>
    <row r="951" spans="1:14" x14ac:dyDescent="0.2">
      <c r="A951" t="s">
        <v>2029</v>
      </c>
      <c r="B951" t="s">
        <v>1062</v>
      </c>
      <c r="C951" s="9">
        <v>45022</v>
      </c>
      <c r="D951" t="s">
        <v>442</v>
      </c>
      <c r="E951" s="13">
        <v>3125000</v>
      </c>
      <c r="F951" s="13">
        <v>16650</v>
      </c>
      <c r="G951" s="9">
        <v>45052</v>
      </c>
      <c r="H951" t="s">
        <v>1111</v>
      </c>
      <c r="I951" t="s">
        <v>916</v>
      </c>
      <c r="J951" s="13">
        <v>104062</v>
      </c>
      <c r="K951">
        <v>1</v>
      </c>
      <c r="L951" t="s">
        <v>1064</v>
      </c>
      <c r="M951" t="s">
        <v>1065</v>
      </c>
      <c r="N951" s="15" t="s">
        <v>6878</v>
      </c>
    </row>
    <row r="952" spans="1:14" x14ac:dyDescent="0.2">
      <c r="A952" t="s">
        <v>2030</v>
      </c>
      <c r="B952" t="s">
        <v>1062</v>
      </c>
      <c r="C952" s="9">
        <v>45022</v>
      </c>
      <c r="D952" t="s">
        <v>442</v>
      </c>
      <c r="E952" s="13">
        <v>1500000</v>
      </c>
      <c r="F952" s="13">
        <v>16650</v>
      </c>
      <c r="G952" s="9">
        <v>45052</v>
      </c>
      <c r="H952" t="s">
        <v>1111</v>
      </c>
      <c r="I952" t="s">
        <v>916</v>
      </c>
      <c r="J952" s="13">
        <v>49950</v>
      </c>
      <c r="K952">
        <v>1</v>
      </c>
      <c r="L952" t="s">
        <v>1064</v>
      </c>
      <c r="M952" t="s">
        <v>1065</v>
      </c>
      <c r="N952" s="15" t="s">
        <v>6878</v>
      </c>
    </row>
    <row r="953" spans="1:14" x14ac:dyDescent="0.2">
      <c r="A953" t="s">
        <v>2031</v>
      </c>
      <c r="B953" t="s">
        <v>1062</v>
      </c>
      <c r="C953" s="9">
        <v>45022</v>
      </c>
      <c r="D953" t="s">
        <v>442</v>
      </c>
      <c r="E953" s="13">
        <v>1500000</v>
      </c>
      <c r="F953" s="13">
        <v>16650</v>
      </c>
      <c r="G953" s="9">
        <v>45052</v>
      </c>
      <c r="H953" t="s">
        <v>1111</v>
      </c>
      <c r="I953" t="s">
        <v>916</v>
      </c>
      <c r="J953" s="13">
        <v>49950</v>
      </c>
      <c r="K953">
        <v>1</v>
      </c>
      <c r="L953" t="s">
        <v>1064</v>
      </c>
      <c r="M953" t="s">
        <v>1065</v>
      </c>
      <c r="N953" s="15" t="s">
        <v>6878</v>
      </c>
    </row>
    <row r="954" spans="1:14" x14ac:dyDescent="0.2">
      <c r="A954" t="s">
        <v>2032</v>
      </c>
      <c r="B954" t="s">
        <v>1062</v>
      </c>
      <c r="C954" s="9">
        <v>45022</v>
      </c>
      <c r="D954" t="s">
        <v>442</v>
      </c>
      <c r="E954" s="13">
        <v>1950000</v>
      </c>
      <c r="F954" s="13">
        <v>16650</v>
      </c>
      <c r="G954" s="9">
        <v>45052</v>
      </c>
      <c r="H954" t="s">
        <v>1111</v>
      </c>
      <c r="I954" t="s">
        <v>916</v>
      </c>
      <c r="J954" s="13">
        <v>64935</v>
      </c>
      <c r="K954">
        <v>1</v>
      </c>
      <c r="L954" t="s">
        <v>1064</v>
      </c>
      <c r="M954" t="s">
        <v>1065</v>
      </c>
      <c r="N954" s="15" t="s">
        <v>6878</v>
      </c>
    </row>
    <row r="955" spans="1:14" x14ac:dyDescent="0.2">
      <c r="A955" t="s">
        <v>2033</v>
      </c>
      <c r="B955" t="s">
        <v>1069</v>
      </c>
      <c r="C955" s="9">
        <v>45022</v>
      </c>
      <c r="D955" t="s">
        <v>968</v>
      </c>
      <c r="E955" s="13">
        <v>8000000</v>
      </c>
      <c r="F955" s="13">
        <v>266400</v>
      </c>
      <c r="G955" s="9">
        <v>45022</v>
      </c>
      <c r="H955" t="s">
        <v>1111</v>
      </c>
      <c r="I955" t="s">
        <v>1137</v>
      </c>
      <c r="J955" s="13"/>
      <c r="K955">
        <v>5</v>
      </c>
      <c r="L955" t="s">
        <v>1064</v>
      </c>
      <c r="M955" t="s">
        <v>1138</v>
      </c>
      <c r="N955" s="15" t="s">
        <v>6878</v>
      </c>
    </row>
    <row r="956" spans="1:14" x14ac:dyDescent="0.2">
      <c r="A956" t="s">
        <v>2034</v>
      </c>
      <c r="B956" t="s">
        <v>1069</v>
      </c>
      <c r="C956" s="9">
        <v>45022</v>
      </c>
      <c r="D956" t="s">
        <v>968</v>
      </c>
      <c r="E956" s="13">
        <v>24000000</v>
      </c>
      <c r="F956" s="13">
        <v>799200</v>
      </c>
      <c r="G956" s="9">
        <v>45022</v>
      </c>
      <c r="H956" t="s">
        <v>1111</v>
      </c>
      <c r="I956" t="s">
        <v>1137</v>
      </c>
      <c r="J956" s="13"/>
      <c r="K956">
        <v>15</v>
      </c>
      <c r="L956" t="s">
        <v>1064</v>
      </c>
      <c r="M956" t="s">
        <v>1138</v>
      </c>
      <c r="N956" s="15" t="s">
        <v>6878</v>
      </c>
    </row>
    <row r="957" spans="1:14" x14ac:dyDescent="0.2">
      <c r="A957" t="s">
        <v>2035</v>
      </c>
      <c r="B957" t="s">
        <v>1062</v>
      </c>
      <c r="C957" s="9">
        <v>45023</v>
      </c>
      <c r="D957" t="s">
        <v>1022</v>
      </c>
      <c r="E957" s="13">
        <v>2000000</v>
      </c>
      <c r="F957" s="13">
        <v>25000</v>
      </c>
      <c r="H957" t="s">
        <v>1659</v>
      </c>
      <c r="I957" t="s">
        <v>214</v>
      </c>
      <c r="J957" s="13">
        <v>0</v>
      </c>
      <c r="K957">
        <v>1</v>
      </c>
      <c r="L957" t="s">
        <v>1064</v>
      </c>
      <c r="M957" t="s">
        <v>1112</v>
      </c>
      <c r="N957" s="14" t="s">
        <v>6877</v>
      </c>
    </row>
    <row r="958" spans="1:14" x14ac:dyDescent="0.2">
      <c r="A958" t="s">
        <v>2036</v>
      </c>
      <c r="B958" t="s">
        <v>1062</v>
      </c>
      <c r="C958" s="9">
        <v>45023</v>
      </c>
      <c r="D958" t="s">
        <v>1022</v>
      </c>
      <c r="E958" s="13">
        <v>2000000</v>
      </c>
      <c r="F958" s="13">
        <v>25000</v>
      </c>
      <c r="H958" t="s">
        <v>1659</v>
      </c>
      <c r="I958" t="s">
        <v>214</v>
      </c>
      <c r="J958" s="13">
        <v>0</v>
      </c>
      <c r="K958">
        <v>1</v>
      </c>
      <c r="L958" t="s">
        <v>1064</v>
      </c>
      <c r="M958" t="s">
        <v>1112</v>
      </c>
      <c r="N958" s="14" t="s">
        <v>6877</v>
      </c>
    </row>
    <row r="959" spans="1:14" x14ac:dyDescent="0.2">
      <c r="A959" t="s">
        <v>2037</v>
      </c>
      <c r="B959" t="s">
        <v>1062</v>
      </c>
      <c r="C959" s="9">
        <v>45023</v>
      </c>
      <c r="D959" t="s">
        <v>1022</v>
      </c>
      <c r="E959" s="13">
        <v>2000000</v>
      </c>
      <c r="F959" s="13">
        <v>25000</v>
      </c>
      <c r="H959" t="s">
        <v>1659</v>
      </c>
      <c r="I959" t="s">
        <v>214</v>
      </c>
      <c r="J959" s="13">
        <v>0</v>
      </c>
      <c r="K959">
        <v>1</v>
      </c>
      <c r="L959" t="s">
        <v>1064</v>
      </c>
      <c r="M959" t="s">
        <v>1112</v>
      </c>
      <c r="N959" s="14" t="s">
        <v>6877</v>
      </c>
    </row>
    <row r="960" spans="1:14" x14ac:dyDescent="0.2">
      <c r="A960" t="s">
        <v>2038</v>
      </c>
      <c r="B960" t="s">
        <v>1062</v>
      </c>
      <c r="C960" s="9">
        <v>45023</v>
      </c>
      <c r="D960" t="s">
        <v>1022</v>
      </c>
      <c r="E960" s="13">
        <v>2000000</v>
      </c>
      <c r="F960" s="13">
        <v>25000</v>
      </c>
      <c r="H960" t="s">
        <v>1659</v>
      </c>
      <c r="I960" t="s">
        <v>214</v>
      </c>
      <c r="J960" s="13">
        <v>0</v>
      </c>
      <c r="K960">
        <v>1</v>
      </c>
      <c r="L960" t="s">
        <v>1064</v>
      </c>
      <c r="M960" t="s">
        <v>1112</v>
      </c>
      <c r="N960" s="14" t="s">
        <v>6877</v>
      </c>
    </row>
    <row r="961" spans="1:14" x14ac:dyDescent="0.2">
      <c r="A961" t="s">
        <v>1023</v>
      </c>
      <c r="B961" t="s">
        <v>1062</v>
      </c>
      <c r="C961" s="9">
        <v>45023</v>
      </c>
      <c r="D961" t="s">
        <v>1022</v>
      </c>
      <c r="E961" s="13">
        <v>2000000</v>
      </c>
      <c r="F961" s="13">
        <v>25000</v>
      </c>
      <c r="H961" t="s">
        <v>1659</v>
      </c>
      <c r="I961" t="s">
        <v>214</v>
      </c>
      <c r="J961" s="13">
        <v>0</v>
      </c>
      <c r="K961">
        <v>1</v>
      </c>
      <c r="L961" t="s">
        <v>1064</v>
      </c>
      <c r="M961" t="s">
        <v>1112</v>
      </c>
      <c r="N961" s="14" t="s">
        <v>6877</v>
      </c>
    </row>
    <row r="962" spans="1:14" x14ac:dyDescent="0.2">
      <c r="A962" t="s">
        <v>2039</v>
      </c>
      <c r="B962" t="s">
        <v>1062</v>
      </c>
      <c r="C962" s="9">
        <v>45024</v>
      </c>
      <c r="D962" t="s">
        <v>178</v>
      </c>
      <c r="E962" s="13">
        <v>1176000</v>
      </c>
      <c r="F962" s="13">
        <v>22200</v>
      </c>
      <c r="G962" s="9">
        <v>45032</v>
      </c>
      <c r="H962" t="s">
        <v>1111</v>
      </c>
      <c r="I962" t="s">
        <v>904</v>
      </c>
      <c r="J962" s="13"/>
      <c r="K962">
        <v>1</v>
      </c>
      <c r="L962" t="s">
        <v>1064</v>
      </c>
      <c r="M962" t="s">
        <v>1164</v>
      </c>
      <c r="N962" s="15" t="s">
        <v>6878</v>
      </c>
    </row>
    <row r="963" spans="1:14" x14ac:dyDescent="0.2">
      <c r="A963" t="s">
        <v>2040</v>
      </c>
      <c r="B963" t="s">
        <v>1062</v>
      </c>
      <c r="C963" s="9">
        <v>45024</v>
      </c>
      <c r="D963" t="s">
        <v>958</v>
      </c>
      <c r="E963" s="13">
        <v>22700000</v>
      </c>
      <c r="F963" s="13">
        <v>399600</v>
      </c>
      <c r="G963" s="9">
        <v>45025</v>
      </c>
      <c r="H963" t="s">
        <v>1063</v>
      </c>
      <c r="I963" t="s">
        <v>1074</v>
      </c>
      <c r="J963" s="13">
        <v>503940</v>
      </c>
      <c r="K963">
        <v>20</v>
      </c>
      <c r="L963" t="s">
        <v>1064</v>
      </c>
      <c r="M963" t="s">
        <v>1075</v>
      </c>
      <c r="N963" s="15" t="s">
        <v>6878</v>
      </c>
    </row>
    <row r="964" spans="1:14" x14ac:dyDescent="0.2">
      <c r="A964" t="s">
        <v>2041</v>
      </c>
      <c r="B964" t="s">
        <v>1062</v>
      </c>
      <c r="C964" s="9">
        <v>45024</v>
      </c>
      <c r="D964" t="s">
        <v>958</v>
      </c>
      <c r="E964" s="13">
        <v>15890000</v>
      </c>
      <c r="F964" s="13">
        <v>279720</v>
      </c>
      <c r="G964" s="9">
        <v>45025</v>
      </c>
      <c r="H964" t="s">
        <v>1063</v>
      </c>
      <c r="I964" t="s">
        <v>1074</v>
      </c>
      <c r="J964" s="13">
        <v>352758</v>
      </c>
      <c r="K964">
        <v>14</v>
      </c>
      <c r="L964" t="s">
        <v>1064</v>
      </c>
      <c r="M964" t="s">
        <v>1075</v>
      </c>
      <c r="N964" s="15" t="s">
        <v>6878</v>
      </c>
    </row>
    <row r="965" spans="1:14" x14ac:dyDescent="0.2">
      <c r="A965" t="s">
        <v>2042</v>
      </c>
      <c r="B965" t="s">
        <v>1062</v>
      </c>
      <c r="C965" s="9">
        <v>45025</v>
      </c>
      <c r="D965" t="s">
        <v>958</v>
      </c>
      <c r="E965" s="13">
        <v>1000000</v>
      </c>
      <c r="F965" s="13">
        <v>19980</v>
      </c>
      <c r="G965" s="9">
        <v>45025</v>
      </c>
      <c r="H965" t="s">
        <v>1063</v>
      </c>
      <c r="I965" t="s">
        <v>1074</v>
      </c>
      <c r="J965" s="13">
        <v>22200</v>
      </c>
      <c r="K965">
        <v>1</v>
      </c>
      <c r="L965" t="s">
        <v>1064</v>
      </c>
      <c r="M965" t="s">
        <v>1075</v>
      </c>
      <c r="N965" s="15" t="s">
        <v>6878</v>
      </c>
    </row>
    <row r="966" spans="1:14" x14ac:dyDescent="0.2">
      <c r="A966" t="s">
        <v>2043</v>
      </c>
      <c r="B966" t="s">
        <v>1062</v>
      </c>
      <c r="C966" s="9">
        <v>45025</v>
      </c>
      <c r="D966" t="s">
        <v>442</v>
      </c>
      <c r="E966" s="13">
        <v>2575000</v>
      </c>
      <c r="F966" s="13">
        <v>16650</v>
      </c>
      <c r="G966" s="9">
        <v>45052</v>
      </c>
      <c r="H966" t="s">
        <v>1111</v>
      </c>
      <c r="I966" t="s">
        <v>916</v>
      </c>
      <c r="J966" s="13">
        <v>85747</v>
      </c>
      <c r="K966">
        <v>1</v>
      </c>
      <c r="L966" t="s">
        <v>1064</v>
      </c>
      <c r="M966" t="s">
        <v>1065</v>
      </c>
      <c r="N966" s="15" t="s">
        <v>6878</v>
      </c>
    </row>
    <row r="967" spans="1:14" x14ac:dyDescent="0.2">
      <c r="A967" t="s">
        <v>2044</v>
      </c>
      <c r="B967" t="s">
        <v>1062</v>
      </c>
      <c r="C967" s="9">
        <v>45025</v>
      </c>
      <c r="D967" t="s">
        <v>442</v>
      </c>
      <c r="E967" s="13">
        <v>1000000</v>
      </c>
      <c r="F967" s="13">
        <v>16650</v>
      </c>
      <c r="G967" s="9">
        <v>45052</v>
      </c>
      <c r="H967" t="s">
        <v>1111</v>
      </c>
      <c r="I967" t="s">
        <v>916</v>
      </c>
      <c r="J967" s="13">
        <v>33300</v>
      </c>
      <c r="K967">
        <v>1</v>
      </c>
      <c r="L967" t="s">
        <v>1064</v>
      </c>
      <c r="M967" t="s">
        <v>1065</v>
      </c>
      <c r="N967" s="15" t="s">
        <v>6878</v>
      </c>
    </row>
    <row r="968" spans="1:14" x14ac:dyDescent="0.2">
      <c r="A968" t="s">
        <v>2045</v>
      </c>
      <c r="B968" t="s">
        <v>1062</v>
      </c>
      <c r="C968" s="9">
        <v>45025</v>
      </c>
      <c r="D968" t="s">
        <v>442</v>
      </c>
      <c r="E968" s="13">
        <v>3125000</v>
      </c>
      <c r="F968" s="13">
        <v>16650</v>
      </c>
      <c r="G968" s="9">
        <v>45055</v>
      </c>
      <c r="H968" t="s">
        <v>1111</v>
      </c>
      <c r="I968" t="s">
        <v>916</v>
      </c>
      <c r="J968" s="13">
        <v>104062</v>
      </c>
      <c r="K968">
        <v>1</v>
      </c>
      <c r="L968" t="s">
        <v>1064</v>
      </c>
      <c r="M968" t="s">
        <v>1065</v>
      </c>
      <c r="N968" s="15" t="s">
        <v>6878</v>
      </c>
    </row>
    <row r="969" spans="1:14" x14ac:dyDescent="0.2">
      <c r="A969" t="s">
        <v>2046</v>
      </c>
      <c r="B969" t="s">
        <v>1062</v>
      </c>
      <c r="C969" s="9">
        <v>45025</v>
      </c>
      <c r="D969" t="s">
        <v>442</v>
      </c>
      <c r="E969" s="13">
        <v>1875000</v>
      </c>
      <c r="F969" s="13">
        <v>16650</v>
      </c>
      <c r="G969" s="9">
        <v>45052</v>
      </c>
      <c r="H969" t="s">
        <v>1111</v>
      </c>
      <c r="I969" t="s">
        <v>916</v>
      </c>
      <c r="J969" s="13">
        <v>62437</v>
      </c>
      <c r="K969">
        <v>1</v>
      </c>
      <c r="L969" t="s">
        <v>1064</v>
      </c>
      <c r="M969" t="s">
        <v>1065</v>
      </c>
      <c r="N969" s="15" t="s">
        <v>6878</v>
      </c>
    </row>
    <row r="970" spans="1:14" x14ac:dyDescent="0.2">
      <c r="A970" t="s">
        <v>2047</v>
      </c>
      <c r="B970" t="s">
        <v>1062</v>
      </c>
      <c r="C970" s="9">
        <v>45025</v>
      </c>
      <c r="D970" t="s">
        <v>442</v>
      </c>
      <c r="E970" s="13">
        <v>2787500</v>
      </c>
      <c r="F970" s="13">
        <v>16650</v>
      </c>
      <c r="G970" s="9">
        <v>45052</v>
      </c>
      <c r="H970" t="s">
        <v>1111</v>
      </c>
      <c r="I970" t="s">
        <v>916</v>
      </c>
      <c r="J970" s="13">
        <v>92823</v>
      </c>
      <c r="K970">
        <v>1</v>
      </c>
      <c r="L970" t="s">
        <v>1064</v>
      </c>
      <c r="M970" t="s">
        <v>1065</v>
      </c>
      <c r="N970" s="15" t="s">
        <v>6878</v>
      </c>
    </row>
    <row r="971" spans="1:14" x14ac:dyDescent="0.2">
      <c r="A971" t="s">
        <v>2048</v>
      </c>
      <c r="B971" t="s">
        <v>1062</v>
      </c>
      <c r="C971" s="9">
        <v>45025</v>
      </c>
      <c r="D971" t="s">
        <v>442</v>
      </c>
      <c r="E971" s="13">
        <v>2625000</v>
      </c>
      <c r="F971" s="13">
        <v>16650</v>
      </c>
      <c r="G971" s="9">
        <v>45055</v>
      </c>
      <c r="H971" t="s">
        <v>1111</v>
      </c>
      <c r="I971" t="s">
        <v>916</v>
      </c>
      <c r="J971" s="13">
        <v>87412</v>
      </c>
      <c r="K971">
        <v>1</v>
      </c>
      <c r="L971" t="s">
        <v>1064</v>
      </c>
      <c r="M971" t="s">
        <v>1065</v>
      </c>
      <c r="N971" s="15" t="s">
        <v>6878</v>
      </c>
    </row>
    <row r="972" spans="1:14" x14ac:dyDescent="0.2">
      <c r="A972" t="s">
        <v>2049</v>
      </c>
      <c r="B972" t="s">
        <v>1062</v>
      </c>
      <c r="C972" s="9">
        <v>45025</v>
      </c>
      <c r="D972" t="s">
        <v>442</v>
      </c>
      <c r="E972" s="13">
        <v>1700000</v>
      </c>
      <c r="F972" s="13">
        <v>16650</v>
      </c>
      <c r="G972" s="9">
        <v>45052</v>
      </c>
      <c r="H972" t="s">
        <v>1111</v>
      </c>
      <c r="I972" t="s">
        <v>916</v>
      </c>
      <c r="J972" s="13">
        <v>56610</v>
      </c>
      <c r="K972">
        <v>1</v>
      </c>
      <c r="L972" t="s">
        <v>1064</v>
      </c>
      <c r="M972" t="s">
        <v>1065</v>
      </c>
      <c r="N972" s="15" t="s">
        <v>6878</v>
      </c>
    </row>
    <row r="973" spans="1:14" x14ac:dyDescent="0.2">
      <c r="A973" t="s">
        <v>2050</v>
      </c>
      <c r="B973" t="s">
        <v>1062</v>
      </c>
      <c r="C973" s="9">
        <v>45025</v>
      </c>
      <c r="D973" t="s">
        <v>442</v>
      </c>
      <c r="E973" s="13">
        <v>2950000</v>
      </c>
      <c r="F973" s="13">
        <v>16650</v>
      </c>
      <c r="G973" s="9">
        <v>45055</v>
      </c>
      <c r="H973" t="s">
        <v>1111</v>
      </c>
      <c r="I973" t="s">
        <v>916</v>
      </c>
      <c r="J973" s="13">
        <v>98235</v>
      </c>
      <c r="K973">
        <v>1</v>
      </c>
      <c r="L973" t="s">
        <v>1064</v>
      </c>
      <c r="M973" t="s">
        <v>1065</v>
      </c>
      <c r="N973" s="15" t="s">
        <v>6878</v>
      </c>
    </row>
    <row r="974" spans="1:14" x14ac:dyDescent="0.2">
      <c r="A974" t="s">
        <v>2051</v>
      </c>
      <c r="B974" t="s">
        <v>1062</v>
      </c>
      <c r="C974" s="9">
        <v>45026</v>
      </c>
      <c r="D974" t="s">
        <v>442</v>
      </c>
      <c r="E974" s="13">
        <v>1000000</v>
      </c>
      <c r="F974" s="13">
        <v>16650</v>
      </c>
      <c r="G974" s="9">
        <v>45055</v>
      </c>
      <c r="H974" t="s">
        <v>1111</v>
      </c>
      <c r="I974" t="s">
        <v>916</v>
      </c>
      <c r="J974" s="13">
        <v>33300</v>
      </c>
      <c r="K974">
        <v>1</v>
      </c>
      <c r="L974" t="s">
        <v>1064</v>
      </c>
      <c r="M974" t="s">
        <v>1065</v>
      </c>
      <c r="N974" s="15" t="s">
        <v>6878</v>
      </c>
    </row>
    <row r="975" spans="1:14" x14ac:dyDescent="0.2">
      <c r="A975" t="s">
        <v>2052</v>
      </c>
      <c r="B975" t="s">
        <v>1062</v>
      </c>
      <c r="C975" s="9">
        <v>45026</v>
      </c>
      <c r="D975" t="s">
        <v>442</v>
      </c>
      <c r="E975" s="13">
        <v>1450000</v>
      </c>
      <c r="F975" s="13">
        <v>16650</v>
      </c>
      <c r="G975" s="9">
        <v>45055</v>
      </c>
      <c r="H975" t="s">
        <v>1111</v>
      </c>
      <c r="I975" t="s">
        <v>916</v>
      </c>
      <c r="J975" s="13">
        <v>48285</v>
      </c>
      <c r="K975">
        <v>1</v>
      </c>
      <c r="L975" t="s">
        <v>1064</v>
      </c>
      <c r="M975" t="s">
        <v>1065</v>
      </c>
      <c r="N975" s="15" t="s">
        <v>6878</v>
      </c>
    </row>
    <row r="976" spans="1:14" x14ac:dyDescent="0.2">
      <c r="A976" t="s">
        <v>2053</v>
      </c>
      <c r="B976" t="s">
        <v>1062</v>
      </c>
      <c r="C976" s="9">
        <v>45026</v>
      </c>
      <c r="D976" t="s">
        <v>442</v>
      </c>
      <c r="E976" s="13">
        <v>3125000</v>
      </c>
      <c r="F976" s="13">
        <v>16650</v>
      </c>
      <c r="G976" s="9">
        <v>45055</v>
      </c>
      <c r="H976" t="s">
        <v>1111</v>
      </c>
      <c r="I976" t="s">
        <v>916</v>
      </c>
      <c r="J976" s="13">
        <v>104062</v>
      </c>
      <c r="K976">
        <v>1</v>
      </c>
      <c r="L976" t="s">
        <v>1064</v>
      </c>
      <c r="M976" t="s">
        <v>1065</v>
      </c>
      <c r="N976" s="15" t="s">
        <v>6878</v>
      </c>
    </row>
    <row r="977" spans="1:14" x14ac:dyDescent="0.2">
      <c r="A977" t="s">
        <v>2054</v>
      </c>
      <c r="B977" t="s">
        <v>1062</v>
      </c>
      <c r="C977" s="9">
        <v>45026</v>
      </c>
      <c r="D977" t="s">
        <v>442</v>
      </c>
      <c r="E977" s="13">
        <v>2575000</v>
      </c>
      <c r="F977" s="13">
        <v>16650</v>
      </c>
      <c r="G977" s="9">
        <v>45055</v>
      </c>
      <c r="H977" t="s">
        <v>1111</v>
      </c>
      <c r="I977" t="s">
        <v>916</v>
      </c>
      <c r="J977" s="13">
        <v>85747</v>
      </c>
      <c r="K977">
        <v>1</v>
      </c>
      <c r="L977" t="s">
        <v>1064</v>
      </c>
      <c r="M977" t="s">
        <v>1065</v>
      </c>
      <c r="N977" s="15" t="s">
        <v>6878</v>
      </c>
    </row>
    <row r="978" spans="1:14" x14ac:dyDescent="0.2">
      <c r="A978" t="s">
        <v>2055</v>
      </c>
      <c r="B978" t="s">
        <v>1062</v>
      </c>
      <c r="C978" s="9">
        <v>45026</v>
      </c>
      <c r="D978" t="s">
        <v>442</v>
      </c>
      <c r="E978" s="13">
        <v>2625000</v>
      </c>
      <c r="F978" s="13">
        <v>16650</v>
      </c>
      <c r="G978" s="9">
        <v>45055</v>
      </c>
      <c r="H978" t="s">
        <v>1111</v>
      </c>
      <c r="I978" t="s">
        <v>916</v>
      </c>
      <c r="J978" s="13">
        <v>87412</v>
      </c>
      <c r="K978">
        <v>1</v>
      </c>
      <c r="L978" t="s">
        <v>1064</v>
      </c>
      <c r="M978" t="s">
        <v>1065</v>
      </c>
      <c r="N978" s="15" t="s">
        <v>6878</v>
      </c>
    </row>
    <row r="979" spans="1:14" x14ac:dyDescent="0.2">
      <c r="A979" t="s">
        <v>2056</v>
      </c>
      <c r="B979" t="s">
        <v>1062</v>
      </c>
      <c r="C979" s="9">
        <v>45026</v>
      </c>
      <c r="D979" t="s">
        <v>442</v>
      </c>
      <c r="E979" s="13">
        <v>3250000</v>
      </c>
      <c r="F979" s="13">
        <v>16650</v>
      </c>
      <c r="G979" s="9">
        <v>45055</v>
      </c>
      <c r="H979" t="s">
        <v>1111</v>
      </c>
      <c r="I979" t="s">
        <v>916</v>
      </c>
      <c r="J979" s="13">
        <v>108225</v>
      </c>
      <c r="K979">
        <v>1</v>
      </c>
      <c r="L979" t="s">
        <v>1064</v>
      </c>
      <c r="M979" t="s">
        <v>1065</v>
      </c>
      <c r="N979" s="15" t="s">
        <v>6878</v>
      </c>
    </row>
    <row r="980" spans="1:14" x14ac:dyDescent="0.2">
      <c r="A980" t="s">
        <v>2057</v>
      </c>
      <c r="B980" t="s">
        <v>1062</v>
      </c>
      <c r="C980" s="9">
        <v>45026</v>
      </c>
      <c r="D980" t="s">
        <v>442</v>
      </c>
      <c r="E980" s="13">
        <v>1450000</v>
      </c>
      <c r="F980" s="13">
        <v>16650</v>
      </c>
      <c r="G980" s="9">
        <v>45055</v>
      </c>
      <c r="H980" t="s">
        <v>1111</v>
      </c>
      <c r="I980" t="s">
        <v>916</v>
      </c>
      <c r="J980" s="13">
        <v>48285</v>
      </c>
      <c r="K980">
        <v>1</v>
      </c>
      <c r="L980" t="s">
        <v>1064</v>
      </c>
      <c r="M980" t="s">
        <v>1065</v>
      </c>
      <c r="N980" s="15" t="s">
        <v>6878</v>
      </c>
    </row>
    <row r="981" spans="1:14" x14ac:dyDescent="0.2">
      <c r="A981" t="s">
        <v>2058</v>
      </c>
      <c r="B981" t="s">
        <v>1062</v>
      </c>
      <c r="C981" s="9">
        <v>45026</v>
      </c>
      <c r="D981" t="s">
        <v>442</v>
      </c>
      <c r="E981" s="13">
        <v>1000000</v>
      </c>
      <c r="F981" s="13">
        <v>16650</v>
      </c>
      <c r="G981" s="9">
        <v>45055</v>
      </c>
      <c r="H981" t="s">
        <v>1111</v>
      </c>
      <c r="I981" t="s">
        <v>916</v>
      </c>
      <c r="J981" s="13">
        <v>33300</v>
      </c>
      <c r="K981">
        <v>1</v>
      </c>
      <c r="L981" t="s">
        <v>1064</v>
      </c>
      <c r="M981" t="s">
        <v>1065</v>
      </c>
      <c r="N981" s="15" t="s">
        <v>6878</v>
      </c>
    </row>
    <row r="982" spans="1:14" x14ac:dyDescent="0.2">
      <c r="A982" t="s">
        <v>2059</v>
      </c>
      <c r="B982" t="s">
        <v>1069</v>
      </c>
      <c r="C982" s="9">
        <v>45026</v>
      </c>
      <c r="D982" t="s">
        <v>442</v>
      </c>
      <c r="E982" s="13">
        <v>2725000</v>
      </c>
      <c r="F982" s="13">
        <v>16650</v>
      </c>
      <c r="G982" s="9">
        <v>45055</v>
      </c>
      <c r="H982" t="s">
        <v>1111</v>
      </c>
      <c r="I982" t="s">
        <v>916</v>
      </c>
      <c r="J982" s="13">
        <v>90742</v>
      </c>
      <c r="K982">
        <v>1</v>
      </c>
      <c r="L982" t="s">
        <v>1064</v>
      </c>
      <c r="M982" t="s">
        <v>1065</v>
      </c>
      <c r="N982" s="15" t="s">
        <v>6878</v>
      </c>
    </row>
    <row r="983" spans="1:14" x14ac:dyDescent="0.2">
      <c r="A983" t="s">
        <v>2060</v>
      </c>
      <c r="B983" t="s">
        <v>1062</v>
      </c>
      <c r="C983" s="9">
        <v>45026</v>
      </c>
      <c r="D983" t="s">
        <v>442</v>
      </c>
      <c r="E983" s="13">
        <v>1450000</v>
      </c>
      <c r="F983" s="13">
        <v>16650</v>
      </c>
      <c r="G983" s="9">
        <v>45055</v>
      </c>
      <c r="H983" t="s">
        <v>1111</v>
      </c>
      <c r="I983" t="s">
        <v>916</v>
      </c>
      <c r="J983" s="13">
        <v>48285</v>
      </c>
      <c r="K983">
        <v>1</v>
      </c>
      <c r="L983" t="s">
        <v>1064</v>
      </c>
      <c r="M983" t="s">
        <v>1065</v>
      </c>
      <c r="N983" s="15" t="s">
        <v>6878</v>
      </c>
    </row>
    <row r="984" spans="1:14" x14ac:dyDescent="0.2">
      <c r="A984" t="s">
        <v>2061</v>
      </c>
      <c r="B984" t="s">
        <v>1062</v>
      </c>
      <c r="C984" s="9">
        <v>45026</v>
      </c>
      <c r="D984" t="s">
        <v>442</v>
      </c>
      <c r="E984" s="13">
        <v>2625000</v>
      </c>
      <c r="F984" s="13">
        <v>16650</v>
      </c>
      <c r="G984" s="9">
        <v>45055</v>
      </c>
      <c r="H984" t="s">
        <v>1111</v>
      </c>
      <c r="I984" t="s">
        <v>916</v>
      </c>
      <c r="J984" s="13">
        <v>87412</v>
      </c>
      <c r="K984">
        <v>1</v>
      </c>
      <c r="L984" t="s">
        <v>1064</v>
      </c>
      <c r="M984" t="s">
        <v>1065</v>
      </c>
      <c r="N984" s="15" t="s">
        <v>6878</v>
      </c>
    </row>
    <row r="985" spans="1:14" x14ac:dyDescent="0.2">
      <c r="A985" t="s">
        <v>2062</v>
      </c>
      <c r="B985" t="s">
        <v>1062</v>
      </c>
      <c r="C985" s="9">
        <v>45026</v>
      </c>
      <c r="D985" t="s">
        <v>442</v>
      </c>
      <c r="E985" s="13">
        <v>2625000</v>
      </c>
      <c r="F985" s="13">
        <v>16650</v>
      </c>
      <c r="G985" s="9">
        <v>45055</v>
      </c>
      <c r="H985" t="s">
        <v>1111</v>
      </c>
      <c r="I985" t="s">
        <v>916</v>
      </c>
      <c r="J985" s="13">
        <v>87412</v>
      </c>
      <c r="K985">
        <v>1</v>
      </c>
      <c r="L985" t="s">
        <v>1064</v>
      </c>
      <c r="M985" t="s">
        <v>1065</v>
      </c>
      <c r="N985" s="15" t="s">
        <v>6878</v>
      </c>
    </row>
    <row r="986" spans="1:14" x14ac:dyDescent="0.2">
      <c r="A986" t="s">
        <v>2063</v>
      </c>
      <c r="B986" t="s">
        <v>1062</v>
      </c>
      <c r="C986" s="9">
        <v>45026</v>
      </c>
      <c r="D986" t="s">
        <v>442</v>
      </c>
      <c r="E986" s="13">
        <v>2625000</v>
      </c>
      <c r="F986" s="13">
        <v>16650</v>
      </c>
      <c r="G986" s="9">
        <v>45055</v>
      </c>
      <c r="H986" t="s">
        <v>1111</v>
      </c>
      <c r="I986" t="s">
        <v>916</v>
      </c>
      <c r="J986" s="13">
        <v>87412</v>
      </c>
      <c r="K986">
        <v>1</v>
      </c>
      <c r="L986" t="s">
        <v>1064</v>
      </c>
      <c r="M986" t="s">
        <v>1065</v>
      </c>
      <c r="N986" s="15" t="s">
        <v>6878</v>
      </c>
    </row>
    <row r="987" spans="1:14" x14ac:dyDescent="0.2">
      <c r="A987" t="s">
        <v>2064</v>
      </c>
      <c r="B987" t="s">
        <v>1062</v>
      </c>
      <c r="C987" s="9">
        <v>45026</v>
      </c>
      <c r="D987" t="s">
        <v>442</v>
      </c>
      <c r="E987" s="13">
        <v>2250000</v>
      </c>
      <c r="F987" s="13">
        <v>16650</v>
      </c>
      <c r="G987" s="9">
        <v>45055</v>
      </c>
      <c r="H987" t="s">
        <v>1111</v>
      </c>
      <c r="I987" t="s">
        <v>916</v>
      </c>
      <c r="J987" s="13">
        <v>74925</v>
      </c>
      <c r="K987">
        <v>1</v>
      </c>
      <c r="L987" t="s">
        <v>1064</v>
      </c>
      <c r="M987" t="s">
        <v>1065</v>
      </c>
      <c r="N987" s="15" t="s">
        <v>6878</v>
      </c>
    </row>
    <row r="988" spans="1:14" x14ac:dyDescent="0.2">
      <c r="A988" t="s">
        <v>2065</v>
      </c>
      <c r="B988" t="s">
        <v>1062</v>
      </c>
      <c r="C988" s="9">
        <v>45026</v>
      </c>
      <c r="D988" t="s">
        <v>442</v>
      </c>
      <c r="E988" s="13">
        <v>2000000</v>
      </c>
      <c r="F988" s="13">
        <v>16650</v>
      </c>
      <c r="G988" s="9">
        <v>45055</v>
      </c>
      <c r="H988" t="s">
        <v>1111</v>
      </c>
      <c r="I988" t="s">
        <v>916</v>
      </c>
      <c r="J988" s="13">
        <v>66600</v>
      </c>
      <c r="K988">
        <v>1</v>
      </c>
      <c r="L988" t="s">
        <v>1064</v>
      </c>
      <c r="M988" t="s">
        <v>1065</v>
      </c>
      <c r="N988" s="15" t="s">
        <v>6878</v>
      </c>
    </row>
    <row r="989" spans="1:14" x14ac:dyDescent="0.2">
      <c r="A989" t="s">
        <v>2066</v>
      </c>
      <c r="B989" t="s">
        <v>1062</v>
      </c>
      <c r="C989" s="9">
        <v>45026</v>
      </c>
      <c r="D989" t="s">
        <v>442</v>
      </c>
      <c r="E989" s="13">
        <v>3250000</v>
      </c>
      <c r="F989" s="13">
        <v>16650</v>
      </c>
      <c r="G989" s="9">
        <v>45055</v>
      </c>
      <c r="H989" t="s">
        <v>1111</v>
      </c>
      <c r="I989" t="s">
        <v>916</v>
      </c>
      <c r="J989" s="13">
        <v>108225</v>
      </c>
      <c r="K989">
        <v>1</v>
      </c>
      <c r="L989" t="s">
        <v>1064</v>
      </c>
      <c r="M989" t="s">
        <v>1065</v>
      </c>
      <c r="N989" s="15" t="s">
        <v>6878</v>
      </c>
    </row>
    <row r="990" spans="1:14" x14ac:dyDescent="0.2">
      <c r="A990" t="s">
        <v>2067</v>
      </c>
      <c r="B990" t="s">
        <v>1062</v>
      </c>
      <c r="C990" s="9">
        <v>45026</v>
      </c>
      <c r="D990" t="s">
        <v>442</v>
      </c>
      <c r="E990" s="13">
        <v>1500000</v>
      </c>
      <c r="F990" s="13">
        <v>16650</v>
      </c>
      <c r="G990" s="9">
        <v>45055</v>
      </c>
      <c r="H990" t="s">
        <v>1111</v>
      </c>
      <c r="I990" t="s">
        <v>916</v>
      </c>
      <c r="J990" s="13">
        <v>49950</v>
      </c>
      <c r="K990">
        <v>1</v>
      </c>
      <c r="L990" t="s">
        <v>1064</v>
      </c>
      <c r="M990" t="s">
        <v>1065</v>
      </c>
      <c r="N990" s="15" t="s">
        <v>6878</v>
      </c>
    </row>
    <row r="991" spans="1:14" x14ac:dyDescent="0.2">
      <c r="A991" t="s">
        <v>2068</v>
      </c>
      <c r="B991" t="s">
        <v>1062</v>
      </c>
      <c r="C991" s="9">
        <v>45026</v>
      </c>
      <c r="D991" t="s">
        <v>442</v>
      </c>
      <c r="E991" s="13">
        <v>1500000</v>
      </c>
      <c r="F991" s="13">
        <v>16650</v>
      </c>
      <c r="G991" s="9">
        <v>45055</v>
      </c>
      <c r="H991" t="s">
        <v>1111</v>
      </c>
      <c r="I991" t="s">
        <v>916</v>
      </c>
      <c r="J991" s="13">
        <v>49950</v>
      </c>
      <c r="K991">
        <v>1</v>
      </c>
      <c r="L991" t="s">
        <v>1064</v>
      </c>
      <c r="M991" t="s">
        <v>1065</v>
      </c>
      <c r="N991" s="15" t="s">
        <v>6878</v>
      </c>
    </row>
    <row r="992" spans="1:14" x14ac:dyDescent="0.2">
      <c r="A992" t="s">
        <v>2069</v>
      </c>
      <c r="B992" t="s">
        <v>1062</v>
      </c>
      <c r="C992" s="9">
        <v>45026</v>
      </c>
      <c r="D992" t="s">
        <v>442</v>
      </c>
      <c r="E992" s="13">
        <v>2325000</v>
      </c>
      <c r="F992" s="13">
        <v>16650</v>
      </c>
      <c r="G992" s="9">
        <v>45055</v>
      </c>
      <c r="H992" t="s">
        <v>1111</v>
      </c>
      <c r="I992" t="s">
        <v>916</v>
      </c>
      <c r="J992" s="13">
        <v>77422</v>
      </c>
      <c r="K992">
        <v>1</v>
      </c>
      <c r="L992" t="s">
        <v>1064</v>
      </c>
      <c r="M992" t="s">
        <v>1065</v>
      </c>
      <c r="N992" s="15" t="s">
        <v>6878</v>
      </c>
    </row>
    <row r="993" spans="1:14" x14ac:dyDescent="0.2">
      <c r="A993" t="s">
        <v>2070</v>
      </c>
      <c r="B993" t="s">
        <v>1062</v>
      </c>
      <c r="C993" s="9">
        <v>45026</v>
      </c>
      <c r="D993" t="s">
        <v>442</v>
      </c>
      <c r="E993" s="13">
        <v>2650000</v>
      </c>
      <c r="F993" s="13">
        <v>16650</v>
      </c>
      <c r="G993" s="9">
        <v>45055</v>
      </c>
      <c r="H993" t="s">
        <v>1111</v>
      </c>
      <c r="I993" t="s">
        <v>916</v>
      </c>
      <c r="J993" s="13">
        <v>88245</v>
      </c>
      <c r="K993">
        <v>1</v>
      </c>
      <c r="L993" t="s">
        <v>1064</v>
      </c>
      <c r="M993" t="s">
        <v>1065</v>
      </c>
      <c r="N993" s="15" t="s">
        <v>6878</v>
      </c>
    </row>
    <row r="994" spans="1:14" x14ac:dyDescent="0.2">
      <c r="A994" t="s">
        <v>2071</v>
      </c>
      <c r="B994" t="s">
        <v>1062</v>
      </c>
      <c r="C994" s="9">
        <v>45027</v>
      </c>
      <c r="D994" t="s">
        <v>442</v>
      </c>
      <c r="E994" s="13">
        <v>1625000</v>
      </c>
      <c r="F994" s="13">
        <v>16650</v>
      </c>
      <c r="G994" s="9">
        <v>45055</v>
      </c>
      <c r="H994" t="s">
        <v>1111</v>
      </c>
      <c r="I994" t="s">
        <v>916</v>
      </c>
      <c r="J994" s="13">
        <v>54112</v>
      </c>
      <c r="K994">
        <v>1</v>
      </c>
      <c r="L994" t="s">
        <v>1064</v>
      </c>
      <c r="M994" t="s">
        <v>1065</v>
      </c>
      <c r="N994" s="15" t="s">
        <v>6878</v>
      </c>
    </row>
    <row r="995" spans="1:14" x14ac:dyDescent="0.2">
      <c r="A995" t="s">
        <v>2072</v>
      </c>
      <c r="B995" t="s">
        <v>1062</v>
      </c>
      <c r="C995" s="9">
        <v>45027</v>
      </c>
      <c r="D995" t="s">
        <v>442</v>
      </c>
      <c r="E995" s="13">
        <v>1625000</v>
      </c>
      <c r="F995" s="13">
        <v>16650</v>
      </c>
      <c r="G995" s="9">
        <v>45055</v>
      </c>
      <c r="H995" t="s">
        <v>1111</v>
      </c>
      <c r="I995" t="s">
        <v>916</v>
      </c>
      <c r="J995" s="13">
        <v>54112</v>
      </c>
      <c r="K995">
        <v>1</v>
      </c>
      <c r="L995" t="s">
        <v>1064</v>
      </c>
      <c r="M995" t="s">
        <v>1065</v>
      </c>
      <c r="N995" s="15" t="s">
        <v>6878</v>
      </c>
    </row>
    <row r="996" spans="1:14" x14ac:dyDescent="0.2">
      <c r="A996" t="s">
        <v>2073</v>
      </c>
      <c r="B996" t="s">
        <v>1062</v>
      </c>
      <c r="C996" s="9">
        <v>45027</v>
      </c>
      <c r="D996" t="s">
        <v>442</v>
      </c>
      <c r="E996" s="13">
        <v>2575000</v>
      </c>
      <c r="F996" s="13">
        <v>16650</v>
      </c>
      <c r="G996" s="9">
        <v>45055</v>
      </c>
      <c r="H996" t="s">
        <v>1111</v>
      </c>
      <c r="I996" t="s">
        <v>916</v>
      </c>
      <c r="J996" s="13">
        <v>85747</v>
      </c>
      <c r="K996">
        <v>1</v>
      </c>
      <c r="L996" t="s">
        <v>1064</v>
      </c>
      <c r="M996" t="s">
        <v>1065</v>
      </c>
      <c r="N996" s="15" t="s">
        <v>6878</v>
      </c>
    </row>
    <row r="997" spans="1:14" x14ac:dyDescent="0.2">
      <c r="A997" t="s">
        <v>2074</v>
      </c>
      <c r="B997" t="s">
        <v>1062</v>
      </c>
      <c r="C997" s="9">
        <v>45027</v>
      </c>
      <c r="D997" t="s">
        <v>442</v>
      </c>
      <c r="E997" s="13">
        <v>2625000</v>
      </c>
      <c r="F997" s="13">
        <v>16650</v>
      </c>
      <c r="G997" s="9">
        <v>45055</v>
      </c>
      <c r="H997" t="s">
        <v>1111</v>
      </c>
      <c r="I997" t="s">
        <v>916</v>
      </c>
      <c r="J997" s="13">
        <v>87412</v>
      </c>
      <c r="K997">
        <v>1</v>
      </c>
      <c r="L997" t="s">
        <v>1064</v>
      </c>
      <c r="M997" t="s">
        <v>1065</v>
      </c>
      <c r="N997" s="15" t="s">
        <v>6878</v>
      </c>
    </row>
    <row r="998" spans="1:14" x14ac:dyDescent="0.2">
      <c r="A998" t="s">
        <v>2075</v>
      </c>
      <c r="B998" t="s">
        <v>1062</v>
      </c>
      <c r="C998" s="9">
        <v>45027</v>
      </c>
      <c r="D998" t="s">
        <v>442</v>
      </c>
      <c r="E998" s="13">
        <v>2625000</v>
      </c>
      <c r="F998" s="13">
        <v>16650</v>
      </c>
      <c r="G998" s="9">
        <v>45055</v>
      </c>
      <c r="H998" t="s">
        <v>1111</v>
      </c>
      <c r="I998" t="s">
        <v>916</v>
      </c>
      <c r="J998" s="13">
        <v>87412</v>
      </c>
      <c r="K998">
        <v>1</v>
      </c>
      <c r="L998" t="s">
        <v>1064</v>
      </c>
      <c r="M998" t="s">
        <v>1065</v>
      </c>
      <c r="N998" s="15" t="s">
        <v>6878</v>
      </c>
    </row>
    <row r="999" spans="1:14" x14ac:dyDescent="0.2">
      <c r="A999" t="s">
        <v>2076</v>
      </c>
      <c r="B999" t="s">
        <v>1062</v>
      </c>
      <c r="C999" s="9">
        <v>45027</v>
      </c>
      <c r="D999" t="s">
        <v>442</v>
      </c>
      <c r="E999" s="13">
        <v>2625000</v>
      </c>
      <c r="F999" s="13">
        <v>16650</v>
      </c>
      <c r="G999" s="9">
        <v>45055</v>
      </c>
      <c r="H999" t="s">
        <v>1111</v>
      </c>
      <c r="I999" t="s">
        <v>916</v>
      </c>
      <c r="J999" s="13">
        <v>87412</v>
      </c>
      <c r="K999">
        <v>1</v>
      </c>
      <c r="L999" t="s">
        <v>1064</v>
      </c>
      <c r="M999" t="s">
        <v>1065</v>
      </c>
      <c r="N999" s="15" t="s">
        <v>6878</v>
      </c>
    </row>
    <row r="1000" spans="1:14" x14ac:dyDescent="0.2">
      <c r="A1000" t="s">
        <v>2077</v>
      </c>
      <c r="B1000" t="s">
        <v>1062</v>
      </c>
      <c r="C1000" s="9">
        <v>45027</v>
      </c>
      <c r="D1000" t="s">
        <v>442</v>
      </c>
      <c r="E1000" s="13">
        <v>2400000</v>
      </c>
      <c r="F1000" s="13">
        <v>16650</v>
      </c>
      <c r="G1000" s="9">
        <v>45055</v>
      </c>
      <c r="H1000" t="s">
        <v>1111</v>
      </c>
      <c r="I1000" t="s">
        <v>916</v>
      </c>
      <c r="J1000" s="13">
        <v>79920</v>
      </c>
      <c r="K1000">
        <v>1</v>
      </c>
      <c r="L1000" t="s">
        <v>1064</v>
      </c>
      <c r="M1000" t="s">
        <v>1065</v>
      </c>
      <c r="N1000" s="15" t="s">
        <v>6878</v>
      </c>
    </row>
    <row r="1001" spans="1:14" x14ac:dyDescent="0.2">
      <c r="A1001" t="s">
        <v>2078</v>
      </c>
      <c r="B1001" t="s">
        <v>1062</v>
      </c>
      <c r="C1001" s="9">
        <v>45027</v>
      </c>
      <c r="D1001" t="s">
        <v>442</v>
      </c>
      <c r="E1001" s="13">
        <v>2625000</v>
      </c>
      <c r="F1001" s="13">
        <v>16650</v>
      </c>
      <c r="G1001" s="9">
        <v>45055</v>
      </c>
      <c r="H1001" t="s">
        <v>1111</v>
      </c>
      <c r="I1001" t="s">
        <v>916</v>
      </c>
      <c r="J1001" s="13">
        <v>87412</v>
      </c>
      <c r="K1001">
        <v>1</v>
      </c>
      <c r="L1001" t="s">
        <v>1064</v>
      </c>
      <c r="M1001" t="s">
        <v>1065</v>
      </c>
      <c r="N1001" s="15" t="s">
        <v>6878</v>
      </c>
    </row>
    <row r="1002" spans="1:14" x14ac:dyDescent="0.2">
      <c r="A1002" t="s">
        <v>2079</v>
      </c>
      <c r="B1002" t="s">
        <v>1062</v>
      </c>
      <c r="C1002" s="9">
        <v>45027</v>
      </c>
      <c r="D1002" t="s">
        <v>442</v>
      </c>
      <c r="E1002" s="13">
        <v>1950000</v>
      </c>
      <c r="F1002" s="13">
        <v>16650</v>
      </c>
      <c r="G1002" s="9">
        <v>45055</v>
      </c>
      <c r="H1002" t="s">
        <v>1111</v>
      </c>
      <c r="I1002" t="s">
        <v>916</v>
      </c>
      <c r="J1002" s="13">
        <v>64935</v>
      </c>
      <c r="K1002">
        <v>1</v>
      </c>
      <c r="L1002" t="s">
        <v>1064</v>
      </c>
      <c r="M1002" t="s">
        <v>1065</v>
      </c>
      <c r="N1002" s="15" t="s">
        <v>6878</v>
      </c>
    </row>
    <row r="1003" spans="1:14" x14ac:dyDescent="0.2">
      <c r="A1003" t="s">
        <v>2080</v>
      </c>
      <c r="B1003" t="s">
        <v>1062</v>
      </c>
      <c r="C1003" s="9">
        <v>45027</v>
      </c>
      <c r="D1003" t="s">
        <v>442</v>
      </c>
      <c r="E1003" s="13">
        <v>3325000</v>
      </c>
      <c r="F1003" s="13">
        <v>16650</v>
      </c>
      <c r="G1003" s="9">
        <v>45055</v>
      </c>
      <c r="H1003" t="s">
        <v>1111</v>
      </c>
      <c r="I1003" t="s">
        <v>916</v>
      </c>
      <c r="J1003" s="13">
        <v>110722</v>
      </c>
      <c r="K1003">
        <v>1</v>
      </c>
      <c r="L1003" t="s">
        <v>1064</v>
      </c>
      <c r="M1003" t="s">
        <v>1065</v>
      </c>
      <c r="N1003" s="15" t="s">
        <v>6878</v>
      </c>
    </row>
    <row r="1004" spans="1:14" x14ac:dyDescent="0.2">
      <c r="A1004" t="s">
        <v>2081</v>
      </c>
      <c r="B1004" t="s">
        <v>1062</v>
      </c>
      <c r="C1004" s="9">
        <v>45027</v>
      </c>
      <c r="D1004" t="s">
        <v>442</v>
      </c>
      <c r="E1004" s="13">
        <v>1575000</v>
      </c>
      <c r="F1004" s="13">
        <v>16650</v>
      </c>
      <c r="G1004" s="9">
        <v>45055</v>
      </c>
      <c r="H1004" t="s">
        <v>1111</v>
      </c>
      <c r="I1004" t="s">
        <v>916</v>
      </c>
      <c r="J1004" s="13">
        <v>52447</v>
      </c>
      <c r="K1004">
        <v>1</v>
      </c>
      <c r="L1004" t="s">
        <v>1064</v>
      </c>
      <c r="M1004" t="s">
        <v>1065</v>
      </c>
      <c r="N1004" s="15" t="s">
        <v>6878</v>
      </c>
    </row>
    <row r="1005" spans="1:14" x14ac:dyDescent="0.2">
      <c r="A1005" t="s">
        <v>2082</v>
      </c>
      <c r="B1005" t="s">
        <v>1062</v>
      </c>
      <c r="C1005" s="9">
        <v>45027</v>
      </c>
      <c r="D1005" t="s">
        <v>442</v>
      </c>
      <c r="E1005" s="13">
        <v>825000</v>
      </c>
      <c r="F1005" s="13">
        <v>16650</v>
      </c>
      <c r="G1005" s="9">
        <v>45055</v>
      </c>
      <c r="H1005" t="s">
        <v>1111</v>
      </c>
      <c r="I1005" t="s">
        <v>916</v>
      </c>
      <c r="J1005" s="13">
        <v>27472</v>
      </c>
      <c r="K1005">
        <v>1</v>
      </c>
      <c r="L1005" t="s">
        <v>1064</v>
      </c>
      <c r="M1005" t="s">
        <v>1065</v>
      </c>
      <c r="N1005" s="15" t="s">
        <v>6878</v>
      </c>
    </row>
    <row r="1006" spans="1:14" x14ac:dyDescent="0.2">
      <c r="A1006" t="s">
        <v>2083</v>
      </c>
      <c r="B1006" t="s">
        <v>1062</v>
      </c>
      <c r="C1006" s="9">
        <v>45027</v>
      </c>
      <c r="D1006" t="s">
        <v>442</v>
      </c>
      <c r="E1006" s="13">
        <v>2625000</v>
      </c>
      <c r="F1006" s="13">
        <v>16650</v>
      </c>
      <c r="G1006" s="9">
        <v>45055</v>
      </c>
      <c r="H1006" t="s">
        <v>1111</v>
      </c>
      <c r="I1006" t="s">
        <v>916</v>
      </c>
      <c r="J1006" s="13">
        <v>87412</v>
      </c>
      <c r="K1006">
        <v>1</v>
      </c>
      <c r="L1006" t="s">
        <v>1064</v>
      </c>
      <c r="M1006" t="s">
        <v>1065</v>
      </c>
      <c r="N1006" s="15" t="s">
        <v>6878</v>
      </c>
    </row>
    <row r="1007" spans="1:14" x14ac:dyDescent="0.2">
      <c r="A1007" t="s">
        <v>2084</v>
      </c>
      <c r="B1007" t="s">
        <v>1062</v>
      </c>
      <c r="C1007" s="9">
        <v>45027</v>
      </c>
      <c r="D1007" t="s">
        <v>442</v>
      </c>
      <c r="E1007" s="13">
        <v>3000000</v>
      </c>
      <c r="F1007" s="13">
        <v>16650</v>
      </c>
      <c r="G1007" s="9">
        <v>45058</v>
      </c>
      <c r="H1007" t="s">
        <v>1111</v>
      </c>
      <c r="I1007" t="s">
        <v>916</v>
      </c>
      <c r="J1007" s="13">
        <v>99900</v>
      </c>
      <c r="K1007">
        <v>1</v>
      </c>
      <c r="L1007" t="s">
        <v>1064</v>
      </c>
      <c r="M1007" t="s">
        <v>1065</v>
      </c>
      <c r="N1007" s="15" t="s">
        <v>6878</v>
      </c>
    </row>
    <row r="1008" spans="1:14" x14ac:dyDescent="0.2">
      <c r="A1008" t="s">
        <v>2085</v>
      </c>
      <c r="B1008" t="s">
        <v>1062</v>
      </c>
      <c r="C1008" s="9">
        <v>45028</v>
      </c>
      <c r="D1008" t="s">
        <v>442</v>
      </c>
      <c r="E1008" s="13">
        <v>1000000</v>
      </c>
      <c r="F1008" s="13">
        <v>16650</v>
      </c>
      <c r="G1008" s="9">
        <v>45055</v>
      </c>
      <c r="H1008" t="s">
        <v>1111</v>
      </c>
      <c r="I1008" t="s">
        <v>916</v>
      </c>
      <c r="J1008" s="13">
        <v>33300</v>
      </c>
      <c r="K1008">
        <v>1</v>
      </c>
      <c r="L1008" t="s">
        <v>1064</v>
      </c>
      <c r="M1008" t="s">
        <v>1065</v>
      </c>
      <c r="N1008" s="15" t="s">
        <v>6878</v>
      </c>
    </row>
    <row r="1009" spans="1:14" x14ac:dyDescent="0.2">
      <c r="A1009" t="s">
        <v>2086</v>
      </c>
      <c r="B1009" t="s">
        <v>1062</v>
      </c>
      <c r="C1009" s="9">
        <v>45029</v>
      </c>
      <c r="D1009" t="s">
        <v>442</v>
      </c>
      <c r="E1009" s="13">
        <v>1950000</v>
      </c>
      <c r="F1009" s="13">
        <v>16650</v>
      </c>
      <c r="G1009" s="9">
        <v>45055</v>
      </c>
      <c r="H1009" t="s">
        <v>1111</v>
      </c>
      <c r="I1009" t="s">
        <v>916</v>
      </c>
      <c r="J1009" s="13">
        <v>64935</v>
      </c>
      <c r="K1009">
        <v>1</v>
      </c>
      <c r="L1009" t="s">
        <v>1064</v>
      </c>
      <c r="M1009" t="s">
        <v>1065</v>
      </c>
      <c r="N1009" s="15" t="s">
        <v>6878</v>
      </c>
    </row>
    <row r="1010" spans="1:14" x14ac:dyDescent="0.2">
      <c r="A1010" t="s">
        <v>2087</v>
      </c>
      <c r="B1010" t="s">
        <v>1062</v>
      </c>
      <c r="C1010" s="9">
        <v>45029</v>
      </c>
      <c r="D1010" t="s">
        <v>442</v>
      </c>
      <c r="E1010" s="13">
        <v>1450000</v>
      </c>
      <c r="F1010" s="13">
        <v>16650</v>
      </c>
      <c r="G1010" s="9">
        <v>45055</v>
      </c>
      <c r="H1010" t="s">
        <v>1111</v>
      </c>
      <c r="I1010" t="s">
        <v>916</v>
      </c>
      <c r="J1010" s="13">
        <v>48285</v>
      </c>
      <c r="K1010">
        <v>1</v>
      </c>
      <c r="L1010" t="s">
        <v>1064</v>
      </c>
      <c r="M1010" t="s">
        <v>1065</v>
      </c>
      <c r="N1010" s="15" t="s">
        <v>6878</v>
      </c>
    </row>
    <row r="1011" spans="1:14" x14ac:dyDescent="0.2">
      <c r="A1011" t="s">
        <v>2088</v>
      </c>
      <c r="B1011" t="s">
        <v>1062</v>
      </c>
      <c r="C1011" s="9">
        <v>45029</v>
      </c>
      <c r="D1011" t="s">
        <v>442</v>
      </c>
      <c r="E1011" s="13">
        <v>2625000</v>
      </c>
      <c r="F1011" s="13">
        <v>16650</v>
      </c>
      <c r="G1011" s="9">
        <v>45055</v>
      </c>
      <c r="H1011" t="s">
        <v>1111</v>
      </c>
      <c r="I1011" t="s">
        <v>916</v>
      </c>
      <c r="J1011" s="13">
        <v>87412</v>
      </c>
      <c r="K1011">
        <v>1</v>
      </c>
      <c r="L1011" t="s">
        <v>1064</v>
      </c>
      <c r="M1011" t="s">
        <v>1065</v>
      </c>
      <c r="N1011" s="15" t="s">
        <v>6878</v>
      </c>
    </row>
    <row r="1012" spans="1:14" x14ac:dyDescent="0.2">
      <c r="A1012" t="s">
        <v>2089</v>
      </c>
      <c r="B1012" t="s">
        <v>1062</v>
      </c>
      <c r="C1012" s="9">
        <v>45029</v>
      </c>
      <c r="D1012" t="s">
        <v>442</v>
      </c>
      <c r="E1012" s="13">
        <v>2625000</v>
      </c>
      <c r="F1012" s="13">
        <v>16650</v>
      </c>
      <c r="G1012" s="9">
        <v>45055</v>
      </c>
      <c r="H1012" t="s">
        <v>1111</v>
      </c>
      <c r="I1012" t="s">
        <v>916</v>
      </c>
      <c r="J1012" s="13">
        <v>87412</v>
      </c>
      <c r="K1012">
        <v>1</v>
      </c>
      <c r="L1012" t="s">
        <v>1064</v>
      </c>
      <c r="M1012" t="s">
        <v>1065</v>
      </c>
      <c r="N1012" s="15" t="s">
        <v>6878</v>
      </c>
    </row>
    <row r="1013" spans="1:14" x14ac:dyDescent="0.2">
      <c r="A1013" t="s">
        <v>2090</v>
      </c>
      <c r="B1013" t="s">
        <v>1062</v>
      </c>
      <c r="C1013" s="9">
        <v>45029</v>
      </c>
      <c r="D1013" t="s">
        <v>442</v>
      </c>
      <c r="E1013" s="13">
        <v>2625000</v>
      </c>
      <c r="F1013" s="13">
        <v>16650</v>
      </c>
      <c r="G1013" s="9">
        <v>45055</v>
      </c>
      <c r="H1013" t="s">
        <v>1111</v>
      </c>
      <c r="I1013" t="s">
        <v>916</v>
      </c>
      <c r="J1013" s="13">
        <v>87412</v>
      </c>
      <c r="K1013">
        <v>1</v>
      </c>
      <c r="L1013" t="s">
        <v>1064</v>
      </c>
      <c r="M1013" t="s">
        <v>1065</v>
      </c>
      <c r="N1013" s="15" t="s">
        <v>6878</v>
      </c>
    </row>
    <row r="1014" spans="1:14" x14ac:dyDescent="0.2">
      <c r="A1014" t="s">
        <v>2091</v>
      </c>
      <c r="B1014" t="s">
        <v>1062</v>
      </c>
      <c r="C1014" s="9">
        <v>45029</v>
      </c>
      <c r="D1014" t="s">
        <v>442</v>
      </c>
      <c r="E1014" s="13">
        <v>2250000</v>
      </c>
      <c r="F1014" s="13">
        <v>16650</v>
      </c>
      <c r="G1014" s="9">
        <v>45055</v>
      </c>
      <c r="H1014" t="s">
        <v>1111</v>
      </c>
      <c r="I1014" t="s">
        <v>916</v>
      </c>
      <c r="J1014" s="13">
        <v>74925</v>
      </c>
      <c r="K1014">
        <v>1</v>
      </c>
      <c r="L1014" t="s">
        <v>1064</v>
      </c>
      <c r="M1014" t="s">
        <v>1065</v>
      </c>
      <c r="N1014" s="15" t="s">
        <v>6878</v>
      </c>
    </row>
    <row r="1015" spans="1:14" x14ac:dyDescent="0.2">
      <c r="A1015" t="s">
        <v>2092</v>
      </c>
      <c r="B1015" t="s">
        <v>1062</v>
      </c>
      <c r="C1015" s="9">
        <v>45029</v>
      </c>
      <c r="D1015" t="s">
        <v>442</v>
      </c>
      <c r="E1015" s="13">
        <v>3125000</v>
      </c>
      <c r="F1015" s="13">
        <v>16650</v>
      </c>
      <c r="G1015" s="9">
        <v>45055</v>
      </c>
      <c r="H1015" t="s">
        <v>1111</v>
      </c>
      <c r="I1015" t="s">
        <v>916</v>
      </c>
      <c r="J1015" s="13">
        <v>104062</v>
      </c>
      <c r="K1015">
        <v>1</v>
      </c>
      <c r="L1015" t="s">
        <v>1064</v>
      </c>
      <c r="M1015" t="s">
        <v>1065</v>
      </c>
      <c r="N1015" s="15" t="s">
        <v>6878</v>
      </c>
    </row>
    <row r="1016" spans="1:14" x14ac:dyDescent="0.2">
      <c r="A1016" t="s">
        <v>2093</v>
      </c>
      <c r="B1016" t="s">
        <v>1062</v>
      </c>
      <c r="C1016" s="9">
        <v>45029</v>
      </c>
      <c r="D1016" t="s">
        <v>442</v>
      </c>
      <c r="E1016" s="13">
        <v>1950000</v>
      </c>
      <c r="F1016" s="13">
        <v>16650</v>
      </c>
      <c r="G1016" s="9">
        <v>45055</v>
      </c>
      <c r="H1016" t="s">
        <v>1111</v>
      </c>
      <c r="I1016" t="s">
        <v>916</v>
      </c>
      <c r="J1016" s="13">
        <v>64935</v>
      </c>
      <c r="K1016">
        <v>1</v>
      </c>
      <c r="L1016" t="s">
        <v>1064</v>
      </c>
      <c r="M1016" t="s">
        <v>1065</v>
      </c>
      <c r="N1016" s="15" t="s">
        <v>6878</v>
      </c>
    </row>
    <row r="1017" spans="1:14" x14ac:dyDescent="0.2">
      <c r="A1017" t="s">
        <v>2094</v>
      </c>
      <c r="B1017" t="s">
        <v>1062</v>
      </c>
      <c r="C1017" s="9">
        <v>45029</v>
      </c>
      <c r="D1017" t="s">
        <v>442</v>
      </c>
      <c r="E1017" s="13">
        <v>2575000</v>
      </c>
      <c r="F1017" s="13">
        <v>16650</v>
      </c>
      <c r="G1017" s="9">
        <v>45055</v>
      </c>
      <c r="H1017" t="s">
        <v>1111</v>
      </c>
      <c r="I1017" t="s">
        <v>916</v>
      </c>
      <c r="J1017" s="13">
        <v>85747</v>
      </c>
      <c r="K1017">
        <v>1</v>
      </c>
      <c r="L1017" t="s">
        <v>1064</v>
      </c>
      <c r="M1017" t="s">
        <v>1065</v>
      </c>
      <c r="N1017" s="15" t="s">
        <v>6878</v>
      </c>
    </row>
    <row r="1018" spans="1:14" x14ac:dyDescent="0.2">
      <c r="A1018" t="s">
        <v>2095</v>
      </c>
      <c r="B1018" t="s">
        <v>1062</v>
      </c>
      <c r="C1018" s="9">
        <v>45029</v>
      </c>
      <c r="D1018" t="s">
        <v>442</v>
      </c>
      <c r="E1018" s="13">
        <v>2325000</v>
      </c>
      <c r="F1018" s="13">
        <v>16650</v>
      </c>
      <c r="G1018" s="9">
        <v>45055</v>
      </c>
      <c r="H1018" t="s">
        <v>1111</v>
      </c>
      <c r="I1018" t="s">
        <v>916</v>
      </c>
      <c r="J1018" s="13">
        <v>77422</v>
      </c>
      <c r="K1018">
        <v>1</v>
      </c>
      <c r="L1018" t="s">
        <v>1064</v>
      </c>
      <c r="M1018" t="s">
        <v>1065</v>
      </c>
      <c r="N1018" s="15" t="s">
        <v>6878</v>
      </c>
    </row>
    <row r="1019" spans="1:14" x14ac:dyDescent="0.2">
      <c r="A1019" t="s">
        <v>2096</v>
      </c>
      <c r="B1019" t="s">
        <v>1062</v>
      </c>
      <c r="C1019" s="9">
        <v>45029</v>
      </c>
      <c r="D1019" t="s">
        <v>442</v>
      </c>
      <c r="E1019" s="13">
        <v>2400000</v>
      </c>
      <c r="F1019" s="13">
        <v>16650</v>
      </c>
      <c r="G1019" s="9">
        <v>45055</v>
      </c>
      <c r="H1019" t="s">
        <v>1111</v>
      </c>
      <c r="I1019" t="s">
        <v>916</v>
      </c>
      <c r="J1019" s="13">
        <v>79920</v>
      </c>
      <c r="K1019">
        <v>1</v>
      </c>
      <c r="L1019" t="s">
        <v>1064</v>
      </c>
      <c r="M1019" t="s">
        <v>1065</v>
      </c>
      <c r="N1019" s="15" t="s">
        <v>6878</v>
      </c>
    </row>
    <row r="1020" spans="1:14" x14ac:dyDescent="0.2">
      <c r="A1020" t="s">
        <v>2097</v>
      </c>
      <c r="B1020" t="s">
        <v>1062</v>
      </c>
      <c r="C1020" s="9">
        <v>45029</v>
      </c>
      <c r="D1020" t="s">
        <v>442</v>
      </c>
      <c r="E1020" s="13">
        <v>2625000</v>
      </c>
      <c r="F1020" s="13">
        <v>16650</v>
      </c>
      <c r="G1020" s="9">
        <v>45056</v>
      </c>
      <c r="H1020" t="s">
        <v>1111</v>
      </c>
      <c r="I1020" t="s">
        <v>916</v>
      </c>
      <c r="J1020" s="13">
        <v>87412</v>
      </c>
      <c r="K1020">
        <v>1</v>
      </c>
      <c r="L1020" t="s">
        <v>1064</v>
      </c>
      <c r="M1020" t="s">
        <v>1065</v>
      </c>
      <c r="N1020" s="15" t="s">
        <v>6878</v>
      </c>
    </row>
    <row r="1021" spans="1:14" x14ac:dyDescent="0.2">
      <c r="A1021" t="s">
        <v>2098</v>
      </c>
      <c r="B1021" t="s">
        <v>1062</v>
      </c>
      <c r="C1021" s="9">
        <v>45029</v>
      </c>
      <c r="D1021" t="s">
        <v>442</v>
      </c>
      <c r="E1021" s="13">
        <v>2625000</v>
      </c>
      <c r="F1021" s="13">
        <v>16650</v>
      </c>
      <c r="G1021" s="9">
        <v>45056</v>
      </c>
      <c r="H1021" t="s">
        <v>1111</v>
      </c>
      <c r="I1021" t="s">
        <v>916</v>
      </c>
      <c r="J1021" s="13">
        <v>87412</v>
      </c>
      <c r="K1021">
        <v>1</v>
      </c>
      <c r="L1021" t="s">
        <v>1064</v>
      </c>
      <c r="M1021" t="s">
        <v>1065</v>
      </c>
      <c r="N1021" s="15" t="s">
        <v>6878</v>
      </c>
    </row>
    <row r="1022" spans="1:14" x14ac:dyDescent="0.2">
      <c r="A1022" t="s">
        <v>2099</v>
      </c>
      <c r="B1022" t="s">
        <v>1062</v>
      </c>
      <c r="C1022" s="9">
        <v>45030</v>
      </c>
      <c r="D1022" t="s">
        <v>442</v>
      </c>
      <c r="E1022" s="13">
        <v>1575000</v>
      </c>
      <c r="F1022" s="13">
        <v>16650</v>
      </c>
      <c r="G1022" s="9">
        <v>45056</v>
      </c>
      <c r="H1022" t="s">
        <v>1111</v>
      </c>
      <c r="I1022" t="s">
        <v>916</v>
      </c>
      <c r="J1022" s="13">
        <v>52447</v>
      </c>
      <c r="K1022">
        <v>1</v>
      </c>
      <c r="L1022" t="s">
        <v>1064</v>
      </c>
      <c r="M1022" t="s">
        <v>1065</v>
      </c>
      <c r="N1022" s="15" t="s">
        <v>6878</v>
      </c>
    </row>
    <row r="1023" spans="1:14" x14ac:dyDescent="0.2">
      <c r="A1023" t="s">
        <v>2100</v>
      </c>
      <c r="B1023" t="s">
        <v>1062</v>
      </c>
      <c r="C1023" s="9">
        <v>45030</v>
      </c>
      <c r="D1023" t="s">
        <v>442</v>
      </c>
      <c r="E1023" s="13">
        <v>2950000</v>
      </c>
      <c r="F1023" s="13">
        <v>16650</v>
      </c>
      <c r="G1023" s="9">
        <v>45056</v>
      </c>
      <c r="H1023" t="s">
        <v>1111</v>
      </c>
      <c r="I1023" t="s">
        <v>916</v>
      </c>
      <c r="J1023" s="13">
        <v>98235</v>
      </c>
      <c r="K1023">
        <v>1</v>
      </c>
      <c r="L1023" t="s">
        <v>1064</v>
      </c>
      <c r="M1023" t="s">
        <v>1065</v>
      </c>
      <c r="N1023" s="15" t="s">
        <v>6878</v>
      </c>
    </row>
    <row r="1024" spans="1:14" x14ac:dyDescent="0.2">
      <c r="A1024" t="s">
        <v>2101</v>
      </c>
      <c r="B1024" t="s">
        <v>1062</v>
      </c>
      <c r="C1024" s="9">
        <v>45030</v>
      </c>
      <c r="D1024" t="s">
        <v>442</v>
      </c>
      <c r="E1024" s="13">
        <v>2250000</v>
      </c>
      <c r="F1024" s="13">
        <v>16650</v>
      </c>
      <c r="G1024" s="9">
        <v>45056</v>
      </c>
      <c r="H1024" t="s">
        <v>1111</v>
      </c>
      <c r="I1024" t="s">
        <v>916</v>
      </c>
      <c r="J1024" s="13">
        <v>74925</v>
      </c>
      <c r="K1024">
        <v>1</v>
      </c>
      <c r="L1024" t="s">
        <v>1064</v>
      </c>
      <c r="M1024" t="s">
        <v>1065</v>
      </c>
      <c r="N1024" s="15" t="s">
        <v>6878</v>
      </c>
    </row>
    <row r="1025" spans="1:14" x14ac:dyDescent="0.2">
      <c r="A1025" t="s">
        <v>2102</v>
      </c>
      <c r="B1025" t="s">
        <v>1062</v>
      </c>
      <c r="C1025" s="9">
        <v>45030</v>
      </c>
      <c r="D1025" t="s">
        <v>442</v>
      </c>
      <c r="E1025" s="13">
        <v>2375000</v>
      </c>
      <c r="F1025" s="13">
        <v>16650</v>
      </c>
      <c r="G1025" s="9">
        <v>45056</v>
      </c>
      <c r="H1025" t="s">
        <v>1111</v>
      </c>
      <c r="I1025" t="s">
        <v>916</v>
      </c>
      <c r="J1025" s="13">
        <v>79087</v>
      </c>
      <c r="K1025">
        <v>1</v>
      </c>
      <c r="L1025" t="s">
        <v>1064</v>
      </c>
      <c r="M1025" t="s">
        <v>1065</v>
      </c>
      <c r="N1025" s="15" t="s">
        <v>6878</v>
      </c>
    </row>
    <row r="1026" spans="1:14" x14ac:dyDescent="0.2">
      <c r="A1026" t="s">
        <v>2103</v>
      </c>
      <c r="B1026" t="s">
        <v>1062</v>
      </c>
      <c r="C1026" s="9">
        <v>45030</v>
      </c>
      <c r="D1026" t="s">
        <v>442</v>
      </c>
      <c r="E1026" s="13">
        <v>3125000</v>
      </c>
      <c r="F1026" s="13">
        <v>16650</v>
      </c>
      <c r="G1026" s="9">
        <v>45056</v>
      </c>
      <c r="H1026" t="s">
        <v>1111</v>
      </c>
      <c r="I1026" t="s">
        <v>916</v>
      </c>
      <c r="J1026" s="13">
        <v>104062</v>
      </c>
      <c r="K1026">
        <v>1</v>
      </c>
      <c r="L1026" t="s">
        <v>1064</v>
      </c>
      <c r="M1026" t="s">
        <v>1065</v>
      </c>
      <c r="N1026" s="15" t="s">
        <v>6878</v>
      </c>
    </row>
    <row r="1027" spans="1:14" x14ac:dyDescent="0.2">
      <c r="A1027" t="s">
        <v>2104</v>
      </c>
      <c r="B1027" t="s">
        <v>1062</v>
      </c>
      <c r="C1027" s="9">
        <v>45030</v>
      </c>
      <c r="D1027" t="s">
        <v>442</v>
      </c>
      <c r="E1027" s="13">
        <v>2475000</v>
      </c>
      <c r="F1027" s="13">
        <v>16650</v>
      </c>
      <c r="G1027" s="9">
        <v>45056</v>
      </c>
      <c r="H1027" t="s">
        <v>1111</v>
      </c>
      <c r="I1027" t="s">
        <v>916</v>
      </c>
      <c r="J1027" s="13">
        <v>82417</v>
      </c>
      <c r="K1027">
        <v>1</v>
      </c>
      <c r="L1027" t="s">
        <v>1064</v>
      </c>
      <c r="M1027" t="s">
        <v>1065</v>
      </c>
      <c r="N1027" s="15" t="s">
        <v>6878</v>
      </c>
    </row>
    <row r="1028" spans="1:14" x14ac:dyDescent="0.2">
      <c r="A1028" t="s">
        <v>2105</v>
      </c>
      <c r="B1028" t="s">
        <v>1069</v>
      </c>
      <c r="C1028" s="9">
        <v>45030</v>
      </c>
      <c r="D1028" t="s">
        <v>968</v>
      </c>
      <c r="E1028" s="13">
        <v>16000000</v>
      </c>
      <c r="F1028" s="13"/>
      <c r="H1028" t="s">
        <v>1659</v>
      </c>
      <c r="I1028" t="s">
        <v>1137</v>
      </c>
      <c r="J1028" s="13">
        <v>0</v>
      </c>
      <c r="K1028">
        <v>10</v>
      </c>
      <c r="L1028" t="s">
        <v>1064</v>
      </c>
      <c r="M1028" t="s">
        <v>1138</v>
      </c>
      <c r="N1028" s="14" t="s">
        <v>6877</v>
      </c>
    </row>
    <row r="1029" spans="1:14" x14ac:dyDescent="0.2">
      <c r="A1029" t="s">
        <v>2106</v>
      </c>
      <c r="B1029" t="s">
        <v>1069</v>
      </c>
      <c r="C1029" s="9">
        <v>45030</v>
      </c>
      <c r="D1029" t="s">
        <v>968</v>
      </c>
      <c r="E1029" s="13">
        <v>16000000</v>
      </c>
      <c r="F1029" s="13">
        <v>532800</v>
      </c>
      <c r="G1029" s="9">
        <v>45030</v>
      </c>
      <c r="H1029" t="s">
        <v>1111</v>
      </c>
      <c r="I1029" t="s">
        <v>1137</v>
      </c>
      <c r="J1029" s="13"/>
      <c r="K1029">
        <v>10</v>
      </c>
      <c r="L1029" t="s">
        <v>1064</v>
      </c>
      <c r="M1029" t="s">
        <v>1138</v>
      </c>
      <c r="N1029" s="15" t="s">
        <v>6878</v>
      </c>
    </row>
    <row r="1030" spans="1:14" x14ac:dyDescent="0.2">
      <c r="A1030" t="s">
        <v>2107</v>
      </c>
      <c r="B1030" t="s">
        <v>1069</v>
      </c>
      <c r="C1030" s="9">
        <v>45030</v>
      </c>
      <c r="D1030" t="s">
        <v>968</v>
      </c>
      <c r="E1030" s="13">
        <v>24000000</v>
      </c>
      <c r="F1030" s="13">
        <v>799200</v>
      </c>
      <c r="G1030" s="9">
        <v>45030</v>
      </c>
      <c r="H1030" t="s">
        <v>1111</v>
      </c>
      <c r="I1030" t="s">
        <v>1137</v>
      </c>
      <c r="J1030" s="13"/>
      <c r="K1030">
        <v>15</v>
      </c>
      <c r="L1030" t="s">
        <v>1064</v>
      </c>
      <c r="M1030" t="s">
        <v>1138</v>
      </c>
      <c r="N1030" s="15" t="s">
        <v>6878</v>
      </c>
    </row>
    <row r="1031" spans="1:14" x14ac:dyDescent="0.2">
      <c r="A1031" t="s">
        <v>2108</v>
      </c>
      <c r="B1031" t="s">
        <v>1069</v>
      </c>
      <c r="C1031" s="9">
        <v>45030</v>
      </c>
      <c r="D1031" t="s">
        <v>968</v>
      </c>
      <c r="E1031" s="13">
        <v>25500000</v>
      </c>
      <c r="F1031" s="13">
        <v>849150</v>
      </c>
      <c r="G1031" s="9">
        <v>45030</v>
      </c>
      <c r="H1031" t="s">
        <v>1111</v>
      </c>
      <c r="I1031" t="s">
        <v>1137</v>
      </c>
      <c r="J1031" s="13"/>
      <c r="K1031">
        <v>15</v>
      </c>
      <c r="L1031" t="s">
        <v>1064</v>
      </c>
      <c r="M1031" t="s">
        <v>1138</v>
      </c>
      <c r="N1031" s="15" t="s">
        <v>6878</v>
      </c>
    </row>
    <row r="1032" spans="1:14" x14ac:dyDescent="0.2">
      <c r="A1032" t="s">
        <v>2109</v>
      </c>
      <c r="B1032" t="s">
        <v>1069</v>
      </c>
      <c r="C1032" s="9">
        <v>45030</v>
      </c>
      <c r="D1032" t="s">
        <v>968</v>
      </c>
      <c r="E1032" s="13">
        <v>6400000</v>
      </c>
      <c r="F1032" s="13">
        <v>213120</v>
      </c>
      <c r="G1032" s="9">
        <v>45030</v>
      </c>
      <c r="H1032" t="s">
        <v>1111</v>
      </c>
      <c r="I1032" t="s">
        <v>1137</v>
      </c>
      <c r="J1032" s="13"/>
      <c r="K1032">
        <v>4</v>
      </c>
      <c r="L1032" t="s">
        <v>1064</v>
      </c>
      <c r="M1032" t="s">
        <v>1138</v>
      </c>
      <c r="N1032" s="15" t="s">
        <v>6878</v>
      </c>
    </row>
    <row r="1033" spans="1:14" x14ac:dyDescent="0.2">
      <c r="A1033" t="s">
        <v>2110</v>
      </c>
      <c r="B1033" t="s">
        <v>1069</v>
      </c>
      <c r="C1033" s="9">
        <v>45030</v>
      </c>
      <c r="D1033" t="s">
        <v>968</v>
      </c>
      <c r="E1033" s="13">
        <v>6400000</v>
      </c>
      <c r="F1033" s="13">
        <v>213120</v>
      </c>
      <c r="G1033" s="9">
        <v>45030</v>
      </c>
      <c r="H1033" t="s">
        <v>1111</v>
      </c>
      <c r="I1033" t="s">
        <v>1137</v>
      </c>
      <c r="J1033" s="13"/>
      <c r="K1033">
        <v>4</v>
      </c>
      <c r="L1033" t="s">
        <v>1064</v>
      </c>
      <c r="M1033" t="s">
        <v>1138</v>
      </c>
      <c r="N1033" s="15" t="s">
        <v>6878</v>
      </c>
    </row>
    <row r="1034" spans="1:14" x14ac:dyDescent="0.2">
      <c r="A1034" t="s">
        <v>2111</v>
      </c>
      <c r="B1034" t="s">
        <v>1069</v>
      </c>
      <c r="C1034" s="9">
        <v>45031</v>
      </c>
      <c r="D1034" t="s">
        <v>958</v>
      </c>
      <c r="E1034" s="13">
        <v>13500329</v>
      </c>
      <c r="F1034" s="13">
        <v>199800</v>
      </c>
      <c r="G1034" s="9">
        <v>45032</v>
      </c>
      <c r="H1034" t="s">
        <v>1111</v>
      </c>
      <c r="I1034" t="s">
        <v>1074</v>
      </c>
      <c r="J1034" s="13">
        <v>299706</v>
      </c>
      <c r="K1034">
        <v>10</v>
      </c>
      <c r="L1034" t="s">
        <v>1064</v>
      </c>
      <c r="M1034" t="s">
        <v>1075</v>
      </c>
      <c r="N1034" s="15" t="s">
        <v>6878</v>
      </c>
    </row>
    <row r="1035" spans="1:14" x14ac:dyDescent="0.2">
      <c r="A1035" t="s">
        <v>2112</v>
      </c>
      <c r="B1035" t="s">
        <v>1069</v>
      </c>
      <c r="C1035" s="9">
        <v>45031</v>
      </c>
      <c r="D1035" t="s">
        <v>958</v>
      </c>
      <c r="E1035" s="13">
        <v>12296790</v>
      </c>
      <c r="F1035" s="13">
        <v>119880</v>
      </c>
      <c r="G1035" s="9">
        <v>45032</v>
      </c>
      <c r="H1035" t="s">
        <v>1111</v>
      </c>
      <c r="I1035" t="s">
        <v>1074</v>
      </c>
      <c r="J1035" s="13">
        <v>272987</v>
      </c>
      <c r="K1035">
        <v>6</v>
      </c>
      <c r="L1035" t="s">
        <v>1064</v>
      </c>
      <c r="M1035" t="s">
        <v>1075</v>
      </c>
      <c r="N1035" s="15" t="s">
        <v>6878</v>
      </c>
    </row>
    <row r="1036" spans="1:14" x14ac:dyDescent="0.2">
      <c r="A1036" t="s">
        <v>2113</v>
      </c>
      <c r="B1036" t="s">
        <v>1069</v>
      </c>
      <c r="C1036" s="9">
        <v>45031</v>
      </c>
      <c r="D1036" t="s">
        <v>958</v>
      </c>
      <c r="E1036" s="13">
        <v>4951500</v>
      </c>
      <c r="F1036" s="13">
        <v>79920</v>
      </c>
      <c r="G1036" s="9">
        <v>45032</v>
      </c>
      <c r="H1036" t="s">
        <v>1111</v>
      </c>
      <c r="I1036" t="s">
        <v>1074</v>
      </c>
      <c r="J1036" s="13">
        <v>109923</v>
      </c>
      <c r="K1036">
        <v>4</v>
      </c>
      <c r="L1036" t="s">
        <v>1064</v>
      </c>
      <c r="M1036" t="s">
        <v>1075</v>
      </c>
      <c r="N1036" s="15" t="s">
        <v>6878</v>
      </c>
    </row>
    <row r="1037" spans="1:14" x14ac:dyDescent="0.2">
      <c r="A1037" t="s">
        <v>2114</v>
      </c>
      <c r="B1037" t="s">
        <v>1069</v>
      </c>
      <c r="C1037" s="9">
        <v>45031</v>
      </c>
      <c r="D1037" t="s">
        <v>958</v>
      </c>
      <c r="E1037" s="13">
        <v>3900000</v>
      </c>
      <c r="F1037" s="13">
        <v>99900</v>
      </c>
      <c r="G1037" s="9">
        <v>45032</v>
      </c>
      <c r="H1037" t="s">
        <v>1111</v>
      </c>
      <c r="I1037" t="s">
        <v>1074</v>
      </c>
      <c r="J1037" s="13">
        <v>86580</v>
      </c>
      <c r="K1037">
        <v>5</v>
      </c>
      <c r="L1037" t="s">
        <v>1064</v>
      </c>
      <c r="M1037" t="s">
        <v>1075</v>
      </c>
      <c r="N1037" s="15" t="s">
        <v>6878</v>
      </c>
    </row>
    <row r="1038" spans="1:14" x14ac:dyDescent="0.2">
      <c r="A1038" t="s">
        <v>2115</v>
      </c>
      <c r="B1038" t="s">
        <v>1069</v>
      </c>
      <c r="C1038" s="9">
        <v>45031</v>
      </c>
      <c r="D1038" t="s">
        <v>958</v>
      </c>
      <c r="E1038" s="13">
        <v>12402998</v>
      </c>
      <c r="F1038" s="13">
        <v>139860</v>
      </c>
      <c r="G1038" s="9">
        <v>45032</v>
      </c>
      <c r="H1038" t="s">
        <v>1111</v>
      </c>
      <c r="I1038" t="s">
        <v>1074</v>
      </c>
      <c r="J1038" s="13">
        <v>275345</v>
      </c>
      <c r="K1038">
        <v>7</v>
      </c>
      <c r="L1038" t="s">
        <v>1064</v>
      </c>
      <c r="M1038" t="s">
        <v>1075</v>
      </c>
      <c r="N1038" s="15" t="s">
        <v>6878</v>
      </c>
    </row>
    <row r="1039" spans="1:14" x14ac:dyDescent="0.2">
      <c r="A1039" t="s">
        <v>2116</v>
      </c>
      <c r="B1039" t="s">
        <v>1069</v>
      </c>
      <c r="C1039" s="9">
        <v>45031</v>
      </c>
      <c r="D1039" t="s">
        <v>958</v>
      </c>
      <c r="E1039" s="13">
        <v>3900000</v>
      </c>
      <c r="F1039" s="13">
        <v>99900</v>
      </c>
      <c r="G1039" s="9">
        <v>45032</v>
      </c>
      <c r="H1039" t="s">
        <v>1111</v>
      </c>
      <c r="I1039" t="s">
        <v>1074</v>
      </c>
      <c r="J1039" s="13">
        <v>86580</v>
      </c>
      <c r="K1039">
        <v>5</v>
      </c>
      <c r="L1039" t="s">
        <v>1064</v>
      </c>
      <c r="M1039" t="s">
        <v>1075</v>
      </c>
      <c r="N1039" s="15" t="s">
        <v>6878</v>
      </c>
    </row>
    <row r="1040" spans="1:14" x14ac:dyDescent="0.2">
      <c r="A1040" t="s">
        <v>2117</v>
      </c>
      <c r="B1040" t="s">
        <v>1069</v>
      </c>
      <c r="C1040" s="9">
        <v>45031</v>
      </c>
      <c r="D1040" t="s">
        <v>958</v>
      </c>
      <c r="E1040" s="13">
        <v>9172500</v>
      </c>
      <c r="F1040" s="13">
        <v>99900</v>
      </c>
      <c r="G1040" s="9">
        <v>45032</v>
      </c>
      <c r="H1040" t="s">
        <v>1111</v>
      </c>
      <c r="I1040" t="s">
        <v>1074</v>
      </c>
      <c r="J1040" s="13">
        <v>203629</v>
      </c>
      <c r="K1040">
        <v>5</v>
      </c>
      <c r="L1040" t="s">
        <v>1064</v>
      </c>
      <c r="M1040" t="s">
        <v>1075</v>
      </c>
      <c r="N1040" s="15" t="s">
        <v>6878</v>
      </c>
    </row>
    <row r="1041" spans="1:14" x14ac:dyDescent="0.2">
      <c r="A1041" t="s">
        <v>2118</v>
      </c>
      <c r="B1041" t="s">
        <v>1069</v>
      </c>
      <c r="C1041" s="9">
        <v>45031</v>
      </c>
      <c r="D1041" t="s">
        <v>958</v>
      </c>
      <c r="E1041" s="13">
        <v>1832472</v>
      </c>
      <c r="F1041" s="13">
        <v>19980</v>
      </c>
      <c r="G1041" s="9">
        <v>45032</v>
      </c>
      <c r="H1041" t="s">
        <v>1111</v>
      </c>
      <c r="I1041" t="s">
        <v>1074</v>
      </c>
      <c r="J1041" s="13">
        <v>40680</v>
      </c>
      <c r="K1041">
        <v>1</v>
      </c>
      <c r="L1041" t="s">
        <v>1064</v>
      </c>
      <c r="M1041" t="s">
        <v>1075</v>
      </c>
      <c r="N1041" s="15" t="s">
        <v>6878</v>
      </c>
    </row>
    <row r="1042" spans="1:14" x14ac:dyDescent="0.2">
      <c r="A1042" t="s">
        <v>2119</v>
      </c>
      <c r="B1042" t="s">
        <v>1069</v>
      </c>
      <c r="C1042" s="9">
        <v>45031</v>
      </c>
      <c r="D1042" t="s">
        <v>958</v>
      </c>
      <c r="E1042" s="13">
        <v>6723000</v>
      </c>
      <c r="F1042" s="13">
        <v>79920</v>
      </c>
      <c r="G1042" s="9">
        <v>45032</v>
      </c>
      <c r="H1042" t="s">
        <v>1111</v>
      </c>
      <c r="I1042" t="s">
        <v>1074</v>
      </c>
      <c r="J1042" s="13">
        <v>149250</v>
      </c>
      <c r="K1042">
        <v>4</v>
      </c>
      <c r="L1042" t="s">
        <v>1064</v>
      </c>
      <c r="M1042" t="s">
        <v>1075</v>
      </c>
      <c r="N1042" s="15" t="s">
        <v>6878</v>
      </c>
    </row>
    <row r="1043" spans="1:14" x14ac:dyDescent="0.2">
      <c r="A1043" t="s">
        <v>2120</v>
      </c>
      <c r="B1043" t="s">
        <v>1069</v>
      </c>
      <c r="C1043" s="9">
        <v>45031</v>
      </c>
      <c r="D1043" t="s">
        <v>958</v>
      </c>
      <c r="E1043" s="13">
        <v>8639700</v>
      </c>
      <c r="F1043" s="13">
        <v>99900</v>
      </c>
      <c r="G1043" s="9">
        <v>45032</v>
      </c>
      <c r="H1043" t="s">
        <v>1111</v>
      </c>
      <c r="I1043" t="s">
        <v>1074</v>
      </c>
      <c r="J1043" s="13">
        <v>191801</v>
      </c>
      <c r="K1043">
        <v>5</v>
      </c>
      <c r="L1043" t="s">
        <v>1064</v>
      </c>
      <c r="M1043" t="s">
        <v>1075</v>
      </c>
      <c r="N1043" s="15" t="s">
        <v>6878</v>
      </c>
    </row>
    <row r="1044" spans="1:14" x14ac:dyDescent="0.2">
      <c r="A1044" t="s">
        <v>2121</v>
      </c>
      <c r="B1044" t="s">
        <v>1069</v>
      </c>
      <c r="C1044" s="9">
        <v>45032</v>
      </c>
      <c r="D1044" t="s">
        <v>958</v>
      </c>
      <c r="E1044" s="13">
        <v>10641620</v>
      </c>
      <c r="F1044" s="13">
        <v>99900</v>
      </c>
      <c r="G1044" s="9">
        <v>45032</v>
      </c>
      <c r="H1044" t="s">
        <v>1111</v>
      </c>
      <c r="I1044" t="s">
        <v>1074</v>
      </c>
      <c r="J1044" s="13">
        <v>236243</v>
      </c>
      <c r="K1044">
        <v>5</v>
      </c>
      <c r="L1044" t="s">
        <v>1064</v>
      </c>
      <c r="M1044" t="s">
        <v>1075</v>
      </c>
      <c r="N1044" s="15" t="s">
        <v>6878</v>
      </c>
    </row>
    <row r="1045" spans="1:14" x14ac:dyDescent="0.2">
      <c r="A1045" t="s">
        <v>2122</v>
      </c>
      <c r="B1045" t="s">
        <v>1062</v>
      </c>
      <c r="C1045" s="9">
        <v>45032</v>
      </c>
      <c r="D1045" t="s">
        <v>958</v>
      </c>
      <c r="E1045" s="13">
        <v>11350000</v>
      </c>
      <c r="F1045" s="13">
        <v>199800</v>
      </c>
      <c r="G1045" s="9">
        <v>45032</v>
      </c>
      <c r="H1045" t="s">
        <v>1111</v>
      </c>
      <c r="I1045" t="s">
        <v>1074</v>
      </c>
      <c r="J1045" s="13">
        <v>251970</v>
      </c>
      <c r="K1045">
        <v>10</v>
      </c>
      <c r="L1045" t="s">
        <v>1064</v>
      </c>
      <c r="M1045" t="s">
        <v>1075</v>
      </c>
      <c r="N1045" s="15" t="s">
        <v>6878</v>
      </c>
    </row>
    <row r="1046" spans="1:14" x14ac:dyDescent="0.2">
      <c r="A1046" t="s">
        <v>2123</v>
      </c>
      <c r="B1046" t="s">
        <v>1062</v>
      </c>
      <c r="C1046" s="9">
        <v>45032</v>
      </c>
      <c r="D1046" t="s">
        <v>958</v>
      </c>
      <c r="E1046" s="13">
        <v>3450000</v>
      </c>
      <c r="F1046" s="13">
        <v>18000</v>
      </c>
      <c r="H1046" t="s">
        <v>1659</v>
      </c>
      <c r="I1046" t="s">
        <v>1074</v>
      </c>
      <c r="J1046" s="13">
        <v>0</v>
      </c>
      <c r="K1046">
        <v>6</v>
      </c>
      <c r="L1046" t="s">
        <v>1064</v>
      </c>
      <c r="M1046" t="s">
        <v>1075</v>
      </c>
      <c r="N1046" s="14" t="s">
        <v>6877</v>
      </c>
    </row>
    <row r="1047" spans="1:14" x14ac:dyDescent="0.2">
      <c r="A1047" t="s">
        <v>2124</v>
      </c>
      <c r="B1047" t="s">
        <v>1062</v>
      </c>
      <c r="C1047" s="9">
        <v>45032</v>
      </c>
      <c r="D1047" t="s">
        <v>958</v>
      </c>
      <c r="E1047" s="13">
        <v>22700000</v>
      </c>
      <c r="F1047" s="13">
        <v>399600</v>
      </c>
      <c r="G1047" s="9">
        <v>45032</v>
      </c>
      <c r="H1047" t="s">
        <v>1111</v>
      </c>
      <c r="I1047" t="s">
        <v>1074</v>
      </c>
      <c r="J1047" s="13">
        <v>503940</v>
      </c>
      <c r="K1047">
        <v>20</v>
      </c>
      <c r="L1047" t="s">
        <v>1064</v>
      </c>
      <c r="M1047" t="s">
        <v>1075</v>
      </c>
      <c r="N1047" s="15" t="s">
        <v>6878</v>
      </c>
    </row>
    <row r="1048" spans="1:14" x14ac:dyDescent="0.2">
      <c r="A1048" t="s">
        <v>2125</v>
      </c>
      <c r="B1048" t="s">
        <v>1062</v>
      </c>
      <c r="C1048" s="9">
        <v>45032</v>
      </c>
      <c r="D1048" t="s">
        <v>958</v>
      </c>
      <c r="E1048" s="13">
        <v>11350000</v>
      </c>
      <c r="F1048" s="13">
        <v>199800</v>
      </c>
      <c r="G1048" s="9">
        <v>45032</v>
      </c>
      <c r="H1048" t="s">
        <v>1111</v>
      </c>
      <c r="I1048" t="s">
        <v>1074</v>
      </c>
      <c r="J1048" s="13">
        <v>251970</v>
      </c>
      <c r="K1048">
        <v>10</v>
      </c>
      <c r="L1048" t="s">
        <v>1064</v>
      </c>
      <c r="M1048" t="s">
        <v>1075</v>
      </c>
      <c r="N1048" s="15" t="s">
        <v>6878</v>
      </c>
    </row>
    <row r="1049" spans="1:14" x14ac:dyDescent="0.2">
      <c r="A1049" t="s">
        <v>2126</v>
      </c>
      <c r="B1049" t="s">
        <v>1062</v>
      </c>
      <c r="C1049" s="9">
        <v>45032</v>
      </c>
      <c r="D1049" t="s">
        <v>958</v>
      </c>
      <c r="E1049" s="13">
        <v>22700000</v>
      </c>
      <c r="F1049" s="13">
        <v>399600</v>
      </c>
      <c r="G1049" s="9">
        <v>45032</v>
      </c>
      <c r="H1049" t="s">
        <v>1111</v>
      </c>
      <c r="I1049" t="s">
        <v>1074</v>
      </c>
      <c r="J1049" s="13">
        <v>503940</v>
      </c>
      <c r="K1049">
        <v>20</v>
      </c>
      <c r="L1049" t="s">
        <v>1064</v>
      </c>
      <c r="M1049" t="s">
        <v>1075</v>
      </c>
      <c r="N1049" s="15" t="s">
        <v>6878</v>
      </c>
    </row>
    <row r="1050" spans="1:14" x14ac:dyDescent="0.2">
      <c r="A1050" t="s">
        <v>2127</v>
      </c>
      <c r="B1050" t="s">
        <v>1062</v>
      </c>
      <c r="C1050" s="9">
        <v>45032</v>
      </c>
      <c r="D1050" t="s">
        <v>958</v>
      </c>
      <c r="E1050" s="13">
        <v>10000000</v>
      </c>
      <c r="F1050" s="13">
        <v>199800</v>
      </c>
      <c r="G1050" s="9">
        <v>45032</v>
      </c>
      <c r="H1050" t="s">
        <v>1111</v>
      </c>
      <c r="I1050" t="s">
        <v>1074</v>
      </c>
      <c r="J1050" s="13">
        <v>222000</v>
      </c>
      <c r="K1050">
        <v>10</v>
      </c>
      <c r="L1050" t="s">
        <v>1064</v>
      </c>
      <c r="M1050" t="s">
        <v>1075</v>
      </c>
      <c r="N1050" s="15" t="s">
        <v>6878</v>
      </c>
    </row>
    <row r="1051" spans="1:14" x14ac:dyDescent="0.2">
      <c r="A1051" t="s">
        <v>2128</v>
      </c>
      <c r="B1051" t="s">
        <v>1062</v>
      </c>
      <c r="C1051" s="9">
        <v>45032</v>
      </c>
      <c r="D1051" t="s">
        <v>958</v>
      </c>
      <c r="E1051" s="13">
        <v>11350000</v>
      </c>
      <c r="F1051" s="13">
        <v>199800</v>
      </c>
      <c r="G1051" s="9">
        <v>45032</v>
      </c>
      <c r="H1051" t="s">
        <v>1111</v>
      </c>
      <c r="I1051" t="s">
        <v>1074</v>
      </c>
      <c r="J1051" s="13">
        <v>251970</v>
      </c>
      <c r="K1051">
        <v>10</v>
      </c>
      <c r="L1051" t="s">
        <v>1064</v>
      </c>
      <c r="M1051" t="s">
        <v>1075</v>
      </c>
      <c r="N1051" s="15" t="s">
        <v>6878</v>
      </c>
    </row>
    <row r="1052" spans="1:14" x14ac:dyDescent="0.2">
      <c r="A1052" t="s">
        <v>2129</v>
      </c>
      <c r="B1052" t="s">
        <v>1062</v>
      </c>
      <c r="C1052" s="9">
        <v>45032</v>
      </c>
      <c r="D1052" t="s">
        <v>178</v>
      </c>
      <c r="E1052" s="13">
        <v>13915999</v>
      </c>
      <c r="F1052" s="13">
        <v>244200</v>
      </c>
      <c r="G1052" s="9">
        <v>45032</v>
      </c>
      <c r="H1052" t="s">
        <v>1111</v>
      </c>
      <c r="I1052" t="s">
        <v>904</v>
      </c>
      <c r="J1052" s="13"/>
      <c r="K1052">
        <v>11</v>
      </c>
      <c r="L1052" t="s">
        <v>1064</v>
      </c>
      <c r="M1052" t="s">
        <v>1164</v>
      </c>
      <c r="N1052" s="15" t="s">
        <v>6878</v>
      </c>
    </row>
    <row r="1053" spans="1:14" x14ac:dyDescent="0.2">
      <c r="A1053" t="s">
        <v>2130</v>
      </c>
      <c r="B1053" t="s">
        <v>1062</v>
      </c>
      <c r="C1053" s="9">
        <v>45032</v>
      </c>
      <c r="D1053" t="s">
        <v>442</v>
      </c>
      <c r="E1053" s="13">
        <v>1000000</v>
      </c>
      <c r="F1053" s="13">
        <v>16650</v>
      </c>
      <c r="G1053" s="9">
        <v>45056</v>
      </c>
      <c r="H1053" t="s">
        <v>1111</v>
      </c>
      <c r="I1053" t="s">
        <v>916</v>
      </c>
      <c r="J1053" s="13">
        <v>33300</v>
      </c>
      <c r="K1053">
        <v>1</v>
      </c>
      <c r="L1053" t="s">
        <v>1064</v>
      </c>
      <c r="M1053" t="s">
        <v>1065</v>
      </c>
      <c r="N1053" s="15" t="s">
        <v>6878</v>
      </c>
    </row>
    <row r="1054" spans="1:14" x14ac:dyDescent="0.2">
      <c r="A1054" t="s">
        <v>2131</v>
      </c>
      <c r="B1054" t="s">
        <v>1062</v>
      </c>
      <c r="C1054" s="9">
        <v>45032</v>
      </c>
      <c r="D1054" t="s">
        <v>442</v>
      </c>
      <c r="E1054" s="13">
        <v>1575000</v>
      </c>
      <c r="F1054" s="13">
        <v>16650</v>
      </c>
      <c r="G1054" s="9">
        <v>45058</v>
      </c>
      <c r="H1054" t="s">
        <v>1111</v>
      </c>
      <c r="I1054" t="s">
        <v>916</v>
      </c>
      <c r="J1054" s="13">
        <v>52447</v>
      </c>
      <c r="K1054">
        <v>1</v>
      </c>
      <c r="L1054" t="s">
        <v>1064</v>
      </c>
      <c r="M1054" t="s">
        <v>1065</v>
      </c>
      <c r="N1054" s="15" t="s">
        <v>6878</v>
      </c>
    </row>
    <row r="1055" spans="1:14" x14ac:dyDescent="0.2">
      <c r="A1055" t="s">
        <v>2132</v>
      </c>
      <c r="B1055" t="s">
        <v>1062</v>
      </c>
      <c r="C1055" s="9">
        <v>45032</v>
      </c>
      <c r="D1055" t="s">
        <v>442</v>
      </c>
      <c r="E1055" s="13">
        <v>2710000</v>
      </c>
      <c r="F1055" s="13">
        <v>16650</v>
      </c>
      <c r="G1055" s="9">
        <v>45056</v>
      </c>
      <c r="H1055" t="s">
        <v>1111</v>
      </c>
      <c r="I1055" t="s">
        <v>916</v>
      </c>
      <c r="J1055" s="13">
        <v>90243</v>
      </c>
      <c r="K1055">
        <v>1</v>
      </c>
      <c r="L1055" t="s">
        <v>1064</v>
      </c>
      <c r="M1055" t="s">
        <v>1065</v>
      </c>
      <c r="N1055" s="15" t="s">
        <v>6878</v>
      </c>
    </row>
    <row r="1056" spans="1:14" x14ac:dyDescent="0.2">
      <c r="A1056" t="s">
        <v>2133</v>
      </c>
      <c r="B1056" t="s">
        <v>1062</v>
      </c>
      <c r="C1056" s="9">
        <v>45032</v>
      </c>
      <c r="D1056" t="s">
        <v>442</v>
      </c>
      <c r="E1056" s="13">
        <v>1440000</v>
      </c>
      <c r="F1056" s="13">
        <v>16650</v>
      </c>
      <c r="G1056" s="9">
        <v>45056</v>
      </c>
      <c r="H1056" t="s">
        <v>1111</v>
      </c>
      <c r="I1056" t="s">
        <v>916</v>
      </c>
      <c r="J1056" s="13">
        <v>47952</v>
      </c>
      <c r="K1056">
        <v>1</v>
      </c>
      <c r="L1056" t="s">
        <v>1064</v>
      </c>
      <c r="M1056" t="s">
        <v>1065</v>
      </c>
      <c r="N1056" s="15" t="s">
        <v>6878</v>
      </c>
    </row>
    <row r="1057" spans="1:14" x14ac:dyDescent="0.2">
      <c r="A1057" t="s">
        <v>2134</v>
      </c>
      <c r="B1057" t="s">
        <v>1062</v>
      </c>
      <c r="C1057" s="9">
        <v>45032</v>
      </c>
      <c r="D1057" t="s">
        <v>442</v>
      </c>
      <c r="E1057" s="13">
        <v>2520000</v>
      </c>
      <c r="F1057" s="13">
        <v>16650</v>
      </c>
      <c r="G1057" s="9">
        <v>45056</v>
      </c>
      <c r="H1057" t="s">
        <v>1111</v>
      </c>
      <c r="I1057" t="s">
        <v>916</v>
      </c>
      <c r="J1057" s="13">
        <v>83916</v>
      </c>
      <c r="K1057">
        <v>1</v>
      </c>
      <c r="L1057" t="s">
        <v>1064</v>
      </c>
      <c r="M1057" t="s">
        <v>1065</v>
      </c>
      <c r="N1057" s="15" t="s">
        <v>6878</v>
      </c>
    </row>
    <row r="1058" spans="1:14" x14ac:dyDescent="0.2">
      <c r="A1058" t="s">
        <v>2135</v>
      </c>
      <c r="B1058" t="s">
        <v>1062</v>
      </c>
      <c r="C1058" s="9">
        <v>45032</v>
      </c>
      <c r="D1058" t="s">
        <v>442</v>
      </c>
      <c r="E1058" s="13">
        <v>1440000</v>
      </c>
      <c r="F1058" s="13">
        <v>16650</v>
      </c>
      <c r="G1058" s="9">
        <v>45056</v>
      </c>
      <c r="H1058" t="s">
        <v>1111</v>
      </c>
      <c r="I1058" t="s">
        <v>916</v>
      </c>
      <c r="J1058" s="13">
        <v>47952</v>
      </c>
      <c r="K1058">
        <v>1</v>
      </c>
      <c r="L1058" t="s">
        <v>1064</v>
      </c>
      <c r="M1058" t="s">
        <v>1065</v>
      </c>
      <c r="N1058" s="15" t="s">
        <v>6878</v>
      </c>
    </row>
    <row r="1059" spans="1:14" x14ac:dyDescent="0.2">
      <c r="A1059" t="s">
        <v>2136</v>
      </c>
      <c r="B1059" t="s">
        <v>1062</v>
      </c>
      <c r="C1059" s="9">
        <v>45032</v>
      </c>
      <c r="D1059" t="s">
        <v>442</v>
      </c>
      <c r="E1059" s="13">
        <v>2250000</v>
      </c>
      <c r="F1059" s="13">
        <v>16650</v>
      </c>
      <c r="G1059" s="9">
        <v>45056</v>
      </c>
      <c r="H1059" t="s">
        <v>1111</v>
      </c>
      <c r="I1059" t="s">
        <v>916</v>
      </c>
      <c r="J1059" s="13">
        <v>74925</v>
      </c>
      <c r="K1059">
        <v>1</v>
      </c>
      <c r="L1059" t="s">
        <v>1064</v>
      </c>
      <c r="M1059" t="s">
        <v>1065</v>
      </c>
      <c r="N1059" s="15" t="s">
        <v>6878</v>
      </c>
    </row>
    <row r="1060" spans="1:14" x14ac:dyDescent="0.2">
      <c r="A1060" t="s">
        <v>2137</v>
      </c>
      <c r="B1060" t="s">
        <v>1062</v>
      </c>
      <c r="C1060" s="9">
        <v>45032</v>
      </c>
      <c r="D1060" t="s">
        <v>442</v>
      </c>
      <c r="E1060" s="13">
        <v>2250000</v>
      </c>
      <c r="F1060" s="13">
        <v>16650</v>
      </c>
      <c r="G1060" s="9">
        <v>45056</v>
      </c>
      <c r="H1060" t="s">
        <v>1111</v>
      </c>
      <c r="I1060" t="s">
        <v>916</v>
      </c>
      <c r="J1060" s="13">
        <v>74925</v>
      </c>
      <c r="K1060">
        <v>1</v>
      </c>
      <c r="L1060" t="s">
        <v>1064</v>
      </c>
      <c r="M1060" t="s">
        <v>1065</v>
      </c>
      <c r="N1060" s="15" t="s">
        <v>6878</v>
      </c>
    </row>
    <row r="1061" spans="1:14" x14ac:dyDescent="0.2">
      <c r="A1061" t="s">
        <v>2138</v>
      </c>
      <c r="B1061" t="s">
        <v>1062</v>
      </c>
      <c r="C1061" s="9">
        <v>45032</v>
      </c>
      <c r="D1061" t="s">
        <v>442</v>
      </c>
      <c r="E1061" s="13">
        <v>2375000</v>
      </c>
      <c r="F1061" s="13">
        <v>16650</v>
      </c>
      <c r="G1061" s="9">
        <v>45056</v>
      </c>
      <c r="H1061" t="s">
        <v>1111</v>
      </c>
      <c r="I1061" t="s">
        <v>916</v>
      </c>
      <c r="J1061" s="13">
        <v>79087</v>
      </c>
      <c r="K1061">
        <v>1</v>
      </c>
      <c r="L1061" t="s">
        <v>1064</v>
      </c>
      <c r="M1061" t="s">
        <v>1065</v>
      </c>
      <c r="N1061" s="15" t="s">
        <v>6878</v>
      </c>
    </row>
    <row r="1062" spans="1:14" x14ac:dyDescent="0.2">
      <c r="A1062" t="s">
        <v>2139</v>
      </c>
      <c r="B1062" t="s">
        <v>1062</v>
      </c>
      <c r="C1062" s="9">
        <v>45032</v>
      </c>
      <c r="D1062" t="s">
        <v>442</v>
      </c>
      <c r="E1062" s="13">
        <v>2475000</v>
      </c>
      <c r="F1062" s="13">
        <v>16650</v>
      </c>
      <c r="G1062" s="9">
        <v>45056</v>
      </c>
      <c r="H1062" t="s">
        <v>1111</v>
      </c>
      <c r="I1062" t="s">
        <v>916</v>
      </c>
      <c r="J1062" s="13">
        <v>82417</v>
      </c>
      <c r="K1062">
        <v>1</v>
      </c>
      <c r="L1062" t="s">
        <v>1064</v>
      </c>
      <c r="M1062" t="s">
        <v>1065</v>
      </c>
      <c r="N1062" s="15" t="s">
        <v>6878</v>
      </c>
    </row>
    <row r="1063" spans="1:14" x14ac:dyDescent="0.2">
      <c r="A1063" t="s">
        <v>2140</v>
      </c>
      <c r="B1063" t="s">
        <v>1062</v>
      </c>
      <c r="C1063" s="9">
        <v>45032</v>
      </c>
      <c r="D1063" t="s">
        <v>442</v>
      </c>
      <c r="E1063" s="13">
        <v>1575000</v>
      </c>
      <c r="F1063" s="13">
        <v>16650</v>
      </c>
      <c r="G1063" s="9">
        <v>45056</v>
      </c>
      <c r="H1063" t="s">
        <v>1111</v>
      </c>
      <c r="I1063" t="s">
        <v>916</v>
      </c>
      <c r="J1063" s="13">
        <v>52447</v>
      </c>
      <c r="K1063">
        <v>1</v>
      </c>
      <c r="L1063" t="s">
        <v>1064</v>
      </c>
      <c r="M1063" t="s">
        <v>1065</v>
      </c>
      <c r="N1063" s="15" t="s">
        <v>6878</v>
      </c>
    </row>
    <row r="1064" spans="1:14" x14ac:dyDescent="0.2">
      <c r="A1064" t="s">
        <v>2141</v>
      </c>
      <c r="B1064" t="s">
        <v>1062</v>
      </c>
      <c r="C1064" s="9">
        <v>45032</v>
      </c>
      <c r="D1064" t="s">
        <v>442</v>
      </c>
      <c r="E1064" s="13">
        <v>1125000</v>
      </c>
      <c r="F1064" s="13">
        <v>16650</v>
      </c>
      <c r="G1064" s="9">
        <v>45056</v>
      </c>
      <c r="H1064" t="s">
        <v>1111</v>
      </c>
      <c r="I1064" t="s">
        <v>916</v>
      </c>
      <c r="J1064" s="13">
        <v>37462</v>
      </c>
      <c r="K1064">
        <v>1</v>
      </c>
      <c r="L1064" t="s">
        <v>1064</v>
      </c>
      <c r="M1064" t="s">
        <v>1065</v>
      </c>
      <c r="N1064" s="15" t="s">
        <v>6878</v>
      </c>
    </row>
    <row r="1065" spans="1:14" x14ac:dyDescent="0.2">
      <c r="A1065" t="s">
        <v>2142</v>
      </c>
      <c r="B1065" t="s">
        <v>1062</v>
      </c>
      <c r="C1065" s="9">
        <v>45032</v>
      </c>
      <c r="D1065" t="s">
        <v>442</v>
      </c>
      <c r="E1065" s="13">
        <v>2625000</v>
      </c>
      <c r="F1065" s="13">
        <v>16650</v>
      </c>
      <c r="G1065" s="9">
        <v>45056</v>
      </c>
      <c r="H1065" t="s">
        <v>1111</v>
      </c>
      <c r="I1065" t="s">
        <v>916</v>
      </c>
      <c r="J1065" s="13">
        <v>87412</v>
      </c>
      <c r="K1065">
        <v>1</v>
      </c>
      <c r="L1065" t="s">
        <v>1064</v>
      </c>
      <c r="M1065" t="s">
        <v>1065</v>
      </c>
      <c r="N1065" s="15" t="s">
        <v>6878</v>
      </c>
    </row>
    <row r="1066" spans="1:14" x14ac:dyDescent="0.2">
      <c r="A1066" t="s">
        <v>2143</v>
      </c>
      <c r="B1066" t="s">
        <v>1062</v>
      </c>
      <c r="C1066" s="9">
        <v>45032</v>
      </c>
      <c r="D1066" t="s">
        <v>442</v>
      </c>
      <c r="E1066" s="13">
        <v>1125000</v>
      </c>
      <c r="F1066" s="13">
        <v>16650</v>
      </c>
      <c r="G1066" s="9">
        <v>45056</v>
      </c>
      <c r="H1066" t="s">
        <v>1111</v>
      </c>
      <c r="I1066" t="s">
        <v>916</v>
      </c>
      <c r="J1066" s="13">
        <v>37462</v>
      </c>
      <c r="K1066">
        <v>1</v>
      </c>
      <c r="L1066" t="s">
        <v>1064</v>
      </c>
      <c r="M1066" t="s">
        <v>1065</v>
      </c>
      <c r="N1066" s="15" t="s">
        <v>6878</v>
      </c>
    </row>
    <row r="1067" spans="1:14" x14ac:dyDescent="0.2">
      <c r="A1067" t="s">
        <v>2144</v>
      </c>
      <c r="B1067" t="s">
        <v>1062</v>
      </c>
      <c r="C1067" s="9">
        <v>45032</v>
      </c>
      <c r="D1067" t="s">
        <v>442</v>
      </c>
      <c r="E1067" s="13">
        <v>1500000</v>
      </c>
      <c r="F1067" s="13">
        <v>16650</v>
      </c>
      <c r="G1067" s="9">
        <v>45056</v>
      </c>
      <c r="H1067" t="s">
        <v>1111</v>
      </c>
      <c r="I1067" t="s">
        <v>916</v>
      </c>
      <c r="J1067" s="13">
        <v>49950</v>
      </c>
      <c r="K1067">
        <v>1</v>
      </c>
      <c r="L1067" t="s">
        <v>1064</v>
      </c>
      <c r="M1067" t="s">
        <v>1065</v>
      </c>
      <c r="N1067" s="15" t="s">
        <v>6878</v>
      </c>
    </row>
    <row r="1068" spans="1:14" x14ac:dyDescent="0.2">
      <c r="A1068" t="s">
        <v>2145</v>
      </c>
      <c r="B1068" t="s">
        <v>1062</v>
      </c>
      <c r="C1068" s="9">
        <v>45032</v>
      </c>
      <c r="D1068" t="s">
        <v>442</v>
      </c>
      <c r="E1068" s="13">
        <v>1000000</v>
      </c>
      <c r="F1068" s="13">
        <v>16650</v>
      </c>
      <c r="G1068" s="9">
        <v>45056</v>
      </c>
      <c r="H1068" t="s">
        <v>1111</v>
      </c>
      <c r="I1068" t="s">
        <v>916</v>
      </c>
      <c r="J1068" s="13">
        <v>33300</v>
      </c>
      <c r="K1068">
        <v>1</v>
      </c>
      <c r="L1068" t="s">
        <v>1064</v>
      </c>
      <c r="M1068" t="s">
        <v>1065</v>
      </c>
      <c r="N1068" s="15" t="s">
        <v>6878</v>
      </c>
    </row>
    <row r="1069" spans="1:14" x14ac:dyDescent="0.2">
      <c r="A1069" t="s">
        <v>2146</v>
      </c>
      <c r="B1069" t="s">
        <v>1062</v>
      </c>
      <c r="C1069" s="9">
        <v>45032</v>
      </c>
      <c r="D1069" t="s">
        <v>442</v>
      </c>
      <c r="E1069" s="13">
        <v>1500000</v>
      </c>
      <c r="F1069" s="13">
        <v>16650</v>
      </c>
      <c r="G1069" s="9">
        <v>45056</v>
      </c>
      <c r="H1069" t="s">
        <v>1111</v>
      </c>
      <c r="I1069" t="s">
        <v>916</v>
      </c>
      <c r="J1069" s="13">
        <v>49950</v>
      </c>
      <c r="K1069">
        <v>1</v>
      </c>
      <c r="L1069" t="s">
        <v>1064</v>
      </c>
      <c r="M1069" t="s">
        <v>1065</v>
      </c>
      <c r="N1069" s="15" t="s">
        <v>6878</v>
      </c>
    </row>
    <row r="1070" spans="1:14" x14ac:dyDescent="0.2">
      <c r="A1070" t="s">
        <v>2147</v>
      </c>
      <c r="B1070" t="s">
        <v>1062</v>
      </c>
      <c r="C1070" s="9">
        <v>45032</v>
      </c>
      <c r="D1070" t="s">
        <v>442</v>
      </c>
      <c r="E1070" s="13">
        <v>1440000</v>
      </c>
      <c r="F1070" s="13">
        <v>16650</v>
      </c>
      <c r="G1070" s="9">
        <v>45056</v>
      </c>
      <c r="H1070" t="s">
        <v>1111</v>
      </c>
      <c r="I1070" t="s">
        <v>916</v>
      </c>
      <c r="J1070" s="13">
        <v>47952</v>
      </c>
      <c r="K1070">
        <v>1</v>
      </c>
      <c r="L1070" t="s">
        <v>1064</v>
      </c>
      <c r="M1070" t="s">
        <v>1065</v>
      </c>
      <c r="N1070" s="15" t="s">
        <v>6878</v>
      </c>
    </row>
    <row r="1071" spans="1:14" x14ac:dyDescent="0.2">
      <c r="A1071" t="s">
        <v>2148</v>
      </c>
      <c r="B1071" t="s">
        <v>1069</v>
      </c>
      <c r="C1071" s="9">
        <v>45033</v>
      </c>
      <c r="D1071" t="s">
        <v>442</v>
      </c>
      <c r="E1071" s="13">
        <v>1175000</v>
      </c>
      <c r="F1071" s="13">
        <v>16650</v>
      </c>
      <c r="G1071" s="9">
        <v>45056</v>
      </c>
      <c r="H1071" t="s">
        <v>1111</v>
      </c>
      <c r="I1071" t="s">
        <v>916</v>
      </c>
      <c r="J1071" s="13">
        <v>39127</v>
      </c>
      <c r="K1071">
        <v>1</v>
      </c>
      <c r="L1071" t="s">
        <v>1064</v>
      </c>
      <c r="M1071" t="s">
        <v>1065</v>
      </c>
      <c r="N1071" s="15" t="s">
        <v>6878</v>
      </c>
    </row>
    <row r="1072" spans="1:14" x14ac:dyDescent="0.2">
      <c r="A1072" t="s">
        <v>2149</v>
      </c>
      <c r="B1072" t="s">
        <v>1069</v>
      </c>
      <c r="C1072" s="9">
        <v>45033</v>
      </c>
      <c r="D1072" t="s">
        <v>442</v>
      </c>
      <c r="E1072" s="13">
        <v>1225000</v>
      </c>
      <c r="F1072" s="13">
        <v>16650</v>
      </c>
      <c r="G1072" s="9">
        <v>45056</v>
      </c>
      <c r="H1072" t="s">
        <v>1111</v>
      </c>
      <c r="I1072" t="s">
        <v>916</v>
      </c>
      <c r="J1072" s="13">
        <v>40792</v>
      </c>
      <c r="K1072">
        <v>1</v>
      </c>
      <c r="L1072" t="s">
        <v>1064</v>
      </c>
      <c r="M1072" t="s">
        <v>1065</v>
      </c>
      <c r="N1072" s="15" t="s">
        <v>6878</v>
      </c>
    </row>
    <row r="1073" spans="1:14" x14ac:dyDescent="0.2">
      <c r="A1073" t="s">
        <v>2150</v>
      </c>
      <c r="B1073" t="s">
        <v>1062</v>
      </c>
      <c r="C1073" s="9">
        <v>45033</v>
      </c>
      <c r="D1073" t="s">
        <v>442</v>
      </c>
      <c r="E1073" s="13">
        <v>3025000</v>
      </c>
      <c r="F1073" s="13">
        <v>16650</v>
      </c>
      <c r="G1073" s="9">
        <v>45055</v>
      </c>
      <c r="H1073" t="s">
        <v>1111</v>
      </c>
      <c r="I1073" t="s">
        <v>916</v>
      </c>
      <c r="J1073" s="13">
        <v>100732</v>
      </c>
      <c r="K1073">
        <v>1</v>
      </c>
      <c r="L1073" t="s">
        <v>1064</v>
      </c>
      <c r="M1073" t="s">
        <v>1065</v>
      </c>
      <c r="N1073" s="15" t="s">
        <v>6878</v>
      </c>
    </row>
    <row r="1074" spans="1:14" x14ac:dyDescent="0.2">
      <c r="A1074" t="s">
        <v>2151</v>
      </c>
      <c r="B1074" t="s">
        <v>1062</v>
      </c>
      <c r="C1074" s="9">
        <v>45045</v>
      </c>
      <c r="D1074" t="s">
        <v>178</v>
      </c>
      <c r="E1074" s="13">
        <v>2548000</v>
      </c>
      <c r="F1074" s="13">
        <v>44400</v>
      </c>
      <c r="G1074" s="9">
        <v>45046</v>
      </c>
      <c r="H1074" t="s">
        <v>1111</v>
      </c>
      <c r="I1074" t="s">
        <v>904</v>
      </c>
      <c r="J1074" s="13"/>
      <c r="K1074">
        <v>2</v>
      </c>
      <c r="L1074" t="s">
        <v>1064</v>
      </c>
      <c r="M1074" t="s">
        <v>1164</v>
      </c>
      <c r="N1074" s="15" t="s">
        <v>6878</v>
      </c>
    </row>
    <row r="1075" spans="1:14" x14ac:dyDescent="0.2">
      <c r="A1075" t="s">
        <v>2152</v>
      </c>
      <c r="B1075" t="s">
        <v>1062</v>
      </c>
      <c r="C1075" s="9">
        <v>45051</v>
      </c>
      <c r="D1075" t="s">
        <v>442</v>
      </c>
      <c r="E1075" s="13">
        <v>1125000</v>
      </c>
      <c r="F1075" s="13">
        <v>16650</v>
      </c>
      <c r="G1075" s="9">
        <v>45056</v>
      </c>
      <c r="H1075" t="s">
        <v>1111</v>
      </c>
      <c r="I1075" t="s">
        <v>916</v>
      </c>
      <c r="J1075" s="13">
        <v>37462</v>
      </c>
      <c r="K1075">
        <v>1</v>
      </c>
      <c r="L1075" t="s">
        <v>1064</v>
      </c>
      <c r="M1075" t="s">
        <v>1065</v>
      </c>
      <c r="N1075" s="15" t="s">
        <v>6878</v>
      </c>
    </row>
    <row r="1076" spans="1:14" x14ac:dyDescent="0.2">
      <c r="A1076" t="s">
        <v>2153</v>
      </c>
      <c r="B1076" t="s">
        <v>1062</v>
      </c>
      <c r="C1076" s="9">
        <v>45051</v>
      </c>
      <c r="D1076" t="s">
        <v>442</v>
      </c>
      <c r="E1076" s="13">
        <v>1075000</v>
      </c>
      <c r="F1076" s="13">
        <v>16650</v>
      </c>
      <c r="G1076" s="9">
        <v>45056</v>
      </c>
      <c r="H1076" t="s">
        <v>1111</v>
      </c>
      <c r="I1076" t="s">
        <v>916</v>
      </c>
      <c r="J1076" s="13">
        <v>35797</v>
      </c>
      <c r="K1076">
        <v>1</v>
      </c>
      <c r="L1076" t="s">
        <v>1064</v>
      </c>
      <c r="M1076" t="s">
        <v>1065</v>
      </c>
      <c r="N1076" s="15" t="s">
        <v>6878</v>
      </c>
    </row>
    <row r="1077" spans="1:14" x14ac:dyDescent="0.2">
      <c r="A1077" t="s">
        <v>2154</v>
      </c>
      <c r="B1077" t="s">
        <v>1062</v>
      </c>
      <c r="C1077" s="9">
        <v>45051</v>
      </c>
      <c r="D1077" t="s">
        <v>442</v>
      </c>
      <c r="E1077" s="13">
        <v>2625000</v>
      </c>
      <c r="F1077" s="13">
        <v>16650</v>
      </c>
      <c r="G1077" s="9">
        <v>45056</v>
      </c>
      <c r="H1077" t="s">
        <v>1111</v>
      </c>
      <c r="I1077" t="s">
        <v>916</v>
      </c>
      <c r="J1077" s="13">
        <v>87412</v>
      </c>
      <c r="K1077">
        <v>1</v>
      </c>
      <c r="L1077" t="s">
        <v>1064</v>
      </c>
      <c r="M1077" t="s">
        <v>1065</v>
      </c>
      <c r="N1077" s="15" t="s">
        <v>6878</v>
      </c>
    </row>
    <row r="1078" spans="1:14" x14ac:dyDescent="0.2">
      <c r="A1078" t="s">
        <v>2155</v>
      </c>
      <c r="B1078" t="s">
        <v>1062</v>
      </c>
      <c r="C1078" s="9">
        <v>45051</v>
      </c>
      <c r="D1078" t="s">
        <v>442</v>
      </c>
      <c r="E1078" s="13">
        <v>2575000</v>
      </c>
      <c r="F1078" s="13">
        <v>16650</v>
      </c>
      <c r="G1078" s="9">
        <v>45056</v>
      </c>
      <c r="H1078" t="s">
        <v>1111</v>
      </c>
      <c r="I1078" t="s">
        <v>916</v>
      </c>
      <c r="J1078" s="13">
        <v>85747</v>
      </c>
      <c r="K1078">
        <v>1</v>
      </c>
      <c r="L1078" t="s">
        <v>1064</v>
      </c>
      <c r="M1078" t="s">
        <v>1065</v>
      </c>
      <c r="N1078" s="15" t="s">
        <v>6878</v>
      </c>
    </row>
    <row r="1079" spans="1:14" x14ac:dyDescent="0.2">
      <c r="A1079" t="s">
        <v>2156</v>
      </c>
      <c r="B1079" t="s">
        <v>1062</v>
      </c>
      <c r="C1079" s="9">
        <v>45051</v>
      </c>
      <c r="D1079" t="s">
        <v>442</v>
      </c>
      <c r="E1079" s="13">
        <v>875000</v>
      </c>
      <c r="F1079" s="13">
        <v>16650</v>
      </c>
      <c r="G1079" s="9">
        <v>45056</v>
      </c>
      <c r="H1079" t="s">
        <v>1111</v>
      </c>
      <c r="I1079" t="s">
        <v>916</v>
      </c>
      <c r="J1079" s="13">
        <v>29137</v>
      </c>
      <c r="K1079">
        <v>1</v>
      </c>
      <c r="L1079" t="s">
        <v>1064</v>
      </c>
      <c r="M1079" t="s">
        <v>1065</v>
      </c>
      <c r="N1079" s="15" t="s">
        <v>6878</v>
      </c>
    </row>
    <row r="1080" spans="1:14" x14ac:dyDescent="0.2">
      <c r="A1080" t="s">
        <v>2157</v>
      </c>
      <c r="B1080" t="s">
        <v>1062</v>
      </c>
      <c r="C1080" s="9">
        <v>45051</v>
      </c>
      <c r="D1080" t="s">
        <v>442</v>
      </c>
      <c r="E1080" s="13">
        <v>1350000</v>
      </c>
      <c r="F1080" s="13">
        <v>16650</v>
      </c>
      <c r="G1080" s="9">
        <v>45075</v>
      </c>
      <c r="H1080" t="s">
        <v>1111</v>
      </c>
      <c r="I1080" t="s">
        <v>916</v>
      </c>
      <c r="J1080" s="13">
        <v>44955</v>
      </c>
      <c r="K1080">
        <v>1</v>
      </c>
      <c r="L1080" t="s">
        <v>1064</v>
      </c>
      <c r="M1080" t="s">
        <v>1065</v>
      </c>
      <c r="N1080" s="15" t="s">
        <v>6878</v>
      </c>
    </row>
    <row r="1081" spans="1:14" x14ac:dyDescent="0.2">
      <c r="A1081" t="s">
        <v>2158</v>
      </c>
      <c r="B1081" t="s">
        <v>1062</v>
      </c>
      <c r="C1081" s="9">
        <v>45051</v>
      </c>
      <c r="D1081" t="s">
        <v>442</v>
      </c>
      <c r="E1081" s="13">
        <v>2575000</v>
      </c>
      <c r="F1081" s="13">
        <v>16650</v>
      </c>
      <c r="G1081" s="9">
        <v>45056</v>
      </c>
      <c r="H1081" t="s">
        <v>1111</v>
      </c>
      <c r="I1081" t="s">
        <v>916</v>
      </c>
      <c r="J1081" s="13">
        <v>85747</v>
      </c>
      <c r="K1081">
        <v>1</v>
      </c>
      <c r="L1081" t="s">
        <v>1064</v>
      </c>
      <c r="M1081" t="s">
        <v>1065</v>
      </c>
      <c r="N1081" s="15" t="s">
        <v>6878</v>
      </c>
    </row>
    <row r="1082" spans="1:14" x14ac:dyDescent="0.2">
      <c r="A1082" t="s">
        <v>2159</v>
      </c>
      <c r="B1082" t="s">
        <v>1062</v>
      </c>
      <c r="C1082" s="9">
        <v>45051</v>
      </c>
      <c r="D1082" t="s">
        <v>442</v>
      </c>
      <c r="E1082" s="13">
        <v>2625000</v>
      </c>
      <c r="F1082" s="13">
        <v>16650</v>
      </c>
      <c r="G1082" s="9">
        <v>45056</v>
      </c>
      <c r="H1082" t="s">
        <v>1111</v>
      </c>
      <c r="I1082" t="s">
        <v>916</v>
      </c>
      <c r="J1082" s="13">
        <v>87412</v>
      </c>
      <c r="K1082">
        <v>1</v>
      </c>
      <c r="L1082" t="s">
        <v>1064</v>
      </c>
      <c r="M1082" t="s">
        <v>1065</v>
      </c>
      <c r="N1082" s="15" t="s">
        <v>6878</v>
      </c>
    </row>
    <row r="1083" spans="1:14" x14ac:dyDescent="0.2">
      <c r="A1083" t="s">
        <v>2160</v>
      </c>
      <c r="B1083" t="s">
        <v>1062</v>
      </c>
      <c r="C1083" s="9">
        <v>45051</v>
      </c>
      <c r="D1083" t="s">
        <v>442</v>
      </c>
      <c r="E1083" s="13">
        <v>2500000</v>
      </c>
      <c r="F1083" s="13">
        <v>16650</v>
      </c>
      <c r="G1083" s="9">
        <v>45056</v>
      </c>
      <c r="H1083" t="s">
        <v>1111</v>
      </c>
      <c r="I1083" t="s">
        <v>916</v>
      </c>
      <c r="J1083" s="13">
        <v>83250</v>
      </c>
      <c r="K1083">
        <v>1</v>
      </c>
      <c r="L1083" t="s">
        <v>1064</v>
      </c>
      <c r="M1083" t="s">
        <v>1065</v>
      </c>
      <c r="N1083" s="15" t="s">
        <v>6878</v>
      </c>
    </row>
    <row r="1084" spans="1:14" x14ac:dyDescent="0.2">
      <c r="A1084" t="s">
        <v>2161</v>
      </c>
      <c r="B1084" t="s">
        <v>1062</v>
      </c>
      <c r="C1084" s="9">
        <v>45051</v>
      </c>
      <c r="D1084" t="s">
        <v>442</v>
      </c>
      <c r="E1084" s="13">
        <v>2625000</v>
      </c>
      <c r="F1084" s="13">
        <v>16650</v>
      </c>
      <c r="G1084" s="9">
        <v>45056</v>
      </c>
      <c r="H1084" t="s">
        <v>1111</v>
      </c>
      <c r="I1084" t="s">
        <v>916</v>
      </c>
      <c r="J1084" s="13">
        <v>87412</v>
      </c>
      <c r="K1084">
        <v>1</v>
      </c>
      <c r="L1084" t="s">
        <v>1064</v>
      </c>
      <c r="M1084" t="s">
        <v>1065</v>
      </c>
      <c r="N1084" s="15" t="s">
        <v>6878</v>
      </c>
    </row>
    <row r="1085" spans="1:14" x14ac:dyDescent="0.2">
      <c r="A1085" t="s">
        <v>2162</v>
      </c>
      <c r="B1085" t="s">
        <v>1062</v>
      </c>
      <c r="C1085" s="9">
        <v>45051</v>
      </c>
      <c r="D1085" t="s">
        <v>442</v>
      </c>
      <c r="E1085" s="13">
        <v>2625000</v>
      </c>
      <c r="F1085" s="13">
        <v>16650</v>
      </c>
      <c r="G1085" s="9">
        <v>45056</v>
      </c>
      <c r="H1085" t="s">
        <v>1111</v>
      </c>
      <c r="I1085" t="s">
        <v>916</v>
      </c>
      <c r="J1085" s="13">
        <v>87412</v>
      </c>
      <c r="K1085">
        <v>1</v>
      </c>
      <c r="L1085" t="s">
        <v>1064</v>
      </c>
      <c r="M1085" t="s">
        <v>1065</v>
      </c>
      <c r="N1085" s="15" t="s">
        <v>6878</v>
      </c>
    </row>
    <row r="1086" spans="1:14" x14ac:dyDescent="0.2">
      <c r="A1086" t="s">
        <v>2163</v>
      </c>
      <c r="B1086" t="s">
        <v>1069</v>
      </c>
      <c r="C1086" s="9">
        <v>45051</v>
      </c>
      <c r="D1086" t="s">
        <v>442</v>
      </c>
      <c r="E1086" s="13">
        <v>2675000</v>
      </c>
      <c r="F1086" s="13">
        <v>16650</v>
      </c>
      <c r="G1086" s="9">
        <v>45056</v>
      </c>
      <c r="H1086" t="s">
        <v>1111</v>
      </c>
      <c r="I1086" t="s">
        <v>916</v>
      </c>
      <c r="J1086" s="13">
        <v>89077</v>
      </c>
      <c r="K1086">
        <v>1</v>
      </c>
      <c r="L1086" t="s">
        <v>1064</v>
      </c>
      <c r="M1086" t="s">
        <v>1065</v>
      </c>
      <c r="N1086" s="15" t="s">
        <v>6878</v>
      </c>
    </row>
    <row r="1087" spans="1:14" x14ac:dyDescent="0.2">
      <c r="A1087" t="s">
        <v>2164</v>
      </c>
      <c r="B1087" t="s">
        <v>1069</v>
      </c>
      <c r="C1087" s="9">
        <v>45056</v>
      </c>
      <c r="D1087" t="s">
        <v>1037</v>
      </c>
      <c r="E1087" s="13">
        <v>5060000</v>
      </c>
      <c r="F1087" s="13">
        <v>55500</v>
      </c>
      <c r="G1087" s="9">
        <v>45056</v>
      </c>
      <c r="H1087" t="s">
        <v>1111</v>
      </c>
      <c r="I1087" t="s">
        <v>214</v>
      </c>
      <c r="J1087" s="13">
        <v>112332</v>
      </c>
      <c r="K1087">
        <v>2</v>
      </c>
      <c r="L1087" t="s">
        <v>1064</v>
      </c>
      <c r="M1087" t="s">
        <v>1107</v>
      </c>
      <c r="N1087" s="15" t="s">
        <v>6878</v>
      </c>
    </row>
    <row r="1088" spans="1:14" x14ac:dyDescent="0.2">
      <c r="A1088" t="s">
        <v>2165</v>
      </c>
      <c r="B1088" t="s">
        <v>1069</v>
      </c>
      <c r="C1088" s="9">
        <v>45056</v>
      </c>
      <c r="D1088" t="s">
        <v>1037</v>
      </c>
      <c r="E1088" s="13">
        <v>1725000</v>
      </c>
      <c r="F1088" s="13">
        <v>27750</v>
      </c>
      <c r="G1088" s="9">
        <v>45056</v>
      </c>
      <c r="H1088" t="s">
        <v>1111</v>
      </c>
      <c r="I1088" t="s">
        <v>214</v>
      </c>
      <c r="J1088" s="13">
        <v>38295</v>
      </c>
      <c r="K1088">
        <v>1</v>
      </c>
      <c r="L1088" t="s">
        <v>1064</v>
      </c>
      <c r="M1088" t="s">
        <v>1107</v>
      </c>
      <c r="N1088" s="15" t="s">
        <v>6878</v>
      </c>
    </row>
    <row r="1089" spans="1:14" x14ac:dyDescent="0.2">
      <c r="A1089" t="s">
        <v>2166</v>
      </c>
      <c r="B1089" t="s">
        <v>1069</v>
      </c>
      <c r="C1089" s="9">
        <v>45056</v>
      </c>
      <c r="D1089" t="s">
        <v>1037</v>
      </c>
      <c r="E1089" s="13">
        <v>5060000</v>
      </c>
      <c r="F1089" s="13">
        <v>55500</v>
      </c>
      <c r="G1089" s="9">
        <v>45056</v>
      </c>
      <c r="H1089" t="s">
        <v>1111</v>
      </c>
      <c r="I1089" t="s">
        <v>214</v>
      </c>
      <c r="J1089" s="13">
        <v>112332</v>
      </c>
      <c r="K1089">
        <v>2</v>
      </c>
      <c r="L1089" t="s">
        <v>1064</v>
      </c>
      <c r="M1089" t="s">
        <v>1107</v>
      </c>
      <c r="N1089" s="15" t="s">
        <v>6878</v>
      </c>
    </row>
    <row r="1090" spans="1:14" x14ac:dyDescent="0.2">
      <c r="A1090" t="s">
        <v>1038</v>
      </c>
      <c r="B1090" t="s">
        <v>1069</v>
      </c>
      <c r="C1090" s="9">
        <v>45056</v>
      </c>
      <c r="D1090" t="s">
        <v>1037</v>
      </c>
      <c r="E1090" s="13">
        <v>1920000</v>
      </c>
      <c r="F1090" s="13">
        <v>27750</v>
      </c>
      <c r="G1090" s="9">
        <v>45056</v>
      </c>
      <c r="H1090" t="s">
        <v>1111</v>
      </c>
      <c r="I1090" t="s">
        <v>214</v>
      </c>
      <c r="J1090" s="13">
        <v>42624</v>
      </c>
      <c r="K1090">
        <v>1</v>
      </c>
      <c r="L1090" t="s">
        <v>1064</v>
      </c>
      <c r="M1090" t="s">
        <v>1107</v>
      </c>
      <c r="N1090" s="15" t="s">
        <v>6878</v>
      </c>
    </row>
    <row r="1091" spans="1:14" x14ac:dyDescent="0.2">
      <c r="A1091" t="s">
        <v>2167</v>
      </c>
      <c r="B1091" t="s">
        <v>1062</v>
      </c>
      <c r="C1091" s="9">
        <v>45056</v>
      </c>
      <c r="D1091" t="s">
        <v>442</v>
      </c>
      <c r="E1091" s="13">
        <v>2625000</v>
      </c>
      <c r="F1091" s="13">
        <v>16650</v>
      </c>
      <c r="G1091" s="9">
        <v>45070</v>
      </c>
      <c r="H1091" t="s">
        <v>1111</v>
      </c>
      <c r="I1091" t="s">
        <v>916</v>
      </c>
      <c r="J1091" s="13">
        <v>87412</v>
      </c>
      <c r="K1091">
        <v>1</v>
      </c>
      <c r="L1091" t="s">
        <v>1064</v>
      </c>
      <c r="M1091" t="s">
        <v>1065</v>
      </c>
      <c r="N1091" s="15" t="s">
        <v>6878</v>
      </c>
    </row>
    <row r="1092" spans="1:14" x14ac:dyDescent="0.2">
      <c r="A1092" t="s">
        <v>2168</v>
      </c>
      <c r="B1092" t="s">
        <v>1062</v>
      </c>
      <c r="C1092" s="9">
        <v>45056</v>
      </c>
      <c r="D1092" t="s">
        <v>442</v>
      </c>
      <c r="E1092" s="13">
        <v>2250000</v>
      </c>
      <c r="F1092" s="13">
        <v>16650</v>
      </c>
      <c r="G1092" s="9">
        <v>45070</v>
      </c>
      <c r="H1092" t="s">
        <v>1111</v>
      </c>
      <c r="I1092" t="s">
        <v>916</v>
      </c>
      <c r="J1092" s="13">
        <v>74925</v>
      </c>
      <c r="K1092">
        <v>1</v>
      </c>
      <c r="L1092" t="s">
        <v>1064</v>
      </c>
      <c r="M1092" t="s">
        <v>1065</v>
      </c>
      <c r="N1092" s="15" t="s">
        <v>6878</v>
      </c>
    </row>
    <row r="1093" spans="1:14" x14ac:dyDescent="0.2">
      <c r="A1093" t="s">
        <v>2169</v>
      </c>
      <c r="B1093" t="s">
        <v>1069</v>
      </c>
      <c r="C1093" s="9">
        <v>45056</v>
      </c>
      <c r="D1093" t="s">
        <v>442</v>
      </c>
      <c r="E1093" s="13">
        <v>2725000</v>
      </c>
      <c r="F1093" s="13">
        <v>16650</v>
      </c>
      <c r="G1093" s="9">
        <v>45070</v>
      </c>
      <c r="H1093" t="s">
        <v>1111</v>
      </c>
      <c r="I1093" t="s">
        <v>916</v>
      </c>
      <c r="J1093" s="13">
        <v>90742</v>
      </c>
      <c r="K1093">
        <v>1</v>
      </c>
      <c r="L1093" t="s">
        <v>1064</v>
      </c>
      <c r="M1093" t="s">
        <v>1065</v>
      </c>
      <c r="N1093" s="15" t="s">
        <v>6878</v>
      </c>
    </row>
    <row r="1094" spans="1:14" x14ac:dyDescent="0.2">
      <c r="A1094" t="s">
        <v>2170</v>
      </c>
      <c r="B1094" t="s">
        <v>1062</v>
      </c>
      <c r="C1094" s="9">
        <v>45057</v>
      </c>
      <c r="D1094" t="s">
        <v>442</v>
      </c>
      <c r="E1094" s="13">
        <v>2625000</v>
      </c>
      <c r="F1094" s="13">
        <v>16650</v>
      </c>
      <c r="G1094" s="9">
        <v>45070</v>
      </c>
      <c r="H1094" t="s">
        <v>1111</v>
      </c>
      <c r="I1094" t="s">
        <v>916</v>
      </c>
      <c r="J1094" s="13">
        <v>87412</v>
      </c>
      <c r="K1094">
        <v>1</v>
      </c>
      <c r="L1094" t="s">
        <v>1064</v>
      </c>
      <c r="M1094" t="s">
        <v>1065</v>
      </c>
      <c r="N1094" s="15" t="s">
        <v>6878</v>
      </c>
    </row>
    <row r="1095" spans="1:14" x14ac:dyDescent="0.2">
      <c r="A1095" t="s">
        <v>2171</v>
      </c>
      <c r="B1095" t="s">
        <v>1062</v>
      </c>
      <c r="C1095" s="9">
        <v>45057</v>
      </c>
      <c r="D1095" t="s">
        <v>442</v>
      </c>
      <c r="E1095" s="13">
        <v>3125000</v>
      </c>
      <c r="F1095" s="13">
        <v>16650</v>
      </c>
      <c r="G1095" s="9">
        <v>45070</v>
      </c>
      <c r="H1095" t="s">
        <v>1111</v>
      </c>
      <c r="I1095" t="s">
        <v>916</v>
      </c>
      <c r="J1095" s="13">
        <v>104062</v>
      </c>
      <c r="K1095">
        <v>1</v>
      </c>
      <c r="L1095" t="s">
        <v>1064</v>
      </c>
      <c r="M1095" t="s">
        <v>1065</v>
      </c>
      <c r="N1095" s="15" t="s">
        <v>6878</v>
      </c>
    </row>
    <row r="1096" spans="1:14" x14ac:dyDescent="0.2">
      <c r="A1096" t="s">
        <v>2172</v>
      </c>
      <c r="B1096" t="s">
        <v>1062</v>
      </c>
      <c r="C1096" s="9">
        <v>45057</v>
      </c>
      <c r="D1096" t="s">
        <v>442</v>
      </c>
      <c r="E1096" s="13">
        <v>2625000</v>
      </c>
      <c r="F1096" s="13">
        <v>16650</v>
      </c>
      <c r="G1096" s="9">
        <v>45070</v>
      </c>
      <c r="H1096" t="s">
        <v>1111</v>
      </c>
      <c r="I1096" t="s">
        <v>916</v>
      </c>
      <c r="J1096" s="13">
        <v>87412</v>
      </c>
      <c r="K1096">
        <v>1</v>
      </c>
      <c r="L1096" t="s">
        <v>1064</v>
      </c>
      <c r="M1096" t="s">
        <v>1065</v>
      </c>
      <c r="N1096" s="15" t="s">
        <v>6878</v>
      </c>
    </row>
    <row r="1097" spans="1:14" x14ac:dyDescent="0.2">
      <c r="A1097" t="s">
        <v>2173</v>
      </c>
      <c r="B1097" t="s">
        <v>1062</v>
      </c>
      <c r="C1097" s="9">
        <v>45058</v>
      </c>
      <c r="D1097" t="s">
        <v>442</v>
      </c>
      <c r="E1097" s="13">
        <v>3250000</v>
      </c>
      <c r="F1097" s="13">
        <v>16650</v>
      </c>
      <c r="G1097" s="9">
        <v>45070</v>
      </c>
      <c r="H1097" t="s">
        <v>1111</v>
      </c>
      <c r="I1097" t="s">
        <v>916</v>
      </c>
      <c r="J1097" s="13">
        <v>108225</v>
      </c>
      <c r="K1097">
        <v>1</v>
      </c>
      <c r="L1097" t="s">
        <v>1064</v>
      </c>
      <c r="M1097" t="s">
        <v>1065</v>
      </c>
      <c r="N1097" s="15" t="s">
        <v>6878</v>
      </c>
    </row>
    <row r="1098" spans="1:14" x14ac:dyDescent="0.2">
      <c r="A1098" t="s">
        <v>2174</v>
      </c>
      <c r="B1098" t="s">
        <v>1062</v>
      </c>
      <c r="C1098" s="9">
        <v>45058</v>
      </c>
      <c r="D1098" t="s">
        <v>442</v>
      </c>
      <c r="E1098" s="13">
        <v>3250000</v>
      </c>
      <c r="F1098" s="13">
        <v>16650</v>
      </c>
      <c r="G1098" s="9">
        <v>45070</v>
      </c>
      <c r="H1098" t="s">
        <v>1111</v>
      </c>
      <c r="I1098" t="s">
        <v>916</v>
      </c>
      <c r="J1098" s="13">
        <v>108225</v>
      </c>
      <c r="K1098">
        <v>1</v>
      </c>
      <c r="L1098" t="s">
        <v>1064</v>
      </c>
      <c r="M1098" t="s">
        <v>1065</v>
      </c>
      <c r="N1098" s="15" t="s">
        <v>6878</v>
      </c>
    </row>
    <row r="1099" spans="1:14" x14ac:dyDescent="0.2">
      <c r="A1099" t="s">
        <v>2175</v>
      </c>
      <c r="B1099" t="s">
        <v>1062</v>
      </c>
      <c r="C1099" s="9">
        <v>45058</v>
      </c>
      <c r="D1099" t="s">
        <v>442</v>
      </c>
      <c r="E1099" s="13">
        <v>2900000</v>
      </c>
      <c r="F1099" s="13">
        <v>16650</v>
      </c>
      <c r="G1099" s="9">
        <v>45070</v>
      </c>
      <c r="H1099" t="s">
        <v>1111</v>
      </c>
      <c r="I1099" t="s">
        <v>916</v>
      </c>
      <c r="J1099" s="13">
        <v>96570</v>
      </c>
      <c r="K1099">
        <v>1</v>
      </c>
      <c r="L1099" t="s">
        <v>1064</v>
      </c>
      <c r="M1099" t="s">
        <v>1065</v>
      </c>
      <c r="N1099" s="15" t="s">
        <v>6878</v>
      </c>
    </row>
    <row r="1100" spans="1:14" x14ac:dyDescent="0.2">
      <c r="A1100" t="s">
        <v>2176</v>
      </c>
      <c r="B1100" t="s">
        <v>1062</v>
      </c>
      <c r="C1100" s="9">
        <v>45058</v>
      </c>
      <c r="D1100" t="s">
        <v>442</v>
      </c>
      <c r="E1100" s="13">
        <v>2450000</v>
      </c>
      <c r="F1100" s="13">
        <v>16650</v>
      </c>
      <c r="G1100" s="9">
        <v>45070</v>
      </c>
      <c r="H1100" t="s">
        <v>1111</v>
      </c>
      <c r="I1100" t="s">
        <v>916</v>
      </c>
      <c r="J1100" s="13">
        <v>81585</v>
      </c>
      <c r="K1100">
        <v>1</v>
      </c>
      <c r="L1100" t="s">
        <v>1064</v>
      </c>
      <c r="M1100" t="s">
        <v>1065</v>
      </c>
      <c r="N1100" s="15" t="s">
        <v>6878</v>
      </c>
    </row>
    <row r="1101" spans="1:14" x14ac:dyDescent="0.2">
      <c r="A1101" t="s">
        <v>2177</v>
      </c>
      <c r="B1101" t="s">
        <v>1062</v>
      </c>
      <c r="C1101" s="9">
        <v>45058</v>
      </c>
      <c r="D1101" t="s">
        <v>442</v>
      </c>
      <c r="E1101" s="13">
        <v>2625000</v>
      </c>
      <c r="F1101" s="13">
        <v>16650</v>
      </c>
      <c r="G1101" s="9">
        <v>45070</v>
      </c>
      <c r="H1101" t="s">
        <v>1111</v>
      </c>
      <c r="I1101" t="s">
        <v>916</v>
      </c>
      <c r="J1101" s="13">
        <v>87412</v>
      </c>
      <c r="K1101">
        <v>1</v>
      </c>
      <c r="L1101" t="s">
        <v>1064</v>
      </c>
      <c r="M1101" t="s">
        <v>1065</v>
      </c>
      <c r="N1101" s="15" t="s">
        <v>6878</v>
      </c>
    </row>
    <row r="1102" spans="1:14" x14ac:dyDescent="0.2">
      <c r="A1102" t="s">
        <v>2178</v>
      </c>
      <c r="B1102" t="s">
        <v>1062</v>
      </c>
      <c r="C1102" s="9">
        <v>45058</v>
      </c>
      <c r="D1102" t="s">
        <v>442</v>
      </c>
      <c r="E1102" s="13">
        <v>2200000</v>
      </c>
      <c r="F1102" s="13">
        <v>16650</v>
      </c>
      <c r="G1102" s="9">
        <v>45070</v>
      </c>
      <c r="H1102" t="s">
        <v>1111</v>
      </c>
      <c r="I1102" t="s">
        <v>916</v>
      </c>
      <c r="J1102" s="13">
        <v>73260</v>
      </c>
      <c r="K1102">
        <v>1</v>
      </c>
      <c r="L1102" t="s">
        <v>1064</v>
      </c>
      <c r="M1102" t="s">
        <v>1065</v>
      </c>
      <c r="N1102" s="15" t="s">
        <v>6878</v>
      </c>
    </row>
    <row r="1103" spans="1:14" x14ac:dyDescent="0.2">
      <c r="A1103" t="s">
        <v>2179</v>
      </c>
      <c r="B1103" t="s">
        <v>1062</v>
      </c>
      <c r="C1103" s="9">
        <v>45058</v>
      </c>
      <c r="D1103" t="s">
        <v>442</v>
      </c>
      <c r="E1103" s="13">
        <v>2375000</v>
      </c>
      <c r="F1103" s="13">
        <v>16650</v>
      </c>
      <c r="G1103" s="9">
        <v>45070</v>
      </c>
      <c r="H1103" t="s">
        <v>1111</v>
      </c>
      <c r="I1103" t="s">
        <v>916</v>
      </c>
      <c r="J1103" s="13">
        <v>79087</v>
      </c>
      <c r="K1103">
        <v>1</v>
      </c>
      <c r="L1103" t="s">
        <v>1064</v>
      </c>
      <c r="M1103" t="s">
        <v>1065</v>
      </c>
      <c r="N1103" s="15" t="s">
        <v>6878</v>
      </c>
    </row>
    <row r="1104" spans="1:14" x14ac:dyDescent="0.2">
      <c r="A1104" t="s">
        <v>2180</v>
      </c>
      <c r="B1104" t="s">
        <v>1062</v>
      </c>
      <c r="C1104" s="9">
        <v>45058</v>
      </c>
      <c r="D1104" t="s">
        <v>442</v>
      </c>
      <c r="E1104" s="13">
        <v>1000000</v>
      </c>
      <c r="F1104" s="13">
        <v>16650</v>
      </c>
      <c r="G1104" s="9">
        <v>45070</v>
      </c>
      <c r="H1104" t="s">
        <v>1111</v>
      </c>
      <c r="I1104" t="s">
        <v>916</v>
      </c>
      <c r="J1104" s="13">
        <v>33300</v>
      </c>
      <c r="K1104">
        <v>1</v>
      </c>
      <c r="L1104" t="s">
        <v>1064</v>
      </c>
      <c r="M1104" t="s">
        <v>1065</v>
      </c>
      <c r="N1104" s="15" t="s">
        <v>6878</v>
      </c>
    </row>
    <row r="1105" spans="1:14" x14ac:dyDescent="0.2">
      <c r="A1105" t="s">
        <v>2181</v>
      </c>
      <c r="B1105" t="s">
        <v>1062</v>
      </c>
      <c r="C1105" s="9">
        <v>45058</v>
      </c>
      <c r="D1105" t="s">
        <v>442</v>
      </c>
      <c r="E1105" s="13">
        <v>2625000</v>
      </c>
      <c r="F1105" s="13">
        <v>16650</v>
      </c>
      <c r="G1105" s="9">
        <v>45070</v>
      </c>
      <c r="H1105" t="s">
        <v>1111</v>
      </c>
      <c r="I1105" t="s">
        <v>916</v>
      </c>
      <c r="J1105" s="13">
        <v>87412</v>
      </c>
      <c r="K1105">
        <v>1</v>
      </c>
      <c r="L1105" t="s">
        <v>1064</v>
      </c>
      <c r="M1105" t="s">
        <v>1065</v>
      </c>
      <c r="N1105" s="15" t="s">
        <v>6878</v>
      </c>
    </row>
    <row r="1106" spans="1:14" x14ac:dyDescent="0.2">
      <c r="A1106" t="s">
        <v>2182</v>
      </c>
      <c r="B1106" t="s">
        <v>1062</v>
      </c>
      <c r="C1106" s="9">
        <v>45058</v>
      </c>
      <c r="D1106" t="s">
        <v>442</v>
      </c>
      <c r="E1106" s="13">
        <v>1075000</v>
      </c>
      <c r="F1106" s="13">
        <v>16650</v>
      </c>
      <c r="G1106" s="9">
        <v>45070</v>
      </c>
      <c r="H1106" t="s">
        <v>1111</v>
      </c>
      <c r="I1106" t="s">
        <v>916</v>
      </c>
      <c r="J1106" s="13">
        <v>35797</v>
      </c>
      <c r="K1106">
        <v>1</v>
      </c>
      <c r="L1106" t="s">
        <v>1064</v>
      </c>
      <c r="M1106" t="s">
        <v>1065</v>
      </c>
      <c r="N1106" s="15" t="s">
        <v>6878</v>
      </c>
    </row>
    <row r="1107" spans="1:14" x14ac:dyDescent="0.2">
      <c r="A1107" t="s">
        <v>2183</v>
      </c>
      <c r="B1107" t="s">
        <v>1062</v>
      </c>
      <c r="C1107" s="9">
        <v>45058</v>
      </c>
      <c r="D1107" t="s">
        <v>442</v>
      </c>
      <c r="E1107" s="13">
        <v>2375000</v>
      </c>
      <c r="F1107" s="13">
        <v>15000</v>
      </c>
      <c r="H1107" t="s">
        <v>2184</v>
      </c>
      <c r="I1107" t="s">
        <v>916</v>
      </c>
      <c r="J1107" s="13">
        <v>0</v>
      </c>
      <c r="K1107">
        <v>1</v>
      </c>
      <c r="L1107" t="s">
        <v>1064</v>
      </c>
      <c r="M1107" t="s">
        <v>1065</v>
      </c>
      <c r="N1107" s="14" t="s">
        <v>6877</v>
      </c>
    </row>
    <row r="1108" spans="1:14" x14ac:dyDescent="0.2">
      <c r="A1108" t="s">
        <v>2185</v>
      </c>
      <c r="B1108" t="s">
        <v>1062</v>
      </c>
      <c r="C1108" s="9">
        <v>45058</v>
      </c>
      <c r="D1108" t="s">
        <v>442</v>
      </c>
      <c r="E1108" s="13">
        <v>2625000</v>
      </c>
      <c r="F1108" s="13">
        <v>16650</v>
      </c>
      <c r="G1108" s="9">
        <v>45070</v>
      </c>
      <c r="H1108" t="s">
        <v>1111</v>
      </c>
      <c r="I1108" t="s">
        <v>916</v>
      </c>
      <c r="J1108" s="13">
        <v>87412</v>
      </c>
      <c r="K1108">
        <v>1</v>
      </c>
      <c r="L1108" t="s">
        <v>1064</v>
      </c>
      <c r="M1108" t="s">
        <v>1065</v>
      </c>
      <c r="N1108" s="15" t="s">
        <v>6878</v>
      </c>
    </row>
    <row r="1109" spans="1:14" x14ac:dyDescent="0.2">
      <c r="A1109" t="s">
        <v>2186</v>
      </c>
      <c r="B1109" t="s">
        <v>1062</v>
      </c>
      <c r="C1109" s="9">
        <v>45058</v>
      </c>
      <c r="D1109" t="s">
        <v>442</v>
      </c>
      <c r="E1109" s="13">
        <v>2250000</v>
      </c>
      <c r="F1109" s="13">
        <v>16650</v>
      </c>
      <c r="G1109" s="9">
        <v>45070</v>
      </c>
      <c r="H1109" t="s">
        <v>1111</v>
      </c>
      <c r="I1109" t="s">
        <v>916</v>
      </c>
      <c r="J1109" s="13">
        <v>74925</v>
      </c>
      <c r="K1109">
        <v>1</v>
      </c>
      <c r="L1109" t="s">
        <v>1064</v>
      </c>
      <c r="M1109" t="s">
        <v>1065</v>
      </c>
      <c r="N1109" s="15" t="s">
        <v>6878</v>
      </c>
    </row>
    <row r="1110" spans="1:14" x14ac:dyDescent="0.2">
      <c r="A1110" t="s">
        <v>2187</v>
      </c>
      <c r="B1110" t="s">
        <v>1062</v>
      </c>
      <c r="C1110" s="9">
        <v>45058</v>
      </c>
      <c r="D1110" t="s">
        <v>442</v>
      </c>
      <c r="E1110" s="13">
        <v>875000</v>
      </c>
      <c r="F1110" s="13">
        <v>16650</v>
      </c>
      <c r="G1110" s="9">
        <v>45070</v>
      </c>
      <c r="H1110" t="s">
        <v>1111</v>
      </c>
      <c r="I1110" t="s">
        <v>916</v>
      </c>
      <c r="J1110" s="13">
        <v>29137</v>
      </c>
      <c r="K1110">
        <v>1</v>
      </c>
      <c r="L1110" t="s">
        <v>1064</v>
      </c>
      <c r="M1110" t="s">
        <v>1065</v>
      </c>
      <c r="N1110" s="15" t="s">
        <v>6878</v>
      </c>
    </row>
    <row r="1111" spans="1:14" x14ac:dyDescent="0.2">
      <c r="A1111" t="s">
        <v>2188</v>
      </c>
      <c r="B1111" t="s">
        <v>1062</v>
      </c>
      <c r="C1111" s="9">
        <v>45058</v>
      </c>
      <c r="D1111" t="s">
        <v>442</v>
      </c>
      <c r="E1111" s="13">
        <v>2625000</v>
      </c>
      <c r="F1111" s="13">
        <v>16650</v>
      </c>
      <c r="G1111" s="9">
        <v>45070</v>
      </c>
      <c r="H1111" t="s">
        <v>1111</v>
      </c>
      <c r="I1111" t="s">
        <v>916</v>
      </c>
      <c r="J1111" s="13">
        <v>87412</v>
      </c>
      <c r="K1111">
        <v>1</v>
      </c>
      <c r="L1111" t="s">
        <v>1064</v>
      </c>
      <c r="M1111" t="s">
        <v>1065</v>
      </c>
      <c r="N1111" s="15" t="s">
        <v>6878</v>
      </c>
    </row>
    <row r="1112" spans="1:14" x14ac:dyDescent="0.2">
      <c r="A1112" t="s">
        <v>2189</v>
      </c>
      <c r="B1112" t="s">
        <v>1062</v>
      </c>
      <c r="C1112" s="9">
        <v>45058</v>
      </c>
      <c r="D1112" t="s">
        <v>442</v>
      </c>
      <c r="E1112" s="13">
        <v>2250000</v>
      </c>
      <c r="F1112" s="13">
        <v>16650</v>
      </c>
      <c r="G1112" s="9">
        <v>45070</v>
      </c>
      <c r="H1112" t="s">
        <v>1111</v>
      </c>
      <c r="I1112" t="s">
        <v>916</v>
      </c>
      <c r="J1112" s="13">
        <v>74925</v>
      </c>
      <c r="K1112">
        <v>1</v>
      </c>
      <c r="L1112" t="s">
        <v>1064</v>
      </c>
      <c r="M1112" t="s">
        <v>1065</v>
      </c>
      <c r="N1112" s="15" t="s">
        <v>6878</v>
      </c>
    </row>
    <row r="1113" spans="1:14" x14ac:dyDescent="0.2">
      <c r="A1113" t="s">
        <v>2190</v>
      </c>
      <c r="B1113" t="s">
        <v>1062</v>
      </c>
      <c r="C1113" s="9">
        <v>45058</v>
      </c>
      <c r="D1113" t="s">
        <v>442</v>
      </c>
      <c r="E1113" s="13">
        <v>3000000</v>
      </c>
      <c r="F1113" s="13">
        <v>16650</v>
      </c>
      <c r="G1113" s="9">
        <v>45070</v>
      </c>
      <c r="H1113" t="s">
        <v>1111</v>
      </c>
      <c r="I1113" t="s">
        <v>916</v>
      </c>
      <c r="J1113" s="13">
        <v>99900</v>
      </c>
      <c r="K1113">
        <v>1</v>
      </c>
      <c r="L1113" t="s">
        <v>1064</v>
      </c>
      <c r="M1113" t="s">
        <v>1065</v>
      </c>
      <c r="N1113" s="15" t="s">
        <v>6878</v>
      </c>
    </row>
    <row r="1114" spans="1:14" x14ac:dyDescent="0.2">
      <c r="A1114" t="s">
        <v>2191</v>
      </c>
      <c r="B1114" t="s">
        <v>1062</v>
      </c>
      <c r="C1114" s="9">
        <v>45058</v>
      </c>
      <c r="D1114" t="s">
        <v>442</v>
      </c>
      <c r="E1114" s="13">
        <v>2950000</v>
      </c>
      <c r="F1114" s="13">
        <v>16650</v>
      </c>
      <c r="G1114" s="9">
        <v>45070</v>
      </c>
      <c r="H1114" t="s">
        <v>1111</v>
      </c>
      <c r="I1114" t="s">
        <v>916</v>
      </c>
      <c r="J1114" s="13">
        <v>98235</v>
      </c>
      <c r="K1114">
        <v>1</v>
      </c>
      <c r="L1114" t="s">
        <v>1064</v>
      </c>
      <c r="M1114" t="s">
        <v>1065</v>
      </c>
      <c r="N1114" s="15" t="s">
        <v>6878</v>
      </c>
    </row>
    <row r="1115" spans="1:14" x14ac:dyDescent="0.2">
      <c r="A1115" t="s">
        <v>994</v>
      </c>
      <c r="B1115" t="s">
        <v>1062</v>
      </c>
      <c r="C1115" s="9">
        <v>45059</v>
      </c>
      <c r="D1115" t="s">
        <v>178</v>
      </c>
      <c r="E1115" s="13">
        <v>10192000</v>
      </c>
      <c r="F1115" s="13">
        <v>177600</v>
      </c>
      <c r="G1115" s="9">
        <v>45060</v>
      </c>
      <c r="H1115" t="s">
        <v>1111</v>
      </c>
      <c r="I1115" t="s">
        <v>904</v>
      </c>
      <c r="J1115" s="13"/>
      <c r="K1115">
        <v>8</v>
      </c>
      <c r="L1115" t="s">
        <v>1064</v>
      </c>
      <c r="M1115" t="s">
        <v>1164</v>
      </c>
      <c r="N1115" s="15" t="s">
        <v>6878</v>
      </c>
    </row>
    <row r="1116" spans="1:14" x14ac:dyDescent="0.2">
      <c r="A1116" t="s">
        <v>2192</v>
      </c>
      <c r="B1116" t="s">
        <v>1062</v>
      </c>
      <c r="C1116" s="9">
        <v>45062</v>
      </c>
      <c r="D1116" t="s">
        <v>442</v>
      </c>
      <c r="E1116" s="13">
        <v>2625000</v>
      </c>
      <c r="F1116" s="13">
        <v>16650</v>
      </c>
      <c r="G1116" s="9">
        <v>45070</v>
      </c>
      <c r="H1116" t="s">
        <v>1111</v>
      </c>
      <c r="I1116" t="s">
        <v>916</v>
      </c>
      <c r="J1116" s="13">
        <v>87412</v>
      </c>
      <c r="K1116">
        <v>1</v>
      </c>
      <c r="L1116" t="s">
        <v>1064</v>
      </c>
      <c r="M1116" t="s">
        <v>1065</v>
      </c>
      <c r="N1116" s="15" t="s">
        <v>6878</v>
      </c>
    </row>
    <row r="1117" spans="1:14" x14ac:dyDescent="0.2">
      <c r="A1117" t="s">
        <v>2193</v>
      </c>
      <c r="B1117" t="s">
        <v>1062</v>
      </c>
      <c r="C1117" s="9">
        <v>45062</v>
      </c>
      <c r="D1117" t="s">
        <v>442</v>
      </c>
      <c r="E1117" s="13">
        <v>2625000</v>
      </c>
      <c r="F1117" s="13">
        <v>16650</v>
      </c>
      <c r="G1117" s="9">
        <v>45070</v>
      </c>
      <c r="H1117" t="s">
        <v>1111</v>
      </c>
      <c r="I1117" t="s">
        <v>916</v>
      </c>
      <c r="J1117" s="13">
        <v>87412</v>
      </c>
      <c r="K1117">
        <v>1</v>
      </c>
      <c r="L1117" t="s">
        <v>1064</v>
      </c>
      <c r="M1117" t="s">
        <v>1065</v>
      </c>
      <c r="N1117" s="15" t="s">
        <v>6878</v>
      </c>
    </row>
    <row r="1118" spans="1:14" x14ac:dyDescent="0.2">
      <c r="A1118" t="s">
        <v>2194</v>
      </c>
      <c r="B1118" t="s">
        <v>1062</v>
      </c>
      <c r="C1118" s="9">
        <v>45062</v>
      </c>
      <c r="D1118" t="s">
        <v>442</v>
      </c>
      <c r="E1118" s="13">
        <v>1875000</v>
      </c>
      <c r="F1118" s="13">
        <v>16650</v>
      </c>
      <c r="G1118" s="9">
        <v>45070</v>
      </c>
      <c r="H1118" t="s">
        <v>1111</v>
      </c>
      <c r="I1118" t="s">
        <v>916</v>
      </c>
      <c r="J1118" s="13">
        <v>62437</v>
      </c>
      <c r="K1118">
        <v>1</v>
      </c>
      <c r="L1118" t="s">
        <v>1064</v>
      </c>
      <c r="M1118" t="s">
        <v>1065</v>
      </c>
      <c r="N1118" s="15" t="s">
        <v>6878</v>
      </c>
    </row>
    <row r="1119" spans="1:14" x14ac:dyDescent="0.2">
      <c r="A1119" t="s">
        <v>2195</v>
      </c>
      <c r="B1119" t="s">
        <v>1062</v>
      </c>
      <c r="C1119" s="9">
        <v>45062</v>
      </c>
      <c r="D1119" t="s">
        <v>442</v>
      </c>
      <c r="E1119" s="13">
        <v>3125000</v>
      </c>
      <c r="F1119" s="13">
        <v>16650</v>
      </c>
      <c r="G1119" s="9">
        <v>45070</v>
      </c>
      <c r="H1119" t="s">
        <v>1111</v>
      </c>
      <c r="I1119" t="s">
        <v>916</v>
      </c>
      <c r="J1119" s="13">
        <v>104062</v>
      </c>
      <c r="K1119">
        <v>1</v>
      </c>
      <c r="L1119" t="s">
        <v>1064</v>
      </c>
      <c r="M1119" t="s">
        <v>1065</v>
      </c>
      <c r="N1119" s="15" t="s">
        <v>6878</v>
      </c>
    </row>
    <row r="1120" spans="1:14" x14ac:dyDescent="0.2">
      <c r="A1120" t="s">
        <v>2196</v>
      </c>
      <c r="B1120" t="s">
        <v>1062</v>
      </c>
      <c r="C1120" s="9">
        <v>45062</v>
      </c>
      <c r="D1120" t="s">
        <v>442</v>
      </c>
      <c r="E1120" s="13">
        <v>1000000</v>
      </c>
      <c r="F1120" s="13">
        <v>16650</v>
      </c>
      <c r="G1120" s="9">
        <v>45070</v>
      </c>
      <c r="H1120" t="s">
        <v>1111</v>
      </c>
      <c r="I1120" t="s">
        <v>916</v>
      </c>
      <c r="J1120" s="13">
        <v>33300</v>
      </c>
      <c r="K1120">
        <v>1</v>
      </c>
      <c r="L1120" t="s">
        <v>1064</v>
      </c>
      <c r="M1120" t="s">
        <v>1065</v>
      </c>
      <c r="N1120" s="15" t="s">
        <v>6878</v>
      </c>
    </row>
    <row r="1121" spans="1:14" x14ac:dyDescent="0.2">
      <c r="A1121" t="s">
        <v>2197</v>
      </c>
      <c r="B1121" t="s">
        <v>1062</v>
      </c>
      <c r="C1121" s="9">
        <v>45062</v>
      </c>
      <c r="D1121" t="s">
        <v>442</v>
      </c>
      <c r="E1121" s="13">
        <v>2450000</v>
      </c>
      <c r="F1121" s="13">
        <v>16650</v>
      </c>
      <c r="G1121" s="9">
        <v>45070</v>
      </c>
      <c r="H1121" t="s">
        <v>1111</v>
      </c>
      <c r="I1121" t="s">
        <v>916</v>
      </c>
      <c r="J1121" s="13">
        <v>81585</v>
      </c>
      <c r="K1121">
        <v>1</v>
      </c>
      <c r="L1121" t="s">
        <v>1064</v>
      </c>
      <c r="M1121" t="s">
        <v>1065</v>
      </c>
      <c r="N1121" s="15" t="s">
        <v>6878</v>
      </c>
    </row>
    <row r="1122" spans="1:14" x14ac:dyDescent="0.2">
      <c r="A1122" t="s">
        <v>2198</v>
      </c>
      <c r="B1122" t="s">
        <v>1062</v>
      </c>
      <c r="C1122" s="9">
        <v>45062</v>
      </c>
      <c r="D1122" t="s">
        <v>442</v>
      </c>
      <c r="E1122" s="13">
        <v>1125000</v>
      </c>
      <c r="F1122" s="13">
        <v>16650</v>
      </c>
      <c r="G1122" s="9">
        <v>45070</v>
      </c>
      <c r="H1122" t="s">
        <v>1111</v>
      </c>
      <c r="I1122" t="s">
        <v>916</v>
      </c>
      <c r="J1122" s="13">
        <v>37462</v>
      </c>
      <c r="K1122">
        <v>1</v>
      </c>
      <c r="L1122" t="s">
        <v>1064</v>
      </c>
      <c r="M1122" t="s">
        <v>1065</v>
      </c>
      <c r="N1122" s="15" t="s">
        <v>6878</v>
      </c>
    </row>
    <row r="1123" spans="1:14" x14ac:dyDescent="0.2">
      <c r="A1123" t="s">
        <v>2199</v>
      </c>
      <c r="B1123" t="s">
        <v>1062</v>
      </c>
      <c r="C1123" s="9">
        <v>45062</v>
      </c>
      <c r="D1123" t="s">
        <v>442</v>
      </c>
      <c r="E1123" s="13">
        <v>2250000</v>
      </c>
      <c r="F1123" s="13">
        <v>16650</v>
      </c>
      <c r="G1123" s="9">
        <v>45070</v>
      </c>
      <c r="H1123" t="s">
        <v>1111</v>
      </c>
      <c r="I1123" t="s">
        <v>916</v>
      </c>
      <c r="J1123" s="13">
        <v>74925</v>
      </c>
      <c r="K1123">
        <v>1</v>
      </c>
      <c r="L1123" t="s">
        <v>1064</v>
      </c>
      <c r="M1123" t="s">
        <v>1065</v>
      </c>
      <c r="N1123" s="15" t="s">
        <v>6878</v>
      </c>
    </row>
    <row r="1124" spans="1:14" x14ac:dyDescent="0.2">
      <c r="A1124" t="s">
        <v>2200</v>
      </c>
      <c r="B1124" t="s">
        <v>1062</v>
      </c>
      <c r="C1124" s="9">
        <v>45062</v>
      </c>
      <c r="D1124" t="s">
        <v>442</v>
      </c>
      <c r="E1124" s="13">
        <v>2625000</v>
      </c>
      <c r="F1124" s="13">
        <v>16650</v>
      </c>
      <c r="G1124" s="9">
        <v>45070</v>
      </c>
      <c r="H1124" t="s">
        <v>1111</v>
      </c>
      <c r="I1124" t="s">
        <v>916</v>
      </c>
      <c r="J1124" s="13">
        <v>87412</v>
      </c>
      <c r="K1124">
        <v>1</v>
      </c>
      <c r="L1124" t="s">
        <v>1064</v>
      </c>
      <c r="M1124" t="s">
        <v>1065</v>
      </c>
      <c r="N1124" s="15" t="s">
        <v>6878</v>
      </c>
    </row>
    <row r="1125" spans="1:14" x14ac:dyDescent="0.2">
      <c r="A1125" t="s">
        <v>2201</v>
      </c>
      <c r="B1125" t="s">
        <v>1062</v>
      </c>
      <c r="C1125" s="9">
        <v>45062</v>
      </c>
      <c r="D1125" t="s">
        <v>442</v>
      </c>
      <c r="E1125" s="13">
        <v>2460000</v>
      </c>
      <c r="F1125" s="13">
        <v>16650</v>
      </c>
      <c r="G1125" s="9">
        <v>45070</v>
      </c>
      <c r="H1125" t="s">
        <v>1111</v>
      </c>
      <c r="I1125" t="s">
        <v>916</v>
      </c>
      <c r="J1125" s="13">
        <v>81918</v>
      </c>
      <c r="K1125">
        <v>1</v>
      </c>
      <c r="L1125" t="s">
        <v>1064</v>
      </c>
      <c r="M1125" t="s">
        <v>1065</v>
      </c>
      <c r="N1125" s="15" t="s">
        <v>6878</v>
      </c>
    </row>
    <row r="1126" spans="1:14" x14ac:dyDescent="0.2">
      <c r="A1126" t="s">
        <v>2202</v>
      </c>
      <c r="B1126" t="s">
        <v>1069</v>
      </c>
      <c r="C1126" s="9">
        <v>45062</v>
      </c>
      <c r="D1126" t="s">
        <v>442</v>
      </c>
      <c r="E1126" s="13">
        <v>2725000</v>
      </c>
      <c r="F1126" s="13">
        <v>16650</v>
      </c>
      <c r="G1126" s="9">
        <v>45070</v>
      </c>
      <c r="H1126" t="s">
        <v>1111</v>
      </c>
      <c r="I1126" t="s">
        <v>916</v>
      </c>
      <c r="J1126" s="13">
        <v>90742</v>
      </c>
      <c r="K1126">
        <v>1</v>
      </c>
      <c r="L1126" t="s">
        <v>1064</v>
      </c>
      <c r="M1126" t="s">
        <v>1065</v>
      </c>
      <c r="N1126" s="15" t="s">
        <v>6878</v>
      </c>
    </row>
    <row r="1127" spans="1:14" x14ac:dyDescent="0.2">
      <c r="A1127" t="s">
        <v>2203</v>
      </c>
      <c r="B1127" t="s">
        <v>1062</v>
      </c>
      <c r="C1127" s="9">
        <v>45069</v>
      </c>
      <c r="D1127" t="s">
        <v>442</v>
      </c>
      <c r="E1127" s="13">
        <v>2625000</v>
      </c>
      <c r="F1127" s="13">
        <v>16650</v>
      </c>
      <c r="G1127" s="9">
        <v>45075</v>
      </c>
      <c r="H1127" t="s">
        <v>1111</v>
      </c>
      <c r="I1127" t="s">
        <v>916</v>
      </c>
      <c r="J1127" s="13">
        <v>87412</v>
      </c>
      <c r="K1127">
        <v>1</v>
      </c>
      <c r="L1127" t="s">
        <v>1064</v>
      </c>
      <c r="M1127" t="s">
        <v>1065</v>
      </c>
      <c r="N1127" s="15" t="s">
        <v>6878</v>
      </c>
    </row>
    <row r="1128" spans="1:14" x14ac:dyDescent="0.2">
      <c r="A1128" t="s">
        <v>2204</v>
      </c>
      <c r="B1128" t="s">
        <v>1062</v>
      </c>
      <c r="C1128" s="9">
        <v>45069</v>
      </c>
      <c r="D1128" t="s">
        <v>442</v>
      </c>
      <c r="E1128" s="13">
        <v>2625000</v>
      </c>
      <c r="F1128" s="13">
        <v>16650</v>
      </c>
      <c r="G1128" s="9">
        <v>45075</v>
      </c>
      <c r="H1128" t="s">
        <v>1111</v>
      </c>
      <c r="I1128" t="s">
        <v>916</v>
      </c>
      <c r="J1128" s="13">
        <v>87412</v>
      </c>
      <c r="K1128">
        <v>1</v>
      </c>
      <c r="L1128" t="s">
        <v>1064</v>
      </c>
      <c r="M1128" t="s">
        <v>1065</v>
      </c>
      <c r="N1128" s="15" t="s">
        <v>6878</v>
      </c>
    </row>
    <row r="1129" spans="1:14" x14ac:dyDescent="0.2">
      <c r="A1129" t="s">
        <v>2205</v>
      </c>
      <c r="B1129" t="s">
        <v>1062</v>
      </c>
      <c r="C1129" s="9">
        <v>45069</v>
      </c>
      <c r="D1129" t="s">
        <v>442</v>
      </c>
      <c r="E1129" s="13">
        <v>1750000</v>
      </c>
      <c r="F1129" s="13">
        <v>16650</v>
      </c>
      <c r="G1129" s="9">
        <v>45075</v>
      </c>
      <c r="H1129" t="s">
        <v>1111</v>
      </c>
      <c r="I1129" t="s">
        <v>916</v>
      </c>
      <c r="J1129" s="13">
        <v>58275</v>
      </c>
      <c r="K1129">
        <v>1</v>
      </c>
      <c r="L1129" t="s">
        <v>1064</v>
      </c>
      <c r="M1129" t="s">
        <v>1065</v>
      </c>
      <c r="N1129" s="15" t="s">
        <v>6878</v>
      </c>
    </row>
    <row r="1130" spans="1:14" x14ac:dyDescent="0.2">
      <c r="A1130" t="s">
        <v>2206</v>
      </c>
      <c r="B1130" t="s">
        <v>1062</v>
      </c>
      <c r="C1130" s="9">
        <v>45069</v>
      </c>
      <c r="D1130" t="s">
        <v>442</v>
      </c>
      <c r="E1130" s="13">
        <v>2325000</v>
      </c>
      <c r="F1130" s="13">
        <v>16650</v>
      </c>
      <c r="G1130" s="9">
        <v>45075</v>
      </c>
      <c r="H1130" t="s">
        <v>1111</v>
      </c>
      <c r="I1130" t="s">
        <v>916</v>
      </c>
      <c r="J1130" s="13">
        <v>77422</v>
      </c>
      <c r="K1130">
        <v>1</v>
      </c>
      <c r="L1130" t="s">
        <v>1064</v>
      </c>
      <c r="M1130" t="s">
        <v>1065</v>
      </c>
      <c r="N1130" s="15" t="s">
        <v>6878</v>
      </c>
    </row>
    <row r="1131" spans="1:14" x14ac:dyDescent="0.2">
      <c r="A1131" t="s">
        <v>2207</v>
      </c>
      <c r="B1131" t="s">
        <v>1062</v>
      </c>
      <c r="C1131" s="9">
        <v>45069</v>
      </c>
      <c r="D1131" t="s">
        <v>442</v>
      </c>
      <c r="E1131" s="13">
        <v>2625000</v>
      </c>
      <c r="F1131" s="13">
        <v>16650</v>
      </c>
      <c r="G1131" s="9">
        <v>45075</v>
      </c>
      <c r="H1131" t="s">
        <v>1111</v>
      </c>
      <c r="I1131" t="s">
        <v>916</v>
      </c>
      <c r="J1131" s="13">
        <v>87412</v>
      </c>
      <c r="K1131">
        <v>1</v>
      </c>
      <c r="L1131" t="s">
        <v>1064</v>
      </c>
      <c r="M1131" t="s">
        <v>1065</v>
      </c>
      <c r="N1131" s="15" t="s">
        <v>6878</v>
      </c>
    </row>
    <row r="1132" spans="1:14" x14ac:dyDescent="0.2">
      <c r="A1132" t="s">
        <v>2208</v>
      </c>
      <c r="B1132" t="s">
        <v>1062</v>
      </c>
      <c r="C1132" s="9">
        <v>45069</v>
      </c>
      <c r="D1132" t="s">
        <v>442</v>
      </c>
      <c r="E1132" s="13">
        <v>3125000</v>
      </c>
      <c r="F1132" s="13">
        <v>16650</v>
      </c>
      <c r="G1132" s="9">
        <v>45075</v>
      </c>
      <c r="H1132" t="s">
        <v>1111</v>
      </c>
      <c r="I1132" t="s">
        <v>916</v>
      </c>
      <c r="J1132" s="13">
        <v>104062</v>
      </c>
      <c r="K1132">
        <v>1</v>
      </c>
      <c r="L1132" t="s">
        <v>1064</v>
      </c>
      <c r="M1132" t="s">
        <v>1065</v>
      </c>
      <c r="N1132" s="15" t="s">
        <v>6878</v>
      </c>
    </row>
    <row r="1133" spans="1:14" x14ac:dyDescent="0.2">
      <c r="A1133" t="s">
        <v>2209</v>
      </c>
      <c r="B1133" t="s">
        <v>1062</v>
      </c>
      <c r="C1133" s="9">
        <v>45070</v>
      </c>
      <c r="D1133" t="s">
        <v>442</v>
      </c>
      <c r="E1133" s="13">
        <v>1000000</v>
      </c>
      <c r="F1133" s="13">
        <v>16650</v>
      </c>
      <c r="G1133" s="9">
        <v>45075</v>
      </c>
      <c r="H1133" t="s">
        <v>1111</v>
      </c>
      <c r="I1133" t="s">
        <v>916</v>
      </c>
      <c r="J1133" s="13">
        <v>33300</v>
      </c>
      <c r="K1133">
        <v>1</v>
      </c>
      <c r="L1133" t="s">
        <v>1064</v>
      </c>
      <c r="M1133" t="s">
        <v>1065</v>
      </c>
      <c r="N1133" s="15" t="s">
        <v>6878</v>
      </c>
    </row>
    <row r="1134" spans="1:14" x14ac:dyDescent="0.2">
      <c r="A1134" t="s">
        <v>2210</v>
      </c>
      <c r="B1134" t="s">
        <v>1062</v>
      </c>
      <c r="C1134" s="9">
        <v>45070</v>
      </c>
      <c r="D1134" t="s">
        <v>442</v>
      </c>
      <c r="E1134" s="13">
        <v>2787500</v>
      </c>
      <c r="F1134" s="13">
        <v>16650</v>
      </c>
      <c r="G1134" s="9">
        <v>45075</v>
      </c>
      <c r="H1134" t="s">
        <v>1111</v>
      </c>
      <c r="I1134" t="s">
        <v>916</v>
      </c>
      <c r="J1134" s="13">
        <v>92823</v>
      </c>
      <c r="K1134">
        <v>1</v>
      </c>
      <c r="L1134" t="s">
        <v>1064</v>
      </c>
      <c r="M1134" t="s">
        <v>1065</v>
      </c>
      <c r="N1134" s="15" t="s">
        <v>6878</v>
      </c>
    </row>
    <row r="1135" spans="1:14" x14ac:dyDescent="0.2">
      <c r="A1135" t="s">
        <v>2211</v>
      </c>
      <c r="B1135" t="s">
        <v>1062</v>
      </c>
      <c r="C1135" s="9">
        <v>45070</v>
      </c>
      <c r="D1135" t="s">
        <v>442</v>
      </c>
      <c r="E1135" s="13">
        <v>3125000</v>
      </c>
      <c r="F1135" s="13">
        <v>16650</v>
      </c>
      <c r="G1135" s="9">
        <v>45084</v>
      </c>
      <c r="H1135" t="s">
        <v>1111</v>
      </c>
      <c r="I1135" t="s">
        <v>916</v>
      </c>
      <c r="J1135" s="13">
        <v>104062</v>
      </c>
      <c r="K1135">
        <v>1</v>
      </c>
      <c r="L1135" t="s">
        <v>1064</v>
      </c>
      <c r="M1135" t="s">
        <v>1065</v>
      </c>
      <c r="N1135" s="15" t="s">
        <v>6878</v>
      </c>
    </row>
    <row r="1136" spans="1:14" x14ac:dyDescent="0.2">
      <c r="A1136" t="s">
        <v>2212</v>
      </c>
      <c r="B1136" t="s">
        <v>1062</v>
      </c>
      <c r="C1136" s="9">
        <v>45070</v>
      </c>
      <c r="D1136" t="s">
        <v>442</v>
      </c>
      <c r="E1136" s="13">
        <v>2250000</v>
      </c>
      <c r="F1136" s="13">
        <v>16650</v>
      </c>
      <c r="G1136" s="9">
        <v>45075</v>
      </c>
      <c r="H1136" t="s">
        <v>1111</v>
      </c>
      <c r="I1136" t="s">
        <v>916</v>
      </c>
      <c r="J1136" s="13">
        <v>74925</v>
      </c>
      <c r="K1136">
        <v>1</v>
      </c>
      <c r="L1136" t="s">
        <v>1064</v>
      </c>
      <c r="M1136" t="s">
        <v>1065</v>
      </c>
      <c r="N1136" s="15" t="s">
        <v>6878</v>
      </c>
    </row>
    <row r="1137" spans="1:14" x14ac:dyDescent="0.2">
      <c r="A1137" t="s">
        <v>2213</v>
      </c>
      <c r="B1137" t="s">
        <v>1062</v>
      </c>
      <c r="C1137" s="9">
        <v>45070</v>
      </c>
      <c r="D1137" t="s">
        <v>442</v>
      </c>
      <c r="E1137" s="13">
        <v>2250000</v>
      </c>
      <c r="F1137" s="13">
        <v>16650</v>
      </c>
      <c r="G1137" s="9">
        <v>45075</v>
      </c>
      <c r="H1137" t="s">
        <v>1111</v>
      </c>
      <c r="I1137" t="s">
        <v>916</v>
      </c>
      <c r="J1137" s="13">
        <v>74925</v>
      </c>
      <c r="K1137">
        <v>1</v>
      </c>
      <c r="L1137" t="s">
        <v>1064</v>
      </c>
      <c r="M1137" t="s">
        <v>1065</v>
      </c>
      <c r="N1137" s="15" t="s">
        <v>6878</v>
      </c>
    </row>
    <row r="1138" spans="1:14" x14ac:dyDescent="0.2">
      <c r="A1138" t="s">
        <v>2214</v>
      </c>
      <c r="B1138" t="s">
        <v>1062</v>
      </c>
      <c r="C1138" s="9">
        <v>45070</v>
      </c>
      <c r="D1138" t="s">
        <v>442</v>
      </c>
      <c r="E1138" s="13">
        <v>1125000</v>
      </c>
      <c r="F1138" s="13">
        <v>16650</v>
      </c>
      <c r="G1138" s="9">
        <v>45075</v>
      </c>
      <c r="H1138" t="s">
        <v>1111</v>
      </c>
      <c r="I1138" t="s">
        <v>916</v>
      </c>
      <c r="J1138" s="13">
        <v>37462</v>
      </c>
      <c r="K1138">
        <v>1</v>
      </c>
      <c r="L1138" t="s">
        <v>1064</v>
      </c>
      <c r="M1138" t="s">
        <v>1065</v>
      </c>
      <c r="N1138" s="15" t="s">
        <v>6878</v>
      </c>
    </row>
    <row r="1139" spans="1:14" x14ac:dyDescent="0.2">
      <c r="A1139" t="s">
        <v>2215</v>
      </c>
      <c r="B1139" t="s">
        <v>1062</v>
      </c>
      <c r="C1139" s="9">
        <v>45070</v>
      </c>
      <c r="D1139" t="s">
        <v>442</v>
      </c>
      <c r="E1139" s="13">
        <v>3250000</v>
      </c>
      <c r="F1139" s="13">
        <v>16650</v>
      </c>
      <c r="G1139" s="9">
        <v>45075</v>
      </c>
      <c r="H1139" t="s">
        <v>1111</v>
      </c>
      <c r="I1139" t="s">
        <v>916</v>
      </c>
      <c r="J1139" s="13">
        <v>108225</v>
      </c>
      <c r="K1139">
        <v>1</v>
      </c>
      <c r="L1139" t="s">
        <v>1064</v>
      </c>
      <c r="M1139" t="s">
        <v>1065</v>
      </c>
      <c r="N1139" s="15" t="s">
        <v>6878</v>
      </c>
    </row>
    <row r="1140" spans="1:14" x14ac:dyDescent="0.2">
      <c r="A1140" t="s">
        <v>2216</v>
      </c>
      <c r="B1140" t="s">
        <v>1062</v>
      </c>
      <c r="C1140" s="9">
        <v>45070</v>
      </c>
      <c r="D1140" t="s">
        <v>442</v>
      </c>
      <c r="E1140" s="13">
        <v>1000000</v>
      </c>
      <c r="F1140" s="13">
        <v>16650</v>
      </c>
      <c r="G1140" s="9">
        <v>45075</v>
      </c>
      <c r="H1140" t="s">
        <v>1111</v>
      </c>
      <c r="I1140" t="s">
        <v>916</v>
      </c>
      <c r="J1140" s="13">
        <v>33300</v>
      </c>
      <c r="K1140">
        <v>1</v>
      </c>
      <c r="L1140" t="s">
        <v>1064</v>
      </c>
      <c r="M1140" t="s">
        <v>1065</v>
      </c>
      <c r="N1140" s="15" t="s">
        <v>6878</v>
      </c>
    </row>
    <row r="1141" spans="1:14" x14ac:dyDescent="0.2">
      <c r="A1141" t="s">
        <v>2217</v>
      </c>
      <c r="B1141" t="s">
        <v>1062</v>
      </c>
      <c r="C1141" s="9">
        <v>45070</v>
      </c>
      <c r="D1141" t="s">
        <v>442</v>
      </c>
      <c r="E1141" s="13">
        <v>3250000</v>
      </c>
      <c r="F1141" s="13">
        <v>16650</v>
      </c>
      <c r="G1141" s="9">
        <v>45075</v>
      </c>
      <c r="H1141" t="s">
        <v>1111</v>
      </c>
      <c r="I1141" t="s">
        <v>916</v>
      </c>
      <c r="J1141" s="13">
        <v>108225</v>
      </c>
      <c r="K1141">
        <v>1</v>
      </c>
      <c r="L1141" t="s">
        <v>1064</v>
      </c>
      <c r="M1141" t="s">
        <v>1065</v>
      </c>
      <c r="N1141" s="15" t="s">
        <v>6878</v>
      </c>
    </row>
    <row r="1142" spans="1:14" x14ac:dyDescent="0.2">
      <c r="A1142" t="s">
        <v>2218</v>
      </c>
      <c r="B1142" t="s">
        <v>1062</v>
      </c>
      <c r="C1142" s="9">
        <v>45070</v>
      </c>
      <c r="D1142" t="s">
        <v>442</v>
      </c>
      <c r="E1142" s="13">
        <v>3250000</v>
      </c>
      <c r="F1142" s="13">
        <v>16650</v>
      </c>
      <c r="G1142" s="9">
        <v>45075</v>
      </c>
      <c r="H1142" t="s">
        <v>1111</v>
      </c>
      <c r="I1142" t="s">
        <v>916</v>
      </c>
      <c r="J1142" s="13">
        <v>108225</v>
      </c>
      <c r="K1142">
        <v>1</v>
      </c>
      <c r="L1142" t="s">
        <v>1064</v>
      </c>
      <c r="M1142" t="s">
        <v>1065</v>
      </c>
      <c r="N1142" s="15" t="s">
        <v>6878</v>
      </c>
    </row>
    <row r="1143" spans="1:14" x14ac:dyDescent="0.2">
      <c r="A1143" t="s">
        <v>2219</v>
      </c>
      <c r="B1143" t="s">
        <v>1062</v>
      </c>
      <c r="C1143" s="9">
        <v>45070</v>
      </c>
      <c r="D1143" t="s">
        <v>1042</v>
      </c>
      <c r="E1143" s="13">
        <v>7644000</v>
      </c>
      <c r="F1143" s="13">
        <v>133200</v>
      </c>
      <c r="G1143" s="9">
        <v>45074</v>
      </c>
      <c r="H1143" t="s">
        <v>1111</v>
      </c>
      <c r="I1143" t="s">
        <v>904</v>
      </c>
      <c r="J1143" s="13"/>
      <c r="K1143">
        <v>6</v>
      </c>
      <c r="L1143" t="s">
        <v>1064</v>
      </c>
      <c r="M1143" t="s">
        <v>2220</v>
      </c>
      <c r="N1143" s="15" t="s">
        <v>6878</v>
      </c>
    </row>
    <row r="1144" spans="1:14" x14ac:dyDescent="0.2">
      <c r="A1144" t="s">
        <v>2221</v>
      </c>
      <c r="B1144" t="s">
        <v>1062</v>
      </c>
      <c r="C1144" s="9">
        <v>45071</v>
      </c>
      <c r="D1144" t="s">
        <v>442</v>
      </c>
      <c r="E1144" s="13">
        <v>2575000</v>
      </c>
      <c r="F1144" s="13">
        <v>16650</v>
      </c>
      <c r="G1144" s="9">
        <v>45075</v>
      </c>
      <c r="H1144" t="s">
        <v>1111</v>
      </c>
      <c r="I1144" t="s">
        <v>916</v>
      </c>
      <c r="J1144" s="13">
        <v>85747</v>
      </c>
      <c r="K1144">
        <v>1</v>
      </c>
      <c r="L1144" t="s">
        <v>1064</v>
      </c>
      <c r="M1144" t="s">
        <v>1065</v>
      </c>
      <c r="N1144" s="15" t="s">
        <v>6878</v>
      </c>
    </row>
    <row r="1145" spans="1:14" x14ac:dyDescent="0.2">
      <c r="A1145" t="s">
        <v>2222</v>
      </c>
      <c r="B1145" t="s">
        <v>1062</v>
      </c>
      <c r="C1145" s="9">
        <v>45071</v>
      </c>
      <c r="D1145" t="s">
        <v>442</v>
      </c>
      <c r="E1145" s="13">
        <v>2625000</v>
      </c>
      <c r="F1145" s="13">
        <v>16650</v>
      </c>
      <c r="G1145" s="9">
        <v>45075</v>
      </c>
      <c r="H1145" t="s">
        <v>1111</v>
      </c>
      <c r="I1145" t="s">
        <v>916</v>
      </c>
      <c r="J1145" s="13">
        <v>87412</v>
      </c>
      <c r="K1145">
        <v>1</v>
      </c>
      <c r="L1145" t="s">
        <v>1064</v>
      </c>
      <c r="M1145" t="s">
        <v>1065</v>
      </c>
      <c r="N1145" s="15" t="s">
        <v>6878</v>
      </c>
    </row>
    <row r="1146" spans="1:14" x14ac:dyDescent="0.2">
      <c r="A1146" t="s">
        <v>2223</v>
      </c>
      <c r="B1146" t="s">
        <v>1062</v>
      </c>
      <c r="C1146" s="9">
        <v>45071</v>
      </c>
      <c r="D1146" t="s">
        <v>442</v>
      </c>
      <c r="E1146" s="13">
        <v>2625000</v>
      </c>
      <c r="F1146" s="13">
        <v>16650</v>
      </c>
      <c r="G1146" s="9">
        <v>45075</v>
      </c>
      <c r="H1146" t="s">
        <v>1111</v>
      </c>
      <c r="I1146" t="s">
        <v>916</v>
      </c>
      <c r="J1146" s="13">
        <v>87412</v>
      </c>
      <c r="K1146">
        <v>1</v>
      </c>
      <c r="L1146" t="s">
        <v>1064</v>
      </c>
      <c r="M1146" t="s">
        <v>1065</v>
      </c>
      <c r="N1146" s="15" t="s">
        <v>6878</v>
      </c>
    </row>
    <row r="1147" spans="1:14" x14ac:dyDescent="0.2">
      <c r="A1147" t="s">
        <v>2224</v>
      </c>
      <c r="B1147" t="s">
        <v>1062</v>
      </c>
      <c r="C1147" s="9">
        <v>45071</v>
      </c>
      <c r="D1147" t="s">
        <v>1042</v>
      </c>
      <c r="E1147" s="13">
        <v>5096000</v>
      </c>
      <c r="F1147" s="13">
        <v>88800</v>
      </c>
      <c r="G1147" s="9">
        <v>45074</v>
      </c>
      <c r="H1147" t="s">
        <v>1111</v>
      </c>
      <c r="I1147" t="s">
        <v>904</v>
      </c>
      <c r="J1147" s="13"/>
      <c r="K1147">
        <v>4</v>
      </c>
      <c r="L1147" t="s">
        <v>1064</v>
      </c>
      <c r="M1147" t="s">
        <v>2220</v>
      </c>
      <c r="N1147" s="15" t="s">
        <v>6878</v>
      </c>
    </row>
    <row r="1148" spans="1:14" x14ac:dyDescent="0.2">
      <c r="A1148" t="s">
        <v>2225</v>
      </c>
      <c r="B1148" t="s">
        <v>1062</v>
      </c>
      <c r="C1148" s="9">
        <v>45071</v>
      </c>
      <c r="D1148" t="s">
        <v>442</v>
      </c>
      <c r="E1148" s="13">
        <v>3250000</v>
      </c>
      <c r="F1148" s="13">
        <v>16650</v>
      </c>
      <c r="G1148" s="9">
        <v>45075</v>
      </c>
      <c r="H1148" t="s">
        <v>1111</v>
      </c>
      <c r="I1148" t="s">
        <v>916</v>
      </c>
      <c r="J1148" s="13">
        <v>108225</v>
      </c>
      <c r="K1148">
        <v>1</v>
      </c>
      <c r="L1148" t="s">
        <v>1064</v>
      </c>
      <c r="M1148" t="s">
        <v>1065</v>
      </c>
      <c r="N1148" s="15" t="s">
        <v>6878</v>
      </c>
    </row>
    <row r="1149" spans="1:14" x14ac:dyDescent="0.2">
      <c r="A1149" t="s">
        <v>2226</v>
      </c>
      <c r="B1149" t="s">
        <v>1062</v>
      </c>
      <c r="C1149" s="9">
        <v>45072</v>
      </c>
      <c r="D1149" t="s">
        <v>442</v>
      </c>
      <c r="E1149" s="13">
        <v>1000000</v>
      </c>
      <c r="F1149" s="13">
        <v>16650</v>
      </c>
      <c r="G1149" s="9">
        <v>45075</v>
      </c>
      <c r="H1149" t="s">
        <v>1111</v>
      </c>
      <c r="I1149" t="s">
        <v>916</v>
      </c>
      <c r="J1149" s="13">
        <v>33300</v>
      </c>
      <c r="K1149">
        <v>1</v>
      </c>
      <c r="L1149" t="s">
        <v>1064</v>
      </c>
      <c r="M1149" t="s">
        <v>1065</v>
      </c>
      <c r="N1149" s="15" t="s">
        <v>6878</v>
      </c>
    </row>
    <row r="1150" spans="1:14" x14ac:dyDescent="0.2">
      <c r="A1150" t="s">
        <v>2227</v>
      </c>
      <c r="B1150" t="s">
        <v>1062</v>
      </c>
      <c r="C1150" s="9">
        <v>45072</v>
      </c>
      <c r="D1150" t="s">
        <v>442</v>
      </c>
      <c r="E1150" s="13">
        <v>1000000</v>
      </c>
      <c r="F1150" s="13">
        <v>16650</v>
      </c>
      <c r="G1150" s="9">
        <v>45075</v>
      </c>
      <c r="H1150" t="s">
        <v>1111</v>
      </c>
      <c r="I1150" t="s">
        <v>916</v>
      </c>
      <c r="J1150" s="13">
        <v>33300</v>
      </c>
      <c r="K1150">
        <v>1</v>
      </c>
      <c r="L1150" t="s">
        <v>1064</v>
      </c>
      <c r="M1150" t="s">
        <v>1065</v>
      </c>
      <c r="N1150" s="15" t="s">
        <v>6878</v>
      </c>
    </row>
    <row r="1151" spans="1:14" x14ac:dyDescent="0.2">
      <c r="A1151" t="s">
        <v>2228</v>
      </c>
      <c r="B1151" t="s">
        <v>1062</v>
      </c>
      <c r="C1151" s="9">
        <v>45072</v>
      </c>
      <c r="D1151" t="s">
        <v>442</v>
      </c>
      <c r="E1151" s="13">
        <v>2950000</v>
      </c>
      <c r="F1151" s="13">
        <v>16650</v>
      </c>
      <c r="G1151" s="9">
        <v>45075</v>
      </c>
      <c r="H1151" t="s">
        <v>1111</v>
      </c>
      <c r="I1151" t="s">
        <v>916</v>
      </c>
      <c r="J1151" s="13">
        <v>98235</v>
      </c>
      <c r="K1151">
        <v>1</v>
      </c>
      <c r="L1151" t="s">
        <v>1064</v>
      </c>
      <c r="M1151" t="s">
        <v>1065</v>
      </c>
      <c r="N1151" s="15" t="s">
        <v>6878</v>
      </c>
    </row>
    <row r="1152" spans="1:14" x14ac:dyDescent="0.2">
      <c r="A1152" t="s">
        <v>2229</v>
      </c>
      <c r="B1152" t="s">
        <v>1062</v>
      </c>
      <c r="C1152" s="9">
        <v>45072</v>
      </c>
      <c r="D1152" t="s">
        <v>442</v>
      </c>
      <c r="E1152" s="13">
        <v>2250000</v>
      </c>
      <c r="F1152" s="13">
        <v>16650</v>
      </c>
      <c r="G1152" s="9">
        <v>45075</v>
      </c>
      <c r="H1152" t="s">
        <v>1111</v>
      </c>
      <c r="I1152" t="s">
        <v>916</v>
      </c>
      <c r="J1152" s="13">
        <v>74925</v>
      </c>
      <c r="K1152">
        <v>1</v>
      </c>
      <c r="L1152" t="s">
        <v>1064</v>
      </c>
      <c r="M1152" t="s">
        <v>1065</v>
      </c>
      <c r="N1152" s="15" t="s">
        <v>6878</v>
      </c>
    </row>
    <row r="1153" spans="1:14" x14ac:dyDescent="0.2">
      <c r="A1153" t="s">
        <v>2230</v>
      </c>
      <c r="B1153" t="s">
        <v>1062</v>
      </c>
      <c r="C1153" s="9">
        <v>45072</v>
      </c>
      <c r="D1153" t="s">
        <v>442</v>
      </c>
      <c r="E1153" s="13">
        <v>2625000</v>
      </c>
      <c r="F1153" s="13">
        <v>16650</v>
      </c>
      <c r="G1153" s="9">
        <v>45075</v>
      </c>
      <c r="H1153" t="s">
        <v>1111</v>
      </c>
      <c r="I1153" t="s">
        <v>916</v>
      </c>
      <c r="J1153" s="13">
        <v>87412</v>
      </c>
      <c r="K1153">
        <v>1</v>
      </c>
      <c r="L1153" t="s">
        <v>1064</v>
      </c>
      <c r="M1153" t="s">
        <v>1065</v>
      </c>
      <c r="N1153" s="15" t="s">
        <v>6878</v>
      </c>
    </row>
    <row r="1154" spans="1:14" x14ac:dyDescent="0.2">
      <c r="A1154" t="s">
        <v>2231</v>
      </c>
      <c r="B1154" t="s">
        <v>1062</v>
      </c>
      <c r="C1154" s="9">
        <v>45072</v>
      </c>
      <c r="D1154" t="s">
        <v>442</v>
      </c>
      <c r="E1154" s="13">
        <v>2625000</v>
      </c>
      <c r="F1154" s="13">
        <v>16650</v>
      </c>
      <c r="G1154" s="9">
        <v>45075</v>
      </c>
      <c r="H1154" t="s">
        <v>1111</v>
      </c>
      <c r="I1154" t="s">
        <v>916</v>
      </c>
      <c r="J1154" s="13">
        <v>87412</v>
      </c>
      <c r="K1154">
        <v>1</v>
      </c>
      <c r="L1154" t="s">
        <v>1064</v>
      </c>
      <c r="M1154" t="s">
        <v>1065</v>
      </c>
      <c r="N1154" s="15" t="s">
        <v>6878</v>
      </c>
    </row>
    <row r="1155" spans="1:14" x14ac:dyDescent="0.2">
      <c r="A1155" t="s">
        <v>2232</v>
      </c>
      <c r="B1155" t="s">
        <v>1062</v>
      </c>
      <c r="C1155" s="9">
        <v>45072</v>
      </c>
      <c r="D1155" t="s">
        <v>442</v>
      </c>
      <c r="E1155" s="13">
        <v>2625000</v>
      </c>
      <c r="F1155" s="13">
        <v>16650</v>
      </c>
      <c r="G1155" s="9">
        <v>45075</v>
      </c>
      <c r="H1155" t="s">
        <v>1111</v>
      </c>
      <c r="I1155" t="s">
        <v>916</v>
      </c>
      <c r="J1155" s="13">
        <v>87412</v>
      </c>
      <c r="K1155">
        <v>1</v>
      </c>
      <c r="L1155" t="s">
        <v>1064</v>
      </c>
      <c r="M1155" t="s">
        <v>1065</v>
      </c>
      <c r="N1155" s="15" t="s">
        <v>6878</v>
      </c>
    </row>
    <row r="1156" spans="1:14" x14ac:dyDescent="0.2">
      <c r="A1156" t="s">
        <v>2233</v>
      </c>
      <c r="B1156" t="s">
        <v>1062</v>
      </c>
      <c r="C1156" s="9">
        <v>45072</v>
      </c>
      <c r="D1156" t="s">
        <v>442</v>
      </c>
      <c r="E1156" s="13">
        <v>1125000</v>
      </c>
      <c r="F1156" s="13">
        <v>16650</v>
      </c>
      <c r="G1156" s="9">
        <v>45075</v>
      </c>
      <c r="H1156" t="s">
        <v>1111</v>
      </c>
      <c r="I1156" t="s">
        <v>916</v>
      </c>
      <c r="J1156" s="13">
        <v>37462</v>
      </c>
      <c r="K1156">
        <v>1</v>
      </c>
      <c r="L1156" t="s">
        <v>1064</v>
      </c>
      <c r="M1156" t="s">
        <v>1065</v>
      </c>
      <c r="N1156" s="15" t="s">
        <v>6878</v>
      </c>
    </row>
    <row r="1157" spans="1:14" x14ac:dyDescent="0.2">
      <c r="A1157" t="s">
        <v>2234</v>
      </c>
      <c r="B1157" t="s">
        <v>1062</v>
      </c>
      <c r="C1157" s="9">
        <v>45072</v>
      </c>
      <c r="D1157" t="s">
        <v>442</v>
      </c>
      <c r="E1157" s="13">
        <v>2250000</v>
      </c>
      <c r="F1157" s="13">
        <v>16650</v>
      </c>
      <c r="G1157" s="9">
        <v>45075</v>
      </c>
      <c r="H1157" t="s">
        <v>1111</v>
      </c>
      <c r="I1157" t="s">
        <v>916</v>
      </c>
      <c r="J1157" s="13">
        <v>74925</v>
      </c>
      <c r="K1157">
        <v>1</v>
      </c>
      <c r="L1157" t="s">
        <v>1064</v>
      </c>
      <c r="M1157" t="s">
        <v>1065</v>
      </c>
      <c r="N1157" s="15" t="s">
        <v>6878</v>
      </c>
    </row>
    <row r="1158" spans="1:14" x14ac:dyDescent="0.2">
      <c r="A1158" t="s">
        <v>2235</v>
      </c>
      <c r="B1158" t="s">
        <v>1062</v>
      </c>
      <c r="C1158" s="9">
        <v>45072</v>
      </c>
      <c r="D1158" t="s">
        <v>442</v>
      </c>
      <c r="E1158" s="13">
        <v>1500000</v>
      </c>
      <c r="F1158" s="13">
        <v>16650</v>
      </c>
      <c r="G1158" s="9">
        <v>45075</v>
      </c>
      <c r="H1158" t="s">
        <v>1111</v>
      </c>
      <c r="I1158" t="s">
        <v>916</v>
      </c>
      <c r="J1158" s="13">
        <v>49950</v>
      </c>
      <c r="K1158">
        <v>1</v>
      </c>
      <c r="L1158" t="s">
        <v>1064</v>
      </c>
      <c r="M1158" t="s">
        <v>1065</v>
      </c>
      <c r="N1158" s="15" t="s">
        <v>6878</v>
      </c>
    </row>
    <row r="1159" spans="1:14" x14ac:dyDescent="0.2">
      <c r="A1159" t="s">
        <v>2236</v>
      </c>
      <c r="B1159" t="s">
        <v>1062</v>
      </c>
      <c r="C1159" s="9">
        <v>45072</v>
      </c>
      <c r="D1159" t="s">
        <v>442</v>
      </c>
      <c r="E1159" s="13">
        <v>3100000</v>
      </c>
      <c r="F1159" s="13">
        <v>16650</v>
      </c>
      <c r="G1159" s="9">
        <v>45075</v>
      </c>
      <c r="H1159" t="s">
        <v>1111</v>
      </c>
      <c r="I1159" t="s">
        <v>916</v>
      </c>
      <c r="J1159" s="13">
        <v>103230</v>
      </c>
      <c r="K1159">
        <v>1</v>
      </c>
      <c r="L1159" t="s">
        <v>1064</v>
      </c>
      <c r="M1159" t="s">
        <v>1065</v>
      </c>
      <c r="N1159" s="15" t="s">
        <v>6878</v>
      </c>
    </row>
    <row r="1160" spans="1:14" x14ac:dyDescent="0.2">
      <c r="A1160" t="s">
        <v>2237</v>
      </c>
      <c r="B1160" t="s">
        <v>1062</v>
      </c>
      <c r="C1160" s="9">
        <v>45072</v>
      </c>
      <c r="D1160" t="s">
        <v>442</v>
      </c>
      <c r="E1160" s="13">
        <v>3250000</v>
      </c>
      <c r="F1160" s="13">
        <v>16650</v>
      </c>
      <c r="G1160" s="9">
        <v>45075</v>
      </c>
      <c r="H1160" t="s">
        <v>1111</v>
      </c>
      <c r="I1160" t="s">
        <v>916</v>
      </c>
      <c r="J1160" s="13">
        <v>108225</v>
      </c>
      <c r="K1160">
        <v>1</v>
      </c>
      <c r="L1160" t="s">
        <v>1064</v>
      </c>
      <c r="M1160" t="s">
        <v>1065</v>
      </c>
      <c r="N1160" s="15" t="s">
        <v>6878</v>
      </c>
    </row>
    <row r="1161" spans="1:14" x14ac:dyDescent="0.2">
      <c r="A1161" t="s">
        <v>2238</v>
      </c>
      <c r="B1161" t="s">
        <v>1062</v>
      </c>
      <c r="C1161" s="9">
        <v>45072</v>
      </c>
      <c r="D1161" t="s">
        <v>442</v>
      </c>
      <c r="E1161" s="13">
        <v>3250000</v>
      </c>
      <c r="F1161" s="13">
        <v>16650</v>
      </c>
      <c r="G1161" s="9">
        <v>45075</v>
      </c>
      <c r="H1161" t="s">
        <v>1111</v>
      </c>
      <c r="I1161" t="s">
        <v>916</v>
      </c>
      <c r="J1161" s="13">
        <v>108225</v>
      </c>
      <c r="K1161">
        <v>1</v>
      </c>
      <c r="L1161" t="s">
        <v>1064</v>
      </c>
      <c r="M1161" t="s">
        <v>1065</v>
      </c>
      <c r="N1161" s="15" t="s">
        <v>6878</v>
      </c>
    </row>
    <row r="1162" spans="1:14" x14ac:dyDescent="0.2">
      <c r="A1162" t="s">
        <v>2239</v>
      </c>
      <c r="B1162" t="s">
        <v>1062</v>
      </c>
      <c r="C1162" s="9">
        <v>45075</v>
      </c>
      <c r="D1162" t="s">
        <v>442</v>
      </c>
      <c r="E1162" s="13">
        <v>3250000</v>
      </c>
      <c r="F1162" s="13">
        <v>16650</v>
      </c>
      <c r="G1162" s="9">
        <v>45084</v>
      </c>
      <c r="H1162" t="s">
        <v>1111</v>
      </c>
      <c r="I1162" t="s">
        <v>916</v>
      </c>
      <c r="J1162" s="13">
        <v>108225</v>
      </c>
      <c r="K1162">
        <v>1</v>
      </c>
      <c r="L1162" t="s">
        <v>1064</v>
      </c>
      <c r="M1162" t="s">
        <v>1065</v>
      </c>
      <c r="N1162" s="15" t="s">
        <v>6878</v>
      </c>
    </row>
    <row r="1163" spans="1:14" x14ac:dyDescent="0.2">
      <c r="A1163" t="s">
        <v>2240</v>
      </c>
      <c r="B1163" t="s">
        <v>1062</v>
      </c>
      <c r="C1163" s="9">
        <v>45075</v>
      </c>
      <c r="D1163" t="s">
        <v>442</v>
      </c>
      <c r="E1163" s="13">
        <v>2700000</v>
      </c>
      <c r="F1163" s="13">
        <v>16650</v>
      </c>
      <c r="G1163" s="9">
        <v>45084</v>
      </c>
      <c r="H1163" t="s">
        <v>1111</v>
      </c>
      <c r="I1163" t="s">
        <v>916</v>
      </c>
      <c r="J1163" s="13">
        <v>89910</v>
      </c>
      <c r="K1163">
        <v>1</v>
      </c>
      <c r="L1163" t="s">
        <v>1064</v>
      </c>
      <c r="M1163" t="s">
        <v>1065</v>
      </c>
      <c r="N1163" s="15" t="s">
        <v>6878</v>
      </c>
    </row>
    <row r="1164" spans="1:14" x14ac:dyDescent="0.2">
      <c r="A1164" t="s">
        <v>2241</v>
      </c>
      <c r="B1164" t="s">
        <v>1062</v>
      </c>
      <c r="C1164" s="9">
        <v>45075</v>
      </c>
      <c r="D1164" t="s">
        <v>442</v>
      </c>
      <c r="E1164" s="13">
        <v>2625000</v>
      </c>
      <c r="F1164" s="13">
        <v>16650</v>
      </c>
      <c r="G1164" s="9">
        <v>45084</v>
      </c>
      <c r="H1164" t="s">
        <v>1111</v>
      </c>
      <c r="I1164" t="s">
        <v>916</v>
      </c>
      <c r="J1164" s="13">
        <v>87412</v>
      </c>
      <c r="K1164">
        <v>1</v>
      </c>
      <c r="L1164" t="s">
        <v>1064</v>
      </c>
      <c r="M1164" t="s">
        <v>1065</v>
      </c>
      <c r="N1164" s="15" t="s">
        <v>6878</v>
      </c>
    </row>
    <row r="1165" spans="1:14" x14ac:dyDescent="0.2">
      <c r="A1165" t="s">
        <v>2242</v>
      </c>
      <c r="B1165" t="s">
        <v>1062</v>
      </c>
      <c r="C1165" s="9">
        <v>45075</v>
      </c>
      <c r="D1165" t="s">
        <v>442</v>
      </c>
      <c r="E1165" s="13">
        <v>2625000</v>
      </c>
      <c r="F1165" s="13">
        <v>16650</v>
      </c>
      <c r="G1165" s="9">
        <v>45084</v>
      </c>
      <c r="H1165" t="s">
        <v>1111</v>
      </c>
      <c r="I1165" t="s">
        <v>916</v>
      </c>
      <c r="J1165" s="13">
        <v>87412</v>
      </c>
      <c r="K1165">
        <v>1</v>
      </c>
      <c r="L1165" t="s">
        <v>1064</v>
      </c>
      <c r="M1165" t="s">
        <v>1065</v>
      </c>
      <c r="N1165" s="15" t="s">
        <v>6878</v>
      </c>
    </row>
    <row r="1166" spans="1:14" x14ac:dyDescent="0.2">
      <c r="A1166" t="s">
        <v>2243</v>
      </c>
      <c r="B1166" t="s">
        <v>1069</v>
      </c>
      <c r="C1166" s="9">
        <v>45077</v>
      </c>
      <c r="D1166" t="s">
        <v>968</v>
      </c>
      <c r="E1166" s="13">
        <v>8000000</v>
      </c>
      <c r="F1166" s="13">
        <v>266400</v>
      </c>
      <c r="G1166" s="9">
        <v>45079</v>
      </c>
      <c r="H1166" t="s">
        <v>1111</v>
      </c>
      <c r="I1166" t="s">
        <v>1137</v>
      </c>
      <c r="J1166" s="13"/>
      <c r="K1166">
        <v>5</v>
      </c>
      <c r="L1166" t="s">
        <v>1064</v>
      </c>
      <c r="M1166" t="s">
        <v>1138</v>
      </c>
      <c r="N1166" s="15" t="s">
        <v>6878</v>
      </c>
    </row>
    <row r="1167" spans="1:14" x14ac:dyDescent="0.2">
      <c r="A1167" t="s">
        <v>2244</v>
      </c>
      <c r="B1167" t="s">
        <v>1069</v>
      </c>
      <c r="C1167" s="9">
        <v>45077</v>
      </c>
      <c r="D1167" t="s">
        <v>968</v>
      </c>
      <c r="E1167" s="13">
        <v>16000000</v>
      </c>
      <c r="F1167" s="13">
        <v>532800</v>
      </c>
      <c r="G1167" s="9">
        <v>45079</v>
      </c>
      <c r="H1167" t="s">
        <v>1111</v>
      </c>
      <c r="I1167" t="s">
        <v>1137</v>
      </c>
      <c r="J1167" s="13"/>
      <c r="K1167">
        <v>10</v>
      </c>
      <c r="L1167" t="s">
        <v>1064</v>
      </c>
      <c r="M1167" t="s">
        <v>1138</v>
      </c>
      <c r="N1167" s="15" t="s">
        <v>6878</v>
      </c>
    </row>
    <row r="1168" spans="1:14" x14ac:dyDescent="0.2">
      <c r="A1168" t="s">
        <v>2245</v>
      </c>
      <c r="B1168" t="s">
        <v>1069</v>
      </c>
      <c r="C1168" s="9">
        <v>45077</v>
      </c>
      <c r="D1168" t="s">
        <v>968</v>
      </c>
      <c r="E1168" s="13">
        <v>16000000</v>
      </c>
      <c r="F1168" s="13">
        <v>532800</v>
      </c>
      <c r="G1168" s="9">
        <v>45079</v>
      </c>
      <c r="H1168" t="s">
        <v>1111</v>
      </c>
      <c r="I1168" t="s">
        <v>1137</v>
      </c>
      <c r="J1168" s="13"/>
      <c r="K1168">
        <v>10</v>
      </c>
      <c r="L1168" t="s">
        <v>1064</v>
      </c>
      <c r="M1168" t="s">
        <v>1138</v>
      </c>
      <c r="N1168" s="15" t="s">
        <v>6878</v>
      </c>
    </row>
    <row r="1169" spans="1:14" x14ac:dyDescent="0.2">
      <c r="A1169" t="s">
        <v>2246</v>
      </c>
      <c r="B1169" t="s">
        <v>1069</v>
      </c>
      <c r="C1169" s="9">
        <v>45077</v>
      </c>
      <c r="D1169" t="s">
        <v>968</v>
      </c>
      <c r="E1169" s="13">
        <v>16000000</v>
      </c>
      <c r="F1169" s="13">
        <v>532800</v>
      </c>
      <c r="G1169" s="9">
        <v>45079</v>
      </c>
      <c r="H1169" t="s">
        <v>1111</v>
      </c>
      <c r="I1169" t="s">
        <v>1137</v>
      </c>
      <c r="J1169" s="13"/>
      <c r="K1169">
        <v>10</v>
      </c>
      <c r="L1169" t="s">
        <v>1064</v>
      </c>
      <c r="M1169" t="s">
        <v>1138</v>
      </c>
      <c r="N1169" s="15" t="s">
        <v>6878</v>
      </c>
    </row>
    <row r="1170" spans="1:14" x14ac:dyDescent="0.2">
      <c r="A1170" t="s">
        <v>2247</v>
      </c>
      <c r="B1170" t="s">
        <v>1069</v>
      </c>
      <c r="C1170" s="9">
        <v>45077</v>
      </c>
      <c r="D1170" t="s">
        <v>968</v>
      </c>
      <c r="E1170" s="13">
        <v>8000000</v>
      </c>
      <c r="F1170" s="13">
        <v>266400</v>
      </c>
      <c r="G1170" s="9">
        <v>45079</v>
      </c>
      <c r="H1170" t="s">
        <v>1111</v>
      </c>
      <c r="I1170" t="s">
        <v>1137</v>
      </c>
      <c r="J1170" s="13"/>
      <c r="K1170">
        <v>5</v>
      </c>
      <c r="L1170" t="s">
        <v>1064</v>
      </c>
      <c r="M1170" t="s">
        <v>1138</v>
      </c>
      <c r="N1170" s="15" t="s">
        <v>6878</v>
      </c>
    </row>
    <row r="1171" spans="1:14" x14ac:dyDescent="0.2">
      <c r="A1171" t="s">
        <v>2248</v>
      </c>
      <c r="B1171" t="s">
        <v>1069</v>
      </c>
      <c r="C1171" s="9">
        <v>45077</v>
      </c>
      <c r="D1171" t="s">
        <v>968</v>
      </c>
      <c r="E1171" s="13">
        <v>8000000</v>
      </c>
      <c r="F1171" s="13">
        <v>266400</v>
      </c>
      <c r="G1171" s="9">
        <v>45079</v>
      </c>
      <c r="H1171" t="s">
        <v>1111</v>
      </c>
      <c r="I1171" t="s">
        <v>1137</v>
      </c>
      <c r="J1171" s="13"/>
      <c r="K1171">
        <v>5</v>
      </c>
      <c r="L1171" t="s">
        <v>1064</v>
      </c>
      <c r="M1171" t="s">
        <v>1138</v>
      </c>
      <c r="N1171" s="15" t="s">
        <v>6878</v>
      </c>
    </row>
    <row r="1172" spans="1:14" x14ac:dyDescent="0.2">
      <c r="A1172" t="s">
        <v>969</v>
      </c>
      <c r="B1172" t="s">
        <v>1069</v>
      </c>
      <c r="C1172" s="9">
        <v>45077</v>
      </c>
      <c r="D1172" t="s">
        <v>968</v>
      </c>
      <c r="E1172" s="13">
        <v>16000000</v>
      </c>
      <c r="F1172" s="13">
        <v>532800</v>
      </c>
      <c r="G1172" s="9">
        <v>45079</v>
      </c>
      <c r="H1172" t="s">
        <v>1111</v>
      </c>
      <c r="I1172" t="s">
        <v>1137</v>
      </c>
      <c r="J1172" s="13"/>
      <c r="K1172">
        <v>10</v>
      </c>
      <c r="L1172" t="s">
        <v>1064</v>
      </c>
      <c r="M1172" t="s">
        <v>1138</v>
      </c>
      <c r="N1172" s="15" t="s">
        <v>6878</v>
      </c>
    </row>
    <row r="1173" spans="1:14" x14ac:dyDescent="0.2">
      <c r="A1173" t="s">
        <v>2249</v>
      </c>
      <c r="B1173" t="s">
        <v>1062</v>
      </c>
      <c r="C1173" s="9">
        <v>45078</v>
      </c>
      <c r="D1173" t="s">
        <v>958</v>
      </c>
      <c r="E1173" s="13">
        <v>5100000</v>
      </c>
      <c r="F1173" s="13">
        <v>59940</v>
      </c>
      <c r="G1173" s="9">
        <v>45079</v>
      </c>
      <c r="H1173" t="s">
        <v>1111</v>
      </c>
      <c r="I1173" t="s">
        <v>1074</v>
      </c>
      <c r="J1173" s="13">
        <v>113220</v>
      </c>
      <c r="K1173">
        <v>3</v>
      </c>
      <c r="L1173" t="s">
        <v>1064</v>
      </c>
      <c r="M1173" t="s">
        <v>1075</v>
      </c>
      <c r="N1173" s="15" t="s">
        <v>6878</v>
      </c>
    </row>
    <row r="1174" spans="1:14" x14ac:dyDescent="0.2">
      <c r="A1174" t="s">
        <v>2250</v>
      </c>
      <c r="B1174" t="s">
        <v>1062</v>
      </c>
      <c r="C1174" s="9">
        <v>45078</v>
      </c>
      <c r="D1174" t="s">
        <v>958</v>
      </c>
      <c r="E1174" s="13">
        <v>3400000</v>
      </c>
      <c r="F1174" s="13">
        <v>39960</v>
      </c>
      <c r="G1174" s="9">
        <v>45079</v>
      </c>
      <c r="H1174" t="s">
        <v>1111</v>
      </c>
      <c r="I1174" t="s">
        <v>1074</v>
      </c>
      <c r="J1174" s="13">
        <v>75480</v>
      </c>
      <c r="K1174">
        <v>2</v>
      </c>
      <c r="L1174" t="s">
        <v>1064</v>
      </c>
      <c r="M1174" t="s">
        <v>1075</v>
      </c>
      <c r="N1174" s="15" t="s">
        <v>6878</v>
      </c>
    </row>
    <row r="1175" spans="1:14" x14ac:dyDescent="0.2">
      <c r="A1175" t="s">
        <v>2251</v>
      </c>
      <c r="B1175" t="s">
        <v>1062</v>
      </c>
      <c r="C1175" s="9">
        <v>45078</v>
      </c>
      <c r="D1175" t="s">
        <v>958</v>
      </c>
      <c r="E1175" s="13">
        <v>1188000</v>
      </c>
      <c r="F1175" s="13">
        <v>19980</v>
      </c>
      <c r="G1175" s="9">
        <v>45079</v>
      </c>
      <c r="H1175" t="s">
        <v>1111</v>
      </c>
      <c r="I1175" t="s">
        <v>1074</v>
      </c>
      <c r="J1175" s="13">
        <v>26373</v>
      </c>
      <c r="K1175">
        <v>1</v>
      </c>
      <c r="L1175" t="s">
        <v>1064</v>
      </c>
      <c r="M1175" t="s">
        <v>1075</v>
      </c>
      <c r="N1175" s="15" t="s">
        <v>6878</v>
      </c>
    </row>
    <row r="1176" spans="1:14" x14ac:dyDescent="0.2">
      <c r="A1176" t="s">
        <v>2252</v>
      </c>
      <c r="B1176" t="s">
        <v>1062</v>
      </c>
      <c r="C1176" s="9">
        <v>45079</v>
      </c>
      <c r="D1176" t="s">
        <v>958</v>
      </c>
      <c r="E1176" s="13">
        <v>1320000</v>
      </c>
      <c r="F1176" s="13">
        <v>19980</v>
      </c>
      <c r="G1176" s="9">
        <v>45079</v>
      </c>
      <c r="H1176" t="s">
        <v>1111</v>
      </c>
      <c r="I1176" t="s">
        <v>1074</v>
      </c>
      <c r="J1176" s="13">
        <v>29304</v>
      </c>
      <c r="K1176">
        <v>1</v>
      </c>
      <c r="L1176" t="s">
        <v>1064</v>
      </c>
      <c r="M1176" t="s">
        <v>1075</v>
      </c>
      <c r="N1176" s="15" t="s">
        <v>6878</v>
      </c>
    </row>
    <row r="1177" spans="1:14" x14ac:dyDescent="0.2">
      <c r="A1177" t="s">
        <v>2253</v>
      </c>
      <c r="B1177" t="s">
        <v>1069</v>
      </c>
      <c r="C1177" s="9">
        <v>45079</v>
      </c>
      <c r="D1177" t="s">
        <v>958</v>
      </c>
      <c r="E1177" s="13">
        <v>2206000</v>
      </c>
      <c r="F1177" s="13">
        <v>19980</v>
      </c>
      <c r="G1177" s="9">
        <v>45079</v>
      </c>
      <c r="H1177" t="s">
        <v>1111</v>
      </c>
      <c r="I1177" t="s">
        <v>1074</v>
      </c>
      <c r="J1177" s="13">
        <v>48973</v>
      </c>
      <c r="K1177">
        <v>1</v>
      </c>
      <c r="L1177" t="s">
        <v>1064</v>
      </c>
      <c r="M1177" t="s">
        <v>1075</v>
      </c>
      <c r="N1177" s="15" t="s">
        <v>6878</v>
      </c>
    </row>
    <row r="1178" spans="1:14" x14ac:dyDescent="0.2">
      <c r="A1178" t="s">
        <v>2254</v>
      </c>
      <c r="B1178" t="s">
        <v>1062</v>
      </c>
      <c r="C1178" s="9">
        <v>45079</v>
      </c>
      <c r="D1178" t="s">
        <v>958</v>
      </c>
      <c r="E1178" s="13">
        <v>5280000</v>
      </c>
      <c r="F1178" s="13">
        <v>79920</v>
      </c>
      <c r="G1178" s="9">
        <v>45079</v>
      </c>
      <c r="H1178" t="s">
        <v>1111</v>
      </c>
      <c r="I1178" t="s">
        <v>1074</v>
      </c>
      <c r="J1178" s="13">
        <v>117216</v>
      </c>
      <c r="K1178">
        <v>4</v>
      </c>
      <c r="L1178" t="s">
        <v>1064</v>
      </c>
      <c r="M1178" t="s">
        <v>1075</v>
      </c>
      <c r="N1178" s="15" t="s">
        <v>6878</v>
      </c>
    </row>
    <row r="1179" spans="1:14" x14ac:dyDescent="0.2">
      <c r="A1179" t="s">
        <v>2255</v>
      </c>
      <c r="B1179" t="s">
        <v>1062</v>
      </c>
      <c r="C1179" s="9">
        <v>45079</v>
      </c>
      <c r="D1179" t="s">
        <v>958</v>
      </c>
      <c r="E1179" s="13">
        <v>5060000</v>
      </c>
      <c r="F1179" s="13">
        <v>39960</v>
      </c>
      <c r="G1179" s="9">
        <v>45080</v>
      </c>
      <c r="H1179" t="s">
        <v>1111</v>
      </c>
      <c r="I1179" t="s">
        <v>1074</v>
      </c>
      <c r="J1179" s="13">
        <v>112332</v>
      </c>
      <c r="K1179">
        <v>2</v>
      </c>
      <c r="L1179" t="s">
        <v>1064</v>
      </c>
      <c r="M1179" t="s">
        <v>1075</v>
      </c>
      <c r="N1179" s="15" t="s">
        <v>6878</v>
      </c>
    </row>
    <row r="1180" spans="1:14" x14ac:dyDescent="0.2">
      <c r="A1180" t="s">
        <v>2256</v>
      </c>
      <c r="B1180" t="s">
        <v>1069</v>
      </c>
      <c r="C1180" s="9">
        <v>45079</v>
      </c>
      <c r="D1180" t="s">
        <v>958</v>
      </c>
      <c r="E1180" s="13">
        <v>6366040</v>
      </c>
      <c r="F1180" s="13">
        <v>59940</v>
      </c>
      <c r="G1180" s="9">
        <v>45080</v>
      </c>
      <c r="H1180" t="s">
        <v>1111</v>
      </c>
      <c r="I1180" t="s">
        <v>1074</v>
      </c>
      <c r="J1180" s="13">
        <v>141325</v>
      </c>
      <c r="K1180">
        <v>3</v>
      </c>
      <c r="L1180" t="s">
        <v>1064</v>
      </c>
      <c r="M1180" t="s">
        <v>1075</v>
      </c>
      <c r="N1180" s="15" t="s">
        <v>6878</v>
      </c>
    </row>
    <row r="1181" spans="1:14" x14ac:dyDescent="0.2">
      <c r="A1181" t="s">
        <v>2257</v>
      </c>
      <c r="B1181" t="s">
        <v>1062</v>
      </c>
      <c r="C1181" s="9">
        <v>45080</v>
      </c>
      <c r="D1181" t="s">
        <v>958</v>
      </c>
      <c r="E1181" s="13">
        <v>9600000</v>
      </c>
      <c r="F1181" s="13">
        <v>99900</v>
      </c>
      <c r="G1181" s="9">
        <v>45080</v>
      </c>
      <c r="H1181" t="s">
        <v>1111</v>
      </c>
      <c r="I1181" t="s">
        <v>1074</v>
      </c>
      <c r="J1181" s="13">
        <v>213120</v>
      </c>
      <c r="K1181">
        <v>5</v>
      </c>
      <c r="L1181" t="s">
        <v>1064</v>
      </c>
      <c r="M1181" t="s">
        <v>1075</v>
      </c>
      <c r="N1181" s="15" t="s">
        <v>6878</v>
      </c>
    </row>
    <row r="1182" spans="1:14" x14ac:dyDescent="0.2">
      <c r="A1182" t="s">
        <v>2258</v>
      </c>
      <c r="B1182" t="s">
        <v>1062</v>
      </c>
      <c r="C1182" s="9">
        <v>45080</v>
      </c>
      <c r="D1182" t="s">
        <v>958</v>
      </c>
      <c r="E1182" s="13">
        <v>9600000</v>
      </c>
      <c r="F1182" s="13">
        <v>99900</v>
      </c>
      <c r="G1182" s="9">
        <v>45080</v>
      </c>
      <c r="H1182" t="s">
        <v>1111</v>
      </c>
      <c r="I1182" t="s">
        <v>1074</v>
      </c>
      <c r="J1182" s="13">
        <v>213120</v>
      </c>
      <c r="K1182">
        <v>5</v>
      </c>
      <c r="L1182" t="s">
        <v>1064</v>
      </c>
      <c r="M1182" t="s">
        <v>1075</v>
      </c>
      <c r="N1182" s="15" t="s">
        <v>6878</v>
      </c>
    </row>
    <row r="1183" spans="1:14" x14ac:dyDescent="0.2">
      <c r="A1183" t="s">
        <v>2259</v>
      </c>
      <c r="B1183" t="s">
        <v>1062</v>
      </c>
      <c r="C1183" s="9">
        <v>45080</v>
      </c>
      <c r="D1183" t="s">
        <v>958</v>
      </c>
      <c r="E1183" s="13">
        <v>3840000</v>
      </c>
      <c r="F1183" s="13">
        <v>39960</v>
      </c>
      <c r="G1183" s="9">
        <v>45080</v>
      </c>
      <c r="H1183" t="s">
        <v>1111</v>
      </c>
      <c r="I1183" t="s">
        <v>1074</v>
      </c>
      <c r="J1183" s="13">
        <v>85248</v>
      </c>
      <c r="K1183">
        <v>2</v>
      </c>
      <c r="L1183" t="s">
        <v>1064</v>
      </c>
      <c r="M1183" t="s">
        <v>1075</v>
      </c>
      <c r="N1183" s="15" t="s">
        <v>6878</v>
      </c>
    </row>
    <row r="1184" spans="1:14" x14ac:dyDescent="0.2">
      <c r="A1184" t="s">
        <v>2260</v>
      </c>
      <c r="B1184" t="s">
        <v>1062</v>
      </c>
      <c r="C1184" s="9">
        <v>45080</v>
      </c>
      <c r="D1184" t="s">
        <v>958</v>
      </c>
      <c r="E1184" s="13">
        <v>5760000</v>
      </c>
      <c r="F1184" s="13">
        <v>59940</v>
      </c>
      <c r="G1184" s="9">
        <v>45080</v>
      </c>
      <c r="H1184" t="s">
        <v>1111</v>
      </c>
      <c r="I1184" t="s">
        <v>1074</v>
      </c>
      <c r="J1184" s="13">
        <v>127872</v>
      </c>
      <c r="K1184">
        <v>3</v>
      </c>
      <c r="L1184" t="s">
        <v>1064</v>
      </c>
      <c r="M1184" t="s">
        <v>1075</v>
      </c>
      <c r="N1184" s="15" t="s">
        <v>6878</v>
      </c>
    </row>
    <row r="1185" spans="1:14" x14ac:dyDescent="0.2">
      <c r="A1185" t="s">
        <v>2261</v>
      </c>
      <c r="B1185" t="s">
        <v>1062</v>
      </c>
      <c r="C1185" s="9">
        <v>45080</v>
      </c>
      <c r="D1185" t="s">
        <v>958</v>
      </c>
      <c r="E1185" s="13">
        <v>10000000</v>
      </c>
      <c r="F1185" s="13">
        <v>199800</v>
      </c>
      <c r="G1185" s="9">
        <v>45080</v>
      </c>
      <c r="H1185" t="s">
        <v>1111</v>
      </c>
      <c r="I1185" t="s">
        <v>1074</v>
      </c>
      <c r="J1185" s="13">
        <v>222000</v>
      </c>
      <c r="K1185">
        <v>10</v>
      </c>
      <c r="L1185" t="s">
        <v>1064</v>
      </c>
      <c r="M1185" t="s">
        <v>1075</v>
      </c>
      <c r="N1185" s="15" t="s">
        <v>6878</v>
      </c>
    </row>
    <row r="1186" spans="1:14" x14ac:dyDescent="0.2">
      <c r="A1186" t="s">
        <v>2262</v>
      </c>
      <c r="B1186" t="s">
        <v>1062</v>
      </c>
      <c r="C1186" s="9">
        <v>45080</v>
      </c>
      <c r="D1186" t="s">
        <v>958</v>
      </c>
      <c r="E1186" s="13">
        <v>10000000</v>
      </c>
      <c r="F1186" s="13">
        <v>199800</v>
      </c>
      <c r="G1186" s="9">
        <v>45080</v>
      </c>
      <c r="H1186" t="s">
        <v>1111</v>
      </c>
      <c r="I1186" t="s">
        <v>1074</v>
      </c>
      <c r="J1186" s="13">
        <v>222000</v>
      </c>
      <c r="K1186">
        <v>10</v>
      </c>
      <c r="L1186" t="s">
        <v>1064</v>
      </c>
      <c r="M1186" t="s">
        <v>1075</v>
      </c>
      <c r="N1186" s="15" t="s">
        <v>6878</v>
      </c>
    </row>
    <row r="1187" spans="1:14" x14ac:dyDescent="0.2">
      <c r="A1187" t="s">
        <v>2263</v>
      </c>
      <c r="B1187" t="s">
        <v>1062</v>
      </c>
      <c r="C1187" s="9">
        <v>45082</v>
      </c>
      <c r="D1187" t="s">
        <v>442</v>
      </c>
      <c r="E1187" s="13">
        <v>5035000</v>
      </c>
      <c r="F1187" s="13">
        <v>15000</v>
      </c>
      <c r="H1187" t="s">
        <v>1659</v>
      </c>
      <c r="I1187" t="s">
        <v>916</v>
      </c>
      <c r="J1187" s="13">
        <v>0</v>
      </c>
      <c r="K1187">
        <v>1</v>
      </c>
      <c r="L1187" t="s">
        <v>1064</v>
      </c>
      <c r="M1187" t="s">
        <v>1065</v>
      </c>
      <c r="N1187" s="14" t="s">
        <v>6877</v>
      </c>
    </row>
    <row r="1188" spans="1:14" x14ac:dyDescent="0.2">
      <c r="A1188" t="s">
        <v>2264</v>
      </c>
      <c r="B1188" t="s">
        <v>1062</v>
      </c>
      <c r="C1188" s="9">
        <v>45082</v>
      </c>
      <c r="D1188" t="s">
        <v>442</v>
      </c>
      <c r="E1188" s="13">
        <v>2950000</v>
      </c>
      <c r="F1188" s="13">
        <v>16650</v>
      </c>
      <c r="G1188" s="9">
        <v>45084</v>
      </c>
      <c r="H1188" t="s">
        <v>1111</v>
      </c>
      <c r="I1188" t="s">
        <v>916</v>
      </c>
      <c r="J1188" s="13">
        <v>98235</v>
      </c>
      <c r="K1188">
        <v>1</v>
      </c>
      <c r="L1188" t="s">
        <v>1064</v>
      </c>
      <c r="M1188" t="s">
        <v>1065</v>
      </c>
      <c r="N1188" s="15" t="s">
        <v>6878</v>
      </c>
    </row>
    <row r="1189" spans="1:14" x14ac:dyDescent="0.2">
      <c r="A1189" t="s">
        <v>2265</v>
      </c>
      <c r="B1189" t="s">
        <v>1062</v>
      </c>
      <c r="C1189" s="9">
        <v>45082</v>
      </c>
      <c r="D1189" t="s">
        <v>442</v>
      </c>
      <c r="E1189" s="13">
        <v>2950000</v>
      </c>
      <c r="F1189" s="13">
        <v>16650</v>
      </c>
      <c r="G1189" s="9">
        <v>45084</v>
      </c>
      <c r="H1189" t="s">
        <v>1111</v>
      </c>
      <c r="I1189" t="s">
        <v>916</v>
      </c>
      <c r="J1189" s="13">
        <v>98235</v>
      </c>
      <c r="K1189">
        <v>1</v>
      </c>
      <c r="L1189" t="s">
        <v>1064</v>
      </c>
      <c r="M1189" t="s">
        <v>1065</v>
      </c>
      <c r="N1189" s="15" t="s">
        <v>6878</v>
      </c>
    </row>
    <row r="1190" spans="1:14" x14ac:dyDescent="0.2">
      <c r="A1190" t="s">
        <v>2266</v>
      </c>
      <c r="B1190" t="s">
        <v>1062</v>
      </c>
      <c r="C1190" s="9">
        <v>45082</v>
      </c>
      <c r="D1190" t="s">
        <v>442</v>
      </c>
      <c r="E1190" s="13">
        <v>1325000</v>
      </c>
      <c r="F1190" s="13">
        <v>16650</v>
      </c>
      <c r="G1190" s="9">
        <v>45084</v>
      </c>
      <c r="H1190" t="s">
        <v>1111</v>
      </c>
      <c r="I1190" t="s">
        <v>916</v>
      </c>
      <c r="J1190" s="13">
        <v>44122</v>
      </c>
      <c r="K1190">
        <v>1</v>
      </c>
      <c r="L1190" t="s">
        <v>1064</v>
      </c>
      <c r="M1190" t="s">
        <v>1065</v>
      </c>
      <c r="N1190" s="15" t="s">
        <v>6878</v>
      </c>
    </row>
    <row r="1191" spans="1:14" x14ac:dyDescent="0.2">
      <c r="A1191" t="s">
        <v>2267</v>
      </c>
      <c r="B1191" t="s">
        <v>1062</v>
      </c>
      <c r="C1191" s="9">
        <v>45082</v>
      </c>
      <c r="D1191" t="s">
        <v>442</v>
      </c>
      <c r="E1191" s="13">
        <v>2625000</v>
      </c>
      <c r="F1191" s="13">
        <v>16650</v>
      </c>
      <c r="G1191" s="9">
        <v>45084</v>
      </c>
      <c r="H1191" t="s">
        <v>1111</v>
      </c>
      <c r="I1191" t="s">
        <v>916</v>
      </c>
      <c r="J1191" s="13">
        <v>87412</v>
      </c>
      <c r="K1191">
        <v>1</v>
      </c>
      <c r="L1191" t="s">
        <v>1064</v>
      </c>
      <c r="M1191" t="s">
        <v>1065</v>
      </c>
      <c r="N1191" s="15" t="s">
        <v>6878</v>
      </c>
    </row>
    <row r="1192" spans="1:14" x14ac:dyDescent="0.2">
      <c r="A1192" t="s">
        <v>2268</v>
      </c>
      <c r="B1192" t="s">
        <v>1062</v>
      </c>
      <c r="C1192" s="9">
        <v>45082</v>
      </c>
      <c r="D1192" t="s">
        <v>442</v>
      </c>
      <c r="E1192" s="13">
        <v>3000000</v>
      </c>
      <c r="F1192" s="13">
        <v>16650</v>
      </c>
      <c r="G1192" s="9">
        <v>45084</v>
      </c>
      <c r="H1192" t="s">
        <v>1111</v>
      </c>
      <c r="I1192" t="s">
        <v>916</v>
      </c>
      <c r="J1192" s="13">
        <v>99900</v>
      </c>
      <c r="K1192">
        <v>1</v>
      </c>
      <c r="L1192" t="s">
        <v>1064</v>
      </c>
      <c r="M1192" t="s">
        <v>1065</v>
      </c>
      <c r="N1192" s="15" t="s">
        <v>6878</v>
      </c>
    </row>
    <row r="1193" spans="1:14" x14ac:dyDescent="0.2">
      <c r="A1193" t="s">
        <v>2269</v>
      </c>
      <c r="B1193" t="s">
        <v>1062</v>
      </c>
      <c r="C1193" s="9">
        <v>45082</v>
      </c>
      <c r="D1193" t="s">
        <v>442</v>
      </c>
      <c r="E1193" s="13">
        <v>2625000</v>
      </c>
      <c r="F1193" s="13">
        <v>16650</v>
      </c>
      <c r="G1193" s="9">
        <v>45084</v>
      </c>
      <c r="H1193" t="s">
        <v>1111</v>
      </c>
      <c r="I1193" t="s">
        <v>916</v>
      </c>
      <c r="J1193" s="13">
        <v>87412</v>
      </c>
      <c r="K1193">
        <v>1</v>
      </c>
      <c r="L1193" t="s">
        <v>1064</v>
      </c>
      <c r="M1193" t="s">
        <v>1065</v>
      </c>
      <c r="N1193" s="15" t="s">
        <v>6878</v>
      </c>
    </row>
    <row r="1194" spans="1:14" x14ac:dyDescent="0.2">
      <c r="A1194" t="s">
        <v>2270</v>
      </c>
      <c r="B1194" t="s">
        <v>1062</v>
      </c>
      <c r="C1194" s="9">
        <v>45082</v>
      </c>
      <c r="D1194" t="s">
        <v>442</v>
      </c>
      <c r="E1194" s="13">
        <v>1000000</v>
      </c>
      <c r="F1194" s="13">
        <v>16650</v>
      </c>
      <c r="G1194" s="9">
        <v>45084</v>
      </c>
      <c r="H1194" t="s">
        <v>1111</v>
      </c>
      <c r="I1194" t="s">
        <v>916</v>
      </c>
      <c r="J1194" s="13">
        <v>33300</v>
      </c>
      <c r="K1194">
        <v>1</v>
      </c>
      <c r="L1194" t="s">
        <v>1064</v>
      </c>
      <c r="M1194" t="s">
        <v>1065</v>
      </c>
      <c r="N1194" s="15" t="s">
        <v>6878</v>
      </c>
    </row>
    <row r="1195" spans="1:14" x14ac:dyDescent="0.2">
      <c r="A1195" t="s">
        <v>2271</v>
      </c>
      <c r="B1195" t="s">
        <v>1062</v>
      </c>
      <c r="C1195" s="9">
        <v>45083</v>
      </c>
      <c r="D1195" t="s">
        <v>442</v>
      </c>
      <c r="E1195" s="13">
        <v>1125000</v>
      </c>
      <c r="F1195" s="13">
        <v>15000</v>
      </c>
      <c r="H1195" t="s">
        <v>2272</v>
      </c>
      <c r="I1195" t="s">
        <v>916</v>
      </c>
      <c r="J1195" s="13">
        <v>0</v>
      </c>
      <c r="K1195">
        <v>1</v>
      </c>
      <c r="L1195" t="s">
        <v>1064</v>
      </c>
      <c r="M1195" t="s">
        <v>1065</v>
      </c>
      <c r="N1195" s="14" t="s">
        <v>6877</v>
      </c>
    </row>
    <row r="1196" spans="1:14" x14ac:dyDescent="0.2">
      <c r="A1196" t="s">
        <v>2273</v>
      </c>
      <c r="B1196" t="s">
        <v>1062</v>
      </c>
      <c r="C1196" s="9">
        <v>45083</v>
      </c>
      <c r="D1196" t="s">
        <v>442</v>
      </c>
      <c r="E1196" s="13">
        <v>2625000</v>
      </c>
      <c r="F1196" s="13">
        <v>15000</v>
      </c>
      <c r="H1196" t="s">
        <v>2272</v>
      </c>
      <c r="I1196" t="s">
        <v>916</v>
      </c>
      <c r="J1196" s="13">
        <v>0</v>
      </c>
      <c r="K1196">
        <v>1</v>
      </c>
      <c r="L1196" t="s">
        <v>1064</v>
      </c>
      <c r="M1196" t="s">
        <v>1065</v>
      </c>
      <c r="N1196" s="14" t="s">
        <v>6877</v>
      </c>
    </row>
    <row r="1197" spans="1:14" x14ac:dyDescent="0.2">
      <c r="A1197" t="s">
        <v>2274</v>
      </c>
      <c r="B1197" t="s">
        <v>1062</v>
      </c>
      <c r="C1197" s="9">
        <v>45083</v>
      </c>
      <c r="D1197" t="s">
        <v>442</v>
      </c>
      <c r="E1197" s="13">
        <v>2575000</v>
      </c>
      <c r="F1197" s="13">
        <v>15000</v>
      </c>
      <c r="H1197" t="s">
        <v>2272</v>
      </c>
      <c r="I1197" t="s">
        <v>916</v>
      </c>
      <c r="J1197" s="13">
        <v>0</v>
      </c>
      <c r="K1197">
        <v>1</v>
      </c>
      <c r="L1197" t="s">
        <v>1064</v>
      </c>
      <c r="M1197" t="s">
        <v>1065</v>
      </c>
      <c r="N1197" s="14" t="s">
        <v>6877</v>
      </c>
    </row>
    <row r="1198" spans="1:14" x14ac:dyDescent="0.2">
      <c r="A1198" t="s">
        <v>2275</v>
      </c>
      <c r="B1198" t="s">
        <v>1062</v>
      </c>
      <c r="C1198" s="9">
        <v>45083</v>
      </c>
      <c r="D1198" t="s">
        <v>442</v>
      </c>
      <c r="E1198" s="13">
        <v>2500000</v>
      </c>
      <c r="F1198" s="13">
        <v>15000</v>
      </c>
      <c r="H1198" t="s">
        <v>2272</v>
      </c>
      <c r="I1198" t="s">
        <v>916</v>
      </c>
      <c r="J1198" s="13">
        <v>0</v>
      </c>
      <c r="K1198">
        <v>1</v>
      </c>
      <c r="L1198" t="s">
        <v>1064</v>
      </c>
      <c r="M1198" t="s">
        <v>1065</v>
      </c>
      <c r="N1198" s="14" t="s">
        <v>6877</v>
      </c>
    </row>
    <row r="1199" spans="1:14" x14ac:dyDescent="0.2">
      <c r="A1199" t="s">
        <v>2276</v>
      </c>
      <c r="B1199" t="s">
        <v>1062</v>
      </c>
      <c r="C1199" s="9">
        <v>45083</v>
      </c>
      <c r="D1199" t="s">
        <v>442</v>
      </c>
      <c r="E1199" s="13">
        <v>1562500</v>
      </c>
      <c r="F1199" s="13">
        <v>15000</v>
      </c>
      <c r="H1199" t="s">
        <v>2272</v>
      </c>
      <c r="I1199" t="s">
        <v>916</v>
      </c>
      <c r="J1199" s="13">
        <v>0</v>
      </c>
      <c r="K1199">
        <v>1</v>
      </c>
      <c r="L1199" t="s">
        <v>1064</v>
      </c>
      <c r="M1199" t="s">
        <v>1065</v>
      </c>
      <c r="N1199" s="14" t="s">
        <v>6877</v>
      </c>
    </row>
    <row r="1200" spans="1:14" x14ac:dyDescent="0.2">
      <c r="A1200" t="s">
        <v>2277</v>
      </c>
      <c r="B1200" t="s">
        <v>1062</v>
      </c>
      <c r="C1200" s="9">
        <v>45083</v>
      </c>
      <c r="D1200" t="s">
        <v>442</v>
      </c>
      <c r="E1200" s="13">
        <v>2625000</v>
      </c>
      <c r="F1200" s="13">
        <v>15000</v>
      </c>
      <c r="H1200" t="s">
        <v>2272</v>
      </c>
      <c r="I1200" t="s">
        <v>916</v>
      </c>
      <c r="J1200" s="13">
        <v>0</v>
      </c>
      <c r="K1200">
        <v>1</v>
      </c>
      <c r="L1200" t="s">
        <v>1064</v>
      </c>
      <c r="M1200" t="s">
        <v>1065</v>
      </c>
      <c r="N1200" s="14" t="s">
        <v>6877</v>
      </c>
    </row>
    <row r="1201" spans="1:14" x14ac:dyDescent="0.2">
      <c r="A1201" t="s">
        <v>2278</v>
      </c>
      <c r="B1201" t="s">
        <v>1062</v>
      </c>
      <c r="C1201" s="9">
        <v>45083</v>
      </c>
      <c r="D1201" t="s">
        <v>442</v>
      </c>
      <c r="E1201" s="13">
        <v>2625000</v>
      </c>
      <c r="F1201" s="13">
        <v>15000</v>
      </c>
      <c r="H1201" t="s">
        <v>2272</v>
      </c>
      <c r="I1201" t="s">
        <v>916</v>
      </c>
      <c r="J1201" s="13">
        <v>0</v>
      </c>
      <c r="K1201">
        <v>1</v>
      </c>
      <c r="L1201" t="s">
        <v>1064</v>
      </c>
      <c r="M1201" t="s">
        <v>1065</v>
      </c>
      <c r="N1201" s="14" t="s">
        <v>6877</v>
      </c>
    </row>
    <row r="1202" spans="1:14" x14ac:dyDescent="0.2">
      <c r="A1202" t="s">
        <v>2279</v>
      </c>
      <c r="B1202" t="s">
        <v>1062</v>
      </c>
      <c r="C1202" s="9">
        <v>45083</v>
      </c>
      <c r="D1202" t="s">
        <v>442</v>
      </c>
      <c r="E1202" s="13">
        <v>2375000</v>
      </c>
      <c r="F1202" s="13">
        <v>15000</v>
      </c>
      <c r="H1202" t="s">
        <v>1185</v>
      </c>
      <c r="I1202" t="s">
        <v>916</v>
      </c>
      <c r="J1202" s="13">
        <v>0</v>
      </c>
      <c r="K1202">
        <v>1</v>
      </c>
      <c r="L1202" t="s">
        <v>1064</v>
      </c>
      <c r="M1202" t="s">
        <v>1065</v>
      </c>
      <c r="N1202" s="14" t="s">
        <v>6877</v>
      </c>
    </row>
    <row r="1203" spans="1:14" x14ac:dyDescent="0.2">
      <c r="A1203" t="s">
        <v>2280</v>
      </c>
      <c r="B1203" t="s">
        <v>1062</v>
      </c>
      <c r="C1203" s="9">
        <v>45083</v>
      </c>
      <c r="D1203" t="s">
        <v>442</v>
      </c>
      <c r="E1203" s="13">
        <v>1450000</v>
      </c>
      <c r="F1203" s="13">
        <v>15000</v>
      </c>
      <c r="H1203" t="s">
        <v>1185</v>
      </c>
      <c r="I1203" t="s">
        <v>916</v>
      </c>
      <c r="J1203" s="13">
        <v>0</v>
      </c>
      <c r="K1203">
        <v>1</v>
      </c>
      <c r="L1203" t="s">
        <v>1064</v>
      </c>
      <c r="M1203" t="s">
        <v>1065</v>
      </c>
      <c r="N1203" s="14" t="s">
        <v>6877</v>
      </c>
    </row>
    <row r="1204" spans="1:14" x14ac:dyDescent="0.2">
      <c r="A1204" t="s">
        <v>2281</v>
      </c>
      <c r="B1204" t="s">
        <v>1062</v>
      </c>
      <c r="C1204" s="9">
        <v>45083</v>
      </c>
      <c r="D1204" t="s">
        <v>442</v>
      </c>
      <c r="E1204" s="13">
        <v>2625000</v>
      </c>
      <c r="F1204" s="13">
        <v>15000</v>
      </c>
      <c r="H1204" t="s">
        <v>1185</v>
      </c>
      <c r="I1204" t="s">
        <v>916</v>
      </c>
      <c r="J1204" s="13">
        <v>0</v>
      </c>
      <c r="K1204">
        <v>1</v>
      </c>
      <c r="L1204" t="s">
        <v>1064</v>
      </c>
      <c r="M1204" t="s">
        <v>1065</v>
      </c>
      <c r="N1204" s="14" t="s">
        <v>6877</v>
      </c>
    </row>
    <row r="1205" spans="1:14" x14ac:dyDescent="0.2">
      <c r="A1205" t="s">
        <v>2282</v>
      </c>
      <c r="B1205" t="s">
        <v>1062</v>
      </c>
      <c r="C1205" s="9">
        <v>45083</v>
      </c>
      <c r="D1205" t="s">
        <v>442</v>
      </c>
      <c r="E1205" s="13">
        <v>2625000</v>
      </c>
      <c r="F1205" s="13">
        <v>15000</v>
      </c>
      <c r="H1205" t="s">
        <v>1185</v>
      </c>
      <c r="I1205" t="s">
        <v>916</v>
      </c>
      <c r="J1205" s="13">
        <v>0</v>
      </c>
      <c r="K1205">
        <v>1</v>
      </c>
      <c r="L1205" t="s">
        <v>1064</v>
      </c>
      <c r="M1205" t="s">
        <v>1065</v>
      </c>
      <c r="N1205" s="14" t="s">
        <v>6877</v>
      </c>
    </row>
    <row r="1206" spans="1:14" x14ac:dyDescent="0.2">
      <c r="A1206" t="s">
        <v>2283</v>
      </c>
      <c r="B1206" t="s">
        <v>1062</v>
      </c>
      <c r="C1206" s="9">
        <v>45083</v>
      </c>
      <c r="D1206" t="s">
        <v>442</v>
      </c>
      <c r="E1206" s="13">
        <v>2575000</v>
      </c>
      <c r="F1206" s="13">
        <v>15000</v>
      </c>
      <c r="H1206" t="s">
        <v>1185</v>
      </c>
      <c r="I1206" t="s">
        <v>916</v>
      </c>
      <c r="J1206" s="13">
        <v>0</v>
      </c>
      <c r="K1206">
        <v>1</v>
      </c>
      <c r="L1206" t="s">
        <v>1064</v>
      </c>
      <c r="M1206" t="s">
        <v>1065</v>
      </c>
      <c r="N1206" s="14" t="s">
        <v>6877</v>
      </c>
    </row>
    <row r="1207" spans="1:14" x14ac:dyDescent="0.2">
      <c r="A1207" t="s">
        <v>956</v>
      </c>
      <c r="B1207" t="s">
        <v>1062</v>
      </c>
      <c r="C1207" s="9">
        <v>45083</v>
      </c>
      <c r="D1207" t="s">
        <v>442</v>
      </c>
      <c r="E1207" s="13">
        <v>2375000</v>
      </c>
      <c r="F1207" s="13">
        <v>15000</v>
      </c>
      <c r="H1207" t="s">
        <v>1185</v>
      </c>
      <c r="I1207" t="s">
        <v>916</v>
      </c>
      <c r="J1207" s="13">
        <v>0</v>
      </c>
      <c r="K1207">
        <v>1</v>
      </c>
      <c r="L1207" t="s">
        <v>1064</v>
      </c>
      <c r="M1207" t="s">
        <v>1065</v>
      </c>
      <c r="N1207" s="14" t="s">
        <v>6877</v>
      </c>
    </row>
    <row r="1208" spans="1:14" x14ac:dyDescent="0.2">
      <c r="A1208" t="s">
        <v>2284</v>
      </c>
      <c r="B1208" t="s">
        <v>1062</v>
      </c>
      <c r="C1208" s="9">
        <v>45085</v>
      </c>
      <c r="D1208" t="s">
        <v>1042</v>
      </c>
      <c r="E1208" s="13">
        <v>4000000</v>
      </c>
      <c r="F1208" s="13">
        <v>20000</v>
      </c>
      <c r="H1208" t="s">
        <v>1659</v>
      </c>
      <c r="I1208" t="s">
        <v>2285</v>
      </c>
      <c r="J1208" s="13">
        <v>0</v>
      </c>
      <c r="K1208">
        <v>3</v>
      </c>
      <c r="L1208" t="s">
        <v>1064</v>
      </c>
      <c r="M1208" t="s">
        <v>2286</v>
      </c>
      <c r="N1208" s="14" t="s">
        <v>6877</v>
      </c>
    </row>
    <row r="1209" spans="1:14" x14ac:dyDescent="0.2">
      <c r="A1209" t="s">
        <v>1043</v>
      </c>
      <c r="B1209" t="s">
        <v>1062</v>
      </c>
      <c r="C1209" s="9">
        <v>45085</v>
      </c>
      <c r="D1209" t="s">
        <v>1042</v>
      </c>
      <c r="E1209" s="13">
        <v>3000000</v>
      </c>
      <c r="F1209" s="13">
        <v>20000</v>
      </c>
      <c r="H1209" t="s">
        <v>1659</v>
      </c>
      <c r="I1209" t="s">
        <v>2285</v>
      </c>
      <c r="J1209" s="13">
        <v>0</v>
      </c>
      <c r="K1209">
        <v>3</v>
      </c>
      <c r="L1209" t="s">
        <v>1064</v>
      </c>
      <c r="M1209" t="s">
        <v>2286</v>
      </c>
      <c r="N1209" s="14" t="s">
        <v>6877</v>
      </c>
    </row>
    <row r="1210" spans="1:14" x14ac:dyDescent="0.2">
      <c r="A1210" t="s">
        <v>2287</v>
      </c>
      <c r="B1210" t="s">
        <v>1062</v>
      </c>
      <c r="C1210" s="9">
        <v>45086</v>
      </c>
      <c r="D1210" t="s">
        <v>958</v>
      </c>
      <c r="E1210" s="13">
        <v>1920000</v>
      </c>
      <c r="F1210" s="13">
        <v>19980</v>
      </c>
      <c r="G1210" s="9">
        <v>45087</v>
      </c>
      <c r="H1210" t="s">
        <v>1111</v>
      </c>
      <c r="I1210" t="s">
        <v>1074</v>
      </c>
      <c r="J1210" s="13">
        <v>42624</v>
      </c>
      <c r="K1210">
        <v>1</v>
      </c>
      <c r="L1210" t="s">
        <v>1064</v>
      </c>
      <c r="M1210" t="s">
        <v>1075</v>
      </c>
      <c r="N1210" s="15" t="s">
        <v>6878</v>
      </c>
    </row>
    <row r="1211" spans="1:14" x14ac:dyDescent="0.2">
      <c r="A1211" t="s">
        <v>2288</v>
      </c>
      <c r="B1211" t="s">
        <v>1062</v>
      </c>
      <c r="C1211" s="9">
        <v>45086</v>
      </c>
      <c r="D1211" t="s">
        <v>958</v>
      </c>
      <c r="E1211" s="13">
        <v>1920000</v>
      </c>
      <c r="F1211" s="13">
        <v>19980</v>
      </c>
      <c r="G1211" s="9">
        <v>45087</v>
      </c>
      <c r="H1211" t="s">
        <v>1111</v>
      </c>
      <c r="I1211" t="s">
        <v>1074</v>
      </c>
      <c r="J1211" s="13">
        <v>42624</v>
      </c>
      <c r="K1211">
        <v>1</v>
      </c>
      <c r="L1211" t="s">
        <v>1064</v>
      </c>
      <c r="M1211" t="s">
        <v>1075</v>
      </c>
      <c r="N1211" s="15" t="s">
        <v>6878</v>
      </c>
    </row>
    <row r="1212" spans="1:14" x14ac:dyDescent="0.2">
      <c r="A1212" t="s">
        <v>2289</v>
      </c>
      <c r="B1212" t="s">
        <v>1062</v>
      </c>
      <c r="C1212" s="9">
        <v>45086</v>
      </c>
      <c r="D1212" t="s">
        <v>958</v>
      </c>
      <c r="E1212" s="13">
        <v>2640000</v>
      </c>
      <c r="F1212" s="13">
        <v>39960</v>
      </c>
      <c r="G1212" s="9">
        <v>45087</v>
      </c>
      <c r="H1212" t="s">
        <v>1111</v>
      </c>
      <c r="I1212" t="s">
        <v>1074</v>
      </c>
      <c r="J1212" s="13">
        <v>58608</v>
      </c>
      <c r="K1212">
        <v>2</v>
      </c>
      <c r="L1212" t="s">
        <v>1064</v>
      </c>
      <c r="M1212" t="s">
        <v>1075</v>
      </c>
      <c r="N1212" s="15" t="s">
        <v>6878</v>
      </c>
    </row>
    <row r="1213" spans="1:14" x14ac:dyDescent="0.2">
      <c r="A1213" t="s">
        <v>2290</v>
      </c>
      <c r="B1213" t="s">
        <v>1062</v>
      </c>
      <c r="C1213" s="9">
        <v>45086</v>
      </c>
      <c r="D1213" t="s">
        <v>958</v>
      </c>
      <c r="E1213" s="13">
        <v>7680000</v>
      </c>
      <c r="F1213" s="13">
        <v>79920</v>
      </c>
      <c r="G1213" s="9">
        <v>45087</v>
      </c>
      <c r="H1213" t="s">
        <v>1111</v>
      </c>
      <c r="I1213" t="s">
        <v>1074</v>
      </c>
      <c r="J1213" s="13">
        <v>170496</v>
      </c>
      <c r="K1213">
        <v>4</v>
      </c>
      <c r="L1213" t="s">
        <v>1064</v>
      </c>
      <c r="M1213" t="s">
        <v>1075</v>
      </c>
      <c r="N1213" s="15" t="s">
        <v>6878</v>
      </c>
    </row>
    <row r="1214" spans="1:14" x14ac:dyDescent="0.2">
      <c r="A1214" t="s">
        <v>2291</v>
      </c>
      <c r="B1214" t="s">
        <v>1062</v>
      </c>
      <c r="C1214" s="9">
        <v>45086</v>
      </c>
      <c r="D1214" t="s">
        <v>958</v>
      </c>
      <c r="E1214" s="13">
        <v>4620000</v>
      </c>
      <c r="F1214" s="13">
        <v>39960</v>
      </c>
      <c r="G1214" s="9">
        <v>45087</v>
      </c>
      <c r="H1214" t="s">
        <v>1111</v>
      </c>
      <c r="I1214" t="s">
        <v>1074</v>
      </c>
      <c r="J1214" s="13">
        <v>102564</v>
      </c>
      <c r="K1214">
        <v>2</v>
      </c>
      <c r="L1214" t="s">
        <v>1064</v>
      </c>
      <c r="M1214" t="s">
        <v>1075</v>
      </c>
      <c r="N1214" s="15" t="s">
        <v>6878</v>
      </c>
    </row>
    <row r="1215" spans="1:14" x14ac:dyDescent="0.2">
      <c r="A1215" t="s">
        <v>2292</v>
      </c>
      <c r="B1215" t="s">
        <v>1062</v>
      </c>
      <c r="C1215" s="9">
        <v>45086</v>
      </c>
      <c r="D1215" t="s">
        <v>958</v>
      </c>
      <c r="E1215" s="13">
        <v>3840000</v>
      </c>
      <c r="F1215" s="13">
        <v>39960</v>
      </c>
      <c r="G1215" s="9">
        <v>45087</v>
      </c>
      <c r="H1215" t="s">
        <v>1111</v>
      </c>
      <c r="I1215" t="s">
        <v>1074</v>
      </c>
      <c r="J1215" s="13">
        <v>85248</v>
      </c>
      <c r="K1215">
        <v>2</v>
      </c>
      <c r="L1215" t="s">
        <v>1064</v>
      </c>
      <c r="M1215" t="s">
        <v>1075</v>
      </c>
      <c r="N1215" s="15" t="s">
        <v>6878</v>
      </c>
    </row>
    <row r="1216" spans="1:14" x14ac:dyDescent="0.2">
      <c r="A1216" t="s">
        <v>2293</v>
      </c>
      <c r="B1216" t="s">
        <v>1062</v>
      </c>
      <c r="C1216" s="9">
        <v>45086</v>
      </c>
      <c r="D1216" t="s">
        <v>958</v>
      </c>
      <c r="E1216" s="13">
        <v>6600000</v>
      </c>
      <c r="F1216" s="13">
        <v>99900</v>
      </c>
      <c r="G1216" s="9">
        <v>45087</v>
      </c>
      <c r="H1216" t="s">
        <v>1111</v>
      </c>
      <c r="I1216" t="s">
        <v>1074</v>
      </c>
      <c r="J1216" s="13">
        <v>146520</v>
      </c>
      <c r="K1216">
        <v>5</v>
      </c>
      <c r="L1216" t="s">
        <v>1064</v>
      </c>
      <c r="M1216" t="s">
        <v>1075</v>
      </c>
      <c r="N1216" s="15" t="s">
        <v>6878</v>
      </c>
    </row>
    <row r="1217" spans="1:14" x14ac:dyDescent="0.2">
      <c r="A1217" t="s">
        <v>2294</v>
      </c>
      <c r="B1217" t="s">
        <v>1062</v>
      </c>
      <c r="C1217" s="9">
        <v>45086</v>
      </c>
      <c r="D1217" t="s">
        <v>958</v>
      </c>
      <c r="E1217" s="13">
        <v>10000000</v>
      </c>
      <c r="F1217" s="13">
        <v>199800</v>
      </c>
      <c r="G1217" s="9">
        <v>45087</v>
      </c>
      <c r="H1217" t="s">
        <v>1111</v>
      </c>
      <c r="I1217" t="s">
        <v>1074</v>
      </c>
      <c r="J1217" s="13">
        <v>222000</v>
      </c>
      <c r="K1217">
        <v>10</v>
      </c>
      <c r="L1217" t="s">
        <v>1064</v>
      </c>
      <c r="M1217" t="s">
        <v>1075</v>
      </c>
      <c r="N1217" s="15" t="s">
        <v>6878</v>
      </c>
    </row>
    <row r="1218" spans="1:14" x14ac:dyDescent="0.2">
      <c r="A1218" t="s">
        <v>2295</v>
      </c>
      <c r="B1218" t="s">
        <v>1062</v>
      </c>
      <c r="C1218" s="9">
        <v>45086</v>
      </c>
      <c r="D1218" t="s">
        <v>958</v>
      </c>
      <c r="E1218" s="13">
        <v>2100000</v>
      </c>
      <c r="F1218" s="13">
        <v>39960</v>
      </c>
      <c r="G1218" s="9">
        <v>45087</v>
      </c>
      <c r="H1218" t="s">
        <v>1111</v>
      </c>
      <c r="I1218" t="s">
        <v>1074</v>
      </c>
      <c r="J1218" s="13">
        <v>46620</v>
      </c>
      <c r="K1218">
        <v>2</v>
      </c>
      <c r="L1218" t="s">
        <v>1064</v>
      </c>
      <c r="M1218" t="s">
        <v>1075</v>
      </c>
      <c r="N1218" s="15" t="s">
        <v>6878</v>
      </c>
    </row>
    <row r="1219" spans="1:14" x14ac:dyDescent="0.2">
      <c r="A1219" t="s">
        <v>2296</v>
      </c>
      <c r="B1219" t="s">
        <v>1062</v>
      </c>
      <c r="C1219" s="9">
        <v>45087</v>
      </c>
      <c r="D1219" t="s">
        <v>958</v>
      </c>
      <c r="E1219" s="13">
        <v>2175000</v>
      </c>
      <c r="F1219" s="13">
        <v>59940</v>
      </c>
      <c r="G1219" s="9">
        <v>45087</v>
      </c>
      <c r="H1219" t="s">
        <v>1111</v>
      </c>
      <c r="I1219" t="s">
        <v>1074</v>
      </c>
      <c r="J1219" s="13">
        <v>48285</v>
      </c>
      <c r="K1219">
        <v>3</v>
      </c>
      <c r="L1219" t="s">
        <v>1064</v>
      </c>
      <c r="M1219" t="s">
        <v>1075</v>
      </c>
      <c r="N1219" s="15" t="s">
        <v>6878</v>
      </c>
    </row>
    <row r="1220" spans="1:14" x14ac:dyDescent="0.2">
      <c r="A1220" t="s">
        <v>2297</v>
      </c>
      <c r="B1220" t="s">
        <v>1062</v>
      </c>
      <c r="C1220" s="9">
        <v>45087</v>
      </c>
      <c r="D1220" t="s">
        <v>958</v>
      </c>
      <c r="E1220" s="13">
        <v>1450000</v>
      </c>
      <c r="F1220" s="13">
        <v>39960</v>
      </c>
      <c r="G1220" s="9">
        <v>45087</v>
      </c>
      <c r="H1220" t="s">
        <v>1111</v>
      </c>
      <c r="I1220" t="s">
        <v>1074</v>
      </c>
      <c r="J1220" s="13">
        <v>32190</v>
      </c>
      <c r="K1220">
        <v>2</v>
      </c>
      <c r="L1220" t="s">
        <v>1064</v>
      </c>
      <c r="M1220" t="s">
        <v>1075</v>
      </c>
      <c r="N1220" s="15" t="s">
        <v>6878</v>
      </c>
    </row>
    <row r="1221" spans="1:14" x14ac:dyDescent="0.2">
      <c r="A1221" t="s">
        <v>2298</v>
      </c>
      <c r="B1221" t="s">
        <v>1062</v>
      </c>
      <c r="C1221" s="9">
        <v>45087</v>
      </c>
      <c r="D1221" t="s">
        <v>958</v>
      </c>
      <c r="E1221" s="13">
        <v>3625000</v>
      </c>
      <c r="F1221" s="13">
        <v>139860</v>
      </c>
      <c r="G1221" s="9">
        <v>45087</v>
      </c>
      <c r="H1221" t="s">
        <v>1111</v>
      </c>
      <c r="I1221" t="s">
        <v>1074</v>
      </c>
      <c r="J1221" s="13">
        <v>80475</v>
      </c>
      <c r="K1221">
        <v>7</v>
      </c>
      <c r="L1221" t="s">
        <v>1064</v>
      </c>
      <c r="M1221" t="s">
        <v>1075</v>
      </c>
      <c r="N1221" s="15" t="s">
        <v>6878</v>
      </c>
    </row>
    <row r="1222" spans="1:14" x14ac:dyDescent="0.2">
      <c r="A1222" t="s">
        <v>2299</v>
      </c>
      <c r="B1222" t="s">
        <v>1062</v>
      </c>
      <c r="C1222" s="9">
        <v>45087</v>
      </c>
      <c r="D1222" t="s">
        <v>958</v>
      </c>
      <c r="E1222" s="13">
        <v>2515000</v>
      </c>
      <c r="F1222" s="13">
        <v>39960</v>
      </c>
      <c r="G1222" s="9">
        <v>45087</v>
      </c>
      <c r="H1222" t="s">
        <v>1111</v>
      </c>
      <c r="I1222" t="s">
        <v>1074</v>
      </c>
      <c r="J1222" s="13">
        <v>55833</v>
      </c>
      <c r="K1222">
        <v>2</v>
      </c>
      <c r="L1222" t="s">
        <v>1064</v>
      </c>
      <c r="M1222" t="s">
        <v>1075</v>
      </c>
      <c r="N1222" s="15" t="s">
        <v>6878</v>
      </c>
    </row>
    <row r="1223" spans="1:14" x14ac:dyDescent="0.2">
      <c r="A1223" t="s">
        <v>2300</v>
      </c>
      <c r="B1223" t="s">
        <v>1062</v>
      </c>
      <c r="C1223" s="9">
        <v>45087</v>
      </c>
      <c r="D1223" t="s">
        <v>958</v>
      </c>
      <c r="E1223" s="13">
        <v>8000000</v>
      </c>
      <c r="F1223" s="13">
        <v>159840</v>
      </c>
      <c r="G1223" s="9">
        <v>45087</v>
      </c>
      <c r="H1223" t="s">
        <v>1111</v>
      </c>
      <c r="I1223" t="s">
        <v>1074</v>
      </c>
      <c r="J1223" s="13">
        <v>177600</v>
      </c>
      <c r="K1223">
        <v>8</v>
      </c>
      <c r="L1223" t="s">
        <v>1064</v>
      </c>
      <c r="M1223" t="s">
        <v>1075</v>
      </c>
      <c r="N1223" s="15" t="s">
        <v>6878</v>
      </c>
    </row>
    <row r="1224" spans="1:14" x14ac:dyDescent="0.2">
      <c r="A1224" t="s">
        <v>2301</v>
      </c>
      <c r="B1224" t="s">
        <v>1062</v>
      </c>
      <c r="C1224" s="9">
        <v>45087</v>
      </c>
      <c r="D1224" t="s">
        <v>958</v>
      </c>
      <c r="E1224" s="13">
        <v>10000000</v>
      </c>
      <c r="F1224" s="13">
        <v>199800</v>
      </c>
      <c r="G1224" s="9">
        <v>45087</v>
      </c>
      <c r="H1224" t="s">
        <v>1111</v>
      </c>
      <c r="I1224" t="s">
        <v>1074</v>
      </c>
      <c r="J1224" s="13">
        <v>222000</v>
      </c>
      <c r="K1224">
        <v>10</v>
      </c>
      <c r="L1224" t="s">
        <v>1064</v>
      </c>
      <c r="M1224" t="s">
        <v>1075</v>
      </c>
      <c r="N1224" s="15" t="s">
        <v>6878</v>
      </c>
    </row>
    <row r="1225" spans="1:14" x14ac:dyDescent="0.2">
      <c r="A1225" t="s">
        <v>2302</v>
      </c>
      <c r="B1225" t="s">
        <v>1062</v>
      </c>
      <c r="C1225" s="9">
        <v>45087</v>
      </c>
      <c r="D1225" t="s">
        <v>958</v>
      </c>
      <c r="E1225" s="13">
        <v>4000000</v>
      </c>
      <c r="F1225" s="13">
        <v>79920</v>
      </c>
      <c r="G1225" s="9">
        <v>45087</v>
      </c>
      <c r="H1225" t="s">
        <v>1111</v>
      </c>
      <c r="I1225" t="s">
        <v>1074</v>
      </c>
      <c r="J1225" s="13">
        <v>88800</v>
      </c>
      <c r="K1225">
        <v>4</v>
      </c>
      <c r="L1225" t="s">
        <v>1064</v>
      </c>
      <c r="M1225" t="s">
        <v>1075</v>
      </c>
      <c r="N1225" s="15" t="s">
        <v>6878</v>
      </c>
    </row>
    <row r="1226" spans="1:14" x14ac:dyDescent="0.2">
      <c r="A1226" t="s">
        <v>2303</v>
      </c>
      <c r="B1226" t="s">
        <v>1062</v>
      </c>
      <c r="C1226" s="9">
        <v>45087</v>
      </c>
      <c r="D1226" t="s">
        <v>958</v>
      </c>
      <c r="E1226" s="13">
        <v>7620000</v>
      </c>
      <c r="F1226" s="13">
        <v>119880</v>
      </c>
      <c r="G1226" s="9">
        <v>45087</v>
      </c>
      <c r="H1226" t="s">
        <v>1111</v>
      </c>
      <c r="I1226" t="s">
        <v>1074</v>
      </c>
      <c r="J1226" s="13">
        <v>169164</v>
      </c>
      <c r="K1226">
        <v>6</v>
      </c>
      <c r="L1226" t="s">
        <v>1064</v>
      </c>
      <c r="M1226" t="s">
        <v>1075</v>
      </c>
      <c r="N1226" s="15" t="s">
        <v>6878</v>
      </c>
    </row>
    <row r="1227" spans="1:14" x14ac:dyDescent="0.2">
      <c r="A1227" t="s">
        <v>2304</v>
      </c>
      <c r="B1227" t="s">
        <v>1062</v>
      </c>
      <c r="C1227" s="9">
        <v>45087</v>
      </c>
      <c r="D1227" t="s">
        <v>958</v>
      </c>
      <c r="E1227" s="13">
        <v>2000000</v>
      </c>
      <c r="F1227" s="13">
        <v>39960</v>
      </c>
      <c r="G1227" s="9">
        <v>45087</v>
      </c>
      <c r="H1227" t="s">
        <v>1111</v>
      </c>
      <c r="I1227" t="s">
        <v>1074</v>
      </c>
      <c r="J1227" s="13">
        <v>44400</v>
      </c>
      <c r="K1227">
        <v>2</v>
      </c>
      <c r="L1227" t="s">
        <v>1064</v>
      </c>
      <c r="M1227" t="s">
        <v>1075</v>
      </c>
      <c r="N1227" s="15" t="s">
        <v>6878</v>
      </c>
    </row>
    <row r="1228" spans="1:14" x14ac:dyDescent="0.2">
      <c r="A1228" t="s">
        <v>2305</v>
      </c>
      <c r="B1228" t="s">
        <v>1062</v>
      </c>
      <c r="C1228" s="9">
        <v>45087</v>
      </c>
      <c r="D1228" t="s">
        <v>958</v>
      </c>
      <c r="E1228" s="13">
        <v>2610000</v>
      </c>
      <c r="F1228" s="13">
        <v>39960</v>
      </c>
      <c r="G1228" s="9">
        <v>45087</v>
      </c>
      <c r="H1228" t="s">
        <v>1111</v>
      </c>
      <c r="I1228" t="s">
        <v>1074</v>
      </c>
      <c r="J1228" s="13">
        <v>57942</v>
      </c>
      <c r="K1228">
        <v>2</v>
      </c>
      <c r="L1228" t="s">
        <v>1064</v>
      </c>
      <c r="M1228" t="s">
        <v>1075</v>
      </c>
      <c r="N1228" s="15" t="s">
        <v>6878</v>
      </c>
    </row>
    <row r="1229" spans="1:14" x14ac:dyDescent="0.2">
      <c r="A1229" t="s">
        <v>2306</v>
      </c>
      <c r="B1229" t="s">
        <v>1062</v>
      </c>
      <c r="C1229" s="9">
        <v>45087</v>
      </c>
      <c r="D1229" t="s">
        <v>958</v>
      </c>
      <c r="E1229" s="13">
        <v>5675000</v>
      </c>
      <c r="F1229" s="13">
        <v>99900</v>
      </c>
      <c r="G1229" s="9">
        <v>45087</v>
      </c>
      <c r="H1229" t="s">
        <v>1111</v>
      </c>
      <c r="I1229" t="s">
        <v>1074</v>
      </c>
      <c r="J1229" s="13">
        <v>125985</v>
      </c>
      <c r="K1229">
        <v>5</v>
      </c>
      <c r="L1229" t="s">
        <v>1064</v>
      </c>
      <c r="M1229" t="s">
        <v>1075</v>
      </c>
      <c r="N1229" s="15" t="s">
        <v>6878</v>
      </c>
    </row>
    <row r="1230" spans="1:14" x14ac:dyDescent="0.2">
      <c r="A1230" t="s">
        <v>2307</v>
      </c>
      <c r="B1230" t="s">
        <v>1062</v>
      </c>
      <c r="C1230" s="9">
        <v>45087</v>
      </c>
      <c r="D1230" t="s">
        <v>958</v>
      </c>
      <c r="E1230" s="13">
        <v>11350000</v>
      </c>
      <c r="F1230" s="13">
        <v>199800</v>
      </c>
      <c r="G1230" s="9">
        <v>45087</v>
      </c>
      <c r="H1230" t="s">
        <v>1111</v>
      </c>
      <c r="I1230" t="s">
        <v>1074</v>
      </c>
      <c r="J1230" s="13">
        <v>251970</v>
      </c>
      <c r="K1230">
        <v>10</v>
      </c>
      <c r="L1230" t="s">
        <v>1064</v>
      </c>
      <c r="M1230" t="s">
        <v>1075</v>
      </c>
      <c r="N1230" s="15" t="s">
        <v>6878</v>
      </c>
    </row>
    <row r="1231" spans="1:14" x14ac:dyDescent="0.2">
      <c r="A1231" t="s">
        <v>2308</v>
      </c>
      <c r="B1231" t="s">
        <v>1062</v>
      </c>
      <c r="C1231" s="9">
        <v>45087</v>
      </c>
      <c r="D1231" t="s">
        <v>958</v>
      </c>
      <c r="E1231" s="13">
        <v>5675000</v>
      </c>
      <c r="F1231" s="13">
        <v>99900</v>
      </c>
      <c r="G1231" s="9">
        <v>45087</v>
      </c>
      <c r="H1231" t="s">
        <v>1111</v>
      </c>
      <c r="I1231" t="s">
        <v>1074</v>
      </c>
      <c r="J1231" s="13">
        <v>125985</v>
      </c>
      <c r="K1231">
        <v>5</v>
      </c>
      <c r="L1231" t="s">
        <v>1064</v>
      </c>
      <c r="M1231" t="s">
        <v>1075</v>
      </c>
      <c r="N1231" s="15" t="s">
        <v>6878</v>
      </c>
    </row>
    <row r="1232" spans="1:14" x14ac:dyDescent="0.2">
      <c r="A1232" t="s">
        <v>2309</v>
      </c>
      <c r="B1232" t="s">
        <v>1069</v>
      </c>
      <c r="C1232" s="9">
        <v>45087</v>
      </c>
      <c r="D1232" t="s">
        <v>958</v>
      </c>
      <c r="E1232" s="13">
        <v>3234646</v>
      </c>
      <c r="F1232" s="13">
        <v>19980</v>
      </c>
      <c r="G1232" s="9">
        <v>45087</v>
      </c>
      <c r="H1232" t="s">
        <v>1111</v>
      </c>
      <c r="I1232" t="s">
        <v>1074</v>
      </c>
      <c r="J1232" s="13">
        <v>71808</v>
      </c>
      <c r="K1232">
        <v>1</v>
      </c>
      <c r="L1232" t="s">
        <v>1064</v>
      </c>
      <c r="M1232" t="s">
        <v>1075</v>
      </c>
      <c r="N1232" s="15" t="s">
        <v>6878</v>
      </c>
    </row>
    <row r="1233" spans="1:14" x14ac:dyDescent="0.2">
      <c r="A1233" t="s">
        <v>2310</v>
      </c>
      <c r="B1233" t="s">
        <v>1069</v>
      </c>
      <c r="C1233" s="9">
        <v>45087</v>
      </c>
      <c r="D1233" t="s">
        <v>958</v>
      </c>
      <c r="E1233" s="13">
        <v>2445750</v>
      </c>
      <c r="F1233" s="13">
        <v>19980</v>
      </c>
      <c r="G1233" s="9">
        <v>45087</v>
      </c>
      <c r="H1233" t="s">
        <v>1111</v>
      </c>
      <c r="I1233" t="s">
        <v>1074</v>
      </c>
      <c r="J1233" s="13">
        <v>54295</v>
      </c>
      <c r="K1233">
        <v>1</v>
      </c>
      <c r="L1233" t="s">
        <v>1064</v>
      </c>
      <c r="M1233" t="s">
        <v>1075</v>
      </c>
      <c r="N1233" s="15" t="s">
        <v>6878</v>
      </c>
    </row>
    <row r="1234" spans="1:14" x14ac:dyDescent="0.2">
      <c r="A1234" t="s">
        <v>2311</v>
      </c>
      <c r="B1234" t="s">
        <v>1069</v>
      </c>
      <c r="C1234" s="9">
        <v>45087</v>
      </c>
      <c r="D1234" t="s">
        <v>958</v>
      </c>
      <c r="E1234" s="13">
        <v>3400000</v>
      </c>
      <c r="F1234" s="13">
        <v>39960</v>
      </c>
      <c r="G1234" s="9">
        <v>45087</v>
      </c>
      <c r="H1234" t="s">
        <v>1111</v>
      </c>
      <c r="I1234" t="s">
        <v>1074</v>
      </c>
      <c r="J1234" s="13">
        <v>75480</v>
      </c>
      <c r="K1234">
        <v>2</v>
      </c>
      <c r="L1234" t="s">
        <v>1064</v>
      </c>
      <c r="M1234" t="s">
        <v>1075</v>
      </c>
      <c r="N1234" s="15" t="s">
        <v>6878</v>
      </c>
    </row>
    <row r="1235" spans="1:14" x14ac:dyDescent="0.2">
      <c r="A1235" t="s">
        <v>2312</v>
      </c>
      <c r="B1235" t="s">
        <v>1069</v>
      </c>
      <c r="C1235" s="9">
        <v>45087</v>
      </c>
      <c r="D1235" t="s">
        <v>958</v>
      </c>
      <c r="E1235" s="13">
        <v>1700000</v>
      </c>
      <c r="F1235" s="13">
        <v>19980</v>
      </c>
      <c r="G1235" s="9">
        <v>45087</v>
      </c>
      <c r="H1235" t="s">
        <v>1111</v>
      </c>
      <c r="I1235" t="s">
        <v>1074</v>
      </c>
      <c r="J1235" s="13">
        <v>37740</v>
      </c>
      <c r="K1235">
        <v>1</v>
      </c>
      <c r="L1235" t="s">
        <v>1064</v>
      </c>
      <c r="M1235" t="s">
        <v>1075</v>
      </c>
      <c r="N1235" s="15" t="s">
        <v>6878</v>
      </c>
    </row>
    <row r="1236" spans="1:14" x14ac:dyDescent="0.2">
      <c r="A1236" t="s">
        <v>2313</v>
      </c>
      <c r="B1236" t="s">
        <v>1069</v>
      </c>
      <c r="C1236" s="9">
        <v>45087</v>
      </c>
      <c r="D1236" t="s">
        <v>958</v>
      </c>
      <c r="E1236" s="13">
        <v>5256572</v>
      </c>
      <c r="F1236" s="13">
        <v>39960</v>
      </c>
      <c r="G1236" s="9">
        <v>45087</v>
      </c>
      <c r="H1236" t="s">
        <v>1111</v>
      </c>
      <c r="I1236" t="s">
        <v>1074</v>
      </c>
      <c r="J1236" s="13">
        <v>116695</v>
      </c>
      <c r="K1236">
        <v>2</v>
      </c>
      <c r="L1236" t="s">
        <v>1064</v>
      </c>
      <c r="M1236" t="s">
        <v>1075</v>
      </c>
      <c r="N1236" s="15" t="s">
        <v>6878</v>
      </c>
    </row>
    <row r="1237" spans="1:14" x14ac:dyDescent="0.2">
      <c r="A1237" t="s">
        <v>2314</v>
      </c>
      <c r="B1237" t="s">
        <v>1069</v>
      </c>
      <c r="C1237" s="9">
        <v>45087</v>
      </c>
      <c r="D1237" t="s">
        <v>958</v>
      </c>
      <c r="E1237" s="13">
        <v>5220400</v>
      </c>
      <c r="F1237" s="13">
        <v>39960</v>
      </c>
      <c r="G1237" s="9">
        <v>45087</v>
      </c>
      <c r="H1237" t="s">
        <v>1111</v>
      </c>
      <c r="I1237" t="s">
        <v>1074</v>
      </c>
      <c r="J1237" s="13">
        <v>115892</v>
      </c>
      <c r="K1237">
        <v>2</v>
      </c>
      <c r="L1237" t="s">
        <v>1064</v>
      </c>
      <c r="M1237" t="s">
        <v>1075</v>
      </c>
      <c r="N1237" s="15" t="s">
        <v>6878</v>
      </c>
    </row>
    <row r="1238" spans="1:14" x14ac:dyDescent="0.2">
      <c r="A1238" t="s">
        <v>2315</v>
      </c>
      <c r="B1238" t="s">
        <v>1069</v>
      </c>
      <c r="C1238" s="9">
        <v>45087</v>
      </c>
      <c r="D1238" t="s">
        <v>958</v>
      </c>
      <c r="E1238" s="13">
        <v>1900000</v>
      </c>
      <c r="F1238" s="13">
        <v>19980</v>
      </c>
      <c r="G1238" s="9">
        <v>45087</v>
      </c>
      <c r="H1238" t="s">
        <v>1111</v>
      </c>
      <c r="I1238" t="s">
        <v>1074</v>
      </c>
      <c r="J1238" s="13">
        <v>42180</v>
      </c>
      <c r="K1238">
        <v>1</v>
      </c>
      <c r="L1238" t="s">
        <v>1064</v>
      </c>
      <c r="M1238" t="s">
        <v>1075</v>
      </c>
      <c r="N1238" s="15" t="s">
        <v>6878</v>
      </c>
    </row>
    <row r="1239" spans="1:14" x14ac:dyDescent="0.2">
      <c r="A1239" t="s">
        <v>2316</v>
      </c>
      <c r="B1239" t="s">
        <v>1069</v>
      </c>
      <c r="C1239" s="9">
        <v>45087</v>
      </c>
      <c r="D1239" t="s">
        <v>958</v>
      </c>
      <c r="E1239" s="13">
        <v>5700000</v>
      </c>
      <c r="F1239" s="13">
        <v>59940</v>
      </c>
      <c r="G1239" s="9">
        <v>45087</v>
      </c>
      <c r="H1239" t="s">
        <v>1111</v>
      </c>
      <c r="I1239" t="s">
        <v>1074</v>
      </c>
      <c r="J1239" s="13">
        <v>126540</v>
      </c>
      <c r="K1239">
        <v>3</v>
      </c>
      <c r="L1239" t="s">
        <v>1064</v>
      </c>
      <c r="M1239" t="s">
        <v>1075</v>
      </c>
      <c r="N1239" s="15" t="s">
        <v>6878</v>
      </c>
    </row>
    <row r="1240" spans="1:14" x14ac:dyDescent="0.2">
      <c r="A1240" t="s">
        <v>2317</v>
      </c>
      <c r="B1240" t="s">
        <v>1062</v>
      </c>
      <c r="C1240" s="9">
        <v>45087</v>
      </c>
      <c r="D1240" t="s">
        <v>958</v>
      </c>
      <c r="E1240" s="13">
        <v>4500000</v>
      </c>
      <c r="F1240" s="13">
        <v>199800</v>
      </c>
      <c r="G1240" s="9">
        <v>45087</v>
      </c>
      <c r="H1240" t="s">
        <v>1111</v>
      </c>
      <c r="I1240" t="s">
        <v>1074</v>
      </c>
      <c r="J1240" s="13">
        <v>99900</v>
      </c>
      <c r="K1240">
        <v>10</v>
      </c>
      <c r="L1240" t="s">
        <v>1064</v>
      </c>
      <c r="M1240" t="s">
        <v>1075</v>
      </c>
      <c r="N1240" s="15" t="s">
        <v>6878</v>
      </c>
    </row>
    <row r="1241" spans="1:14" x14ac:dyDescent="0.2">
      <c r="A1241" t="s">
        <v>2318</v>
      </c>
      <c r="B1241" t="s">
        <v>1062</v>
      </c>
      <c r="C1241" s="9">
        <v>45087</v>
      </c>
      <c r="D1241" t="s">
        <v>958</v>
      </c>
      <c r="E1241" s="13">
        <v>3000000</v>
      </c>
      <c r="F1241" s="13">
        <v>59940</v>
      </c>
      <c r="G1241" s="9">
        <v>45087</v>
      </c>
      <c r="H1241" t="s">
        <v>1111</v>
      </c>
      <c r="I1241" t="s">
        <v>1074</v>
      </c>
      <c r="J1241" s="13">
        <v>66600</v>
      </c>
      <c r="K1241">
        <v>3</v>
      </c>
      <c r="L1241" t="s">
        <v>1064</v>
      </c>
      <c r="M1241" t="s">
        <v>1075</v>
      </c>
      <c r="N1241" s="15" t="s">
        <v>6878</v>
      </c>
    </row>
    <row r="1242" spans="1:14" x14ac:dyDescent="0.2">
      <c r="A1242" t="s">
        <v>2319</v>
      </c>
      <c r="B1242" t="s">
        <v>1062</v>
      </c>
      <c r="C1242" s="9">
        <v>45087</v>
      </c>
      <c r="D1242" t="s">
        <v>958</v>
      </c>
      <c r="E1242" s="13">
        <v>7000000</v>
      </c>
      <c r="F1242" s="13">
        <v>139860</v>
      </c>
      <c r="G1242" s="9">
        <v>45087</v>
      </c>
      <c r="H1242" t="s">
        <v>1111</v>
      </c>
      <c r="I1242" t="s">
        <v>1074</v>
      </c>
      <c r="J1242" s="13">
        <v>155400</v>
      </c>
      <c r="K1242">
        <v>7</v>
      </c>
      <c r="L1242" t="s">
        <v>1064</v>
      </c>
      <c r="M1242" t="s">
        <v>1075</v>
      </c>
      <c r="N1242" s="15" t="s">
        <v>6878</v>
      </c>
    </row>
    <row r="1243" spans="1:14" x14ac:dyDescent="0.2">
      <c r="A1243" t="s">
        <v>2320</v>
      </c>
      <c r="B1243" t="s">
        <v>1062</v>
      </c>
      <c r="C1243" s="9">
        <v>45087</v>
      </c>
      <c r="D1243" t="s">
        <v>958</v>
      </c>
      <c r="E1243" s="13">
        <v>3840000</v>
      </c>
      <c r="F1243" s="13">
        <v>39960</v>
      </c>
      <c r="G1243" s="9">
        <v>45087</v>
      </c>
      <c r="H1243" t="s">
        <v>1111</v>
      </c>
      <c r="I1243" t="s">
        <v>1074</v>
      </c>
      <c r="J1243" s="13">
        <v>85248</v>
      </c>
      <c r="K1243">
        <v>2</v>
      </c>
      <c r="L1243" t="s">
        <v>1064</v>
      </c>
      <c r="M1243" t="s">
        <v>1075</v>
      </c>
      <c r="N1243" s="15" t="s">
        <v>6878</v>
      </c>
    </row>
    <row r="1244" spans="1:14" x14ac:dyDescent="0.2">
      <c r="A1244" t="s">
        <v>2321</v>
      </c>
      <c r="B1244" t="s">
        <v>1062</v>
      </c>
      <c r="C1244" s="9">
        <v>45087</v>
      </c>
      <c r="D1244" t="s">
        <v>958</v>
      </c>
      <c r="E1244" s="13">
        <v>15360000</v>
      </c>
      <c r="F1244" s="13">
        <v>159840</v>
      </c>
      <c r="G1244" s="9">
        <v>45087</v>
      </c>
      <c r="H1244" t="s">
        <v>1111</v>
      </c>
      <c r="I1244" t="s">
        <v>1074</v>
      </c>
      <c r="J1244" s="13">
        <v>340992</v>
      </c>
      <c r="K1244">
        <v>8</v>
      </c>
      <c r="L1244" t="s">
        <v>1064</v>
      </c>
      <c r="M1244" t="s">
        <v>1075</v>
      </c>
      <c r="N1244" s="15" t="s">
        <v>6878</v>
      </c>
    </row>
    <row r="1245" spans="1:14" x14ac:dyDescent="0.2">
      <c r="A1245" t="s">
        <v>2322</v>
      </c>
      <c r="B1245" t="s">
        <v>1062</v>
      </c>
      <c r="C1245" s="9">
        <v>45087</v>
      </c>
      <c r="D1245" t="s">
        <v>958</v>
      </c>
      <c r="E1245" s="13">
        <v>4500000</v>
      </c>
      <c r="F1245" s="13">
        <v>199800</v>
      </c>
      <c r="G1245" s="9">
        <v>45087</v>
      </c>
      <c r="H1245" t="s">
        <v>1111</v>
      </c>
      <c r="I1245" t="s">
        <v>1074</v>
      </c>
      <c r="J1245" s="13">
        <v>99900</v>
      </c>
      <c r="K1245">
        <v>10</v>
      </c>
      <c r="L1245" t="s">
        <v>1064</v>
      </c>
      <c r="M1245" t="s">
        <v>1075</v>
      </c>
      <c r="N1245" s="15" t="s">
        <v>6878</v>
      </c>
    </row>
    <row r="1246" spans="1:14" x14ac:dyDescent="0.2">
      <c r="A1246" t="s">
        <v>2323</v>
      </c>
      <c r="B1246" t="s">
        <v>1062</v>
      </c>
      <c r="C1246" s="9">
        <v>45087</v>
      </c>
      <c r="D1246" t="s">
        <v>958</v>
      </c>
      <c r="E1246" s="13">
        <v>4500000</v>
      </c>
      <c r="F1246" s="13">
        <v>199800</v>
      </c>
      <c r="G1246" s="9">
        <v>45087</v>
      </c>
      <c r="H1246" t="s">
        <v>1111</v>
      </c>
      <c r="I1246" t="s">
        <v>1074</v>
      </c>
      <c r="J1246" s="13">
        <v>99900</v>
      </c>
      <c r="K1246">
        <v>10</v>
      </c>
      <c r="L1246" t="s">
        <v>1064</v>
      </c>
      <c r="M1246" t="s">
        <v>1075</v>
      </c>
      <c r="N1246" s="15" t="s">
        <v>6878</v>
      </c>
    </row>
    <row r="1247" spans="1:14" x14ac:dyDescent="0.2">
      <c r="A1247" t="s">
        <v>2324</v>
      </c>
      <c r="B1247" t="s">
        <v>1062</v>
      </c>
      <c r="C1247" s="9">
        <v>45087</v>
      </c>
      <c r="D1247" t="s">
        <v>958</v>
      </c>
      <c r="E1247" s="13">
        <v>4500000</v>
      </c>
      <c r="F1247" s="13">
        <v>199800</v>
      </c>
      <c r="G1247" s="9">
        <v>45087</v>
      </c>
      <c r="H1247" t="s">
        <v>1111</v>
      </c>
      <c r="I1247" t="s">
        <v>1074</v>
      </c>
      <c r="J1247" s="13">
        <v>99900</v>
      </c>
      <c r="K1247">
        <v>10</v>
      </c>
      <c r="L1247" t="s">
        <v>1064</v>
      </c>
      <c r="M1247" t="s">
        <v>1075</v>
      </c>
      <c r="N1247" s="15" t="s">
        <v>6878</v>
      </c>
    </row>
    <row r="1248" spans="1:14" x14ac:dyDescent="0.2">
      <c r="A1248" t="s">
        <v>2325</v>
      </c>
      <c r="B1248" t="s">
        <v>1062</v>
      </c>
      <c r="C1248" s="9">
        <v>45087</v>
      </c>
      <c r="D1248" t="s">
        <v>958</v>
      </c>
      <c r="E1248" s="13">
        <v>900000</v>
      </c>
      <c r="F1248" s="13">
        <v>39960</v>
      </c>
      <c r="G1248" s="9">
        <v>45087</v>
      </c>
      <c r="H1248" t="s">
        <v>1111</v>
      </c>
      <c r="I1248" t="s">
        <v>1074</v>
      </c>
      <c r="J1248" s="13">
        <v>19980</v>
      </c>
      <c r="K1248">
        <v>2</v>
      </c>
      <c r="L1248" t="s">
        <v>1064</v>
      </c>
      <c r="M1248" t="s">
        <v>1075</v>
      </c>
      <c r="N1248" s="15" t="s">
        <v>6878</v>
      </c>
    </row>
    <row r="1249" spans="1:14" x14ac:dyDescent="0.2">
      <c r="A1249" t="s">
        <v>2326</v>
      </c>
      <c r="B1249" t="s">
        <v>1062</v>
      </c>
      <c r="C1249" s="9">
        <v>45087</v>
      </c>
      <c r="D1249" t="s">
        <v>958</v>
      </c>
      <c r="E1249" s="13">
        <v>5000000</v>
      </c>
      <c r="F1249" s="13">
        <v>99900</v>
      </c>
      <c r="G1249" s="9">
        <v>45087</v>
      </c>
      <c r="H1249" t="s">
        <v>1111</v>
      </c>
      <c r="I1249" t="s">
        <v>1074</v>
      </c>
      <c r="J1249" s="13">
        <v>111000</v>
      </c>
      <c r="K1249">
        <v>5</v>
      </c>
      <c r="L1249" t="s">
        <v>1064</v>
      </c>
      <c r="M1249" t="s">
        <v>1075</v>
      </c>
      <c r="N1249" s="15" t="s">
        <v>6878</v>
      </c>
    </row>
    <row r="1250" spans="1:14" x14ac:dyDescent="0.2">
      <c r="A1250" t="s">
        <v>2327</v>
      </c>
      <c r="B1250" t="s">
        <v>1062</v>
      </c>
      <c r="C1250" s="9">
        <v>45087</v>
      </c>
      <c r="D1250" t="s">
        <v>958</v>
      </c>
      <c r="E1250" s="13">
        <v>2175000</v>
      </c>
      <c r="F1250" s="13">
        <v>59940</v>
      </c>
      <c r="G1250" s="9">
        <v>45088</v>
      </c>
      <c r="H1250" t="s">
        <v>1111</v>
      </c>
      <c r="I1250" t="s">
        <v>1074</v>
      </c>
      <c r="J1250" s="13">
        <v>48285</v>
      </c>
      <c r="K1250">
        <v>3</v>
      </c>
      <c r="L1250" t="s">
        <v>1064</v>
      </c>
      <c r="M1250" t="s">
        <v>1075</v>
      </c>
      <c r="N1250" s="15" t="s">
        <v>6878</v>
      </c>
    </row>
    <row r="1251" spans="1:14" x14ac:dyDescent="0.2">
      <c r="A1251" t="s">
        <v>2328</v>
      </c>
      <c r="B1251" t="s">
        <v>1062</v>
      </c>
      <c r="C1251" s="9">
        <v>45087</v>
      </c>
      <c r="D1251" t="s">
        <v>958</v>
      </c>
      <c r="E1251" s="13">
        <v>5075000</v>
      </c>
      <c r="F1251" s="13">
        <v>139860</v>
      </c>
      <c r="G1251" s="9">
        <v>45088</v>
      </c>
      <c r="H1251" t="s">
        <v>1111</v>
      </c>
      <c r="I1251" t="s">
        <v>1074</v>
      </c>
      <c r="J1251" s="13">
        <v>112665</v>
      </c>
      <c r="K1251">
        <v>7</v>
      </c>
      <c r="L1251" t="s">
        <v>1064</v>
      </c>
      <c r="M1251" t="s">
        <v>1075</v>
      </c>
      <c r="N1251" s="15" t="s">
        <v>6878</v>
      </c>
    </row>
    <row r="1252" spans="1:14" x14ac:dyDescent="0.2">
      <c r="A1252" t="s">
        <v>2329</v>
      </c>
      <c r="B1252" t="s">
        <v>1062</v>
      </c>
      <c r="C1252" s="9">
        <v>45087</v>
      </c>
      <c r="D1252" t="s">
        <v>958</v>
      </c>
      <c r="E1252" s="13">
        <v>5185450</v>
      </c>
      <c r="F1252" s="13">
        <v>59940</v>
      </c>
      <c r="G1252" s="9">
        <v>45088</v>
      </c>
      <c r="H1252" t="s">
        <v>1111</v>
      </c>
      <c r="I1252" t="s">
        <v>1074</v>
      </c>
      <c r="J1252" s="13">
        <v>115116</v>
      </c>
      <c r="K1252">
        <v>3</v>
      </c>
      <c r="L1252" t="s">
        <v>1064</v>
      </c>
      <c r="M1252" t="s">
        <v>1075</v>
      </c>
      <c r="N1252" s="15" t="s">
        <v>6878</v>
      </c>
    </row>
    <row r="1253" spans="1:14" x14ac:dyDescent="0.2">
      <c r="A1253" t="s">
        <v>2330</v>
      </c>
      <c r="B1253" t="s">
        <v>1069</v>
      </c>
      <c r="C1253" s="9">
        <v>45087</v>
      </c>
      <c r="D1253" t="s">
        <v>958</v>
      </c>
      <c r="E1253" s="13">
        <v>4838000</v>
      </c>
      <c r="F1253" s="13">
        <v>39960</v>
      </c>
      <c r="G1253" s="9">
        <v>45088</v>
      </c>
      <c r="H1253" t="s">
        <v>1111</v>
      </c>
      <c r="I1253" t="s">
        <v>1074</v>
      </c>
      <c r="J1253" s="13">
        <v>107403</v>
      </c>
      <c r="K1253">
        <v>2</v>
      </c>
      <c r="L1253" t="s">
        <v>1064</v>
      </c>
      <c r="M1253" t="s">
        <v>1075</v>
      </c>
      <c r="N1253" s="15" t="s">
        <v>6878</v>
      </c>
    </row>
    <row r="1254" spans="1:14" x14ac:dyDescent="0.2">
      <c r="A1254" t="s">
        <v>2331</v>
      </c>
      <c r="B1254" t="s">
        <v>1069</v>
      </c>
      <c r="C1254" s="9">
        <v>45087</v>
      </c>
      <c r="D1254" t="s">
        <v>958</v>
      </c>
      <c r="E1254" s="13">
        <v>7257000</v>
      </c>
      <c r="F1254" s="13">
        <v>59940</v>
      </c>
      <c r="G1254" s="9">
        <v>45088</v>
      </c>
      <c r="H1254" t="s">
        <v>1111</v>
      </c>
      <c r="I1254" t="s">
        <v>1074</v>
      </c>
      <c r="J1254" s="13">
        <v>161105</v>
      </c>
      <c r="K1254">
        <v>3</v>
      </c>
      <c r="L1254" t="s">
        <v>1064</v>
      </c>
      <c r="M1254" t="s">
        <v>1075</v>
      </c>
      <c r="N1254" s="15" t="s">
        <v>6878</v>
      </c>
    </row>
    <row r="1255" spans="1:14" x14ac:dyDescent="0.2">
      <c r="A1255" t="s">
        <v>2332</v>
      </c>
      <c r="B1255" t="s">
        <v>1062</v>
      </c>
      <c r="C1255" s="9">
        <v>45087</v>
      </c>
      <c r="D1255" t="s">
        <v>958</v>
      </c>
      <c r="E1255" s="13">
        <v>1000000</v>
      </c>
      <c r="F1255" s="13">
        <v>79920</v>
      </c>
      <c r="G1255" s="9">
        <v>45088</v>
      </c>
      <c r="H1255" t="s">
        <v>1111</v>
      </c>
      <c r="I1255" t="s">
        <v>1074</v>
      </c>
      <c r="J1255" s="13">
        <v>22200</v>
      </c>
      <c r="K1255">
        <v>4</v>
      </c>
      <c r="L1255" t="s">
        <v>1064</v>
      </c>
      <c r="M1255" t="s">
        <v>1075</v>
      </c>
      <c r="N1255" s="15" t="s">
        <v>6878</v>
      </c>
    </row>
    <row r="1256" spans="1:14" x14ac:dyDescent="0.2">
      <c r="A1256" t="s">
        <v>2333</v>
      </c>
      <c r="B1256" t="s">
        <v>1069</v>
      </c>
      <c r="C1256" s="9">
        <v>45087</v>
      </c>
      <c r="D1256" t="s">
        <v>958</v>
      </c>
      <c r="E1256" s="13">
        <v>3753000</v>
      </c>
      <c r="F1256" s="13">
        <v>39960</v>
      </c>
      <c r="G1256" s="9">
        <v>45088</v>
      </c>
      <c r="H1256" t="s">
        <v>1111</v>
      </c>
      <c r="I1256" t="s">
        <v>1074</v>
      </c>
      <c r="J1256" s="13">
        <v>83316</v>
      </c>
      <c r="K1256">
        <v>2</v>
      </c>
      <c r="L1256" t="s">
        <v>1064</v>
      </c>
      <c r="M1256" t="s">
        <v>1075</v>
      </c>
      <c r="N1256" s="15" t="s">
        <v>6878</v>
      </c>
    </row>
    <row r="1257" spans="1:14" x14ac:dyDescent="0.2">
      <c r="A1257" t="s">
        <v>2334</v>
      </c>
      <c r="B1257" t="s">
        <v>1062</v>
      </c>
      <c r="C1257" s="9">
        <v>45087</v>
      </c>
      <c r="D1257" t="s">
        <v>958</v>
      </c>
      <c r="E1257" s="13">
        <v>1200000</v>
      </c>
      <c r="F1257" s="13">
        <v>19980</v>
      </c>
      <c r="G1257" s="9">
        <v>45088</v>
      </c>
      <c r="H1257" t="s">
        <v>1111</v>
      </c>
      <c r="I1257" t="s">
        <v>1074</v>
      </c>
      <c r="J1257" s="13">
        <v>26640</v>
      </c>
      <c r="K1257">
        <v>1</v>
      </c>
      <c r="L1257" t="s">
        <v>1064</v>
      </c>
      <c r="M1257" t="s">
        <v>1075</v>
      </c>
      <c r="N1257" s="15" t="s">
        <v>6878</v>
      </c>
    </row>
    <row r="1258" spans="1:14" x14ac:dyDescent="0.2">
      <c r="A1258" t="s">
        <v>2335</v>
      </c>
      <c r="B1258" t="s">
        <v>1062</v>
      </c>
      <c r="C1258" s="9">
        <v>45087</v>
      </c>
      <c r="D1258" t="s">
        <v>958</v>
      </c>
      <c r="E1258" s="13">
        <v>8000000</v>
      </c>
      <c r="F1258" s="13">
        <v>159840</v>
      </c>
      <c r="G1258" s="9">
        <v>45088</v>
      </c>
      <c r="H1258" t="s">
        <v>1111</v>
      </c>
      <c r="I1258" t="s">
        <v>1074</v>
      </c>
      <c r="J1258" s="13">
        <v>177600</v>
      </c>
      <c r="K1258">
        <v>8</v>
      </c>
      <c r="L1258" t="s">
        <v>1064</v>
      </c>
      <c r="M1258" t="s">
        <v>1075</v>
      </c>
      <c r="N1258" s="15" t="s">
        <v>6878</v>
      </c>
    </row>
    <row r="1259" spans="1:14" x14ac:dyDescent="0.2">
      <c r="A1259" t="s">
        <v>2336</v>
      </c>
      <c r="B1259" t="s">
        <v>1062</v>
      </c>
      <c r="C1259" s="9">
        <v>45087</v>
      </c>
      <c r="D1259" t="s">
        <v>958</v>
      </c>
      <c r="E1259" s="13">
        <v>966000</v>
      </c>
      <c r="F1259" s="13">
        <v>39960</v>
      </c>
      <c r="G1259" s="9">
        <v>45088</v>
      </c>
      <c r="H1259" t="s">
        <v>1111</v>
      </c>
      <c r="I1259" t="s">
        <v>1074</v>
      </c>
      <c r="J1259" s="13">
        <v>21445</v>
      </c>
      <c r="K1259">
        <v>2</v>
      </c>
      <c r="L1259" t="s">
        <v>1064</v>
      </c>
      <c r="M1259" t="s">
        <v>1075</v>
      </c>
      <c r="N1259" s="15" t="s">
        <v>6878</v>
      </c>
    </row>
    <row r="1260" spans="1:14" x14ac:dyDescent="0.2">
      <c r="A1260" t="s">
        <v>2337</v>
      </c>
      <c r="B1260" t="s">
        <v>1062</v>
      </c>
      <c r="C1260" s="9">
        <v>45087</v>
      </c>
      <c r="D1260" t="s">
        <v>958</v>
      </c>
      <c r="E1260" s="13">
        <v>4000000</v>
      </c>
      <c r="F1260" s="13">
        <v>79920</v>
      </c>
      <c r="G1260" s="9">
        <v>45088</v>
      </c>
      <c r="H1260" t="s">
        <v>1111</v>
      </c>
      <c r="I1260" t="s">
        <v>1074</v>
      </c>
      <c r="J1260" s="13">
        <v>88800</v>
      </c>
      <c r="K1260">
        <v>4</v>
      </c>
      <c r="L1260" t="s">
        <v>1064</v>
      </c>
      <c r="M1260" t="s">
        <v>1075</v>
      </c>
      <c r="N1260" s="15" t="s">
        <v>6878</v>
      </c>
    </row>
    <row r="1261" spans="1:14" x14ac:dyDescent="0.2">
      <c r="A1261" t="s">
        <v>2338</v>
      </c>
      <c r="B1261" t="s">
        <v>1062</v>
      </c>
      <c r="C1261" s="9">
        <v>45087</v>
      </c>
      <c r="D1261" t="s">
        <v>958</v>
      </c>
      <c r="E1261" s="13">
        <v>3625000</v>
      </c>
      <c r="F1261" s="13">
        <v>99900</v>
      </c>
      <c r="G1261" s="9">
        <v>45088</v>
      </c>
      <c r="H1261" t="s">
        <v>1111</v>
      </c>
      <c r="I1261" t="s">
        <v>1074</v>
      </c>
      <c r="J1261" s="13">
        <v>80475</v>
      </c>
      <c r="K1261">
        <v>5</v>
      </c>
      <c r="L1261" t="s">
        <v>1064</v>
      </c>
      <c r="M1261" t="s">
        <v>1075</v>
      </c>
      <c r="N1261" s="15" t="s">
        <v>6878</v>
      </c>
    </row>
    <row r="1262" spans="1:14" x14ac:dyDescent="0.2">
      <c r="A1262" t="s">
        <v>2339</v>
      </c>
      <c r="B1262" t="s">
        <v>1062</v>
      </c>
      <c r="C1262" s="9">
        <v>45087</v>
      </c>
      <c r="D1262" t="s">
        <v>958</v>
      </c>
      <c r="E1262" s="13">
        <v>1270000</v>
      </c>
      <c r="F1262" s="13">
        <v>19980</v>
      </c>
      <c r="G1262" s="9">
        <v>45088</v>
      </c>
      <c r="H1262" t="s">
        <v>1111</v>
      </c>
      <c r="I1262" t="s">
        <v>1074</v>
      </c>
      <c r="J1262" s="13">
        <v>28194</v>
      </c>
      <c r="K1262">
        <v>1</v>
      </c>
      <c r="L1262" t="s">
        <v>1064</v>
      </c>
      <c r="M1262" t="s">
        <v>1075</v>
      </c>
      <c r="N1262" s="15" t="s">
        <v>6878</v>
      </c>
    </row>
    <row r="1263" spans="1:14" x14ac:dyDescent="0.2">
      <c r="A1263" t="s">
        <v>2340</v>
      </c>
      <c r="B1263" t="s">
        <v>1062</v>
      </c>
      <c r="C1263" s="9">
        <v>45088</v>
      </c>
      <c r="D1263" t="s">
        <v>958</v>
      </c>
      <c r="E1263" s="13">
        <v>5000000</v>
      </c>
      <c r="F1263" s="13">
        <v>99900</v>
      </c>
      <c r="G1263" s="9">
        <v>45088</v>
      </c>
      <c r="H1263" t="s">
        <v>1111</v>
      </c>
      <c r="I1263" t="s">
        <v>1074</v>
      </c>
      <c r="J1263" s="13">
        <v>111000</v>
      </c>
      <c r="K1263">
        <v>5</v>
      </c>
      <c r="L1263" t="s">
        <v>1064</v>
      </c>
      <c r="M1263" t="s">
        <v>1075</v>
      </c>
      <c r="N1263" s="15" t="s">
        <v>6878</v>
      </c>
    </row>
    <row r="1264" spans="1:14" x14ac:dyDescent="0.2">
      <c r="A1264" t="s">
        <v>2341</v>
      </c>
      <c r="B1264" t="s">
        <v>1062</v>
      </c>
      <c r="C1264" s="9">
        <v>45088</v>
      </c>
      <c r="D1264" t="s">
        <v>958</v>
      </c>
      <c r="E1264" s="13">
        <v>5000000</v>
      </c>
      <c r="F1264" s="13">
        <v>99900</v>
      </c>
      <c r="G1264" s="9">
        <v>45088</v>
      </c>
      <c r="H1264" t="s">
        <v>1111</v>
      </c>
      <c r="I1264" t="s">
        <v>1074</v>
      </c>
      <c r="J1264" s="13">
        <v>111000</v>
      </c>
      <c r="K1264">
        <v>5</v>
      </c>
      <c r="L1264" t="s">
        <v>1064</v>
      </c>
      <c r="M1264" t="s">
        <v>1075</v>
      </c>
      <c r="N1264" s="15" t="s">
        <v>6878</v>
      </c>
    </row>
    <row r="1265" spans="1:14" x14ac:dyDescent="0.2">
      <c r="A1265" t="s">
        <v>2342</v>
      </c>
      <c r="B1265" t="s">
        <v>1062</v>
      </c>
      <c r="C1265" s="9">
        <v>45088</v>
      </c>
      <c r="D1265" t="s">
        <v>958</v>
      </c>
      <c r="E1265" s="13">
        <v>3625000</v>
      </c>
      <c r="F1265" s="13">
        <v>99900</v>
      </c>
      <c r="G1265" s="9">
        <v>45088</v>
      </c>
      <c r="H1265" t="s">
        <v>1111</v>
      </c>
      <c r="I1265" t="s">
        <v>1074</v>
      </c>
      <c r="J1265" s="13">
        <v>80475</v>
      </c>
      <c r="K1265">
        <v>5</v>
      </c>
      <c r="L1265" t="s">
        <v>1064</v>
      </c>
      <c r="M1265" t="s">
        <v>1075</v>
      </c>
      <c r="N1265" s="15" t="s">
        <v>6878</v>
      </c>
    </row>
    <row r="1266" spans="1:14" x14ac:dyDescent="0.2">
      <c r="A1266" t="s">
        <v>2343</v>
      </c>
      <c r="B1266" t="s">
        <v>1062</v>
      </c>
      <c r="C1266" s="9">
        <v>45088</v>
      </c>
      <c r="D1266" t="s">
        <v>958</v>
      </c>
      <c r="E1266" s="13">
        <v>5000000</v>
      </c>
      <c r="F1266" s="13">
        <v>99900</v>
      </c>
      <c r="G1266" s="9">
        <v>45088</v>
      </c>
      <c r="H1266" t="s">
        <v>1111</v>
      </c>
      <c r="I1266" t="s">
        <v>1074</v>
      </c>
      <c r="J1266" s="13">
        <v>111000</v>
      </c>
      <c r="K1266">
        <v>5</v>
      </c>
      <c r="L1266" t="s">
        <v>1064</v>
      </c>
      <c r="M1266" t="s">
        <v>1075</v>
      </c>
      <c r="N1266" s="15" t="s">
        <v>6878</v>
      </c>
    </row>
    <row r="1267" spans="1:14" x14ac:dyDescent="0.2">
      <c r="A1267" t="s">
        <v>2344</v>
      </c>
      <c r="B1267" t="s">
        <v>1062</v>
      </c>
      <c r="C1267" s="9">
        <v>45088</v>
      </c>
      <c r="D1267" t="s">
        <v>958</v>
      </c>
      <c r="E1267" s="13">
        <v>4000000</v>
      </c>
      <c r="F1267" s="13">
        <v>79920</v>
      </c>
      <c r="G1267" s="9">
        <v>45088</v>
      </c>
      <c r="H1267" t="s">
        <v>1111</v>
      </c>
      <c r="I1267" t="s">
        <v>1074</v>
      </c>
      <c r="J1267" s="13">
        <v>88800</v>
      </c>
      <c r="K1267">
        <v>4</v>
      </c>
      <c r="L1267" t="s">
        <v>1064</v>
      </c>
      <c r="M1267" t="s">
        <v>1075</v>
      </c>
      <c r="N1267" s="15" t="s">
        <v>6878</v>
      </c>
    </row>
    <row r="1268" spans="1:14" x14ac:dyDescent="0.2">
      <c r="A1268" t="s">
        <v>2345</v>
      </c>
      <c r="B1268" t="s">
        <v>1062</v>
      </c>
      <c r="C1268" s="9">
        <v>45088</v>
      </c>
      <c r="D1268" t="s">
        <v>958</v>
      </c>
      <c r="E1268" s="13">
        <v>1270000</v>
      </c>
      <c r="F1268" s="13">
        <v>19980</v>
      </c>
      <c r="G1268" s="9">
        <v>45088</v>
      </c>
      <c r="H1268" t="s">
        <v>1111</v>
      </c>
      <c r="I1268" t="s">
        <v>1074</v>
      </c>
      <c r="J1268" s="13">
        <v>28194</v>
      </c>
      <c r="K1268">
        <v>1</v>
      </c>
      <c r="L1268" t="s">
        <v>1064</v>
      </c>
      <c r="M1268" t="s">
        <v>1075</v>
      </c>
      <c r="N1268" s="15" t="s">
        <v>6878</v>
      </c>
    </row>
    <row r="1269" spans="1:14" x14ac:dyDescent="0.2">
      <c r="A1269" t="s">
        <v>2346</v>
      </c>
      <c r="B1269" t="s">
        <v>1062</v>
      </c>
      <c r="C1269" s="9">
        <v>45088</v>
      </c>
      <c r="D1269" t="s">
        <v>958</v>
      </c>
      <c r="E1269" s="13">
        <v>3000000</v>
      </c>
      <c r="F1269" s="13">
        <v>59940</v>
      </c>
      <c r="G1269" s="9">
        <v>45088</v>
      </c>
      <c r="H1269" t="s">
        <v>1111</v>
      </c>
      <c r="I1269" t="s">
        <v>1074</v>
      </c>
      <c r="J1269" s="13">
        <v>66600</v>
      </c>
      <c r="K1269">
        <v>3</v>
      </c>
      <c r="L1269" t="s">
        <v>1064</v>
      </c>
      <c r="M1269" t="s">
        <v>1075</v>
      </c>
      <c r="N1269" s="15" t="s">
        <v>6878</v>
      </c>
    </row>
    <row r="1270" spans="1:14" x14ac:dyDescent="0.2">
      <c r="A1270" t="s">
        <v>2347</v>
      </c>
      <c r="B1270" t="s">
        <v>1062</v>
      </c>
      <c r="C1270" s="9">
        <v>45088</v>
      </c>
      <c r="D1270" t="s">
        <v>958</v>
      </c>
      <c r="E1270" s="13">
        <v>1334000</v>
      </c>
      <c r="F1270" s="13">
        <v>39960</v>
      </c>
      <c r="G1270" s="9">
        <v>45088</v>
      </c>
      <c r="H1270" t="s">
        <v>1111</v>
      </c>
      <c r="I1270" t="s">
        <v>1074</v>
      </c>
      <c r="J1270" s="13">
        <v>29614</v>
      </c>
      <c r="K1270">
        <v>2</v>
      </c>
      <c r="L1270" t="s">
        <v>1064</v>
      </c>
      <c r="M1270" t="s">
        <v>1075</v>
      </c>
      <c r="N1270" s="15" t="s">
        <v>6878</v>
      </c>
    </row>
    <row r="1271" spans="1:14" x14ac:dyDescent="0.2">
      <c r="A1271" t="s">
        <v>2348</v>
      </c>
      <c r="B1271" t="s">
        <v>1062</v>
      </c>
      <c r="C1271" s="9">
        <v>45088</v>
      </c>
      <c r="D1271" t="s">
        <v>958</v>
      </c>
      <c r="E1271" s="13">
        <v>2900000</v>
      </c>
      <c r="F1271" s="13">
        <v>79920</v>
      </c>
      <c r="G1271" s="9">
        <v>45088</v>
      </c>
      <c r="H1271" t="s">
        <v>1111</v>
      </c>
      <c r="I1271" t="s">
        <v>1074</v>
      </c>
      <c r="J1271" s="13">
        <v>64380</v>
      </c>
      <c r="K1271">
        <v>4</v>
      </c>
      <c r="L1271" t="s">
        <v>1064</v>
      </c>
      <c r="M1271" t="s">
        <v>1075</v>
      </c>
      <c r="N1271" s="15" t="s">
        <v>6878</v>
      </c>
    </row>
    <row r="1272" spans="1:14" x14ac:dyDescent="0.2">
      <c r="A1272" t="s">
        <v>2349</v>
      </c>
      <c r="B1272" t="s">
        <v>1062</v>
      </c>
      <c r="C1272" s="9">
        <v>45088</v>
      </c>
      <c r="D1272" t="s">
        <v>958</v>
      </c>
      <c r="E1272" s="13">
        <v>1449000</v>
      </c>
      <c r="F1272" s="13">
        <v>59940</v>
      </c>
      <c r="G1272" s="9">
        <v>45088</v>
      </c>
      <c r="H1272" t="s">
        <v>1111</v>
      </c>
      <c r="I1272" t="s">
        <v>1074</v>
      </c>
      <c r="J1272" s="13">
        <v>32167</v>
      </c>
      <c r="K1272">
        <v>3</v>
      </c>
      <c r="L1272" t="s">
        <v>1064</v>
      </c>
      <c r="M1272" t="s">
        <v>1075</v>
      </c>
      <c r="N1272" s="15" t="s">
        <v>6878</v>
      </c>
    </row>
    <row r="1273" spans="1:14" x14ac:dyDescent="0.2">
      <c r="A1273" t="s">
        <v>2350</v>
      </c>
      <c r="B1273" t="s">
        <v>1062</v>
      </c>
      <c r="C1273" s="9">
        <v>45088</v>
      </c>
      <c r="D1273" t="s">
        <v>958</v>
      </c>
      <c r="E1273" s="13">
        <v>3625000</v>
      </c>
      <c r="F1273" s="13">
        <v>99900</v>
      </c>
      <c r="G1273" s="9">
        <v>45088</v>
      </c>
      <c r="H1273" t="s">
        <v>1111</v>
      </c>
      <c r="I1273" t="s">
        <v>1074</v>
      </c>
      <c r="J1273" s="13">
        <v>80475</v>
      </c>
      <c r="K1273">
        <v>5</v>
      </c>
      <c r="L1273" t="s">
        <v>1064</v>
      </c>
      <c r="M1273" t="s">
        <v>1075</v>
      </c>
      <c r="N1273" s="15" t="s">
        <v>6878</v>
      </c>
    </row>
    <row r="1274" spans="1:14" x14ac:dyDescent="0.2">
      <c r="A1274" t="s">
        <v>2351</v>
      </c>
      <c r="B1274" t="s">
        <v>1062</v>
      </c>
      <c r="C1274" s="9">
        <v>45088</v>
      </c>
      <c r="D1274" t="s">
        <v>958</v>
      </c>
      <c r="E1274" s="13">
        <v>11350000</v>
      </c>
      <c r="F1274" s="13">
        <v>18000</v>
      </c>
      <c r="H1274" t="s">
        <v>1185</v>
      </c>
      <c r="I1274" t="s">
        <v>1074</v>
      </c>
      <c r="J1274" s="13">
        <v>0</v>
      </c>
      <c r="K1274">
        <v>10</v>
      </c>
      <c r="L1274" t="s">
        <v>1064</v>
      </c>
      <c r="M1274" t="s">
        <v>1075</v>
      </c>
      <c r="N1274" s="14" t="s">
        <v>6877</v>
      </c>
    </row>
    <row r="1275" spans="1:14" x14ac:dyDescent="0.2">
      <c r="A1275" t="s">
        <v>2352</v>
      </c>
      <c r="B1275" t="s">
        <v>1062</v>
      </c>
      <c r="C1275" s="9">
        <v>45088</v>
      </c>
      <c r="D1275" t="s">
        <v>958</v>
      </c>
      <c r="E1275" s="13">
        <v>5000000</v>
      </c>
      <c r="F1275" s="13">
        <v>99900</v>
      </c>
      <c r="G1275" s="9">
        <v>45088</v>
      </c>
      <c r="H1275" t="s">
        <v>1111</v>
      </c>
      <c r="I1275" t="s">
        <v>1074</v>
      </c>
      <c r="J1275" s="13">
        <v>111000</v>
      </c>
      <c r="K1275">
        <v>5</v>
      </c>
      <c r="L1275" t="s">
        <v>1064</v>
      </c>
      <c r="M1275" t="s">
        <v>1075</v>
      </c>
      <c r="N1275" s="15" t="s">
        <v>6878</v>
      </c>
    </row>
    <row r="1276" spans="1:14" x14ac:dyDescent="0.2">
      <c r="A1276" t="s">
        <v>2353</v>
      </c>
      <c r="B1276" t="s">
        <v>1062</v>
      </c>
      <c r="C1276" s="9">
        <v>45088</v>
      </c>
      <c r="D1276" t="s">
        <v>958</v>
      </c>
      <c r="E1276" s="13">
        <v>11350000</v>
      </c>
      <c r="F1276" s="13">
        <v>18000</v>
      </c>
      <c r="H1276" t="s">
        <v>2184</v>
      </c>
      <c r="I1276" t="s">
        <v>1074</v>
      </c>
      <c r="J1276" s="13">
        <v>0</v>
      </c>
      <c r="K1276">
        <v>10</v>
      </c>
      <c r="L1276" t="s">
        <v>1064</v>
      </c>
      <c r="M1276" t="s">
        <v>1075</v>
      </c>
      <c r="N1276" s="14" t="s">
        <v>6877</v>
      </c>
    </row>
    <row r="1277" spans="1:14" x14ac:dyDescent="0.2">
      <c r="A1277" t="s">
        <v>2354</v>
      </c>
      <c r="B1277" t="s">
        <v>1062</v>
      </c>
      <c r="C1277" s="9">
        <v>45088</v>
      </c>
      <c r="D1277" t="s">
        <v>958</v>
      </c>
      <c r="E1277" s="13">
        <v>5000000</v>
      </c>
      <c r="F1277" s="13">
        <v>99900</v>
      </c>
      <c r="G1277" s="9">
        <v>45088</v>
      </c>
      <c r="H1277" t="s">
        <v>1111</v>
      </c>
      <c r="I1277" t="s">
        <v>1074</v>
      </c>
      <c r="J1277" s="13">
        <v>111000</v>
      </c>
      <c r="K1277">
        <v>5</v>
      </c>
      <c r="L1277" t="s">
        <v>1064</v>
      </c>
      <c r="M1277" t="s">
        <v>1075</v>
      </c>
      <c r="N1277" s="15" t="s">
        <v>6878</v>
      </c>
    </row>
    <row r="1278" spans="1:14" x14ac:dyDescent="0.2">
      <c r="A1278" t="s">
        <v>2355</v>
      </c>
      <c r="B1278" t="s">
        <v>1062</v>
      </c>
      <c r="C1278" s="9">
        <v>45088</v>
      </c>
      <c r="D1278" t="s">
        <v>958</v>
      </c>
      <c r="E1278" s="13">
        <v>5107500</v>
      </c>
      <c r="F1278" s="13">
        <v>99900</v>
      </c>
      <c r="G1278" s="9">
        <v>45088</v>
      </c>
      <c r="H1278" t="s">
        <v>1111</v>
      </c>
      <c r="I1278" t="s">
        <v>1074</v>
      </c>
      <c r="J1278" s="13">
        <v>113386</v>
      </c>
      <c r="K1278">
        <v>5</v>
      </c>
      <c r="L1278" t="s">
        <v>1064</v>
      </c>
      <c r="M1278" t="s">
        <v>1075</v>
      </c>
      <c r="N1278" s="15" t="s">
        <v>6878</v>
      </c>
    </row>
    <row r="1279" spans="1:14" x14ac:dyDescent="0.2">
      <c r="A1279" t="s">
        <v>2356</v>
      </c>
      <c r="B1279" t="s">
        <v>1062</v>
      </c>
      <c r="C1279" s="9">
        <v>45088</v>
      </c>
      <c r="D1279" t="s">
        <v>958</v>
      </c>
      <c r="E1279" s="13">
        <v>8000000</v>
      </c>
      <c r="F1279" s="13">
        <v>159840</v>
      </c>
      <c r="G1279" s="9">
        <v>45088</v>
      </c>
      <c r="H1279" t="s">
        <v>1111</v>
      </c>
      <c r="I1279" t="s">
        <v>1074</v>
      </c>
      <c r="J1279" s="13">
        <v>177600</v>
      </c>
      <c r="K1279">
        <v>8</v>
      </c>
      <c r="L1279" t="s">
        <v>1064</v>
      </c>
      <c r="M1279" t="s">
        <v>1075</v>
      </c>
      <c r="N1279" s="15" t="s">
        <v>6878</v>
      </c>
    </row>
    <row r="1280" spans="1:14" x14ac:dyDescent="0.2">
      <c r="A1280" t="s">
        <v>2357</v>
      </c>
      <c r="B1280" t="s">
        <v>1062</v>
      </c>
      <c r="C1280" s="9">
        <v>45088</v>
      </c>
      <c r="D1280" t="s">
        <v>958</v>
      </c>
      <c r="E1280" s="13">
        <v>2575000</v>
      </c>
      <c r="F1280" s="13">
        <v>39960</v>
      </c>
      <c r="G1280" s="9">
        <v>45088</v>
      </c>
      <c r="H1280" t="s">
        <v>1111</v>
      </c>
      <c r="I1280" t="s">
        <v>1074</v>
      </c>
      <c r="J1280" s="13">
        <v>57165</v>
      </c>
      <c r="K1280">
        <v>2</v>
      </c>
      <c r="L1280" t="s">
        <v>1064</v>
      </c>
      <c r="M1280" t="s">
        <v>1075</v>
      </c>
      <c r="N1280" s="15" t="s">
        <v>6878</v>
      </c>
    </row>
    <row r="1281" spans="1:14" x14ac:dyDescent="0.2">
      <c r="A1281" t="s">
        <v>2358</v>
      </c>
      <c r="B1281" t="s">
        <v>1062</v>
      </c>
      <c r="C1281" s="9">
        <v>45088</v>
      </c>
      <c r="D1281" t="s">
        <v>958</v>
      </c>
      <c r="E1281" s="13">
        <v>8000000</v>
      </c>
      <c r="F1281" s="13">
        <v>159840</v>
      </c>
      <c r="G1281" s="9">
        <v>45088</v>
      </c>
      <c r="H1281" t="s">
        <v>1111</v>
      </c>
      <c r="I1281" t="s">
        <v>1074</v>
      </c>
      <c r="J1281" s="13">
        <v>177600</v>
      </c>
      <c r="K1281">
        <v>8</v>
      </c>
      <c r="L1281" t="s">
        <v>1064</v>
      </c>
      <c r="M1281" t="s">
        <v>1075</v>
      </c>
      <c r="N1281" s="15" t="s">
        <v>6878</v>
      </c>
    </row>
    <row r="1282" spans="1:14" x14ac:dyDescent="0.2">
      <c r="A1282" t="s">
        <v>959</v>
      </c>
      <c r="B1282" t="s">
        <v>1062</v>
      </c>
      <c r="C1282" s="9">
        <v>45088</v>
      </c>
      <c r="D1282" t="s">
        <v>958</v>
      </c>
      <c r="E1282" s="13">
        <v>1135000</v>
      </c>
      <c r="F1282" s="13">
        <v>18000</v>
      </c>
      <c r="H1282" t="s">
        <v>2184</v>
      </c>
      <c r="I1282" t="s">
        <v>1074</v>
      </c>
      <c r="J1282" s="13">
        <v>0</v>
      </c>
      <c r="K1282">
        <v>1</v>
      </c>
      <c r="L1282" t="s">
        <v>1064</v>
      </c>
      <c r="M1282" t="s">
        <v>1075</v>
      </c>
      <c r="N1282" s="14" t="s">
        <v>6877</v>
      </c>
    </row>
    <row r="1283" spans="1:14" x14ac:dyDescent="0.2">
      <c r="A1283" t="s">
        <v>2359</v>
      </c>
      <c r="B1283" t="s">
        <v>2360</v>
      </c>
      <c r="C1283" s="9">
        <v>44927</v>
      </c>
      <c r="D1283" t="s">
        <v>9</v>
      </c>
      <c r="E1283" s="13">
        <v>3606400</v>
      </c>
      <c r="F1283" s="13">
        <v>24975</v>
      </c>
      <c r="G1283" s="9">
        <v>44937</v>
      </c>
      <c r="H1283" t="s">
        <v>1063</v>
      </c>
      <c r="I1283" t="s">
        <v>2361</v>
      </c>
      <c r="J1283" s="13">
        <v>120093</v>
      </c>
      <c r="K1283">
        <v>1</v>
      </c>
      <c r="L1283" t="s">
        <v>1064</v>
      </c>
      <c r="M1283" t="s">
        <v>2362</v>
      </c>
      <c r="N1283" s="15" t="s">
        <v>6878</v>
      </c>
    </row>
    <row r="1284" spans="1:14" x14ac:dyDescent="0.2">
      <c r="A1284" t="s">
        <v>2363</v>
      </c>
      <c r="B1284" t="s">
        <v>2360</v>
      </c>
      <c r="C1284" s="9">
        <v>44928</v>
      </c>
      <c r="D1284" t="s">
        <v>9</v>
      </c>
      <c r="E1284" s="13">
        <v>340060</v>
      </c>
      <c r="F1284" s="13">
        <v>24975</v>
      </c>
      <c r="G1284" s="9">
        <v>44936</v>
      </c>
      <c r="H1284" t="s">
        <v>1063</v>
      </c>
      <c r="I1284" t="s">
        <v>436</v>
      </c>
      <c r="J1284" s="13">
        <v>11323</v>
      </c>
      <c r="K1284">
        <v>1</v>
      </c>
      <c r="L1284" t="s">
        <v>1064</v>
      </c>
      <c r="M1284" t="s">
        <v>2364</v>
      </c>
      <c r="N1284" s="15" t="s">
        <v>6878</v>
      </c>
    </row>
    <row r="1285" spans="1:14" x14ac:dyDescent="0.2">
      <c r="A1285" t="s">
        <v>2365</v>
      </c>
      <c r="B1285" t="s">
        <v>2360</v>
      </c>
      <c r="C1285" s="9">
        <v>44928</v>
      </c>
      <c r="D1285" t="s">
        <v>9</v>
      </c>
      <c r="E1285" s="13">
        <v>340060</v>
      </c>
      <c r="F1285" s="13">
        <v>24975</v>
      </c>
      <c r="G1285" s="9">
        <v>44936</v>
      </c>
      <c r="H1285" t="s">
        <v>1063</v>
      </c>
      <c r="I1285" t="s">
        <v>436</v>
      </c>
      <c r="J1285" s="13">
        <v>11323</v>
      </c>
      <c r="K1285">
        <v>1</v>
      </c>
      <c r="L1285" t="s">
        <v>1064</v>
      </c>
      <c r="M1285" t="s">
        <v>2364</v>
      </c>
      <c r="N1285" s="15" t="s">
        <v>6878</v>
      </c>
    </row>
    <row r="1286" spans="1:14" x14ac:dyDescent="0.2">
      <c r="A1286" t="s">
        <v>2366</v>
      </c>
      <c r="B1286" t="s">
        <v>2360</v>
      </c>
      <c r="C1286" s="9">
        <v>44928</v>
      </c>
      <c r="D1286" t="s">
        <v>9</v>
      </c>
      <c r="E1286" s="13">
        <v>245490</v>
      </c>
      <c r="F1286" s="13">
        <v>24975</v>
      </c>
      <c r="G1286" s="9">
        <v>44935</v>
      </c>
      <c r="H1286" t="s">
        <v>1063</v>
      </c>
      <c r="I1286" t="s">
        <v>436</v>
      </c>
      <c r="J1286" s="13">
        <v>8174</v>
      </c>
      <c r="K1286">
        <v>1</v>
      </c>
      <c r="L1286" t="s">
        <v>1064</v>
      </c>
      <c r="M1286" t="s">
        <v>2364</v>
      </c>
      <c r="N1286" s="15" t="s">
        <v>6878</v>
      </c>
    </row>
    <row r="1287" spans="1:14" x14ac:dyDescent="0.2">
      <c r="A1287" t="s">
        <v>2367</v>
      </c>
      <c r="B1287" t="s">
        <v>2360</v>
      </c>
      <c r="C1287" s="9">
        <v>44928</v>
      </c>
      <c r="D1287" t="s">
        <v>9</v>
      </c>
      <c r="E1287" s="13">
        <v>265090</v>
      </c>
      <c r="F1287" s="13">
        <v>24975</v>
      </c>
      <c r="G1287" s="9">
        <v>44935</v>
      </c>
      <c r="H1287" t="s">
        <v>1063</v>
      </c>
      <c r="I1287" t="s">
        <v>436</v>
      </c>
      <c r="J1287" s="13">
        <v>8826</v>
      </c>
      <c r="K1287">
        <v>1</v>
      </c>
      <c r="L1287" t="s">
        <v>1064</v>
      </c>
      <c r="M1287" t="s">
        <v>2364</v>
      </c>
      <c r="N1287" s="15" t="s">
        <v>6878</v>
      </c>
    </row>
    <row r="1288" spans="1:14" x14ac:dyDescent="0.2">
      <c r="A1288" t="s">
        <v>2368</v>
      </c>
      <c r="B1288" t="s">
        <v>2360</v>
      </c>
      <c r="C1288" s="9">
        <v>44928</v>
      </c>
      <c r="D1288" t="s">
        <v>9</v>
      </c>
      <c r="E1288" s="13">
        <v>245490</v>
      </c>
      <c r="F1288" s="13">
        <v>24975</v>
      </c>
      <c r="G1288" s="9">
        <v>44935</v>
      </c>
      <c r="H1288" t="s">
        <v>1063</v>
      </c>
      <c r="I1288" t="s">
        <v>436</v>
      </c>
      <c r="J1288" s="13">
        <v>8174</v>
      </c>
      <c r="K1288">
        <v>1</v>
      </c>
      <c r="L1288" t="s">
        <v>1064</v>
      </c>
      <c r="M1288" t="s">
        <v>2364</v>
      </c>
      <c r="N1288" s="15" t="s">
        <v>6878</v>
      </c>
    </row>
    <row r="1289" spans="1:14" x14ac:dyDescent="0.2">
      <c r="A1289" t="s">
        <v>2369</v>
      </c>
      <c r="B1289" t="s">
        <v>2360</v>
      </c>
      <c r="C1289" s="9">
        <v>44928</v>
      </c>
      <c r="D1289" t="s">
        <v>992</v>
      </c>
      <c r="E1289" s="13">
        <v>1516500</v>
      </c>
      <c r="F1289" s="13">
        <v>22200</v>
      </c>
      <c r="G1289" s="9">
        <v>44933</v>
      </c>
      <c r="H1289" t="s">
        <v>1063</v>
      </c>
      <c r="I1289" t="s">
        <v>2370</v>
      </c>
      <c r="J1289" s="13">
        <v>67332</v>
      </c>
      <c r="K1289">
        <v>1</v>
      </c>
      <c r="L1289" t="s">
        <v>1064</v>
      </c>
      <c r="M1289" t="s">
        <v>2371</v>
      </c>
      <c r="N1289" s="15" t="s">
        <v>6878</v>
      </c>
    </row>
    <row r="1290" spans="1:14" x14ac:dyDescent="0.2">
      <c r="A1290" t="s">
        <v>2372</v>
      </c>
      <c r="B1290" t="s">
        <v>2360</v>
      </c>
      <c r="C1290" s="9">
        <v>44929</v>
      </c>
      <c r="D1290" t="s">
        <v>992</v>
      </c>
      <c r="E1290" s="13">
        <v>3946944</v>
      </c>
      <c r="F1290" s="13">
        <v>22200</v>
      </c>
      <c r="G1290" s="9">
        <v>44939</v>
      </c>
      <c r="H1290" t="s">
        <v>1063</v>
      </c>
      <c r="I1290" t="s">
        <v>2370</v>
      </c>
      <c r="J1290" s="13">
        <v>175243</v>
      </c>
      <c r="K1290">
        <v>1</v>
      </c>
      <c r="L1290" t="s">
        <v>1064</v>
      </c>
      <c r="M1290" t="s">
        <v>2371</v>
      </c>
      <c r="N1290" s="15" t="s">
        <v>6878</v>
      </c>
    </row>
    <row r="1291" spans="1:14" x14ac:dyDescent="0.2">
      <c r="A1291" t="s">
        <v>2373</v>
      </c>
      <c r="B1291" t="s">
        <v>2360</v>
      </c>
      <c r="C1291" s="9">
        <v>44929</v>
      </c>
      <c r="D1291" t="s">
        <v>9</v>
      </c>
      <c r="E1291" s="13">
        <v>265090</v>
      </c>
      <c r="F1291" s="13">
        <v>24975</v>
      </c>
      <c r="G1291" s="9">
        <v>44936</v>
      </c>
      <c r="H1291" t="s">
        <v>1063</v>
      </c>
      <c r="I1291" t="s">
        <v>436</v>
      </c>
      <c r="J1291" s="13">
        <v>8826</v>
      </c>
      <c r="K1291">
        <v>1</v>
      </c>
      <c r="L1291" t="s">
        <v>1064</v>
      </c>
      <c r="M1291" t="s">
        <v>2364</v>
      </c>
      <c r="N1291" s="15" t="s">
        <v>6878</v>
      </c>
    </row>
    <row r="1292" spans="1:14" x14ac:dyDescent="0.2">
      <c r="A1292" t="s">
        <v>2374</v>
      </c>
      <c r="B1292" t="s">
        <v>2360</v>
      </c>
      <c r="C1292" s="9">
        <v>44929</v>
      </c>
      <c r="D1292" t="s">
        <v>9</v>
      </c>
      <c r="E1292" s="13">
        <v>274890</v>
      </c>
      <c r="F1292" s="13">
        <v>24975</v>
      </c>
      <c r="G1292" s="9">
        <v>44936</v>
      </c>
      <c r="H1292" t="s">
        <v>1063</v>
      </c>
      <c r="I1292" t="s">
        <v>436</v>
      </c>
      <c r="J1292" s="13">
        <v>9153</v>
      </c>
      <c r="K1292">
        <v>1</v>
      </c>
      <c r="L1292" t="s">
        <v>1064</v>
      </c>
      <c r="M1292" t="s">
        <v>2364</v>
      </c>
      <c r="N1292" s="15" t="s">
        <v>6878</v>
      </c>
    </row>
    <row r="1293" spans="1:14" x14ac:dyDescent="0.2">
      <c r="A1293" t="s">
        <v>2375</v>
      </c>
      <c r="B1293" t="s">
        <v>2360</v>
      </c>
      <c r="C1293" s="9">
        <v>44931</v>
      </c>
      <c r="D1293" t="s">
        <v>9</v>
      </c>
      <c r="E1293" s="13">
        <v>340060</v>
      </c>
      <c r="F1293" s="13">
        <v>24975</v>
      </c>
      <c r="G1293" s="9">
        <v>44936</v>
      </c>
      <c r="H1293" t="s">
        <v>1063</v>
      </c>
      <c r="I1293" t="s">
        <v>436</v>
      </c>
      <c r="J1293" s="13">
        <v>11323</v>
      </c>
      <c r="K1293">
        <v>1</v>
      </c>
      <c r="L1293" t="s">
        <v>1064</v>
      </c>
      <c r="M1293" t="s">
        <v>2364</v>
      </c>
      <c r="N1293" s="15" t="s">
        <v>6878</v>
      </c>
    </row>
    <row r="1294" spans="1:14" x14ac:dyDescent="0.2">
      <c r="A1294" t="s">
        <v>2376</v>
      </c>
      <c r="B1294" t="s">
        <v>2360</v>
      </c>
      <c r="C1294" s="9">
        <v>44931</v>
      </c>
      <c r="D1294" t="s">
        <v>9</v>
      </c>
      <c r="E1294" s="13">
        <v>245490</v>
      </c>
      <c r="F1294" s="13">
        <v>24975</v>
      </c>
      <c r="G1294" s="9">
        <v>44936</v>
      </c>
      <c r="H1294" t="s">
        <v>1063</v>
      </c>
      <c r="I1294" t="s">
        <v>436</v>
      </c>
      <c r="J1294" s="13">
        <v>8174</v>
      </c>
      <c r="K1294">
        <v>1</v>
      </c>
      <c r="L1294" t="s">
        <v>1064</v>
      </c>
      <c r="M1294" t="s">
        <v>2364</v>
      </c>
      <c r="N1294" s="15" t="s">
        <v>6878</v>
      </c>
    </row>
    <row r="1295" spans="1:14" x14ac:dyDescent="0.2">
      <c r="A1295" t="s">
        <v>2377</v>
      </c>
      <c r="B1295" t="s">
        <v>2360</v>
      </c>
      <c r="C1295" s="9">
        <v>44931</v>
      </c>
      <c r="D1295" t="s">
        <v>9</v>
      </c>
      <c r="E1295" s="13">
        <v>458150</v>
      </c>
      <c r="F1295" s="13">
        <v>24975</v>
      </c>
      <c r="G1295" s="9">
        <v>44936</v>
      </c>
      <c r="H1295" t="s">
        <v>1063</v>
      </c>
      <c r="I1295" t="s">
        <v>436</v>
      </c>
      <c r="J1295" s="13">
        <v>15255</v>
      </c>
      <c r="K1295">
        <v>1</v>
      </c>
      <c r="L1295" t="s">
        <v>1064</v>
      </c>
      <c r="M1295" t="s">
        <v>2364</v>
      </c>
      <c r="N1295" s="15" t="s">
        <v>6878</v>
      </c>
    </row>
    <row r="1296" spans="1:14" x14ac:dyDescent="0.2">
      <c r="A1296" t="s">
        <v>2378</v>
      </c>
      <c r="B1296" t="s">
        <v>2360</v>
      </c>
      <c r="C1296" s="9">
        <v>44932</v>
      </c>
      <c r="D1296" t="s">
        <v>9</v>
      </c>
      <c r="E1296" s="13">
        <v>798700</v>
      </c>
      <c r="F1296" s="13">
        <v>24975</v>
      </c>
      <c r="G1296" s="9">
        <v>44936</v>
      </c>
      <c r="H1296" t="s">
        <v>1063</v>
      </c>
      <c r="I1296" t="s">
        <v>436</v>
      </c>
      <c r="J1296" s="13">
        <v>26596</v>
      </c>
      <c r="K1296">
        <v>1</v>
      </c>
      <c r="L1296" t="s">
        <v>1064</v>
      </c>
      <c r="M1296" t="s">
        <v>2364</v>
      </c>
      <c r="N1296" s="15" t="s">
        <v>6878</v>
      </c>
    </row>
    <row r="1297" spans="1:14" x14ac:dyDescent="0.2">
      <c r="A1297" t="s">
        <v>2379</v>
      </c>
      <c r="B1297" t="s">
        <v>2360</v>
      </c>
      <c r="C1297" s="9">
        <v>44932</v>
      </c>
      <c r="D1297" t="s">
        <v>9</v>
      </c>
      <c r="E1297" s="13">
        <v>340060</v>
      </c>
      <c r="F1297" s="13">
        <v>24975</v>
      </c>
      <c r="G1297" s="9">
        <v>44936</v>
      </c>
      <c r="H1297" t="s">
        <v>1063</v>
      </c>
      <c r="I1297" t="s">
        <v>436</v>
      </c>
      <c r="J1297" s="13">
        <v>11323</v>
      </c>
      <c r="K1297">
        <v>1</v>
      </c>
      <c r="L1297" t="s">
        <v>1064</v>
      </c>
      <c r="M1297" t="s">
        <v>2364</v>
      </c>
      <c r="N1297" s="15" t="s">
        <v>6878</v>
      </c>
    </row>
    <row r="1298" spans="1:14" x14ac:dyDescent="0.2">
      <c r="A1298" t="s">
        <v>2380</v>
      </c>
      <c r="B1298" t="s">
        <v>2360</v>
      </c>
      <c r="C1298" s="9">
        <v>44932</v>
      </c>
      <c r="D1298" t="s">
        <v>992</v>
      </c>
      <c r="E1298" s="13">
        <v>2726000</v>
      </c>
      <c r="F1298" s="13">
        <v>20000</v>
      </c>
      <c r="H1298" t="s">
        <v>2184</v>
      </c>
      <c r="I1298" t="s">
        <v>2370</v>
      </c>
      <c r="J1298" s="13">
        <v>0</v>
      </c>
      <c r="K1298">
        <v>1</v>
      </c>
      <c r="L1298" t="s">
        <v>1064</v>
      </c>
      <c r="M1298" t="s">
        <v>2371</v>
      </c>
      <c r="N1298" s="14" t="s">
        <v>6877</v>
      </c>
    </row>
    <row r="1299" spans="1:14" x14ac:dyDescent="0.2">
      <c r="A1299" t="s">
        <v>2381</v>
      </c>
      <c r="B1299" t="s">
        <v>2360</v>
      </c>
      <c r="C1299" s="9">
        <v>44934</v>
      </c>
      <c r="D1299" t="s">
        <v>946</v>
      </c>
      <c r="E1299" s="13">
        <v>6549825</v>
      </c>
      <c r="F1299" s="13">
        <v>5550</v>
      </c>
      <c r="G1299" s="9">
        <v>44937</v>
      </c>
      <c r="H1299" t="s">
        <v>1063</v>
      </c>
      <c r="I1299" t="s">
        <v>2382</v>
      </c>
      <c r="J1299" s="13">
        <v>145405</v>
      </c>
      <c r="K1299">
        <v>1</v>
      </c>
      <c r="L1299" t="s">
        <v>1064</v>
      </c>
      <c r="M1299" t="s">
        <v>2383</v>
      </c>
      <c r="N1299" s="15" t="s">
        <v>6878</v>
      </c>
    </row>
    <row r="1300" spans="1:14" x14ac:dyDescent="0.2">
      <c r="A1300" t="s">
        <v>2384</v>
      </c>
      <c r="B1300" t="s">
        <v>2360</v>
      </c>
      <c r="C1300" s="9">
        <v>44934</v>
      </c>
      <c r="D1300" t="s">
        <v>946</v>
      </c>
      <c r="E1300" s="13">
        <v>6549825</v>
      </c>
      <c r="F1300" s="13">
        <v>5550</v>
      </c>
      <c r="G1300" s="9">
        <v>44937</v>
      </c>
      <c r="H1300" t="s">
        <v>1063</v>
      </c>
      <c r="I1300" t="s">
        <v>2382</v>
      </c>
      <c r="J1300" s="13">
        <v>145405</v>
      </c>
      <c r="K1300">
        <v>1</v>
      </c>
      <c r="L1300" t="s">
        <v>1064</v>
      </c>
      <c r="M1300" t="s">
        <v>2383</v>
      </c>
      <c r="N1300" s="15" t="s">
        <v>6878</v>
      </c>
    </row>
    <row r="1301" spans="1:14" x14ac:dyDescent="0.2">
      <c r="A1301" t="s">
        <v>2385</v>
      </c>
      <c r="B1301" t="s">
        <v>2360</v>
      </c>
      <c r="C1301" s="9">
        <v>44934</v>
      </c>
      <c r="D1301" t="s">
        <v>946</v>
      </c>
      <c r="E1301" s="13">
        <v>13541825</v>
      </c>
      <c r="F1301" s="13">
        <v>5550</v>
      </c>
      <c r="G1301" s="9">
        <v>44937</v>
      </c>
      <c r="H1301" t="s">
        <v>1063</v>
      </c>
      <c r="I1301" t="s">
        <v>2382</v>
      </c>
      <c r="J1301" s="13">
        <v>300627</v>
      </c>
      <c r="K1301">
        <v>1</v>
      </c>
      <c r="L1301" t="s">
        <v>1064</v>
      </c>
      <c r="M1301" t="s">
        <v>2383</v>
      </c>
      <c r="N1301" s="15" t="s">
        <v>6878</v>
      </c>
    </row>
    <row r="1302" spans="1:14" x14ac:dyDescent="0.2">
      <c r="A1302" t="s">
        <v>2386</v>
      </c>
      <c r="B1302" t="s">
        <v>2360</v>
      </c>
      <c r="C1302" s="9">
        <v>44934</v>
      </c>
      <c r="D1302" t="s">
        <v>946</v>
      </c>
      <c r="E1302" s="13">
        <v>6549825</v>
      </c>
      <c r="F1302" s="13">
        <v>5550</v>
      </c>
      <c r="G1302" s="9">
        <v>44937</v>
      </c>
      <c r="H1302" t="s">
        <v>1063</v>
      </c>
      <c r="I1302" t="s">
        <v>2382</v>
      </c>
      <c r="J1302" s="13">
        <v>145405</v>
      </c>
      <c r="K1302">
        <v>1</v>
      </c>
      <c r="L1302" t="s">
        <v>1064</v>
      </c>
      <c r="M1302" t="s">
        <v>2383</v>
      </c>
      <c r="N1302" s="15" t="s">
        <v>6878</v>
      </c>
    </row>
    <row r="1303" spans="1:14" x14ac:dyDescent="0.2">
      <c r="A1303" t="s">
        <v>2387</v>
      </c>
      <c r="B1303" t="s">
        <v>2360</v>
      </c>
      <c r="C1303" s="9">
        <v>44934</v>
      </c>
      <c r="D1303" t="s">
        <v>946</v>
      </c>
      <c r="E1303" s="13">
        <v>6549825</v>
      </c>
      <c r="F1303" s="13">
        <v>5550</v>
      </c>
      <c r="G1303" s="9">
        <v>44937</v>
      </c>
      <c r="H1303" t="s">
        <v>1063</v>
      </c>
      <c r="I1303" t="s">
        <v>2382</v>
      </c>
      <c r="J1303" s="13">
        <v>145405</v>
      </c>
      <c r="K1303">
        <v>1</v>
      </c>
      <c r="L1303" t="s">
        <v>1064</v>
      </c>
      <c r="M1303" t="s">
        <v>2383</v>
      </c>
      <c r="N1303" s="15" t="s">
        <v>6878</v>
      </c>
    </row>
    <row r="1304" spans="1:14" x14ac:dyDescent="0.2">
      <c r="A1304" t="s">
        <v>2388</v>
      </c>
      <c r="B1304" t="s">
        <v>2360</v>
      </c>
      <c r="C1304" s="9">
        <v>44934</v>
      </c>
      <c r="D1304" t="s">
        <v>946</v>
      </c>
      <c r="E1304" s="13">
        <v>5511950</v>
      </c>
      <c r="F1304" s="13">
        <v>5550</v>
      </c>
      <c r="G1304" s="9">
        <v>44937</v>
      </c>
      <c r="H1304" t="s">
        <v>1063</v>
      </c>
      <c r="I1304" t="s">
        <v>2382</v>
      </c>
      <c r="J1304" s="13">
        <v>122365</v>
      </c>
      <c r="K1304">
        <v>1</v>
      </c>
      <c r="L1304" t="s">
        <v>1064</v>
      </c>
      <c r="M1304" t="s">
        <v>2383</v>
      </c>
      <c r="N1304" s="15" t="s">
        <v>6878</v>
      </c>
    </row>
    <row r="1305" spans="1:14" x14ac:dyDescent="0.2">
      <c r="A1305" t="s">
        <v>2389</v>
      </c>
      <c r="B1305" t="s">
        <v>2360</v>
      </c>
      <c r="C1305" s="9">
        <v>44934</v>
      </c>
      <c r="D1305" t="s">
        <v>946</v>
      </c>
      <c r="E1305" s="13">
        <v>5511950</v>
      </c>
      <c r="F1305" s="13">
        <v>5550</v>
      </c>
      <c r="G1305" s="9">
        <v>44937</v>
      </c>
      <c r="H1305" t="s">
        <v>1063</v>
      </c>
      <c r="I1305" t="s">
        <v>2382</v>
      </c>
      <c r="J1305" s="13">
        <v>122365</v>
      </c>
      <c r="K1305">
        <v>1</v>
      </c>
      <c r="L1305" t="s">
        <v>1064</v>
      </c>
      <c r="M1305" t="s">
        <v>2383</v>
      </c>
      <c r="N1305" s="15" t="s">
        <v>6878</v>
      </c>
    </row>
    <row r="1306" spans="1:14" x14ac:dyDescent="0.2">
      <c r="A1306" t="s">
        <v>2390</v>
      </c>
      <c r="B1306" t="s">
        <v>2360</v>
      </c>
      <c r="C1306" s="9">
        <v>44934</v>
      </c>
      <c r="D1306" t="s">
        <v>946</v>
      </c>
      <c r="E1306" s="13">
        <v>5511950</v>
      </c>
      <c r="F1306" s="13">
        <v>5550</v>
      </c>
      <c r="G1306" s="9">
        <v>44937</v>
      </c>
      <c r="H1306" t="s">
        <v>1063</v>
      </c>
      <c r="I1306" t="s">
        <v>2382</v>
      </c>
      <c r="J1306" s="13">
        <v>122365</v>
      </c>
      <c r="K1306">
        <v>1</v>
      </c>
      <c r="L1306" t="s">
        <v>1064</v>
      </c>
      <c r="M1306" t="s">
        <v>2383</v>
      </c>
      <c r="N1306" s="15" t="s">
        <v>6878</v>
      </c>
    </row>
    <row r="1307" spans="1:14" x14ac:dyDescent="0.2">
      <c r="A1307" t="s">
        <v>2391</v>
      </c>
      <c r="B1307" t="s">
        <v>2360</v>
      </c>
      <c r="C1307" s="9">
        <v>44934</v>
      </c>
      <c r="D1307" t="s">
        <v>946</v>
      </c>
      <c r="E1307" s="13">
        <v>13541825</v>
      </c>
      <c r="F1307" s="13">
        <v>5550</v>
      </c>
      <c r="G1307" s="9">
        <v>44937</v>
      </c>
      <c r="H1307" t="s">
        <v>1063</v>
      </c>
      <c r="I1307" t="s">
        <v>2382</v>
      </c>
      <c r="J1307" s="13">
        <v>300627</v>
      </c>
      <c r="K1307">
        <v>1</v>
      </c>
      <c r="L1307" t="s">
        <v>1064</v>
      </c>
      <c r="M1307" t="s">
        <v>2383</v>
      </c>
      <c r="N1307" s="15" t="s">
        <v>6878</v>
      </c>
    </row>
    <row r="1308" spans="1:14" x14ac:dyDescent="0.2">
      <c r="A1308" t="s">
        <v>2392</v>
      </c>
      <c r="B1308" t="s">
        <v>2360</v>
      </c>
      <c r="C1308" s="9">
        <v>44934</v>
      </c>
      <c r="D1308" t="s">
        <v>946</v>
      </c>
      <c r="E1308" s="13">
        <v>14688950</v>
      </c>
      <c r="F1308" s="13">
        <v>5550</v>
      </c>
      <c r="G1308" s="9">
        <v>44937</v>
      </c>
      <c r="H1308" t="s">
        <v>1063</v>
      </c>
      <c r="I1308" t="s">
        <v>2382</v>
      </c>
      <c r="J1308" s="13">
        <v>326094</v>
      </c>
      <c r="K1308">
        <v>1</v>
      </c>
      <c r="L1308" t="s">
        <v>1064</v>
      </c>
      <c r="M1308" t="s">
        <v>2383</v>
      </c>
      <c r="N1308" s="15" t="s">
        <v>6878</v>
      </c>
    </row>
    <row r="1309" spans="1:14" x14ac:dyDescent="0.2">
      <c r="A1309" t="s">
        <v>2393</v>
      </c>
      <c r="B1309" t="s">
        <v>2360</v>
      </c>
      <c r="C1309" s="9">
        <v>44934</v>
      </c>
      <c r="D1309" t="s">
        <v>946</v>
      </c>
      <c r="E1309" s="13">
        <v>13541825</v>
      </c>
      <c r="F1309" s="13">
        <v>5550</v>
      </c>
      <c r="G1309" s="9">
        <v>44937</v>
      </c>
      <c r="H1309" t="s">
        <v>1063</v>
      </c>
      <c r="I1309" t="s">
        <v>2382</v>
      </c>
      <c r="J1309" s="13">
        <v>300627</v>
      </c>
      <c r="K1309">
        <v>1</v>
      </c>
      <c r="L1309" t="s">
        <v>1064</v>
      </c>
      <c r="M1309" t="s">
        <v>2383</v>
      </c>
      <c r="N1309" s="15" t="s">
        <v>6878</v>
      </c>
    </row>
    <row r="1310" spans="1:14" x14ac:dyDescent="0.2">
      <c r="A1310" t="s">
        <v>2394</v>
      </c>
      <c r="B1310" t="s">
        <v>2360</v>
      </c>
      <c r="C1310" s="9">
        <v>44934</v>
      </c>
      <c r="D1310" t="s">
        <v>946</v>
      </c>
      <c r="E1310" s="13">
        <v>5511950</v>
      </c>
      <c r="F1310" s="13">
        <v>5550</v>
      </c>
      <c r="G1310" s="9">
        <v>44937</v>
      </c>
      <c r="H1310" t="s">
        <v>1063</v>
      </c>
      <c r="I1310" t="s">
        <v>2382</v>
      </c>
      <c r="J1310" s="13">
        <v>122365</v>
      </c>
      <c r="K1310">
        <v>1</v>
      </c>
      <c r="L1310" t="s">
        <v>1064</v>
      </c>
      <c r="M1310" t="s">
        <v>2383</v>
      </c>
      <c r="N1310" s="15" t="s">
        <v>6878</v>
      </c>
    </row>
    <row r="1311" spans="1:14" x14ac:dyDescent="0.2">
      <c r="A1311" t="s">
        <v>2395</v>
      </c>
      <c r="B1311" t="s">
        <v>2360</v>
      </c>
      <c r="C1311" s="9">
        <v>44934</v>
      </c>
      <c r="D1311" t="s">
        <v>946</v>
      </c>
      <c r="E1311" s="13">
        <v>13541825</v>
      </c>
      <c r="F1311" s="13">
        <v>5550</v>
      </c>
      <c r="G1311" s="9">
        <v>44937</v>
      </c>
      <c r="H1311" t="s">
        <v>1063</v>
      </c>
      <c r="I1311" t="s">
        <v>2382</v>
      </c>
      <c r="J1311" s="13">
        <v>300627</v>
      </c>
      <c r="K1311">
        <v>1</v>
      </c>
      <c r="L1311" t="s">
        <v>1064</v>
      </c>
      <c r="M1311" t="s">
        <v>2383</v>
      </c>
      <c r="N1311" s="15" t="s">
        <v>6878</v>
      </c>
    </row>
    <row r="1312" spans="1:14" x14ac:dyDescent="0.2">
      <c r="A1312" t="s">
        <v>2396</v>
      </c>
      <c r="B1312" t="s">
        <v>2360</v>
      </c>
      <c r="C1312" s="9">
        <v>44934</v>
      </c>
      <c r="D1312" t="s">
        <v>946</v>
      </c>
      <c r="E1312" s="13">
        <v>11209810</v>
      </c>
      <c r="F1312" s="13">
        <v>5550</v>
      </c>
      <c r="G1312" s="9">
        <v>44937</v>
      </c>
      <c r="H1312" t="s">
        <v>1063</v>
      </c>
      <c r="I1312" t="s">
        <v>2382</v>
      </c>
      <c r="J1312" s="13">
        <v>248857</v>
      </c>
      <c r="K1312">
        <v>1</v>
      </c>
      <c r="L1312" t="s">
        <v>1064</v>
      </c>
      <c r="M1312" t="s">
        <v>2383</v>
      </c>
      <c r="N1312" s="15" t="s">
        <v>6878</v>
      </c>
    </row>
    <row r="1313" spans="1:14" x14ac:dyDescent="0.2">
      <c r="A1313" t="s">
        <v>2397</v>
      </c>
      <c r="B1313" t="s">
        <v>2360</v>
      </c>
      <c r="C1313" s="9">
        <v>44935</v>
      </c>
      <c r="D1313" t="s">
        <v>946</v>
      </c>
      <c r="E1313" s="13">
        <v>5293450</v>
      </c>
      <c r="F1313" s="13">
        <v>5550</v>
      </c>
      <c r="G1313" s="9">
        <v>44937</v>
      </c>
      <c r="H1313" t="s">
        <v>1063</v>
      </c>
      <c r="I1313" t="s">
        <v>2382</v>
      </c>
      <c r="J1313" s="13">
        <v>117514</v>
      </c>
      <c r="K1313">
        <v>1</v>
      </c>
      <c r="L1313" t="s">
        <v>1064</v>
      </c>
      <c r="M1313" t="s">
        <v>2383</v>
      </c>
      <c r="N1313" s="15" t="s">
        <v>6878</v>
      </c>
    </row>
    <row r="1314" spans="1:14" x14ac:dyDescent="0.2">
      <c r="A1314" t="s">
        <v>2398</v>
      </c>
      <c r="B1314" t="s">
        <v>2360</v>
      </c>
      <c r="C1314" s="9">
        <v>44935</v>
      </c>
      <c r="D1314" t="s">
        <v>946</v>
      </c>
      <c r="E1314" s="13">
        <v>5293450</v>
      </c>
      <c r="F1314" s="13">
        <v>5550</v>
      </c>
      <c r="G1314" s="9">
        <v>44937</v>
      </c>
      <c r="H1314" t="s">
        <v>1063</v>
      </c>
      <c r="I1314" t="s">
        <v>2382</v>
      </c>
      <c r="J1314" s="13">
        <v>117514</v>
      </c>
      <c r="K1314">
        <v>1</v>
      </c>
      <c r="L1314" t="s">
        <v>1064</v>
      </c>
      <c r="M1314" t="s">
        <v>2383</v>
      </c>
      <c r="N1314" s="15" t="s">
        <v>6878</v>
      </c>
    </row>
    <row r="1315" spans="1:14" x14ac:dyDescent="0.2">
      <c r="A1315" t="s">
        <v>2399</v>
      </c>
      <c r="B1315" t="s">
        <v>2360</v>
      </c>
      <c r="C1315" s="9">
        <v>44935</v>
      </c>
      <c r="D1315" t="s">
        <v>946</v>
      </c>
      <c r="E1315" s="13">
        <v>5293450</v>
      </c>
      <c r="F1315" s="13">
        <v>5550</v>
      </c>
      <c r="G1315" s="9">
        <v>44937</v>
      </c>
      <c r="H1315" t="s">
        <v>1063</v>
      </c>
      <c r="I1315" t="s">
        <v>2382</v>
      </c>
      <c r="J1315" s="13">
        <v>117514</v>
      </c>
      <c r="K1315">
        <v>1</v>
      </c>
      <c r="L1315" t="s">
        <v>1064</v>
      </c>
      <c r="M1315" t="s">
        <v>2383</v>
      </c>
      <c r="N1315" s="15" t="s">
        <v>6878</v>
      </c>
    </row>
    <row r="1316" spans="1:14" x14ac:dyDescent="0.2">
      <c r="A1316" t="s">
        <v>2400</v>
      </c>
      <c r="B1316" t="s">
        <v>2360</v>
      </c>
      <c r="C1316" s="9">
        <v>44935</v>
      </c>
      <c r="D1316" t="s">
        <v>946</v>
      </c>
      <c r="E1316" s="13">
        <v>5293450</v>
      </c>
      <c r="F1316" s="13">
        <v>5550</v>
      </c>
      <c r="G1316" s="9">
        <v>44937</v>
      </c>
      <c r="H1316" t="s">
        <v>1063</v>
      </c>
      <c r="I1316" t="s">
        <v>2382</v>
      </c>
      <c r="J1316" s="13">
        <v>117514</v>
      </c>
      <c r="K1316">
        <v>1</v>
      </c>
      <c r="L1316" t="s">
        <v>1064</v>
      </c>
      <c r="M1316" t="s">
        <v>2383</v>
      </c>
      <c r="N1316" s="15" t="s">
        <v>6878</v>
      </c>
    </row>
    <row r="1317" spans="1:14" x14ac:dyDescent="0.2">
      <c r="A1317" t="s">
        <v>2401</v>
      </c>
      <c r="B1317" t="s">
        <v>2360</v>
      </c>
      <c r="C1317" s="9">
        <v>44935</v>
      </c>
      <c r="D1317" t="s">
        <v>946</v>
      </c>
      <c r="E1317" s="13">
        <v>5293450</v>
      </c>
      <c r="F1317" s="13">
        <v>5550</v>
      </c>
      <c r="G1317" s="9">
        <v>44937</v>
      </c>
      <c r="H1317" t="s">
        <v>1063</v>
      </c>
      <c r="I1317" t="s">
        <v>2382</v>
      </c>
      <c r="J1317" s="13">
        <v>117514</v>
      </c>
      <c r="K1317">
        <v>1</v>
      </c>
      <c r="L1317" t="s">
        <v>1064</v>
      </c>
      <c r="M1317" t="s">
        <v>2383</v>
      </c>
      <c r="N1317" s="15" t="s">
        <v>6878</v>
      </c>
    </row>
    <row r="1318" spans="1:14" x14ac:dyDescent="0.2">
      <c r="A1318" t="s">
        <v>2402</v>
      </c>
      <c r="B1318" t="s">
        <v>2360</v>
      </c>
      <c r="C1318" s="9">
        <v>44935</v>
      </c>
      <c r="D1318" t="s">
        <v>946</v>
      </c>
      <c r="E1318" s="13">
        <v>5293450</v>
      </c>
      <c r="F1318" s="13">
        <v>5550</v>
      </c>
      <c r="G1318" s="9">
        <v>44937</v>
      </c>
      <c r="H1318" t="s">
        <v>1063</v>
      </c>
      <c r="I1318" t="s">
        <v>2382</v>
      </c>
      <c r="J1318" s="13">
        <v>117514</v>
      </c>
      <c r="K1318">
        <v>1</v>
      </c>
      <c r="L1318" t="s">
        <v>1064</v>
      </c>
      <c r="M1318" t="s">
        <v>2383</v>
      </c>
      <c r="N1318" s="15" t="s">
        <v>6878</v>
      </c>
    </row>
    <row r="1319" spans="1:14" x14ac:dyDescent="0.2">
      <c r="A1319" t="s">
        <v>2403</v>
      </c>
      <c r="B1319" t="s">
        <v>2360</v>
      </c>
      <c r="C1319" s="9">
        <v>44935</v>
      </c>
      <c r="D1319" t="s">
        <v>946</v>
      </c>
      <c r="E1319" s="13">
        <v>5293450</v>
      </c>
      <c r="F1319" s="13">
        <v>5550</v>
      </c>
      <c r="G1319" s="9">
        <v>44937</v>
      </c>
      <c r="H1319" t="s">
        <v>1063</v>
      </c>
      <c r="I1319" t="s">
        <v>2382</v>
      </c>
      <c r="J1319" s="13">
        <v>117514</v>
      </c>
      <c r="K1319">
        <v>1</v>
      </c>
      <c r="L1319" t="s">
        <v>1064</v>
      </c>
      <c r="M1319" t="s">
        <v>2383</v>
      </c>
      <c r="N1319" s="15" t="s">
        <v>6878</v>
      </c>
    </row>
    <row r="1320" spans="1:14" x14ac:dyDescent="0.2">
      <c r="A1320" t="s">
        <v>2404</v>
      </c>
      <c r="B1320" t="s">
        <v>2360</v>
      </c>
      <c r="C1320" s="9">
        <v>44935</v>
      </c>
      <c r="D1320" t="s">
        <v>946</v>
      </c>
      <c r="E1320" s="13">
        <v>5713200</v>
      </c>
      <c r="F1320" s="13">
        <v>5550</v>
      </c>
      <c r="G1320" s="9">
        <v>44937</v>
      </c>
      <c r="H1320" t="s">
        <v>1063</v>
      </c>
      <c r="I1320" t="s">
        <v>2382</v>
      </c>
      <c r="J1320" s="13">
        <v>126833</v>
      </c>
      <c r="K1320">
        <v>1</v>
      </c>
      <c r="L1320" t="s">
        <v>1064</v>
      </c>
      <c r="M1320" t="s">
        <v>2383</v>
      </c>
      <c r="N1320" s="15" t="s">
        <v>6878</v>
      </c>
    </row>
    <row r="1321" spans="1:14" x14ac:dyDescent="0.2">
      <c r="A1321" t="s">
        <v>2405</v>
      </c>
      <c r="B1321" t="s">
        <v>2360</v>
      </c>
      <c r="C1321" s="9">
        <v>44935</v>
      </c>
      <c r="D1321" t="s">
        <v>946</v>
      </c>
      <c r="E1321" s="13">
        <v>5045280</v>
      </c>
      <c r="F1321" s="13">
        <v>5550</v>
      </c>
      <c r="G1321" s="9">
        <v>44937</v>
      </c>
      <c r="H1321" t="s">
        <v>1063</v>
      </c>
      <c r="I1321" t="s">
        <v>2382</v>
      </c>
      <c r="J1321" s="13">
        <v>112004</v>
      </c>
      <c r="K1321">
        <v>1</v>
      </c>
      <c r="L1321" t="s">
        <v>1064</v>
      </c>
      <c r="M1321" t="s">
        <v>2383</v>
      </c>
      <c r="N1321" s="15" t="s">
        <v>6878</v>
      </c>
    </row>
    <row r="1322" spans="1:14" x14ac:dyDescent="0.2">
      <c r="A1322" t="s">
        <v>2406</v>
      </c>
      <c r="B1322" t="s">
        <v>2360</v>
      </c>
      <c r="C1322" s="9">
        <v>44935</v>
      </c>
      <c r="D1322" t="s">
        <v>946</v>
      </c>
      <c r="E1322" s="13">
        <v>5655240</v>
      </c>
      <c r="F1322" s="13">
        <v>5550</v>
      </c>
      <c r="G1322" s="9">
        <v>44937</v>
      </c>
      <c r="H1322" t="s">
        <v>1063</v>
      </c>
      <c r="I1322" t="s">
        <v>2382</v>
      </c>
      <c r="J1322" s="13">
        <v>125545</v>
      </c>
      <c r="K1322">
        <v>1</v>
      </c>
      <c r="L1322" t="s">
        <v>1064</v>
      </c>
      <c r="M1322" t="s">
        <v>2383</v>
      </c>
      <c r="N1322" s="15" t="s">
        <v>6878</v>
      </c>
    </row>
    <row r="1323" spans="1:14" x14ac:dyDescent="0.2">
      <c r="A1323" t="s">
        <v>2407</v>
      </c>
      <c r="B1323" t="s">
        <v>2360</v>
      </c>
      <c r="C1323" s="9">
        <v>44935</v>
      </c>
      <c r="D1323" t="s">
        <v>946</v>
      </c>
      <c r="E1323" s="13">
        <v>5293450</v>
      </c>
      <c r="F1323" s="13">
        <v>5550</v>
      </c>
      <c r="G1323" s="9">
        <v>44937</v>
      </c>
      <c r="H1323" t="s">
        <v>1063</v>
      </c>
      <c r="I1323" t="s">
        <v>2382</v>
      </c>
      <c r="J1323" s="13">
        <v>117514</v>
      </c>
      <c r="K1323">
        <v>1</v>
      </c>
      <c r="L1323" t="s">
        <v>1064</v>
      </c>
      <c r="M1323" t="s">
        <v>2383</v>
      </c>
      <c r="N1323" s="15" t="s">
        <v>6878</v>
      </c>
    </row>
    <row r="1324" spans="1:14" x14ac:dyDescent="0.2">
      <c r="A1324" t="s">
        <v>2408</v>
      </c>
      <c r="B1324" t="s">
        <v>2360</v>
      </c>
      <c r="C1324" s="9">
        <v>44935</v>
      </c>
      <c r="D1324" t="s">
        <v>946</v>
      </c>
      <c r="E1324" s="13">
        <v>5293450</v>
      </c>
      <c r="F1324" s="13">
        <v>5550</v>
      </c>
      <c r="G1324" s="9">
        <v>44937</v>
      </c>
      <c r="H1324" t="s">
        <v>1063</v>
      </c>
      <c r="I1324" t="s">
        <v>2382</v>
      </c>
      <c r="J1324" s="13">
        <v>117514</v>
      </c>
      <c r="K1324">
        <v>1</v>
      </c>
      <c r="L1324" t="s">
        <v>1064</v>
      </c>
      <c r="M1324" t="s">
        <v>2383</v>
      </c>
      <c r="N1324" s="15" t="s">
        <v>6878</v>
      </c>
    </row>
    <row r="1325" spans="1:14" x14ac:dyDescent="0.2">
      <c r="A1325" t="s">
        <v>2409</v>
      </c>
      <c r="B1325" t="s">
        <v>2360</v>
      </c>
      <c r="C1325" s="9">
        <v>44935</v>
      </c>
      <c r="D1325" t="s">
        <v>946</v>
      </c>
      <c r="E1325" s="13">
        <v>6549825</v>
      </c>
      <c r="F1325" s="13">
        <v>5550</v>
      </c>
      <c r="G1325" s="9">
        <v>44937</v>
      </c>
      <c r="H1325" t="s">
        <v>1063</v>
      </c>
      <c r="I1325" t="s">
        <v>2382</v>
      </c>
      <c r="J1325" s="13">
        <v>145405</v>
      </c>
      <c r="K1325">
        <v>1</v>
      </c>
      <c r="L1325" t="s">
        <v>1064</v>
      </c>
      <c r="M1325" t="s">
        <v>2383</v>
      </c>
      <c r="N1325" s="15" t="s">
        <v>6878</v>
      </c>
    </row>
    <row r="1326" spans="1:14" x14ac:dyDescent="0.2">
      <c r="A1326" t="s">
        <v>2410</v>
      </c>
      <c r="B1326" t="s">
        <v>2360</v>
      </c>
      <c r="C1326" s="9">
        <v>44935</v>
      </c>
      <c r="D1326" t="s">
        <v>946</v>
      </c>
      <c r="E1326" s="13">
        <v>13541825</v>
      </c>
      <c r="F1326" s="13">
        <v>5550</v>
      </c>
      <c r="G1326" s="9">
        <v>44937</v>
      </c>
      <c r="H1326" t="s">
        <v>1063</v>
      </c>
      <c r="I1326" t="s">
        <v>2382</v>
      </c>
      <c r="J1326" s="13">
        <v>300627</v>
      </c>
      <c r="K1326">
        <v>1</v>
      </c>
      <c r="L1326" t="s">
        <v>1064</v>
      </c>
      <c r="M1326" t="s">
        <v>2383</v>
      </c>
      <c r="N1326" s="15" t="s">
        <v>6878</v>
      </c>
    </row>
    <row r="1327" spans="1:14" x14ac:dyDescent="0.2">
      <c r="A1327" t="s">
        <v>2411</v>
      </c>
      <c r="B1327" t="s">
        <v>2360</v>
      </c>
      <c r="C1327" s="9">
        <v>44935</v>
      </c>
      <c r="D1327" t="s">
        <v>946</v>
      </c>
      <c r="E1327" s="13">
        <v>5511950</v>
      </c>
      <c r="F1327" s="13">
        <v>5550</v>
      </c>
      <c r="G1327" s="9">
        <v>44937</v>
      </c>
      <c r="H1327" t="s">
        <v>1063</v>
      </c>
      <c r="I1327" t="s">
        <v>2382</v>
      </c>
      <c r="J1327" s="13">
        <v>122365</v>
      </c>
      <c r="K1327">
        <v>1</v>
      </c>
      <c r="L1327" t="s">
        <v>1064</v>
      </c>
      <c r="M1327" t="s">
        <v>2383</v>
      </c>
      <c r="N1327" s="15" t="s">
        <v>6878</v>
      </c>
    </row>
    <row r="1328" spans="1:14" x14ac:dyDescent="0.2">
      <c r="A1328" t="s">
        <v>2412</v>
      </c>
      <c r="B1328" t="s">
        <v>2360</v>
      </c>
      <c r="C1328" s="9">
        <v>44935</v>
      </c>
      <c r="D1328" t="s">
        <v>946</v>
      </c>
      <c r="E1328" s="13">
        <v>5511950</v>
      </c>
      <c r="F1328" s="13">
        <v>5550</v>
      </c>
      <c r="G1328" s="9">
        <v>44937</v>
      </c>
      <c r="H1328" t="s">
        <v>1063</v>
      </c>
      <c r="I1328" t="s">
        <v>2382</v>
      </c>
      <c r="J1328" s="13">
        <v>122365</v>
      </c>
      <c r="K1328">
        <v>1</v>
      </c>
      <c r="L1328" t="s">
        <v>1064</v>
      </c>
      <c r="M1328" t="s">
        <v>2383</v>
      </c>
      <c r="N1328" s="15" t="s">
        <v>6878</v>
      </c>
    </row>
    <row r="1329" spans="1:14" x14ac:dyDescent="0.2">
      <c r="A1329" t="s">
        <v>2413</v>
      </c>
      <c r="B1329" t="s">
        <v>2360</v>
      </c>
      <c r="C1329" s="9">
        <v>44935</v>
      </c>
      <c r="D1329" t="s">
        <v>946</v>
      </c>
      <c r="E1329" s="13">
        <v>5511950</v>
      </c>
      <c r="F1329" s="13">
        <v>5550</v>
      </c>
      <c r="G1329" s="9">
        <v>44937</v>
      </c>
      <c r="H1329" t="s">
        <v>1063</v>
      </c>
      <c r="I1329" t="s">
        <v>2382</v>
      </c>
      <c r="J1329" s="13">
        <v>122365</v>
      </c>
      <c r="K1329">
        <v>1</v>
      </c>
      <c r="L1329" t="s">
        <v>1064</v>
      </c>
      <c r="M1329" t="s">
        <v>2383</v>
      </c>
      <c r="N1329" s="15" t="s">
        <v>6878</v>
      </c>
    </row>
    <row r="1330" spans="1:14" x14ac:dyDescent="0.2">
      <c r="A1330" t="s">
        <v>2414</v>
      </c>
      <c r="B1330" t="s">
        <v>2360</v>
      </c>
      <c r="C1330" s="9">
        <v>44935</v>
      </c>
      <c r="D1330" t="s">
        <v>946</v>
      </c>
      <c r="E1330" s="13">
        <v>5511950</v>
      </c>
      <c r="F1330" s="13">
        <v>5550</v>
      </c>
      <c r="G1330" s="9">
        <v>44937</v>
      </c>
      <c r="H1330" t="s">
        <v>1063</v>
      </c>
      <c r="I1330" t="s">
        <v>2382</v>
      </c>
      <c r="J1330" s="13">
        <v>122365</v>
      </c>
      <c r="K1330">
        <v>1</v>
      </c>
      <c r="L1330" t="s">
        <v>1064</v>
      </c>
      <c r="M1330" t="s">
        <v>2383</v>
      </c>
      <c r="N1330" s="15" t="s">
        <v>6878</v>
      </c>
    </row>
    <row r="1331" spans="1:14" x14ac:dyDescent="0.2">
      <c r="A1331" t="s">
        <v>2415</v>
      </c>
      <c r="B1331" t="s">
        <v>2360</v>
      </c>
      <c r="C1331" s="9">
        <v>44935</v>
      </c>
      <c r="D1331" t="s">
        <v>946</v>
      </c>
      <c r="E1331" s="13">
        <v>5511950</v>
      </c>
      <c r="F1331" s="13">
        <v>5550</v>
      </c>
      <c r="G1331" s="9">
        <v>44937</v>
      </c>
      <c r="H1331" t="s">
        <v>1063</v>
      </c>
      <c r="I1331" t="s">
        <v>2382</v>
      </c>
      <c r="J1331" s="13">
        <v>122365</v>
      </c>
      <c r="K1331">
        <v>1</v>
      </c>
      <c r="L1331" t="s">
        <v>1064</v>
      </c>
      <c r="M1331" t="s">
        <v>2383</v>
      </c>
      <c r="N1331" s="15" t="s">
        <v>6878</v>
      </c>
    </row>
    <row r="1332" spans="1:14" x14ac:dyDescent="0.2">
      <c r="A1332" t="s">
        <v>2416</v>
      </c>
      <c r="B1332" t="s">
        <v>2360</v>
      </c>
      <c r="C1332" s="9">
        <v>44935</v>
      </c>
      <c r="D1332" t="s">
        <v>946</v>
      </c>
      <c r="E1332" s="13">
        <v>3281850</v>
      </c>
      <c r="F1332" s="13">
        <v>5550</v>
      </c>
      <c r="G1332" s="9">
        <v>44937</v>
      </c>
      <c r="H1332" t="s">
        <v>1063</v>
      </c>
      <c r="I1332" t="s">
        <v>2382</v>
      </c>
      <c r="J1332" s="13">
        <v>72857</v>
      </c>
      <c r="K1332">
        <v>1</v>
      </c>
      <c r="L1332" t="s">
        <v>1064</v>
      </c>
      <c r="M1332" t="s">
        <v>2383</v>
      </c>
      <c r="N1332" s="15" t="s">
        <v>6878</v>
      </c>
    </row>
    <row r="1333" spans="1:14" x14ac:dyDescent="0.2">
      <c r="A1333" t="s">
        <v>2417</v>
      </c>
      <c r="B1333" t="s">
        <v>2360</v>
      </c>
      <c r="C1333" s="9">
        <v>44935</v>
      </c>
      <c r="D1333" t="s">
        <v>946</v>
      </c>
      <c r="E1333" s="13">
        <v>11131150</v>
      </c>
      <c r="F1333" s="13">
        <v>5550</v>
      </c>
      <c r="G1333" s="9">
        <v>44937</v>
      </c>
      <c r="H1333" t="s">
        <v>1063</v>
      </c>
      <c r="I1333" t="s">
        <v>2382</v>
      </c>
      <c r="J1333" s="13">
        <v>247111</v>
      </c>
      <c r="K1333">
        <v>1</v>
      </c>
      <c r="L1333" t="s">
        <v>1064</v>
      </c>
      <c r="M1333" t="s">
        <v>2383</v>
      </c>
      <c r="N1333" s="15" t="s">
        <v>6878</v>
      </c>
    </row>
    <row r="1334" spans="1:14" x14ac:dyDescent="0.2">
      <c r="A1334" t="s">
        <v>2418</v>
      </c>
      <c r="B1334" t="s">
        <v>2360</v>
      </c>
      <c r="C1334" s="9">
        <v>44935</v>
      </c>
      <c r="D1334" t="s">
        <v>946</v>
      </c>
      <c r="E1334" s="13">
        <v>10889580</v>
      </c>
      <c r="F1334" s="13">
        <v>5550</v>
      </c>
      <c r="G1334" s="9">
        <v>44937</v>
      </c>
      <c r="H1334" t="s">
        <v>1063</v>
      </c>
      <c r="I1334" t="s">
        <v>2382</v>
      </c>
      <c r="J1334" s="13">
        <v>241748</v>
      </c>
      <c r="K1334">
        <v>1</v>
      </c>
      <c r="L1334" t="s">
        <v>1064</v>
      </c>
      <c r="M1334" t="s">
        <v>2383</v>
      </c>
      <c r="N1334" s="15" t="s">
        <v>6878</v>
      </c>
    </row>
    <row r="1335" spans="1:14" x14ac:dyDescent="0.2">
      <c r="A1335" t="s">
        <v>2419</v>
      </c>
      <c r="B1335" t="s">
        <v>2360</v>
      </c>
      <c r="C1335" s="9">
        <v>44935</v>
      </c>
      <c r="D1335" t="s">
        <v>946</v>
      </c>
      <c r="E1335" s="13">
        <v>10872750</v>
      </c>
      <c r="F1335" s="13">
        <v>5550</v>
      </c>
      <c r="G1335" s="9">
        <v>44937</v>
      </c>
      <c r="H1335" t="s">
        <v>1063</v>
      </c>
      <c r="I1335" t="s">
        <v>2382</v>
      </c>
      <c r="J1335" s="13">
        <v>241375</v>
      </c>
      <c r="K1335">
        <v>1</v>
      </c>
      <c r="L1335" t="s">
        <v>1064</v>
      </c>
      <c r="M1335" t="s">
        <v>2383</v>
      </c>
      <c r="N1335" s="15" t="s">
        <v>6878</v>
      </c>
    </row>
    <row r="1336" spans="1:14" x14ac:dyDescent="0.2">
      <c r="A1336" t="s">
        <v>2420</v>
      </c>
      <c r="B1336" t="s">
        <v>2360</v>
      </c>
      <c r="C1336" s="9">
        <v>44935</v>
      </c>
      <c r="D1336" t="s">
        <v>946</v>
      </c>
      <c r="E1336" s="13">
        <v>6371460</v>
      </c>
      <c r="F1336" s="13">
        <v>5550</v>
      </c>
      <c r="G1336" s="9">
        <v>44937</v>
      </c>
      <c r="H1336" t="s">
        <v>1063</v>
      </c>
      <c r="I1336" t="s">
        <v>2382</v>
      </c>
      <c r="J1336" s="13">
        <v>141446</v>
      </c>
      <c r="K1336">
        <v>1</v>
      </c>
      <c r="L1336" t="s">
        <v>1064</v>
      </c>
      <c r="M1336" t="s">
        <v>2383</v>
      </c>
      <c r="N1336" s="15" t="s">
        <v>6878</v>
      </c>
    </row>
    <row r="1337" spans="1:14" x14ac:dyDescent="0.2">
      <c r="A1337" t="s">
        <v>2421</v>
      </c>
      <c r="B1337" t="s">
        <v>2360</v>
      </c>
      <c r="C1337" s="9">
        <v>44935</v>
      </c>
      <c r="D1337" t="s">
        <v>946</v>
      </c>
      <c r="E1337" s="13">
        <v>5002500</v>
      </c>
      <c r="F1337" s="13">
        <v>5550</v>
      </c>
      <c r="G1337" s="9">
        <v>44937</v>
      </c>
      <c r="H1337" t="s">
        <v>1063</v>
      </c>
      <c r="I1337" t="s">
        <v>2382</v>
      </c>
      <c r="J1337" s="13">
        <v>111055</v>
      </c>
      <c r="K1337">
        <v>1</v>
      </c>
      <c r="L1337" t="s">
        <v>1064</v>
      </c>
      <c r="M1337" t="s">
        <v>2383</v>
      </c>
      <c r="N1337" s="15" t="s">
        <v>6878</v>
      </c>
    </row>
    <row r="1338" spans="1:14" x14ac:dyDescent="0.2">
      <c r="A1338" t="s">
        <v>2422</v>
      </c>
      <c r="B1338" t="s">
        <v>2360</v>
      </c>
      <c r="C1338" s="9">
        <v>44935</v>
      </c>
      <c r="D1338" t="s">
        <v>946</v>
      </c>
      <c r="E1338" s="13">
        <v>6241050</v>
      </c>
      <c r="F1338" s="13">
        <v>5550</v>
      </c>
      <c r="G1338" s="9">
        <v>44937</v>
      </c>
      <c r="H1338" t="s">
        <v>1063</v>
      </c>
      <c r="I1338" t="s">
        <v>2382</v>
      </c>
      <c r="J1338" s="13">
        <v>138551</v>
      </c>
      <c r="K1338">
        <v>1</v>
      </c>
      <c r="L1338" t="s">
        <v>1064</v>
      </c>
      <c r="M1338" t="s">
        <v>2383</v>
      </c>
      <c r="N1338" s="15" t="s">
        <v>6878</v>
      </c>
    </row>
    <row r="1339" spans="1:14" x14ac:dyDescent="0.2">
      <c r="A1339" t="s">
        <v>2423</v>
      </c>
      <c r="B1339" t="s">
        <v>2360</v>
      </c>
      <c r="C1339" s="9">
        <v>44935</v>
      </c>
      <c r="D1339" t="s">
        <v>946</v>
      </c>
      <c r="E1339" s="13">
        <v>4936950</v>
      </c>
      <c r="F1339" s="13">
        <v>5550</v>
      </c>
      <c r="G1339" s="9">
        <v>44937</v>
      </c>
      <c r="H1339" t="s">
        <v>1063</v>
      </c>
      <c r="I1339" t="s">
        <v>2382</v>
      </c>
      <c r="J1339" s="13">
        <v>109600</v>
      </c>
      <c r="K1339">
        <v>1</v>
      </c>
      <c r="L1339" t="s">
        <v>1064</v>
      </c>
      <c r="M1339" t="s">
        <v>2383</v>
      </c>
      <c r="N1339" s="15" t="s">
        <v>6878</v>
      </c>
    </row>
    <row r="1340" spans="1:14" x14ac:dyDescent="0.2">
      <c r="A1340" t="s">
        <v>2424</v>
      </c>
      <c r="B1340" t="s">
        <v>2360</v>
      </c>
      <c r="C1340" s="9">
        <v>44935</v>
      </c>
      <c r="D1340" t="s">
        <v>946</v>
      </c>
      <c r="E1340" s="13">
        <v>6414930</v>
      </c>
      <c r="F1340" s="13">
        <v>5550</v>
      </c>
      <c r="G1340" s="9">
        <v>44937</v>
      </c>
      <c r="H1340" t="s">
        <v>1063</v>
      </c>
      <c r="I1340" t="s">
        <v>2382</v>
      </c>
      <c r="J1340" s="13">
        <v>142410</v>
      </c>
      <c r="K1340">
        <v>1</v>
      </c>
      <c r="L1340" t="s">
        <v>1064</v>
      </c>
      <c r="M1340" t="s">
        <v>2383</v>
      </c>
      <c r="N1340" s="15" t="s">
        <v>6878</v>
      </c>
    </row>
    <row r="1341" spans="1:14" x14ac:dyDescent="0.2">
      <c r="A1341" t="s">
        <v>2425</v>
      </c>
      <c r="B1341" t="s">
        <v>2360</v>
      </c>
      <c r="C1341" s="9">
        <v>44935</v>
      </c>
      <c r="D1341" t="s">
        <v>946</v>
      </c>
      <c r="E1341" s="13">
        <v>5511950</v>
      </c>
      <c r="F1341" s="13">
        <v>5550</v>
      </c>
      <c r="G1341" s="9">
        <v>44937</v>
      </c>
      <c r="H1341" t="s">
        <v>1063</v>
      </c>
      <c r="I1341" t="s">
        <v>2382</v>
      </c>
      <c r="J1341" s="13">
        <v>122365</v>
      </c>
      <c r="K1341">
        <v>1</v>
      </c>
      <c r="L1341" t="s">
        <v>1064</v>
      </c>
      <c r="M1341" t="s">
        <v>2383</v>
      </c>
      <c r="N1341" s="15" t="s">
        <v>6878</v>
      </c>
    </row>
    <row r="1342" spans="1:14" x14ac:dyDescent="0.2">
      <c r="A1342" t="s">
        <v>2426</v>
      </c>
      <c r="B1342" t="s">
        <v>2360</v>
      </c>
      <c r="C1342" s="9">
        <v>44935</v>
      </c>
      <c r="D1342" t="s">
        <v>946</v>
      </c>
      <c r="E1342" s="13">
        <v>6549825</v>
      </c>
      <c r="F1342" s="13">
        <v>5550</v>
      </c>
      <c r="G1342" s="9">
        <v>44937</v>
      </c>
      <c r="H1342" t="s">
        <v>1063</v>
      </c>
      <c r="I1342" t="s">
        <v>2382</v>
      </c>
      <c r="J1342" s="13">
        <v>145405</v>
      </c>
      <c r="K1342">
        <v>1</v>
      </c>
      <c r="L1342" t="s">
        <v>1064</v>
      </c>
      <c r="M1342" t="s">
        <v>2383</v>
      </c>
      <c r="N1342" s="15" t="s">
        <v>6878</v>
      </c>
    </row>
    <row r="1343" spans="1:14" x14ac:dyDescent="0.2">
      <c r="A1343" t="s">
        <v>2427</v>
      </c>
      <c r="B1343" t="s">
        <v>2360</v>
      </c>
      <c r="C1343" s="9">
        <v>44935</v>
      </c>
      <c r="D1343" t="s">
        <v>946</v>
      </c>
      <c r="E1343" s="13">
        <v>6549825</v>
      </c>
      <c r="F1343" s="13">
        <v>5550</v>
      </c>
      <c r="G1343" s="9">
        <v>44937</v>
      </c>
      <c r="H1343" t="s">
        <v>1063</v>
      </c>
      <c r="I1343" t="s">
        <v>2382</v>
      </c>
      <c r="J1343" s="13">
        <v>145405</v>
      </c>
      <c r="K1343">
        <v>1</v>
      </c>
      <c r="L1343" t="s">
        <v>1064</v>
      </c>
      <c r="M1343" t="s">
        <v>2383</v>
      </c>
      <c r="N1343" s="15" t="s">
        <v>6878</v>
      </c>
    </row>
    <row r="1344" spans="1:14" x14ac:dyDescent="0.2">
      <c r="A1344" t="s">
        <v>2428</v>
      </c>
      <c r="B1344" t="s">
        <v>2360</v>
      </c>
      <c r="C1344" s="9">
        <v>44935</v>
      </c>
      <c r="D1344" t="s">
        <v>946</v>
      </c>
      <c r="E1344" s="13">
        <v>5511950</v>
      </c>
      <c r="F1344" s="13">
        <v>5550</v>
      </c>
      <c r="G1344" s="9">
        <v>44937</v>
      </c>
      <c r="H1344" t="s">
        <v>1063</v>
      </c>
      <c r="I1344" t="s">
        <v>2382</v>
      </c>
      <c r="J1344" s="13">
        <v>122365</v>
      </c>
      <c r="K1344">
        <v>1</v>
      </c>
      <c r="L1344" t="s">
        <v>1064</v>
      </c>
      <c r="M1344" t="s">
        <v>2383</v>
      </c>
      <c r="N1344" s="15" t="s">
        <v>6878</v>
      </c>
    </row>
    <row r="1345" spans="1:14" x14ac:dyDescent="0.2">
      <c r="A1345" t="s">
        <v>2429</v>
      </c>
      <c r="B1345" t="s">
        <v>2360</v>
      </c>
      <c r="C1345" s="9">
        <v>44935</v>
      </c>
      <c r="D1345" t="s">
        <v>946</v>
      </c>
      <c r="E1345" s="13">
        <v>5511950</v>
      </c>
      <c r="F1345" s="13">
        <v>5550</v>
      </c>
      <c r="G1345" s="9">
        <v>44937</v>
      </c>
      <c r="H1345" t="s">
        <v>1063</v>
      </c>
      <c r="I1345" t="s">
        <v>2382</v>
      </c>
      <c r="J1345" s="13">
        <v>122365</v>
      </c>
      <c r="K1345">
        <v>1</v>
      </c>
      <c r="L1345" t="s">
        <v>1064</v>
      </c>
      <c r="M1345" t="s">
        <v>2383</v>
      </c>
      <c r="N1345" s="15" t="s">
        <v>6878</v>
      </c>
    </row>
    <row r="1346" spans="1:14" x14ac:dyDescent="0.2">
      <c r="A1346" t="s">
        <v>2430</v>
      </c>
      <c r="B1346" t="s">
        <v>2360</v>
      </c>
      <c r="C1346" s="9">
        <v>44935</v>
      </c>
      <c r="D1346" t="s">
        <v>946</v>
      </c>
      <c r="E1346" s="13">
        <v>5511950</v>
      </c>
      <c r="F1346" s="13">
        <v>5550</v>
      </c>
      <c r="G1346" s="9">
        <v>44937</v>
      </c>
      <c r="H1346" t="s">
        <v>1063</v>
      </c>
      <c r="I1346" t="s">
        <v>2382</v>
      </c>
      <c r="J1346" s="13">
        <v>122365</v>
      </c>
      <c r="K1346">
        <v>1</v>
      </c>
      <c r="L1346" t="s">
        <v>1064</v>
      </c>
      <c r="M1346" t="s">
        <v>2383</v>
      </c>
      <c r="N1346" s="15" t="s">
        <v>6878</v>
      </c>
    </row>
    <row r="1347" spans="1:14" x14ac:dyDescent="0.2">
      <c r="A1347" t="s">
        <v>2431</v>
      </c>
      <c r="B1347" t="s">
        <v>2360</v>
      </c>
      <c r="C1347" s="9">
        <v>44935</v>
      </c>
      <c r="D1347" t="s">
        <v>946</v>
      </c>
      <c r="E1347" s="13">
        <v>6549825</v>
      </c>
      <c r="F1347" s="13">
        <v>5550</v>
      </c>
      <c r="G1347" s="9">
        <v>44937</v>
      </c>
      <c r="H1347" t="s">
        <v>1063</v>
      </c>
      <c r="I1347" t="s">
        <v>2382</v>
      </c>
      <c r="J1347" s="13">
        <v>145405</v>
      </c>
      <c r="K1347">
        <v>1</v>
      </c>
      <c r="L1347" t="s">
        <v>1064</v>
      </c>
      <c r="M1347" t="s">
        <v>2383</v>
      </c>
      <c r="N1347" s="15" t="s">
        <v>6878</v>
      </c>
    </row>
    <row r="1348" spans="1:14" x14ac:dyDescent="0.2">
      <c r="A1348" t="s">
        <v>2432</v>
      </c>
      <c r="B1348" t="s">
        <v>2360</v>
      </c>
      <c r="C1348" s="9">
        <v>44935</v>
      </c>
      <c r="D1348" t="s">
        <v>946</v>
      </c>
      <c r="E1348" s="13">
        <v>5511950</v>
      </c>
      <c r="F1348" s="13">
        <v>5550</v>
      </c>
      <c r="G1348" s="9">
        <v>44937</v>
      </c>
      <c r="H1348" t="s">
        <v>1063</v>
      </c>
      <c r="I1348" t="s">
        <v>2382</v>
      </c>
      <c r="J1348" s="13">
        <v>122365</v>
      </c>
      <c r="K1348">
        <v>1</v>
      </c>
      <c r="L1348" t="s">
        <v>1064</v>
      </c>
      <c r="M1348" t="s">
        <v>2383</v>
      </c>
      <c r="N1348" s="15" t="s">
        <v>6878</v>
      </c>
    </row>
    <row r="1349" spans="1:14" x14ac:dyDescent="0.2">
      <c r="A1349" t="s">
        <v>2433</v>
      </c>
      <c r="B1349" t="s">
        <v>2360</v>
      </c>
      <c r="C1349" s="9">
        <v>44935</v>
      </c>
      <c r="D1349" t="s">
        <v>946</v>
      </c>
      <c r="E1349" s="13">
        <v>5511950</v>
      </c>
      <c r="F1349" s="13">
        <v>5550</v>
      </c>
      <c r="G1349" s="9">
        <v>44937</v>
      </c>
      <c r="H1349" t="s">
        <v>1063</v>
      </c>
      <c r="I1349" t="s">
        <v>2382</v>
      </c>
      <c r="J1349" s="13">
        <v>122365</v>
      </c>
      <c r="K1349">
        <v>1</v>
      </c>
      <c r="L1349" t="s">
        <v>1064</v>
      </c>
      <c r="M1349" t="s">
        <v>2383</v>
      </c>
      <c r="N1349" s="15" t="s">
        <v>6878</v>
      </c>
    </row>
    <row r="1350" spans="1:14" x14ac:dyDescent="0.2">
      <c r="A1350" t="s">
        <v>2434</v>
      </c>
      <c r="B1350" t="s">
        <v>2360</v>
      </c>
      <c r="C1350" s="9">
        <v>44935</v>
      </c>
      <c r="D1350" t="s">
        <v>946</v>
      </c>
      <c r="E1350" s="13">
        <v>6549825</v>
      </c>
      <c r="F1350" s="13">
        <v>5550</v>
      </c>
      <c r="G1350" s="9">
        <v>44937</v>
      </c>
      <c r="H1350" t="s">
        <v>1063</v>
      </c>
      <c r="I1350" t="s">
        <v>2382</v>
      </c>
      <c r="J1350" s="13">
        <v>145405</v>
      </c>
      <c r="K1350">
        <v>1</v>
      </c>
      <c r="L1350" t="s">
        <v>1064</v>
      </c>
      <c r="M1350" t="s">
        <v>2383</v>
      </c>
      <c r="N1350" s="15" t="s">
        <v>6878</v>
      </c>
    </row>
    <row r="1351" spans="1:14" x14ac:dyDescent="0.2">
      <c r="A1351" t="s">
        <v>2435</v>
      </c>
      <c r="B1351" t="s">
        <v>2360</v>
      </c>
      <c r="C1351" s="9">
        <v>44935</v>
      </c>
      <c r="D1351" t="s">
        <v>946</v>
      </c>
      <c r="E1351" s="13">
        <v>2983500</v>
      </c>
      <c r="F1351" s="13">
        <v>5550</v>
      </c>
      <c r="G1351" s="9">
        <v>44937</v>
      </c>
      <c r="H1351" t="s">
        <v>1063</v>
      </c>
      <c r="I1351" t="s">
        <v>2382</v>
      </c>
      <c r="J1351" s="13">
        <v>66233</v>
      </c>
      <c r="K1351">
        <v>1</v>
      </c>
      <c r="L1351" t="s">
        <v>1064</v>
      </c>
      <c r="M1351" t="s">
        <v>2383</v>
      </c>
      <c r="N1351" s="15" t="s">
        <v>6878</v>
      </c>
    </row>
    <row r="1352" spans="1:14" x14ac:dyDescent="0.2">
      <c r="A1352" t="s">
        <v>2436</v>
      </c>
      <c r="B1352" t="s">
        <v>2360</v>
      </c>
      <c r="C1352" s="9">
        <v>44935</v>
      </c>
      <c r="D1352" t="s">
        <v>9</v>
      </c>
      <c r="E1352" s="13">
        <v>340060</v>
      </c>
      <c r="F1352" s="13">
        <v>24975</v>
      </c>
      <c r="G1352" s="9">
        <v>44950</v>
      </c>
      <c r="H1352" t="s">
        <v>1111</v>
      </c>
      <c r="I1352" t="s">
        <v>436</v>
      </c>
      <c r="J1352" s="13">
        <v>11323</v>
      </c>
      <c r="K1352">
        <v>1</v>
      </c>
      <c r="L1352" t="s">
        <v>1064</v>
      </c>
      <c r="M1352" t="s">
        <v>2364</v>
      </c>
      <c r="N1352" s="15" t="s">
        <v>6878</v>
      </c>
    </row>
    <row r="1353" spans="1:14" x14ac:dyDescent="0.2">
      <c r="A1353" t="s">
        <v>2437</v>
      </c>
      <c r="B1353" t="s">
        <v>2360</v>
      </c>
      <c r="C1353" s="9">
        <v>44935</v>
      </c>
      <c r="D1353" t="s">
        <v>9</v>
      </c>
      <c r="E1353" s="13">
        <v>730953</v>
      </c>
      <c r="F1353" s="13">
        <v>24975</v>
      </c>
      <c r="G1353" s="9">
        <v>44950</v>
      </c>
      <c r="H1353" t="s">
        <v>1063</v>
      </c>
      <c r="I1353" t="s">
        <v>2438</v>
      </c>
      <c r="J1353" s="13">
        <v>24340</v>
      </c>
      <c r="K1353">
        <v>1</v>
      </c>
      <c r="L1353" t="s">
        <v>1064</v>
      </c>
      <c r="M1353" t="s">
        <v>2439</v>
      </c>
      <c r="N1353" s="15" t="s">
        <v>6878</v>
      </c>
    </row>
    <row r="1354" spans="1:14" x14ac:dyDescent="0.2">
      <c r="A1354" t="s">
        <v>2440</v>
      </c>
      <c r="B1354" t="s">
        <v>2360</v>
      </c>
      <c r="C1354" s="9">
        <v>44935</v>
      </c>
      <c r="D1354" t="s">
        <v>9</v>
      </c>
      <c r="E1354" s="13">
        <v>340060</v>
      </c>
      <c r="F1354" s="13">
        <v>24975</v>
      </c>
      <c r="G1354" s="9">
        <v>44936</v>
      </c>
      <c r="H1354" t="s">
        <v>1063</v>
      </c>
      <c r="I1354" t="s">
        <v>436</v>
      </c>
      <c r="J1354" s="13">
        <v>11323</v>
      </c>
      <c r="K1354">
        <v>1</v>
      </c>
      <c r="L1354" t="s">
        <v>1064</v>
      </c>
      <c r="M1354" t="s">
        <v>2364</v>
      </c>
      <c r="N1354" s="15" t="s">
        <v>6878</v>
      </c>
    </row>
    <row r="1355" spans="1:14" x14ac:dyDescent="0.2">
      <c r="A1355" t="s">
        <v>2441</v>
      </c>
      <c r="B1355" t="s">
        <v>2360</v>
      </c>
      <c r="C1355" s="9">
        <v>44935</v>
      </c>
      <c r="D1355" t="s">
        <v>9</v>
      </c>
      <c r="E1355" s="13">
        <v>848229</v>
      </c>
      <c r="F1355" s="13">
        <v>24975</v>
      </c>
      <c r="G1355" s="9">
        <v>44950</v>
      </c>
      <c r="H1355" t="s">
        <v>1063</v>
      </c>
      <c r="I1355" t="s">
        <v>2438</v>
      </c>
      <c r="J1355" s="13">
        <v>28245</v>
      </c>
      <c r="K1355">
        <v>1</v>
      </c>
      <c r="L1355" t="s">
        <v>1064</v>
      </c>
      <c r="M1355" t="s">
        <v>2439</v>
      </c>
      <c r="N1355" s="15" t="s">
        <v>6878</v>
      </c>
    </row>
    <row r="1356" spans="1:14" x14ac:dyDescent="0.2">
      <c r="A1356" t="s">
        <v>2442</v>
      </c>
      <c r="B1356" t="s">
        <v>2360</v>
      </c>
      <c r="C1356" s="9">
        <v>44935</v>
      </c>
      <c r="D1356" t="s">
        <v>9</v>
      </c>
      <c r="E1356" s="13">
        <v>831042</v>
      </c>
      <c r="F1356" s="13">
        <v>24975</v>
      </c>
      <c r="G1356" s="9">
        <v>44950</v>
      </c>
      <c r="H1356" t="s">
        <v>1063</v>
      </c>
      <c r="I1356" t="s">
        <v>2438</v>
      </c>
      <c r="J1356" s="13">
        <v>27673</v>
      </c>
      <c r="K1356">
        <v>1</v>
      </c>
      <c r="L1356" t="s">
        <v>1064</v>
      </c>
      <c r="M1356" t="s">
        <v>2439</v>
      </c>
      <c r="N1356" s="15" t="s">
        <v>6878</v>
      </c>
    </row>
    <row r="1357" spans="1:14" x14ac:dyDescent="0.2">
      <c r="A1357" t="s">
        <v>2443</v>
      </c>
      <c r="B1357" t="s">
        <v>2360</v>
      </c>
      <c r="C1357" s="9">
        <v>44935</v>
      </c>
      <c r="D1357" t="s">
        <v>9</v>
      </c>
      <c r="E1357" s="13">
        <v>274890</v>
      </c>
      <c r="F1357" s="13">
        <v>24975</v>
      </c>
      <c r="G1357" s="9">
        <v>44950</v>
      </c>
      <c r="H1357" t="s">
        <v>1111</v>
      </c>
      <c r="I1357" t="s">
        <v>436</v>
      </c>
      <c r="J1357" s="13">
        <v>9153</v>
      </c>
      <c r="K1357">
        <v>1</v>
      </c>
      <c r="L1357" t="s">
        <v>1064</v>
      </c>
      <c r="M1357" t="s">
        <v>2364</v>
      </c>
      <c r="N1357" s="15" t="s">
        <v>6878</v>
      </c>
    </row>
    <row r="1358" spans="1:14" x14ac:dyDescent="0.2">
      <c r="A1358" t="s">
        <v>2444</v>
      </c>
      <c r="B1358" t="s">
        <v>2360</v>
      </c>
      <c r="C1358" s="9">
        <v>44935</v>
      </c>
      <c r="D1358" t="s">
        <v>9</v>
      </c>
      <c r="E1358" s="13">
        <v>372400</v>
      </c>
      <c r="F1358" s="13">
        <v>24975</v>
      </c>
      <c r="G1358" s="9">
        <v>44950</v>
      </c>
      <c r="H1358" t="s">
        <v>1111</v>
      </c>
      <c r="I1358" t="s">
        <v>436</v>
      </c>
      <c r="J1358" s="13">
        <v>12400</v>
      </c>
      <c r="K1358">
        <v>1</v>
      </c>
      <c r="L1358" t="s">
        <v>1064</v>
      </c>
      <c r="M1358" t="s">
        <v>2364</v>
      </c>
      <c r="N1358" s="15" t="s">
        <v>6878</v>
      </c>
    </row>
    <row r="1359" spans="1:14" x14ac:dyDescent="0.2">
      <c r="A1359" t="s">
        <v>2445</v>
      </c>
      <c r="B1359" t="s">
        <v>2360</v>
      </c>
      <c r="C1359" s="9">
        <v>44936</v>
      </c>
      <c r="D1359" t="s">
        <v>9</v>
      </c>
      <c r="E1359" s="13">
        <v>340060</v>
      </c>
      <c r="F1359" s="13">
        <v>24975</v>
      </c>
      <c r="G1359" s="9">
        <v>44950</v>
      </c>
      <c r="H1359" t="s">
        <v>1111</v>
      </c>
      <c r="I1359" t="s">
        <v>436</v>
      </c>
      <c r="J1359" s="13">
        <v>11323</v>
      </c>
      <c r="K1359">
        <v>1</v>
      </c>
      <c r="L1359" t="s">
        <v>1064</v>
      </c>
      <c r="M1359" t="s">
        <v>2364</v>
      </c>
      <c r="N1359" s="15" t="s">
        <v>6878</v>
      </c>
    </row>
    <row r="1360" spans="1:14" x14ac:dyDescent="0.2">
      <c r="A1360" t="s">
        <v>2446</v>
      </c>
      <c r="B1360" t="s">
        <v>2360</v>
      </c>
      <c r="C1360" s="9">
        <v>44936</v>
      </c>
      <c r="D1360" t="s">
        <v>9</v>
      </c>
      <c r="E1360" s="13">
        <v>245490</v>
      </c>
      <c r="F1360" s="13">
        <v>24975</v>
      </c>
      <c r="G1360" s="9">
        <v>44950</v>
      </c>
      <c r="H1360" t="s">
        <v>1111</v>
      </c>
      <c r="I1360" t="s">
        <v>436</v>
      </c>
      <c r="J1360" s="13">
        <v>8174</v>
      </c>
      <c r="K1360">
        <v>1</v>
      </c>
      <c r="L1360" t="s">
        <v>1064</v>
      </c>
      <c r="M1360" t="s">
        <v>2364</v>
      </c>
      <c r="N1360" s="15" t="s">
        <v>6878</v>
      </c>
    </row>
    <row r="1361" spans="1:14" x14ac:dyDescent="0.2">
      <c r="A1361" t="s">
        <v>2447</v>
      </c>
      <c r="B1361" t="s">
        <v>2360</v>
      </c>
      <c r="C1361" s="9">
        <v>44936</v>
      </c>
      <c r="D1361" t="s">
        <v>9</v>
      </c>
      <c r="E1361" s="13">
        <v>783323</v>
      </c>
      <c r="F1361" s="13">
        <v>24975</v>
      </c>
      <c r="G1361" s="9">
        <v>44950</v>
      </c>
      <c r="H1361" t="s">
        <v>1063</v>
      </c>
      <c r="I1361" t="s">
        <v>2438</v>
      </c>
      <c r="J1361" s="13">
        <v>26083</v>
      </c>
      <c r="K1361">
        <v>1</v>
      </c>
      <c r="L1361" t="s">
        <v>1064</v>
      </c>
      <c r="M1361" t="s">
        <v>2439</v>
      </c>
      <c r="N1361" s="15" t="s">
        <v>6878</v>
      </c>
    </row>
    <row r="1362" spans="1:14" x14ac:dyDescent="0.2">
      <c r="A1362" t="s">
        <v>2448</v>
      </c>
      <c r="B1362" t="s">
        <v>2360</v>
      </c>
      <c r="C1362" s="9">
        <v>44940</v>
      </c>
      <c r="D1362" t="s">
        <v>992</v>
      </c>
      <c r="E1362" s="13">
        <v>2462796</v>
      </c>
      <c r="F1362" s="13">
        <v>22200</v>
      </c>
      <c r="G1362" s="9">
        <v>44940</v>
      </c>
      <c r="H1362" t="s">
        <v>1063</v>
      </c>
      <c r="I1362" t="s">
        <v>2370</v>
      </c>
      <c r="J1362" s="13">
        <v>109347</v>
      </c>
      <c r="K1362">
        <v>1</v>
      </c>
      <c r="L1362" t="s">
        <v>1064</v>
      </c>
      <c r="M1362" t="s">
        <v>2371</v>
      </c>
      <c r="N1362" s="15" t="s">
        <v>6878</v>
      </c>
    </row>
    <row r="1363" spans="1:14" x14ac:dyDescent="0.2">
      <c r="A1363" t="s">
        <v>2449</v>
      </c>
      <c r="B1363" t="s">
        <v>2360</v>
      </c>
      <c r="C1363" s="9">
        <v>44941</v>
      </c>
      <c r="D1363" t="s">
        <v>9</v>
      </c>
      <c r="E1363" s="13">
        <v>315560</v>
      </c>
      <c r="F1363" s="13">
        <v>24975</v>
      </c>
      <c r="G1363" s="9">
        <v>44950</v>
      </c>
      <c r="H1363" t="s">
        <v>1111</v>
      </c>
      <c r="I1363" t="s">
        <v>436</v>
      </c>
      <c r="J1363" s="13">
        <v>10507</v>
      </c>
      <c r="K1363">
        <v>1</v>
      </c>
      <c r="L1363" t="s">
        <v>1064</v>
      </c>
      <c r="M1363" t="s">
        <v>2364</v>
      </c>
      <c r="N1363" s="15" t="s">
        <v>6878</v>
      </c>
    </row>
    <row r="1364" spans="1:14" x14ac:dyDescent="0.2">
      <c r="A1364" t="s">
        <v>2450</v>
      </c>
      <c r="B1364" t="s">
        <v>2360</v>
      </c>
      <c r="C1364" s="9">
        <v>44941</v>
      </c>
      <c r="D1364" t="s">
        <v>9</v>
      </c>
      <c r="E1364" s="13">
        <v>340060</v>
      </c>
      <c r="F1364" s="13">
        <v>24975</v>
      </c>
      <c r="G1364" s="9">
        <v>44950</v>
      </c>
      <c r="H1364" t="s">
        <v>1111</v>
      </c>
      <c r="I1364" t="s">
        <v>436</v>
      </c>
      <c r="J1364" s="13">
        <v>11323</v>
      </c>
      <c r="K1364">
        <v>1</v>
      </c>
      <c r="L1364" t="s">
        <v>1064</v>
      </c>
      <c r="M1364" t="s">
        <v>2364</v>
      </c>
      <c r="N1364" s="15" t="s">
        <v>6878</v>
      </c>
    </row>
    <row r="1365" spans="1:14" x14ac:dyDescent="0.2">
      <c r="A1365" t="s">
        <v>2451</v>
      </c>
      <c r="B1365" t="s">
        <v>2360</v>
      </c>
      <c r="C1365" s="9">
        <v>44941</v>
      </c>
      <c r="D1365" t="s">
        <v>9</v>
      </c>
      <c r="E1365" s="13">
        <v>287630</v>
      </c>
      <c r="F1365" s="13">
        <v>24975</v>
      </c>
      <c r="G1365" s="9">
        <v>44950</v>
      </c>
      <c r="H1365" t="s">
        <v>1111</v>
      </c>
      <c r="I1365" t="s">
        <v>436</v>
      </c>
      <c r="J1365" s="13">
        <v>9577</v>
      </c>
      <c r="K1365">
        <v>1</v>
      </c>
      <c r="L1365" t="s">
        <v>1064</v>
      </c>
      <c r="M1365" t="s">
        <v>2364</v>
      </c>
      <c r="N1365" s="15" t="s">
        <v>6878</v>
      </c>
    </row>
    <row r="1366" spans="1:14" x14ac:dyDescent="0.2">
      <c r="A1366" t="s">
        <v>2452</v>
      </c>
      <c r="B1366" t="s">
        <v>2360</v>
      </c>
      <c r="C1366" s="9">
        <v>44941</v>
      </c>
      <c r="D1366" t="s">
        <v>9</v>
      </c>
      <c r="E1366" s="13">
        <v>287630</v>
      </c>
      <c r="F1366" s="13">
        <v>24975</v>
      </c>
      <c r="G1366" s="9">
        <v>44950</v>
      </c>
      <c r="H1366" t="s">
        <v>1111</v>
      </c>
      <c r="I1366" t="s">
        <v>436</v>
      </c>
      <c r="J1366" s="13">
        <v>9577</v>
      </c>
      <c r="K1366">
        <v>1</v>
      </c>
      <c r="L1366" t="s">
        <v>1064</v>
      </c>
      <c r="M1366" t="s">
        <v>2364</v>
      </c>
      <c r="N1366" s="15" t="s">
        <v>6878</v>
      </c>
    </row>
    <row r="1367" spans="1:14" x14ac:dyDescent="0.2">
      <c r="A1367" t="s">
        <v>2453</v>
      </c>
      <c r="B1367" t="s">
        <v>2360</v>
      </c>
      <c r="C1367" s="9">
        <v>44942</v>
      </c>
      <c r="D1367" t="s">
        <v>9</v>
      </c>
      <c r="E1367" s="13">
        <v>294490</v>
      </c>
      <c r="F1367" s="13">
        <v>24975</v>
      </c>
      <c r="G1367" s="9">
        <v>44950</v>
      </c>
      <c r="H1367" t="s">
        <v>1111</v>
      </c>
      <c r="I1367" t="s">
        <v>436</v>
      </c>
      <c r="J1367" s="13">
        <v>9805</v>
      </c>
      <c r="K1367">
        <v>1</v>
      </c>
      <c r="L1367" t="s">
        <v>1064</v>
      </c>
      <c r="M1367" t="s">
        <v>2364</v>
      </c>
      <c r="N1367" s="15" t="s">
        <v>6878</v>
      </c>
    </row>
    <row r="1368" spans="1:14" x14ac:dyDescent="0.2">
      <c r="A1368" t="s">
        <v>2454</v>
      </c>
      <c r="B1368" t="s">
        <v>2360</v>
      </c>
      <c r="C1368" s="9">
        <v>44942</v>
      </c>
      <c r="D1368" t="s">
        <v>9</v>
      </c>
      <c r="E1368" s="13">
        <v>2704800</v>
      </c>
      <c r="F1368" s="13">
        <v>24975</v>
      </c>
      <c r="G1368" s="9">
        <v>44950</v>
      </c>
      <c r="H1368" t="s">
        <v>1063</v>
      </c>
      <c r="I1368" t="s">
        <v>2361</v>
      </c>
      <c r="J1368" s="13">
        <v>90069</v>
      </c>
      <c r="K1368">
        <v>1</v>
      </c>
      <c r="L1368" t="s">
        <v>1064</v>
      </c>
      <c r="M1368" t="s">
        <v>2362</v>
      </c>
      <c r="N1368" s="15" t="s">
        <v>6878</v>
      </c>
    </row>
    <row r="1369" spans="1:14" x14ac:dyDescent="0.2">
      <c r="A1369" t="s">
        <v>2455</v>
      </c>
      <c r="B1369" t="s">
        <v>2360</v>
      </c>
      <c r="C1369" s="9">
        <v>44942</v>
      </c>
      <c r="D1369" t="s">
        <v>9</v>
      </c>
      <c r="E1369" s="13">
        <v>340060</v>
      </c>
      <c r="F1369" s="13">
        <v>24975</v>
      </c>
      <c r="G1369" s="9">
        <v>44950</v>
      </c>
      <c r="H1369" t="s">
        <v>1111</v>
      </c>
      <c r="I1369" t="s">
        <v>436</v>
      </c>
      <c r="J1369" s="13">
        <v>11323</v>
      </c>
      <c r="K1369">
        <v>1</v>
      </c>
      <c r="L1369" t="s">
        <v>1064</v>
      </c>
      <c r="M1369" t="s">
        <v>2364</v>
      </c>
      <c r="N1369" s="15" t="s">
        <v>6878</v>
      </c>
    </row>
    <row r="1370" spans="1:14" x14ac:dyDescent="0.2">
      <c r="A1370" t="s">
        <v>2456</v>
      </c>
      <c r="B1370" t="s">
        <v>2360</v>
      </c>
      <c r="C1370" s="9">
        <v>44942</v>
      </c>
      <c r="D1370" t="s">
        <v>9</v>
      </c>
      <c r="E1370" s="13">
        <v>340060</v>
      </c>
      <c r="F1370" s="13">
        <v>24975</v>
      </c>
      <c r="G1370" s="9">
        <v>44950</v>
      </c>
      <c r="H1370" t="s">
        <v>1111</v>
      </c>
      <c r="I1370" t="s">
        <v>436</v>
      </c>
      <c r="J1370" s="13">
        <v>11323</v>
      </c>
      <c r="K1370">
        <v>1</v>
      </c>
      <c r="L1370" t="s">
        <v>1064</v>
      </c>
      <c r="M1370" t="s">
        <v>2364</v>
      </c>
      <c r="N1370" s="15" t="s">
        <v>6878</v>
      </c>
    </row>
    <row r="1371" spans="1:14" x14ac:dyDescent="0.2">
      <c r="A1371" t="s">
        <v>2457</v>
      </c>
      <c r="B1371" t="s">
        <v>2360</v>
      </c>
      <c r="C1371" s="9">
        <v>44942</v>
      </c>
      <c r="D1371" t="s">
        <v>992</v>
      </c>
      <c r="E1371" s="13">
        <v>3530000</v>
      </c>
      <c r="F1371" s="13">
        <v>22200</v>
      </c>
      <c r="G1371" s="9">
        <v>44942</v>
      </c>
      <c r="H1371" t="s">
        <v>1063</v>
      </c>
      <c r="I1371" t="s">
        <v>2370</v>
      </c>
      <c r="J1371" s="13">
        <v>156732</v>
      </c>
      <c r="K1371">
        <v>1</v>
      </c>
      <c r="L1371" t="s">
        <v>1064</v>
      </c>
      <c r="M1371" t="s">
        <v>2371</v>
      </c>
      <c r="N1371" s="15" t="s">
        <v>6878</v>
      </c>
    </row>
    <row r="1372" spans="1:14" x14ac:dyDescent="0.2">
      <c r="A1372" t="s">
        <v>2458</v>
      </c>
      <c r="B1372" t="s">
        <v>2360</v>
      </c>
      <c r="C1372" s="9">
        <v>44942</v>
      </c>
      <c r="D1372" t="s">
        <v>992</v>
      </c>
      <c r="E1372" s="13">
        <v>4289300</v>
      </c>
      <c r="F1372" s="13">
        <v>22200</v>
      </c>
      <c r="G1372" s="9">
        <v>44942</v>
      </c>
      <c r="H1372" t="s">
        <v>1063</v>
      </c>
      <c r="I1372" t="s">
        <v>2370</v>
      </c>
      <c r="J1372" s="13">
        <v>190444</v>
      </c>
      <c r="K1372">
        <v>1</v>
      </c>
      <c r="L1372" t="s">
        <v>1064</v>
      </c>
      <c r="M1372" t="s">
        <v>2371</v>
      </c>
      <c r="N1372" s="15" t="s">
        <v>6878</v>
      </c>
    </row>
    <row r="1373" spans="1:14" x14ac:dyDescent="0.2">
      <c r="A1373" t="s">
        <v>2459</v>
      </c>
      <c r="B1373" t="s">
        <v>2360</v>
      </c>
      <c r="C1373" s="9">
        <v>44942</v>
      </c>
      <c r="D1373" t="s">
        <v>992</v>
      </c>
      <c r="E1373" s="13">
        <v>2462796</v>
      </c>
      <c r="F1373" s="13">
        <v>22200</v>
      </c>
      <c r="G1373" s="9">
        <v>44953</v>
      </c>
      <c r="H1373" t="s">
        <v>1063</v>
      </c>
      <c r="I1373" t="s">
        <v>2370</v>
      </c>
      <c r="J1373" s="13">
        <v>109347</v>
      </c>
      <c r="K1373">
        <v>1</v>
      </c>
      <c r="L1373" t="s">
        <v>1064</v>
      </c>
      <c r="M1373" t="s">
        <v>2371</v>
      </c>
      <c r="N1373" s="15" t="s">
        <v>6878</v>
      </c>
    </row>
    <row r="1374" spans="1:14" x14ac:dyDescent="0.2">
      <c r="A1374" t="s">
        <v>2460</v>
      </c>
      <c r="B1374" t="s">
        <v>2360</v>
      </c>
      <c r="C1374" s="9">
        <v>44942</v>
      </c>
      <c r="D1374" t="s">
        <v>992</v>
      </c>
      <c r="E1374" s="13">
        <v>4334517</v>
      </c>
      <c r="F1374" s="13">
        <v>22200</v>
      </c>
      <c r="G1374" s="9">
        <v>44953</v>
      </c>
      <c r="H1374" t="s">
        <v>1063</v>
      </c>
      <c r="I1374" t="s">
        <v>2370</v>
      </c>
      <c r="J1374" s="13">
        <v>192451</v>
      </c>
      <c r="K1374">
        <v>1</v>
      </c>
      <c r="L1374" t="s">
        <v>1064</v>
      </c>
      <c r="M1374" t="s">
        <v>2371</v>
      </c>
      <c r="N1374" s="15" t="s">
        <v>6878</v>
      </c>
    </row>
    <row r="1375" spans="1:14" x14ac:dyDescent="0.2">
      <c r="A1375" t="s">
        <v>2461</v>
      </c>
      <c r="B1375" t="s">
        <v>2360</v>
      </c>
      <c r="C1375" s="9">
        <v>44942</v>
      </c>
      <c r="D1375" t="s">
        <v>992</v>
      </c>
      <c r="E1375" s="13">
        <v>4597019</v>
      </c>
      <c r="F1375" s="13">
        <v>22200</v>
      </c>
      <c r="G1375" s="9">
        <v>44953</v>
      </c>
      <c r="H1375" t="s">
        <v>1063</v>
      </c>
      <c r="I1375" t="s">
        <v>2370</v>
      </c>
      <c r="J1375" s="13">
        <v>204106</v>
      </c>
      <c r="K1375">
        <v>1</v>
      </c>
      <c r="L1375" t="s">
        <v>1064</v>
      </c>
      <c r="M1375" t="s">
        <v>2371</v>
      </c>
      <c r="N1375" s="15" t="s">
        <v>6878</v>
      </c>
    </row>
    <row r="1376" spans="1:14" x14ac:dyDescent="0.2">
      <c r="A1376" t="s">
        <v>2462</v>
      </c>
      <c r="B1376" t="s">
        <v>2360</v>
      </c>
      <c r="C1376" s="9">
        <v>44942</v>
      </c>
      <c r="D1376" t="s">
        <v>9</v>
      </c>
      <c r="E1376" s="13">
        <v>399350</v>
      </c>
      <c r="F1376" s="13">
        <v>24975</v>
      </c>
      <c r="G1376" s="9">
        <v>44950</v>
      </c>
      <c r="H1376" t="s">
        <v>1111</v>
      </c>
      <c r="I1376" t="s">
        <v>436</v>
      </c>
      <c r="J1376" s="13">
        <v>13297</v>
      </c>
      <c r="K1376">
        <v>1</v>
      </c>
      <c r="L1376" t="s">
        <v>1064</v>
      </c>
      <c r="M1376" t="s">
        <v>2364</v>
      </c>
      <c r="N1376" s="15" t="s">
        <v>6878</v>
      </c>
    </row>
    <row r="1377" spans="1:14" x14ac:dyDescent="0.2">
      <c r="A1377" t="s">
        <v>2463</v>
      </c>
      <c r="B1377" t="s">
        <v>2360</v>
      </c>
      <c r="C1377" s="9">
        <v>44942</v>
      </c>
      <c r="D1377" t="s">
        <v>9</v>
      </c>
      <c r="E1377" s="13">
        <v>3606400</v>
      </c>
      <c r="F1377" s="13">
        <v>24975</v>
      </c>
      <c r="G1377" s="9">
        <v>44953</v>
      </c>
      <c r="H1377" t="s">
        <v>1063</v>
      </c>
      <c r="I1377" t="s">
        <v>2361</v>
      </c>
      <c r="J1377" s="13">
        <v>120093</v>
      </c>
      <c r="K1377">
        <v>1</v>
      </c>
      <c r="L1377" t="s">
        <v>1064</v>
      </c>
      <c r="M1377" t="s">
        <v>2362</v>
      </c>
      <c r="N1377" s="15" t="s">
        <v>6878</v>
      </c>
    </row>
    <row r="1378" spans="1:14" x14ac:dyDescent="0.2">
      <c r="A1378" t="s">
        <v>2464</v>
      </c>
      <c r="B1378" t="s">
        <v>2360</v>
      </c>
      <c r="C1378" s="9">
        <v>44942</v>
      </c>
      <c r="D1378" t="s">
        <v>9</v>
      </c>
      <c r="E1378" s="13">
        <v>458150</v>
      </c>
      <c r="F1378" s="13">
        <v>24975</v>
      </c>
      <c r="G1378" s="9">
        <v>44950</v>
      </c>
      <c r="H1378" t="s">
        <v>1111</v>
      </c>
      <c r="I1378" t="s">
        <v>436</v>
      </c>
      <c r="J1378" s="13">
        <v>15255</v>
      </c>
      <c r="K1378">
        <v>1</v>
      </c>
      <c r="L1378" t="s">
        <v>1064</v>
      </c>
      <c r="M1378" t="s">
        <v>2364</v>
      </c>
      <c r="N1378" s="15" t="s">
        <v>6878</v>
      </c>
    </row>
    <row r="1379" spans="1:14" x14ac:dyDescent="0.2">
      <c r="A1379" t="s">
        <v>2465</v>
      </c>
      <c r="B1379" t="s">
        <v>2360</v>
      </c>
      <c r="C1379" s="9">
        <v>44942</v>
      </c>
      <c r="D1379" t="s">
        <v>9</v>
      </c>
      <c r="E1379" s="13">
        <v>294490</v>
      </c>
      <c r="F1379" s="13">
        <v>24975</v>
      </c>
      <c r="G1379" s="9">
        <v>44950</v>
      </c>
      <c r="H1379" t="s">
        <v>1111</v>
      </c>
      <c r="I1379" t="s">
        <v>436</v>
      </c>
      <c r="J1379" s="13">
        <v>9805</v>
      </c>
      <c r="K1379">
        <v>1</v>
      </c>
      <c r="L1379" t="s">
        <v>1064</v>
      </c>
      <c r="M1379" t="s">
        <v>2364</v>
      </c>
      <c r="N1379" s="15" t="s">
        <v>6878</v>
      </c>
    </row>
    <row r="1380" spans="1:14" x14ac:dyDescent="0.2">
      <c r="A1380" t="s">
        <v>2466</v>
      </c>
      <c r="B1380" t="s">
        <v>2360</v>
      </c>
      <c r="C1380" s="9">
        <v>44943</v>
      </c>
      <c r="D1380" t="s">
        <v>9</v>
      </c>
      <c r="E1380" s="13">
        <v>1080355</v>
      </c>
      <c r="F1380" s="13">
        <v>24975</v>
      </c>
      <c r="G1380" s="9">
        <v>44950</v>
      </c>
      <c r="H1380" t="s">
        <v>1063</v>
      </c>
      <c r="I1380" t="s">
        <v>2438</v>
      </c>
      <c r="J1380" s="13">
        <v>35975</v>
      </c>
      <c r="K1380">
        <v>1</v>
      </c>
      <c r="L1380" t="s">
        <v>1064</v>
      </c>
      <c r="M1380" t="s">
        <v>2439</v>
      </c>
      <c r="N1380" s="15" t="s">
        <v>6878</v>
      </c>
    </row>
    <row r="1381" spans="1:14" x14ac:dyDescent="0.2">
      <c r="A1381" t="s">
        <v>2467</v>
      </c>
      <c r="B1381" t="s">
        <v>2360</v>
      </c>
      <c r="C1381" s="9">
        <v>44943</v>
      </c>
      <c r="D1381" t="s">
        <v>9</v>
      </c>
      <c r="E1381" s="13">
        <v>399350</v>
      </c>
      <c r="F1381" s="13">
        <v>24975</v>
      </c>
      <c r="G1381" s="9">
        <v>44950</v>
      </c>
      <c r="H1381" t="s">
        <v>1111</v>
      </c>
      <c r="I1381" t="s">
        <v>436</v>
      </c>
      <c r="J1381" s="13">
        <v>13297</v>
      </c>
      <c r="K1381">
        <v>1</v>
      </c>
      <c r="L1381" t="s">
        <v>1064</v>
      </c>
      <c r="M1381" t="s">
        <v>2364</v>
      </c>
      <c r="N1381" s="15" t="s">
        <v>6878</v>
      </c>
    </row>
    <row r="1382" spans="1:14" x14ac:dyDescent="0.2">
      <c r="A1382" t="s">
        <v>2468</v>
      </c>
      <c r="B1382" t="s">
        <v>2360</v>
      </c>
      <c r="C1382" s="9">
        <v>44943</v>
      </c>
      <c r="D1382" t="s">
        <v>9</v>
      </c>
      <c r="E1382" s="13">
        <v>268030</v>
      </c>
      <c r="F1382" s="13">
        <v>24975</v>
      </c>
      <c r="G1382" s="9">
        <v>44950</v>
      </c>
      <c r="H1382" t="s">
        <v>1111</v>
      </c>
      <c r="I1382" t="s">
        <v>436</v>
      </c>
      <c r="J1382" s="13">
        <v>8924</v>
      </c>
      <c r="K1382">
        <v>1</v>
      </c>
      <c r="L1382" t="s">
        <v>1064</v>
      </c>
      <c r="M1382" t="s">
        <v>2364</v>
      </c>
      <c r="N1382" s="15" t="s">
        <v>6878</v>
      </c>
    </row>
    <row r="1383" spans="1:14" x14ac:dyDescent="0.2">
      <c r="A1383" t="s">
        <v>2469</v>
      </c>
      <c r="B1383" t="s">
        <v>2360</v>
      </c>
      <c r="C1383" s="9">
        <v>44943</v>
      </c>
      <c r="D1383" t="s">
        <v>9</v>
      </c>
      <c r="E1383" s="13">
        <v>458150</v>
      </c>
      <c r="F1383" s="13">
        <v>49950</v>
      </c>
      <c r="G1383" s="9">
        <v>44950</v>
      </c>
      <c r="H1383" t="s">
        <v>1111</v>
      </c>
      <c r="I1383" t="s">
        <v>436</v>
      </c>
      <c r="J1383" s="13">
        <v>15255</v>
      </c>
      <c r="K1383">
        <v>2</v>
      </c>
      <c r="L1383" t="s">
        <v>1064</v>
      </c>
      <c r="M1383" t="s">
        <v>2364</v>
      </c>
      <c r="N1383" s="15" t="s">
        <v>6878</v>
      </c>
    </row>
    <row r="1384" spans="1:14" x14ac:dyDescent="0.2">
      <c r="A1384" t="s">
        <v>2470</v>
      </c>
      <c r="B1384" t="s">
        <v>2360</v>
      </c>
      <c r="C1384" s="9">
        <v>44943</v>
      </c>
      <c r="D1384" t="s">
        <v>9</v>
      </c>
      <c r="E1384" s="13">
        <v>352800</v>
      </c>
      <c r="F1384" s="13">
        <v>49950</v>
      </c>
      <c r="G1384" s="9">
        <v>44950</v>
      </c>
      <c r="H1384" t="s">
        <v>1111</v>
      </c>
      <c r="I1384" t="s">
        <v>436</v>
      </c>
      <c r="J1384" s="13">
        <v>11748</v>
      </c>
      <c r="K1384">
        <v>2</v>
      </c>
      <c r="L1384" t="s">
        <v>1064</v>
      </c>
      <c r="M1384" t="s">
        <v>2364</v>
      </c>
      <c r="N1384" s="15" t="s">
        <v>6878</v>
      </c>
    </row>
    <row r="1385" spans="1:14" x14ac:dyDescent="0.2">
      <c r="A1385" t="s">
        <v>2471</v>
      </c>
      <c r="B1385" t="s">
        <v>2360</v>
      </c>
      <c r="C1385" s="9">
        <v>44943</v>
      </c>
      <c r="D1385" t="s">
        <v>946</v>
      </c>
      <c r="E1385" s="13">
        <v>13450000</v>
      </c>
      <c r="F1385" s="13">
        <v>5550</v>
      </c>
      <c r="G1385" s="9">
        <v>44944</v>
      </c>
      <c r="H1385" t="s">
        <v>1063</v>
      </c>
      <c r="I1385" t="s">
        <v>2382</v>
      </c>
      <c r="J1385" s="13">
        <v>298590</v>
      </c>
      <c r="K1385">
        <v>1</v>
      </c>
      <c r="L1385" t="s">
        <v>1064</v>
      </c>
      <c r="M1385" t="s">
        <v>2383</v>
      </c>
      <c r="N1385" s="15" t="s">
        <v>6878</v>
      </c>
    </row>
    <row r="1386" spans="1:14" x14ac:dyDescent="0.2">
      <c r="A1386" t="s">
        <v>2472</v>
      </c>
      <c r="B1386" t="s">
        <v>2360</v>
      </c>
      <c r="C1386" s="9">
        <v>44943</v>
      </c>
      <c r="D1386" t="s">
        <v>946</v>
      </c>
      <c r="E1386" s="13">
        <v>7514100</v>
      </c>
      <c r="F1386" s="13">
        <v>5550</v>
      </c>
      <c r="G1386" s="9">
        <v>44944</v>
      </c>
      <c r="H1386" t="s">
        <v>1063</v>
      </c>
      <c r="I1386" t="s">
        <v>2382</v>
      </c>
      <c r="J1386" s="13">
        <v>166813</v>
      </c>
      <c r="K1386">
        <v>1</v>
      </c>
      <c r="L1386" t="s">
        <v>1064</v>
      </c>
      <c r="M1386" t="s">
        <v>2383</v>
      </c>
      <c r="N1386" s="15" t="s">
        <v>6878</v>
      </c>
    </row>
    <row r="1387" spans="1:14" x14ac:dyDescent="0.2">
      <c r="A1387" t="s">
        <v>2473</v>
      </c>
      <c r="B1387" t="s">
        <v>2360</v>
      </c>
      <c r="C1387" s="9">
        <v>44943</v>
      </c>
      <c r="D1387" t="s">
        <v>946</v>
      </c>
      <c r="E1387" s="13">
        <v>6205400</v>
      </c>
      <c r="F1387" s="13">
        <v>5550</v>
      </c>
      <c r="G1387" s="9">
        <v>44944</v>
      </c>
      <c r="H1387" t="s">
        <v>1063</v>
      </c>
      <c r="I1387" t="s">
        <v>2382</v>
      </c>
      <c r="J1387" s="13">
        <v>137759</v>
      </c>
      <c r="K1387">
        <v>1</v>
      </c>
      <c r="L1387" t="s">
        <v>1064</v>
      </c>
      <c r="M1387" t="s">
        <v>2383</v>
      </c>
      <c r="N1387" s="15" t="s">
        <v>6878</v>
      </c>
    </row>
    <row r="1388" spans="1:14" x14ac:dyDescent="0.2">
      <c r="A1388" t="s">
        <v>2474</v>
      </c>
      <c r="B1388" t="s">
        <v>2360</v>
      </c>
      <c r="C1388" s="9">
        <v>44943</v>
      </c>
      <c r="D1388" t="s">
        <v>946</v>
      </c>
      <c r="E1388" s="13">
        <v>6272100</v>
      </c>
      <c r="F1388" s="13">
        <v>5550</v>
      </c>
      <c r="G1388" s="9">
        <v>44944</v>
      </c>
      <c r="H1388" t="s">
        <v>1063</v>
      </c>
      <c r="I1388" t="s">
        <v>2382</v>
      </c>
      <c r="J1388" s="13">
        <v>139240</v>
      </c>
      <c r="K1388">
        <v>1</v>
      </c>
      <c r="L1388" t="s">
        <v>1064</v>
      </c>
      <c r="M1388" t="s">
        <v>2383</v>
      </c>
      <c r="N1388" s="15" t="s">
        <v>6878</v>
      </c>
    </row>
    <row r="1389" spans="1:14" x14ac:dyDescent="0.2">
      <c r="A1389" t="s">
        <v>2475</v>
      </c>
      <c r="B1389" t="s">
        <v>2360</v>
      </c>
      <c r="C1389" s="9">
        <v>44943</v>
      </c>
      <c r="D1389" t="s">
        <v>946</v>
      </c>
      <c r="E1389" s="13">
        <v>5511950</v>
      </c>
      <c r="F1389" s="13">
        <v>5550</v>
      </c>
      <c r="G1389" s="9">
        <v>44944</v>
      </c>
      <c r="H1389" t="s">
        <v>1063</v>
      </c>
      <c r="I1389" t="s">
        <v>2382</v>
      </c>
      <c r="J1389" s="13">
        <v>122365</v>
      </c>
      <c r="K1389">
        <v>1</v>
      </c>
      <c r="L1389" t="s">
        <v>1064</v>
      </c>
      <c r="M1389" t="s">
        <v>2383</v>
      </c>
      <c r="N1389" s="15" t="s">
        <v>6878</v>
      </c>
    </row>
    <row r="1390" spans="1:14" x14ac:dyDescent="0.2">
      <c r="A1390" t="s">
        <v>2476</v>
      </c>
      <c r="B1390" t="s">
        <v>2360</v>
      </c>
      <c r="C1390" s="9">
        <v>44943</v>
      </c>
      <c r="D1390" t="s">
        <v>946</v>
      </c>
      <c r="E1390" s="13">
        <v>5293450</v>
      </c>
      <c r="F1390" s="13">
        <v>5550</v>
      </c>
      <c r="G1390" s="9">
        <v>44944</v>
      </c>
      <c r="H1390" t="s">
        <v>1063</v>
      </c>
      <c r="I1390" t="s">
        <v>2382</v>
      </c>
      <c r="J1390" s="13">
        <v>117514</v>
      </c>
      <c r="K1390">
        <v>1</v>
      </c>
      <c r="L1390" t="s">
        <v>1064</v>
      </c>
      <c r="M1390" t="s">
        <v>2383</v>
      </c>
      <c r="N1390" s="15" t="s">
        <v>6878</v>
      </c>
    </row>
    <row r="1391" spans="1:14" x14ac:dyDescent="0.2">
      <c r="A1391" t="s">
        <v>2477</v>
      </c>
      <c r="B1391" t="s">
        <v>2360</v>
      </c>
      <c r="C1391" s="9">
        <v>44943</v>
      </c>
      <c r="D1391" t="s">
        <v>946</v>
      </c>
      <c r="E1391" s="13">
        <v>2056320</v>
      </c>
      <c r="F1391" s="13">
        <v>5550</v>
      </c>
      <c r="G1391" s="9">
        <v>44944</v>
      </c>
      <c r="H1391" t="s">
        <v>1063</v>
      </c>
      <c r="I1391" t="s">
        <v>2382</v>
      </c>
      <c r="J1391" s="13">
        <v>45649</v>
      </c>
      <c r="K1391">
        <v>1</v>
      </c>
      <c r="L1391" t="s">
        <v>1064</v>
      </c>
      <c r="M1391" t="s">
        <v>2383</v>
      </c>
      <c r="N1391" s="15" t="s">
        <v>6878</v>
      </c>
    </row>
    <row r="1392" spans="1:14" x14ac:dyDescent="0.2">
      <c r="A1392" t="s">
        <v>2478</v>
      </c>
      <c r="B1392" t="s">
        <v>2360</v>
      </c>
      <c r="C1392" s="9">
        <v>44943</v>
      </c>
      <c r="D1392" t="s">
        <v>946</v>
      </c>
      <c r="E1392" s="13">
        <v>5122440</v>
      </c>
      <c r="F1392" s="13">
        <v>5550</v>
      </c>
      <c r="G1392" s="9">
        <v>44944</v>
      </c>
      <c r="H1392" t="s">
        <v>1063</v>
      </c>
      <c r="I1392" t="s">
        <v>2382</v>
      </c>
      <c r="J1392" s="13">
        <v>113717</v>
      </c>
      <c r="K1392">
        <v>1</v>
      </c>
      <c r="L1392" t="s">
        <v>1064</v>
      </c>
      <c r="M1392" t="s">
        <v>2383</v>
      </c>
      <c r="N1392" s="15" t="s">
        <v>6878</v>
      </c>
    </row>
    <row r="1393" spans="1:14" x14ac:dyDescent="0.2">
      <c r="A1393" t="s">
        <v>2479</v>
      </c>
      <c r="B1393" t="s">
        <v>2360</v>
      </c>
      <c r="C1393" s="9">
        <v>44943</v>
      </c>
      <c r="D1393" t="s">
        <v>946</v>
      </c>
      <c r="E1393" s="13">
        <v>5280800</v>
      </c>
      <c r="F1393" s="13">
        <v>5550</v>
      </c>
      <c r="G1393" s="9">
        <v>44944</v>
      </c>
      <c r="H1393" t="s">
        <v>1063</v>
      </c>
      <c r="I1393" t="s">
        <v>2382</v>
      </c>
      <c r="J1393" s="13">
        <v>117233</v>
      </c>
      <c r="K1393">
        <v>1</v>
      </c>
      <c r="L1393" t="s">
        <v>1064</v>
      </c>
      <c r="M1393" t="s">
        <v>2383</v>
      </c>
      <c r="N1393" s="15" t="s">
        <v>6878</v>
      </c>
    </row>
    <row r="1394" spans="1:14" x14ac:dyDescent="0.2">
      <c r="A1394" t="s">
        <v>2480</v>
      </c>
      <c r="B1394" t="s">
        <v>2360</v>
      </c>
      <c r="C1394" s="9">
        <v>44943</v>
      </c>
      <c r="D1394" t="s">
        <v>946</v>
      </c>
      <c r="E1394" s="13">
        <v>5004225</v>
      </c>
      <c r="F1394" s="13">
        <v>5550</v>
      </c>
      <c r="G1394" s="9">
        <v>44944</v>
      </c>
      <c r="H1394" t="s">
        <v>1063</v>
      </c>
      <c r="I1394" t="s">
        <v>2382</v>
      </c>
      <c r="J1394" s="13">
        <v>111093</v>
      </c>
      <c r="K1394">
        <v>1</v>
      </c>
      <c r="L1394" t="s">
        <v>1064</v>
      </c>
      <c r="M1394" t="s">
        <v>2383</v>
      </c>
      <c r="N1394" s="15" t="s">
        <v>6878</v>
      </c>
    </row>
    <row r="1395" spans="1:14" x14ac:dyDescent="0.2">
      <c r="A1395" t="s">
        <v>2481</v>
      </c>
      <c r="B1395" t="s">
        <v>2360</v>
      </c>
      <c r="C1395" s="9">
        <v>44943</v>
      </c>
      <c r="D1395" t="s">
        <v>946</v>
      </c>
      <c r="E1395" s="13">
        <v>5852925</v>
      </c>
      <c r="F1395" s="13">
        <v>5550</v>
      </c>
      <c r="G1395" s="9">
        <v>44944</v>
      </c>
      <c r="H1395" t="s">
        <v>1063</v>
      </c>
      <c r="I1395" t="s">
        <v>2382</v>
      </c>
      <c r="J1395" s="13">
        <v>129934</v>
      </c>
      <c r="K1395">
        <v>1</v>
      </c>
      <c r="L1395" t="s">
        <v>1064</v>
      </c>
      <c r="M1395" t="s">
        <v>2383</v>
      </c>
      <c r="N1395" s="15" t="s">
        <v>6878</v>
      </c>
    </row>
    <row r="1396" spans="1:14" x14ac:dyDescent="0.2">
      <c r="A1396" t="s">
        <v>2482</v>
      </c>
      <c r="B1396" t="s">
        <v>2360</v>
      </c>
      <c r="C1396" s="9">
        <v>44943</v>
      </c>
      <c r="D1396" t="s">
        <v>946</v>
      </c>
      <c r="E1396" s="13">
        <v>7193250</v>
      </c>
      <c r="F1396" s="13">
        <v>5550</v>
      </c>
      <c r="G1396" s="9">
        <v>44944</v>
      </c>
      <c r="H1396" t="s">
        <v>1063</v>
      </c>
      <c r="I1396" t="s">
        <v>2382</v>
      </c>
      <c r="J1396" s="13">
        <v>159690</v>
      </c>
      <c r="K1396">
        <v>1</v>
      </c>
      <c r="L1396" t="s">
        <v>1064</v>
      </c>
      <c r="M1396" t="s">
        <v>2383</v>
      </c>
      <c r="N1396" s="15" t="s">
        <v>6878</v>
      </c>
    </row>
    <row r="1397" spans="1:14" x14ac:dyDescent="0.2">
      <c r="A1397" t="s">
        <v>2483</v>
      </c>
      <c r="B1397" t="s">
        <v>2360</v>
      </c>
      <c r="C1397" s="9">
        <v>44943</v>
      </c>
      <c r="D1397" t="s">
        <v>946</v>
      </c>
      <c r="E1397" s="13">
        <v>5293450</v>
      </c>
      <c r="F1397" s="13">
        <v>5550</v>
      </c>
      <c r="G1397" s="9">
        <v>44944</v>
      </c>
      <c r="H1397" t="s">
        <v>1063</v>
      </c>
      <c r="I1397" t="s">
        <v>2382</v>
      </c>
      <c r="J1397" s="13">
        <v>117514</v>
      </c>
      <c r="K1397">
        <v>1</v>
      </c>
      <c r="L1397" t="s">
        <v>1064</v>
      </c>
      <c r="M1397" t="s">
        <v>2383</v>
      </c>
      <c r="N1397" s="15" t="s">
        <v>6878</v>
      </c>
    </row>
    <row r="1398" spans="1:14" x14ac:dyDescent="0.2">
      <c r="A1398" t="s">
        <v>2484</v>
      </c>
      <c r="B1398" t="s">
        <v>2360</v>
      </c>
      <c r="C1398" s="9">
        <v>44943</v>
      </c>
      <c r="D1398" t="s">
        <v>946</v>
      </c>
      <c r="E1398" s="13">
        <v>5293450</v>
      </c>
      <c r="F1398" s="13">
        <v>5550</v>
      </c>
      <c r="G1398" s="9">
        <v>44944</v>
      </c>
      <c r="H1398" t="s">
        <v>1063</v>
      </c>
      <c r="I1398" t="s">
        <v>2382</v>
      </c>
      <c r="J1398" s="13">
        <v>117514</v>
      </c>
      <c r="K1398">
        <v>1</v>
      </c>
      <c r="L1398" t="s">
        <v>1064</v>
      </c>
      <c r="M1398" t="s">
        <v>2383</v>
      </c>
      <c r="N1398" s="15" t="s">
        <v>6878</v>
      </c>
    </row>
    <row r="1399" spans="1:14" x14ac:dyDescent="0.2">
      <c r="A1399" t="s">
        <v>2485</v>
      </c>
      <c r="B1399" t="s">
        <v>2360</v>
      </c>
      <c r="C1399" s="9">
        <v>44943</v>
      </c>
      <c r="D1399" t="s">
        <v>946</v>
      </c>
      <c r="E1399" s="13">
        <v>5293450</v>
      </c>
      <c r="F1399" s="13">
        <v>5550</v>
      </c>
      <c r="G1399" s="9">
        <v>44944</v>
      </c>
      <c r="H1399" t="s">
        <v>1063</v>
      </c>
      <c r="I1399" t="s">
        <v>2382</v>
      </c>
      <c r="J1399" s="13">
        <v>117514</v>
      </c>
      <c r="K1399">
        <v>1</v>
      </c>
      <c r="L1399" t="s">
        <v>1064</v>
      </c>
      <c r="M1399" t="s">
        <v>2383</v>
      </c>
      <c r="N1399" s="15" t="s">
        <v>6878</v>
      </c>
    </row>
    <row r="1400" spans="1:14" x14ac:dyDescent="0.2">
      <c r="A1400" t="s">
        <v>2486</v>
      </c>
      <c r="B1400" t="s">
        <v>2360</v>
      </c>
      <c r="C1400" s="9">
        <v>44943</v>
      </c>
      <c r="D1400" t="s">
        <v>946</v>
      </c>
      <c r="E1400" s="13">
        <v>5293450</v>
      </c>
      <c r="F1400" s="13">
        <v>5550</v>
      </c>
      <c r="G1400" s="9">
        <v>44944</v>
      </c>
      <c r="H1400" t="s">
        <v>1063</v>
      </c>
      <c r="I1400" t="s">
        <v>2382</v>
      </c>
      <c r="J1400" s="13">
        <v>117514</v>
      </c>
      <c r="K1400">
        <v>1</v>
      </c>
      <c r="L1400" t="s">
        <v>1064</v>
      </c>
      <c r="M1400" t="s">
        <v>2383</v>
      </c>
      <c r="N1400" s="15" t="s">
        <v>6878</v>
      </c>
    </row>
    <row r="1401" spans="1:14" x14ac:dyDescent="0.2">
      <c r="A1401" t="s">
        <v>2487</v>
      </c>
      <c r="B1401" t="s">
        <v>2360</v>
      </c>
      <c r="C1401" s="9">
        <v>44943</v>
      </c>
      <c r="D1401" t="s">
        <v>946</v>
      </c>
      <c r="E1401" s="13">
        <v>14350000</v>
      </c>
      <c r="F1401" s="13">
        <v>5550</v>
      </c>
      <c r="G1401" s="9">
        <v>44944</v>
      </c>
      <c r="H1401" t="s">
        <v>1063</v>
      </c>
      <c r="I1401" t="s">
        <v>2382</v>
      </c>
      <c r="J1401" s="13">
        <v>318570</v>
      </c>
      <c r="K1401">
        <v>1</v>
      </c>
      <c r="L1401" t="s">
        <v>1064</v>
      </c>
      <c r="M1401" t="s">
        <v>2383</v>
      </c>
      <c r="N1401" s="15" t="s">
        <v>6878</v>
      </c>
    </row>
    <row r="1402" spans="1:14" x14ac:dyDescent="0.2">
      <c r="A1402" t="s">
        <v>2488</v>
      </c>
      <c r="B1402" t="s">
        <v>2360</v>
      </c>
      <c r="C1402" s="9">
        <v>44943</v>
      </c>
      <c r="D1402" t="s">
        <v>946</v>
      </c>
      <c r="E1402" s="13">
        <v>13450000</v>
      </c>
      <c r="F1402" s="13">
        <v>5550</v>
      </c>
      <c r="G1402" s="9">
        <v>44944</v>
      </c>
      <c r="H1402" t="s">
        <v>1063</v>
      </c>
      <c r="I1402" t="s">
        <v>2382</v>
      </c>
      <c r="J1402" s="13">
        <v>298590</v>
      </c>
      <c r="K1402">
        <v>1</v>
      </c>
      <c r="L1402" t="s">
        <v>1064</v>
      </c>
      <c r="M1402" t="s">
        <v>2383</v>
      </c>
      <c r="N1402" s="15" t="s">
        <v>6878</v>
      </c>
    </row>
    <row r="1403" spans="1:14" x14ac:dyDescent="0.2">
      <c r="A1403" t="s">
        <v>2489</v>
      </c>
      <c r="B1403" t="s">
        <v>2360</v>
      </c>
      <c r="C1403" s="9">
        <v>44943</v>
      </c>
      <c r="D1403" t="s">
        <v>946</v>
      </c>
      <c r="E1403" s="13">
        <v>6649300</v>
      </c>
      <c r="F1403" s="13">
        <v>5550</v>
      </c>
      <c r="G1403" s="9">
        <v>44944</v>
      </c>
      <c r="H1403" t="s">
        <v>1063</v>
      </c>
      <c r="I1403" t="s">
        <v>2382</v>
      </c>
      <c r="J1403" s="13">
        <v>147614</v>
      </c>
      <c r="K1403">
        <v>1</v>
      </c>
      <c r="L1403" t="s">
        <v>1064</v>
      </c>
      <c r="M1403" t="s">
        <v>2383</v>
      </c>
      <c r="N1403" s="15" t="s">
        <v>6878</v>
      </c>
    </row>
    <row r="1404" spans="1:14" x14ac:dyDescent="0.2">
      <c r="A1404" t="s">
        <v>2490</v>
      </c>
      <c r="B1404" t="s">
        <v>2360</v>
      </c>
      <c r="C1404" s="9">
        <v>44943</v>
      </c>
      <c r="D1404" t="s">
        <v>946</v>
      </c>
      <c r="E1404" s="13">
        <v>6549825</v>
      </c>
      <c r="F1404" s="13">
        <v>5550</v>
      </c>
      <c r="G1404" s="9">
        <v>44944</v>
      </c>
      <c r="H1404" t="s">
        <v>1063</v>
      </c>
      <c r="I1404" t="s">
        <v>2382</v>
      </c>
      <c r="J1404" s="13">
        <v>145405</v>
      </c>
      <c r="K1404">
        <v>1</v>
      </c>
      <c r="L1404" t="s">
        <v>1064</v>
      </c>
      <c r="M1404" t="s">
        <v>2383</v>
      </c>
      <c r="N1404" s="15" t="s">
        <v>6878</v>
      </c>
    </row>
    <row r="1405" spans="1:14" x14ac:dyDescent="0.2">
      <c r="A1405" t="s">
        <v>2491</v>
      </c>
      <c r="B1405" t="s">
        <v>2360</v>
      </c>
      <c r="C1405" s="9">
        <v>44943</v>
      </c>
      <c r="D1405" t="s">
        <v>946</v>
      </c>
      <c r="E1405" s="13">
        <v>5511950</v>
      </c>
      <c r="F1405" s="13">
        <v>5550</v>
      </c>
      <c r="G1405" s="9">
        <v>44944</v>
      </c>
      <c r="H1405" t="s">
        <v>1063</v>
      </c>
      <c r="I1405" t="s">
        <v>2382</v>
      </c>
      <c r="J1405" s="13">
        <v>122365</v>
      </c>
      <c r="K1405">
        <v>1</v>
      </c>
      <c r="L1405" t="s">
        <v>1064</v>
      </c>
      <c r="M1405" t="s">
        <v>2383</v>
      </c>
      <c r="N1405" s="15" t="s">
        <v>6878</v>
      </c>
    </row>
    <row r="1406" spans="1:14" x14ac:dyDescent="0.2">
      <c r="A1406" t="s">
        <v>2492</v>
      </c>
      <c r="B1406" t="s">
        <v>2360</v>
      </c>
      <c r="C1406" s="9">
        <v>44943</v>
      </c>
      <c r="D1406" t="s">
        <v>946</v>
      </c>
      <c r="E1406" s="13">
        <v>6549825</v>
      </c>
      <c r="F1406" s="13">
        <v>5550</v>
      </c>
      <c r="G1406" s="9">
        <v>44944</v>
      </c>
      <c r="H1406" t="s">
        <v>1063</v>
      </c>
      <c r="I1406" t="s">
        <v>2382</v>
      </c>
      <c r="J1406" s="13">
        <v>145405</v>
      </c>
      <c r="K1406">
        <v>1</v>
      </c>
      <c r="L1406" t="s">
        <v>1064</v>
      </c>
      <c r="M1406" t="s">
        <v>2383</v>
      </c>
      <c r="N1406" s="15" t="s">
        <v>6878</v>
      </c>
    </row>
    <row r="1407" spans="1:14" x14ac:dyDescent="0.2">
      <c r="A1407" t="s">
        <v>2493</v>
      </c>
      <c r="B1407" t="s">
        <v>2360</v>
      </c>
      <c r="C1407" s="9">
        <v>44943</v>
      </c>
      <c r="D1407" t="s">
        <v>946</v>
      </c>
      <c r="E1407" s="13">
        <v>6549825</v>
      </c>
      <c r="F1407" s="13">
        <v>5550</v>
      </c>
      <c r="G1407" s="9">
        <v>44944</v>
      </c>
      <c r="H1407" t="s">
        <v>1063</v>
      </c>
      <c r="I1407" t="s">
        <v>2382</v>
      </c>
      <c r="J1407" s="13">
        <v>145405</v>
      </c>
      <c r="K1407">
        <v>1</v>
      </c>
      <c r="L1407" t="s">
        <v>1064</v>
      </c>
      <c r="M1407" t="s">
        <v>2383</v>
      </c>
      <c r="N1407" s="15" t="s">
        <v>6878</v>
      </c>
    </row>
    <row r="1408" spans="1:14" x14ac:dyDescent="0.2">
      <c r="A1408" t="s">
        <v>2494</v>
      </c>
      <c r="B1408" t="s">
        <v>2360</v>
      </c>
      <c r="C1408" s="9">
        <v>44943</v>
      </c>
      <c r="D1408" t="s">
        <v>946</v>
      </c>
      <c r="E1408" s="13">
        <v>5511950</v>
      </c>
      <c r="F1408" s="13">
        <v>5550</v>
      </c>
      <c r="G1408" s="9">
        <v>44944</v>
      </c>
      <c r="H1408" t="s">
        <v>1063</v>
      </c>
      <c r="I1408" t="s">
        <v>2382</v>
      </c>
      <c r="J1408" s="13">
        <v>122365</v>
      </c>
      <c r="K1408">
        <v>1</v>
      </c>
      <c r="L1408" t="s">
        <v>1064</v>
      </c>
      <c r="M1408" t="s">
        <v>2383</v>
      </c>
      <c r="N1408" s="15" t="s">
        <v>6878</v>
      </c>
    </row>
    <row r="1409" spans="1:14" x14ac:dyDescent="0.2">
      <c r="A1409" t="s">
        <v>2495</v>
      </c>
      <c r="B1409" t="s">
        <v>2360</v>
      </c>
      <c r="C1409" s="9">
        <v>44943</v>
      </c>
      <c r="D1409" t="s">
        <v>946</v>
      </c>
      <c r="E1409" s="13">
        <v>5511950</v>
      </c>
      <c r="F1409" s="13">
        <v>5550</v>
      </c>
      <c r="G1409" s="9">
        <v>44944</v>
      </c>
      <c r="H1409" t="s">
        <v>1063</v>
      </c>
      <c r="I1409" t="s">
        <v>2382</v>
      </c>
      <c r="J1409" s="13">
        <v>122365</v>
      </c>
      <c r="K1409">
        <v>1</v>
      </c>
      <c r="L1409" t="s">
        <v>1064</v>
      </c>
      <c r="M1409" t="s">
        <v>2383</v>
      </c>
      <c r="N1409" s="15" t="s">
        <v>6878</v>
      </c>
    </row>
    <row r="1410" spans="1:14" x14ac:dyDescent="0.2">
      <c r="A1410" t="s">
        <v>2496</v>
      </c>
      <c r="B1410" t="s">
        <v>2360</v>
      </c>
      <c r="C1410" s="9">
        <v>44943</v>
      </c>
      <c r="D1410" t="s">
        <v>946</v>
      </c>
      <c r="E1410" s="13">
        <v>5511950</v>
      </c>
      <c r="F1410" s="13">
        <v>5550</v>
      </c>
      <c r="G1410" s="9">
        <v>44944</v>
      </c>
      <c r="H1410" t="s">
        <v>1063</v>
      </c>
      <c r="I1410" t="s">
        <v>2382</v>
      </c>
      <c r="J1410" s="13">
        <v>122365</v>
      </c>
      <c r="K1410">
        <v>1</v>
      </c>
      <c r="L1410" t="s">
        <v>1064</v>
      </c>
      <c r="M1410" t="s">
        <v>2383</v>
      </c>
      <c r="N1410" s="15" t="s">
        <v>6878</v>
      </c>
    </row>
    <row r="1411" spans="1:14" x14ac:dyDescent="0.2">
      <c r="A1411" t="s">
        <v>2497</v>
      </c>
      <c r="B1411" t="s">
        <v>2360</v>
      </c>
      <c r="C1411" s="9">
        <v>44943</v>
      </c>
      <c r="D1411" t="s">
        <v>946</v>
      </c>
      <c r="E1411" s="13">
        <v>6549825</v>
      </c>
      <c r="F1411" s="13">
        <v>5550</v>
      </c>
      <c r="G1411" s="9">
        <v>44944</v>
      </c>
      <c r="H1411" t="s">
        <v>1063</v>
      </c>
      <c r="I1411" t="s">
        <v>2382</v>
      </c>
      <c r="J1411" s="13">
        <v>145405</v>
      </c>
      <c r="K1411">
        <v>1</v>
      </c>
      <c r="L1411" t="s">
        <v>1064</v>
      </c>
      <c r="M1411" t="s">
        <v>2383</v>
      </c>
      <c r="N1411" s="15" t="s">
        <v>6878</v>
      </c>
    </row>
    <row r="1412" spans="1:14" x14ac:dyDescent="0.2">
      <c r="A1412" t="s">
        <v>2498</v>
      </c>
      <c r="B1412" t="s">
        <v>2360</v>
      </c>
      <c r="C1412" s="9">
        <v>44943</v>
      </c>
      <c r="D1412" t="s">
        <v>946</v>
      </c>
      <c r="E1412" s="13">
        <v>5511950</v>
      </c>
      <c r="F1412" s="13">
        <v>5550</v>
      </c>
      <c r="G1412" s="9">
        <v>44944</v>
      </c>
      <c r="H1412" t="s">
        <v>1063</v>
      </c>
      <c r="I1412" t="s">
        <v>2382</v>
      </c>
      <c r="J1412" s="13">
        <v>122365</v>
      </c>
      <c r="K1412">
        <v>1</v>
      </c>
      <c r="L1412" t="s">
        <v>1064</v>
      </c>
      <c r="M1412" t="s">
        <v>2383</v>
      </c>
      <c r="N1412" s="15" t="s">
        <v>6878</v>
      </c>
    </row>
    <row r="1413" spans="1:14" x14ac:dyDescent="0.2">
      <c r="A1413" t="s">
        <v>2499</v>
      </c>
      <c r="B1413" t="s">
        <v>2360</v>
      </c>
      <c r="C1413" s="9">
        <v>44943</v>
      </c>
      <c r="D1413" t="s">
        <v>946</v>
      </c>
      <c r="E1413" s="13">
        <v>6549825</v>
      </c>
      <c r="F1413" s="13">
        <v>5550</v>
      </c>
      <c r="G1413" s="9">
        <v>44944</v>
      </c>
      <c r="H1413" t="s">
        <v>1063</v>
      </c>
      <c r="I1413" t="s">
        <v>2382</v>
      </c>
      <c r="J1413" s="13">
        <v>145405</v>
      </c>
      <c r="K1413">
        <v>1</v>
      </c>
      <c r="L1413" t="s">
        <v>1064</v>
      </c>
      <c r="M1413" t="s">
        <v>2383</v>
      </c>
      <c r="N1413" s="15" t="s">
        <v>6878</v>
      </c>
    </row>
    <row r="1414" spans="1:14" x14ac:dyDescent="0.2">
      <c r="A1414" t="s">
        <v>2500</v>
      </c>
      <c r="B1414" t="s">
        <v>2360</v>
      </c>
      <c r="C1414" s="9">
        <v>44943</v>
      </c>
      <c r="D1414" t="s">
        <v>946</v>
      </c>
      <c r="E1414" s="13">
        <v>1285200</v>
      </c>
      <c r="F1414" s="13">
        <v>5550</v>
      </c>
      <c r="G1414" s="9">
        <v>44944</v>
      </c>
      <c r="H1414" t="s">
        <v>1063</v>
      </c>
      <c r="I1414" t="s">
        <v>2382</v>
      </c>
      <c r="J1414" s="13">
        <v>28531</v>
      </c>
      <c r="K1414">
        <v>1</v>
      </c>
      <c r="L1414" t="s">
        <v>1064</v>
      </c>
      <c r="M1414" t="s">
        <v>2383</v>
      </c>
      <c r="N1414" s="15" t="s">
        <v>6878</v>
      </c>
    </row>
    <row r="1415" spans="1:14" x14ac:dyDescent="0.2">
      <c r="A1415" t="s">
        <v>2501</v>
      </c>
      <c r="B1415" t="s">
        <v>2360</v>
      </c>
      <c r="C1415" s="9">
        <v>44943</v>
      </c>
      <c r="D1415" t="s">
        <v>946</v>
      </c>
      <c r="E1415" s="13">
        <v>6411420</v>
      </c>
      <c r="F1415" s="13">
        <v>5550</v>
      </c>
      <c r="G1415" s="9">
        <v>44944</v>
      </c>
      <c r="H1415" t="s">
        <v>1063</v>
      </c>
      <c r="I1415" t="s">
        <v>2382</v>
      </c>
      <c r="J1415" s="13">
        <v>142333</v>
      </c>
      <c r="K1415">
        <v>1</v>
      </c>
      <c r="L1415" t="s">
        <v>1064</v>
      </c>
      <c r="M1415" t="s">
        <v>2383</v>
      </c>
      <c r="N1415" s="15" t="s">
        <v>6878</v>
      </c>
    </row>
    <row r="1416" spans="1:14" x14ac:dyDescent="0.2">
      <c r="A1416" t="s">
        <v>2502</v>
      </c>
      <c r="B1416" t="s">
        <v>2360</v>
      </c>
      <c r="C1416" s="9">
        <v>44943</v>
      </c>
      <c r="D1416" t="s">
        <v>946</v>
      </c>
      <c r="E1416" s="13">
        <v>10244880</v>
      </c>
      <c r="F1416" s="13">
        <v>5550</v>
      </c>
      <c r="G1416" s="9">
        <v>44944</v>
      </c>
      <c r="H1416" t="s">
        <v>1063</v>
      </c>
      <c r="I1416" t="s">
        <v>2382</v>
      </c>
      <c r="J1416" s="13">
        <v>227435</v>
      </c>
      <c r="K1416">
        <v>1</v>
      </c>
      <c r="L1416" t="s">
        <v>1064</v>
      </c>
      <c r="M1416" t="s">
        <v>2383</v>
      </c>
      <c r="N1416" s="15" t="s">
        <v>6878</v>
      </c>
    </row>
    <row r="1417" spans="1:14" x14ac:dyDescent="0.2">
      <c r="A1417" t="s">
        <v>2503</v>
      </c>
      <c r="B1417" t="s">
        <v>2360</v>
      </c>
      <c r="C1417" s="9">
        <v>44943</v>
      </c>
      <c r="D1417" t="s">
        <v>946</v>
      </c>
      <c r="E1417" s="13">
        <v>9102330</v>
      </c>
      <c r="F1417" s="13">
        <v>5550</v>
      </c>
      <c r="G1417" s="9">
        <v>44944</v>
      </c>
      <c r="H1417" t="s">
        <v>1063</v>
      </c>
      <c r="I1417" t="s">
        <v>2382</v>
      </c>
      <c r="J1417" s="13">
        <v>202071</v>
      </c>
      <c r="K1417">
        <v>1</v>
      </c>
      <c r="L1417" t="s">
        <v>1064</v>
      </c>
      <c r="M1417" t="s">
        <v>2383</v>
      </c>
      <c r="N1417" s="15" t="s">
        <v>6878</v>
      </c>
    </row>
    <row r="1418" spans="1:14" x14ac:dyDescent="0.2">
      <c r="A1418" t="s">
        <v>2504</v>
      </c>
      <c r="B1418" t="s">
        <v>2360</v>
      </c>
      <c r="C1418" s="9">
        <v>44943</v>
      </c>
      <c r="D1418" t="s">
        <v>946</v>
      </c>
      <c r="E1418" s="13">
        <v>14033625</v>
      </c>
      <c r="F1418" s="13">
        <v>5550</v>
      </c>
      <c r="G1418" s="9">
        <v>44944</v>
      </c>
      <c r="H1418" t="s">
        <v>1063</v>
      </c>
      <c r="I1418" t="s">
        <v>2382</v>
      </c>
      <c r="J1418" s="13">
        <v>311545</v>
      </c>
      <c r="K1418">
        <v>1</v>
      </c>
      <c r="L1418" t="s">
        <v>1064</v>
      </c>
      <c r="M1418" t="s">
        <v>2383</v>
      </c>
      <c r="N1418" s="15" t="s">
        <v>6878</v>
      </c>
    </row>
    <row r="1419" spans="1:14" x14ac:dyDescent="0.2">
      <c r="A1419" t="s">
        <v>2505</v>
      </c>
      <c r="B1419" t="s">
        <v>2360</v>
      </c>
      <c r="C1419" s="9">
        <v>44943</v>
      </c>
      <c r="D1419" t="s">
        <v>946</v>
      </c>
      <c r="E1419" s="13">
        <v>5293450</v>
      </c>
      <c r="F1419" s="13">
        <v>5550</v>
      </c>
      <c r="G1419" s="9">
        <v>44944</v>
      </c>
      <c r="H1419" t="s">
        <v>1063</v>
      </c>
      <c r="I1419" t="s">
        <v>2382</v>
      </c>
      <c r="J1419" s="13">
        <v>117514</v>
      </c>
      <c r="K1419">
        <v>1</v>
      </c>
      <c r="L1419" t="s">
        <v>1064</v>
      </c>
      <c r="M1419" t="s">
        <v>2383</v>
      </c>
      <c r="N1419" s="15" t="s">
        <v>6878</v>
      </c>
    </row>
    <row r="1420" spans="1:14" x14ac:dyDescent="0.2">
      <c r="A1420" t="s">
        <v>2506</v>
      </c>
      <c r="B1420" t="s">
        <v>2360</v>
      </c>
      <c r="C1420" s="9">
        <v>44943</v>
      </c>
      <c r="D1420" t="s">
        <v>946</v>
      </c>
      <c r="E1420" s="13">
        <v>5293450</v>
      </c>
      <c r="F1420" s="13">
        <v>5550</v>
      </c>
      <c r="G1420" s="9">
        <v>44944</v>
      </c>
      <c r="H1420" t="s">
        <v>1063</v>
      </c>
      <c r="I1420" t="s">
        <v>2382</v>
      </c>
      <c r="J1420" s="13">
        <v>117514</v>
      </c>
      <c r="K1420">
        <v>1</v>
      </c>
      <c r="L1420" t="s">
        <v>1064</v>
      </c>
      <c r="M1420" t="s">
        <v>2383</v>
      </c>
      <c r="N1420" s="15" t="s">
        <v>6878</v>
      </c>
    </row>
    <row r="1421" spans="1:14" x14ac:dyDescent="0.2">
      <c r="A1421" t="s">
        <v>2507</v>
      </c>
      <c r="B1421" t="s">
        <v>2360</v>
      </c>
      <c r="C1421" s="9">
        <v>44943</v>
      </c>
      <c r="D1421" t="s">
        <v>946</v>
      </c>
      <c r="E1421" s="13">
        <v>13541825</v>
      </c>
      <c r="F1421" s="13">
        <v>5550</v>
      </c>
      <c r="G1421" s="9">
        <v>44944</v>
      </c>
      <c r="H1421" t="s">
        <v>1063</v>
      </c>
      <c r="I1421" t="s">
        <v>2382</v>
      </c>
      <c r="J1421" s="13">
        <v>300627</v>
      </c>
      <c r="K1421">
        <v>1</v>
      </c>
      <c r="L1421" t="s">
        <v>1064</v>
      </c>
      <c r="M1421" t="s">
        <v>2383</v>
      </c>
      <c r="N1421" s="15" t="s">
        <v>6878</v>
      </c>
    </row>
    <row r="1422" spans="1:14" x14ac:dyDescent="0.2">
      <c r="A1422" t="s">
        <v>2508</v>
      </c>
      <c r="B1422" t="s">
        <v>2360</v>
      </c>
      <c r="C1422" s="9">
        <v>44943</v>
      </c>
      <c r="D1422" t="s">
        <v>9</v>
      </c>
      <c r="E1422" s="13">
        <v>340060</v>
      </c>
      <c r="F1422" s="13">
        <v>24975</v>
      </c>
      <c r="G1422" s="9">
        <v>44950</v>
      </c>
      <c r="H1422" t="s">
        <v>1111</v>
      </c>
      <c r="I1422" t="s">
        <v>436</v>
      </c>
      <c r="J1422" s="13">
        <v>11323</v>
      </c>
      <c r="K1422">
        <v>1</v>
      </c>
      <c r="L1422" t="s">
        <v>1064</v>
      </c>
      <c r="M1422" t="s">
        <v>2364</v>
      </c>
      <c r="N1422" s="15" t="s">
        <v>6878</v>
      </c>
    </row>
    <row r="1423" spans="1:14" x14ac:dyDescent="0.2">
      <c r="A1423" t="s">
        <v>2509</v>
      </c>
      <c r="B1423" t="s">
        <v>2360</v>
      </c>
      <c r="C1423" s="9">
        <v>44943</v>
      </c>
      <c r="D1423" t="s">
        <v>946</v>
      </c>
      <c r="E1423" s="13">
        <v>6549825</v>
      </c>
      <c r="F1423" s="13">
        <v>5550</v>
      </c>
      <c r="G1423" s="9">
        <v>44944</v>
      </c>
      <c r="H1423" t="s">
        <v>1063</v>
      </c>
      <c r="I1423" t="s">
        <v>2382</v>
      </c>
      <c r="J1423" s="13">
        <v>145405</v>
      </c>
      <c r="K1423">
        <v>1</v>
      </c>
      <c r="L1423" t="s">
        <v>1064</v>
      </c>
      <c r="M1423" t="s">
        <v>2383</v>
      </c>
      <c r="N1423" s="15" t="s">
        <v>6878</v>
      </c>
    </row>
    <row r="1424" spans="1:14" x14ac:dyDescent="0.2">
      <c r="A1424" t="s">
        <v>2510</v>
      </c>
      <c r="B1424" t="s">
        <v>2360</v>
      </c>
      <c r="C1424" s="9">
        <v>44943</v>
      </c>
      <c r="D1424" t="s">
        <v>946</v>
      </c>
      <c r="E1424" s="13">
        <v>13541825</v>
      </c>
      <c r="F1424" s="13">
        <v>5550</v>
      </c>
      <c r="G1424" s="9">
        <v>44944</v>
      </c>
      <c r="H1424" t="s">
        <v>1063</v>
      </c>
      <c r="I1424" t="s">
        <v>2382</v>
      </c>
      <c r="J1424" s="13">
        <v>300627</v>
      </c>
      <c r="K1424">
        <v>1</v>
      </c>
      <c r="L1424" t="s">
        <v>1064</v>
      </c>
      <c r="M1424" t="s">
        <v>2383</v>
      </c>
      <c r="N1424" s="15" t="s">
        <v>6878</v>
      </c>
    </row>
    <row r="1425" spans="1:14" x14ac:dyDescent="0.2">
      <c r="A1425" t="s">
        <v>2511</v>
      </c>
      <c r="B1425" t="s">
        <v>2360</v>
      </c>
      <c r="C1425" s="9">
        <v>44943</v>
      </c>
      <c r="D1425" t="s">
        <v>946</v>
      </c>
      <c r="E1425" s="13">
        <v>13541825</v>
      </c>
      <c r="F1425" s="13">
        <v>5550</v>
      </c>
      <c r="G1425" s="9">
        <v>44944</v>
      </c>
      <c r="H1425" t="s">
        <v>1063</v>
      </c>
      <c r="I1425" t="s">
        <v>2382</v>
      </c>
      <c r="J1425" s="13">
        <v>300627</v>
      </c>
      <c r="K1425">
        <v>1</v>
      </c>
      <c r="L1425" t="s">
        <v>1064</v>
      </c>
      <c r="M1425" t="s">
        <v>2383</v>
      </c>
      <c r="N1425" s="15" t="s">
        <v>6878</v>
      </c>
    </row>
    <row r="1426" spans="1:14" x14ac:dyDescent="0.2">
      <c r="A1426" t="s">
        <v>2512</v>
      </c>
      <c r="B1426" t="s">
        <v>2360</v>
      </c>
      <c r="C1426" s="9">
        <v>44943</v>
      </c>
      <c r="D1426" t="s">
        <v>946</v>
      </c>
      <c r="E1426" s="13">
        <v>13541825</v>
      </c>
      <c r="F1426" s="13">
        <v>5550</v>
      </c>
      <c r="G1426" s="9">
        <v>44944</v>
      </c>
      <c r="H1426" t="s">
        <v>1063</v>
      </c>
      <c r="I1426" t="s">
        <v>2382</v>
      </c>
      <c r="J1426" s="13">
        <v>300627</v>
      </c>
      <c r="K1426">
        <v>1</v>
      </c>
      <c r="L1426" t="s">
        <v>1064</v>
      </c>
      <c r="M1426" t="s">
        <v>2383</v>
      </c>
      <c r="N1426" s="15" t="s">
        <v>6878</v>
      </c>
    </row>
    <row r="1427" spans="1:14" x14ac:dyDescent="0.2">
      <c r="A1427" t="s">
        <v>2513</v>
      </c>
      <c r="B1427" t="s">
        <v>2360</v>
      </c>
      <c r="C1427" s="9">
        <v>44943</v>
      </c>
      <c r="D1427" t="s">
        <v>946</v>
      </c>
      <c r="E1427" s="13">
        <v>13541825</v>
      </c>
      <c r="F1427" s="13">
        <v>5550</v>
      </c>
      <c r="G1427" s="9">
        <v>44944</v>
      </c>
      <c r="H1427" t="s">
        <v>1063</v>
      </c>
      <c r="I1427" t="s">
        <v>2382</v>
      </c>
      <c r="J1427" s="13">
        <v>300627</v>
      </c>
      <c r="K1427">
        <v>1</v>
      </c>
      <c r="L1427" t="s">
        <v>1064</v>
      </c>
      <c r="M1427" t="s">
        <v>2383</v>
      </c>
      <c r="N1427" s="15" t="s">
        <v>6878</v>
      </c>
    </row>
    <row r="1428" spans="1:14" x14ac:dyDescent="0.2">
      <c r="A1428" t="s">
        <v>2514</v>
      </c>
      <c r="B1428" t="s">
        <v>2360</v>
      </c>
      <c r="C1428" s="9">
        <v>44943</v>
      </c>
      <c r="D1428" t="s">
        <v>946</v>
      </c>
      <c r="E1428" s="13">
        <v>13541825</v>
      </c>
      <c r="F1428" s="13">
        <v>5550</v>
      </c>
      <c r="G1428" s="9">
        <v>44944</v>
      </c>
      <c r="H1428" t="s">
        <v>1063</v>
      </c>
      <c r="I1428" t="s">
        <v>2382</v>
      </c>
      <c r="J1428" s="13">
        <v>300627</v>
      </c>
      <c r="K1428">
        <v>1</v>
      </c>
      <c r="L1428" t="s">
        <v>1064</v>
      </c>
      <c r="M1428" t="s">
        <v>2383</v>
      </c>
      <c r="N1428" s="15" t="s">
        <v>6878</v>
      </c>
    </row>
    <row r="1429" spans="1:14" x14ac:dyDescent="0.2">
      <c r="A1429" t="s">
        <v>2515</v>
      </c>
      <c r="B1429" t="s">
        <v>2360</v>
      </c>
      <c r="C1429" s="9">
        <v>44943</v>
      </c>
      <c r="D1429" t="s">
        <v>946</v>
      </c>
      <c r="E1429" s="13">
        <v>14350000</v>
      </c>
      <c r="F1429" s="13">
        <v>5550</v>
      </c>
      <c r="G1429" s="9">
        <v>44944</v>
      </c>
      <c r="H1429" t="s">
        <v>1063</v>
      </c>
      <c r="I1429" t="s">
        <v>2382</v>
      </c>
      <c r="J1429" s="13">
        <v>318570</v>
      </c>
      <c r="K1429">
        <v>1</v>
      </c>
      <c r="L1429" t="s">
        <v>1064</v>
      </c>
      <c r="M1429" t="s">
        <v>2383</v>
      </c>
      <c r="N1429" s="15" t="s">
        <v>6878</v>
      </c>
    </row>
    <row r="1430" spans="1:14" x14ac:dyDescent="0.2">
      <c r="A1430" t="s">
        <v>2516</v>
      </c>
      <c r="B1430" t="s">
        <v>2360</v>
      </c>
      <c r="C1430" s="9">
        <v>44944</v>
      </c>
      <c r="D1430" t="s">
        <v>992</v>
      </c>
      <c r="E1430" s="13">
        <v>2062440</v>
      </c>
      <c r="F1430" s="13">
        <v>22200</v>
      </c>
      <c r="G1430" s="9">
        <v>44944</v>
      </c>
      <c r="H1430" t="s">
        <v>1063</v>
      </c>
      <c r="I1430" t="s">
        <v>2370</v>
      </c>
      <c r="J1430" s="13">
        <v>91571</v>
      </c>
      <c r="K1430">
        <v>1</v>
      </c>
      <c r="L1430" t="s">
        <v>1064</v>
      </c>
      <c r="M1430" t="s">
        <v>2371</v>
      </c>
      <c r="N1430" s="15" t="s">
        <v>6878</v>
      </c>
    </row>
    <row r="1431" spans="1:14" x14ac:dyDescent="0.2">
      <c r="A1431" t="s">
        <v>2517</v>
      </c>
      <c r="B1431" t="s">
        <v>2360</v>
      </c>
      <c r="C1431" s="9">
        <v>44944</v>
      </c>
      <c r="D1431" t="s">
        <v>9</v>
      </c>
      <c r="E1431" s="13">
        <v>340060</v>
      </c>
      <c r="F1431" s="13">
        <v>24975</v>
      </c>
      <c r="G1431" s="9">
        <v>44950</v>
      </c>
      <c r="H1431" t="s">
        <v>1111</v>
      </c>
      <c r="I1431" t="s">
        <v>436</v>
      </c>
      <c r="J1431" s="13">
        <v>11323</v>
      </c>
      <c r="K1431">
        <v>1</v>
      </c>
      <c r="L1431" t="s">
        <v>1064</v>
      </c>
      <c r="M1431" t="s">
        <v>2364</v>
      </c>
      <c r="N1431" s="15" t="s">
        <v>6878</v>
      </c>
    </row>
    <row r="1432" spans="1:14" x14ac:dyDescent="0.2">
      <c r="A1432" t="s">
        <v>2518</v>
      </c>
      <c r="B1432" t="s">
        <v>2360</v>
      </c>
      <c r="C1432" s="9">
        <v>44944</v>
      </c>
      <c r="D1432" t="s">
        <v>9</v>
      </c>
      <c r="E1432" s="13">
        <v>340060</v>
      </c>
      <c r="F1432" s="13">
        <v>24975</v>
      </c>
      <c r="G1432" s="9">
        <v>44950</v>
      </c>
      <c r="H1432" t="s">
        <v>1111</v>
      </c>
      <c r="I1432" t="s">
        <v>436</v>
      </c>
      <c r="J1432" s="13">
        <v>11323</v>
      </c>
      <c r="K1432">
        <v>1</v>
      </c>
      <c r="L1432" t="s">
        <v>1064</v>
      </c>
      <c r="M1432" t="s">
        <v>2364</v>
      </c>
      <c r="N1432" s="15" t="s">
        <v>6878</v>
      </c>
    </row>
    <row r="1433" spans="1:14" x14ac:dyDescent="0.2">
      <c r="A1433" t="s">
        <v>2519</v>
      </c>
      <c r="B1433" t="s">
        <v>2360</v>
      </c>
      <c r="C1433" s="9">
        <v>44944</v>
      </c>
      <c r="D1433" t="s">
        <v>964</v>
      </c>
      <c r="E1433" s="13">
        <v>17500000</v>
      </c>
      <c r="F1433" s="13">
        <v>27750</v>
      </c>
      <c r="G1433" s="9">
        <v>44945</v>
      </c>
      <c r="H1433" t="s">
        <v>1063</v>
      </c>
      <c r="I1433" t="s">
        <v>2520</v>
      </c>
      <c r="J1433" s="13">
        <v>485625</v>
      </c>
      <c r="K1433">
        <v>1</v>
      </c>
      <c r="L1433" t="s">
        <v>1064</v>
      </c>
      <c r="M1433" t="s">
        <v>2521</v>
      </c>
      <c r="N1433" s="15" t="s">
        <v>6878</v>
      </c>
    </row>
    <row r="1434" spans="1:14" x14ac:dyDescent="0.2">
      <c r="A1434" t="s">
        <v>2522</v>
      </c>
      <c r="B1434" t="s">
        <v>2360</v>
      </c>
      <c r="C1434" s="9">
        <v>44944</v>
      </c>
      <c r="D1434" t="s">
        <v>964</v>
      </c>
      <c r="E1434" s="13">
        <v>17500000</v>
      </c>
      <c r="F1434" s="13">
        <v>27750</v>
      </c>
      <c r="G1434" s="9">
        <v>44948</v>
      </c>
      <c r="H1434" t="s">
        <v>1063</v>
      </c>
      <c r="I1434" t="s">
        <v>2520</v>
      </c>
      <c r="J1434" s="13">
        <v>485625</v>
      </c>
      <c r="K1434">
        <v>1</v>
      </c>
      <c r="L1434" t="s">
        <v>1064</v>
      </c>
      <c r="M1434" t="s">
        <v>2521</v>
      </c>
      <c r="N1434" s="15" t="s">
        <v>6878</v>
      </c>
    </row>
    <row r="1435" spans="1:14" x14ac:dyDescent="0.2">
      <c r="A1435" t="s">
        <v>2523</v>
      </c>
      <c r="B1435" t="s">
        <v>2360</v>
      </c>
      <c r="C1435" s="9">
        <v>44944</v>
      </c>
      <c r="D1435" t="s">
        <v>964</v>
      </c>
      <c r="E1435" s="13">
        <v>13500000</v>
      </c>
      <c r="F1435" s="13">
        <v>27750</v>
      </c>
      <c r="G1435" s="9">
        <v>44948</v>
      </c>
      <c r="H1435" t="s">
        <v>1063</v>
      </c>
      <c r="I1435" t="s">
        <v>2520</v>
      </c>
      <c r="J1435" s="13">
        <v>374625</v>
      </c>
      <c r="K1435">
        <v>1</v>
      </c>
      <c r="L1435" t="s">
        <v>1064</v>
      </c>
      <c r="M1435" t="s">
        <v>2521</v>
      </c>
      <c r="N1435" s="15" t="s">
        <v>6878</v>
      </c>
    </row>
    <row r="1436" spans="1:14" x14ac:dyDescent="0.2">
      <c r="A1436" t="s">
        <v>2524</v>
      </c>
      <c r="B1436" t="s">
        <v>2360</v>
      </c>
      <c r="C1436" s="9">
        <v>44944</v>
      </c>
      <c r="D1436" t="s">
        <v>9</v>
      </c>
      <c r="E1436" s="13">
        <v>313600</v>
      </c>
      <c r="F1436" s="13">
        <v>24975</v>
      </c>
      <c r="G1436" s="9">
        <v>44950</v>
      </c>
      <c r="H1436" t="s">
        <v>1111</v>
      </c>
      <c r="I1436" t="s">
        <v>436</v>
      </c>
      <c r="J1436" s="13">
        <v>10442</v>
      </c>
      <c r="K1436">
        <v>1</v>
      </c>
      <c r="L1436" t="s">
        <v>1064</v>
      </c>
      <c r="M1436" t="s">
        <v>2364</v>
      </c>
      <c r="N1436" s="15" t="s">
        <v>6878</v>
      </c>
    </row>
    <row r="1437" spans="1:14" x14ac:dyDescent="0.2">
      <c r="A1437" t="s">
        <v>2525</v>
      </c>
      <c r="B1437" t="s">
        <v>2360</v>
      </c>
      <c r="C1437" s="9">
        <v>44944</v>
      </c>
      <c r="D1437" t="s">
        <v>9</v>
      </c>
      <c r="E1437" s="13">
        <v>1345641</v>
      </c>
      <c r="F1437" s="13">
        <v>24975</v>
      </c>
      <c r="G1437" s="9">
        <v>44950</v>
      </c>
      <c r="H1437" t="s">
        <v>1063</v>
      </c>
      <c r="I1437" t="s">
        <v>2438</v>
      </c>
      <c r="J1437" s="13">
        <v>44809</v>
      </c>
      <c r="K1437">
        <v>1</v>
      </c>
      <c r="L1437" t="s">
        <v>1064</v>
      </c>
      <c r="M1437" t="s">
        <v>2439</v>
      </c>
      <c r="N1437" s="15" t="s">
        <v>6878</v>
      </c>
    </row>
    <row r="1438" spans="1:14" x14ac:dyDescent="0.2">
      <c r="A1438" t="s">
        <v>2526</v>
      </c>
      <c r="B1438" t="s">
        <v>2360</v>
      </c>
      <c r="C1438" s="9">
        <v>44944</v>
      </c>
      <c r="D1438" t="s">
        <v>9</v>
      </c>
      <c r="E1438" s="13">
        <v>602556</v>
      </c>
      <c r="F1438" s="13">
        <v>24975</v>
      </c>
      <c r="G1438" s="9">
        <v>44950</v>
      </c>
      <c r="H1438" t="s">
        <v>1063</v>
      </c>
      <c r="I1438" t="s">
        <v>2438</v>
      </c>
      <c r="J1438" s="13">
        <v>20064</v>
      </c>
      <c r="K1438">
        <v>1</v>
      </c>
      <c r="L1438" t="s">
        <v>1064</v>
      </c>
      <c r="M1438" t="s">
        <v>2439</v>
      </c>
      <c r="N1438" s="15" t="s">
        <v>6878</v>
      </c>
    </row>
    <row r="1439" spans="1:14" x14ac:dyDescent="0.2">
      <c r="A1439" t="s">
        <v>2527</v>
      </c>
      <c r="B1439" t="s">
        <v>2360</v>
      </c>
      <c r="C1439" s="9">
        <v>44945</v>
      </c>
      <c r="D1439" t="s">
        <v>964</v>
      </c>
      <c r="E1439" s="13">
        <v>17500000</v>
      </c>
      <c r="F1439" s="13">
        <v>27750</v>
      </c>
      <c r="G1439" s="9">
        <v>44949</v>
      </c>
      <c r="H1439" t="s">
        <v>1063</v>
      </c>
      <c r="I1439" t="s">
        <v>2520</v>
      </c>
      <c r="J1439" s="13">
        <v>485625</v>
      </c>
      <c r="K1439">
        <v>1</v>
      </c>
      <c r="L1439" t="s">
        <v>1064</v>
      </c>
      <c r="M1439" t="s">
        <v>2521</v>
      </c>
      <c r="N1439" s="15" t="s">
        <v>6878</v>
      </c>
    </row>
    <row r="1440" spans="1:14" x14ac:dyDescent="0.2">
      <c r="A1440" t="s">
        <v>2528</v>
      </c>
      <c r="B1440" t="s">
        <v>2360</v>
      </c>
      <c r="C1440" s="9">
        <v>44945</v>
      </c>
      <c r="D1440" t="s">
        <v>964</v>
      </c>
      <c r="E1440" s="13">
        <v>13500000</v>
      </c>
      <c r="F1440" s="13">
        <v>27750</v>
      </c>
      <c r="G1440" s="9">
        <v>44948</v>
      </c>
      <c r="H1440" t="s">
        <v>1063</v>
      </c>
      <c r="I1440" t="s">
        <v>2520</v>
      </c>
      <c r="J1440" s="13">
        <v>374625</v>
      </c>
      <c r="K1440">
        <v>1</v>
      </c>
      <c r="L1440" t="s">
        <v>1064</v>
      </c>
      <c r="M1440" t="s">
        <v>2521</v>
      </c>
      <c r="N1440" s="15" t="s">
        <v>6878</v>
      </c>
    </row>
    <row r="1441" spans="1:14" x14ac:dyDescent="0.2">
      <c r="A1441" t="s">
        <v>2529</v>
      </c>
      <c r="B1441" t="s">
        <v>2360</v>
      </c>
      <c r="C1441" s="9">
        <v>44945</v>
      </c>
      <c r="D1441" t="s">
        <v>9</v>
      </c>
      <c r="E1441" s="13">
        <v>340060</v>
      </c>
      <c r="F1441" s="13">
        <v>24975</v>
      </c>
      <c r="G1441" s="9">
        <v>44950</v>
      </c>
      <c r="H1441" t="s">
        <v>1111</v>
      </c>
      <c r="I1441" t="s">
        <v>436</v>
      </c>
      <c r="J1441" s="13">
        <v>11323</v>
      </c>
      <c r="K1441">
        <v>1</v>
      </c>
      <c r="L1441" t="s">
        <v>1064</v>
      </c>
      <c r="M1441" t="s">
        <v>2364</v>
      </c>
      <c r="N1441" s="15" t="s">
        <v>6878</v>
      </c>
    </row>
    <row r="1442" spans="1:14" x14ac:dyDescent="0.2">
      <c r="A1442" t="s">
        <v>2530</v>
      </c>
      <c r="B1442" t="s">
        <v>2360</v>
      </c>
      <c r="C1442" s="9">
        <v>44945</v>
      </c>
      <c r="D1442" t="s">
        <v>9</v>
      </c>
      <c r="E1442" s="13">
        <v>848229</v>
      </c>
      <c r="F1442" s="13">
        <v>24975</v>
      </c>
      <c r="G1442" s="9">
        <v>44950</v>
      </c>
      <c r="H1442" t="s">
        <v>1063</v>
      </c>
      <c r="I1442" t="s">
        <v>2438</v>
      </c>
      <c r="J1442" s="13">
        <v>28245</v>
      </c>
      <c r="K1442">
        <v>1</v>
      </c>
      <c r="L1442" t="s">
        <v>1064</v>
      </c>
      <c r="M1442" t="s">
        <v>2439</v>
      </c>
      <c r="N1442" s="15" t="s">
        <v>6878</v>
      </c>
    </row>
    <row r="1443" spans="1:14" x14ac:dyDescent="0.2">
      <c r="A1443" t="s">
        <v>2531</v>
      </c>
      <c r="B1443" t="s">
        <v>2360</v>
      </c>
      <c r="C1443" s="9">
        <v>44945</v>
      </c>
      <c r="D1443" t="s">
        <v>9</v>
      </c>
      <c r="E1443" s="13">
        <v>1152540</v>
      </c>
      <c r="F1443" s="13">
        <v>24975</v>
      </c>
      <c r="G1443" s="9">
        <v>44950</v>
      </c>
      <c r="H1443" t="s">
        <v>1063</v>
      </c>
      <c r="I1443" t="s">
        <v>2438</v>
      </c>
      <c r="J1443" s="13">
        <v>38379</v>
      </c>
      <c r="K1443">
        <v>1</v>
      </c>
      <c r="L1443" t="s">
        <v>1064</v>
      </c>
      <c r="M1443" t="s">
        <v>2439</v>
      </c>
      <c r="N1443" s="15" t="s">
        <v>6878</v>
      </c>
    </row>
    <row r="1444" spans="1:14" x14ac:dyDescent="0.2">
      <c r="A1444" t="s">
        <v>2532</v>
      </c>
      <c r="B1444" t="s">
        <v>2360</v>
      </c>
      <c r="C1444" s="9">
        <v>44945</v>
      </c>
      <c r="D1444" t="s">
        <v>9</v>
      </c>
      <c r="E1444" s="13">
        <v>353290</v>
      </c>
      <c r="F1444" s="13">
        <v>24975</v>
      </c>
      <c r="G1444" s="9">
        <v>44950</v>
      </c>
      <c r="H1444" t="s">
        <v>1111</v>
      </c>
      <c r="I1444" t="s">
        <v>436</v>
      </c>
      <c r="J1444" s="13">
        <v>11763</v>
      </c>
      <c r="K1444">
        <v>1</v>
      </c>
      <c r="L1444" t="s">
        <v>1064</v>
      </c>
      <c r="M1444" t="s">
        <v>2364</v>
      </c>
      <c r="N1444" s="15" t="s">
        <v>6878</v>
      </c>
    </row>
    <row r="1445" spans="1:14" x14ac:dyDescent="0.2">
      <c r="A1445" t="s">
        <v>2533</v>
      </c>
      <c r="B1445" t="s">
        <v>2360</v>
      </c>
      <c r="C1445" s="9">
        <v>44945</v>
      </c>
      <c r="D1445" t="s">
        <v>9</v>
      </c>
      <c r="E1445" s="13">
        <v>831042</v>
      </c>
      <c r="F1445" s="13">
        <v>24975</v>
      </c>
      <c r="G1445" s="9">
        <v>44950</v>
      </c>
      <c r="H1445" t="s">
        <v>1063</v>
      </c>
      <c r="I1445" t="s">
        <v>2438</v>
      </c>
      <c r="J1445" s="13">
        <v>27673</v>
      </c>
      <c r="K1445">
        <v>1</v>
      </c>
      <c r="L1445" t="s">
        <v>1064</v>
      </c>
      <c r="M1445" t="s">
        <v>2439</v>
      </c>
      <c r="N1445" s="15" t="s">
        <v>6878</v>
      </c>
    </row>
    <row r="1446" spans="1:14" x14ac:dyDescent="0.2">
      <c r="A1446" t="s">
        <v>2534</v>
      </c>
      <c r="B1446" t="s">
        <v>2360</v>
      </c>
      <c r="C1446" s="9">
        <v>44945</v>
      </c>
      <c r="D1446" t="s">
        <v>9</v>
      </c>
      <c r="E1446" s="13">
        <v>783323</v>
      </c>
      <c r="F1446" s="13">
        <v>24975</v>
      </c>
      <c r="G1446" s="9">
        <v>44950</v>
      </c>
      <c r="H1446" t="s">
        <v>1063</v>
      </c>
      <c r="I1446" t="s">
        <v>2438</v>
      </c>
      <c r="J1446" s="13">
        <v>26083</v>
      </c>
      <c r="K1446">
        <v>1</v>
      </c>
      <c r="L1446" t="s">
        <v>1064</v>
      </c>
      <c r="M1446" t="s">
        <v>2439</v>
      </c>
      <c r="N1446" s="15" t="s">
        <v>6878</v>
      </c>
    </row>
    <row r="1447" spans="1:14" x14ac:dyDescent="0.2">
      <c r="A1447" t="s">
        <v>2535</v>
      </c>
      <c r="B1447" t="s">
        <v>2360</v>
      </c>
      <c r="C1447" s="9">
        <v>44945</v>
      </c>
      <c r="D1447" t="s">
        <v>9</v>
      </c>
      <c r="E1447" s="13">
        <v>399350</v>
      </c>
      <c r="F1447" s="13">
        <v>24975</v>
      </c>
      <c r="G1447" s="9">
        <v>44950</v>
      </c>
      <c r="H1447" t="s">
        <v>1111</v>
      </c>
      <c r="I1447" t="s">
        <v>436</v>
      </c>
      <c r="J1447" s="13">
        <v>13297</v>
      </c>
      <c r="K1447">
        <v>1</v>
      </c>
      <c r="L1447" t="s">
        <v>1064</v>
      </c>
      <c r="M1447" t="s">
        <v>2364</v>
      </c>
      <c r="N1447" s="15" t="s">
        <v>6878</v>
      </c>
    </row>
    <row r="1448" spans="1:14" x14ac:dyDescent="0.2">
      <c r="A1448" t="s">
        <v>2536</v>
      </c>
      <c r="B1448" t="s">
        <v>2360</v>
      </c>
      <c r="C1448" s="9">
        <v>44946</v>
      </c>
      <c r="D1448" t="s">
        <v>964</v>
      </c>
      <c r="E1448" s="13">
        <v>13500000</v>
      </c>
      <c r="F1448" s="13">
        <v>27750</v>
      </c>
      <c r="G1448" s="9">
        <v>44949</v>
      </c>
      <c r="H1448" t="s">
        <v>1063</v>
      </c>
      <c r="I1448" t="s">
        <v>2520</v>
      </c>
      <c r="J1448" s="13">
        <v>374625</v>
      </c>
      <c r="K1448">
        <v>1</v>
      </c>
      <c r="L1448" t="s">
        <v>1064</v>
      </c>
      <c r="M1448" t="s">
        <v>2521</v>
      </c>
      <c r="N1448" s="15" t="s">
        <v>6878</v>
      </c>
    </row>
    <row r="1449" spans="1:14" x14ac:dyDescent="0.2">
      <c r="A1449" t="s">
        <v>2537</v>
      </c>
      <c r="B1449" t="s">
        <v>2360</v>
      </c>
      <c r="C1449" s="9">
        <v>44946</v>
      </c>
      <c r="D1449" t="s">
        <v>9</v>
      </c>
      <c r="E1449" s="13">
        <v>340060</v>
      </c>
      <c r="F1449" s="13">
        <v>24975</v>
      </c>
      <c r="G1449" s="9">
        <v>44950</v>
      </c>
      <c r="H1449" t="s">
        <v>1111</v>
      </c>
      <c r="I1449" t="s">
        <v>436</v>
      </c>
      <c r="J1449" s="13">
        <v>11323</v>
      </c>
      <c r="K1449">
        <v>1</v>
      </c>
      <c r="L1449" t="s">
        <v>1064</v>
      </c>
      <c r="M1449" t="s">
        <v>2364</v>
      </c>
      <c r="N1449" s="15" t="s">
        <v>6878</v>
      </c>
    </row>
    <row r="1450" spans="1:14" x14ac:dyDescent="0.2">
      <c r="A1450" t="s">
        <v>2538</v>
      </c>
      <c r="B1450" t="s">
        <v>2360</v>
      </c>
      <c r="C1450" s="9">
        <v>44947</v>
      </c>
      <c r="D1450" t="s">
        <v>964</v>
      </c>
      <c r="E1450" s="13">
        <v>13500000</v>
      </c>
      <c r="F1450" s="13">
        <v>27750</v>
      </c>
      <c r="G1450" s="9">
        <v>44950</v>
      </c>
      <c r="H1450" t="s">
        <v>1063</v>
      </c>
      <c r="I1450" t="s">
        <v>2520</v>
      </c>
      <c r="J1450" s="13">
        <v>374625</v>
      </c>
      <c r="K1450">
        <v>1</v>
      </c>
      <c r="L1450" t="s">
        <v>1064</v>
      </c>
      <c r="M1450" t="s">
        <v>2521</v>
      </c>
      <c r="N1450" s="15" t="s">
        <v>6878</v>
      </c>
    </row>
    <row r="1451" spans="1:14" x14ac:dyDescent="0.2">
      <c r="A1451" t="s">
        <v>2539</v>
      </c>
      <c r="B1451" t="s">
        <v>2360</v>
      </c>
      <c r="C1451" s="9">
        <v>44948</v>
      </c>
      <c r="D1451" t="s">
        <v>9</v>
      </c>
      <c r="E1451" s="13">
        <v>340060</v>
      </c>
      <c r="F1451" s="13">
        <v>24975</v>
      </c>
      <c r="G1451" s="9">
        <v>44950</v>
      </c>
      <c r="H1451" t="s">
        <v>1111</v>
      </c>
      <c r="I1451" t="s">
        <v>436</v>
      </c>
      <c r="J1451" s="13">
        <v>11323</v>
      </c>
      <c r="K1451">
        <v>1</v>
      </c>
      <c r="L1451" t="s">
        <v>1064</v>
      </c>
      <c r="M1451" t="s">
        <v>2364</v>
      </c>
      <c r="N1451" s="15" t="s">
        <v>6878</v>
      </c>
    </row>
    <row r="1452" spans="1:14" x14ac:dyDescent="0.2">
      <c r="A1452" t="s">
        <v>2540</v>
      </c>
      <c r="B1452" t="s">
        <v>2360</v>
      </c>
      <c r="C1452" s="9">
        <v>44948</v>
      </c>
      <c r="D1452" t="s">
        <v>992</v>
      </c>
      <c r="E1452" s="13">
        <v>3094924</v>
      </c>
      <c r="F1452" s="13">
        <v>22200</v>
      </c>
      <c r="G1452" s="9">
        <v>44954</v>
      </c>
      <c r="H1452" t="s">
        <v>1063</v>
      </c>
      <c r="I1452" t="s">
        <v>2370</v>
      </c>
      <c r="J1452" s="13">
        <v>137413</v>
      </c>
      <c r="K1452">
        <v>1</v>
      </c>
      <c r="L1452" t="s">
        <v>1064</v>
      </c>
      <c r="M1452" t="s">
        <v>2371</v>
      </c>
      <c r="N1452" s="15" t="s">
        <v>6878</v>
      </c>
    </row>
    <row r="1453" spans="1:14" x14ac:dyDescent="0.2">
      <c r="A1453" t="s">
        <v>2541</v>
      </c>
      <c r="B1453" t="s">
        <v>2360</v>
      </c>
      <c r="C1453" s="9">
        <v>44948</v>
      </c>
      <c r="D1453" t="s">
        <v>992</v>
      </c>
      <c r="E1453" s="13">
        <v>4323036</v>
      </c>
      <c r="F1453" s="13">
        <v>22200</v>
      </c>
      <c r="G1453" s="9">
        <v>44968</v>
      </c>
      <c r="H1453" t="s">
        <v>1063</v>
      </c>
      <c r="I1453" t="s">
        <v>2370</v>
      </c>
      <c r="J1453" s="13">
        <v>191942</v>
      </c>
      <c r="K1453">
        <v>1</v>
      </c>
      <c r="L1453" t="s">
        <v>1064</v>
      </c>
      <c r="M1453" t="s">
        <v>2371</v>
      </c>
      <c r="N1453" s="15" t="s">
        <v>6878</v>
      </c>
    </row>
    <row r="1454" spans="1:14" x14ac:dyDescent="0.2">
      <c r="A1454" t="s">
        <v>2542</v>
      </c>
      <c r="B1454" t="s">
        <v>2360</v>
      </c>
      <c r="C1454" s="9">
        <v>44948</v>
      </c>
      <c r="D1454" t="s">
        <v>992</v>
      </c>
      <c r="E1454" s="13">
        <v>2773173</v>
      </c>
      <c r="F1454" s="13">
        <v>22200</v>
      </c>
      <c r="G1454" s="9">
        <v>44967</v>
      </c>
      <c r="H1454" t="s">
        <v>1063</v>
      </c>
      <c r="I1454" t="s">
        <v>2370</v>
      </c>
      <c r="J1454" s="13">
        <v>123127</v>
      </c>
      <c r="K1454">
        <v>1</v>
      </c>
      <c r="L1454" t="s">
        <v>1064</v>
      </c>
      <c r="M1454" t="s">
        <v>2371</v>
      </c>
      <c r="N1454" s="15" t="s">
        <v>6878</v>
      </c>
    </row>
    <row r="1455" spans="1:14" x14ac:dyDescent="0.2">
      <c r="A1455" t="s">
        <v>2543</v>
      </c>
      <c r="B1455" t="s">
        <v>2360</v>
      </c>
      <c r="C1455" s="9">
        <v>44948</v>
      </c>
      <c r="D1455" t="s">
        <v>9</v>
      </c>
      <c r="E1455" s="13">
        <v>274890</v>
      </c>
      <c r="F1455" s="13">
        <v>24975</v>
      </c>
      <c r="G1455" s="9">
        <v>44960</v>
      </c>
      <c r="H1455" t="s">
        <v>1111</v>
      </c>
      <c r="I1455" t="s">
        <v>436</v>
      </c>
      <c r="J1455" s="13">
        <v>9153</v>
      </c>
      <c r="K1455">
        <v>1</v>
      </c>
      <c r="L1455" t="s">
        <v>1064</v>
      </c>
      <c r="M1455" t="s">
        <v>2364</v>
      </c>
      <c r="N1455" s="15" t="s">
        <v>6878</v>
      </c>
    </row>
    <row r="1456" spans="1:14" x14ac:dyDescent="0.2">
      <c r="A1456" t="s">
        <v>2544</v>
      </c>
      <c r="B1456" t="s">
        <v>2360</v>
      </c>
      <c r="C1456" s="9">
        <v>44949</v>
      </c>
      <c r="D1456" t="s">
        <v>964</v>
      </c>
      <c r="E1456" s="13">
        <v>13500000</v>
      </c>
      <c r="F1456" s="13">
        <v>27750</v>
      </c>
      <c r="G1456" s="9">
        <v>44951</v>
      </c>
      <c r="H1456" t="s">
        <v>1063</v>
      </c>
      <c r="I1456" t="s">
        <v>2520</v>
      </c>
      <c r="J1456" s="13">
        <v>374625</v>
      </c>
      <c r="K1456">
        <v>1</v>
      </c>
      <c r="L1456" t="s">
        <v>1064</v>
      </c>
      <c r="M1456" t="s">
        <v>2521</v>
      </c>
      <c r="N1456" s="15" t="s">
        <v>6878</v>
      </c>
    </row>
    <row r="1457" spans="1:14" x14ac:dyDescent="0.2">
      <c r="A1457" t="s">
        <v>2545</v>
      </c>
      <c r="B1457" t="s">
        <v>2360</v>
      </c>
      <c r="C1457" s="9">
        <v>44950</v>
      </c>
      <c r="D1457" t="s">
        <v>9</v>
      </c>
      <c r="E1457" s="13">
        <v>287630</v>
      </c>
      <c r="F1457" s="13">
        <v>24975</v>
      </c>
      <c r="G1457" s="9">
        <v>44960</v>
      </c>
      <c r="H1457" t="s">
        <v>1111</v>
      </c>
      <c r="I1457" t="s">
        <v>436</v>
      </c>
      <c r="J1457" s="13">
        <v>9577</v>
      </c>
      <c r="K1457">
        <v>1</v>
      </c>
      <c r="L1457" t="s">
        <v>1064</v>
      </c>
      <c r="M1457" t="s">
        <v>2364</v>
      </c>
      <c r="N1457" s="15" t="s">
        <v>6878</v>
      </c>
    </row>
    <row r="1458" spans="1:14" x14ac:dyDescent="0.2">
      <c r="A1458" t="s">
        <v>2546</v>
      </c>
      <c r="B1458" t="s">
        <v>2360</v>
      </c>
      <c r="C1458" s="9">
        <v>44950</v>
      </c>
      <c r="D1458" t="s">
        <v>9</v>
      </c>
      <c r="E1458" s="13">
        <v>245490</v>
      </c>
      <c r="F1458" s="13">
        <v>24975</v>
      </c>
      <c r="G1458" s="9">
        <v>44960</v>
      </c>
      <c r="H1458" t="s">
        <v>1111</v>
      </c>
      <c r="I1458" t="s">
        <v>436</v>
      </c>
      <c r="J1458" s="13">
        <v>8174</v>
      </c>
      <c r="K1458">
        <v>1</v>
      </c>
      <c r="L1458" t="s">
        <v>1064</v>
      </c>
      <c r="M1458" t="s">
        <v>2364</v>
      </c>
      <c r="N1458" s="15" t="s">
        <v>6878</v>
      </c>
    </row>
    <row r="1459" spans="1:14" x14ac:dyDescent="0.2">
      <c r="A1459" t="s">
        <v>2547</v>
      </c>
      <c r="B1459" t="s">
        <v>2360</v>
      </c>
      <c r="C1459" s="9">
        <v>44950</v>
      </c>
      <c r="D1459" t="s">
        <v>9</v>
      </c>
      <c r="E1459" s="13">
        <v>602556</v>
      </c>
      <c r="F1459" s="13">
        <v>24975</v>
      </c>
      <c r="G1459" s="9">
        <v>44956</v>
      </c>
      <c r="H1459" t="s">
        <v>1111</v>
      </c>
      <c r="I1459" t="s">
        <v>2438</v>
      </c>
      <c r="J1459" s="13">
        <v>20064</v>
      </c>
      <c r="K1459">
        <v>1</v>
      </c>
      <c r="L1459" t="s">
        <v>1064</v>
      </c>
      <c r="M1459" t="s">
        <v>2439</v>
      </c>
      <c r="N1459" s="15" t="s">
        <v>6878</v>
      </c>
    </row>
    <row r="1460" spans="1:14" x14ac:dyDescent="0.2">
      <c r="A1460" t="s">
        <v>2548</v>
      </c>
      <c r="B1460" t="s">
        <v>2360</v>
      </c>
      <c r="C1460" s="9">
        <v>44950</v>
      </c>
      <c r="D1460" t="s">
        <v>9</v>
      </c>
      <c r="E1460" s="13">
        <v>730953</v>
      </c>
      <c r="F1460" s="13">
        <v>24975</v>
      </c>
      <c r="G1460" s="9">
        <v>44956</v>
      </c>
      <c r="H1460" t="s">
        <v>1111</v>
      </c>
      <c r="I1460" t="s">
        <v>2438</v>
      </c>
      <c r="J1460" s="13">
        <v>24340</v>
      </c>
      <c r="K1460">
        <v>1</v>
      </c>
      <c r="L1460" t="s">
        <v>1064</v>
      </c>
      <c r="M1460" t="s">
        <v>2439</v>
      </c>
      <c r="N1460" s="15" t="s">
        <v>6878</v>
      </c>
    </row>
    <row r="1461" spans="1:14" x14ac:dyDescent="0.2">
      <c r="A1461" t="s">
        <v>2549</v>
      </c>
      <c r="B1461" t="s">
        <v>2360</v>
      </c>
      <c r="C1461" s="9">
        <v>44950</v>
      </c>
      <c r="D1461" t="s">
        <v>9</v>
      </c>
      <c r="E1461" s="13">
        <v>340060</v>
      </c>
      <c r="F1461" s="13">
        <v>24975</v>
      </c>
      <c r="G1461" s="9">
        <v>44960</v>
      </c>
      <c r="H1461" t="s">
        <v>1111</v>
      </c>
      <c r="I1461" t="s">
        <v>436</v>
      </c>
      <c r="J1461" s="13">
        <v>11323</v>
      </c>
      <c r="K1461">
        <v>1</v>
      </c>
      <c r="L1461" t="s">
        <v>1064</v>
      </c>
      <c r="M1461" t="s">
        <v>2364</v>
      </c>
      <c r="N1461" s="15" t="s">
        <v>6878</v>
      </c>
    </row>
    <row r="1462" spans="1:14" x14ac:dyDescent="0.2">
      <c r="A1462" t="s">
        <v>2550</v>
      </c>
      <c r="B1462" t="s">
        <v>2360</v>
      </c>
      <c r="C1462" s="9">
        <v>44950</v>
      </c>
      <c r="D1462" t="s">
        <v>9</v>
      </c>
      <c r="E1462" s="13">
        <v>340060</v>
      </c>
      <c r="F1462" s="13">
        <v>24975</v>
      </c>
      <c r="G1462" s="9">
        <v>44960</v>
      </c>
      <c r="H1462" t="s">
        <v>1111</v>
      </c>
      <c r="I1462" t="s">
        <v>436</v>
      </c>
      <c r="J1462" s="13">
        <v>11323</v>
      </c>
      <c r="K1462">
        <v>1</v>
      </c>
      <c r="L1462" t="s">
        <v>1064</v>
      </c>
      <c r="M1462" t="s">
        <v>2364</v>
      </c>
      <c r="N1462" s="15" t="s">
        <v>6878</v>
      </c>
    </row>
    <row r="1463" spans="1:14" x14ac:dyDescent="0.2">
      <c r="A1463" t="s">
        <v>2551</v>
      </c>
      <c r="B1463" t="s">
        <v>2360</v>
      </c>
      <c r="C1463" s="9">
        <v>44950</v>
      </c>
      <c r="D1463" t="s">
        <v>9</v>
      </c>
      <c r="E1463" s="13">
        <v>372400</v>
      </c>
      <c r="F1463" s="13">
        <v>24975</v>
      </c>
      <c r="G1463" s="9">
        <v>44960</v>
      </c>
      <c r="H1463" t="s">
        <v>1111</v>
      </c>
      <c r="I1463" t="s">
        <v>436</v>
      </c>
      <c r="J1463" s="13">
        <v>12400</v>
      </c>
      <c r="K1463">
        <v>1</v>
      </c>
      <c r="L1463" t="s">
        <v>1064</v>
      </c>
      <c r="M1463" t="s">
        <v>2364</v>
      </c>
      <c r="N1463" s="15" t="s">
        <v>6878</v>
      </c>
    </row>
    <row r="1464" spans="1:14" x14ac:dyDescent="0.2">
      <c r="A1464" t="s">
        <v>2552</v>
      </c>
      <c r="B1464" t="s">
        <v>2360</v>
      </c>
      <c r="C1464" s="9">
        <v>44950</v>
      </c>
      <c r="D1464" t="s">
        <v>9</v>
      </c>
      <c r="E1464" s="13">
        <v>458150</v>
      </c>
      <c r="F1464" s="13">
        <v>24975</v>
      </c>
      <c r="G1464" s="9">
        <v>44960</v>
      </c>
      <c r="H1464" t="s">
        <v>1111</v>
      </c>
      <c r="I1464" t="s">
        <v>436</v>
      </c>
      <c r="J1464" s="13">
        <v>15255</v>
      </c>
      <c r="K1464">
        <v>1</v>
      </c>
      <c r="L1464" t="s">
        <v>1064</v>
      </c>
      <c r="M1464" t="s">
        <v>2364</v>
      </c>
      <c r="N1464" s="15" t="s">
        <v>6878</v>
      </c>
    </row>
    <row r="1465" spans="1:14" x14ac:dyDescent="0.2">
      <c r="A1465" t="s">
        <v>2553</v>
      </c>
      <c r="B1465" t="s">
        <v>2360</v>
      </c>
      <c r="C1465" s="9">
        <v>44951</v>
      </c>
      <c r="D1465" t="s">
        <v>975</v>
      </c>
      <c r="E1465" s="13">
        <v>1100000</v>
      </c>
      <c r="F1465" s="13"/>
      <c r="H1465" t="s">
        <v>1185</v>
      </c>
      <c r="I1465" t="s">
        <v>205</v>
      </c>
      <c r="J1465" s="13">
        <v>0</v>
      </c>
      <c r="K1465">
        <v>1</v>
      </c>
      <c r="L1465" t="s">
        <v>1064</v>
      </c>
      <c r="M1465" t="s">
        <v>2554</v>
      </c>
      <c r="N1465" s="14" t="s">
        <v>6877</v>
      </c>
    </row>
    <row r="1466" spans="1:14" x14ac:dyDescent="0.2">
      <c r="A1466" t="s">
        <v>2555</v>
      </c>
      <c r="B1466" t="s">
        <v>2360</v>
      </c>
      <c r="C1466" s="9">
        <v>44951</v>
      </c>
      <c r="D1466" t="s">
        <v>9</v>
      </c>
      <c r="E1466" s="13">
        <v>274400</v>
      </c>
      <c r="F1466" s="13">
        <v>24975</v>
      </c>
      <c r="G1466" s="9">
        <v>44960</v>
      </c>
      <c r="H1466" t="s">
        <v>1111</v>
      </c>
      <c r="I1466" t="s">
        <v>436</v>
      </c>
      <c r="J1466" s="13">
        <v>9137</v>
      </c>
      <c r="K1466">
        <v>1</v>
      </c>
      <c r="L1466" t="s">
        <v>1064</v>
      </c>
      <c r="M1466" t="s">
        <v>2364</v>
      </c>
      <c r="N1466" s="15" t="s">
        <v>6878</v>
      </c>
    </row>
    <row r="1467" spans="1:14" x14ac:dyDescent="0.2">
      <c r="A1467" t="s">
        <v>2556</v>
      </c>
      <c r="B1467" t="s">
        <v>2360</v>
      </c>
      <c r="C1467" s="9">
        <v>44951</v>
      </c>
      <c r="D1467" t="s">
        <v>975</v>
      </c>
      <c r="E1467" s="13">
        <v>1100000</v>
      </c>
      <c r="F1467" s="13"/>
      <c r="H1467" t="s">
        <v>1185</v>
      </c>
      <c r="I1467" t="s">
        <v>205</v>
      </c>
      <c r="J1467" s="13">
        <v>0</v>
      </c>
      <c r="K1467">
        <v>1</v>
      </c>
      <c r="L1467" t="s">
        <v>1064</v>
      </c>
      <c r="M1467" t="s">
        <v>2554</v>
      </c>
      <c r="N1467" s="14" t="s">
        <v>6877</v>
      </c>
    </row>
    <row r="1468" spans="1:14" x14ac:dyDescent="0.2">
      <c r="A1468" t="s">
        <v>2557</v>
      </c>
      <c r="B1468" t="s">
        <v>2360</v>
      </c>
      <c r="C1468" s="9">
        <v>44951</v>
      </c>
      <c r="D1468" t="s">
        <v>975</v>
      </c>
      <c r="E1468" s="13">
        <v>2400000</v>
      </c>
      <c r="F1468" s="13"/>
      <c r="H1468" t="s">
        <v>1185</v>
      </c>
      <c r="I1468" t="s">
        <v>205</v>
      </c>
      <c r="J1468" s="13">
        <v>0</v>
      </c>
      <c r="K1468">
        <v>1</v>
      </c>
      <c r="L1468" t="s">
        <v>1064</v>
      </c>
      <c r="M1468" t="s">
        <v>2554</v>
      </c>
      <c r="N1468" s="14" t="s">
        <v>6877</v>
      </c>
    </row>
    <row r="1469" spans="1:14" x14ac:dyDescent="0.2">
      <c r="A1469" t="s">
        <v>2558</v>
      </c>
      <c r="B1469" t="s">
        <v>2360</v>
      </c>
      <c r="C1469" s="9">
        <v>44951</v>
      </c>
      <c r="D1469" t="s">
        <v>964</v>
      </c>
      <c r="E1469" s="13">
        <v>17500000</v>
      </c>
      <c r="F1469" s="13">
        <v>27750</v>
      </c>
      <c r="G1469" s="9">
        <v>44954</v>
      </c>
      <c r="H1469" t="s">
        <v>1063</v>
      </c>
      <c r="I1469" t="s">
        <v>2520</v>
      </c>
      <c r="J1469" s="13">
        <v>485625</v>
      </c>
      <c r="K1469">
        <v>1</v>
      </c>
      <c r="L1469" t="s">
        <v>1064</v>
      </c>
      <c r="M1469" t="s">
        <v>2521</v>
      </c>
      <c r="N1469" s="15" t="s">
        <v>6878</v>
      </c>
    </row>
    <row r="1470" spans="1:14" x14ac:dyDescent="0.2">
      <c r="A1470" t="s">
        <v>2559</v>
      </c>
      <c r="B1470" t="s">
        <v>2360</v>
      </c>
      <c r="C1470" s="9">
        <v>44951</v>
      </c>
      <c r="D1470" t="s">
        <v>964</v>
      </c>
      <c r="E1470" s="13">
        <v>17500000</v>
      </c>
      <c r="F1470" s="13">
        <v>27750</v>
      </c>
      <c r="G1470" s="9">
        <v>44954</v>
      </c>
      <c r="H1470" t="s">
        <v>1063</v>
      </c>
      <c r="I1470" t="s">
        <v>2520</v>
      </c>
      <c r="J1470" s="13">
        <v>485625</v>
      </c>
      <c r="K1470">
        <v>1</v>
      </c>
      <c r="L1470" t="s">
        <v>1064</v>
      </c>
      <c r="M1470" t="s">
        <v>2521</v>
      </c>
      <c r="N1470" s="15" t="s">
        <v>6878</v>
      </c>
    </row>
    <row r="1471" spans="1:14" x14ac:dyDescent="0.2">
      <c r="A1471" t="s">
        <v>2560</v>
      </c>
      <c r="B1471" t="s">
        <v>2360</v>
      </c>
      <c r="C1471" s="9">
        <v>44951</v>
      </c>
      <c r="D1471" t="s">
        <v>975</v>
      </c>
      <c r="E1471" s="13">
        <v>850000</v>
      </c>
      <c r="F1471" s="13"/>
      <c r="H1471" t="s">
        <v>1185</v>
      </c>
      <c r="I1471" t="s">
        <v>205</v>
      </c>
      <c r="J1471" s="13">
        <v>0</v>
      </c>
      <c r="K1471">
        <v>1</v>
      </c>
      <c r="L1471" t="s">
        <v>1064</v>
      </c>
      <c r="M1471" t="s">
        <v>2554</v>
      </c>
      <c r="N1471" s="14" t="s">
        <v>6877</v>
      </c>
    </row>
    <row r="1472" spans="1:14" x14ac:dyDescent="0.2">
      <c r="A1472" t="s">
        <v>2561</v>
      </c>
      <c r="B1472" t="s">
        <v>2360</v>
      </c>
      <c r="C1472" s="9">
        <v>44951</v>
      </c>
      <c r="D1472" t="s">
        <v>964</v>
      </c>
      <c r="E1472" s="13">
        <v>17500000</v>
      </c>
      <c r="F1472" s="13">
        <v>27750</v>
      </c>
      <c r="G1472" s="9">
        <v>44956</v>
      </c>
      <c r="H1472" t="s">
        <v>1063</v>
      </c>
      <c r="I1472" t="s">
        <v>2520</v>
      </c>
      <c r="J1472" s="13">
        <v>485625</v>
      </c>
      <c r="K1472">
        <v>1</v>
      </c>
      <c r="L1472" t="s">
        <v>1064</v>
      </c>
      <c r="M1472" t="s">
        <v>2521</v>
      </c>
      <c r="N1472" s="15" t="s">
        <v>6878</v>
      </c>
    </row>
    <row r="1473" spans="1:14" x14ac:dyDescent="0.2">
      <c r="A1473" t="s">
        <v>2562</v>
      </c>
      <c r="B1473" t="s">
        <v>2360</v>
      </c>
      <c r="C1473" s="9">
        <v>44951</v>
      </c>
      <c r="D1473" t="s">
        <v>975</v>
      </c>
      <c r="E1473" s="13">
        <v>850000</v>
      </c>
      <c r="F1473" s="13"/>
      <c r="H1473" t="s">
        <v>1185</v>
      </c>
      <c r="I1473" t="s">
        <v>205</v>
      </c>
      <c r="J1473" s="13">
        <v>0</v>
      </c>
      <c r="K1473">
        <v>1</v>
      </c>
      <c r="L1473" t="s">
        <v>1064</v>
      </c>
      <c r="M1473" t="s">
        <v>2554</v>
      </c>
      <c r="N1473" s="14" t="s">
        <v>6877</v>
      </c>
    </row>
    <row r="1474" spans="1:14" x14ac:dyDescent="0.2">
      <c r="A1474" t="s">
        <v>2563</v>
      </c>
      <c r="B1474" t="s">
        <v>2360</v>
      </c>
      <c r="C1474" s="9">
        <v>44951</v>
      </c>
      <c r="D1474" t="s">
        <v>975</v>
      </c>
      <c r="E1474" s="13">
        <v>850000</v>
      </c>
      <c r="F1474" s="13"/>
      <c r="H1474" t="s">
        <v>1185</v>
      </c>
      <c r="I1474" t="s">
        <v>205</v>
      </c>
      <c r="J1474" s="13">
        <v>0</v>
      </c>
      <c r="K1474">
        <v>1</v>
      </c>
      <c r="L1474" t="s">
        <v>1064</v>
      </c>
      <c r="M1474" t="s">
        <v>2554</v>
      </c>
      <c r="N1474" s="14" t="s">
        <v>6877</v>
      </c>
    </row>
    <row r="1475" spans="1:14" x14ac:dyDescent="0.2">
      <c r="A1475" t="s">
        <v>2564</v>
      </c>
      <c r="B1475" t="s">
        <v>2360</v>
      </c>
      <c r="C1475" s="9">
        <v>44951</v>
      </c>
      <c r="D1475" t="s">
        <v>975</v>
      </c>
      <c r="E1475" s="13">
        <v>1100000</v>
      </c>
      <c r="F1475" s="13"/>
      <c r="H1475" t="s">
        <v>1185</v>
      </c>
      <c r="I1475" t="s">
        <v>205</v>
      </c>
      <c r="J1475" s="13">
        <v>0</v>
      </c>
      <c r="K1475">
        <v>1</v>
      </c>
      <c r="L1475" t="s">
        <v>1064</v>
      </c>
      <c r="M1475" t="s">
        <v>2554</v>
      </c>
      <c r="N1475" s="14" t="s">
        <v>6877</v>
      </c>
    </row>
    <row r="1476" spans="1:14" x14ac:dyDescent="0.2">
      <c r="A1476" t="s">
        <v>2565</v>
      </c>
      <c r="B1476" t="s">
        <v>2360</v>
      </c>
      <c r="C1476" s="9">
        <v>44951</v>
      </c>
      <c r="D1476" t="s">
        <v>975</v>
      </c>
      <c r="E1476" s="13">
        <v>1100000</v>
      </c>
      <c r="F1476" s="13"/>
      <c r="H1476" t="s">
        <v>1185</v>
      </c>
      <c r="I1476" t="s">
        <v>205</v>
      </c>
      <c r="J1476" s="13">
        <v>0</v>
      </c>
      <c r="K1476">
        <v>1</v>
      </c>
      <c r="L1476" t="s">
        <v>1064</v>
      </c>
      <c r="M1476" t="s">
        <v>2554</v>
      </c>
      <c r="N1476" s="14" t="s">
        <v>6877</v>
      </c>
    </row>
    <row r="1477" spans="1:14" x14ac:dyDescent="0.2">
      <c r="A1477" t="s">
        <v>2566</v>
      </c>
      <c r="B1477" t="s">
        <v>2360</v>
      </c>
      <c r="C1477" s="9">
        <v>44951</v>
      </c>
      <c r="D1477" t="s">
        <v>975</v>
      </c>
      <c r="E1477" s="13">
        <v>7000000</v>
      </c>
      <c r="F1477" s="13"/>
      <c r="H1477" t="s">
        <v>1185</v>
      </c>
      <c r="I1477" t="s">
        <v>205</v>
      </c>
      <c r="J1477" s="13">
        <v>0</v>
      </c>
      <c r="K1477">
        <v>1</v>
      </c>
      <c r="L1477" t="s">
        <v>1064</v>
      </c>
      <c r="M1477" t="s">
        <v>2554</v>
      </c>
      <c r="N1477" s="14" t="s">
        <v>6877</v>
      </c>
    </row>
    <row r="1478" spans="1:14" x14ac:dyDescent="0.2">
      <c r="A1478" t="s">
        <v>2567</v>
      </c>
      <c r="B1478" t="s">
        <v>2360</v>
      </c>
      <c r="C1478" s="9">
        <v>44951</v>
      </c>
      <c r="D1478" t="s">
        <v>975</v>
      </c>
      <c r="E1478" s="13">
        <v>1100000</v>
      </c>
      <c r="F1478" s="13"/>
      <c r="H1478" t="s">
        <v>1185</v>
      </c>
      <c r="I1478" t="s">
        <v>205</v>
      </c>
      <c r="J1478" s="13">
        <v>0</v>
      </c>
      <c r="K1478">
        <v>1</v>
      </c>
      <c r="L1478" t="s">
        <v>1064</v>
      </c>
      <c r="M1478" t="s">
        <v>2554</v>
      </c>
      <c r="N1478" s="14" t="s">
        <v>6877</v>
      </c>
    </row>
    <row r="1479" spans="1:14" x14ac:dyDescent="0.2">
      <c r="A1479" t="s">
        <v>2568</v>
      </c>
      <c r="B1479" t="s">
        <v>2360</v>
      </c>
      <c r="C1479" s="9">
        <v>44951</v>
      </c>
      <c r="D1479" t="s">
        <v>975</v>
      </c>
      <c r="E1479" s="13">
        <v>2400000</v>
      </c>
      <c r="F1479" s="13"/>
      <c r="H1479" t="s">
        <v>1185</v>
      </c>
      <c r="I1479" t="s">
        <v>205</v>
      </c>
      <c r="J1479" s="13">
        <v>0</v>
      </c>
      <c r="K1479">
        <v>1</v>
      </c>
      <c r="L1479" t="s">
        <v>1064</v>
      </c>
      <c r="M1479" t="s">
        <v>2554</v>
      </c>
      <c r="N1479" s="14" t="s">
        <v>6877</v>
      </c>
    </row>
    <row r="1480" spans="1:14" x14ac:dyDescent="0.2">
      <c r="A1480" t="s">
        <v>2569</v>
      </c>
      <c r="B1480" t="s">
        <v>2360</v>
      </c>
      <c r="C1480" s="9">
        <v>44951</v>
      </c>
      <c r="D1480" t="s">
        <v>975</v>
      </c>
      <c r="E1480" s="13">
        <v>1100000</v>
      </c>
      <c r="F1480" s="13"/>
      <c r="H1480" t="s">
        <v>1185</v>
      </c>
      <c r="I1480" t="s">
        <v>205</v>
      </c>
      <c r="J1480" s="13">
        <v>0</v>
      </c>
      <c r="K1480">
        <v>1</v>
      </c>
      <c r="L1480" t="s">
        <v>1064</v>
      </c>
      <c r="M1480" t="s">
        <v>2554</v>
      </c>
      <c r="N1480" s="14" t="s">
        <v>6877</v>
      </c>
    </row>
    <row r="1481" spans="1:14" x14ac:dyDescent="0.2">
      <c r="A1481" t="s">
        <v>2570</v>
      </c>
      <c r="B1481" t="s">
        <v>2360</v>
      </c>
      <c r="C1481" s="9">
        <v>44951</v>
      </c>
      <c r="D1481" t="s">
        <v>975</v>
      </c>
      <c r="E1481" s="13">
        <v>1100000</v>
      </c>
      <c r="F1481" s="13"/>
      <c r="H1481" t="s">
        <v>1185</v>
      </c>
      <c r="I1481" t="s">
        <v>205</v>
      </c>
      <c r="J1481" s="13">
        <v>0</v>
      </c>
      <c r="K1481">
        <v>1</v>
      </c>
      <c r="L1481" t="s">
        <v>1064</v>
      </c>
      <c r="M1481" t="s">
        <v>2554</v>
      </c>
      <c r="N1481" s="14" t="s">
        <v>6877</v>
      </c>
    </row>
    <row r="1482" spans="1:14" x14ac:dyDescent="0.2">
      <c r="A1482" t="s">
        <v>2571</v>
      </c>
      <c r="B1482" t="s">
        <v>2360</v>
      </c>
      <c r="C1482" s="9">
        <v>44951</v>
      </c>
      <c r="D1482" t="s">
        <v>975</v>
      </c>
      <c r="E1482" s="13">
        <v>850000</v>
      </c>
      <c r="F1482" s="13"/>
      <c r="H1482" t="s">
        <v>1185</v>
      </c>
      <c r="I1482" t="s">
        <v>205</v>
      </c>
      <c r="J1482" s="13">
        <v>0</v>
      </c>
      <c r="K1482">
        <v>1</v>
      </c>
      <c r="L1482" t="s">
        <v>1064</v>
      </c>
      <c r="M1482" t="s">
        <v>2554</v>
      </c>
      <c r="N1482" s="14" t="s">
        <v>6877</v>
      </c>
    </row>
    <row r="1483" spans="1:14" x14ac:dyDescent="0.2">
      <c r="A1483" t="s">
        <v>2572</v>
      </c>
      <c r="B1483" t="s">
        <v>2360</v>
      </c>
      <c r="C1483" s="9">
        <v>44951</v>
      </c>
      <c r="D1483" t="s">
        <v>975</v>
      </c>
      <c r="E1483" s="13">
        <v>550000</v>
      </c>
      <c r="F1483" s="13"/>
      <c r="H1483" t="s">
        <v>1185</v>
      </c>
      <c r="I1483" t="s">
        <v>205</v>
      </c>
      <c r="J1483" s="13">
        <v>0</v>
      </c>
      <c r="K1483">
        <v>1</v>
      </c>
      <c r="L1483" t="s">
        <v>1064</v>
      </c>
      <c r="M1483" t="s">
        <v>2554</v>
      </c>
      <c r="N1483" s="14" t="s">
        <v>6877</v>
      </c>
    </row>
    <row r="1484" spans="1:14" x14ac:dyDescent="0.2">
      <c r="A1484" t="s">
        <v>2573</v>
      </c>
      <c r="B1484" t="s">
        <v>2360</v>
      </c>
      <c r="C1484" s="9">
        <v>44951</v>
      </c>
      <c r="D1484" t="s">
        <v>1030</v>
      </c>
      <c r="E1484" s="13">
        <v>16400000</v>
      </c>
      <c r="F1484" s="13">
        <v>910200</v>
      </c>
      <c r="G1484" s="9">
        <v>44952</v>
      </c>
      <c r="H1484" t="s">
        <v>1063</v>
      </c>
      <c r="I1484" t="s">
        <v>2574</v>
      </c>
      <c r="J1484" s="13">
        <v>55500</v>
      </c>
      <c r="K1484">
        <v>1</v>
      </c>
      <c r="L1484" t="s">
        <v>1064</v>
      </c>
      <c r="M1484" t="s">
        <v>2575</v>
      </c>
      <c r="N1484" s="15" t="s">
        <v>6878</v>
      </c>
    </row>
    <row r="1485" spans="1:14" x14ac:dyDescent="0.2">
      <c r="A1485" t="s">
        <v>2576</v>
      </c>
      <c r="B1485" t="s">
        <v>2360</v>
      </c>
      <c r="C1485" s="9">
        <v>44951</v>
      </c>
      <c r="D1485" t="s">
        <v>1030</v>
      </c>
      <c r="E1485" s="13">
        <v>16400000</v>
      </c>
      <c r="F1485" s="13">
        <v>910200</v>
      </c>
      <c r="G1485" s="9">
        <v>44952</v>
      </c>
      <c r="H1485" t="s">
        <v>1063</v>
      </c>
      <c r="I1485" t="s">
        <v>2574</v>
      </c>
      <c r="J1485" s="13">
        <v>55500</v>
      </c>
      <c r="K1485">
        <v>1</v>
      </c>
      <c r="L1485" t="s">
        <v>1064</v>
      </c>
      <c r="M1485" t="s">
        <v>2575</v>
      </c>
      <c r="N1485" s="15" t="s">
        <v>6878</v>
      </c>
    </row>
    <row r="1486" spans="1:14" x14ac:dyDescent="0.2">
      <c r="A1486" t="s">
        <v>1031</v>
      </c>
      <c r="B1486" t="s">
        <v>2360</v>
      </c>
      <c r="C1486" s="9">
        <v>44951</v>
      </c>
      <c r="D1486" t="s">
        <v>1030</v>
      </c>
      <c r="E1486" s="13">
        <v>48000000</v>
      </c>
      <c r="F1486" s="13">
        <v>2664000</v>
      </c>
      <c r="G1486" s="9">
        <v>44952</v>
      </c>
      <c r="H1486" t="s">
        <v>1063</v>
      </c>
      <c r="I1486" t="s">
        <v>2574</v>
      </c>
      <c r="J1486" s="13">
        <v>55500</v>
      </c>
      <c r="K1486">
        <v>1</v>
      </c>
      <c r="L1486" t="s">
        <v>1064</v>
      </c>
      <c r="M1486" t="s">
        <v>2575</v>
      </c>
      <c r="N1486" s="15" t="s">
        <v>6878</v>
      </c>
    </row>
    <row r="1487" spans="1:14" x14ac:dyDescent="0.2">
      <c r="A1487" t="s">
        <v>2577</v>
      </c>
      <c r="B1487" t="s">
        <v>2360</v>
      </c>
      <c r="C1487" s="9">
        <v>44951</v>
      </c>
      <c r="D1487" t="s">
        <v>975</v>
      </c>
      <c r="E1487" s="13">
        <v>850000</v>
      </c>
      <c r="F1487" s="13"/>
      <c r="H1487" t="s">
        <v>1185</v>
      </c>
      <c r="I1487" t="s">
        <v>205</v>
      </c>
      <c r="J1487" s="13">
        <v>0</v>
      </c>
      <c r="K1487">
        <v>1</v>
      </c>
      <c r="L1487" t="s">
        <v>1064</v>
      </c>
      <c r="M1487" t="s">
        <v>2554</v>
      </c>
      <c r="N1487" s="14" t="s">
        <v>6877</v>
      </c>
    </row>
    <row r="1488" spans="1:14" x14ac:dyDescent="0.2">
      <c r="A1488" t="s">
        <v>2578</v>
      </c>
      <c r="B1488" t="s">
        <v>2360</v>
      </c>
      <c r="C1488" s="9">
        <v>44951</v>
      </c>
      <c r="D1488" t="s">
        <v>975</v>
      </c>
      <c r="E1488" s="13">
        <v>850000</v>
      </c>
      <c r="F1488" s="13"/>
      <c r="H1488" t="s">
        <v>1185</v>
      </c>
      <c r="I1488" t="s">
        <v>205</v>
      </c>
      <c r="J1488" s="13">
        <v>0</v>
      </c>
      <c r="K1488">
        <v>1</v>
      </c>
      <c r="L1488" t="s">
        <v>1064</v>
      </c>
      <c r="M1488" t="s">
        <v>2554</v>
      </c>
      <c r="N1488" s="14" t="s">
        <v>6877</v>
      </c>
    </row>
    <row r="1489" spans="1:14" x14ac:dyDescent="0.2">
      <c r="A1489" t="s">
        <v>2579</v>
      </c>
      <c r="B1489" t="s">
        <v>2360</v>
      </c>
      <c r="C1489" s="9">
        <v>44951</v>
      </c>
      <c r="D1489" t="s">
        <v>2580</v>
      </c>
      <c r="E1489" s="13">
        <v>31210800</v>
      </c>
      <c r="F1489" s="13">
        <v>55500</v>
      </c>
      <c r="G1489" s="9">
        <v>44952</v>
      </c>
      <c r="H1489" t="s">
        <v>1063</v>
      </c>
      <c r="I1489" t="s">
        <v>2581</v>
      </c>
      <c r="J1489" s="13">
        <v>692879</v>
      </c>
      <c r="K1489">
        <v>1</v>
      </c>
      <c r="L1489" t="s">
        <v>1064</v>
      </c>
      <c r="M1489" t="s">
        <v>2582</v>
      </c>
      <c r="N1489" s="15" t="s">
        <v>6878</v>
      </c>
    </row>
    <row r="1490" spans="1:14" x14ac:dyDescent="0.2">
      <c r="A1490" t="s">
        <v>2583</v>
      </c>
      <c r="B1490" t="s">
        <v>2360</v>
      </c>
      <c r="C1490" s="9">
        <v>44951</v>
      </c>
      <c r="D1490" t="s">
        <v>975</v>
      </c>
      <c r="E1490" s="13">
        <v>1100000</v>
      </c>
      <c r="F1490" s="13"/>
      <c r="H1490" t="s">
        <v>1185</v>
      </c>
      <c r="I1490" t="s">
        <v>205</v>
      </c>
      <c r="J1490" s="13">
        <v>0</v>
      </c>
      <c r="K1490">
        <v>1</v>
      </c>
      <c r="L1490" t="s">
        <v>1064</v>
      </c>
      <c r="M1490" t="s">
        <v>2554</v>
      </c>
      <c r="N1490" s="14" t="s">
        <v>6877</v>
      </c>
    </row>
    <row r="1491" spans="1:14" x14ac:dyDescent="0.2">
      <c r="A1491" t="s">
        <v>2584</v>
      </c>
      <c r="B1491" t="s">
        <v>2360</v>
      </c>
      <c r="C1491" s="9">
        <v>44951</v>
      </c>
      <c r="D1491" t="s">
        <v>975</v>
      </c>
      <c r="E1491" s="13">
        <v>550000</v>
      </c>
      <c r="F1491" s="13"/>
      <c r="H1491" t="s">
        <v>1185</v>
      </c>
      <c r="I1491" t="s">
        <v>205</v>
      </c>
      <c r="J1491" s="13">
        <v>0</v>
      </c>
      <c r="K1491">
        <v>1</v>
      </c>
      <c r="L1491" t="s">
        <v>1064</v>
      </c>
      <c r="M1491" t="s">
        <v>2554</v>
      </c>
      <c r="N1491" s="14" t="s">
        <v>6877</v>
      </c>
    </row>
    <row r="1492" spans="1:14" x14ac:dyDescent="0.2">
      <c r="A1492" t="s">
        <v>2585</v>
      </c>
      <c r="B1492" t="s">
        <v>2360</v>
      </c>
      <c r="C1492" s="9">
        <v>44951</v>
      </c>
      <c r="D1492" t="s">
        <v>975</v>
      </c>
      <c r="E1492" s="13">
        <v>1100000</v>
      </c>
      <c r="F1492" s="13"/>
      <c r="H1492" t="s">
        <v>1185</v>
      </c>
      <c r="I1492" t="s">
        <v>205</v>
      </c>
      <c r="J1492" s="13">
        <v>0</v>
      </c>
      <c r="K1492">
        <v>1</v>
      </c>
      <c r="L1492" t="s">
        <v>1064</v>
      </c>
      <c r="M1492" t="s">
        <v>2554</v>
      </c>
      <c r="N1492" s="14" t="s">
        <v>6877</v>
      </c>
    </row>
    <row r="1493" spans="1:14" x14ac:dyDescent="0.2">
      <c r="A1493" t="s">
        <v>2586</v>
      </c>
      <c r="B1493" t="s">
        <v>2360</v>
      </c>
      <c r="C1493" s="9">
        <v>44951</v>
      </c>
      <c r="D1493" t="s">
        <v>975</v>
      </c>
      <c r="E1493" s="13">
        <v>550000</v>
      </c>
      <c r="F1493" s="13"/>
      <c r="H1493" t="s">
        <v>1185</v>
      </c>
      <c r="I1493" t="s">
        <v>205</v>
      </c>
      <c r="J1493" s="13">
        <v>0</v>
      </c>
      <c r="K1493">
        <v>1</v>
      </c>
      <c r="L1493" t="s">
        <v>1064</v>
      </c>
      <c r="M1493" t="s">
        <v>2554</v>
      </c>
      <c r="N1493" s="14" t="s">
        <v>6877</v>
      </c>
    </row>
    <row r="1494" spans="1:14" x14ac:dyDescent="0.2">
      <c r="A1494" t="s">
        <v>2587</v>
      </c>
      <c r="B1494" t="s">
        <v>2360</v>
      </c>
      <c r="C1494" s="9">
        <v>44951</v>
      </c>
      <c r="D1494" t="s">
        <v>975</v>
      </c>
      <c r="E1494" s="13">
        <v>1100000</v>
      </c>
      <c r="F1494" s="13"/>
      <c r="H1494" t="s">
        <v>1185</v>
      </c>
      <c r="I1494" t="s">
        <v>205</v>
      </c>
      <c r="J1494" s="13">
        <v>0</v>
      </c>
      <c r="K1494">
        <v>1</v>
      </c>
      <c r="L1494" t="s">
        <v>1064</v>
      </c>
      <c r="M1494" t="s">
        <v>2554</v>
      </c>
      <c r="N1494" s="14" t="s">
        <v>6877</v>
      </c>
    </row>
    <row r="1495" spans="1:14" x14ac:dyDescent="0.2">
      <c r="A1495" t="s">
        <v>2588</v>
      </c>
      <c r="B1495" t="s">
        <v>2360</v>
      </c>
      <c r="C1495" s="9">
        <v>44951</v>
      </c>
      <c r="D1495" t="s">
        <v>975</v>
      </c>
      <c r="E1495" s="13">
        <v>1100000</v>
      </c>
      <c r="F1495" s="13"/>
      <c r="H1495" t="s">
        <v>1185</v>
      </c>
      <c r="I1495" t="s">
        <v>205</v>
      </c>
      <c r="J1495" s="13">
        <v>0</v>
      </c>
      <c r="K1495">
        <v>1</v>
      </c>
      <c r="L1495" t="s">
        <v>1064</v>
      </c>
      <c r="M1495" t="s">
        <v>2554</v>
      </c>
      <c r="N1495" s="14" t="s">
        <v>6877</v>
      </c>
    </row>
    <row r="1496" spans="1:14" x14ac:dyDescent="0.2">
      <c r="A1496" t="s">
        <v>2589</v>
      </c>
      <c r="B1496" t="s">
        <v>2360</v>
      </c>
      <c r="C1496" s="9">
        <v>44951</v>
      </c>
      <c r="D1496" t="s">
        <v>975</v>
      </c>
      <c r="E1496" s="13">
        <v>850000</v>
      </c>
      <c r="F1496" s="13"/>
      <c r="H1496" t="s">
        <v>1185</v>
      </c>
      <c r="I1496" t="s">
        <v>205</v>
      </c>
      <c r="J1496" s="13">
        <v>0</v>
      </c>
      <c r="K1496">
        <v>1</v>
      </c>
      <c r="L1496" t="s">
        <v>1064</v>
      </c>
      <c r="M1496" t="s">
        <v>2554</v>
      </c>
      <c r="N1496" s="14" t="s">
        <v>6877</v>
      </c>
    </row>
    <row r="1497" spans="1:14" x14ac:dyDescent="0.2">
      <c r="A1497" t="s">
        <v>2590</v>
      </c>
      <c r="B1497" t="s">
        <v>2360</v>
      </c>
      <c r="C1497" s="9">
        <v>44951</v>
      </c>
      <c r="D1497" t="s">
        <v>975</v>
      </c>
      <c r="E1497" s="13">
        <v>550000</v>
      </c>
      <c r="F1497" s="13"/>
      <c r="H1497" t="s">
        <v>1185</v>
      </c>
      <c r="I1497" t="s">
        <v>205</v>
      </c>
      <c r="J1497" s="13">
        <v>0</v>
      </c>
      <c r="K1497">
        <v>1</v>
      </c>
      <c r="L1497" t="s">
        <v>1064</v>
      </c>
      <c r="M1497" t="s">
        <v>2554</v>
      </c>
      <c r="N1497" s="14" t="s">
        <v>6877</v>
      </c>
    </row>
    <row r="1498" spans="1:14" x14ac:dyDescent="0.2">
      <c r="A1498" t="s">
        <v>2591</v>
      </c>
      <c r="B1498" t="s">
        <v>2360</v>
      </c>
      <c r="C1498" s="9">
        <v>44951</v>
      </c>
      <c r="D1498" t="s">
        <v>975</v>
      </c>
      <c r="E1498" s="13">
        <v>2400000</v>
      </c>
      <c r="F1498" s="13"/>
      <c r="H1498" t="s">
        <v>1185</v>
      </c>
      <c r="I1498" t="s">
        <v>205</v>
      </c>
      <c r="J1498" s="13">
        <v>0</v>
      </c>
      <c r="K1498">
        <v>1</v>
      </c>
      <c r="L1498" t="s">
        <v>1064</v>
      </c>
      <c r="M1498" t="s">
        <v>2554</v>
      </c>
      <c r="N1498" s="14" t="s">
        <v>6877</v>
      </c>
    </row>
    <row r="1499" spans="1:14" x14ac:dyDescent="0.2">
      <c r="A1499" t="s">
        <v>2592</v>
      </c>
      <c r="B1499" t="s">
        <v>2360</v>
      </c>
      <c r="C1499" s="9">
        <v>44951</v>
      </c>
      <c r="D1499" t="s">
        <v>975</v>
      </c>
      <c r="E1499" s="13">
        <v>1100000</v>
      </c>
      <c r="F1499" s="13"/>
      <c r="H1499" t="s">
        <v>1185</v>
      </c>
      <c r="I1499" t="s">
        <v>205</v>
      </c>
      <c r="J1499" s="13">
        <v>0</v>
      </c>
      <c r="K1499">
        <v>1</v>
      </c>
      <c r="L1499" t="s">
        <v>1064</v>
      </c>
      <c r="M1499" t="s">
        <v>2554</v>
      </c>
      <c r="N1499" s="14" t="s">
        <v>6877</v>
      </c>
    </row>
    <row r="1500" spans="1:14" x14ac:dyDescent="0.2">
      <c r="A1500" t="s">
        <v>2593</v>
      </c>
      <c r="B1500" t="s">
        <v>2360</v>
      </c>
      <c r="C1500" s="9">
        <v>44951</v>
      </c>
      <c r="D1500" t="s">
        <v>975</v>
      </c>
      <c r="E1500" s="13">
        <v>1100000</v>
      </c>
      <c r="F1500" s="13"/>
      <c r="H1500" t="s">
        <v>1185</v>
      </c>
      <c r="I1500" t="s">
        <v>205</v>
      </c>
      <c r="J1500" s="13">
        <v>0</v>
      </c>
      <c r="K1500">
        <v>1</v>
      </c>
      <c r="L1500" t="s">
        <v>1064</v>
      </c>
      <c r="M1500" t="s">
        <v>2554</v>
      </c>
      <c r="N1500" s="14" t="s">
        <v>6877</v>
      </c>
    </row>
    <row r="1501" spans="1:14" x14ac:dyDescent="0.2">
      <c r="A1501" t="s">
        <v>2594</v>
      </c>
      <c r="B1501" t="s">
        <v>2360</v>
      </c>
      <c r="C1501" s="9">
        <v>44951</v>
      </c>
      <c r="D1501" t="s">
        <v>975</v>
      </c>
      <c r="E1501" s="13">
        <v>1100000</v>
      </c>
      <c r="F1501" s="13"/>
      <c r="H1501" t="s">
        <v>1185</v>
      </c>
      <c r="I1501" t="s">
        <v>205</v>
      </c>
      <c r="J1501" s="13">
        <v>0</v>
      </c>
      <c r="K1501">
        <v>1</v>
      </c>
      <c r="L1501" t="s">
        <v>1064</v>
      </c>
      <c r="M1501" t="s">
        <v>2554</v>
      </c>
      <c r="N1501" s="14" t="s">
        <v>6877</v>
      </c>
    </row>
    <row r="1502" spans="1:14" x14ac:dyDescent="0.2">
      <c r="A1502" t="s">
        <v>2595</v>
      </c>
      <c r="B1502" t="s">
        <v>2360</v>
      </c>
      <c r="C1502" s="9">
        <v>44951</v>
      </c>
      <c r="D1502" t="s">
        <v>975</v>
      </c>
      <c r="E1502" s="13">
        <v>1100000</v>
      </c>
      <c r="F1502" s="13"/>
      <c r="H1502" t="s">
        <v>1185</v>
      </c>
      <c r="I1502" t="s">
        <v>205</v>
      </c>
      <c r="J1502" s="13">
        <v>0</v>
      </c>
      <c r="K1502">
        <v>1</v>
      </c>
      <c r="L1502" t="s">
        <v>1064</v>
      </c>
      <c r="M1502" t="s">
        <v>2554</v>
      </c>
      <c r="N1502" s="14" t="s">
        <v>6877</v>
      </c>
    </row>
    <row r="1503" spans="1:14" x14ac:dyDescent="0.2">
      <c r="A1503" t="s">
        <v>2596</v>
      </c>
      <c r="B1503" t="s">
        <v>2360</v>
      </c>
      <c r="C1503" s="9">
        <v>44951</v>
      </c>
      <c r="D1503" t="s">
        <v>975</v>
      </c>
      <c r="E1503" s="13">
        <v>1100000</v>
      </c>
      <c r="F1503" s="13"/>
      <c r="H1503" t="s">
        <v>1185</v>
      </c>
      <c r="I1503" t="s">
        <v>205</v>
      </c>
      <c r="J1503" s="13">
        <v>0</v>
      </c>
      <c r="K1503">
        <v>1</v>
      </c>
      <c r="L1503" t="s">
        <v>1064</v>
      </c>
      <c r="M1503" t="s">
        <v>2554</v>
      </c>
      <c r="N1503" s="14" t="s">
        <v>6877</v>
      </c>
    </row>
    <row r="1504" spans="1:14" x14ac:dyDescent="0.2">
      <c r="A1504" t="s">
        <v>2597</v>
      </c>
      <c r="B1504" t="s">
        <v>2360</v>
      </c>
      <c r="C1504" s="9">
        <v>44951</v>
      </c>
      <c r="D1504" t="s">
        <v>975</v>
      </c>
      <c r="E1504" s="13">
        <v>550000</v>
      </c>
      <c r="F1504" s="13"/>
      <c r="H1504" t="s">
        <v>1185</v>
      </c>
      <c r="I1504" t="s">
        <v>205</v>
      </c>
      <c r="J1504" s="13">
        <v>0</v>
      </c>
      <c r="K1504">
        <v>1</v>
      </c>
      <c r="L1504" t="s">
        <v>1064</v>
      </c>
      <c r="M1504" t="s">
        <v>2554</v>
      </c>
      <c r="N1504" s="14" t="s">
        <v>6877</v>
      </c>
    </row>
    <row r="1505" spans="1:14" x14ac:dyDescent="0.2">
      <c r="A1505" t="s">
        <v>2598</v>
      </c>
      <c r="B1505" t="s">
        <v>2360</v>
      </c>
      <c r="C1505" s="9">
        <v>44951</v>
      </c>
      <c r="D1505" t="s">
        <v>2580</v>
      </c>
      <c r="E1505" s="13">
        <v>35972400</v>
      </c>
      <c r="F1505" s="13">
        <v>55500</v>
      </c>
      <c r="G1505" s="9">
        <v>44952</v>
      </c>
      <c r="H1505" t="s">
        <v>1063</v>
      </c>
      <c r="I1505" t="s">
        <v>2581</v>
      </c>
      <c r="J1505" s="13">
        <v>798587</v>
      </c>
      <c r="K1505">
        <v>1</v>
      </c>
      <c r="L1505" t="s">
        <v>1064</v>
      </c>
      <c r="M1505" t="s">
        <v>2582</v>
      </c>
      <c r="N1505" s="15" t="s">
        <v>6878</v>
      </c>
    </row>
    <row r="1506" spans="1:14" x14ac:dyDescent="0.2">
      <c r="A1506" t="s">
        <v>2599</v>
      </c>
      <c r="B1506" t="s">
        <v>2360</v>
      </c>
      <c r="C1506" s="9">
        <v>44951</v>
      </c>
      <c r="D1506" t="s">
        <v>975</v>
      </c>
      <c r="E1506" s="13">
        <v>1100000</v>
      </c>
      <c r="F1506" s="13"/>
      <c r="H1506" t="s">
        <v>1185</v>
      </c>
      <c r="I1506" t="s">
        <v>205</v>
      </c>
      <c r="J1506" s="13">
        <v>0</v>
      </c>
      <c r="K1506">
        <v>1</v>
      </c>
      <c r="L1506" t="s">
        <v>1064</v>
      </c>
      <c r="M1506" t="s">
        <v>2554</v>
      </c>
      <c r="N1506" s="14" t="s">
        <v>6877</v>
      </c>
    </row>
    <row r="1507" spans="1:14" x14ac:dyDescent="0.2">
      <c r="A1507" t="s">
        <v>2600</v>
      </c>
      <c r="B1507" t="s">
        <v>2360</v>
      </c>
      <c r="C1507" s="9">
        <v>44951</v>
      </c>
      <c r="D1507" t="s">
        <v>975</v>
      </c>
      <c r="E1507" s="13">
        <v>1100000</v>
      </c>
      <c r="F1507" s="13"/>
      <c r="H1507" t="s">
        <v>1185</v>
      </c>
      <c r="I1507" t="s">
        <v>205</v>
      </c>
      <c r="J1507" s="13">
        <v>0</v>
      </c>
      <c r="K1507">
        <v>1</v>
      </c>
      <c r="L1507" t="s">
        <v>1064</v>
      </c>
      <c r="M1507" t="s">
        <v>2554</v>
      </c>
      <c r="N1507" s="14" t="s">
        <v>6877</v>
      </c>
    </row>
    <row r="1508" spans="1:14" x14ac:dyDescent="0.2">
      <c r="A1508" t="s">
        <v>2601</v>
      </c>
      <c r="B1508" t="s">
        <v>2360</v>
      </c>
      <c r="C1508" s="9">
        <v>44951</v>
      </c>
      <c r="D1508" t="s">
        <v>975</v>
      </c>
      <c r="E1508" s="13">
        <v>2400000</v>
      </c>
      <c r="F1508" s="13"/>
      <c r="H1508" t="s">
        <v>1185</v>
      </c>
      <c r="I1508" t="s">
        <v>205</v>
      </c>
      <c r="J1508" s="13">
        <v>0</v>
      </c>
      <c r="K1508">
        <v>1</v>
      </c>
      <c r="L1508" t="s">
        <v>1064</v>
      </c>
      <c r="M1508" t="s">
        <v>2554</v>
      </c>
      <c r="N1508" s="14" t="s">
        <v>6877</v>
      </c>
    </row>
    <row r="1509" spans="1:14" x14ac:dyDescent="0.2">
      <c r="A1509" t="s">
        <v>2602</v>
      </c>
      <c r="B1509" t="s">
        <v>2360</v>
      </c>
      <c r="C1509" s="9">
        <v>44951</v>
      </c>
      <c r="D1509" t="s">
        <v>2580</v>
      </c>
      <c r="E1509" s="13">
        <v>24254400</v>
      </c>
      <c r="F1509" s="13">
        <v>55500</v>
      </c>
      <c r="G1509" s="9">
        <v>44952</v>
      </c>
      <c r="H1509" t="s">
        <v>1063</v>
      </c>
      <c r="I1509" t="s">
        <v>2581</v>
      </c>
      <c r="J1509" s="13">
        <v>538447</v>
      </c>
      <c r="K1509">
        <v>1</v>
      </c>
      <c r="L1509" t="s">
        <v>1064</v>
      </c>
      <c r="M1509" t="s">
        <v>2582</v>
      </c>
      <c r="N1509" s="15" t="s">
        <v>6878</v>
      </c>
    </row>
    <row r="1510" spans="1:14" x14ac:dyDescent="0.2">
      <c r="A1510" t="s">
        <v>2603</v>
      </c>
      <c r="B1510" t="s">
        <v>2360</v>
      </c>
      <c r="C1510" s="9">
        <v>44951</v>
      </c>
      <c r="D1510" t="s">
        <v>975</v>
      </c>
      <c r="E1510" s="13">
        <v>2400000</v>
      </c>
      <c r="F1510" s="13"/>
      <c r="H1510" t="s">
        <v>1185</v>
      </c>
      <c r="I1510" t="s">
        <v>205</v>
      </c>
      <c r="J1510" s="13">
        <v>0</v>
      </c>
      <c r="K1510">
        <v>1</v>
      </c>
      <c r="L1510" t="s">
        <v>1064</v>
      </c>
      <c r="M1510" t="s">
        <v>2554</v>
      </c>
      <c r="N1510" s="14" t="s">
        <v>6877</v>
      </c>
    </row>
    <row r="1511" spans="1:14" x14ac:dyDescent="0.2">
      <c r="A1511" t="s">
        <v>2604</v>
      </c>
      <c r="B1511" t="s">
        <v>2360</v>
      </c>
      <c r="C1511" s="9">
        <v>44951</v>
      </c>
      <c r="D1511" t="s">
        <v>975</v>
      </c>
      <c r="E1511" s="13">
        <v>7000000</v>
      </c>
      <c r="F1511" s="13"/>
      <c r="H1511" t="s">
        <v>1185</v>
      </c>
      <c r="I1511" t="s">
        <v>205</v>
      </c>
      <c r="J1511" s="13">
        <v>0</v>
      </c>
      <c r="K1511">
        <v>1</v>
      </c>
      <c r="L1511" t="s">
        <v>1064</v>
      </c>
      <c r="M1511" t="s">
        <v>2554</v>
      </c>
      <c r="N1511" s="14" t="s">
        <v>6877</v>
      </c>
    </row>
    <row r="1512" spans="1:14" x14ac:dyDescent="0.2">
      <c r="A1512" t="s">
        <v>2605</v>
      </c>
      <c r="B1512" t="s">
        <v>2360</v>
      </c>
      <c r="C1512" s="9">
        <v>44951</v>
      </c>
      <c r="D1512" t="s">
        <v>975</v>
      </c>
      <c r="E1512" s="13">
        <v>7000000</v>
      </c>
      <c r="F1512" s="13"/>
      <c r="H1512" t="s">
        <v>1185</v>
      </c>
      <c r="I1512" t="s">
        <v>205</v>
      </c>
      <c r="J1512" s="13">
        <v>0</v>
      </c>
      <c r="K1512">
        <v>1</v>
      </c>
      <c r="L1512" t="s">
        <v>1064</v>
      </c>
      <c r="M1512" t="s">
        <v>2554</v>
      </c>
      <c r="N1512" s="14" t="s">
        <v>6877</v>
      </c>
    </row>
    <row r="1513" spans="1:14" x14ac:dyDescent="0.2">
      <c r="A1513" t="s">
        <v>2606</v>
      </c>
      <c r="B1513" t="s">
        <v>2360</v>
      </c>
      <c r="C1513" s="9">
        <v>44951</v>
      </c>
      <c r="D1513" t="s">
        <v>975</v>
      </c>
      <c r="E1513" s="13">
        <v>7000000</v>
      </c>
      <c r="F1513" s="13"/>
      <c r="H1513" t="s">
        <v>1185</v>
      </c>
      <c r="I1513" t="s">
        <v>205</v>
      </c>
      <c r="J1513" s="13">
        <v>0</v>
      </c>
      <c r="K1513">
        <v>1</v>
      </c>
      <c r="L1513" t="s">
        <v>1064</v>
      </c>
      <c r="M1513" t="s">
        <v>2554</v>
      </c>
      <c r="N1513" s="14" t="s">
        <v>6877</v>
      </c>
    </row>
    <row r="1514" spans="1:14" x14ac:dyDescent="0.2">
      <c r="A1514" t="s">
        <v>2607</v>
      </c>
      <c r="B1514" t="s">
        <v>2360</v>
      </c>
      <c r="C1514" s="9">
        <v>44951</v>
      </c>
      <c r="D1514" t="s">
        <v>975</v>
      </c>
      <c r="E1514" s="13">
        <v>7000000</v>
      </c>
      <c r="F1514" s="13"/>
      <c r="H1514" t="s">
        <v>1185</v>
      </c>
      <c r="I1514" t="s">
        <v>205</v>
      </c>
      <c r="J1514" s="13">
        <v>0</v>
      </c>
      <c r="K1514">
        <v>1</v>
      </c>
      <c r="L1514" t="s">
        <v>1064</v>
      </c>
      <c r="M1514" t="s">
        <v>2554</v>
      </c>
      <c r="N1514" s="14" t="s">
        <v>6877</v>
      </c>
    </row>
    <row r="1515" spans="1:14" x14ac:dyDescent="0.2">
      <c r="A1515" t="s">
        <v>2608</v>
      </c>
      <c r="B1515" t="s">
        <v>2360</v>
      </c>
      <c r="C1515" s="9">
        <v>44951</v>
      </c>
      <c r="D1515" t="s">
        <v>964</v>
      </c>
      <c r="E1515" s="13">
        <v>17500000</v>
      </c>
      <c r="F1515" s="13">
        <v>27750</v>
      </c>
      <c r="G1515" s="9">
        <v>44956</v>
      </c>
      <c r="H1515" t="s">
        <v>1063</v>
      </c>
      <c r="I1515" t="s">
        <v>2520</v>
      </c>
      <c r="J1515" s="13">
        <v>485625</v>
      </c>
      <c r="K1515">
        <v>1</v>
      </c>
      <c r="L1515" t="s">
        <v>1064</v>
      </c>
      <c r="M1515" t="s">
        <v>2521</v>
      </c>
      <c r="N1515" s="15" t="s">
        <v>6878</v>
      </c>
    </row>
    <row r="1516" spans="1:14" x14ac:dyDescent="0.2">
      <c r="A1516" t="s">
        <v>2609</v>
      </c>
      <c r="B1516" t="s">
        <v>2360</v>
      </c>
      <c r="C1516" s="9">
        <v>44952</v>
      </c>
      <c r="D1516" t="s">
        <v>988</v>
      </c>
      <c r="E1516" s="13">
        <v>7200000</v>
      </c>
      <c r="F1516" s="13">
        <v>199800</v>
      </c>
      <c r="G1516" s="9">
        <v>44953</v>
      </c>
      <c r="H1516" t="s">
        <v>1063</v>
      </c>
      <c r="I1516" t="s">
        <v>2610</v>
      </c>
      <c r="J1516" s="13">
        <v>27750</v>
      </c>
      <c r="K1516">
        <v>1</v>
      </c>
      <c r="L1516" t="s">
        <v>1064</v>
      </c>
      <c r="M1516" t="s">
        <v>2611</v>
      </c>
      <c r="N1516" s="15" t="s">
        <v>6878</v>
      </c>
    </row>
    <row r="1517" spans="1:14" x14ac:dyDescent="0.2">
      <c r="A1517" t="s">
        <v>2612</v>
      </c>
      <c r="B1517" t="s">
        <v>2360</v>
      </c>
      <c r="C1517" s="9">
        <v>44952</v>
      </c>
      <c r="D1517" t="s">
        <v>988</v>
      </c>
      <c r="E1517" s="13">
        <v>2950000</v>
      </c>
      <c r="F1517" s="13">
        <v>81862</v>
      </c>
      <c r="G1517" s="9">
        <v>44953</v>
      </c>
      <c r="H1517" t="s">
        <v>1063</v>
      </c>
      <c r="I1517" t="s">
        <v>2610</v>
      </c>
      <c r="J1517" s="13">
        <v>27750</v>
      </c>
      <c r="K1517">
        <v>1</v>
      </c>
      <c r="L1517" t="s">
        <v>1064</v>
      </c>
      <c r="M1517" t="s">
        <v>2611</v>
      </c>
      <c r="N1517" s="15" t="s">
        <v>6878</v>
      </c>
    </row>
    <row r="1518" spans="1:14" x14ac:dyDescent="0.2">
      <c r="A1518" t="s">
        <v>2613</v>
      </c>
      <c r="B1518" t="s">
        <v>2360</v>
      </c>
      <c r="C1518" s="9">
        <v>44952</v>
      </c>
      <c r="D1518" t="s">
        <v>9</v>
      </c>
      <c r="E1518" s="13">
        <v>340060</v>
      </c>
      <c r="F1518" s="13">
        <v>24975</v>
      </c>
      <c r="G1518" s="9">
        <v>44960</v>
      </c>
      <c r="H1518" t="s">
        <v>1111</v>
      </c>
      <c r="I1518" t="s">
        <v>436</v>
      </c>
      <c r="J1518" s="13">
        <v>11323</v>
      </c>
      <c r="K1518">
        <v>1</v>
      </c>
      <c r="L1518" t="s">
        <v>1064</v>
      </c>
      <c r="M1518" t="s">
        <v>2364</v>
      </c>
      <c r="N1518" s="15" t="s">
        <v>6878</v>
      </c>
    </row>
    <row r="1519" spans="1:14" x14ac:dyDescent="0.2">
      <c r="A1519" t="s">
        <v>2614</v>
      </c>
      <c r="B1519" t="s">
        <v>2360</v>
      </c>
      <c r="C1519" s="9">
        <v>44952</v>
      </c>
      <c r="D1519" t="s">
        <v>975</v>
      </c>
      <c r="E1519" s="13">
        <v>1800000</v>
      </c>
      <c r="F1519" s="13"/>
      <c r="H1519" t="s">
        <v>1185</v>
      </c>
      <c r="I1519" t="s">
        <v>205</v>
      </c>
      <c r="J1519" s="13">
        <v>0</v>
      </c>
      <c r="K1519">
        <v>1</v>
      </c>
      <c r="L1519" t="s">
        <v>1064</v>
      </c>
      <c r="M1519" t="s">
        <v>2554</v>
      </c>
      <c r="N1519" s="14" t="s">
        <v>6877</v>
      </c>
    </row>
    <row r="1520" spans="1:14" x14ac:dyDescent="0.2">
      <c r="A1520" t="s">
        <v>2615</v>
      </c>
      <c r="B1520" t="s">
        <v>2360</v>
      </c>
      <c r="C1520" s="9">
        <v>44952</v>
      </c>
      <c r="D1520" t="s">
        <v>975</v>
      </c>
      <c r="E1520" s="13">
        <v>1800000</v>
      </c>
      <c r="F1520" s="13"/>
      <c r="H1520" t="s">
        <v>1185</v>
      </c>
      <c r="I1520" t="s">
        <v>205</v>
      </c>
      <c r="J1520" s="13">
        <v>0</v>
      </c>
      <c r="K1520">
        <v>1</v>
      </c>
      <c r="L1520" t="s">
        <v>1064</v>
      </c>
      <c r="M1520" t="s">
        <v>2554</v>
      </c>
      <c r="N1520" s="14" t="s">
        <v>6877</v>
      </c>
    </row>
    <row r="1521" spans="1:14" x14ac:dyDescent="0.2">
      <c r="A1521" t="s">
        <v>2616</v>
      </c>
      <c r="B1521" t="s">
        <v>2360</v>
      </c>
      <c r="C1521" s="9">
        <v>44952</v>
      </c>
      <c r="D1521" t="s">
        <v>975</v>
      </c>
      <c r="E1521" s="13">
        <v>7000000</v>
      </c>
      <c r="F1521" s="13"/>
      <c r="H1521" t="s">
        <v>1185</v>
      </c>
      <c r="I1521" t="s">
        <v>205</v>
      </c>
      <c r="J1521" s="13">
        <v>0</v>
      </c>
      <c r="K1521">
        <v>1</v>
      </c>
      <c r="L1521" t="s">
        <v>1064</v>
      </c>
      <c r="M1521" t="s">
        <v>2554</v>
      </c>
      <c r="N1521" s="14" t="s">
        <v>6877</v>
      </c>
    </row>
    <row r="1522" spans="1:14" x14ac:dyDescent="0.2">
      <c r="A1522" t="s">
        <v>2617</v>
      </c>
      <c r="B1522" t="s">
        <v>2360</v>
      </c>
      <c r="C1522" s="9">
        <v>44952</v>
      </c>
      <c r="D1522" t="s">
        <v>975</v>
      </c>
      <c r="E1522" s="13">
        <v>7000000</v>
      </c>
      <c r="F1522" s="13"/>
      <c r="H1522" t="s">
        <v>1185</v>
      </c>
      <c r="I1522" t="s">
        <v>205</v>
      </c>
      <c r="J1522" s="13">
        <v>0</v>
      </c>
      <c r="K1522">
        <v>1</v>
      </c>
      <c r="L1522" t="s">
        <v>1064</v>
      </c>
      <c r="M1522" t="s">
        <v>2554</v>
      </c>
      <c r="N1522" s="14" t="s">
        <v>6877</v>
      </c>
    </row>
    <row r="1523" spans="1:14" x14ac:dyDescent="0.2">
      <c r="A1523" t="s">
        <v>2618</v>
      </c>
      <c r="B1523" t="s">
        <v>2360</v>
      </c>
      <c r="C1523" s="9">
        <v>44952</v>
      </c>
      <c r="D1523" t="s">
        <v>9</v>
      </c>
      <c r="E1523" s="13">
        <v>458150</v>
      </c>
      <c r="F1523" s="13">
        <v>49950</v>
      </c>
      <c r="G1523" s="9">
        <v>44960</v>
      </c>
      <c r="H1523" t="s">
        <v>1111</v>
      </c>
      <c r="I1523" t="s">
        <v>436</v>
      </c>
      <c r="J1523" s="13">
        <v>15255</v>
      </c>
      <c r="K1523">
        <v>2</v>
      </c>
      <c r="L1523" t="s">
        <v>1064</v>
      </c>
      <c r="M1523" t="s">
        <v>2364</v>
      </c>
      <c r="N1523" s="15" t="s">
        <v>6878</v>
      </c>
    </row>
    <row r="1524" spans="1:14" x14ac:dyDescent="0.2">
      <c r="A1524" t="s">
        <v>2619</v>
      </c>
      <c r="B1524" t="s">
        <v>2360</v>
      </c>
      <c r="C1524" s="9">
        <v>44952</v>
      </c>
      <c r="D1524" t="s">
        <v>975</v>
      </c>
      <c r="E1524" s="13">
        <v>1100000</v>
      </c>
      <c r="F1524" s="13"/>
      <c r="H1524" t="s">
        <v>1185</v>
      </c>
      <c r="I1524" t="s">
        <v>205</v>
      </c>
      <c r="J1524" s="13">
        <v>0</v>
      </c>
      <c r="K1524">
        <v>1</v>
      </c>
      <c r="L1524" t="s">
        <v>1064</v>
      </c>
      <c r="M1524" t="s">
        <v>2554</v>
      </c>
      <c r="N1524" s="14" t="s">
        <v>6877</v>
      </c>
    </row>
    <row r="1525" spans="1:14" x14ac:dyDescent="0.2">
      <c r="A1525" t="s">
        <v>2620</v>
      </c>
      <c r="B1525" t="s">
        <v>2360</v>
      </c>
      <c r="C1525" s="9">
        <v>44952</v>
      </c>
      <c r="D1525" t="s">
        <v>9</v>
      </c>
      <c r="E1525" s="13">
        <v>274890</v>
      </c>
      <c r="F1525" s="13">
        <v>24975</v>
      </c>
      <c r="G1525" s="9">
        <v>44960</v>
      </c>
      <c r="H1525" t="s">
        <v>1111</v>
      </c>
      <c r="I1525" t="s">
        <v>436</v>
      </c>
      <c r="J1525" s="13">
        <v>9153</v>
      </c>
      <c r="K1525">
        <v>1</v>
      </c>
      <c r="L1525" t="s">
        <v>1064</v>
      </c>
      <c r="M1525" t="s">
        <v>2364</v>
      </c>
      <c r="N1525" s="15" t="s">
        <v>6878</v>
      </c>
    </row>
    <row r="1526" spans="1:14" x14ac:dyDescent="0.2">
      <c r="A1526" t="s">
        <v>2621</v>
      </c>
      <c r="B1526" t="s">
        <v>2360</v>
      </c>
      <c r="C1526" s="9">
        <v>44952</v>
      </c>
      <c r="D1526" t="s">
        <v>988</v>
      </c>
      <c r="E1526" s="13">
        <v>2950000</v>
      </c>
      <c r="F1526" s="13">
        <v>81862</v>
      </c>
      <c r="G1526" s="9">
        <v>44953</v>
      </c>
      <c r="H1526" t="s">
        <v>1063</v>
      </c>
      <c r="I1526" t="s">
        <v>2610</v>
      </c>
      <c r="J1526" s="13">
        <v>27750</v>
      </c>
      <c r="K1526">
        <v>1</v>
      </c>
      <c r="L1526" t="s">
        <v>1064</v>
      </c>
      <c r="M1526" t="s">
        <v>2611</v>
      </c>
      <c r="N1526" s="15" t="s">
        <v>6878</v>
      </c>
    </row>
    <row r="1527" spans="1:14" x14ac:dyDescent="0.2">
      <c r="A1527" t="s">
        <v>2622</v>
      </c>
      <c r="B1527" t="s">
        <v>2360</v>
      </c>
      <c r="C1527" s="9">
        <v>44952</v>
      </c>
      <c r="D1527" t="s">
        <v>975</v>
      </c>
      <c r="E1527" s="13">
        <v>7000000</v>
      </c>
      <c r="F1527" s="13"/>
      <c r="H1527" t="s">
        <v>1185</v>
      </c>
      <c r="I1527" t="s">
        <v>205</v>
      </c>
      <c r="J1527" s="13">
        <v>0</v>
      </c>
      <c r="K1527">
        <v>1</v>
      </c>
      <c r="L1527" t="s">
        <v>1064</v>
      </c>
      <c r="M1527" t="s">
        <v>2554</v>
      </c>
      <c r="N1527" s="14" t="s">
        <v>6877</v>
      </c>
    </row>
    <row r="1528" spans="1:14" x14ac:dyDescent="0.2">
      <c r="A1528" t="s">
        <v>2623</v>
      </c>
      <c r="B1528" t="s">
        <v>2360</v>
      </c>
      <c r="C1528" s="9">
        <v>44952</v>
      </c>
      <c r="D1528" t="s">
        <v>975</v>
      </c>
      <c r="E1528" s="13">
        <v>1100000</v>
      </c>
      <c r="F1528" s="13"/>
      <c r="H1528" t="s">
        <v>1185</v>
      </c>
      <c r="I1528" t="s">
        <v>205</v>
      </c>
      <c r="J1528" s="13">
        <v>0</v>
      </c>
      <c r="K1528">
        <v>1</v>
      </c>
      <c r="L1528" t="s">
        <v>1064</v>
      </c>
      <c r="M1528" t="s">
        <v>2554</v>
      </c>
      <c r="N1528" s="14" t="s">
        <v>6877</v>
      </c>
    </row>
    <row r="1529" spans="1:14" x14ac:dyDescent="0.2">
      <c r="A1529" t="s">
        <v>2624</v>
      </c>
      <c r="B1529" t="s">
        <v>2360</v>
      </c>
      <c r="C1529" s="9">
        <v>44952</v>
      </c>
      <c r="D1529" t="s">
        <v>975</v>
      </c>
      <c r="E1529" s="13">
        <v>800000</v>
      </c>
      <c r="F1529" s="13"/>
      <c r="H1529" t="s">
        <v>1185</v>
      </c>
      <c r="I1529" t="s">
        <v>205</v>
      </c>
      <c r="J1529" s="13">
        <v>0</v>
      </c>
      <c r="K1529">
        <v>1</v>
      </c>
      <c r="L1529" t="s">
        <v>1064</v>
      </c>
      <c r="M1529" t="s">
        <v>2554</v>
      </c>
      <c r="N1529" s="14" t="s">
        <v>6877</v>
      </c>
    </row>
    <row r="1530" spans="1:14" x14ac:dyDescent="0.2">
      <c r="A1530" t="s">
        <v>2625</v>
      </c>
      <c r="B1530" t="s">
        <v>2360</v>
      </c>
      <c r="C1530" s="9">
        <v>44952</v>
      </c>
      <c r="D1530" t="s">
        <v>975</v>
      </c>
      <c r="E1530" s="13">
        <v>800000</v>
      </c>
      <c r="F1530" s="13"/>
      <c r="H1530" t="s">
        <v>1185</v>
      </c>
      <c r="I1530" t="s">
        <v>205</v>
      </c>
      <c r="J1530" s="13">
        <v>0</v>
      </c>
      <c r="K1530">
        <v>1</v>
      </c>
      <c r="L1530" t="s">
        <v>1064</v>
      </c>
      <c r="M1530" t="s">
        <v>2554</v>
      </c>
      <c r="N1530" s="14" t="s">
        <v>6877</v>
      </c>
    </row>
    <row r="1531" spans="1:14" x14ac:dyDescent="0.2">
      <c r="A1531" t="s">
        <v>2626</v>
      </c>
      <c r="B1531" t="s">
        <v>2360</v>
      </c>
      <c r="C1531" s="9">
        <v>44952</v>
      </c>
      <c r="D1531" t="s">
        <v>975</v>
      </c>
      <c r="E1531" s="13">
        <v>800000</v>
      </c>
      <c r="F1531" s="13"/>
      <c r="H1531" t="s">
        <v>1185</v>
      </c>
      <c r="I1531" t="s">
        <v>205</v>
      </c>
      <c r="J1531" s="13">
        <v>0</v>
      </c>
      <c r="K1531">
        <v>1</v>
      </c>
      <c r="L1531" t="s">
        <v>1064</v>
      </c>
      <c r="M1531" t="s">
        <v>2554</v>
      </c>
      <c r="N1531" s="14" t="s">
        <v>6877</v>
      </c>
    </row>
    <row r="1532" spans="1:14" x14ac:dyDescent="0.2">
      <c r="A1532" t="s">
        <v>2627</v>
      </c>
      <c r="B1532" t="s">
        <v>2360</v>
      </c>
      <c r="C1532" s="9">
        <v>44952</v>
      </c>
      <c r="D1532" t="s">
        <v>975</v>
      </c>
      <c r="E1532" s="13">
        <v>800000</v>
      </c>
      <c r="F1532" s="13"/>
      <c r="H1532" t="s">
        <v>1185</v>
      </c>
      <c r="I1532" t="s">
        <v>205</v>
      </c>
      <c r="J1532" s="13">
        <v>0</v>
      </c>
      <c r="K1532">
        <v>1</v>
      </c>
      <c r="L1532" t="s">
        <v>1064</v>
      </c>
      <c r="M1532" t="s">
        <v>2554</v>
      </c>
      <c r="N1532" s="14" t="s">
        <v>6877</v>
      </c>
    </row>
    <row r="1533" spans="1:14" x14ac:dyDescent="0.2">
      <c r="A1533" t="s">
        <v>2628</v>
      </c>
      <c r="B1533" t="s">
        <v>2360</v>
      </c>
      <c r="C1533" s="9">
        <v>44952</v>
      </c>
      <c r="D1533" t="s">
        <v>975</v>
      </c>
      <c r="E1533" s="13">
        <v>800000</v>
      </c>
      <c r="F1533" s="13"/>
      <c r="H1533" t="s">
        <v>1185</v>
      </c>
      <c r="I1533" t="s">
        <v>205</v>
      </c>
      <c r="J1533" s="13">
        <v>0</v>
      </c>
      <c r="K1533">
        <v>1</v>
      </c>
      <c r="L1533" t="s">
        <v>1064</v>
      </c>
      <c r="M1533" t="s">
        <v>2554</v>
      </c>
      <c r="N1533" s="14" t="s">
        <v>6877</v>
      </c>
    </row>
    <row r="1534" spans="1:14" x14ac:dyDescent="0.2">
      <c r="A1534" t="s">
        <v>2629</v>
      </c>
      <c r="B1534" t="s">
        <v>2360</v>
      </c>
      <c r="C1534" s="9">
        <v>44952</v>
      </c>
      <c r="D1534" t="s">
        <v>975</v>
      </c>
      <c r="E1534" s="13">
        <v>800000</v>
      </c>
      <c r="F1534" s="13"/>
      <c r="H1534" t="s">
        <v>1185</v>
      </c>
      <c r="I1534" t="s">
        <v>205</v>
      </c>
      <c r="J1534" s="13">
        <v>0</v>
      </c>
      <c r="K1534">
        <v>1</v>
      </c>
      <c r="L1534" t="s">
        <v>1064</v>
      </c>
      <c r="M1534" t="s">
        <v>2554</v>
      </c>
      <c r="N1534" s="14" t="s">
        <v>6877</v>
      </c>
    </row>
    <row r="1535" spans="1:14" x14ac:dyDescent="0.2">
      <c r="A1535" t="s">
        <v>2630</v>
      </c>
      <c r="B1535" t="s">
        <v>2360</v>
      </c>
      <c r="C1535" s="9">
        <v>44952</v>
      </c>
      <c r="D1535" t="s">
        <v>975</v>
      </c>
      <c r="E1535" s="13">
        <v>800000</v>
      </c>
      <c r="F1535" s="13"/>
      <c r="H1535" t="s">
        <v>1185</v>
      </c>
      <c r="I1535" t="s">
        <v>205</v>
      </c>
      <c r="J1535" s="13">
        <v>0</v>
      </c>
      <c r="K1535">
        <v>1</v>
      </c>
      <c r="L1535" t="s">
        <v>1064</v>
      </c>
      <c r="M1535" t="s">
        <v>2554</v>
      </c>
      <c r="N1535" s="14" t="s">
        <v>6877</v>
      </c>
    </row>
    <row r="1536" spans="1:14" x14ac:dyDescent="0.2">
      <c r="A1536" t="s">
        <v>2631</v>
      </c>
      <c r="B1536" t="s">
        <v>2360</v>
      </c>
      <c r="C1536" s="9">
        <v>44952</v>
      </c>
      <c r="D1536" t="s">
        <v>975</v>
      </c>
      <c r="E1536" s="13">
        <v>800000</v>
      </c>
      <c r="F1536" s="13"/>
      <c r="H1536" t="s">
        <v>1185</v>
      </c>
      <c r="I1536" t="s">
        <v>205</v>
      </c>
      <c r="J1536" s="13">
        <v>0</v>
      </c>
      <c r="K1536">
        <v>1</v>
      </c>
      <c r="L1536" t="s">
        <v>1064</v>
      </c>
      <c r="M1536" t="s">
        <v>2554</v>
      </c>
      <c r="N1536" s="14" t="s">
        <v>6877</v>
      </c>
    </row>
    <row r="1537" spans="1:14" x14ac:dyDescent="0.2">
      <c r="A1537" t="s">
        <v>2632</v>
      </c>
      <c r="B1537" t="s">
        <v>2360</v>
      </c>
      <c r="C1537" s="9">
        <v>44952</v>
      </c>
      <c r="D1537" t="s">
        <v>975</v>
      </c>
      <c r="E1537" s="13">
        <v>800000</v>
      </c>
      <c r="F1537" s="13"/>
      <c r="H1537" t="s">
        <v>1185</v>
      </c>
      <c r="I1537" t="s">
        <v>205</v>
      </c>
      <c r="J1537" s="13">
        <v>0</v>
      </c>
      <c r="K1537">
        <v>1</v>
      </c>
      <c r="L1537" t="s">
        <v>1064</v>
      </c>
      <c r="M1537" t="s">
        <v>2554</v>
      </c>
      <c r="N1537" s="14" t="s">
        <v>6877</v>
      </c>
    </row>
    <row r="1538" spans="1:14" x14ac:dyDescent="0.2">
      <c r="A1538" t="s">
        <v>2633</v>
      </c>
      <c r="B1538" t="s">
        <v>2360</v>
      </c>
      <c r="C1538" s="9">
        <v>44952</v>
      </c>
      <c r="D1538" t="s">
        <v>975</v>
      </c>
      <c r="E1538" s="13">
        <v>800000</v>
      </c>
      <c r="F1538" s="13"/>
      <c r="H1538" t="s">
        <v>1185</v>
      </c>
      <c r="I1538" t="s">
        <v>205</v>
      </c>
      <c r="J1538" s="13">
        <v>0</v>
      </c>
      <c r="K1538">
        <v>1</v>
      </c>
      <c r="L1538" t="s">
        <v>1064</v>
      </c>
      <c r="M1538" t="s">
        <v>2554</v>
      </c>
      <c r="N1538" s="14" t="s">
        <v>6877</v>
      </c>
    </row>
    <row r="1539" spans="1:14" x14ac:dyDescent="0.2">
      <c r="A1539" t="s">
        <v>2634</v>
      </c>
      <c r="B1539" t="s">
        <v>2360</v>
      </c>
      <c r="C1539" s="9">
        <v>44953</v>
      </c>
      <c r="D1539" t="s">
        <v>988</v>
      </c>
      <c r="E1539" s="13">
        <v>9370000</v>
      </c>
      <c r="F1539" s="13">
        <v>260017</v>
      </c>
      <c r="G1539" s="9">
        <v>44953</v>
      </c>
      <c r="H1539" t="s">
        <v>1063</v>
      </c>
      <c r="I1539" t="s">
        <v>2610</v>
      </c>
      <c r="J1539" s="13">
        <v>27750</v>
      </c>
      <c r="K1539">
        <v>1</v>
      </c>
      <c r="L1539" t="s">
        <v>1064</v>
      </c>
      <c r="M1539" t="s">
        <v>2611</v>
      </c>
      <c r="N1539" s="15" t="s">
        <v>6878</v>
      </c>
    </row>
    <row r="1540" spans="1:14" x14ac:dyDescent="0.2">
      <c r="A1540" t="s">
        <v>2635</v>
      </c>
      <c r="B1540" t="s">
        <v>2360</v>
      </c>
      <c r="C1540" s="9">
        <v>44953</v>
      </c>
      <c r="D1540" t="s">
        <v>964</v>
      </c>
      <c r="E1540" s="13">
        <v>17500000</v>
      </c>
      <c r="F1540" s="13">
        <v>27750</v>
      </c>
      <c r="G1540" s="9">
        <v>44957</v>
      </c>
      <c r="H1540" t="s">
        <v>1063</v>
      </c>
      <c r="I1540" t="s">
        <v>2520</v>
      </c>
      <c r="J1540" s="13">
        <v>485625</v>
      </c>
      <c r="K1540">
        <v>1</v>
      </c>
      <c r="L1540" t="s">
        <v>1064</v>
      </c>
      <c r="M1540" t="s">
        <v>2521</v>
      </c>
      <c r="N1540" s="15" t="s">
        <v>6878</v>
      </c>
    </row>
    <row r="1541" spans="1:14" x14ac:dyDescent="0.2">
      <c r="A1541" t="s">
        <v>2636</v>
      </c>
      <c r="B1541" t="s">
        <v>2360</v>
      </c>
      <c r="C1541" s="9">
        <v>44953</v>
      </c>
      <c r="D1541" t="s">
        <v>988</v>
      </c>
      <c r="E1541" s="13">
        <v>9370000</v>
      </c>
      <c r="F1541" s="13">
        <v>260017</v>
      </c>
      <c r="G1541" s="9">
        <v>44953</v>
      </c>
      <c r="H1541" t="s">
        <v>1063</v>
      </c>
      <c r="I1541" t="s">
        <v>2610</v>
      </c>
      <c r="J1541" s="13">
        <v>27750</v>
      </c>
      <c r="K1541">
        <v>1</v>
      </c>
      <c r="L1541" t="s">
        <v>1064</v>
      </c>
      <c r="M1541" t="s">
        <v>2611</v>
      </c>
      <c r="N1541" s="15" t="s">
        <v>6878</v>
      </c>
    </row>
    <row r="1542" spans="1:14" x14ac:dyDescent="0.2">
      <c r="A1542" t="s">
        <v>2637</v>
      </c>
      <c r="B1542" t="s">
        <v>2360</v>
      </c>
      <c r="C1542" s="9">
        <v>44953</v>
      </c>
      <c r="D1542" t="s">
        <v>988</v>
      </c>
      <c r="E1542" s="13">
        <v>5370000</v>
      </c>
      <c r="F1542" s="13">
        <v>149017</v>
      </c>
      <c r="G1542" s="9">
        <v>44953</v>
      </c>
      <c r="H1542" t="s">
        <v>1063</v>
      </c>
      <c r="I1542" t="s">
        <v>2610</v>
      </c>
      <c r="J1542" s="13">
        <v>27750</v>
      </c>
      <c r="K1542">
        <v>1</v>
      </c>
      <c r="L1542" t="s">
        <v>1064</v>
      </c>
      <c r="M1542" t="s">
        <v>2611</v>
      </c>
      <c r="N1542" s="15" t="s">
        <v>6878</v>
      </c>
    </row>
    <row r="1543" spans="1:14" x14ac:dyDescent="0.2">
      <c r="A1543" t="s">
        <v>2638</v>
      </c>
      <c r="B1543" t="s">
        <v>2360</v>
      </c>
      <c r="C1543" s="9">
        <v>44953</v>
      </c>
      <c r="D1543" t="s">
        <v>988</v>
      </c>
      <c r="E1543" s="13">
        <v>5370000</v>
      </c>
      <c r="F1543" s="13">
        <v>149017</v>
      </c>
      <c r="G1543" s="9">
        <v>44953</v>
      </c>
      <c r="H1543" t="s">
        <v>1063</v>
      </c>
      <c r="I1543" t="s">
        <v>2610</v>
      </c>
      <c r="J1543" s="13">
        <v>27750</v>
      </c>
      <c r="K1543">
        <v>1</v>
      </c>
      <c r="L1543" t="s">
        <v>1064</v>
      </c>
      <c r="M1543" t="s">
        <v>2611</v>
      </c>
      <c r="N1543" s="15" t="s">
        <v>6878</v>
      </c>
    </row>
    <row r="1544" spans="1:14" x14ac:dyDescent="0.2">
      <c r="A1544" t="s">
        <v>2639</v>
      </c>
      <c r="B1544" t="s">
        <v>2360</v>
      </c>
      <c r="C1544" s="9">
        <v>44953</v>
      </c>
      <c r="D1544" t="s">
        <v>988</v>
      </c>
      <c r="E1544" s="13">
        <v>8460000</v>
      </c>
      <c r="F1544" s="13">
        <v>234765</v>
      </c>
      <c r="G1544" s="9">
        <v>44953</v>
      </c>
      <c r="H1544" t="s">
        <v>1063</v>
      </c>
      <c r="I1544" t="s">
        <v>2610</v>
      </c>
      <c r="J1544" s="13">
        <v>27750</v>
      </c>
      <c r="K1544">
        <v>1</v>
      </c>
      <c r="L1544" t="s">
        <v>1064</v>
      </c>
      <c r="M1544" t="s">
        <v>2611</v>
      </c>
      <c r="N1544" s="15" t="s">
        <v>6878</v>
      </c>
    </row>
    <row r="1545" spans="1:14" x14ac:dyDescent="0.2">
      <c r="A1545" t="s">
        <v>2640</v>
      </c>
      <c r="B1545" t="s">
        <v>2360</v>
      </c>
      <c r="C1545" s="9">
        <v>44953</v>
      </c>
      <c r="D1545" t="s">
        <v>975</v>
      </c>
      <c r="E1545" s="13">
        <v>1452000</v>
      </c>
      <c r="F1545" s="13">
        <v>56410</v>
      </c>
      <c r="G1545" s="9">
        <v>44957</v>
      </c>
      <c r="H1545" t="s">
        <v>1111</v>
      </c>
      <c r="I1545" t="s">
        <v>2641</v>
      </c>
      <c r="J1545" s="13">
        <v>27750</v>
      </c>
      <c r="K1545">
        <v>1</v>
      </c>
      <c r="L1545" t="s">
        <v>1064</v>
      </c>
      <c r="M1545" t="s">
        <v>2642</v>
      </c>
      <c r="N1545" s="15" t="s">
        <v>6878</v>
      </c>
    </row>
    <row r="1546" spans="1:14" x14ac:dyDescent="0.2">
      <c r="A1546" t="s">
        <v>2643</v>
      </c>
      <c r="B1546" t="s">
        <v>2360</v>
      </c>
      <c r="C1546" s="9">
        <v>44953</v>
      </c>
      <c r="D1546" t="s">
        <v>975</v>
      </c>
      <c r="E1546" s="13">
        <v>1188000</v>
      </c>
      <c r="F1546" s="13">
        <v>46153</v>
      </c>
      <c r="G1546" s="9">
        <v>44957</v>
      </c>
      <c r="H1546" t="s">
        <v>1111</v>
      </c>
      <c r="I1546" t="s">
        <v>2641</v>
      </c>
      <c r="J1546" s="13">
        <v>27750</v>
      </c>
      <c r="K1546">
        <v>1</v>
      </c>
      <c r="L1546" t="s">
        <v>1064</v>
      </c>
      <c r="M1546" t="s">
        <v>2642</v>
      </c>
      <c r="N1546" s="15" t="s">
        <v>6878</v>
      </c>
    </row>
    <row r="1547" spans="1:14" x14ac:dyDescent="0.2">
      <c r="A1547" t="s">
        <v>2644</v>
      </c>
      <c r="B1547" t="s">
        <v>2360</v>
      </c>
      <c r="C1547" s="9">
        <v>44953</v>
      </c>
      <c r="D1547" t="s">
        <v>975</v>
      </c>
      <c r="E1547" s="13">
        <v>1452000</v>
      </c>
      <c r="F1547" s="13">
        <v>56410</v>
      </c>
      <c r="G1547" s="9">
        <v>44957</v>
      </c>
      <c r="H1547" t="s">
        <v>1111</v>
      </c>
      <c r="I1547" t="s">
        <v>2641</v>
      </c>
      <c r="J1547" s="13">
        <v>27750</v>
      </c>
      <c r="K1547">
        <v>1</v>
      </c>
      <c r="L1547" t="s">
        <v>1064</v>
      </c>
      <c r="M1547" t="s">
        <v>2642</v>
      </c>
      <c r="N1547" s="15" t="s">
        <v>6878</v>
      </c>
    </row>
    <row r="1548" spans="1:14" x14ac:dyDescent="0.2">
      <c r="A1548" t="s">
        <v>2645</v>
      </c>
      <c r="B1548" t="s">
        <v>2360</v>
      </c>
      <c r="C1548" s="9">
        <v>44953</v>
      </c>
      <c r="D1548" t="s">
        <v>975</v>
      </c>
      <c r="E1548" s="13">
        <v>1188000</v>
      </c>
      <c r="F1548" s="13">
        <v>46153</v>
      </c>
      <c r="G1548" s="9">
        <v>44957</v>
      </c>
      <c r="H1548" t="s">
        <v>1111</v>
      </c>
      <c r="I1548" t="s">
        <v>2641</v>
      </c>
      <c r="J1548" s="13">
        <v>27750</v>
      </c>
      <c r="K1548">
        <v>1</v>
      </c>
      <c r="L1548" t="s">
        <v>1064</v>
      </c>
      <c r="M1548" t="s">
        <v>2642</v>
      </c>
      <c r="N1548" s="15" t="s">
        <v>6878</v>
      </c>
    </row>
    <row r="1549" spans="1:14" x14ac:dyDescent="0.2">
      <c r="A1549" t="s">
        <v>2646</v>
      </c>
      <c r="B1549" t="s">
        <v>2360</v>
      </c>
      <c r="C1549" s="9">
        <v>44953</v>
      </c>
      <c r="D1549" t="s">
        <v>975</v>
      </c>
      <c r="E1549" s="13">
        <v>2798400</v>
      </c>
      <c r="F1549" s="13">
        <v>108717</v>
      </c>
      <c r="G1549" s="9">
        <v>44957</v>
      </c>
      <c r="H1549" t="s">
        <v>1111</v>
      </c>
      <c r="I1549" t="s">
        <v>2641</v>
      </c>
      <c r="J1549" s="13">
        <v>27750</v>
      </c>
      <c r="K1549">
        <v>1</v>
      </c>
      <c r="L1549" t="s">
        <v>1064</v>
      </c>
      <c r="M1549" t="s">
        <v>2642</v>
      </c>
      <c r="N1549" s="15" t="s">
        <v>6878</v>
      </c>
    </row>
    <row r="1550" spans="1:14" x14ac:dyDescent="0.2">
      <c r="A1550" t="s">
        <v>2647</v>
      </c>
      <c r="B1550" t="s">
        <v>2360</v>
      </c>
      <c r="C1550" s="9">
        <v>44953</v>
      </c>
      <c r="D1550" t="s">
        <v>975</v>
      </c>
      <c r="E1550" s="13">
        <v>1188000</v>
      </c>
      <c r="F1550" s="13">
        <v>46153</v>
      </c>
      <c r="G1550" s="9">
        <v>44957</v>
      </c>
      <c r="H1550" t="s">
        <v>1111</v>
      </c>
      <c r="I1550" t="s">
        <v>2641</v>
      </c>
      <c r="J1550" s="13">
        <v>27750</v>
      </c>
      <c r="K1550">
        <v>1</v>
      </c>
      <c r="L1550" t="s">
        <v>1064</v>
      </c>
      <c r="M1550" t="s">
        <v>2642</v>
      </c>
      <c r="N1550" s="15" t="s">
        <v>6878</v>
      </c>
    </row>
    <row r="1551" spans="1:14" x14ac:dyDescent="0.2">
      <c r="A1551" t="s">
        <v>2648</v>
      </c>
      <c r="B1551" t="s">
        <v>2360</v>
      </c>
      <c r="C1551" s="9">
        <v>44953</v>
      </c>
      <c r="D1551" t="s">
        <v>975</v>
      </c>
      <c r="E1551" s="13">
        <v>1188000</v>
      </c>
      <c r="F1551" s="13">
        <v>46153</v>
      </c>
      <c r="G1551" s="9">
        <v>44957</v>
      </c>
      <c r="H1551" t="s">
        <v>1111</v>
      </c>
      <c r="I1551" t="s">
        <v>2641</v>
      </c>
      <c r="J1551" s="13">
        <v>27750</v>
      </c>
      <c r="K1551">
        <v>1</v>
      </c>
      <c r="L1551" t="s">
        <v>1064</v>
      </c>
      <c r="M1551" t="s">
        <v>2642</v>
      </c>
      <c r="N1551" s="15" t="s">
        <v>6878</v>
      </c>
    </row>
    <row r="1552" spans="1:14" x14ac:dyDescent="0.2">
      <c r="A1552" t="s">
        <v>2649</v>
      </c>
      <c r="B1552" t="s">
        <v>2360</v>
      </c>
      <c r="C1552" s="9">
        <v>44953</v>
      </c>
      <c r="D1552" t="s">
        <v>975</v>
      </c>
      <c r="E1552" s="13">
        <v>7603200</v>
      </c>
      <c r="F1552" s="13">
        <v>295384</v>
      </c>
      <c r="G1552" s="9">
        <v>44957</v>
      </c>
      <c r="H1552" t="s">
        <v>1111</v>
      </c>
      <c r="I1552" t="s">
        <v>2641</v>
      </c>
      <c r="J1552" s="13">
        <v>27750</v>
      </c>
      <c r="K1552">
        <v>1</v>
      </c>
      <c r="L1552" t="s">
        <v>1064</v>
      </c>
      <c r="M1552" t="s">
        <v>2642</v>
      </c>
      <c r="N1552" s="15" t="s">
        <v>6878</v>
      </c>
    </row>
    <row r="1553" spans="1:14" x14ac:dyDescent="0.2">
      <c r="A1553" t="s">
        <v>2650</v>
      </c>
      <c r="B1553" t="s">
        <v>2360</v>
      </c>
      <c r="C1553" s="9">
        <v>44953</v>
      </c>
      <c r="D1553" t="s">
        <v>975</v>
      </c>
      <c r="E1553" s="13">
        <v>704000</v>
      </c>
      <c r="F1553" s="13">
        <v>27350</v>
      </c>
      <c r="G1553" s="9">
        <v>44957</v>
      </c>
      <c r="H1553" t="s">
        <v>1111</v>
      </c>
      <c r="I1553" t="s">
        <v>2641</v>
      </c>
      <c r="J1553" s="13">
        <v>27750</v>
      </c>
      <c r="K1553">
        <v>1</v>
      </c>
      <c r="L1553" t="s">
        <v>1064</v>
      </c>
      <c r="M1553" t="s">
        <v>2642</v>
      </c>
      <c r="N1553" s="15" t="s">
        <v>6878</v>
      </c>
    </row>
    <row r="1554" spans="1:14" x14ac:dyDescent="0.2">
      <c r="A1554" t="s">
        <v>2651</v>
      </c>
      <c r="B1554" t="s">
        <v>2360</v>
      </c>
      <c r="C1554" s="9">
        <v>44953</v>
      </c>
      <c r="D1554" t="s">
        <v>975</v>
      </c>
      <c r="E1554" s="13">
        <v>2798400</v>
      </c>
      <c r="F1554" s="13">
        <v>108717</v>
      </c>
      <c r="G1554" s="9">
        <v>44957</v>
      </c>
      <c r="H1554" t="s">
        <v>1111</v>
      </c>
      <c r="I1554" t="s">
        <v>2641</v>
      </c>
      <c r="J1554" s="13">
        <v>27750</v>
      </c>
      <c r="K1554">
        <v>1</v>
      </c>
      <c r="L1554" t="s">
        <v>1064</v>
      </c>
      <c r="M1554" t="s">
        <v>2642</v>
      </c>
      <c r="N1554" s="15" t="s">
        <v>6878</v>
      </c>
    </row>
    <row r="1555" spans="1:14" x14ac:dyDescent="0.2">
      <c r="A1555" t="s">
        <v>2652</v>
      </c>
      <c r="B1555" t="s">
        <v>2360</v>
      </c>
      <c r="C1555" s="9">
        <v>44953</v>
      </c>
      <c r="D1555" t="s">
        <v>975</v>
      </c>
      <c r="E1555" s="13">
        <v>1452000</v>
      </c>
      <c r="F1555" s="13">
        <v>56410</v>
      </c>
      <c r="G1555" s="9">
        <v>44957</v>
      </c>
      <c r="H1555" t="s">
        <v>1111</v>
      </c>
      <c r="I1555" t="s">
        <v>2641</v>
      </c>
      <c r="J1555" s="13">
        <v>27750</v>
      </c>
      <c r="K1555">
        <v>1</v>
      </c>
      <c r="L1555" t="s">
        <v>1064</v>
      </c>
      <c r="M1555" t="s">
        <v>2642</v>
      </c>
      <c r="N1555" s="15" t="s">
        <v>6878</v>
      </c>
    </row>
    <row r="1556" spans="1:14" x14ac:dyDescent="0.2">
      <c r="A1556" t="s">
        <v>2653</v>
      </c>
      <c r="B1556" t="s">
        <v>2360</v>
      </c>
      <c r="C1556" s="9">
        <v>44953</v>
      </c>
      <c r="D1556" t="s">
        <v>975</v>
      </c>
      <c r="E1556" s="13">
        <v>1452000</v>
      </c>
      <c r="F1556" s="13">
        <v>56410</v>
      </c>
      <c r="G1556" s="9">
        <v>44957</v>
      </c>
      <c r="H1556" t="s">
        <v>1111</v>
      </c>
      <c r="I1556" t="s">
        <v>2641</v>
      </c>
      <c r="J1556" s="13">
        <v>27750</v>
      </c>
      <c r="K1556">
        <v>1</v>
      </c>
      <c r="L1556" t="s">
        <v>1064</v>
      </c>
      <c r="M1556" t="s">
        <v>2642</v>
      </c>
      <c r="N1556" s="15" t="s">
        <v>6878</v>
      </c>
    </row>
    <row r="1557" spans="1:14" x14ac:dyDescent="0.2">
      <c r="A1557" t="s">
        <v>2654</v>
      </c>
      <c r="B1557" t="s">
        <v>2360</v>
      </c>
      <c r="C1557" s="9">
        <v>44953</v>
      </c>
      <c r="D1557" t="s">
        <v>975</v>
      </c>
      <c r="E1557" s="13">
        <v>1188000</v>
      </c>
      <c r="F1557" s="13">
        <v>46153</v>
      </c>
      <c r="G1557" s="9">
        <v>44957</v>
      </c>
      <c r="H1557" t="s">
        <v>1111</v>
      </c>
      <c r="I1557" t="s">
        <v>2641</v>
      </c>
      <c r="J1557" s="13">
        <v>27750</v>
      </c>
      <c r="K1557">
        <v>1</v>
      </c>
      <c r="L1557" t="s">
        <v>1064</v>
      </c>
      <c r="M1557" t="s">
        <v>2642</v>
      </c>
      <c r="N1557" s="15" t="s">
        <v>6878</v>
      </c>
    </row>
    <row r="1558" spans="1:14" x14ac:dyDescent="0.2">
      <c r="A1558" t="s">
        <v>2655</v>
      </c>
      <c r="B1558" t="s">
        <v>2360</v>
      </c>
      <c r="C1558" s="9">
        <v>44953</v>
      </c>
      <c r="D1558" t="s">
        <v>975</v>
      </c>
      <c r="E1558" s="13">
        <v>1188000</v>
      </c>
      <c r="F1558" s="13">
        <v>46153</v>
      </c>
      <c r="G1558" s="9">
        <v>44957</v>
      </c>
      <c r="H1558" t="s">
        <v>1111</v>
      </c>
      <c r="I1558" t="s">
        <v>2641</v>
      </c>
      <c r="J1558" s="13">
        <v>27750</v>
      </c>
      <c r="K1558">
        <v>1</v>
      </c>
      <c r="L1558" t="s">
        <v>1064</v>
      </c>
      <c r="M1558" t="s">
        <v>2642</v>
      </c>
      <c r="N1558" s="15" t="s">
        <v>6878</v>
      </c>
    </row>
    <row r="1559" spans="1:14" x14ac:dyDescent="0.2">
      <c r="A1559" t="s">
        <v>2656</v>
      </c>
      <c r="B1559" t="s">
        <v>2360</v>
      </c>
      <c r="C1559" s="9">
        <v>44953</v>
      </c>
      <c r="D1559" t="s">
        <v>975</v>
      </c>
      <c r="E1559" s="13">
        <v>1188000</v>
      </c>
      <c r="F1559" s="13">
        <v>46153</v>
      </c>
      <c r="G1559" s="9">
        <v>44957</v>
      </c>
      <c r="H1559" t="s">
        <v>1111</v>
      </c>
      <c r="I1559" t="s">
        <v>2641</v>
      </c>
      <c r="J1559" s="13">
        <v>27750</v>
      </c>
      <c r="K1559">
        <v>1</v>
      </c>
      <c r="L1559" t="s">
        <v>1064</v>
      </c>
      <c r="M1559" t="s">
        <v>2642</v>
      </c>
      <c r="N1559" s="15" t="s">
        <v>6878</v>
      </c>
    </row>
    <row r="1560" spans="1:14" x14ac:dyDescent="0.2">
      <c r="A1560" t="s">
        <v>2657</v>
      </c>
      <c r="B1560" t="s">
        <v>2360</v>
      </c>
      <c r="C1560" s="9">
        <v>44953</v>
      </c>
      <c r="D1560" t="s">
        <v>975</v>
      </c>
      <c r="E1560" s="13">
        <v>1452000</v>
      </c>
      <c r="F1560" s="13">
        <v>56410</v>
      </c>
      <c r="G1560" s="9">
        <v>44957</v>
      </c>
      <c r="H1560" t="s">
        <v>1111</v>
      </c>
      <c r="I1560" t="s">
        <v>2641</v>
      </c>
      <c r="J1560" s="13">
        <v>27750</v>
      </c>
      <c r="K1560">
        <v>1</v>
      </c>
      <c r="L1560" t="s">
        <v>1064</v>
      </c>
      <c r="M1560" t="s">
        <v>2642</v>
      </c>
      <c r="N1560" s="15" t="s">
        <v>6878</v>
      </c>
    </row>
    <row r="1561" spans="1:14" x14ac:dyDescent="0.2">
      <c r="A1561" t="s">
        <v>2658</v>
      </c>
      <c r="B1561" t="s">
        <v>2360</v>
      </c>
      <c r="C1561" s="9">
        <v>44953</v>
      </c>
      <c r="D1561" t="s">
        <v>975</v>
      </c>
      <c r="E1561" s="13">
        <v>1452000</v>
      </c>
      <c r="F1561" s="13">
        <v>56410</v>
      </c>
      <c r="G1561" s="9">
        <v>44957</v>
      </c>
      <c r="H1561" t="s">
        <v>1111</v>
      </c>
      <c r="I1561" t="s">
        <v>2641</v>
      </c>
      <c r="J1561" s="13">
        <v>27750</v>
      </c>
      <c r="K1561">
        <v>1</v>
      </c>
      <c r="L1561" t="s">
        <v>1064</v>
      </c>
      <c r="M1561" t="s">
        <v>2642</v>
      </c>
      <c r="N1561" s="15" t="s">
        <v>6878</v>
      </c>
    </row>
    <row r="1562" spans="1:14" x14ac:dyDescent="0.2">
      <c r="A1562" t="s">
        <v>2659</v>
      </c>
      <c r="B1562" t="s">
        <v>2360</v>
      </c>
      <c r="C1562" s="9">
        <v>44953</v>
      </c>
      <c r="D1562" t="s">
        <v>975</v>
      </c>
      <c r="E1562" s="13">
        <v>1452000</v>
      </c>
      <c r="F1562" s="13">
        <v>56410</v>
      </c>
      <c r="G1562" s="9">
        <v>44957</v>
      </c>
      <c r="H1562" t="s">
        <v>1111</v>
      </c>
      <c r="I1562" t="s">
        <v>2641</v>
      </c>
      <c r="J1562" s="13">
        <v>55500</v>
      </c>
      <c r="K1562">
        <v>2</v>
      </c>
      <c r="L1562" t="s">
        <v>1064</v>
      </c>
      <c r="M1562" t="s">
        <v>2642</v>
      </c>
      <c r="N1562" s="15" t="s">
        <v>6878</v>
      </c>
    </row>
    <row r="1563" spans="1:14" x14ac:dyDescent="0.2">
      <c r="A1563" t="s">
        <v>2660</v>
      </c>
      <c r="B1563" t="s">
        <v>2360</v>
      </c>
      <c r="C1563" s="9">
        <v>44953</v>
      </c>
      <c r="D1563" t="s">
        <v>975</v>
      </c>
      <c r="E1563" s="13">
        <v>1452000</v>
      </c>
      <c r="F1563" s="13">
        <v>56410</v>
      </c>
      <c r="G1563" s="9">
        <v>44957</v>
      </c>
      <c r="H1563" t="s">
        <v>1111</v>
      </c>
      <c r="I1563" t="s">
        <v>2641</v>
      </c>
      <c r="J1563" s="13">
        <v>27750</v>
      </c>
      <c r="K1563">
        <v>1</v>
      </c>
      <c r="L1563" t="s">
        <v>1064</v>
      </c>
      <c r="M1563" t="s">
        <v>2642</v>
      </c>
      <c r="N1563" s="15" t="s">
        <v>6878</v>
      </c>
    </row>
    <row r="1564" spans="1:14" x14ac:dyDescent="0.2">
      <c r="A1564" t="s">
        <v>2661</v>
      </c>
      <c r="B1564" t="s">
        <v>2360</v>
      </c>
      <c r="C1564" s="9">
        <v>44953</v>
      </c>
      <c r="D1564" t="s">
        <v>975</v>
      </c>
      <c r="E1564" s="13">
        <v>704000</v>
      </c>
      <c r="F1564" s="13">
        <v>27350</v>
      </c>
      <c r="G1564" s="9">
        <v>44957</v>
      </c>
      <c r="H1564" t="s">
        <v>1111</v>
      </c>
      <c r="I1564" t="s">
        <v>2641</v>
      </c>
      <c r="J1564" s="13">
        <v>27750</v>
      </c>
      <c r="K1564">
        <v>1</v>
      </c>
      <c r="L1564" t="s">
        <v>1064</v>
      </c>
      <c r="M1564" t="s">
        <v>2642</v>
      </c>
      <c r="N1564" s="15" t="s">
        <v>6878</v>
      </c>
    </row>
    <row r="1565" spans="1:14" x14ac:dyDescent="0.2">
      <c r="A1565" t="s">
        <v>2662</v>
      </c>
      <c r="B1565" t="s">
        <v>2360</v>
      </c>
      <c r="C1565" s="9">
        <v>44953</v>
      </c>
      <c r="D1565" t="s">
        <v>975</v>
      </c>
      <c r="E1565" s="13">
        <v>704000</v>
      </c>
      <c r="F1565" s="13">
        <v>27350</v>
      </c>
      <c r="G1565" s="9">
        <v>44957</v>
      </c>
      <c r="H1565" t="s">
        <v>1111</v>
      </c>
      <c r="I1565" t="s">
        <v>2641</v>
      </c>
      <c r="J1565" s="13">
        <v>27750</v>
      </c>
      <c r="K1565">
        <v>1</v>
      </c>
      <c r="L1565" t="s">
        <v>1064</v>
      </c>
      <c r="M1565" t="s">
        <v>2642</v>
      </c>
      <c r="N1565" s="15" t="s">
        <v>6878</v>
      </c>
    </row>
    <row r="1566" spans="1:14" x14ac:dyDescent="0.2">
      <c r="A1566" t="s">
        <v>2663</v>
      </c>
      <c r="B1566" t="s">
        <v>2360</v>
      </c>
      <c r="C1566" s="9">
        <v>44953</v>
      </c>
      <c r="D1566" t="s">
        <v>975</v>
      </c>
      <c r="E1566" s="13">
        <v>2798400</v>
      </c>
      <c r="F1566" s="13">
        <v>108717</v>
      </c>
      <c r="G1566" s="9">
        <v>44957</v>
      </c>
      <c r="H1566" t="s">
        <v>1111</v>
      </c>
      <c r="I1566" t="s">
        <v>2641</v>
      </c>
      <c r="J1566" s="13">
        <v>27750</v>
      </c>
      <c r="K1566">
        <v>1</v>
      </c>
      <c r="L1566" t="s">
        <v>1064</v>
      </c>
      <c r="M1566" t="s">
        <v>2642</v>
      </c>
      <c r="N1566" s="15" t="s">
        <v>6878</v>
      </c>
    </row>
    <row r="1567" spans="1:14" x14ac:dyDescent="0.2">
      <c r="A1567" t="s">
        <v>2664</v>
      </c>
      <c r="B1567" t="s">
        <v>2360</v>
      </c>
      <c r="C1567" s="9">
        <v>44953</v>
      </c>
      <c r="D1567" t="s">
        <v>975</v>
      </c>
      <c r="E1567" s="13">
        <v>1452000</v>
      </c>
      <c r="F1567" s="13">
        <v>56410</v>
      </c>
      <c r="G1567" s="9">
        <v>44957</v>
      </c>
      <c r="H1567" t="s">
        <v>1111</v>
      </c>
      <c r="I1567" t="s">
        <v>2641</v>
      </c>
      <c r="J1567" s="13">
        <v>27750</v>
      </c>
      <c r="K1567">
        <v>1</v>
      </c>
      <c r="L1567" t="s">
        <v>1064</v>
      </c>
      <c r="M1567" t="s">
        <v>2642</v>
      </c>
      <c r="N1567" s="15" t="s">
        <v>6878</v>
      </c>
    </row>
    <row r="1568" spans="1:14" x14ac:dyDescent="0.2">
      <c r="A1568" t="s">
        <v>2665</v>
      </c>
      <c r="B1568" t="s">
        <v>2360</v>
      </c>
      <c r="C1568" s="9">
        <v>44953</v>
      </c>
      <c r="D1568" t="s">
        <v>975</v>
      </c>
      <c r="E1568" s="13">
        <v>1452000</v>
      </c>
      <c r="F1568" s="13">
        <v>56410</v>
      </c>
      <c r="G1568" s="9">
        <v>44957</v>
      </c>
      <c r="H1568" t="s">
        <v>1111</v>
      </c>
      <c r="I1568" t="s">
        <v>2641</v>
      </c>
      <c r="J1568" s="13">
        <v>27750</v>
      </c>
      <c r="K1568">
        <v>1</v>
      </c>
      <c r="L1568" t="s">
        <v>1064</v>
      </c>
      <c r="M1568" t="s">
        <v>2642</v>
      </c>
      <c r="N1568" s="15" t="s">
        <v>6878</v>
      </c>
    </row>
    <row r="1569" spans="1:14" x14ac:dyDescent="0.2">
      <c r="A1569" t="s">
        <v>2666</v>
      </c>
      <c r="B1569" t="s">
        <v>2360</v>
      </c>
      <c r="C1569" s="9">
        <v>44953</v>
      </c>
      <c r="D1569" t="s">
        <v>975</v>
      </c>
      <c r="E1569" s="13">
        <v>1452000</v>
      </c>
      <c r="F1569" s="13">
        <v>56410</v>
      </c>
      <c r="G1569" s="9">
        <v>44957</v>
      </c>
      <c r="H1569" t="s">
        <v>1111</v>
      </c>
      <c r="I1569" t="s">
        <v>2641</v>
      </c>
      <c r="J1569" s="13">
        <v>27750</v>
      </c>
      <c r="K1569">
        <v>1</v>
      </c>
      <c r="L1569" t="s">
        <v>1064</v>
      </c>
      <c r="M1569" t="s">
        <v>2642</v>
      </c>
      <c r="N1569" s="15" t="s">
        <v>6878</v>
      </c>
    </row>
    <row r="1570" spans="1:14" x14ac:dyDescent="0.2">
      <c r="A1570" t="s">
        <v>2667</v>
      </c>
      <c r="B1570" t="s">
        <v>2360</v>
      </c>
      <c r="C1570" s="9">
        <v>44953</v>
      </c>
      <c r="D1570" t="s">
        <v>975</v>
      </c>
      <c r="E1570" s="13">
        <v>1452000</v>
      </c>
      <c r="F1570" s="13">
        <v>56410</v>
      </c>
      <c r="G1570" s="9">
        <v>44957</v>
      </c>
      <c r="H1570" t="s">
        <v>1111</v>
      </c>
      <c r="I1570" t="s">
        <v>2641</v>
      </c>
      <c r="J1570" s="13">
        <v>27750</v>
      </c>
      <c r="K1570">
        <v>1</v>
      </c>
      <c r="L1570" t="s">
        <v>1064</v>
      </c>
      <c r="M1570" t="s">
        <v>2642</v>
      </c>
      <c r="N1570" s="15" t="s">
        <v>6878</v>
      </c>
    </row>
    <row r="1571" spans="1:14" x14ac:dyDescent="0.2">
      <c r="A1571" t="s">
        <v>2668</v>
      </c>
      <c r="B1571" t="s">
        <v>2360</v>
      </c>
      <c r="C1571" s="9">
        <v>44953</v>
      </c>
      <c r="D1571" t="s">
        <v>975</v>
      </c>
      <c r="E1571" s="13">
        <v>1452000</v>
      </c>
      <c r="F1571" s="13">
        <v>56410</v>
      </c>
      <c r="G1571" s="9">
        <v>44957</v>
      </c>
      <c r="H1571" t="s">
        <v>1111</v>
      </c>
      <c r="I1571" t="s">
        <v>2641</v>
      </c>
      <c r="J1571" s="13">
        <v>27750</v>
      </c>
      <c r="K1571">
        <v>1</v>
      </c>
      <c r="L1571" t="s">
        <v>1064</v>
      </c>
      <c r="M1571" t="s">
        <v>2642</v>
      </c>
      <c r="N1571" s="15" t="s">
        <v>6878</v>
      </c>
    </row>
    <row r="1572" spans="1:14" x14ac:dyDescent="0.2">
      <c r="A1572" t="s">
        <v>2669</v>
      </c>
      <c r="B1572" t="s">
        <v>2360</v>
      </c>
      <c r="C1572" s="9">
        <v>44953</v>
      </c>
      <c r="D1572" t="s">
        <v>975</v>
      </c>
      <c r="E1572" s="13">
        <v>704000</v>
      </c>
      <c r="F1572" s="13">
        <v>27350</v>
      </c>
      <c r="G1572" s="9">
        <v>44957</v>
      </c>
      <c r="H1572" t="s">
        <v>1111</v>
      </c>
      <c r="I1572" t="s">
        <v>2641</v>
      </c>
      <c r="J1572" s="13">
        <v>27750</v>
      </c>
      <c r="K1572">
        <v>1</v>
      </c>
      <c r="L1572" t="s">
        <v>1064</v>
      </c>
      <c r="M1572" t="s">
        <v>2642</v>
      </c>
      <c r="N1572" s="15" t="s">
        <v>6878</v>
      </c>
    </row>
    <row r="1573" spans="1:14" x14ac:dyDescent="0.2">
      <c r="A1573" t="s">
        <v>2670</v>
      </c>
      <c r="B1573" t="s">
        <v>2360</v>
      </c>
      <c r="C1573" s="9">
        <v>44953</v>
      </c>
      <c r="D1573" t="s">
        <v>975</v>
      </c>
      <c r="E1573" s="13">
        <v>800000</v>
      </c>
      <c r="F1573" s="13">
        <v>31080</v>
      </c>
      <c r="G1573" s="9">
        <v>44957</v>
      </c>
      <c r="H1573" t="s">
        <v>1111</v>
      </c>
      <c r="I1573" t="s">
        <v>2641</v>
      </c>
      <c r="J1573" s="13">
        <v>27750</v>
      </c>
      <c r="K1573">
        <v>1</v>
      </c>
      <c r="L1573" t="s">
        <v>1064</v>
      </c>
      <c r="M1573" t="s">
        <v>2642</v>
      </c>
      <c r="N1573" s="15" t="s">
        <v>6878</v>
      </c>
    </row>
    <row r="1574" spans="1:14" x14ac:dyDescent="0.2">
      <c r="A1574" t="s">
        <v>2671</v>
      </c>
      <c r="B1574" t="s">
        <v>2360</v>
      </c>
      <c r="C1574" s="9">
        <v>44953</v>
      </c>
      <c r="D1574" t="s">
        <v>975</v>
      </c>
      <c r="E1574" s="13">
        <v>1452000</v>
      </c>
      <c r="F1574" s="13">
        <v>56410</v>
      </c>
      <c r="G1574" s="9">
        <v>44957</v>
      </c>
      <c r="H1574" t="s">
        <v>1111</v>
      </c>
      <c r="I1574" t="s">
        <v>2641</v>
      </c>
      <c r="J1574" s="13">
        <v>27750</v>
      </c>
      <c r="K1574">
        <v>1</v>
      </c>
      <c r="L1574" t="s">
        <v>1064</v>
      </c>
      <c r="M1574" t="s">
        <v>2642</v>
      </c>
      <c r="N1574" s="15" t="s">
        <v>6878</v>
      </c>
    </row>
    <row r="1575" spans="1:14" x14ac:dyDescent="0.2">
      <c r="A1575" t="s">
        <v>2672</v>
      </c>
      <c r="B1575" t="s">
        <v>2360</v>
      </c>
      <c r="C1575" s="9">
        <v>44953</v>
      </c>
      <c r="D1575" t="s">
        <v>975</v>
      </c>
      <c r="E1575" s="13">
        <v>800000</v>
      </c>
      <c r="F1575" s="13">
        <v>31080</v>
      </c>
      <c r="G1575" s="9">
        <v>44957</v>
      </c>
      <c r="H1575" t="s">
        <v>1111</v>
      </c>
      <c r="I1575" t="s">
        <v>2641</v>
      </c>
      <c r="J1575" s="13">
        <v>27750</v>
      </c>
      <c r="K1575">
        <v>1</v>
      </c>
      <c r="L1575" t="s">
        <v>1064</v>
      </c>
      <c r="M1575" t="s">
        <v>2642</v>
      </c>
      <c r="N1575" s="15" t="s">
        <v>6878</v>
      </c>
    </row>
    <row r="1576" spans="1:14" x14ac:dyDescent="0.2">
      <c r="A1576" t="s">
        <v>2673</v>
      </c>
      <c r="B1576" t="s">
        <v>2360</v>
      </c>
      <c r="C1576" s="9">
        <v>44953</v>
      </c>
      <c r="D1576" t="s">
        <v>975</v>
      </c>
      <c r="E1576" s="13">
        <v>1452000</v>
      </c>
      <c r="F1576" s="13">
        <v>56410</v>
      </c>
      <c r="G1576" s="9">
        <v>44957</v>
      </c>
      <c r="H1576" t="s">
        <v>1111</v>
      </c>
      <c r="I1576" t="s">
        <v>2641</v>
      </c>
      <c r="J1576" s="13">
        <v>27750</v>
      </c>
      <c r="K1576">
        <v>1</v>
      </c>
      <c r="L1576" t="s">
        <v>1064</v>
      </c>
      <c r="M1576" t="s">
        <v>2642</v>
      </c>
      <c r="N1576" s="15" t="s">
        <v>6878</v>
      </c>
    </row>
    <row r="1577" spans="1:14" x14ac:dyDescent="0.2">
      <c r="A1577" t="s">
        <v>2674</v>
      </c>
      <c r="B1577" t="s">
        <v>2360</v>
      </c>
      <c r="C1577" s="9">
        <v>44953</v>
      </c>
      <c r="D1577" t="s">
        <v>975</v>
      </c>
      <c r="E1577" s="13">
        <v>2798400</v>
      </c>
      <c r="F1577" s="13">
        <v>108717</v>
      </c>
      <c r="G1577" s="9">
        <v>44957</v>
      </c>
      <c r="H1577" t="s">
        <v>1111</v>
      </c>
      <c r="I1577" t="s">
        <v>2641</v>
      </c>
      <c r="J1577" s="13">
        <v>27750</v>
      </c>
      <c r="K1577">
        <v>1</v>
      </c>
      <c r="L1577" t="s">
        <v>1064</v>
      </c>
      <c r="M1577" t="s">
        <v>2642</v>
      </c>
      <c r="N1577" s="15" t="s">
        <v>6878</v>
      </c>
    </row>
    <row r="1578" spans="1:14" x14ac:dyDescent="0.2">
      <c r="A1578" t="s">
        <v>2675</v>
      </c>
      <c r="B1578" t="s">
        <v>2360</v>
      </c>
      <c r="C1578" s="9">
        <v>44953</v>
      </c>
      <c r="D1578" t="s">
        <v>975</v>
      </c>
      <c r="E1578" s="13">
        <v>2798400</v>
      </c>
      <c r="F1578" s="13">
        <v>108717</v>
      </c>
      <c r="G1578" s="9">
        <v>44957</v>
      </c>
      <c r="H1578" t="s">
        <v>1111</v>
      </c>
      <c r="I1578" t="s">
        <v>2641</v>
      </c>
      <c r="J1578" s="13">
        <v>27750</v>
      </c>
      <c r="K1578">
        <v>1</v>
      </c>
      <c r="L1578" t="s">
        <v>1064</v>
      </c>
      <c r="M1578" t="s">
        <v>2642</v>
      </c>
      <c r="N1578" s="15" t="s">
        <v>6878</v>
      </c>
    </row>
    <row r="1579" spans="1:14" x14ac:dyDescent="0.2">
      <c r="A1579" t="s">
        <v>2676</v>
      </c>
      <c r="B1579" t="s">
        <v>2360</v>
      </c>
      <c r="C1579" s="9">
        <v>44953</v>
      </c>
      <c r="D1579" t="s">
        <v>975</v>
      </c>
      <c r="E1579" s="13">
        <v>7603200</v>
      </c>
      <c r="F1579" s="13">
        <v>295384</v>
      </c>
      <c r="G1579" s="9">
        <v>44957</v>
      </c>
      <c r="H1579" t="s">
        <v>1111</v>
      </c>
      <c r="I1579" t="s">
        <v>2641</v>
      </c>
      <c r="J1579" s="13">
        <v>27750</v>
      </c>
      <c r="K1579">
        <v>1</v>
      </c>
      <c r="L1579" t="s">
        <v>1064</v>
      </c>
      <c r="M1579" t="s">
        <v>2642</v>
      </c>
      <c r="N1579" s="15" t="s">
        <v>6878</v>
      </c>
    </row>
    <row r="1580" spans="1:14" x14ac:dyDescent="0.2">
      <c r="A1580" t="s">
        <v>2677</v>
      </c>
      <c r="B1580" t="s">
        <v>2360</v>
      </c>
      <c r="C1580" s="9">
        <v>44953</v>
      </c>
      <c r="D1580" t="s">
        <v>975</v>
      </c>
      <c r="E1580" s="13">
        <v>7603200</v>
      </c>
      <c r="F1580" s="13">
        <v>295384</v>
      </c>
      <c r="G1580" s="9">
        <v>44957</v>
      </c>
      <c r="H1580" t="s">
        <v>1111</v>
      </c>
      <c r="I1580" t="s">
        <v>2641</v>
      </c>
      <c r="J1580" s="13">
        <v>27750</v>
      </c>
      <c r="K1580">
        <v>1</v>
      </c>
      <c r="L1580" t="s">
        <v>1064</v>
      </c>
      <c r="M1580" t="s">
        <v>2642</v>
      </c>
      <c r="N1580" s="15" t="s">
        <v>6878</v>
      </c>
    </row>
    <row r="1581" spans="1:14" x14ac:dyDescent="0.2">
      <c r="A1581" t="s">
        <v>2678</v>
      </c>
      <c r="B1581" t="s">
        <v>2360</v>
      </c>
      <c r="C1581" s="9">
        <v>44953</v>
      </c>
      <c r="D1581" t="s">
        <v>975</v>
      </c>
      <c r="E1581" s="13">
        <v>7603200</v>
      </c>
      <c r="F1581" s="13">
        <v>295384</v>
      </c>
      <c r="G1581" s="9">
        <v>44957</v>
      </c>
      <c r="H1581" t="s">
        <v>1111</v>
      </c>
      <c r="I1581" t="s">
        <v>2641</v>
      </c>
      <c r="J1581" s="13">
        <v>27750</v>
      </c>
      <c r="K1581">
        <v>1</v>
      </c>
      <c r="L1581" t="s">
        <v>1064</v>
      </c>
      <c r="M1581" t="s">
        <v>2642</v>
      </c>
      <c r="N1581" s="15" t="s">
        <v>6878</v>
      </c>
    </row>
    <row r="1582" spans="1:14" x14ac:dyDescent="0.2">
      <c r="A1582" t="s">
        <v>2679</v>
      </c>
      <c r="B1582" t="s">
        <v>2360</v>
      </c>
      <c r="C1582" s="9">
        <v>44953</v>
      </c>
      <c r="D1582" t="s">
        <v>975</v>
      </c>
      <c r="E1582" s="13">
        <v>800000</v>
      </c>
      <c r="F1582" s="13">
        <v>31080</v>
      </c>
      <c r="G1582" s="9">
        <v>44957</v>
      </c>
      <c r="H1582" t="s">
        <v>1111</v>
      </c>
      <c r="I1582" t="s">
        <v>2641</v>
      </c>
      <c r="J1582" s="13">
        <v>27750</v>
      </c>
      <c r="K1582">
        <v>1</v>
      </c>
      <c r="L1582" t="s">
        <v>1064</v>
      </c>
      <c r="M1582" t="s">
        <v>2642</v>
      </c>
      <c r="N1582" s="15" t="s">
        <v>6878</v>
      </c>
    </row>
    <row r="1583" spans="1:14" x14ac:dyDescent="0.2">
      <c r="A1583" t="s">
        <v>2680</v>
      </c>
      <c r="B1583" t="s">
        <v>2360</v>
      </c>
      <c r="C1583" s="9">
        <v>44953</v>
      </c>
      <c r="D1583" t="s">
        <v>975</v>
      </c>
      <c r="E1583" s="13">
        <v>7603200</v>
      </c>
      <c r="F1583" s="13">
        <v>295384</v>
      </c>
      <c r="G1583" s="9">
        <v>44957</v>
      </c>
      <c r="H1583" t="s">
        <v>1111</v>
      </c>
      <c r="I1583" t="s">
        <v>2641</v>
      </c>
      <c r="J1583" s="13">
        <v>27750</v>
      </c>
      <c r="K1583">
        <v>1</v>
      </c>
      <c r="L1583" t="s">
        <v>1064</v>
      </c>
      <c r="M1583" t="s">
        <v>2642</v>
      </c>
      <c r="N1583" s="15" t="s">
        <v>6878</v>
      </c>
    </row>
    <row r="1584" spans="1:14" x14ac:dyDescent="0.2">
      <c r="A1584" t="s">
        <v>2681</v>
      </c>
      <c r="B1584" t="s">
        <v>2360</v>
      </c>
      <c r="C1584" s="9">
        <v>44953</v>
      </c>
      <c r="D1584" t="s">
        <v>975</v>
      </c>
      <c r="E1584" s="13">
        <v>1800000</v>
      </c>
      <c r="F1584" s="13">
        <v>69930</v>
      </c>
      <c r="G1584" s="9">
        <v>44956</v>
      </c>
      <c r="H1584" t="s">
        <v>1111</v>
      </c>
      <c r="I1584" t="s">
        <v>2641</v>
      </c>
      <c r="J1584" s="13">
        <v>27750</v>
      </c>
      <c r="K1584">
        <v>1</v>
      </c>
      <c r="L1584" t="s">
        <v>1064</v>
      </c>
      <c r="M1584" t="s">
        <v>2642</v>
      </c>
      <c r="N1584" s="15" t="s">
        <v>6878</v>
      </c>
    </row>
    <row r="1585" spans="1:14" x14ac:dyDescent="0.2">
      <c r="A1585" t="s">
        <v>2682</v>
      </c>
      <c r="B1585" t="s">
        <v>2360</v>
      </c>
      <c r="C1585" s="9">
        <v>44953</v>
      </c>
      <c r="D1585" t="s">
        <v>975</v>
      </c>
      <c r="E1585" s="13">
        <v>2182400</v>
      </c>
      <c r="F1585" s="13">
        <v>84786</v>
      </c>
      <c r="G1585" s="9">
        <v>44957</v>
      </c>
      <c r="H1585" t="s">
        <v>1111</v>
      </c>
      <c r="I1585" t="s">
        <v>2641</v>
      </c>
      <c r="J1585" s="13">
        <v>27750</v>
      </c>
      <c r="K1585">
        <v>1</v>
      </c>
      <c r="L1585" t="s">
        <v>1064</v>
      </c>
      <c r="M1585" t="s">
        <v>2642</v>
      </c>
      <c r="N1585" s="15" t="s">
        <v>6878</v>
      </c>
    </row>
    <row r="1586" spans="1:14" x14ac:dyDescent="0.2">
      <c r="A1586" t="s">
        <v>2683</v>
      </c>
      <c r="B1586" t="s">
        <v>2360</v>
      </c>
      <c r="C1586" s="9">
        <v>44953</v>
      </c>
      <c r="D1586" t="s">
        <v>975</v>
      </c>
      <c r="E1586" s="13">
        <v>7000000</v>
      </c>
      <c r="F1586" s="13">
        <v>271950</v>
      </c>
      <c r="G1586" s="9">
        <v>44956</v>
      </c>
      <c r="H1586" t="s">
        <v>1111</v>
      </c>
      <c r="I1586" t="s">
        <v>2641</v>
      </c>
      <c r="J1586" s="13">
        <v>27750</v>
      </c>
      <c r="K1586">
        <v>1</v>
      </c>
      <c r="L1586" t="s">
        <v>1064</v>
      </c>
      <c r="M1586" t="s">
        <v>2642</v>
      </c>
      <c r="N1586" s="15" t="s">
        <v>6878</v>
      </c>
    </row>
    <row r="1587" spans="1:14" x14ac:dyDescent="0.2">
      <c r="A1587" t="s">
        <v>2684</v>
      </c>
      <c r="B1587" t="s">
        <v>2360</v>
      </c>
      <c r="C1587" s="9">
        <v>44953</v>
      </c>
      <c r="D1587" t="s">
        <v>975</v>
      </c>
      <c r="E1587" s="13">
        <v>7603200</v>
      </c>
      <c r="F1587" s="13">
        <v>295384</v>
      </c>
      <c r="G1587" s="9">
        <v>44957</v>
      </c>
      <c r="H1587" t="s">
        <v>1111</v>
      </c>
      <c r="I1587" t="s">
        <v>2641</v>
      </c>
      <c r="J1587" s="13">
        <v>27750</v>
      </c>
      <c r="K1587">
        <v>1</v>
      </c>
      <c r="L1587" t="s">
        <v>1064</v>
      </c>
      <c r="M1587" t="s">
        <v>2642</v>
      </c>
      <c r="N1587" s="15" t="s">
        <v>6878</v>
      </c>
    </row>
    <row r="1588" spans="1:14" x14ac:dyDescent="0.2">
      <c r="A1588" t="s">
        <v>2685</v>
      </c>
      <c r="B1588" t="s">
        <v>2360</v>
      </c>
      <c r="C1588" s="9">
        <v>44953</v>
      </c>
      <c r="D1588" t="s">
        <v>975</v>
      </c>
      <c r="E1588" s="13">
        <v>1100000</v>
      </c>
      <c r="F1588" s="13">
        <v>42735</v>
      </c>
      <c r="G1588" s="9">
        <v>44956</v>
      </c>
      <c r="H1588" t="s">
        <v>1111</v>
      </c>
      <c r="I1588" t="s">
        <v>2641</v>
      </c>
      <c r="J1588" s="13">
        <v>27750</v>
      </c>
      <c r="K1588">
        <v>1</v>
      </c>
      <c r="L1588" t="s">
        <v>1064</v>
      </c>
      <c r="M1588" t="s">
        <v>2642</v>
      </c>
      <c r="N1588" s="15" t="s">
        <v>6878</v>
      </c>
    </row>
    <row r="1589" spans="1:14" x14ac:dyDescent="0.2">
      <c r="A1589" t="s">
        <v>2686</v>
      </c>
      <c r="B1589" t="s">
        <v>2360</v>
      </c>
      <c r="C1589" s="9">
        <v>44953</v>
      </c>
      <c r="D1589" t="s">
        <v>975</v>
      </c>
      <c r="E1589" s="13">
        <v>7603200</v>
      </c>
      <c r="F1589" s="13">
        <v>295384</v>
      </c>
      <c r="G1589" s="9">
        <v>44957</v>
      </c>
      <c r="H1589" t="s">
        <v>1111</v>
      </c>
      <c r="I1589" t="s">
        <v>2641</v>
      </c>
      <c r="J1589" s="13">
        <v>27750</v>
      </c>
      <c r="K1589">
        <v>1</v>
      </c>
      <c r="L1589" t="s">
        <v>1064</v>
      </c>
      <c r="M1589" t="s">
        <v>2642</v>
      </c>
      <c r="N1589" s="15" t="s">
        <v>6878</v>
      </c>
    </row>
    <row r="1590" spans="1:14" x14ac:dyDescent="0.2">
      <c r="A1590" t="s">
        <v>2687</v>
      </c>
      <c r="B1590" t="s">
        <v>2360</v>
      </c>
      <c r="C1590" s="9">
        <v>44953</v>
      </c>
      <c r="D1590" t="s">
        <v>975</v>
      </c>
      <c r="E1590" s="13">
        <v>1452000</v>
      </c>
      <c r="F1590" s="13">
        <v>56410</v>
      </c>
      <c r="G1590" s="9">
        <v>44957</v>
      </c>
      <c r="H1590" t="s">
        <v>1111</v>
      </c>
      <c r="I1590" t="s">
        <v>2641</v>
      </c>
      <c r="J1590" s="13">
        <v>27750</v>
      </c>
      <c r="K1590">
        <v>1</v>
      </c>
      <c r="L1590" t="s">
        <v>1064</v>
      </c>
      <c r="M1590" t="s">
        <v>2642</v>
      </c>
      <c r="N1590" s="15" t="s">
        <v>6878</v>
      </c>
    </row>
    <row r="1591" spans="1:14" x14ac:dyDescent="0.2">
      <c r="A1591" t="s">
        <v>2688</v>
      </c>
      <c r="B1591" t="s">
        <v>2360</v>
      </c>
      <c r="C1591" s="9">
        <v>44953</v>
      </c>
      <c r="D1591" t="s">
        <v>975</v>
      </c>
      <c r="E1591" s="13">
        <v>3000000</v>
      </c>
      <c r="F1591" s="13">
        <v>116550</v>
      </c>
      <c r="G1591" s="9">
        <v>44957</v>
      </c>
      <c r="H1591" t="s">
        <v>1111</v>
      </c>
      <c r="I1591" t="s">
        <v>2641</v>
      </c>
      <c r="J1591" s="13">
        <v>27750</v>
      </c>
      <c r="K1591">
        <v>1</v>
      </c>
      <c r="L1591" t="s">
        <v>1064</v>
      </c>
      <c r="M1591" t="s">
        <v>2642</v>
      </c>
      <c r="N1591" s="15" t="s">
        <v>6878</v>
      </c>
    </row>
    <row r="1592" spans="1:14" x14ac:dyDescent="0.2">
      <c r="A1592" t="s">
        <v>2689</v>
      </c>
      <c r="B1592" t="s">
        <v>2360</v>
      </c>
      <c r="C1592" s="9">
        <v>44953</v>
      </c>
      <c r="D1592" t="s">
        <v>975</v>
      </c>
      <c r="E1592" s="13">
        <v>800000</v>
      </c>
      <c r="F1592" s="13">
        <v>31080</v>
      </c>
      <c r="G1592" s="9">
        <v>44957</v>
      </c>
      <c r="H1592" t="s">
        <v>1111</v>
      </c>
      <c r="I1592" t="s">
        <v>2641</v>
      </c>
      <c r="J1592" s="13">
        <v>27750</v>
      </c>
      <c r="K1592">
        <v>1</v>
      </c>
      <c r="L1592" t="s">
        <v>1064</v>
      </c>
      <c r="M1592" t="s">
        <v>2642</v>
      </c>
      <c r="N1592" s="15" t="s">
        <v>6878</v>
      </c>
    </row>
    <row r="1593" spans="1:14" x14ac:dyDescent="0.2">
      <c r="A1593" t="s">
        <v>2690</v>
      </c>
      <c r="B1593" t="s">
        <v>2360</v>
      </c>
      <c r="C1593" s="9">
        <v>44953</v>
      </c>
      <c r="D1593" t="s">
        <v>975</v>
      </c>
      <c r="E1593" s="13">
        <v>2798400</v>
      </c>
      <c r="F1593" s="13">
        <v>108717</v>
      </c>
      <c r="G1593" s="9">
        <v>44957</v>
      </c>
      <c r="H1593" t="s">
        <v>1111</v>
      </c>
      <c r="I1593" t="s">
        <v>2641</v>
      </c>
      <c r="J1593" s="13">
        <v>27750</v>
      </c>
      <c r="K1593">
        <v>1</v>
      </c>
      <c r="L1593" t="s">
        <v>1064</v>
      </c>
      <c r="M1593" t="s">
        <v>2642</v>
      </c>
      <c r="N1593" s="15" t="s">
        <v>6878</v>
      </c>
    </row>
    <row r="1594" spans="1:14" x14ac:dyDescent="0.2">
      <c r="A1594" t="s">
        <v>2691</v>
      </c>
      <c r="B1594" t="s">
        <v>2360</v>
      </c>
      <c r="C1594" s="9">
        <v>44954</v>
      </c>
      <c r="D1594" t="s">
        <v>975</v>
      </c>
      <c r="E1594" s="13">
        <v>7603200</v>
      </c>
      <c r="F1594" s="13">
        <v>295384</v>
      </c>
      <c r="G1594" s="9">
        <v>44957</v>
      </c>
      <c r="H1594" t="s">
        <v>1111</v>
      </c>
      <c r="I1594" t="s">
        <v>2641</v>
      </c>
      <c r="J1594" s="13">
        <v>27750</v>
      </c>
      <c r="K1594">
        <v>1</v>
      </c>
      <c r="L1594" t="s">
        <v>1064</v>
      </c>
      <c r="M1594" t="s">
        <v>2642</v>
      </c>
      <c r="N1594" s="15" t="s">
        <v>6878</v>
      </c>
    </row>
    <row r="1595" spans="1:14" x14ac:dyDescent="0.2">
      <c r="A1595" t="s">
        <v>2692</v>
      </c>
      <c r="B1595" t="s">
        <v>2360</v>
      </c>
      <c r="C1595" s="9">
        <v>44954</v>
      </c>
      <c r="D1595" t="s">
        <v>975</v>
      </c>
      <c r="E1595" s="13">
        <v>7603200</v>
      </c>
      <c r="F1595" s="13">
        <v>295384</v>
      </c>
      <c r="G1595" s="9">
        <v>44957</v>
      </c>
      <c r="H1595" t="s">
        <v>1111</v>
      </c>
      <c r="I1595" t="s">
        <v>2641</v>
      </c>
      <c r="J1595" s="13">
        <v>27750</v>
      </c>
      <c r="K1595">
        <v>1</v>
      </c>
      <c r="L1595" t="s">
        <v>1064</v>
      </c>
      <c r="M1595" t="s">
        <v>2642</v>
      </c>
      <c r="N1595" s="15" t="s">
        <v>6878</v>
      </c>
    </row>
    <row r="1596" spans="1:14" x14ac:dyDescent="0.2">
      <c r="A1596" t="s">
        <v>2693</v>
      </c>
      <c r="B1596" t="s">
        <v>2360</v>
      </c>
      <c r="C1596" s="9">
        <v>44954</v>
      </c>
      <c r="D1596" t="s">
        <v>975</v>
      </c>
      <c r="E1596" s="13">
        <v>7603200</v>
      </c>
      <c r="F1596" s="13">
        <v>295384</v>
      </c>
      <c r="G1596" s="9">
        <v>44957</v>
      </c>
      <c r="H1596" t="s">
        <v>1111</v>
      </c>
      <c r="I1596" t="s">
        <v>2641</v>
      </c>
      <c r="J1596" s="13">
        <v>27750</v>
      </c>
      <c r="K1596">
        <v>1</v>
      </c>
      <c r="L1596" t="s">
        <v>1064</v>
      </c>
      <c r="M1596" t="s">
        <v>2642</v>
      </c>
      <c r="N1596" s="15" t="s">
        <v>6878</v>
      </c>
    </row>
    <row r="1597" spans="1:14" x14ac:dyDescent="0.2">
      <c r="A1597" t="s">
        <v>2694</v>
      </c>
      <c r="B1597" t="s">
        <v>2360</v>
      </c>
      <c r="C1597" s="9">
        <v>44954</v>
      </c>
      <c r="D1597" t="s">
        <v>975</v>
      </c>
      <c r="E1597" s="13">
        <v>7603200</v>
      </c>
      <c r="F1597" s="13">
        <v>295384</v>
      </c>
      <c r="G1597" s="9">
        <v>44957</v>
      </c>
      <c r="H1597" t="s">
        <v>1111</v>
      </c>
      <c r="I1597" t="s">
        <v>2641</v>
      </c>
      <c r="J1597" s="13">
        <v>27750</v>
      </c>
      <c r="K1597">
        <v>1</v>
      </c>
      <c r="L1597" t="s">
        <v>1064</v>
      </c>
      <c r="M1597" t="s">
        <v>2642</v>
      </c>
      <c r="N1597" s="15" t="s">
        <v>6878</v>
      </c>
    </row>
    <row r="1598" spans="1:14" x14ac:dyDescent="0.2">
      <c r="A1598" t="s">
        <v>2695</v>
      </c>
      <c r="B1598" t="s">
        <v>2360</v>
      </c>
      <c r="C1598" s="9">
        <v>44954</v>
      </c>
      <c r="D1598" t="s">
        <v>975</v>
      </c>
      <c r="E1598" s="13">
        <v>7603200</v>
      </c>
      <c r="F1598" s="13">
        <v>295384</v>
      </c>
      <c r="G1598" s="9">
        <v>44957</v>
      </c>
      <c r="H1598" t="s">
        <v>1111</v>
      </c>
      <c r="I1598" t="s">
        <v>2641</v>
      </c>
      <c r="J1598" s="13">
        <v>27750</v>
      </c>
      <c r="K1598">
        <v>1</v>
      </c>
      <c r="L1598" t="s">
        <v>1064</v>
      </c>
      <c r="M1598" t="s">
        <v>2642</v>
      </c>
      <c r="N1598" s="15" t="s">
        <v>6878</v>
      </c>
    </row>
    <row r="1599" spans="1:14" x14ac:dyDescent="0.2">
      <c r="A1599" t="s">
        <v>2696</v>
      </c>
      <c r="B1599" t="s">
        <v>2360</v>
      </c>
      <c r="C1599" s="9">
        <v>44954</v>
      </c>
      <c r="D1599" t="s">
        <v>975</v>
      </c>
      <c r="E1599" s="13">
        <v>7603200</v>
      </c>
      <c r="F1599" s="13">
        <v>295384</v>
      </c>
      <c r="G1599" s="9">
        <v>44957</v>
      </c>
      <c r="H1599" t="s">
        <v>1111</v>
      </c>
      <c r="I1599" t="s">
        <v>2641</v>
      </c>
      <c r="J1599" s="13">
        <v>27750</v>
      </c>
      <c r="K1599">
        <v>1</v>
      </c>
      <c r="L1599" t="s">
        <v>1064</v>
      </c>
      <c r="M1599" t="s">
        <v>2642</v>
      </c>
      <c r="N1599" s="15" t="s">
        <v>6878</v>
      </c>
    </row>
    <row r="1600" spans="1:14" x14ac:dyDescent="0.2">
      <c r="A1600" t="s">
        <v>2697</v>
      </c>
      <c r="B1600" t="s">
        <v>2360</v>
      </c>
      <c r="C1600" s="9">
        <v>44954</v>
      </c>
      <c r="D1600" t="s">
        <v>975</v>
      </c>
      <c r="E1600" s="13">
        <v>7603200</v>
      </c>
      <c r="F1600" s="13">
        <v>295384</v>
      </c>
      <c r="G1600" s="9">
        <v>44957</v>
      </c>
      <c r="H1600" t="s">
        <v>1111</v>
      </c>
      <c r="I1600" t="s">
        <v>2641</v>
      </c>
      <c r="J1600" s="13">
        <v>27750</v>
      </c>
      <c r="K1600">
        <v>1</v>
      </c>
      <c r="L1600" t="s">
        <v>1064</v>
      </c>
      <c r="M1600" t="s">
        <v>2642</v>
      </c>
      <c r="N1600" s="15" t="s">
        <v>6878</v>
      </c>
    </row>
    <row r="1601" spans="1:14" x14ac:dyDescent="0.2">
      <c r="A1601" t="s">
        <v>2698</v>
      </c>
      <c r="B1601" t="s">
        <v>2360</v>
      </c>
      <c r="C1601" s="9">
        <v>44954</v>
      </c>
      <c r="D1601" t="s">
        <v>975</v>
      </c>
      <c r="E1601" s="13">
        <v>7603200</v>
      </c>
      <c r="F1601" s="13">
        <v>295384</v>
      </c>
      <c r="G1601" s="9">
        <v>44957</v>
      </c>
      <c r="H1601" t="s">
        <v>1111</v>
      </c>
      <c r="I1601" t="s">
        <v>2641</v>
      </c>
      <c r="J1601" s="13">
        <v>27750</v>
      </c>
      <c r="K1601">
        <v>1</v>
      </c>
      <c r="L1601" t="s">
        <v>1064</v>
      </c>
      <c r="M1601" t="s">
        <v>2642</v>
      </c>
      <c r="N1601" s="15" t="s">
        <v>6878</v>
      </c>
    </row>
    <row r="1602" spans="1:14" x14ac:dyDescent="0.2">
      <c r="A1602" t="s">
        <v>2699</v>
      </c>
      <c r="B1602" t="s">
        <v>2360</v>
      </c>
      <c r="C1602" s="9">
        <v>44954</v>
      </c>
      <c r="D1602" t="s">
        <v>975</v>
      </c>
      <c r="E1602" s="13">
        <v>1452000</v>
      </c>
      <c r="F1602" s="13">
        <v>56410</v>
      </c>
      <c r="G1602" s="9">
        <v>44957</v>
      </c>
      <c r="H1602" t="s">
        <v>1111</v>
      </c>
      <c r="I1602" t="s">
        <v>2641</v>
      </c>
      <c r="J1602" s="13">
        <v>27750</v>
      </c>
      <c r="K1602">
        <v>1</v>
      </c>
      <c r="L1602" t="s">
        <v>1064</v>
      </c>
      <c r="M1602" t="s">
        <v>2642</v>
      </c>
      <c r="N1602" s="15" t="s">
        <v>6878</v>
      </c>
    </row>
    <row r="1603" spans="1:14" x14ac:dyDescent="0.2">
      <c r="A1603" t="s">
        <v>2700</v>
      </c>
      <c r="B1603" t="s">
        <v>2360</v>
      </c>
      <c r="C1603" s="9">
        <v>44954</v>
      </c>
      <c r="D1603" t="s">
        <v>975</v>
      </c>
      <c r="E1603" s="13">
        <v>2798400</v>
      </c>
      <c r="F1603" s="13">
        <v>108717</v>
      </c>
      <c r="G1603" s="9">
        <v>44957</v>
      </c>
      <c r="H1603" t="s">
        <v>1111</v>
      </c>
      <c r="I1603" t="s">
        <v>2641</v>
      </c>
      <c r="J1603" s="13">
        <v>27750</v>
      </c>
      <c r="K1603">
        <v>1</v>
      </c>
      <c r="L1603" t="s">
        <v>1064</v>
      </c>
      <c r="M1603" t="s">
        <v>2642</v>
      </c>
      <c r="N1603" s="15" t="s">
        <v>6878</v>
      </c>
    </row>
    <row r="1604" spans="1:14" x14ac:dyDescent="0.2">
      <c r="A1604" t="s">
        <v>2701</v>
      </c>
      <c r="B1604" t="s">
        <v>2360</v>
      </c>
      <c r="C1604" s="9">
        <v>44954</v>
      </c>
      <c r="D1604" t="s">
        <v>975</v>
      </c>
      <c r="E1604" s="13">
        <v>2798400</v>
      </c>
      <c r="F1604" s="13">
        <v>108717</v>
      </c>
      <c r="G1604" s="9">
        <v>44957</v>
      </c>
      <c r="H1604" t="s">
        <v>1111</v>
      </c>
      <c r="I1604" t="s">
        <v>2641</v>
      </c>
      <c r="J1604" s="13">
        <v>27750</v>
      </c>
      <c r="K1604">
        <v>1</v>
      </c>
      <c r="L1604" t="s">
        <v>1064</v>
      </c>
      <c r="M1604" t="s">
        <v>2642</v>
      </c>
      <c r="N1604" s="15" t="s">
        <v>6878</v>
      </c>
    </row>
    <row r="1605" spans="1:14" x14ac:dyDescent="0.2">
      <c r="A1605" t="s">
        <v>2702</v>
      </c>
      <c r="B1605" t="s">
        <v>2360</v>
      </c>
      <c r="C1605" s="9">
        <v>44954</v>
      </c>
      <c r="D1605" t="s">
        <v>975</v>
      </c>
      <c r="E1605" s="13">
        <v>2798400</v>
      </c>
      <c r="F1605" s="13">
        <v>108717</v>
      </c>
      <c r="G1605" s="9">
        <v>44957</v>
      </c>
      <c r="H1605" t="s">
        <v>1111</v>
      </c>
      <c r="I1605" t="s">
        <v>2641</v>
      </c>
      <c r="J1605" s="13">
        <v>27750</v>
      </c>
      <c r="K1605">
        <v>1</v>
      </c>
      <c r="L1605" t="s">
        <v>1064</v>
      </c>
      <c r="M1605" t="s">
        <v>2642</v>
      </c>
      <c r="N1605" s="15" t="s">
        <v>6878</v>
      </c>
    </row>
    <row r="1606" spans="1:14" x14ac:dyDescent="0.2">
      <c r="A1606" t="s">
        <v>2703</v>
      </c>
      <c r="B1606" t="s">
        <v>2360</v>
      </c>
      <c r="C1606" s="9">
        <v>44954</v>
      </c>
      <c r="D1606" t="s">
        <v>975</v>
      </c>
      <c r="E1606" s="13">
        <v>2798400</v>
      </c>
      <c r="F1606" s="13">
        <v>108717</v>
      </c>
      <c r="G1606" s="9">
        <v>44957</v>
      </c>
      <c r="H1606" t="s">
        <v>1111</v>
      </c>
      <c r="I1606" t="s">
        <v>2641</v>
      </c>
      <c r="J1606" s="13">
        <v>27750</v>
      </c>
      <c r="K1606">
        <v>1</v>
      </c>
      <c r="L1606" t="s">
        <v>1064</v>
      </c>
      <c r="M1606" t="s">
        <v>2642</v>
      </c>
      <c r="N1606" s="15" t="s">
        <v>6878</v>
      </c>
    </row>
    <row r="1607" spans="1:14" x14ac:dyDescent="0.2">
      <c r="A1607" t="s">
        <v>2704</v>
      </c>
      <c r="B1607" t="s">
        <v>2360</v>
      </c>
      <c r="C1607" s="9">
        <v>44954</v>
      </c>
      <c r="D1607" t="s">
        <v>975</v>
      </c>
      <c r="E1607" s="13">
        <v>2798400</v>
      </c>
      <c r="F1607" s="13">
        <v>108717</v>
      </c>
      <c r="G1607" s="9">
        <v>44957</v>
      </c>
      <c r="H1607" t="s">
        <v>1111</v>
      </c>
      <c r="I1607" t="s">
        <v>2641</v>
      </c>
      <c r="J1607" s="13">
        <v>27750</v>
      </c>
      <c r="K1607">
        <v>1</v>
      </c>
      <c r="L1607" t="s">
        <v>1064</v>
      </c>
      <c r="M1607" t="s">
        <v>2642</v>
      </c>
      <c r="N1607" s="15" t="s">
        <v>6878</v>
      </c>
    </row>
    <row r="1608" spans="1:14" x14ac:dyDescent="0.2">
      <c r="A1608" t="s">
        <v>2705</v>
      </c>
      <c r="B1608" t="s">
        <v>2360</v>
      </c>
      <c r="C1608" s="9">
        <v>44954</v>
      </c>
      <c r="D1608" t="s">
        <v>975</v>
      </c>
      <c r="E1608" s="13">
        <v>2798400</v>
      </c>
      <c r="F1608" s="13">
        <v>108717</v>
      </c>
      <c r="G1608" s="9">
        <v>44957</v>
      </c>
      <c r="H1608" t="s">
        <v>1111</v>
      </c>
      <c r="I1608" t="s">
        <v>2641</v>
      </c>
      <c r="J1608" s="13">
        <v>27750</v>
      </c>
      <c r="K1608">
        <v>1</v>
      </c>
      <c r="L1608" t="s">
        <v>1064</v>
      </c>
      <c r="M1608" t="s">
        <v>2642</v>
      </c>
      <c r="N1608" s="15" t="s">
        <v>6878</v>
      </c>
    </row>
    <row r="1609" spans="1:14" x14ac:dyDescent="0.2">
      <c r="A1609" t="s">
        <v>2706</v>
      </c>
      <c r="B1609" t="s">
        <v>2360</v>
      </c>
      <c r="C1609" s="9">
        <v>44955</v>
      </c>
      <c r="D1609" t="s">
        <v>975</v>
      </c>
      <c r="E1609" s="13">
        <v>7603200</v>
      </c>
      <c r="F1609" s="13">
        <v>295384</v>
      </c>
      <c r="G1609" s="9">
        <v>44957</v>
      </c>
      <c r="H1609" t="s">
        <v>1111</v>
      </c>
      <c r="I1609" t="s">
        <v>2641</v>
      </c>
      <c r="J1609" s="13">
        <v>27750</v>
      </c>
      <c r="K1609">
        <v>1</v>
      </c>
      <c r="L1609" t="s">
        <v>1064</v>
      </c>
      <c r="M1609" t="s">
        <v>2642</v>
      </c>
      <c r="N1609" s="15" t="s">
        <v>6878</v>
      </c>
    </row>
    <row r="1610" spans="1:14" x14ac:dyDescent="0.2">
      <c r="A1610" t="s">
        <v>2707</v>
      </c>
      <c r="B1610" t="s">
        <v>2360</v>
      </c>
      <c r="C1610" s="9">
        <v>44955</v>
      </c>
      <c r="D1610" t="s">
        <v>975</v>
      </c>
      <c r="E1610" s="13">
        <v>7603200</v>
      </c>
      <c r="F1610" s="13">
        <v>295384</v>
      </c>
      <c r="G1610" s="9">
        <v>44957</v>
      </c>
      <c r="H1610" t="s">
        <v>1111</v>
      </c>
      <c r="I1610" t="s">
        <v>2641</v>
      </c>
      <c r="J1610" s="13">
        <v>27750</v>
      </c>
      <c r="K1610">
        <v>1</v>
      </c>
      <c r="L1610" t="s">
        <v>1064</v>
      </c>
      <c r="M1610" t="s">
        <v>2642</v>
      </c>
      <c r="N1610" s="15" t="s">
        <v>6878</v>
      </c>
    </row>
    <row r="1611" spans="1:14" x14ac:dyDescent="0.2">
      <c r="A1611" t="s">
        <v>2708</v>
      </c>
      <c r="B1611" t="s">
        <v>2360</v>
      </c>
      <c r="C1611" s="9">
        <v>44955</v>
      </c>
      <c r="D1611" t="s">
        <v>975</v>
      </c>
      <c r="E1611" s="13">
        <v>7603200</v>
      </c>
      <c r="F1611" s="13">
        <v>295384</v>
      </c>
      <c r="G1611" s="9">
        <v>44957</v>
      </c>
      <c r="H1611" t="s">
        <v>1111</v>
      </c>
      <c r="I1611" t="s">
        <v>2641</v>
      </c>
      <c r="J1611" s="13">
        <v>27750</v>
      </c>
      <c r="K1611">
        <v>1</v>
      </c>
      <c r="L1611" t="s">
        <v>1064</v>
      </c>
      <c r="M1611" t="s">
        <v>2642</v>
      </c>
      <c r="N1611" s="15" t="s">
        <v>6878</v>
      </c>
    </row>
    <row r="1612" spans="1:14" x14ac:dyDescent="0.2">
      <c r="A1612" t="s">
        <v>2709</v>
      </c>
      <c r="B1612" t="s">
        <v>2360</v>
      </c>
      <c r="C1612" s="9">
        <v>44955</v>
      </c>
      <c r="D1612" t="s">
        <v>975</v>
      </c>
      <c r="E1612" s="13">
        <v>7603200</v>
      </c>
      <c r="F1612" s="13">
        <v>295384</v>
      </c>
      <c r="G1612" s="9">
        <v>44957</v>
      </c>
      <c r="H1612" t="s">
        <v>1111</v>
      </c>
      <c r="I1612" t="s">
        <v>2641</v>
      </c>
      <c r="J1612" s="13">
        <v>27750</v>
      </c>
      <c r="K1612">
        <v>1</v>
      </c>
      <c r="L1612" t="s">
        <v>1064</v>
      </c>
      <c r="M1612" t="s">
        <v>2642</v>
      </c>
      <c r="N1612" s="15" t="s">
        <v>6878</v>
      </c>
    </row>
    <row r="1613" spans="1:14" x14ac:dyDescent="0.2">
      <c r="A1613" t="s">
        <v>2710</v>
      </c>
      <c r="B1613" t="s">
        <v>2360</v>
      </c>
      <c r="C1613" s="9">
        <v>44955</v>
      </c>
      <c r="D1613" t="s">
        <v>975</v>
      </c>
      <c r="E1613" s="13">
        <v>7603200</v>
      </c>
      <c r="F1613" s="13">
        <v>295384</v>
      </c>
      <c r="G1613" s="9">
        <v>44957</v>
      </c>
      <c r="H1613" t="s">
        <v>1111</v>
      </c>
      <c r="I1613" t="s">
        <v>2641</v>
      </c>
      <c r="J1613" s="13">
        <v>27750</v>
      </c>
      <c r="K1613">
        <v>1</v>
      </c>
      <c r="L1613" t="s">
        <v>1064</v>
      </c>
      <c r="M1613" t="s">
        <v>2642</v>
      </c>
      <c r="N1613" s="15" t="s">
        <v>6878</v>
      </c>
    </row>
    <row r="1614" spans="1:14" x14ac:dyDescent="0.2">
      <c r="A1614" t="s">
        <v>2711</v>
      </c>
      <c r="B1614" t="s">
        <v>2360</v>
      </c>
      <c r="C1614" s="9">
        <v>44955</v>
      </c>
      <c r="D1614" t="s">
        <v>975</v>
      </c>
      <c r="E1614" s="13">
        <v>7603200</v>
      </c>
      <c r="F1614" s="13">
        <v>295384</v>
      </c>
      <c r="G1614" s="9">
        <v>44957</v>
      </c>
      <c r="H1614" t="s">
        <v>1111</v>
      </c>
      <c r="I1614" t="s">
        <v>2641</v>
      </c>
      <c r="J1614" s="13">
        <v>27750</v>
      </c>
      <c r="K1614">
        <v>1</v>
      </c>
      <c r="L1614" t="s">
        <v>1064</v>
      </c>
      <c r="M1614" t="s">
        <v>2642</v>
      </c>
      <c r="N1614" s="15" t="s">
        <v>6878</v>
      </c>
    </row>
    <row r="1615" spans="1:14" x14ac:dyDescent="0.2">
      <c r="A1615" t="s">
        <v>2712</v>
      </c>
      <c r="B1615" t="s">
        <v>2360</v>
      </c>
      <c r="C1615" s="9">
        <v>44955</v>
      </c>
      <c r="D1615" t="s">
        <v>975</v>
      </c>
      <c r="E1615" s="13">
        <v>7603200</v>
      </c>
      <c r="F1615" s="13">
        <v>295384</v>
      </c>
      <c r="G1615" s="9">
        <v>44957</v>
      </c>
      <c r="H1615" t="s">
        <v>1111</v>
      </c>
      <c r="I1615" t="s">
        <v>2641</v>
      </c>
      <c r="J1615" s="13">
        <v>27750</v>
      </c>
      <c r="K1615">
        <v>1</v>
      </c>
      <c r="L1615" t="s">
        <v>1064</v>
      </c>
      <c r="M1615" t="s">
        <v>2642</v>
      </c>
      <c r="N1615" s="15" t="s">
        <v>6878</v>
      </c>
    </row>
    <row r="1616" spans="1:14" x14ac:dyDescent="0.2">
      <c r="A1616" t="s">
        <v>2713</v>
      </c>
      <c r="B1616" t="s">
        <v>2360</v>
      </c>
      <c r="C1616" s="9">
        <v>44955</v>
      </c>
      <c r="D1616" t="s">
        <v>975</v>
      </c>
      <c r="E1616" s="13">
        <v>7603200</v>
      </c>
      <c r="F1616" s="13">
        <v>295384</v>
      </c>
      <c r="G1616" s="9">
        <v>44957</v>
      </c>
      <c r="H1616" t="s">
        <v>1111</v>
      </c>
      <c r="I1616" t="s">
        <v>2641</v>
      </c>
      <c r="J1616" s="13">
        <v>27750</v>
      </c>
      <c r="K1616">
        <v>1</v>
      </c>
      <c r="L1616" t="s">
        <v>1064</v>
      </c>
      <c r="M1616" t="s">
        <v>2642</v>
      </c>
      <c r="N1616" s="15" t="s">
        <v>6878</v>
      </c>
    </row>
    <row r="1617" spans="1:14" x14ac:dyDescent="0.2">
      <c r="A1617" t="s">
        <v>2714</v>
      </c>
      <c r="B1617" t="s">
        <v>2360</v>
      </c>
      <c r="C1617" s="9">
        <v>44955</v>
      </c>
      <c r="D1617" t="s">
        <v>975</v>
      </c>
      <c r="E1617" s="13">
        <v>2798400</v>
      </c>
      <c r="F1617" s="13">
        <v>108717</v>
      </c>
      <c r="G1617" s="9">
        <v>44957</v>
      </c>
      <c r="H1617" t="s">
        <v>1111</v>
      </c>
      <c r="I1617" t="s">
        <v>2641</v>
      </c>
      <c r="J1617" s="13">
        <v>27750</v>
      </c>
      <c r="K1617">
        <v>1</v>
      </c>
      <c r="L1617" t="s">
        <v>1064</v>
      </c>
      <c r="M1617" t="s">
        <v>2642</v>
      </c>
      <c r="N1617" s="15" t="s">
        <v>6878</v>
      </c>
    </row>
    <row r="1618" spans="1:14" x14ac:dyDescent="0.2">
      <c r="A1618" t="s">
        <v>2715</v>
      </c>
      <c r="B1618" t="s">
        <v>2360</v>
      </c>
      <c r="C1618" s="9">
        <v>44955</v>
      </c>
      <c r="D1618" t="s">
        <v>975</v>
      </c>
      <c r="E1618" s="13">
        <v>2798400</v>
      </c>
      <c r="F1618" s="13">
        <v>108717</v>
      </c>
      <c r="G1618" s="9">
        <v>44957</v>
      </c>
      <c r="H1618" t="s">
        <v>1111</v>
      </c>
      <c r="I1618" t="s">
        <v>2641</v>
      </c>
      <c r="J1618" s="13">
        <v>27750</v>
      </c>
      <c r="K1618">
        <v>1</v>
      </c>
      <c r="L1618" t="s">
        <v>1064</v>
      </c>
      <c r="M1618" t="s">
        <v>2642</v>
      </c>
      <c r="N1618" s="15" t="s">
        <v>6878</v>
      </c>
    </row>
    <row r="1619" spans="1:14" x14ac:dyDescent="0.2">
      <c r="A1619" t="s">
        <v>2716</v>
      </c>
      <c r="B1619" t="s">
        <v>2360</v>
      </c>
      <c r="C1619" s="9">
        <v>44955</v>
      </c>
      <c r="D1619" t="s">
        <v>975</v>
      </c>
      <c r="E1619" s="13">
        <v>2798400</v>
      </c>
      <c r="F1619" s="13">
        <v>108717</v>
      </c>
      <c r="G1619" s="9">
        <v>44957</v>
      </c>
      <c r="H1619" t="s">
        <v>1111</v>
      </c>
      <c r="I1619" t="s">
        <v>2641</v>
      </c>
      <c r="J1619" s="13">
        <v>27750</v>
      </c>
      <c r="K1619">
        <v>1</v>
      </c>
      <c r="L1619" t="s">
        <v>1064</v>
      </c>
      <c r="M1619" t="s">
        <v>2642</v>
      </c>
      <c r="N1619" s="15" t="s">
        <v>6878</v>
      </c>
    </row>
    <row r="1620" spans="1:14" x14ac:dyDescent="0.2">
      <c r="A1620" t="s">
        <v>2717</v>
      </c>
      <c r="B1620" t="s">
        <v>2360</v>
      </c>
      <c r="C1620" s="9">
        <v>44955</v>
      </c>
      <c r="D1620" t="s">
        <v>975</v>
      </c>
      <c r="E1620" s="13">
        <v>2798400</v>
      </c>
      <c r="F1620" s="13">
        <v>108717</v>
      </c>
      <c r="G1620" s="9">
        <v>44957</v>
      </c>
      <c r="H1620" t="s">
        <v>1111</v>
      </c>
      <c r="I1620" t="s">
        <v>2641</v>
      </c>
      <c r="J1620" s="13">
        <v>27750</v>
      </c>
      <c r="K1620">
        <v>1</v>
      </c>
      <c r="L1620" t="s">
        <v>1064</v>
      </c>
      <c r="M1620" t="s">
        <v>2642</v>
      </c>
      <c r="N1620" s="15" t="s">
        <v>6878</v>
      </c>
    </row>
    <row r="1621" spans="1:14" x14ac:dyDescent="0.2">
      <c r="A1621" t="s">
        <v>2718</v>
      </c>
      <c r="B1621" t="s">
        <v>2360</v>
      </c>
      <c r="C1621" s="9">
        <v>44955</v>
      </c>
      <c r="D1621" t="s">
        <v>975</v>
      </c>
      <c r="E1621" s="13">
        <v>2798400</v>
      </c>
      <c r="F1621" s="13">
        <v>108717</v>
      </c>
      <c r="G1621" s="9">
        <v>44957</v>
      </c>
      <c r="H1621" t="s">
        <v>1111</v>
      </c>
      <c r="I1621" t="s">
        <v>2641</v>
      </c>
      <c r="J1621" s="13">
        <v>27750</v>
      </c>
      <c r="K1621">
        <v>1</v>
      </c>
      <c r="L1621" t="s">
        <v>1064</v>
      </c>
      <c r="M1621" t="s">
        <v>2642</v>
      </c>
      <c r="N1621" s="15" t="s">
        <v>6878</v>
      </c>
    </row>
    <row r="1622" spans="1:14" x14ac:dyDescent="0.2">
      <c r="A1622" t="s">
        <v>2719</v>
      </c>
      <c r="B1622" t="s">
        <v>2360</v>
      </c>
      <c r="C1622" s="9">
        <v>44955</v>
      </c>
      <c r="D1622" t="s">
        <v>975</v>
      </c>
      <c r="E1622" s="13">
        <v>2798400</v>
      </c>
      <c r="F1622" s="13">
        <v>108717</v>
      </c>
      <c r="G1622" s="9">
        <v>44957</v>
      </c>
      <c r="H1622" t="s">
        <v>1111</v>
      </c>
      <c r="I1622" t="s">
        <v>2641</v>
      </c>
      <c r="J1622" s="13">
        <v>27750</v>
      </c>
      <c r="K1622">
        <v>1</v>
      </c>
      <c r="L1622" t="s">
        <v>1064</v>
      </c>
      <c r="M1622" t="s">
        <v>2642</v>
      </c>
      <c r="N1622" s="15" t="s">
        <v>6878</v>
      </c>
    </row>
    <row r="1623" spans="1:14" x14ac:dyDescent="0.2">
      <c r="A1623" t="s">
        <v>2720</v>
      </c>
      <c r="B1623" t="s">
        <v>2360</v>
      </c>
      <c r="C1623" s="9">
        <v>44955</v>
      </c>
      <c r="D1623" t="s">
        <v>975</v>
      </c>
      <c r="E1623" s="13">
        <v>2182400</v>
      </c>
      <c r="F1623" s="13">
        <v>84786</v>
      </c>
      <c r="G1623" s="9">
        <v>44957</v>
      </c>
      <c r="H1623" t="s">
        <v>1111</v>
      </c>
      <c r="I1623" t="s">
        <v>2641</v>
      </c>
      <c r="J1623" s="13">
        <v>27750</v>
      </c>
      <c r="K1623">
        <v>1</v>
      </c>
      <c r="L1623" t="s">
        <v>1064</v>
      </c>
      <c r="M1623" t="s">
        <v>2642</v>
      </c>
      <c r="N1623" s="15" t="s">
        <v>6878</v>
      </c>
    </row>
    <row r="1624" spans="1:14" x14ac:dyDescent="0.2">
      <c r="A1624" t="s">
        <v>2721</v>
      </c>
      <c r="B1624" t="s">
        <v>2360</v>
      </c>
      <c r="C1624" s="9">
        <v>44956</v>
      </c>
      <c r="D1624" t="s">
        <v>9</v>
      </c>
      <c r="E1624" s="13">
        <v>340060</v>
      </c>
      <c r="F1624" s="13">
        <v>24975</v>
      </c>
      <c r="G1624" s="9">
        <v>44960</v>
      </c>
      <c r="H1624" t="s">
        <v>1111</v>
      </c>
      <c r="I1624" t="s">
        <v>436</v>
      </c>
      <c r="J1624" s="13">
        <v>11323</v>
      </c>
      <c r="K1624">
        <v>1</v>
      </c>
      <c r="L1624" t="s">
        <v>1064</v>
      </c>
      <c r="M1624" t="s">
        <v>2364</v>
      </c>
      <c r="N1624" s="15" t="s">
        <v>6878</v>
      </c>
    </row>
    <row r="1625" spans="1:14" x14ac:dyDescent="0.2">
      <c r="A1625" t="s">
        <v>2722</v>
      </c>
      <c r="B1625" t="s">
        <v>2360</v>
      </c>
      <c r="C1625" s="9">
        <v>44956</v>
      </c>
      <c r="D1625" t="s">
        <v>9</v>
      </c>
      <c r="E1625" s="13">
        <v>340060</v>
      </c>
      <c r="F1625" s="13">
        <v>24975</v>
      </c>
      <c r="G1625" s="9">
        <v>44960</v>
      </c>
      <c r="H1625" t="s">
        <v>1111</v>
      </c>
      <c r="I1625" t="s">
        <v>436</v>
      </c>
      <c r="J1625" s="13">
        <v>11323</v>
      </c>
      <c r="K1625">
        <v>1</v>
      </c>
      <c r="L1625" t="s">
        <v>1064</v>
      </c>
      <c r="M1625" t="s">
        <v>2364</v>
      </c>
      <c r="N1625" s="15" t="s">
        <v>6878</v>
      </c>
    </row>
    <row r="1626" spans="1:14" x14ac:dyDescent="0.2">
      <c r="A1626" t="s">
        <v>2723</v>
      </c>
      <c r="B1626" t="s">
        <v>2360</v>
      </c>
      <c r="C1626" s="9">
        <v>44957</v>
      </c>
      <c r="D1626" t="s">
        <v>964</v>
      </c>
      <c r="E1626" s="13">
        <v>17500000</v>
      </c>
      <c r="F1626" s="13">
        <v>27750</v>
      </c>
      <c r="G1626" s="9">
        <v>44958</v>
      </c>
      <c r="H1626" t="s">
        <v>1063</v>
      </c>
      <c r="I1626" t="s">
        <v>2520</v>
      </c>
      <c r="J1626" s="13">
        <v>485625</v>
      </c>
      <c r="K1626">
        <v>1</v>
      </c>
      <c r="L1626" t="s">
        <v>1064</v>
      </c>
      <c r="M1626" t="s">
        <v>2521</v>
      </c>
      <c r="N1626" s="15" t="s">
        <v>6878</v>
      </c>
    </row>
    <row r="1627" spans="1:14" x14ac:dyDescent="0.2">
      <c r="A1627" t="s">
        <v>2724</v>
      </c>
      <c r="B1627" t="s">
        <v>2360</v>
      </c>
      <c r="C1627" s="9">
        <v>44957</v>
      </c>
      <c r="D1627" t="s">
        <v>964</v>
      </c>
      <c r="E1627" s="13">
        <v>10500000</v>
      </c>
      <c r="F1627" s="13">
        <v>27750</v>
      </c>
      <c r="G1627" s="9">
        <v>44958</v>
      </c>
      <c r="H1627" t="s">
        <v>1063</v>
      </c>
      <c r="I1627" t="s">
        <v>2520</v>
      </c>
      <c r="J1627" s="13">
        <v>291375</v>
      </c>
      <c r="K1627">
        <v>1</v>
      </c>
      <c r="L1627" t="s">
        <v>1064</v>
      </c>
      <c r="M1627" t="s">
        <v>2521</v>
      </c>
      <c r="N1627" s="15" t="s">
        <v>6878</v>
      </c>
    </row>
    <row r="1628" spans="1:14" x14ac:dyDescent="0.2">
      <c r="A1628" t="s">
        <v>2725</v>
      </c>
      <c r="B1628" t="s">
        <v>2360</v>
      </c>
      <c r="C1628" s="9">
        <v>44957</v>
      </c>
      <c r="D1628" t="s">
        <v>964</v>
      </c>
      <c r="E1628" s="13">
        <v>17500000</v>
      </c>
      <c r="F1628" s="13">
        <v>27750</v>
      </c>
      <c r="G1628" s="9">
        <v>44958</v>
      </c>
      <c r="H1628" t="s">
        <v>1063</v>
      </c>
      <c r="I1628" t="s">
        <v>2520</v>
      </c>
      <c r="J1628" s="13">
        <v>485625</v>
      </c>
      <c r="K1628">
        <v>1</v>
      </c>
      <c r="L1628" t="s">
        <v>1064</v>
      </c>
      <c r="M1628" t="s">
        <v>2521</v>
      </c>
      <c r="N1628" s="15" t="s">
        <v>6878</v>
      </c>
    </row>
    <row r="1629" spans="1:14" x14ac:dyDescent="0.2">
      <c r="A1629" t="s">
        <v>2726</v>
      </c>
      <c r="B1629" t="s">
        <v>2360</v>
      </c>
      <c r="C1629" s="9">
        <v>44957</v>
      </c>
      <c r="D1629" t="s">
        <v>975</v>
      </c>
      <c r="E1629" s="13">
        <v>1452000</v>
      </c>
      <c r="F1629" s="13">
        <v>56410</v>
      </c>
      <c r="G1629" s="9">
        <v>44961</v>
      </c>
      <c r="H1629" t="s">
        <v>1111</v>
      </c>
      <c r="I1629" t="s">
        <v>2641</v>
      </c>
      <c r="J1629" s="13">
        <v>27750</v>
      </c>
      <c r="K1629">
        <v>1</v>
      </c>
      <c r="L1629" t="s">
        <v>1064</v>
      </c>
      <c r="M1629" t="s">
        <v>2642</v>
      </c>
      <c r="N1629" s="15" t="s">
        <v>6878</v>
      </c>
    </row>
    <row r="1630" spans="1:14" x14ac:dyDescent="0.2">
      <c r="A1630" t="s">
        <v>2727</v>
      </c>
      <c r="B1630" t="s">
        <v>2360</v>
      </c>
      <c r="C1630" s="9">
        <v>44957</v>
      </c>
      <c r="D1630" t="s">
        <v>975</v>
      </c>
      <c r="E1630" s="13">
        <v>2798400</v>
      </c>
      <c r="F1630" s="13">
        <v>108717</v>
      </c>
      <c r="G1630" s="9">
        <v>44961</v>
      </c>
      <c r="H1630" t="s">
        <v>1111</v>
      </c>
      <c r="I1630" t="s">
        <v>2641</v>
      </c>
      <c r="J1630" s="13">
        <v>27750</v>
      </c>
      <c r="K1630">
        <v>1</v>
      </c>
      <c r="L1630" t="s">
        <v>1064</v>
      </c>
      <c r="M1630" t="s">
        <v>2642</v>
      </c>
      <c r="N1630" s="15" t="s">
        <v>6878</v>
      </c>
    </row>
    <row r="1631" spans="1:14" x14ac:dyDescent="0.2">
      <c r="A1631" t="s">
        <v>2728</v>
      </c>
      <c r="B1631" t="s">
        <v>2360</v>
      </c>
      <c r="C1631" s="9">
        <v>44957</v>
      </c>
      <c r="D1631" t="s">
        <v>975</v>
      </c>
      <c r="E1631" s="13">
        <v>2798400</v>
      </c>
      <c r="F1631" s="13">
        <v>108717</v>
      </c>
      <c r="G1631" s="9">
        <v>44961</v>
      </c>
      <c r="H1631" t="s">
        <v>1111</v>
      </c>
      <c r="I1631" t="s">
        <v>2641</v>
      </c>
      <c r="J1631" s="13">
        <v>27750</v>
      </c>
      <c r="K1631">
        <v>1</v>
      </c>
      <c r="L1631" t="s">
        <v>1064</v>
      </c>
      <c r="M1631" t="s">
        <v>2642</v>
      </c>
      <c r="N1631" s="15" t="s">
        <v>6878</v>
      </c>
    </row>
    <row r="1632" spans="1:14" x14ac:dyDescent="0.2">
      <c r="A1632" t="s">
        <v>2729</v>
      </c>
      <c r="B1632" t="s">
        <v>2360</v>
      </c>
      <c r="C1632" s="9">
        <v>44957</v>
      </c>
      <c r="D1632" t="s">
        <v>975</v>
      </c>
      <c r="E1632" s="13">
        <v>2798400</v>
      </c>
      <c r="F1632" s="13">
        <v>108717</v>
      </c>
      <c r="G1632" s="9">
        <v>44961</v>
      </c>
      <c r="H1632" t="s">
        <v>1111</v>
      </c>
      <c r="I1632" t="s">
        <v>2641</v>
      </c>
      <c r="J1632" s="13">
        <v>27750</v>
      </c>
      <c r="K1632">
        <v>1</v>
      </c>
      <c r="L1632" t="s">
        <v>1064</v>
      </c>
      <c r="M1632" t="s">
        <v>2642</v>
      </c>
      <c r="N1632" s="15" t="s">
        <v>6878</v>
      </c>
    </row>
    <row r="1633" spans="1:14" x14ac:dyDescent="0.2">
      <c r="A1633" t="s">
        <v>2730</v>
      </c>
      <c r="B1633" t="s">
        <v>2360</v>
      </c>
      <c r="C1633" s="9">
        <v>44957</v>
      </c>
      <c r="D1633" t="s">
        <v>975</v>
      </c>
      <c r="E1633" s="13">
        <v>2798400</v>
      </c>
      <c r="F1633" s="13">
        <v>108717</v>
      </c>
      <c r="G1633" s="9">
        <v>44961</v>
      </c>
      <c r="H1633" t="s">
        <v>1111</v>
      </c>
      <c r="I1633" t="s">
        <v>2641</v>
      </c>
      <c r="J1633" s="13">
        <v>27750</v>
      </c>
      <c r="K1633">
        <v>1</v>
      </c>
      <c r="L1633" t="s">
        <v>1064</v>
      </c>
      <c r="M1633" t="s">
        <v>2642</v>
      </c>
      <c r="N1633" s="15" t="s">
        <v>6878</v>
      </c>
    </row>
    <row r="1634" spans="1:14" x14ac:dyDescent="0.2">
      <c r="A1634" t="s">
        <v>2731</v>
      </c>
      <c r="B1634" t="s">
        <v>2360</v>
      </c>
      <c r="C1634" s="9">
        <v>44957</v>
      </c>
      <c r="D1634" t="s">
        <v>975</v>
      </c>
      <c r="E1634" s="13">
        <v>2798400</v>
      </c>
      <c r="F1634" s="13">
        <v>108717</v>
      </c>
      <c r="G1634" s="9">
        <v>44961</v>
      </c>
      <c r="H1634" t="s">
        <v>1111</v>
      </c>
      <c r="I1634" t="s">
        <v>2641</v>
      </c>
      <c r="J1634" s="13">
        <v>27750</v>
      </c>
      <c r="K1634">
        <v>1</v>
      </c>
      <c r="L1634" t="s">
        <v>1064</v>
      </c>
      <c r="M1634" t="s">
        <v>2642</v>
      </c>
      <c r="N1634" s="15" t="s">
        <v>6878</v>
      </c>
    </row>
    <row r="1635" spans="1:14" x14ac:dyDescent="0.2">
      <c r="A1635" t="s">
        <v>2732</v>
      </c>
      <c r="B1635" t="s">
        <v>2360</v>
      </c>
      <c r="C1635" s="9">
        <v>44957</v>
      </c>
      <c r="D1635" t="s">
        <v>975</v>
      </c>
      <c r="E1635" s="13">
        <v>2798400</v>
      </c>
      <c r="F1635" s="13">
        <v>108717</v>
      </c>
      <c r="G1635" s="9">
        <v>44961</v>
      </c>
      <c r="H1635" t="s">
        <v>1111</v>
      </c>
      <c r="I1635" t="s">
        <v>2641</v>
      </c>
      <c r="J1635" s="13">
        <v>27750</v>
      </c>
      <c r="K1635">
        <v>1</v>
      </c>
      <c r="L1635" t="s">
        <v>1064</v>
      </c>
      <c r="M1635" t="s">
        <v>2642</v>
      </c>
      <c r="N1635" s="15" t="s">
        <v>6878</v>
      </c>
    </row>
    <row r="1636" spans="1:14" x14ac:dyDescent="0.2">
      <c r="A1636" t="s">
        <v>2733</v>
      </c>
      <c r="B1636" t="s">
        <v>2360</v>
      </c>
      <c r="C1636" s="9">
        <v>44957</v>
      </c>
      <c r="D1636" t="s">
        <v>975</v>
      </c>
      <c r="E1636" s="13">
        <v>2182400</v>
      </c>
      <c r="F1636" s="13">
        <v>84786</v>
      </c>
      <c r="G1636" s="9">
        <v>44961</v>
      </c>
      <c r="H1636" t="s">
        <v>1111</v>
      </c>
      <c r="I1636" t="s">
        <v>2641</v>
      </c>
      <c r="J1636" s="13">
        <v>27750</v>
      </c>
      <c r="K1636">
        <v>1</v>
      </c>
      <c r="L1636" t="s">
        <v>1064</v>
      </c>
      <c r="M1636" t="s">
        <v>2642</v>
      </c>
      <c r="N1636" s="15" t="s">
        <v>6878</v>
      </c>
    </row>
    <row r="1637" spans="1:14" x14ac:dyDescent="0.2">
      <c r="A1637" t="s">
        <v>2734</v>
      </c>
      <c r="B1637" t="s">
        <v>2360</v>
      </c>
      <c r="C1637" s="9">
        <v>44957</v>
      </c>
      <c r="D1637" t="s">
        <v>975</v>
      </c>
      <c r="E1637" s="13">
        <v>1188000</v>
      </c>
      <c r="F1637" s="13">
        <v>46153</v>
      </c>
      <c r="G1637" s="9">
        <v>44961</v>
      </c>
      <c r="H1637" t="s">
        <v>1111</v>
      </c>
      <c r="I1637" t="s">
        <v>2641</v>
      </c>
      <c r="J1637" s="13">
        <v>27750</v>
      </c>
      <c r="K1637">
        <v>1</v>
      </c>
      <c r="L1637" t="s">
        <v>1064</v>
      </c>
      <c r="M1637" t="s">
        <v>2642</v>
      </c>
      <c r="N1637" s="15" t="s">
        <v>6878</v>
      </c>
    </row>
    <row r="1638" spans="1:14" x14ac:dyDescent="0.2">
      <c r="A1638" t="s">
        <v>2735</v>
      </c>
      <c r="B1638" t="s">
        <v>2360</v>
      </c>
      <c r="C1638" s="9">
        <v>44957</v>
      </c>
      <c r="D1638" t="s">
        <v>975</v>
      </c>
      <c r="E1638" s="13">
        <v>1452000</v>
      </c>
      <c r="F1638" s="13">
        <v>56410</v>
      </c>
      <c r="G1638" s="9">
        <v>44961</v>
      </c>
      <c r="H1638" t="s">
        <v>1111</v>
      </c>
      <c r="I1638" t="s">
        <v>2641</v>
      </c>
      <c r="J1638" s="13">
        <v>27750</v>
      </c>
      <c r="K1638">
        <v>1</v>
      </c>
      <c r="L1638" t="s">
        <v>1064</v>
      </c>
      <c r="M1638" t="s">
        <v>2642</v>
      </c>
      <c r="N1638" s="15" t="s">
        <v>6878</v>
      </c>
    </row>
    <row r="1639" spans="1:14" x14ac:dyDescent="0.2">
      <c r="A1639" t="s">
        <v>2736</v>
      </c>
      <c r="B1639" t="s">
        <v>2360</v>
      </c>
      <c r="C1639" s="9">
        <v>44957</v>
      </c>
      <c r="D1639" t="s">
        <v>964</v>
      </c>
      <c r="E1639" s="13">
        <v>13500000</v>
      </c>
      <c r="F1639" s="13">
        <v>27750</v>
      </c>
      <c r="G1639" s="9">
        <v>44959</v>
      </c>
      <c r="H1639" t="s">
        <v>1063</v>
      </c>
      <c r="I1639" t="s">
        <v>2520</v>
      </c>
      <c r="J1639" s="13">
        <v>374625</v>
      </c>
      <c r="K1639">
        <v>1</v>
      </c>
      <c r="L1639" t="s">
        <v>1064</v>
      </c>
      <c r="M1639" t="s">
        <v>2521</v>
      </c>
      <c r="N1639" s="15" t="s">
        <v>6878</v>
      </c>
    </row>
    <row r="1640" spans="1:14" x14ac:dyDescent="0.2">
      <c r="A1640" t="s">
        <v>2737</v>
      </c>
      <c r="B1640" t="s">
        <v>2360</v>
      </c>
      <c r="C1640" s="9">
        <v>44957</v>
      </c>
      <c r="D1640" t="s">
        <v>964</v>
      </c>
      <c r="E1640" s="13">
        <v>10500000</v>
      </c>
      <c r="F1640" s="13">
        <v>27750</v>
      </c>
      <c r="G1640" s="9">
        <v>44960</v>
      </c>
      <c r="H1640" t="s">
        <v>1063</v>
      </c>
      <c r="I1640" t="s">
        <v>2520</v>
      </c>
      <c r="J1640" s="13">
        <v>291375</v>
      </c>
      <c r="K1640">
        <v>1</v>
      </c>
      <c r="L1640" t="s">
        <v>1064</v>
      </c>
      <c r="M1640" t="s">
        <v>2521</v>
      </c>
      <c r="N1640" s="15" t="s">
        <v>6878</v>
      </c>
    </row>
    <row r="1641" spans="1:14" x14ac:dyDescent="0.2">
      <c r="A1641" t="s">
        <v>2738</v>
      </c>
      <c r="B1641" t="s">
        <v>2360</v>
      </c>
      <c r="C1641" s="9">
        <v>44957</v>
      </c>
      <c r="D1641" t="s">
        <v>964</v>
      </c>
      <c r="E1641" s="13">
        <v>17300000</v>
      </c>
      <c r="F1641" s="13">
        <v>27750</v>
      </c>
      <c r="G1641" s="9">
        <v>44961</v>
      </c>
      <c r="H1641" t="s">
        <v>1063</v>
      </c>
      <c r="I1641" t="s">
        <v>2520</v>
      </c>
      <c r="J1641" s="13">
        <v>480075</v>
      </c>
      <c r="K1641">
        <v>1</v>
      </c>
      <c r="L1641" t="s">
        <v>1064</v>
      </c>
      <c r="M1641" t="s">
        <v>2521</v>
      </c>
      <c r="N1641" s="15" t="s">
        <v>6878</v>
      </c>
    </row>
    <row r="1642" spans="1:14" x14ac:dyDescent="0.2">
      <c r="A1642" t="s">
        <v>2739</v>
      </c>
      <c r="B1642" t="s">
        <v>2360</v>
      </c>
      <c r="C1642" s="9">
        <v>44957</v>
      </c>
      <c r="D1642" t="s">
        <v>964</v>
      </c>
      <c r="E1642" s="13">
        <v>10300000</v>
      </c>
      <c r="F1642" s="13">
        <v>27750</v>
      </c>
      <c r="G1642" s="9">
        <v>44960</v>
      </c>
      <c r="H1642" t="s">
        <v>1063</v>
      </c>
      <c r="I1642" t="s">
        <v>2520</v>
      </c>
      <c r="J1642" s="13">
        <v>285825</v>
      </c>
      <c r="K1642">
        <v>1</v>
      </c>
      <c r="L1642" t="s">
        <v>1064</v>
      </c>
      <c r="M1642" t="s">
        <v>2521</v>
      </c>
      <c r="N1642" s="15" t="s">
        <v>6878</v>
      </c>
    </row>
    <row r="1643" spans="1:14" x14ac:dyDescent="0.2">
      <c r="A1643" t="s">
        <v>2740</v>
      </c>
      <c r="B1643" t="s">
        <v>2360</v>
      </c>
      <c r="C1643" s="9">
        <v>44957</v>
      </c>
      <c r="D1643" t="s">
        <v>9</v>
      </c>
      <c r="E1643" s="13">
        <v>265090</v>
      </c>
      <c r="F1643" s="13">
        <v>24975</v>
      </c>
      <c r="G1643" s="9">
        <v>44965</v>
      </c>
      <c r="H1643" t="s">
        <v>1111</v>
      </c>
      <c r="I1643" t="s">
        <v>436</v>
      </c>
      <c r="J1643" s="13">
        <v>8826</v>
      </c>
      <c r="K1643">
        <v>1</v>
      </c>
      <c r="L1643" t="s">
        <v>1064</v>
      </c>
      <c r="M1643" t="s">
        <v>2364</v>
      </c>
      <c r="N1643" s="15" t="s">
        <v>6878</v>
      </c>
    </row>
    <row r="1644" spans="1:14" x14ac:dyDescent="0.2">
      <c r="A1644" t="s">
        <v>2741</v>
      </c>
      <c r="B1644" t="s">
        <v>2360</v>
      </c>
      <c r="C1644" s="9">
        <v>44957</v>
      </c>
      <c r="D1644" t="s">
        <v>9</v>
      </c>
      <c r="E1644" s="13">
        <v>245490</v>
      </c>
      <c r="F1644" s="13">
        <v>24975</v>
      </c>
      <c r="G1644" s="9">
        <v>44965</v>
      </c>
      <c r="H1644" t="s">
        <v>1111</v>
      </c>
      <c r="I1644" t="s">
        <v>436</v>
      </c>
      <c r="J1644" s="13">
        <v>8174</v>
      </c>
      <c r="K1644">
        <v>1</v>
      </c>
      <c r="L1644" t="s">
        <v>1064</v>
      </c>
      <c r="M1644" t="s">
        <v>2364</v>
      </c>
      <c r="N1644" s="15" t="s">
        <v>6878</v>
      </c>
    </row>
    <row r="1645" spans="1:14" x14ac:dyDescent="0.2">
      <c r="A1645" t="s">
        <v>2742</v>
      </c>
      <c r="B1645" t="s">
        <v>2360</v>
      </c>
      <c r="C1645" s="9">
        <v>44957</v>
      </c>
      <c r="D1645" t="s">
        <v>9</v>
      </c>
      <c r="E1645" s="13">
        <v>399350</v>
      </c>
      <c r="F1645" s="13">
        <v>24975</v>
      </c>
      <c r="G1645" s="9">
        <v>44965</v>
      </c>
      <c r="H1645" t="s">
        <v>1111</v>
      </c>
      <c r="I1645" t="s">
        <v>436</v>
      </c>
      <c r="J1645" s="13">
        <v>13297</v>
      </c>
      <c r="K1645">
        <v>1</v>
      </c>
      <c r="L1645" t="s">
        <v>1064</v>
      </c>
      <c r="M1645" t="s">
        <v>2364</v>
      </c>
      <c r="N1645" s="15" t="s">
        <v>6878</v>
      </c>
    </row>
    <row r="1646" spans="1:14" x14ac:dyDescent="0.2">
      <c r="A1646" t="s">
        <v>2743</v>
      </c>
      <c r="B1646" t="s">
        <v>2360</v>
      </c>
      <c r="C1646" s="9">
        <v>44957</v>
      </c>
      <c r="D1646" t="s">
        <v>9</v>
      </c>
      <c r="E1646" s="13">
        <v>3606400</v>
      </c>
      <c r="F1646" s="13">
        <v>24975</v>
      </c>
      <c r="G1646" s="9">
        <v>44971</v>
      </c>
      <c r="H1646" t="s">
        <v>1111</v>
      </c>
      <c r="I1646" t="s">
        <v>2361</v>
      </c>
      <c r="J1646" s="13">
        <v>120093</v>
      </c>
      <c r="K1646">
        <v>1</v>
      </c>
      <c r="L1646" t="s">
        <v>1064</v>
      </c>
      <c r="M1646" t="s">
        <v>2362</v>
      </c>
      <c r="N1646" s="15" t="s">
        <v>6878</v>
      </c>
    </row>
    <row r="1647" spans="1:14" x14ac:dyDescent="0.2">
      <c r="A1647" t="s">
        <v>2744</v>
      </c>
      <c r="B1647" t="s">
        <v>2360</v>
      </c>
      <c r="C1647" s="9">
        <v>44958</v>
      </c>
      <c r="D1647" t="s">
        <v>9</v>
      </c>
      <c r="E1647" s="13">
        <v>340060</v>
      </c>
      <c r="F1647" s="13">
        <v>24975</v>
      </c>
      <c r="G1647" s="9">
        <v>44965</v>
      </c>
      <c r="H1647" t="s">
        <v>1111</v>
      </c>
      <c r="I1647" t="s">
        <v>436</v>
      </c>
      <c r="J1647" s="13">
        <v>11323</v>
      </c>
      <c r="K1647">
        <v>1</v>
      </c>
      <c r="L1647" t="s">
        <v>1064</v>
      </c>
      <c r="M1647" t="s">
        <v>2364</v>
      </c>
      <c r="N1647" s="15" t="s">
        <v>6878</v>
      </c>
    </row>
    <row r="1648" spans="1:14" x14ac:dyDescent="0.2">
      <c r="A1648" t="s">
        <v>2745</v>
      </c>
      <c r="B1648" t="s">
        <v>2360</v>
      </c>
      <c r="C1648" s="9">
        <v>44958</v>
      </c>
      <c r="D1648" t="s">
        <v>9</v>
      </c>
      <c r="E1648" s="13">
        <v>340060</v>
      </c>
      <c r="F1648" s="13">
        <v>24975</v>
      </c>
      <c r="G1648" s="9">
        <v>44965</v>
      </c>
      <c r="H1648" t="s">
        <v>1111</v>
      </c>
      <c r="I1648" t="s">
        <v>436</v>
      </c>
      <c r="J1648" s="13">
        <v>11323</v>
      </c>
      <c r="K1648">
        <v>1</v>
      </c>
      <c r="L1648" t="s">
        <v>1064</v>
      </c>
      <c r="M1648" t="s">
        <v>2364</v>
      </c>
      <c r="N1648" s="15" t="s">
        <v>6878</v>
      </c>
    </row>
    <row r="1649" spans="1:14" x14ac:dyDescent="0.2">
      <c r="A1649" t="s">
        <v>2746</v>
      </c>
      <c r="B1649" t="s">
        <v>2360</v>
      </c>
      <c r="C1649" s="9">
        <v>44958</v>
      </c>
      <c r="D1649" t="s">
        <v>975</v>
      </c>
      <c r="E1649" s="13">
        <v>2798400</v>
      </c>
      <c r="F1649" s="13">
        <v>108717</v>
      </c>
      <c r="G1649" s="9">
        <v>44961</v>
      </c>
      <c r="H1649" t="s">
        <v>1111</v>
      </c>
      <c r="I1649" t="s">
        <v>2641</v>
      </c>
      <c r="J1649" s="13">
        <v>27750</v>
      </c>
      <c r="K1649">
        <v>1</v>
      </c>
      <c r="L1649" t="s">
        <v>1064</v>
      </c>
      <c r="M1649" t="s">
        <v>2642</v>
      </c>
      <c r="N1649" s="15" t="s">
        <v>6878</v>
      </c>
    </row>
    <row r="1650" spans="1:14" x14ac:dyDescent="0.2">
      <c r="A1650" t="s">
        <v>2747</v>
      </c>
      <c r="B1650" t="s">
        <v>2360</v>
      </c>
      <c r="C1650" s="9">
        <v>44959</v>
      </c>
      <c r="D1650" t="s">
        <v>633</v>
      </c>
      <c r="E1650" s="13">
        <v>7000000</v>
      </c>
      <c r="F1650" s="13">
        <v>271950</v>
      </c>
      <c r="G1650" s="9">
        <v>44959</v>
      </c>
      <c r="H1650" t="s">
        <v>1063</v>
      </c>
      <c r="I1650" t="s">
        <v>2748</v>
      </c>
      <c r="J1650" s="13">
        <v>27750</v>
      </c>
      <c r="K1650">
        <v>1</v>
      </c>
      <c r="L1650" t="s">
        <v>1064</v>
      </c>
      <c r="M1650" t="s">
        <v>2749</v>
      </c>
      <c r="N1650" s="15" t="s">
        <v>6878</v>
      </c>
    </row>
    <row r="1651" spans="1:14" x14ac:dyDescent="0.2">
      <c r="A1651" t="s">
        <v>2750</v>
      </c>
      <c r="B1651" t="s">
        <v>2360</v>
      </c>
      <c r="C1651" s="9">
        <v>44959</v>
      </c>
      <c r="D1651" t="s">
        <v>633</v>
      </c>
      <c r="E1651" s="13">
        <v>7000000</v>
      </c>
      <c r="F1651" s="13">
        <v>271950</v>
      </c>
      <c r="G1651" s="9">
        <v>44960</v>
      </c>
      <c r="H1651" t="s">
        <v>1063</v>
      </c>
      <c r="I1651" t="s">
        <v>2748</v>
      </c>
      <c r="J1651" s="13">
        <v>27750</v>
      </c>
      <c r="K1651">
        <v>1</v>
      </c>
      <c r="L1651" t="s">
        <v>1064</v>
      </c>
      <c r="M1651" t="s">
        <v>2749</v>
      </c>
      <c r="N1651" s="15" t="s">
        <v>6878</v>
      </c>
    </row>
    <row r="1652" spans="1:14" x14ac:dyDescent="0.2">
      <c r="A1652" t="s">
        <v>2751</v>
      </c>
      <c r="B1652" t="s">
        <v>2360</v>
      </c>
      <c r="C1652" s="9">
        <v>44959</v>
      </c>
      <c r="D1652" t="s">
        <v>633</v>
      </c>
      <c r="E1652" s="13">
        <v>7000000</v>
      </c>
      <c r="F1652" s="13">
        <v>271950</v>
      </c>
      <c r="G1652" s="9">
        <v>44960</v>
      </c>
      <c r="H1652" t="s">
        <v>1063</v>
      </c>
      <c r="I1652" t="s">
        <v>2748</v>
      </c>
      <c r="J1652" s="13">
        <v>27750</v>
      </c>
      <c r="K1652">
        <v>1</v>
      </c>
      <c r="L1652" t="s">
        <v>1064</v>
      </c>
      <c r="M1652" t="s">
        <v>2749</v>
      </c>
      <c r="N1652" s="15" t="s">
        <v>6878</v>
      </c>
    </row>
    <row r="1653" spans="1:14" x14ac:dyDescent="0.2">
      <c r="A1653" t="s">
        <v>2752</v>
      </c>
      <c r="B1653" t="s">
        <v>2360</v>
      </c>
      <c r="C1653" s="9">
        <v>44959</v>
      </c>
      <c r="D1653" t="s">
        <v>633</v>
      </c>
      <c r="E1653" s="13">
        <v>24800000</v>
      </c>
      <c r="F1653" s="13">
        <v>963480</v>
      </c>
      <c r="G1653" s="9">
        <v>44960</v>
      </c>
      <c r="H1653" t="s">
        <v>1063</v>
      </c>
      <c r="I1653" t="s">
        <v>2748</v>
      </c>
      <c r="J1653" s="13">
        <v>27750</v>
      </c>
      <c r="K1653">
        <v>1</v>
      </c>
      <c r="L1653" t="s">
        <v>1064</v>
      </c>
      <c r="M1653" t="s">
        <v>2749</v>
      </c>
      <c r="N1653" s="15" t="s">
        <v>6878</v>
      </c>
    </row>
    <row r="1654" spans="1:14" x14ac:dyDescent="0.2">
      <c r="A1654" t="s">
        <v>2753</v>
      </c>
      <c r="B1654" t="s">
        <v>2360</v>
      </c>
      <c r="C1654" s="9">
        <v>44959</v>
      </c>
      <c r="D1654" t="s">
        <v>9</v>
      </c>
      <c r="E1654" s="13">
        <v>245490</v>
      </c>
      <c r="F1654" s="13">
        <v>24975</v>
      </c>
      <c r="G1654" s="9">
        <v>44965</v>
      </c>
      <c r="H1654" t="s">
        <v>1111</v>
      </c>
      <c r="I1654" t="s">
        <v>436</v>
      </c>
      <c r="J1654" s="13">
        <v>8174</v>
      </c>
      <c r="K1654">
        <v>1</v>
      </c>
      <c r="L1654" t="s">
        <v>1064</v>
      </c>
      <c r="M1654" t="s">
        <v>2364</v>
      </c>
      <c r="N1654" s="15" t="s">
        <v>6878</v>
      </c>
    </row>
    <row r="1655" spans="1:14" x14ac:dyDescent="0.2">
      <c r="A1655" t="s">
        <v>2754</v>
      </c>
      <c r="B1655" t="s">
        <v>2360</v>
      </c>
      <c r="C1655" s="9">
        <v>44959</v>
      </c>
      <c r="D1655" t="s">
        <v>975</v>
      </c>
      <c r="E1655" s="13">
        <v>800000</v>
      </c>
      <c r="F1655" s="13">
        <v>31080</v>
      </c>
      <c r="G1655" s="9">
        <v>44961</v>
      </c>
      <c r="H1655" t="s">
        <v>1111</v>
      </c>
      <c r="I1655" t="s">
        <v>2641</v>
      </c>
      <c r="J1655" s="13">
        <v>27750</v>
      </c>
      <c r="K1655">
        <v>1</v>
      </c>
      <c r="L1655" t="s">
        <v>1064</v>
      </c>
      <c r="M1655" t="s">
        <v>2642</v>
      </c>
      <c r="N1655" s="15" t="s">
        <v>6878</v>
      </c>
    </row>
    <row r="1656" spans="1:14" x14ac:dyDescent="0.2">
      <c r="A1656" t="s">
        <v>2755</v>
      </c>
      <c r="B1656" t="s">
        <v>2360</v>
      </c>
      <c r="C1656" s="9">
        <v>44959</v>
      </c>
      <c r="D1656" t="s">
        <v>975</v>
      </c>
      <c r="E1656" s="13">
        <v>800000</v>
      </c>
      <c r="F1656" s="13">
        <v>31080</v>
      </c>
      <c r="G1656" s="9">
        <v>44961</v>
      </c>
      <c r="H1656" t="s">
        <v>1111</v>
      </c>
      <c r="I1656" t="s">
        <v>2641</v>
      </c>
      <c r="J1656" s="13">
        <v>27750</v>
      </c>
      <c r="K1656">
        <v>1</v>
      </c>
      <c r="L1656" t="s">
        <v>1064</v>
      </c>
      <c r="M1656" t="s">
        <v>2642</v>
      </c>
      <c r="N1656" s="15" t="s">
        <v>6878</v>
      </c>
    </row>
    <row r="1657" spans="1:14" x14ac:dyDescent="0.2">
      <c r="A1657" t="s">
        <v>2756</v>
      </c>
      <c r="B1657" t="s">
        <v>2360</v>
      </c>
      <c r="C1657" s="9">
        <v>44959</v>
      </c>
      <c r="D1657" t="s">
        <v>975</v>
      </c>
      <c r="E1657" s="13">
        <v>800000</v>
      </c>
      <c r="F1657" s="13">
        <v>31080</v>
      </c>
      <c r="G1657" s="9">
        <v>44961</v>
      </c>
      <c r="H1657" t="s">
        <v>1111</v>
      </c>
      <c r="I1657" t="s">
        <v>2641</v>
      </c>
      <c r="J1657" s="13">
        <v>27750</v>
      </c>
      <c r="K1657">
        <v>1</v>
      </c>
      <c r="L1657" t="s">
        <v>1064</v>
      </c>
      <c r="M1657" t="s">
        <v>2642</v>
      </c>
      <c r="N1657" s="15" t="s">
        <v>6878</v>
      </c>
    </row>
    <row r="1658" spans="1:14" x14ac:dyDescent="0.2">
      <c r="A1658" t="s">
        <v>2757</v>
      </c>
      <c r="B1658" t="s">
        <v>2360</v>
      </c>
      <c r="C1658" s="9">
        <v>44959</v>
      </c>
      <c r="D1658" t="s">
        <v>975</v>
      </c>
      <c r="E1658" s="13">
        <v>800000</v>
      </c>
      <c r="F1658" s="13">
        <v>31080</v>
      </c>
      <c r="G1658" s="9">
        <v>44961</v>
      </c>
      <c r="H1658" t="s">
        <v>1111</v>
      </c>
      <c r="I1658" t="s">
        <v>2641</v>
      </c>
      <c r="J1658" s="13">
        <v>27750</v>
      </c>
      <c r="K1658">
        <v>1</v>
      </c>
      <c r="L1658" t="s">
        <v>1064</v>
      </c>
      <c r="M1658" t="s">
        <v>2642</v>
      </c>
      <c r="N1658" s="15" t="s">
        <v>6878</v>
      </c>
    </row>
    <row r="1659" spans="1:14" x14ac:dyDescent="0.2">
      <c r="A1659" t="s">
        <v>2758</v>
      </c>
      <c r="B1659" t="s">
        <v>2360</v>
      </c>
      <c r="C1659" s="9">
        <v>44959</v>
      </c>
      <c r="D1659" t="s">
        <v>975</v>
      </c>
      <c r="E1659" s="13">
        <v>800000</v>
      </c>
      <c r="F1659" s="13">
        <v>31080</v>
      </c>
      <c r="G1659" s="9">
        <v>44961</v>
      </c>
      <c r="H1659" t="s">
        <v>1111</v>
      </c>
      <c r="I1659" t="s">
        <v>2641</v>
      </c>
      <c r="J1659" s="13">
        <v>27750</v>
      </c>
      <c r="K1659">
        <v>1</v>
      </c>
      <c r="L1659" t="s">
        <v>1064</v>
      </c>
      <c r="M1659" t="s">
        <v>2642</v>
      </c>
      <c r="N1659" s="15" t="s">
        <v>6878</v>
      </c>
    </row>
    <row r="1660" spans="1:14" x14ac:dyDescent="0.2">
      <c r="A1660" t="s">
        <v>2759</v>
      </c>
      <c r="B1660" t="s">
        <v>2360</v>
      </c>
      <c r="C1660" s="9">
        <v>44959</v>
      </c>
      <c r="D1660" t="s">
        <v>975</v>
      </c>
      <c r="E1660" s="13">
        <v>800000</v>
      </c>
      <c r="F1660" s="13">
        <v>31080</v>
      </c>
      <c r="G1660" s="9">
        <v>44961</v>
      </c>
      <c r="H1660" t="s">
        <v>1111</v>
      </c>
      <c r="I1660" t="s">
        <v>2641</v>
      </c>
      <c r="J1660" s="13">
        <v>27750</v>
      </c>
      <c r="K1660">
        <v>1</v>
      </c>
      <c r="L1660" t="s">
        <v>1064</v>
      </c>
      <c r="M1660" t="s">
        <v>2642</v>
      </c>
      <c r="N1660" s="15" t="s">
        <v>6878</v>
      </c>
    </row>
    <row r="1661" spans="1:14" x14ac:dyDescent="0.2">
      <c r="A1661" t="s">
        <v>2760</v>
      </c>
      <c r="B1661" t="s">
        <v>2360</v>
      </c>
      <c r="C1661" s="9">
        <v>44959</v>
      </c>
      <c r="D1661" t="s">
        <v>9</v>
      </c>
      <c r="E1661" s="13">
        <v>340060</v>
      </c>
      <c r="F1661" s="13">
        <v>24975</v>
      </c>
      <c r="G1661" s="9">
        <v>44965</v>
      </c>
      <c r="H1661" t="s">
        <v>1111</v>
      </c>
      <c r="I1661" t="s">
        <v>436</v>
      </c>
      <c r="J1661" s="13">
        <v>11323</v>
      </c>
      <c r="K1661">
        <v>1</v>
      </c>
      <c r="L1661" t="s">
        <v>1064</v>
      </c>
      <c r="M1661" t="s">
        <v>2364</v>
      </c>
      <c r="N1661" s="15" t="s">
        <v>6878</v>
      </c>
    </row>
    <row r="1662" spans="1:14" x14ac:dyDescent="0.2">
      <c r="A1662" t="s">
        <v>2761</v>
      </c>
      <c r="B1662" t="s">
        <v>2360</v>
      </c>
      <c r="C1662" s="9">
        <v>44959</v>
      </c>
      <c r="D1662" t="s">
        <v>9</v>
      </c>
      <c r="E1662" s="13">
        <v>294490</v>
      </c>
      <c r="F1662" s="13">
        <v>24975</v>
      </c>
      <c r="G1662" s="9">
        <v>44965</v>
      </c>
      <c r="H1662" t="s">
        <v>1111</v>
      </c>
      <c r="I1662" t="s">
        <v>436</v>
      </c>
      <c r="J1662" s="13">
        <v>9805</v>
      </c>
      <c r="K1662">
        <v>1</v>
      </c>
      <c r="L1662" t="s">
        <v>1064</v>
      </c>
      <c r="M1662" t="s">
        <v>2364</v>
      </c>
      <c r="N1662" s="15" t="s">
        <v>6878</v>
      </c>
    </row>
    <row r="1663" spans="1:14" x14ac:dyDescent="0.2">
      <c r="A1663" t="s">
        <v>2762</v>
      </c>
      <c r="B1663" t="s">
        <v>2360</v>
      </c>
      <c r="C1663" s="9">
        <v>44959</v>
      </c>
      <c r="D1663" t="s">
        <v>9</v>
      </c>
      <c r="E1663" s="13">
        <v>3606400</v>
      </c>
      <c r="F1663" s="13">
        <v>24975</v>
      </c>
      <c r="G1663" s="9">
        <v>44971</v>
      </c>
      <c r="H1663" t="s">
        <v>1111</v>
      </c>
      <c r="I1663" t="s">
        <v>2361</v>
      </c>
      <c r="J1663" s="13">
        <v>120093</v>
      </c>
      <c r="K1663">
        <v>1</v>
      </c>
      <c r="L1663" t="s">
        <v>1064</v>
      </c>
      <c r="M1663" t="s">
        <v>2362</v>
      </c>
      <c r="N1663" s="15" t="s">
        <v>6878</v>
      </c>
    </row>
    <row r="1664" spans="1:14" x14ac:dyDescent="0.2">
      <c r="A1664" t="s">
        <v>2763</v>
      </c>
      <c r="B1664" t="s">
        <v>2360</v>
      </c>
      <c r="C1664" s="9">
        <v>44959</v>
      </c>
      <c r="D1664" t="s">
        <v>975</v>
      </c>
      <c r="E1664" s="13">
        <v>1188000</v>
      </c>
      <c r="F1664" s="13">
        <v>46153</v>
      </c>
      <c r="G1664" s="9">
        <v>44961</v>
      </c>
      <c r="H1664" t="s">
        <v>1111</v>
      </c>
      <c r="I1664" t="s">
        <v>2641</v>
      </c>
      <c r="J1664" s="13">
        <v>27750</v>
      </c>
      <c r="K1664">
        <v>1</v>
      </c>
      <c r="L1664" t="s">
        <v>1064</v>
      </c>
      <c r="M1664" t="s">
        <v>2642</v>
      </c>
      <c r="N1664" s="15" t="s">
        <v>6878</v>
      </c>
    </row>
    <row r="1665" spans="1:14" x14ac:dyDescent="0.2">
      <c r="A1665" t="s">
        <v>2764</v>
      </c>
      <c r="B1665" t="s">
        <v>2360</v>
      </c>
      <c r="C1665" s="9">
        <v>44960</v>
      </c>
      <c r="D1665" t="s">
        <v>633</v>
      </c>
      <c r="E1665" s="13">
        <v>24800000</v>
      </c>
      <c r="F1665" s="13">
        <v>963480</v>
      </c>
      <c r="G1665" s="9">
        <v>44960</v>
      </c>
      <c r="H1665" t="s">
        <v>1063</v>
      </c>
      <c r="I1665" t="s">
        <v>2748</v>
      </c>
      <c r="J1665" s="13">
        <v>27750</v>
      </c>
      <c r="K1665">
        <v>1</v>
      </c>
      <c r="L1665" t="s">
        <v>1064</v>
      </c>
      <c r="M1665" t="s">
        <v>2749</v>
      </c>
      <c r="N1665" s="15" t="s">
        <v>6878</v>
      </c>
    </row>
    <row r="1666" spans="1:14" x14ac:dyDescent="0.2">
      <c r="A1666" t="s">
        <v>2765</v>
      </c>
      <c r="B1666" t="s">
        <v>2360</v>
      </c>
      <c r="C1666" s="9">
        <v>44960</v>
      </c>
      <c r="D1666" t="s">
        <v>633</v>
      </c>
      <c r="E1666" s="13">
        <v>7000000</v>
      </c>
      <c r="F1666" s="13">
        <v>271950</v>
      </c>
      <c r="G1666" s="9">
        <v>44960</v>
      </c>
      <c r="H1666" t="s">
        <v>1063</v>
      </c>
      <c r="I1666" t="s">
        <v>2748</v>
      </c>
      <c r="J1666" s="13">
        <v>27750</v>
      </c>
      <c r="K1666">
        <v>1</v>
      </c>
      <c r="L1666" t="s">
        <v>1064</v>
      </c>
      <c r="M1666" t="s">
        <v>2749</v>
      </c>
      <c r="N1666" s="15" t="s">
        <v>6878</v>
      </c>
    </row>
    <row r="1667" spans="1:14" x14ac:dyDescent="0.2">
      <c r="A1667" t="s">
        <v>2766</v>
      </c>
      <c r="B1667" t="s">
        <v>2360</v>
      </c>
      <c r="C1667" s="9">
        <v>44960</v>
      </c>
      <c r="D1667" t="s">
        <v>633</v>
      </c>
      <c r="E1667" s="13">
        <v>7000000</v>
      </c>
      <c r="F1667" s="13">
        <v>271950</v>
      </c>
      <c r="G1667" s="9">
        <v>44960</v>
      </c>
      <c r="H1667" t="s">
        <v>1063</v>
      </c>
      <c r="I1667" t="s">
        <v>2748</v>
      </c>
      <c r="J1667" s="13">
        <v>27750</v>
      </c>
      <c r="K1667">
        <v>1</v>
      </c>
      <c r="L1667" t="s">
        <v>1064</v>
      </c>
      <c r="M1667" t="s">
        <v>2749</v>
      </c>
      <c r="N1667" s="15" t="s">
        <v>6878</v>
      </c>
    </row>
    <row r="1668" spans="1:14" x14ac:dyDescent="0.2">
      <c r="A1668" t="s">
        <v>2767</v>
      </c>
      <c r="B1668" t="s">
        <v>2360</v>
      </c>
      <c r="C1668" s="9">
        <v>44960</v>
      </c>
      <c r="D1668" t="s">
        <v>633</v>
      </c>
      <c r="E1668" s="13">
        <v>7000000</v>
      </c>
      <c r="F1668" s="13">
        <v>271950</v>
      </c>
      <c r="G1668" s="9">
        <v>44960</v>
      </c>
      <c r="H1668" t="s">
        <v>1063</v>
      </c>
      <c r="I1668" t="s">
        <v>2748</v>
      </c>
      <c r="J1668" s="13">
        <v>27750</v>
      </c>
      <c r="K1668">
        <v>1</v>
      </c>
      <c r="L1668" t="s">
        <v>1064</v>
      </c>
      <c r="M1668" t="s">
        <v>2749</v>
      </c>
      <c r="N1668" s="15" t="s">
        <v>6878</v>
      </c>
    </row>
    <row r="1669" spans="1:14" x14ac:dyDescent="0.2">
      <c r="A1669" t="s">
        <v>2768</v>
      </c>
      <c r="B1669" t="s">
        <v>2360</v>
      </c>
      <c r="C1669" s="9">
        <v>44960</v>
      </c>
      <c r="D1669" t="s">
        <v>9</v>
      </c>
      <c r="E1669" s="13">
        <v>392490</v>
      </c>
      <c r="F1669" s="13">
        <v>49950</v>
      </c>
      <c r="G1669" s="9">
        <v>44965</v>
      </c>
      <c r="H1669" t="s">
        <v>1111</v>
      </c>
      <c r="I1669" t="s">
        <v>436</v>
      </c>
      <c r="J1669" s="13">
        <v>13069</v>
      </c>
      <c r="K1669">
        <v>2</v>
      </c>
      <c r="L1669" t="s">
        <v>1064</v>
      </c>
      <c r="M1669" t="s">
        <v>2364</v>
      </c>
      <c r="N1669" s="15" t="s">
        <v>6878</v>
      </c>
    </row>
    <row r="1670" spans="1:14" x14ac:dyDescent="0.2">
      <c r="A1670" t="s">
        <v>2769</v>
      </c>
      <c r="B1670" t="s">
        <v>2360</v>
      </c>
      <c r="C1670" s="9">
        <v>44960</v>
      </c>
      <c r="D1670" t="s">
        <v>633</v>
      </c>
      <c r="E1670" s="13">
        <v>7000000</v>
      </c>
      <c r="F1670" s="13">
        <v>271950</v>
      </c>
      <c r="G1670" s="9">
        <v>44960</v>
      </c>
      <c r="H1670" t="s">
        <v>1063</v>
      </c>
      <c r="I1670" t="s">
        <v>2748</v>
      </c>
      <c r="J1670" s="13">
        <v>27750</v>
      </c>
      <c r="K1670">
        <v>1</v>
      </c>
      <c r="L1670" t="s">
        <v>1064</v>
      </c>
      <c r="M1670" t="s">
        <v>2749</v>
      </c>
      <c r="N1670" s="15" t="s">
        <v>6878</v>
      </c>
    </row>
    <row r="1671" spans="1:14" x14ac:dyDescent="0.2">
      <c r="A1671" t="s">
        <v>2770</v>
      </c>
      <c r="B1671" t="s">
        <v>2360</v>
      </c>
      <c r="C1671" s="9">
        <v>44960</v>
      </c>
      <c r="D1671" t="s">
        <v>633</v>
      </c>
      <c r="E1671" s="13">
        <v>24800000</v>
      </c>
      <c r="F1671" s="13">
        <v>963480</v>
      </c>
      <c r="G1671" s="9">
        <v>44960</v>
      </c>
      <c r="H1671" t="s">
        <v>1063</v>
      </c>
      <c r="I1671" t="s">
        <v>2748</v>
      </c>
      <c r="J1671" s="13">
        <v>27750</v>
      </c>
      <c r="K1671">
        <v>1</v>
      </c>
      <c r="L1671" t="s">
        <v>1064</v>
      </c>
      <c r="M1671" t="s">
        <v>2749</v>
      </c>
      <c r="N1671" s="15" t="s">
        <v>6878</v>
      </c>
    </row>
    <row r="1672" spans="1:14" x14ac:dyDescent="0.2">
      <c r="A1672" t="s">
        <v>2771</v>
      </c>
      <c r="B1672" t="s">
        <v>2360</v>
      </c>
      <c r="C1672" s="9">
        <v>44960</v>
      </c>
      <c r="D1672" t="s">
        <v>633</v>
      </c>
      <c r="E1672" s="13">
        <v>7000000</v>
      </c>
      <c r="F1672" s="13">
        <v>271950</v>
      </c>
      <c r="G1672" s="9">
        <v>44960</v>
      </c>
      <c r="H1672" t="s">
        <v>1063</v>
      </c>
      <c r="I1672" t="s">
        <v>2748</v>
      </c>
      <c r="J1672" s="13">
        <v>27750</v>
      </c>
      <c r="K1672">
        <v>1</v>
      </c>
      <c r="L1672" t="s">
        <v>1064</v>
      </c>
      <c r="M1672" t="s">
        <v>2749</v>
      </c>
      <c r="N1672" s="15" t="s">
        <v>6878</v>
      </c>
    </row>
    <row r="1673" spans="1:14" x14ac:dyDescent="0.2">
      <c r="A1673" t="s">
        <v>2772</v>
      </c>
      <c r="B1673" t="s">
        <v>2360</v>
      </c>
      <c r="C1673" s="9">
        <v>44960</v>
      </c>
      <c r="D1673" t="s">
        <v>633</v>
      </c>
      <c r="E1673" s="13">
        <v>7000000</v>
      </c>
      <c r="F1673" s="13">
        <v>271950</v>
      </c>
      <c r="G1673" s="9">
        <v>44960</v>
      </c>
      <c r="H1673" t="s">
        <v>1063</v>
      </c>
      <c r="I1673" t="s">
        <v>2748</v>
      </c>
      <c r="J1673" s="13">
        <v>27750</v>
      </c>
      <c r="K1673">
        <v>1</v>
      </c>
      <c r="L1673" t="s">
        <v>1064</v>
      </c>
      <c r="M1673" t="s">
        <v>2749</v>
      </c>
      <c r="N1673" s="15" t="s">
        <v>6878</v>
      </c>
    </row>
    <row r="1674" spans="1:14" x14ac:dyDescent="0.2">
      <c r="A1674" t="s">
        <v>2773</v>
      </c>
      <c r="B1674" t="s">
        <v>2360</v>
      </c>
      <c r="C1674" s="9">
        <v>44960</v>
      </c>
      <c r="D1674" t="s">
        <v>633</v>
      </c>
      <c r="E1674" s="13">
        <v>14000000</v>
      </c>
      <c r="F1674" s="13">
        <v>543900</v>
      </c>
      <c r="G1674" s="9">
        <v>44960</v>
      </c>
      <c r="H1674" t="s">
        <v>1063</v>
      </c>
      <c r="I1674" t="s">
        <v>2748</v>
      </c>
      <c r="J1674" s="13">
        <v>27750</v>
      </c>
      <c r="K1674">
        <v>1</v>
      </c>
      <c r="L1674" t="s">
        <v>1064</v>
      </c>
      <c r="M1674" t="s">
        <v>2749</v>
      </c>
      <c r="N1674" s="15" t="s">
        <v>6878</v>
      </c>
    </row>
    <row r="1675" spans="1:14" x14ac:dyDescent="0.2">
      <c r="A1675" t="s">
        <v>2774</v>
      </c>
      <c r="B1675" t="s">
        <v>2360</v>
      </c>
      <c r="C1675" s="9">
        <v>44960</v>
      </c>
      <c r="D1675" t="s">
        <v>633</v>
      </c>
      <c r="E1675" s="13">
        <v>24800000</v>
      </c>
      <c r="F1675" s="13">
        <v>963480</v>
      </c>
      <c r="G1675" s="9">
        <v>44960</v>
      </c>
      <c r="H1675" t="s">
        <v>1063</v>
      </c>
      <c r="I1675" t="s">
        <v>2748</v>
      </c>
      <c r="J1675" s="13">
        <v>27750</v>
      </c>
      <c r="K1675">
        <v>1</v>
      </c>
      <c r="L1675" t="s">
        <v>1064</v>
      </c>
      <c r="M1675" t="s">
        <v>2749</v>
      </c>
      <c r="N1675" s="15" t="s">
        <v>6878</v>
      </c>
    </row>
    <row r="1676" spans="1:14" x14ac:dyDescent="0.2">
      <c r="A1676" t="s">
        <v>2775</v>
      </c>
      <c r="B1676" t="s">
        <v>2360</v>
      </c>
      <c r="C1676" s="9">
        <v>44960</v>
      </c>
      <c r="D1676" t="s">
        <v>633</v>
      </c>
      <c r="E1676" s="13">
        <v>24800000</v>
      </c>
      <c r="F1676" s="13">
        <v>963480</v>
      </c>
      <c r="G1676" s="9">
        <v>44960</v>
      </c>
      <c r="H1676" t="s">
        <v>1063</v>
      </c>
      <c r="I1676" t="s">
        <v>2748</v>
      </c>
      <c r="J1676" s="13">
        <v>27750</v>
      </c>
      <c r="K1676">
        <v>1</v>
      </c>
      <c r="L1676" t="s">
        <v>1064</v>
      </c>
      <c r="M1676" t="s">
        <v>2749</v>
      </c>
      <c r="N1676" s="15" t="s">
        <v>6878</v>
      </c>
    </row>
    <row r="1677" spans="1:14" x14ac:dyDescent="0.2">
      <c r="A1677" t="s">
        <v>2776</v>
      </c>
      <c r="B1677" t="s">
        <v>2360</v>
      </c>
      <c r="C1677" s="9">
        <v>44960</v>
      </c>
      <c r="D1677" t="s">
        <v>633</v>
      </c>
      <c r="E1677" s="13">
        <v>24800000</v>
      </c>
      <c r="F1677" s="13">
        <v>963480</v>
      </c>
      <c r="G1677" s="9">
        <v>44960</v>
      </c>
      <c r="H1677" t="s">
        <v>1063</v>
      </c>
      <c r="I1677" t="s">
        <v>2748</v>
      </c>
      <c r="J1677" s="13">
        <v>27750</v>
      </c>
      <c r="K1677">
        <v>1</v>
      </c>
      <c r="L1677" t="s">
        <v>1064</v>
      </c>
      <c r="M1677" t="s">
        <v>2749</v>
      </c>
      <c r="N1677" s="15" t="s">
        <v>6878</v>
      </c>
    </row>
    <row r="1678" spans="1:14" x14ac:dyDescent="0.2">
      <c r="A1678" t="s">
        <v>2777</v>
      </c>
      <c r="B1678" t="s">
        <v>2360</v>
      </c>
      <c r="C1678" s="9">
        <v>44960</v>
      </c>
      <c r="D1678" t="s">
        <v>975</v>
      </c>
      <c r="E1678" s="13">
        <v>7603200</v>
      </c>
      <c r="F1678" s="13">
        <v>295384</v>
      </c>
      <c r="G1678" s="9">
        <v>44961</v>
      </c>
      <c r="H1678" t="s">
        <v>1111</v>
      </c>
      <c r="I1678" t="s">
        <v>2641</v>
      </c>
      <c r="J1678" s="13">
        <v>27750</v>
      </c>
      <c r="K1678">
        <v>1</v>
      </c>
      <c r="L1678" t="s">
        <v>1064</v>
      </c>
      <c r="M1678" t="s">
        <v>2642</v>
      </c>
      <c r="N1678" s="15" t="s">
        <v>6878</v>
      </c>
    </row>
    <row r="1679" spans="1:14" x14ac:dyDescent="0.2">
      <c r="A1679" t="s">
        <v>2778</v>
      </c>
      <c r="B1679" t="s">
        <v>2360</v>
      </c>
      <c r="C1679" s="9">
        <v>44960</v>
      </c>
      <c r="D1679" t="s">
        <v>975</v>
      </c>
      <c r="E1679" s="13">
        <v>7603200</v>
      </c>
      <c r="F1679" s="13">
        <v>295384</v>
      </c>
      <c r="G1679" s="9">
        <v>44961</v>
      </c>
      <c r="H1679" t="s">
        <v>1111</v>
      </c>
      <c r="I1679" t="s">
        <v>2641</v>
      </c>
      <c r="J1679" s="13">
        <v>27750</v>
      </c>
      <c r="K1679">
        <v>1</v>
      </c>
      <c r="L1679" t="s">
        <v>1064</v>
      </c>
      <c r="M1679" t="s">
        <v>2642</v>
      </c>
      <c r="N1679" s="15" t="s">
        <v>6878</v>
      </c>
    </row>
    <row r="1680" spans="1:14" x14ac:dyDescent="0.2">
      <c r="A1680" t="s">
        <v>2779</v>
      </c>
      <c r="B1680" t="s">
        <v>2360</v>
      </c>
      <c r="C1680" s="9">
        <v>44960</v>
      </c>
      <c r="D1680" t="s">
        <v>975</v>
      </c>
      <c r="E1680" s="13">
        <v>2182400</v>
      </c>
      <c r="F1680" s="13">
        <v>84786</v>
      </c>
      <c r="G1680" s="9">
        <v>44961</v>
      </c>
      <c r="H1680" t="s">
        <v>1111</v>
      </c>
      <c r="I1680" t="s">
        <v>2641</v>
      </c>
      <c r="J1680" s="13">
        <v>27750</v>
      </c>
      <c r="K1680">
        <v>1</v>
      </c>
      <c r="L1680" t="s">
        <v>1064</v>
      </c>
      <c r="M1680" t="s">
        <v>2642</v>
      </c>
      <c r="N1680" s="15" t="s">
        <v>6878</v>
      </c>
    </row>
    <row r="1681" spans="1:14" x14ac:dyDescent="0.2">
      <c r="A1681" t="s">
        <v>2780</v>
      </c>
      <c r="B1681" t="s">
        <v>2360</v>
      </c>
      <c r="C1681" s="9">
        <v>44960</v>
      </c>
      <c r="D1681" t="s">
        <v>975</v>
      </c>
      <c r="E1681" s="13">
        <v>7603200</v>
      </c>
      <c r="F1681" s="13">
        <v>295384</v>
      </c>
      <c r="G1681" s="9">
        <v>44961</v>
      </c>
      <c r="H1681" t="s">
        <v>1111</v>
      </c>
      <c r="I1681" t="s">
        <v>2641</v>
      </c>
      <c r="J1681" s="13">
        <v>27750</v>
      </c>
      <c r="K1681">
        <v>1</v>
      </c>
      <c r="L1681" t="s">
        <v>1064</v>
      </c>
      <c r="M1681" t="s">
        <v>2642</v>
      </c>
      <c r="N1681" s="15" t="s">
        <v>6878</v>
      </c>
    </row>
    <row r="1682" spans="1:14" x14ac:dyDescent="0.2">
      <c r="A1682" t="s">
        <v>2781</v>
      </c>
      <c r="B1682" t="s">
        <v>2360</v>
      </c>
      <c r="C1682" s="9">
        <v>44960</v>
      </c>
      <c r="D1682" t="s">
        <v>975</v>
      </c>
      <c r="E1682" s="13">
        <v>7603200</v>
      </c>
      <c r="F1682" s="13">
        <v>295384</v>
      </c>
      <c r="G1682" s="9">
        <v>44961</v>
      </c>
      <c r="H1682" t="s">
        <v>1111</v>
      </c>
      <c r="I1682" t="s">
        <v>2641</v>
      </c>
      <c r="J1682" s="13">
        <v>27750</v>
      </c>
      <c r="K1682">
        <v>1</v>
      </c>
      <c r="L1682" t="s">
        <v>1064</v>
      </c>
      <c r="M1682" t="s">
        <v>2642</v>
      </c>
      <c r="N1682" s="15" t="s">
        <v>6878</v>
      </c>
    </row>
    <row r="1683" spans="1:14" x14ac:dyDescent="0.2">
      <c r="A1683" t="s">
        <v>2782</v>
      </c>
      <c r="B1683" t="s">
        <v>2360</v>
      </c>
      <c r="C1683" s="9">
        <v>44960</v>
      </c>
      <c r="D1683" t="s">
        <v>975</v>
      </c>
      <c r="E1683" s="13">
        <v>7603200</v>
      </c>
      <c r="F1683" s="13">
        <v>295384</v>
      </c>
      <c r="G1683" s="9">
        <v>44961</v>
      </c>
      <c r="H1683" t="s">
        <v>1111</v>
      </c>
      <c r="I1683" t="s">
        <v>2641</v>
      </c>
      <c r="J1683" s="13">
        <v>27750</v>
      </c>
      <c r="K1683">
        <v>1</v>
      </c>
      <c r="L1683" t="s">
        <v>1064</v>
      </c>
      <c r="M1683" t="s">
        <v>2642</v>
      </c>
      <c r="N1683" s="15" t="s">
        <v>6878</v>
      </c>
    </row>
    <row r="1684" spans="1:14" x14ac:dyDescent="0.2">
      <c r="A1684" t="s">
        <v>2783</v>
      </c>
      <c r="B1684" t="s">
        <v>2360</v>
      </c>
      <c r="C1684" s="9">
        <v>44960</v>
      </c>
      <c r="D1684" t="s">
        <v>988</v>
      </c>
      <c r="E1684" s="13">
        <v>9862000</v>
      </c>
      <c r="F1684" s="13">
        <v>273670</v>
      </c>
      <c r="G1684" s="9">
        <v>44960</v>
      </c>
      <c r="H1684" t="s">
        <v>1063</v>
      </c>
      <c r="I1684" t="s">
        <v>2610</v>
      </c>
      <c r="J1684" s="13">
        <v>27750</v>
      </c>
      <c r="K1684">
        <v>1</v>
      </c>
      <c r="L1684" t="s">
        <v>1064</v>
      </c>
      <c r="M1684" t="s">
        <v>2611</v>
      </c>
      <c r="N1684" s="15" t="s">
        <v>6878</v>
      </c>
    </row>
    <row r="1685" spans="1:14" x14ac:dyDescent="0.2">
      <c r="A1685" t="s">
        <v>2784</v>
      </c>
      <c r="B1685" t="s">
        <v>2360</v>
      </c>
      <c r="C1685" s="9">
        <v>44960</v>
      </c>
      <c r="D1685" t="s">
        <v>988</v>
      </c>
      <c r="E1685" s="13">
        <v>4800000</v>
      </c>
      <c r="F1685" s="13">
        <v>133200</v>
      </c>
      <c r="G1685" s="9">
        <v>44960</v>
      </c>
      <c r="H1685" t="s">
        <v>1063</v>
      </c>
      <c r="I1685" t="s">
        <v>2610</v>
      </c>
      <c r="J1685" s="13">
        <v>27750</v>
      </c>
      <c r="K1685">
        <v>1</v>
      </c>
      <c r="L1685" t="s">
        <v>1064</v>
      </c>
      <c r="M1685" t="s">
        <v>2611</v>
      </c>
      <c r="N1685" s="15" t="s">
        <v>6878</v>
      </c>
    </row>
    <row r="1686" spans="1:14" x14ac:dyDescent="0.2">
      <c r="A1686" t="s">
        <v>2785</v>
      </c>
      <c r="B1686" t="s">
        <v>2360</v>
      </c>
      <c r="C1686" s="9">
        <v>44960</v>
      </c>
      <c r="D1686" t="s">
        <v>633</v>
      </c>
      <c r="E1686" s="13">
        <v>24800000</v>
      </c>
      <c r="F1686" s="13">
        <v>963480</v>
      </c>
      <c r="G1686" s="9">
        <v>44961</v>
      </c>
      <c r="H1686" t="s">
        <v>1063</v>
      </c>
      <c r="I1686" t="s">
        <v>2748</v>
      </c>
      <c r="J1686" s="13">
        <v>27750</v>
      </c>
      <c r="K1686">
        <v>1</v>
      </c>
      <c r="L1686" t="s">
        <v>1064</v>
      </c>
      <c r="M1686" t="s">
        <v>2749</v>
      </c>
      <c r="N1686" s="15" t="s">
        <v>6878</v>
      </c>
    </row>
    <row r="1687" spans="1:14" x14ac:dyDescent="0.2">
      <c r="A1687" t="s">
        <v>2786</v>
      </c>
      <c r="B1687" t="s">
        <v>2360</v>
      </c>
      <c r="C1687" s="9">
        <v>44960</v>
      </c>
      <c r="D1687" t="s">
        <v>633</v>
      </c>
      <c r="E1687" s="13">
        <v>24800000</v>
      </c>
      <c r="F1687" s="13">
        <v>963480</v>
      </c>
      <c r="G1687" s="9">
        <v>44961</v>
      </c>
      <c r="H1687" t="s">
        <v>1063</v>
      </c>
      <c r="I1687" t="s">
        <v>2748</v>
      </c>
      <c r="J1687" s="13">
        <v>27750</v>
      </c>
      <c r="K1687">
        <v>1</v>
      </c>
      <c r="L1687" t="s">
        <v>1064</v>
      </c>
      <c r="M1687" t="s">
        <v>2749</v>
      </c>
      <c r="N1687" s="15" t="s">
        <v>6878</v>
      </c>
    </row>
    <row r="1688" spans="1:14" x14ac:dyDescent="0.2">
      <c r="A1688" t="s">
        <v>2787</v>
      </c>
      <c r="B1688" t="s">
        <v>2360</v>
      </c>
      <c r="C1688" s="9">
        <v>44960</v>
      </c>
      <c r="D1688" t="s">
        <v>633</v>
      </c>
      <c r="E1688" s="13">
        <v>24800000</v>
      </c>
      <c r="F1688" s="13">
        <v>963480</v>
      </c>
      <c r="G1688" s="9">
        <v>44961</v>
      </c>
      <c r="H1688" t="s">
        <v>1063</v>
      </c>
      <c r="I1688" t="s">
        <v>2748</v>
      </c>
      <c r="J1688" s="13">
        <v>27750</v>
      </c>
      <c r="K1688">
        <v>1</v>
      </c>
      <c r="L1688" t="s">
        <v>1064</v>
      </c>
      <c r="M1688" t="s">
        <v>2749</v>
      </c>
      <c r="N1688" s="15" t="s">
        <v>6878</v>
      </c>
    </row>
    <row r="1689" spans="1:14" x14ac:dyDescent="0.2">
      <c r="A1689" t="s">
        <v>2788</v>
      </c>
      <c r="B1689" t="s">
        <v>2360</v>
      </c>
      <c r="C1689" s="9">
        <v>44960</v>
      </c>
      <c r="D1689" t="s">
        <v>633</v>
      </c>
      <c r="E1689" s="13">
        <v>24800000</v>
      </c>
      <c r="F1689" s="13">
        <v>963480</v>
      </c>
      <c r="G1689" s="9">
        <v>44961</v>
      </c>
      <c r="H1689" t="s">
        <v>1063</v>
      </c>
      <c r="I1689" t="s">
        <v>2748</v>
      </c>
      <c r="J1689" s="13">
        <v>27750</v>
      </c>
      <c r="K1689">
        <v>1</v>
      </c>
      <c r="L1689" t="s">
        <v>1064</v>
      </c>
      <c r="M1689" t="s">
        <v>2749</v>
      </c>
      <c r="N1689" s="15" t="s">
        <v>6878</v>
      </c>
    </row>
    <row r="1690" spans="1:14" x14ac:dyDescent="0.2">
      <c r="A1690" t="s">
        <v>2789</v>
      </c>
      <c r="B1690" t="s">
        <v>2360</v>
      </c>
      <c r="C1690" s="9">
        <v>44960</v>
      </c>
      <c r="D1690" t="s">
        <v>633</v>
      </c>
      <c r="E1690" s="13">
        <v>24800000</v>
      </c>
      <c r="F1690" s="13">
        <v>963480</v>
      </c>
      <c r="G1690" s="9">
        <v>44961</v>
      </c>
      <c r="H1690" t="s">
        <v>1063</v>
      </c>
      <c r="I1690" t="s">
        <v>2748</v>
      </c>
      <c r="J1690" s="13">
        <v>27750</v>
      </c>
      <c r="K1690">
        <v>1</v>
      </c>
      <c r="L1690" t="s">
        <v>1064</v>
      </c>
      <c r="M1690" t="s">
        <v>2749</v>
      </c>
      <c r="N1690" s="15" t="s">
        <v>6878</v>
      </c>
    </row>
    <row r="1691" spans="1:14" x14ac:dyDescent="0.2">
      <c r="A1691" t="s">
        <v>2790</v>
      </c>
      <c r="B1691" t="s">
        <v>2360</v>
      </c>
      <c r="C1691" s="9">
        <v>44960</v>
      </c>
      <c r="D1691" t="s">
        <v>633</v>
      </c>
      <c r="E1691" s="13">
        <v>21000000</v>
      </c>
      <c r="F1691" s="13">
        <v>815850</v>
      </c>
      <c r="G1691" s="9">
        <v>44961</v>
      </c>
      <c r="H1691" t="s">
        <v>1063</v>
      </c>
      <c r="I1691" t="s">
        <v>2748</v>
      </c>
      <c r="J1691" s="13">
        <v>27750</v>
      </c>
      <c r="K1691">
        <v>1</v>
      </c>
      <c r="L1691" t="s">
        <v>1064</v>
      </c>
      <c r="M1691" t="s">
        <v>2749</v>
      </c>
      <c r="N1691" s="15" t="s">
        <v>6878</v>
      </c>
    </row>
    <row r="1692" spans="1:14" x14ac:dyDescent="0.2">
      <c r="A1692" t="s">
        <v>2791</v>
      </c>
      <c r="B1692" t="s">
        <v>2360</v>
      </c>
      <c r="C1692" s="9">
        <v>44960</v>
      </c>
      <c r="D1692" t="s">
        <v>633</v>
      </c>
      <c r="E1692" s="13">
        <v>21000000</v>
      </c>
      <c r="F1692" s="13">
        <v>815850</v>
      </c>
      <c r="G1692" s="9">
        <v>44961</v>
      </c>
      <c r="H1692" t="s">
        <v>1063</v>
      </c>
      <c r="I1692" t="s">
        <v>2748</v>
      </c>
      <c r="J1692" s="13">
        <v>27750</v>
      </c>
      <c r="K1692">
        <v>1</v>
      </c>
      <c r="L1692" t="s">
        <v>1064</v>
      </c>
      <c r="M1692" t="s">
        <v>2749</v>
      </c>
      <c r="N1692" s="15" t="s">
        <v>6878</v>
      </c>
    </row>
    <row r="1693" spans="1:14" x14ac:dyDescent="0.2">
      <c r="A1693" t="s">
        <v>2792</v>
      </c>
      <c r="B1693" t="s">
        <v>2360</v>
      </c>
      <c r="C1693" s="9">
        <v>44960</v>
      </c>
      <c r="D1693" t="s">
        <v>633</v>
      </c>
      <c r="E1693" s="13">
        <v>24800000</v>
      </c>
      <c r="F1693" s="13">
        <v>963480</v>
      </c>
      <c r="G1693" s="9">
        <v>44961</v>
      </c>
      <c r="H1693" t="s">
        <v>1063</v>
      </c>
      <c r="I1693" t="s">
        <v>2748</v>
      </c>
      <c r="J1693" s="13">
        <v>27750</v>
      </c>
      <c r="K1693">
        <v>1</v>
      </c>
      <c r="L1693" t="s">
        <v>1064</v>
      </c>
      <c r="M1693" t="s">
        <v>2749</v>
      </c>
      <c r="N1693" s="15" t="s">
        <v>6878</v>
      </c>
    </row>
    <row r="1694" spans="1:14" x14ac:dyDescent="0.2">
      <c r="A1694" t="s">
        <v>2793</v>
      </c>
      <c r="B1694" t="s">
        <v>2360</v>
      </c>
      <c r="C1694" s="9">
        <v>44960</v>
      </c>
      <c r="D1694" t="s">
        <v>633</v>
      </c>
      <c r="E1694" s="13">
        <v>21000000</v>
      </c>
      <c r="F1694" s="13">
        <v>815850</v>
      </c>
      <c r="G1694" s="9">
        <v>44961</v>
      </c>
      <c r="H1694" t="s">
        <v>1063</v>
      </c>
      <c r="I1694" t="s">
        <v>2748</v>
      </c>
      <c r="J1694" s="13">
        <v>27750</v>
      </c>
      <c r="K1694">
        <v>1</v>
      </c>
      <c r="L1694" t="s">
        <v>1064</v>
      </c>
      <c r="M1694" t="s">
        <v>2749</v>
      </c>
      <c r="N1694" s="15" t="s">
        <v>6878</v>
      </c>
    </row>
    <row r="1695" spans="1:14" x14ac:dyDescent="0.2">
      <c r="A1695" t="s">
        <v>2794</v>
      </c>
      <c r="B1695" t="s">
        <v>2360</v>
      </c>
      <c r="C1695" s="9">
        <v>44960</v>
      </c>
      <c r="D1695" t="s">
        <v>633</v>
      </c>
      <c r="E1695" s="13">
        <v>24800000</v>
      </c>
      <c r="F1695" s="13">
        <v>963480</v>
      </c>
      <c r="G1695" s="9">
        <v>44961</v>
      </c>
      <c r="H1695" t="s">
        <v>1063</v>
      </c>
      <c r="I1695" t="s">
        <v>2748</v>
      </c>
      <c r="J1695" s="13">
        <v>27750</v>
      </c>
      <c r="K1695">
        <v>1</v>
      </c>
      <c r="L1695" t="s">
        <v>1064</v>
      </c>
      <c r="M1695" t="s">
        <v>2749</v>
      </c>
      <c r="N1695" s="15" t="s">
        <v>6878</v>
      </c>
    </row>
    <row r="1696" spans="1:14" x14ac:dyDescent="0.2">
      <c r="A1696" t="s">
        <v>2795</v>
      </c>
      <c r="B1696" t="s">
        <v>2360</v>
      </c>
      <c r="C1696" s="9">
        <v>44960</v>
      </c>
      <c r="D1696" t="s">
        <v>633</v>
      </c>
      <c r="E1696" s="13">
        <v>24800000</v>
      </c>
      <c r="F1696" s="13">
        <v>963480</v>
      </c>
      <c r="G1696" s="9">
        <v>44961</v>
      </c>
      <c r="H1696" t="s">
        <v>1063</v>
      </c>
      <c r="I1696" t="s">
        <v>2748</v>
      </c>
      <c r="J1696" s="13">
        <v>27750</v>
      </c>
      <c r="K1696">
        <v>1</v>
      </c>
      <c r="L1696" t="s">
        <v>1064</v>
      </c>
      <c r="M1696" t="s">
        <v>2749</v>
      </c>
      <c r="N1696" s="15" t="s">
        <v>6878</v>
      </c>
    </row>
    <row r="1697" spans="1:14" x14ac:dyDescent="0.2">
      <c r="A1697" t="s">
        <v>2796</v>
      </c>
      <c r="B1697" t="s">
        <v>2360</v>
      </c>
      <c r="C1697" s="9">
        <v>44960</v>
      </c>
      <c r="D1697" t="s">
        <v>633</v>
      </c>
      <c r="E1697" s="13">
        <v>24800000</v>
      </c>
      <c r="F1697" s="13">
        <v>963480</v>
      </c>
      <c r="G1697" s="9">
        <v>44961</v>
      </c>
      <c r="H1697" t="s">
        <v>1063</v>
      </c>
      <c r="I1697" t="s">
        <v>2748</v>
      </c>
      <c r="J1697" s="13">
        <v>27750</v>
      </c>
      <c r="K1697">
        <v>1</v>
      </c>
      <c r="L1697" t="s">
        <v>1064</v>
      </c>
      <c r="M1697" t="s">
        <v>2749</v>
      </c>
      <c r="N1697" s="15" t="s">
        <v>6878</v>
      </c>
    </row>
    <row r="1698" spans="1:14" x14ac:dyDescent="0.2">
      <c r="A1698" t="s">
        <v>2797</v>
      </c>
      <c r="B1698" t="s">
        <v>2360</v>
      </c>
      <c r="C1698" s="9">
        <v>44960</v>
      </c>
      <c r="D1698" t="s">
        <v>633</v>
      </c>
      <c r="E1698" s="13">
        <v>24800000</v>
      </c>
      <c r="F1698" s="13">
        <v>963480</v>
      </c>
      <c r="G1698" s="9">
        <v>44961</v>
      </c>
      <c r="H1698" t="s">
        <v>1063</v>
      </c>
      <c r="I1698" t="s">
        <v>2748</v>
      </c>
      <c r="J1698" s="13">
        <v>27750</v>
      </c>
      <c r="K1698">
        <v>1</v>
      </c>
      <c r="L1698" t="s">
        <v>1064</v>
      </c>
      <c r="M1698" t="s">
        <v>2749</v>
      </c>
      <c r="N1698" s="15" t="s">
        <v>6878</v>
      </c>
    </row>
    <row r="1699" spans="1:14" x14ac:dyDescent="0.2">
      <c r="A1699" t="s">
        <v>2798</v>
      </c>
      <c r="B1699" t="s">
        <v>2360</v>
      </c>
      <c r="C1699" s="9">
        <v>44960</v>
      </c>
      <c r="D1699" t="s">
        <v>975</v>
      </c>
      <c r="E1699" s="13">
        <v>1452000</v>
      </c>
      <c r="F1699" s="13">
        <v>56410</v>
      </c>
      <c r="G1699" s="9">
        <v>44961</v>
      </c>
      <c r="H1699" t="s">
        <v>1111</v>
      </c>
      <c r="I1699" t="s">
        <v>2641</v>
      </c>
      <c r="J1699" s="13">
        <v>27750</v>
      </c>
      <c r="K1699">
        <v>1</v>
      </c>
      <c r="L1699" t="s">
        <v>1064</v>
      </c>
      <c r="M1699" t="s">
        <v>2642</v>
      </c>
      <c r="N1699" s="15" t="s">
        <v>6878</v>
      </c>
    </row>
    <row r="1700" spans="1:14" x14ac:dyDescent="0.2">
      <c r="A1700" t="s">
        <v>2799</v>
      </c>
      <c r="B1700" t="s">
        <v>2360</v>
      </c>
      <c r="C1700" s="9">
        <v>44960</v>
      </c>
      <c r="D1700" t="s">
        <v>975</v>
      </c>
      <c r="E1700" s="13">
        <v>1452000</v>
      </c>
      <c r="F1700" s="13">
        <v>56410</v>
      </c>
      <c r="G1700" s="9">
        <v>44961</v>
      </c>
      <c r="H1700" t="s">
        <v>1111</v>
      </c>
      <c r="I1700" t="s">
        <v>2641</v>
      </c>
      <c r="J1700" s="13">
        <v>27750</v>
      </c>
      <c r="K1700">
        <v>1</v>
      </c>
      <c r="L1700" t="s">
        <v>1064</v>
      </c>
      <c r="M1700" t="s">
        <v>2642</v>
      </c>
      <c r="N1700" s="15" t="s">
        <v>6878</v>
      </c>
    </row>
    <row r="1701" spans="1:14" x14ac:dyDescent="0.2">
      <c r="A1701" t="s">
        <v>2800</v>
      </c>
      <c r="B1701" t="s">
        <v>2360</v>
      </c>
      <c r="C1701" s="9">
        <v>44960</v>
      </c>
      <c r="D1701" t="s">
        <v>975</v>
      </c>
      <c r="E1701" s="13">
        <v>1452000</v>
      </c>
      <c r="F1701" s="13">
        <v>56410</v>
      </c>
      <c r="G1701" s="9">
        <v>44961</v>
      </c>
      <c r="H1701" t="s">
        <v>1111</v>
      </c>
      <c r="I1701" t="s">
        <v>2641</v>
      </c>
      <c r="J1701" s="13">
        <v>27750</v>
      </c>
      <c r="K1701">
        <v>1</v>
      </c>
      <c r="L1701" t="s">
        <v>1064</v>
      </c>
      <c r="M1701" t="s">
        <v>2642</v>
      </c>
      <c r="N1701" s="15" t="s">
        <v>6878</v>
      </c>
    </row>
    <row r="1702" spans="1:14" x14ac:dyDescent="0.2">
      <c r="A1702" t="s">
        <v>2801</v>
      </c>
      <c r="B1702" t="s">
        <v>2360</v>
      </c>
      <c r="C1702" s="9">
        <v>44960</v>
      </c>
      <c r="D1702" t="s">
        <v>975</v>
      </c>
      <c r="E1702" s="13">
        <v>1452000</v>
      </c>
      <c r="F1702" s="13">
        <v>56410</v>
      </c>
      <c r="G1702" s="9">
        <v>44961</v>
      </c>
      <c r="H1702" t="s">
        <v>1111</v>
      </c>
      <c r="I1702" t="s">
        <v>2641</v>
      </c>
      <c r="J1702" s="13">
        <v>27750</v>
      </c>
      <c r="K1702">
        <v>1</v>
      </c>
      <c r="L1702" t="s">
        <v>1064</v>
      </c>
      <c r="M1702" t="s">
        <v>2642</v>
      </c>
      <c r="N1702" s="15" t="s">
        <v>6878</v>
      </c>
    </row>
    <row r="1703" spans="1:14" x14ac:dyDescent="0.2">
      <c r="A1703" t="s">
        <v>2802</v>
      </c>
      <c r="B1703" t="s">
        <v>2360</v>
      </c>
      <c r="C1703" s="9">
        <v>44960</v>
      </c>
      <c r="D1703" t="s">
        <v>975</v>
      </c>
      <c r="E1703" s="13">
        <v>1452000</v>
      </c>
      <c r="F1703" s="13">
        <v>56410</v>
      </c>
      <c r="G1703" s="9">
        <v>44961</v>
      </c>
      <c r="H1703" t="s">
        <v>1111</v>
      </c>
      <c r="I1703" t="s">
        <v>2641</v>
      </c>
      <c r="J1703" s="13">
        <v>27750</v>
      </c>
      <c r="K1703">
        <v>1</v>
      </c>
      <c r="L1703" t="s">
        <v>1064</v>
      </c>
      <c r="M1703" t="s">
        <v>2642</v>
      </c>
      <c r="N1703" s="15" t="s">
        <v>6878</v>
      </c>
    </row>
    <row r="1704" spans="1:14" x14ac:dyDescent="0.2">
      <c r="A1704" t="s">
        <v>2803</v>
      </c>
      <c r="B1704" t="s">
        <v>2360</v>
      </c>
      <c r="C1704" s="9">
        <v>44960</v>
      </c>
      <c r="D1704" t="s">
        <v>975</v>
      </c>
      <c r="E1704" s="13">
        <v>2182400</v>
      </c>
      <c r="F1704" s="13">
        <v>84786</v>
      </c>
      <c r="G1704" s="9">
        <v>44961</v>
      </c>
      <c r="H1704" t="s">
        <v>1111</v>
      </c>
      <c r="I1704" t="s">
        <v>2641</v>
      </c>
      <c r="J1704" s="13">
        <v>27750</v>
      </c>
      <c r="K1704">
        <v>1</v>
      </c>
      <c r="L1704" t="s">
        <v>1064</v>
      </c>
      <c r="M1704" t="s">
        <v>2642</v>
      </c>
      <c r="N1704" s="15" t="s">
        <v>6878</v>
      </c>
    </row>
    <row r="1705" spans="1:14" x14ac:dyDescent="0.2">
      <c r="A1705" t="s">
        <v>2804</v>
      </c>
      <c r="B1705" t="s">
        <v>2360</v>
      </c>
      <c r="C1705" s="9">
        <v>44960</v>
      </c>
      <c r="D1705" t="s">
        <v>975</v>
      </c>
      <c r="E1705" s="13">
        <v>2182400</v>
      </c>
      <c r="F1705" s="13">
        <v>84786</v>
      </c>
      <c r="G1705" s="9">
        <v>44961</v>
      </c>
      <c r="H1705" t="s">
        <v>1111</v>
      </c>
      <c r="I1705" t="s">
        <v>2641</v>
      </c>
      <c r="J1705" s="13">
        <v>27750</v>
      </c>
      <c r="K1705">
        <v>1</v>
      </c>
      <c r="L1705" t="s">
        <v>1064</v>
      </c>
      <c r="M1705" t="s">
        <v>2642</v>
      </c>
      <c r="N1705" s="15" t="s">
        <v>6878</v>
      </c>
    </row>
    <row r="1706" spans="1:14" x14ac:dyDescent="0.2">
      <c r="A1706" t="s">
        <v>2805</v>
      </c>
      <c r="B1706" t="s">
        <v>2360</v>
      </c>
      <c r="C1706" s="9">
        <v>44960</v>
      </c>
      <c r="D1706" t="s">
        <v>975</v>
      </c>
      <c r="E1706" s="13">
        <v>2182400</v>
      </c>
      <c r="F1706" s="13">
        <v>84786</v>
      </c>
      <c r="G1706" s="9">
        <v>44961</v>
      </c>
      <c r="H1706" t="s">
        <v>1111</v>
      </c>
      <c r="I1706" t="s">
        <v>2641</v>
      </c>
      <c r="J1706" s="13">
        <v>27750</v>
      </c>
      <c r="K1706">
        <v>1</v>
      </c>
      <c r="L1706" t="s">
        <v>1064</v>
      </c>
      <c r="M1706" t="s">
        <v>2642</v>
      </c>
      <c r="N1706" s="15" t="s">
        <v>6878</v>
      </c>
    </row>
    <row r="1707" spans="1:14" x14ac:dyDescent="0.2">
      <c r="A1707" t="s">
        <v>2806</v>
      </c>
      <c r="B1707" t="s">
        <v>2360</v>
      </c>
      <c r="C1707" s="9">
        <v>44960</v>
      </c>
      <c r="D1707" t="s">
        <v>975</v>
      </c>
      <c r="E1707" s="13">
        <v>704000</v>
      </c>
      <c r="F1707" s="13">
        <v>27350</v>
      </c>
      <c r="G1707" s="9">
        <v>44961</v>
      </c>
      <c r="H1707" t="s">
        <v>1111</v>
      </c>
      <c r="I1707" t="s">
        <v>2641</v>
      </c>
      <c r="J1707" s="13">
        <v>27750</v>
      </c>
      <c r="K1707">
        <v>1</v>
      </c>
      <c r="L1707" t="s">
        <v>1064</v>
      </c>
      <c r="M1707" t="s">
        <v>2642</v>
      </c>
      <c r="N1707" s="15" t="s">
        <v>6878</v>
      </c>
    </row>
    <row r="1708" spans="1:14" x14ac:dyDescent="0.2">
      <c r="A1708" t="s">
        <v>2807</v>
      </c>
      <c r="B1708" t="s">
        <v>2360</v>
      </c>
      <c r="C1708" s="9">
        <v>44960</v>
      </c>
      <c r="D1708" t="s">
        <v>975</v>
      </c>
      <c r="E1708" s="13">
        <v>7603200</v>
      </c>
      <c r="F1708" s="13">
        <v>295384</v>
      </c>
      <c r="G1708" s="9">
        <v>44961</v>
      </c>
      <c r="H1708" t="s">
        <v>1111</v>
      </c>
      <c r="I1708" t="s">
        <v>2641</v>
      </c>
      <c r="J1708" s="13">
        <v>27750</v>
      </c>
      <c r="K1708">
        <v>1</v>
      </c>
      <c r="L1708" t="s">
        <v>1064</v>
      </c>
      <c r="M1708" t="s">
        <v>2642</v>
      </c>
      <c r="N1708" s="15" t="s">
        <v>6878</v>
      </c>
    </row>
    <row r="1709" spans="1:14" x14ac:dyDescent="0.2">
      <c r="A1709" t="s">
        <v>2808</v>
      </c>
      <c r="B1709" t="s">
        <v>2360</v>
      </c>
      <c r="C1709" s="9">
        <v>44960</v>
      </c>
      <c r="D1709" t="s">
        <v>975</v>
      </c>
      <c r="E1709" s="13">
        <v>7603200</v>
      </c>
      <c r="F1709" s="13">
        <v>295384</v>
      </c>
      <c r="G1709" s="9">
        <v>44961</v>
      </c>
      <c r="H1709" t="s">
        <v>1111</v>
      </c>
      <c r="I1709" t="s">
        <v>2641</v>
      </c>
      <c r="J1709" s="13">
        <v>27750</v>
      </c>
      <c r="K1709">
        <v>1</v>
      </c>
      <c r="L1709" t="s">
        <v>1064</v>
      </c>
      <c r="M1709" t="s">
        <v>2642</v>
      </c>
      <c r="N1709" s="15" t="s">
        <v>6878</v>
      </c>
    </row>
    <row r="1710" spans="1:14" x14ac:dyDescent="0.2">
      <c r="A1710" t="s">
        <v>2809</v>
      </c>
      <c r="B1710" t="s">
        <v>2360</v>
      </c>
      <c r="C1710" s="9">
        <v>44960</v>
      </c>
      <c r="D1710" t="s">
        <v>975</v>
      </c>
      <c r="E1710" s="13">
        <v>7603200</v>
      </c>
      <c r="F1710" s="13">
        <v>295384</v>
      </c>
      <c r="G1710" s="9">
        <v>44961</v>
      </c>
      <c r="H1710" t="s">
        <v>1111</v>
      </c>
      <c r="I1710" t="s">
        <v>2641</v>
      </c>
      <c r="J1710" s="13">
        <v>27750</v>
      </c>
      <c r="K1710">
        <v>1</v>
      </c>
      <c r="L1710" t="s">
        <v>1064</v>
      </c>
      <c r="M1710" t="s">
        <v>2642</v>
      </c>
      <c r="N1710" s="15" t="s">
        <v>6878</v>
      </c>
    </row>
    <row r="1711" spans="1:14" x14ac:dyDescent="0.2">
      <c r="A1711" t="s">
        <v>2810</v>
      </c>
      <c r="B1711" t="s">
        <v>2360</v>
      </c>
      <c r="C1711" s="9">
        <v>44960</v>
      </c>
      <c r="D1711" t="s">
        <v>975</v>
      </c>
      <c r="E1711" s="13">
        <v>1452000</v>
      </c>
      <c r="F1711" s="13">
        <v>56410</v>
      </c>
      <c r="G1711" s="9">
        <v>44961</v>
      </c>
      <c r="H1711" t="s">
        <v>1111</v>
      </c>
      <c r="I1711" t="s">
        <v>2641</v>
      </c>
      <c r="J1711" s="13">
        <v>27750</v>
      </c>
      <c r="K1711">
        <v>1</v>
      </c>
      <c r="L1711" t="s">
        <v>1064</v>
      </c>
      <c r="M1711" t="s">
        <v>2642</v>
      </c>
      <c r="N1711" s="15" t="s">
        <v>6878</v>
      </c>
    </row>
    <row r="1712" spans="1:14" x14ac:dyDescent="0.2">
      <c r="A1712" t="s">
        <v>2811</v>
      </c>
      <c r="B1712" t="s">
        <v>2360</v>
      </c>
      <c r="C1712" s="9">
        <v>44960</v>
      </c>
      <c r="D1712" t="s">
        <v>975</v>
      </c>
      <c r="E1712" s="13">
        <v>2182400</v>
      </c>
      <c r="F1712" s="13">
        <v>84786</v>
      </c>
      <c r="G1712" s="9">
        <v>44961</v>
      </c>
      <c r="H1712" t="s">
        <v>1111</v>
      </c>
      <c r="I1712" t="s">
        <v>2641</v>
      </c>
      <c r="J1712" s="13">
        <v>27750</v>
      </c>
      <c r="K1712">
        <v>1</v>
      </c>
      <c r="L1712" t="s">
        <v>1064</v>
      </c>
      <c r="M1712" t="s">
        <v>2642</v>
      </c>
      <c r="N1712" s="15" t="s">
        <v>6878</v>
      </c>
    </row>
    <row r="1713" spans="1:14" x14ac:dyDescent="0.2">
      <c r="A1713" t="s">
        <v>2812</v>
      </c>
      <c r="B1713" t="s">
        <v>2360</v>
      </c>
      <c r="C1713" s="9">
        <v>44960</v>
      </c>
      <c r="D1713" t="s">
        <v>975</v>
      </c>
      <c r="E1713" s="13">
        <v>2182400</v>
      </c>
      <c r="F1713" s="13">
        <v>84786</v>
      </c>
      <c r="G1713" s="9">
        <v>44961</v>
      </c>
      <c r="H1713" t="s">
        <v>1111</v>
      </c>
      <c r="I1713" t="s">
        <v>2641</v>
      </c>
      <c r="J1713" s="13">
        <v>27750</v>
      </c>
      <c r="K1713">
        <v>1</v>
      </c>
      <c r="L1713" t="s">
        <v>1064</v>
      </c>
      <c r="M1713" t="s">
        <v>2642</v>
      </c>
      <c r="N1713" s="15" t="s">
        <v>6878</v>
      </c>
    </row>
    <row r="1714" spans="1:14" x14ac:dyDescent="0.2">
      <c r="A1714" t="s">
        <v>2813</v>
      </c>
      <c r="B1714" t="s">
        <v>2360</v>
      </c>
      <c r="C1714" s="9">
        <v>44960</v>
      </c>
      <c r="D1714" t="s">
        <v>975</v>
      </c>
      <c r="E1714" s="13">
        <v>704000</v>
      </c>
      <c r="F1714" s="13">
        <v>27350</v>
      </c>
      <c r="G1714" s="9">
        <v>44961</v>
      </c>
      <c r="H1714" t="s">
        <v>1111</v>
      </c>
      <c r="I1714" t="s">
        <v>2641</v>
      </c>
      <c r="J1714" s="13">
        <v>27750</v>
      </c>
      <c r="K1714">
        <v>1</v>
      </c>
      <c r="L1714" t="s">
        <v>1064</v>
      </c>
      <c r="M1714" t="s">
        <v>2642</v>
      </c>
      <c r="N1714" s="15" t="s">
        <v>6878</v>
      </c>
    </row>
    <row r="1715" spans="1:14" x14ac:dyDescent="0.2">
      <c r="A1715" t="s">
        <v>2814</v>
      </c>
      <c r="B1715" t="s">
        <v>2360</v>
      </c>
      <c r="C1715" s="9">
        <v>44960</v>
      </c>
      <c r="D1715" t="s">
        <v>975</v>
      </c>
      <c r="E1715" s="13">
        <v>1452000</v>
      </c>
      <c r="F1715" s="13">
        <v>56410</v>
      </c>
      <c r="G1715" s="9">
        <v>44961</v>
      </c>
      <c r="H1715" t="s">
        <v>1111</v>
      </c>
      <c r="I1715" t="s">
        <v>2641</v>
      </c>
      <c r="J1715" s="13">
        <v>27750</v>
      </c>
      <c r="K1715">
        <v>1</v>
      </c>
      <c r="L1715" t="s">
        <v>1064</v>
      </c>
      <c r="M1715" t="s">
        <v>2642</v>
      </c>
      <c r="N1715" s="15" t="s">
        <v>6878</v>
      </c>
    </row>
    <row r="1716" spans="1:14" x14ac:dyDescent="0.2">
      <c r="A1716" t="s">
        <v>2815</v>
      </c>
      <c r="B1716" t="s">
        <v>2360</v>
      </c>
      <c r="C1716" s="9">
        <v>44961</v>
      </c>
      <c r="D1716" t="s">
        <v>633</v>
      </c>
      <c r="E1716" s="13">
        <v>21000000</v>
      </c>
      <c r="F1716" s="13"/>
      <c r="H1716" t="s">
        <v>2184</v>
      </c>
      <c r="I1716" t="s">
        <v>2748</v>
      </c>
      <c r="J1716" s="13">
        <v>0</v>
      </c>
      <c r="K1716">
        <v>1</v>
      </c>
      <c r="L1716" t="s">
        <v>1064</v>
      </c>
      <c r="M1716" t="s">
        <v>2749</v>
      </c>
      <c r="N1716" s="14" t="s">
        <v>6877</v>
      </c>
    </row>
    <row r="1717" spans="1:14" x14ac:dyDescent="0.2">
      <c r="A1717" t="s">
        <v>2816</v>
      </c>
      <c r="B1717" t="s">
        <v>2360</v>
      </c>
      <c r="C1717" s="9">
        <v>44961</v>
      </c>
      <c r="D1717" t="s">
        <v>633</v>
      </c>
      <c r="E1717" s="13">
        <v>24800000</v>
      </c>
      <c r="F1717" s="13"/>
      <c r="H1717" t="s">
        <v>2184</v>
      </c>
      <c r="I1717" t="s">
        <v>2748</v>
      </c>
      <c r="J1717" s="13">
        <v>0</v>
      </c>
      <c r="K1717">
        <v>1</v>
      </c>
      <c r="L1717" t="s">
        <v>1064</v>
      </c>
      <c r="M1717" t="s">
        <v>2749</v>
      </c>
      <c r="N1717" s="14" t="s">
        <v>6877</v>
      </c>
    </row>
    <row r="1718" spans="1:14" x14ac:dyDescent="0.2">
      <c r="A1718" t="s">
        <v>2817</v>
      </c>
      <c r="B1718" t="s">
        <v>2360</v>
      </c>
      <c r="C1718" s="9">
        <v>44961</v>
      </c>
      <c r="D1718" t="s">
        <v>633</v>
      </c>
      <c r="E1718" s="13">
        <v>24800000</v>
      </c>
      <c r="F1718" s="13"/>
      <c r="H1718" t="s">
        <v>2184</v>
      </c>
      <c r="I1718" t="s">
        <v>2748</v>
      </c>
      <c r="J1718" s="13">
        <v>0</v>
      </c>
      <c r="K1718">
        <v>1</v>
      </c>
      <c r="L1718" t="s">
        <v>1064</v>
      </c>
      <c r="M1718" t="s">
        <v>2749</v>
      </c>
      <c r="N1718" s="14" t="s">
        <v>6877</v>
      </c>
    </row>
    <row r="1719" spans="1:14" x14ac:dyDescent="0.2">
      <c r="A1719" t="s">
        <v>2818</v>
      </c>
      <c r="B1719" t="s">
        <v>2360</v>
      </c>
      <c r="C1719" s="9">
        <v>44961</v>
      </c>
      <c r="D1719" t="s">
        <v>633</v>
      </c>
      <c r="E1719" s="13">
        <v>24800000</v>
      </c>
      <c r="F1719" s="13"/>
      <c r="H1719" t="s">
        <v>2184</v>
      </c>
      <c r="I1719" t="s">
        <v>2748</v>
      </c>
      <c r="J1719" s="13">
        <v>0</v>
      </c>
      <c r="K1719">
        <v>1</v>
      </c>
      <c r="L1719" t="s">
        <v>1064</v>
      </c>
      <c r="M1719" t="s">
        <v>2749</v>
      </c>
      <c r="N1719" s="14" t="s">
        <v>6877</v>
      </c>
    </row>
    <row r="1720" spans="1:14" x14ac:dyDescent="0.2">
      <c r="A1720" t="s">
        <v>2819</v>
      </c>
      <c r="B1720" t="s">
        <v>2360</v>
      </c>
      <c r="C1720" s="9">
        <v>44961</v>
      </c>
      <c r="D1720" t="s">
        <v>633</v>
      </c>
      <c r="E1720" s="13">
        <v>21000000</v>
      </c>
      <c r="F1720" s="13"/>
      <c r="H1720" t="s">
        <v>1185</v>
      </c>
      <c r="I1720" t="s">
        <v>2748</v>
      </c>
      <c r="J1720" s="13">
        <v>0</v>
      </c>
      <c r="K1720">
        <v>1</v>
      </c>
      <c r="L1720" t="s">
        <v>1064</v>
      </c>
      <c r="M1720" t="s">
        <v>2749</v>
      </c>
      <c r="N1720" s="14" t="s">
        <v>6877</v>
      </c>
    </row>
    <row r="1721" spans="1:14" x14ac:dyDescent="0.2">
      <c r="A1721" t="s">
        <v>2820</v>
      </c>
      <c r="B1721" t="s">
        <v>2360</v>
      </c>
      <c r="C1721" s="9">
        <v>44961</v>
      </c>
      <c r="D1721" t="s">
        <v>964</v>
      </c>
      <c r="E1721" s="13">
        <v>17500000</v>
      </c>
      <c r="F1721" s="13">
        <v>27750</v>
      </c>
      <c r="G1721" s="9">
        <v>44963</v>
      </c>
      <c r="H1721" t="s">
        <v>1063</v>
      </c>
      <c r="I1721" t="s">
        <v>2520</v>
      </c>
      <c r="J1721" s="13">
        <v>485625</v>
      </c>
      <c r="K1721">
        <v>1</v>
      </c>
      <c r="L1721" t="s">
        <v>1064</v>
      </c>
      <c r="M1721" t="s">
        <v>2521</v>
      </c>
      <c r="N1721" s="15" t="s">
        <v>6878</v>
      </c>
    </row>
    <row r="1722" spans="1:14" x14ac:dyDescent="0.2">
      <c r="A1722" t="s">
        <v>2821</v>
      </c>
      <c r="B1722" t="s">
        <v>2360</v>
      </c>
      <c r="C1722" s="9">
        <v>44961</v>
      </c>
      <c r="D1722" t="s">
        <v>964</v>
      </c>
      <c r="E1722" s="13">
        <v>10300000</v>
      </c>
      <c r="F1722" s="13">
        <v>27750</v>
      </c>
      <c r="G1722" s="9">
        <v>44963</v>
      </c>
      <c r="H1722" t="s">
        <v>1063</v>
      </c>
      <c r="I1722" t="s">
        <v>2520</v>
      </c>
      <c r="J1722" s="13">
        <v>285825</v>
      </c>
      <c r="K1722">
        <v>1</v>
      </c>
      <c r="L1722" t="s">
        <v>1064</v>
      </c>
      <c r="M1722" t="s">
        <v>2521</v>
      </c>
      <c r="N1722" s="15" t="s">
        <v>6878</v>
      </c>
    </row>
    <row r="1723" spans="1:14" x14ac:dyDescent="0.2">
      <c r="A1723" t="s">
        <v>2822</v>
      </c>
      <c r="B1723" t="s">
        <v>2360</v>
      </c>
      <c r="C1723" s="9">
        <v>44961</v>
      </c>
      <c r="D1723" t="s">
        <v>964</v>
      </c>
      <c r="E1723" s="13">
        <v>17500000</v>
      </c>
      <c r="F1723" s="13">
        <v>27750</v>
      </c>
      <c r="G1723" s="9">
        <v>44963</v>
      </c>
      <c r="H1723" t="s">
        <v>1063</v>
      </c>
      <c r="I1723" t="s">
        <v>2520</v>
      </c>
      <c r="J1723" s="13">
        <v>485625</v>
      </c>
      <c r="K1723">
        <v>1</v>
      </c>
      <c r="L1723" t="s">
        <v>1064</v>
      </c>
      <c r="M1723" t="s">
        <v>2521</v>
      </c>
      <c r="N1723" s="15" t="s">
        <v>6878</v>
      </c>
    </row>
    <row r="1724" spans="1:14" x14ac:dyDescent="0.2">
      <c r="A1724" t="s">
        <v>2823</v>
      </c>
      <c r="B1724" t="s">
        <v>2360</v>
      </c>
      <c r="C1724" s="9">
        <v>44961</v>
      </c>
      <c r="D1724" t="s">
        <v>964</v>
      </c>
      <c r="E1724" s="13">
        <v>17500000</v>
      </c>
      <c r="F1724" s="13">
        <v>27750</v>
      </c>
      <c r="G1724" s="9">
        <v>44964</v>
      </c>
      <c r="H1724" t="s">
        <v>1063</v>
      </c>
      <c r="I1724" t="s">
        <v>2520</v>
      </c>
      <c r="J1724" s="13">
        <v>485625</v>
      </c>
      <c r="K1724">
        <v>1</v>
      </c>
      <c r="L1724" t="s">
        <v>1064</v>
      </c>
      <c r="M1724" t="s">
        <v>2521</v>
      </c>
      <c r="N1724" s="15" t="s">
        <v>6878</v>
      </c>
    </row>
    <row r="1725" spans="1:14" x14ac:dyDescent="0.2">
      <c r="A1725" t="s">
        <v>2824</v>
      </c>
      <c r="B1725" t="s">
        <v>2360</v>
      </c>
      <c r="C1725" s="9">
        <v>44961</v>
      </c>
      <c r="D1725" t="s">
        <v>964</v>
      </c>
      <c r="E1725" s="13">
        <v>17500000</v>
      </c>
      <c r="F1725" s="13">
        <v>27750</v>
      </c>
      <c r="G1725" s="9">
        <v>44966</v>
      </c>
      <c r="H1725" t="s">
        <v>1063</v>
      </c>
      <c r="I1725" t="s">
        <v>2520</v>
      </c>
      <c r="J1725" s="13">
        <v>485625</v>
      </c>
      <c r="K1725">
        <v>1</v>
      </c>
      <c r="L1725" t="s">
        <v>1064</v>
      </c>
      <c r="M1725" t="s">
        <v>2521</v>
      </c>
      <c r="N1725" s="15" t="s">
        <v>6878</v>
      </c>
    </row>
    <row r="1726" spans="1:14" x14ac:dyDescent="0.2">
      <c r="A1726" t="s">
        <v>2825</v>
      </c>
      <c r="B1726" t="s">
        <v>2360</v>
      </c>
      <c r="C1726" s="9">
        <v>44961</v>
      </c>
      <c r="D1726" t="s">
        <v>964</v>
      </c>
      <c r="E1726" s="13">
        <v>13500000</v>
      </c>
      <c r="F1726" s="13">
        <v>27750</v>
      </c>
      <c r="G1726" s="9">
        <v>44964</v>
      </c>
      <c r="H1726" t="s">
        <v>1063</v>
      </c>
      <c r="I1726" t="s">
        <v>2520</v>
      </c>
      <c r="J1726" s="13">
        <v>374625</v>
      </c>
      <c r="K1726">
        <v>1</v>
      </c>
      <c r="L1726" t="s">
        <v>1064</v>
      </c>
      <c r="M1726" t="s">
        <v>2521</v>
      </c>
      <c r="N1726" s="15" t="s">
        <v>6878</v>
      </c>
    </row>
    <row r="1727" spans="1:14" x14ac:dyDescent="0.2">
      <c r="A1727" t="s">
        <v>2826</v>
      </c>
      <c r="B1727" t="s">
        <v>2360</v>
      </c>
      <c r="C1727" s="9">
        <v>44963</v>
      </c>
      <c r="D1727" t="s">
        <v>9</v>
      </c>
      <c r="E1727" s="13">
        <v>340060</v>
      </c>
      <c r="F1727" s="13">
        <v>24975</v>
      </c>
      <c r="G1727" s="9">
        <v>44965</v>
      </c>
      <c r="H1727" t="s">
        <v>1111</v>
      </c>
      <c r="I1727" t="s">
        <v>436</v>
      </c>
      <c r="J1727" s="13">
        <v>11323</v>
      </c>
      <c r="K1727">
        <v>1</v>
      </c>
      <c r="L1727" t="s">
        <v>1064</v>
      </c>
      <c r="M1727" t="s">
        <v>2364</v>
      </c>
      <c r="N1727" s="15" t="s">
        <v>6878</v>
      </c>
    </row>
    <row r="1728" spans="1:14" x14ac:dyDescent="0.2">
      <c r="A1728" t="s">
        <v>2827</v>
      </c>
      <c r="B1728" t="s">
        <v>2360</v>
      </c>
      <c r="C1728" s="9">
        <v>44963</v>
      </c>
      <c r="D1728" t="s">
        <v>9</v>
      </c>
      <c r="E1728" s="13">
        <v>340060</v>
      </c>
      <c r="F1728" s="13">
        <v>24975</v>
      </c>
      <c r="G1728" s="9">
        <v>44965</v>
      </c>
      <c r="H1728" t="s">
        <v>1111</v>
      </c>
      <c r="I1728" t="s">
        <v>436</v>
      </c>
      <c r="J1728" s="13">
        <v>11323</v>
      </c>
      <c r="K1728">
        <v>1</v>
      </c>
      <c r="L1728" t="s">
        <v>1064</v>
      </c>
      <c r="M1728" t="s">
        <v>2364</v>
      </c>
      <c r="N1728" s="15" t="s">
        <v>6878</v>
      </c>
    </row>
    <row r="1729" spans="1:14" x14ac:dyDescent="0.2">
      <c r="A1729" t="s">
        <v>2828</v>
      </c>
      <c r="B1729" t="s">
        <v>2360</v>
      </c>
      <c r="C1729" s="9">
        <v>44963</v>
      </c>
      <c r="D1729" t="s">
        <v>964</v>
      </c>
      <c r="E1729" s="13">
        <v>13500000</v>
      </c>
      <c r="F1729" s="13">
        <v>27750</v>
      </c>
      <c r="G1729" s="9">
        <v>44964</v>
      </c>
      <c r="H1729" t="s">
        <v>1063</v>
      </c>
      <c r="I1729" t="s">
        <v>2520</v>
      </c>
      <c r="J1729" s="13">
        <v>374625</v>
      </c>
      <c r="K1729">
        <v>1</v>
      </c>
      <c r="L1729" t="s">
        <v>1064</v>
      </c>
      <c r="M1729" t="s">
        <v>2521</v>
      </c>
      <c r="N1729" s="15" t="s">
        <v>6878</v>
      </c>
    </row>
    <row r="1730" spans="1:14" x14ac:dyDescent="0.2">
      <c r="A1730" t="s">
        <v>2829</v>
      </c>
      <c r="B1730" t="s">
        <v>2360</v>
      </c>
      <c r="C1730" s="9">
        <v>44963</v>
      </c>
      <c r="D1730" t="s">
        <v>9</v>
      </c>
      <c r="E1730" s="13">
        <v>399350</v>
      </c>
      <c r="F1730" s="13">
        <v>24975</v>
      </c>
      <c r="G1730" s="9">
        <v>44973</v>
      </c>
      <c r="H1730" t="s">
        <v>1111</v>
      </c>
      <c r="I1730" t="s">
        <v>436</v>
      </c>
      <c r="J1730" s="13">
        <v>13297</v>
      </c>
      <c r="K1730">
        <v>1</v>
      </c>
      <c r="L1730" t="s">
        <v>1064</v>
      </c>
      <c r="M1730" t="s">
        <v>2364</v>
      </c>
      <c r="N1730" s="15" t="s">
        <v>6878</v>
      </c>
    </row>
    <row r="1731" spans="1:14" x14ac:dyDescent="0.2">
      <c r="A1731" t="s">
        <v>2830</v>
      </c>
      <c r="B1731" t="s">
        <v>2360</v>
      </c>
      <c r="C1731" s="9">
        <v>44963</v>
      </c>
      <c r="D1731" t="s">
        <v>9</v>
      </c>
      <c r="E1731" s="13">
        <v>245490</v>
      </c>
      <c r="F1731" s="13">
        <v>24975</v>
      </c>
      <c r="G1731" s="9">
        <v>44973</v>
      </c>
      <c r="H1731" t="s">
        <v>1111</v>
      </c>
      <c r="I1731" t="s">
        <v>436</v>
      </c>
      <c r="J1731" s="13">
        <v>8174</v>
      </c>
      <c r="K1731">
        <v>1</v>
      </c>
      <c r="L1731" t="s">
        <v>1064</v>
      </c>
      <c r="M1731" t="s">
        <v>2364</v>
      </c>
      <c r="N1731" s="15" t="s">
        <v>6878</v>
      </c>
    </row>
    <row r="1732" spans="1:14" x14ac:dyDescent="0.2">
      <c r="A1732" t="s">
        <v>2831</v>
      </c>
      <c r="B1732" t="s">
        <v>2360</v>
      </c>
      <c r="C1732" s="9">
        <v>44963</v>
      </c>
      <c r="D1732" t="s">
        <v>9</v>
      </c>
      <c r="E1732" s="13">
        <v>458150</v>
      </c>
      <c r="F1732" s="13">
        <v>49950</v>
      </c>
      <c r="G1732" s="9">
        <v>44973</v>
      </c>
      <c r="H1732" t="s">
        <v>1111</v>
      </c>
      <c r="I1732" t="s">
        <v>436</v>
      </c>
      <c r="J1732" s="13">
        <v>15255</v>
      </c>
      <c r="K1732">
        <v>2</v>
      </c>
      <c r="L1732" t="s">
        <v>1064</v>
      </c>
      <c r="M1732" t="s">
        <v>2364</v>
      </c>
      <c r="N1732" s="15" t="s">
        <v>6878</v>
      </c>
    </row>
    <row r="1733" spans="1:14" x14ac:dyDescent="0.2">
      <c r="A1733" t="s">
        <v>2832</v>
      </c>
      <c r="B1733" t="s">
        <v>2360</v>
      </c>
      <c r="C1733" s="9">
        <v>44963</v>
      </c>
      <c r="D1733" t="s">
        <v>9</v>
      </c>
      <c r="E1733" s="13">
        <v>294490</v>
      </c>
      <c r="F1733" s="13">
        <v>24975</v>
      </c>
      <c r="G1733" s="9">
        <v>44973</v>
      </c>
      <c r="H1733" t="s">
        <v>1111</v>
      </c>
      <c r="I1733" t="s">
        <v>436</v>
      </c>
      <c r="J1733" s="13">
        <v>9805</v>
      </c>
      <c r="K1733">
        <v>1</v>
      </c>
      <c r="L1733" t="s">
        <v>1064</v>
      </c>
      <c r="M1733" t="s">
        <v>2364</v>
      </c>
      <c r="N1733" s="15" t="s">
        <v>6878</v>
      </c>
    </row>
    <row r="1734" spans="1:14" x14ac:dyDescent="0.2">
      <c r="A1734" t="s">
        <v>2833</v>
      </c>
      <c r="B1734" t="s">
        <v>2360</v>
      </c>
      <c r="C1734" s="9">
        <v>44963</v>
      </c>
      <c r="D1734" t="s">
        <v>9</v>
      </c>
      <c r="E1734" s="13">
        <v>458150</v>
      </c>
      <c r="F1734" s="13">
        <v>24975</v>
      </c>
      <c r="G1734" s="9">
        <v>44973</v>
      </c>
      <c r="H1734" t="s">
        <v>1111</v>
      </c>
      <c r="I1734" t="s">
        <v>436</v>
      </c>
      <c r="J1734" s="13">
        <v>15255</v>
      </c>
      <c r="K1734">
        <v>1</v>
      </c>
      <c r="L1734" t="s">
        <v>1064</v>
      </c>
      <c r="M1734" t="s">
        <v>2364</v>
      </c>
      <c r="N1734" s="15" t="s">
        <v>6878</v>
      </c>
    </row>
    <row r="1735" spans="1:14" x14ac:dyDescent="0.2">
      <c r="A1735" t="s">
        <v>2834</v>
      </c>
      <c r="B1735" t="s">
        <v>2360</v>
      </c>
      <c r="C1735" s="9">
        <v>44963</v>
      </c>
      <c r="D1735" t="s">
        <v>964</v>
      </c>
      <c r="E1735" s="13">
        <v>17500000</v>
      </c>
      <c r="F1735" s="13">
        <v>27750</v>
      </c>
      <c r="G1735" s="9">
        <v>44967</v>
      </c>
      <c r="H1735" t="s">
        <v>1063</v>
      </c>
      <c r="I1735" t="s">
        <v>2520</v>
      </c>
      <c r="J1735" s="13">
        <v>485625</v>
      </c>
      <c r="K1735">
        <v>1</v>
      </c>
      <c r="L1735" t="s">
        <v>1064</v>
      </c>
      <c r="M1735" t="s">
        <v>2521</v>
      </c>
      <c r="N1735" s="15" t="s">
        <v>6878</v>
      </c>
    </row>
    <row r="1736" spans="1:14" x14ac:dyDescent="0.2">
      <c r="A1736" t="s">
        <v>2835</v>
      </c>
      <c r="B1736" t="s">
        <v>2360</v>
      </c>
      <c r="C1736" s="9">
        <v>44963</v>
      </c>
      <c r="D1736" t="s">
        <v>964</v>
      </c>
      <c r="E1736" s="13">
        <v>10500000</v>
      </c>
      <c r="F1736" s="13">
        <v>27750</v>
      </c>
      <c r="G1736" s="9">
        <v>44967</v>
      </c>
      <c r="H1736" t="s">
        <v>1063</v>
      </c>
      <c r="I1736" t="s">
        <v>2520</v>
      </c>
      <c r="J1736" s="13">
        <v>291375</v>
      </c>
      <c r="K1736">
        <v>1</v>
      </c>
      <c r="L1736" t="s">
        <v>1064</v>
      </c>
      <c r="M1736" t="s">
        <v>2521</v>
      </c>
      <c r="N1736" s="15" t="s">
        <v>6878</v>
      </c>
    </row>
    <row r="1737" spans="1:14" x14ac:dyDescent="0.2">
      <c r="A1737" t="s">
        <v>2836</v>
      </c>
      <c r="B1737" t="s">
        <v>2360</v>
      </c>
      <c r="C1737" s="9">
        <v>44964</v>
      </c>
      <c r="D1737" t="s">
        <v>633</v>
      </c>
      <c r="E1737" s="13">
        <v>21000000</v>
      </c>
      <c r="F1737" s="13"/>
      <c r="H1737" t="s">
        <v>1185</v>
      </c>
      <c r="I1737" t="s">
        <v>2748</v>
      </c>
      <c r="J1737" s="13">
        <v>0</v>
      </c>
      <c r="K1737">
        <v>1</v>
      </c>
      <c r="L1737" t="s">
        <v>1064</v>
      </c>
      <c r="M1737" t="s">
        <v>2749</v>
      </c>
      <c r="N1737" s="14" t="s">
        <v>6877</v>
      </c>
    </row>
    <row r="1738" spans="1:14" x14ac:dyDescent="0.2">
      <c r="A1738" t="s">
        <v>2837</v>
      </c>
      <c r="B1738" t="s">
        <v>2360</v>
      </c>
      <c r="C1738" s="9">
        <v>44964</v>
      </c>
      <c r="D1738" t="s">
        <v>975</v>
      </c>
      <c r="E1738" s="13">
        <v>7603200</v>
      </c>
      <c r="F1738" s="13">
        <v>295384</v>
      </c>
      <c r="G1738" s="9">
        <v>44968</v>
      </c>
      <c r="H1738" t="s">
        <v>1111</v>
      </c>
      <c r="I1738" t="s">
        <v>2641</v>
      </c>
      <c r="J1738" s="13">
        <v>27750</v>
      </c>
      <c r="K1738">
        <v>1</v>
      </c>
      <c r="L1738" t="s">
        <v>1064</v>
      </c>
      <c r="M1738" t="s">
        <v>2642</v>
      </c>
      <c r="N1738" s="15" t="s">
        <v>6878</v>
      </c>
    </row>
    <row r="1739" spans="1:14" x14ac:dyDescent="0.2">
      <c r="A1739" t="s">
        <v>2838</v>
      </c>
      <c r="B1739" t="s">
        <v>2360</v>
      </c>
      <c r="C1739" s="9">
        <v>44964</v>
      </c>
      <c r="D1739" t="s">
        <v>975</v>
      </c>
      <c r="E1739" s="13">
        <v>7603200</v>
      </c>
      <c r="F1739" s="13">
        <v>295384</v>
      </c>
      <c r="G1739" s="9">
        <v>44968</v>
      </c>
      <c r="H1739" t="s">
        <v>1111</v>
      </c>
      <c r="I1739" t="s">
        <v>2641</v>
      </c>
      <c r="J1739" s="13">
        <v>27750</v>
      </c>
      <c r="K1739">
        <v>1</v>
      </c>
      <c r="L1739" t="s">
        <v>1064</v>
      </c>
      <c r="M1739" t="s">
        <v>2642</v>
      </c>
      <c r="N1739" s="15" t="s">
        <v>6878</v>
      </c>
    </row>
    <row r="1740" spans="1:14" x14ac:dyDescent="0.2">
      <c r="A1740" t="s">
        <v>2839</v>
      </c>
      <c r="B1740" t="s">
        <v>2360</v>
      </c>
      <c r="C1740" s="9">
        <v>44964</v>
      </c>
      <c r="D1740" t="s">
        <v>975</v>
      </c>
      <c r="E1740" s="13">
        <v>7603200</v>
      </c>
      <c r="F1740" s="13">
        <v>295384</v>
      </c>
      <c r="G1740" s="9">
        <v>44968</v>
      </c>
      <c r="H1740" t="s">
        <v>1111</v>
      </c>
      <c r="I1740" t="s">
        <v>2641</v>
      </c>
      <c r="J1740" s="13">
        <v>27750</v>
      </c>
      <c r="K1740">
        <v>1</v>
      </c>
      <c r="L1740" t="s">
        <v>1064</v>
      </c>
      <c r="M1740" t="s">
        <v>2642</v>
      </c>
      <c r="N1740" s="15" t="s">
        <v>6878</v>
      </c>
    </row>
    <row r="1741" spans="1:14" x14ac:dyDescent="0.2">
      <c r="A1741" t="s">
        <v>2840</v>
      </c>
      <c r="B1741" t="s">
        <v>2360</v>
      </c>
      <c r="C1741" s="9">
        <v>44964</v>
      </c>
      <c r="D1741" t="s">
        <v>975</v>
      </c>
      <c r="E1741" s="13">
        <v>7603200</v>
      </c>
      <c r="F1741" s="13">
        <v>295384</v>
      </c>
      <c r="G1741" s="9">
        <v>44968</v>
      </c>
      <c r="H1741" t="s">
        <v>1111</v>
      </c>
      <c r="I1741" t="s">
        <v>2641</v>
      </c>
      <c r="J1741" s="13">
        <v>27750</v>
      </c>
      <c r="K1741">
        <v>1</v>
      </c>
      <c r="L1741" t="s">
        <v>1064</v>
      </c>
      <c r="M1741" t="s">
        <v>2642</v>
      </c>
      <c r="N1741" s="15" t="s">
        <v>6878</v>
      </c>
    </row>
    <row r="1742" spans="1:14" x14ac:dyDescent="0.2">
      <c r="A1742" t="s">
        <v>2841</v>
      </c>
      <c r="B1742" t="s">
        <v>2360</v>
      </c>
      <c r="C1742" s="9">
        <v>44964</v>
      </c>
      <c r="D1742" t="s">
        <v>975</v>
      </c>
      <c r="E1742" s="13">
        <v>7603200</v>
      </c>
      <c r="F1742" s="13">
        <v>295384</v>
      </c>
      <c r="G1742" s="9">
        <v>44968</v>
      </c>
      <c r="H1742" t="s">
        <v>1111</v>
      </c>
      <c r="I1742" t="s">
        <v>2641</v>
      </c>
      <c r="J1742" s="13">
        <v>27750</v>
      </c>
      <c r="K1742">
        <v>1</v>
      </c>
      <c r="L1742" t="s">
        <v>1064</v>
      </c>
      <c r="M1742" t="s">
        <v>2642</v>
      </c>
      <c r="N1742" s="15" t="s">
        <v>6878</v>
      </c>
    </row>
    <row r="1743" spans="1:14" x14ac:dyDescent="0.2">
      <c r="A1743" t="s">
        <v>2842</v>
      </c>
      <c r="B1743" t="s">
        <v>2360</v>
      </c>
      <c r="C1743" s="9">
        <v>44964</v>
      </c>
      <c r="D1743" t="s">
        <v>975</v>
      </c>
      <c r="E1743" s="13">
        <v>7603200</v>
      </c>
      <c r="F1743" s="13">
        <v>295384</v>
      </c>
      <c r="G1743" s="9">
        <v>44968</v>
      </c>
      <c r="H1743" t="s">
        <v>1111</v>
      </c>
      <c r="I1743" t="s">
        <v>2641</v>
      </c>
      <c r="J1743" s="13">
        <v>27750</v>
      </c>
      <c r="K1743">
        <v>1</v>
      </c>
      <c r="L1743" t="s">
        <v>1064</v>
      </c>
      <c r="M1743" t="s">
        <v>2642</v>
      </c>
      <c r="N1743" s="15" t="s">
        <v>6878</v>
      </c>
    </row>
    <row r="1744" spans="1:14" x14ac:dyDescent="0.2">
      <c r="A1744" t="s">
        <v>2843</v>
      </c>
      <c r="B1744" t="s">
        <v>2360</v>
      </c>
      <c r="C1744" s="9">
        <v>44964</v>
      </c>
      <c r="D1744" t="s">
        <v>975</v>
      </c>
      <c r="E1744" s="13">
        <v>704000</v>
      </c>
      <c r="F1744" s="13">
        <v>27350</v>
      </c>
      <c r="G1744" s="9">
        <v>44968</v>
      </c>
      <c r="H1744" t="s">
        <v>1111</v>
      </c>
      <c r="I1744" t="s">
        <v>2641</v>
      </c>
      <c r="J1744" s="13">
        <v>27750</v>
      </c>
      <c r="K1744">
        <v>1</v>
      </c>
      <c r="L1744" t="s">
        <v>1064</v>
      </c>
      <c r="M1744" t="s">
        <v>2642</v>
      </c>
      <c r="N1744" s="15" t="s">
        <v>6878</v>
      </c>
    </row>
    <row r="1745" spans="1:14" x14ac:dyDescent="0.2">
      <c r="A1745" t="s">
        <v>2844</v>
      </c>
      <c r="B1745" t="s">
        <v>2360</v>
      </c>
      <c r="C1745" s="9">
        <v>44964</v>
      </c>
      <c r="D1745" t="s">
        <v>975</v>
      </c>
      <c r="E1745" s="13">
        <v>704000</v>
      </c>
      <c r="F1745" s="13">
        <v>27350</v>
      </c>
      <c r="G1745" s="9">
        <v>44968</v>
      </c>
      <c r="H1745" t="s">
        <v>1111</v>
      </c>
      <c r="I1745" t="s">
        <v>2641</v>
      </c>
      <c r="J1745" s="13">
        <v>27750</v>
      </c>
      <c r="K1745">
        <v>1</v>
      </c>
      <c r="L1745" t="s">
        <v>1064</v>
      </c>
      <c r="M1745" t="s">
        <v>2642</v>
      </c>
      <c r="N1745" s="15" t="s">
        <v>6878</v>
      </c>
    </row>
    <row r="1746" spans="1:14" x14ac:dyDescent="0.2">
      <c r="A1746" t="s">
        <v>2845</v>
      </c>
      <c r="B1746" t="s">
        <v>2360</v>
      </c>
      <c r="C1746" s="9">
        <v>44964</v>
      </c>
      <c r="D1746" t="s">
        <v>9</v>
      </c>
      <c r="E1746" s="13">
        <v>4057200</v>
      </c>
      <c r="F1746" s="13">
        <v>24975</v>
      </c>
      <c r="G1746" s="9">
        <v>44977</v>
      </c>
      <c r="H1746" t="s">
        <v>1111</v>
      </c>
      <c r="I1746" t="s">
        <v>2361</v>
      </c>
      <c r="J1746" s="13">
        <v>135104</v>
      </c>
      <c r="K1746">
        <v>1</v>
      </c>
      <c r="L1746" t="s">
        <v>1064</v>
      </c>
      <c r="M1746" t="s">
        <v>2362</v>
      </c>
      <c r="N1746" s="15" t="s">
        <v>6878</v>
      </c>
    </row>
    <row r="1747" spans="1:14" x14ac:dyDescent="0.2">
      <c r="A1747" t="s">
        <v>2846</v>
      </c>
      <c r="B1747" t="s">
        <v>2360</v>
      </c>
      <c r="C1747" s="9">
        <v>44964</v>
      </c>
      <c r="D1747" t="s">
        <v>975</v>
      </c>
      <c r="E1747" s="13">
        <v>2798400</v>
      </c>
      <c r="F1747" s="13">
        <v>108717</v>
      </c>
      <c r="G1747" s="9">
        <v>44968</v>
      </c>
      <c r="H1747" t="s">
        <v>1111</v>
      </c>
      <c r="I1747" t="s">
        <v>2641</v>
      </c>
      <c r="J1747" s="13">
        <v>27750</v>
      </c>
      <c r="K1747">
        <v>1</v>
      </c>
      <c r="L1747" t="s">
        <v>1064</v>
      </c>
      <c r="M1747" t="s">
        <v>2642</v>
      </c>
      <c r="N1747" s="15" t="s">
        <v>6878</v>
      </c>
    </row>
    <row r="1748" spans="1:14" x14ac:dyDescent="0.2">
      <c r="A1748" t="s">
        <v>2847</v>
      </c>
      <c r="B1748" t="s">
        <v>2360</v>
      </c>
      <c r="C1748" s="9">
        <v>44964</v>
      </c>
      <c r="D1748" t="s">
        <v>975</v>
      </c>
      <c r="E1748" s="13">
        <v>1452000</v>
      </c>
      <c r="F1748" s="13">
        <v>56410</v>
      </c>
      <c r="G1748" s="9">
        <v>44968</v>
      </c>
      <c r="H1748" t="s">
        <v>1111</v>
      </c>
      <c r="I1748" t="s">
        <v>2641</v>
      </c>
      <c r="J1748" s="13">
        <v>27750</v>
      </c>
      <c r="K1748">
        <v>1</v>
      </c>
      <c r="L1748" t="s">
        <v>1064</v>
      </c>
      <c r="M1748" t="s">
        <v>2642</v>
      </c>
      <c r="N1748" s="15" t="s">
        <v>6878</v>
      </c>
    </row>
    <row r="1749" spans="1:14" x14ac:dyDescent="0.2">
      <c r="A1749" t="s">
        <v>2848</v>
      </c>
      <c r="B1749" t="s">
        <v>2360</v>
      </c>
      <c r="C1749" s="9">
        <v>44964</v>
      </c>
      <c r="D1749" t="s">
        <v>975</v>
      </c>
      <c r="E1749" s="13">
        <v>704000</v>
      </c>
      <c r="F1749" s="13">
        <v>27350</v>
      </c>
      <c r="G1749" s="9">
        <v>44968</v>
      </c>
      <c r="H1749" t="s">
        <v>1111</v>
      </c>
      <c r="I1749" t="s">
        <v>2641</v>
      </c>
      <c r="J1749" s="13">
        <v>27750</v>
      </c>
      <c r="K1749">
        <v>1</v>
      </c>
      <c r="L1749" t="s">
        <v>1064</v>
      </c>
      <c r="M1749" t="s">
        <v>2642</v>
      </c>
      <c r="N1749" s="15" t="s">
        <v>6878</v>
      </c>
    </row>
    <row r="1750" spans="1:14" x14ac:dyDescent="0.2">
      <c r="A1750" t="s">
        <v>2849</v>
      </c>
      <c r="B1750" t="s">
        <v>2360</v>
      </c>
      <c r="C1750" s="9">
        <v>44964</v>
      </c>
      <c r="D1750" t="s">
        <v>975</v>
      </c>
      <c r="E1750" s="13">
        <v>704000</v>
      </c>
      <c r="F1750" s="13">
        <v>27350</v>
      </c>
      <c r="G1750" s="9">
        <v>44968</v>
      </c>
      <c r="H1750" t="s">
        <v>1111</v>
      </c>
      <c r="I1750" t="s">
        <v>2641</v>
      </c>
      <c r="J1750" s="13">
        <v>27750</v>
      </c>
      <c r="K1750">
        <v>1</v>
      </c>
      <c r="L1750" t="s">
        <v>1064</v>
      </c>
      <c r="M1750" t="s">
        <v>2642</v>
      </c>
      <c r="N1750" s="15" t="s">
        <v>6878</v>
      </c>
    </row>
    <row r="1751" spans="1:14" x14ac:dyDescent="0.2">
      <c r="A1751" t="s">
        <v>2850</v>
      </c>
      <c r="B1751" t="s">
        <v>2360</v>
      </c>
      <c r="C1751" s="9">
        <v>44964</v>
      </c>
      <c r="D1751" t="s">
        <v>975</v>
      </c>
      <c r="E1751" s="13">
        <v>2798400</v>
      </c>
      <c r="F1751" s="13">
        <v>108717</v>
      </c>
      <c r="G1751" s="9">
        <v>44968</v>
      </c>
      <c r="H1751" t="s">
        <v>1111</v>
      </c>
      <c r="I1751" t="s">
        <v>2641</v>
      </c>
      <c r="J1751" s="13">
        <v>27750</v>
      </c>
      <c r="K1751">
        <v>1</v>
      </c>
      <c r="L1751" t="s">
        <v>1064</v>
      </c>
      <c r="M1751" t="s">
        <v>2642</v>
      </c>
      <c r="N1751" s="15" t="s">
        <v>6878</v>
      </c>
    </row>
    <row r="1752" spans="1:14" x14ac:dyDescent="0.2">
      <c r="A1752" t="s">
        <v>2851</v>
      </c>
      <c r="B1752" t="s">
        <v>2360</v>
      </c>
      <c r="C1752" s="9">
        <v>44964</v>
      </c>
      <c r="D1752" t="s">
        <v>975</v>
      </c>
      <c r="E1752" s="13">
        <v>1452000</v>
      </c>
      <c r="F1752" s="13">
        <v>56410</v>
      </c>
      <c r="G1752" s="9">
        <v>44968</v>
      </c>
      <c r="H1752" t="s">
        <v>1111</v>
      </c>
      <c r="I1752" t="s">
        <v>2641</v>
      </c>
      <c r="J1752" s="13">
        <v>27750</v>
      </c>
      <c r="K1752">
        <v>1</v>
      </c>
      <c r="L1752" t="s">
        <v>1064</v>
      </c>
      <c r="M1752" t="s">
        <v>2642</v>
      </c>
      <c r="N1752" s="15" t="s">
        <v>6878</v>
      </c>
    </row>
    <row r="1753" spans="1:14" x14ac:dyDescent="0.2">
      <c r="A1753" t="s">
        <v>2852</v>
      </c>
      <c r="B1753" t="s">
        <v>2360</v>
      </c>
      <c r="C1753" s="9">
        <v>44964</v>
      </c>
      <c r="D1753" t="s">
        <v>975</v>
      </c>
      <c r="E1753" s="13">
        <v>7603200</v>
      </c>
      <c r="F1753" s="13">
        <v>295384</v>
      </c>
      <c r="G1753" s="9">
        <v>44968</v>
      </c>
      <c r="H1753" t="s">
        <v>1111</v>
      </c>
      <c r="I1753" t="s">
        <v>2641</v>
      </c>
      <c r="J1753" s="13">
        <v>27750</v>
      </c>
      <c r="K1753">
        <v>1</v>
      </c>
      <c r="L1753" t="s">
        <v>1064</v>
      </c>
      <c r="M1753" t="s">
        <v>2642</v>
      </c>
      <c r="N1753" s="15" t="s">
        <v>6878</v>
      </c>
    </row>
    <row r="1754" spans="1:14" x14ac:dyDescent="0.2">
      <c r="A1754" t="s">
        <v>2853</v>
      </c>
      <c r="B1754" t="s">
        <v>2360</v>
      </c>
      <c r="C1754" s="9">
        <v>44964</v>
      </c>
      <c r="D1754" t="s">
        <v>975</v>
      </c>
      <c r="E1754" s="13">
        <v>7603200</v>
      </c>
      <c r="F1754" s="13">
        <v>295384</v>
      </c>
      <c r="G1754" s="9">
        <v>44968</v>
      </c>
      <c r="H1754" t="s">
        <v>1111</v>
      </c>
      <c r="I1754" t="s">
        <v>2641</v>
      </c>
      <c r="J1754" s="13">
        <v>27750</v>
      </c>
      <c r="K1754">
        <v>1</v>
      </c>
      <c r="L1754" t="s">
        <v>1064</v>
      </c>
      <c r="M1754" t="s">
        <v>2642</v>
      </c>
      <c r="N1754" s="15" t="s">
        <v>6878</v>
      </c>
    </row>
    <row r="1755" spans="1:14" x14ac:dyDescent="0.2">
      <c r="A1755" t="s">
        <v>2854</v>
      </c>
      <c r="B1755" t="s">
        <v>2360</v>
      </c>
      <c r="C1755" s="9">
        <v>44964</v>
      </c>
      <c r="D1755" t="s">
        <v>975</v>
      </c>
      <c r="E1755" s="13">
        <v>1188000</v>
      </c>
      <c r="F1755" s="13">
        <v>46153</v>
      </c>
      <c r="G1755" s="9">
        <v>44968</v>
      </c>
      <c r="H1755" t="s">
        <v>1111</v>
      </c>
      <c r="I1755" t="s">
        <v>2641</v>
      </c>
      <c r="J1755" s="13">
        <v>27750</v>
      </c>
      <c r="K1755">
        <v>1</v>
      </c>
      <c r="L1755" t="s">
        <v>1064</v>
      </c>
      <c r="M1755" t="s">
        <v>2642</v>
      </c>
      <c r="N1755" s="15" t="s">
        <v>6878</v>
      </c>
    </row>
    <row r="1756" spans="1:14" x14ac:dyDescent="0.2">
      <c r="A1756" t="s">
        <v>2855</v>
      </c>
      <c r="B1756" t="s">
        <v>2360</v>
      </c>
      <c r="C1756" s="9">
        <v>44964</v>
      </c>
      <c r="D1756" t="s">
        <v>975</v>
      </c>
      <c r="E1756" s="13">
        <v>1188000</v>
      </c>
      <c r="F1756" s="13">
        <v>46153</v>
      </c>
      <c r="G1756" s="9">
        <v>44968</v>
      </c>
      <c r="H1756" t="s">
        <v>1111</v>
      </c>
      <c r="I1756" t="s">
        <v>2641</v>
      </c>
      <c r="J1756" s="13">
        <v>27750</v>
      </c>
      <c r="K1756">
        <v>1</v>
      </c>
      <c r="L1756" t="s">
        <v>1064</v>
      </c>
      <c r="M1756" t="s">
        <v>2642</v>
      </c>
      <c r="N1756" s="15" t="s">
        <v>6878</v>
      </c>
    </row>
    <row r="1757" spans="1:14" x14ac:dyDescent="0.2">
      <c r="A1757" t="s">
        <v>2856</v>
      </c>
      <c r="B1757" t="s">
        <v>2360</v>
      </c>
      <c r="C1757" s="9">
        <v>44964</v>
      </c>
      <c r="D1757" t="s">
        <v>975</v>
      </c>
      <c r="E1757" s="13">
        <v>1188000</v>
      </c>
      <c r="F1757" s="13">
        <v>46153</v>
      </c>
      <c r="G1757" s="9">
        <v>44968</v>
      </c>
      <c r="H1757" t="s">
        <v>1111</v>
      </c>
      <c r="I1757" t="s">
        <v>2641</v>
      </c>
      <c r="J1757" s="13">
        <v>27750</v>
      </c>
      <c r="K1757">
        <v>1</v>
      </c>
      <c r="L1757" t="s">
        <v>1064</v>
      </c>
      <c r="M1757" t="s">
        <v>2642</v>
      </c>
      <c r="N1757" s="15" t="s">
        <v>6878</v>
      </c>
    </row>
    <row r="1758" spans="1:14" x14ac:dyDescent="0.2">
      <c r="A1758" t="s">
        <v>2857</v>
      </c>
      <c r="B1758" t="s">
        <v>2360</v>
      </c>
      <c r="C1758" s="9">
        <v>44964</v>
      </c>
      <c r="D1758" t="s">
        <v>975</v>
      </c>
      <c r="E1758" s="13">
        <v>2182400</v>
      </c>
      <c r="F1758" s="13">
        <v>84786</v>
      </c>
      <c r="G1758" s="9">
        <v>44968</v>
      </c>
      <c r="H1758" t="s">
        <v>1111</v>
      </c>
      <c r="I1758" t="s">
        <v>2641</v>
      </c>
      <c r="J1758" s="13">
        <v>27750</v>
      </c>
      <c r="K1758">
        <v>1</v>
      </c>
      <c r="L1758" t="s">
        <v>1064</v>
      </c>
      <c r="M1758" t="s">
        <v>2642</v>
      </c>
      <c r="N1758" s="15" t="s">
        <v>6878</v>
      </c>
    </row>
    <row r="1759" spans="1:14" x14ac:dyDescent="0.2">
      <c r="A1759" t="s">
        <v>2858</v>
      </c>
      <c r="B1759" t="s">
        <v>2360</v>
      </c>
      <c r="C1759" s="9">
        <v>44964</v>
      </c>
      <c r="D1759" t="s">
        <v>975</v>
      </c>
      <c r="E1759" s="13">
        <v>2798400</v>
      </c>
      <c r="F1759" s="13">
        <v>108717</v>
      </c>
      <c r="G1759" s="9">
        <v>44968</v>
      </c>
      <c r="H1759" t="s">
        <v>1111</v>
      </c>
      <c r="I1759" t="s">
        <v>2641</v>
      </c>
      <c r="J1759" s="13">
        <v>27750</v>
      </c>
      <c r="K1759">
        <v>1</v>
      </c>
      <c r="L1759" t="s">
        <v>1064</v>
      </c>
      <c r="M1759" t="s">
        <v>2642</v>
      </c>
      <c r="N1759" s="15" t="s">
        <v>6878</v>
      </c>
    </row>
    <row r="1760" spans="1:14" x14ac:dyDescent="0.2">
      <c r="A1760" t="s">
        <v>2859</v>
      </c>
      <c r="B1760" t="s">
        <v>2360</v>
      </c>
      <c r="C1760" s="9">
        <v>44964</v>
      </c>
      <c r="D1760" t="s">
        <v>975</v>
      </c>
      <c r="E1760" s="13">
        <v>2798400</v>
      </c>
      <c r="F1760" s="13">
        <v>108717</v>
      </c>
      <c r="G1760" s="9">
        <v>44968</v>
      </c>
      <c r="H1760" t="s">
        <v>1111</v>
      </c>
      <c r="I1760" t="s">
        <v>2641</v>
      </c>
      <c r="J1760" s="13">
        <v>27750</v>
      </c>
      <c r="K1760">
        <v>1</v>
      </c>
      <c r="L1760" t="s">
        <v>1064</v>
      </c>
      <c r="M1760" t="s">
        <v>2642</v>
      </c>
      <c r="N1760" s="15" t="s">
        <v>6878</v>
      </c>
    </row>
    <row r="1761" spans="1:14" x14ac:dyDescent="0.2">
      <c r="A1761" t="s">
        <v>2860</v>
      </c>
      <c r="B1761" t="s">
        <v>2360</v>
      </c>
      <c r="C1761" s="9">
        <v>44964</v>
      </c>
      <c r="D1761" t="s">
        <v>975</v>
      </c>
      <c r="E1761" s="13">
        <v>1452000</v>
      </c>
      <c r="F1761" s="13">
        <v>56410</v>
      </c>
      <c r="G1761" s="9">
        <v>44968</v>
      </c>
      <c r="H1761" t="s">
        <v>1111</v>
      </c>
      <c r="I1761" t="s">
        <v>2641</v>
      </c>
      <c r="J1761" s="13">
        <v>27750</v>
      </c>
      <c r="K1761">
        <v>1</v>
      </c>
      <c r="L1761" t="s">
        <v>1064</v>
      </c>
      <c r="M1761" t="s">
        <v>2642</v>
      </c>
      <c r="N1761" s="15" t="s">
        <v>6878</v>
      </c>
    </row>
    <row r="1762" spans="1:14" x14ac:dyDescent="0.2">
      <c r="A1762" t="s">
        <v>2861</v>
      </c>
      <c r="B1762" t="s">
        <v>2360</v>
      </c>
      <c r="C1762" s="9">
        <v>44964</v>
      </c>
      <c r="D1762" t="s">
        <v>975</v>
      </c>
      <c r="E1762" s="13">
        <v>1452000</v>
      </c>
      <c r="F1762" s="13">
        <v>56410</v>
      </c>
      <c r="G1762" s="9">
        <v>44968</v>
      </c>
      <c r="H1762" t="s">
        <v>1111</v>
      </c>
      <c r="I1762" t="s">
        <v>2641</v>
      </c>
      <c r="J1762" s="13">
        <v>27750</v>
      </c>
      <c r="K1762">
        <v>1</v>
      </c>
      <c r="L1762" t="s">
        <v>1064</v>
      </c>
      <c r="M1762" t="s">
        <v>2642</v>
      </c>
      <c r="N1762" s="15" t="s">
        <v>6878</v>
      </c>
    </row>
    <row r="1763" spans="1:14" x14ac:dyDescent="0.2">
      <c r="A1763" t="s">
        <v>2862</v>
      </c>
      <c r="B1763" t="s">
        <v>2360</v>
      </c>
      <c r="C1763" s="9">
        <v>44964</v>
      </c>
      <c r="D1763" t="s">
        <v>9</v>
      </c>
      <c r="E1763" s="13">
        <v>313600</v>
      </c>
      <c r="F1763" s="13">
        <v>24975</v>
      </c>
      <c r="G1763" s="9">
        <v>44973</v>
      </c>
      <c r="H1763" t="s">
        <v>1111</v>
      </c>
      <c r="I1763" t="s">
        <v>436</v>
      </c>
      <c r="J1763" s="13">
        <v>10442</v>
      </c>
      <c r="K1763">
        <v>1</v>
      </c>
      <c r="L1763" t="s">
        <v>1064</v>
      </c>
      <c r="M1763" t="s">
        <v>2364</v>
      </c>
      <c r="N1763" s="15" t="s">
        <v>6878</v>
      </c>
    </row>
    <row r="1764" spans="1:14" x14ac:dyDescent="0.2">
      <c r="A1764" t="s">
        <v>2863</v>
      </c>
      <c r="B1764" t="s">
        <v>2360</v>
      </c>
      <c r="C1764" s="9">
        <v>44964</v>
      </c>
      <c r="D1764" t="s">
        <v>975</v>
      </c>
      <c r="E1764" s="13">
        <v>1188000</v>
      </c>
      <c r="F1764" s="13">
        <v>46153</v>
      </c>
      <c r="G1764" s="9">
        <v>44968</v>
      </c>
      <c r="H1764" t="s">
        <v>1111</v>
      </c>
      <c r="I1764" t="s">
        <v>2641</v>
      </c>
      <c r="J1764" s="13">
        <v>27750</v>
      </c>
      <c r="K1764">
        <v>1</v>
      </c>
      <c r="L1764" t="s">
        <v>1064</v>
      </c>
      <c r="M1764" t="s">
        <v>2642</v>
      </c>
      <c r="N1764" s="15" t="s">
        <v>6878</v>
      </c>
    </row>
    <row r="1765" spans="1:14" x14ac:dyDescent="0.2">
      <c r="A1765" t="s">
        <v>2864</v>
      </c>
      <c r="B1765" t="s">
        <v>2360</v>
      </c>
      <c r="C1765" s="9">
        <v>44964</v>
      </c>
      <c r="D1765" t="s">
        <v>975</v>
      </c>
      <c r="E1765" s="13">
        <v>1188000</v>
      </c>
      <c r="F1765" s="13">
        <v>46153</v>
      </c>
      <c r="G1765" s="9">
        <v>44968</v>
      </c>
      <c r="H1765" t="s">
        <v>1111</v>
      </c>
      <c r="I1765" t="s">
        <v>2641</v>
      </c>
      <c r="J1765" s="13">
        <v>27750</v>
      </c>
      <c r="K1765">
        <v>1</v>
      </c>
      <c r="L1765" t="s">
        <v>1064</v>
      </c>
      <c r="M1765" t="s">
        <v>2642</v>
      </c>
      <c r="N1765" s="15" t="s">
        <v>6878</v>
      </c>
    </row>
    <row r="1766" spans="1:14" x14ac:dyDescent="0.2">
      <c r="A1766" t="s">
        <v>2865</v>
      </c>
      <c r="B1766" t="s">
        <v>2360</v>
      </c>
      <c r="C1766" s="9">
        <v>44964</v>
      </c>
      <c r="D1766" t="s">
        <v>975</v>
      </c>
      <c r="E1766" s="13">
        <v>1188000</v>
      </c>
      <c r="F1766" s="13">
        <v>46153</v>
      </c>
      <c r="G1766" s="9">
        <v>44968</v>
      </c>
      <c r="H1766" t="s">
        <v>1111</v>
      </c>
      <c r="I1766" t="s">
        <v>2641</v>
      </c>
      <c r="J1766" s="13">
        <v>27750</v>
      </c>
      <c r="K1766">
        <v>1</v>
      </c>
      <c r="L1766" t="s">
        <v>1064</v>
      </c>
      <c r="M1766" t="s">
        <v>2642</v>
      </c>
      <c r="N1766" s="15" t="s">
        <v>6878</v>
      </c>
    </row>
    <row r="1767" spans="1:14" x14ac:dyDescent="0.2">
      <c r="A1767" t="s">
        <v>2866</v>
      </c>
      <c r="B1767" t="s">
        <v>2360</v>
      </c>
      <c r="C1767" s="9">
        <v>44964</v>
      </c>
      <c r="D1767" t="s">
        <v>975</v>
      </c>
      <c r="E1767" s="13">
        <v>1188000</v>
      </c>
      <c r="F1767" s="13">
        <v>46153</v>
      </c>
      <c r="G1767" s="9">
        <v>44968</v>
      </c>
      <c r="H1767" t="s">
        <v>1111</v>
      </c>
      <c r="I1767" t="s">
        <v>2641</v>
      </c>
      <c r="J1767" s="13">
        <v>27750</v>
      </c>
      <c r="K1767">
        <v>1</v>
      </c>
      <c r="L1767" t="s">
        <v>1064</v>
      </c>
      <c r="M1767" t="s">
        <v>2642</v>
      </c>
      <c r="N1767" s="15" t="s">
        <v>6878</v>
      </c>
    </row>
    <row r="1768" spans="1:14" x14ac:dyDescent="0.2">
      <c r="A1768" t="s">
        <v>2867</v>
      </c>
      <c r="B1768" t="s">
        <v>2360</v>
      </c>
      <c r="C1768" s="9">
        <v>44964</v>
      </c>
      <c r="D1768" t="s">
        <v>975</v>
      </c>
      <c r="E1768" s="13">
        <v>2182400</v>
      </c>
      <c r="F1768" s="13">
        <v>84786</v>
      </c>
      <c r="G1768" s="9">
        <v>44968</v>
      </c>
      <c r="H1768" t="s">
        <v>1111</v>
      </c>
      <c r="I1768" t="s">
        <v>2641</v>
      </c>
      <c r="J1768" s="13">
        <v>27750</v>
      </c>
      <c r="K1768">
        <v>1</v>
      </c>
      <c r="L1768" t="s">
        <v>1064</v>
      </c>
      <c r="M1768" t="s">
        <v>2642</v>
      </c>
      <c r="N1768" s="15" t="s">
        <v>6878</v>
      </c>
    </row>
    <row r="1769" spans="1:14" x14ac:dyDescent="0.2">
      <c r="A1769" t="s">
        <v>2868</v>
      </c>
      <c r="B1769" t="s">
        <v>2360</v>
      </c>
      <c r="C1769" s="9">
        <v>44964</v>
      </c>
      <c r="D1769" t="s">
        <v>975</v>
      </c>
      <c r="E1769" s="13">
        <v>2798400</v>
      </c>
      <c r="F1769" s="13">
        <v>108717</v>
      </c>
      <c r="G1769" s="9">
        <v>44968</v>
      </c>
      <c r="H1769" t="s">
        <v>1111</v>
      </c>
      <c r="I1769" t="s">
        <v>2641</v>
      </c>
      <c r="J1769" s="13">
        <v>27750</v>
      </c>
      <c r="K1769">
        <v>1</v>
      </c>
      <c r="L1769" t="s">
        <v>1064</v>
      </c>
      <c r="M1769" t="s">
        <v>2642</v>
      </c>
      <c r="N1769" s="15" t="s">
        <v>6878</v>
      </c>
    </row>
    <row r="1770" spans="1:14" x14ac:dyDescent="0.2">
      <c r="A1770" t="s">
        <v>2869</v>
      </c>
      <c r="B1770" t="s">
        <v>2360</v>
      </c>
      <c r="C1770" s="9">
        <v>44964</v>
      </c>
      <c r="D1770" t="s">
        <v>975</v>
      </c>
      <c r="E1770" s="13">
        <v>2798400</v>
      </c>
      <c r="F1770" s="13">
        <v>108717</v>
      </c>
      <c r="G1770" s="9">
        <v>44968</v>
      </c>
      <c r="H1770" t="s">
        <v>1111</v>
      </c>
      <c r="I1770" t="s">
        <v>2641</v>
      </c>
      <c r="J1770" s="13">
        <v>27750</v>
      </c>
      <c r="K1770">
        <v>1</v>
      </c>
      <c r="L1770" t="s">
        <v>1064</v>
      </c>
      <c r="M1770" t="s">
        <v>2642</v>
      </c>
      <c r="N1770" s="15" t="s">
        <v>6878</v>
      </c>
    </row>
    <row r="1771" spans="1:14" x14ac:dyDescent="0.2">
      <c r="A1771" t="s">
        <v>2870</v>
      </c>
      <c r="B1771" t="s">
        <v>2360</v>
      </c>
      <c r="C1771" s="9">
        <v>44964</v>
      </c>
      <c r="D1771" t="s">
        <v>975</v>
      </c>
      <c r="E1771" s="13">
        <v>1452000</v>
      </c>
      <c r="F1771" s="13">
        <v>56410</v>
      </c>
      <c r="G1771" s="9">
        <v>44968</v>
      </c>
      <c r="H1771" t="s">
        <v>1111</v>
      </c>
      <c r="I1771" t="s">
        <v>2641</v>
      </c>
      <c r="J1771" s="13">
        <v>27750</v>
      </c>
      <c r="K1771">
        <v>1</v>
      </c>
      <c r="L1771" t="s">
        <v>1064</v>
      </c>
      <c r="M1771" t="s">
        <v>2642</v>
      </c>
      <c r="N1771" s="15" t="s">
        <v>6878</v>
      </c>
    </row>
    <row r="1772" spans="1:14" x14ac:dyDescent="0.2">
      <c r="A1772" t="s">
        <v>2871</v>
      </c>
      <c r="B1772" t="s">
        <v>2360</v>
      </c>
      <c r="C1772" s="9">
        <v>44964</v>
      </c>
      <c r="D1772" t="s">
        <v>975</v>
      </c>
      <c r="E1772" s="13">
        <v>1452000</v>
      </c>
      <c r="F1772" s="13">
        <v>56410</v>
      </c>
      <c r="G1772" s="9">
        <v>44968</v>
      </c>
      <c r="H1772" t="s">
        <v>1111</v>
      </c>
      <c r="I1772" t="s">
        <v>2641</v>
      </c>
      <c r="J1772" s="13">
        <v>27750</v>
      </c>
      <c r="K1772">
        <v>1</v>
      </c>
      <c r="L1772" t="s">
        <v>1064</v>
      </c>
      <c r="M1772" t="s">
        <v>2642</v>
      </c>
      <c r="N1772" s="15" t="s">
        <v>6878</v>
      </c>
    </row>
    <row r="1773" spans="1:14" x14ac:dyDescent="0.2">
      <c r="A1773" t="s">
        <v>2872</v>
      </c>
      <c r="B1773" t="s">
        <v>2360</v>
      </c>
      <c r="C1773" s="9">
        <v>44964</v>
      </c>
      <c r="D1773" t="s">
        <v>975</v>
      </c>
      <c r="E1773" s="13">
        <v>1188000</v>
      </c>
      <c r="F1773" s="13">
        <v>46153</v>
      </c>
      <c r="G1773" s="9">
        <v>44968</v>
      </c>
      <c r="H1773" t="s">
        <v>1111</v>
      </c>
      <c r="I1773" t="s">
        <v>2641</v>
      </c>
      <c r="J1773" s="13">
        <v>27750</v>
      </c>
      <c r="K1773">
        <v>1</v>
      </c>
      <c r="L1773" t="s">
        <v>1064</v>
      </c>
      <c r="M1773" t="s">
        <v>2642</v>
      </c>
      <c r="N1773" s="15" t="s">
        <v>6878</v>
      </c>
    </row>
    <row r="1774" spans="1:14" x14ac:dyDescent="0.2">
      <c r="A1774" t="s">
        <v>2873</v>
      </c>
      <c r="B1774" t="s">
        <v>2360</v>
      </c>
      <c r="C1774" s="9">
        <v>44964</v>
      </c>
      <c r="D1774" t="s">
        <v>975</v>
      </c>
      <c r="E1774" s="13">
        <v>2798400</v>
      </c>
      <c r="F1774" s="13">
        <v>108717</v>
      </c>
      <c r="G1774" s="9">
        <v>44968</v>
      </c>
      <c r="H1774" t="s">
        <v>1111</v>
      </c>
      <c r="I1774" t="s">
        <v>2641</v>
      </c>
      <c r="J1774" s="13">
        <v>27750</v>
      </c>
      <c r="K1774">
        <v>1</v>
      </c>
      <c r="L1774" t="s">
        <v>1064</v>
      </c>
      <c r="M1774" t="s">
        <v>2642</v>
      </c>
      <c r="N1774" s="15" t="s">
        <v>6878</v>
      </c>
    </row>
    <row r="1775" spans="1:14" x14ac:dyDescent="0.2">
      <c r="A1775" t="s">
        <v>2874</v>
      </c>
      <c r="B1775" t="s">
        <v>2360</v>
      </c>
      <c r="C1775" s="9">
        <v>44964</v>
      </c>
      <c r="D1775" t="s">
        <v>975</v>
      </c>
      <c r="E1775" s="13">
        <v>1452000</v>
      </c>
      <c r="F1775" s="13">
        <v>56410</v>
      </c>
      <c r="G1775" s="9">
        <v>44968</v>
      </c>
      <c r="H1775" t="s">
        <v>1111</v>
      </c>
      <c r="I1775" t="s">
        <v>2641</v>
      </c>
      <c r="J1775" s="13">
        <v>27750</v>
      </c>
      <c r="K1775">
        <v>1</v>
      </c>
      <c r="L1775" t="s">
        <v>1064</v>
      </c>
      <c r="M1775" t="s">
        <v>2642</v>
      </c>
      <c r="N1775" s="15" t="s">
        <v>6878</v>
      </c>
    </row>
    <row r="1776" spans="1:14" x14ac:dyDescent="0.2">
      <c r="A1776" t="s">
        <v>2875</v>
      </c>
      <c r="B1776" t="s">
        <v>2360</v>
      </c>
      <c r="C1776" s="9">
        <v>44964</v>
      </c>
      <c r="D1776" t="s">
        <v>633</v>
      </c>
      <c r="E1776" s="13">
        <v>24800000</v>
      </c>
      <c r="F1776" s="13">
        <v>963480</v>
      </c>
      <c r="G1776" s="9">
        <v>44966</v>
      </c>
      <c r="H1776" t="s">
        <v>1063</v>
      </c>
      <c r="I1776" t="s">
        <v>2748</v>
      </c>
      <c r="J1776" s="13">
        <v>27750</v>
      </c>
      <c r="K1776">
        <v>1</v>
      </c>
      <c r="L1776" t="s">
        <v>1064</v>
      </c>
      <c r="M1776" t="s">
        <v>2749</v>
      </c>
      <c r="N1776" s="15" t="s">
        <v>6878</v>
      </c>
    </row>
    <row r="1777" spans="1:14" x14ac:dyDescent="0.2">
      <c r="A1777" t="s">
        <v>2876</v>
      </c>
      <c r="B1777" t="s">
        <v>2360</v>
      </c>
      <c r="C1777" s="9">
        <v>44964</v>
      </c>
      <c r="D1777" t="s">
        <v>633</v>
      </c>
      <c r="E1777" s="13">
        <v>24800000</v>
      </c>
      <c r="F1777" s="13">
        <v>963480</v>
      </c>
      <c r="G1777" s="9">
        <v>44966</v>
      </c>
      <c r="H1777" t="s">
        <v>1063</v>
      </c>
      <c r="I1777" t="s">
        <v>2748</v>
      </c>
      <c r="J1777" s="13">
        <v>27750</v>
      </c>
      <c r="K1777">
        <v>1</v>
      </c>
      <c r="L1777" t="s">
        <v>1064</v>
      </c>
      <c r="M1777" t="s">
        <v>2749</v>
      </c>
      <c r="N1777" s="15" t="s">
        <v>6878</v>
      </c>
    </row>
    <row r="1778" spans="1:14" x14ac:dyDescent="0.2">
      <c r="A1778" t="s">
        <v>2877</v>
      </c>
      <c r="B1778" t="s">
        <v>2360</v>
      </c>
      <c r="C1778" s="9">
        <v>44964</v>
      </c>
      <c r="D1778" t="s">
        <v>633</v>
      </c>
      <c r="E1778" s="13">
        <v>21000000</v>
      </c>
      <c r="F1778" s="13">
        <v>815850</v>
      </c>
      <c r="G1778" s="9">
        <v>44966</v>
      </c>
      <c r="H1778" t="s">
        <v>1063</v>
      </c>
      <c r="I1778" t="s">
        <v>2748</v>
      </c>
      <c r="J1778" s="13">
        <v>27750</v>
      </c>
      <c r="K1778">
        <v>1</v>
      </c>
      <c r="L1778" t="s">
        <v>1064</v>
      </c>
      <c r="M1778" t="s">
        <v>2749</v>
      </c>
      <c r="N1778" s="15" t="s">
        <v>6878</v>
      </c>
    </row>
    <row r="1779" spans="1:14" x14ac:dyDescent="0.2">
      <c r="A1779" t="s">
        <v>2878</v>
      </c>
      <c r="B1779" t="s">
        <v>2360</v>
      </c>
      <c r="C1779" s="9">
        <v>44964</v>
      </c>
      <c r="D1779" t="s">
        <v>633</v>
      </c>
      <c r="E1779" s="13">
        <v>24800000</v>
      </c>
      <c r="F1779" s="13">
        <v>963480</v>
      </c>
      <c r="G1779" s="9">
        <v>44966</v>
      </c>
      <c r="H1779" t="s">
        <v>1063</v>
      </c>
      <c r="I1779" t="s">
        <v>2748</v>
      </c>
      <c r="J1779" s="13">
        <v>27750</v>
      </c>
      <c r="K1779">
        <v>1</v>
      </c>
      <c r="L1779" t="s">
        <v>1064</v>
      </c>
      <c r="M1779" t="s">
        <v>2749</v>
      </c>
      <c r="N1779" s="15" t="s">
        <v>6878</v>
      </c>
    </row>
    <row r="1780" spans="1:14" x14ac:dyDescent="0.2">
      <c r="A1780" t="s">
        <v>2879</v>
      </c>
      <c r="B1780" t="s">
        <v>2360</v>
      </c>
      <c r="C1780" s="9">
        <v>44964</v>
      </c>
      <c r="D1780" t="s">
        <v>633</v>
      </c>
      <c r="E1780" s="13">
        <v>24800000</v>
      </c>
      <c r="F1780" s="13">
        <v>963480</v>
      </c>
      <c r="G1780" s="9">
        <v>44966</v>
      </c>
      <c r="H1780" t="s">
        <v>1063</v>
      </c>
      <c r="I1780" t="s">
        <v>2748</v>
      </c>
      <c r="J1780" s="13">
        <v>27750</v>
      </c>
      <c r="K1780">
        <v>1</v>
      </c>
      <c r="L1780" t="s">
        <v>1064</v>
      </c>
      <c r="M1780" t="s">
        <v>2749</v>
      </c>
      <c r="N1780" s="15" t="s">
        <v>6878</v>
      </c>
    </row>
    <row r="1781" spans="1:14" x14ac:dyDescent="0.2">
      <c r="A1781" t="s">
        <v>2880</v>
      </c>
      <c r="B1781" t="s">
        <v>2360</v>
      </c>
      <c r="C1781" s="9">
        <v>44965</v>
      </c>
      <c r="D1781" t="s">
        <v>633</v>
      </c>
      <c r="E1781" s="13">
        <v>24800000</v>
      </c>
      <c r="F1781" s="13"/>
      <c r="H1781" t="s">
        <v>1659</v>
      </c>
      <c r="I1781" t="s">
        <v>2748</v>
      </c>
      <c r="J1781" s="13">
        <v>0</v>
      </c>
      <c r="K1781">
        <v>1</v>
      </c>
      <c r="L1781" t="s">
        <v>1064</v>
      </c>
      <c r="M1781" t="s">
        <v>2749</v>
      </c>
      <c r="N1781" s="14" t="s">
        <v>6877</v>
      </c>
    </row>
    <row r="1782" spans="1:14" x14ac:dyDescent="0.2">
      <c r="A1782" t="s">
        <v>2881</v>
      </c>
      <c r="B1782" t="s">
        <v>2360</v>
      </c>
      <c r="C1782" s="9">
        <v>44965</v>
      </c>
      <c r="D1782" t="s">
        <v>633</v>
      </c>
      <c r="E1782" s="13">
        <v>24800000</v>
      </c>
      <c r="F1782" s="13">
        <v>963480</v>
      </c>
      <c r="G1782" s="9">
        <v>44966</v>
      </c>
      <c r="H1782" t="s">
        <v>1063</v>
      </c>
      <c r="I1782" t="s">
        <v>2748</v>
      </c>
      <c r="J1782" s="13">
        <v>27750</v>
      </c>
      <c r="K1782">
        <v>1</v>
      </c>
      <c r="L1782" t="s">
        <v>1064</v>
      </c>
      <c r="M1782" t="s">
        <v>2749</v>
      </c>
      <c r="N1782" s="15" t="s">
        <v>6878</v>
      </c>
    </row>
    <row r="1783" spans="1:14" x14ac:dyDescent="0.2">
      <c r="A1783" t="s">
        <v>2882</v>
      </c>
      <c r="B1783" t="s">
        <v>2360</v>
      </c>
      <c r="C1783" s="9">
        <v>44965</v>
      </c>
      <c r="D1783" t="s">
        <v>633</v>
      </c>
      <c r="E1783" s="13">
        <v>21000000</v>
      </c>
      <c r="F1783" s="13"/>
      <c r="H1783" t="s">
        <v>1659</v>
      </c>
      <c r="I1783" t="s">
        <v>2748</v>
      </c>
      <c r="J1783" s="13">
        <v>0</v>
      </c>
      <c r="K1783">
        <v>1</v>
      </c>
      <c r="L1783" t="s">
        <v>1064</v>
      </c>
      <c r="M1783" t="s">
        <v>2749</v>
      </c>
      <c r="N1783" s="14" t="s">
        <v>6877</v>
      </c>
    </row>
    <row r="1784" spans="1:14" x14ac:dyDescent="0.2">
      <c r="A1784" t="s">
        <v>2883</v>
      </c>
      <c r="B1784" t="s">
        <v>2360</v>
      </c>
      <c r="C1784" s="9">
        <v>44965</v>
      </c>
      <c r="D1784" t="s">
        <v>633</v>
      </c>
      <c r="E1784" s="13">
        <v>24800000</v>
      </c>
      <c r="F1784" s="13">
        <v>963480</v>
      </c>
      <c r="G1784" s="9">
        <v>44966</v>
      </c>
      <c r="H1784" t="s">
        <v>1063</v>
      </c>
      <c r="I1784" t="s">
        <v>2748</v>
      </c>
      <c r="J1784" s="13">
        <v>27750</v>
      </c>
      <c r="K1784">
        <v>1</v>
      </c>
      <c r="L1784" t="s">
        <v>1064</v>
      </c>
      <c r="M1784" t="s">
        <v>2749</v>
      </c>
      <c r="N1784" s="15" t="s">
        <v>6878</v>
      </c>
    </row>
    <row r="1785" spans="1:14" x14ac:dyDescent="0.2">
      <c r="A1785" t="s">
        <v>2884</v>
      </c>
      <c r="B1785" t="s">
        <v>2360</v>
      </c>
      <c r="C1785" s="9">
        <v>44965</v>
      </c>
      <c r="D1785" t="s">
        <v>975</v>
      </c>
      <c r="E1785" s="13">
        <v>1188000</v>
      </c>
      <c r="F1785" s="13">
        <v>46153</v>
      </c>
      <c r="G1785" s="9">
        <v>44968</v>
      </c>
      <c r="H1785" t="s">
        <v>1111</v>
      </c>
      <c r="I1785" t="s">
        <v>2641</v>
      </c>
      <c r="J1785" s="13">
        <v>27750</v>
      </c>
      <c r="K1785">
        <v>1</v>
      </c>
      <c r="L1785" t="s">
        <v>1064</v>
      </c>
      <c r="M1785" t="s">
        <v>2642</v>
      </c>
      <c r="N1785" s="15" t="s">
        <v>6878</v>
      </c>
    </row>
    <row r="1786" spans="1:14" x14ac:dyDescent="0.2">
      <c r="A1786" t="s">
        <v>2885</v>
      </c>
      <c r="B1786" t="s">
        <v>2360</v>
      </c>
      <c r="C1786" s="9">
        <v>44965</v>
      </c>
      <c r="D1786" t="s">
        <v>633</v>
      </c>
      <c r="E1786" s="13">
        <v>21000000</v>
      </c>
      <c r="F1786" s="13">
        <v>815850</v>
      </c>
      <c r="G1786" s="9">
        <v>44966</v>
      </c>
      <c r="H1786" t="s">
        <v>1063</v>
      </c>
      <c r="I1786" t="s">
        <v>2748</v>
      </c>
      <c r="J1786" s="13">
        <v>27750</v>
      </c>
      <c r="K1786">
        <v>1</v>
      </c>
      <c r="L1786" t="s">
        <v>1064</v>
      </c>
      <c r="M1786" t="s">
        <v>2749</v>
      </c>
      <c r="N1786" s="15" t="s">
        <v>6878</v>
      </c>
    </row>
    <row r="1787" spans="1:14" x14ac:dyDescent="0.2">
      <c r="A1787" t="s">
        <v>2886</v>
      </c>
      <c r="B1787" t="s">
        <v>2360</v>
      </c>
      <c r="C1787" s="9">
        <v>44965</v>
      </c>
      <c r="D1787" t="s">
        <v>633</v>
      </c>
      <c r="E1787" s="13">
        <v>24800000</v>
      </c>
      <c r="F1787" s="13">
        <v>963480</v>
      </c>
      <c r="G1787" s="9">
        <v>44966</v>
      </c>
      <c r="H1787" t="s">
        <v>1063</v>
      </c>
      <c r="I1787" t="s">
        <v>2748</v>
      </c>
      <c r="J1787" s="13">
        <v>27750</v>
      </c>
      <c r="K1787">
        <v>1</v>
      </c>
      <c r="L1787" t="s">
        <v>1064</v>
      </c>
      <c r="M1787" t="s">
        <v>2749</v>
      </c>
      <c r="N1787" s="15" t="s">
        <v>6878</v>
      </c>
    </row>
    <row r="1788" spans="1:14" x14ac:dyDescent="0.2">
      <c r="A1788" t="s">
        <v>2887</v>
      </c>
      <c r="B1788" t="s">
        <v>2360</v>
      </c>
      <c r="C1788" s="9">
        <v>44965</v>
      </c>
      <c r="D1788" t="s">
        <v>9</v>
      </c>
      <c r="E1788" s="13">
        <v>340060</v>
      </c>
      <c r="F1788" s="13">
        <v>24975</v>
      </c>
      <c r="G1788" s="9">
        <v>44973</v>
      </c>
      <c r="H1788" t="s">
        <v>1111</v>
      </c>
      <c r="I1788" t="s">
        <v>436</v>
      </c>
      <c r="J1788" s="13">
        <v>11323</v>
      </c>
      <c r="K1788">
        <v>1</v>
      </c>
      <c r="L1788" t="s">
        <v>1064</v>
      </c>
      <c r="M1788" t="s">
        <v>2364</v>
      </c>
      <c r="N1788" s="15" t="s">
        <v>6878</v>
      </c>
    </row>
    <row r="1789" spans="1:14" x14ac:dyDescent="0.2">
      <c r="A1789" t="s">
        <v>2888</v>
      </c>
      <c r="B1789" t="s">
        <v>2360</v>
      </c>
      <c r="C1789" s="9">
        <v>44965</v>
      </c>
      <c r="D1789" t="s">
        <v>633</v>
      </c>
      <c r="E1789" s="13">
        <v>24800000</v>
      </c>
      <c r="F1789" s="13">
        <v>963480</v>
      </c>
      <c r="G1789" s="9">
        <v>44967</v>
      </c>
      <c r="H1789" t="s">
        <v>1063</v>
      </c>
      <c r="I1789" t="s">
        <v>2748</v>
      </c>
      <c r="J1789" s="13">
        <v>27750</v>
      </c>
      <c r="K1789">
        <v>1</v>
      </c>
      <c r="L1789" t="s">
        <v>1064</v>
      </c>
      <c r="M1789" t="s">
        <v>2749</v>
      </c>
      <c r="N1789" s="15" t="s">
        <v>6878</v>
      </c>
    </row>
    <row r="1790" spans="1:14" x14ac:dyDescent="0.2">
      <c r="A1790" t="s">
        <v>2889</v>
      </c>
      <c r="B1790" t="s">
        <v>2360</v>
      </c>
      <c r="C1790" s="9">
        <v>44965</v>
      </c>
      <c r="D1790" t="s">
        <v>9</v>
      </c>
      <c r="E1790" s="13">
        <v>315560</v>
      </c>
      <c r="F1790" s="13">
        <v>24975</v>
      </c>
      <c r="G1790" s="9">
        <v>44973</v>
      </c>
      <c r="H1790" t="s">
        <v>1111</v>
      </c>
      <c r="I1790" t="s">
        <v>436</v>
      </c>
      <c r="J1790" s="13">
        <v>10507</v>
      </c>
      <c r="K1790">
        <v>1</v>
      </c>
      <c r="L1790" t="s">
        <v>1064</v>
      </c>
      <c r="M1790" t="s">
        <v>2364</v>
      </c>
      <c r="N1790" s="15" t="s">
        <v>6878</v>
      </c>
    </row>
    <row r="1791" spans="1:14" x14ac:dyDescent="0.2">
      <c r="A1791" t="s">
        <v>2890</v>
      </c>
      <c r="B1791" t="s">
        <v>2360</v>
      </c>
      <c r="C1791" s="9">
        <v>44965</v>
      </c>
      <c r="D1791" t="s">
        <v>9</v>
      </c>
      <c r="E1791" s="13">
        <v>340060</v>
      </c>
      <c r="F1791" s="13">
        <v>24975</v>
      </c>
      <c r="G1791" s="9">
        <v>44973</v>
      </c>
      <c r="H1791" t="s">
        <v>1111</v>
      </c>
      <c r="I1791" t="s">
        <v>436</v>
      </c>
      <c r="J1791" s="13">
        <v>11323</v>
      </c>
      <c r="K1791">
        <v>1</v>
      </c>
      <c r="L1791" t="s">
        <v>1064</v>
      </c>
      <c r="M1791" t="s">
        <v>2364</v>
      </c>
      <c r="N1791" s="15" t="s">
        <v>6878</v>
      </c>
    </row>
    <row r="1792" spans="1:14" x14ac:dyDescent="0.2">
      <c r="A1792" t="s">
        <v>2891</v>
      </c>
      <c r="B1792" t="s">
        <v>2360</v>
      </c>
      <c r="C1792" s="9">
        <v>44965</v>
      </c>
      <c r="D1792" t="s">
        <v>9</v>
      </c>
      <c r="E1792" s="13">
        <v>340060</v>
      </c>
      <c r="F1792" s="13">
        <v>24975</v>
      </c>
      <c r="G1792" s="9">
        <v>44973</v>
      </c>
      <c r="H1792" t="s">
        <v>1111</v>
      </c>
      <c r="I1792" t="s">
        <v>436</v>
      </c>
      <c r="J1792" s="13">
        <v>11323</v>
      </c>
      <c r="K1792">
        <v>1</v>
      </c>
      <c r="L1792" t="s">
        <v>1064</v>
      </c>
      <c r="M1792" t="s">
        <v>2364</v>
      </c>
      <c r="N1792" s="15" t="s">
        <v>6878</v>
      </c>
    </row>
    <row r="1793" spans="1:14" x14ac:dyDescent="0.2">
      <c r="A1793" t="s">
        <v>2892</v>
      </c>
      <c r="B1793" t="s">
        <v>2360</v>
      </c>
      <c r="C1793" s="9">
        <v>44965</v>
      </c>
      <c r="D1793" t="s">
        <v>964</v>
      </c>
      <c r="E1793" s="13">
        <v>13500000</v>
      </c>
      <c r="F1793" s="13">
        <v>27750</v>
      </c>
      <c r="G1793" s="9">
        <v>44966</v>
      </c>
      <c r="H1793" t="s">
        <v>1063</v>
      </c>
      <c r="I1793" t="s">
        <v>2520</v>
      </c>
      <c r="J1793" s="13">
        <v>374625</v>
      </c>
      <c r="K1793">
        <v>1</v>
      </c>
      <c r="L1793" t="s">
        <v>1064</v>
      </c>
      <c r="M1793" t="s">
        <v>2521</v>
      </c>
      <c r="N1793" s="15" t="s">
        <v>6878</v>
      </c>
    </row>
    <row r="1794" spans="1:14" x14ac:dyDescent="0.2">
      <c r="A1794" t="s">
        <v>2893</v>
      </c>
      <c r="B1794" t="s">
        <v>2360</v>
      </c>
      <c r="C1794" s="9">
        <v>44965</v>
      </c>
      <c r="D1794" t="s">
        <v>964</v>
      </c>
      <c r="E1794" s="13">
        <v>10500000</v>
      </c>
      <c r="F1794" s="13">
        <v>27750</v>
      </c>
      <c r="G1794" s="9">
        <v>44966</v>
      </c>
      <c r="H1794" t="s">
        <v>1063</v>
      </c>
      <c r="I1794" t="s">
        <v>2520</v>
      </c>
      <c r="J1794" s="13">
        <v>291375</v>
      </c>
      <c r="K1794">
        <v>1</v>
      </c>
      <c r="L1794" t="s">
        <v>1064</v>
      </c>
      <c r="M1794" t="s">
        <v>2521</v>
      </c>
      <c r="N1794" s="15" t="s">
        <v>6878</v>
      </c>
    </row>
    <row r="1795" spans="1:14" x14ac:dyDescent="0.2">
      <c r="A1795" t="s">
        <v>2894</v>
      </c>
      <c r="B1795" t="s">
        <v>2360</v>
      </c>
      <c r="C1795" s="9">
        <v>44965</v>
      </c>
      <c r="D1795" t="s">
        <v>9</v>
      </c>
      <c r="E1795" s="13">
        <v>274890</v>
      </c>
      <c r="F1795" s="13">
        <v>24975</v>
      </c>
      <c r="G1795" s="9">
        <v>44973</v>
      </c>
      <c r="H1795" t="s">
        <v>1111</v>
      </c>
      <c r="I1795" t="s">
        <v>436</v>
      </c>
      <c r="J1795" s="13">
        <v>9153</v>
      </c>
      <c r="K1795">
        <v>1</v>
      </c>
      <c r="L1795" t="s">
        <v>1064</v>
      </c>
      <c r="M1795" t="s">
        <v>2364</v>
      </c>
      <c r="N1795" s="15" t="s">
        <v>6878</v>
      </c>
    </row>
    <row r="1796" spans="1:14" x14ac:dyDescent="0.2">
      <c r="A1796" t="s">
        <v>2895</v>
      </c>
      <c r="B1796" t="s">
        <v>2360</v>
      </c>
      <c r="C1796" s="9">
        <v>44965</v>
      </c>
      <c r="D1796" t="s">
        <v>983</v>
      </c>
      <c r="E1796" s="13">
        <v>4900000</v>
      </c>
      <c r="F1796" s="13">
        <v>11100</v>
      </c>
      <c r="G1796" s="9">
        <v>44967</v>
      </c>
      <c r="H1796" t="s">
        <v>1063</v>
      </c>
      <c r="I1796" t="s">
        <v>2896</v>
      </c>
      <c r="J1796" s="13">
        <v>135975</v>
      </c>
      <c r="K1796">
        <v>1</v>
      </c>
      <c r="L1796" t="s">
        <v>1064</v>
      </c>
      <c r="M1796" t="s">
        <v>2897</v>
      </c>
      <c r="N1796" s="15" t="s">
        <v>6878</v>
      </c>
    </row>
    <row r="1797" spans="1:14" x14ac:dyDescent="0.2">
      <c r="A1797" t="s">
        <v>2898</v>
      </c>
      <c r="B1797" t="s">
        <v>2360</v>
      </c>
      <c r="C1797" s="9">
        <v>44965</v>
      </c>
      <c r="D1797" t="s">
        <v>983</v>
      </c>
      <c r="E1797" s="13">
        <v>4900000</v>
      </c>
      <c r="F1797" s="13">
        <v>11100</v>
      </c>
      <c r="G1797" s="9">
        <v>44967</v>
      </c>
      <c r="H1797" t="s">
        <v>1063</v>
      </c>
      <c r="I1797" t="s">
        <v>2896</v>
      </c>
      <c r="J1797" s="13">
        <v>135975</v>
      </c>
      <c r="K1797">
        <v>1</v>
      </c>
      <c r="L1797" t="s">
        <v>1064</v>
      </c>
      <c r="M1797" t="s">
        <v>2897</v>
      </c>
      <c r="N1797" s="15" t="s">
        <v>6878</v>
      </c>
    </row>
    <row r="1798" spans="1:14" x14ac:dyDescent="0.2">
      <c r="A1798" t="s">
        <v>2899</v>
      </c>
      <c r="B1798" t="s">
        <v>2360</v>
      </c>
      <c r="C1798" s="9">
        <v>44965</v>
      </c>
      <c r="D1798" t="s">
        <v>983</v>
      </c>
      <c r="E1798" s="13">
        <v>4900000</v>
      </c>
      <c r="F1798" s="13">
        <v>11100</v>
      </c>
      <c r="G1798" s="9">
        <v>44967</v>
      </c>
      <c r="H1798" t="s">
        <v>1063</v>
      </c>
      <c r="I1798" t="s">
        <v>2896</v>
      </c>
      <c r="J1798" s="13">
        <v>135975</v>
      </c>
      <c r="K1798">
        <v>1</v>
      </c>
      <c r="L1798" t="s">
        <v>1064</v>
      </c>
      <c r="M1798" t="s">
        <v>2897</v>
      </c>
      <c r="N1798" s="15" t="s">
        <v>6878</v>
      </c>
    </row>
    <row r="1799" spans="1:14" x14ac:dyDescent="0.2">
      <c r="A1799" t="s">
        <v>2900</v>
      </c>
      <c r="B1799" t="s">
        <v>2360</v>
      </c>
      <c r="C1799" s="9">
        <v>44965</v>
      </c>
      <c r="D1799" t="s">
        <v>983</v>
      </c>
      <c r="E1799" s="13">
        <v>4900000</v>
      </c>
      <c r="F1799" s="13">
        <v>11100</v>
      </c>
      <c r="G1799" s="9">
        <v>44967</v>
      </c>
      <c r="H1799" t="s">
        <v>1063</v>
      </c>
      <c r="I1799" t="s">
        <v>2896</v>
      </c>
      <c r="J1799" s="13">
        <v>135975</v>
      </c>
      <c r="K1799">
        <v>1</v>
      </c>
      <c r="L1799" t="s">
        <v>1064</v>
      </c>
      <c r="M1799" t="s">
        <v>2897</v>
      </c>
      <c r="N1799" s="15" t="s">
        <v>6878</v>
      </c>
    </row>
    <row r="1800" spans="1:14" x14ac:dyDescent="0.2">
      <c r="A1800" t="s">
        <v>2901</v>
      </c>
      <c r="B1800" t="s">
        <v>2360</v>
      </c>
      <c r="C1800" s="9">
        <v>44965</v>
      </c>
      <c r="D1800" t="s">
        <v>998</v>
      </c>
      <c r="E1800" s="13">
        <v>7000000</v>
      </c>
      <c r="F1800" s="13">
        <v>27750</v>
      </c>
      <c r="G1800" s="9">
        <v>44977</v>
      </c>
      <c r="H1800" t="s">
        <v>1063</v>
      </c>
      <c r="I1800" t="s">
        <v>2902</v>
      </c>
      <c r="J1800" s="13">
        <v>310800</v>
      </c>
      <c r="K1800">
        <v>1</v>
      </c>
      <c r="L1800" t="s">
        <v>1064</v>
      </c>
      <c r="M1800" t="s">
        <v>2903</v>
      </c>
      <c r="N1800" s="15" t="s">
        <v>6878</v>
      </c>
    </row>
    <row r="1801" spans="1:14" x14ac:dyDescent="0.2">
      <c r="A1801" t="s">
        <v>2904</v>
      </c>
      <c r="B1801" t="s">
        <v>2360</v>
      </c>
      <c r="C1801" s="9">
        <v>44965</v>
      </c>
      <c r="D1801" t="s">
        <v>988</v>
      </c>
      <c r="E1801" s="13">
        <v>8280000</v>
      </c>
      <c r="F1801" s="13">
        <v>229770</v>
      </c>
      <c r="G1801" s="9">
        <v>44966</v>
      </c>
      <c r="H1801" t="s">
        <v>1063</v>
      </c>
      <c r="I1801" t="s">
        <v>2610</v>
      </c>
      <c r="J1801" s="13">
        <v>27750</v>
      </c>
      <c r="K1801">
        <v>1</v>
      </c>
      <c r="L1801" t="s">
        <v>1064</v>
      </c>
      <c r="M1801" t="s">
        <v>2611</v>
      </c>
      <c r="N1801" s="15" t="s">
        <v>6878</v>
      </c>
    </row>
    <row r="1802" spans="1:14" x14ac:dyDescent="0.2">
      <c r="A1802" t="s">
        <v>2905</v>
      </c>
      <c r="B1802" t="s">
        <v>2360</v>
      </c>
      <c r="C1802" s="9">
        <v>44965</v>
      </c>
      <c r="D1802" t="s">
        <v>988</v>
      </c>
      <c r="E1802" s="13">
        <v>8280000</v>
      </c>
      <c r="F1802" s="13">
        <v>229770</v>
      </c>
      <c r="G1802" s="9">
        <v>44966</v>
      </c>
      <c r="H1802" t="s">
        <v>1063</v>
      </c>
      <c r="I1802" t="s">
        <v>2610</v>
      </c>
      <c r="J1802" s="13">
        <v>27750</v>
      </c>
      <c r="K1802">
        <v>1</v>
      </c>
      <c r="L1802" t="s">
        <v>1064</v>
      </c>
      <c r="M1802" t="s">
        <v>2611</v>
      </c>
      <c r="N1802" s="15" t="s">
        <v>6878</v>
      </c>
    </row>
    <row r="1803" spans="1:14" x14ac:dyDescent="0.2">
      <c r="A1803" t="s">
        <v>2906</v>
      </c>
      <c r="B1803" t="s">
        <v>2360</v>
      </c>
      <c r="C1803" s="9">
        <v>44965</v>
      </c>
      <c r="D1803" t="s">
        <v>988</v>
      </c>
      <c r="E1803" s="13">
        <v>4800000</v>
      </c>
      <c r="F1803" s="13">
        <v>133200</v>
      </c>
      <c r="G1803" s="9">
        <v>44966</v>
      </c>
      <c r="H1803" t="s">
        <v>1063</v>
      </c>
      <c r="I1803" t="s">
        <v>2610</v>
      </c>
      <c r="J1803" s="13">
        <v>27750</v>
      </c>
      <c r="K1803">
        <v>1</v>
      </c>
      <c r="L1803" t="s">
        <v>1064</v>
      </c>
      <c r="M1803" t="s">
        <v>2611</v>
      </c>
      <c r="N1803" s="15" t="s">
        <v>6878</v>
      </c>
    </row>
    <row r="1804" spans="1:14" x14ac:dyDescent="0.2">
      <c r="A1804" t="s">
        <v>2907</v>
      </c>
      <c r="B1804" t="s">
        <v>2360</v>
      </c>
      <c r="C1804" s="9">
        <v>44965</v>
      </c>
      <c r="D1804" t="s">
        <v>988</v>
      </c>
      <c r="E1804" s="13">
        <v>6100000</v>
      </c>
      <c r="F1804" s="13">
        <v>169275</v>
      </c>
      <c r="G1804" s="9">
        <v>44966</v>
      </c>
      <c r="H1804" t="s">
        <v>1063</v>
      </c>
      <c r="I1804" t="s">
        <v>2610</v>
      </c>
      <c r="J1804" s="13">
        <v>27750</v>
      </c>
      <c r="K1804">
        <v>1</v>
      </c>
      <c r="L1804" t="s">
        <v>1064</v>
      </c>
      <c r="M1804" t="s">
        <v>2611</v>
      </c>
      <c r="N1804" s="15" t="s">
        <v>6878</v>
      </c>
    </row>
    <row r="1805" spans="1:14" x14ac:dyDescent="0.2">
      <c r="A1805" t="s">
        <v>2908</v>
      </c>
      <c r="B1805" t="s">
        <v>2360</v>
      </c>
      <c r="C1805" s="9">
        <v>44965</v>
      </c>
      <c r="D1805" t="s">
        <v>988</v>
      </c>
      <c r="E1805" s="13">
        <v>1785000</v>
      </c>
      <c r="F1805" s="13">
        <v>49533</v>
      </c>
      <c r="G1805" s="9">
        <v>44966</v>
      </c>
      <c r="H1805" t="s">
        <v>1063</v>
      </c>
      <c r="I1805" t="s">
        <v>2610</v>
      </c>
      <c r="J1805" s="13">
        <v>27750</v>
      </c>
      <c r="K1805">
        <v>1</v>
      </c>
      <c r="L1805" t="s">
        <v>1064</v>
      </c>
      <c r="M1805" t="s">
        <v>2611</v>
      </c>
      <c r="N1805" s="15" t="s">
        <v>6878</v>
      </c>
    </row>
    <row r="1806" spans="1:14" x14ac:dyDescent="0.2">
      <c r="A1806" t="s">
        <v>2909</v>
      </c>
      <c r="B1806" t="s">
        <v>2360</v>
      </c>
      <c r="C1806" s="9">
        <v>44965</v>
      </c>
      <c r="D1806" t="s">
        <v>988</v>
      </c>
      <c r="E1806" s="13">
        <v>1885000</v>
      </c>
      <c r="F1806" s="13">
        <v>52308</v>
      </c>
      <c r="G1806" s="9">
        <v>44966</v>
      </c>
      <c r="H1806" t="s">
        <v>1063</v>
      </c>
      <c r="I1806" t="s">
        <v>2610</v>
      </c>
      <c r="J1806" s="13">
        <v>27750</v>
      </c>
      <c r="K1806">
        <v>1</v>
      </c>
      <c r="L1806" t="s">
        <v>1064</v>
      </c>
      <c r="M1806" t="s">
        <v>2611</v>
      </c>
      <c r="N1806" s="15" t="s">
        <v>6878</v>
      </c>
    </row>
    <row r="1807" spans="1:14" x14ac:dyDescent="0.2">
      <c r="A1807" t="s">
        <v>2910</v>
      </c>
      <c r="B1807" t="s">
        <v>2360</v>
      </c>
      <c r="C1807" s="9">
        <v>44966</v>
      </c>
      <c r="D1807" t="s">
        <v>975</v>
      </c>
      <c r="E1807" s="13">
        <v>2798400</v>
      </c>
      <c r="F1807" s="13">
        <v>108717</v>
      </c>
      <c r="G1807" s="9">
        <v>44968</v>
      </c>
      <c r="H1807" t="s">
        <v>1111</v>
      </c>
      <c r="I1807" t="s">
        <v>2641</v>
      </c>
      <c r="J1807" s="13">
        <v>27750</v>
      </c>
      <c r="K1807">
        <v>1</v>
      </c>
      <c r="L1807" t="s">
        <v>1064</v>
      </c>
      <c r="M1807" t="s">
        <v>2642</v>
      </c>
      <c r="N1807" s="15" t="s">
        <v>6878</v>
      </c>
    </row>
    <row r="1808" spans="1:14" x14ac:dyDescent="0.2">
      <c r="A1808" t="s">
        <v>2911</v>
      </c>
      <c r="B1808" t="s">
        <v>2360</v>
      </c>
      <c r="C1808" s="9">
        <v>44966</v>
      </c>
      <c r="D1808" t="s">
        <v>975</v>
      </c>
      <c r="E1808" s="13">
        <v>1452000</v>
      </c>
      <c r="F1808" s="13">
        <v>56410</v>
      </c>
      <c r="G1808" s="9">
        <v>44968</v>
      </c>
      <c r="H1808" t="s">
        <v>1111</v>
      </c>
      <c r="I1808" t="s">
        <v>2641</v>
      </c>
      <c r="J1808" s="13">
        <v>27750</v>
      </c>
      <c r="K1808">
        <v>1</v>
      </c>
      <c r="L1808" t="s">
        <v>1064</v>
      </c>
      <c r="M1808" t="s">
        <v>2642</v>
      </c>
      <c r="N1808" s="15" t="s">
        <v>6878</v>
      </c>
    </row>
    <row r="1809" spans="1:14" x14ac:dyDescent="0.2">
      <c r="A1809" t="s">
        <v>2912</v>
      </c>
      <c r="B1809" t="s">
        <v>2360</v>
      </c>
      <c r="C1809" s="9">
        <v>44966</v>
      </c>
      <c r="D1809" t="s">
        <v>975</v>
      </c>
      <c r="E1809" s="13">
        <v>2798400</v>
      </c>
      <c r="F1809" s="13">
        <v>108717</v>
      </c>
      <c r="G1809" s="9">
        <v>44968</v>
      </c>
      <c r="H1809" t="s">
        <v>1111</v>
      </c>
      <c r="I1809" t="s">
        <v>2641</v>
      </c>
      <c r="J1809" s="13">
        <v>27750</v>
      </c>
      <c r="K1809">
        <v>1</v>
      </c>
      <c r="L1809" t="s">
        <v>1064</v>
      </c>
      <c r="M1809" t="s">
        <v>2642</v>
      </c>
      <c r="N1809" s="15" t="s">
        <v>6878</v>
      </c>
    </row>
    <row r="1810" spans="1:14" x14ac:dyDescent="0.2">
      <c r="A1810" t="s">
        <v>2913</v>
      </c>
      <c r="B1810" t="s">
        <v>2360</v>
      </c>
      <c r="C1810" s="9">
        <v>44966</v>
      </c>
      <c r="D1810" t="s">
        <v>975</v>
      </c>
      <c r="E1810" s="13">
        <v>2798400</v>
      </c>
      <c r="F1810" s="13">
        <v>108717</v>
      </c>
      <c r="G1810" s="9">
        <v>44968</v>
      </c>
      <c r="H1810" t="s">
        <v>1111</v>
      </c>
      <c r="I1810" t="s">
        <v>2641</v>
      </c>
      <c r="J1810" s="13">
        <v>27750</v>
      </c>
      <c r="K1810">
        <v>1</v>
      </c>
      <c r="L1810" t="s">
        <v>1064</v>
      </c>
      <c r="M1810" t="s">
        <v>2642</v>
      </c>
      <c r="N1810" s="15" t="s">
        <v>6878</v>
      </c>
    </row>
    <row r="1811" spans="1:14" x14ac:dyDescent="0.2">
      <c r="A1811" t="s">
        <v>2914</v>
      </c>
      <c r="B1811" t="s">
        <v>2360</v>
      </c>
      <c r="C1811" s="9">
        <v>44966</v>
      </c>
      <c r="D1811" t="s">
        <v>988</v>
      </c>
      <c r="E1811" s="13">
        <v>9530000</v>
      </c>
      <c r="F1811" s="13">
        <v>264457</v>
      </c>
      <c r="G1811" s="9">
        <v>44966</v>
      </c>
      <c r="H1811" t="s">
        <v>1063</v>
      </c>
      <c r="I1811" t="s">
        <v>2610</v>
      </c>
      <c r="J1811" s="13">
        <v>27750</v>
      </c>
      <c r="K1811">
        <v>1</v>
      </c>
      <c r="L1811" t="s">
        <v>1064</v>
      </c>
      <c r="M1811" t="s">
        <v>2611</v>
      </c>
      <c r="N1811" s="15" t="s">
        <v>6878</v>
      </c>
    </row>
    <row r="1812" spans="1:14" x14ac:dyDescent="0.2">
      <c r="A1812" t="s">
        <v>2915</v>
      </c>
      <c r="B1812" t="s">
        <v>2360</v>
      </c>
      <c r="C1812" s="9">
        <v>44966</v>
      </c>
      <c r="D1812" t="s">
        <v>975</v>
      </c>
      <c r="E1812" s="13">
        <v>2798400</v>
      </c>
      <c r="F1812" s="13">
        <v>108717</v>
      </c>
      <c r="G1812" s="9">
        <v>44968</v>
      </c>
      <c r="H1812" t="s">
        <v>1111</v>
      </c>
      <c r="I1812" t="s">
        <v>2641</v>
      </c>
      <c r="J1812" s="13">
        <v>27750</v>
      </c>
      <c r="K1812">
        <v>1</v>
      </c>
      <c r="L1812" t="s">
        <v>1064</v>
      </c>
      <c r="M1812" t="s">
        <v>2642</v>
      </c>
      <c r="N1812" s="15" t="s">
        <v>6878</v>
      </c>
    </row>
    <row r="1813" spans="1:14" x14ac:dyDescent="0.2">
      <c r="A1813" t="s">
        <v>2916</v>
      </c>
      <c r="B1813" t="s">
        <v>2360</v>
      </c>
      <c r="C1813" s="9">
        <v>44966</v>
      </c>
      <c r="D1813" t="s">
        <v>975</v>
      </c>
      <c r="E1813" s="13">
        <v>2798400</v>
      </c>
      <c r="F1813" s="13">
        <v>108717</v>
      </c>
      <c r="G1813" s="9">
        <v>44968</v>
      </c>
      <c r="H1813" t="s">
        <v>1111</v>
      </c>
      <c r="I1813" t="s">
        <v>2641</v>
      </c>
      <c r="J1813" s="13">
        <v>27750</v>
      </c>
      <c r="K1813">
        <v>1</v>
      </c>
      <c r="L1813" t="s">
        <v>1064</v>
      </c>
      <c r="M1813" t="s">
        <v>2642</v>
      </c>
      <c r="N1813" s="15" t="s">
        <v>6878</v>
      </c>
    </row>
    <row r="1814" spans="1:14" x14ac:dyDescent="0.2">
      <c r="A1814" t="s">
        <v>2917</v>
      </c>
      <c r="B1814" t="s">
        <v>2360</v>
      </c>
      <c r="C1814" s="9">
        <v>44966</v>
      </c>
      <c r="D1814" t="s">
        <v>975</v>
      </c>
      <c r="E1814" s="13">
        <v>1452000</v>
      </c>
      <c r="F1814" s="13">
        <v>56410</v>
      </c>
      <c r="G1814" s="9">
        <v>44968</v>
      </c>
      <c r="H1814" t="s">
        <v>1111</v>
      </c>
      <c r="I1814" t="s">
        <v>2641</v>
      </c>
      <c r="J1814" s="13">
        <v>27750</v>
      </c>
      <c r="K1814">
        <v>1</v>
      </c>
      <c r="L1814" t="s">
        <v>1064</v>
      </c>
      <c r="M1814" t="s">
        <v>2642</v>
      </c>
      <c r="N1814" s="15" t="s">
        <v>6878</v>
      </c>
    </row>
    <row r="1815" spans="1:14" x14ac:dyDescent="0.2">
      <c r="A1815" t="s">
        <v>2918</v>
      </c>
      <c r="B1815" t="s">
        <v>2360</v>
      </c>
      <c r="C1815" s="9">
        <v>44966</v>
      </c>
      <c r="D1815" t="s">
        <v>988</v>
      </c>
      <c r="E1815" s="13">
        <v>9530000</v>
      </c>
      <c r="F1815" s="13">
        <v>264457</v>
      </c>
      <c r="G1815" s="9">
        <v>44966</v>
      </c>
      <c r="H1815" t="s">
        <v>1063</v>
      </c>
      <c r="I1815" t="s">
        <v>2610</v>
      </c>
      <c r="J1815" s="13">
        <v>27750</v>
      </c>
      <c r="K1815">
        <v>1</v>
      </c>
      <c r="L1815" t="s">
        <v>1064</v>
      </c>
      <c r="M1815" t="s">
        <v>2611</v>
      </c>
      <c r="N1815" s="15" t="s">
        <v>6878</v>
      </c>
    </row>
    <row r="1816" spans="1:14" x14ac:dyDescent="0.2">
      <c r="A1816" t="s">
        <v>2919</v>
      </c>
      <c r="B1816" t="s">
        <v>2360</v>
      </c>
      <c r="C1816" s="9">
        <v>44966</v>
      </c>
      <c r="D1816" t="s">
        <v>975</v>
      </c>
      <c r="E1816" s="13">
        <v>7603200</v>
      </c>
      <c r="F1816" s="13">
        <v>295384</v>
      </c>
      <c r="G1816" s="9">
        <v>44968</v>
      </c>
      <c r="H1816" t="s">
        <v>1111</v>
      </c>
      <c r="I1816" t="s">
        <v>2641</v>
      </c>
      <c r="J1816" s="13">
        <v>27750</v>
      </c>
      <c r="K1816">
        <v>1</v>
      </c>
      <c r="L1816" t="s">
        <v>1064</v>
      </c>
      <c r="M1816" t="s">
        <v>2642</v>
      </c>
      <c r="N1816" s="15" t="s">
        <v>6878</v>
      </c>
    </row>
    <row r="1817" spans="1:14" x14ac:dyDescent="0.2">
      <c r="A1817" t="s">
        <v>2920</v>
      </c>
      <c r="B1817" t="s">
        <v>2360</v>
      </c>
      <c r="C1817" s="9">
        <v>44966</v>
      </c>
      <c r="D1817" t="s">
        <v>975</v>
      </c>
      <c r="E1817" s="13">
        <v>7603200</v>
      </c>
      <c r="F1817" s="13">
        <v>295384</v>
      </c>
      <c r="G1817" s="9">
        <v>44968</v>
      </c>
      <c r="H1817" t="s">
        <v>1111</v>
      </c>
      <c r="I1817" t="s">
        <v>2641</v>
      </c>
      <c r="J1817" s="13">
        <v>27750</v>
      </c>
      <c r="K1817">
        <v>1</v>
      </c>
      <c r="L1817" t="s">
        <v>1064</v>
      </c>
      <c r="M1817" t="s">
        <v>2642</v>
      </c>
      <c r="N1817" s="15" t="s">
        <v>6878</v>
      </c>
    </row>
    <row r="1818" spans="1:14" x14ac:dyDescent="0.2">
      <c r="A1818" t="s">
        <v>2921</v>
      </c>
      <c r="B1818" t="s">
        <v>2360</v>
      </c>
      <c r="C1818" s="9">
        <v>44966</v>
      </c>
      <c r="D1818" t="s">
        <v>975</v>
      </c>
      <c r="E1818" s="13">
        <v>7603200</v>
      </c>
      <c r="F1818" s="13">
        <v>295384</v>
      </c>
      <c r="G1818" s="9">
        <v>44968</v>
      </c>
      <c r="H1818" t="s">
        <v>1111</v>
      </c>
      <c r="I1818" t="s">
        <v>2641</v>
      </c>
      <c r="J1818" s="13">
        <v>27750</v>
      </c>
      <c r="K1818">
        <v>1</v>
      </c>
      <c r="L1818" t="s">
        <v>1064</v>
      </c>
      <c r="M1818" t="s">
        <v>2642</v>
      </c>
      <c r="N1818" s="15" t="s">
        <v>6878</v>
      </c>
    </row>
    <row r="1819" spans="1:14" x14ac:dyDescent="0.2">
      <c r="A1819" t="s">
        <v>2922</v>
      </c>
      <c r="B1819" t="s">
        <v>2360</v>
      </c>
      <c r="C1819" s="9">
        <v>44966</v>
      </c>
      <c r="D1819" t="s">
        <v>975</v>
      </c>
      <c r="E1819" s="13">
        <v>7603200</v>
      </c>
      <c r="F1819" s="13">
        <v>295384</v>
      </c>
      <c r="G1819" s="9">
        <v>44968</v>
      </c>
      <c r="H1819" t="s">
        <v>1111</v>
      </c>
      <c r="I1819" t="s">
        <v>2641</v>
      </c>
      <c r="J1819" s="13">
        <v>27750</v>
      </c>
      <c r="K1819">
        <v>1</v>
      </c>
      <c r="L1819" t="s">
        <v>1064</v>
      </c>
      <c r="M1819" t="s">
        <v>2642</v>
      </c>
      <c r="N1819" s="15" t="s">
        <v>6878</v>
      </c>
    </row>
    <row r="1820" spans="1:14" x14ac:dyDescent="0.2">
      <c r="A1820" t="s">
        <v>2923</v>
      </c>
      <c r="B1820" t="s">
        <v>2360</v>
      </c>
      <c r="C1820" s="9">
        <v>44966</v>
      </c>
      <c r="D1820" t="s">
        <v>975</v>
      </c>
      <c r="E1820" s="13">
        <v>7603200</v>
      </c>
      <c r="F1820" s="13">
        <v>295384</v>
      </c>
      <c r="G1820" s="9">
        <v>44968</v>
      </c>
      <c r="H1820" t="s">
        <v>1111</v>
      </c>
      <c r="I1820" t="s">
        <v>2641</v>
      </c>
      <c r="J1820" s="13">
        <v>27750</v>
      </c>
      <c r="K1820">
        <v>1</v>
      </c>
      <c r="L1820" t="s">
        <v>1064</v>
      </c>
      <c r="M1820" t="s">
        <v>2642</v>
      </c>
      <c r="N1820" s="15" t="s">
        <v>6878</v>
      </c>
    </row>
    <row r="1821" spans="1:14" x14ac:dyDescent="0.2">
      <c r="A1821" t="s">
        <v>2924</v>
      </c>
      <c r="B1821" t="s">
        <v>2360</v>
      </c>
      <c r="C1821" s="9">
        <v>44966</v>
      </c>
      <c r="D1821" t="s">
        <v>975</v>
      </c>
      <c r="E1821" s="13">
        <v>1452000</v>
      </c>
      <c r="F1821" s="13">
        <v>56410</v>
      </c>
      <c r="G1821" s="9">
        <v>44968</v>
      </c>
      <c r="H1821" t="s">
        <v>1111</v>
      </c>
      <c r="I1821" t="s">
        <v>2641</v>
      </c>
      <c r="J1821" s="13">
        <v>27750</v>
      </c>
      <c r="K1821">
        <v>1</v>
      </c>
      <c r="L1821" t="s">
        <v>1064</v>
      </c>
      <c r="M1821" t="s">
        <v>2642</v>
      </c>
      <c r="N1821" s="15" t="s">
        <v>6878</v>
      </c>
    </row>
    <row r="1822" spans="1:14" x14ac:dyDescent="0.2">
      <c r="A1822" t="s">
        <v>2925</v>
      </c>
      <c r="B1822" t="s">
        <v>2360</v>
      </c>
      <c r="C1822" s="9">
        <v>44966</v>
      </c>
      <c r="D1822" t="s">
        <v>975</v>
      </c>
      <c r="E1822" s="13">
        <v>1452000</v>
      </c>
      <c r="F1822" s="13">
        <v>56410</v>
      </c>
      <c r="G1822" s="9">
        <v>44968</v>
      </c>
      <c r="H1822" t="s">
        <v>1111</v>
      </c>
      <c r="I1822" t="s">
        <v>2641</v>
      </c>
      <c r="J1822" s="13">
        <v>27750</v>
      </c>
      <c r="K1822">
        <v>1</v>
      </c>
      <c r="L1822" t="s">
        <v>1064</v>
      </c>
      <c r="M1822" t="s">
        <v>2642</v>
      </c>
      <c r="N1822" s="15" t="s">
        <v>6878</v>
      </c>
    </row>
    <row r="1823" spans="1:14" x14ac:dyDescent="0.2">
      <c r="A1823" t="s">
        <v>2926</v>
      </c>
      <c r="B1823" t="s">
        <v>2360</v>
      </c>
      <c r="C1823" s="9">
        <v>44966</v>
      </c>
      <c r="D1823" t="s">
        <v>975</v>
      </c>
      <c r="E1823" s="13">
        <v>1452000</v>
      </c>
      <c r="F1823" s="13">
        <v>56410</v>
      </c>
      <c r="G1823" s="9">
        <v>44968</v>
      </c>
      <c r="H1823" t="s">
        <v>1111</v>
      </c>
      <c r="I1823" t="s">
        <v>2641</v>
      </c>
      <c r="J1823" s="13">
        <v>27750</v>
      </c>
      <c r="K1823">
        <v>1</v>
      </c>
      <c r="L1823" t="s">
        <v>1064</v>
      </c>
      <c r="M1823" t="s">
        <v>2642</v>
      </c>
      <c r="N1823" s="15" t="s">
        <v>6878</v>
      </c>
    </row>
    <row r="1824" spans="1:14" x14ac:dyDescent="0.2">
      <c r="A1824" t="s">
        <v>2927</v>
      </c>
      <c r="B1824" t="s">
        <v>2360</v>
      </c>
      <c r="C1824" s="9">
        <v>44966</v>
      </c>
      <c r="D1824" t="s">
        <v>975</v>
      </c>
      <c r="E1824" s="13">
        <v>1452000</v>
      </c>
      <c r="F1824" s="13">
        <v>56410</v>
      </c>
      <c r="G1824" s="9">
        <v>44968</v>
      </c>
      <c r="H1824" t="s">
        <v>1111</v>
      </c>
      <c r="I1824" t="s">
        <v>2641</v>
      </c>
      <c r="J1824" s="13">
        <v>27750</v>
      </c>
      <c r="K1824">
        <v>1</v>
      </c>
      <c r="L1824" t="s">
        <v>1064</v>
      </c>
      <c r="M1824" t="s">
        <v>2642</v>
      </c>
      <c r="N1824" s="15" t="s">
        <v>6878</v>
      </c>
    </row>
    <row r="1825" spans="1:14" x14ac:dyDescent="0.2">
      <c r="A1825" t="s">
        <v>2928</v>
      </c>
      <c r="B1825" t="s">
        <v>2360</v>
      </c>
      <c r="C1825" s="9">
        <v>44966</v>
      </c>
      <c r="D1825" t="s">
        <v>975</v>
      </c>
      <c r="E1825" s="13">
        <v>1452000</v>
      </c>
      <c r="F1825" s="13">
        <v>56410</v>
      </c>
      <c r="G1825" s="9">
        <v>44968</v>
      </c>
      <c r="H1825" t="s">
        <v>1111</v>
      </c>
      <c r="I1825" t="s">
        <v>2641</v>
      </c>
      <c r="J1825" s="13">
        <v>27750</v>
      </c>
      <c r="K1825">
        <v>1</v>
      </c>
      <c r="L1825" t="s">
        <v>1064</v>
      </c>
      <c r="M1825" t="s">
        <v>2642</v>
      </c>
      <c r="N1825" s="15" t="s">
        <v>6878</v>
      </c>
    </row>
    <row r="1826" spans="1:14" x14ac:dyDescent="0.2">
      <c r="A1826" t="s">
        <v>2929</v>
      </c>
      <c r="B1826" t="s">
        <v>2360</v>
      </c>
      <c r="C1826" s="9">
        <v>44966</v>
      </c>
      <c r="D1826" t="s">
        <v>975</v>
      </c>
      <c r="E1826" s="13">
        <v>1188000</v>
      </c>
      <c r="F1826" s="13">
        <v>46153</v>
      </c>
      <c r="G1826" s="9">
        <v>44968</v>
      </c>
      <c r="H1826" t="s">
        <v>1111</v>
      </c>
      <c r="I1826" t="s">
        <v>2641</v>
      </c>
      <c r="J1826" s="13">
        <v>27750</v>
      </c>
      <c r="K1826">
        <v>1</v>
      </c>
      <c r="L1826" t="s">
        <v>1064</v>
      </c>
      <c r="M1826" t="s">
        <v>2642</v>
      </c>
      <c r="N1826" s="15" t="s">
        <v>6878</v>
      </c>
    </row>
    <row r="1827" spans="1:14" x14ac:dyDescent="0.2">
      <c r="A1827" t="s">
        <v>2930</v>
      </c>
      <c r="B1827" t="s">
        <v>2360</v>
      </c>
      <c r="C1827" s="9">
        <v>44966</v>
      </c>
      <c r="D1827" t="s">
        <v>975</v>
      </c>
      <c r="E1827" s="13">
        <v>2182400</v>
      </c>
      <c r="F1827" s="13">
        <v>84786</v>
      </c>
      <c r="G1827" s="9">
        <v>44968</v>
      </c>
      <c r="H1827" t="s">
        <v>1111</v>
      </c>
      <c r="I1827" t="s">
        <v>2641</v>
      </c>
      <c r="J1827" s="13">
        <v>27750</v>
      </c>
      <c r="K1827">
        <v>1</v>
      </c>
      <c r="L1827" t="s">
        <v>1064</v>
      </c>
      <c r="M1827" t="s">
        <v>2642</v>
      </c>
      <c r="N1827" s="15" t="s">
        <v>6878</v>
      </c>
    </row>
    <row r="1828" spans="1:14" x14ac:dyDescent="0.2">
      <c r="A1828" t="s">
        <v>2931</v>
      </c>
      <c r="B1828" t="s">
        <v>2360</v>
      </c>
      <c r="C1828" s="9">
        <v>44966</v>
      </c>
      <c r="D1828" t="s">
        <v>975</v>
      </c>
      <c r="E1828" s="13">
        <v>1188000</v>
      </c>
      <c r="F1828" s="13">
        <v>46153</v>
      </c>
      <c r="G1828" s="9">
        <v>44968</v>
      </c>
      <c r="H1828" t="s">
        <v>1111</v>
      </c>
      <c r="I1828" t="s">
        <v>2641</v>
      </c>
      <c r="J1828" s="13">
        <v>27750</v>
      </c>
      <c r="K1828">
        <v>1</v>
      </c>
      <c r="L1828" t="s">
        <v>1064</v>
      </c>
      <c r="M1828" t="s">
        <v>2642</v>
      </c>
      <c r="N1828" s="15" t="s">
        <v>6878</v>
      </c>
    </row>
    <row r="1829" spans="1:14" x14ac:dyDescent="0.2">
      <c r="A1829" t="s">
        <v>2932</v>
      </c>
      <c r="B1829" t="s">
        <v>2360</v>
      </c>
      <c r="C1829" s="9">
        <v>44966</v>
      </c>
      <c r="D1829" t="s">
        <v>975</v>
      </c>
      <c r="E1829" s="13">
        <v>2798400</v>
      </c>
      <c r="F1829" s="13">
        <v>108717</v>
      </c>
      <c r="G1829" s="9">
        <v>44968</v>
      </c>
      <c r="H1829" t="s">
        <v>1111</v>
      </c>
      <c r="I1829" t="s">
        <v>2641</v>
      </c>
      <c r="J1829" s="13">
        <v>27750</v>
      </c>
      <c r="K1829">
        <v>1</v>
      </c>
      <c r="L1829" t="s">
        <v>1064</v>
      </c>
      <c r="M1829" t="s">
        <v>2642</v>
      </c>
      <c r="N1829" s="15" t="s">
        <v>6878</v>
      </c>
    </row>
    <row r="1830" spans="1:14" x14ac:dyDescent="0.2">
      <c r="A1830" t="s">
        <v>2933</v>
      </c>
      <c r="B1830" t="s">
        <v>2360</v>
      </c>
      <c r="C1830" s="9">
        <v>44966</v>
      </c>
      <c r="D1830" t="s">
        <v>975</v>
      </c>
      <c r="E1830" s="13">
        <v>1452000</v>
      </c>
      <c r="F1830" s="13">
        <v>56410</v>
      </c>
      <c r="G1830" s="9">
        <v>44968</v>
      </c>
      <c r="H1830" t="s">
        <v>1111</v>
      </c>
      <c r="I1830" t="s">
        <v>2641</v>
      </c>
      <c r="J1830" s="13">
        <v>27750</v>
      </c>
      <c r="K1830">
        <v>1</v>
      </c>
      <c r="L1830" t="s">
        <v>1064</v>
      </c>
      <c r="M1830" t="s">
        <v>2642</v>
      </c>
      <c r="N1830" s="15" t="s">
        <v>6878</v>
      </c>
    </row>
    <row r="1831" spans="1:14" x14ac:dyDescent="0.2">
      <c r="A1831" t="s">
        <v>2934</v>
      </c>
      <c r="B1831" t="s">
        <v>2360</v>
      </c>
      <c r="C1831" s="9">
        <v>44966</v>
      </c>
      <c r="D1831" t="s">
        <v>975</v>
      </c>
      <c r="E1831" s="13">
        <v>1188000</v>
      </c>
      <c r="F1831" s="13">
        <v>46153</v>
      </c>
      <c r="G1831" s="9">
        <v>44968</v>
      </c>
      <c r="H1831" t="s">
        <v>1111</v>
      </c>
      <c r="I1831" t="s">
        <v>2641</v>
      </c>
      <c r="J1831" s="13">
        <v>27750</v>
      </c>
      <c r="K1831">
        <v>1</v>
      </c>
      <c r="L1831" t="s">
        <v>1064</v>
      </c>
      <c r="M1831" t="s">
        <v>2642</v>
      </c>
      <c r="N1831" s="15" t="s">
        <v>6878</v>
      </c>
    </row>
    <row r="1832" spans="1:14" x14ac:dyDescent="0.2">
      <c r="A1832" t="s">
        <v>2935</v>
      </c>
      <c r="B1832" t="s">
        <v>2360</v>
      </c>
      <c r="C1832" s="9">
        <v>44966</v>
      </c>
      <c r="D1832" t="s">
        <v>975</v>
      </c>
      <c r="E1832" s="13">
        <v>2182400</v>
      </c>
      <c r="F1832" s="13">
        <v>84786</v>
      </c>
      <c r="G1832" s="9">
        <v>44968</v>
      </c>
      <c r="H1832" t="s">
        <v>1111</v>
      </c>
      <c r="I1832" t="s">
        <v>2641</v>
      </c>
      <c r="J1832" s="13">
        <v>27750</v>
      </c>
      <c r="K1832">
        <v>1</v>
      </c>
      <c r="L1832" t="s">
        <v>1064</v>
      </c>
      <c r="M1832" t="s">
        <v>2642</v>
      </c>
      <c r="N1832" s="15" t="s">
        <v>6878</v>
      </c>
    </row>
    <row r="1833" spans="1:14" x14ac:dyDescent="0.2">
      <c r="A1833" t="s">
        <v>2936</v>
      </c>
      <c r="B1833" t="s">
        <v>2360</v>
      </c>
      <c r="C1833" s="9">
        <v>44966</v>
      </c>
      <c r="D1833" t="s">
        <v>975</v>
      </c>
      <c r="E1833" s="13">
        <v>800000</v>
      </c>
      <c r="F1833" s="13">
        <v>31080</v>
      </c>
      <c r="G1833" s="9">
        <v>44968</v>
      </c>
      <c r="H1833" t="s">
        <v>1111</v>
      </c>
      <c r="I1833" t="s">
        <v>2641</v>
      </c>
      <c r="J1833" s="13">
        <v>27750</v>
      </c>
      <c r="K1833">
        <v>1</v>
      </c>
      <c r="L1833" t="s">
        <v>1064</v>
      </c>
      <c r="M1833" t="s">
        <v>2642</v>
      </c>
      <c r="N1833" s="15" t="s">
        <v>6878</v>
      </c>
    </row>
    <row r="1834" spans="1:14" x14ac:dyDescent="0.2">
      <c r="A1834" t="s">
        <v>2937</v>
      </c>
      <c r="B1834" t="s">
        <v>2360</v>
      </c>
      <c r="C1834" s="9">
        <v>44966</v>
      </c>
      <c r="D1834" t="s">
        <v>975</v>
      </c>
      <c r="E1834" s="13">
        <v>800000</v>
      </c>
      <c r="F1834" s="13">
        <v>31080</v>
      </c>
      <c r="G1834" s="9">
        <v>44968</v>
      </c>
      <c r="H1834" t="s">
        <v>1111</v>
      </c>
      <c r="I1834" t="s">
        <v>2641</v>
      </c>
      <c r="J1834" s="13">
        <v>27750</v>
      </c>
      <c r="K1834">
        <v>1</v>
      </c>
      <c r="L1834" t="s">
        <v>1064</v>
      </c>
      <c r="M1834" t="s">
        <v>2642</v>
      </c>
      <c r="N1834" s="15" t="s">
        <v>6878</v>
      </c>
    </row>
    <row r="1835" spans="1:14" x14ac:dyDescent="0.2">
      <c r="A1835" t="s">
        <v>2938</v>
      </c>
      <c r="B1835" t="s">
        <v>2360</v>
      </c>
      <c r="C1835" s="9">
        <v>44966</v>
      </c>
      <c r="D1835" t="s">
        <v>975</v>
      </c>
      <c r="E1835" s="13">
        <v>800000</v>
      </c>
      <c r="F1835" s="13">
        <v>31080</v>
      </c>
      <c r="G1835" s="9">
        <v>44968</v>
      </c>
      <c r="H1835" t="s">
        <v>1111</v>
      </c>
      <c r="I1835" t="s">
        <v>2641</v>
      </c>
      <c r="J1835" s="13">
        <v>27750</v>
      </c>
      <c r="K1835">
        <v>1</v>
      </c>
      <c r="L1835" t="s">
        <v>1064</v>
      </c>
      <c r="M1835" t="s">
        <v>2642</v>
      </c>
      <c r="N1835" s="15" t="s">
        <v>6878</v>
      </c>
    </row>
    <row r="1836" spans="1:14" x14ac:dyDescent="0.2">
      <c r="A1836" t="s">
        <v>2939</v>
      </c>
      <c r="B1836" t="s">
        <v>2360</v>
      </c>
      <c r="C1836" s="9">
        <v>44966</v>
      </c>
      <c r="D1836" t="s">
        <v>975</v>
      </c>
      <c r="E1836" s="13">
        <v>800000</v>
      </c>
      <c r="F1836" s="13">
        <v>31080</v>
      </c>
      <c r="G1836" s="9">
        <v>44968</v>
      </c>
      <c r="H1836" t="s">
        <v>1111</v>
      </c>
      <c r="I1836" t="s">
        <v>2641</v>
      </c>
      <c r="J1836" s="13">
        <v>27750</v>
      </c>
      <c r="K1836">
        <v>1</v>
      </c>
      <c r="L1836" t="s">
        <v>1064</v>
      </c>
      <c r="M1836" t="s">
        <v>2642</v>
      </c>
      <c r="N1836" s="15" t="s">
        <v>6878</v>
      </c>
    </row>
    <row r="1837" spans="1:14" x14ac:dyDescent="0.2">
      <c r="A1837" t="s">
        <v>2940</v>
      </c>
      <c r="B1837" t="s">
        <v>2360</v>
      </c>
      <c r="C1837" s="9">
        <v>44966</v>
      </c>
      <c r="D1837" t="s">
        <v>975</v>
      </c>
      <c r="E1837" s="13">
        <v>800000</v>
      </c>
      <c r="F1837" s="13">
        <v>31080</v>
      </c>
      <c r="G1837" s="9">
        <v>44968</v>
      </c>
      <c r="H1837" t="s">
        <v>1111</v>
      </c>
      <c r="I1837" t="s">
        <v>2641</v>
      </c>
      <c r="J1837" s="13">
        <v>27750</v>
      </c>
      <c r="K1837">
        <v>1</v>
      </c>
      <c r="L1837" t="s">
        <v>1064</v>
      </c>
      <c r="M1837" t="s">
        <v>2642</v>
      </c>
      <c r="N1837" s="15" t="s">
        <v>6878</v>
      </c>
    </row>
    <row r="1838" spans="1:14" x14ac:dyDescent="0.2">
      <c r="A1838" t="s">
        <v>2941</v>
      </c>
      <c r="B1838" t="s">
        <v>2360</v>
      </c>
      <c r="C1838" s="9">
        <v>44966</v>
      </c>
      <c r="D1838" t="s">
        <v>975</v>
      </c>
      <c r="E1838" s="13">
        <v>800000</v>
      </c>
      <c r="F1838" s="13">
        <v>31080</v>
      </c>
      <c r="G1838" s="9">
        <v>44968</v>
      </c>
      <c r="H1838" t="s">
        <v>1111</v>
      </c>
      <c r="I1838" t="s">
        <v>2641</v>
      </c>
      <c r="J1838" s="13">
        <v>27750</v>
      </c>
      <c r="K1838">
        <v>1</v>
      </c>
      <c r="L1838" t="s">
        <v>1064</v>
      </c>
      <c r="M1838" t="s">
        <v>2642</v>
      </c>
      <c r="N1838" s="15" t="s">
        <v>6878</v>
      </c>
    </row>
    <row r="1839" spans="1:14" x14ac:dyDescent="0.2">
      <c r="A1839" t="s">
        <v>2942</v>
      </c>
      <c r="B1839" t="s">
        <v>2360</v>
      </c>
      <c r="C1839" s="9">
        <v>44966</v>
      </c>
      <c r="D1839" t="s">
        <v>975</v>
      </c>
      <c r="E1839" s="13">
        <v>800000</v>
      </c>
      <c r="F1839" s="13">
        <v>31080</v>
      </c>
      <c r="G1839" s="9">
        <v>44968</v>
      </c>
      <c r="H1839" t="s">
        <v>1111</v>
      </c>
      <c r="I1839" t="s">
        <v>2641</v>
      </c>
      <c r="J1839" s="13">
        <v>27750</v>
      </c>
      <c r="K1839">
        <v>1</v>
      </c>
      <c r="L1839" t="s">
        <v>1064</v>
      </c>
      <c r="M1839" t="s">
        <v>2642</v>
      </c>
      <c r="N1839" s="15" t="s">
        <v>6878</v>
      </c>
    </row>
    <row r="1840" spans="1:14" x14ac:dyDescent="0.2">
      <c r="A1840" t="s">
        <v>2943</v>
      </c>
      <c r="B1840" t="s">
        <v>2360</v>
      </c>
      <c r="C1840" s="9">
        <v>44966</v>
      </c>
      <c r="D1840" t="s">
        <v>975</v>
      </c>
      <c r="E1840" s="13">
        <v>800000</v>
      </c>
      <c r="F1840" s="13">
        <v>31080</v>
      </c>
      <c r="G1840" s="9">
        <v>44968</v>
      </c>
      <c r="H1840" t="s">
        <v>1111</v>
      </c>
      <c r="I1840" t="s">
        <v>2641</v>
      </c>
      <c r="J1840" s="13">
        <v>27750</v>
      </c>
      <c r="K1840">
        <v>1</v>
      </c>
      <c r="L1840" t="s">
        <v>1064</v>
      </c>
      <c r="M1840" t="s">
        <v>2642</v>
      </c>
      <c r="N1840" s="15" t="s">
        <v>6878</v>
      </c>
    </row>
    <row r="1841" spans="1:14" x14ac:dyDescent="0.2">
      <c r="A1841" t="s">
        <v>2944</v>
      </c>
      <c r="B1841" t="s">
        <v>2360</v>
      </c>
      <c r="C1841" s="9">
        <v>44966</v>
      </c>
      <c r="D1841" t="s">
        <v>975</v>
      </c>
      <c r="E1841" s="13">
        <v>800000</v>
      </c>
      <c r="F1841" s="13">
        <v>31080</v>
      </c>
      <c r="G1841" s="9">
        <v>44968</v>
      </c>
      <c r="H1841" t="s">
        <v>1111</v>
      </c>
      <c r="I1841" t="s">
        <v>2641</v>
      </c>
      <c r="J1841" s="13">
        <v>27750</v>
      </c>
      <c r="K1841">
        <v>1</v>
      </c>
      <c r="L1841" t="s">
        <v>1064</v>
      </c>
      <c r="M1841" t="s">
        <v>2642</v>
      </c>
      <c r="N1841" s="15" t="s">
        <v>6878</v>
      </c>
    </row>
    <row r="1842" spans="1:14" x14ac:dyDescent="0.2">
      <c r="A1842" t="s">
        <v>2945</v>
      </c>
      <c r="B1842" t="s">
        <v>2360</v>
      </c>
      <c r="C1842" s="9">
        <v>44966</v>
      </c>
      <c r="D1842" t="s">
        <v>975</v>
      </c>
      <c r="E1842" s="13">
        <v>800000</v>
      </c>
      <c r="F1842" s="13">
        <v>31080</v>
      </c>
      <c r="G1842" s="9">
        <v>44968</v>
      </c>
      <c r="H1842" t="s">
        <v>1111</v>
      </c>
      <c r="I1842" t="s">
        <v>2641</v>
      </c>
      <c r="J1842" s="13">
        <v>27750</v>
      </c>
      <c r="K1842">
        <v>1</v>
      </c>
      <c r="L1842" t="s">
        <v>1064</v>
      </c>
      <c r="M1842" t="s">
        <v>2642</v>
      </c>
      <c r="N1842" s="15" t="s">
        <v>6878</v>
      </c>
    </row>
    <row r="1843" spans="1:14" x14ac:dyDescent="0.2">
      <c r="A1843" t="s">
        <v>2946</v>
      </c>
      <c r="B1843" t="s">
        <v>2360</v>
      </c>
      <c r="C1843" s="9">
        <v>44966</v>
      </c>
      <c r="D1843" t="s">
        <v>975</v>
      </c>
      <c r="E1843" s="13">
        <v>800000</v>
      </c>
      <c r="F1843" s="13">
        <v>31080</v>
      </c>
      <c r="G1843" s="9">
        <v>44968</v>
      </c>
      <c r="H1843" t="s">
        <v>1111</v>
      </c>
      <c r="I1843" t="s">
        <v>2641</v>
      </c>
      <c r="J1843" s="13">
        <v>27750</v>
      </c>
      <c r="K1843">
        <v>1</v>
      </c>
      <c r="L1843" t="s">
        <v>1064</v>
      </c>
      <c r="M1843" t="s">
        <v>2642</v>
      </c>
      <c r="N1843" s="15" t="s">
        <v>6878</v>
      </c>
    </row>
    <row r="1844" spans="1:14" x14ac:dyDescent="0.2">
      <c r="A1844" t="s">
        <v>2947</v>
      </c>
      <c r="B1844" t="s">
        <v>2360</v>
      </c>
      <c r="C1844" s="9">
        <v>44966</v>
      </c>
      <c r="D1844" t="s">
        <v>9</v>
      </c>
      <c r="E1844" s="13">
        <v>274890</v>
      </c>
      <c r="F1844" s="13">
        <v>24975</v>
      </c>
      <c r="G1844" s="9">
        <v>44973</v>
      </c>
      <c r="H1844" t="s">
        <v>1111</v>
      </c>
      <c r="I1844" t="s">
        <v>436</v>
      </c>
      <c r="J1844" s="13">
        <v>9153</v>
      </c>
      <c r="K1844">
        <v>1</v>
      </c>
      <c r="L1844" t="s">
        <v>1064</v>
      </c>
      <c r="M1844" t="s">
        <v>2364</v>
      </c>
      <c r="N1844" s="15" t="s">
        <v>6878</v>
      </c>
    </row>
    <row r="1845" spans="1:14" x14ac:dyDescent="0.2">
      <c r="A1845" t="s">
        <v>2948</v>
      </c>
      <c r="B1845" t="s">
        <v>2360</v>
      </c>
      <c r="C1845" s="9">
        <v>44966</v>
      </c>
      <c r="D1845" t="s">
        <v>9</v>
      </c>
      <c r="E1845" s="13">
        <v>6762000</v>
      </c>
      <c r="F1845" s="13">
        <v>24975</v>
      </c>
      <c r="G1845" s="9">
        <v>44978</v>
      </c>
      <c r="H1845" t="s">
        <v>1111</v>
      </c>
      <c r="I1845" t="s">
        <v>2361</v>
      </c>
      <c r="J1845" s="13">
        <v>225174</v>
      </c>
      <c r="K1845">
        <v>1</v>
      </c>
      <c r="L1845" t="s">
        <v>1064</v>
      </c>
      <c r="M1845" t="s">
        <v>2362</v>
      </c>
      <c r="N1845" s="15" t="s">
        <v>6878</v>
      </c>
    </row>
    <row r="1846" spans="1:14" x14ac:dyDescent="0.2">
      <c r="A1846" t="s">
        <v>2949</v>
      </c>
      <c r="B1846" t="s">
        <v>2360</v>
      </c>
      <c r="C1846" s="9">
        <v>44966</v>
      </c>
      <c r="D1846" t="s">
        <v>975</v>
      </c>
      <c r="E1846" s="13">
        <v>1452000</v>
      </c>
      <c r="F1846" s="13">
        <v>56410</v>
      </c>
      <c r="G1846" s="9">
        <v>44968</v>
      </c>
      <c r="H1846" t="s">
        <v>1111</v>
      </c>
      <c r="I1846" t="s">
        <v>2641</v>
      </c>
      <c r="J1846" s="13">
        <v>27750</v>
      </c>
      <c r="K1846">
        <v>1</v>
      </c>
      <c r="L1846" t="s">
        <v>1064</v>
      </c>
      <c r="M1846" t="s">
        <v>2642</v>
      </c>
      <c r="N1846" s="15" t="s">
        <v>6878</v>
      </c>
    </row>
    <row r="1847" spans="1:14" x14ac:dyDescent="0.2">
      <c r="A1847" t="s">
        <v>2950</v>
      </c>
      <c r="B1847" t="s">
        <v>2360</v>
      </c>
      <c r="C1847" s="9">
        <v>44966</v>
      </c>
      <c r="D1847" t="s">
        <v>975</v>
      </c>
      <c r="E1847" s="13">
        <v>2798400</v>
      </c>
      <c r="F1847" s="13">
        <v>108717</v>
      </c>
      <c r="G1847" s="9">
        <v>44968</v>
      </c>
      <c r="H1847" t="s">
        <v>1111</v>
      </c>
      <c r="I1847" t="s">
        <v>2641</v>
      </c>
      <c r="J1847" s="13">
        <v>27750</v>
      </c>
      <c r="K1847">
        <v>1</v>
      </c>
      <c r="L1847" t="s">
        <v>1064</v>
      </c>
      <c r="M1847" t="s">
        <v>2642</v>
      </c>
      <c r="N1847" s="15" t="s">
        <v>6878</v>
      </c>
    </row>
    <row r="1848" spans="1:14" x14ac:dyDescent="0.2">
      <c r="A1848" t="s">
        <v>2951</v>
      </c>
      <c r="B1848" t="s">
        <v>2360</v>
      </c>
      <c r="C1848" s="9">
        <v>44966</v>
      </c>
      <c r="D1848" t="s">
        <v>975</v>
      </c>
      <c r="E1848" s="13">
        <v>1188000</v>
      </c>
      <c r="F1848" s="13">
        <v>46153</v>
      </c>
      <c r="G1848" s="9">
        <v>44968</v>
      </c>
      <c r="H1848" t="s">
        <v>1111</v>
      </c>
      <c r="I1848" t="s">
        <v>2641</v>
      </c>
      <c r="J1848" s="13">
        <v>27750</v>
      </c>
      <c r="K1848">
        <v>1</v>
      </c>
      <c r="L1848" t="s">
        <v>1064</v>
      </c>
      <c r="M1848" t="s">
        <v>2642</v>
      </c>
      <c r="N1848" s="15" t="s">
        <v>6878</v>
      </c>
    </row>
    <row r="1849" spans="1:14" x14ac:dyDescent="0.2">
      <c r="A1849" t="s">
        <v>2952</v>
      </c>
      <c r="B1849" t="s">
        <v>2360</v>
      </c>
      <c r="C1849" s="9">
        <v>44966</v>
      </c>
      <c r="D1849" t="s">
        <v>983</v>
      </c>
      <c r="E1849" s="13">
        <v>4900000</v>
      </c>
      <c r="F1849" s="13">
        <v>11100</v>
      </c>
      <c r="G1849" s="9">
        <v>44967</v>
      </c>
      <c r="H1849" t="s">
        <v>1063</v>
      </c>
      <c r="I1849" t="s">
        <v>2896</v>
      </c>
      <c r="J1849" s="13">
        <v>135975</v>
      </c>
      <c r="K1849">
        <v>1</v>
      </c>
      <c r="L1849" t="s">
        <v>1064</v>
      </c>
      <c r="M1849" t="s">
        <v>2897</v>
      </c>
      <c r="N1849" s="15" t="s">
        <v>6878</v>
      </c>
    </row>
    <row r="1850" spans="1:14" x14ac:dyDescent="0.2">
      <c r="A1850" t="s">
        <v>2953</v>
      </c>
      <c r="B1850" t="s">
        <v>2360</v>
      </c>
      <c r="C1850" s="9">
        <v>44966</v>
      </c>
      <c r="D1850" t="s">
        <v>9</v>
      </c>
      <c r="E1850" s="13">
        <v>265090</v>
      </c>
      <c r="F1850" s="13">
        <v>24975</v>
      </c>
      <c r="G1850" s="9">
        <v>44973</v>
      </c>
      <c r="H1850" t="s">
        <v>1111</v>
      </c>
      <c r="I1850" t="s">
        <v>436</v>
      </c>
      <c r="J1850" s="13">
        <v>8826</v>
      </c>
      <c r="K1850">
        <v>1</v>
      </c>
      <c r="L1850" t="s">
        <v>1064</v>
      </c>
      <c r="M1850" t="s">
        <v>2364</v>
      </c>
      <c r="N1850" s="15" t="s">
        <v>6878</v>
      </c>
    </row>
    <row r="1851" spans="1:14" x14ac:dyDescent="0.2">
      <c r="A1851" t="s">
        <v>2954</v>
      </c>
      <c r="B1851" t="s">
        <v>2360</v>
      </c>
      <c r="C1851" s="9">
        <v>44966</v>
      </c>
      <c r="D1851" t="s">
        <v>633</v>
      </c>
      <c r="E1851" s="13">
        <v>24800000</v>
      </c>
      <c r="F1851" s="13">
        <v>963480</v>
      </c>
      <c r="G1851" s="9">
        <v>44967</v>
      </c>
      <c r="H1851" t="s">
        <v>1063</v>
      </c>
      <c r="I1851" t="s">
        <v>2748</v>
      </c>
      <c r="J1851" s="13">
        <v>27750</v>
      </c>
      <c r="K1851">
        <v>1</v>
      </c>
      <c r="L1851" t="s">
        <v>1064</v>
      </c>
      <c r="M1851" t="s">
        <v>2749</v>
      </c>
      <c r="N1851" s="15" t="s">
        <v>6878</v>
      </c>
    </row>
    <row r="1852" spans="1:14" x14ac:dyDescent="0.2">
      <c r="A1852" t="s">
        <v>2955</v>
      </c>
      <c r="B1852" t="s">
        <v>2360</v>
      </c>
      <c r="C1852" s="9">
        <v>44966</v>
      </c>
      <c r="D1852" t="s">
        <v>633</v>
      </c>
      <c r="E1852" s="13">
        <v>24800000</v>
      </c>
      <c r="F1852" s="13">
        <v>963480</v>
      </c>
      <c r="G1852" s="9">
        <v>44967</v>
      </c>
      <c r="H1852" t="s">
        <v>1063</v>
      </c>
      <c r="I1852" t="s">
        <v>2748</v>
      </c>
      <c r="J1852" s="13">
        <v>27750</v>
      </c>
      <c r="K1852">
        <v>1</v>
      </c>
      <c r="L1852" t="s">
        <v>1064</v>
      </c>
      <c r="M1852" t="s">
        <v>2749</v>
      </c>
      <c r="N1852" s="15" t="s">
        <v>6878</v>
      </c>
    </row>
    <row r="1853" spans="1:14" x14ac:dyDescent="0.2">
      <c r="A1853" t="s">
        <v>2956</v>
      </c>
      <c r="B1853" t="s">
        <v>2360</v>
      </c>
      <c r="C1853" s="9">
        <v>44966</v>
      </c>
      <c r="D1853" t="s">
        <v>633</v>
      </c>
      <c r="E1853" s="13">
        <v>24800000</v>
      </c>
      <c r="F1853" s="13">
        <v>963480</v>
      </c>
      <c r="G1853" s="9">
        <v>44967</v>
      </c>
      <c r="H1853" t="s">
        <v>1063</v>
      </c>
      <c r="I1853" t="s">
        <v>2748</v>
      </c>
      <c r="J1853" s="13">
        <v>27750</v>
      </c>
      <c r="K1853">
        <v>1</v>
      </c>
      <c r="L1853" t="s">
        <v>1064</v>
      </c>
      <c r="M1853" t="s">
        <v>2749</v>
      </c>
      <c r="N1853" s="15" t="s">
        <v>6878</v>
      </c>
    </row>
    <row r="1854" spans="1:14" x14ac:dyDescent="0.2">
      <c r="A1854" t="s">
        <v>2957</v>
      </c>
      <c r="B1854" t="s">
        <v>2360</v>
      </c>
      <c r="C1854" s="9">
        <v>44966</v>
      </c>
      <c r="D1854" t="s">
        <v>633</v>
      </c>
      <c r="E1854" s="13">
        <v>21000000</v>
      </c>
      <c r="F1854" s="13">
        <v>815850</v>
      </c>
      <c r="G1854" s="9">
        <v>44967</v>
      </c>
      <c r="H1854" t="s">
        <v>1063</v>
      </c>
      <c r="I1854" t="s">
        <v>2748</v>
      </c>
      <c r="J1854" s="13">
        <v>27750</v>
      </c>
      <c r="K1854">
        <v>1</v>
      </c>
      <c r="L1854" t="s">
        <v>1064</v>
      </c>
      <c r="M1854" t="s">
        <v>2749</v>
      </c>
      <c r="N1854" s="15" t="s">
        <v>6878</v>
      </c>
    </row>
    <row r="1855" spans="1:14" x14ac:dyDescent="0.2">
      <c r="A1855" t="s">
        <v>2958</v>
      </c>
      <c r="B1855" t="s">
        <v>2360</v>
      </c>
      <c r="C1855" s="9">
        <v>44966</v>
      </c>
      <c r="D1855" t="s">
        <v>633</v>
      </c>
      <c r="E1855" s="13">
        <v>24800000</v>
      </c>
      <c r="F1855" s="13"/>
      <c r="H1855" t="s">
        <v>1659</v>
      </c>
      <c r="I1855" t="s">
        <v>2748</v>
      </c>
      <c r="J1855" s="13">
        <v>0</v>
      </c>
      <c r="K1855">
        <v>1</v>
      </c>
      <c r="L1855" t="s">
        <v>1064</v>
      </c>
      <c r="M1855" t="s">
        <v>2749</v>
      </c>
      <c r="N1855" s="14" t="s">
        <v>6877</v>
      </c>
    </row>
    <row r="1856" spans="1:14" x14ac:dyDescent="0.2">
      <c r="A1856" t="s">
        <v>2959</v>
      </c>
      <c r="B1856" t="s">
        <v>2360</v>
      </c>
      <c r="C1856" s="9">
        <v>44966</v>
      </c>
      <c r="D1856" t="s">
        <v>633</v>
      </c>
      <c r="E1856" s="13">
        <v>24800000</v>
      </c>
      <c r="F1856" s="13">
        <v>963480</v>
      </c>
      <c r="G1856" s="9">
        <v>44967</v>
      </c>
      <c r="H1856" t="s">
        <v>1063</v>
      </c>
      <c r="I1856" t="s">
        <v>2748</v>
      </c>
      <c r="J1856" s="13">
        <v>27750</v>
      </c>
      <c r="K1856">
        <v>1</v>
      </c>
      <c r="L1856" t="s">
        <v>1064</v>
      </c>
      <c r="M1856" t="s">
        <v>2749</v>
      </c>
      <c r="N1856" s="15" t="s">
        <v>6878</v>
      </c>
    </row>
    <row r="1857" spans="1:14" x14ac:dyDescent="0.2">
      <c r="A1857" t="s">
        <v>2960</v>
      </c>
      <c r="B1857" t="s">
        <v>2360</v>
      </c>
      <c r="C1857" s="9">
        <v>44966</v>
      </c>
      <c r="D1857" t="s">
        <v>633</v>
      </c>
      <c r="E1857" s="13">
        <v>24800000</v>
      </c>
      <c r="F1857" s="13">
        <v>963480</v>
      </c>
      <c r="G1857" s="9">
        <v>44967</v>
      </c>
      <c r="H1857" t="s">
        <v>1063</v>
      </c>
      <c r="I1857" t="s">
        <v>2748</v>
      </c>
      <c r="J1857" s="13">
        <v>27750</v>
      </c>
      <c r="K1857">
        <v>1</v>
      </c>
      <c r="L1857" t="s">
        <v>1064</v>
      </c>
      <c r="M1857" t="s">
        <v>2749</v>
      </c>
      <c r="N1857" s="15" t="s">
        <v>6878</v>
      </c>
    </row>
    <row r="1858" spans="1:14" x14ac:dyDescent="0.2">
      <c r="A1858" t="s">
        <v>2961</v>
      </c>
      <c r="B1858" t="s">
        <v>2360</v>
      </c>
      <c r="C1858" s="9">
        <v>44966</v>
      </c>
      <c r="D1858" t="s">
        <v>633</v>
      </c>
      <c r="E1858" s="13">
        <v>22000000</v>
      </c>
      <c r="F1858" s="13">
        <v>854700</v>
      </c>
      <c r="G1858" s="9">
        <v>44967</v>
      </c>
      <c r="H1858" t="s">
        <v>1063</v>
      </c>
      <c r="I1858" t="s">
        <v>2748</v>
      </c>
      <c r="J1858" s="13">
        <v>27750</v>
      </c>
      <c r="K1858">
        <v>1</v>
      </c>
      <c r="L1858" t="s">
        <v>1064</v>
      </c>
      <c r="M1858" t="s">
        <v>2749</v>
      </c>
      <c r="N1858" s="15" t="s">
        <v>6878</v>
      </c>
    </row>
    <row r="1859" spans="1:14" x14ac:dyDescent="0.2">
      <c r="A1859" t="s">
        <v>2962</v>
      </c>
      <c r="B1859" t="s">
        <v>2360</v>
      </c>
      <c r="C1859" s="9">
        <v>44967</v>
      </c>
      <c r="D1859" t="s">
        <v>964</v>
      </c>
      <c r="E1859" s="13">
        <v>17500000</v>
      </c>
      <c r="F1859" s="13">
        <v>27750</v>
      </c>
      <c r="G1859" s="9">
        <v>44970</v>
      </c>
      <c r="H1859" t="s">
        <v>1063</v>
      </c>
      <c r="I1859" t="s">
        <v>2520</v>
      </c>
      <c r="J1859" s="13">
        <v>485625</v>
      </c>
      <c r="K1859">
        <v>1</v>
      </c>
      <c r="L1859" t="s">
        <v>1064</v>
      </c>
      <c r="M1859" t="s">
        <v>2521</v>
      </c>
      <c r="N1859" s="15" t="s">
        <v>6878</v>
      </c>
    </row>
    <row r="1860" spans="1:14" x14ac:dyDescent="0.2">
      <c r="A1860" t="s">
        <v>2963</v>
      </c>
      <c r="B1860" t="s">
        <v>2360</v>
      </c>
      <c r="C1860" s="9">
        <v>44967</v>
      </c>
      <c r="D1860" t="s">
        <v>964</v>
      </c>
      <c r="E1860" s="13">
        <v>10500000</v>
      </c>
      <c r="F1860" s="13">
        <v>27750</v>
      </c>
      <c r="G1860" s="9">
        <v>44970</v>
      </c>
      <c r="H1860" t="s">
        <v>1063</v>
      </c>
      <c r="I1860" t="s">
        <v>2520</v>
      </c>
      <c r="J1860" s="13">
        <v>291375</v>
      </c>
      <c r="K1860">
        <v>1</v>
      </c>
      <c r="L1860" t="s">
        <v>1064</v>
      </c>
      <c r="M1860" t="s">
        <v>2521</v>
      </c>
      <c r="N1860" s="15" t="s">
        <v>6878</v>
      </c>
    </row>
    <row r="1861" spans="1:14" x14ac:dyDescent="0.2">
      <c r="A1861" t="s">
        <v>2964</v>
      </c>
      <c r="B1861" t="s">
        <v>2360</v>
      </c>
      <c r="C1861" s="9">
        <v>44967</v>
      </c>
      <c r="D1861" t="s">
        <v>964</v>
      </c>
      <c r="E1861" s="13">
        <v>10500000</v>
      </c>
      <c r="F1861" s="13">
        <v>27750</v>
      </c>
      <c r="G1861" s="9">
        <v>44970</v>
      </c>
      <c r="H1861" t="s">
        <v>1063</v>
      </c>
      <c r="I1861" t="s">
        <v>2520</v>
      </c>
      <c r="J1861" s="13">
        <v>291375</v>
      </c>
      <c r="K1861">
        <v>1</v>
      </c>
      <c r="L1861" t="s">
        <v>1064</v>
      </c>
      <c r="M1861" t="s">
        <v>2521</v>
      </c>
      <c r="N1861" s="15" t="s">
        <v>6878</v>
      </c>
    </row>
    <row r="1862" spans="1:14" x14ac:dyDescent="0.2">
      <c r="A1862" t="s">
        <v>2965</v>
      </c>
      <c r="B1862" t="s">
        <v>2360</v>
      </c>
      <c r="C1862" s="9">
        <v>44968</v>
      </c>
      <c r="D1862" t="s">
        <v>992</v>
      </c>
      <c r="E1862" s="13">
        <v>1407312</v>
      </c>
      <c r="F1862" s="13">
        <v>22200</v>
      </c>
      <c r="G1862" s="9">
        <v>44970</v>
      </c>
      <c r="H1862" t="s">
        <v>1063</v>
      </c>
      <c r="I1862" t="s">
        <v>2370</v>
      </c>
      <c r="J1862" s="13">
        <v>62484</v>
      </c>
      <c r="K1862">
        <v>1</v>
      </c>
      <c r="L1862" t="s">
        <v>1064</v>
      </c>
      <c r="M1862" t="s">
        <v>2371</v>
      </c>
      <c r="N1862" s="15" t="s">
        <v>6878</v>
      </c>
    </row>
    <row r="1863" spans="1:14" x14ac:dyDescent="0.2">
      <c r="A1863" t="s">
        <v>2966</v>
      </c>
      <c r="B1863" t="s">
        <v>2360</v>
      </c>
      <c r="C1863" s="9">
        <v>44969</v>
      </c>
      <c r="D1863" t="s">
        <v>9</v>
      </c>
      <c r="E1863" s="13">
        <v>458150</v>
      </c>
      <c r="F1863" s="13">
        <v>24975</v>
      </c>
      <c r="G1863" s="9">
        <v>44978</v>
      </c>
      <c r="H1863" t="s">
        <v>1111</v>
      </c>
      <c r="I1863" t="s">
        <v>436</v>
      </c>
      <c r="J1863" s="13">
        <v>15255</v>
      </c>
      <c r="K1863">
        <v>1</v>
      </c>
      <c r="L1863" t="s">
        <v>1064</v>
      </c>
      <c r="M1863" t="s">
        <v>2364</v>
      </c>
      <c r="N1863" s="15" t="s">
        <v>6878</v>
      </c>
    </row>
    <row r="1864" spans="1:14" x14ac:dyDescent="0.2">
      <c r="A1864" t="s">
        <v>2967</v>
      </c>
      <c r="B1864" t="s">
        <v>2360</v>
      </c>
      <c r="C1864" s="9">
        <v>44969</v>
      </c>
      <c r="D1864" t="s">
        <v>992</v>
      </c>
      <c r="E1864" s="13">
        <v>2611919</v>
      </c>
      <c r="F1864" s="13">
        <v>22200</v>
      </c>
      <c r="G1864" s="9">
        <v>44970</v>
      </c>
      <c r="H1864" t="s">
        <v>1063</v>
      </c>
      <c r="I1864" t="s">
        <v>2370</v>
      </c>
      <c r="J1864" s="13">
        <v>115968</v>
      </c>
      <c r="K1864">
        <v>1</v>
      </c>
      <c r="L1864" t="s">
        <v>1064</v>
      </c>
      <c r="M1864" t="s">
        <v>2371</v>
      </c>
      <c r="N1864" s="15" t="s">
        <v>6878</v>
      </c>
    </row>
    <row r="1865" spans="1:14" x14ac:dyDescent="0.2">
      <c r="A1865" t="s">
        <v>2968</v>
      </c>
      <c r="B1865" t="s">
        <v>2360</v>
      </c>
      <c r="C1865" s="9">
        <v>44969</v>
      </c>
      <c r="D1865" t="s">
        <v>9</v>
      </c>
      <c r="E1865" s="13">
        <v>4057200</v>
      </c>
      <c r="F1865" s="13">
        <v>24975</v>
      </c>
      <c r="G1865" s="9">
        <v>44981</v>
      </c>
      <c r="H1865" t="s">
        <v>1111</v>
      </c>
      <c r="I1865" t="s">
        <v>2361</v>
      </c>
      <c r="J1865" s="13">
        <v>135104</v>
      </c>
      <c r="K1865">
        <v>1</v>
      </c>
      <c r="L1865" t="s">
        <v>1064</v>
      </c>
      <c r="M1865" t="s">
        <v>2362</v>
      </c>
      <c r="N1865" s="15" t="s">
        <v>6878</v>
      </c>
    </row>
    <row r="1866" spans="1:14" x14ac:dyDescent="0.2">
      <c r="A1866" t="s">
        <v>2969</v>
      </c>
      <c r="B1866" t="s">
        <v>2360</v>
      </c>
      <c r="C1866" s="9">
        <v>44970</v>
      </c>
      <c r="D1866" t="s">
        <v>9</v>
      </c>
      <c r="E1866" s="13">
        <v>245490</v>
      </c>
      <c r="F1866" s="13">
        <v>24975</v>
      </c>
      <c r="G1866" s="9">
        <v>44978</v>
      </c>
      <c r="H1866" t="s">
        <v>1111</v>
      </c>
      <c r="I1866" t="s">
        <v>436</v>
      </c>
      <c r="J1866" s="13">
        <v>8174</v>
      </c>
      <c r="K1866">
        <v>1</v>
      </c>
      <c r="L1866" t="s">
        <v>1064</v>
      </c>
      <c r="M1866" t="s">
        <v>2364</v>
      </c>
      <c r="N1866" s="15" t="s">
        <v>6878</v>
      </c>
    </row>
    <row r="1867" spans="1:14" x14ac:dyDescent="0.2">
      <c r="A1867" t="s">
        <v>2970</v>
      </c>
      <c r="B1867" t="s">
        <v>2360</v>
      </c>
      <c r="C1867" s="9">
        <v>44970</v>
      </c>
      <c r="D1867" t="s">
        <v>9</v>
      </c>
      <c r="E1867" s="13">
        <v>333690</v>
      </c>
      <c r="F1867" s="13">
        <v>49950</v>
      </c>
      <c r="G1867" s="9">
        <v>44978</v>
      </c>
      <c r="H1867" t="s">
        <v>1111</v>
      </c>
      <c r="I1867" t="s">
        <v>436</v>
      </c>
      <c r="J1867" s="13">
        <v>11111</v>
      </c>
      <c r="K1867">
        <v>2</v>
      </c>
      <c r="L1867" t="s">
        <v>1064</v>
      </c>
      <c r="M1867" t="s">
        <v>2364</v>
      </c>
      <c r="N1867" s="15" t="s">
        <v>6878</v>
      </c>
    </row>
    <row r="1868" spans="1:14" x14ac:dyDescent="0.2">
      <c r="A1868" t="s">
        <v>2971</v>
      </c>
      <c r="B1868" t="s">
        <v>2360</v>
      </c>
      <c r="C1868" s="9">
        <v>44970</v>
      </c>
      <c r="D1868" t="s">
        <v>983</v>
      </c>
      <c r="E1868" s="13">
        <v>4900000</v>
      </c>
      <c r="F1868" s="13">
        <v>11100</v>
      </c>
      <c r="G1868" s="9">
        <v>44974</v>
      </c>
      <c r="H1868" t="s">
        <v>1063</v>
      </c>
      <c r="I1868" t="s">
        <v>2896</v>
      </c>
      <c r="J1868" s="13">
        <v>135975</v>
      </c>
      <c r="K1868">
        <v>1</v>
      </c>
      <c r="L1868" t="s">
        <v>1064</v>
      </c>
      <c r="M1868" t="s">
        <v>2897</v>
      </c>
      <c r="N1868" s="15" t="s">
        <v>6878</v>
      </c>
    </row>
    <row r="1869" spans="1:14" x14ac:dyDescent="0.2">
      <c r="A1869" t="s">
        <v>2972</v>
      </c>
      <c r="B1869" t="s">
        <v>2360</v>
      </c>
      <c r="C1869" s="9">
        <v>44970</v>
      </c>
      <c r="D1869" t="s">
        <v>983</v>
      </c>
      <c r="E1869" s="13">
        <v>4900000</v>
      </c>
      <c r="F1869" s="13">
        <v>11100</v>
      </c>
      <c r="G1869" s="9">
        <v>44974</v>
      </c>
      <c r="H1869" t="s">
        <v>1063</v>
      </c>
      <c r="I1869" t="s">
        <v>2896</v>
      </c>
      <c r="J1869" s="13">
        <v>135975</v>
      </c>
      <c r="K1869">
        <v>1</v>
      </c>
      <c r="L1869" t="s">
        <v>1064</v>
      </c>
      <c r="M1869" t="s">
        <v>2897</v>
      </c>
      <c r="N1869" s="15" t="s">
        <v>6878</v>
      </c>
    </row>
    <row r="1870" spans="1:14" x14ac:dyDescent="0.2">
      <c r="A1870" t="s">
        <v>2973</v>
      </c>
      <c r="B1870" t="s">
        <v>2360</v>
      </c>
      <c r="C1870" s="9">
        <v>44970</v>
      </c>
      <c r="D1870" t="s">
        <v>9</v>
      </c>
      <c r="E1870" s="13">
        <v>3606400</v>
      </c>
      <c r="F1870" s="13">
        <v>24975</v>
      </c>
      <c r="G1870" s="9">
        <v>44978</v>
      </c>
      <c r="H1870" t="s">
        <v>1111</v>
      </c>
      <c r="I1870" t="s">
        <v>2361</v>
      </c>
      <c r="J1870" s="13">
        <v>120093</v>
      </c>
      <c r="K1870">
        <v>1</v>
      </c>
      <c r="L1870" t="s">
        <v>1064</v>
      </c>
      <c r="M1870" t="s">
        <v>2362</v>
      </c>
      <c r="N1870" s="15" t="s">
        <v>6878</v>
      </c>
    </row>
    <row r="1871" spans="1:14" x14ac:dyDescent="0.2">
      <c r="A1871" t="s">
        <v>2974</v>
      </c>
      <c r="B1871" t="s">
        <v>2360</v>
      </c>
      <c r="C1871" s="9">
        <v>44971</v>
      </c>
      <c r="D1871" t="s">
        <v>964</v>
      </c>
      <c r="E1871" s="13">
        <v>17500000</v>
      </c>
      <c r="F1871" s="13">
        <v>27750</v>
      </c>
      <c r="G1871" s="9">
        <v>44985</v>
      </c>
      <c r="H1871" t="s">
        <v>1063</v>
      </c>
      <c r="I1871" t="s">
        <v>2520</v>
      </c>
      <c r="J1871" s="13">
        <v>485625</v>
      </c>
      <c r="K1871">
        <v>1</v>
      </c>
      <c r="L1871" t="s">
        <v>1064</v>
      </c>
      <c r="M1871" t="s">
        <v>2521</v>
      </c>
      <c r="N1871" s="15" t="s">
        <v>6878</v>
      </c>
    </row>
    <row r="1872" spans="1:14" x14ac:dyDescent="0.2">
      <c r="A1872" t="s">
        <v>2975</v>
      </c>
      <c r="B1872" t="s">
        <v>2360</v>
      </c>
      <c r="C1872" s="9">
        <v>44971</v>
      </c>
      <c r="D1872" t="s">
        <v>964</v>
      </c>
      <c r="E1872" s="13">
        <v>10500000</v>
      </c>
      <c r="F1872" s="13">
        <v>27750</v>
      </c>
      <c r="G1872" s="9">
        <v>44972</v>
      </c>
      <c r="H1872" t="s">
        <v>1063</v>
      </c>
      <c r="I1872" t="s">
        <v>2520</v>
      </c>
      <c r="J1872" s="13">
        <v>291375</v>
      </c>
      <c r="K1872">
        <v>1</v>
      </c>
      <c r="L1872" t="s">
        <v>1064</v>
      </c>
      <c r="M1872" t="s">
        <v>2521</v>
      </c>
      <c r="N1872" s="15" t="s">
        <v>6878</v>
      </c>
    </row>
    <row r="1873" spans="1:14" x14ac:dyDescent="0.2">
      <c r="A1873" t="s">
        <v>2976</v>
      </c>
      <c r="B1873" t="s">
        <v>2360</v>
      </c>
      <c r="C1873" s="9">
        <v>44971</v>
      </c>
      <c r="D1873" t="s">
        <v>964</v>
      </c>
      <c r="E1873" s="13">
        <v>17500000</v>
      </c>
      <c r="F1873" s="13">
        <v>27750</v>
      </c>
      <c r="G1873" s="9">
        <v>44972</v>
      </c>
      <c r="H1873" t="s">
        <v>1063</v>
      </c>
      <c r="I1873" t="s">
        <v>2520</v>
      </c>
      <c r="J1873" s="13">
        <v>485625</v>
      </c>
      <c r="K1873">
        <v>1</v>
      </c>
      <c r="L1873" t="s">
        <v>1064</v>
      </c>
      <c r="M1873" t="s">
        <v>2521</v>
      </c>
      <c r="N1873" s="15" t="s">
        <v>6878</v>
      </c>
    </row>
    <row r="1874" spans="1:14" x14ac:dyDescent="0.2">
      <c r="A1874" t="s">
        <v>2977</v>
      </c>
      <c r="B1874" t="s">
        <v>2360</v>
      </c>
      <c r="C1874" s="9">
        <v>44971</v>
      </c>
      <c r="D1874" t="s">
        <v>964</v>
      </c>
      <c r="E1874" s="13">
        <v>10500000</v>
      </c>
      <c r="F1874" s="13">
        <v>27750</v>
      </c>
      <c r="G1874" s="9">
        <v>44972</v>
      </c>
      <c r="H1874" t="s">
        <v>1063</v>
      </c>
      <c r="I1874" t="s">
        <v>2520</v>
      </c>
      <c r="J1874" s="13">
        <v>291375</v>
      </c>
      <c r="K1874">
        <v>1</v>
      </c>
      <c r="L1874" t="s">
        <v>1064</v>
      </c>
      <c r="M1874" t="s">
        <v>2521</v>
      </c>
      <c r="N1874" s="15" t="s">
        <v>6878</v>
      </c>
    </row>
    <row r="1875" spans="1:14" x14ac:dyDescent="0.2">
      <c r="A1875" t="s">
        <v>2978</v>
      </c>
      <c r="B1875" t="s">
        <v>2360</v>
      </c>
      <c r="C1875" s="9">
        <v>44971</v>
      </c>
      <c r="D1875" t="s">
        <v>964</v>
      </c>
      <c r="E1875" s="13">
        <v>13500000</v>
      </c>
      <c r="F1875" s="13">
        <v>27750</v>
      </c>
      <c r="G1875" s="9">
        <v>44972</v>
      </c>
      <c r="H1875" t="s">
        <v>1063</v>
      </c>
      <c r="I1875" t="s">
        <v>2520</v>
      </c>
      <c r="J1875" s="13">
        <v>374625</v>
      </c>
      <c r="K1875">
        <v>1</v>
      </c>
      <c r="L1875" t="s">
        <v>1064</v>
      </c>
      <c r="M1875" t="s">
        <v>2521</v>
      </c>
      <c r="N1875" s="15" t="s">
        <v>6878</v>
      </c>
    </row>
    <row r="1876" spans="1:14" x14ac:dyDescent="0.2">
      <c r="A1876" t="s">
        <v>2979</v>
      </c>
      <c r="B1876" t="s">
        <v>2360</v>
      </c>
      <c r="C1876" s="9">
        <v>44971</v>
      </c>
      <c r="D1876" t="s">
        <v>964</v>
      </c>
      <c r="E1876" s="13">
        <v>10500000</v>
      </c>
      <c r="F1876" s="13">
        <v>27750</v>
      </c>
      <c r="G1876" s="9">
        <v>44972</v>
      </c>
      <c r="H1876" t="s">
        <v>1063</v>
      </c>
      <c r="I1876" t="s">
        <v>2520</v>
      </c>
      <c r="J1876" s="13">
        <v>291375</v>
      </c>
      <c r="K1876">
        <v>1</v>
      </c>
      <c r="L1876" t="s">
        <v>1064</v>
      </c>
      <c r="M1876" t="s">
        <v>2521</v>
      </c>
      <c r="N1876" s="15" t="s">
        <v>6878</v>
      </c>
    </row>
    <row r="1877" spans="1:14" x14ac:dyDescent="0.2">
      <c r="A1877" t="s">
        <v>2980</v>
      </c>
      <c r="B1877" t="s">
        <v>2360</v>
      </c>
      <c r="C1877" s="9">
        <v>44971</v>
      </c>
      <c r="D1877" t="s">
        <v>964</v>
      </c>
      <c r="E1877" s="13">
        <v>8300000</v>
      </c>
      <c r="F1877" s="13">
        <v>27750</v>
      </c>
      <c r="G1877" s="9">
        <v>44972</v>
      </c>
      <c r="H1877" t="s">
        <v>1063</v>
      </c>
      <c r="I1877" t="s">
        <v>2520</v>
      </c>
      <c r="J1877" s="13">
        <v>230325</v>
      </c>
      <c r="K1877">
        <v>1</v>
      </c>
      <c r="L1877" t="s">
        <v>1064</v>
      </c>
      <c r="M1877" t="s">
        <v>2521</v>
      </c>
      <c r="N1877" s="15" t="s">
        <v>6878</v>
      </c>
    </row>
    <row r="1878" spans="1:14" x14ac:dyDescent="0.2">
      <c r="A1878" t="s">
        <v>2981</v>
      </c>
      <c r="B1878" t="s">
        <v>2360</v>
      </c>
      <c r="C1878" s="9">
        <v>44971</v>
      </c>
      <c r="D1878" t="s">
        <v>975</v>
      </c>
      <c r="E1878" s="13">
        <v>2798400</v>
      </c>
      <c r="F1878" s="13"/>
      <c r="H1878" t="s">
        <v>1659</v>
      </c>
      <c r="I1878" t="s">
        <v>2641</v>
      </c>
      <c r="J1878" s="13">
        <v>0</v>
      </c>
      <c r="K1878">
        <v>1</v>
      </c>
      <c r="L1878" t="s">
        <v>1064</v>
      </c>
      <c r="M1878" t="s">
        <v>2642</v>
      </c>
      <c r="N1878" s="14" t="s">
        <v>6877</v>
      </c>
    </row>
    <row r="1879" spans="1:14" x14ac:dyDescent="0.2">
      <c r="A1879" t="s">
        <v>2982</v>
      </c>
      <c r="B1879" t="s">
        <v>2360</v>
      </c>
      <c r="C1879" s="9">
        <v>44971</v>
      </c>
      <c r="D1879" t="s">
        <v>975</v>
      </c>
      <c r="E1879" s="13">
        <v>2798400</v>
      </c>
      <c r="F1879" s="13">
        <v>108717</v>
      </c>
      <c r="G1879" s="9">
        <v>44974</v>
      </c>
      <c r="H1879" t="s">
        <v>1111</v>
      </c>
      <c r="I1879" t="s">
        <v>2641</v>
      </c>
      <c r="J1879" s="13">
        <v>27750</v>
      </c>
      <c r="K1879">
        <v>1</v>
      </c>
      <c r="L1879" t="s">
        <v>1064</v>
      </c>
      <c r="M1879" t="s">
        <v>2642</v>
      </c>
      <c r="N1879" s="15" t="s">
        <v>6878</v>
      </c>
    </row>
    <row r="1880" spans="1:14" x14ac:dyDescent="0.2">
      <c r="A1880" t="s">
        <v>2983</v>
      </c>
      <c r="B1880" t="s">
        <v>2360</v>
      </c>
      <c r="C1880" s="9">
        <v>44971</v>
      </c>
      <c r="D1880" t="s">
        <v>975</v>
      </c>
      <c r="E1880" s="13">
        <v>704000</v>
      </c>
      <c r="F1880" s="13">
        <v>27350</v>
      </c>
      <c r="G1880" s="9">
        <v>44974</v>
      </c>
      <c r="H1880" t="s">
        <v>1111</v>
      </c>
      <c r="I1880" t="s">
        <v>2641</v>
      </c>
      <c r="J1880" s="13">
        <v>27750</v>
      </c>
      <c r="K1880">
        <v>1</v>
      </c>
      <c r="L1880" t="s">
        <v>1064</v>
      </c>
      <c r="M1880" t="s">
        <v>2642</v>
      </c>
      <c r="N1880" s="15" t="s">
        <v>6878</v>
      </c>
    </row>
    <row r="1881" spans="1:14" x14ac:dyDescent="0.2">
      <c r="A1881" t="s">
        <v>2984</v>
      </c>
      <c r="B1881" t="s">
        <v>2360</v>
      </c>
      <c r="C1881" s="9">
        <v>44971</v>
      </c>
      <c r="D1881" t="s">
        <v>975</v>
      </c>
      <c r="E1881" s="13">
        <v>2798400</v>
      </c>
      <c r="F1881" s="13">
        <v>108717</v>
      </c>
      <c r="G1881" s="9">
        <v>44974</v>
      </c>
      <c r="H1881" t="s">
        <v>1111</v>
      </c>
      <c r="I1881" t="s">
        <v>2641</v>
      </c>
      <c r="J1881" s="13">
        <v>27750</v>
      </c>
      <c r="K1881">
        <v>1</v>
      </c>
      <c r="L1881" t="s">
        <v>1064</v>
      </c>
      <c r="M1881" t="s">
        <v>2642</v>
      </c>
      <c r="N1881" s="15" t="s">
        <v>6878</v>
      </c>
    </row>
    <row r="1882" spans="1:14" x14ac:dyDescent="0.2">
      <c r="A1882" t="s">
        <v>2985</v>
      </c>
      <c r="B1882" t="s">
        <v>2360</v>
      </c>
      <c r="C1882" s="9">
        <v>44971</v>
      </c>
      <c r="D1882" t="s">
        <v>975</v>
      </c>
      <c r="E1882" s="13">
        <v>2798400</v>
      </c>
      <c r="F1882" s="13">
        <v>108717</v>
      </c>
      <c r="G1882" s="9">
        <v>44974</v>
      </c>
      <c r="H1882" t="s">
        <v>1111</v>
      </c>
      <c r="I1882" t="s">
        <v>2641</v>
      </c>
      <c r="J1882" s="13">
        <v>27750</v>
      </c>
      <c r="K1882">
        <v>1</v>
      </c>
      <c r="L1882" t="s">
        <v>1064</v>
      </c>
      <c r="M1882" t="s">
        <v>2642</v>
      </c>
      <c r="N1882" s="15" t="s">
        <v>6878</v>
      </c>
    </row>
    <row r="1883" spans="1:14" x14ac:dyDescent="0.2">
      <c r="A1883" t="s">
        <v>2986</v>
      </c>
      <c r="B1883" t="s">
        <v>2360</v>
      </c>
      <c r="C1883" s="9">
        <v>44971</v>
      </c>
      <c r="D1883" t="s">
        <v>975</v>
      </c>
      <c r="E1883" s="13">
        <v>1188000</v>
      </c>
      <c r="F1883" s="13">
        <v>46153</v>
      </c>
      <c r="G1883" s="9">
        <v>44974</v>
      </c>
      <c r="H1883" t="s">
        <v>1111</v>
      </c>
      <c r="I1883" t="s">
        <v>2641</v>
      </c>
      <c r="J1883" s="13">
        <v>27750</v>
      </c>
      <c r="K1883">
        <v>1</v>
      </c>
      <c r="L1883" t="s">
        <v>1064</v>
      </c>
      <c r="M1883" t="s">
        <v>2642</v>
      </c>
      <c r="N1883" s="15" t="s">
        <v>6878</v>
      </c>
    </row>
    <row r="1884" spans="1:14" x14ac:dyDescent="0.2">
      <c r="A1884" t="s">
        <v>2987</v>
      </c>
      <c r="B1884" t="s">
        <v>2360</v>
      </c>
      <c r="C1884" s="9">
        <v>44971</v>
      </c>
      <c r="D1884" t="s">
        <v>975</v>
      </c>
      <c r="E1884" s="13">
        <v>1188000</v>
      </c>
      <c r="F1884" s="13">
        <v>46153</v>
      </c>
      <c r="G1884" s="9">
        <v>44974</v>
      </c>
      <c r="H1884" t="s">
        <v>1111</v>
      </c>
      <c r="I1884" t="s">
        <v>2641</v>
      </c>
      <c r="J1884" s="13">
        <v>27750</v>
      </c>
      <c r="K1884">
        <v>1</v>
      </c>
      <c r="L1884" t="s">
        <v>1064</v>
      </c>
      <c r="M1884" t="s">
        <v>2642</v>
      </c>
      <c r="N1884" s="15" t="s">
        <v>6878</v>
      </c>
    </row>
    <row r="1885" spans="1:14" x14ac:dyDescent="0.2">
      <c r="A1885" t="s">
        <v>2988</v>
      </c>
      <c r="B1885" t="s">
        <v>2360</v>
      </c>
      <c r="C1885" s="9">
        <v>44971</v>
      </c>
      <c r="D1885" t="s">
        <v>975</v>
      </c>
      <c r="E1885" s="13">
        <v>1188000</v>
      </c>
      <c r="F1885" s="13">
        <v>46153</v>
      </c>
      <c r="G1885" s="9">
        <v>44974</v>
      </c>
      <c r="H1885" t="s">
        <v>1111</v>
      </c>
      <c r="I1885" t="s">
        <v>2641</v>
      </c>
      <c r="J1885" s="13">
        <v>27750</v>
      </c>
      <c r="K1885">
        <v>1</v>
      </c>
      <c r="L1885" t="s">
        <v>1064</v>
      </c>
      <c r="M1885" t="s">
        <v>2642</v>
      </c>
      <c r="N1885" s="15" t="s">
        <v>6878</v>
      </c>
    </row>
    <row r="1886" spans="1:14" x14ac:dyDescent="0.2">
      <c r="A1886" t="s">
        <v>2989</v>
      </c>
      <c r="B1886" t="s">
        <v>2360</v>
      </c>
      <c r="C1886" s="9">
        <v>44971</v>
      </c>
      <c r="D1886" t="s">
        <v>975</v>
      </c>
      <c r="E1886" s="13">
        <v>2182400</v>
      </c>
      <c r="F1886" s="13">
        <v>84786</v>
      </c>
      <c r="G1886" s="9">
        <v>44974</v>
      </c>
      <c r="H1886" t="s">
        <v>1111</v>
      </c>
      <c r="I1886" t="s">
        <v>2641</v>
      </c>
      <c r="J1886" s="13">
        <v>27750</v>
      </c>
      <c r="K1886">
        <v>1</v>
      </c>
      <c r="L1886" t="s">
        <v>1064</v>
      </c>
      <c r="M1886" t="s">
        <v>2642</v>
      </c>
      <c r="N1886" s="15" t="s">
        <v>6878</v>
      </c>
    </row>
    <row r="1887" spans="1:14" x14ac:dyDescent="0.2">
      <c r="A1887" t="s">
        <v>2990</v>
      </c>
      <c r="B1887" t="s">
        <v>2360</v>
      </c>
      <c r="C1887" s="9">
        <v>44972</v>
      </c>
      <c r="D1887" t="s">
        <v>9</v>
      </c>
      <c r="E1887" s="13">
        <v>340060</v>
      </c>
      <c r="F1887" s="13">
        <v>24975</v>
      </c>
      <c r="G1887" s="9">
        <v>44978</v>
      </c>
      <c r="H1887" t="s">
        <v>1111</v>
      </c>
      <c r="I1887" t="s">
        <v>436</v>
      </c>
      <c r="J1887" s="13">
        <v>11323</v>
      </c>
      <c r="K1887">
        <v>1</v>
      </c>
      <c r="L1887" t="s">
        <v>1064</v>
      </c>
      <c r="M1887" t="s">
        <v>2364</v>
      </c>
      <c r="N1887" s="15" t="s">
        <v>6878</v>
      </c>
    </row>
    <row r="1888" spans="1:14" x14ac:dyDescent="0.2">
      <c r="A1888" t="s">
        <v>2991</v>
      </c>
      <c r="B1888" t="s">
        <v>2360</v>
      </c>
      <c r="C1888" s="9">
        <v>44972</v>
      </c>
      <c r="D1888" t="s">
        <v>9</v>
      </c>
      <c r="E1888" s="13">
        <v>340060</v>
      </c>
      <c r="F1888" s="13">
        <v>24975</v>
      </c>
      <c r="G1888" s="9">
        <v>44978</v>
      </c>
      <c r="H1888" t="s">
        <v>1111</v>
      </c>
      <c r="I1888" t="s">
        <v>436</v>
      </c>
      <c r="J1888" s="13">
        <v>11323</v>
      </c>
      <c r="K1888">
        <v>1</v>
      </c>
      <c r="L1888" t="s">
        <v>1064</v>
      </c>
      <c r="M1888" t="s">
        <v>2364</v>
      </c>
      <c r="N1888" s="15" t="s">
        <v>6878</v>
      </c>
    </row>
    <row r="1889" spans="1:14" x14ac:dyDescent="0.2">
      <c r="A1889" t="s">
        <v>2992</v>
      </c>
      <c r="B1889" t="s">
        <v>2360</v>
      </c>
      <c r="C1889" s="9">
        <v>44972</v>
      </c>
      <c r="D1889" t="s">
        <v>992</v>
      </c>
      <c r="E1889" s="13">
        <v>3376740</v>
      </c>
      <c r="F1889" s="13">
        <v>22200</v>
      </c>
      <c r="G1889" s="9">
        <v>44977</v>
      </c>
      <c r="H1889" t="s">
        <v>1063</v>
      </c>
      <c r="I1889" t="s">
        <v>2370</v>
      </c>
      <c r="J1889" s="13">
        <v>149926</v>
      </c>
      <c r="K1889">
        <v>1</v>
      </c>
      <c r="L1889" t="s">
        <v>1064</v>
      </c>
      <c r="M1889" t="s">
        <v>2371</v>
      </c>
      <c r="N1889" s="15" t="s">
        <v>6878</v>
      </c>
    </row>
    <row r="1890" spans="1:14" x14ac:dyDescent="0.2">
      <c r="A1890" t="s">
        <v>2993</v>
      </c>
      <c r="B1890" t="s">
        <v>2360</v>
      </c>
      <c r="C1890" s="9">
        <v>44972</v>
      </c>
      <c r="D1890" t="s">
        <v>9</v>
      </c>
      <c r="E1890" s="13">
        <v>340060</v>
      </c>
      <c r="F1890" s="13">
        <v>24975</v>
      </c>
      <c r="G1890" s="9">
        <v>44978</v>
      </c>
      <c r="H1890" t="s">
        <v>1111</v>
      </c>
      <c r="I1890" t="s">
        <v>436</v>
      </c>
      <c r="J1890" s="13">
        <v>11323</v>
      </c>
      <c r="K1890">
        <v>1</v>
      </c>
      <c r="L1890" t="s">
        <v>1064</v>
      </c>
      <c r="M1890" t="s">
        <v>2364</v>
      </c>
      <c r="N1890" s="15" t="s">
        <v>6878</v>
      </c>
    </row>
    <row r="1891" spans="1:14" x14ac:dyDescent="0.2">
      <c r="A1891" t="s">
        <v>2994</v>
      </c>
      <c r="B1891" t="s">
        <v>2360</v>
      </c>
      <c r="C1891" s="9">
        <v>44972</v>
      </c>
      <c r="D1891" t="s">
        <v>9</v>
      </c>
      <c r="E1891" s="13">
        <v>340060</v>
      </c>
      <c r="F1891" s="13">
        <v>24975</v>
      </c>
      <c r="G1891" s="9">
        <v>44986</v>
      </c>
      <c r="H1891" t="s">
        <v>1063</v>
      </c>
      <c r="I1891" t="s">
        <v>436</v>
      </c>
      <c r="J1891" s="13">
        <v>11323</v>
      </c>
      <c r="K1891">
        <v>1</v>
      </c>
      <c r="L1891" t="s">
        <v>1064</v>
      </c>
      <c r="M1891" t="s">
        <v>2364</v>
      </c>
      <c r="N1891" s="15" t="s">
        <v>6878</v>
      </c>
    </row>
    <row r="1892" spans="1:14" x14ac:dyDescent="0.2">
      <c r="A1892" t="s">
        <v>2995</v>
      </c>
      <c r="B1892" t="s">
        <v>2360</v>
      </c>
      <c r="C1892" s="9">
        <v>44972</v>
      </c>
      <c r="D1892" t="s">
        <v>992</v>
      </c>
      <c r="E1892" s="13">
        <v>2432972</v>
      </c>
      <c r="F1892" s="13">
        <v>22200</v>
      </c>
      <c r="G1892" s="9">
        <v>44995</v>
      </c>
      <c r="H1892" t="s">
        <v>1063</v>
      </c>
      <c r="I1892" t="s">
        <v>2370</v>
      </c>
      <c r="J1892" s="13">
        <v>108022</v>
      </c>
      <c r="K1892">
        <v>1</v>
      </c>
      <c r="L1892" t="s">
        <v>1064</v>
      </c>
      <c r="M1892" t="s">
        <v>2371</v>
      </c>
      <c r="N1892" s="15" t="s">
        <v>6878</v>
      </c>
    </row>
    <row r="1893" spans="1:14" x14ac:dyDescent="0.2">
      <c r="A1893" t="s">
        <v>2996</v>
      </c>
      <c r="B1893" t="s">
        <v>2360</v>
      </c>
      <c r="C1893" s="9">
        <v>44972</v>
      </c>
      <c r="D1893" t="s">
        <v>9</v>
      </c>
      <c r="E1893" s="13">
        <v>458150</v>
      </c>
      <c r="F1893" s="13">
        <v>24975</v>
      </c>
      <c r="G1893" s="9">
        <v>44978</v>
      </c>
      <c r="H1893" t="s">
        <v>1111</v>
      </c>
      <c r="I1893" t="s">
        <v>436</v>
      </c>
      <c r="J1893" s="13">
        <v>15255</v>
      </c>
      <c r="K1893">
        <v>1</v>
      </c>
      <c r="L1893" t="s">
        <v>1064</v>
      </c>
      <c r="M1893" t="s">
        <v>2364</v>
      </c>
      <c r="N1893" s="15" t="s">
        <v>6878</v>
      </c>
    </row>
    <row r="1894" spans="1:14" x14ac:dyDescent="0.2">
      <c r="A1894" t="s">
        <v>2997</v>
      </c>
      <c r="B1894" t="s">
        <v>2360</v>
      </c>
      <c r="C1894" s="9">
        <v>44972</v>
      </c>
      <c r="D1894" t="s">
        <v>983</v>
      </c>
      <c r="E1894" s="13">
        <v>3500000</v>
      </c>
      <c r="F1894" s="13">
        <v>11100</v>
      </c>
      <c r="G1894" s="9">
        <v>44974</v>
      </c>
      <c r="H1894" t="s">
        <v>1063</v>
      </c>
      <c r="I1894" t="s">
        <v>2896</v>
      </c>
      <c r="J1894" s="13">
        <v>97125</v>
      </c>
      <c r="K1894">
        <v>1</v>
      </c>
      <c r="L1894" t="s">
        <v>1064</v>
      </c>
      <c r="M1894" t="s">
        <v>2897</v>
      </c>
      <c r="N1894" s="15" t="s">
        <v>6878</v>
      </c>
    </row>
    <row r="1895" spans="1:14" x14ac:dyDescent="0.2">
      <c r="A1895" t="s">
        <v>2998</v>
      </c>
      <c r="B1895" t="s">
        <v>2360</v>
      </c>
      <c r="C1895" s="9">
        <v>44972</v>
      </c>
      <c r="D1895" t="s">
        <v>983</v>
      </c>
      <c r="E1895" s="13">
        <v>3500000</v>
      </c>
      <c r="F1895" s="13">
        <v>11100</v>
      </c>
      <c r="G1895" s="9">
        <v>44974</v>
      </c>
      <c r="H1895" t="s">
        <v>1063</v>
      </c>
      <c r="I1895" t="s">
        <v>2896</v>
      </c>
      <c r="J1895" s="13">
        <v>97125</v>
      </c>
      <c r="K1895">
        <v>1</v>
      </c>
      <c r="L1895" t="s">
        <v>1064</v>
      </c>
      <c r="M1895" t="s">
        <v>2897</v>
      </c>
      <c r="N1895" s="15" t="s">
        <v>6878</v>
      </c>
    </row>
    <row r="1896" spans="1:14" x14ac:dyDescent="0.2">
      <c r="A1896" t="s">
        <v>2999</v>
      </c>
      <c r="B1896" t="s">
        <v>2360</v>
      </c>
      <c r="C1896" s="9">
        <v>44972</v>
      </c>
      <c r="D1896" t="s">
        <v>983</v>
      </c>
      <c r="E1896" s="13">
        <v>3500000</v>
      </c>
      <c r="F1896" s="13">
        <v>11100</v>
      </c>
      <c r="G1896" s="9">
        <v>44974</v>
      </c>
      <c r="H1896" t="s">
        <v>1063</v>
      </c>
      <c r="I1896" t="s">
        <v>2896</v>
      </c>
      <c r="J1896" s="13">
        <v>97125</v>
      </c>
      <c r="K1896">
        <v>1</v>
      </c>
      <c r="L1896" t="s">
        <v>1064</v>
      </c>
      <c r="M1896" t="s">
        <v>2897</v>
      </c>
      <c r="N1896" s="15" t="s">
        <v>6878</v>
      </c>
    </row>
    <row r="1897" spans="1:14" x14ac:dyDescent="0.2">
      <c r="A1897" t="s">
        <v>3000</v>
      </c>
      <c r="B1897" t="s">
        <v>2360</v>
      </c>
      <c r="C1897" s="9">
        <v>44972</v>
      </c>
      <c r="D1897" t="s">
        <v>983</v>
      </c>
      <c r="E1897" s="13">
        <v>3500000</v>
      </c>
      <c r="F1897" s="13">
        <v>11100</v>
      </c>
      <c r="G1897" s="9">
        <v>44974</v>
      </c>
      <c r="H1897" t="s">
        <v>1063</v>
      </c>
      <c r="I1897" t="s">
        <v>2896</v>
      </c>
      <c r="J1897" s="13">
        <v>97125</v>
      </c>
      <c r="K1897">
        <v>1</v>
      </c>
      <c r="L1897" t="s">
        <v>1064</v>
      </c>
      <c r="M1897" t="s">
        <v>2897</v>
      </c>
      <c r="N1897" s="15" t="s">
        <v>6878</v>
      </c>
    </row>
    <row r="1898" spans="1:14" x14ac:dyDescent="0.2">
      <c r="A1898" t="s">
        <v>3001</v>
      </c>
      <c r="B1898" t="s">
        <v>2360</v>
      </c>
      <c r="C1898" s="9">
        <v>44972</v>
      </c>
      <c r="D1898" t="s">
        <v>983</v>
      </c>
      <c r="E1898" s="13">
        <v>3500000</v>
      </c>
      <c r="F1898" s="13">
        <v>11100</v>
      </c>
      <c r="G1898" s="9">
        <v>44974</v>
      </c>
      <c r="H1898" t="s">
        <v>1063</v>
      </c>
      <c r="I1898" t="s">
        <v>2896</v>
      </c>
      <c r="J1898" s="13">
        <v>97125</v>
      </c>
      <c r="K1898">
        <v>1</v>
      </c>
      <c r="L1898" t="s">
        <v>1064</v>
      </c>
      <c r="M1898" t="s">
        <v>2897</v>
      </c>
      <c r="N1898" s="15" t="s">
        <v>6878</v>
      </c>
    </row>
    <row r="1899" spans="1:14" x14ac:dyDescent="0.2">
      <c r="A1899" t="s">
        <v>3002</v>
      </c>
      <c r="B1899" t="s">
        <v>2360</v>
      </c>
      <c r="C1899" s="9">
        <v>44972</v>
      </c>
      <c r="D1899" t="s">
        <v>983</v>
      </c>
      <c r="E1899" s="13">
        <v>3500000</v>
      </c>
      <c r="F1899" s="13">
        <v>11100</v>
      </c>
      <c r="G1899" s="9">
        <v>44974</v>
      </c>
      <c r="H1899" t="s">
        <v>1063</v>
      </c>
      <c r="I1899" t="s">
        <v>2896</v>
      </c>
      <c r="J1899" s="13">
        <v>97125</v>
      </c>
      <c r="K1899">
        <v>1</v>
      </c>
      <c r="L1899" t="s">
        <v>1064</v>
      </c>
      <c r="M1899" t="s">
        <v>2897</v>
      </c>
      <c r="N1899" s="15" t="s">
        <v>6878</v>
      </c>
    </row>
    <row r="1900" spans="1:14" x14ac:dyDescent="0.2">
      <c r="A1900" t="s">
        <v>3003</v>
      </c>
      <c r="B1900" t="s">
        <v>2360</v>
      </c>
      <c r="C1900" s="9">
        <v>44972</v>
      </c>
      <c r="D1900" t="s">
        <v>9</v>
      </c>
      <c r="E1900" s="13">
        <v>268030</v>
      </c>
      <c r="F1900" s="13">
        <v>24975</v>
      </c>
      <c r="G1900" s="9">
        <v>44978</v>
      </c>
      <c r="H1900" t="s">
        <v>1111</v>
      </c>
      <c r="I1900" t="s">
        <v>436</v>
      </c>
      <c r="J1900" s="13">
        <v>8924</v>
      </c>
      <c r="K1900">
        <v>1</v>
      </c>
      <c r="L1900" t="s">
        <v>1064</v>
      </c>
      <c r="M1900" t="s">
        <v>2364</v>
      </c>
      <c r="N1900" s="15" t="s">
        <v>6878</v>
      </c>
    </row>
    <row r="1901" spans="1:14" x14ac:dyDescent="0.2">
      <c r="A1901" t="s">
        <v>3004</v>
      </c>
      <c r="B1901" t="s">
        <v>2360</v>
      </c>
      <c r="C1901" s="9">
        <v>44972</v>
      </c>
      <c r="D1901" t="s">
        <v>975</v>
      </c>
      <c r="E1901" s="13">
        <v>3500000</v>
      </c>
      <c r="F1901" s="13">
        <v>135975</v>
      </c>
      <c r="G1901" s="9">
        <v>44974</v>
      </c>
      <c r="H1901" t="s">
        <v>1111</v>
      </c>
      <c r="I1901" t="s">
        <v>2641</v>
      </c>
      <c r="J1901" s="13">
        <v>27750</v>
      </c>
      <c r="K1901">
        <v>1</v>
      </c>
      <c r="L1901" t="s">
        <v>1064</v>
      </c>
      <c r="M1901" t="s">
        <v>2642</v>
      </c>
      <c r="N1901" s="15" t="s">
        <v>6878</v>
      </c>
    </row>
    <row r="1902" spans="1:14" x14ac:dyDescent="0.2">
      <c r="A1902" t="s">
        <v>3005</v>
      </c>
      <c r="B1902" t="s">
        <v>2360</v>
      </c>
      <c r="C1902" s="9">
        <v>44972</v>
      </c>
      <c r="D1902" t="s">
        <v>975</v>
      </c>
      <c r="E1902" s="13">
        <v>3500000</v>
      </c>
      <c r="F1902" s="13">
        <v>135975</v>
      </c>
      <c r="G1902" s="9">
        <v>44974</v>
      </c>
      <c r="H1902" t="s">
        <v>1111</v>
      </c>
      <c r="I1902" t="s">
        <v>2641</v>
      </c>
      <c r="J1902" s="13">
        <v>27750</v>
      </c>
      <c r="K1902">
        <v>1</v>
      </c>
      <c r="L1902" t="s">
        <v>1064</v>
      </c>
      <c r="M1902" t="s">
        <v>2642</v>
      </c>
      <c r="N1902" s="15" t="s">
        <v>6878</v>
      </c>
    </row>
    <row r="1903" spans="1:14" x14ac:dyDescent="0.2">
      <c r="A1903" t="s">
        <v>3006</v>
      </c>
      <c r="B1903" t="s">
        <v>2360</v>
      </c>
      <c r="C1903" s="9">
        <v>44972</v>
      </c>
      <c r="D1903" t="s">
        <v>975</v>
      </c>
      <c r="E1903" s="13">
        <v>3500000</v>
      </c>
      <c r="F1903" s="13">
        <v>135975</v>
      </c>
      <c r="G1903" s="9">
        <v>44974</v>
      </c>
      <c r="H1903" t="s">
        <v>1111</v>
      </c>
      <c r="I1903" t="s">
        <v>2641</v>
      </c>
      <c r="J1903" s="13">
        <v>27750</v>
      </c>
      <c r="K1903">
        <v>1</v>
      </c>
      <c r="L1903" t="s">
        <v>1064</v>
      </c>
      <c r="M1903" t="s">
        <v>2642</v>
      </c>
      <c r="N1903" s="15" t="s">
        <v>6878</v>
      </c>
    </row>
    <row r="1904" spans="1:14" x14ac:dyDescent="0.2">
      <c r="A1904" t="s">
        <v>3007</v>
      </c>
      <c r="B1904" t="s">
        <v>2360</v>
      </c>
      <c r="C1904" s="9">
        <v>44973</v>
      </c>
      <c r="D1904" t="s">
        <v>975</v>
      </c>
      <c r="E1904" s="13">
        <v>3500000</v>
      </c>
      <c r="F1904" s="13">
        <v>135975</v>
      </c>
      <c r="G1904" s="9">
        <v>44974</v>
      </c>
      <c r="H1904" t="s">
        <v>1111</v>
      </c>
      <c r="I1904" t="s">
        <v>2641</v>
      </c>
      <c r="J1904" s="13">
        <v>27750</v>
      </c>
      <c r="K1904">
        <v>1</v>
      </c>
      <c r="L1904" t="s">
        <v>1064</v>
      </c>
      <c r="M1904" t="s">
        <v>2642</v>
      </c>
      <c r="N1904" s="15" t="s">
        <v>6878</v>
      </c>
    </row>
    <row r="1905" spans="1:14" x14ac:dyDescent="0.2">
      <c r="A1905" t="s">
        <v>3008</v>
      </c>
      <c r="B1905" t="s">
        <v>2360</v>
      </c>
      <c r="C1905" s="9">
        <v>44973</v>
      </c>
      <c r="D1905" t="s">
        <v>975</v>
      </c>
      <c r="E1905" s="13">
        <v>3500000</v>
      </c>
      <c r="F1905" s="13">
        <v>135975</v>
      </c>
      <c r="G1905" s="9">
        <v>44974</v>
      </c>
      <c r="H1905" t="s">
        <v>1111</v>
      </c>
      <c r="I1905" t="s">
        <v>2641</v>
      </c>
      <c r="J1905" s="13">
        <v>27750</v>
      </c>
      <c r="K1905">
        <v>1</v>
      </c>
      <c r="L1905" t="s">
        <v>1064</v>
      </c>
      <c r="M1905" t="s">
        <v>2642</v>
      </c>
      <c r="N1905" s="15" t="s">
        <v>6878</v>
      </c>
    </row>
    <row r="1906" spans="1:14" x14ac:dyDescent="0.2">
      <c r="A1906" t="s">
        <v>3009</v>
      </c>
      <c r="B1906" t="s">
        <v>2360</v>
      </c>
      <c r="C1906" s="9">
        <v>44973</v>
      </c>
      <c r="D1906" t="s">
        <v>975</v>
      </c>
      <c r="E1906" s="13">
        <v>3500000</v>
      </c>
      <c r="F1906" s="13">
        <v>135975</v>
      </c>
      <c r="G1906" s="9">
        <v>44974</v>
      </c>
      <c r="H1906" t="s">
        <v>1111</v>
      </c>
      <c r="I1906" t="s">
        <v>2641</v>
      </c>
      <c r="J1906" s="13">
        <v>27750</v>
      </c>
      <c r="K1906">
        <v>1</v>
      </c>
      <c r="L1906" t="s">
        <v>1064</v>
      </c>
      <c r="M1906" t="s">
        <v>2642</v>
      </c>
      <c r="N1906" s="15" t="s">
        <v>6878</v>
      </c>
    </row>
    <row r="1907" spans="1:14" x14ac:dyDescent="0.2">
      <c r="A1907" t="s">
        <v>3010</v>
      </c>
      <c r="B1907" t="s">
        <v>2360</v>
      </c>
      <c r="C1907" s="9">
        <v>44973</v>
      </c>
      <c r="D1907" t="s">
        <v>975</v>
      </c>
      <c r="E1907" s="13">
        <v>800000</v>
      </c>
      <c r="F1907" s="13">
        <v>31080</v>
      </c>
      <c r="G1907" s="9">
        <v>44974</v>
      </c>
      <c r="H1907" t="s">
        <v>1111</v>
      </c>
      <c r="I1907" t="s">
        <v>2641</v>
      </c>
      <c r="J1907" s="13">
        <v>27750</v>
      </c>
      <c r="K1907">
        <v>1</v>
      </c>
      <c r="L1907" t="s">
        <v>1064</v>
      </c>
      <c r="M1907" t="s">
        <v>2642</v>
      </c>
      <c r="N1907" s="15" t="s">
        <v>6878</v>
      </c>
    </row>
    <row r="1908" spans="1:14" x14ac:dyDescent="0.2">
      <c r="A1908" t="s">
        <v>3011</v>
      </c>
      <c r="B1908" t="s">
        <v>2360</v>
      </c>
      <c r="C1908" s="9">
        <v>44973</v>
      </c>
      <c r="D1908" t="s">
        <v>975</v>
      </c>
      <c r="E1908" s="13">
        <v>800000</v>
      </c>
      <c r="F1908" s="13">
        <v>31080</v>
      </c>
      <c r="G1908" s="9">
        <v>44974</v>
      </c>
      <c r="H1908" t="s">
        <v>1111</v>
      </c>
      <c r="I1908" t="s">
        <v>2641</v>
      </c>
      <c r="J1908" s="13">
        <v>27750</v>
      </c>
      <c r="K1908">
        <v>1</v>
      </c>
      <c r="L1908" t="s">
        <v>1064</v>
      </c>
      <c r="M1908" t="s">
        <v>2642</v>
      </c>
      <c r="N1908" s="15" t="s">
        <v>6878</v>
      </c>
    </row>
    <row r="1909" spans="1:14" x14ac:dyDescent="0.2">
      <c r="A1909" t="s">
        <v>3012</v>
      </c>
      <c r="B1909" t="s">
        <v>2360</v>
      </c>
      <c r="C1909" s="9">
        <v>44973</v>
      </c>
      <c r="D1909" t="s">
        <v>9</v>
      </c>
      <c r="E1909" s="13">
        <v>399350</v>
      </c>
      <c r="F1909" s="13">
        <v>24975</v>
      </c>
      <c r="G1909" s="9">
        <v>44978</v>
      </c>
      <c r="H1909" t="s">
        <v>1111</v>
      </c>
      <c r="I1909" t="s">
        <v>436</v>
      </c>
      <c r="J1909" s="13">
        <v>13297</v>
      </c>
      <c r="K1909">
        <v>1</v>
      </c>
      <c r="L1909" t="s">
        <v>1064</v>
      </c>
      <c r="M1909" t="s">
        <v>2364</v>
      </c>
      <c r="N1909" s="15" t="s">
        <v>6878</v>
      </c>
    </row>
    <row r="1910" spans="1:14" x14ac:dyDescent="0.2">
      <c r="A1910" t="s">
        <v>3013</v>
      </c>
      <c r="B1910" t="s">
        <v>2360</v>
      </c>
      <c r="C1910" s="9">
        <v>44973</v>
      </c>
      <c r="D1910" t="s">
        <v>9</v>
      </c>
      <c r="E1910" s="13">
        <v>340060</v>
      </c>
      <c r="F1910" s="13">
        <v>24975</v>
      </c>
      <c r="G1910" s="9">
        <v>44978</v>
      </c>
      <c r="H1910" t="s">
        <v>1111</v>
      </c>
      <c r="I1910" t="s">
        <v>436</v>
      </c>
      <c r="J1910" s="13">
        <v>11323</v>
      </c>
      <c r="K1910">
        <v>1</v>
      </c>
      <c r="L1910" t="s">
        <v>1064</v>
      </c>
      <c r="M1910" t="s">
        <v>2364</v>
      </c>
      <c r="N1910" s="15" t="s">
        <v>6878</v>
      </c>
    </row>
    <row r="1911" spans="1:14" x14ac:dyDescent="0.2">
      <c r="A1911" t="s">
        <v>3014</v>
      </c>
      <c r="B1911" t="s">
        <v>2360</v>
      </c>
      <c r="C1911" s="9">
        <v>44973</v>
      </c>
      <c r="D1911" t="s">
        <v>975</v>
      </c>
      <c r="E1911" s="13">
        <v>7603200</v>
      </c>
      <c r="F1911" s="13">
        <v>295384</v>
      </c>
      <c r="G1911" s="9">
        <v>44974</v>
      </c>
      <c r="H1911" t="s">
        <v>1111</v>
      </c>
      <c r="I1911" t="s">
        <v>2641</v>
      </c>
      <c r="J1911" s="13">
        <v>27750</v>
      </c>
      <c r="K1911">
        <v>1</v>
      </c>
      <c r="L1911" t="s">
        <v>1064</v>
      </c>
      <c r="M1911" t="s">
        <v>2642</v>
      </c>
      <c r="N1911" s="15" t="s">
        <v>6878</v>
      </c>
    </row>
    <row r="1912" spans="1:14" x14ac:dyDescent="0.2">
      <c r="A1912" t="s">
        <v>3015</v>
      </c>
      <c r="B1912" t="s">
        <v>2360</v>
      </c>
      <c r="C1912" s="9">
        <v>44973</v>
      </c>
      <c r="D1912" t="s">
        <v>975</v>
      </c>
      <c r="E1912" s="13">
        <v>7603200</v>
      </c>
      <c r="F1912" s="13">
        <v>295384</v>
      </c>
      <c r="G1912" s="9">
        <v>44974</v>
      </c>
      <c r="H1912" t="s">
        <v>1111</v>
      </c>
      <c r="I1912" t="s">
        <v>2641</v>
      </c>
      <c r="J1912" s="13">
        <v>27750</v>
      </c>
      <c r="K1912">
        <v>1</v>
      </c>
      <c r="L1912" t="s">
        <v>1064</v>
      </c>
      <c r="M1912" t="s">
        <v>2642</v>
      </c>
      <c r="N1912" s="15" t="s">
        <v>6878</v>
      </c>
    </row>
    <row r="1913" spans="1:14" x14ac:dyDescent="0.2">
      <c r="A1913" t="s">
        <v>3016</v>
      </c>
      <c r="B1913" t="s">
        <v>2360</v>
      </c>
      <c r="C1913" s="9">
        <v>44973</v>
      </c>
      <c r="D1913" t="s">
        <v>975</v>
      </c>
      <c r="E1913" s="13">
        <v>7603200</v>
      </c>
      <c r="F1913" s="13">
        <v>295384</v>
      </c>
      <c r="G1913" s="9">
        <v>44974</v>
      </c>
      <c r="H1913" t="s">
        <v>1111</v>
      </c>
      <c r="I1913" t="s">
        <v>2641</v>
      </c>
      <c r="J1913" s="13">
        <v>27750</v>
      </c>
      <c r="K1913">
        <v>1</v>
      </c>
      <c r="L1913" t="s">
        <v>1064</v>
      </c>
      <c r="M1913" t="s">
        <v>2642</v>
      </c>
      <c r="N1913" s="15" t="s">
        <v>6878</v>
      </c>
    </row>
    <row r="1914" spans="1:14" x14ac:dyDescent="0.2">
      <c r="A1914" t="s">
        <v>3017</v>
      </c>
      <c r="B1914" t="s">
        <v>2360</v>
      </c>
      <c r="C1914" s="9">
        <v>44973</v>
      </c>
      <c r="D1914" t="s">
        <v>975</v>
      </c>
      <c r="E1914" s="13">
        <v>7603200</v>
      </c>
      <c r="F1914" s="13">
        <v>295384</v>
      </c>
      <c r="G1914" s="9">
        <v>44974</v>
      </c>
      <c r="H1914" t="s">
        <v>1111</v>
      </c>
      <c r="I1914" t="s">
        <v>2641</v>
      </c>
      <c r="J1914" s="13">
        <v>27750</v>
      </c>
      <c r="K1914">
        <v>1</v>
      </c>
      <c r="L1914" t="s">
        <v>1064</v>
      </c>
      <c r="M1914" t="s">
        <v>2642</v>
      </c>
      <c r="N1914" s="15" t="s">
        <v>6878</v>
      </c>
    </row>
    <row r="1915" spans="1:14" x14ac:dyDescent="0.2">
      <c r="A1915" t="s">
        <v>976</v>
      </c>
      <c r="B1915" t="s">
        <v>2360</v>
      </c>
      <c r="C1915" s="9">
        <v>44973</v>
      </c>
      <c r="D1915" t="s">
        <v>975</v>
      </c>
      <c r="E1915" s="13">
        <v>7603200</v>
      </c>
      <c r="F1915" s="13">
        <v>295384</v>
      </c>
      <c r="G1915" s="9">
        <v>44974</v>
      </c>
      <c r="H1915" t="s">
        <v>1111</v>
      </c>
      <c r="I1915" t="s">
        <v>2641</v>
      </c>
      <c r="J1915" s="13">
        <v>27750</v>
      </c>
      <c r="K1915">
        <v>1</v>
      </c>
      <c r="L1915" t="s">
        <v>1064</v>
      </c>
      <c r="M1915" t="s">
        <v>2642</v>
      </c>
      <c r="N1915" s="15" t="s">
        <v>6878</v>
      </c>
    </row>
    <row r="1916" spans="1:14" x14ac:dyDescent="0.2">
      <c r="A1916" t="s">
        <v>3018</v>
      </c>
      <c r="B1916" t="s">
        <v>2360</v>
      </c>
      <c r="C1916" s="9">
        <v>44974</v>
      </c>
      <c r="D1916" t="s">
        <v>988</v>
      </c>
      <c r="E1916" s="13">
        <v>1885000</v>
      </c>
      <c r="F1916" s="13">
        <v>52308</v>
      </c>
      <c r="G1916" s="9">
        <v>44974</v>
      </c>
      <c r="H1916" t="s">
        <v>1063</v>
      </c>
      <c r="I1916" t="s">
        <v>2610</v>
      </c>
      <c r="J1916" s="13">
        <v>27750</v>
      </c>
      <c r="K1916">
        <v>1</v>
      </c>
      <c r="L1916" t="s">
        <v>1064</v>
      </c>
      <c r="M1916" t="s">
        <v>2611</v>
      </c>
      <c r="N1916" s="15" t="s">
        <v>6878</v>
      </c>
    </row>
    <row r="1917" spans="1:14" x14ac:dyDescent="0.2">
      <c r="A1917" t="s">
        <v>3019</v>
      </c>
      <c r="B1917" t="s">
        <v>2360</v>
      </c>
      <c r="C1917" s="9">
        <v>44974</v>
      </c>
      <c r="D1917" t="s">
        <v>988</v>
      </c>
      <c r="E1917" s="13">
        <v>1785000</v>
      </c>
      <c r="F1917" s="13">
        <v>49533</v>
      </c>
      <c r="G1917" s="9">
        <v>44974</v>
      </c>
      <c r="H1917" t="s">
        <v>1063</v>
      </c>
      <c r="I1917" t="s">
        <v>2610</v>
      </c>
      <c r="J1917" s="13">
        <v>27750</v>
      </c>
      <c r="K1917">
        <v>1</v>
      </c>
      <c r="L1917" t="s">
        <v>1064</v>
      </c>
      <c r="M1917" t="s">
        <v>2611</v>
      </c>
      <c r="N1917" s="15" t="s">
        <v>6878</v>
      </c>
    </row>
    <row r="1918" spans="1:14" x14ac:dyDescent="0.2">
      <c r="A1918" t="s">
        <v>3020</v>
      </c>
      <c r="B1918" t="s">
        <v>2360</v>
      </c>
      <c r="C1918" s="9">
        <v>44974</v>
      </c>
      <c r="D1918" t="s">
        <v>988</v>
      </c>
      <c r="E1918" s="13">
        <v>9530000</v>
      </c>
      <c r="F1918" s="13">
        <v>264457</v>
      </c>
      <c r="G1918" s="9">
        <v>44988</v>
      </c>
      <c r="H1918" t="s">
        <v>1111</v>
      </c>
      <c r="I1918" t="s">
        <v>2610</v>
      </c>
      <c r="J1918" s="13">
        <v>27750</v>
      </c>
      <c r="K1918">
        <v>1</v>
      </c>
      <c r="L1918" t="s">
        <v>1064</v>
      </c>
      <c r="M1918" t="s">
        <v>2611</v>
      </c>
      <c r="N1918" s="15" t="s">
        <v>6878</v>
      </c>
    </row>
    <row r="1919" spans="1:14" x14ac:dyDescent="0.2">
      <c r="A1919" t="s">
        <v>3021</v>
      </c>
      <c r="B1919" t="s">
        <v>2360</v>
      </c>
      <c r="C1919" s="9">
        <v>44974</v>
      </c>
      <c r="D1919" t="s">
        <v>988</v>
      </c>
      <c r="E1919" s="13">
        <v>4800000</v>
      </c>
      <c r="F1919" s="13">
        <v>133200</v>
      </c>
      <c r="G1919" s="9">
        <v>44977</v>
      </c>
      <c r="H1919" t="s">
        <v>1063</v>
      </c>
      <c r="I1919" t="s">
        <v>2610</v>
      </c>
      <c r="J1919" s="13">
        <v>27750</v>
      </c>
      <c r="K1919">
        <v>1</v>
      </c>
      <c r="L1919" t="s">
        <v>1064</v>
      </c>
      <c r="M1919" t="s">
        <v>2611</v>
      </c>
      <c r="N1919" s="15" t="s">
        <v>6878</v>
      </c>
    </row>
    <row r="1920" spans="1:14" x14ac:dyDescent="0.2">
      <c r="A1920" t="s">
        <v>3022</v>
      </c>
      <c r="B1920" t="s">
        <v>2360</v>
      </c>
      <c r="C1920" s="9">
        <v>44974</v>
      </c>
      <c r="D1920" t="s">
        <v>988</v>
      </c>
      <c r="E1920" s="13">
        <v>8280000</v>
      </c>
      <c r="F1920" s="13">
        <v>229770</v>
      </c>
      <c r="G1920" s="9">
        <v>44974</v>
      </c>
      <c r="H1920" t="s">
        <v>1063</v>
      </c>
      <c r="I1920" t="s">
        <v>2610</v>
      </c>
      <c r="J1920" s="13">
        <v>27750</v>
      </c>
      <c r="K1920">
        <v>1</v>
      </c>
      <c r="L1920" t="s">
        <v>1064</v>
      </c>
      <c r="M1920" t="s">
        <v>2611</v>
      </c>
      <c r="N1920" s="15" t="s">
        <v>6878</v>
      </c>
    </row>
    <row r="1921" spans="1:14" x14ac:dyDescent="0.2">
      <c r="A1921" t="s">
        <v>3023</v>
      </c>
      <c r="B1921" t="s">
        <v>2360</v>
      </c>
      <c r="C1921" s="9">
        <v>44974</v>
      </c>
      <c r="D1921" t="s">
        <v>988</v>
      </c>
      <c r="E1921" s="13">
        <v>2950000</v>
      </c>
      <c r="F1921" s="13">
        <v>81862</v>
      </c>
      <c r="G1921" s="9">
        <v>44974</v>
      </c>
      <c r="H1921" t="s">
        <v>1063</v>
      </c>
      <c r="I1921" t="s">
        <v>2610</v>
      </c>
      <c r="J1921" s="13">
        <v>27750</v>
      </c>
      <c r="K1921">
        <v>1</v>
      </c>
      <c r="L1921" t="s">
        <v>1064</v>
      </c>
      <c r="M1921" t="s">
        <v>2611</v>
      </c>
      <c r="N1921" s="15" t="s">
        <v>6878</v>
      </c>
    </row>
    <row r="1922" spans="1:14" x14ac:dyDescent="0.2">
      <c r="A1922" t="s">
        <v>3024</v>
      </c>
      <c r="B1922" t="s">
        <v>2360</v>
      </c>
      <c r="C1922" s="9">
        <v>44974</v>
      </c>
      <c r="D1922" t="s">
        <v>988</v>
      </c>
      <c r="E1922" s="13">
        <v>4590000</v>
      </c>
      <c r="F1922" s="13">
        <v>127372</v>
      </c>
      <c r="G1922" s="9">
        <v>44974</v>
      </c>
      <c r="H1922" t="s">
        <v>1063</v>
      </c>
      <c r="I1922" t="s">
        <v>2610</v>
      </c>
      <c r="J1922" s="13">
        <v>27750</v>
      </c>
      <c r="K1922">
        <v>1</v>
      </c>
      <c r="L1922" t="s">
        <v>1064</v>
      </c>
      <c r="M1922" t="s">
        <v>2611</v>
      </c>
      <c r="N1922" s="15" t="s">
        <v>6878</v>
      </c>
    </row>
    <row r="1923" spans="1:14" x14ac:dyDescent="0.2">
      <c r="A1923" t="s">
        <v>3025</v>
      </c>
      <c r="B1923" t="s">
        <v>2360</v>
      </c>
      <c r="C1923" s="9">
        <v>44974</v>
      </c>
      <c r="D1923" t="s">
        <v>9</v>
      </c>
      <c r="E1923" s="13">
        <v>340060</v>
      </c>
      <c r="F1923" s="13">
        <v>24975</v>
      </c>
      <c r="G1923" s="9">
        <v>44978</v>
      </c>
      <c r="H1923" t="s">
        <v>1111</v>
      </c>
      <c r="I1923" t="s">
        <v>436</v>
      </c>
      <c r="J1923" s="13">
        <v>11323</v>
      </c>
      <c r="K1923">
        <v>1</v>
      </c>
      <c r="L1923" t="s">
        <v>1064</v>
      </c>
      <c r="M1923" t="s">
        <v>2364</v>
      </c>
      <c r="N1923" s="15" t="s">
        <v>6878</v>
      </c>
    </row>
    <row r="1924" spans="1:14" x14ac:dyDescent="0.2">
      <c r="A1924" t="s">
        <v>3026</v>
      </c>
      <c r="B1924" t="s">
        <v>2360</v>
      </c>
      <c r="C1924" s="9">
        <v>44976</v>
      </c>
      <c r="D1924" t="s">
        <v>9</v>
      </c>
      <c r="E1924" s="13">
        <v>3606400</v>
      </c>
      <c r="F1924" s="13">
        <v>24975</v>
      </c>
      <c r="G1924" s="9">
        <v>44986</v>
      </c>
      <c r="H1924" t="s">
        <v>1063</v>
      </c>
      <c r="I1924" t="s">
        <v>2361</v>
      </c>
      <c r="J1924" s="13">
        <v>120093</v>
      </c>
      <c r="K1924">
        <v>1</v>
      </c>
      <c r="L1924" t="s">
        <v>1064</v>
      </c>
      <c r="M1924" t="s">
        <v>2362</v>
      </c>
      <c r="N1924" s="15" t="s">
        <v>6878</v>
      </c>
    </row>
    <row r="1925" spans="1:14" x14ac:dyDescent="0.2">
      <c r="A1925" t="s">
        <v>3027</v>
      </c>
      <c r="B1925" t="s">
        <v>2360</v>
      </c>
      <c r="C1925" s="9">
        <v>44976</v>
      </c>
      <c r="D1925" t="s">
        <v>9</v>
      </c>
      <c r="E1925" s="13">
        <v>458150</v>
      </c>
      <c r="F1925" s="13">
        <v>24975</v>
      </c>
      <c r="G1925" s="9">
        <v>44992</v>
      </c>
      <c r="H1925" t="s">
        <v>1063</v>
      </c>
      <c r="I1925" t="s">
        <v>436</v>
      </c>
      <c r="J1925" s="13">
        <v>15255</v>
      </c>
      <c r="K1925">
        <v>1</v>
      </c>
      <c r="L1925" t="s">
        <v>1064</v>
      </c>
      <c r="M1925" t="s">
        <v>2364</v>
      </c>
      <c r="N1925" s="15" t="s">
        <v>6878</v>
      </c>
    </row>
    <row r="1926" spans="1:14" x14ac:dyDescent="0.2">
      <c r="A1926" t="s">
        <v>3028</v>
      </c>
      <c r="B1926" t="s">
        <v>2360</v>
      </c>
      <c r="C1926" s="9">
        <v>44976</v>
      </c>
      <c r="D1926" t="s">
        <v>9</v>
      </c>
      <c r="E1926" s="13">
        <v>353290</v>
      </c>
      <c r="F1926" s="13">
        <v>24975</v>
      </c>
      <c r="G1926" s="9">
        <v>44992</v>
      </c>
      <c r="H1926" t="s">
        <v>1063</v>
      </c>
      <c r="I1926" t="s">
        <v>436</v>
      </c>
      <c r="J1926" s="13">
        <v>11763</v>
      </c>
      <c r="K1926">
        <v>1</v>
      </c>
      <c r="L1926" t="s">
        <v>1064</v>
      </c>
      <c r="M1926" t="s">
        <v>2364</v>
      </c>
      <c r="N1926" s="15" t="s">
        <v>6878</v>
      </c>
    </row>
    <row r="1927" spans="1:14" x14ac:dyDescent="0.2">
      <c r="A1927" t="s">
        <v>3029</v>
      </c>
      <c r="B1927" t="s">
        <v>2360</v>
      </c>
      <c r="C1927" s="9">
        <v>44976</v>
      </c>
      <c r="D1927" t="s">
        <v>9</v>
      </c>
      <c r="E1927" s="13">
        <v>399350</v>
      </c>
      <c r="F1927" s="13">
        <v>24975</v>
      </c>
      <c r="G1927" s="9">
        <v>44992</v>
      </c>
      <c r="H1927" t="s">
        <v>1063</v>
      </c>
      <c r="I1927" t="s">
        <v>436</v>
      </c>
      <c r="J1927" s="13">
        <v>13297</v>
      </c>
      <c r="K1927">
        <v>1</v>
      </c>
      <c r="L1927" t="s">
        <v>1064</v>
      </c>
      <c r="M1927" t="s">
        <v>2364</v>
      </c>
      <c r="N1927" s="15" t="s">
        <v>6878</v>
      </c>
    </row>
    <row r="1928" spans="1:14" x14ac:dyDescent="0.2">
      <c r="A1928" t="s">
        <v>3030</v>
      </c>
      <c r="B1928" t="s">
        <v>2360</v>
      </c>
      <c r="C1928" s="9">
        <v>44976</v>
      </c>
      <c r="D1928" t="s">
        <v>9</v>
      </c>
      <c r="E1928" s="13">
        <v>2592100</v>
      </c>
      <c r="F1928" s="13">
        <v>24975</v>
      </c>
      <c r="G1928" s="9">
        <v>44986</v>
      </c>
      <c r="H1928" t="s">
        <v>1063</v>
      </c>
      <c r="I1928" t="s">
        <v>2361</v>
      </c>
      <c r="J1928" s="13">
        <v>86316</v>
      </c>
      <c r="K1928">
        <v>1</v>
      </c>
      <c r="L1928" t="s">
        <v>1064</v>
      </c>
      <c r="M1928" t="s">
        <v>2362</v>
      </c>
      <c r="N1928" s="15" t="s">
        <v>6878</v>
      </c>
    </row>
    <row r="1929" spans="1:14" x14ac:dyDescent="0.2">
      <c r="A1929" t="s">
        <v>3031</v>
      </c>
      <c r="B1929" t="s">
        <v>2360</v>
      </c>
      <c r="C1929" s="9">
        <v>44977</v>
      </c>
      <c r="D1929" t="s">
        <v>998</v>
      </c>
      <c r="E1929" s="13">
        <v>39000000</v>
      </c>
      <c r="F1929" s="13">
        <v>27750</v>
      </c>
      <c r="G1929" s="9">
        <v>44977</v>
      </c>
      <c r="H1929" t="s">
        <v>1063</v>
      </c>
      <c r="I1929" t="s">
        <v>2902</v>
      </c>
      <c r="J1929" s="13">
        <v>1731600</v>
      </c>
      <c r="K1929">
        <v>1</v>
      </c>
      <c r="L1929" t="s">
        <v>1064</v>
      </c>
      <c r="M1929" t="s">
        <v>2903</v>
      </c>
      <c r="N1929" s="15" t="s">
        <v>6878</v>
      </c>
    </row>
    <row r="1930" spans="1:14" x14ac:dyDescent="0.2">
      <c r="A1930" t="s">
        <v>3032</v>
      </c>
      <c r="B1930" t="s">
        <v>2360</v>
      </c>
      <c r="C1930" s="9">
        <v>44977</v>
      </c>
      <c r="D1930" t="s">
        <v>988</v>
      </c>
      <c r="E1930" s="13">
        <v>5480000</v>
      </c>
      <c r="F1930" s="13">
        <v>152070</v>
      </c>
      <c r="G1930" s="9">
        <v>44977</v>
      </c>
      <c r="H1930" t="s">
        <v>1063</v>
      </c>
      <c r="I1930" t="s">
        <v>2610</v>
      </c>
      <c r="J1930" s="13">
        <v>27750</v>
      </c>
      <c r="K1930">
        <v>1</v>
      </c>
      <c r="L1930" t="s">
        <v>1064</v>
      </c>
      <c r="M1930" t="s">
        <v>2611</v>
      </c>
      <c r="N1930" s="15" t="s">
        <v>6878</v>
      </c>
    </row>
    <row r="1931" spans="1:14" x14ac:dyDescent="0.2">
      <c r="A1931" t="s">
        <v>3033</v>
      </c>
      <c r="B1931" t="s">
        <v>2360</v>
      </c>
      <c r="C1931" s="9">
        <v>44977</v>
      </c>
      <c r="D1931" t="s">
        <v>9</v>
      </c>
      <c r="E1931" s="13">
        <v>458150</v>
      </c>
      <c r="F1931" s="13">
        <v>24975</v>
      </c>
      <c r="G1931" s="9">
        <v>44986</v>
      </c>
      <c r="H1931" t="s">
        <v>1063</v>
      </c>
      <c r="I1931" t="s">
        <v>436</v>
      </c>
      <c r="J1931" s="13">
        <v>15255</v>
      </c>
      <c r="K1931">
        <v>1</v>
      </c>
      <c r="L1931" t="s">
        <v>1064</v>
      </c>
      <c r="M1931" t="s">
        <v>2364</v>
      </c>
      <c r="N1931" s="15" t="s">
        <v>6878</v>
      </c>
    </row>
    <row r="1932" spans="1:14" x14ac:dyDescent="0.2">
      <c r="A1932" t="s">
        <v>3034</v>
      </c>
      <c r="B1932" t="s">
        <v>2360</v>
      </c>
      <c r="C1932" s="9">
        <v>44977</v>
      </c>
      <c r="D1932" t="s">
        <v>9</v>
      </c>
      <c r="E1932" s="13">
        <v>458150</v>
      </c>
      <c r="F1932" s="13">
        <v>24975</v>
      </c>
      <c r="G1932" s="9">
        <v>44992</v>
      </c>
      <c r="H1932" t="s">
        <v>1063</v>
      </c>
      <c r="I1932" t="s">
        <v>436</v>
      </c>
      <c r="J1932" s="13">
        <v>15255</v>
      </c>
      <c r="K1932">
        <v>1</v>
      </c>
      <c r="L1932" t="s">
        <v>1064</v>
      </c>
      <c r="M1932" t="s">
        <v>2364</v>
      </c>
      <c r="N1932" s="15" t="s">
        <v>6878</v>
      </c>
    </row>
    <row r="1933" spans="1:14" x14ac:dyDescent="0.2">
      <c r="A1933" t="s">
        <v>3035</v>
      </c>
      <c r="B1933" t="s">
        <v>2360</v>
      </c>
      <c r="C1933" s="9">
        <v>44977</v>
      </c>
      <c r="D1933" t="s">
        <v>9</v>
      </c>
      <c r="E1933" s="13">
        <v>274890</v>
      </c>
      <c r="F1933" s="13">
        <v>24975</v>
      </c>
      <c r="G1933" s="9">
        <v>44992</v>
      </c>
      <c r="H1933" t="s">
        <v>1063</v>
      </c>
      <c r="I1933" t="s">
        <v>436</v>
      </c>
      <c r="J1933" s="13">
        <v>9153</v>
      </c>
      <c r="K1933">
        <v>1</v>
      </c>
      <c r="L1933" t="s">
        <v>1064</v>
      </c>
      <c r="M1933" t="s">
        <v>2364</v>
      </c>
      <c r="N1933" s="15" t="s">
        <v>6878</v>
      </c>
    </row>
    <row r="1934" spans="1:14" x14ac:dyDescent="0.2">
      <c r="A1934" t="s">
        <v>3036</v>
      </c>
      <c r="B1934" t="s">
        <v>2360</v>
      </c>
      <c r="C1934" s="9">
        <v>44977</v>
      </c>
      <c r="D1934" t="s">
        <v>983</v>
      </c>
      <c r="E1934" s="13">
        <v>3500000</v>
      </c>
      <c r="F1934" s="13">
        <v>11100</v>
      </c>
      <c r="G1934" s="9">
        <v>44981</v>
      </c>
      <c r="H1934" t="s">
        <v>1063</v>
      </c>
      <c r="I1934" t="s">
        <v>2896</v>
      </c>
      <c r="J1934" s="13">
        <v>97125</v>
      </c>
      <c r="K1934">
        <v>1</v>
      </c>
      <c r="L1934" t="s">
        <v>1064</v>
      </c>
      <c r="M1934" t="s">
        <v>2897</v>
      </c>
      <c r="N1934" s="15" t="s">
        <v>6878</v>
      </c>
    </row>
    <row r="1935" spans="1:14" x14ac:dyDescent="0.2">
      <c r="A1935" t="s">
        <v>3037</v>
      </c>
      <c r="B1935" t="s">
        <v>2360</v>
      </c>
      <c r="C1935" s="9">
        <v>44977</v>
      </c>
      <c r="D1935" t="s">
        <v>983</v>
      </c>
      <c r="E1935" s="13">
        <v>3500000</v>
      </c>
      <c r="F1935" s="13">
        <v>11100</v>
      </c>
      <c r="G1935" s="9">
        <v>44981</v>
      </c>
      <c r="H1935" t="s">
        <v>1063</v>
      </c>
      <c r="I1935" t="s">
        <v>2896</v>
      </c>
      <c r="J1935" s="13">
        <v>97125</v>
      </c>
      <c r="K1935">
        <v>1</v>
      </c>
      <c r="L1935" t="s">
        <v>1064</v>
      </c>
      <c r="M1935" t="s">
        <v>2897</v>
      </c>
      <c r="N1935" s="15" t="s">
        <v>6878</v>
      </c>
    </row>
    <row r="1936" spans="1:14" x14ac:dyDescent="0.2">
      <c r="A1936" t="s">
        <v>3038</v>
      </c>
      <c r="B1936" t="s">
        <v>2360</v>
      </c>
      <c r="C1936" s="9">
        <v>44977</v>
      </c>
      <c r="D1936" t="s">
        <v>983</v>
      </c>
      <c r="E1936" s="13">
        <v>3500000</v>
      </c>
      <c r="F1936" s="13">
        <v>11100</v>
      </c>
      <c r="G1936" s="9">
        <v>44981</v>
      </c>
      <c r="H1936" t="s">
        <v>1063</v>
      </c>
      <c r="I1936" t="s">
        <v>2896</v>
      </c>
      <c r="J1936" s="13">
        <v>97125</v>
      </c>
      <c r="K1936">
        <v>1</v>
      </c>
      <c r="L1936" t="s">
        <v>1064</v>
      </c>
      <c r="M1936" t="s">
        <v>2897</v>
      </c>
      <c r="N1936" s="15" t="s">
        <v>6878</v>
      </c>
    </row>
    <row r="1937" spans="1:14" x14ac:dyDescent="0.2">
      <c r="A1937" t="s">
        <v>3039</v>
      </c>
      <c r="B1937" t="s">
        <v>2360</v>
      </c>
      <c r="C1937" s="9">
        <v>44977</v>
      </c>
      <c r="D1937" t="s">
        <v>983</v>
      </c>
      <c r="E1937" s="13">
        <v>3500000</v>
      </c>
      <c r="F1937" s="13">
        <v>11100</v>
      </c>
      <c r="G1937" s="9">
        <v>44981</v>
      </c>
      <c r="H1937" t="s">
        <v>1063</v>
      </c>
      <c r="I1937" t="s">
        <v>2896</v>
      </c>
      <c r="J1937" s="13">
        <v>97125</v>
      </c>
      <c r="K1937">
        <v>1</v>
      </c>
      <c r="L1937" t="s">
        <v>1064</v>
      </c>
      <c r="M1937" t="s">
        <v>2897</v>
      </c>
      <c r="N1937" s="15" t="s">
        <v>6878</v>
      </c>
    </row>
    <row r="1938" spans="1:14" x14ac:dyDescent="0.2">
      <c r="A1938" t="s">
        <v>3040</v>
      </c>
      <c r="B1938" t="s">
        <v>2360</v>
      </c>
      <c r="C1938" s="9">
        <v>44978</v>
      </c>
      <c r="D1938" t="s">
        <v>992</v>
      </c>
      <c r="E1938" s="13">
        <v>2798448</v>
      </c>
      <c r="F1938" s="13">
        <v>22200</v>
      </c>
      <c r="G1938" s="9">
        <v>44982</v>
      </c>
      <c r="H1938" t="s">
        <v>1063</v>
      </c>
      <c r="I1938" t="s">
        <v>2370</v>
      </c>
      <c r="J1938" s="13">
        <v>124250</v>
      </c>
      <c r="K1938">
        <v>1</v>
      </c>
      <c r="L1938" t="s">
        <v>1064</v>
      </c>
      <c r="M1938" t="s">
        <v>2371</v>
      </c>
      <c r="N1938" s="15" t="s">
        <v>6878</v>
      </c>
    </row>
    <row r="1939" spans="1:14" x14ac:dyDescent="0.2">
      <c r="A1939" t="s">
        <v>3041</v>
      </c>
      <c r="B1939" t="s">
        <v>2360</v>
      </c>
      <c r="C1939" s="9">
        <v>44978</v>
      </c>
      <c r="D1939" t="s">
        <v>992</v>
      </c>
      <c r="E1939" s="13">
        <v>2351586</v>
      </c>
      <c r="F1939" s="13">
        <v>22200</v>
      </c>
      <c r="G1939" s="9">
        <v>44982</v>
      </c>
      <c r="H1939" t="s">
        <v>1063</v>
      </c>
      <c r="I1939" t="s">
        <v>2370</v>
      </c>
      <c r="J1939" s="13">
        <v>104409</v>
      </c>
      <c r="K1939">
        <v>1</v>
      </c>
      <c r="L1939" t="s">
        <v>1064</v>
      </c>
      <c r="M1939" t="s">
        <v>2371</v>
      </c>
      <c r="N1939" s="15" t="s">
        <v>6878</v>
      </c>
    </row>
    <row r="1940" spans="1:14" x14ac:dyDescent="0.2">
      <c r="A1940" t="s">
        <v>3042</v>
      </c>
      <c r="B1940" t="s">
        <v>2360</v>
      </c>
      <c r="C1940" s="9">
        <v>44978</v>
      </c>
      <c r="D1940" t="s">
        <v>9</v>
      </c>
      <c r="E1940" s="13">
        <v>340060</v>
      </c>
      <c r="F1940" s="13">
        <v>24975</v>
      </c>
      <c r="G1940" s="9">
        <v>44992</v>
      </c>
      <c r="H1940" t="s">
        <v>1063</v>
      </c>
      <c r="I1940" t="s">
        <v>436</v>
      </c>
      <c r="J1940" s="13">
        <v>11323</v>
      </c>
      <c r="K1940">
        <v>1</v>
      </c>
      <c r="L1940" t="s">
        <v>1064</v>
      </c>
      <c r="M1940" t="s">
        <v>2364</v>
      </c>
      <c r="N1940" s="15" t="s">
        <v>6878</v>
      </c>
    </row>
    <row r="1941" spans="1:14" x14ac:dyDescent="0.2">
      <c r="A1941" t="s">
        <v>3043</v>
      </c>
      <c r="B1941" t="s">
        <v>2360</v>
      </c>
      <c r="C1941" s="9">
        <v>44978</v>
      </c>
      <c r="D1941" t="s">
        <v>992</v>
      </c>
      <c r="E1941" s="13">
        <v>926582</v>
      </c>
      <c r="F1941" s="13">
        <v>22200</v>
      </c>
      <c r="G1941" s="9">
        <v>44982</v>
      </c>
      <c r="H1941" t="s">
        <v>1063</v>
      </c>
      <c r="I1941" t="s">
        <v>2370</v>
      </c>
      <c r="J1941" s="13">
        <v>41139</v>
      </c>
      <c r="K1941">
        <v>1</v>
      </c>
      <c r="L1941" t="s">
        <v>1064</v>
      </c>
      <c r="M1941" t="s">
        <v>2371</v>
      </c>
      <c r="N1941" s="15" t="s">
        <v>6878</v>
      </c>
    </row>
    <row r="1942" spans="1:14" x14ac:dyDescent="0.2">
      <c r="A1942" t="s">
        <v>3044</v>
      </c>
      <c r="B1942" t="s">
        <v>2360</v>
      </c>
      <c r="C1942" s="9">
        <v>44978</v>
      </c>
      <c r="D1942" t="s">
        <v>992</v>
      </c>
      <c r="E1942" s="13">
        <v>1192980</v>
      </c>
      <c r="F1942" s="13">
        <v>22200</v>
      </c>
      <c r="G1942" s="9">
        <v>44982</v>
      </c>
      <c r="H1942" t="s">
        <v>1063</v>
      </c>
      <c r="I1942" t="s">
        <v>2370</v>
      </c>
      <c r="J1942" s="13">
        <v>52968</v>
      </c>
      <c r="K1942">
        <v>1</v>
      </c>
      <c r="L1942" t="s">
        <v>1064</v>
      </c>
      <c r="M1942" t="s">
        <v>2371</v>
      </c>
      <c r="N1942" s="15" t="s">
        <v>6878</v>
      </c>
    </row>
    <row r="1943" spans="1:14" x14ac:dyDescent="0.2">
      <c r="A1943" t="s">
        <v>3045</v>
      </c>
      <c r="B1943" t="s">
        <v>2360</v>
      </c>
      <c r="C1943" s="9">
        <v>44978</v>
      </c>
      <c r="D1943" t="s">
        <v>992</v>
      </c>
      <c r="E1943" s="13">
        <v>2848998</v>
      </c>
      <c r="F1943" s="13">
        <v>22200</v>
      </c>
      <c r="G1943" s="9">
        <v>44982</v>
      </c>
      <c r="H1943" t="s">
        <v>1063</v>
      </c>
      <c r="I1943" t="s">
        <v>2370</v>
      </c>
      <c r="J1943" s="13">
        <v>126494</v>
      </c>
      <c r="K1943">
        <v>1</v>
      </c>
      <c r="L1943" t="s">
        <v>1064</v>
      </c>
      <c r="M1943" t="s">
        <v>2371</v>
      </c>
      <c r="N1943" s="15" t="s">
        <v>6878</v>
      </c>
    </row>
    <row r="1944" spans="1:14" x14ac:dyDescent="0.2">
      <c r="A1944" t="s">
        <v>3046</v>
      </c>
      <c r="B1944" t="s">
        <v>2360</v>
      </c>
      <c r="C1944" s="9">
        <v>44978</v>
      </c>
      <c r="D1944" t="s">
        <v>992</v>
      </c>
      <c r="E1944" s="13">
        <v>4373586</v>
      </c>
      <c r="F1944" s="13">
        <v>22200</v>
      </c>
      <c r="G1944" s="9">
        <v>44984</v>
      </c>
      <c r="H1944" t="s">
        <v>1063</v>
      </c>
      <c r="I1944" t="s">
        <v>2370</v>
      </c>
      <c r="J1944" s="13">
        <v>194186</v>
      </c>
      <c r="K1944">
        <v>1</v>
      </c>
      <c r="L1944" t="s">
        <v>1064</v>
      </c>
      <c r="M1944" t="s">
        <v>2371</v>
      </c>
      <c r="N1944" s="15" t="s">
        <v>6878</v>
      </c>
    </row>
    <row r="1945" spans="1:14" x14ac:dyDescent="0.2">
      <c r="A1945" t="s">
        <v>3047</v>
      </c>
      <c r="B1945" t="s">
        <v>2360</v>
      </c>
      <c r="C1945" s="9">
        <v>44978</v>
      </c>
      <c r="D1945" t="s">
        <v>992</v>
      </c>
      <c r="E1945" s="13">
        <v>3845844</v>
      </c>
      <c r="F1945" s="13">
        <v>22200</v>
      </c>
      <c r="G1945" s="9">
        <v>44983</v>
      </c>
      <c r="H1945" t="s">
        <v>1063</v>
      </c>
      <c r="I1945" t="s">
        <v>2370</v>
      </c>
      <c r="J1945" s="13">
        <v>170754</v>
      </c>
      <c r="K1945">
        <v>1</v>
      </c>
      <c r="L1945" t="s">
        <v>1064</v>
      </c>
      <c r="M1945" t="s">
        <v>2371</v>
      </c>
      <c r="N1945" s="15" t="s">
        <v>6878</v>
      </c>
    </row>
    <row r="1946" spans="1:14" x14ac:dyDescent="0.2">
      <c r="A1946" t="s">
        <v>3048</v>
      </c>
      <c r="B1946" t="s">
        <v>2360</v>
      </c>
      <c r="C1946" s="9">
        <v>44978</v>
      </c>
      <c r="D1946" t="s">
        <v>992</v>
      </c>
      <c r="E1946" s="13">
        <v>3099221</v>
      </c>
      <c r="F1946" s="13">
        <v>22200</v>
      </c>
      <c r="G1946" s="9">
        <v>44990</v>
      </c>
      <c r="H1946" t="s">
        <v>1063</v>
      </c>
      <c r="I1946" t="s">
        <v>2370</v>
      </c>
      <c r="J1946" s="13">
        <v>137604</v>
      </c>
      <c r="K1946">
        <v>1</v>
      </c>
      <c r="L1946" t="s">
        <v>1064</v>
      </c>
      <c r="M1946" t="s">
        <v>2371</v>
      </c>
      <c r="N1946" s="15" t="s">
        <v>6878</v>
      </c>
    </row>
    <row r="1947" spans="1:14" x14ac:dyDescent="0.2">
      <c r="A1947" t="s">
        <v>3049</v>
      </c>
      <c r="B1947" t="s">
        <v>2360</v>
      </c>
      <c r="C1947" s="9">
        <v>44978</v>
      </c>
      <c r="D1947" t="s">
        <v>992</v>
      </c>
      <c r="E1947" s="13">
        <v>1609512</v>
      </c>
      <c r="F1947" s="13">
        <v>22200</v>
      </c>
      <c r="G1947" s="9">
        <v>44990</v>
      </c>
      <c r="H1947" t="s">
        <v>1063</v>
      </c>
      <c r="I1947" t="s">
        <v>2370</v>
      </c>
      <c r="J1947" s="13">
        <v>71461</v>
      </c>
      <c r="K1947">
        <v>1</v>
      </c>
      <c r="L1947" t="s">
        <v>1064</v>
      </c>
      <c r="M1947" t="s">
        <v>2371</v>
      </c>
      <c r="N1947" s="15" t="s">
        <v>6878</v>
      </c>
    </row>
    <row r="1948" spans="1:14" x14ac:dyDescent="0.2">
      <c r="A1948" t="s">
        <v>3050</v>
      </c>
      <c r="B1948" t="s">
        <v>2360</v>
      </c>
      <c r="C1948" s="9">
        <v>44978</v>
      </c>
      <c r="D1948" t="s">
        <v>992</v>
      </c>
      <c r="E1948" s="13">
        <v>3845844</v>
      </c>
      <c r="F1948" s="13">
        <v>22200</v>
      </c>
      <c r="G1948" s="9">
        <v>44990</v>
      </c>
      <c r="H1948" t="s">
        <v>1063</v>
      </c>
      <c r="I1948" t="s">
        <v>2370</v>
      </c>
      <c r="J1948" s="13">
        <v>170754</v>
      </c>
      <c r="K1948">
        <v>1</v>
      </c>
      <c r="L1948" t="s">
        <v>1064</v>
      </c>
      <c r="M1948" t="s">
        <v>2371</v>
      </c>
      <c r="N1948" s="15" t="s">
        <v>6878</v>
      </c>
    </row>
    <row r="1949" spans="1:14" x14ac:dyDescent="0.2">
      <c r="A1949" t="s">
        <v>3051</v>
      </c>
      <c r="B1949" t="s">
        <v>2360</v>
      </c>
      <c r="C1949" s="9">
        <v>44978</v>
      </c>
      <c r="D1949" t="s">
        <v>992</v>
      </c>
      <c r="E1949" s="13">
        <v>2351586</v>
      </c>
      <c r="F1949" s="13">
        <v>22200</v>
      </c>
      <c r="G1949" s="9">
        <v>44995</v>
      </c>
      <c r="H1949" t="s">
        <v>1063</v>
      </c>
      <c r="I1949" t="s">
        <v>2370</v>
      </c>
      <c r="J1949" s="13">
        <v>104409</v>
      </c>
      <c r="K1949">
        <v>1</v>
      </c>
      <c r="L1949" t="s">
        <v>1064</v>
      </c>
      <c r="M1949" t="s">
        <v>2371</v>
      </c>
      <c r="N1949" s="15" t="s">
        <v>6878</v>
      </c>
    </row>
    <row r="1950" spans="1:14" x14ac:dyDescent="0.2">
      <c r="A1950" t="s">
        <v>3052</v>
      </c>
      <c r="B1950" t="s">
        <v>2360</v>
      </c>
      <c r="C1950" s="9">
        <v>44978</v>
      </c>
      <c r="D1950" t="s">
        <v>1014</v>
      </c>
      <c r="E1950" s="13">
        <v>5916000</v>
      </c>
      <c r="F1950" s="13">
        <v>25000</v>
      </c>
      <c r="H1950" t="s">
        <v>2184</v>
      </c>
      <c r="I1950" t="s">
        <v>3053</v>
      </c>
      <c r="J1950" s="13">
        <v>0</v>
      </c>
      <c r="K1950">
        <v>1</v>
      </c>
      <c r="L1950" t="s">
        <v>1064</v>
      </c>
      <c r="M1950" t="s">
        <v>3054</v>
      </c>
      <c r="N1950" s="14" t="s">
        <v>6877</v>
      </c>
    </row>
    <row r="1951" spans="1:14" x14ac:dyDescent="0.2">
      <c r="A1951" t="s">
        <v>3055</v>
      </c>
      <c r="B1951" t="s">
        <v>2360</v>
      </c>
      <c r="C1951" s="9">
        <v>44978</v>
      </c>
      <c r="D1951" t="s">
        <v>9</v>
      </c>
      <c r="E1951" s="13">
        <v>458150</v>
      </c>
      <c r="F1951" s="13">
        <v>24975</v>
      </c>
      <c r="G1951" s="9">
        <v>44992</v>
      </c>
      <c r="H1951" t="s">
        <v>1063</v>
      </c>
      <c r="I1951" t="s">
        <v>436</v>
      </c>
      <c r="J1951" s="13">
        <v>15255</v>
      </c>
      <c r="K1951">
        <v>1</v>
      </c>
      <c r="L1951" t="s">
        <v>1064</v>
      </c>
      <c r="M1951" t="s">
        <v>2364</v>
      </c>
      <c r="N1951" s="15" t="s">
        <v>6878</v>
      </c>
    </row>
    <row r="1952" spans="1:14" x14ac:dyDescent="0.2">
      <c r="A1952" t="s">
        <v>3056</v>
      </c>
      <c r="B1952" t="s">
        <v>2360</v>
      </c>
      <c r="C1952" s="9">
        <v>44979</v>
      </c>
      <c r="D1952" t="s">
        <v>9</v>
      </c>
      <c r="E1952" s="13">
        <v>372400</v>
      </c>
      <c r="F1952" s="13">
        <v>24975</v>
      </c>
      <c r="G1952" s="9">
        <v>44992</v>
      </c>
      <c r="H1952" t="s">
        <v>1063</v>
      </c>
      <c r="I1952" t="s">
        <v>436</v>
      </c>
      <c r="J1952" s="13">
        <v>12400</v>
      </c>
      <c r="K1952">
        <v>1</v>
      </c>
      <c r="L1952" t="s">
        <v>1064</v>
      </c>
      <c r="M1952" t="s">
        <v>2364</v>
      </c>
      <c r="N1952" s="15" t="s">
        <v>6878</v>
      </c>
    </row>
    <row r="1953" spans="1:14" x14ac:dyDescent="0.2">
      <c r="A1953" t="s">
        <v>3057</v>
      </c>
      <c r="B1953" t="s">
        <v>2360</v>
      </c>
      <c r="C1953" s="9">
        <v>44979</v>
      </c>
      <c r="D1953" t="s">
        <v>9</v>
      </c>
      <c r="E1953" s="13">
        <v>686000</v>
      </c>
      <c r="F1953" s="13">
        <v>24975</v>
      </c>
      <c r="G1953" s="9">
        <v>44992</v>
      </c>
      <c r="H1953" t="s">
        <v>1063</v>
      </c>
      <c r="I1953" t="s">
        <v>436</v>
      </c>
      <c r="J1953" s="13">
        <v>22843</v>
      </c>
      <c r="K1953">
        <v>1</v>
      </c>
      <c r="L1953" t="s">
        <v>1064</v>
      </c>
      <c r="M1953" t="s">
        <v>2364</v>
      </c>
      <c r="N1953" s="15" t="s">
        <v>6878</v>
      </c>
    </row>
    <row r="1954" spans="1:14" x14ac:dyDescent="0.2">
      <c r="A1954" t="s">
        <v>3058</v>
      </c>
      <c r="B1954" t="s">
        <v>2360</v>
      </c>
      <c r="C1954" s="9">
        <v>44979</v>
      </c>
      <c r="D1954" t="s">
        <v>983</v>
      </c>
      <c r="E1954" s="13">
        <v>3500000</v>
      </c>
      <c r="F1954" s="13">
        <v>11100</v>
      </c>
      <c r="G1954" s="9">
        <v>44981</v>
      </c>
      <c r="H1954" t="s">
        <v>1063</v>
      </c>
      <c r="I1954" t="s">
        <v>2896</v>
      </c>
      <c r="J1954" s="13">
        <v>97125</v>
      </c>
      <c r="K1954">
        <v>1</v>
      </c>
      <c r="L1954" t="s">
        <v>1064</v>
      </c>
      <c r="M1954" t="s">
        <v>2897</v>
      </c>
      <c r="N1954" s="15" t="s">
        <v>6878</v>
      </c>
    </row>
    <row r="1955" spans="1:14" x14ac:dyDescent="0.2">
      <c r="A1955" t="s">
        <v>3059</v>
      </c>
      <c r="B1955" t="s">
        <v>2360</v>
      </c>
      <c r="C1955" s="9">
        <v>44979</v>
      </c>
      <c r="D1955" t="s">
        <v>983</v>
      </c>
      <c r="E1955" s="13">
        <v>3500000</v>
      </c>
      <c r="F1955" s="13">
        <v>11100</v>
      </c>
      <c r="G1955" s="9">
        <v>44981</v>
      </c>
      <c r="H1955" t="s">
        <v>1063</v>
      </c>
      <c r="I1955" t="s">
        <v>2896</v>
      </c>
      <c r="J1955" s="13">
        <v>97125</v>
      </c>
      <c r="K1955">
        <v>1</v>
      </c>
      <c r="L1955" t="s">
        <v>1064</v>
      </c>
      <c r="M1955" t="s">
        <v>2897</v>
      </c>
      <c r="N1955" s="15" t="s">
        <v>6878</v>
      </c>
    </row>
    <row r="1956" spans="1:14" x14ac:dyDescent="0.2">
      <c r="A1956" t="s">
        <v>3060</v>
      </c>
      <c r="B1956" t="s">
        <v>2360</v>
      </c>
      <c r="C1956" s="9">
        <v>44979</v>
      </c>
      <c r="D1956" t="s">
        <v>983</v>
      </c>
      <c r="E1956" s="13">
        <v>3500000</v>
      </c>
      <c r="F1956" s="13">
        <v>11100</v>
      </c>
      <c r="G1956" s="9">
        <v>44981</v>
      </c>
      <c r="H1956" t="s">
        <v>1063</v>
      </c>
      <c r="I1956" t="s">
        <v>2896</v>
      </c>
      <c r="J1956" s="13">
        <v>97125</v>
      </c>
      <c r="K1956">
        <v>1</v>
      </c>
      <c r="L1956" t="s">
        <v>1064</v>
      </c>
      <c r="M1956" t="s">
        <v>2897</v>
      </c>
      <c r="N1956" s="15" t="s">
        <v>6878</v>
      </c>
    </row>
    <row r="1957" spans="1:14" x14ac:dyDescent="0.2">
      <c r="A1957" t="s">
        <v>3061</v>
      </c>
      <c r="B1957" t="s">
        <v>2360</v>
      </c>
      <c r="C1957" s="9">
        <v>44979</v>
      </c>
      <c r="D1957" t="s">
        <v>983</v>
      </c>
      <c r="E1957" s="13">
        <v>3500000</v>
      </c>
      <c r="F1957" s="13">
        <v>11100</v>
      </c>
      <c r="G1957" s="9">
        <v>44981</v>
      </c>
      <c r="H1957" t="s">
        <v>1063</v>
      </c>
      <c r="I1957" t="s">
        <v>2896</v>
      </c>
      <c r="J1957" s="13">
        <v>97125</v>
      </c>
      <c r="K1957">
        <v>1</v>
      </c>
      <c r="L1957" t="s">
        <v>1064</v>
      </c>
      <c r="M1957" t="s">
        <v>2897</v>
      </c>
      <c r="N1957" s="15" t="s">
        <v>6878</v>
      </c>
    </row>
    <row r="1958" spans="1:14" x14ac:dyDescent="0.2">
      <c r="A1958" t="s">
        <v>3062</v>
      </c>
      <c r="B1958" t="s">
        <v>2360</v>
      </c>
      <c r="C1958" s="9">
        <v>44980</v>
      </c>
      <c r="D1958" t="s">
        <v>985</v>
      </c>
      <c r="E1958" s="13">
        <v>4097000</v>
      </c>
      <c r="F1958" s="13">
        <v>13875</v>
      </c>
      <c r="G1958" s="9">
        <v>44980</v>
      </c>
      <c r="H1958" t="s">
        <v>1063</v>
      </c>
      <c r="I1958" t="s">
        <v>3063</v>
      </c>
      <c r="J1958" s="13">
        <v>113691</v>
      </c>
      <c r="K1958">
        <v>1</v>
      </c>
      <c r="L1958" t="s">
        <v>1064</v>
      </c>
      <c r="M1958" t="s">
        <v>3064</v>
      </c>
      <c r="N1958" s="15" t="s">
        <v>6878</v>
      </c>
    </row>
    <row r="1959" spans="1:14" x14ac:dyDescent="0.2">
      <c r="A1959" t="s">
        <v>3065</v>
      </c>
      <c r="B1959" t="s">
        <v>2360</v>
      </c>
      <c r="C1959" s="9">
        <v>44980</v>
      </c>
      <c r="D1959" t="s">
        <v>9</v>
      </c>
      <c r="E1959" s="13">
        <v>340060</v>
      </c>
      <c r="F1959" s="13">
        <v>24975</v>
      </c>
      <c r="G1959" s="9">
        <v>45001</v>
      </c>
      <c r="H1959" t="s">
        <v>1063</v>
      </c>
      <c r="I1959" t="s">
        <v>436</v>
      </c>
      <c r="J1959" s="13">
        <v>11323</v>
      </c>
      <c r="K1959">
        <v>1</v>
      </c>
      <c r="L1959" t="s">
        <v>1064</v>
      </c>
      <c r="M1959" t="s">
        <v>2364</v>
      </c>
      <c r="N1959" s="15" t="s">
        <v>6878</v>
      </c>
    </row>
    <row r="1960" spans="1:14" x14ac:dyDescent="0.2">
      <c r="A1960" t="s">
        <v>3066</v>
      </c>
      <c r="B1960" t="s">
        <v>2360</v>
      </c>
      <c r="C1960" s="9">
        <v>44980</v>
      </c>
      <c r="D1960" t="s">
        <v>9</v>
      </c>
      <c r="E1960" s="13">
        <v>315560</v>
      </c>
      <c r="F1960" s="13">
        <v>24975</v>
      </c>
      <c r="G1960" s="9">
        <v>44992</v>
      </c>
      <c r="H1960" t="s">
        <v>1063</v>
      </c>
      <c r="I1960" t="s">
        <v>436</v>
      </c>
      <c r="J1960" s="13">
        <v>10507</v>
      </c>
      <c r="K1960">
        <v>1</v>
      </c>
      <c r="L1960" t="s">
        <v>1064</v>
      </c>
      <c r="M1960" t="s">
        <v>2364</v>
      </c>
      <c r="N1960" s="15" t="s">
        <v>6878</v>
      </c>
    </row>
    <row r="1961" spans="1:14" x14ac:dyDescent="0.2">
      <c r="A1961" t="s">
        <v>3067</v>
      </c>
      <c r="B1961" t="s">
        <v>2360</v>
      </c>
      <c r="C1961" s="9">
        <v>44980</v>
      </c>
      <c r="D1961" t="s">
        <v>983</v>
      </c>
      <c r="E1961" s="13">
        <v>3500000</v>
      </c>
      <c r="F1961" s="13">
        <v>11100</v>
      </c>
      <c r="G1961" s="9">
        <v>44981</v>
      </c>
      <c r="H1961" t="s">
        <v>1063</v>
      </c>
      <c r="I1961" t="s">
        <v>2896</v>
      </c>
      <c r="J1961" s="13">
        <v>97125</v>
      </c>
      <c r="K1961">
        <v>1</v>
      </c>
      <c r="L1961" t="s">
        <v>1064</v>
      </c>
      <c r="M1961" t="s">
        <v>2897</v>
      </c>
      <c r="N1961" s="15" t="s">
        <v>6878</v>
      </c>
    </row>
    <row r="1962" spans="1:14" x14ac:dyDescent="0.2">
      <c r="A1962" t="s">
        <v>3068</v>
      </c>
      <c r="B1962" t="s">
        <v>2360</v>
      </c>
      <c r="C1962" s="9">
        <v>44980</v>
      </c>
      <c r="D1962" t="s">
        <v>983</v>
      </c>
      <c r="E1962" s="13">
        <v>3500000</v>
      </c>
      <c r="F1962" s="13">
        <v>11100</v>
      </c>
      <c r="G1962" s="9">
        <v>44981</v>
      </c>
      <c r="H1962" t="s">
        <v>1063</v>
      </c>
      <c r="I1962" t="s">
        <v>2896</v>
      </c>
      <c r="J1962" s="13">
        <v>97125</v>
      </c>
      <c r="K1962">
        <v>1</v>
      </c>
      <c r="L1962" t="s">
        <v>1064</v>
      </c>
      <c r="M1962" t="s">
        <v>2897</v>
      </c>
      <c r="N1962" s="15" t="s">
        <v>6878</v>
      </c>
    </row>
    <row r="1963" spans="1:14" x14ac:dyDescent="0.2">
      <c r="A1963" t="s">
        <v>3069</v>
      </c>
      <c r="B1963" t="s">
        <v>2360</v>
      </c>
      <c r="C1963" s="9">
        <v>44981</v>
      </c>
      <c r="D1963" t="s">
        <v>9</v>
      </c>
      <c r="E1963" s="13">
        <v>294490</v>
      </c>
      <c r="F1963" s="13">
        <v>24975</v>
      </c>
      <c r="G1963" s="9">
        <v>44992</v>
      </c>
      <c r="H1963" t="s">
        <v>1063</v>
      </c>
      <c r="I1963" t="s">
        <v>436</v>
      </c>
      <c r="J1963" s="13">
        <v>9805</v>
      </c>
      <c r="K1963">
        <v>1</v>
      </c>
      <c r="L1963" t="s">
        <v>1064</v>
      </c>
      <c r="M1963" t="s">
        <v>2364</v>
      </c>
      <c r="N1963" s="15" t="s">
        <v>6878</v>
      </c>
    </row>
    <row r="1964" spans="1:14" x14ac:dyDescent="0.2">
      <c r="A1964" t="s">
        <v>3070</v>
      </c>
      <c r="B1964" t="s">
        <v>2360</v>
      </c>
      <c r="C1964" s="9">
        <v>44981</v>
      </c>
      <c r="D1964" t="s">
        <v>9</v>
      </c>
      <c r="E1964" s="13">
        <v>458150</v>
      </c>
      <c r="F1964" s="13">
        <v>24975</v>
      </c>
      <c r="G1964" s="9">
        <v>44992</v>
      </c>
      <c r="H1964" t="s">
        <v>1063</v>
      </c>
      <c r="I1964" t="s">
        <v>436</v>
      </c>
      <c r="J1964" s="13">
        <v>15255</v>
      </c>
      <c r="K1964">
        <v>1</v>
      </c>
      <c r="L1964" t="s">
        <v>1064</v>
      </c>
      <c r="M1964" t="s">
        <v>2364</v>
      </c>
      <c r="N1964" s="15" t="s">
        <v>6878</v>
      </c>
    </row>
    <row r="1965" spans="1:14" x14ac:dyDescent="0.2">
      <c r="A1965" t="s">
        <v>3071</v>
      </c>
      <c r="B1965" t="s">
        <v>2360</v>
      </c>
      <c r="C1965" s="9">
        <v>44981</v>
      </c>
      <c r="D1965" t="s">
        <v>9</v>
      </c>
      <c r="E1965" s="13">
        <v>294000</v>
      </c>
      <c r="F1965" s="13">
        <v>24975</v>
      </c>
      <c r="G1965" s="9">
        <v>44992</v>
      </c>
      <c r="H1965" t="s">
        <v>1063</v>
      </c>
      <c r="I1965" t="s">
        <v>436</v>
      </c>
      <c r="J1965" s="13">
        <v>9790</v>
      </c>
      <c r="K1965">
        <v>1</v>
      </c>
      <c r="L1965" t="s">
        <v>1064</v>
      </c>
      <c r="M1965" t="s">
        <v>2364</v>
      </c>
      <c r="N1965" s="15" t="s">
        <v>6878</v>
      </c>
    </row>
    <row r="1966" spans="1:14" x14ac:dyDescent="0.2">
      <c r="A1966" t="s">
        <v>3072</v>
      </c>
      <c r="B1966" t="s">
        <v>2360</v>
      </c>
      <c r="C1966" s="9">
        <v>44981</v>
      </c>
      <c r="D1966" t="s">
        <v>9</v>
      </c>
      <c r="E1966" s="13">
        <v>245490</v>
      </c>
      <c r="F1966" s="13">
        <v>24975</v>
      </c>
      <c r="G1966" s="9">
        <v>45001</v>
      </c>
      <c r="H1966" t="s">
        <v>1063</v>
      </c>
      <c r="I1966" t="s">
        <v>436</v>
      </c>
      <c r="J1966" s="13">
        <v>8174</v>
      </c>
      <c r="K1966">
        <v>1</v>
      </c>
      <c r="L1966" t="s">
        <v>1064</v>
      </c>
      <c r="M1966" t="s">
        <v>2364</v>
      </c>
      <c r="N1966" s="15" t="s">
        <v>6878</v>
      </c>
    </row>
    <row r="1967" spans="1:14" x14ac:dyDescent="0.2">
      <c r="A1967" t="s">
        <v>3073</v>
      </c>
      <c r="B1967" t="s">
        <v>2360</v>
      </c>
      <c r="C1967" s="9">
        <v>44981</v>
      </c>
      <c r="D1967" t="s">
        <v>9</v>
      </c>
      <c r="E1967" s="13">
        <v>735490</v>
      </c>
      <c r="F1967" s="13">
        <v>24975</v>
      </c>
      <c r="G1967" s="9">
        <v>44992</v>
      </c>
      <c r="H1967" t="s">
        <v>1063</v>
      </c>
      <c r="I1967" t="s">
        <v>436</v>
      </c>
      <c r="J1967" s="13">
        <v>24491</v>
      </c>
      <c r="K1967">
        <v>1</v>
      </c>
      <c r="L1967" t="s">
        <v>1064</v>
      </c>
      <c r="M1967" t="s">
        <v>2364</v>
      </c>
      <c r="N1967" s="15" t="s">
        <v>6878</v>
      </c>
    </row>
    <row r="1968" spans="1:14" x14ac:dyDescent="0.2">
      <c r="A1968" t="s">
        <v>3074</v>
      </c>
      <c r="B1968" t="s">
        <v>2360</v>
      </c>
      <c r="C1968" s="9">
        <v>44981</v>
      </c>
      <c r="D1968" t="s">
        <v>9</v>
      </c>
      <c r="E1968" s="13">
        <v>304290</v>
      </c>
      <c r="F1968" s="13">
        <v>49950</v>
      </c>
      <c r="G1968" s="9">
        <v>44992</v>
      </c>
      <c r="H1968" t="s">
        <v>1063</v>
      </c>
      <c r="I1968" t="s">
        <v>436</v>
      </c>
      <c r="J1968" s="13">
        <v>10132</v>
      </c>
      <c r="K1968">
        <v>2</v>
      </c>
      <c r="L1968" t="s">
        <v>1064</v>
      </c>
      <c r="M1968" t="s">
        <v>2364</v>
      </c>
      <c r="N1968" s="15" t="s">
        <v>6878</v>
      </c>
    </row>
    <row r="1969" spans="1:14" x14ac:dyDescent="0.2">
      <c r="A1969" t="s">
        <v>3075</v>
      </c>
      <c r="B1969" t="s">
        <v>2360</v>
      </c>
      <c r="C1969" s="9">
        <v>44981</v>
      </c>
      <c r="D1969" t="s">
        <v>985</v>
      </c>
      <c r="E1969" s="13">
        <v>2750000</v>
      </c>
      <c r="F1969" s="13">
        <v>13875</v>
      </c>
      <c r="G1969" s="9">
        <v>44981</v>
      </c>
      <c r="H1969" t="s">
        <v>1063</v>
      </c>
      <c r="I1969" t="s">
        <v>3063</v>
      </c>
      <c r="J1969" s="13">
        <v>76312</v>
      </c>
      <c r="K1969">
        <v>1</v>
      </c>
      <c r="L1969" t="s">
        <v>1064</v>
      </c>
      <c r="M1969" t="s">
        <v>3064</v>
      </c>
      <c r="N1969" s="15" t="s">
        <v>6878</v>
      </c>
    </row>
    <row r="1970" spans="1:14" x14ac:dyDescent="0.2">
      <c r="A1970" t="s">
        <v>3076</v>
      </c>
      <c r="B1970" t="s">
        <v>2360</v>
      </c>
      <c r="C1970" s="9">
        <v>44981</v>
      </c>
      <c r="D1970" t="s">
        <v>985</v>
      </c>
      <c r="E1970" s="13">
        <v>2750000</v>
      </c>
      <c r="F1970" s="13">
        <v>13875</v>
      </c>
      <c r="G1970" s="9">
        <v>44981</v>
      </c>
      <c r="H1970" t="s">
        <v>1063</v>
      </c>
      <c r="I1970" t="s">
        <v>3063</v>
      </c>
      <c r="J1970" s="13">
        <v>76312</v>
      </c>
      <c r="K1970">
        <v>1</v>
      </c>
      <c r="L1970" t="s">
        <v>1064</v>
      </c>
      <c r="M1970" t="s">
        <v>3064</v>
      </c>
      <c r="N1970" s="15" t="s">
        <v>6878</v>
      </c>
    </row>
    <row r="1971" spans="1:14" x14ac:dyDescent="0.2">
      <c r="A1971" t="s">
        <v>3077</v>
      </c>
      <c r="B1971" t="s">
        <v>2360</v>
      </c>
      <c r="C1971" s="9">
        <v>44981</v>
      </c>
      <c r="D1971" t="s">
        <v>985</v>
      </c>
      <c r="E1971" s="13">
        <v>4097000</v>
      </c>
      <c r="F1971" s="13">
        <v>13875</v>
      </c>
      <c r="G1971" s="9">
        <v>44981</v>
      </c>
      <c r="H1971" t="s">
        <v>1063</v>
      </c>
      <c r="I1971" t="s">
        <v>3063</v>
      </c>
      <c r="J1971" s="13">
        <v>113691</v>
      </c>
      <c r="K1971">
        <v>1</v>
      </c>
      <c r="L1971" t="s">
        <v>1064</v>
      </c>
      <c r="M1971" t="s">
        <v>3064</v>
      </c>
      <c r="N1971" s="15" t="s">
        <v>6878</v>
      </c>
    </row>
    <row r="1972" spans="1:14" x14ac:dyDescent="0.2">
      <c r="A1972" t="s">
        <v>3078</v>
      </c>
      <c r="B1972" t="s">
        <v>2360</v>
      </c>
      <c r="C1972" s="9">
        <v>44981</v>
      </c>
      <c r="D1972" t="s">
        <v>985</v>
      </c>
      <c r="E1972" s="13">
        <v>2750000</v>
      </c>
      <c r="F1972" s="13">
        <v>13875</v>
      </c>
      <c r="G1972" s="9">
        <v>44982</v>
      </c>
      <c r="H1972" t="s">
        <v>1063</v>
      </c>
      <c r="I1972" t="s">
        <v>3063</v>
      </c>
      <c r="J1972" s="13">
        <v>76312</v>
      </c>
      <c r="K1972">
        <v>1</v>
      </c>
      <c r="L1972" t="s">
        <v>1064</v>
      </c>
      <c r="M1972" t="s">
        <v>3064</v>
      </c>
      <c r="N1972" s="15" t="s">
        <v>6878</v>
      </c>
    </row>
    <row r="1973" spans="1:14" x14ac:dyDescent="0.2">
      <c r="A1973" t="s">
        <v>3079</v>
      </c>
      <c r="B1973" t="s">
        <v>2360</v>
      </c>
      <c r="C1973" s="9">
        <v>44981</v>
      </c>
      <c r="D1973" t="s">
        <v>985</v>
      </c>
      <c r="E1973" s="13">
        <v>2545500</v>
      </c>
      <c r="F1973" s="13">
        <v>13875</v>
      </c>
      <c r="G1973" s="9">
        <v>44982</v>
      </c>
      <c r="H1973" t="s">
        <v>1063</v>
      </c>
      <c r="I1973" t="s">
        <v>3063</v>
      </c>
      <c r="J1973" s="13">
        <v>70637</v>
      </c>
      <c r="K1973">
        <v>1</v>
      </c>
      <c r="L1973" t="s">
        <v>1064</v>
      </c>
      <c r="M1973" t="s">
        <v>3064</v>
      </c>
      <c r="N1973" s="15" t="s">
        <v>6878</v>
      </c>
    </row>
    <row r="1974" spans="1:14" x14ac:dyDescent="0.2">
      <c r="A1974" t="s">
        <v>3080</v>
      </c>
      <c r="B1974" t="s">
        <v>2360</v>
      </c>
      <c r="C1974" s="9">
        <v>44981</v>
      </c>
      <c r="D1974" t="s">
        <v>985</v>
      </c>
      <c r="E1974" s="13">
        <v>4097000</v>
      </c>
      <c r="F1974" s="13">
        <v>13875</v>
      </c>
      <c r="G1974" s="9">
        <v>44982</v>
      </c>
      <c r="H1974" t="s">
        <v>1063</v>
      </c>
      <c r="I1974" t="s">
        <v>3063</v>
      </c>
      <c r="J1974" s="13">
        <v>113691</v>
      </c>
      <c r="K1974">
        <v>1</v>
      </c>
      <c r="L1974" t="s">
        <v>1064</v>
      </c>
      <c r="M1974" t="s">
        <v>3064</v>
      </c>
      <c r="N1974" s="15" t="s">
        <v>6878</v>
      </c>
    </row>
    <row r="1975" spans="1:14" x14ac:dyDescent="0.2">
      <c r="A1975" t="s">
        <v>3081</v>
      </c>
      <c r="B1975" t="s">
        <v>2360</v>
      </c>
      <c r="C1975" s="9">
        <v>44981</v>
      </c>
      <c r="D1975" t="s">
        <v>985</v>
      </c>
      <c r="E1975" s="13">
        <v>4097000</v>
      </c>
      <c r="F1975" s="13">
        <v>13875</v>
      </c>
      <c r="G1975" s="9">
        <v>44982</v>
      </c>
      <c r="H1975" t="s">
        <v>1063</v>
      </c>
      <c r="I1975" t="s">
        <v>3063</v>
      </c>
      <c r="J1975" s="13">
        <v>113691</v>
      </c>
      <c r="K1975">
        <v>1</v>
      </c>
      <c r="L1975" t="s">
        <v>1064</v>
      </c>
      <c r="M1975" t="s">
        <v>3064</v>
      </c>
      <c r="N1975" s="15" t="s">
        <v>6878</v>
      </c>
    </row>
    <row r="1976" spans="1:14" x14ac:dyDescent="0.2">
      <c r="A1976" t="s">
        <v>3082</v>
      </c>
      <c r="B1976" t="s">
        <v>2360</v>
      </c>
      <c r="C1976" s="9">
        <v>44981</v>
      </c>
      <c r="D1976" t="s">
        <v>985</v>
      </c>
      <c r="E1976" s="13">
        <v>2750000</v>
      </c>
      <c r="F1976" s="13">
        <v>13875</v>
      </c>
      <c r="G1976" s="9">
        <v>44982</v>
      </c>
      <c r="H1976" t="s">
        <v>1063</v>
      </c>
      <c r="I1976" t="s">
        <v>3063</v>
      </c>
      <c r="J1976" s="13">
        <v>76312</v>
      </c>
      <c r="K1976">
        <v>1</v>
      </c>
      <c r="L1976" t="s">
        <v>1064</v>
      </c>
      <c r="M1976" t="s">
        <v>3064</v>
      </c>
      <c r="N1976" s="15" t="s">
        <v>6878</v>
      </c>
    </row>
    <row r="1977" spans="1:14" x14ac:dyDescent="0.2">
      <c r="A1977" t="s">
        <v>3083</v>
      </c>
      <c r="B1977" t="s">
        <v>2360</v>
      </c>
      <c r="C1977" s="9">
        <v>44981</v>
      </c>
      <c r="D1977" t="s">
        <v>985</v>
      </c>
      <c r="E1977" s="13">
        <v>1331000</v>
      </c>
      <c r="F1977" s="13">
        <v>13875</v>
      </c>
      <c r="G1977" s="9">
        <v>44982</v>
      </c>
      <c r="H1977" t="s">
        <v>1063</v>
      </c>
      <c r="I1977" t="s">
        <v>3063</v>
      </c>
      <c r="J1977" s="13">
        <v>36935</v>
      </c>
      <c r="K1977">
        <v>1</v>
      </c>
      <c r="L1977" t="s">
        <v>1064</v>
      </c>
      <c r="M1977" t="s">
        <v>3064</v>
      </c>
      <c r="N1977" s="15" t="s">
        <v>6878</v>
      </c>
    </row>
    <row r="1978" spans="1:14" x14ac:dyDescent="0.2">
      <c r="A1978" t="s">
        <v>3084</v>
      </c>
      <c r="B1978" t="s">
        <v>2360</v>
      </c>
      <c r="C1978" s="9">
        <v>44981</v>
      </c>
      <c r="D1978" t="s">
        <v>985</v>
      </c>
      <c r="E1978" s="13">
        <v>4097000</v>
      </c>
      <c r="F1978" s="13">
        <v>13875</v>
      </c>
      <c r="G1978" s="9">
        <v>44982</v>
      </c>
      <c r="H1978" t="s">
        <v>1063</v>
      </c>
      <c r="I1978" t="s">
        <v>3063</v>
      </c>
      <c r="J1978" s="13">
        <v>113691</v>
      </c>
      <c r="K1978">
        <v>1</v>
      </c>
      <c r="L1978" t="s">
        <v>1064</v>
      </c>
      <c r="M1978" t="s">
        <v>3064</v>
      </c>
      <c r="N1978" s="15" t="s">
        <v>6878</v>
      </c>
    </row>
    <row r="1979" spans="1:14" x14ac:dyDescent="0.2">
      <c r="A1979" t="s">
        <v>3085</v>
      </c>
      <c r="B1979" t="s">
        <v>2360</v>
      </c>
      <c r="C1979" s="9">
        <v>44981</v>
      </c>
      <c r="D1979" t="s">
        <v>985</v>
      </c>
      <c r="E1979" s="13">
        <v>3850000</v>
      </c>
      <c r="F1979" s="13">
        <v>13875</v>
      </c>
      <c r="G1979" s="9">
        <v>44982</v>
      </c>
      <c r="H1979" t="s">
        <v>1063</v>
      </c>
      <c r="I1979" t="s">
        <v>3063</v>
      </c>
      <c r="J1979" s="13">
        <v>106837</v>
      </c>
      <c r="K1979">
        <v>1</v>
      </c>
      <c r="L1979" t="s">
        <v>1064</v>
      </c>
      <c r="M1979" t="s">
        <v>3064</v>
      </c>
      <c r="N1979" s="15" t="s">
        <v>6878</v>
      </c>
    </row>
    <row r="1980" spans="1:14" x14ac:dyDescent="0.2">
      <c r="A1980" t="s">
        <v>3086</v>
      </c>
      <c r="B1980" t="s">
        <v>2360</v>
      </c>
      <c r="C1980" s="9">
        <v>44981</v>
      </c>
      <c r="D1980" t="s">
        <v>985</v>
      </c>
      <c r="E1980" s="13">
        <v>3850000</v>
      </c>
      <c r="F1980" s="13">
        <v>13875</v>
      </c>
      <c r="G1980" s="9">
        <v>44982</v>
      </c>
      <c r="H1980" t="s">
        <v>1063</v>
      </c>
      <c r="I1980" t="s">
        <v>3063</v>
      </c>
      <c r="J1980" s="13">
        <v>106837</v>
      </c>
      <c r="K1980">
        <v>1</v>
      </c>
      <c r="L1980" t="s">
        <v>1064</v>
      </c>
      <c r="M1980" t="s">
        <v>3064</v>
      </c>
      <c r="N1980" s="15" t="s">
        <v>6878</v>
      </c>
    </row>
    <row r="1981" spans="1:14" x14ac:dyDescent="0.2">
      <c r="A1981" t="s">
        <v>3087</v>
      </c>
      <c r="B1981" t="s">
        <v>2360</v>
      </c>
      <c r="C1981" s="9">
        <v>44981</v>
      </c>
      <c r="D1981" t="s">
        <v>985</v>
      </c>
      <c r="E1981" s="13">
        <v>3850000</v>
      </c>
      <c r="F1981" s="13">
        <v>13875</v>
      </c>
      <c r="G1981" s="9">
        <v>44982</v>
      </c>
      <c r="H1981" t="s">
        <v>1063</v>
      </c>
      <c r="I1981" t="s">
        <v>3063</v>
      </c>
      <c r="J1981" s="13">
        <v>106837</v>
      </c>
      <c r="K1981">
        <v>1</v>
      </c>
      <c r="L1981" t="s">
        <v>1064</v>
      </c>
      <c r="M1981" t="s">
        <v>3064</v>
      </c>
      <c r="N1981" s="15" t="s">
        <v>6878</v>
      </c>
    </row>
    <row r="1982" spans="1:14" x14ac:dyDescent="0.2">
      <c r="A1982" t="s">
        <v>3088</v>
      </c>
      <c r="B1982" t="s">
        <v>2360</v>
      </c>
      <c r="C1982" s="9">
        <v>44981</v>
      </c>
      <c r="D1982" t="s">
        <v>985</v>
      </c>
      <c r="E1982" s="13">
        <v>3850000</v>
      </c>
      <c r="F1982" s="13">
        <v>13875</v>
      </c>
      <c r="G1982" s="9">
        <v>44982</v>
      </c>
      <c r="H1982" t="s">
        <v>1063</v>
      </c>
      <c r="I1982" t="s">
        <v>3063</v>
      </c>
      <c r="J1982" s="13">
        <v>106837</v>
      </c>
      <c r="K1982">
        <v>1</v>
      </c>
      <c r="L1982" t="s">
        <v>1064</v>
      </c>
      <c r="M1982" t="s">
        <v>3064</v>
      </c>
      <c r="N1982" s="15" t="s">
        <v>6878</v>
      </c>
    </row>
    <row r="1983" spans="1:14" x14ac:dyDescent="0.2">
      <c r="A1983" t="s">
        <v>3089</v>
      </c>
      <c r="B1983" t="s">
        <v>2360</v>
      </c>
      <c r="C1983" s="9">
        <v>44981</v>
      </c>
      <c r="D1983" t="s">
        <v>985</v>
      </c>
      <c r="E1983" s="13">
        <v>11424000</v>
      </c>
      <c r="F1983" s="13">
        <v>55500</v>
      </c>
      <c r="G1983" s="9">
        <v>44982</v>
      </c>
      <c r="H1983" t="s">
        <v>1063</v>
      </c>
      <c r="I1983" t="s">
        <v>3063</v>
      </c>
      <c r="J1983" s="13">
        <v>317016</v>
      </c>
      <c r="K1983">
        <v>4</v>
      </c>
      <c r="L1983" t="s">
        <v>1064</v>
      </c>
      <c r="M1983" t="s">
        <v>3064</v>
      </c>
      <c r="N1983" s="15" t="s">
        <v>6878</v>
      </c>
    </row>
    <row r="1984" spans="1:14" x14ac:dyDescent="0.2">
      <c r="A1984" t="s">
        <v>3090</v>
      </c>
      <c r="B1984" t="s">
        <v>2360</v>
      </c>
      <c r="C1984" s="9">
        <v>44983</v>
      </c>
      <c r="D1984" t="s">
        <v>985</v>
      </c>
      <c r="E1984" s="13">
        <v>4097000</v>
      </c>
      <c r="F1984" s="13">
        <v>13875</v>
      </c>
      <c r="G1984" s="9">
        <v>44983</v>
      </c>
      <c r="H1984" t="s">
        <v>1063</v>
      </c>
      <c r="I1984" t="s">
        <v>3063</v>
      </c>
      <c r="J1984" s="13">
        <v>113691</v>
      </c>
      <c r="K1984">
        <v>1</v>
      </c>
      <c r="L1984" t="s">
        <v>1064</v>
      </c>
      <c r="M1984" t="s">
        <v>3064</v>
      </c>
      <c r="N1984" s="15" t="s">
        <v>6878</v>
      </c>
    </row>
    <row r="1985" spans="1:14" x14ac:dyDescent="0.2">
      <c r="A1985" t="s">
        <v>3091</v>
      </c>
      <c r="B1985" t="s">
        <v>2360</v>
      </c>
      <c r="C1985" s="9">
        <v>44983</v>
      </c>
      <c r="D1985" t="s">
        <v>985</v>
      </c>
      <c r="E1985" s="13">
        <v>2750000</v>
      </c>
      <c r="F1985" s="13">
        <v>13875</v>
      </c>
      <c r="G1985" s="9">
        <v>44983</v>
      </c>
      <c r="H1985" t="s">
        <v>1063</v>
      </c>
      <c r="I1985" t="s">
        <v>3063</v>
      </c>
      <c r="J1985" s="13">
        <v>76312</v>
      </c>
      <c r="K1985">
        <v>1</v>
      </c>
      <c r="L1985" t="s">
        <v>1064</v>
      </c>
      <c r="M1985" t="s">
        <v>3064</v>
      </c>
      <c r="N1985" s="15" t="s">
        <v>6878</v>
      </c>
    </row>
    <row r="1986" spans="1:14" x14ac:dyDescent="0.2">
      <c r="A1986" t="s">
        <v>3092</v>
      </c>
      <c r="B1986" t="s">
        <v>2360</v>
      </c>
      <c r="C1986" s="9">
        <v>44983</v>
      </c>
      <c r="D1986" t="s">
        <v>985</v>
      </c>
      <c r="E1986" s="13">
        <v>1331000</v>
      </c>
      <c r="F1986" s="13">
        <v>13875</v>
      </c>
      <c r="G1986" s="9">
        <v>44983</v>
      </c>
      <c r="H1986" t="s">
        <v>1063</v>
      </c>
      <c r="I1986" t="s">
        <v>3063</v>
      </c>
      <c r="J1986" s="13">
        <v>36935</v>
      </c>
      <c r="K1986">
        <v>1</v>
      </c>
      <c r="L1986" t="s">
        <v>1064</v>
      </c>
      <c r="M1986" t="s">
        <v>3064</v>
      </c>
      <c r="N1986" s="15" t="s">
        <v>6878</v>
      </c>
    </row>
    <row r="1987" spans="1:14" x14ac:dyDescent="0.2">
      <c r="A1987" t="s">
        <v>3093</v>
      </c>
      <c r="B1987" t="s">
        <v>2360</v>
      </c>
      <c r="C1987" s="9">
        <v>44983</v>
      </c>
      <c r="D1987" t="s">
        <v>985</v>
      </c>
      <c r="E1987" s="13">
        <v>2545500</v>
      </c>
      <c r="F1987" s="13">
        <v>13875</v>
      </c>
      <c r="G1987" s="9">
        <v>44983</v>
      </c>
      <c r="H1987" t="s">
        <v>1063</v>
      </c>
      <c r="I1987" t="s">
        <v>3063</v>
      </c>
      <c r="J1987" s="13">
        <v>70637</v>
      </c>
      <c r="K1987">
        <v>1</v>
      </c>
      <c r="L1987" t="s">
        <v>1064</v>
      </c>
      <c r="M1987" t="s">
        <v>3064</v>
      </c>
      <c r="N1987" s="15" t="s">
        <v>6878</v>
      </c>
    </row>
    <row r="1988" spans="1:14" x14ac:dyDescent="0.2">
      <c r="A1988" t="s">
        <v>3094</v>
      </c>
      <c r="B1988" t="s">
        <v>2360</v>
      </c>
      <c r="C1988" s="9">
        <v>44983</v>
      </c>
      <c r="D1988" t="s">
        <v>985</v>
      </c>
      <c r="E1988" s="13">
        <v>2750000</v>
      </c>
      <c r="F1988" s="13">
        <v>13875</v>
      </c>
      <c r="G1988" s="9">
        <v>44983</v>
      </c>
      <c r="H1988" t="s">
        <v>1063</v>
      </c>
      <c r="I1988" t="s">
        <v>3063</v>
      </c>
      <c r="J1988" s="13">
        <v>76312</v>
      </c>
      <c r="K1988">
        <v>1</v>
      </c>
      <c r="L1988" t="s">
        <v>1064</v>
      </c>
      <c r="M1988" t="s">
        <v>3064</v>
      </c>
      <c r="N1988" s="15" t="s">
        <v>6878</v>
      </c>
    </row>
    <row r="1989" spans="1:14" x14ac:dyDescent="0.2">
      <c r="A1989" t="s">
        <v>3095</v>
      </c>
      <c r="B1989" t="s">
        <v>2360</v>
      </c>
      <c r="C1989" s="9">
        <v>44983</v>
      </c>
      <c r="D1989" t="s">
        <v>985</v>
      </c>
      <c r="E1989" s="13">
        <v>4097000</v>
      </c>
      <c r="F1989" s="13">
        <v>13875</v>
      </c>
      <c r="G1989" s="9">
        <v>44983</v>
      </c>
      <c r="H1989" t="s">
        <v>1063</v>
      </c>
      <c r="I1989" t="s">
        <v>3063</v>
      </c>
      <c r="J1989" s="13">
        <v>113691</v>
      </c>
      <c r="K1989">
        <v>1</v>
      </c>
      <c r="L1989" t="s">
        <v>1064</v>
      </c>
      <c r="M1989" t="s">
        <v>3064</v>
      </c>
      <c r="N1989" s="15" t="s">
        <v>6878</v>
      </c>
    </row>
    <row r="1990" spans="1:14" x14ac:dyDescent="0.2">
      <c r="A1990" t="s">
        <v>3096</v>
      </c>
      <c r="B1990" t="s">
        <v>2360</v>
      </c>
      <c r="C1990" s="9">
        <v>44983</v>
      </c>
      <c r="D1990" t="s">
        <v>985</v>
      </c>
      <c r="E1990" s="13">
        <v>2750000</v>
      </c>
      <c r="F1990" s="13">
        <v>13875</v>
      </c>
      <c r="G1990" s="9">
        <v>44986</v>
      </c>
      <c r="H1990" t="s">
        <v>1063</v>
      </c>
      <c r="I1990" t="s">
        <v>3063</v>
      </c>
      <c r="J1990" s="13">
        <v>76312</v>
      </c>
      <c r="K1990">
        <v>1</v>
      </c>
      <c r="L1990" t="s">
        <v>1064</v>
      </c>
      <c r="M1990" t="s">
        <v>3064</v>
      </c>
      <c r="N1990" s="15" t="s">
        <v>6878</v>
      </c>
    </row>
    <row r="1991" spans="1:14" x14ac:dyDescent="0.2">
      <c r="A1991" t="s">
        <v>3097</v>
      </c>
      <c r="B1991" t="s">
        <v>2360</v>
      </c>
      <c r="C1991" s="9">
        <v>44983</v>
      </c>
      <c r="D1991" t="s">
        <v>983</v>
      </c>
      <c r="E1991" s="13">
        <v>4900000</v>
      </c>
      <c r="F1991" s="13">
        <v>11100</v>
      </c>
      <c r="G1991" s="9">
        <v>44988</v>
      </c>
      <c r="H1991" t="s">
        <v>1063</v>
      </c>
      <c r="I1991" t="s">
        <v>2896</v>
      </c>
      <c r="J1991" s="13">
        <v>135975</v>
      </c>
      <c r="K1991">
        <v>1</v>
      </c>
      <c r="L1991" t="s">
        <v>1064</v>
      </c>
      <c r="M1991" t="s">
        <v>2897</v>
      </c>
      <c r="N1991" s="15" t="s">
        <v>6878</v>
      </c>
    </row>
    <row r="1992" spans="1:14" x14ac:dyDescent="0.2">
      <c r="A1992" t="s">
        <v>3098</v>
      </c>
      <c r="B1992" t="s">
        <v>2360</v>
      </c>
      <c r="C1992" s="9">
        <v>44983</v>
      </c>
      <c r="D1992" t="s">
        <v>983</v>
      </c>
      <c r="E1992" s="13">
        <v>4900000</v>
      </c>
      <c r="F1992" s="13">
        <v>11100</v>
      </c>
      <c r="G1992" s="9">
        <v>44988</v>
      </c>
      <c r="H1992" t="s">
        <v>1063</v>
      </c>
      <c r="I1992" t="s">
        <v>2896</v>
      </c>
      <c r="J1992" s="13">
        <v>135975</v>
      </c>
      <c r="K1992">
        <v>1</v>
      </c>
      <c r="L1992" t="s">
        <v>1064</v>
      </c>
      <c r="M1992" t="s">
        <v>2897</v>
      </c>
      <c r="N1992" s="15" t="s">
        <v>6878</v>
      </c>
    </row>
    <row r="1993" spans="1:14" x14ac:dyDescent="0.2">
      <c r="A1993" t="s">
        <v>3099</v>
      </c>
      <c r="B1993" t="s">
        <v>2360</v>
      </c>
      <c r="C1993" s="9">
        <v>44984</v>
      </c>
      <c r="D1993" t="s">
        <v>992</v>
      </c>
      <c r="E1993" s="13">
        <v>4432224</v>
      </c>
      <c r="F1993" s="13">
        <v>22200</v>
      </c>
      <c r="G1993" s="9">
        <v>44990</v>
      </c>
      <c r="H1993" t="s">
        <v>1063</v>
      </c>
      <c r="I1993" t="s">
        <v>2370</v>
      </c>
      <c r="J1993" s="13">
        <v>196789</v>
      </c>
      <c r="K1993">
        <v>1</v>
      </c>
      <c r="L1993" t="s">
        <v>1064</v>
      </c>
      <c r="M1993" t="s">
        <v>2371</v>
      </c>
      <c r="N1993" s="15" t="s">
        <v>6878</v>
      </c>
    </row>
    <row r="1994" spans="1:14" x14ac:dyDescent="0.2">
      <c r="A1994" t="s">
        <v>3100</v>
      </c>
      <c r="B1994" t="s">
        <v>2360</v>
      </c>
      <c r="C1994" s="9">
        <v>44984</v>
      </c>
      <c r="D1994" t="s">
        <v>9</v>
      </c>
      <c r="E1994" s="13">
        <v>340060</v>
      </c>
      <c r="F1994" s="13">
        <v>24975</v>
      </c>
      <c r="G1994" s="9">
        <v>44992</v>
      </c>
      <c r="H1994" t="s">
        <v>1063</v>
      </c>
      <c r="I1994" t="s">
        <v>436</v>
      </c>
      <c r="J1994" s="13">
        <v>11323</v>
      </c>
      <c r="K1994">
        <v>1</v>
      </c>
      <c r="L1994" t="s">
        <v>1064</v>
      </c>
      <c r="M1994" t="s">
        <v>2364</v>
      </c>
      <c r="N1994" s="15" t="s">
        <v>6878</v>
      </c>
    </row>
    <row r="1995" spans="1:14" x14ac:dyDescent="0.2">
      <c r="A1995" t="s">
        <v>3101</v>
      </c>
      <c r="B1995" t="s">
        <v>2360</v>
      </c>
      <c r="C1995" s="9">
        <v>44984</v>
      </c>
      <c r="D1995" t="s">
        <v>9</v>
      </c>
      <c r="E1995" s="13">
        <v>265090</v>
      </c>
      <c r="F1995" s="13">
        <v>24975</v>
      </c>
      <c r="G1995" s="9">
        <v>44992</v>
      </c>
      <c r="H1995" t="s">
        <v>1063</v>
      </c>
      <c r="I1995" t="s">
        <v>436</v>
      </c>
      <c r="J1995" s="13">
        <v>8826</v>
      </c>
      <c r="K1995">
        <v>1</v>
      </c>
      <c r="L1995" t="s">
        <v>1064</v>
      </c>
      <c r="M1995" t="s">
        <v>2364</v>
      </c>
      <c r="N1995" s="15" t="s">
        <v>6878</v>
      </c>
    </row>
    <row r="1996" spans="1:14" x14ac:dyDescent="0.2">
      <c r="A1996" t="s">
        <v>3102</v>
      </c>
      <c r="B1996" t="s">
        <v>2360</v>
      </c>
      <c r="C1996" s="9">
        <v>44984</v>
      </c>
      <c r="D1996" t="s">
        <v>998</v>
      </c>
      <c r="E1996" s="13">
        <v>45000000</v>
      </c>
      <c r="F1996" s="13">
        <v>27750</v>
      </c>
      <c r="G1996" s="9">
        <v>44985</v>
      </c>
      <c r="H1996" t="s">
        <v>1063</v>
      </c>
      <c r="I1996" t="s">
        <v>2902</v>
      </c>
      <c r="J1996" s="13">
        <v>1998000</v>
      </c>
      <c r="K1996">
        <v>1</v>
      </c>
      <c r="L1996" t="s">
        <v>1064</v>
      </c>
      <c r="M1996" t="s">
        <v>2903</v>
      </c>
      <c r="N1996" s="15" t="s">
        <v>6878</v>
      </c>
    </row>
    <row r="1997" spans="1:14" x14ac:dyDescent="0.2">
      <c r="A1997" t="s">
        <v>3103</v>
      </c>
      <c r="B1997" t="s">
        <v>2360</v>
      </c>
      <c r="C1997" s="9">
        <v>44984</v>
      </c>
      <c r="D1997" t="s">
        <v>998</v>
      </c>
      <c r="E1997" s="13">
        <v>39000000</v>
      </c>
      <c r="F1997" s="13">
        <v>27750</v>
      </c>
      <c r="G1997" s="9">
        <v>44985</v>
      </c>
      <c r="H1997" t="s">
        <v>1063</v>
      </c>
      <c r="I1997" t="s">
        <v>2902</v>
      </c>
      <c r="J1997" s="13">
        <v>1731600</v>
      </c>
      <c r="K1997">
        <v>1</v>
      </c>
      <c r="L1997" t="s">
        <v>1064</v>
      </c>
      <c r="M1997" t="s">
        <v>2903</v>
      </c>
      <c r="N1997" s="15" t="s">
        <v>6878</v>
      </c>
    </row>
    <row r="1998" spans="1:14" x14ac:dyDescent="0.2">
      <c r="A1998" t="s">
        <v>3104</v>
      </c>
      <c r="B1998" t="s">
        <v>2360</v>
      </c>
      <c r="C1998" s="9">
        <v>44985</v>
      </c>
      <c r="D1998" t="s">
        <v>964</v>
      </c>
      <c r="E1998" s="13">
        <v>17500000</v>
      </c>
      <c r="F1998" s="13">
        <v>27750</v>
      </c>
      <c r="G1998" s="9">
        <v>44985</v>
      </c>
      <c r="H1998" t="s">
        <v>1063</v>
      </c>
      <c r="I1998" t="s">
        <v>2520</v>
      </c>
      <c r="J1998" s="13">
        <v>485625</v>
      </c>
      <c r="K1998">
        <v>1</v>
      </c>
      <c r="L1998" t="s">
        <v>1064</v>
      </c>
      <c r="M1998" t="s">
        <v>2521</v>
      </c>
      <c r="N1998" s="15" t="s">
        <v>6878</v>
      </c>
    </row>
    <row r="1999" spans="1:14" x14ac:dyDescent="0.2">
      <c r="A1999" t="s">
        <v>3105</v>
      </c>
      <c r="B1999" t="s">
        <v>2360</v>
      </c>
      <c r="C1999" s="9">
        <v>44985</v>
      </c>
      <c r="D1999" t="s">
        <v>964</v>
      </c>
      <c r="E1999" s="13">
        <v>13500000</v>
      </c>
      <c r="F1999" s="13">
        <v>27750</v>
      </c>
      <c r="G1999" s="9">
        <v>44985</v>
      </c>
      <c r="H1999" t="s">
        <v>1063</v>
      </c>
      <c r="I1999" t="s">
        <v>2520</v>
      </c>
      <c r="J1999" s="13">
        <v>374625</v>
      </c>
      <c r="K1999">
        <v>1</v>
      </c>
      <c r="L1999" t="s">
        <v>1064</v>
      </c>
      <c r="M1999" t="s">
        <v>2521</v>
      </c>
      <c r="N1999" s="15" t="s">
        <v>6878</v>
      </c>
    </row>
    <row r="2000" spans="1:14" x14ac:dyDescent="0.2">
      <c r="A2000" t="s">
        <v>3106</v>
      </c>
      <c r="B2000" t="s">
        <v>2360</v>
      </c>
      <c r="C2000" s="9">
        <v>44985</v>
      </c>
      <c r="D2000" t="s">
        <v>964</v>
      </c>
      <c r="E2000" s="13">
        <v>17500000</v>
      </c>
      <c r="F2000" s="13">
        <v>27750</v>
      </c>
      <c r="G2000" s="9">
        <v>44993</v>
      </c>
      <c r="H2000" t="s">
        <v>1063</v>
      </c>
      <c r="I2000" t="s">
        <v>2520</v>
      </c>
      <c r="J2000" s="13">
        <v>485625</v>
      </c>
      <c r="K2000">
        <v>1</v>
      </c>
      <c r="L2000" t="s">
        <v>1064</v>
      </c>
      <c r="M2000" t="s">
        <v>2521</v>
      </c>
      <c r="N2000" s="15" t="s">
        <v>6878</v>
      </c>
    </row>
    <row r="2001" spans="1:14" x14ac:dyDescent="0.2">
      <c r="A2001" t="s">
        <v>3107</v>
      </c>
      <c r="B2001" t="s">
        <v>2360</v>
      </c>
      <c r="C2001" s="9">
        <v>44985</v>
      </c>
      <c r="D2001" t="s">
        <v>964</v>
      </c>
      <c r="E2001" s="13">
        <v>13500000</v>
      </c>
      <c r="F2001" s="13">
        <v>27750</v>
      </c>
      <c r="G2001" s="9">
        <v>44985</v>
      </c>
      <c r="H2001" t="s">
        <v>1063</v>
      </c>
      <c r="I2001" t="s">
        <v>2520</v>
      </c>
      <c r="J2001" s="13">
        <v>374625</v>
      </c>
      <c r="K2001">
        <v>1</v>
      </c>
      <c r="L2001" t="s">
        <v>1064</v>
      </c>
      <c r="M2001" t="s">
        <v>2521</v>
      </c>
      <c r="N2001" s="15" t="s">
        <v>6878</v>
      </c>
    </row>
    <row r="2002" spans="1:14" x14ac:dyDescent="0.2">
      <c r="A2002" t="s">
        <v>3108</v>
      </c>
      <c r="B2002" t="s">
        <v>2360</v>
      </c>
      <c r="C2002" s="9">
        <v>44985</v>
      </c>
      <c r="D2002" t="s">
        <v>964</v>
      </c>
      <c r="E2002" s="13">
        <v>13500000</v>
      </c>
      <c r="F2002" s="13">
        <v>27750</v>
      </c>
      <c r="G2002" s="9">
        <v>44985</v>
      </c>
      <c r="H2002" t="s">
        <v>1063</v>
      </c>
      <c r="I2002" t="s">
        <v>2520</v>
      </c>
      <c r="J2002" s="13">
        <v>374625</v>
      </c>
      <c r="K2002">
        <v>1</v>
      </c>
      <c r="L2002" t="s">
        <v>1064</v>
      </c>
      <c r="M2002" t="s">
        <v>2521</v>
      </c>
      <c r="N2002" s="15" t="s">
        <v>6878</v>
      </c>
    </row>
    <row r="2003" spans="1:14" x14ac:dyDescent="0.2">
      <c r="A2003" t="s">
        <v>3109</v>
      </c>
      <c r="B2003" t="s">
        <v>2360</v>
      </c>
      <c r="C2003" s="9">
        <v>44985</v>
      </c>
      <c r="D2003" t="s">
        <v>9</v>
      </c>
      <c r="E2003" s="13">
        <v>604660</v>
      </c>
      <c r="F2003" s="13">
        <v>24975</v>
      </c>
      <c r="G2003" s="9">
        <v>44992</v>
      </c>
      <c r="H2003" t="s">
        <v>1063</v>
      </c>
      <c r="I2003" t="s">
        <v>436</v>
      </c>
      <c r="J2003" s="13">
        <v>20134</v>
      </c>
      <c r="K2003">
        <v>1</v>
      </c>
      <c r="L2003" t="s">
        <v>1064</v>
      </c>
      <c r="M2003" t="s">
        <v>2364</v>
      </c>
      <c r="N2003" s="15" t="s">
        <v>6878</v>
      </c>
    </row>
    <row r="2004" spans="1:14" x14ac:dyDescent="0.2">
      <c r="A2004" t="s">
        <v>3110</v>
      </c>
      <c r="B2004" t="s">
        <v>2360</v>
      </c>
      <c r="C2004" s="9">
        <v>44985</v>
      </c>
      <c r="D2004" t="s">
        <v>9</v>
      </c>
      <c r="E2004" s="13">
        <v>274890</v>
      </c>
      <c r="F2004" s="13">
        <v>24975</v>
      </c>
      <c r="G2004" s="9">
        <v>44992</v>
      </c>
      <c r="H2004" t="s">
        <v>1063</v>
      </c>
      <c r="I2004" t="s">
        <v>436</v>
      </c>
      <c r="J2004" s="13">
        <v>9153</v>
      </c>
      <c r="K2004">
        <v>1</v>
      </c>
      <c r="L2004" t="s">
        <v>1064</v>
      </c>
      <c r="M2004" t="s">
        <v>2364</v>
      </c>
      <c r="N2004" s="15" t="s">
        <v>6878</v>
      </c>
    </row>
    <row r="2005" spans="1:14" x14ac:dyDescent="0.2">
      <c r="A2005" t="s">
        <v>3111</v>
      </c>
      <c r="B2005" t="s">
        <v>2360</v>
      </c>
      <c r="C2005" s="9">
        <v>44985</v>
      </c>
      <c r="D2005" t="s">
        <v>9</v>
      </c>
      <c r="E2005" s="13">
        <v>245490</v>
      </c>
      <c r="F2005" s="13">
        <v>24975</v>
      </c>
      <c r="G2005" s="9">
        <v>44992</v>
      </c>
      <c r="H2005" t="s">
        <v>1063</v>
      </c>
      <c r="I2005" t="s">
        <v>436</v>
      </c>
      <c r="J2005" s="13">
        <v>8174</v>
      </c>
      <c r="K2005">
        <v>1</v>
      </c>
      <c r="L2005" t="s">
        <v>1064</v>
      </c>
      <c r="M2005" t="s">
        <v>2364</v>
      </c>
      <c r="N2005" s="15" t="s">
        <v>6878</v>
      </c>
    </row>
    <row r="2006" spans="1:14" x14ac:dyDescent="0.2">
      <c r="A2006" t="s">
        <v>3112</v>
      </c>
      <c r="B2006" t="s">
        <v>2360</v>
      </c>
      <c r="C2006" s="9">
        <v>44985</v>
      </c>
      <c r="D2006" t="s">
        <v>9</v>
      </c>
      <c r="E2006" s="13">
        <v>313600</v>
      </c>
      <c r="F2006" s="13">
        <v>24975</v>
      </c>
      <c r="G2006" s="9">
        <v>44992</v>
      </c>
      <c r="H2006" t="s">
        <v>1063</v>
      </c>
      <c r="I2006" t="s">
        <v>436</v>
      </c>
      <c r="J2006" s="13">
        <v>10442</v>
      </c>
      <c r="K2006">
        <v>1</v>
      </c>
      <c r="L2006" t="s">
        <v>1064</v>
      </c>
      <c r="M2006" t="s">
        <v>2364</v>
      </c>
      <c r="N2006" s="15" t="s">
        <v>6878</v>
      </c>
    </row>
    <row r="2007" spans="1:14" x14ac:dyDescent="0.2">
      <c r="A2007" t="s">
        <v>3113</v>
      </c>
      <c r="B2007" t="s">
        <v>2360</v>
      </c>
      <c r="C2007" s="9">
        <v>44985</v>
      </c>
      <c r="D2007" t="s">
        <v>9</v>
      </c>
      <c r="E2007" s="13">
        <v>274890</v>
      </c>
      <c r="F2007" s="13">
        <v>24975</v>
      </c>
      <c r="G2007" s="9">
        <v>44992</v>
      </c>
      <c r="H2007" t="s">
        <v>1063</v>
      </c>
      <c r="I2007" t="s">
        <v>436</v>
      </c>
      <c r="J2007" s="13">
        <v>9153</v>
      </c>
      <c r="K2007">
        <v>1</v>
      </c>
      <c r="L2007" t="s">
        <v>1064</v>
      </c>
      <c r="M2007" t="s">
        <v>2364</v>
      </c>
      <c r="N2007" s="15" t="s">
        <v>6878</v>
      </c>
    </row>
    <row r="2008" spans="1:14" x14ac:dyDescent="0.2">
      <c r="A2008" t="s">
        <v>3114</v>
      </c>
      <c r="B2008" t="s">
        <v>2360</v>
      </c>
      <c r="C2008" s="9">
        <v>44985</v>
      </c>
      <c r="D2008" t="s">
        <v>9</v>
      </c>
      <c r="E2008" s="13">
        <v>2592100</v>
      </c>
      <c r="F2008" s="13">
        <v>24975</v>
      </c>
      <c r="G2008" s="9">
        <v>44993</v>
      </c>
      <c r="H2008" t="s">
        <v>1063</v>
      </c>
      <c r="I2008" t="s">
        <v>2361</v>
      </c>
      <c r="J2008" s="13">
        <v>86316</v>
      </c>
      <c r="K2008">
        <v>1</v>
      </c>
      <c r="L2008" t="s">
        <v>1064</v>
      </c>
      <c r="M2008" t="s">
        <v>2362</v>
      </c>
      <c r="N2008" s="15" t="s">
        <v>6878</v>
      </c>
    </row>
    <row r="2009" spans="1:14" x14ac:dyDescent="0.2">
      <c r="A2009" t="s">
        <v>3115</v>
      </c>
      <c r="B2009" t="s">
        <v>2360</v>
      </c>
      <c r="C2009" s="9">
        <v>44985</v>
      </c>
      <c r="D2009" t="s">
        <v>9</v>
      </c>
      <c r="E2009" s="13">
        <v>399350</v>
      </c>
      <c r="F2009" s="13">
        <v>24975</v>
      </c>
      <c r="G2009" s="9">
        <v>44992</v>
      </c>
      <c r="H2009" t="s">
        <v>1063</v>
      </c>
      <c r="I2009" t="s">
        <v>436</v>
      </c>
      <c r="J2009" s="13">
        <v>13297</v>
      </c>
      <c r="K2009">
        <v>1</v>
      </c>
      <c r="L2009" t="s">
        <v>1064</v>
      </c>
      <c r="M2009" t="s">
        <v>2364</v>
      </c>
      <c r="N2009" s="15" t="s">
        <v>6878</v>
      </c>
    </row>
    <row r="2010" spans="1:14" x14ac:dyDescent="0.2">
      <c r="A2010" t="s">
        <v>3116</v>
      </c>
      <c r="B2010" t="s">
        <v>2360</v>
      </c>
      <c r="C2010" s="9">
        <v>44985</v>
      </c>
      <c r="D2010" t="s">
        <v>9</v>
      </c>
      <c r="E2010" s="13">
        <v>4057200</v>
      </c>
      <c r="F2010" s="13">
        <v>24975</v>
      </c>
      <c r="G2010" s="9">
        <v>44995</v>
      </c>
      <c r="H2010" t="s">
        <v>1063</v>
      </c>
      <c r="I2010" t="s">
        <v>2361</v>
      </c>
      <c r="J2010" s="13">
        <v>135104</v>
      </c>
      <c r="K2010">
        <v>1</v>
      </c>
      <c r="L2010" t="s">
        <v>1064</v>
      </c>
      <c r="M2010" t="s">
        <v>2362</v>
      </c>
      <c r="N2010" s="15" t="s">
        <v>6878</v>
      </c>
    </row>
    <row r="2011" spans="1:14" x14ac:dyDescent="0.2">
      <c r="A2011" t="s">
        <v>3117</v>
      </c>
      <c r="B2011" t="s">
        <v>2360</v>
      </c>
      <c r="C2011" s="9">
        <v>44985</v>
      </c>
      <c r="D2011" t="s">
        <v>985</v>
      </c>
      <c r="E2011" s="13">
        <v>2856000</v>
      </c>
      <c r="F2011" s="13">
        <v>13875</v>
      </c>
      <c r="G2011" s="9">
        <v>44986</v>
      </c>
      <c r="H2011" t="s">
        <v>1063</v>
      </c>
      <c r="I2011" t="s">
        <v>3063</v>
      </c>
      <c r="J2011" s="13">
        <v>79254</v>
      </c>
      <c r="K2011">
        <v>1</v>
      </c>
      <c r="L2011" t="s">
        <v>1064</v>
      </c>
      <c r="M2011" t="s">
        <v>3064</v>
      </c>
      <c r="N2011" s="15" t="s">
        <v>6878</v>
      </c>
    </row>
    <row r="2012" spans="1:14" x14ac:dyDescent="0.2">
      <c r="A2012" t="s">
        <v>3118</v>
      </c>
      <c r="B2012" t="s">
        <v>2360</v>
      </c>
      <c r="C2012" s="9">
        <v>44985</v>
      </c>
      <c r="D2012" t="s">
        <v>985</v>
      </c>
      <c r="E2012" s="13">
        <v>2856000</v>
      </c>
      <c r="F2012" s="13">
        <v>13875</v>
      </c>
      <c r="G2012" s="9">
        <v>44986</v>
      </c>
      <c r="H2012" t="s">
        <v>1063</v>
      </c>
      <c r="I2012" t="s">
        <v>3063</v>
      </c>
      <c r="J2012" s="13">
        <v>79254</v>
      </c>
      <c r="K2012">
        <v>1</v>
      </c>
      <c r="L2012" t="s">
        <v>1064</v>
      </c>
      <c r="M2012" t="s">
        <v>3064</v>
      </c>
      <c r="N2012" s="15" t="s">
        <v>6878</v>
      </c>
    </row>
    <row r="2013" spans="1:14" x14ac:dyDescent="0.2">
      <c r="A2013" t="s">
        <v>3119</v>
      </c>
      <c r="B2013" t="s">
        <v>2360</v>
      </c>
      <c r="C2013" s="9">
        <v>44985</v>
      </c>
      <c r="D2013" t="s">
        <v>985</v>
      </c>
      <c r="E2013" s="13">
        <v>2856000</v>
      </c>
      <c r="F2013" s="13">
        <v>13875</v>
      </c>
      <c r="G2013" s="9">
        <v>44986</v>
      </c>
      <c r="H2013" t="s">
        <v>1063</v>
      </c>
      <c r="I2013" t="s">
        <v>3063</v>
      </c>
      <c r="J2013" s="13">
        <v>79254</v>
      </c>
      <c r="K2013">
        <v>1</v>
      </c>
      <c r="L2013" t="s">
        <v>1064</v>
      </c>
      <c r="M2013" t="s">
        <v>3064</v>
      </c>
      <c r="N2013" s="15" t="s">
        <v>6878</v>
      </c>
    </row>
    <row r="2014" spans="1:14" x14ac:dyDescent="0.2">
      <c r="A2014" t="s">
        <v>3120</v>
      </c>
      <c r="B2014" t="s">
        <v>2360</v>
      </c>
      <c r="C2014" s="9">
        <v>44985</v>
      </c>
      <c r="D2014" t="s">
        <v>985</v>
      </c>
      <c r="E2014" s="13">
        <v>1400000</v>
      </c>
      <c r="F2014" s="13">
        <v>13875</v>
      </c>
      <c r="G2014" s="9">
        <v>44986</v>
      </c>
      <c r="H2014" t="s">
        <v>1063</v>
      </c>
      <c r="I2014" t="s">
        <v>3063</v>
      </c>
      <c r="J2014" s="13">
        <v>38850</v>
      </c>
      <c r="K2014">
        <v>1</v>
      </c>
      <c r="L2014" t="s">
        <v>1064</v>
      </c>
      <c r="M2014" t="s">
        <v>3064</v>
      </c>
      <c r="N2014" s="15" t="s">
        <v>6878</v>
      </c>
    </row>
    <row r="2015" spans="1:14" x14ac:dyDescent="0.2">
      <c r="A2015" t="s">
        <v>3121</v>
      </c>
      <c r="B2015" t="s">
        <v>2360</v>
      </c>
      <c r="C2015" s="9">
        <v>44985</v>
      </c>
      <c r="D2015" t="s">
        <v>985</v>
      </c>
      <c r="E2015" s="13">
        <v>1400000</v>
      </c>
      <c r="F2015" s="13">
        <v>13875</v>
      </c>
      <c r="G2015" s="9">
        <v>44986</v>
      </c>
      <c r="H2015" t="s">
        <v>1063</v>
      </c>
      <c r="I2015" t="s">
        <v>3063</v>
      </c>
      <c r="J2015" s="13">
        <v>38850</v>
      </c>
      <c r="K2015">
        <v>1</v>
      </c>
      <c r="L2015" t="s">
        <v>1064</v>
      </c>
      <c r="M2015" t="s">
        <v>3064</v>
      </c>
      <c r="N2015" s="15" t="s">
        <v>6878</v>
      </c>
    </row>
    <row r="2016" spans="1:14" x14ac:dyDescent="0.2">
      <c r="A2016" t="s">
        <v>3122</v>
      </c>
      <c r="B2016" t="s">
        <v>2360</v>
      </c>
      <c r="C2016" s="9">
        <v>44985</v>
      </c>
      <c r="D2016" t="s">
        <v>985</v>
      </c>
      <c r="E2016" s="13">
        <v>1400000</v>
      </c>
      <c r="F2016" s="13">
        <v>13875</v>
      </c>
      <c r="G2016" s="9">
        <v>44986</v>
      </c>
      <c r="H2016" t="s">
        <v>1063</v>
      </c>
      <c r="I2016" t="s">
        <v>3063</v>
      </c>
      <c r="J2016" s="13">
        <v>38850</v>
      </c>
      <c r="K2016">
        <v>1</v>
      </c>
      <c r="L2016" t="s">
        <v>1064</v>
      </c>
      <c r="M2016" t="s">
        <v>3064</v>
      </c>
      <c r="N2016" s="15" t="s">
        <v>6878</v>
      </c>
    </row>
    <row r="2017" spans="1:14" x14ac:dyDescent="0.2">
      <c r="A2017" t="s">
        <v>3123</v>
      </c>
      <c r="B2017" t="s">
        <v>2360</v>
      </c>
      <c r="C2017" s="9">
        <v>44985</v>
      </c>
      <c r="D2017" t="s">
        <v>985</v>
      </c>
      <c r="E2017" s="13">
        <v>1400000</v>
      </c>
      <c r="F2017" s="13">
        <v>13875</v>
      </c>
      <c r="G2017" s="9">
        <v>44986</v>
      </c>
      <c r="H2017" t="s">
        <v>1063</v>
      </c>
      <c r="I2017" t="s">
        <v>3063</v>
      </c>
      <c r="J2017" s="13">
        <v>38850</v>
      </c>
      <c r="K2017">
        <v>1</v>
      </c>
      <c r="L2017" t="s">
        <v>1064</v>
      </c>
      <c r="M2017" t="s">
        <v>3064</v>
      </c>
      <c r="N2017" s="15" t="s">
        <v>6878</v>
      </c>
    </row>
    <row r="2018" spans="1:14" x14ac:dyDescent="0.2">
      <c r="A2018" t="s">
        <v>3124</v>
      </c>
      <c r="B2018" t="s">
        <v>2360</v>
      </c>
      <c r="C2018" s="9">
        <v>44986</v>
      </c>
      <c r="D2018" t="s">
        <v>9</v>
      </c>
      <c r="E2018" s="13">
        <v>340060</v>
      </c>
      <c r="F2018" s="13">
        <v>24975</v>
      </c>
      <c r="G2018" s="9">
        <v>44992</v>
      </c>
      <c r="H2018" t="s">
        <v>1063</v>
      </c>
      <c r="I2018" t="s">
        <v>436</v>
      </c>
      <c r="J2018" s="13">
        <v>11323</v>
      </c>
      <c r="K2018">
        <v>1</v>
      </c>
      <c r="L2018" t="s">
        <v>1064</v>
      </c>
      <c r="M2018" t="s">
        <v>2364</v>
      </c>
      <c r="N2018" s="15" t="s">
        <v>6878</v>
      </c>
    </row>
    <row r="2019" spans="1:14" x14ac:dyDescent="0.2">
      <c r="A2019" t="s">
        <v>3125</v>
      </c>
      <c r="B2019" t="s">
        <v>2360</v>
      </c>
      <c r="C2019" s="9">
        <v>44986</v>
      </c>
      <c r="D2019" t="s">
        <v>9</v>
      </c>
      <c r="E2019" s="13">
        <v>340060</v>
      </c>
      <c r="F2019" s="13">
        <v>24975</v>
      </c>
      <c r="G2019" s="9">
        <v>44992</v>
      </c>
      <c r="H2019" t="s">
        <v>1063</v>
      </c>
      <c r="I2019" t="s">
        <v>436</v>
      </c>
      <c r="J2019" s="13">
        <v>11323</v>
      </c>
      <c r="K2019">
        <v>1</v>
      </c>
      <c r="L2019" t="s">
        <v>1064</v>
      </c>
      <c r="M2019" t="s">
        <v>2364</v>
      </c>
      <c r="N2019" s="15" t="s">
        <v>6878</v>
      </c>
    </row>
    <row r="2020" spans="1:14" x14ac:dyDescent="0.2">
      <c r="A2020" t="s">
        <v>3126</v>
      </c>
      <c r="B2020" t="s">
        <v>2360</v>
      </c>
      <c r="C2020" s="9">
        <v>44986</v>
      </c>
      <c r="D2020" t="s">
        <v>9</v>
      </c>
      <c r="E2020" s="13">
        <v>245490</v>
      </c>
      <c r="F2020" s="13">
        <v>24975</v>
      </c>
      <c r="G2020" s="9">
        <v>44992</v>
      </c>
      <c r="H2020" t="s">
        <v>1063</v>
      </c>
      <c r="I2020" t="s">
        <v>436</v>
      </c>
      <c r="J2020" s="13">
        <v>8174</v>
      </c>
      <c r="K2020">
        <v>1</v>
      </c>
      <c r="L2020" t="s">
        <v>1064</v>
      </c>
      <c r="M2020" t="s">
        <v>2364</v>
      </c>
      <c r="N2020" s="15" t="s">
        <v>6878</v>
      </c>
    </row>
    <row r="2021" spans="1:14" x14ac:dyDescent="0.2">
      <c r="A2021" t="s">
        <v>3127</v>
      </c>
      <c r="B2021" t="s">
        <v>2360</v>
      </c>
      <c r="C2021" s="9">
        <v>44986</v>
      </c>
      <c r="D2021" t="s">
        <v>9</v>
      </c>
      <c r="E2021" s="13">
        <v>399350</v>
      </c>
      <c r="F2021" s="13">
        <v>24975</v>
      </c>
      <c r="G2021" s="9">
        <v>44992</v>
      </c>
      <c r="H2021" t="s">
        <v>1063</v>
      </c>
      <c r="I2021" t="s">
        <v>436</v>
      </c>
      <c r="J2021" s="13">
        <v>13297</v>
      </c>
      <c r="K2021">
        <v>1</v>
      </c>
      <c r="L2021" t="s">
        <v>1064</v>
      </c>
      <c r="M2021" t="s">
        <v>2364</v>
      </c>
      <c r="N2021" s="15" t="s">
        <v>6878</v>
      </c>
    </row>
    <row r="2022" spans="1:14" x14ac:dyDescent="0.2">
      <c r="A2022" t="s">
        <v>3128</v>
      </c>
      <c r="B2022" t="s">
        <v>2360</v>
      </c>
      <c r="C2022" s="9">
        <v>44986</v>
      </c>
      <c r="D2022" t="s">
        <v>983</v>
      </c>
      <c r="E2022" s="13">
        <v>4900000</v>
      </c>
      <c r="F2022" s="13">
        <v>11100</v>
      </c>
      <c r="G2022" s="9">
        <v>44988</v>
      </c>
      <c r="H2022" t="s">
        <v>1063</v>
      </c>
      <c r="I2022" t="s">
        <v>2896</v>
      </c>
      <c r="J2022" s="13">
        <v>135975</v>
      </c>
      <c r="K2022">
        <v>1</v>
      </c>
      <c r="L2022" t="s">
        <v>1064</v>
      </c>
      <c r="M2022" t="s">
        <v>2897</v>
      </c>
      <c r="N2022" s="15" t="s">
        <v>6878</v>
      </c>
    </row>
    <row r="2023" spans="1:14" x14ac:dyDescent="0.2">
      <c r="A2023" t="s">
        <v>3129</v>
      </c>
      <c r="B2023" t="s">
        <v>2360</v>
      </c>
      <c r="C2023" s="9">
        <v>44986</v>
      </c>
      <c r="D2023" t="s">
        <v>983</v>
      </c>
      <c r="E2023" s="13">
        <v>4900000</v>
      </c>
      <c r="F2023" s="13">
        <v>11100</v>
      </c>
      <c r="G2023" s="9">
        <v>44988</v>
      </c>
      <c r="H2023" t="s">
        <v>1063</v>
      </c>
      <c r="I2023" t="s">
        <v>2896</v>
      </c>
      <c r="J2023" s="13">
        <v>135975</v>
      </c>
      <c r="K2023">
        <v>1</v>
      </c>
      <c r="L2023" t="s">
        <v>1064</v>
      </c>
      <c r="M2023" t="s">
        <v>2897</v>
      </c>
      <c r="N2023" s="15" t="s">
        <v>6878</v>
      </c>
    </row>
    <row r="2024" spans="1:14" x14ac:dyDescent="0.2">
      <c r="A2024" t="s">
        <v>3130</v>
      </c>
      <c r="B2024" t="s">
        <v>2360</v>
      </c>
      <c r="C2024" s="9">
        <v>44986</v>
      </c>
      <c r="D2024" t="s">
        <v>983</v>
      </c>
      <c r="E2024" s="13">
        <v>4900000</v>
      </c>
      <c r="F2024" s="13">
        <v>11100</v>
      </c>
      <c r="G2024" s="9">
        <v>44988</v>
      </c>
      <c r="H2024" t="s">
        <v>1063</v>
      </c>
      <c r="I2024" t="s">
        <v>2896</v>
      </c>
      <c r="J2024" s="13">
        <v>135975</v>
      </c>
      <c r="K2024">
        <v>1</v>
      </c>
      <c r="L2024" t="s">
        <v>1064</v>
      </c>
      <c r="M2024" t="s">
        <v>2897</v>
      </c>
      <c r="N2024" s="15" t="s">
        <v>6878</v>
      </c>
    </row>
    <row r="2025" spans="1:14" x14ac:dyDescent="0.2">
      <c r="A2025" t="s">
        <v>3131</v>
      </c>
      <c r="B2025" t="s">
        <v>2360</v>
      </c>
      <c r="C2025" s="9">
        <v>44986</v>
      </c>
      <c r="D2025" t="s">
        <v>983</v>
      </c>
      <c r="E2025" s="13">
        <v>4900000</v>
      </c>
      <c r="F2025" s="13">
        <v>11100</v>
      </c>
      <c r="G2025" s="9">
        <v>44988</v>
      </c>
      <c r="H2025" t="s">
        <v>1063</v>
      </c>
      <c r="I2025" t="s">
        <v>2896</v>
      </c>
      <c r="J2025" s="13">
        <v>135975</v>
      </c>
      <c r="K2025">
        <v>1</v>
      </c>
      <c r="L2025" t="s">
        <v>1064</v>
      </c>
      <c r="M2025" t="s">
        <v>2897</v>
      </c>
      <c r="N2025" s="15" t="s">
        <v>6878</v>
      </c>
    </row>
    <row r="2026" spans="1:14" x14ac:dyDescent="0.2">
      <c r="A2026" t="s">
        <v>3132</v>
      </c>
      <c r="B2026" t="s">
        <v>2360</v>
      </c>
      <c r="C2026" s="9">
        <v>44986</v>
      </c>
      <c r="D2026" t="s">
        <v>983</v>
      </c>
      <c r="E2026" s="13">
        <v>4900000</v>
      </c>
      <c r="F2026" s="13">
        <v>11100</v>
      </c>
      <c r="G2026" s="9">
        <v>44988</v>
      </c>
      <c r="H2026" t="s">
        <v>1063</v>
      </c>
      <c r="I2026" t="s">
        <v>2896</v>
      </c>
      <c r="J2026" s="13">
        <v>135975</v>
      </c>
      <c r="K2026">
        <v>1</v>
      </c>
      <c r="L2026" t="s">
        <v>1064</v>
      </c>
      <c r="M2026" t="s">
        <v>2897</v>
      </c>
      <c r="N2026" s="15" t="s">
        <v>6878</v>
      </c>
    </row>
    <row r="2027" spans="1:14" x14ac:dyDescent="0.2">
      <c r="A2027" t="s">
        <v>3133</v>
      </c>
      <c r="B2027" t="s">
        <v>2360</v>
      </c>
      <c r="C2027" s="9">
        <v>44986</v>
      </c>
      <c r="D2027" t="s">
        <v>983</v>
      </c>
      <c r="E2027" s="13">
        <v>4900000</v>
      </c>
      <c r="F2027" s="13">
        <v>11100</v>
      </c>
      <c r="G2027" s="9">
        <v>44988</v>
      </c>
      <c r="H2027" t="s">
        <v>1063</v>
      </c>
      <c r="I2027" t="s">
        <v>2896</v>
      </c>
      <c r="J2027" s="13">
        <v>135975</v>
      </c>
      <c r="K2027">
        <v>1</v>
      </c>
      <c r="L2027" t="s">
        <v>1064</v>
      </c>
      <c r="M2027" t="s">
        <v>2897</v>
      </c>
      <c r="N2027" s="15" t="s">
        <v>6878</v>
      </c>
    </row>
    <row r="2028" spans="1:14" x14ac:dyDescent="0.2">
      <c r="A2028" t="s">
        <v>3134</v>
      </c>
      <c r="B2028" t="s">
        <v>2360</v>
      </c>
      <c r="C2028" s="9">
        <v>44986</v>
      </c>
      <c r="D2028" t="s">
        <v>983</v>
      </c>
      <c r="E2028" s="13">
        <v>4900000</v>
      </c>
      <c r="F2028" s="13">
        <v>11100</v>
      </c>
      <c r="G2028" s="9">
        <v>44988</v>
      </c>
      <c r="H2028" t="s">
        <v>1063</v>
      </c>
      <c r="I2028" t="s">
        <v>2896</v>
      </c>
      <c r="J2028" s="13">
        <v>135975</v>
      </c>
      <c r="K2028">
        <v>1</v>
      </c>
      <c r="L2028" t="s">
        <v>1064</v>
      </c>
      <c r="M2028" t="s">
        <v>2897</v>
      </c>
      <c r="N2028" s="15" t="s">
        <v>6878</v>
      </c>
    </row>
    <row r="2029" spans="1:14" x14ac:dyDescent="0.2">
      <c r="A2029" t="s">
        <v>3135</v>
      </c>
      <c r="B2029" t="s">
        <v>2360</v>
      </c>
      <c r="C2029" s="9">
        <v>44986</v>
      </c>
      <c r="D2029" t="s">
        <v>983</v>
      </c>
      <c r="E2029" s="13">
        <v>4900000</v>
      </c>
      <c r="F2029" s="13">
        <v>11100</v>
      </c>
      <c r="G2029" s="9">
        <v>44988</v>
      </c>
      <c r="H2029" t="s">
        <v>1063</v>
      </c>
      <c r="I2029" t="s">
        <v>2896</v>
      </c>
      <c r="J2029" s="13">
        <v>135975</v>
      </c>
      <c r="K2029">
        <v>1</v>
      </c>
      <c r="L2029" t="s">
        <v>1064</v>
      </c>
      <c r="M2029" t="s">
        <v>2897</v>
      </c>
      <c r="N2029" s="15" t="s">
        <v>6878</v>
      </c>
    </row>
    <row r="2030" spans="1:14" x14ac:dyDescent="0.2">
      <c r="A2030" t="s">
        <v>3136</v>
      </c>
      <c r="B2030" t="s">
        <v>2360</v>
      </c>
      <c r="C2030" s="9">
        <v>44986</v>
      </c>
      <c r="D2030" t="s">
        <v>985</v>
      </c>
      <c r="E2030" s="13">
        <v>4097000</v>
      </c>
      <c r="F2030" s="13">
        <v>13875</v>
      </c>
      <c r="G2030" s="9">
        <v>44987</v>
      </c>
      <c r="H2030" t="s">
        <v>1063</v>
      </c>
      <c r="I2030" t="s">
        <v>3063</v>
      </c>
      <c r="J2030" s="13">
        <v>113691</v>
      </c>
      <c r="K2030">
        <v>1</v>
      </c>
      <c r="L2030" t="s">
        <v>1064</v>
      </c>
      <c r="M2030" t="s">
        <v>3064</v>
      </c>
      <c r="N2030" s="15" t="s">
        <v>6878</v>
      </c>
    </row>
    <row r="2031" spans="1:14" x14ac:dyDescent="0.2">
      <c r="A2031" t="s">
        <v>3137</v>
      </c>
      <c r="B2031" t="s">
        <v>2360</v>
      </c>
      <c r="C2031" s="9">
        <v>44986</v>
      </c>
      <c r="D2031" t="s">
        <v>985</v>
      </c>
      <c r="E2031" s="13">
        <v>2750000</v>
      </c>
      <c r="F2031" s="13">
        <v>13875</v>
      </c>
      <c r="G2031" s="9">
        <v>44987</v>
      </c>
      <c r="H2031" t="s">
        <v>1063</v>
      </c>
      <c r="I2031" t="s">
        <v>3063</v>
      </c>
      <c r="J2031" s="13">
        <v>76312</v>
      </c>
      <c r="K2031">
        <v>1</v>
      </c>
      <c r="L2031" t="s">
        <v>1064</v>
      </c>
      <c r="M2031" t="s">
        <v>3064</v>
      </c>
      <c r="N2031" s="15" t="s">
        <v>6878</v>
      </c>
    </row>
    <row r="2032" spans="1:14" x14ac:dyDescent="0.2">
      <c r="A2032" t="s">
        <v>3138</v>
      </c>
      <c r="B2032" t="s">
        <v>2360</v>
      </c>
      <c r="C2032" s="9">
        <v>44986</v>
      </c>
      <c r="D2032" t="s">
        <v>985</v>
      </c>
      <c r="E2032" s="13">
        <v>4097000</v>
      </c>
      <c r="F2032" s="13">
        <v>13875</v>
      </c>
      <c r="G2032" s="9">
        <v>44987</v>
      </c>
      <c r="H2032" t="s">
        <v>1063</v>
      </c>
      <c r="I2032" t="s">
        <v>3063</v>
      </c>
      <c r="J2032" s="13">
        <v>113691</v>
      </c>
      <c r="K2032">
        <v>1</v>
      </c>
      <c r="L2032" t="s">
        <v>1064</v>
      </c>
      <c r="M2032" t="s">
        <v>3064</v>
      </c>
      <c r="N2032" s="15" t="s">
        <v>6878</v>
      </c>
    </row>
    <row r="2033" spans="1:14" x14ac:dyDescent="0.2">
      <c r="A2033" t="s">
        <v>3139</v>
      </c>
      <c r="B2033" t="s">
        <v>2360</v>
      </c>
      <c r="C2033" s="9">
        <v>44986</v>
      </c>
      <c r="D2033" t="s">
        <v>985</v>
      </c>
      <c r="E2033" s="13">
        <v>2750000</v>
      </c>
      <c r="F2033" s="13">
        <v>13875</v>
      </c>
      <c r="G2033" s="9">
        <v>44987</v>
      </c>
      <c r="H2033" t="s">
        <v>1063</v>
      </c>
      <c r="I2033" t="s">
        <v>3063</v>
      </c>
      <c r="J2033" s="13">
        <v>76312</v>
      </c>
      <c r="K2033">
        <v>1</v>
      </c>
      <c r="L2033" t="s">
        <v>1064</v>
      </c>
      <c r="M2033" t="s">
        <v>3064</v>
      </c>
      <c r="N2033" s="15" t="s">
        <v>6878</v>
      </c>
    </row>
    <row r="2034" spans="1:14" x14ac:dyDescent="0.2">
      <c r="A2034" t="s">
        <v>3140</v>
      </c>
      <c r="B2034" t="s">
        <v>2360</v>
      </c>
      <c r="C2034" s="9">
        <v>44986</v>
      </c>
      <c r="D2034" t="s">
        <v>985</v>
      </c>
      <c r="E2034" s="13">
        <v>2545500</v>
      </c>
      <c r="F2034" s="13">
        <v>13875</v>
      </c>
      <c r="G2034" s="9">
        <v>44987</v>
      </c>
      <c r="H2034" t="s">
        <v>1063</v>
      </c>
      <c r="I2034" t="s">
        <v>3063</v>
      </c>
      <c r="J2034" s="13">
        <v>70637</v>
      </c>
      <c r="K2034">
        <v>1</v>
      </c>
      <c r="L2034" t="s">
        <v>1064</v>
      </c>
      <c r="M2034" t="s">
        <v>3064</v>
      </c>
      <c r="N2034" s="15" t="s">
        <v>6878</v>
      </c>
    </row>
    <row r="2035" spans="1:14" x14ac:dyDescent="0.2">
      <c r="A2035" t="s">
        <v>3141</v>
      </c>
      <c r="B2035" t="s">
        <v>2360</v>
      </c>
      <c r="C2035" s="9">
        <v>44986</v>
      </c>
      <c r="D2035" t="s">
        <v>985</v>
      </c>
      <c r="E2035" s="13">
        <v>1331000</v>
      </c>
      <c r="F2035" s="13">
        <v>13875</v>
      </c>
      <c r="G2035" s="9">
        <v>44987</v>
      </c>
      <c r="H2035" t="s">
        <v>1063</v>
      </c>
      <c r="I2035" t="s">
        <v>3063</v>
      </c>
      <c r="J2035" s="13">
        <v>36935</v>
      </c>
      <c r="K2035">
        <v>1</v>
      </c>
      <c r="L2035" t="s">
        <v>1064</v>
      </c>
      <c r="M2035" t="s">
        <v>3064</v>
      </c>
      <c r="N2035" s="15" t="s">
        <v>6878</v>
      </c>
    </row>
    <row r="2036" spans="1:14" x14ac:dyDescent="0.2">
      <c r="A2036" t="s">
        <v>3142</v>
      </c>
      <c r="B2036" t="s">
        <v>2360</v>
      </c>
      <c r="C2036" s="9">
        <v>44986</v>
      </c>
      <c r="D2036" t="s">
        <v>9</v>
      </c>
      <c r="E2036" s="13">
        <v>663460</v>
      </c>
      <c r="F2036" s="13">
        <v>49950</v>
      </c>
      <c r="G2036" s="9">
        <v>44992</v>
      </c>
      <c r="H2036" t="s">
        <v>1063</v>
      </c>
      <c r="I2036" t="s">
        <v>436</v>
      </c>
      <c r="J2036" s="13">
        <v>22092</v>
      </c>
      <c r="K2036">
        <v>2</v>
      </c>
      <c r="L2036" t="s">
        <v>1064</v>
      </c>
      <c r="M2036" t="s">
        <v>2364</v>
      </c>
      <c r="N2036" s="15" t="s">
        <v>6878</v>
      </c>
    </row>
    <row r="2037" spans="1:14" x14ac:dyDescent="0.2">
      <c r="A2037" t="s">
        <v>3143</v>
      </c>
      <c r="B2037" t="s">
        <v>2360</v>
      </c>
      <c r="C2037" s="9">
        <v>44986</v>
      </c>
      <c r="D2037" t="s">
        <v>9</v>
      </c>
      <c r="E2037" s="13">
        <v>294490</v>
      </c>
      <c r="F2037" s="13">
        <v>24975</v>
      </c>
      <c r="G2037" s="9">
        <v>44992</v>
      </c>
      <c r="H2037" t="s">
        <v>1063</v>
      </c>
      <c r="I2037" t="s">
        <v>436</v>
      </c>
      <c r="J2037" s="13">
        <v>9805</v>
      </c>
      <c r="K2037">
        <v>1</v>
      </c>
      <c r="L2037" t="s">
        <v>1064</v>
      </c>
      <c r="M2037" t="s">
        <v>2364</v>
      </c>
      <c r="N2037" s="15" t="s">
        <v>6878</v>
      </c>
    </row>
    <row r="2038" spans="1:14" x14ac:dyDescent="0.2">
      <c r="A2038" t="s">
        <v>3144</v>
      </c>
      <c r="B2038" t="s">
        <v>2360</v>
      </c>
      <c r="C2038" s="9">
        <v>44986</v>
      </c>
      <c r="D2038" t="s">
        <v>9</v>
      </c>
      <c r="E2038" s="13">
        <v>458150</v>
      </c>
      <c r="F2038" s="13">
        <v>24975</v>
      </c>
      <c r="G2038" s="9">
        <v>44992</v>
      </c>
      <c r="H2038" t="s">
        <v>1063</v>
      </c>
      <c r="I2038" t="s">
        <v>436</v>
      </c>
      <c r="J2038" s="13">
        <v>15255</v>
      </c>
      <c r="K2038">
        <v>1</v>
      </c>
      <c r="L2038" t="s">
        <v>1064</v>
      </c>
      <c r="M2038" t="s">
        <v>2364</v>
      </c>
      <c r="N2038" s="15" t="s">
        <v>6878</v>
      </c>
    </row>
    <row r="2039" spans="1:14" x14ac:dyDescent="0.2">
      <c r="A2039" t="s">
        <v>3145</v>
      </c>
      <c r="B2039" t="s">
        <v>2360</v>
      </c>
      <c r="C2039" s="9">
        <v>44987</v>
      </c>
      <c r="D2039" t="s">
        <v>988</v>
      </c>
      <c r="E2039" s="13">
        <v>1885000</v>
      </c>
      <c r="F2039" s="13">
        <v>52308</v>
      </c>
      <c r="G2039" s="9">
        <v>44988</v>
      </c>
      <c r="H2039" t="s">
        <v>1111</v>
      </c>
      <c r="I2039" t="s">
        <v>2610</v>
      </c>
      <c r="J2039" s="13">
        <v>27750</v>
      </c>
      <c r="K2039">
        <v>1</v>
      </c>
      <c r="L2039" t="s">
        <v>1064</v>
      </c>
      <c r="M2039" t="s">
        <v>2611</v>
      </c>
      <c r="N2039" s="15" t="s">
        <v>6878</v>
      </c>
    </row>
    <row r="2040" spans="1:14" x14ac:dyDescent="0.2">
      <c r="A2040" t="s">
        <v>3146</v>
      </c>
      <c r="B2040" t="s">
        <v>2360</v>
      </c>
      <c r="C2040" s="9">
        <v>44987</v>
      </c>
      <c r="D2040" t="s">
        <v>977</v>
      </c>
      <c r="E2040" s="13">
        <v>36000000</v>
      </c>
      <c r="F2040" s="13">
        <v>1498500</v>
      </c>
      <c r="G2040" s="9">
        <v>44988</v>
      </c>
      <c r="H2040" t="s">
        <v>1063</v>
      </c>
      <c r="I2040" t="s">
        <v>3147</v>
      </c>
      <c r="J2040" s="13">
        <v>27750</v>
      </c>
      <c r="K2040">
        <v>1</v>
      </c>
      <c r="L2040" t="s">
        <v>1064</v>
      </c>
      <c r="M2040" t="s">
        <v>3148</v>
      </c>
      <c r="N2040" s="15" t="s">
        <v>6878</v>
      </c>
    </row>
    <row r="2041" spans="1:14" x14ac:dyDescent="0.2">
      <c r="A2041" t="s">
        <v>3149</v>
      </c>
      <c r="B2041" t="s">
        <v>2360</v>
      </c>
      <c r="C2041" s="9">
        <v>44987</v>
      </c>
      <c r="D2041" t="s">
        <v>977</v>
      </c>
      <c r="E2041" s="13">
        <v>15000000</v>
      </c>
      <c r="F2041" s="13">
        <v>624375</v>
      </c>
      <c r="G2041" s="9">
        <v>44988</v>
      </c>
      <c r="H2041" t="s">
        <v>1063</v>
      </c>
      <c r="I2041" t="s">
        <v>3147</v>
      </c>
      <c r="J2041" s="13">
        <v>27750</v>
      </c>
      <c r="K2041">
        <v>1</v>
      </c>
      <c r="L2041" t="s">
        <v>1064</v>
      </c>
      <c r="M2041" t="s">
        <v>3148</v>
      </c>
      <c r="N2041" s="15" t="s">
        <v>6878</v>
      </c>
    </row>
    <row r="2042" spans="1:14" x14ac:dyDescent="0.2">
      <c r="A2042" t="s">
        <v>3150</v>
      </c>
      <c r="B2042" t="s">
        <v>2360</v>
      </c>
      <c r="C2042" s="9">
        <v>44987</v>
      </c>
      <c r="D2042" t="s">
        <v>977</v>
      </c>
      <c r="E2042" s="13">
        <v>22000000</v>
      </c>
      <c r="F2042" s="13">
        <v>915750</v>
      </c>
      <c r="G2042" s="9">
        <v>44988</v>
      </c>
      <c r="H2042" t="s">
        <v>1063</v>
      </c>
      <c r="I2042" t="s">
        <v>3147</v>
      </c>
      <c r="J2042" s="13">
        <v>27750</v>
      </c>
      <c r="K2042">
        <v>1</v>
      </c>
      <c r="L2042" t="s">
        <v>1064</v>
      </c>
      <c r="M2042" t="s">
        <v>3148</v>
      </c>
      <c r="N2042" s="15" t="s">
        <v>6878</v>
      </c>
    </row>
    <row r="2043" spans="1:14" x14ac:dyDescent="0.2">
      <c r="A2043" t="s">
        <v>3151</v>
      </c>
      <c r="B2043" t="s">
        <v>2360</v>
      </c>
      <c r="C2043" s="9">
        <v>44987</v>
      </c>
      <c r="D2043" t="s">
        <v>977</v>
      </c>
      <c r="E2043" s="13">
        <v>48000000</v>
      </c>
      <c r="F2043" s="13">
        <v>1998000</v>
      </c>
      <c r="G2043" s="9">
        <v>44988</v>
      </c>
      <c r="H2043" t="s">
        <v>1063</v>
      </c>
      <c r="I2043" t="s">
        <v>3147</v>
      </c>
      <c r="J2043" s="13">
        <v>27750</v>
      </c>
      <c r="K2043">
        <v>1</v>
      </c>
      <c r="L2043" t="s">
        <v>1064</v>
      </c>
      <c r="M2043" t="s">
        <v>3148</v>
      </c>
      <c r="N2043" s="15" t="s">
        <v>6878</v>
      </c>
    </row>
    <row r="2044" spans="1:14" x14ac:dyDescent="0.2">
      <c r="A2044" t="s">
        <v>3152</v>
      </c>
      <c r="B2044" t="s">
        <v>2360</v>
      </c>
      <c r="C2044" s="9">
        <v>44987</v>
      </c>
      <c r="D2044" t="s">
        <v>9</v>
      </c>
      <c r="E2044" s="13">
        <v>4057200</v>
      </c>
      <c r="F2044" s="13">
        <v>24975</v>
      </c>
      <c r="G2044" s="9">
        <v>44995</v>
      </c>
      <c r="H2044" t="s">
        <v>1063</v>
      </c>
      <c r="I2044" t="s">
        <v>2361</v>
      </c>
      <c r="J2044" s="13">
        <v>135104</v>
      </c>
      <c r="K2044">
        <v>1</v>
      </c>
      <c r="L2044" t="s">
        <v>1064</v>
      </c>
      <c r="M2044" t="s">
        <v>2362</v>
      </c>
      <c r="N2044" s="15" t="s">
        <v>6878</v>
      </c>
    </row>
    <row r="2045" spans="1:14" x14ac:dyDescent="0.2">
      <c r="A2045" t="s">
        <v>3153</v>
      </c>
      <c r="B2045" t="s">
        <v>2360</v>
      </c>
      <c r="C2045" s="9">
        <v>44987</v>
      </c>
      <c r="D2045" t="s">
        <v>9</v>
      </c>
      <c r="E2045" s="13">
        <v>294490</v>
      </c>
      <c r="F2045" s="13">
        <v>24975</v>
      </c>
      <c r="G2045" s="9">
        <v>44992</v>
      </c>
      <c r="H2045" t="s">
        <v>1063</v>
      </c>
      <c r="I2045" t="s">
        <v>436</v>
      </c>
      <c r="J2045" s="13">
        <v>9805</v>
      </c>
      <c r="K2045">
        <v>1</v>
      </c>
      <c r="L2045" t="s">
        <v>1064</v>
      </c>
      <c r="M2045" t="s">
        <v>2364</v>
      </c>
      <c r="N2045" s="15" t="s">
        <v>6878</v>
      </c>
    </row>
    <row r="2046" spans="1:14" x14ac:dyDescent="0.2">
      <c r="A2046" t="s">
        <v>3154</v>
      </c>
      <c r="B2046" t="s">
        <v>2360</v>
      </c>
      <c r="C2046" s="9">
        <v>44987</v>
      </c>
      <c r="D2046" t="s">
        <v>9</v>
      </c>
      <c r="E2046" s="13">
        <v>294490</v>
      </c>
      <c r="F2046" s="13">
        <v>24975</v>
      </c>
      <c r="G2046" s="9">
        <v>44992</v>
      </c>
      <c r="H2046" t="s">
        <v>1063</v>
      </c>
      <c r="I2046" t="s">
        <v>436</v>
      </c>
      <c r="J2046" s="13">
        <v>9805</v>
      </c>
      <c r="K2046">
        <v>1</v>
      </c>
      <c r="L2046" t="s">
        <v>1064</v>
      </c>
      <c r="M2046" t="s">
        <v>2364</v>
      </c>
      <c r="N2046" s="15" t="s">
        <v>6878</v>
      </c>
    </row>
    <row r="2047" spans="1:14" x14ac:dyDescent="0.2">
      <c r="A2047" t="s">
        <v>3155</v>
      </c>
      <c r="B2047" t="s">
        <v>2360</v>
      </c>
      <c r="C2047" s="9">
        <v>44988</v>
      </c>
      <c r="D2047" t="s">
        <v>9</v>
      </c>
      <c r="E2047" s="13">
        <v>399350</v>
      </c>
      <c r="F2047" s="13">
        <v>24975</v>
      </c>
      <c r="G2047" s="9">
        <v>44992</v>
      </c>
      <c r="H2047" t="s">
        <v>1063</v>
      </c>
      <c r="I2047" t="s">
        <v>436</v>
      </c>
      <c r="J2047" s="13">
        <v>13297</v>
      </c>
      <c r="K2047">
        <v>1</v>
      </c>
      <c r="L2047" t="s">
        <v>1064</v>
      </c>
      <c r="M2047" t="s">
        <v>2364</v>
      </c>
      <c r="N2047" s="15" t="s">
        <v>6878</v>
      </c>
    </row>
    <row r="2048" spans="1:14" x14ac:dyDescent="0.2">
      <c r="A2048" t="s">
        <v>3156</v>
      </c>
      <c r="B2048" t="s">
        <v>2360</v>
      </c>
      <c r="C2048" s="9">
        <v>44988</v>
      </c>
      <c r="D2048" t="s">
        <v>9</v>
      </c>
      <c r="E2048" s="13">
        <v>268030</v>
      </c>
      <c r="F2048" s="13">
        <v>24975</v>
      </c>
      <c r="G2048" s="9">
        <v>44992</v>
      </c>
      <c r="H2048" t="s">
        <v>1063</v>
      </c>
      <c r="I2048" t="s">
        <v>436</v>
      </c>
      <c r="J2048" s="13">
        <v>8924</v>
      </c>
      <c r="K2048">
        <v>1</v>
      </c>
      <c r="L2048" t="s">
        <v>1064</v>
      </c>
      <c r="M2048" t="s">
        <v>2364</v>
      </c>
      <c r="N2048" s="15" t="s">
        <v>6878</v>
      </c>
    </row>
    <row r="2049" spans="1:14" x14ac:dyDescent="0.2">
      <c r="A2049" t="s">
        <v>3157</v>
      </c>
      <c r="B2049" t="s">
        <v>2360</v>
      </c>
      <c r="C2049" s="9">
        <v>44988</v>
      </c>
      <c r="D2049" t="s">
        <v>988</v>
      </c>
      <c r="E2049" s="13">
        <v>1000000</v>
      </c>
      <c r="F2049" s="13"/>
      <c r="H2049" t="s">
        <v>2184</v>
      </c>
      <c r="I2049" t="s">
        <v>2610</v>
      </c>
      <c r="J2049" s="13">
        <v>0</v>
      </c>
      <c r="K2049">
        <v>1</v>
      </c>
      <c r="L2049" t="s">
        <v>1064</v>
      </c>
      <c r="M2049" t="s">
        <v>2611</v>
      </c>
      <c r="N2049" s="14" t="s">
        <v>6877</v>
      </c>
    </row>
    <row r="2050" spans="1:14" x14ac:dyDescent="0.2">
      <c r="A2050" t="s">
        <v>3158</v>
      </c>
      <c r="B2050" t="s">
        <v>2360</v>
      </c>
      <c r="C2050" s="9">
        <v>44988</v>
      </c>
      <c r="D2050" t="s">
        <v>949</v>
      </c>
      <c r="E2050" s="13">
        <v>299700000</v>
      </c>
      <c r="F2050" s="13">
        <v>22200</v>
      </c>
      <c r="G2050" s="9">
        <v>44988</v>
      </c>
      <c r="H2050" t="s">
        <v>1063</v>
      </c>
      <c r="I2050" t="s">
        <v>1746</v>
      </c>
      <c r="J2050" s="13">
        <v>8316675</v>
      </c>
      <c r="K2050">
        <v>1</v>
      </c>
      <c r="L2050" t="s">
        <v>1064</v>
      </c>
      <c r="M2050" t="s">
        <v>1747</v>
      </c>
      <c r="N2050" s="15" t="s">
        <v>6878</v>
      </c>
    </row>
    <row r="2051" spans="1:14" x14ac:dyDescent="0.2">
      <c r="A2051" t="s">
        <v>3159</v>
      </c>
      <c r="B2051" t="s">
        <v>2360</v>
      </c>
      <c r="C2051" s="9">
        <v>44988</v>
      </c>
      <c r="D2051" t="s">
        <v>988</v>
      </c>
      <c r="E2051" s="13">
        <v>1000000</v>
      </c>
      <c r="F2051" s="13"/>
      <c r="H2051" t="s">
        <v>2184</v>
      </c>
      <c r="I2051" t="s">
        <v>2610</v>
      </c>
      <c r="J2051" s="13">
        <v>0</v>
      </c>
      <c r="K2051">
        <v>1</v>
      </c>
      <c r="L2051" t="s">
        <v>1064</v>
      </c>
      <c r="M2051" t="s">
        <v>2611</v>
      </c>
      <c r="N2051" s="14" t="s">
        <v>6877</v>
      </c>
    </row>
    <row r="2052" spans="1:14" x14ac:dyDescent="0.2">
      <c r="A2052" t="s">
        <v>3160</v>
      </c>
      <c r="B2052" t="s">
        <v>2360</v>
      </c>
      <c r="C2052" s="9">
        <v>44988</v>
      </c>
      <c r="D2052" t="s">
        <v>988</v>
      </c>
      <c r="E2052" s="13">
        <v>9530000</v>
      </c>
      <c r="F2052" s="13">
        <v>264457</v>
      </c>
      <c r="G2052" s="9">
        <v>44988</v>
      </c>
      <c r="H2052" t="s">
        <v>1111</v>
      </c>
      <c r="I2052" t="s">
        <v>2610</v>
      </c>
      <c r="J2052" s="13">
        <v>27750</v>
      </c>
      <c r="K2052">
        <v>1</v>
      </c>
      <c r="L2052" t="s">
        <v>1064</v>
      </c>
      <c r="M2052" t="s">
        <v>2611</v>
      </c>
      <c r="N2052" s="15" t="s">
        <v>6878</v>
      </c>
    </row>
    <row r="2053" spans="1:14" x14ac:dyDescent="0.2">
      <c r="A2053" t="s">
        <v>3161</v>
      </c>
      <c r="B2053" t="s">
        <v>2360</v>
      </c>
      <c r="C2053" s="9">
        <v>44988</v>
      </c>
      <c r="D2053" t="s">
        <v>988</v>
      </c>
      <c r="E2053" s="13">
        <v>9530000</v>
      </c>
      <c r="F2053" s="13">
        <v>264457</v>
      </c>
      <c r="G2053" s="9">
        <v>44988</v>
      </c>
      <c r="H2053" t="s">
        <v>1111</v>
      </c>
      <c r="I2053" t="s">
        <v>2610</v>
      </c>
      <c r="J2053" s="13">
        <v>27750</v>
      </c>
      <c r="K2053">
        <v>1</v>
      </c>
      <c r="L2053" t="s">
        <v>1064</v>
      </c>
      <c r="M2053" t="s">
        <v>2611</v>
      </c>
      <c r="N2053" s="15" t="s">
        <v>6878</v>
      </c>
    </row>
    <row r="2054" spans="1:14" x14ac:dyDescent="0.2">
      <c r="A2054" t="s">
        <v>3162</v>
      </c>
      <c r="B2054" t="s">
        <v>2360</v>
      </c>
      <c r="C2054" s="9">
        <v>44988</v>
      </c>
      <c r="D2054" t="s">
        <v>988</v>
      </c>
      <c r="E2054" s="13">
        <v>9530000</v>
      </c>
      <c r="F2054" s="13">
        <v>264457</v>
      </c>
      <c r="G2054" s="9">
        <v>44988</v>
      </c>
      <c r="H2054" t="s">
        <v>1111</v>
      </c>
      <c r="I2054" t="s">
        <v>2610</v>
      </c>
      <c r="J2054" s="13">
        <v>27750</v>
      </c>
      <c r="K2054">
        <v>1</v>
      </c>
      <c r="L2054" t="s">
        <v>1064</v>
      </c>
      <c r="M2054" t="s">
        <v>2611</v>
      </c>
      <c r="N2054" s="15" t="s">
        <v>6878</v>
      </c>
    </row>
    <row r="2055" spans="1:14" x14ac:dyDescent="0.2">
      <c r="A2055" t="s">
        <v>3163</v>
      </c>
      <c r="B2055" t="s">
        <v>2360</v>
      </c>
      <c r="C2055" s="9">
        <v>44988</v>
      </c>
      <c r="D2055" t="s">
        <v>988</v>
      </c>
      <c r="E2055" s="13">
        <v>6540000</v>
      </c>
      <c r="F2055" s="13">
        <v>181485</v>
      </c>
      <c r="G2055" s="9">
        <v>44988</v>
      </c>
      <c r="H2055" t="s">
        <v>1111</v>
      </c>
      <c r="I2055" t="s">
        <v>2610</v>
      </c>
      <c r="J2055" s="13">
        <v>27750</v>
      </c>
      <c r="K2055">
        <v>1</v>
      </c>
      <c r="L2055" t="s">
        <v>1064</v>
      </c>
      <c r="M2055" t="s">
        <v>2611</v>
      </c>
      <c r="N2055" s="15" t="s">
        <v>6878</v>
      </c>
    </row>
    <row r="2056" spans="1:14" x14ac:dyDescent="0.2">
      <c r="A2056" t="s">
        <v>3164</v>
      </c>
      <c r="B2056" t="s">
        <v>2360</v>
      </c>
      <c r="C2056" s="9">
        <v>44988</v>
      </c>
      <c r="D2056" t="s">
        <v>988</v>
      </c>
      <c r="E2056" s="13">
        <v>9530000</v>
      </c>
      <c r="F2056" s="13"/>
      <c r="H2056" t="s">
        <v>2272</v>
      </c>
      <c r="I2056" t="s">
        <v>2610</v>
      </c>
      <c r="J2056" s="13">
        <v>0</v>
      </c>
      <c r="K2056">
        <v>1</v>
      </c>
      <c r="L2056" t="s">
        <v>1064</v>
      </c>
      <c r="M2056" t="s">
        <v>2611</v>
      </c>
      <c r="N2056" s="14" t="s">
        <v>6877</v>
      </c>
    </row>
    <row r="2057" spans="1:14" x14ac:dyDescent="0.2">
      <c r="A2057" t="s">
        <v>3165</v>
      </c>
      <c r="B2057" t="s">
        <v>2360</v>
      </c>
      <c r="C2057" s="9">
        <v>44988</v>
      </c>
      <c r="D2057" t="s">
        <v>988</v>
      </c>
      <c r="E2057" s="13">
        <v>4320000</v>
      </c>
      <c r="F2057" s="13">
        <v>119880</v>
      </c>
      <c r="G2057" s="9">
        <v>44988</v>
      </c>
      <c r="H2057" t="s">
        <v>1111</v>
      </c>
      <c r="I2057" t="s">
        <v>2610</v>
      </c>
      <c r="J2057" s="13">
        <v>27750</v>
      </c>
      <c r="K2057">
        <v>1</v>
      </c>
      <c r="L2057" t="s">
        <v>1064</v>
      </c>
      <c r="M2057" t="s">
        <v>2611</v>
      </c>
      <c r="N2057" s="15" t="s">
        <v>6878</v>
      </c>
    </row>
    <row r="2058" spans="1:14" x14ac:dyDescent="0.2">
      <c r="A2058" t="s">
        <v>3166</v>
      </c>
      <c r="B2058" t="s">
        <v>2360</v>
      </c>
      <c r="C2058" s="9">
        <v>44988</v>
      </c>
      <c r="D2058" t="s">
        <v>966</v>
      </c>
      <c r="E2058" s="13">
        <v>15910000</v>
      </c>
      <c r="F2058" s="13">
        <v>27750</v>
      </c>
      <c r="G2058" s="9">
        <v>44990</v>
      </c>
      <c r="H2058" t="s">
        <v>1063</v>
      </c>
      <c r="I2058" t="s">
        <v>1515</v>
      </c>
      <c r="J2058" s="13">
        <v>706404</v>
      </c>
      <c r="K2058">
        <v>1</v>
      </c>
      <c r="L2058" t="s">
        <v>1064</v>
      </c>
      <c r="M2058" t="s">
        <v>1516</v>
      </c>
      <c r="N2058" s="15" t="s">
        <v>6878</v>
      </c>
    </row>
    <row r="2059" spans="1:14" x14ac:dyDescent="0.2">
      <c r="A2059" t="s">
        <v>3167</v>
      </c>
      <c r="B2059" t="s">
        <v>2360</v>
      </c>
      <c r="C2059" s="9">
        <v>44988</v>
      </c>
      <c r="D2059" t="s">
        <v>966</v>
      </c>
      <c r="E2059" s="13">
        <v>15910000</v>
      </c>
      <c r="F2059" s="13">
        <v>27750</v>
      </c>
      <c r="G2059" s="9">
        <v>44990</v>
      </c>
      <c r="H2059" t="s">
        <v>1063</v>
      </c>
      <c r="I2059" t="s">
        <v>1515</v>
      </c>
      <c r="J2059" s="13">
        <v>706404</v>
      </c>
      <c r="K2059">
        <v>1</v>
      </c>
      <c r="L2059" t="s">
        <v>1064</v>
      </c>
      <c r="M2059" t="s">
        <v>1516</v>
      </c>
      <c r="N2059" s="15" t="s">
        <v>6878</v>
      </c>
    </row>
    <row r="2060" spans="1:14" x14ac:dyDescent="0.2">
      <c r="A2060" t="s">
        <v>3168</v>
      </c>
      <c r="B2060" t="s">
        <v>2360</v>
      </c>
      <c r="C2060" s="9">
        <v>44988</v>
      </c>
      <c r="D2060" t="s">
        <v>966</v>
      </c>
      <c r="E2060" s="13">
        <v>15910000</v>
      </c>
      <c r="F2060" s="13">
        <v>27750</v>
      </c>
      <c r="G2060" s="9">
        <v>44990</v>
      </c>
      <c r="H2060" t="s">
        <v>1063</v>
      </c>
      <c r="I2060" t="s">
        <v>1515</v>
      </c>
      <c r="J2060" s="13">
        <v>706404</v>
      </c>
      <c r="K2060">
        <v>1</v>
      </c>
      <c r="L2060" t="s">
        <v>1064</v>
      </c>
      <c r="M2060" t="s">
        <v>1516</v>
      </c>
      <c r="N2060" s="15" t="s">
        <v>6878</v>
      </c>
    </row>
    <row r="2061" spans="1:14" x14ac:dyDescent="0.2">
      <c r="A2061" t="s">
        <v>3169</v>
      </c>
      <c r="B2061" t="s">
        <v>2360</v>
      </c>
      <c r="C2061" s="9">
        <v>44988</v>
      </c>
      <c r="D2061" t="s">
        <v>966</v>
      </c>
      <c r="E2061" s="13">
        <v>15910000</v>
      </c>
      <c r="F2061" s="13">
        <v>27750</v>
      </c>
      <c r="G2061" s="9">
        <v>44990</v>
      </c>
      <c r="H2061" t="s">
        <v>1063</v>
      </c>
      <c r="I2061" t="s">
        <v>1515</v>
      </c>
      <c r="J2061" s="13">
        <v>706404</v>
      </c>
      <c r="K2061">
        <v>1</v>
      </c>
      <c r="L2061" t="s">
        <v>1064</v>
      </c>
      <c r="M2061" t="s">
        <v>1516</v>
      </c>
      <c r="N2061" s="15" t="s">
        <v>6878</v>
      </c>
    </row>
    <row r="2062" spans="1:14" x14ac:dyDescent="0.2">
      <c r="A2062" t="s">
        <v>3170</v>
      </c>
      <c r="B2062" t="s">
        <v>2360</v>
      </c>
      <c r="C2062" s="9">
        <v>44988</v>
      </c>
      <c r="D2062" t="s">
        <v>966</v>
      </c>
      <c r="E2062" s="13">
        <v>15910000</v>
      </c>
      <c r="F2062" s="13">
        <v>27750</v>
      </c>
      <c r="G2062" s="9">
        <v>44990</v>
      </c>
      <c r="H2062" t="s">
        <v>1063</v>
      </c>
      <c r="I2062" t="s">
        <v>1515</v>
      </c>
      <c r="J2062" s="13">
        <v>706404</v>
      </c>
      <c r="K2062">
        <v>1</v>
      </c>
      <c r="L2062" t="s">
        <v>1064</v>
      </c>
      <c r="M2062" t="s">
        <v>1516</v>
      </c>
      <c r="N2062" s="15" t="s">
        <v>6878</v>
      </c>
    </row>
    <row r="2063" spans="1:14" x14ac:dyDescent="0.2">
      <c r="A2063" t="s">
        <v>3171</v>
      </c>
      <c r="B2063" t="s">
        <v>2360</v>
      </c>
      <c r="C2063" s="9">
        <v>44988</v>
      </c>
      <c r="D2063" t="s">
        <v>966</v>
      </c>
      <c r="E2063" s="13">
        <v>15910000</v>
      </c>
      <c r="F2063" s="13">
        <v>27750</v>
      </c>
      <c r="G2063" s="9">
        <v>44990</v>
      </c>
      <c r="H2063" t="s">
        <v>1063</v>
      </c>
      <c r="I2063" t="s">
        <v>1515</v>
      </c>
      <c r="J2063" s="13">
        <v>706404</v>
      </c>
      <c r="K2063">
        <v>1</v>
      </c>
      <c r="L2063" t="s">
        <v>1064</v>
      </c>
      <c r="M2063" t="s">
        <v>1516</v>
      </c>
      <c r="N2063" s="15" t="s">
        <v>6878</v>
      </c>
    </row>
    <row r="2064" spans="1:14" x14ac:dyDescent="0.2">
      <c r="A2064" t="s">
        <v>3172</v>
      </c>
      <c r="B2064" t="s">
        <v>2360</v>
      </c>
      <c r="C2064" s="9">
        <v>44988</v>
      </c>
      <c r="D2064" t="s">
        <v>966</v>
      </c>
      <c r="E2064" s="13">
        <v>15910000</v>
      </c>
      <c r="F2064" s="13">
        <v>27750</v>
      </c>
      <c r="G2064" s="9">
        <v>44990</v>
      </c>
      <c r="H2064" t="s">
        <v>1063</v>
      </c>
      <c r="I2064" t="s">
        <v>1515</v>
      </c>
      <c r="J2064" s="13">
        <v>706404</v>
      </c>
      <c r="K2064">
        <v>1</v>
      </c>
      <c r="L2064" t="s">
        <v>1064</v>
      </c>
      <c r="M2064" t="s">
        <v>1516</v>
      </c>
      <c r="N2064" s="15" t="s">
        <v>6878</v>
      </c>
    </row>
    <row r="2065" spans="1:14" x14ac:dyDescent="0.2">
      <c r="A2065" t="s">
        <v>3173</v>
      </c>
      <c r="B2065" t="s">
        <v>2360</v>
      </c>
      <c r="C2065" s="9">
        <v>44988</v>
      </c>
      <c r="D2065" t="s">
        <v>966</v>
      </c>
      <c r="E2065" s="13">
        <v>15910000</v>
      </c>
      <c r="F2065" s="13">
        <v>27750</v>
      </c>
      <c r="G2065" s="9">
        <v>44990</v>
      </c>
      <c r="H2065" t="s">
        <v>1063</v>
      </c>
      <c r="I2065" t="s">
        <v>1515</v>
      </c>
      <c r="J2065" s="13">
        <v>706404</v>
      </c>
      <c r="K2065">
        <v>1</v>
      </c>
      <c r="L2065" t="s">
        <v>1064</v>
      </c>
      <c r="M2065" t="s">
        <v>1516</v>
      </c>
      <c r="N2065" s="15" t="s">
        <v>6878</v>
      </c>
    </row>
    <row r="2066" spans="1:14" x14ac:dyDescent="0.2">
      <c r="A2066" t="s">
        <v>3174</v>
      </c>
      <c r="B2066" t="s">
        <v>2360</v>
      </c>
      <c r="C2066" s="9">
        <v>44988</v>
      </c>
      <c r="D2066" t="s">
        <v>966</v>
      </c>
      <c r="E2066" s="13">
        <v>15910000</v>
      </c>
      <c r="F2066" s="13">
        <v>27750</v>
      </c>
      <c r="G2066" s="9">
        <v>44990</v>
      </c>
      <c r="H2066" t="s">
        <v>1063</v>
      </c>
      <c r="I2066" t="s">
        <v>1515</v>
      </c>
      <c r="J2066" s="13">
        <v>706404</v>
      </c>
      <c r="K2066">
        <v>1</v>
      </c>
      <c r="L2066" t="s">
        <v>1064</v>
      </c>
      <c r="M2066" t="s">
        <v>1516</v>
      </c>
      <c r="N2066" s="15" t="s">
        <v>6878</v>
      </c>
    </row>
    <row r="2067" spans="1:14" x14ac:dyDescent="0.2">
      <c r="A2067" t="s">
        <v>3175</v>
      </c>
      <c r="B2067" t="s">
        <v>2360</v>
      </c>
      <c r="C2067" s="9">
        <v>44988</v>
      </c>
      <c r="D2067" t="s">
        <v>966</v>
      </c>
      <c r="E2067" s="13">
        <v>15910000</v>
      </c>
      <c r="F2067" s="13">
        <v>27750</v>
      </c>
      <c r="G2067" s="9">
        <v>44990</v>
      </c>
      <c r="H2067" t="s">
        <v>1063</v>
      </c>
      <c r="I2067" t="s">
        <v>1515</v>
      </c>
      <c r="J2067" s="13">
        <v>706404</v>
      </c>
      <c r="K2067">
        <v>1</v>
      </c>
      <c r="L2067" t="s">
        <v>1064</v>
      </c>
      <c r="M2067" t="s">
        <v>1516</v>
      </c>
      <c r="N2067" s="15" t="s">
        <v>6878</v>
      </c>
    </row>
    <row r="2068" spans="1:14" x14ac:dyDescent="0.2">
      <c r="A2068" t="s">
        <v>3176</v>
      </c>
      <c r="B2068" t="s">
        <v>2360</v>
      </c>
      <c r="C2068" s="9">
        <v>44988</v>
      </c>
      <c r="D2068" t="s">
        <v>966</v>
      </c>
      <c r="E2068" s="13">
        <v>15910000</v>
      </c>
      <c r="F2068" s="13">
        <v>27750</v>
      </c>
      <c r="G2068" s="9">
        <v>44990</v>
      </c>
      <c r="H2068" t="s">
        <v>1063</v>
      </c>
      <c r="I2068" t="s">
        <v>1515</v>
      </c>
      <c r="J2068" s="13">
        <v>706404</v>
      </c>
      <c r="K2068">
        <v>1</v>
      </c>
      <c r="L2068" t="s">
        <v>1064</v>
      </c>
      <c r="M2068" t="s">
        <v>1516</v>
      </c>
      <c r="N2068" s="15" t="s">
        <v>6878</v>
      </c>
    </row>
    <row r="2069" spans="1:14" x14ac:dyDescent="0.2">
      <c r="A2069" t="s">
        <v>3177</v>
      </c>
      <c r="B2069" t="s">
        <v>2360</v>
      </c>
      <c r="C2069" s="9">
        <v>44989</v>
      </c>
      <c r="D2069" t="s">
        <v>985</v>
      </c>
      <c r="E2069" s="13">
        <v>3850000</v>
      </c>
      <c r="F2069" s="13">
        <v>13875</v>
      </c>
      <c r="G2069" s="9">
        <v>44989</v>
      </c>
      <c r="H2069" t="s">
        <v>1063</v>
      </c>
      <c r="I2069" t="s">
        <v>3063</v>
      </c>
      <c r="J2069" s="13">
        <v>106837</v>
      </c>
      <c r="K2069">
        <v>1</v>
      </c>
      <c r="L2069" t="s">
        <v>1064</v>
      </c>
      <c r="M2069" t="s">
        <v>3064</v>
      </c>
      <c r="N2069" s="15" t="s">
        <v>6878</v>
      </c>
    </row>
    <row r="2070" spans="1:14" x14ac:dyDescent="0.2">
      <c r="A2070" t="s">
        <v>3178</v>
      </c>
      <c r="B2070" t="s">
        <v>2360</v>
      </c>
      <c r="C2070" s="9">
        <v>44989</v>
      </c>
      <c r="D2070" t="s">
        <v>985</v>
      </c>
      <c r="E2070" s="13">
        <v>2856000</v>
      </c>
      <c r="F2070" s="13">
        <v>13875</v>
      </c>
      <c r="G2070" s="9">
        <v>44989</v>
      </c>
      <c r="H2070" t="s">
        <v>1063</v>
      </c>
      <c r="I2070" t="s">
        <v>3063</v>
      </c>
      <c r="J2070" s="13">
        <v>79254</v>
      </c>
      <c r="K2070">
        <v>1</v>
      </c>
      <c r="L2070" t="s">
        <v>1064</v>
      </c>
      <c r="M2070" t="s">
        <v>3064</v>
      </c>
      <c r="N2070" s="15" t="s">
        <v>6878</v>
      </c>
    </row>
    <row r="2071" spans="1:14" x14ac:dyDescent="0.2">
      <c r="A2071" t="s">
        <v>3179</v>
      </c>
      <c r="B2071" t="s">
        <v>2360</v>
      </c>
      <c r="C2071" s="9">
        <v>44989</v>
      </c>
      <c r="D2071" t="s">
        <v>985</v>
      </c>
      <c r="E2071" s="13">
        <v>1400000</v>
      </c>
      <c r="F2071" s="13">
        <v>13875</v>
      </c>
      <c r="G2071" s="9">
        <v>44989</v>
      </c>
      <c r="H2071" t="s">
        <v>1063</v>
      </c>
      <c r="I2071" t="s">
        <v>3063</v>
      </c>
      <c r="J2071" s="13">
        <v>38850</v>
      </c>
      <c r="K2071">
        <v>1</v>
      </c>
      <c r="L2071" t="s">
        <v>1064</v>
      </c>
      <c r="M2071" t="s">
        <v>3064</v>
      </c>
      <c r="N2071" s="15" t="s">
        <v>6878</v>
      </c>
    </row>
    <row r="2072" spans="1:14" x14ac:dyDescent="0.2">
      <c r="A2072" t="s">
        <v>3180</v>
      </c>
      <c r="B2072" t="s">
        <v>2360</v>
      </c>
      <c r="C2072" s="9">
        <v>44989</v>
      </c>
      <c r="D2072" t="s">
        <v>985</v>
      </c>
      <c r="E2072" s="13">
        <v>2856000</v>
      </c>
      <c r="F2072" s="13">
        <v>13875</v>
      </c>
      <c r="G2072" s="9">
        <v>44989</v>
      </c>
      <c r="H2072" t="s">
        <v>1063</v>
      </c>
      <c r="I2072" t="s">
        <v>3063</v>
      </c>
      <c r="J2072" s="13">
        <v>79254</v>
      </c>
      <c r="K2072">
        <v>1</v>
      </c>
      <c r="L2072" t="s">
        <v>1064</v>
      </c>
      <c r="M2072" t="s">
        <v>3064</v>
      </c>
      <c r="N2072" s="15" t="s">
        <v>6878</v>
      </c>
    </row>
    <row r="2073" spans="1:14" x14ac:dyDescent="0.2">
      <c r="A2073" t="s">
        <v>3181</v>
      </c>
      <c r="B2073" t="s">
        <v>2360</v>
      </c>
      <c r="C2073" s="9">
        <v>44989</v>
      </c>
      <c r="D2073" t="s">
        <v>985</v>
      </c>
      <c r="E2073" s="13">
        <v>1400000</v>
      </c>
      <c r="F2073" s="13">
        <v>13875</v>
      </c>
      <c r="G2073" s="9">
        <v>44989</v>
      </c>
      <c r="H2073" t="s">
        <v>1063</v>
      </c>
      <c r="I2073" t="s">
        <v>3063</v>
      </c>
      <c r="J2073" s="13">
        <v>38850</v>
      </c>
      <c r="K2073">
        <v>1</v>
      </c>
      <c r="L2073" t="s">
        <v>1064</v>
      </c>
      <c r="M2073" t="s">
        <v>3064</v>
      </c>
      <c r="N2073" s="15" t="s">
        <v>6878</v>
      </c>
    </row>
    <row r="2074" spans="1:14" x14ac:dyDescent="0.2">
      <c r="A2074" t="s">
        <v>3182</v>
      </c>
      <c r="B2074" t="s">
        <v>2360</v>
      </c>
      <c r="C2074" s="9">
        <v>44989</v>
      </c>
      <c r="D2074" t="s">
        <v>985</v>
      </c>
      <c r="E2074" s="13">
        <v>2856000</v>
      </c>
      <c r="F2074" s="13">
        <v>13875</v>
      </c>
      <c r="G2074" s="9">
        <v>44989</v>
      </c>
      <c r="H2074" t="s">
        <v>1063</v>
      </c>
      <c r="I2074" t="s">
        <v>3063</v>
      </c>
      <c r="J2074" s="13">
        <v>79254</v>
      </c>
      <c r="K2074">
        <v>1</v>
      </c>
      <c r="L2074" t="s">
        <v>1064</v>
      </c>
      <c r="M2074" t="s">
        <v>3064</v>
      </c>
      <c r="N2074" s="15" t="s">
        <v>6878</v>
      </c>
    </row>
    <row r="2075" spans="1:14" x14ac:dyDescent="0.2">
      <c r="A2075" t="s">
        <v>3183</v>
      </c>
      <c r="B2075" t="s">
        <v>2360</v>
      </c>
      <c r="C2075" s="9">
        <v>44989</v>
      </c>
      <c r="D2075" t="s">
        <v>985</v>
      </c>
      <c r="E2075" s="13">
        <v>1400000</v>
      </c>
      <c r="F2075" s="13">
        <v>13875</v>
      </c>
      <c r="G2075" s="9">
        <v>44989</v>
      </c>
      <c r="H2075" t="s">
        <v>1063</v>
      </c>
      <c r="I2075" t="s">
        <v>3063</v>
      </c>
      <c r="J2075" s="13">
        <v>38850</v>
      </c>
      <c r="K2075">
        <v>1</v>
      </c>
      <c r="L2075" t="s">
        <v>1064</v>
      </c>
      <c r="M2075" t="s">
        <v>3064</v>
      </c>
      <c r="N2075" s="15" t="s">
        <v>6878</v>
      </c>
    </row>
    <row r="2076" spans="1:14" x14ac:dyDescent="0.2">
      <c r="A2076" t="s">
        <v>3184</v>
      </c>
      <c r="B2076" t="s">
        <v>2360</v>
      </c>
      <c r="C2076" s="9">
        <v>44989</v>
      </c>
      <c r="D2076" t="s">
        <v>985</v>
      </c>
      <c r="E2076" s="13">
        <v>2856000</v>
      </c>
      <c r="F2076" s="13">
        <v>13875</v>
      </c>
      <c r="G2076" s="9">
        <v>44989</v>
      </c>
      <c r="H2076" t="s">
        <v>1063</v>
      </c>
      <c r="I2076" t="s">
        <v>3063</v>
      </c>
      <c r="J2076" s="13">
        <v>79254</v>
      </c>
      <c r="K2076">
        <v>1</v>
      </c>
      <c r="L2076" t="s">
        <v>1064</v>
      </c>
      <c r="M2076" t="s">
        <v>3064</v>
      </c>
      <c r="N2076" s="15" t="s">
        <v>6878</v>
      </c>
    </row>
    <row r="2077" spans="1:14" x14ac:dyDescent="0.2">
      <c r="A2077" t="s">
        <v>3185</v>
      </c>
      <c r="B2077" t="s">
        <v>2360</v>
      </c>
      <c r="C2077" s="9">
        <v>44989</v>
      </c>
      <c r="D2077" t="s">
        <v>985</v>
      </c>
      <c r="E2077" s="13">
        <v>1400000</v>
      </c>
      <c r="F2077" s="13">
        <v>13875</v>
      </c>
      <c r="G2077" s="9">
        <v>44989</v>
      </c>
      <c r="H2077" t="s">
        <v>1063</v>
      </c>
      <c r="I2077" t="s">
        <v>3063</v>
      </c>
      <c r="J2077" s="13">
        <v>38850</v>
      </c>
      <c r="K2077">
        <v>1</v>
      </c>
      <c r="L2077" t="s">
        <v>1064</v>
      </c>
      <c r="M2077" t="s">
        <v>3064</v>
      </c>
      <c r="N2077" s="15" t="s">
        <v>6878</v>
      </c>
    </row>
    <row r="2078" spans="1:14" x14ac:dyDescent="0.2">
      <c r="A2078" t="s">
        <v>3186</v>
      </c>
      <c r="B2078" t="s">
        <v>2360</v>
      </c>
      <c r="C2078" s="9">
        <v>44989</v>
      </c>
      <c r="D2078" t="s">
        <v>985</v>
      </c>
      <c r="E2078" s="13">
        <v>2856000</v>
      </c>
      <c r="F2078" s="13">
        <v>13875</v>
      </c>
      <c r="G2078" s="9">
        <v>44989</v>
      </c>
      <c r="H2078" t="s">
        <v>1063</v>
      </c>
      <c r="I2078" t="s">
        <v>3063</v>
      </c>
      <c r="J2078" s="13">
        <v>79254</v>
      </c>
      <c r="K2078">
        <v>1</v>
      </c>
      <c r="L2078" t="s">
        <v>1064</v>
      </c>
      <c r="M2078" t="s">
        <v>3064</v>
      </c>
      <c r="N2078" s="15" t="s">
        <v>6878</v>
      </c>
    </row>
    <row r="2079" spans="1:14" x14ac:dyDescent="0.2">
      <c r="A2079" t="s">
        <v>3187</v>
      </c>
      <c r="B2079" t="s">
        <v>2360</v>
      </c>
      <c r="C2079" s="9">
        <v>44989</v>
      </c>
      <c r="D2079" t="s">
        <v>985</v>
      </c>
      <c r="E2079" s="13">
        <v>1400000</v>
      </c>
      <c r="F2079" s="13">
        <v>13875</v>
      </c>
      <c r="G2079" s="9">
        <v>44989</v>
      </c>
      <c r="H2079" t="s">
        <v>1063</v>
      </c>
      <c r="I2079" t="s">
        <v>3063</v>
      </c>
      <c r="J2079" s="13">
        <v>38850</v>
      </c>
      <c r="K2079">
        <v>1</v>
      </c>
      <c r="L2079" t="s">
        <v>1064</v>
      </c>
      <c r="M2079" t="s">
        <v>3064</v>
      </c>
      <c r="N2079" s="15" t="s">
        <v>6878</v>
      </c>
    </row>
    <row r="2080" spans="1:14" x14ac:dyDescent="0.2">
      <c r="A2080" t="s">
        <v>3188</v>
      </c>
      <c r="B2080" t="s">
        <v>2360</v>
      </c>
      <c r="C2080" s="9">
        <v>44990</v>
      </c>
      <c r="D2080" t="s">
        <v>992</v>
      </c>
      <c r="E2080" s="13">
        <v>15852480</v>
      </c>
      <c r="F2080" s="13">
        <v>22200</v>
      </c>
      <c r="G2080" s="9">
        <v>44990</v>
      </c>
      <c r="H2080" t="s">
        <v>1063</v>
      </c>
      <c r="I2080" t="s">
        <v>2370</v>
      </c>
      <c r="J2080" s="13">
        <v>703849</v>
      </c>
      <c r="K2080">
        <v>1</v>
      </c>
      <c r="L2080" t="s">
        <v>1064</v>
      </c>
      <c r="M2080" t="s">
        <v>2371</v>
      </c>
      <c r="N2080" s="15" t="s">
        <v>6878</v>
      </c>
    </row>
    <row r="2081" spans="1:14" x14ac:dyDescent="0.2">
      <c r="A2081" t="s">
        <v>3189</v>
      </c>
      <c r="B2081" t="s">
        <v>2360</v>
      </c>
      <c r="C2081" s="9">
        <v>44990</v>
      </c>
      <c r="D2081" t="s">
        <v>985</v>
      </c>
      <c r="E2081" s="13">
        <v>2545500</v>
      </c>
      <c r="F2081" s="13">
        <v>13875</v>
      </c>
      <c r="G2081" s="9">
        <v>45008</v>
      </c>
      <c r="H2081" t="s">
        <v>1063</v>
      </c>
      <c r="I2081" t="s">
        <v>3063</v>
      </c>
      <c r="J2081" s="13">
        <v>70637</v>
      </c>
      <c r="K2081">
        <v>1</v>
      </c>
      <c r="L2081" t="s">
        <v>1064</v>
      </c>
      <c r="M2081" t="s">
        <v>3064</v>
      </c>
      <c r="N2081" s="15" t="s">
        <v>6878</v>
      </c>
    </row>
    <row r="2082" spans="1:14" x14ac:dyDescent="0.2">
      <c r="A2082" t="s">
        <v>3190</v>
      </c>
      <c r="B2082" t="s">
        <v>2360</v>
      </c>
      <c r="C2082" s="9">
        <v>44990</v>
      </c>
      <c r="D2082" t="s">
        <v>996</v>
      </c>
      <c r="E2082" s="13">
        <v>9000000</v>
      </c>
      <c r="F2082" s="13">
        <v>27750</v>
      </c>
      <c r="G2082" s="9">
        <v>44991</v>
      </c>
      <c r="H2082" t="s">
        <v>1063</v>
      </c>
      <c r="I2082" t="s">
        <v>3191</v>
      </c>
      <c r="J2082" s="13">
        <v>349650</v>
      </c>
      <c r="K2082">
        <v>1</v>
      </c>
      <c r="L2082" t="s">
        <v>1064</v>
      </c>
      <c r="M2082" t="s">
        <v>3192</v>
      </c>
      <c r="N2082" s="15" t="s">
        <v>6878</v>
      </c>
    </row>
    <row r="2083" spans="1:14" x14ac:dyDescent="0.2">
      <c r="A2083" t="s">
        <v>3193</v>
      </c>
      <c r="B2083" t="s">
        <v>2360</v>
      </c>
      <c r="C2083" s="9">
        <v>44991</v>
      </c>
      <c r="D2083" t="s">
        <v>996</v>
      </c>
      <c r="E2083" s="13">
        <v>11500000</v>
      </c>
      <c r="F2083" s="13">
        <v>27750</v>
      </c>
      <c r="G2083" s="9">
        <v>44991</v>
      </c>
      <c r="H2083" t="s">
        <v>1063</v>
      </c>
      <c r="I2083" t="s">
        <v>3191</v>
      </c>
      <c r="J2083" s="13">
        <v>446775</v>
      </c>
      <c r="K2083">
        <v>1</v>
      </c>
      <c r="L2083" t="s">
        <v>1064</v>
      </c>
      <c r="M2083" t="s">
        <v>3192</v>
      </c>
      <c r="N2083" s="15" t="s">
        <v>6878</v>
      </c>
    </row>
    <row r="2084" spans="1:14" x14ac:dyDescent="0.2">
      <c r="A2084" t="s">
        <v>3194</v>
      </c>
      <c r="B2084" t="s">
        <v>2360</v>
      </c>
      <c r="C2084" s="9">
        <v>44991</v>
      </c>
      <c r="D2084" t="s">
        <v>9</v>
      </c>
      <c r="E2084" s="13">
        <v>294490</v>
      </c>
      <c r="F2084" s="13">
        <v>24975</v>
      </c>
      <c r="G2084" s="9">
        <v>45001</v>
      </c>
      <c r="H2084" t="s">
        <v>1063</v>
      </c>
      <c r="I2084" t="s">
        <v>436</v>
      </c>
      <c r="J2084" s="13">
        <v>9805</v>
      </c>
      <c r="K2084">
        <v>1</v>
      </c>
      <c r="L2084" t="s">
        <v>1064</v>
      </c>
      <c r="M2084" t="s">
        <v>2364</v>
      </c>
      <c r="N2084" s="15" t="s">
        <v>6878</v>
      </c>
    </row>
    <row r="2085" spans="1:14" x14ac:dyDescent="0.2">
      <c r="A2085" t="s">
        <v>3195</v>
      </c>
      <c r="B2085" t="s">
        <v>2360</v>
      </c>
      <c r="C2085" s="9">
        <v>44991</v>
      </c>
      <c r="D2085" t="s">
        <v>9</v>
      </c>
      <c r="E2085" s="13">
        <v>340060</v>
      </c>
      <c r="F2085" s="13">
        <v>24975</v>
      </c>
      <c r="G2085" s="9">
        <v>45001</v>
      </c>
      <c r="H2085" t="s">
        <v>1063</v>
      </c>
      <c r="I2085" t="s">
        <v>436</v>
      </c>
      <c r="J2085" s="13">
        <v>11323</v>
      </c>
      <c r="K2085">
        <v>1</v>
      </c>
      <c r="L2085" t="s">
        <v>1064</v>
      </c>
      <c r="M2085" t="s">
        <v>2364</v>
      </c>
      <c r="N2085" s="15" t="s">
        <v>6878</v>
      </c>
    </row>
    <row r="2086" spans="1:14" x14ac:dyDescent="0.2">
      <c r="A2086" t="s">
        <v>3196</v>
      </c>
      <c r="B2086" t="s">
        <v>2360</v>
      </c>
      <c r="C2086" s="9">
        <v>44991</v>
      </c>
      <c r="D2086" t="s">
        <v>996</v>
      </c>
      <c r="E2086" s="13">
        <v>23700000</v>
      </c>
      <c r="F2086" s="13">
        <v>27750</v>
      </c>
      <c r="G2086" s="9">
        <v>44992</v>
      </c>
      <c r="H2086" t="s">
        <v>1063</v>
      </c>
      <c r="I2086" t="s">
        <v>3191</v>
      </c>
      <c r="J2086" s="13">
        <v>920745</v>
      </c>
      <c r="K2086">
        <v>1</v>
      </c>
      <c r="L2086" t="s">
        <v>1064</v>
      </c>
      <c r="M2086" t="s">
        <v>3192</v>
      </c>
      <c r="N2086" s="15" t="s">
        <v>6878</v>
      </c>
    </row>
    <row r="2087" spans="1:14" x14ac:dyDescent="0.2">
      <c r="A2087" t="s">
        <v>3197</v>
      </c>
      <c r="B2087" t="s">
        <v>2360</v>
      </c>
      <c r="C2087" s="9">
        <v>44991</v>
      </c>
      <c r="D2087" t="s">
        <v>985</v>
      </c>
      <c r="E2087" s="13">
        <v>4097000</v>
      </c>
      <c r="F2087" s="13">
        <v>13875</v>
      </c>
      <c r="G2087" s="9">
        <v>45008</v>
      </c>
      <c r="H2087" t="s">
        <v>1063</v>
      </c>
      <c r="I2087" t="s">
        <v>3063</v>
      </c>
      <c r="J2087" s="13">
        <v>113691</v>
      </c>
      <c r="K2087">
        <v>1</v>
      </c>
      <c r="L2087" t="s">
        <v>1064</v>
      </c>
      <c r="M2087" t="s">
        <v>3064</v>
      </c>
      <c r="N2087" s="15" t="s">
        <v>6878</v>
      </c>
    </row>
    <row r="2088" spans="1:14" x14ac:dyDescent="0.2">
      <c r="A2088" t="s">
        <v>3198</v>
      </c>
      <c r="B2088" t="s">
        <v>2360</v>
      </c>
      <c r="C2088" s="9">
        <v>44991</v>
      </c>
      <c r="D2088" t="s">
        <v>9</v>
      </c>
      <c r="E2088" s="13">
        <v>294000</v>
      </c>
      <c r="F2088" s="13">
        <v>24975</v>
      </c>
      <c r="G2088" s="9">
        <v>45001</v>
      </c>
      <c r="H2088" t="s">
        <v>1063</v>
      </c>
      <c r="I2088" t="s">
        <v>436</v>
      </c>
      <c r="J2088" s="13">
        <v>9790</v>
      </c>
      <c r="K2088">
        <v>1</v>
      </c>
      <c r="L2088" t="s">
        <v>1064</v>
      </c>
      <c r="M2088" t="s">
        <v>2364</v>
      </c>
      <c r="N2088" s="15" t="s">
        <v>6878</v>
      </c>
    </row>
    <row r="2089" spans="1:14" x14ac:dyDescent="0.2">
      <c r="A2089" t="s">
        <v>3199</v>
      </c>
      <c r="B2089" t="s">
        <v>2360</v>
      </c>
      <c r="C2089" s="9">
        <v>44991</v>
      </c>
      <c r="D2089" t="s">
        <v>985</v>
      </c>
      <c r="E2089" s="13">
        <v>4097000</v>
      </c>
      <c r="F2089" s="13">
        <v>13875</v>
      </c>
      <c r="G2089" s="9">
        <v>45008</v>
      </c>
      <c r="H2089" t="s">
        <v>1063</v>
      </c>
      <c r="I2089" t="s">
        <v>3063</v>
      </c>
      <c r="J2089" s="13">
        <v>113691</v>
      </c>
      <c r="K2089">
        <v>1</v>
      </c>
      <c r="L2089" t="s">
        <v>1064</v>
      </c>
      <c r="M2089" t="s">
        <v>3064</v>
      </c>
      <c r="N2089" s="15" t="s">
        <v>6878</v>
      </c>
    </row>
    <row r="2090" spans="1:14" x14ac:dyDescent="0.2">
      <c r="A2090" t="s">
        <v>3200</v>
      </c>
      <c r="B2090" t="s">
        <v>2360</v>
      </c>
      <c r="C2090" s="9">
        <v>44991</v>
      </c>
      <c r="D2090" t="s">
        <v>9</v>
      </c>
      <c r="E2090" s="13">
        <v>340060</v>
      </c>
      <c r="F2090" s="13">
        <v>24975</v>
      </c>
      <c r="G2090" s="9">
        <v>45001</v>
      </c>
      <c r="H2090" t="s">
        <v>1063</v>
      </c>
      <c r="I2090" t="s">
        <v>436</v>
      </c>
      <c r="J2090" s="13">
        <v>11323</v>
      </c>
      <c r="K2090">
        <v>1</v>
      </c>
      <c r="L2090" t="s">
        <v>1064</v>
      </c>
      <c r="M2090" t="s">
        <v>2364</v>
      </c>
      <c r="N2090" s="15" t="s">
        <v>6878</v>
      </c>
    </row>
    <row r="2091" spans="1:14" x14ac:dyDescent="0.2">
      <c r="A2091" t="s">
        <v>3201</v>
      </c>
      <c r="B2091" t="s">
        <v>2360</v>
      </c>
      <c r="C2091" s="9">
        <v>44991</v>
      </c>
      <c r="D2091" t="s">
        <v>985</v>
      </c>
      <c r="E2091" s="13">
        <v>2750000</v>
      </c>
      <c r="F2091" s="13">
        <v>13875</v>
      </c>
      <c r="G2091" s="9">
        <v>45008</v>
      </c>
      <c r="H2091" t="s">
        <v>1063</v>
      </c>
      <c r="I2091" t="s">
        <v>3063</v>
      </c>
      <c r="J2091" s="13">
        <v>76312</v>
      </c>
      <c r="K2091">
        <v>1</v>
      </c>
      <c r="L2091" t="s">
        <v>1064</v>
      </c>
      <c r="M2091" t="s">
        <v>3064</v>
      </c>
      <c r="N2091" s="15" t="s">
        <v>6878</v>
      </c>
    </row>
    <row r="2092" spans="1:14" x14ac:dyDescent="0.2">
      <c r="A2092" t="s">
        <v>3202</v>
      </c>
      <c r="B2092" t="s">
        <v>2360</v>
      </c>
      <c r="C2092" s="9">
        <v>44991</v>
      </c>
      <c r="D2092" t="s">
        <v>985</v>
      </c>
      <c r="E2092" s="13">
        <v>4097000</v>
      </c>
      <c r="F2092" s="13">
        <v>13875</v>
      </c>
      <c r="G2092" s="9">
        <v>45008</v>
      </c>
      <c r="H2092" t="s">
        <v>1063</v>
      </c>
      <c r="I2092" t="s">
        <v>3063</v>
      </c>
      <c r="J2092" s="13">
        <v>113691</v>
      </c>
      <c r="K2092">
        <v>1</v>
      </c>
      <c r="L2092" t="s">
        <v>1064</v>
      </c>
      <c r="M2092" t="s">
        <v>3064</v>
      </c>
      <c r="N2092" s="15" t="s">
        <v>6878</v>
      </c>
    </row>
    <row r="2093" spans="1:14" x14ac:dyDescent="0.2">
      <c r="A2093" t="s">
        <v>3203</v>
      </c>
      <c r="B2093" t="s">
        <v>2360</v>
      </c>
      <c r="C2093" s="9">
        <v>44991</v>
      </c>
      <c r="D2093" t="s">
        <v>985</v>
      </c>
      <c r="E2093" s="13">
        <v>2750000</v>
      </c>
      <c r="F2093" s="13">
        <v>13875</v>
      </c>
      <c r="G2093" s="9">
        <v>45008</v>
      </c>
      <c r="H2093" t="s">
        <v>1063</v>
      </c>
      <c r="I2093" t="s">
        <v>3063</v>
      </c>
      <c r="J2093" s="13">
        <v>76312</v>
      </c>
      <c r="K2093">
        <v>1</v>
      </c>
      <c r="L2093" t="s">
        <v>1064</v>
      </c>
      <c r="M2093" t="s">
        <v>3064</v>
      </c>
      <c r="N2093" s="15" t="s">
        <v>6878</v>
      </c>
    </row>
    <row r="2094" spans="1:14" x14ac:dyDescent="0.2">
      <c r="A2094" t="s">
        <v>3204</v>
      </c>
      <c r="B2094" t="s">
        <v>2360</v>
      </c>
      <c r="C2094" s="9">
        <v>44991</v>
      </c>
      <c r="D2094" t="s">
        <v>985</v>
      </c>
      <c r="E2094" s="13">
        <v>4097000</v>
      </c>
      <c r="F2094" s="13">
        <v>13875</v>
      </c>
      <c r="G2094" s="9">
        <v>45008</v>
      </c>
      <c r="H2094" t="s">
        <v>1063</v>
      </c>
      <c r="I2094" t="s">
        <v>3063</v>
      </c>
      <c r="J2094" s="13">
        <v>113691</v>
      </c>
      <c r="K2094">
        <v>1</v>
      </c>
      <c r="L2094" t="s">
        <v>1064</v>
      </c>
      <c r="M2094" t="s">
        <v>3064</v>
      </c>
      <c r="N2094" s="15" t="s">
        <v>6878</v>
      </c>
    </row>
    <row r="2095" spans="1:14" x14ac:dyDescent="0.2">
      <c r="A2095" t="s">
        <v>3205</v>
      </c>
      <c r="B2095" t="s">
        <v>2360</v>
      </c>
      <c r="C2095" s="9">
        <v>44991</v>
      </c>
      <c r="D2095" t="s">
        <v>985</v>
      </c>
      <c r="E2095" s="13">
        <v>2750000</v>
      </c>
      <c r="F2095" s="13">
        <v>13875</v>
      </c>
      <c r="G2095" s="9">
        <v>45008</v>
      </c>
      <c r="H2095" t="s">
        <v>1063</v>
      </c>
      <c r="I2095" t="s">
        <v>3063</v>
      </c>
      <c r="J2095" s="13">
        <v>76312</v>
      </c>
      <c r="K2095">
        <v>1</v>
      </c>
      <c r="L2095" t="s">
        <v>1064</v>
      </c>
      <c r="M2095" t="s">
        <v>3064</v>
      </c>
      <c r="N2095" s="15" t="s">
        <v>6878</v>
      </c>
    </row>
    <row r="2096" spans="1:14" x14ac:dyDescent="0.2">
      <c r="A2096" t="s">
        <v>3206</v>
      </c>
      <c r="B2096" t="s">
        <v>2360</v>
      </c>
      <c r="C2096" s="9">
        <v>44991</v>
      </c>
      <c r="D2096" t="s">
        <v>985</v>
      </c>
      <c r="E2096" s="13">
        <v>1331000</v>
      </c>
      <c r="F2096" s="13">
        <v>13875</v>
      </c>
      <c r="G2096" s="9">
        <v>44993</v>
      </c>
      <c r="H2096" t="s">
        <v>1063</v>
      </c>
      <c r="I2096" t="s">
        <v>3063</v>
      </c>
      <c r="J2096" s="13">
        <v>36935</v>
      </c>
      <c r="K2096">
        <v>1</v>
      </c>
      <c r="L2096" t="s">
        <v>1064</v>
      </c>
      <c r="M2096" t="s">
        <v>3064</v>
      </c>
      <c r="N2096" s="15" t="s">
        <v>6878</v>
      </c>
    </row>
    <row r="2097" spans="1:14" x14ac:dyDescent="0.2">
      <c r="A2097" t="s">
        <v>3207</v>
      </c>
      <c r="B2097" t="s">
        <v>2360</v>
      </c>
      <c r="C2097" s="9">
        <v>44992</v>
      </c>
      <c r="D2097" t="s">
        <v>9</v>
      </c>
      <c r="E2097" s="13">
        <v>245490</v>
      </c>
      <c r="F2097" s="13">
        <v>24975</v>
      </c>
      <c r="G2097" s="9">
        <v>45001</v>
      </c>
      <c r="H2097" t="s">
        <v>1063</v>
      </c>
      <c r="I2097" t="s">
        <v>436</v>
      </c>
      <c r="J2097" s="13">
        <v>8174</v>
      </c>
      <c r="K2097">
        <v>1</v>
      </c>
      <c r="L2097" t="s">
        <v>1064</v>
      </c>
      <c r="M2097" t="s">
        <v>2364</v>
      </c>
      <c r="N2097" s="15" t="s">
        <v>6878</v>
      </c>
    </row>
    <row r="2098" spans="1:14" x14ac:dyDescent="0.2">
      <c r="A2098" t="s">
        <v>3208</v>
      </c>
      <c r="B2098" t="s">
        <v>2360</v>
      </c>
      <c r="C2098" s="9">
        <v>44992</v>
      </c>
      <c r="D2098" t="s">
        <v>9</v>
      </c>
      <c r="E2098" s="13">
        <v>274890</v>
      </c>
      <c r="F2098" s="13">
        <v>24975</v>
      </c>
      <c r="G2098" s="9">
        <v>45001</v>
      </c>
      <c r="H2098" t="s">
        <v>1063</v>
      </c>
      <c r="I2098" t="s">
        <v>436</v>
      </c>
      <c r="J2098" s="13">
        <v>9153</v>
      </c>
      <c r="K2098">
        <v>1</v>
      </c>
      <c r="L2098" t="s">
        <v>1064</v>
      </c>
      <c r="M2098" t="s">
        <v>2364</v>
      </c>
      <c r="N2098" s="15" t="s">
        <v>6878</v>
      </c>
    </row>
    <row r="2099" spans="1:14" x14ac:dyDescent="0.2">
      <c r="A2099" t="s">
        <v>3209</v>
      </c>
      <c r="B2099" t="s">
        <v>2360</v>
      </c>
      <c r="C2099" s="9">
        <v>44992</v>
      </c>
      <c r="D2099" t="s">
        <v>985</v>
      </c>
      <c r="E2099" s="13">
        <v>2545500</v>
      </c>
      <c r="F2099" s="13">
        <v>13875</v>
      </c>
      <c r="G2099" s="9">
        <v>45008</v>
      </c>
      <c r="H2099" t="s">
        <v>1063</v>
      </c>
      <c r="I2099" t="s">
        <v>3063</v>
      </c>
      <c r="J2099" s="13">
        <v>70637</v>
      </c>
      <c r="K2099">
        <v>1</v>
      </c>
      <c r="L2099" t="s">
        <v>1064</v>
      </c>
      <c r="M2099" t="s">
        <v>3064</v>
      </c>
      <c r="N2099" s="15" t="s">
        <v>6878</v>
      </c>
    </row>
    <row r="2100" spans="1:14" x14ac:dyDescent="0.2">
      <c r="A2100" t="s">
        <v>3210</v>
      </c>
      <c r="B2100" t="s">
        <v>2360</v>
      </c>
      <c r="C2100" s="9">
        <v>44992</v>
      </c>
      <c r="D2100" t="s">
        <v>985</v>
      </c>
      <c r="E2100" s="13">
        <v>4097000</v>
      </c>
      <c r="F2100" s="13">
        <v>13875</v>
      </c>
      <c r="G2100" s="9">
        <v>45008</v>
      </c>
      <c r="H2100" t="s">
        <v>1063</v>
      </c>
      <c r="I2100" t="s">
        <v>3063</v>
      </c>
      <c r="J2100" s="13">
        <v>113691</v>
      </c>
      <c r="K2100">
        <v>1</v>
      </c>
      <c r="L2100" t="s">
        <v>1064</v>
      </c>
      <c r="M2100" t="s">
        <v>3064</v>
      </c>
      <c r="N2100" s="15" t="s">
        <v>6878</v>
      </c>
    </row>
    <row r="2101" spans="1:14" x14ac:dyDescent="0.2">
      <c r="A2101" t="s">
        <v>3211</v>
      </c>
      <c r="B2101" t="s">
        <v>2360</v>
      </c>
      <c r="C2101" s="9">
        <v>44992</v>
      </c>
      <c r="D2101" t="s">
        <v>985</v>
      </c>
      <c r="E2101" s="13">
        <v>4097000</v>
      </c>
      <c r="F2101" s="13">
        <v>13875</v>
      </c>
      <c r="G2101" s="9">
        <v>45008</v>
      </c>
      <c r="H2101" t="s">
        <v>1063</v>
      </c>
      <c r="I2101" t="s">
        <v>3063</v>
      </c>
      <c r="J2101" s="13">
        <v>113691</v>
      </c>
      <c r="K2101">
        <v>1</v>
      </c>
      <c r="L2101" t="s">
        <v>1064</v>
      </c>
      <c r="M2101" t="s">
        <v>3064</v>
      </c>
      <c r="N2101" s="15" t="s">
        <v>6878</v>
      </c>
    </row>
    <row r="2102" spans="1:14" x14ac:dyDescent="0.2">
      <c r="A2102" t="s">
        <v>3212</v>
      </c>
      <c r="B2102" t="s">
        <v>2360</v>
      </c>
      <c r="C2102" s="9">
        <v>44992</v>
      </c>
      <c r="D2102" t="s">
        <v>985</v>
      </c>
      <c r="E2102" s="13">
        <v>2545500</v>
      </c>
      <c r="F2102" s="13">
        <v>13875</v>
      </c>
      <c r="G2102" s="9">
        <v>44993</v>
      </c>
      <c r="H2102" t="s">
        <v>1063</v>
      </c>
      <c r="I2102" t="s">
        <v>3063</v>
      </c>
      <c r="J2102" s="13">
        <v>70637</v>
      </c>
      <c r="K2102">
        <v>1</v>
      </c>
      <c r="L2102" t="s">
        <v>1064</v>
      </c>
      <c r="M2102" t="s">
        <v>3064</v>
      </c>
      <c r="N2102" s="15" t="s">
        <v>6878</v>
      </c>
    </row>
    <row r="2103" spans="1:14" x14ac:dyDescent="0.2">
      <c r="A2103" t="s">
        <v>3213</v>
      </c>
      <c r="B2103" t="s">
        <v>2360</v>
      </c>
      <c r="C2103" s="9">
        <v>44992</v>
      </c>
      <c r="D2103" t="s">
        <v>985</v>
      </c>
      <c r="E2103" s="13">
        <v>2598500</v>
      </c>
      <c r="F2103" s="13">
        <v>13875</v>
      </c>
      <c r="G2103" s="9">
        <v>44993</v>
      </c>
      <c r="H2103" t="s">
        <v>1063</v>
      </c>
      <c r="I2103" t="s">
        <v>3063</v>
      </c>
      <c r="J2103" s="13">
        <v>72107</v>
      </c>
      <c r="K2103">
        <v>1</v>
      </c>
      <c r="L2103" t="s">
        <v>1064</v>
      </c>
      <c r="M2103" t="s">
        <v>3064</v>
      </c>
      <c r="N2103" s="15" t="s">
        <v>6878</v>
      </c>
    </row>
    <row r="2104" spans="1:14" x14ac:dyDescent="0.2">
      <c r="A2104" t="s">
        <v>3214</v>
      </c>
      <c r="B2104" t="s">
        <v>2360</v>
      </c>
      <c r="C2104" s="9">
        <v>44992</v>
      </c>
      <c r="D2104" t="s">
        <v>992</v>
      </c>
      <c r="E2104" s="13">
        <v>2596248</v>
      </c>
      <c r="F2104" s="13">
        <v>22200</v>
      </c>
      <c r="G2104" s="9">
        <v>44995</v>
      </c>
      <c r="H2104" t="s">
        <v>1063</v>
      </c>
      <c r="I2104" t="s">
        <v>2370</v>
      </c>
      <c r="J2104" s="13">
        <v>115272</v>
      </c>
      <c r="K2104">
        <v>1</v>
      </c>
      <c r="L2104" t="s">
        <v>1064</v>
      </c>
      <c r="M2104" t="s">
        <v>2371</v>
      </c>
      <c r="N2104" s="15" t="s">
        <v>6878</v>
      </c>
    </row>
    <row r="2105" spans="1:14" x14ac:dyDescent="0.2">
      <c r="A2105" t="s">
        <v>3215</v>
      </c>
      <c r="B2105" t="s">
        <v>2360</v>
      </c>
      <c r="C2105" s="9">
        <v>44992</v>
      </c>
      <c r="D2105" t="s">
        <v>992</v>
      </c>
      <c r="E2105" s="13">
        <v>4133928</v>
      </c>
      <c r="F2105" s="13">
        <v>22200</v>
      </c>
      <c r="G2105" s="9">
        <v>44995</v>
      </c>
      <c r="H2105" t="s">
        <v>1063</v>
      </c>
      <c r="I2105" t="s">
        <v>2370</v>
      </c>
      <c r="J2105" s="13">
        <v>183546</v>
      </c>
      <c r="K2105">
        <v>1</v>
      </c>
      <c r="L2105" t="s">
        <v>1064</v>
      </c>
      <c r="M2105" t="s">
        <v>2371</v>
      </c>
      <c r="N2105" s="15" t="s">
        <v>6878</v>
      </c>
    </row>
    <row r="2106" spans="1:14" x14ac:dyDescent="0.2">
      <c r="A2106" t="s">
        <v>3216</v>
      </c>
      <c r="B2106" t="s">
        <v>2360</v>
      </c>
      <c r="C2106" s="9">
        <v>44992</v>
      </c>
      <c r="D2106" t="s">
        <v>9</v>
      </c>
      <c r="E2106" s="13">
        <v>458150</v>
      </c>
      <c r="F2106" s="13">
        <v>24975</v>
      </c>
      <c r="G2106" s="9">
        <v>45001</v>
      </c>
      <c r="H2106" t="s">
        <v>1063</v>
      </c>
      <c r="I2106" t="s">
        <v>436</v>
      </c>
      <c r="J2106" s="13">
        <v>15255</v>
      </c>
      <c r="K2106">
        <v>1</v>
      </c>
      <c r="L2106" t="s">
        <v>1064</v>
      </c>
      <c r="M2106" t="s">
        <v>2364</v>
      </c>
      <c r="N2106" s="15" t="s">
        <v>6878</v>
      </c>
    </row>
    <row r="2107" spans="1:14" x14ac:dyDescent="0.2">
      <c r="A2107" t="s">
        <v>3217</v>
      </c>
      <c r="B2107" t="s">
        <v>2360</v>
      </c>
      <c r="C2107" s="9">
        <v>44992</v>
      </c>
      <c r="D2107" t="s">
        <v>985</v>
      </c>
      <c r="E2107" s="13">
        <v>2545500</v>
      </c>
      <c r="F2107" s="13">
        <v>13875</v>
      </c>
      <c r="G2107" s="9">
        <v>44993</v>
      </c>
      <c r="H2107" t="s">
        <v>1063</v>
      </c>
      <c r="I2107" t="s">
        <v>3063</v>
      </c>
      <c r="J2107" s="13">
        <v>70637</v>
      </c>
      <c r="K2107">
        <v>1</v>
      </c>
      <c r="L2107" t="s">
        <v>1064</v>
      </c>
      <c r="M2107" t="s">
        <v>3064</v>
      </c>
      <c r="N2107" s="15" t="s">
        <v>6878</v>
      </c>
    </row>
    <row r="2108" spans="1:14" x14ac:dyDescent="0.2">
      <c r="A2108" t="s">
        <v>3218</v>
      </c>
      <c r="B2108" t="s">
        <v>2360</v>
      </c>
      <c r="C2108" s="9">
        <v>44993</v>
      </c>
      <c r="D2108" t="s">
        <v>964</v>
      </c>
      <c r="E2108" s="13">
        <v>13500000</v>
      </c>
      <c r="F2108" s="13">
        <v>27750</v>
      </c>
      <c r="G2108" s="9">
        <v>44993</v>
      </c>
      <c r="H2108" t="s">
        <v>1063</v>
      </c>
      <c r="I2108" t="s">
        <v>2520</v>
      </c>
      <c r="J2108" s="13">
        <v>374625</v>
      </c>
      <c r="K2108">
        <v>1</v>
      </c>
      <c r="L2108" t="s">
        <v>1064</v>
      </c>
      <c r="M2108" t="s">
        <v>2521</v>
      </c>
      <c r="N2108" s="15" t="s">
        <v>6878</v>
      </c>
    </row>
    <row r="2109" spans="1:14" x14ac:dyDescent="0.2">
      <c r="A2109" t="s">
        <v>3219</v>
      </c>
      <c r="B2109" t="s">
        <v>2360</v>
      </c>
      <c r="C2109" s="9">
        <v>44993</v>
      </c>
      <c r="D2109" t="s">
        <v>964</v>
      </c>
      <c r="E2109" s="13">
        <v>13500000</v>
      </c>
      <c r="F2109" s="13">
        <v>27750</v>
      </c>
      <c r="G2109" s="9">
        <v>44993</v>
      </c>
      <c r="H2109" t="s">
        <v>1063</v>
      </c>
      <c r="I2109" t="s">
        <v>2520</v>
      </c>
      <c r="J2109" s="13">
        <v>374625</v>
      </c>
      <c r="K2109">
        <v>1</v>
      </c>
      <c r="L2109" t="s">
        <v>1064</v>
      </c>
      <c r="M2109" t="s">
        <v>2521</v>
      </c>
      <c r="N2109" s="15" t="s">
        <v>6878</v>
      </c>
    </row>
    <row r="2110" spans="1:14" x14ac:dyDescent="0.2">
      <c r="A2110" t="s">
        <v>3220</v>
      </c>
      <c r="B2110" t="s">
        <v>2360</v>
      </c>
      <c r="C2110" s="9">
        <v>44993</v>
      </c>
      <c r="D2110" t="s">
        <v>964</v>
      </c>
      <c r="E2110" s="13">
        <v>10500000</v>
      </c>
      <c r="F2110" s="13">
        <v>27750</v>
      </c>
      <c r="G2110" s="9">
        <v>44993</v>
      </c>
      <c r="H2110" t="s">
        <v>1063</v>
      </c>
      <c r="I2110" t="s">
        <v>2520</v>
      </c>
      <c r="J2110" s="13">
        <v>291375</v>
      </c>
      <c r="K2110">
        <v>1</v>
      </c>
      <c r="L2110" t="s">
        <v>1064</v>
      </c>
      <c r="M2110" t="s">
        <v>2521</v>
      </c>
      <c r="N2110" s="15" t="s">
        <v>6878</v>
      </c>
    </row>
    <row r="2111" spans="1:14" x14ac:dyDescent="0.2">
      <c r="A2111" t="s">
        <v>3221</v>
      </c>
      <c r="B2111" t="s">
        <v>2360</v>
      </c>
      <c r="C2111" s="9">
        <v>44993</v>
      </c>
      <c r="D2111" t="s">
        <v>964</v>
      </c>
      <c r="E2111" s="13">
        <v>13500000</v>
      </c>
      <c r="F2111" s="13">
        <v>27750</v>
      </c>
      <c r="G2111" s="9">
        <v>44993</v>
      </c>
      <c r="H2111" t="s">
        <v>1063</v>
      </c>
      <c r="I2111" t="s">
        <v>2520</v>
      </c>
      <c r="J2111" s="13">
        <v>374625</v>
      </c>
      <c r="K2111">
        <v>1</v>
      </c>
      <c r="L2111" t="s">
        <v>1064</v>
      </c>
      <c r="M2111" t="s">
        <v>2521</v>
      </c>
      <c r="N2111" s="15" t="s">
        <v>6878</v>
      </c>
    </row>
    <row r="2112" spans="1:14" x14ac:dyDescent="0.2">
      <c r="A2112" t="s">
        <v>3222</v>
      </c>
      <c r="B2112" t="s">
        <v>2360</v>
      </c>
      <c r="C2112" s="9">
        <v>44993</v>
      </c>
      <c r="D2112" t="s">
        <v>964</v>
      </c>
      <c r="E2112" s="13">
        <v>13500000</v>
      </c>
      <c r="F2112" s="13">
        <v>27750</v>
      </c>
      <c r="G2112" s="9">
        <v>44993</v>
      </c>
      <c r="H2112" t="s">
        <v>1063</v>
      </c>
      <c r="I2112" t="s">
        <v>2520</v>
      </c>
      <c r="J2112" s="13">
        <v>374625</v>
      </c>
      <c r="K2112">
        <v>1</v>
      </c>
      <c r="L2112" t="s">
        <v>1064</v>
      </c>
      <c r="M2112" t="s">
        <v>2521</v>
      </c>
      <c r="N2112" s="15" t="s">
        <v>6878</v>
      </c>
    </row>
    <row r="2113" spans="1:14" x14ac:dyDescent="0.2">
      <c r="A2113" t="s">
        <v>3223</v>
      </c>
      <c r="B2113" t="s">
        <v>2360</v>
      </c>
      <c r="C2113" s="9">
        <v>44993</v>
      </c>
      <c r="D2113" t="s">
        <v>996</v>
      </c>
      <c r="E2113" s="13">
        <v>3500000</v>
      </c>
      <c r="F2113" s="13">
        <v>25000</v>
      </c>
      <c r="H2113" t="s">
        <v>1185</v>
      </c>
      <c r="I2113" t="s">
        <v>3191</v>
      </c>
      <c r="J2113" s="13">
        <v>0</v>
      </c>
      <c r="K2113">
        <v>1</v>
      </c>
      <c r="L2113" t="s">
        <v>1064</v>
      </c>
      <c r="M2113" t="s">
        <v>3192</v>
      </c>
      <c r="N2113" s="14" t="s">
        <v>6877</v>
      </c>
    </row>
    <row r="2114" spans="1:14" x14ac:dyDescent="0.2">
      <c r="A2114" t="s">
        <v>3224</v>
      </c>
      <c r="B2114" t="s">
        <v>2360</v>
      </c>
      <c r="C2114" s="9">
        <v>44993</v>
      </c>
      <c r="D2114" t="s">
        <v>996</v>
      </c>
      <c r="E2114" s="13">
        <v>1000000</v>
      </c>
      <c r="F2114" s="13">
        <v>25000</v>
      </c>
      <c r="H2114" t="s">
        <v>1185</v>
      </c>
      <c r="I2114" t="s">
        <v>3191</v>
      </c>
      <c r="J2114" s="13">
        <v>0</v>
      </c>
      <c r="K2114">
        <v>1</v>
      </c>
      <c r="L2114" t="s">
        <v>1064</v>
      </c>
      <c r="M2114" t="s">
        <v>3192</v>
      </c>
      <c r="N2114" s="14" t="s">
        <v>6877</v>
      </c>
    </row>
    <row r="2115" spans="1:14" x14ac:dyDescent="0.2">
      <c r="A2115" t="s">
        <v>3225</v>
      </c>
      <c r="B2115" t="s">
        <v>2360</v>
      </c>
      <c r="C2115" s="9">
        <v>44993</v>
      </c>
      <c r="D2115" t="s">
        <v>9</v>
      </c>
      <c r="E2115" s="13">
        <v>340060</v>
      </c>
      <c r="F2115" s="13">
        <v>24975</v>
      </c>
      <c r="G2115" s="9">
        <v>45001</v>
      </c>
      <c r="H2115" t="s">
        <v>1063</v>
      </c>
      <c r="I2115" t="s">
        <v>436</v>
      </c>
      <c r="J2115" s="13">
        <v>11323</v>
      </c>
      <c r="K2115">
        <v>1</v>
      </c>
      <c r="L2115" t="s">
        <v>1064</v>
      </c>
      <c r="M2115" t="s">
        <v>2364</v>
      </c>
      <c r="N2115" s="15" t="s">
        <v>6878</v>
      </c>
    </row>
    <row r="2116" spans="1:14" x14ac:dyDescent="0.2">
      <c r="A2116" t="s">
        <v>3226</v>
      </c>
      <c r="B2116" t="s">
        <v>2360</v>
      </c>
      <c r="C2116" s="9">
        <v>44994</v>
      </c>
      <c r="D2116" t="s">
        <v>998</v>
      </c>
      <c r="E2116" s="13">
        <v>1</v>
      </c>
      <c r="F2116" s="13">
        <v>27750</v>
      </c>
      <c r="G2116" s="9">
        <v>45012</v>
      </c>
      <c r="H2116" t="s">
        <v>1063</v>
      </c>
      <c r="I2116" t="s">
        <v>2902</v>
      </c>
      <c r="J2116" s="13">
        <v>0</v>
      </c>
      <c r="K2116">
        <v>1</v>
      </c>
      <c r="L2116" t="s">
        <v>1064</v>
      </c>
      <c r="M2116" t="s">
        <v>2903</v>
      </c>
      <c r="N2116" s="15" t="s">
        <v>6878</v>
      </c>
    </row>
    <row r="2117" spans="1:14" x14ac:dyDescent="0.2">
      <c r="A2117" t="s">
        <v>3227</v>
      </c>
      <c r="B2117" t="s">
        <v>2360</v>
      </c>
      <c r="C2117" s="9">
        <v>44994</v>
      </c>
      <c r="D2117" t="s">
        <v>9</v>
      </c>
      <c r="E2117" s="13">
        <v>268030</v>
      </c>
      <c r="F2117" s="13">
        <v>24975</v>
      </c>
      <c r="G2117" s="9">
        <v>45001</v>
      </c>
      <c r="H2117" t="s">
        <v>1063</v>
      </c>
      <c r="I2117" t="s">
        <v>436</v>
      </c>
      <c r="J2117" s="13">
        <v>8924</v>
      </c>
      <c r="K2117">
        <v>1</v>
      </c>
      <c r="L2117" t="s">
        <v>1064</v>
      </c>
      <c r="M2117" t="s">
        <v>2364</v>
      </c>
      <c r="N2117" s="15" t="s">
        <v>6878</v>
      </c>
    </row>
    <row r="2118" spans="1:14" x14ac:dyDescent="0.2">
      <c r="A2118" t="s">
        <v>3228</v>
      </c>
      <c r="B2118" t="s">
        <v>2360</v>
      </c>
      <c r="C2118" s="9">
        <v>44994</v>
      </c>
      <c r="D2118" t="s">
        <v>1014</v>
      </c>
      <c r="E2118" s="13">
        <v>5916000</v>
      </c>
      <c r="F2118" s="13">
        <v>27750</v>
      </c>
      <c r="G2118" s="9">
        <v>44995</v>
      </c>
      <c r="H2118" t="s">
        <v>1111</v>
      </c>
      <c r="I2118" t="s">
        <v>3053</v>
      </c>
      <c r="J2118" s="13">
        <v>229836</v>
      </c>
      <c r="K2118">
        <v>1</v>
      </c>
      <c r="L2118" t="s">
        <v>1064</v>
      </c>
      <c r="M2118" t="s">
        <v>3054</v>
      </c>
      <c r="N2118" s="15" t="s">
        <v>6878</v>
      </c>
    </row>
    <row r="2119" spans="1:14" x14ac:dyDescent="0.2">
      <c r="A2119" t="s">
        <v>3229</v>
      </c>
      <c r="B2119" t="s">
        <v>2360</v>
      </c>
      <c r="C2119" s="9">
        <v>44994</v>
      </c>
      <c r="D2119" t="s">
        <v>1014</v>
      </c>
      <c r="E2119" s="13">
        <v>1989000</v>
      </c>
      <c r="F2119" s="13">
        <v>27750</v>
      </c>
      <c r="G2119" s="9">
        <v>44995</v>
      </c>
      <c r="H2119" t="s">
        <v>1111</v>
      </c>
      <c r="I2119" t="s">
        <v>3053</v>
      </c>
      <c r="J2119" s="13">
        <v>77272</v>
      </c>
      <c r="K2119">
        <v>1</v>
      </c>
      <c r="L2119" t="s">
        <v>1064</v>
      </c>
      <c r="M2119" t="s">
        <v>3054</v>
      </c>
      <c r="N2119" s="15" t="s">
        <v>6878</v>
      </c>
    </row>
    <row r="2120" spans="1:14" x14ac:dyDescent="0.2">
      <c r="A2120" t="s">
        <v>3230</v>
      </c>
      <c r="B2120" t="s">
        <v>2360</v>
      </c>
      <c r="C2120" s="9">
        <v>44994</v>
      </c>
      <c r="D2120" t="s">
        <v>1014</v>
      </c>
      <c r="E2120" s="13">
        <v>3100500</v>
      </c>
      <c r="F2120" s="13">
        <v>27750</v>
      </c>
      <c r="G2120" s="9">
        <v>44995</v>
      </c>
      <c r="H2120" t="s">
        <v>1111</v>
      </c>
      <c r="I2120" t="s">
        <v>3053</v>
      </c>
      <c r="J2120" s="13">
        <v>120453</v>
      </c>
      <c r="K2120">
        <v>1</v>
      </c>
      <c r="L2120" t="s">
        <v>1064</v>
      </c>
      <c r="M2120" t="s">
        <v>3054</v>
      </c>
      <c r="N2120" s="15" t="s">
        <v>6878</v>
      </c>
    </row>
    <row r="2121" spans="1:14" x14ac:dyDescent="0.2">
      <c r="A2121" t="s">
        <v>3231</v>
      </c>
      <c r="B2121" t="s">
        <v>2360</v>
      </c>
      <c r="C2121" s="9">
        <v>44994</v>
      </c>
      <c r="D2121" t="s">
        <v>1014</v>
      </c>
      <c r="E2121" s="13">
        <v>2339000</v>
      </c>
      <c r="F2121" s="13">
        <v>27750</v>
      </c>
      <c r="G2121" s="9">
        <v>44995</v>
      </c>
      <c r="H2121" t="s">
        <v>1111</v>
      </c>
      <c r="I2121" t="s">
        <v>3053</v>
      </c>
      <c r="J2121" s="13">
        <v>90870</v>
      </c>
      <c r="K2121">
        <v>1</v>
      </c>
      <c r="L2121" t="s">
        <v>1064</v>
      </c>
      <c r="M2121" t="s">
        <v>3054</v>
      </c>
      <c r="N2121" s="15" t="s">
        <v>6878</v>
      </c>
    </row>
    <row r="2122" spans="1:14" x14ac:dyDescent="0.2">
      <c r="A2122" t="s">
        <v>3232</v>
      </c>
      <c r="B2122" t="s">
        <v>2360</v>
      </c>
      <c r="C2122" s="9">
        <v>44994</v>
      </c>
      <c r="D2122" t="s">
        <v>1014</v>
      </c>
      <c r="E2122" s="13">
        <v>5916000</v>
      </c>
      <c r="F2122" s="13">
        <v>27750</v>
      </c>
      <c r="G2122" s="9">
        <v>44995</v>
      </c>
      <c r="H2122" t="s">
        <v>1111</v>
      </c>
      <c r="I2122" t="s">
        <v>3053</v>
      </c>
      <c r="J2122" s="13">
        <v>229836</v>
      </c>
      <c r="K2122">
        <v>1</v>
      </c>
      <c r="L2122" t="s">
        <v>1064</v>
      </c>
      <c r="M2122" t="s">
        <v>3054</v>
      </c>
      <c r="N2122" s="15" t="s">
        <v>6878</v>
      </c>
    </row>
    <row r="2123" spans="1:14" x14ac:dyDescent="0.2">
      <c r="A2123" t="s">
        <v>3233</v>
      </c>
      <c r="B2123" t="s">
        <v>2360</v>
      </c>
      <c r="C2123" s="9">
        <v>44994</v>
      </c>
      <c r="D2123" t="s">
        <v>1014</v>
      </c>
      <c r="E2123" s="13">
        <v>3158000</v>
      </c>
      <c r="F2123" s="13">
        <v>27750</v>
      </c>
      <c r="G2123" s="9">
        <v>44995</v>
      </c>
      <c r="H2123" t="s">
        <v>1111</v>
      </c>
      <c r="I2123" t="s">
        <v>3053</v>
      </c>
      <c r="J2123" s="13">
        <v>122688</v>
      </c>
      <c r="K2123">
        <v>1</v>
      </c>
      <c r="L2123" t="s">
        <v>1064</v>
      </c>
      <c r="M2123" t="s">
        <v>3054</v>
      </c>
      <c r="N2123" s="15" t="s">
        <v>6878</v>
      </c>
    </row>
    <row r="2124" spans="1:14" x14ac:dyDescent="0.2">
      <c r="A2124" t="s">
        <v>3234</v>
      </c>
      <c r="B2124" t="s">
        <v>2360</v>
      </c>
      <c r="C2124" s="9">
        <v>44994</v>
      </c>
      <c r="D2124" t="s">
        <v>9</v>
      </c>
      <c r="E2124" s="13">
        <v>340060</v>
      </c>
      <c r="F2124" s="13">
        <v>24975</v>
      </c>
      <c r="G2124" s="9">
        <v>45001</v>
      </c>
      <c r="H2124" t="s">
        <v>1063</v>
      </c>
      <c r="I2124" t="s">
        <v>436</v>
      </c>
      <c r="J2124" s="13">
        <v>11323</v>
      </c>
      <c r="K2124">
        <v>1</v>
      </c>
      <c r="L2124" t="s">
        <v>1064</v>
      </c>
      <c r="M2124" t="s">
        <v>2364</v>
      </c>
      <c r="N2124" s="15" t="s">
        <v>6878</v>
      </c>
    </row>
    <row r="2125" spans="1:14" x14ac:dyDescent="0.2">
      <c r="A2125" t="s">
        <v>3235</v>
      </c>
      <c r="B2125" t="s">
        <v>2360</v>
      </c>
      <c r="C2125" s="9">
        <v>44994</v>
      </c>
      <c r="D2125" t="s">
        <v>1014</v>
      </c>
      <c r="E2125" s="13">
        <v>3100500</v>
      </c>
      <c r="F2125" s="13">
        <v>27750</v>
      </c>
      <c r="G2125" s="9">
        <v>44995</v>
      </c>
      <c r="H2125" t="s">
        <v>1111</v>
      </c>
      <c r="I2125" t="s">
        <v>3053</v>
      </c>
      <c r="J2125" s="13">
        <v>120453</v>
      </c>
      <c r="K2125">
        <v>1</v>
      </c>
      <c r="L2125" t="s">
        <v>1064</v>
      </c>
      <c r="M2125" t="s">
        <v>3054</v>
      </c>
      <c r="N2125" s="15" t="s">
        <v>6878</v>
      </c>
    </row>
    <row r="2126" spans="1:14" x14ac:dyDescent="0.2">
      <c r="A2126" t="s">
        <v>3236</v>
      </c>
      <c r="B2126" t="s">
        <v>2360</v>
      </c>
      <c r="C2126" s="9">
        <v>44994</v>
      </c>
      <c r="D2126" t="s">
        <v>9</v>
      </c>
      <c r="E2126" s="13">
        <v>340060</v>
      </c>
      <c r="F2126" s="13">
        <v>24975</v>
      </c>
      <c r="G2126" s="9">
        <v>45001</v>
      </c>
      <c r="H2126" t="s">
        <v>1063</v>
      </c>
      <c r="I2126" t="s">
        <v>436</v>
      </c>
      <c r="J2126" s="13">
        <v>11323</v>
      </c>
      <c r="K2126">
        <v>1</v>
      </c>
      <c r="L2126" t="s">
        <v>1064</v>
      </c>
      <c r="M2126" t="s">
        <v>2364</v>
      </c>
      <c r="N2126" s="15" t="s">
        <v>6878</v>
      </c>
    </row>
    <row r="2127" spans="1:14" x14ac:dyDescent="0.2">
      <c r="A2127" t="s">
        <v>3237</v>
      </c>
      <c r="B2127" t="s">
        <v>2360</v>
      </c>
      <c r="C2127" s="9">
        <v>44994</v>
      </c>
      <c r="D2127" t="s">
        <v>1014</v>
      </c>
      <c r="E2127" s="13">
        <v>6173000</v>
      </c>
      <c r="F2127" s="13">
        <v>27750</v>
      </c>
      <c r="G2127" s="9">
        <v>44995</v>
      </c>
      <c r="H2127" t="s">
        <v>1111</v>
      </c>
      <c r="I2127" t="s">
        <v>3053</v>
      </c>
      <c r="J2127" s="13">
        <v>239821</v>
      </c>
      <c r="K2127">
        <v>1</v>
      </c>
      <c r="L2127" t="s">
        <v>1064</v>
      </c>
      <c r="M2127" t="s">
        <v>3054</v>
      </c>
      <c r="N2127" s="15" t="s">
        <v>6878</v>
      </c>
    </row>
    <row r="2128" spans="1:14" x14ac:dyDescent="0.2">
      <c r="A2128" t="s">
        <v>3238</v>
      </c>
      <c r="B2128" t="s">
        <v>2360</v>
      </c>
      <c r="C2128" s="9">
        <v>44994</v>
      </c>
      <c r="D2128" t="s">
        <v>1014</v>
      </c>
      <c r="E2128" s="13">
        <v>2808000</v>
      </c>
      <c r="F2128" s="13">
        <v>27750</v>
      </c>
      <c r="G2128" s="9">
        <v>44995</v>
      </c>
      <c r="H2128" t="s">
        <v>1063</v>
      </c>
      <c r="I2128" t="s">
        <v>3053</v>
      </c>
      <c r="J2128" s="13">
        <v>109090</v>
      </c>
      <c r="K2128">
        <v>1</v>
      </c>
      <c r="L2128" t="s">
        <v>1064</v>
      </c>
      <c r="M2128" t="s">
        <v>3054</v>
      </c>
      <c r="N2128" s="15" t="s">
        <v>6878</v>
      </c>
    </row>
    <row r="2129" spans="1:14" x14ac:dyDescent="0.2">
      <c r="A2129" t="s">
        <v>3239</v>
      </c>
      <c r="B2129" t="s">
        <v>2360</v>
      </c>
      <c r="C2129" s="9">
        <v>44994</v>
      </c>
      <c r="D2129" t="s">
        <v>9</v>
      </c>
      <c r="E2129" s="13">
        <v>340060</v>
      </c>
      <c r="F2129" s="13">
        <v>24975</v>
      </c>
      <c r="G2129" s="9">
        <v>45001</v>
      </c>
      <c r="H2129" t="s">
        <v>1063</v>
      </c>
      <c r="I2129" t="s">
        <v>436</v>
      </c>
      <c r="J2129" s="13">
        <v>11323</v>
      </c>
      <c r="K2129">
        <v>1</v>
      </c>
      <c r="L2129" t="s">
        <v>1064</v>
      </c>
      <c r="M2129" t="s">
        <v>2364</v>
      </c>
      <c r="N2129" s="15" t="s">
        <v>6878</v>
      </c>
    </row>
    <row r="2130" spans="1:14" x14ac:dyDescent="0.2">
      <c r="A2130" t="s">
        <v>3240</v>
      </c>
      <c r="B2130" t="s">
        <v>2360</v>
      </c>
      <c r="C2130" s="9">
        <v>44994</v>
      </c>
      <c r="D2130" t="s">
        <v>1014</v>
      </c>
      <c r="E2130" s="13">
        <v>2808000</v>
      </c>
      <c r="F2130" s="13">
        <v>27750</v>
      </c>
      <c r="G2130" s="9">
        <v>44995</v>
      </c>
      <c r="H2130" t="s">
        <v>1063</v>
      </c>
      <c r="I2130" t="s">
        <v>3053</v>
      </c>
      <c r="J2130" s="13">
        <v>109090</v>
      </c>
      <c r="K2130">
        <v>1</v>
      </c>
      <c r="L2130" t="s">
        <v>1064</v>
      </c>
      <c r="M2130" t="s">
        <v>3054</v>
      </c>
      <c r="N2130" s="15" t="s">
        <v>6878</v>
      </c>
    </row>
    <row r="2131" spans="1:14" x14ac:dyDescent="0.2">
      <c r="A2131" t="s">
        <v>3241</v>
      </c>
      <c r="B2131" t="s">
        <v>2360</v>
      </c>
      <c r="C2131" s="9">
        <v>44994</v>
      </c>
      <c r="D2131" t="s">
        <v>1014</v>
      </c>
      <c r="E2131" s="13">
        <v>1872000</v>
      </c>
      <c r="F2131" s="13">
        <v>27750</v>
      </c>
      <c r="G2131" s="9">
        <v>44995</v>
      </c>
      <c r="H2131" t="s">
        <v>1063</v>
      </c>
      <c r="I2131" t="s">
        <v>3053</v>
      </c>
      <c r="J2131" s="13">
        <v>72727</v>
      </c>
      <c r="K2131">
        <v>1</v>
      </c>
      <c r="L2131" t="s">
        <v>1064</v>
      </c>
      <c r="M2131" t="s">
        <v>3054</v>
      </c>
      <c r="N2131" s="15" t="s">
        <v>6878</v>
      </c>
    </row>
    <row r="2132" spans="1:14" x14ac:dyDescent="0.2">
      <c r="A2132" t="s">
        <v>3242</v>
      </c>
      <c r="B2132" t="s">
        <v>2360</v>
      </c>
      <c r="C2132" s="9">
        <v>44994</v>
      </c>
      <c r="D2132" t="s">
        <v>1014</v>
      </c>
      <c r="E2132" s="13">
        <v>3451500</v>
      </c>
      <c r="F2132" s="13">
        <v>27750</v>
      </c>
      <c r="G2132" s="9">
        <v>44995</v>
      </c>
      <c r="H2132" t="s">
        <v>1063</v>
      </c>
      <c r="I2132" t="s">
        <v>3053</v>
      </c>
      <c r="J2132" s="13">
        <v>134090</v>
      </c>
      <c r="K2132">
        <v>1</v>
      </c>
      <c r="L2132" t="s">
        <v>1064</v>
      </c>
      <c r="M2132" t="s">
        <v>3054</v>
      </c>
      <c r="N2132" s="15" t="s">
        <v>6878</v>
      </c>
    </row>
    <row r="2133" spans="1:14" x14ac:dyDescent="0.2">
      <c r="A2133" t="s">
        <v>3243</v>
      </c>
      <c r="B2133" t="s">
        <v>2360</v>
      </c>
      <c r="C2133" s="9">
        <v>44994</v>
      </c>
      <c r="D2133" t="s">
        <v>1014</v>
      </c>
      <c r="E2133" s="13">
        <v>2808000</v>
      </c>
      <c r="F2133" s="13">
        <v>27750</v>
      </c>
      <c r="G2133" s="9">
        <v>44995</v>
      </c>
      <c r="H2133" t="s">
        <v>1063</v>
      </c>
      <c r="I2133" t="s">
        <v>3053</v>
      </c>
      <c r="J2133" s="13">
        <v>109090</v>
      </c>
      <c r="K2133">
        <v>1</v>
      </c>
      <c r="L2133" t="s">
        <v>1064</v>
      </c>
      <c r="M2133" t="s">
        <v>3054</v>
      </c>
      <c r="N2133" s="15" t="s">
        <v>6878</v>
      </c>
    </row>
    <row r="2134" spans="1:14" x14ac:dyDescent="0.2">
      <c r="A2134" t="s">
        <v>3244</v>
      </c>
      <c r="B2134" t="s">
        <v>2360</v>
      </c>
      <c r="C2134" s="9">
        <v>44994</v>
      </c>
      <c r="D2134" t="s">
        <v>1014</v>
      </c>
      <c r="E2134" s="13">
        <v>2863500</v>
      </c>
      <c r="F2134" s="13">
        <v>27750</v>
      </c>
      <c r="G2134" s="9">
        <v>44995</v>
      </c>
      <c r="H2134" t="s">
        <v>1063</v>
      </c>
      <c r="I2134" t="s">
        <v>3053</v>
      </c>
      <c r="J2134" s="13">
        <v>111246</v>
      </c>
      <c r="K2134">
        <v>1</v>
      </c>
      <c r="L2134" t="s">
        <v>1064</v>
      </c>
      <c r="M2134" t="s">
        <v>3054</v>
      </c>
      <c r="N2134" s="15" t="s">
        <v>6878</v>
      </c>
    </row>
    <row r="2135" spans="1:14" x14ac:dyDescent="0.2">
      <c r="A2135" t="s">
        <v>3245</v>
      </c>
      <c r="B2135" t="s">
        <v>2360</v>
      </c>
      <c r="C2135" s="9">
        <v>44994</v>
      </c>
      <c r="D2135" t="s">
        <v>1014</v>
      </c>
      <c r="E2135" s="13">
        <v>3451500</v>
      </c>
      <c r="F2135" s="13">
        <v>27750</v>
      </c>
      <c r="G2135" s="9">
        <v>44995</v>
      </c>
      <c r="H2135" t="s">
        <v>1063</v>
      </c>
      <c r="I2135" t="s">
        <v>3053</v>
      </c>
      <c r="J2135" s="13">
        <v>134090</v>
      </c>
      <c r="K2135">
        <v>1</v>
      </c>
      <c r="L2135" t="s">
        <v>1064</v>
      </c>
      <c r="M2135" t="s">
        <v>3054</v>
      </c>
      <c r="N2135" s="15" t="s">
        <v>6878</v>
      </c>
    </row>
    <row r="2136" spans="1:14" x14ac:dyDescent="0.2">
      <c r="A2136" t="s">
        <v>3246</v>
      </c>
      <c r="B2136" t="s">
        <v>2360</v>
      </c>
      <c r="C2136" s="9">
        <v>44994</v>
      </c>
      <c r="D2136" t="s">
        <v>9</v>
      </c>
      <c r="E2136" s="13">
        <v>686000</v>
      </c>
      <c r="F2136" s="13">
        <v>24975</v>
      </c>
      <c r="G2136" s="9">
        <v>45001</v>
      </c>
      <c r="H2136" t="s">
        <v>1063</v>
      </c>
      <c r="I2136" t="s">
        <v>436</v>
      </c>
      <c r="J2136" s="13">
        <v>22843</v>
      </c>
      <c r="K2136">
        <v>1</v>
      </c>
      <c r="L2136" t="s">
        <v>1064</v>
      </c>
      <c r="M2136" t="s">
        <v>2364</v>
      </c>
      <c r="N2136" s="15" t="s">
        <v>6878</v>
      </c>
    </row>
    <row r="2137" spans="1:14" x14ac:dyDescent="0.2">
      <c r="A2137" t="s">
        <v>3247</v>
      </c>
      <c r="B2137" t="s">
        <v>2360</v>
      </c>
      <c r="C2137" s="9">
        <v>44994</v>
      </c>
      <c r="D2137" t="s">
        <v>1014</v>
      </c>
      <c r="E2137" s="13">
        <v>1636250</v>
      </c>
      <c r="F2137" s="13">
        <v>27750</v>
      </c>
      <c r="G2137" s="9">
        <v>44995</v>
      </c>
      <c r="H2137" t="s">
        <v>1063</v>
      </c>
      <c r="I2137" t="s">
        <v>3053</v>
      </c>
      <c r="J2137" s="13">
        <v>63567</v>
      </c>
      <c r="K2137">
        <v>1</v>
      </c>
      <c r="L2137" t="s">
        <v>1064</v>
      </c>
      <c r="M2137" t="s">
        <v>3054</v>
      </c>
      <c r="N2137" s="15" t="s">
        <v>6878</v>
      </c>
    </row>
    <row r="2138" spans="1:14" x14ac:dyDescent="0.2">
      <c r="A2138" t="s">
        <v>3248</v>
      </c>
      <c r="B2138" t="s">
        <v>2360</v>
      </c>
      <c r="C2138" s="9">
        <v>44994</v>
      </c>
      <c r="D2138" t="s">
        <v>9</v>
      </c>
      <c r="E2138" s="13">
        <v>245490</v>
      </c>
      <c r="F2138" s="13">
        <v>24975</v>
      </c>
      <c r="G2138" s="9">
        <v>45001</v>
      </c>
      <c r="H2138" t="s">
        <v>1063</v>
      </c>
      <c r="I2138" t="s">
        <v>436</v>
      </c>
      <c r="J2138" s="13">
        <v>8174</v>
      </c>
      <c r="K2138">
        <v>1</v>
      </c>
      <c r="L2138" t="s">
        <v>1064</v>
      </c>
      <c r="M2138" t="s">
        <v>2364</v>
      </c>
      <c r="N2138" s="15" t="s">
        <v>6878</v>
      </c>
    </row>
    <row r="2139" spans="1:14" x14ac:dyDescent="0.2">
      <c r="A2139" t="s">
        <v>3249</v>
      </c>
      <c r="B2139" t="s">
        <v>2360</v>
      </c>
      <c r="C2139" s="9">
        <v>44994</v>
      </c>
      <c r="D2139" t="s">
        <v>1014</v>
      </c>
      <c r="E2139" s="13">
        <v>2808000</v>
      </c>
      <c r="F2139" s="13">
        <v>27750</v>
      </c>
      <c r="G2139" s="9">
        <v>44995</v>
      </c>
      <c r="H2139" t="s">
        <v>1063</v>
      </c>
      <c r="I2139" t="s">
        <v>3053</v>
      </c>
      <c r="J2139" s="13">
        <v>109090</v>
      </c>
      <c r="K2139">
        <v>1</v>
      </c>
      <c r="L2139" t="s">
        <v>1064</v>
      </c>
      <c r="M2139" t="s">
        <v>3054</v>
      </c>
      <c r="N2139" s="15" t="s">
        <v>6878</v>
      </c>
    </row>
    <row r="2140" spans="1:14" x14ac:dyDescent="0.2">
      <c r="A2140" t="s">
        <v>3250</v>
      </c>
      <c r="B2140" t="s">
        <v>2360</v>
      </c>
      <c r="C2140" s="9">
        <v>44994</v>
      </c>
      <c r="D2140" t="s">
        <v>1014</v>
      </c>
      <c r="E2140" s="13">
        <v>2808000</v>
      </c>
      <c r="F2140" s="13">
        <v>27750</v>
      </c>
      <c r="G2140" s="9">
        <v>44995</v>
      </c>
      <c r="H2140" t="s">
        <v>1063</v>
      </c>
      <c r="I2140" t="s">
        <v>3053</v>
      </c>
      <c r="J2140" s="13">
        <v>109090</v>
      </c>
      <c r="K2140">
        <v>1</v>
      </c>
      <c r="L2140" t="s">
        <v>1064</v>
      </c>
      <c r="M2140" t="s">
        <v>3054</v>
      </c>
      <c r="N2140" s="15" t="s">
        <v>6878</v>
      </c>
    </row>
    <row r="2141" spans="1:14" x14ac:dyDescent="0.2">
      <c r="A2141" t="s">
        <v>3251</v>
      </c>
      <c r="B2141" t="s">
        <v>2360</v>
      </c>
      <c r="C2141" s="9">
        <v>44994</v>
      </c>
      <c r="D2141" t="s">
        <v>1014</v>
      </c>
      <c r="E2141" s="13">
        <v>2808000</v>
      </c>
      <c r="F2141" s="13">
        <v>27750</v>
      </c>
      <c r="G2141" s="9">
        <v>44995</v>
      </c>
      <c r="H2141" t="s">
        <v>1063</v>
      </c>
      <c r="I2141" t="s">
        <v>3053</v>
      </c>
      <c r="J2141" s="13">
        <v>109090</v>
      </c>
      <c r="K2141">
        <v>1</v>
      </c>
      <c r="L2141" t="s">
        <v>1064</v>
      </c>
      <c r="M2141" t="s">
        <v>3054</v>
      </c>
      <c r="N2141" s="15" t="s">
        <v>6878</v>
      </c>
    </row>
    <row r="2142" spans="1:14" x14ac:dyDescent="0.2">
      <c r="A2142" t="s">
        <v>3252</v>
      </c>
      <c r="B2142" t="s">
        <v>2360</v>
      </c>
      <c r="C2142" s="9">
        <v>44994</v>
      </c>
      <c r="D2142" t="s">
        <v>1014</v>
      </c>
      <c r="E2142" s="13">
        <v>2808000</v>
      </c>
      <c r="F2142" s="13">
        <v>27750</v>
      </c>
      <c r="G2142" s="9">
        <v>44995</v>
      </c>
      <c r="H2142" t="s">
        <v>1063</v>
      </c>
      <c r="I2142" t="s">
        <v>3053</v>
      </c>
      <c r="J2142" s="13">
        <v>109090</v>
      </c>
      <c r="K2142">
        <v>1</v>
      </c>
      <c r="L2142" t="s">
        <v>1064</v>
      </c>
      <c r="M2142" t="s">
        <v>3054</v>
      </c>
      <c r="N2142" s="15" t="s">
        <v>6878</v>
      </c>
    </row>
    <row r="2143" spans="1:14" x14ac:dyDescent="0.2">
      <c r="A2143" t="s">
        <v>3253</v>
      </c>
      <c r="B2143" t="s">
        <v>2360</v>
      </c>
      <c r="C2143" s="9">
        <v>44994</v>
      </c>
      <c r="D2143" t="s">
        <v>9</v>
      </c>
      <c r="E2143" s="13">
        <v>304290</v>
      </c>
      <c r="F2143" s="13">
        <v>49950</v>
      </c>
      <c r="G2143" s="9">
        <v>45001</v>
      </c>
      <c r="H2143" t="s">
        <v>1063</v>
      </c>
      <c r="I2143" t="s">
        <v>436</v>
      </c>
      <c r="J2143" s="13">
        <v>10132</v>
      </c>
      <c r="K2143">
        <v>2</v>
      </c>
      <c r="L2143" t="s">
        <v>1064</v>
      </c>
      <c r="M2143" t="s">
        <v>2364</v>
      </c>
      <c r="N2143" s="15" t="s">
        <v>6878</v>
      </c>
    </row>
    <row r="2144" spans="1:14" x14ac:dyDescent="0.2">
      <c r="A2144" t="s">
        <v>3254</v>
      </c>
      <c r="B2144" t="s">
        <v>2360</v>
      </c>
      <c r="C2144" s="9">
        <v>44994</v>
      </c>
      <c r="D2144" t="s">
        <v>9</v>
      </c>
      <c r="E2144" s="13">
        <v>6423900</v>
      </c>
      <c r="F2144" s="13">
        <v>24975</v>
      </c>
      <c r="G2144" s="9">
        <v>45006</v>
      </c>
      <c r="H2144" t="s">
        <v>1063</v>
      </c>
      <c r="I2144" t="s">
        <v>2361</v>
      </c>
      <c r="J2144" s="13">
        <v>213915</v>
      </c>
      <c r="K2144">
        <v>1</v>
      </c>
      <c r="L2144" t="s">
        <v>1064</v>
      </c>
      <c r="M2144" t="s">
        <v>2362</v>
      </c>
      <c r="N2144" s="15" t="s">
        <v>6878</v>
      </c>
    </row>
    <row r="2145" spans="1:14" x14ac:dyDescent="0.2">
      <c r="A2145" t="s">
        <v>3255</v>
      </c>
      <c r="B2145" t="s">
        <v>2360</v>
      </c>
      <c r="C2145" s="9">
        <v>44995</v>
      </c>
      <c r="D2145" t="s">
        <v>988</v>
      </c>
      <c r="E2145" s="13">
        <v>4580000</v>
      </c>
      <c r="F2145" s="13">
        <v>127095</v>
      </c>
      <c r="G2145" s="9">
        <v>44995</v>
      </c>
      <c r="H2145" t="s">
        <v>1111</v>
      </c>
      <c r="I2145" t="s">
        <v>2610</v>
      </c>
      <c r="J2145" s="13">
        <v>27750</v>
      </c>
      <c r="K2145">
        <v>1</v>
      </c>
      <c r="L2145" t="s">
        <v>1064</v>
      </c>
      <c r="M2145" t="s">
        <v>2611</v>
      </c>
      <c r="N2145" s="15" t="s">
        <v>6878</v>
      </c>
    </row>
    <row r="2146" spans="1:14" x14ac:dyDescent="0.2">
      <c r="A2146" t="s">
        <v>3256</v>
      </c>
      <c r="B2146" t="s">
        <v>2360</v>
      </c>
      <c r="C2146" s="9">
        <v>44995</v>
      </c>
      <c r="D2146" t="s">
        <v>9</v>
      </c>
      <c r="E2146" s="13">
        <v>274890</v>
      </c>
      <c r="F2146" s="13">
        <v>24975</v>
      </c>
      <c r="G2146" s="9">
        <v>45001</v>
      </c>
      <c r="H2146" t="s">
        <v>1063</v>
      </c>
      <c r="I2146" t="s">
        <v>436</v>
      </c>
      <c r="J2146" s="13">
        <v>9153</v>
      </c>
      <c r="K2146">
        <v>1</v>
      </c>
      <c r="L2146" t="s">
        <v>1064</v>
      </c>
      <c r="M2146" t="s">
        <v>2364</v>
      </c>
      <c r="N2146" s="15" t="s">
        <v>6878</v>
      </c>
    </row>
    <row r="2147" spans="1:14" x14ac:dyDescent="0.2">
      <c r="A2147" t="s">
        <v>3257</v>
      </c>
      <c r="B2147" t="s">
        <v>2360</v>
      </c>
      <c r="C2147" s="9">
        <v>44995</v>
      </c>
      <c r="D2147" t="s">
        <v>9</v>
      </c>
      <c r="E2147" s="13">
        <v>294000</v>
      </c>
      <c r="F2147" s="13">
        <v>24975</v>
      </c>
      <c r="G2147" s="9">
        <v>45001</v>
      </c>
      <c r="H2147" t="s">
        <v>1063</v>
      </c>
      <c r="I2147" t="s">
        <v>436</v>
      </c>
      <c r="J2147" s="13">
        <v>9790</v>
      </c>
      <c r="K2147">
        <v>1</v>
      </c>
      <c r="L2147" t="s">
        <v>1064</v>
      </c>
      <c r="M2147" t="s">
        <v>2364</v>
      </c>
      <c r="N2147" s="15" t="s">
        <v>6878</v>
      </c>
    </row>
    <row r="2148" spans="1:14" x14ac:dyDescent="0.2">
      <c r="A2148" t="s">
        <v>3258</v>
      </c>
      <c r="B2148" t="s">
        <v>2360</v>
      </c>
      <c r="C2148" s="9">
        <v>44995</v>
      </c>
      <c r="D2148" t="s">
        <v>9</v>
      </c>
      <c r="E2148" s="13">
        <v>294490</v>
      </c>
      <c r="F2148" s="13">
        <v>24975</v>
      </c>
      <c r="G2148" s="9">
        <v>45001</v>
      </c>
      <c r="H2148" t="s">
        <v>1063</v>
      </c>
      <c r="I2148" t="s">
        <v>436</v>
      </c>
      <c r="J2148" s="13">
        <v>9805</v>
      </c>
      <c r="K2148">
        <v>1</v>
      </c>
      <c r="L2148" t="s">
        <v>1064</v>
      </c>
      <c r="M2148" t="s">
        <v>2364</v>
      </c>
      <c r="N2148" s="15" t="s">
        <v>6878</v>
      </c>
    </row>
    <row r="2149" spans="1:14" x14ac:dyDescent="0.2">
      <c r="A2149" t="s">
        <v>3259</v>
      </c>
      <c r="B2149" t="s">
        <v>2360</v>
      </c>
      <c r="C2149" s="9">
        <v>44995</v>
      </c>
      <c r="D2149" t="s">
        <v>983</v>
      </c>
      <c r="E2149" s="13">
        <v>10500000</v>
      </c>
      <c r="F2149" s="13">
        <v>11100</v>
      </c>
      <c r="G2149" s="9">
        <v>44996</v>
      </c>
      <c r="H2149" t="s">
        <v>1111</v>
      </c>
      <c r="I2149" t="s">
        <v>2896</v>
      </c>
      <c r="J2149" s="13">
        <v>291375</v>
      </c>
      <c r="K2149">
        <v>1</v>
      </c>
      <c r="L2149" t="s">
        <v>1064</v>
      </c>
      <c r="M2149" t="s">
        <v>2897</v>
      </c>
      <c r="N2149" s="15" t="s">
        <v>6878</v>
      </c>
    </row>
    <row r="2150" spans="1:14" x14ac:dyDescent="0.2">
      <c r="A2150" t="s">
        <v>3260</v>
      </c>
      <c r="B2150" t="s">
        <v>2360</v>
      </c>
      <c r="C2150" s="9">
        <v>44995</v>
      </c>
      <c r="D2150" t="s">
        <v>983</v>
      </c>
      <c r="E2150" s="13">
        <v>10500000</v>
      </c>
      <c r="F2150" s="13">
        <v>11100</v>
      </c>
      <c r="G2150" s="9">
        <v>44996</v>
      </c>
      <c r="H2150" t="s">
        <v>1111</v>
      </c>
      <c r="I2150" t="s">
        <v>2896</v>
      </c>
      <c r="J2150" s="13">
        <v>291375</v>
      </c>
      <c r="K2150">
        <v>1</v>
      </c>
      <c r="L2150" t="s">
        <v>1064</v>
      </c>
      <c r="M2150" t="s">
        <v>2897</v>
      </c>
      <c r="N2150" s="15" t="s">
        <v>6878</v>
      </c>
    </row>
    <row r="2151" spans="1:14" x14ac:dyDescent="0.2">
      <c r="A2151" t="s">
        <v>3261</v>
      </c>
      <c r="B2151" t="s">
        <v>2360</v>
      </c>
      <c r="C2151" s="9">
        <v>44995</v>
      </c>
      <c r="D2151" t="s">
        <v>983</v>
      </c>
      <c r="E2151" s="13">
        <v>10500000</v>
      </c>
      <c r="F2151" s="13">
        <v>11100</v>
      </c>
      <c r="G2151" s="9">
        <v>44996</v>
      </c>
      <c r="H2151" t="s">
        <v>1111</v>
      </c>
      <c r="I2151" t="s">
        <v>2896</v>
      </c>
      <c r="J2151" s="13">
        <v>291375</v>
      </c>
      <c r="K2151">
        <v>1</v>
      </c>
      <c r="L2151" t="s">
        <v>1064</v>
      </c>
      <c r="M2151" t="s">
        <v>2897</v>
      </c>
      <c r="N2151" s="15" t="s">
        <v>6878</v>
      </c>
    </row>
    <row r="2152" spans="1:14" x14ac:dyDescent="0.2">
      <c r="A2152" t="s">
        <v>3262</v>
      </c>
      <c r="B2152" t="s">
        <v>2360</v>
      </c>
      <c r="C2152" s="9">
        <v>44995</v>
      </c>
      <c r="D2152" t="s">
        <v>983</v>
      </c>
      <c r="E2152" s="13">
        <v>10500000</v>
      </c>
      <c r="F2152" s="13">
        <v>11100</v>
      </c>
      <c r="G2152" s="9">
        <v>44996</v>
      </c>
      <c r="H2152" t="s">
        <v>1111</v>
      </c>
      <c r="I2152" t="s">
        <v>2896</v>
      </c>
      <c r="J2152" s="13">
        <v>291375</v>
      </c>
      <c r="K2152">
        <v>1</v>
      </c>
      <c r="L2152" t="s">
        <v>1064</v>
      </c>
      <c r="M2152" t="s">
        <v>2897</v>
      </c>
      <c r="N2152" s="15" t="s">
        <v>6878</v>
      </c>
    </row>
    <row r="2153" spans="1:14" x14ac:dyDescent="0.2">
      <c r="A2153" t="s">
        <v>3263</v>
      </c>
      <c r="B2153" t="s">
        <v>2360</v>
      </c>
      <c r="C2153" s="9">
        <v>44995</v>
      </c>
      <c r="D2153" t="s">
        <v>983</v>
      </c>
      <c r="E2153" s="13">
        <v>10500000</v>
      </c>
      <c r="F2153" s="13">
        <v>11100</v>
      </c>
      <c r="G2153" s="9">
        <v>44996</v>
      </c>
      <c r="H2153" t="s">
        <v>1111</v>
      </c>
      <c r="I2153" t="s">
        <v>2896</v>
      </c>
      <c r="J2153" s="13">
        <v>291375</v>
      </c>
      <c r="K2153">
        <v>1</v>
      </c>
      <c r="L2153" t="s">
        <v>1064</v>
      </c>
      <c r="M2153" t="s">
        <v>2897</v>
      </c>
      <c r="N2153" s="15" t="s">
        <v>6878</v>
      </c>
    </row>
    <row r="2154" spans="1:14" x14ac:dyDescent="0.2">
      <c r="A2154" t="s">
        <v>3264</v>
      </c>
      <c r="B2154" t="s">
        <v>2360</v>
      </c>
      <c r="C2154" s="9">
        <v>44995</v>
      </c>
      <c r="D2154" t="s">
        <v>983</v>
      </c>
      <c r="E2154" s="13">
        <v>10500000</v>
      </c>
      <c r="F2154" s="13">
        <v>11100</v>
      </c>
      <c r="G2154" s="9">
        <v>44996</v>
      </c>
      <c r="H2154" t="s">
        <v>1111</v>
      </c>
      <c r="I2154" t="s">
        <v>2896</v>
      </c>
      <c r="J2154" s="13">
        <v>291375</v>
      </c>
      <c r="K2154">
        <v>1</v>
      </c>
      <c r="L2154" t="s">
        <v>1064</v>
      </c>
      <c r="M2154" t="s">
        <v>2897</v>
      </c>
      <c r="N2154" s="15" t="s">
        <v>6878</v>
      </c>
    </row>
    <row r="2155" spans="1:14" x14ac:dyDescent="0.2">
      <c r="A2155" t="s">
        <v>3265</v>
      </c>
      <c r="B2155" t="s">
        <v>2360</v>
      </c>
      <c r="C2155" s="9">
        <v>44995</v>
      </c>
      <c r="D2155" t="s">
        <v>983</v>
      </c>
      <c r="E2155" s="13">
        <v>10500000</v>
      </c>
      <c r="F2155" s="13">
        <v>11100</v>
      </c>
      <c r="G2155" s="9">
        <v>44996</v>
      </c>
      <c r="H2155" t="s">
        <v>1111</v>
      </c>
      <c r="I2155" t="s">
        <v>2896</v>
      </c>
      <c r="J2155" s="13">
        <v>291375</v>
      </c>
      <c r="K2155">
        <v>1</v>
      </c>
      <c r="L2155" t="s">
        <v>1064</v>
      </c>
      <c r="M2155" t="s">
        <v>2897</v>
      </c>
      <c r="N2155" s="15" t="s">
        <v>6878</v>
      </c>
    </row>
    <row r="2156" spans="1:14" x14ac:dyDescent="0.2">
      <c r="A2156" t="s">
        <v>3266</v>
      </c>
      <c r="B2156" t="s">
        <v>2360</v>
      </c>
      <c r="C2156" s="9">
        <v>44995</v>
      </c>
      <c r="D2156" t="s">
        <v>983</v>
      </c>
      <c r="E2156" s="13">
        <v>10500000</v>
      </c>
      <c r="F2156" s="13">
        <v>11100</v>
      </c>
      <c r="G2156" s="9">
        <v>44996</v>
      </c>
      <c r="H2156" t="s">
        <v>1111</v>
      </c>
      <c r="I2156" t="s">
        <v>2896</v>
      </c>
      <c r="J2156" s="13">
        <v>291375</v>
      </c>
      <c r="K2156">
        <v>1</v>
      </c>
      <c r="L2156" t="s">
        <v>1064</v>
      </c>
      <c r="M2156" t="s">
        <v>2897</v>
      </c>
      <c r="N2156" s="15" t="s">
        <v>6878</v>
      </c>
    </row>
    <row r="2157" spans="1:14" x14ac:dyDescent="0.2">
      <c r="A2157" t="s">
        <v>3267</v>
      </c>
      <c r="B2157" t="s">
        <v>2360</v>
      </c>
      <c r="C2157" s="9">
        <v>44995</v>
      </c>
      <c r="D2157" t="s">
        <v>983</v>
      </c>
      <c r="E2157" s="13">
        <v>10500000</v>
      </c>
      <c r="F2157" s="13">
        <v>11100</v>
      </c>
      <c r="G2157" s="9">
        <v>44996</v>
      </c>
      <c r="H2157" t="s">
        <v>1111</v>
      </c>
      <c r="I2157" t="s">
        <v>2896</v>
      </c>
      <c r="J2157" s="13">
        <v>291375</v>
      </c>
      <c r="K2157">
        <v>1</v>
      </c>
      <c r="L2157" t="s">
        <v>1064</v>
      </c>
      <c r="M2157" t="s">
        <v>2897</v>
      </c>
      <c r="N2157" s="15" t="s">
        <v>6878</v>
      </c>
    </row>
    <row r="2158" spans="1:14" x14ac:dyDescent="0.2">
      <c r="A2158" t="s">
        <v>3268</v>
      </c>
      <c r="B2158" t="s">
        <v>2360</v>
      </c>
      <c r="C2158" s="9">
        <v>44995</v>
      </c>
      <c r="D2158" t="s">
        <v>983</v>
      </c>
      <c r="E2158" s="13">
        <v>10500000</v>
      </c>
      <c r="F2158" s="13">
        <v>11100</v>
      </c>
      <c r="G2158" s="9">
        <v>44996</v>
      </c>
      <c r="H2158" t="s">
        <v>1111</v>
      </c>
      <c r="I2158" t="s">
        <v>2896</v>
      </c>
      <c r="J2158" s="13">
        <v>291375</v>
      </c>
      <c r="K2158">
        <v>1</v>
      </c>
      <c r="L2158" t="s">
        <v>1064</v>
      </c>
      <c r="M2158" t="s">
        <v>2897</v>
      </c>
      <c r="N2158" s="15" t="s">
        <v>6878</v>
      </c>
    </row>
    <row r="2159" spans="1:14" x14ac:dyDescent="0.2">
      <c r="A2159" t="s">
        <v>3269</v>
      </c>
      <c r="B2159" t="s">
        <v>2360</v>
      </c>
      <c r="C2159" s="9">
        <v>44995</v>
      </c>
      <c r="D2159" t="s">
        <v>988</v>
      </c>
      <c r="E2159" s="13">
        <v>3940000</v>
      </c>
      <c r="F2159" s="13">
        <v>109335</v>
      </c>
      <c r="G2159" s="9">
        <v>44995</v>
      </c>
      <c r="H2159" t="s">
        <v>1111</v>
      </c>
      <c r="I2159" t="s">
        <v>2610</v>
      </c>
      <c r="J2159" s="13">
        <v>27750</v>
      </c>
      <c r="K2159">
        <v>1</v>
      </c>
      <c r="L2159" t="s">
        <v>1064</v>
      </c>
      <c r="M2159" t="s">
        <v>2611</v>
      </c>
      <c r="N2159" s="15" t="s">
        <v>6878</v>
      </c>
    </row>
    <row r="2160" spans="1:14" x14ac:dyDescent="0.2">
      <c r="A2160" t="s">
        <v>3270</v>
      </c>
      <c r="B2160" t="s">
        <v>2360</v>
      </c>
      <c r="C2160" s="9">
        <v>44995</v>
      </c>
      <c r="D2160" t="s">
        <v>988</v>
      </c>
      <c r="E2160" s="13">
        <v>6540000</v>
      </c>
      <c r="F2160" s="13">
        <v>181485</v>
      </c>
      <c r="G2160" s="9">
        <v>44995</v>
      </c>
      <c r="H2160" t="s">
        <v>1111</v>
      </c>
      <c r="I2160" t="s">
        <v>2610</v>
      </c>
      <c r="J2160" s="13">
        <v>27750</v>
      </c>
      <c r="K2160">
        <v>1</v>
      </c>
      <c r="L2160" t="s">
        <v>1064</v>
      </c>
      <c r="M2160" t="s">
        <v>2611</v>
      </c>
      <c r="N2160" s="15" t="s">
        <v>6878</v>
      </c>
    </row>
    <row r="2161" spans="1:14" x14ac:dyDescent="0.2">
      <c r="A2161" t="s">
        <v>3271</v>
      </c>
      <c r="B2161" t="s">
        <v>2360</v>
      </c>
      <c r="C2161" s="9">
        <v>44996</v>
      </c>
      <c r="D2161" t="s">
        <v>992</v>
      </c>
      <c r="E2161" s="13">
        <v>2170617</v>
      </c>
      <c r="F2161" s="13">
        <v>22200</v>
      </c>
      <c r="G2161" s="9">
        <v>44997</v>
      </c>
      <c r="H2161" t="s">
        <v>1063</v>
      </c>
      <c r="I2161" t="s">
        <v>2370</v>
      </c>
      <c r="J2161" s="13">
        <v>96374</v>
      </c>
      <c r="K2161">
        <v>1</v>
      </c>
      <c r="L2161" t="s">
        <v>1064</v>
      </c>
      <c r="M2161" t="s">
        <v>2371</v>
      </c>
      <c r="N2161" s="15" t="s">
        <v>6878</v>
      </c>
    </row>
    <row r="2162" spans="1:14" x14ac:dyDescent="0.2">
      <c r="A2162" t="s">
        <v>3272</v>
      </c>
      <c r="B2162" t="s">
        <v>2360</v>
      </c>
      <c r="C2162" s="9">
        <v>44996</v>
      </c>
      <c r="D2162" t="s">
        <v>992</v>
      </c>
      <c r="E2162" s="13">
        <v>2523456</v>
      </c>
      <c r="F2162" s="13">
        <v>22200</v>
      </c>
      <c r="G2162" s="9">
        <v>44997</v>
      </c>
      <c r="H2162" t="s">
        <v>1063</v>
      </c>
      <c r="I2162" t="s">
        <v>2370</v>
      </c>
      <c r="J2162" s="13">
        <v>112041</v>
      </c>
      <c r="K2162">
        <v>1</v>
      </c>
      <c r="L2162" t="s">
        <v>1064</v>
      </c>
      <c r="M2162" t="s">
        <v>2371</v>
      </c>
      <c r="N2162" s="15" t="s">
        <v>6878</v>
      </c>
    </row>
    <row r="2163" spans="1:14" x14ac:dyDescent="0.2">
      <c r="A2163" t="s">
        <v>3273</v>
      </c>
      <c r="B2163" t="s">
        <v>2360</v>
      </c>
      <c r="C2163" s="9">
        <v>44996</v>
      </c>
      <c r="D2163" t="s">
        <v>992</v>
      </c>
      <c r="E2163" s="13">
        <v>2497372</v>
      </c>
      <c r="F2163" s="13">
        <v>22200</v>
      </c>
      <c r="G2163" s="9">
        <v>44997</v>
      </c>
      <c r="H2163" t="s">
        <v>1063</v>
      </c>
      <c r="I2163" t="s">
        <v>2370</v>
      </c>
      <c r="J2163" s="13">
        <v>110882</v>
      </c>
      <c r="K2163">
        <v>1</v>
      </c>
      <c r="L2163" t="s">
        <v>1064</v>
      </c>
      <c r="M2163" t="s">
        <v>2371</v>
      </c>
      <c r="N2163" s="15" t="s">
        <v>6878</v>
      </c>
    </row>
    <row r="2164" spans="1:14" x14ac:dyDescent="0.2">
      <c r="A2164" t="s">
        <v>3274</v>
      </c>
      <c r="B2164" t="s">
        <v>2360</v>
      </c>
      <c r="C2164" s="9">
        <v>44996</v>
      </c>
      <c r="D2164" t="s">
        <v>992</v>
      </c>
      <c r="E2164" s="13">
        <v>2110968</v>
      </c>
      <c r="F2164" s="13">
        <v>22200</v>
      </c>
      <c r="G2164" s="9">
        <v>44997</v>
      </c>
      <c r="H2164" t="s">
        <v>1063</v>
      </c>
      <c r="I2164" t="s">
        <v>2370</v>
      </c>
      <c r="J2164" s="13">
        <v>93726</v>
      </c>
      <c r="K2164">
        <v>1</v>
      </c>
      <c r="L2164" t="s">
        <v>1064</v>
      </c>
      <c r="M2164" t="s">
        <v>2371</v>
      </c>
      <c r="N2164" s="15" t="s">
        <v>6878</v>
      </c>
    </row>
    <row r="2165" spans="1:14" x14ac:dyDescent="0.2">
      <c r="A2165" t="s">
        <v>3275</v>
      </c>
      <c r="B2165" t="s">
        <v>2360</v>
      </c>
      <c r="C2165" s="9">
        <v>44996</v>
      </c>
      <c r="D2165" t="s">
        <v>992</v>
      </c>
      <c r="E2165" s="13">
        <v>1139397</v>
      </c>
      <c r="F2165" s="13">
        <v>22200</v>
      </c>
      <c r="G2165" s="9">
        <v>45004</v>
      </c>
      <c r="H2165" t="s">
        <v>1063</v>
      </c>
      <c r="I2165" t="s">
        <v>2370</v>
      </c>
      <c r="J2165" s="13">
        <v>50588</v>
      </c>
      <c r="K2165">
        <v>1</v>
      </c>
      <c r="L2165" t="s">
        <v>1064</v>
      </c>
      <c r="M2165" t="s">
        <v>2371</v>
      </c>
      <c r="N2165" s="15" t="s">
        <v>6878</v>
      </c>
    </row>
    <row r="2166" spans="1:14" x14ac:dyDescent="0.2">
      <c r="A2166" t="s">
        <v>3276</v>
      </c>
      <c r="B2166" t="s">
        <v>2360</v>
      </c>
      <c r="C2166" s="9">
        <v>44996</v>
      </c>
      <c r="D2166" t="s">
        <v>992</v>
      </c>
      <c r="E2166" s="13">
        <v>4024589</v>
      </c>
      <c r="F2166" s="13">
        <v>22200</v>
      </c>
      <c r="G2166" s="9">
        <v>45004</v>
      </c>
      <c r="H2166" t="s">
        <v>1063</v>
      </c>
      <c r="I2166" t="s">
        <v>2370</v>
      </c>
      <c r="J2166" s="13">
        <v>178691</v>
      </c>
      <c r="K2166">
        <v>1</v>
      </c>
      <c r="L2166" t="s">
        <v>1064</v>
      </c>
      <c r="M2166" t="s">
        <v>2371</v>
      </c>
      <c r="N2166" s="15" t="s">
        <v>6878</v>
      </c>
    </row>
    <row r="2167" spans="1:14" x14ac:dyDescent="0.2">
      <c r="A2167" t="s">
        <v>3277</v>
      </c>
      <c r="B2167" t="s">
        <v>2360</v>
      </c>
      <c r="C2167" s="9">
        <v>44996</v>
      </c>
      <c r="D2167" t="s">
        <v>992</v>
      </c>
      <c r="E2167" s="13">
        <v>3837756</v>
      </c>
      <c r="F2167" s="13">
        <v>22200</v>
      </c>
      <c r="G2167" s="9">
        <v>45004</v>
      </c>
      <c r="H2167" t="s">
        <v>1063</v>
      </c>
      <c r="I2167" t="s">
        <v>2370</v>
      </c>
      <c r="J2167" s="13">
        <v>170396</v>
      </c>
      <c r="K2167">
        <v>1</v>
      </c>
      <c r="L2167" t="s">
        <v>1064</v>
      </c>
      <c r="M2167" t="s">
        <v>2371</v>
      </c>
      <c r="N2167" s="15" t="s">
        <v>6878</v>
      </c>
    </row>
    <row r="2168" spans="1:14" x14ac:dyDescent="0.2">
      <c r="A2168" t="s">
        <v>3278</v>
      </c>
      <c r="B2168" t="s">
        <v>2360</v>
      </c>
      <c r="C2168" s="9">
        <v>44996</v>
      </c>
      <c r="D2168" t="s">
        <v>992</v>
      </c>
      <c r="E2168" s="13">
        <v>1172760</v>
      </c>
      <c r="F2168" s="13">
        <v>22200</v>
      </c>
      <c r="G2168" s="9">
        <v>45004</v>
      </c>
      <c r="H2168" t="s">
        <v>1063</v>
      </c>
      <c r="I2168" t="s">
        <v>2370</v>
      </c>
      <c r="J2168" s="13">
        <v>52070</v>
      </c>
      <c r="K2168">
        <v>1</v>
      </c>
      <c r="L2168" t="s">
        <v>1064</v>
      </c>
      <c r="M2168" t="s">
        <v>2371</v>
      </c>
      <c r="N2168" s="15" t="s">
        <v>6878</v>
      </c>
    </row>
    <row r="2169" spans="1:14" x14ac:dyDescent="0.2">
      <c r="A2169" t="s">
        <v>3279</v>
      </c>
      <c r="B2169" t="s">
        <v>2360</v>
      </c>
      <c r="C2169" s="9">
        <v>44996</v>
      </c>
      <c r="D2169" t="s">
        <v>992</v>
      </c>
      <c r="E2169" s="13">
        <v>1558692</v>
      </c>
      <c r="F2169" s="13">
        <v>22200</v>
      </c>
      <c r="G2169" s="9">
        <v>45004</v>
      </c>
      <c r="H2169" t="s">
        <v>1063</v>
      </c>
      <c r="I2169" t="s">
        <v>2370</v>
      </c>
      <c r="J2169" s="13">
        <v>69205</v>
      </c>
      <c r="K2169">
        <v>1</v>
      </c>
      <c r="L2169" t="s">
        <v>1064</v>
      </c>
      <c r="M2169" t="s">
        <v>2371</v>
      </c>
      <c r="N2169" s="15" t="s">
        <v>6878</v>
      </c>
    </row>
    <row r="2170" spans="1:14" x14ac:dyDescent="0.2">
      <c r="A2170" t="s">
        <v>3280</v>
      </c>
      <c r="B2170" t="s">
        <v>2360</v>
      </c>
      <c r="C2170" s="9">
        <v>44997</v>
      </c>
      <c r="D2170" t="s">
        <v>992</v>
      </c>
      <c r="E2170" s="13">
        <v>11323200</v>
      </c>
      <c r="F2170" s="13">
        <v>22200</v>
      </c>
      <c r="G2170" s="9">
        <v>44997</v>
      </c>
      <c r="H2170" t="s">
        <v>1063</v>
      </c>
      <c r="I2170" t="s">
        <v>2370</v>
      </c>
      <c r="J2170" s="13">
        <v>502750</v>
      </c>
      <c r="K2170">
        <v>1</v>
      </c>
      <c r="L2170" t="s">
        <v>1064</v>
      </c>
      <c r="M2170" t="s">
        <v>2371</v>
      </c>
      <c r="N2170" s="15" t="s">
        <v>6878</v>
      </c>
    </row>
    <row r="2171" spans="1:14" x14ac:dyDescent="0.2">
      <c r="A2171" t="s">
        <v>3281</v>
      </c>
      <c r="B2171" t="s">
        <v>2360</v>
      </c>
      <c r="C2171" s="9">
        <v>44997</v>
      </c>
      <c r="D2171" t="s">
        <v>9</v>
      </c>
      <c r="E2171" s="13">
        <v>340060</v>
      </c>
      <c r="F2171" s="13">
        <v>24975</v>
      </c>
      <c r="G2171" s="9">
        <v>45001</v>
      </c>
      <c r="H2171" t="s">
        <v>1063</v>
      </c>
      <c r="I2171" t="s">
        <v>436</v>
      </c>
      <c r="J2171" s="13">
        <v>11323</v>
      </c>
      <c r="K2171">
        <v>1</v>
      </c>
      <c r="L2171" t="s">
        <v>1064</v>
      </c>
      <c r="M2171" t="s">
        <v>2364</v>
      </c>
      <c r="N2171" s="15" t="s">
        <v>6878</v>
      </c>
    </row>
    <row r="2172" spans="1:14" x14ac:dyDescent="0.2">
      <c r="A2172" t="s">
        <v>3282</v>
      </c>
      <c r="B2172" t="s">
        <v>2360</v>
      </c>
      <c r="C2172" s="9">
        <v>44997</v>
      </c>
      <c r="D2172" t="s">
        <v>9</v>
      </c>
      <c r="E2172" s="13">
        <v>6762000</v>
      </c>
      <c r="F2172" s="13">
        <v>24975</v>
      </c>
      <c r="G2172" s="9">
        <v>45009</v>
      </c>
      <c r="H2172" t="s">
        <v>1063</v>
      </c>
      <c r="I2172" t="s">
        <v>2361</v>
      </c>
      <c r="J2172" s="13">
        <v>225174</v>
      </c>
      <c r="K2172">
        <v>1</v>
      </c>
      <c r="L2172" t="s">
        <v>1064</v>
      </c>
      <c r="M2172" t="s">
        <v>2362</v>
      </c>
      <c r="N2172" s="15" t="s">
        <v>6878</v>
      </c>
    </row>
    <row r="2173" spans="1:14" x14ac:dyDescent="0.2">
      <c r="A2173" t="s">
        <v>3283</v>
      </c>
      <c r="B2173" t="s">
        <v>2360</v>
      </c>
      <c r="C2173" s="9">
        <v>44997</v>
      </c>
      <c r="D2173" t="s">
        <v>9</v>
      </c>
      <c r="E2173" s="13">
        <v>458150</v>
      </c>
      <c r="F2173" s="13">
        <v>24975</v>
      </c>
      <c r="G2173" s="9">
        <v>45006</v>
      </c>
      <c r="H2173" t="s">
        <v>1063</v>
      </c>
      <c r="I2173" t="s">
        <v>436</v>
      </c>
      <c r="J2173" s="13">
        <v>15255</v>
      </c>
      <c r="K2173">
        <v>1</v>
      </c>
      <c r="L2173" t="s">
        <v>1064</v>
      </c>
      <c r="M2173" t="s">
        <v>2364</v>
      </c>
      <c r="N2173" s="15" t="s">
        <v>6878</v>
      </c>
    </row>
    <row r="2174" spans="1:14" x14ac:dyDescent="0.2">
      <c r="A2174" t="s">
        <v>3284</v>
      </c>
      <c r="B2174" t="s">
        <v>2360</v>
      </c>
      <c r="C2174" s="9">
        <v>44997</v>
      </c>
      <c r="D2174" t="s">
        <v>9</v>
      </c>
      <c r="E2174" s="13">
        <v>274890</v>
      </c>
      <c r="F2174" s="13">
        <v>24975</v>
      </c>
      <c r="G2174" s="9">
        <v>45006</v>
      </c>
      <c r="H2174" t="s">
        <v>1063</v>
      </c>
      <c r="I2174" t="s">
        <v>436</v>
      </c>
      <c r="J2174" s="13">
        <v>9153</v>
      </c>
      <c r="K2174">
        <v>1</v>
      </c>
      <c r="L2174" t="s">
        <v>1064</v>
      </c>
      <c r="M2174" t="s">
        <v>2364</v>
      </c>
      <c r="N2174" s="15" t="s">
        <v>6878</v>
      </c>
    </row>
    <row r="2175" spans="1:14" x14ac:dyDescent="0.2">
      <c r="A2175" t="s">
        <v>3285</v>
      </c>
      <c r="B2175" t="s">
        <v>2360</v>
      </c>
      <c r="C2175" s="9">
        <v>44997</v>
      </c>
      <c r="D2175" t="s">
        <v>9</v>
      </c>
      <c r="E2175" s="13">
        <v>207000</v>
      </c>
      <c r="F2175" s="13">
        <v>22500</v>
      </c>
      <c r="H2175" t="s">
        <v>1185</v>
      </c>
      <c r="I2175" t="s">
        <v>3286</v>
      </c>
      <c r="J2175" s="13">
        <v>0</v>
      </c>
      <c r="K2175">
        <v>1</v>
      </c>
      <c r="L2175" t="s">
        <v>1064</v>
      </c>
      <c r="M2175" t="s">
        <v>3287</v>
      </c>
      <c r="N2175" s="14" t="s">
        <v>6877</v>
      </c>
    </row>
    <row r="2176" spans="1:14" x14ac:dyDescent="0.2">
      <c r="A2176" t="s">
        <v>3288</v>
      </c>
      <c r="B2176" t="s">
        <v>2360</v>
      </c>
      <c r="C2176" s="9">
        <v>44998</v>
      </c>
      <c r="D2176" t="s">
        <v>946</v>
      </c>
      <c r="E2176" s="13">
        <v>6549825</v>
      </c>
      <c r="F2176" s="13">
        <v>5550</v>
      </c>
      <c r="G2176" s="9">
        <v>44999</v>
      </c>
      <c r="H2176" t="s">
        <v>1063</v>
      </c>
      <c r="I2176" t="s">
        <v>2382</v>
      </c>
      <c r="J2176" s="13">
        <v>145405</v>
      </c>
      <c r="K2176">
        <v>1</v>
      </c>
      <c r="L2176" t="s">
        <v>1064</v>
      </c>
      <c r="M2176" t="s">
        <v>2383</v>
      </c>
      <c r="N2176" s="15" t="s">
        <v>6878</v>
      </c>
    </row>
    <row r="2177" spans="1:14" x14ac:dyDescent="0.2">
      <c r="A2177" t="s">
        <v>3289</v>
      </c>
      <c r="B2177" t="s">
        <v>2360</v>
      </c>
      <c r="C2177" s="9">
        <v>44998</v>
      </c>
      <c r="D2177" t="s">
        <v>946</v>
      </c>
      <c r="E2177" s="13">
        <v>6549825</v>
      </c>
      <c r="F2177" s="13">
        <v>5550</v>
      </c>
      <c r="G2177" s="9">
        <v>44999</v>
      </c>
      <c r="H2177" t="s">
        <v>1063</v>
      </c>
      <c r="I2177" t="s">
        <v>2382</v>
      </c>
      <c r="J2177" s="13">
        <v>145405</v>
      </c>
      <c r="K2177">
        <v>1</v>
      </c>
      <c r="L2177" t="s">
        <v>1064</v>
      </c>
      <c r="M2177" t="s">
        <v>2383</v>
      </c>
      <c r="N2177" s="15" t="s">
        <v>6878</v>
      </c>
    </row>
    <row r="2178" spans="1:14" x14ac:dyDescent="0.2">
      <c r="A2178" t="s">
        <v>3290</v>
      </c>
      <c r="B2178" t="s">
        <v>2360</v>
      </c>
      <c r="C2178" s="9">
        <v>44998</v>
      </c>
      <c r="D2178" t="s">
        <v>946</v>
      </c>
      <c r="E2178" s="13">
        <v>14488050</v>
      </c>
      <c r="F2178" s="13">
        <v>5550</v>
      </c>
      <c r="G2178" s="9">
        <v>44999</v>
      </c>
      <c r="H2178" t="s">
        <v>1063</v>
      </c>
      <c r="I2178" t="s">
        <v>2382</v>
      </c>
      <c r="J2178" s="13">
        <v>321634</v>
      </c>
      <c r="K2178">
        <v>1</v>
      </c>
      <c r="L2178" t="s">
        <v>1064</v>
      </c>
      <c r="M2178" t="s">
        <v>2383</v>
      </c>
      <c r="N2178" s="15" t="s">
        <v>6878</v>
      </c>
    </row>
    <row r="2179" spans="1:14" x14ac:dyDescent="0.2">
      <c r="A2179" t="s">
        <v>3291</v>
      </c>
      <c r="B2179" t="s">
        <v>2360</v>
      </c>
      <c r="C2179" s="9">
        <v>44998</v>
      </c>
      <c r="D2179" t="s">
        <v>946</v>
      </c>
      <c r="E2179" s="13">
        <v>5511950</v>
      </c>
      <c r="F2179" s="13">
        <v>5550</v>
      </c>
      <c r="G2179" s="9">
        <v>44999</v>
      </c>
      <c r="H2179" t="s">
        <v>1063</v>
      </c>
      <c r="I2179" t="s">
        <v>2382</v>
      </c>
      <c r="J2179" s="13">
        <v>122365</v>
      </c>
      <c r="K2179">
        <v>1</v>
      </c>
      <c r="L2179" t="s">
        <v>1064</v>
      </c>
      <c r="M2179" t="s">
        <v>2383</v>
      </c>
      <c r="N2179" s="15" t="s">
        <v>6878</v>
      </c>
    </row>
    <row r="2180" spans="1:14" x14ac:dyDescent="0.2">
      <c r="A2180" t="s">
        <v>3292</v>
      </c>
      <c r="B2180" t="s">
        <v>2360</v>
      </c>
      <c r="C2180" s="9">
        <v>44998</v>
      </c>
      <c r="D2180" t="s">
        <v>946</v>
      </c>
      <c r="E2180" s="13">
        <v>6549825</v>
      </c>
      <c r="F2180" s="13">
        <v>5550</v>
      </c>
      <c r="G2180" s="9">
        <v>44999</v>
      </c>
      <c r="H2180" t="s">
        <v>1063</v>
      </c>
      <c r="I2180" t="s">
        <v>2382</v>
      </c>
      <c r="J2180" s="13">
        <v>145405</v>
      </c>
      <c r="K2180">
        <v>1</v>
      </c>
      <c r="L2180" t="s">
        <v>1064</v>
      </c>
      <c r="M2180" t="s">
        <v>2383</v>
      </c>
      <c r="N2180" s="15" t="s">
        <v>6878</v>
      </c>
    </row>
    <row r="2181" spans="1:14" x14ac:dyDescent="0.2">
      <c r="A2181" t="s">
        <v>3293</v>
      </c>
      <c r="B2181" t="s">
        <v>2360</v>
      </c>
      <c r="C2181" s="9">
        <v>44998</v>
      </c>
      <c r="D2181" t="s">
        <v>946</v>
      </c>
      <c r="E2181" s="13">
        <v>5511950</v>
      </c>
      <c r="F2181" s="13">
        <v>5550</v>
      </c>
      <c r="G2181" s="9">
        <v>44999</v>
      </c>
      <c r="H2181" t="s">
        <v>1063</v>
      </c>
      <c r="I2181" t="s">
        <v>2382</v>
      </c>
      <c r="J2181" s="13">
        <v>122365</v>
      </c>
      <c r="K2181">
        <v>1</v>
      </c>
      <c r="L2181" t="s">
        <v>1064</v>
      </c>
      <c r="M2181" t="s">
        <v>2383</v>
      </c>
      <c r="N2181" s="15" t="s">
        <v>6878</v>
      </c>
    </row>
    <row r="2182" spans="1:14" x14ac:dyDescent="0.2">
      <c r="A2182" t="s">
        <v>3294</v>
      </c>
      <c r="B2182" t="s">
        <v>2360</v>
      </c>
      <c r="C2182" s="9">
        <v>44998</v>
      </c>
      <c r="D2182" t="s">
        <v>946</v>
      </c>
      <c r="E2182" s="13">
        <v>6549825</v>
      </c>
      <c r="F2182" s="13">
        <v>5550</v>
      </c>
      <c r="G2182" s="9">
        <v>44999</v>
      </c>
      <c r="H2182" t="s">
        <v>1063</v>
      </c>
      <c r="I2182" t="s">
        <v>2382</v>
      </c>
      <c r="J2182" s="13">
        <v>145405</v>
      </c>
      <c r="K2182">
        <v>1</v>
      </c>
      <c r="L2182" t="s">
        <v>1064</v>
      </c>
      <c r="M2182" t="s">
        <v>2383</v>
      </c>
      <c r="N2182" s="15" t="s">
        <v>6878</v>
      </c>
    </row>
    <row r="2183" spans="1:14" x14ac:dyDescent="0.2">
      <c r="A2183" t="s">
        <v>3295</v>
      </c>
      <c r="B2183" t="s">
        <v>2360</v>
      </c>
      <c r="C2183" s="9">
        <v>44998</v>
      </c>
      <c r="D2183" t="s">
        <v>946</v>
      </c>
      <c r="E2183" s="13">
        <v>10447530</v>
      </c>
      <c r="F2183" s="13">
        <v>5550</v>
      </c>
      <c r="G2183" s="9">
        <v>44999</v>
      </c>
      <c r="H2183" t="s">
        <v>1063</v>
      </c>
      <c r="I2183" t="s">
        <v>2382</v>
      </c>
      <c r="J2183" s="13">
        <v>231934</v>
      </c>
      <c r="K2183">
        <v>1</v>
      </c>
      <c r="L2183" t="s">
        <v>1064</v>
      </c>
      <c r="M2183" t="s">
        <v>2383</v>
      </c>
      <c r="N2183" s="15" t="s">
        <v>6878</v>
      </c>
    </row>
    <row r="2184" spans="1:14" x14ac:dyDescent="0.2">
      <c r="A2184" t="s">
        <v>3296</v>
      </c>
      <c r="B2184" t="s">
        <v>2360</v>
      </c>
      <c r="C2184" s="9">
        <v>44998</v>
      </c>
      <c r="D2184" t="s">
        <v>946</v>
      </c>
      <c r="E2184" s="13">
        <v>21083370</v>
      </c>
      <c r="F2184" s="13">
        <v>5550</v>
      </c>
      <c r="G2184" s="9">
        <v>44999</v>
      </c>
      <c r="H2184" t="s">
        <v>1063</v>
      </c>
      <c r="I2184" t="s">
        <v>2382</v>
      </c>
      <c r="J2184" s="13">
        <v>468050</v>
      </c>
      <c r="K2184">
        <v>1</v>
      </c>
      <c r="L2184" t="s">
        <v>1064</v>
      </c>
      <c r="M2184" t="s">
        <v>2383</v>
      </c>
      <c r="N2184" s="15" t="s">
        <v>6878</v>
      </c>
    </row>
    <row r="2185" spans="1:14" x14ac:dyDescent="0.2">
      <c r="A2185" t="s">
        <v>3297</v>
      </c>
      <c r="B2185" t="s">
        <v>2360</v>
      </c>
      <c r="C2185" s="9">
        <v>44998</v>
      </c>
      <c r="D2185" t="s">
        <v>946</v>
      </c>
      <c r="E2185" s="13">
        <v>9836110</v>
      </c>
      <c r="F2185" s="13">
        <v>5550</v>
      </c>
      <c r="G2185" s="9">
        <v>44999</v>
      </c>
      <c r="H2185" t="s">
        <v>1063</v>
      </c>
      <c r="I2185" t="s">
        <v>2382</v>
      </c>
      <c r="J2185" s="13">
        <v>218361</v>
      </c>
      <c r="K2185">
        <v>1</v>
      </c>
      <c r="L2185" t="s">
        <v>1064</v>
      </c>
      <c r="M2185" t="s">
        <v>2383</v>
      </c>
      <c r="N2185" s="15" t="s">
        <v>6878</v>
      </c>
    </row>
    <row r="2186" spans="1:14" x14ac:dyDescent="0.2">
      <c r="A2186" t="s">
        <v>3298</v>
      </c>
      <c r="B2186" t="s">
        <v>2360</v>
      </c>
      <c r="C2186" s="9">
        <v>44998</v>
      </c>
      <c r="D2186" t="s">
        <v>946</v>
      </c>
      <c r="E2186" s="13">
        <v>14210432</v>
      </c>
      <c r="F2186" s="13">
        <v>5550</v>
      </c>
      <c r="G2186" s="9">
        <v>44999</v>
      </c>
      <c r="H2186" t="s">
        <v>1063</v>
      </c>
      <c r="I2186" t="s">
        <v>2382</v>
      </c>
      <c r="J2186" s="13">
        <v>315470</v>
      </c>
      <c r="K2186">
        <v>1</v>
      </c>
      <c r="L2186" t="s">
        <v>1064</v>
      </c>
      <c r="M2186" t="s">
        <v>2383</v>
      </c>
      <c r="N2186" s="15" t="s">
        <v>6878</v>
      </c>
    </row>
    <row r="2187" spans="1:14" x14ac:dyDescent="0.2">
      <c r="A2187" t="s">
        <v>3299</v>
      </c>
      <c r="B2187" t="s">
        <v>2360</v>
      </c>
      <c r="C2187" s="9">
        <v>44998</v>
      </c>
      <c r="D2187" t="s">
        <v>946</v>
      </c>
      <c r="E2187" s="13">
        <v>13541825</v>
      </c>
      <c r="F2187" s="13">
        <v>5550</v>
      </c>
      <c r="G2187" s="9">
        <v>44999</v>
      </c>
      <c r="H2187" t="s">
        <v>1063</v>
      </c>
      <c r="I2187" t="s">
        <v>2382</v>
      </c>
      <c r="J2187" s="13">
        <v>300627</v>
      </c>
      <c r="K2187">
        <v>1</v>
      </c>
      <c r="L2187" t="s">
        <v>1064</v>
      </c>
      <c r="M2187" t="s">
        <v>2383</v>
      </c>
      <c r="N2187" s="15" t="s">
        <v>6878</v>
      </c>
    </row>
    <row r="2188" spans="1:14" x14ac:dyDescent="0.2">
      <c r="A2188" t="s">
        <v>3300</v>
      </c>
      <c r="B2188" t="s">
        <v>2360</v>
      </c>
      <c r="C2188" s="9">
        <v>44998</v>
      </c>
      <c r="D2188" t="s">
        <v>946</v>
      </c>
      <c r="E2188" s="13">
        <v>13541825</v>
      </c>
      <c r="F2188" s="13">
        <v>5550</v>
      </c>
      <c r="G2188" s="9">
        <v>44999</v>
      </c>
      <c r="H2188" t="s">
        <v>1063</v>
      </c>
      <c r="I2188" t="s">
        <v>2382</v>
      </c>
      <c r="J2188" s="13">
        <v>300627</v>
      </c>
      <c r="K2188">
        <v>1</v>
      </c>
      <c r="L2188" t="s">
        <v>1064</v>
      </c>
      <c r="M2188" t="s">
        <v>2383</v>
      </c>
      <c r="N2188" s="15" t="s">
        <v>6878</v>
      </c>
    </row>
    <row r="2189" spans="1:14" x14ac:dyDescent="0.2">
      <c r="A2189" t="s">
        <v>3301</v>
      </c>
      <c r="B2189" t="s">
        <v>2360</v>
      </c>
      <c r="C2189" s="9">
        <v>44998</v>
      </c>
      <c r="D2189" t="s">
        <v>946</v>
      </c>
      <c r="E2189" s="13">
        <v>6549825</v>
      </c>
      <c r="F2189" s="13">
        <v>5550</v>
      </c>
      <c r="G2189" s="9">
        <v>44999</v>
      </c>
      <c r="H2189" t="s">
        <v>1063</v>
      </c>
      <c r="I2189" t="s">
        <v>2382</v>
      </c>
      <c r="J2189" s="13">
        <v>145405</v>
      </c>
      <c r="K2189">
        <v>1</v>
      </c>
      <c r="L2189" t="s">
        <v>1064</v>
      </c>
      <c r="M2189" t="s">
        <v>2383</v>
      </c>
      <c r="N2189" s="15" t="s">
        <v>6878</v>
      </c>
    </row>
    <row r="2190" spans="1:14" x14ac:dyDescent="0.2">
      <c r="A2190" t="s">
        <v>3302</v>
      </c>
      <c r="B2190" t="s">
        <v>2360</v>
      </c>
      <c r="C2190" s="9">
        <v>44998</v>
      </c>
      <c r="D2190" t="s">
        <v>946</v>
      </c>
      <c r="E2190" s="13">
        <v>5511950</v>
      </c>
      <c r="F2190" s="13">
        <v>5550</v>
      </c>
      <c r="G2190" s="9">
        <v>44999</v>
      </c>
      <c r="H2190" t="s">
        <v>1063</v>
      </c>
      <c r="I2190" t="s">
        <v>2382</v>
      </c>
      <c r="J2190" s="13">
        <v>122365</v>
      </c>
      <c r="K2190">
        <v>1</v>
      </c>
      <c r="L2190" t="s">
        <v>1064</v>
      </c>
      <c r="M2190" t="s">
        <v>2383</v>
      </c>
      <c r="N2190" s="15" t="s">
        <v>6878</v>
      </c>
    </row>
    <row r="2191" spans="1:14" x14ac:dyDescent="0.2">
      <c r="A2191" t="s">
        <v>3303</v>
      </c>
      <c r="B2191" t="s">
        <v>2360</v>
      </c>
      <c r="C2191" s="9">
        <v>44998</v>
      </c>
      <c r="D2191" t="s">
        <v>946</v>
      </c>
      <c r="E2191" s="13">
        <v>13541825</v>
      </c>
      <c r="F2191" s="13">
        <v>5550</v>
      </c>
      <c r="G2191" s="9">
        <v>44999</v>
      </c>
      <c r="H2191" t="s">
        <v>1063</v>
      </c>
      <c r="I2191" t="s">
        <v>2382</v>
      </c>
      <c r="J2191" s="13">
        <v>300627</v>
      </c>
      <c r="K2191">
        <v>1</v>
      </c>
      <c r="L2191" t="s">
        <v>1064</v>
      </c>
      <c r="M2191" t="s">
        <v>2383</v>
      </c>
      <c r="N2191" s="15" t="s">
        <v>6878</v>
      </c>
    </row>
    <row r="2192" spans="1:14" x14ac:dyDescent="0.2">
      <c r="A2192" t="s">
        <v>3304</v>
      </c>
      <c r="B2192" t="s">
        <v>2360</v>
      </c>
      <c r="C2192" s="9">
        <v>44998</v>
      </c>
      <c r="D2192" t="s">
        <v>946</v>
      </c>
      <c r="E2192" s="13">
        <v>5293450</v>
      </c>
      <c r="F2192" s="13">
        <v>5550</v>
      </c>
      <c r="G2192" s="9">
        <v>44999</v>
      </c>
      <c r="H2192" t="s">
        <v>1063</v>
      </c>
      <c r="I2192" t="s">
        <v>2382</v>
      </c>
      <c r="J2192" s="13">
        <v>117514</v>
      </c>
      <c r="K2192">
        <v>1</v>
      </c>
      <c r="L2192" t="s">
        <v>1064</v>
      </c>
      <c r="M2192" t="s">
        <v>2383</v>
      </c>
      <c r="N2192" s="15" t="s">
        <v>6878</v>
      </c>
    </row>
    <row r="2193" spans="1:14" x14ac:dyDescent="0.2">
      <c r="A2193" t="s">
        <v>3305</v>
      </c>
      <c r="B2193" t="s">
        <v>2360</v>
      </c>
      <c r="C2193" s="9">
        <v>44998</v>
      </c>
      <c r="D2193" t="s">
        <v>946</v>
      </c>
      <c r="E2193" s="13">
        <v>6549825</v>
      </c>
      <c r="F2193" s="13">
        <v>5550</v>
      </c>
      <c r="G2193" s="9">
        <v>44999</v>
      </c>
      <c r="H2193" t="s">
        <v>1063</v>
      </c>
      <c r="I2193" t="s">
        <v>2382</v>
      </c>
      <c r="J2193" s="13">
        <v>145405</v>
      </c>
      <c r="K2193">
        <v>1</v>
      </c>
      <c r="L2193" t="s">
        <v>1064</v>
      </c>
      <c r="M2193" t="s">
        <v>2383</v>
      </c>
      <c r="N2193" s="15" t="s">
        <v>6878</v>
      </c>
    </row>
    <row r="2194" spans="1:14" x14ac:dyDescent="0.2">
      <c r="A2194" t="s">
        <v>3306</v>
      </c>
      <c r="B2194" t="s">
        <v>2360</v>
      </c>
      <c r="C2194" s="9">
        <v>44998</v>
      </c>
      <c r="D2194" t="s">
        <v>946</v>
      </c>
      <c r="E2194" s="13">
        <v>6563700</v>
      </c>
      <c r="F2194" s="13">
        <v>5550</v>
      </c>
      <c r="G2194" s="9">
        <v>44999</v>
      </c>
      <c r="H2194" t="s">
        <v>1063</v>
      </c>
      <c r="I2194" t="s">
        <v>2382</v>
      </c>
      <c r="J2194" s="13">
        <v>145714</v>
      </c>
      <c r="K2194">
        <v>1</v>
      </c>
      <c r="L2194" t="s">
        <v>1064</v>
      </c>
      <c r="M2194" t="s">
        <v>2383</v>
      </c>
      <c r="N2194" s="15" t="s">
        <v>6878</v>
      </c>
    </row>
    <row r="2195" spans="1:14" x14ac:dyDescent="0.2">
      <c r="A2195" t="s">
        <v>3307</v>
      </c>
      <c r="B2195" t="s">
        <v>2360</v>
      </c>
      <c r="C2195" s="9">
        <v>44998</v>
      </c>
      <c r="D2195" t="s">
        <v>946</v>
      </c>
      <c r="E2195" s="13">
        <v>5589000</v>
      </c>
      <c r="F2195" s="13">
        <v>5550</v>
      </c>
      <c r="G2195" s="9">
        <v>44999</v>
      </c>
      <c r="H2195" t="s">
        <v>1063</v>
      </c>
      <c r="I2195" t="s">
        <v>2382</v>
      </c>
      <c r="J2195" s="13">
        <v>124075</v>
      </c>
      <c r="K2195">
        <v>1</v>
      </c>
      <c r="L2195" t="s">
        <v>1064</v>
      </c>
      <c r="M2195" t="s">
        <v>2383</v>
      </c>
      <c r="N2195" s="15" t="s">
        <v>6878</v>
      </c>
    </row>
    <row r="2196" spans="1:14" x14ac:dyDescent="0.2">
      <c r="A2196" t="s">
        <v>3308</v>
      </c>
      <c r="B2196" t="s">
        <v>2360</v>
      </c>
      <c r="C2196" s="9">
        <v>44998</v>
      </c>
      <c r="D2196" t="s">
        <v>946</v>
      </c>
      <c r="E2196" s="13">
        <v>5356125</v>
      </c>
      <c r="F2196" s="13">
        <v>5550</v>
      </c>
      <c r="G2196" s="9">
        <v>44999</v>
      </c>
      <c r="H2196" t="s">
        <v>1063</v>
      </c>
      <c r="I2196" t="s">
        <v>2382</v>
      </c>
      <c r="J2196" s="13">
        <v>118905</v>
      </c>
      <c r="K2196">
        <v>1</v>
      </c>
      <c r="L2196" t="s">
        <v>1064</v>
      </c>
      <c r="M2196" t="s">
        <v>2383</v>
      </c>
      <c r="N2196" s="15" t="s">
        <v>6878</v>
      </c>
    </row>
    <row r="2197" spans="1:14" x14ac:dyDescent="0.2">
      <c r="A2197" t="s">
        <v>3309</v>
      </c>
      <c r="B2197" t="s">
        <v>2360</v>
      </c>
      <c r="C2197" s="9">
        <v>44998</v>
      </c>
      <c r="D2197" t="s">
        <v>946</v>
      </c>
      <c r="E2197" s="13">
        <v>5794160</v>
      </c>
      <c r="F2197" s="13">
        <v>5550</v>
      </c>
      <c r="G2197" s="9">
        <v>44999</v>
      </c>
      <c r="H2197" t="s">
        <v>1063</v>
      </c>
      <c r="I2197" t="s">
        <v>2382</v>
      </c>
      <c r="J2197" s="13">
        <v>128630</v>
      </c>
      <c r="K2197">
        <v>1</v>
      </c>
      <c r="L2197" t="s">
        <v>1064</v>
      </c>
      <c r="M2197" t="s">
        <v>2383</v>
      </c>
      <c r="N2197" s="15" t="s">
        <v>6878</v>
      </c>
    </row>
    <row r="2198" spans="1:14" x14ac:dyDescent="0.2">
      <c r="A2198" t="s">
        <v>3310</v>
      </c>
      <c r="B2198" t="s">
        <v>2360</v>
      </c>
      <c r="C2198" s="9">
        <v>44998</v>
      </c>
      <c r="D2198" t="s">
        <v>946</v>
      </c>
      <c r="E2198" s="13">
        <v>5080410</v>
      </c>
      <c r="F2198" s="13">
        <v>5550</v>
      </c>
      <c r="G2198" s="9">
        <v>44999</v>
      </c>
      <c r="H2198" t="s">
        <v>1063</v>
      </c>
      <c r="I2198" t="s">
        <v>2382</v>
      </c>
      <c r="J2198" s="13">
        <v>112784</v>
      </c>
      <c r="K2198">
        <v>1</v>
      </c>
      <c r="L2198" t="s">
        <v>1064</v>
      </c>
      <c r="M2198" t="s">
        <v>2383</v>
      </c>
      <c r="N2198" s="15" t="s">
        <v>6878</v>
      </c>
    </row>
    <row r="2199" spans="1:14" x14ac:dyDescent="0.2">
      <c r="A2199" t="s">
        <v>3311</v>
      </c>
      <c r="B2199" t="s">
        <v>2360</v>
      </c>
      <c r="C2199" s="9">
        <v>44998</v>
      </c>
      <c r="D2199" t="s">
        <v>946</v>
      </c>
      <c r="E2199" s="13">
        <v>14350000</v>
      </c>
      <c r="F2199" s="13">
        <v>5550</v>
      </c>
      <c r="G2199" s="9">
        <v>44999</v>
      </c>
      <c r="H2199" t="s">
        <v>1063</v>
      </c>
      <c r="I2199" t="s">
        <v>2382</v>
      </c>
      <c r="J2199" s="13">
        <v>318570</v>
      </c>
      <c r="K2199">
        <v>1</v>
      </c>
      <c r="L2199" t="s">
        <v>1064</v>
      </c>
      <c r="M2199" t="s">
        <v>2383</v>
      </c>
      <c r="N2199" s="15" t="s">
        <v>6878</v>
      </c>
    </row>
    <row r="2200" spans="1:14" x14ac:dyDescent="0.2">
      <c r="A2200" t="s">
        <v>3312</v>
      </c>
      <c r="B2200" t="s">
        <v>2360</v>
      </c>
      <c r="C2200" s="9">
        <v>44998</v>
      </c>
      <c r="D2200" t="s">
        <v>946</v>
      </c>
      <c r="E2200" s="13">
        <v>22885706</v>
      </c>
      <c r="F2200" s="13">
        <v>5550</v>
      </c>
      <c r="G2200" s="9">
        <v>44999</v>
      </c>
      <c r="H2200" t="s">
        <v>1063</v>
      </c>
      <c r="I2200" t="s">
        <v>2382</v>
      </c>
      <c r="J2200" s="13">
        <v>508062</v>
      </c>
      <c r="K2200">
        <v>1</v>
      </c>
      <c r="L2200" t="s">
        <v>1064</v>
      </c>
      <c r="M2200" t="s">
        <v>2383</v>
      </c>
      <c r="N2200" s="15" t="s">
        <v>6878</v>
      </c>
    </row>
    <row r="2201" spans="1:14" x14ac:dyDescent="0.2">
      <c r="A2201" t="s">
        <v>3313</v>
      </c>
      <c r="B2201" t="s">
        <v>2360</v>
      </c>
      <c r="C2201" s="9">
        <v>44998</v>
      </c>
      <c r="D2201" t="s">
        <v>946</v>
      </c>
      <c r="E2201" s="13">
        <v>1491750</v>
      </c>
      <c r="F2201" s="13">
        <v>5550</v>
      </c>
      <c r="G2201" s="9">
        <v>44999</v>
      </c>
      <c r="H2201" t="s">
        <v>1063</v>
      </c>
      <c r="I2201" t="s">
        <v>2382</v>
      </c>
      <c r="J2201" s="13">
        <v>33116</v>
      </c>
      <c r="K2201">
        <v>1</v>
      </c>
      <c r="L2201" t="s">
        <v>1064</v>
      </c>
      <c r="M2201" t="s">
        <v>2383</v>
      </c>
      <c r="N2201" s="15" t="s">
        <v>6878</v>
      </c>
    </row>
    <row r="2202" spans="1:14" x14ac:dyDescent="0.2">
      <c r="A2202" t="s">
        <v>3314</v>
      </c>
      <c r="B2202" t="s">
        <v>2360</v>
      </c>
      <c r="C2202" s="9">
        <v>44998</v>
      </c>
      <c r="D2202" t="s">
        <v>946</v>
      </c>
      <c r="E2202" s="13">
        <v>4475250</v>
      </c>
      <c r="F2202" s="13">
        <v>5550</v>
      </c>
      <c r="G2202" s="9">
        <v>44999</v>
      </c>
      <c r="H2202" t="s">
        <v>1063</v>
      </c>
      <c r="I2202" t="s">
        <v>2382</v>
      </c>
      <c r="J2202" s="13">
        <v>99350</v>
      </c>
      <c r="K2202">
        <v>1</v>
      </c>
      <c r="L2202" t="s">
        <v>1064</v>
      </c>
      <c r="M2202" t="s">
        <v>2383</v>
      </c>
      <c r="N2202" s="15" t="s">
        <v>6878</v>
      </c>
    </row>
    <row r="2203" spans="1:14" x14ac:dyDescent="0.2">
      <c r="A2203" t="s">
        <v>3315</v>
      </c>
      <c r="B2203" t="s">
        <v>2360</v>
      </c>
      <c r="C2203" s="9">
        <v>44998</v>
      </c>
      <c r="D2203" t="s">
        <v>946</v>
      </c>
      <c r="E2203" s="13">
        <v>2983500</v>
      </c>
      <c r="F2203" s="13">
        <v>5550</v>
      </c>
      <c r="G2203" s="9">
        <v>44999</v>
      </c>
      <c r="H2203" t="s">
        <v>1063</v>
      </c>
      <c r="I2203" t="s">
        <v>2382</v>
      </c>
      <c r="J2203" s="13">
        <v>66233</v>
      </c>
      <c r="K2203">
        <v>1</v>
      </c>
      <c r="L2203" t="s">
        <v>1064</v>
      </c>
      <c r="M2203" t="s">
        <v>2383</v>
      </c>
      <c r="N2203" s="15" t="s">
        <v>6878</v>
      </c>
    </row>
    <row r="2204" spans="1:14" x14ac:dyDescent="0.2">
      <c r="A2204" t="s">
        <v>3316</v>
      </c>
      <c r="B2204" t="s">
        <v>2360</v>
      </c>
      <c r="C2204" s="9">
        <v>44998</v>
      </c>
      <c r="D2204" t="s">
        <v>946</v>
      </c>
      <c r="E2204" s="13">
        <v>5682150</v>
      </c>
      <c r="F2204" s="13">
        <v>5550</v>
      </c>
      <c r="G2204" s="9">
        <v>44999</v>
      </c>
      <c r="H2204" t="s">
        <v>1063</v>
      </c>
      <c r="I2204" t="s">
        <v>2382</v>
      </c>
      <c r="J2204" s="13">
        <v>126143</v>
      </c>
      <c r="K2204">
        <v>1</v>
      </c>
      <c r="L2204" t="s">
        <v>1064</v>
      </c>
      <c r="M2204" t="s">
        <v>2383</v>
      </c>
      <c r="N2204" s="15" t="s">
        <v>6878</v>
      </c>
    </row>
    <row r="2205" spans="1:14" x14ac:dyDescent="0.2">
      <c r="A2205" t="s">
        <v>3317</v>
      </c>
      <c r="B2205" t="s">
        <v>2360</v>
      </c>
      <c r="C2205" s="9">
        <v>44998</v>
      </c>
      <c r="D2205" t="s">
        <v>946</v>
      </c>
      <c r="E2205" s="13">
        <v>5231925</v>
      </c>
      <c r="F2205" s="13">
        <v>5550</v>
      </c>
      <c r="G2205" s="9">
        <v>44999</v>
      </c>
      <c r="H2205" t="s">
        <v>1063</v>
      </c>
      <c r="I2205" t="s">
        <v>2382</v>
      </c>
      <c r="J2205" s="13">
        <v>116148</v>
      </c>
      <c r="K2205">
        <v>1</v>
      </c>
      <c r="L2205" t="s">
        <v>1064</v>
      </c>
      <c r="M2205" t="s">
        <v>2383</v>
      </c>
      <c r="N2205" s="15" t="s">
        <v>6878</v>
      </c>
    </row>
    <row r="2206" spans="1:14" x14ac:dyDescent="0.2">
      <c r="A2206" t="s">
        <v>3318</v>
      </c>
      <c r="B2206" t="s">
        <v>2360</v>
      </c>
      <c r="C2206" s="9">
        <v>44998</v>
      </c>
      <c r="D2206" t="s">
        <v>946</v>
      </c>
      <c r="E2206" s="13">
        <v>5782200</v>
      </c>
      <c r="F2206" s="13">
        <v>5550</v>
      </c>
      <c r="G2206" s="9">
        <v>44999</v>
      </c>
      <c r="H2206" t="s">
        <v>1063</v>
      </c>
      <c r="I2206" t="s">
        <v>2382</v>
      </c>
      <c r="J2206" s="13">
        <v>128364</v>
      </c>
      <c r="K2206">
        <v>1</v>
      </c>
      <c r="L2206" t="s">
        <v>1064</v>
      </c>
      <c r="M2206" t="s">
        <v>2383</v>
      </c>
      <c r="N2206" s="15" t="s">
        <v>6878</v>
      </c>
    </row>
    <row r="2207" spans="1:14" x14ac:dyDescent="0.2">
      <c r="A2207" t="s">
        <v>3319</v>
      </c>
      <c r="B2207" t="s">
        <v>2360</v>
      </c>
      <c r="C2207" s="9">
        <v>44998</v>
      </c>
      <c r="D2207" t="s">
        <v>946</v>
      </c>
      <c r="E2207" s="13">
        <v>10417275</v>
      </c>
      <c r="F2207" s="13">
        <v>5550</v>
      </c>
      <c r="G2207" s="9">
        <v>44999</v>
      </c>
      <c r="H2207" t="s">
        <v>1063</v>
      </c>
      <c r="I2207" t="s">
        <v>2382</v>
      </c>
      <c r="J2207" s="13">
        <v>231262</v>
      </c>
      <c r="K2207">
        <v>1</v>
      </c>
      <c r="L2207" t="s">
        <v>1064</v>
      </c>
      <c r="M2207" t="s">
        <v>2383</v>
      </c>
      <c r="N2207" s="15" t="s">
        <v>6878</v>
      </c>
    </row>
    <row r="2208" spans="1:14" x14ac:dyDescent="0.2">
      <c r="A2208" t="s">
        <v>3320</v>
      </c>
      <c r="B2208" t="s">
        <v>2360</v>
      </c>
      <c r="C2208" s="9">
        <v>44998</v>
      </c>
      <c r="D2208" t="s">
        <v>946</v>
      </c>
      <c r="E2208" s="13">
        <v>6398370</v>
      </c>
      <c r="F2208" s="13">
        <v>5550</v>
      </c>
      <c r="G2208" s="9">
        <v>44999</v>
      </c>
      <c r="H2208" t="s">
        <v>1063</v>
      </c>
      <c r="I2208" t="s">
        <v>2382</v>
      </c>
      <c r="J2208" s="13">
        <v>142043</v>
      </c>
      <c r="K2208">
        <v>1</v>
      </c>
      <c r="L2208" t="s">
        <v>1064</v>
      </c>
      <c r="M2208" t="s">
        <v>2383</v>
      </c>
      <c r="N2208" s="15" t="s">
        <v>6878</v>
      </c>
    </row>
    <row r="2209" spans="1:14" x14ac:dyDescent="0.2">
      <c r="A2209" t="s">
        <v>3321</v>
      </c>
      <c r="B2209" t="s">
        <v>2360</v>
      </c>
      <c r="C2209" s="9">
        <v>44998</v>
      </c>
      <c r="D2209" t="s">
        <v>946</v>
      </c>
      <c r="E2209" s="13">
        <v>27995828</v>
      </c>
      <c r="F2209" s="13">
        <v>5550</v>
      </c>
      <c r="G2209" s="9">
        <v>44999</v>
      </c>
      <c r="H2209" t="s">
        <v>1063</v>
      </c>
      <c r="I2209" t="s">
        <v>2382</v>
      </c>
      <c r="J2209" s="13">
        <v>621506</v>
      </c>
      <c r="K2209">
        <v>1</v>
      </c>
      <c r="L2209" t="s">
        <v>1064</v>
      </c>
      <c r="M2209" t="s">
        <v>2383</v>
      </c>
      <c r="N2209" s="15" t="s">
        <v>6878</v>
      </c>
    </row>
    <row r="2210" spans="1:14" x14ac:dyDescent="0.2">
      <c r="A2210" t="s">
        <v>3322</v>
      </c>
      <c r="B2210" t="s">
        <v>2360</v>
      </c>
      <c r="C2210" s="9">
        <v>44998</v>
      </c>
      <c r="D2210" t="s">
        <v>946</v>
      </c>
      <c r="E2210" s="13">
        <v>5812100</v>
      </c>
      <c r="F2210" s="13">
        <v>5550</v>
      </c>
      <c r="G2210" s="9">
        <v>44999</v>
      </c>
      <c r="H2210" t="s">
        <v>1063</v>
      </c>
      <c r="I2210" t="s">
        <v>2382</v>
      </c>
      <c r="J2210" s="13">
        <v>129028</v>
      </c>
      <c r="K2210">
        <v>1</v>
      </c>
      <c r="L2210" t="s">
        <v>1064</v>
      </c>
      <c r="M2210" t="s">
        <v>2383</v>
      </c>
      <c r="N2210" s="15" t="s">
        <v>6878</v>
      </c>
    </row>
    <row r="2211" spans="1:14" x14ac:dyDescent="0.2">
      <c r="A2211" t="s">
        <v>3323</v>
      </c>
      <c r="B2211" t="s">
        <v>2360</v>
      </c>
      <c r="C2211" s="9">
        <v>44998</v>
      </c>
      <c r="D2211" t="s">
        <v>946</v>
      </c>
      <c r="E2211" s="13">
        <v>5293450</v>
      </c>
      <c r="F2211" s="13">
        <v>5550</v>
      </c>
      <c r="G2211" s="9">
        <v>44999</v>
      </c>
      <c r="H2211" t="s">
        <v>1063</v>
      </c>
      <c r="I2211" t="s">
        <v>2382</v>
      </c>
      <c r="J2211" s="13">
        <v>117514</v>
      </c>
      <c r="K2211">
        <v>1</v>
      </c>
      <c r="L2211" t="s">
        <v>1064</v>
      </c>
      <c r="M2211" t="s">
        <v>2383</v>
      </c>
      <c r="N2211" s="15" t="s">
        <v>6878</v>
      </c>
    </row>
    <row r="2212" spans="1:14" x14ac:dyDescent="0.2">
      <c r="A2212" t="s">
        <v>3324</v>
      </c>
      <c r="B2212" t="s">
        <v>2360</v>
      </c>
      <c r="C2212" s="9">
        <v>44998</v>
      </c>
      <c r="D2212" t="s">
        <v>946</v>
      </c>
      <c r="E2212" s="13">
        <v>5293450</v>
      </c>
      <c r="F2212" s="13">
        <v>5550</v>
      </c>
      <c r="G2212" s="9">
        <v>44999</v>
      </c>
      <c r="H2212" t="s">
        <v>1063</v>
      </c>
      <c r="I2212" t="s">
        <v>2382</v>
      </c>
      <c r="J2212" s="13">
        <v>117514</v>
      </c>
      <c r="K2212">
        <v>1</v>
      </c>
      <c r="L2212" t="s">
        <v>1064</v>
      </c>
      <c r="M2212" t="s">
        <v>2383</v>
      </c>
      <c r="N2212" s="15" t="s">
        <v>6878</v>
      </c>
    </row>
    <row r="2213" spans="1:14" x14ac:dyDescent="0.2">
      <c r="A2213" t="s">
        <v>3325</v>
      </c>
      <c r="B2213" t="s">
        <v>2360</v>
      </c>
      <c r="C2213" s="9">
        <v>44998</v>
      </c>
      <c r="D2213" t="s">
        <v>946</v>
      </c>
      <c r="E2213" s="13">
        <v>5293450</v>
      </c>
      <c r="F2213" s="13">
        <v>5550</v>
      </c>
      <c r="G2213" s="9">
        <v>44999</v>
      </c>
      <c r="H2213" t="s">
        <v>1063</v>
      </c>
      <c r="I2213" t="s">
        <v>2382</v>
      </c>
      <c r="J2213" s="13">
        <v>117514</v>
      </c>
      <c r="K2213">
        <v>1</v>
      </c>
      <c r="L2213" t="s">
        <v>1064</v>
      </c>
      <c r="M2213" t="s">
        <v>2383</v>
      </c>
      <c r="N2213" s="15" t="s">
        <v>6878</v>
      </c>
    </row>
    <row r="2214" spans="1:14" x14ac:dyDescent="0.2">
      <c r="A2214" t="s">
        <v>3326</v>
      </c>
      <c r="B2214" t="s">
        <v>2360</v>
      </c>
      <c r="C2214" s="9">
        <v>44998</v>
      </c>
      <c r="D2214" t="s">
        <v>946</v>
      </c>
      <c r="E2214" s="13">
        <v>5406150</v>
      </c>
      <c r="F2214" s="13">
        <v>5550</v>
      </c>
      <c r="G2214" s="9">
        <v>44999</v>
      </c>
      <c r="H2214" t="s">
        <v>1063</v>
      </c>
      <c r="I2214" t="s">
        <v>2382</v>
      </c>
      <c r="J2214" s="13">
        <v>120016</v>
      </c>
      <c r="K2214">
        <v>1</v>
      </c>
      <c r="L2214" t="s">
        <v>1064</v>
      </c>
      <c r="M2214" t="s">
        <v>2383</v>
      </c>
      <c r="N2214" s="15" t="s">
        <v>6878</v>
      </c>
    </row>
    <row r="2215" spans="1:14" x14ac:dyDescent="0.2">
      <c r="A2215" t="s">
        <v>3327</v>
      </c>
      <c r="B2215" t="s">
        <v>2360</v>
      </c>
      <c r="C2215" s="9">
        <v>44998</v>
      </c>
      <c r="D2215" t="s">
        <v>946</v>
      </c>
      <c r="E2215" s="13">
        <v>6549825</v>
      </c>
      <c r="F2215" s="13">
        <v>5550</v>
      </c>
      <c r="G2215" s="9">
        <v>44999</v>
      </c>
      <c r="H2215" t="s">
        <v>1063</v>
      </c>
      <c r="I2215" t="s">
        <v>2382</v>
      </c>
      <c r="J2215" s="13">
        <v>145405</v>
      </c>
      <c r="K2215">
        <v>1</v>
      </c>
      <c r="L2215" t="s">
        <v>1064</v>
      </c>
      <c r="M2215" t="s">
        <v>2383</v>
      </c>
      <c r="N2215" s="15" t="s">
        <v>6878</v>
      </c>
    </row>
    <row r="2216" spans="1:14" x14ac:dyDescent="0.2">
      <c r="A2216" t="s">
        <v>3328</v>
      </c>
      <c r="B2216" t="s">
        <v>2360</v>
      </c>
      <c r="C2216" s="9">
        <v>44998</v>
      </c>
      <c r="D2216" t="s">
        <v>946</v>
      </c>
      <c r="E2216" s="13">
        <v>6549825</v>
      </c>
      <c r="F2216" s="13">
        <v>5550</v>
      </c>
      <c r="G2216" s="9">
        <v>44999</v>
      </c>
      <c r="H2216" t="s">
        <v>1063</v>
      </c>
      <c r="I2216" t="s">
        <v>2382</v>
      </c>
      <c r="J2216" s="13">
        <v>145405</v>
      </c>
      <c r="K2216">
        <v>1</v>
      </c>
      <c r="L2216" t="s">
        <v>1064</v>
      </c>
      <c r="M2216" t="s">
        <v>2383</v>
      </c>
      <c r="N2216" s="15" t="s">
        <v>6878</v>
      </c>
    </row>
    <row r="2217" spans="1:14" x14ac:dyDescent="0.2">
      <c r="A2217" t="s">
        <v>3329</v>
      </c>
      <c r="B2217" t="s">
        <v>2360</v>
      </c>
      <c r="C2217" s="9">
        <v>44998</v>
      </c>
      <c r="D2217" t="s">
        <v>946</v>
      </c>
      <c r="E2217" s="13">
        <v>6549825</v>
      </c>
      <c r="F2217" s="13">
        <v>5550</v>
      </c>
      <c r="G2217" s="9">
        <v>44999</v>
      </c>
      <c r="H2217" t="s">
        <v>1063</v>
      </c>
      <c r="I2217" t="s">
        <v>2382</v>
      </c>
      <c r="J2217" s="13">
        <v>145405</v>
      </c>
      <c r="K2217">
        <v>1</v>
      </c>
      <c r="L2217" t="s">
        <v>1064</v>
      </c>
      <c r="M2217" t="s">
        <v>2383</v>
      </c>
      <c r="N2217" s="15" t="s">
        <v>6878</v>
      </c>
    </row>
    <row r="2218" spans="1:14" x14ac:dyDescent="0.2">
      <c r="A2218" t="s">
        <v>3330</v>
      </c>
      <c r="B2218" t="s">
        <v>2360</v>
      </c>
      <c r="C2218" s="9">
        <v>44998</v>
      </c>
      <c r="D2218" t="s">
        <v>946</v>
      </c>
      <c r="E2218" s="13">
        <v>5511950</v>
      </c>
      <c r="F2218" s="13">
        <v>5550</v>
      </c>
      <c r="G2218" s="9">
        <v>44999</v>
      </c>
      <c r="H2218" t="s">
        <v>1063</v>
      </c>
      <c r="I2218" t="s">
        <v>2382</v>
      </c>
      <c r="J2218" s="13">
        <v>122365</v>
      </c>
      <c r="K2218">
        <v>1</v>
      </c>
      <c r="L2218" t="s">
        <v>1064</v>
      </c>
      <c r="M2218" t="s">
        <v>2383</v>
      </c>
      <c r="N2218" s="15" t="s">
        <v>6878</v>
      </c>
    </row>
    <row r="2219" spans="1:14" x14ac:dyDescent="0.2">
      <c r="A2219" t="s">
        <v>3331</v>
      </c>
      <c r="B2219" t="s">
        <v>2360</v>
      </c>
      <c r="C2219" s="9">
        <v>44998</v>
      </c>
      <c r="D2219" t="s">
        <v>946</v>
      </c>
      <c r="E2219" s="13">
        <v>5511950</v>
      </c>
      <c r="F2219" s="13">
        <v>5550</v>
      </c>
      <c r="G2219" s="9">
        <v>44999</v>
      </c>
      <c r="H2219" t="s">
        <v>1063</v>
      </c>
      <c r="I2219" t="s">
        <v>2382</v>
      </c>
      <c r="J2219" s="13">
        <v>122365</v>
      </c>
      <c r="K2219">
        <v>1</v>
      </c>
      <c r="L2219" t="s">
        <v>1064</v>
      </c>
      <c r="M2219" t="s">
        <v>2383</v>
      </c>
      <c r="N2219" s="15" t="s">
        <v>6878</v>
      </c>
    </row>
    <row r="2220" spans="1:14" x14ac:dyDescent="0.2">
      <c r="A2220" t="s">
        <v>3332</v>
      </c>
      <c r="B2220" t="s">
        <v>2360</v>
      </c>
      <c r="C2220" s="9">
        <v>44998</v>
      </c>
      <c r="D2220" t="s">
        <v>946</v>
      </c>
      <c r="E2220" s="13">
        <v>5511950</v>
      </c>
      <c r="F2220" s="13">
        <v>5550</v>
      </c>
      <c r="G2220" s="9">
        <v>44999</v>
      </c>
      <c r="H2220" t="s">
        <v>1063</v>
      </c>
      <c r="I2220" t="s">
        <v>2382</v>
      </c>
      <c r="J2220" s="13">
        <v>122365</v>
      </c>
      <c r="K2220">
        <v>1</v>
      </c>
      <c r="L2220" t="s">
        <v>1064</v>
      </c>
      <c r="M2220" t="s">
        <v>2383</v>
      </c>
      <c r="N2220" s="15" t="s">
        <v>6878</v>
      </c>
    </row>
    <row r="2221" spans="1:14" x14ac:dyDescent="0.2">
      <c r="A2221" t="s">
        <v>3333</v>
      </c>
      <c r="B2221" t="s">
        <v>2360</v>
      </c>
      <c r="C2221" s="9">
        <v>44998</v>
      </c>
      <c r="D2221" t="s">
        <v>946</v>
      </c>
      <c r="E2221" s="13">
        <v>6549825</v>
      </c>
      <c r="F2221" s="13">
        <v>5550</v>
      </c>
      <c r="G2221" s="9">
        <v>44999</v>
      </c>
      <c r="H2221" t="s">
        <v>1063</v>
      </c>
      <c r="I2221" t="s">
        <v>2382</v>
      </c>
      <c r="J2221" s="13">
        <v>145405</v>
      </c>
      <c r="K2221">
        <v>1</v>
      </c>
      <c r="L2221" t="s">
        <v>1064</v>
      </c>
      <c r="M2221" t="s">
        <v>2383</v>
      </c>
      <c r="N2221" s="15" t="s">
        <v>6878</v>
      </c>
    </row>
    <row r="2222" spans="1:14" x14ac:dyDescent="0.2">
      <c r="A2222" t="s">
        <v>3334</v>
      </c>
      <c r="B2222" t="s">
        <v>2360</v>
      </c>
      <c r="C2222" s="9">
        <v>44998</v>
      </c>
      <c r="D2222" t="s">
        <v>946</v>
      </c>
      <c r="E2222" s="13">
        <v>6549825</v>
      </c>
      <c r="F2222" s="13">
        <v>5550</v>
      </c>
      <c r="G2222" s="9">
        <v>44999</v>
      </c>
      <c r="H2222" t="s">
        <v>1063</v>
      </c>
      <c r="I2222" t="s">
        <v>2382</v>
      </c>
      <c r="J2222" s="13">
        <v>145405</v>
      </c>
      <c r="K2222">
        <v>1</v>
      </c>
      <c r="L2222" t="s">
        <v>1064</v>
      </c>
      <c r="M2222" t="s">
        <v>2383</v>
      </c>
      <c r="N2222" s="15" t="s">
        <v>6878</v>
      </c>
    </row>
    <row r="2223" spans="1:14" x14ac:dyDescent="0.2">
      <c r="A2223" t="s">
        <v>3335</v>
      </c>
      <c r="B2223" t="s">
        <v>2360</v>
      </c>
      <c r="C2223" s="9">
        <v>44998</v>
      </c>
      <c r="D2223" t="s">
        <v>946</v>
      </c>
      <c r="E2223" s="13">
        <v>6549825</v>
      </c>
      <c r="F2223" s="13">
        <v>5550</v>
      </c>
      <c r="G2223" s="9">
        <v>44999</v>
      </c>
      <c r="H2223" t="s">
        <v>1063</v>
      </c>
      <c r="I2223" t="s">
        <v>2382</v>
      </c>
      <c r="J2223" s="13">
        <v>145405</v>
      </c>
      <c r="K2223">
        <v>1</v>
      </c>
      <c r="L2223" t="s">
        <v>1064</v>
      </c>
      <c r="M2223" t="s">
        <v>2383</v>
      </c>
      <c r="N2223" s="15" t="s">
        <v>6878</v>
      </c>
    </row>
    <row r="2224" spans="1:14" x14ac:dyDescent="0.2">
      <c r="A2224" t="s">
        <v>3336</v>
      </c>
      <c r="B2224" t="s">
        <v>2360</v>
      </c>
      <c r="C2224" s="9">
        <v>44998</v>
      </c>
      <c r="D2224" t="s">
        <v>946</v>
      </c>
      <c r="E2224" s="13">
        <v>5511950</v>
      </c>
      <c r="F2224" s="13">
        <v>5550</v>
      </c>
      <c r="G2224" s="9">
        <v>44999</v>
      </c>
      <c r="H2224" t="s">
        <v>1063</v>
      </c>
      <c r="I2224" t="s">
        <v>2382</v>
      </c>
      <c r="J2224" s="13">
        <v>122365</v>
      </c>
      <c r="K2224">
        <v>1</v>
      </c>
      <c r="L2224" t="s">
        <v>1064</v>
      </c>
      <c r="M2224" t="s">
        <v>2383</v>
      </c>
      <c r="N2224" s="15" t="s">
        <v>6878</v>
      </c>
    </row>
    <row r="2225" spans="1:14" x14ac:dyDescent="0.2">
      <c r="A2225" t="s">
        <v>3337</v>
      </c>
      <c r="B2225" t="s">
        <v>2360</v>
      </c>
      <c r="C2225" s="9">
        <v>44998</v>
      </c>
      <c r="D2225" t="s">
        <v>946</v>
      </c>
      <c r="E2225" s="13">
        <v>5511950</v>
      </c>
      <c r="F2225" s="13">
        <v>5550</v>
      </c>
      <c r="G2225" s="9">
        <v>44999</v>
      </c>
      <c r="H2225" t="s">
        <v>1063</v>
      </c>
      <c r="I2225" t="s">
        <v>2382</v>
      </c>
      <c r="J2225" s="13">
        <v>122365</v>
      </c>
      <c r="K2225">
        <v>1</v>
      </c>
      <c r="L2225" t="s">
        <v>1064</v>
      </c>
      <c r="M2225" t="s">
        <v>2383</v>
      </c>
      <c r="N2225" s="15" t="s">
        <v>6878</v>
      </c>
    </row>
    <row r="2226" spans="1:14" x14ac:dyDescent="0.2">
      <c r="A2226" t="s">
        <v>3338</v>
      </c>
      <c r="B2226" t="s">
        <v>2360</v>
      </c>
      <c r="C2226" s="9">
        <v>44998</v>
      </c>
      <c r="D2226" t="s">
        <v>946</v>
      </c>
      <c r="E2226" s="13">
        <v>5511950</v>
      </c>
      <c r="F2226" s="13">
        <v>5550</v>
      </c>
      <c r="G2226" s="9">
        <v>44999</v>
      </c>
      <c r="H2226" t="s">
        <v>1063</v>
      </c>
      <c r="I2226" t="s">
        <v>2382</v>
      </c>
      <c r="J2226" s="13">
        <v>122365</v>
      </c>
      <c r="K2226">
        <v>1</v>
      </c>
      <c r="L2226" t="s">
        <v>1064</v>
      </c>
      <c r="M2226" t="s">
        <v>2383</v>
      </c>
      <c r="N2226" s="15" t="s">
        <v>6878</v>
      </c>
    </row>
    <row r="2227" spans="1:14" x14ac:dyDescent="0.2">
      <c r="A2227" t="s">
        <v>3339</v>
      </c>
      <c r="B2227" t="s">
        <v>2360</v>
      </c>
      <c r="C2227" s="9">
        <v>44998</v>
      </c>
      <c r="D2227" t="s">
        <v>946</v>
      </c>
      <c r="E2227" s="13">
        <v>5511950</v>
      </c>
      <c r="F2227" s="13">
        <v>5550</v>
      </c>
      <c r="G2227" s="9">
        <v>44999</v>
      </c>
      <c r="H2227" t="s">
        <v>1063</v>
      </c>
      <c r="I2227" t="s">
        <v>2382</v>
      </c>
      <c r="J2227" s="13">
        <v>122365</v>
      </c>
      <c r="K2227">
        <v>1</v>
      </c>
      <c r="L2227" t="s">
        <v>1064</v>
      </c>
      <c r="M2227" t="s">
        <v>2383</v>
      </c>
      <c r="N2227" s="15" t="s">
        <v>6878</v>
      </c>
    </row>
    <row r="2228" spans="1:14" x14ac:dyDescent="0.2">
      <c r="A2228" t="s">
        <v>3340</v>
      </c>
      <c r="B2228" t="s">
        <v>2360</v>
      </c>
      <c r="C2228" s="9">
        <v>44998</v>
      </c>
      <c r="D2228" t="s">
        <v>946</v>
      </c>
      <c r="E2228" s="13">
        <v>6549825</v>
      </c>
      <c r="F2228" s="13">
        <v>5550</v>
      </c>
      <c r="G2228" s="9">
        <v>44999</v>
      </c>
      <c r="H2228" t="s">
        <v>1063</v>
      </c>
      <c r="I2228" t="s">
        <v>2382</v>
      </c>
      <c r="J2228" s="13">
        <v>145405</v>
      </c>
      <c r="K2228">
        <v>1</v>
      </c>
      <c r="L2228" t="s">
        <v>1064</v>
      </c>
      <c r="M2228" t="s">
        <v>2383</v>
      </c>
      <c r="N2228" s="15" t="s">
        <v>6878</v>
      </c>
    </row>
    <row r="2229" spans="1:14" x14ac:dyDescent="0.2">
      <c r="A2229" t="s">
        <v>3341</v>
      </c>
      <c r="B2229" t="s">
        <v>2360</v>
      </c>
      <c r="C2229" s="9">
        <v>44998</v>
      </c>
      <c r="D2229" t="s">
        <v>946</v>
      </c>
      <c r="E2229" s="13">
        <v>5511950</v>
      </c>
      <c r="F2229" s="13">
        <v>5550</v>
      </c>
      <c r="G2229" s="9">
        <v>44999</v>
      </c>
      <c r="H2229" t="s">
        <v>1063</v>
      </c>
      <c r="I2229" t="s">
        <v>2382</v>
      </c>
      <c r="J2229" s="13">
        <v>122365</v>
      </c>
      <c r="K2229">
        <v>1</v>
      </c>
      <c r="L2229" t="s">
        <v>1064</v>
      </c>
      <c r="M2229" t="s">
        <v>2383</v>
      </c>
      <c r="N2229" s="15" t="s">
        <v>6878</v>
      </c>
    </row>
    <row r="2230" spans="1:14" x14ac:dyDescent="0.2">
      <c r="A2230" t="s">
        <v>3342</v>
      </c>
      <c r="B2230" t="s">
        <v>2360</v>
      </c>
      <c r="C2230" s="9">
        <v>44998</v>
      </c>
      <c r="D2230" t="s">
        <v>946</v>
      </c>
      <c r="E2230" s="13">
        <v>5511950</v>
      </c>
      <c r="F2230" s="13">
        <v>5550</v>
      </c>
      <c r="G2230" s="9">
        <v>44999</v>
      </c>
      <c r="H2230" t="s">
        <v>1063</v>
      </c>
      <c r="I2230" t="s">
        <v>2382</v>
      </c>
      <c r="J2230" s="13">
        <v>122365</v>
      </c>
      <c r="K2230">
        <v>1</v>
      </c>
      <c r="L2230" t="s">
        <v>1064</v>
      </c>
      <c r="M2230" t="s">
        <v>2383</v>
      </c>
      <c r="N2230" s="15" t="s">
        <v>6878</v>
      </c>
    </row>
    <row r="2231" spans="1:14" x14ac:dyDescent="0.2">
      <c r="A2231" t="s">
        <v>3343</v>
      </c>
      <c r="B2231" t="s">
        <v>2360</v>
      </c>
      <c r="C2231" s="9">
        <v>44998</v>
      </c>
      <c r="D2231" t="s">
        <v>946</v>
      </c>
      <c r="E2231" s="13">
        <v>4700000</v>
      </c>
      <c r="F2231" s="13">
        <v>5550</v>
      </c>
      <c r="G2231" s="9">
        <v>44999</v>
      </c>
      <c r="H2231" t="s">
        <v>1063</v>
      </c>
      <c r="I2231" t="s">
        <v>2382</v>
      </c>
      <c r="J2231" s="13">
        <v>104340</v>
      </c>
      <c r="K2231">
        <v>1</v>
      </c>
      <c r="L2231" t="s">
        <v>1064</v>
      </c>
      <c r="M2231" t="s">
        <v>2383</v>
      </c>
      <c r="N2231" s="15" t="s">
        <v>6878</v>
      </c>
    </row>
    <row r="2232" spans="1:14" x14ac:dyDescent="0.2">
      <c r="A2232" t="s">
        <v>3344</v>
      </c>
      <c r="B2232" t="s">
        <v>2360</v>
      </c>
      <c r="C2232" s="9">
        <v>44998</v>
      </c>
      <c r="D2232" t="s">
        <v>946</v>
      </c>
      <c r="E2232" s="13">
        <v>5200000</v>
      </c>
      <c r="F2232" s="13">
        <v>5550</v>
      </c>
      <c r="G2232" s="9">
        <v>44999</v>
      </c>
      <c r="H2232" t="s">
        <v>1063</v>
      </c>
      <c r="I2232" t="s">
        <v>2382</v>
      </c>
      <c r="J2232" s="13">
        <v>115440</v>
      </c>
      <c r="K2232">
        <v>1</v>
      </c>
      <c r="L2232" t="s">
        <v>1064</v>
      </c>
      <c r="M2232" t="s">
        <v>2383</v>
      </c>
      <c r="N2232" s="15" t="s">
        <v>6878</v>
      </c>
    </row>
    <row r="2233" spans="1:14" x14ac:dyDescent="0.2">
      <c r="A2233" t="s">
        <v>3345</v>
      </c>
      <c r="B2233" t="s">
        <v>2360</v>
      </c>
      <c r="C2233" s="9">
        <v>44998</v>
      </c>
      <c r="D2233" t="s">
        <v>946</v>
      </c>
      <c r="E2233" s="13">
        <v>5200000</v>
      </c>
      <c r="F2233" s="13">
        <v>5550</v>
      </c>
      <c r="G2233" s="9">
        <v>44999</v>
      </c>
      <c r="H2233" t="s">
        <v>1063</v>
      </c>
      <c r="I2233" t="s">
        <v>2382</v>
      </c>
      <c r="J2233" s="13">
        <v>115440</v>
      </c>
      <c r="K2233">
        <v>1</v>
      </c>
      <c r="L2233" t="s">
        <v>1064</v>
      </c>
      <c r="M2233" t="s">
        <v>2383</v>
      </c>
      <c r="N2233" s="15" t="s">
        <v>6878</v>
      </c>
    </row>
    <row r="2234" spans="1:14" x14ac:dyDescent="0.2">
      <c r="A2234" t="s">
        <v>3346</v>
      </c>
      <c r="B2234" t="s">
        <v>2360</v>
      </c>
      <c r="C2234" s="9">
        <v>44998</v>
      </c>
      <c r="D2234" t="s">
        <v>946</v>
      </c>
      <c r="E2234" s="13">
        <v>4900000</v>
      </c>
      <c r="F2234" s="13">
        <v>5550</v>
      </c>
      <c r="G2234" s="9">
        <v>44999</v>
      </c>
      <c r="H2234" t="s">
        <v>1063</v>
      </c>
      <c r="I2234" t="s">
        <v>2382</v>
      </c>
      <c r="J2234" s="13">
        <v>108780</v>
      </c>
      <c r="K2234">
        <v>1</v>
      </c>
      <c r="L2234" t="s">
        <v>1064</v>
      </c>
      <c r="M2234" t="s">
        <v>2383</v>
      </c>
      <c r="N2234" s="15" t="s">
        <v>6878</v>
      </c>
    </row>
    <row r="2235" spans="1:14" x14ac:dyDescent="0.2">
      <c r="A2235" t="s">
        <v>3347</v>
      </c>
      <c r="B2235" t="s">
        <v>2360</v>
      </c>
      <c r="C2235" s="9">
        <v>44998</v>
      </c>
      <c r="D2235" t="s">
        <v>946</v>
      </c>
      <c r="E2235" s="13">
        <v>4700000</v>
      </c>
      <c r="F2235" s="13">
        <v>5550</v>
      </c>
      <c r="G2235" s="9">
        <v>44999</v>
      </c>
      <c r="H2235" t="s">
        <v>1063</v>
      </c>
      <c r="I2235" t="s">
        <v>2382</v>
      </c>
      <c r="J2235" s="13">
        <v>104340</v>
      </c>
      <c r="K2235">
        <v>1</v>
      </c>
      <c r="L2235" t="s">
        <v>1064</v>
      </c>
      <c r="M2235" t="s">
        <v>2383</v>
      </c>
      <c r="N2235" s="15" t="s">
        <v>6878</v>
      </c>
    </row>
    <row r="2236" spans="1:14" x14ac:dyDescent="0.2">
      <c r="A2236" t="s">
        <v>3348</v>
      </c>
      <c r="B2236" t="s">
        <v>2360</v>
      </c>
      <c r="C2236" s="9">
        <v>44998</v>
      </c>
      <c r="D2236" t="s">
        <v>946</v>
      </c>
      <c r="E2236" s="13">
        <v>4100000</v>
      </c>
      <c r="F2236" s="13">
        <v>5550</v>
      </c>
      <c r="G2236" s="9">
        <v>44999</v>
      </c>
      <c r="H2236" t="s">
        <v>1063</v>
      </c>
      <c r="I2236" t="s">
        <v>2382</v>
      </c>
      <c r="J2236" s="13">
        <v>91020</v>
      </c>
      <c r="K2236">
        <v>1</v>
      </c>
      <c r="L2236" t="s">
        <v>1064</v>
      </c>
      <c r="M2236" t="s">
        <v>2383</v>
      </c>
      <c r="N2236" s="15" t="s">
        <v>6878</v>
      </c>
    </row>
    <row r="2237" spans="1:14" x14ac:dyDescent="0.2">
      <c r="A2237" t="s">
        <v>3349</v>
      </c>
      <c r="B2237" t="s">
        <v>2360</v>
      </c>
      <c r="C2237" s="9">
        <v>44998</v>
      </c>
      <c r="D2237" t="s">
        <v>946</v>
      </c>
      <c r="E2237" s="13">
        <v>4700000</v>
      </c>
      <c r="F2237" s="13">
        <v>5550</v>
      </c>
      <c r="G2237" s="9">
        <v>44999</v>
      </c>
      <c r="H2237" t="s">
        <v>1063</v>
      </c>
      <c r="I2237" t="s">
        <v>2382</v>
      </c>
      <c r="J2237" s="13">
        <v>104340</v>
      </c>
      <c r="K2237">
        <v>1</v>
      </c>
      <c r="L2237" t="s">
        <v>1064</v>
      </c>
      <c r="M2237" t="s">
        <v>2383</v>
      </c>
      <c r="N2237" s="15" t="s">
        <v>6878</v>
      </c>
    </row>
    <row r="2238" spans="1:14" x14ac:dyDescent="0.2">
      <c r="A2238" t="s">
        <v>3350</v>
      </c>
      <c r="B2238" t="s">
        <v>2360</v>
      </c>
      <c r="C2238" s="9">
        <v>44998</v>
      </c>
      <c r="D2238" t="s">
        <v>946</v>
      </c>
      <c r="E2238" s="13">
        <v>4100000</v>
      </c>
      <c r="F2238" s="13">
        <v>5550</v>
      </c>
      <c r="G2238" s="9">
        <v>44999</v>
      </c>
      <c r="H2238" t="s">
        <v>1063</v>
      </c>
      <c r="I2238" t="s">
        <v>2382</v>
      </c>
      <c r="J2238" s="13">
        <v>91020</v>
      </c>
      <c r="K2238">
        <v>1</v>
      </c>
      <c r="L2238" t="s">
        <v>1064</v>
      </c>
      <c r="M2238" t="s">
        <v>2383</v>
      </c>
      <c r="N2238" s="15" t="s">
        <v>6878</v>
      </c>
    </row>
    <row r="2239" spans="1:14" x14ac:dyDescent="0.2">
      <c r="A2239" t="s">
        <v>3351</v>
      </c>
      <c r="B2239" t="s">
        <v>2360</v>
      </c>
      <c r="C2239" s="9">
        <v>44998</v>
      </c>
      <c r="D2239" t="s">
        <v>946</v>
      </c>
      <c r="E2239" s="13">
        <v>4100000</v>
      </c>
      <c r="F2239" s="13">
        <v>5550</v>
      </c>
      <c r="G2239" s="9">
        <v>44999</v>
      </c>
      <c r="H2239" t="s">
        <v>1063</v>
      </c>
      <c r="I2239" t="s">
        <v>2382</v>
      </c>
      <c r="J2239" s="13">
        <v>91020</v>
      </c>
      <c r="K2239">
        <v>1</v>
      </c>
      <c r="L2239" t="s">
        <v>1064</v>
      </c>
      <c r="M2239" t="s">
        <v>2383</v>
      </c>
      <c r="N2239" s="15" t="s">
        <v>6878</v>
      </c>
    </row>
    <row r="2240" spans="1:14" x14ac:dyDescent="0.2">
      <c r="A2240" t="s">
        <v>3352</v>
      </c>
      <c r="B2240" t="s">
        <v>2360</v>
      </c>
      <c r="C2240" s="9">
        <v>44998</v>
      </c>
      <c r="D2240" t="s">
        <v>946</v>
      </c>
      <c r="E2240" s="13">
        <v>5600000</v>
      </c>
      <c r="F2240" s="13">
        <v>5550</v>
      </c>
      <c r="G2240" s="9">
        <v>44999</v>
      </c>
      <c r="H2240" t="s">
        <v>1063</v>
      </c>
      <c r="I2240" t="s">
        <v>2382</v>
      </c>
      <c r="J2240" s="13">
        <v>124320</v>
      </c>
      <c r="K2240">
        <v>1</v>
      </c>
      <c r="L2240" t="s">
        <v>1064</v>
      </c>
      <c r="M2240" t="s">
        <v>2383</v>
      </c>
      <c r="N2240" s="15" t="s">
        <v>6878</v>
      </c>
    </row>
    <row r="2241" spans="1:14" x14ac:dyDescent="0.2">
      <c r="A2241" t="s">
        <v>3353</v>
      </c>
      <c r="B2241" t="s">
        <v>2360</v>
      </c>
      <c r="C2241" s="9">
        <v>44998</v>
      </c>
      <c r="D2241" t="s">
        <v>946</v>
      </c>
      <c r="E2241" s="13">
        <v>5750000</v>
      </c>
      <c r="F2241" s="13">
        <v>5550</v>
      </c>
      <c r="G2241" s="9">
        <v>44999</v>
      </c>
      <c r="H2241" t="s">
        <v>1063</v>
      </c>
      <c r="I2241" t="s">
        <v>2382</v>
      </c>
      <c r="J2241" s="13">
        <v>127650</v>
      </c>
      <c r="K2241">
        <v>1</v>
      </c>
      <c r="L2241" t="s">
        <v>1064</v>
      </c>
      <c r="M2241" t="s">
        <v>2383</v>
      </c>
      <c r="N2241" s="15" t="s">
        <v>6878</v>
      </c>
    </row>
    <row r="2242" spans="1:14" x14ac:dyDescent="0.2">
      <c r="A2242" t="s">
        <v>3354</v>
      </c>
      <c r="B2242" t="s">
        <v>2360</v>
      </c>
      <c r="C2242" s="9">
        <v>44998</v>
      </c>
      <c r="D2242" t="s">
        <v>946</v>
      </c>
      <c r="E2242" s="13">
        <v>4700000</v>
      </c>
      <c r="F2242" s="13">
        <v>5550</v>
      </c>
      <c r="G2242" s="9">
        <v>44999</v>
      </c>
      <c r="H2242" t="s">
        <v>1063</v>
      </c>
      <c r="I2242" t="s">
        <v>2382</v>
      </c>
      <c r="J2242" s="13">
        <v>104340</v>
      </c>
      <c r="K2242">
        <v>1</v>
      </c>
      <c r="L2242" t="s">
        <v>1064</v>
      </c>
      <c r="M2242" t="s">
        <v>2383</v>
      </c>
      <c r="N2242" s="15" t="s">
        <v>6878</v>
      </c>
    </row>
    <row r="2243" spans="1:14" x14ac:dyDescent="0.2">
      <c r="A2243" t="s">
        <v>3355</v>
      </c>
      <c r="B2243" t="s">
        <v>2360</v>
      </c>
      <c r="C2243" s="9">
        <v>44998</v>
      </c>
      <c r="D2243" t="s">
        <v>946</v>
      </c>
      <c r="E2243" s="13">
        <v>2700000</v>
      </c>
      <c r="F2243" s="13">
        <v>5550</v>
      </c>
      <c r="G2243" s="9">
        <v>44999</v>
      </c>
      <c r="H2243" t="s">
        <v>1063</v>
      </c>
      <c r="I2243" t="s">
        <v>2382</v>
      </c>
      <c r="J2243" s="13">
        <v>59940</v>
      </c>
      <c r="K2243">
        <v>1</v>
      </c>
      <c r="L2243" t="s">
        <v>1064</v>
      </c>
      <c r="M2243" t="s">
        <v>2383</v>
      </c>
      <c r="N2243" s="15" t="s">
        <v>6878</v>
      </c>
    </row>
    <row r="2244" spans="1:14" x14ac:dyDescent="0.2">
      <c r="A2244" t="s">
        <v>3356</v>
      </c>
      <c r="B2244" t="s">
        <v>2360</v>
      </c>
      <c r="C2244" s="9">
        <v>44998</v>
      </c>
      <c r="D2244" t="s">
        <v>946</v>
      </c>
      <c r="E2244" s="13">
        <v>3150000</v>
      </c>
      <c r="F2244" s="13">
        <v>5550</v>
      </c>
      <c r="G2244" s="9">
        <v>44999</v>
      </c>
      <c r="H2244" t="s">
        <v>1063</v>
      </c>
      <c r="I2244" t="s">
        <v>2382</v>
      </c>
      <c r="J2244" s="13">
        <v>69930</v>
      </c>
      <c r="K2244">
        <v>1</v>
      </c>
      <c r="L2244" t="s">
        <v>1064</v>
      </c>
      <c r="M2244" t="s">
        <v>2383</v>
      </c>
      <c r="N2244" s="15" t="s">
        <v>6878</v>
      </c>
    </row>
    <row r="2245" spans="1:14" x14ac:dyDescent="0.2">
      <c r="A2245" t="s">
        <v>3357</v>
      </c>
      <c r="B2245" t="s">
        <v>2360</v>
      </c>
      <c r="C2245" s="9">
        <v>44998</v>
      </c>
      <c r="D2245" t="s">
        <v>946</v>
      </c>
      <c r="E2245" s="13">
        <v>2100000</v>
      </c>
      <c r="F2245" s="13">
        <v>5550</v>
      </c>
      <c r="G2245" s="9">
        <v>44999</v>
      </c>
      <c r="H2245" t="s">
        <v>1063</v>
      </c>
      <c r="I2245" t="s">
        <v>2382</v>
      </c>
      <c r="J2245" s="13">
        <v>46620</v>
      </c>
      <c r="K2245">
        <v>1</v>
      </c>
      <c r="L2245" t="s">
        <v>1064</v>
      </c>
      <c r="M2245" t="s">
        <v>2383</v>
      </c>
      <c r="N2245" s="15" t="s">
        <v>6878</v>
      </c>
    </row>
    <row r="2246" spans="1:14" x14ac:dyDescent="0.2">
      <c r="A2246" t="s">
        <v>3358</v>
      </c>
      <c r="B2246" t="s">
        <v>2360</v>
      </c>
      <c r="C2246" s="9">
        <v>44998</v>
      </c>
      <c r="D2246" t="s">
        <v>946</v>
      </c>
      <c r="E2246" s="13">
        <v>3600000</v>
      </c>
      <c r="F2246" s="13">
        <v>5550</v>
      </c>
      <c r="G2246" s="9">
        <v>44999</v>
      </c>
      <c r="H2246" t="s">
        <v>1063</v>
      </c>
      <c r="I2246" t="s">
        <v>2382</v>
      </c>
      <c r="J2246" s="13">
        <v>79920</v>
      </c>
      <c r="K2246">
        <v>1</v>
      </c>
      <c r="L2246" t="s">
        <v>1064</v>
      </c>
      <c r="M2246" t="s">
        <v>2383</v>
      </c>
      <c r="N2246" s="15" t="s">
        <v>6878</v>
      </c>
    </row>
    <row r="2247" spans="1:14" x14ac:dyDescent="0.2">
      <c r="A2247" t="s">
        <v>3359</v>
      </c>
      <c r="B2247" t="s">
        <v>2360</v>
      </c>
      <c r="C2247" s="9">
        <v>44998</v>
      </c>
      <c r="D2247" t="s">
        <v>946</v>
      </c>
      <c r="E2247" s="13">
        <v>2250000</v>
      </c>
      <c r="F2247" s="13">
        <v>5550</v>
      </c>
      <c r="G2247" s="9">
        <v>44999</v>
      </c>
      <c r="H2247" t="s">
        <v>1063</v>
      </c>
      <c r="I2247" t="s">
        <v>2382</v>
      </c>
      <c r="J2247" s="13">
        <v>49950</v>
      </c>
      <c r="K2247">
        <v>1</v>
      </c>
      <c r="L2247" t="s">
        <v>1064</v>
      </c>
      <c r="M2247" t="s">
        <v>2383</v>
      </c>
      <c r="N2247" s="15" t="s">
        <v>6878</v>
      </c>
    </row>
    <row r="2248" spans="1:14" x14ac:dyDescent="0.2">
      <c r="A2248" t="s">
        <v>3360</v>
      </c>
      <c r="B2248" t="s">
        <v>2360</v>
      </c>
      <c r="C2248" s="9">
        <v>44998</v>
      </c>
      <c r="D2248" t="s">
        <v>946</v>
      </c>
      <c r="E2248" s="13">
        <v>4700000</v>
      </c>
      <c r="F2248" s="13">
        <v>5550</v>
      </c>
      <c r="G2248" s="9">
        <v>44999</v>
      </c>
      <c r="H2248" t="s">
        <v>1063</v>
      </c>
      <c r="I2248" t="s">
        <v>2382</v>
      </c>
      <c r="J2248" s="13">
        <v>104340</v>
      </c>
      <c r="K2248">
        <v>1</v>
      </c>
      <c r="L2248" t="s">
        <v>1064</v>
      </c>
      <c r="M2248" t="s">
        <v>2383</v>
      </c>
      <c r="N2248" s="15" t="s">
        <v>6878</v>
      </c>
    </row>
    <row r="2249" spans="1:14" x14ac:dyDescent="0.2">
      <c r="A2249" t="s">
        <v>3361</v>
      </c>
      <c r="B2249" t="s">
        <v>2360</v>
      </c>
      <c r="C2249" s="9">
        <v>44998</v>
      </c>
      <c r="D2249" t="s">
        <v>946</v>
      </c>
      <c r="E2249" s="13">
        <v>4700000</v>
      </c>
      <c r="F2249" s="13">
        <v>5550</v>
      </c>
      <c r="G2249" s="9">
        <v>44999</v>
      </c>
      <c r="H2249" t="s">
        <v>1063</v>
      </c>
      <c r="I2249" t="s">
        <v>2382</v>
      </c>
      <c r="J2249" s="13">
        <v>104340</v>
      </c>
      <c r="K2249">
        <v>1</v>
      </c>
      <c r="L2249" t="s">
        <v>1064</v>
      </c>
      <c r="M2249" t="s">
        <v>2383</v>
      </c>
      <c r="N2249" s="15" t="s">
        <v>6878</v>
      </c>
    </row>
    <row r="2250" spans="1:14" x14ac:dyDescent="0.2">
      <c r="A2250" t="s">
        <v>3362</v>
      </c>
      <c r="B2250" t="s">
        <v>2360</v>
      </c>
      <c r="C2250" s="9">
        <v>44998</v>
      </c>
      <c r="D2250" t="s">
        <v>946</v>
      </c>
      <c r="E2250" s="13">
        <v>4200000</v>
      </c>
      <c r="F2250" s="13">
        <v>5550</v>
      </c>
      <c r="G2250" s="9">
        <v>44999</v>
      </c>
      <c r="H2250" t="s">
        <v>1063</v>
      </c>
      <c r="I2250" t="s">
        <v>2382</v>
      </c>
      <c r="J2250" s="13">
        <v>93240</v>
      </c>
      <c r="K2250">
        <v>1</v>
      </c>
      <c r="L2250" t="s">
        <v>1064</v>
      </c>
      <c r="M2250" t="s">
        <v>2383</v>
      </c>
      <c r="N2250" s="15" t="s">
        <v>6878</v>
      </c>
    </row>
    <row r="2251" spans="1:14" x14ac:dyDescent="0.2">
      <c r="A2251" t="s">
        <v>3363</v>
      </c>
      <c r="B2251" t="s">
        <v>2360</v>
      </c>
      <c r="C2251" s="9">
        <v>44998</v>
      </c>
      <c r="D2251" t="s">
        <v>946</v>
      </c>
      <c r="E2251" s="13">
        <v>4100000</v>
      </c>
      <c r="F2251" s="13">
        <v>5550</v>
      </c>
      <c r="G2251" s="9">
        <v>44999</v>
      </c>
      <c r="H2251" t="s">
        <v>1063</v>
      </c>
      <c r="I2251" t="s">
        <v>2382</v>
      </c>
      <c r="J2251" s="13">
        <v>91020</v>
      </c>
      <c r="K2251">
        <v>1</v>
      </c>
      <c r="L2251" t="s">
        <v>1064</v>
      </c>
      <c r="M2251" t="s">
        <v>2383</v>
      </c>
      <c r="N2251" s="15" t="s">
        <v>6878</v>
      </c>
    </row>
    <row r="2252" spans="1:14" x14ac:dyDescent="0.2">
      <c r="A2252" t="s">
        <v>3364</v>
      </c>
      <c r="B2252" t="s">
        <v>2360</v>
      </c>
      <c r="C2252" s="9">
        <v>44998</v>
      </c>
      <c r="D2252" t="s">
        <v>946</v>
      </c>
      <c r="E2252" s="13">
        <v>5600000</v>
      </c>
      <c r="F2252" s="13">
        <v>5550</v>
      </c>
      <c r="G2252" s="9">
        <v>44999</v>
      </c>
      <c r="H2252" t="s">
        <v>1063</v>
      </c>
      <c r="I2252" t="s">
        <v>2382</v>
      </c>
      <c r="J2252" s="13">
        <v>124320</v>
      </c>
      <c r="K2252">
        <v>1</v>
      </c>
      <c r="L2252" t="s">
        <v>1064</v>
      </c>
      <c r="M2252" t="s">
        <v>2383</v>
      </c>
      <c r="N2252" s="15" t="s">
        <v>6878</v>
      </c>
    </row>
    <row r="2253" spans="1:14" x14ac:dyDescent="0.2">
      <c r="A2253" t="s">
        <v>3365</v>
      </c>
      <c r="B2253" t="s">
        <v>2360</v>
      </c>
      <c r="C2253" s="9">
        <v>44998</v>
      </c>
      <c r="D2253" t="s">
        <v>946</v>
      </c>
      <c r="E2253" s="13">
        <v>4700000</v>
      </c>
      <c r="F2253" s="13">
        <v>5550</v>
      </c>
      <c r="G2253" s="9">
        <v>44999</v>
      </c>
      <c r="H2253" t="s">
        <v>1063</v>
      </c>
      <c r="I2253" t="s">
        <v>2382</v>
      </c>
      <c r="J2253" s="13">
        <v>104340</v>
      </c>
      <c r="K2253">
        <v>1</v>
      </c>
      <c r="L2253" t="s">
        <v>1064</v>
      </c>
      <c r="M2253" t="s">
        <v>2383</v>
      </c>
      <c r="N2253" s="15" t="s">
        <v>6878</v>
      </c>
    </row>
    <row r="2254" spans="1:14" x14ac:dyDescent="0.2">
      <c r="A2254" t="s">
        <v>3366</v>
      </c>
      <c r="B2254" t="s">
        <v>2360</v>
      </c>
      <c r="C2254" s="9">
        <v>44998</v>
      </c>
      <c r="D2254" t="s">
        <v>946</v>
      </c>
      <c r="E2254" s="13">
        <v>4100000</v>
      </c>
      <c r="F2254" s="13">
        <v>5550</v>
      </c>
      <c r="G2254" s="9">
        <v>44999</v>
      </c>
      <c r="H2254" t="s">
        <v>1063</v>
      </c>
      <c r="I2254" t="s">
        <v>2382</v>
      </c>
      <c r="J2254" s="13">
        <v>91020</v>
      </c>
      <c r="K2254">
        <v>1</v>
      </c>
      <c r="L2254" t="s">
        <v>1064</v>
      </c>
      <c r="M2254" t="s">
        <v>2383</v>
      </c>
      <c r="N2254" s="15" t="s">
        <v>6878</v>
      </c>
    </row>
    <row r="2255" spans="1:14" x14ac:dyDescent="0.2">
      <c r="A2255" t="s">
        <v>3367</v>
      </c>
      <c r="B2255" t="s">
        <v>2360</v>
      </c>
      <c r="C2255" s="9">
        <v>44998</v>
      </c>
      <c r="D2255" t="s">
        <v>946</v>
      </c>
      <c r="E2255" s="13">
        <v>4700000</v>
      </c>
      <c r="F2255" s="13">
        <v>5550</v>
      </c>
      <c r="G2255" s="9">
        <v>44999</v>
      </c>
      <c r="H2255" t="s">
        <v>1063</v>
      </c>
      <c r="I2255" t="s">
        <v>2382</v>
      </c>
      <c r="J2255" s="13">
        <v>104340</v>
      </c>
      <c r="K2255">
        <v>1</v>
      </c>
      <c r="L2255" t="s">
        <v>1064</v>
      </c>
      <c r="M2255" t="s">
        <v>2383</v>
      </c>
      <c r="N2255" s="15" t="s">
        <v>6878</v>
      </c>
    </row>
    <row r="2256" spans="1:14" x14ac:dyDescent="0.2">
      <c r="A2256" t="s">
        <v>3368</v>
      </c>
      <c r="B2256" t="s">
        <v>2360</v>
      </c>
      <c r="C2256" s="9">
        <v>44998</v>
      </c>
      <c r="D2256" t="s">
        <v>946</v>
      </c>
      <c r="E2256" s="13">
        <v>4200000</v>
      </c>
      <c r="F2256" s="13">
        <v>5550</v>
      </c>
      <c r="G2256" s="9">
        <v>44999</v>
      </c>
      <c r="H2256" t="s">
        <v>1063</v>
      </c>
      <c r="I2256" t="s">
        <v>2382</v>
      </c>
      <c r="J2256" s="13">
        <v>93240</v>
      </c>
      <c r="K2256">
        <v>1</v>
      </c>
      <c r="L2256" t="s">
        <v>1064</v>
      </c>
      <c r="M2256" t="s">
        <v>2383</v>
      </c>
      <c r="N2256" s="15" t="s">
        <v>6878</v>
      </c>
    </row>
    <row r="2257" spans="1:14" x14ac:dyDescent="0.2">
      <c r="A2257" t="s">
        <v>3369</v>
      </c>
      <c r="B2257" t="s">
        <v>2360</v>
      </c>
      <c r="C2257" s="9">
        <v>44998</v>
      </c>
      <c r="D2257" t="s">
        <v>946</v>
      </c>
      <c r="E2257" s="13">
        <v>4900000</v>
      </c>
      <c r="F2257" s="13">
        <v>5550</v>
      </c>
      <c r="G2257" s="9">
        <v>44999</v>
      </c>
      <c r="H2257" t="s">
        <v>1063</v>
      </c>
      <c r="I2257" t="s">
        <v>2382</v>
      </c>
      <c r="J2257" s="13">
        <v>108780</v>
      </c>
      <c r="K2257">
        <v>1</v>
      </c>
      <c r="L2257" t="s">
        <v>1064</v>
      </c>
      <c r="M2257" t="s">
        <v>2383</v>
      </c>
      <c r="N2257" s="15" t="s">
        <v>6878</v>
      </c>
    </row>
    <row r="2258" spans="1:14" x14ac:dyDescent="0.2">
      <c r="A2258" t="s">
        <v>3370</v>
      </c>
      <c r="B2258" t="s">
        <v>2360</v>
      </c>
      <c r="C2258" s="9">
        <v>44998</v>
      </c>
      <c r="D2258" t="s">
        <v>946</v>
      </c>
      <c r="E2258" s="13">
        <v>4900000</v>
      </c>
      <c r="F2258" s="13">
        <v>5550</v>
      </c>
      <c r="G2258" s="9">
        <v>44999</v>
      </c>
      <c r="H2258" t="s">
        <v>1063</v>
      </c>
      <c r="I2258" t="s">
        <v>2382</v>
      </c>
      <c r="J2258" s="13">
        <v>108780</v>
      </c>
      <c r="K2258">
        <v>1</v>
      </c>
      <c r="L2258" t="s">
        <v>1064</v>
      </c>
      <c r="M2258" t="s">
        <v>2383</v>
      </c>
      <c r="N2258" s="15" t="s">
        <v>6878</v>
      </c>
    </row>
    <row r="2259" spans="1:14" x14ac:dyDescent="0.2">
      <c r="A2259" t="s">
        <v>3371</v>
      </c>
      <c r="B2259" t="s">
        <v>2360</v>
      </c>
      <c r="C2259" s="9">
        <v>44998</v>
      </c>
      <c r="D2259" t="s">
        <v>946</v>
      </c>
      <c r="E2259" s="13">
        <v>4900000</v>
      </c>
      <c r="F2259" s="13">
        <v>5550</v>
      </c>
      <c r="G2259" s="9">
        <v>44999</v>
      </c>
      <c r="H2259" t="s">
        <v>1063</v>
      </c>
      <c r="I2259" t="s">
        <v>2382</v>
      </c>
      <c r="J2259" s="13">
        <v>108780</v>
      </c>
      <c r="K2259">
        <v>1</v>
      </c>
      <c r="L2259" t="s">
        <v>1064</v>
      </c>
      <c r="M2259" t="s">
        <v>2383</v>
      </c>
      <c r="N2259" s="15" t="s">
        <v>6878</v>
      </c>
    </row>
    <row r="2260" spans="1:14" x14ac:dyDescent="0.2">
      <c r="A2260" t="s">
        <v>3372</v>
      </c>
      <c r="B2260" t="s">
        <v>2360</v>
      </c>
      <c r="C2260" s="9">
        <v>44998</v>
      </c>
      <c r="D2260" t="s">
        <v>946</v>
      </c>
      <c r="E2260" s="13">
        <v>4500000</v>
      </c>
      <c r="F2260" s="13">
        <v>5550</v>
      </c>
      <c r="G2260" s="9">
        <v>44999</v>
      </c>
      <c r="H2260" t="s">
        <v>1063</v>
      </c>
      <c r="I2260" t="s">
        <v>2382</v>
      </c>
      <c r="J2260" s="13">
        <v>99900</v>
      </c>
      <c r="K2260">
        <v>1</v>
      </c>
      <c r="L2260" t="s">
        <v>1064</v>
      </c>
      <c r="M2260" t="s">
        <v>2383</v>
      </c>
      <c r="N2260" s="15" t="s">
        <v>6878</v>
      </c>
    </row>
    <row r="2261" spans="1:14" x14ac:dyDescent="0.2">
      <c r="A2261" t="s">
        <v>3373</v>
      </c>
      <c r="B2261" t="s">
        <v>2360</v>
      </c>
      <c r="C2261" s="9">
        <v>44998</v>
      </c>
      <c r="D2261" t="s">
        <v>946</v>
      </c>
      <c r="E2261" s="13">
        <v>4200000</v>
      </c>
      <c r="F2261" s="13">
        <v>5550</v>
      </c>
      <c r="G2261" s="9">
        <v>44999</v>
      </c>
      <c r="H2261" t="s">
        <v>1063</v>
      </c>
      <c r="I2261" t="s">
        <v>2382</v>
      </c>
      <c r="J2261" s="13">
        <v>93240</v>
      </c>
      <c r="K2261">
        <v>1</v>
      </c>
      <c r="L2261" t="s">
        <v>1064</v>
      </c>
      <c r="M2261" t="s">
        <v>2383</v>
      </c>
      <c r="N2261" s="15" t="s">
        <v>6878</v>
      </c>
    </row>
    <row r="2262" spans="1:14" x14ac:dyDescent="0.2">
      <c r="A2262" t="s">
        <v>3374</v>
      </c>
      <c r="B2262" t="s">
        <v>2360</v>
      </c>
      <c r="C2262" s="9">
        <v>44998</v>
      </c>
      <c r="D2262" t="s">
        <v>946</v>
      </c>
      <c r="E2262" s="13">
        <v>4700000</v>
      </c>
      <c r="F2262" s="13">
        <v>5550</v>
      </c>
      <c r="G2262" s="9">
        <v>44999</v>
      </c>
      <c r="H2262" t="s">
        <v>1063</v>
      </c>
      <c r="I2262" t="s">
        <v>2382</v>
      </c>
      <c r="J2262" s="13">
        <v>104340</v>
      </c>
      <c r="K2262">
        <v>1</v>
      </c>
      <c r="L2262" t="s">
        <v>1064</v>
      </c>
      <c r="M2262" t="s">
        <v>2383</v>
      </c>
      <c r="N2262" s="15" t="s">
        <v>6878</v>
      </c>
    </row>
    <row r="2263" spans="1:14" x14ac:dyDescent="0.2">
      <c r="A2263" t="s">
        <v>3375</v>
      </c>
      <c r="B2263" t="s">
        <v>2360</v>
      </c>
      <c r="C2263" s="9">
        <v>44998</v>
      </c>
      <c r="D2263" t="s">
        <v>946</v>
      </c>
      <c r="E2263" s="13">
        <v>500000</v>
      </c>
      <c r="F2263" s="13">
        <v>5550</v>
      </c>
      <c r="G2263" s="9">
        <v>44999</v>
      </c>
      <c r="H2263" t="s">
        <v>1063</v>
      </c>
      <c r="I2263" t="s">
        <v>2382</v>
      </c>
      <c r="J2263" s="13">
        <v>11100</v>
      </c>
      <c r="K2263">
        <v>1</v>
      </c>
      <c r="L2263" t="s">
        <v>1064</v>
      </c>
      <c r="M2263" t="s">
        <v>2383</v>
      </c>
      <c r="N2263" s="15" t="s">
        <v>6878</v>
      </c>
    </row>
    <row r="2264" spans="1:14" x14ac:dyDescent="0.2">
      <c r="A2264" t="s">
        <v>3376</v>
      </c>
      <c r="B2264" t="s">
        <v>2360</v>
      </c>
      <c r="C2264" s="9">
        <v>44998</v>
      </c>
      <c r="D2264" t="s">
        <v>946</v>
      </c>
      <c r="E2264" s="13">
        <v>4700000</v>
      </c>
      <c r="F2264" s="13">
        <v>5550</v>
      </c>
      <c r="G2264" s="9">
        <v>44999</v>
      </c>
      <c r="H2264" t="s">
        <v>1063</v>
      </c>
      <c r="I2264" t="s">
        <v>2382</v>
      </c>
      <c r="J2264" s="13">
        <v>104340</v>
      </c>
      <c r="K2264">
        <v>1</v>
      </c>
      <c r="L2264" t="s">
        <v>1064</v>
      </c>
      <c r="M2264" t="s">
        <v>2383</v>
      </c>
      <c r="N2264" s="15" t="s">
        <v>6878</v>
      </c>
    </row>
    <row r="2265" spans="1:14" x14ac:dyDescent="0.2">
      <c r="A2265" t="s">
        <v>3377</v>
      </c>
      <c r="B2265" t="s">
        <v>2360</v>
      </c>
      <c r="C2265" s="9">
        <v>44998</v>
      </c>
      <c r="D2265" t="s">
        <v>946</v>
      </c>
      <c r="E2265" s="13">
        <v>500000</v>
      </c>
      <c r="F2265" s="13">
        <v>5550</v>
      </c>
      <c r="G2265" s="9">
        <v>44999</v>
      </c>
      <c r="H2265" t="s">
        <v>1063</v>
      </c>
      <c r="I2265" t="s">
        <v>2382</v>
      </c>
      <c r="J2265" s="13">
        <v>11100</v>
      </c>
      <c r="K2265">
        <v>1</v>
      </c>
      <c r="L2265" t="s">
        <v>1064</v>
      </c>
      <c r="M2265" t="s">
        <v>2383</v>
      </c>
      <c r="N2265" s="15" t="s">
        <v>6878</v>
      </c>
    </row>
    <row r="2266" spans="1:14" x14ac:dyDescent="0.2">
      <c r="A2266" t="s">
        <v>3378</v>
      </c>
      <c r="B2266" t="s">
        <v>2360</v>
      </c>
      <c r="C2266" s="9">
        <v>44998</v>
      </c>
      <c r="D2266" t="s">
        <v>946</v>
      </c>
      <c r="E2266" s="13">
        <v>4900000</v>
      </c>
      <c r="F2266" s="13">
        <v>5550</v>
      </c>
      <c r="G2266" s="9">
        <v>44999</v>
      </c>
      <c r="H2266" t="s">
        <v>1063</v>
      </c>
      <c r="I2266" t="s">
        <v>2382</v>
      </c>
      <c r="J2266" s="13">
        <v>108780</v>
      </c>
      <c r="K2266">
        <v>1</v>
      </c>
      <c r="L2266" t="s">
        <v>1064</v>
      </c>
      <c r="M2266" t="s">
        <v>2383</v>
      </c>
      <c r="N2266" s="15" t="s">
        <v>6878</v>
      </c>
    </row>
    <row r="2267" spans="1:14" x14ac:dyDescent="0.2">
      <c r="A2267" t="s">
        <v>3379</v>
      </c>
      <c r="B2267" t="s">
        <v>2360</v>
      </c>
      <c r="C2267" s="9">
        <v>44998</v>
      </c>
      <c r="D2267" t="s">
        <v>946</v>
      </c>
      <c r="E2267" s="13">
        <v>4900000</v>
      </c>
      <c r="F2267" s="13">
        <v>5550</v>
      </c>
      <c r="G2267" s="9">
        <v>44999</v>
      </c>
      <c r="H2267" t="s">
        <v>1063</v>
      </c>
      <c r="I2267" t="s">
        <v>2382</v>
      </c>
      <c r="J2267" s="13">
        <v>108780</v>
      </c>
      <c r="K2267">
        <v>1</v>
      </c>
      <c r="L2267" t="s">
        <v>1064</v>
      </c>
      <c r="M2267" t="s">
        <v>2383</v>
      </c>
      <c r="N2267" s="15" t="s">
        <v>6878</v>
      </c>
    </row>
    <row r="2268" spans="1:14" x14ac:dyDescent="0.2">
      <c r="A2268" t="s">
        <v>3380</v>
      </c>
      <c r="B2268" t="s">
        <v>2360</v>
      </c>
      <c r="C2268" s="9">
        <v>44998</v>
      </c>
      <c r="D2268" t="s">
        <v>946</v>
      </c>
      <c r="E2268" s="13">
        <v>4900000</v>
      </c>
      <c r="F2268" s="13">
        <v>5550</v>
      </c>
      <c r="G2268" s="9">
        <v>44999</v>
      </c>
      <c r="H2268" t="s">
        <v>1063</v>
      </c>
      <c r="I2268" t="s">
        <v>2382</v>
      </c>
      <c r="J2268" s="13">
        <v>108780</v>
      </c>
      <c r="K2268">
        <v>1</v>
      </c>
      <c r="L2268" t="s">
        <v>1064</v>
      </c>
      <c r="M2268" t="s">
        <v>2383</v>
      </c>
      <c r="N2268" s="15" t="s">
        <v>6878</v>
      </c>
    </row>
    <row r="2269" spans="1:14" x14ac:dyDescent="0.2">
      <c r="A2269" t="s">
        <v>3381</v>
      </c>
      <c r="B2269" t="s">
        <v>2360</v>
      </c>
      <c r="C2269" s="9">
        <v>44998</v>
      </c>
      <c r="D2269" t="s">
        <v>946</v>
      </c>
      <c r="E2269" s="13">
        <v>4900000</v>
      </c>
      <c r="F2269" s="13">
        <v>5550</v>
      </c>
      <c r="G2269" s="9">
        <v>44999</v>
      </c>
      <c r="H2269" t="s">
        <v>1063</v>
      </c>
      <c r="I2269" t="s">
        <v>2382</v>
      </c>
      <c r="J2269" s="13">
        <v>108780</v>
      </c>
      <c r="K2269">
        <v>1</v>
      </c>
      <c r="L2269" t="s">
        <v>1064</v>
      </c>
      <c r="M2269" t="s">
        <v>2383</v>
      </c>
      <c r="N2269" s="15" t="s">
        <v>6878</v>
      </c>
    </row>
    <row r="2270" spans="1:14" x14ac:dyDescent="0.2">
      <c r="A2270" t="s">
        <v>3382</v>
      </c>
      <c r="B2270" t="s">
        <v>2360</v>
      </c>
      <c r="C2270" s="9">
        <v>44998</v>
      </c>
      <c r="D2270" t="s">
        <v>946</v>
      </c>
      <c r="E2270" s="13">
        <v>4700000</v>
      </c>
      <c r="F2270" s="13">
        <v>5550</v>
      </c>
      <c r="G2270" s="9">
        <v>44999</v>
      </c>
      <c r="H2270" t="s">
        <v>1063</v>
      </c>
      <c r="I2270" t="s">
        <v>2382</v>
      </c>
      <c r="J2270" s="13">
        <v>104340</v>
      </c>
      <c r="K2270">
        <v>1</v>
      </c>
      <c r="L2270" t="s">
        <v>1064</v>
      </c>
      <c r="M2270" t="s">
        <v>2383</v>
      </c>
      <c r="N2270" s="15" t="s">
        <v>6878</v>
      </c>
    </row>
    <row r="2271" spans="1:14" x14ac:dyDescent="0.2">
      <c r="A2271" t="s">
        <v>3383</v>
      </c>
      <c r="B2271" t="s">
        <v>2360</v>
      </c>
      <c r="C2271" s="9">
        <v>44998</v>
      </c>
      <c r="D2271" t="s">
        <v>946</v>
      </c>
      <c r="E2271" s="13">
        <v>500000</v>
      </c>
      <c r="F2271" s="13">
        <v>5550</v>
      </c>
      <c r="G2271" s="9">
        <v>44999</v>
      </c>
      <c r="H2271" t="s">
        <v>1063</v>
      </c>
      <c r="I2271" t="s">
        <v>2382</v>
      </c>
      <c r="J2271" s="13">
        <v>11100</v>
      </c>
      <c r="K2271">
        <v>1</v>
      </c>
      <c r="L2271" t="s">
        <v>1064</v>
      </c>
      <c r="M2271" t="s">
        <v>2383</v>
      </c>
      <c r="N2271" s="15" t="s">
        <v>6878</v>
      </c>
    </row>
    <row r="2272" spans="1:14" x14ac:dyDescent="0.2">
      <c r="A2272" t="s">
        <v>3384</v>
      </c>
      <c r="B2272" t="s">
        <v>2360</v>
      </c>
      <c r="C2272" s="9">
        <v>44998</v>
      </c>
      <c r="D2272" t="s">
        <v>946</v>
      </c>
      <c r="E2272" s="13">
        <v>5200000</v>
      </c>
      <c r="F2272" s="13">
        <v>5550</v>
      </c>
      <c r="G2272" s="9">
        <v>44999</v>
      </c>
      <c r="H2272" t="s">
        <v>1063</v>
      </c>
      <c r="I2272" t="s">
        <v>2382</v>
      </c>
      <c r="J2272" s="13">
        <v>115440</v>
      </c>
      <c r="K2272">
        <v>1</v>
      </c>
      <c r="L2272" t="s">
        <v>1064</v>
      </c>
      <c r="M2272" t="s">
        <v>2383</v>
      </c>
      <c r="N2272" s="15" t="s">
        <v>6878</v>
      </c>
    </row>
    <row r="2273" spans="1:14" x14ac:dyDescent="0.2">
      <c r="A2273" t="s">
        <v>3385</v>
      </c>
      <c r="B2273" t="s">
        <v>2360</v>
      </c>
      <c r="C2273" s="9">
        <v>44998</v>
      </c>
      <c r="D2273" t="s">
        <v>946</v>
      </c>
      <c r="E2273" s="13">
        <v>4900000</v>
      </c>
      <c r="F2273" s="13">
        <v>5550</v>
      </c>
      <c r="G2273" s="9">
        <v>44999</v>
      </c>
      <c r="H2273" t="s">
        <v>1063</v>
      </c>
      <c r="I2273" t="s">
        <v>2382</v>
      </c>
      <c r="J2273" s="13">
        <v>108780</v>
      </c>
      <c r="K2273">
        <v>1</v>
      </c>
      <c r="L2273" t="s">
        <v>1064</v>
      </c>
      <c r="M2273" t="s">
        <v>2383</v>
      </c>
      <c r="N2273" s="15" t="s">
        <v>6878</v>
      </c>
    </row>
    <row r="2274" spans="1:14" x14ac:dyDescent="0.2">
      <c r="A2274" t="s">
        <v>3386</v>
      </c>
      <c r="B2274" t="s">
        <v>2360</v>
      </c>
      <c r="C2274" s="9">
        <v>44998</v>
      </c>
      <c r="D2274" t="s">
        <v>946</v>
      </c>
      <c r="E2274" s="13">
        <v>500000</v>
      </c>
      <c r="F2274" s="13">
        <v>5550</v>
      </c>
      <c r="G2274" s="9">
        <v>44999</v>
      </c>
      <c r="H2274" t="s">
        <v>1063</v>
      </c>
      <c r="I2274" t="s">
        <v>2382</v>
      </c>
      <c r="J2274" s="13">
        <v>11100</v>
      </c>
      <c r="K2274">
        <v>1</v>
      </c>
      <c r="L2274" t="s">
        <v>1064</v>
      </c>
      <c r="M2274" t="s">
        <v>2383</v>
      </c>
      <c r="N2274" s="15" t="s">
        <v>6878</v>
      </c>
    </row>
    <row r="2275" spans="1:14" x14ac:dyDescent="0.2">
      <c r="A2275" t="s">
        <v>3387</v>
      </c>
      <c r="B2275" t="s">
        <v>2360</v>
      </c>
      <c r="C2275" s="9">
        <v>44998</v>
      </c>
      <c r="D2275" t="s">
        <v>946</v>
      </c>
      <c r="E2275" s="13">
        <v>4900000</v>
      </c>
      <c r="F2275" s="13">
        <v>5550</v>
      </c>
      <c r="G2275" s="9">
        <v>44999</v>
      </c>
      <c r="H2275" t="s">
        <v>1063</v>
      </c>
      <c r="I2275" t="s">
        <v>2382</v>
      </c>
      <c r="J2275" s="13">
        <v>108780</v>
      </c>
      <c r="K2275">
        <v>1</v>
      </c>
      <c r="L2275" t="s">
        <v>1064</v>
      </c>
      <c r="M2275" t="s">
        <v>2383</v>
      </c>
      <c r="N2275" s="15" t="s">
        <v>6878</v>
      </c>
    </row>
    <row r="2276" spans="1:14" x14ac:dyDescent="0.2">
      <c r="A2276" t="s">
        <v>3388</v>
      </c>
      <c r="B2276" t="s">
        <v>2360</v>
      </c>
      <c r="C2276" s="9">
        <v>44998</v>
      </c>
      <c r="D2276" t="s">
        <v>946</v>
      </c>
      <c r="E2276" s="13">
        <v>500000</v>
      </c>
      <c r="F2276" s="13">
        <v>5550</v>
      </c>
      <c r="G2276" s="9">
        <v>44999</v>
      </c>
      <c r="H2276" t="s">
        <v>1063</v>
      </c>
      <c r="I2276" t="s">
        <v>2382</v>
      </c>
      <c r="J2276" s="13">
        <v>11100</v>
      </c>
      <c r="K2276">
        <v>1</v>
      </c>
      <c r="L2276" t="s">
        <v>1064</v>
      </c>
      <c r="M2276" t="s">
        <v>2383</v>
      </c>
      <c r="N2276" s="15" t="s">
        <v>6878</v>
      </c>
    </row>
    <row r="2277" spans="1:14" x14ac:dyDescent="0.2">
      <c r="A2277" t="s">
        <v>3389</v>
      </c>
      <c r="B2277" t="s">
        <v>2360</v>
      </c>
      <c r="C2277" s="9">
        <v>44999</v>
      </c>
      <c r="D2277" t="s">
        <v>9</v>
      </c>
      <c r="E2277" s="13">
        <v>274890</v>
      </c>
      <c r="F2277" s="13">
        <v>24975</v>
      </c>
      <c r="G2277" s="9">
        <v>45006</v>
      </c>
      <c r="H2277" t="s">
        <v>1063</v>
      </c>
      <c r="I2277" t="s">
        <v>436</v>
      </c>
      <c r="J2277" s="13">
        <v>9153</v>
      </c>
      <c r="K2277">
        <v>1</v>
      </c>
      <c r="L2277" t="s">
        <v>1064</v>
      </c>
      <c r="M2277" t="s">
        <v>2364</v>
      </c>
      <c r="N2277" s="15" t="s">
        <v>6878</v>
      </c>
    </row>
    <row r="2278" spans="1:14" x14ac:dyDescent="0.2">
      <c r="A2278" t="s">
        <v>3390</v>
      </c>
      <c r="B2278" t="s">
        <v>2360</v>
      </c>
      <c r="C2278" s="9">
        <v>44999</v>
      </c>
      <c r="D2278" t="s">
        <v>946</v>
      </c>
      <c r="E2278" s="13">
        <v>4900000</v>
      </c>
      <c r="F2278" s="13">
        <v>5550</v>
      </c>
      <c r="G2278" s="9">
        <v>44999</v>
      </c>
      <c r="H2278" t="s">
        <v>1063</v>
      </c>
      <c r="I2278" t="s">
        <v>2382</v>
      </c>
      <c r="J2278" s="13">
        <v>108780</v>
      </c>
      <c r="K2278">
        <v>1</v>
      </c>
      <c r="L2278" t="s">
        <v>1064</v>
      </c>
      <c r="M2278" t="s">
        <v>2383</v>
      </c>
      <c r="N2278" s="15" t="s">
        <v>6878</v>
      </c>
    </row>
    <row r="2279" spans="1:14" x14ac:dyDescent="0.2">
      <c r="A2279" t="s">
        <v>3391</v>
      </c>
      <c r="B2279" t="s">
        <v>2360</v>
      </c>
      <c r="C2279" s="9">
        <v>44999</v>
      </c>
      <c r="D2279" t="s">
        <v>946</v>
      </c>
      <c r="E2279" s="13">
        <v>4900000</v>
      </c>
      <c r="F2279" s="13">
        <v>5550</v>
      </c>
      <c r="G2279" s="9">
        <v>44999</v>
      </c>
      <c r="H2279" t="s">
        <v>1063</v>
      </c>
      <c r="I2279" t="s">
        <v>2382</v>
      </c>
      <c r="J2279" s="13">
        <v>108780</v>
      </c>
      <c r="K2279">
        <v>1</v>
      </c>
      <c r="L2279" t="s">
        <v>1064</v>
      </c>
      <c r="M2279" t="s">
        <v>2383</v>
      </c>
      <c r="N2279" s="15" t="s">
        <v>6878</v>
      </c>
    </row>
    <row r="2280" spans="1:14" x14ac:dyDescent="0.2">
      <c r="A2280" t="s">
        <v>3392</v>
      </c>
      <c r="B2280" t="s">
        <v>2360</v>
      </c>
      <c r="C2280" s="9">
        <v>44999</v>
      </c>
      <c r="D2280" t="s">
        <v>946</v>
      </c>
      <c r="E2280" s="13">
        <v>4900000</v>
      </c>
      <c r="F2280" s="13">
        <v>5550</v>
      </c>
      <c r="G2280" s="9">
        <v>44999</v>
      </c>
      <c r="H2280" t="s">
        <v>1063</v>
      </c>
      <c r="I2280" t="s">
        <v>2382</v>
      </c>
      <c r="J2280" s="13">
        <v>108780</v>
      </c>
      <c r="K2280">
        <v>1</v>
      </c>
      <c r="L2280" t="s">
        <v>1064</v>
      </c>
      <c r="M2280" t="s">
        <v>2383</v>
      </c>
      <c r="N2280" s="15" t="s">
        <v>6878</v>
      </c>
    </row>
    <row r="2281" spans="1:14" x14ac:dyDescent="0.2">
      <c r="A2281" t="s">
        <v>3393</v>
      </c>
      <c r="B2281" t="s">
        <v>2360</v>
      </c>
      <c r="C2281" s="9">
        <v>44999</v>
      </c>
      <c r="D2281" t="s">
        <v>946</v>
      </c>
      <c r="E2281" s="13">
        <v>5200000</v>
      </c>
      <c r="F2281" s="13">
        <v>5550</v>
      </c>
      <c r="G2281" s="9">
        <v>44999</v>
      </c>
      <c r="H2281" t="s">
        <v>1063</v>
      </c>
      <c r="I2281" t="s">
        <v>2382</v>
      </c>
      <c r="J2281" s="13">
        <v>115440</v>
      </c>
      <c r="K2281">
        <v>1</v>
      </c>
      <c r="L2281" t="s">
        <v>1064</v>
      </c>
      <c r="M2281" t="s">
        <v>2383</v>
      </c>
      <c r="N2281" s="15" t="s">
        <v>6878</v>
      </c>
    </row>
    <row r="2282" spans="1:14" x14ac:dyDescent="0.2">
      <c r="A2282" t="s">
        <v>3394</v>
      </c>
      <c r="B2282" t="s">
        <v>2360</v>
      </c>
      <c r="C2282" s="9">
        <v>44999</v>
      </c>
      <c r="D2282" t="s">
        <v>946</v>
      </c>
      <c r="E2282" s="13">
        <v>4900000</v>
      </c>
      <c r="F2282" s="13">
        <v>5550</v>
      </c>
      <c r="G2282" s="9">
        <v>44999</v>
      </c>
      <c r="H2282" t="s">
        <v>1063</v>
      </c>
      <c r="I2282" t="s">
        <v>2382</v>
      </c>
      <c r="J2282" s="13">
        <v>108780</v>
      </c>
      <c r="K2282">
        <v>1</v>
      </c>
      <c r="L2282" t="s">
        <v>1064</v>
      </c>
      <c r="M2282" t="s">
        <v>2383</v>
      </c>
      <c r="N2282" s="15" t="s">
        <v>6878</v>
      </c>
    </row>
    <row r="2283" spans="1:14" x14ac:dyDescent="0.2">
      <c r="A2283" t="s">
        <v>3395</v>
      </c>
      <c r="B2283" t="s">
        <v>2360</v>
      </c>
      <c r="C2283" s="9">
        <v>44999</v>
      </c>
      <c r="D2283" t="s">
        <v>946</v>
      </c>
      <c r="E2283" s="13">
        <v>4900000</v>
      </c>
      <c r="F2283" s="13">
        <v>5550</v>
      </c>
      <c r="G2283" s="9">
        <v>44999</v>
      </c>
      <c r="H2283" t="s">
        <v>1063</v>
      </c>
      <c r="I2283" t="s">
        <v>2382</v>
      </c>
      <c r="J2283" s="13">
        <v>108780</v>
      </c>
      <c r="K2283">
        <v>1</v>
      </c>
      <c r="L2283" t="s">
        <v>1064</v>
      </c>
      <c r="M2283" t="s">
        <v>2383</v>
      </c>
      <c r="N2283" s="15" t="s">
        <v>6878</v>
      </c>
    </row>
    <row r="2284" spans="1:14" x14ac:dyDescent="0.2">
      <c r="A2284" t="s">
        <v>3396</v>
      </c>
      <c r="B2284" t="s">
        <v>2360</v>
      </c>
      <c r="C2284" s="9">
        <v>44999</v>
      </c>
      <c r="D2284" t="s">
        <v>946</v>
      </c>
      <c r="E2284" s="13">
        <v>4900000</v>
      </c>
      <c r="F2284" s="13">
        <v>5550</v>
      </c>
      <c r="G2284" s="9">
        <v>44999</v>
      </c>
      <c r="H2284" t="s">
        <v>1063</v>
      </c>
      <c r="I2284" t="s">
        <v>2382</v>
      </c>
      <c r="J2284" s="13">
        <v>108780</v>
      </c>
      <c r="K2284">
        <v>1</v>
      </c>
      <c r="L2284" t="s">
        <v>1064</v>
      </c>
      <c r="M2284" t="s">
        <v>2383</v>
      </c>
      <c r="N2284" s="15" t="s">
        <v>6878</v>
      </c>
    </row>
    <row r="2285" spans="1:14" x14ac:dyDescent="0.2">
      <c r="A2285" t="s">
        <v>3397</v>
      </c>
      <c r="B2285" t="s">
        <v>2360</v>
      </c>
      <c r="C2285" s="9">
        <v>44999</v>
      </c>
      <c r="D2285" t="s">
        <v>946</v>
      </c>
      <c r="E2285" s="13">
        <v>5600000</v>
      </c>
      <c r="F2285" s="13">
        <v>5550</v>
      </c>
      <c r="G2285" s="9">
        <v>44999</v>
      </c>
      <c r="H2285" t="s">
        <v>1063</v>
      </c>
      <c r="I2285" t="s">
        <v>2382</v>
      </c>
      <c r="J2285" s="13">
        <v>124320</v>
      </c>
      <c r="K2285">
        <v>1</v>
      </c>
      <c r="L2285" t="s">
        <v>1064</v>
      </c>
      <c r="M2285" t="s">
        <v>2383</v>
      </c>
      <c r="N2285" s="15" t="s">
        <v>6878</v>
      </c>
    </row>
    <row r="2286" spans="1:14" x14ac:dyDescent="0.2">
      <c r="A2286" t="s">
        <v>3398</v>
      </c>
      <c r="B2286" t="s">
        <v>2360</v>
      </c>
      <c r="C2286" s="9">
        <v>44999</v>
      </c>
      <c r="D2286" t="s">
        <v>946</v>
      </c>
      <c r="E2286" s="13">
        <v>4700000</v>
      </c>
      <c r="F2286" s="13">
        <v>5550</v>
      </c>
      <c r="G2286" s="9">
        <v>44999</v>
      </c>
      <c r="H2286" t="s">
        <v>1063</v>
      </c>
      <c r="I2286" t="s">
        <v>2382</v>
      </c>
      <c r="J2286" s="13">
        <v>104340</v>
      </c>
      <c r="K2286">
        <v>1</v>
      </c>
      <c r="L2286" t="s">
        <v>1064</v>
      </c>
      <c r="M2286" t="s">
        <v>2383</v>
      </c>
      <c r="N2286" s="15" t="s">
        <v>6878</v>
      </c>
    </row>
    <row r="2287" spans="1:14" x14ac:dyDescent="0.2">
      <c r="A2287" t="s">
        <v>3399</v>
      </c>
      <c r="B2287" t="s">
        <v>2360</v>
      </c>
      <c r="C2287" s="9">
        <v>44999</v>
      </c>
      <c r="D2287" t="s">
        <v>946</v>
      </c>
      <c r="E2287" s="13">
        <v>1650000</v>
      </c>
      <c r="F2287" s="13">
        <v>5550</v>
      </c>
      <c r="G2287" s="9">
        <v>44999</v>
      </c>
      <c r="H2287" t="s">
        <v>1063</v>
      </c>
      <c r="I2287" t="s">
        <v>2382</v>
      </c>
      <c r="J2287" s="13">
        <v>36630</v>
      </c>
      <c r="K2287">
        <v>1</v>
      </c>
      <c r="L2287" t="s">
        <v>1064</v>
      </c>
      <c r="M2287" t="s">
        <v>2383</v>
      </c>
      <c r="N2287" s="15" t="s">
        <v>6878</v>
      </c>
    </row>
    <row r="2288" spans="1:14" x14ac:dyDescent="0.2">
      <c r="A2288" t="s">
        <v>3400</v>
      </c>
      <c r="B2288" t="s">
        <v>2360</v>
      </c>
      <c r="C2288" s="9">
        <v>44999</v>
      </c>
      <c r="D2288" t="s">
        <v>946</v>
      </c>
      <c r="E2288" s="13">
        <v>2100000</v>
      </c>
      <c r="F2288" s="13">
        <v>5550</v>
      </c>
      <c r="G2288" s="9">
        <v>44999</v>
      </c>
      <c r="H2288" t="s">
        <v>1063</v>
      </c>
      <c r="I2288" t="s">
        <v>2382</v>
      </c>
      <c r="J2288" s="13">
        <v>46620</v>
      </c>
      <c r="K2288">
        <v>1</v>
      </c>
      <c r="L2288" t="s">
        <v>1064</v>
      </c>
      <c r="M2288" t="s">
        <v>2383</v>
      </c>
      <c r="N2288" s="15" t="s">
        <v>6878</v>
      </c>
    </row>
    <row r="2289" spans="1:14" x14ac:dyDescent="0.2">
      <c r="A2289" t="s">
        <v>3401</v>
      </c>
      <c r="B2289" t="s">
        <v>2360</v>
      </c>
      <c r="C2289" s="9">
        <v>44999</v>
      </c>
      <c r="D2289" t="s">
        <v>946</v>
      </c>
      <c r="E2289" s="13">
        <v>4900000</v>
      </c>
      <c r="F2289" s="13">
        <v>5550</v>
      </c>
      <c r="G2289" s="9">
        <v>44999</v>
      </c>
      <c r="H2289" t="s">
        <v>1063</v>
      </c>
      <c r="I2289" t="s">
        <v>2382</v>
      </c>
      <c r="J2289" s="13">
        <v>108780</v>
      </c>
      <c r="K2289">
        <v>1</v>
      </c>
      <c r="L2289" t="s">
        <v>1064</v>
      </c>
      <c r="M2289" t="s">
        <v>2383</v>
      </c>
      <c r="N2289" s="15" t="s">
        <v>6878</v>
      </c>
    </row>
    <row r="2290" spans="1:14" x14ac:dyDescent="0.2">
      <c r="A2290" t="s">
        <v>3402</v>
      </c>
      <c r="B2290" t="s">
        <v>2360</v>
      </c>
      <c r="C2290" s="9">
        <v>44999</v>
      </c>
      <c r="D2290" t="s">
        <v>946</v>
      </c>
      <c r="E2290" s="13">
        <v>6203804</v>
      </c>
      <c r="F2290" s="13">
        <v>5550</v>
      </c>
      <c r="G2290" s="9">
        <v>44999</v>
      </c>
      <c r="H2290" t="s">
        <v>1063</v>
      </c>
      <c r="I2290" t="s">
        <v>2382</v>
      </c>
      <c r="J2290" s="13">
        <v>137724</v>
      </c>
      <c r="K2290">
        <v>1</v>
      </c>
      <c r="L2290" t="s">
        <v>1064</v>
      </c>
      <c r="M2290" t="s">
        <v>2383</v>
      </c>
      <c r="N2290" s="15" t="s">
        <v>6878</v>
      </c>
    </row>
    <row r="2291" spans="1:14" x14ac:dyDescent="0.2">
      <c r="A2291" t="s">
        <v>3403</v>
      </c>
      <c r="B2291" t="s">
        <v>2360</v>
      </c>
      <c r="C2291" s="9">
        <v>44999</v>
      </c>
      <c r="D2291" t="s">
        <v>946</v>
      </c>
      <c r="E2291" s="13">
        <v>5519450</v>
      </c>
      <c r="F2291" s="13">
        <v>5550</v>
      </c>
      <c r="G2291" s="9">
        <v>44999</v>
      </c>
      <c r="H2291" t="s">
        <v>1063</v>
      </c>
      <c r="I2291" t="s">
        <v>2382</v>
      </c>
      <c r="J2291" s="13">
        <v>122531</v>
      </c>
      <c r="K2291">
        <v>1</v>
      </c>
      <c r="L2291" t="s">
        <v>1064</v>
      </c>
      <c r="M2291" t="s">
        <v>2383</v>
      </c>
      <c r="N2291" s="15" t="s">
        <v>6878</v>
      </c>
    </row>
    <row r="2292" spans="1:14" x14ac:dyDescent="0.2">
      <c r="A2292" t="s">
        <v>3404</v>
      </c>
      <c r="B2292" t="s">
        <v>2360</v>
      </c>
      <c r="C2292" s="9">
        <v>44999</v>
      </c>
      <c r="D2292" t="s">
        <v>946</v>
      </c>
      <c r="E2292" s="13">
        <v>5511950</v>
      </c>
      <c r="F2292" s="13">
        <v>5550</v>
      </c>
      <c r="G2292" s="9">
        <v>44999</v>
      </c>
      <c r="H2292" t="s">
        <v>1063</v>
      </c>
      <c r="I2292" t="s">
        <v>2382</v>
      </c>
      <c r="J2292" s="13">
        <v>122365</v>
      </c>
      <c r="K2292">
        <v>1</v>
      </c>
      <c r="L2292" t="s">
        <v>1064</v>
      </c>
      <c r="M2292" t="s">
        <v>2383</v>
      </c>
      <c r="N2292" s="15" t="s">
        <v>6878</v>
      </c>
    </row>
    <row r="2293" spans="1:14" x14ac:dyDescent="0.2">
      <c r="A2293" t="s">
        <v>3405</v>
      </c>
      <c r="B2293" t="s">
        <v>2360</v>
      </c>
      <c r="C2293" s="9">
        <v>44999</v>
      </c>
      <c r="D2293" t="s">
        <v>946</v>
      </c>
      <c r="E2293" s="13">
        <v>6549825</v>
      </c>
      <c r="F2293" s="13">
        <v>5550</v>
      </c>
      <c r="G2293" s="9">
        <v>44999</v>
      </c>
      <c r="H2293" t="s">
        <v>1063</v>
      </c>
      <c r="I2293" t="s">
        <v>2382</v>
      </c>
      <c r="J2293" s="13">
        <v>145405</v>
      </c>
      <c r="K2293">
        <v>1</v>
      </c>
      <c r="L2293" t="s">
        <v>1064</v>
      </c>
      <c r="M2293" t="s">
        <v>2383</v>
      </c>
      <c r="N2293" s="15" t="s">
        <v>6878</v>
      </c>
    </row>
    <row r="2294" spans="1:14" x14ac:dyDescent="0.2">
      <c r="A2294" t="s">
        <v>3406</v>
      </c>
      <c r="B2294" t="s">
        <v>2360</v>
      </c>
      <c r="C2294" s="9">
        <v>44999</v>
      </c>
      <c r="D2294" t="s">
        <v>946</v>
      </c>
      <c r="E2294" s="13">
        <v>5511950</v>
      </c>
      <c r="F2294" s="13">
        <v>5550</v>
      </c>
      <c r="G2294" s="9">
        <v>44999</v>
      </c>
      <c r="H2294" t="s">
        <v>1063</v>
      </c>
      <c r="I2294" t="s">
        <v>2382</v>
      </c>
      <c r="J2294" s="13">
        <v>122365</v>
      </c>
      <c r="K2294">
        <v>1</v>
      </c>
      <c r="L2294" t="s">
        <v>1064</v>
      </c>
      <c r="M2294" t="s">
        <v>2383</v>
      </c>
      <c r="N2294" s="15" t="s">
        <v>6878</v>
      </c>
    </row>
    <row r="2295" spans="1:14" x14ac:dyDescent="0.2">
      <c r="A2295" t="s">
        <v>3407</v>
      </c>
      <c r="B2295" t="s">
        <v>2360</v>
      </c>
      <c r="C2295" s="9">
        <v>44999</v>
      </c>
      <c r="D2295" t="s">
        <v>946</v>
      </c>
      <c r="E2295" s="13">
        <v>5511950</v>
      </c>
      <c r="F2295" s="13">
        <v>5550</v>
      </c>
      <c r="G2295" s="9">
        <v>44999</v>
      </c>
      <c r="H2295" t="s">
        <v>1063</v>
      </c>
      <c r="I2295" t="s">
        <v>2382</v>
      </c>
      <c r="J2295" s="13">
        <v>122365</v>
      </c>
      <c r="K2295">
        <v>1</v>
      </c>
      <c r="L2295" t="s">
        <v>1064</v>
      </c>
      <c r="M2295" t="s">
        <v>2383</v>
      </c>
      <c r="N2295" s="15" t="s">
        <v>6878</v>
      </c>
    </row>
    <row r="2296" spans="1:14" x14ac:dyDescent="0.2">
      <c r="A2296" t="s">
        <v>3408</v>
      </c>
      <c r="B2296" t="s">
        <v>2360</v>
      </c>
      <c r="C2296" s="9">
        <v>44999</v>
      </c>
      <c r="D2296" t="s">
        <v>946</v>
      </c>
      <c r="E2296" s="13">
        <v>5511950</v>
      </c>
      <c r="F2296" s="13">
        <v>5550</v>
      </c>
      <c r="G2296" s="9">
        <v>44999</v>
      </c>
      <c r="H2296" t="s">
        <v>1063</v>
      </c>
      <c r="I2296" t="s">
        <v>2382</v>
      </c>
      <c r="J2296" s="13">
        <v>122365</v>
      </c>
      <c r="K2296">
        <v>1</v>
      </c>
      <c r="L2296" t="s">
        <v>1064</v>
      </c>
      <c r="M2296" t="s">
        <v>2383</v>
      </c>
      <c r="N2296" s="15" t="s">
        <v>6878</v>
      </c>
    </row>
    <row r="2297" spans="1:14" x14ac:dyDescent="0.2">
      <c r="A2297" t="s">
        <v>3409</v>
      </c>
      <c r="B2297" t="s">
        <v>2360</v>
      </c>
      <c r="C2297" s="9">
        <v>44999</v>
      </c>
      <c r="D2297" t="s">
        <v>946</v>
      </c>
      <c r="E2297" s="13">
        <v>6549825</v>
      </c>
      <c r="F2297" s="13">
        <v>5550</v>
      </c>
      <c r="G2297" s="9">
        <v>44999</v>
      </c>
      <c r="H2297" t="s">
        <v>1063</v>
      </c>
      <c r="I2297" t="s">
        <v>2382</v>
      </c>
      <c r="J2297" s="13">
        <v>145405</v>
      </c>
      <c r="K2297">
        <v>1</v>
      </c>
      <c r="L2297" t="s">
        <v>1064</v>
      </c>
      <c r="M2297" t="s">
        <v>2383</v>
      </c>
      <c r="N2297" s="15" t="s">
        <v>6878</v>
      </c>
    </row>
    <row r="2298" spans="1:14" x14ac:dyDescent="0.2">
      <c r="A2298" t="s">
        <v>3410</v>
      </c>
      <c r="B2298" t="s">
        <v>2360</v>
      </c>
      <c r="C2298" s="9">
        <v>44999</v>
      </c>
      <c r="D2298" t="s">
        <v>946</v>
      </c>
      <c r="E2298" s="13">
        <v>5511950</v>
      </c>
      <c r="F2298" s="13">
        <v>5550</v>
      </c>
      <c r="G2298" s="9">
        <v>44999</v>
      </c>
      <c r="H2298" t="s">
        <v>1063</v>
      </c>
      <c r="I2298" t="s">
        <v>2382</v>
      </c>
      <c r="J2298" s="13">
        <v>122365</v>
      </c>
      <c r="K2298">
        <v>1</v>
      </c>
      <c r="L2298" t="s">
        <v>1064</v>
      </c>
      <c r="M2298" t="s">
        <v>2383</v>
      </c>
      <c r="N2298" s="15" t="s">
        <v>6878</v>
      </c>
    </row>
    <row r="2299" spans="1:14" x14ac:dyDescent="0.2">
      <c r="A2299" t="s">
        <v>3411</v>
      </c>
      <c r="B2299" t="s">
        <v>2360</v>
      </c>
      <c r="C2299" s="9">
        <v>44999</v>
      </c>
      <c r="D2299" t="s">
        <v>946</v>
      </c>
      <c r="E2299" s="13">
        <v>6549825</v>
      </c>
      <c r="F2299" s="13">
        <v>5550</v>
      </c>
      <c r="G2299" s="9">
        <v>44999</v>
      </c>
      <c r="H2299" t="s">
        <v>1063</v>
      </c>
      <c r="I2299" t="s">
        <v>2382</v>
      </c>
      <c r="J2299" s="13">
        <v>145405</v>
      </c>
      <c r="K2299">
        <v>1</v>
      </c>
      <c r="L2299" t="s">
        <v>1064</v>
      </c>
      <c r="M2299" t="s">
        <v>2383</v>
      </c>
      <c r="N2299" s="15" t="s">
        <v>6878</v>
      </c>
    </row>
    <row r="2300" spans="1:14" x14ac:dyDescent="0.2">
      <c r="A2300" t="s">
        <v>3412</v>
      </c>
      <c r="B2300" t="s">
        <v>2360</v>
      </c>
      <c r="C2300" s="9">
        <v>44999</v>
      </c>
      <c r="D2300" t="s">
        <v>946</v>
      </c>
      <c r="E2300" s="13">
        <v>5293450</v>
      </c>
      <c r="F2300" s="13">
        <v>5550</v>
      </c>
      <c r="G2300" s="9">
        <v>44999</v>
      </c>
      <c r="H2300" t="s">
        <v>1063</v>
      </c>
      <c r="I2300" t="s">
        <v>2382</v>
      </c>
      <c r="J2300" s="13">
        <v>117514</v>
      </c>
      <c r="K2300">
        <v>1</v>
      </c>
      <c r="L2300" t="s">
        <v>1064</v>
      </c>
      <c r="M2300" t="s">
        <v>2383</v>
      </c>
      <c r="N2300" s="15" t="s">
        <v>6878</v>
      </c>
    </row>
    <row r="2301" spans="1:14" x14ac:dyDescent="0.2">
      <c r="A2301" t="s">
        <v>3413</v>
      </c>
      <c r="B2301" t="s">
        <v>2360</v>
      </c>
      <c r="C2301" s="9">
        <v>44999</v>
      </c>
      <c r="D2301" t="s">
        <v>946</v>
      </c>
      <c r="E2301" s="13">
        <v>26585912</v>
      </c>
      <c r="F2301" s="13">
        <v>5550</v>
      </c>
      <c r="G2301" s="9">
        <v>44999</v>
      </c>
      <c r="H2301" t="s">
        <v>1063</v>
      </c>
      <c r="I2301" t="s">
        <v>2382</v>
      </c>
      <c r="J2301" s="13">
        <v>590206</v>
      </c>
      <c r="K2301">
        <v>1</v>
      </c>
      <c r="L2301" t="s">
        <v>1064</v>
      </c>
      <c r="M2301" t="s">
        <v>2383</v>
      </c>
      <c r="N2301" s="15" t="s">
        <v>6878</v>
      </c>
    </row>
    <row r="2302" spans="1:14" x14ac:dyDescent="0.2">
      <c r="A2302" t="s">
        <v>3414</v>
      </c>
      <c r="B2302" t="s">
        <v>2360</v>
      </c>
      <c r="C2302" s="9">
        <v>44999</v>
      </c>
      <c r="D2302" t="s">
        <v>946</v>
      </c>
      <c r="E2302" s="13">
        <v>11365992</v>
      </c>
      <c r="F2302" s="13">
        <v>5550</v>
      </c>
      <c r="G2302" s="9">
        <v>44999</v>
      </c>
      <c r="H2302" t="s">
        <v>1063</v>
      </c>
      <c r="I2302" t="s">
        <v>2382</v>
      </c>
      <c r="J2302" s="13">
        <v>252324</v>
      </c>
      <c r="K2302">
        <v>1</v>
      </c>
      <c r="L2302" t="s">
        <v>1064</v>
      </c>
      <c r="M2302" t="s">
        <v>2383</v>
      </c>
      <c r="N2302" s="15" t="s">
        <v>6878</v>
      </c>
    </row>
    <row r="2303" spans="1:14" x14ac:dyDescent="0.2">
      <c r="A2303" t="s">
        <v>3415</v>
      </c>
      <c r="B2303" t="s">
        <v>2360</v>
      </c>
      <c r="C2303" s="9">
        <v>44999</v>
      </c>
      <c r="D2303" t="s">
        <v>946</v>
      </c>
      <c r="E2303" s="13">
        <v>5433520</v>
      </c>
      <c r="F2303" s="13">
        <v>5550</v>
      </c>
      <c r="G2303" s="9">
        <v>44999</v>
      </c>
      <c r="H2303" t="s">
        <v>1063</v>
      </c>
      <c r="I2303" t="s">
        <v>2382</v>
      </c>
      <c r="J2303" s="13">
        <v>120623</v>
      </c>
      <c r="K2303">
        <v>1</v>
      </c>
      <c r="L2303" t="s">
        <v>1064</v>
      </c>
      <c r="M2303" t="s">
        <v>2383</v>
      </c>
      <c r="N2303" s="15" t="s">
        <v>6878</v>
      </c>
    </row>
    <row r="2304" spans="1:14" x14ac:dyDescent="0.2">
      <c r="A2304" t="s">
        <v>3416</v>
      </c>
      <c r="B2304" t="s">
        <v>2360</v>
      </c>
      <c r="C2304" s="9">
        <v>44999</v>
      </c>
      <c r="D2304" t="s">
        <v>946</v>
      </c>
      <c r="E2304" s="13">
        <v>6549825</v>
      </c>
      <c r="F2304" s="13">
        <v>5550</v>
      </c>
      <c r="G2304" s="9">
        <v>44999</v>
      </c>
      <c r="H2304" t="s">
        <v>1063</v>
      </c>
      <c r="I2304" t="s">
        <v>2382</v>
      </c>
      <c r="J2304" s="13">
        <v>145405</v>
      </c>
      <c r="K2304">
        <v>1</v>
      </c>
      <c r="L2304" t="s">
        <v>1064</v>
      </c>
      <c r="M2304" t="s">
        <v>2383</v>
      </c>
      <c r="N2304" s="15" t="s">
        <v>6878</v>
      </c>
    </row>
    <row r="2305" spans="1:14" x14ac:dyDescent="0.2">
      <c r="A2305" t="s">
        <v>3417</v>
      </c>
      <c r="B2305" t="s">
        <v>2360</v>
      </c>
      <c r="C2305" s="9">
        <v>44999</v>
      </c>
      <c r="D2305" t="s">
        <v>946</v>
      </c>
      <c r="E2305" s="13">
        <v>6549825</v>
      </c>
      <c r="F2305" s="13">
        <v>5550</v>
      </c>
      <c r="G2305" s="9">
        <v>44999</v>
      </c>
      <c r="H2305" t="s">
        <v>1063</v>
      </c>
      <c r="I2305" t="s">
        <v>2382</v>
      </c>
      <c r="J2305" s="13">
        <v>145405</v>
      </c>
      <c r="K2305">
        <v>1</v>
      </c>
      <c r="L2305" t="s">
        <v>1064</v>
      </c>
      <c r="M2305" t="s">
        <v>2383</v>
      </c>
      <c r="N2305" s="15" t="s">
        <v>6878</v>
      </c>
    </row>
    <row r="2306" spans="1:14" x14ac:dyDescent="0.2">
      <c r="A2306" t="s">
        <v>3418</v>
      </c>
      <c r="B2306" t="s">
        <v>2360</v>
      </c>
      <c r="C2306" s="9">
        <v>44999</v>
      </c>
      <c r="D2306" t="s">
        <v>946</v>
      </c>
      <c r="E2306" s="13">
        <v>6549825</v>
      </c>
      <c r="F2306" s="13">
        <v>5550</v>
      </c>
      <c r="G2306" s="9">
        <v>44999</v>
      </c>
      <c r="H2306" t="s">
        <v>1063</v>
      </c>
      <c r="I2306" t="s">
        <v>2382</v>
      </c>
      <c r="J2306" s="13">
        <v>145405</v>
      </c>
      <c r="K2306">
        <v>1</v>
      </c>
      <c r="L2306" t="s">
        <v>1064</v>
      </c>
      <c r="M2306" t="s">
        <v>2383</v>
      </c>
      <c r="N2306" s="15" t="s">
        <v>6878</v>
      </c>
    </row>
    <row r="2307" spans="1:14" x14ac:dyDescent="0.2">
      <c r="A2307" t="s">
        <v>3419</v>
      </c>
      <c r="B2307" t="s">
        <v>2360</v>
      </c>
      <c r="C2307" s="9">
        <v>44999</v>
      </c>
      <c r="D2307" t="s">
        <v>946</v>
      </c>
      <c r="E2307" s="13">
        <v>5511950</v>
      </c>
      <c r="F2307" s="13">
        <v>5550</v>
      </c>
      <c r="G2307" s="9">
        <v>44999</v>
      </c>
      <c r="H2307" t="s">
        <v>1063</v>
      </c>
      <c r="I2307" t="s">
        <v>2382</v>
      </c>
      <c r="J2307" s="13">
        <v>122365</v>
      </c>
      <c r="K2307">
        <v>1</v>
      </c>
      <c r="L2307" t="s">
        <v>1064</v>
      </c>
      <c r="M2307" t="s">
        <v>2383</v>
      </c>
      <c r="N2307" s="15" t="s">
        <v>6878</v>
      </c>
    </row>
    <row r="2308" spans="1:14" x14ac:dyDescent="0.2">
      <c r="A2308" t="s">
        <v>3420</v>
      </c>
      <c r="B2308" t="s">
        <v>2360</v>
      </c>
      <c r="C2308" s="9">
        <v>44999</v>
      </c>
      <c r="D2308" t="s">
        <v>946</v>
      </c>
      <c r="E2308" s="13">
        <v>6549825</v>
      </c>
      <c r="F2308" s="13">
        <v>5550</v>
      </c>
      <c r="G2308" s="9">
        <v>44999</v>
      </c>
      <c r="H2308" t="s">
        <v>1063</v>
      </c>
      <c r="I2308" t="s">
        <v>2382</v>
      </c>
      <c r="J2308" s="13">
        <v>145405</v>
      </c>
      <c r="K2308">
        <v>1</v>
      </c>
      <c r="L2308" t="s">
        <v>1064</v>
      </c>
      <c r="M2308" t="s">
        <v>2383</v>
      </c>
      <c r="N2308" s="15" t="s">
        <v>6878</v>
      </c>
    </row>
    <row r="2309" spans="1:14" x14ac:dyDescent="0.2">
      <c r="A2309" t="s">
        <v>3421</v>
      </c>
      <c r="B2309" t="s">
        <v>2360</v>
      </c>
      <c r="C2309" s="9">
        <v>44999</v>
      </c>
      <c r="D2309" t="s">
        <v>946</v>
      </c>
      <c r="E2309" s="13">
        <v>5511950</v>
      </c>
      <c r="F2309" s="13">
        <v>5550</v>
      </c>
      <c r="G2309" s="9">
        <v>44999</v>
      </c>
      <c r="H2309" t="s">
        <v>1063</v>
      </c>
      <c r="I2309" t="s">
        <v>2382</v>
      </c>
      <c r="J2309" s="13">
        <v>122365</v>
      </c>
      <c r="K2309">
        <v>1</v>
      </c>
      <c r="L2309" t="s">
        <v>1064</v>
      </c>
      <c r="M2309" t="s">
        <v>2383</v>
      </c>
      <c r="N2309" s="15" t="s">
        <v>6878</v>
      </c>
    </row>
    <row r="2310" spans="1:14" x14ac:dyDescent="0.2">
      <c r="A2310" t="s">
        <v>3422</v>
      </c>
      <c r="B2310" t="s">
        <v>2360</v>
      </c>
      <c r="C2310" s="9">
        <v>44999</v>
      </c>
      <c r="D2310" t="s">
        <v>946</v>
      </c>
      <c r="E2310" s="13">
        <v>5511950</v>
      </c>
      <c r="F2310" s="13">
        <v>5550</v>
      </c>
      <c r="G2310" s="9">
        <v>44999</v>
      </c>
      <c r="H2310" t="s">
        <v>1063</v>
      </c>
      <c r="I2310" t="s">
        <v>2382</v>
      </c>
      <c r="J2310" s="13">
        <v>122365</v>
      </c>
      <c r="K2310">
        <v>1</v>
      </c>
      <c r="L2310" t="s">
        <v>1064</v>
      </c>
      <c r="M2310" t="s">
        <v>2383</v>
      </c>
      <c r="N2310" s="15" t="s">
        <v>6878</v>
      </c>
    </row>
    <row r="2311" spans="1:14" x14ac:dyDescent="0.2">
      <c r="A2311" t="s">
        <v>3423</v>
      </c>
      <c r="B2311" t="s">
        <v>2360</v>
      </c>
      <c r="C2311" s="9">
        <v>44999</v>
      </c>
      <c r="D2311" t="s">
        <v>946</v>
      </c>
      <c r="E2311" s="13">
        <v>5511950</v>
      </c>
      <c r="F2311" s="13">
        <v>5550</v>
      </c>
      <c r="G2311" s="9">
        <v>44999</v>
      </c>
      <c r="H2311" t="s">
        <v>1063</v>
      </c>
      <c r="I2311" t="s">
        <v>2382</v>
      </c>
      <c r="J2311" s="13">
        <v>122365</v>
      </c>
      <c r="K2311">
        <v>1</v>
      </c>
      <c r="L2311" t="s">
        <v>1064</v>
      </c>
      <c r="M2311" t="s">
        <v>2383</v>
      </c>
      <c r="N2311" s="15" t="s">
        <v>6878</v>
      </c>
    </row>
    <row r="2312" spans="1:14" x14ac:dyDescent="0.2">
      <c r="A2312" t="s">
        <v>3424</v>
      </c>
      <c r="B2312" t="s">
        <v>2360</v>
      </c>
      <c r="C2312" s="9">
        <v>44999</v>
      </c>
      <c r="D2312" t="s">
        <v>946</v>
      </c>
      <c r="E2312" s="13">
        <v>5293450</v>
      </c>
      <c r="F2312" s="13">
        <v>5550</v>
      </c>
      <c r="G2312" s="9">
        <v>44999</v>
      </c>
      <c r="H2312" t="s">
        <v>1063</v>
      </c>
      <c r="I2312" t="s">
        <v>2382</v>
      </c>
      <c r="J2312" s="13">
        <v>117514</v>
      </c>
      <c r="K2312">
        <v>1</v>
      </c>
      <c r="L2312" t="s">
        <v>1064</v>
      </c>
      <c r="M2312" t="s">
        <v>2383</v>
      </c>
      <c r="N2312" s="15" t="s">
        <v>6878</v>
      </c>
    </row>
    <row r="2313" spans="1:14" x14ac:dyDescent="0.2">
      <c r="A2313" t="s">
        <v>3425</v>
      </c>
      <c r="B2313" t="s">
        <v>2360</v>
      </c>
      <c r="C2313" s="9">
        <v>44999</v>
      </c>
      <c r="D2313" t="s">
        <v>946</v>
      </c>
      <c r="E2313" s="13">
        <v>5293450</v>
      </c>
      <c r="F2313" s="13">
        <v>5550</v>
      </c>
      <c r="G2313" s="9">
        <v>44999</v>
      </c>
      <c r="H2313" t="s">
        <v>1063</v>
      </c>
      <c r="I2313" t="s">
        <v>2382</v>
      </c>
      <c r="J2313" s="13">
        <v>117514</v>
      </c>
      <c r="K2313">
        <v>1</v>
      </c>
      <c r="L2313" t="s">
        <v>1064</v>
      </c>
      <c r="M2313" t="s">
        <v>2383</v>
      </c>
      <c r="N2313" s="15" t="s">
        <v>6878</v>
      </c>
    </row>
    <row r="2314" spans="1:14" x14ac:dyDescent="0.2">
      <c r="A2314" t="s">
        <v>3426</v>
      </c>
      <c r="B2314" t="s">
        <v>2360</v>
      </c>
      <c r="C2314" s="9">
        <v>44999</v>
      </c>
      <c r="D2314" t="s">
        <v>946</v>
      </c>
      <c r="E2314" s="13">
        <v>5293450</v>
      </c>
      <c r="F2314" s="13">
        <v>5550</v>
      </c>
      <c r="G2314" s="9">
        <v>44999</v>
      </c>
      <c r="H2314" t="s">
        <v>1063</v>
      </c>
      <c r="I2314" t="s">
        <v>2382</v>
      </c>
      <c r="J2314" s="13">
        <v>117514</v>
      </c>
      <c r="K2314">
        <v>1</v>
      </c>
      <c r="L2314" t="s">
        <v>1064</v>
      </c>
      <c r="M2314" t="s">
        <v>2383</v>
      </c>
      <c r="N2314" s="15" t="s">
        <v>6878</v>
      </c>
    </row>
    <row r="2315" spans="1:14" x14ac:dyDescent="0.2">
      <c r="A2315" t="s">
        <v>3427</v>
      </c>
      <c r="B2315" t="s">
        <v>2360</v>
      </c>
      <c r="C2315" s="9">
        <v>44999</v>
      </c>
      <c r="D2315" t="s">
        <v>946</v>
      </c>
      <c r="E2315" s="13">
        <v>5537250</v>
      </c>
      <c r="F2315" s="13">
        <v>5550</v>
      </c>
      <c r="G2315" s="9">
        <v>44999</v>
      </c>
      <c r="H2315" t="s">
        <v>1063</v>
      </c>
      <c r="I2315" t="s">
        <v>2382</v>
      </c>
      <c r="J2315" s="13">
        <v>122926</v>
      </c>
      <c r="K2315">
        <v>1</v>
      </c>
      <c r="L2315" t="s">
        <v>1064</v>
      </c>
      <c r="M2315" t="s">
        <v>2383</v>
      </c>
      <c r="N2315" s="15" t="s">
        <v>6878</v>
      </c>
    </row>
    <row r="2316" spans="1:14" x14ac:dyDescent="0.2">
      <c r="A2316" t="s">
        <v>3428</v>
      </c>
      <c r="B2316" t="s">
        <v>2360</v>
      </c>
      <c r="C2316" s="9">
        <v>44999</v>
      </c>
      <c r="D2316" t="s">
        <v>946</v>
      </c>
      <c r="E2316" s="13">
        <v>5030100</v>
      </c>
      <c r="F2316" s="13">
        <v>5550</v>
      </c>
      <c r="G2316" s="9">
        <v>44999</v>
      </c>
      <c r="H2316" t="s">
        <v>1063</v>
      </c>
      <c r="I2316" t="s">
        <v>2382</v>
      </c>
      <c r="J2316" s="13">
        <v>111668</v>
      </c>
      <c r="K2316">
        <v>1</v>
      </c>
      <c r="L2316" t="s">
        <v>1064</v>
      </c>
      <c r="M2316" t="s">
        <v>2383</v>
      </c>
      <c r="N2316" s="15" t="s">
        <v>6878</v>
      </c>
    </row>
    <row r="2317" spans="1:14" x14ac:dyDescent="0.2">
      <c r="A2317" t="s">
        <v>3429</v>
      </c>
      <c r="B2317" t="s">
        <v>2360</v>
      </c>
      <c r="C2317" s="9">
        <v>44999</v>
      </c>
      <c r="D2317" t="s">
        <v>946</v>
      </c>
      <c r="E2317" s="13">
        <v>4968000</v>
      </c>
      <c r="F2317" s="13">
        <v>5550</v>
      </c>
      <c r="G2317" s="9">
        <v>44999</v>
      </c>
      <c r="H2317" t="s">
        <v>1063</v>
      </c>
      <c r="I2317" t="s">
        <v>2382</v>
      </c>
      <c r="J2317" s="13">
        <v>110289</v>
      </c>
      <c r="K2317">
        <v>1</v>
      </c>
      <c r="L2317" t="s">
        <v>1064</v>
      </c>
      <c r="M2317" t="s">
        <v>2383</v>
      </c>
      <c r="N2317" s="15" t="s">
        <v>6878</v>
      </c>
    </row>
    <row r="2318" spans="1:14" x14ac:dyDescent="0.2">
      <c r="A2318" t="s">
        <v>3430</v>
      </c>
      <c r="B2318" t="s">
        <v>2360</v>
      </c>
      <c r="C2318" s="9">
        <v>44999</v>
      </c>
      <c r="D2318" t="s">
        <v>946</v>
      </c>
      <c r="E2318" s="13">
        <v>7278120</v>
      </c>
      <c r="F2318" s="13">
        <v>5550</v>
      </c>
      <c r="G2318" s="9">
        <v>44999</v>
      </c>
      <c r="H2318" t="s">
        <v>1063</v>
      </c>
      <c r="I2318" t="s">
        <v>2382</v>
      </c>
      <c r="J2318" s="13">
        <v>161573</v>
      </c>
      <c r="K2318">
        <v>1</v>
      </c>
      <c r="L2318" t="s">
        <v>1064</v>
      </c>
      <c r="M2318" t="s">
        <v>2383</v>
      </c>
      <c r="N2318" s="15" t="s">
        <v>6878</v>
      </c>
    </row>
    <row r="2319" spans="1:14" x14ac:dyDescent="0.2">
      <c r="A2319" t="s">
        <v>3431</v>
      </c>
      <c r="B2319" t="s">
        <v>2360</v>
      </c>
      <c r="C2319" s="9">
        <v>44999</v>
      </c>
      <c r="D2319" t="s">
        <v>946</v>
      </c>
      <c r="E2319" s="13">
        <v>5623500</v>
      </c>
      <c r="F2319" s="13">
        <v>5550</v>
      </c>
      <c r="G2319" s="9">
        <v>44999</v>
      </c>
      <c r="H2319" t="s">
        <v>1063</v>
      </c>
      <c r="I2319" t="s">
        <v>2382</v>
      </c>
      <c r="J2319" s="13">
        <v>124841</v>
      </c>
      <c r="K2319">
        <v>1</v>
      </c>
      <c r="L2319" t="s">
        <v>1064</v>
      </c>
      <c r="M2319" t="s">
        <v>2383</v>
      </c>
      <c r="N2319" s="15" t="s">
        <v>6878</v>
      </c>
    </row>
    <row r="2320" spans="1:14" x14ac:dyDescent="0.2">
      <c r="A2320" t="s">
        <v>3432</v>
      </c>
      <c r="B2320" t="s">
        <v>2360</v>
      </c>
      <c r="C2320" s="9">
        <v>44999</v>
      </c>
      <c r="D2320" t="s">
        <v>946</v>
      </c>
      <c r="E2320" s="13">
        <v>5713200</v>
      </c>
      <c r="F2320" s="13">
        <v>5550</v>
      </c>
      <c r="G2320" s="9">
        <v>44999</v>
      </c>
      <c r="H2320" t="s">
        <v>1063</v>
      </c>
      <c r="I2320" t="s">
        <v>2382</v>
      </c>
      <c r="J2320" s="13">
        <v>126833</v>
      </c>
      <c r="K2320">
        <v>1</v>
      </c>
      <c r="L2320" t="s">
        <v>1064</v>
      </c>
      <c r="M2320" t="s">
        <v>2383</v>
      </c>
      <c r="N2320" s="15" t="s">
        <v>6878</v>
      </c>
    </row>
    <row r="2321" spans="1:14" x14ac:dyDescent="0.2">
      <c r="A2321" t="s">
        <v>3433</v>
      </c>
      <c r="B2321" t="s">
        <v>2360</v>
      </c>
      <c r="C2321" s="9">
        <v>44999</v>
      </c>
      <c r="D2321" t="s">
        <v>946</v>
      </c>
      <c r="E2321" s="13">
        <v>13541825</v>
      </c>
      <c r="F2321" s="13">
        <v>5550</v>
      </c>
      <c r="G2321" s="9">
        <v>44999</v>
      </c>
      <c r="H2321" t="s">
        <v>1063</v>
      </c>
      <c r="I2321" t="s">
        <v>2382</v>
      </c>
      <c r="J2321" s="13">
        <v>300627</v>
      </c>
      <c r="K2321">
        <v>1</v>
      </c>
      <c r="L2321" t="s">
        <v>1064</v>
      </c>
      <c r="M2321" t="s">
        <v>2383</v>
      </c>
      <c r="N2321" s="15" t="s">
        <v>6878</v>
      </c>
    </row>
    <row r="2322" spans="1:14" x14ac:dyDescent="0.2">
      <c r="A2322" t="s">
        <v>3434</v>
      </c>
      <c r="B2322" t="s">
        <v>2360</v>
      </c>
      <c r="C2322" s="9">
        <v>44999</v>
      </c>
      <c r="D2322" t="s">
        <v>946</v>
      </c>
      <c r="E2322" s="13">
        <v>5511950</v>
      </c>
      <c r="F2322" s="13">
        <v>5550</v>
      </c>
      <c r="G2322" s="9">
        <v>44999</v>
      </c>
      <c r="H2322" t="s">
        <v>1063</v>
      </c>
      <c r="I2322" t="s">
        <v>2382</v>
      </c>
      <c r="J2322" s="13">
        <v>122365</v>
      </c>
      <c r="K2322">
        <v>1</v>
      </c>
      <c r="L2322" t="s">
        <v>1064</v>
      </c>
      <c r="M2322" t="s">
        <v>2383</v>
      </c>
      <c r="N2322" s="15" t="s">
        <v>6878</v>
      </c>
    </row>
    <row r="2323" spans="1:14" x14ac:dyDescent="0.2">
      <c r="A2323" t="s">
        <v>3435</v>
      </c>
      <c r="B2323" t="s">
        <v>2360</v>
      </c>
      <c r="C2323" s="9">
        <v>44999</v>
      </c>
      <c r="D2323" t="s">
        <v>946</v>
      </c>
      <c r="E2323" s="13">
        <v>13541825</v>
      </c>
      <c r="F2323" s="13">
        <v>5550</v>
      </c>
      <c r="G2323" s="9">
        <v>44999</v>
      </c>
      <c r="H2323" t="s">
        <v>1063</v>
      </c>
      <c r="I2323" t="s">
        <v>2382</v>
      </c>
      <c r="J2323" s="13">
        <v>300627</v>
      </c>
      <c r="K2323">
        <v>1</v>
      </c>
      <c r="L2323" t="s">
        <v>1064</v>
      </c>
      <c r="M2323" t="s">
        <v>2383</v>
      </c>
      <c r="N2323" s="15" t="s">
        <v>6878</v>
      </c>
    </row>
    <row r="2324" spans="1:14" x14ac:dyDescent="0.2">
      <c r="A2324" t="s">
        <v>3436</v>
      </c>
      <c r="B2324" t="s">
        <v>2360</v>
      </c>
      <c r="C2324" s="9">
        <v>44999</v>
      </c>
      <c r="D2324" t="s">
        <v>946</v>
      </c>
      <c r="E2324" s="13">
        <v>5511950</v>
      </c>
      <c r="F2324" s="13">
        <v>5550</v>
      </c>
      <c r="G2324" s="9">
        <v>44999</v>
      </c>
      <c r="H2324" t="s">
        <v>1063</v>
      </c>
      <c r="I2324" t="s">
        <v>2382</v>
      </c>
      <c r="J2324" s="13">
        <v>122365</v>
      </c>
      <c r="K2324">
        <v>1</v>
      </c>
      <c r="L2324" t="s">
        <v>1064</v>
      </c>
      <c r="M2324" t="s">
        <v>2383</v>
      </c>
      <c r="N2324" s="15" t="s">
        <v>6878</v>
      </c>
    </row>
    <row r="2325" spans="1:14" x14ac:dyDescent="0.2">
      <c r="A2325" t="s">
        <v>3437</v>
      </c>
      <c r="B2325" t="s">
        <v>2360</v>
      </c>
      <c r="C2325" s="9">
        <v>44999</v>
      </c>
      <c r="D2325" t="s">
        <v>946</v>
      </c>
      <c r="E2325" s="13">
        <v>6549825</v>
      </c>
      <c r="F2325" s="13">
        <v>5550</v>
      </c>
      <c r="G2325" s="9">
        <v>44999</v>
      </c>
      <c r="H2325" t="s">
        <v>1063</v>
      </c>
      <c r="I2325" t="s">
        <v>2382</v>
      </c>
      <c r="J2325" s="13">
        <v>145405</v>
      </c>
      <c r="K2325">
        <v>1</v>
      </c>
      <c r="L2325" t="s">
        <v>1064</v>
      </c>
      <c r="M2325" t="s">
        <v>2383</v>
      </c>
      <c r="N2325" s="15" t="s">
        <v>6878</v>
      </c>
    </row>
    <row r="2326" spans="1:14" x14ac:dyDescent="0.2">
      <c r="A2326" t="s">
        <v>3438</v>
      </c>
      <c r="B2326" t="s">
        <v>2360</v>
      </c>
      <c r="C2326" s="9">
        <v>44999</v>
      </c>
      <c r="D2326" t="s">
        <v>946</v>
      </c>
      <c r="E2326" s="13">
        <v>6549825</v>
      </c>
      <c r="F2326" s="13">
        <v>5550</v>
      </c>
      <c r="G2326" s="9">
        <v>44999</v>
      </c>
      <c r="H2326" t="s">
        <v>1063</v>
      </c>
      <c r="I2326" t="s">
        <v>2382</v>
      </c>
      <c r="J2326" s="13">
        <v>145405</v>
      </c>
      <c r="K2326">
        <v>1</v>
      </c>
      <c r="L2326" t="s">
        <v>1064</v>
      </c>
      <c r="M2326" t="s">
        <v>2383</v>
      </c>
      <c r="N2326" s="15" t="s">
        <v>6878</v>
      </c>
    </row>
    <row r="2327" spans="1:14" x14ac:dyDescent="0.2">
      <c r="A2327" t="s">
        <v>3439</v>
      </c>
      <c r="B2327" t="s">
        <v>2360</v>
      </c>
      <c r="C2327" s="9">
        <v>44999</v>
      </c>
      <c r="D2327" t="s">
        <v>946</v>
      </c>
      <c r="E2327" s="13">
        <v>5511950</v>
      </c>
      <c r="F2327" s="13">
        <v>5550</v>
      </c>
      <c r="G2327" s="9">
        <v>44999</v>
      </c>
      <c r="H2327" t="s">
        <v>1063</v>
      </c>
      <c r="I2327" t="s">
        <v>2382</v>
      </c>
      <c r="J2327" s="13">
        <v>122365</v>
      </c>
      <c r="K2327">
        <v>1</v>
      </c>
      <c r="L2327" t="s">
        <v>1064</v>
      </c>
      <c r="M2327" t="s">
        <v>2383</v>
      </c>
      <c r="N2327" s="15" t="s">
        <v>6878</v>
      </c>
    </row>
    <row r="2328" spans="1:14" x14ac:dyDescent="0.2">
      <c r="A2328" t="s">
        <v>3440</v>
      </c>
      <c r="B2328" t="s">
        <v>2360</v>
      </c>
      <c r="C2328" s="9">
        <v>44999</v>
      </c>
      <c r="D2328" t="s">
        <v>946</v>
      </c>
      <c r="E2328" s="13">
        <v>6549825</v>
      </c>
      <c r="F2328" s="13">
        <v>5550</v>
      </c>
      <c r="G2328" s="9">
        <v>44999</v>
      </c>
      <c r="H2328" t="s">
        <v>1063</v>
      </c>
      <c r="I2328" t="s">
        <v>2382</v>
      </c>
      <c r="J2328" s="13">
        <v>145405</v>
      </c>
      <c r="K2328">
        <v>1</v>
      </c>
      <c r="L2328" t="s">
        <v>1064</v>
      </c>
      <c r="M2328" t="s">
        <v>2383</v>
      </c>
      <c r="N2328" s="15" t="s">
        <v>6878</v>
      </c>
    </row>
    <row r="2329" spans="1:14" x14ac:dyDescent="0.2">
      <c r="A2329" t="s">
        <v>3441</v>
      </c>
      <c r="B2329" t="s">
        <v>2360</v>
      </c>
      <c r="C2329" s="9">
        <v>44999</v>
      </c>
      <c r="D2329" t="s">
        <v>946</v>
      </c>
      <c r="E2329" s="13">
        <v>6862050</v>
      </c>
      <c r="F2329" s="13">
        <v>5550</v>
      </c>
      <c r="G2329" s="9">
        <v>44999</v>
      </c>
      <c r="H2329" t="s">
        <v>1063</v>
      </c>
      <c r="I2329" t="s">
        <v>2382</v>
      </c>
      <c r="J2329" s="13">
        <v>152337</v>
      </c>
      <c r="K2329">
        <v>1</v>
      </c>
      <c r="L2329" t="s">
        <v>1064</v>
      </c>
      <c r="M2329" t="s">
        <v>2383</v>
      </c>
      <c r="N2329" s="15" t="s">
        <v>6878</v>
      </c>
    </row>
    <row r="2330" spans="1:14" x14ac:dyDescent="0.2">
      <c r="A2330" t="s">
        <v>3442</v>
      </c>
      <c r="B2330" t="s">
        <v>2360</v>
      </c>
      <c r="C2330" s="9">
        <v>44999</v>
      </c>
      <c r="D2330" t="s">
        <v>946</v>
      </c>
      <c r="E2330" s="13">
        <v>5511950</v>
      </c>
      <c r="F2330" s="13">
        <v>5550</v>
      </c>
      <c r="G2330" s="9">
        <v>44999</v>
      </c>
      <c r="H2330" t="s">
        <v>1063</v>
      </c>
      <c r="I2330" t="s">
        <v>2382</v>
      </c>
      <c r="J2330" s="13">
        <v>122365</v>
      </c>
      <c r="K2330">
        <v>1</v>
      </c>
      <c r="L2330" t="s">
        <v>1064</v>
      </c>
      <c r="M2330" t="s">
        <v>2383</v>
      </c>
      <c r="N2330" s="15" t="s">
        <v>6878</v>
      </c>
    </row>
    <row r="2331" spans="1:14" x14ac:dyDescent="0.2">
      <c r="A2331" t="s">
        <v>3443</v>
      </c>
      <c r="B2331" t="s">
        <v>2360</v>
      </c>
      <c r="C2331" s="9">
        <v>44999</v>
      </c>
      <c r="D2331" t="s">
        <v>946</v>
      </c>
      <c r="E2331" s="13">
        <v>13541825</v>
      </c>
      <c r="F2331" s="13">
        <v>5550</v>
      </c>
      <c r="G2331" s="9">
        <v>44999</v>
      </c>
      <c r="H2331" t="s">
        <v>1063</v>
      </c>
      <c r="I2331" t="s">
        <v>2382</v>
      </c>
      <c r="J2331" s="13">
        <v>300627</v>
      </c>
      <c r="K2331">
        <v>1</v>
      </c>
      <c r="L2331" t="s">
        <v>1064</v>
      </c>
      <c r="M2331" t="s">
        <v>2383</v>
      </c>
      <c r="N2331" s="15" t="s">
        <v>6878</v>
      </c>
    </row>
    <row r="2332" spans="1:14" x14ac:dyDescent="0.2">
      <c r="A2332" t="s">
        <v>3444</v>
      </c>
      <c r="B2332" t="s">
        <v>2360</v>
      </c>
      <c r="C2332" s="9">
        <v>44999</v>
      </c>
      <c r="D2332" t="s">
        <v>946</v>
      </c>
      <c r="E2332" s="13">
        <v>5293450</v>
      </c>
      <c r="F2332" s="13">
        <v>5550</v>
      </c>
      <c r="G2332" s="9">
        <v>44999</v>
      </c>
      <c r="H2332" t="s">
        <v>1063</v>
      </c>
      <c r="I2332" t="s">
        <v>2382</v>
      </c>
      <c r="J2332" s="13">
        <v>117514</v>
      </c>
      <c r="K2332">
        <v>1</v>
      </c>
      <c r="L2332" t="s">
        <v>1064</v>
      </c>
      <c r="M2332" t="s">
        <v>2383</v>
      </c>
      <c r="N2332" s="15" t="s">
        <v>6878</v>
      </c>
    </row>
    <row r="2333" spans="1:14" x14ac:dyDescent="0.2">
      <c r="A2333" t="s">
        <v>3445</v>
      </c>
      <c r="B2333" t="s">
        <v>2360</v>
      </c>
      <c r="C2333" s="9">
        <v>44999</v>
      </c>
      <c r="D2333" t="s">
        <v>946</v>
      </c>
      <c r="E2333" s="13">
        <v>5293450</v>
      </c>
      <c r="F2333" s="13">
        <v>5550</v>
      </c>
      <c r="G2333" s="9">
        <v>44999</v>
      </c>
      <c r="H2333" t="s">
        <v>1063</v>
      </c>
      <c r="I2333" t="s">
        <v>2382</v>
      </c>
      <c r="J2333" s="13">
        <v>117514</v>
      </c>
      <c r="K2333">
        <v>1</v>
      </c>
      <c r="L2333" t="s">
        <v>1064</v>
      </c>
      <c r="M2333" t="s">
        <v>2383</v>
      </c>
      <c r="N2333" s="15" t="s">
        <v>6878</v>
      </c>
    </row>
    <row r="2334" spans="1:14" x14ac:dyDescent="0.2">
      <c r="A2334" t="s">
        <v>3446</v>
      </c>
      <c r="B2334" t="s">
        <v>2360</v>
      </c>
      <c r="C2334" s="9">
        <v>44999</v>
      </c>
      <c r="D2334" t="s">
        <v>946</v>
      </c>
      <c r="E2334" s="13">
        <v>6549825</v>
      </c>
      <c r="F2334" s="13">
        <v>5550</v>
      </c>
      <c r="G2334" s="9">
        <v>44999</v>
      </c>
      <c r="H2334" t="s">
        <v>1063</v>
      </c>
      <c r="I2334" t="s">
        <v>2382</v>
      </c>
      <c r="J2334" s="13">
        <v>145405</v>
      </c>
      <c r="K2334">
        <v>1</v>
      </c>
      <c r="L2334" t="s">
        <v>1064</v>
      </c>
      <c r="M2334" t="s">
        <v>2383</v>
      </c>
      <c r="N2334" s="15" t="s">
        <v>6878</v>
      </c>
    </row>
    <row r="2335" spans="1:14" x14ac:dyDescent="0.2">
      <c r="A2335" t="s">
        <v>3447</v>
      </c>
      <c r="B2335" t="s">
        <v>2360</v>
      </c>
      <c r="C2335" s="9">
        <v>44999</v>
      </c>
      <c r="D2335" t="s">
        <v>946</v>
      </c>
      <c r="E2335" s="13">
        <v>6549825</v>
      </c>
      <c r="F2335" s="13">
        <v>5550</v>
      </c>
      <c r="G2335" s="9">
        <v>44999</v>
      </c>
      <c r="H2335" t="s">
        <v>1063</v>
      </c>
      <c r="I2335" t="s">
        <v>2382</v>
      </c>
      <c r="J2335" s="13">
        <v>145405</v>
      </c>
      <c r="K2335">
        <v>1</v>
      </c>
      <c r="L2335" t="s">
        <v>1064</v>
      </c>
      <c r="M2335" t="s">
        <v>2383</v>
      </c>
      <c r="N2335" s="15" t="s">
        <v>6878</v>
      </c>
    </row>
    <row r="2336" spans="1:14" x14ac:dyDescent="0.2">
      <c r="A2336" t="s">
        <v>3448</v>
      </c>
      <c r="B2336" t="s">
        <v>2360</v>
      </c>
      <c r="C2336" s="9">
        <v>44999</v>
      </c>
      <c r="D2336" t="s">
        <v>946</v>
      </c>
      <c r="E2336" s="13">
        <v>13541825</v>
      </c>
      <c r="F2336" s="13">
        <v>5550</v>
      </c>
      <c r="G2336" s="9">
        <v>44999</v>
      </c>
      <c r="H2336" t="s">
        <v>1063</v>
      </c>
      <c r="I2336" t="s">
        <v>2382</v>
      </c>
      <c r="J2336" s="13">
        <v>300627</v>
      </c>
      <c r="K2336">
        <v>1</v>
      </c>
      <c r="L2336" t="s">
        <v>1064</v>
      </c>
      <c r="M2336" t="s">
        <v>2383</v>
      </c>
      <c r="N2336" s="15" t="s">
        <v>6878</v>
      </c>
    </row>
    <row r="2337" spans="1:14" x14ac:dyDescent="0.2">
      <c r="A2337" t="s">
        <v>3449</v>
      </c>
      <c r="B2337" t="s">
        <v>2360</v>
      </c>
      <c r="C2337" s="9">
        <v>44999</v>
      </c>
      <c r="D2337" t="s">
        <v>946</v>
      </c>
      <c r="E2337" s="13">
        <v>13541825</v>
      </c>
      <c r="F2337" s="13">
        <v>5550</v>
      </c>
      <c r="G2337" s="9">
        <v>44999</v>
      </c>
      <c r="H2337" t="s">
        <v>1063</v>
      </c>
      <c r="I2337" t="s">
        <v>2382</v>
      </c>
      <c r="J2337" s="13">
        <v>300627</v>
      </c>
      <c r="K2337">
        <v>1</v>
      </c>
      <c r="L2337" t="s">
        <v>1064</v>
      </c>
      <c r="M2337" t="s">
        <v>2383</v>
      </c>
      <c r="N2337" s="15" t="s">
        <v>6878</v>
      </c>
    </row>
    <row r="2338" spans="1:14" x14ac:dyDescent="0.2">
      <c r="A2338" t="s">
        <v>3450</v>
      </c>
      <c r="B2338" t="s">
        <v>2360</v>
      </c>
      <c r="C2338" s="9">
        <v>44999</v>
      </c>
      <c r="D2338" t="s">
        <v>946</v>
      </c>
      <c r="E2338" s="13">
        <v>6549825</v>
      </c>
      <c r="F2338" s="13">
        <v>5550</v>
      </c>
      <c r="G2338" s="9">
        <v>44999</v>
      </c>
      <c r="H2338" t="s">
        <v>1063</v>
      </c>
      <c r="I2338" t="s">
        <v>2382</v>
      </c>
      <c r="J2338" s="13">
        <v>145405</v>
      </c>
      <c r="K2338">
        <v>1</v>
      </c>
      <c r="L2338" t="s">
        <v>1064</v>
      </c>
      <c r="M2338" t="s">
        <v>2383</v>
      </c>
      <c r="N2338" s="15" t="s">
        <v>6878</v>
      </c>
    </row>
    <row r="2339" spans="1:14" x14ac:dyDescent="0.2">
      <c r="A2339" t="s">
        <v>3451</v>
      </c>
      <c r="B2339" t="s">
        <v>2360</v>
      </c>
      <c r="C2339" s="9">
        <v>44999</v>
      </c>
      <c r="D2339" t="s">
        <v>946</v>
      </c>
      <c r="E2339" s="13">
        <v>10393614</v>
      </c>
      <c r="F2339" s="13">
        <v>5550</v>
      </c>
      <c r="G2339" s="9">
        <v>44999</v>
      </c>
      <c r="H2339" t="s">
        <v>1063</v>
      </c>
      <c r="I2339" t="s">
        <v>2382</v>
      </c>
      <c r="J2339" s="13">
        <v>230737</v>
      </c>
      <c r="K2339">
        <v>1</v>
      </c>
      <c r="L2339" t="s">
        <v>1064</v>
      </c>
      <c r="M2339" t="s">
        <v>2383</v>
      </c>
      <c r="N2339" s="15" t="s">
        <v>6878</v>
      </c>
    </row>
    <row r="2340" spans="1:14" x14ac:dyDescent="0.2">
      <c r="A2340" t="s">
        <v>3452</v>
      </c>
      <c r="B2340" t="s">
        <v>2360</v>
      </c>
      <c r="C2340" s="9">
        <v>44999</v>
      </c>
      <c r="D2340" t="s">
        <v>946</v>
      </c>
      <c r="E2340" s="13">
        <v>6183090</v>
      </c>
      <c r="F2340" s="13">
        <v>5550</v>
      </c>
      <c r="G2340" s="9">
        <v>44999</v>
      </c>
      <c r="H2340" t="s">
        <v>1063</v>
      </c>
      <c r="I2340" t="s">
        <v>2382</v>
      </c>
      <c r="J2340" s="13">
        <v>137263</v>
      </c>
      <c r="K2340">
        <v>1</v>
      </c>
      <c r="L2340" t="s">
        <v>1064</v>
      </c>
      <c r="M2340" t="s">
        <v>2383</v>
      </c>
      <c r="N2340" s="15" t="s">
        <v>6878</v>
      </c>
    </row>
    <row r="2341" spans="1:14" x14ac:dyDescent="0.2">
      <c r="A2341" t="s">
        <v>3453</v>
      </c>
      <c r="B2341" t="s">
        <v>2360</v>
      </c>
      <c r="C2341" s="9">
        <v>44999</v>
      </c>
      <c r="D2341" t="s">
        <v>946</v>
      </c>
      <c r="E2341" s="13">
        <v>5293450</v>
      </c>
      <c r="F2341" s="13">
        <v>5550</v>
      </c>
      <c r="G2341" s="9">
        <v>44999</v>
      </c>
      <c r="H2341" t="s">
        <v>1063</v>
      </c>
      <c r="I2341" t="s">
        <v>2382</v>
      </c>
      <c r="J2341" s="13">
        <v>117514</v>
      </c>
      <c r="K2341">
        <v>1</v>
      </c>
      <c r="L2341" t="s">
        <v>1064</v>
      </c>
      <c r="M2341" t="s">
        <v>2383</v>
      </c>
      <c r="N2341" s="15" t="s">
        <v>6878</v>
      </c>
    </row>
    <row r="2342" spans="1:14" x14ac:dyDescent="0.2">
      <c r="A2342" t="s">
        <v>3454</v>
      </c>
      <c r="B2342" t="s">
        <v>2360</v>
      </c>
      <c r="C2342" s="9">
        <v>44999</v>
      </c>
      <c r="D2342" t="s">
        <v>946</v>
      </c>
      <c r="E2342" s="13">
        <v>5293450</v>
      </c>
      <c r="F2342" s="13">
        <v>5550</v>
      </c>
      <c r="G2342" s="9">
        <v>44999</v>
      </c>
      <c r="H2342" t="s">
        <v>1063</v>
      </c>
      <c r="I2342" t="s">
        <v>2382</v>
      </c>
      <c r="J2342" s="13">
        <v>117514</v>
      </c>
      <c r="K2342">
        <v>1</v>
      </c>
      <c r="L2342" t="s">
        <v>1064</v>
      </c>
      <c r="M2342" t="s">
        <v>2383</v>
      </c>
      <c r="N2342" s="15" t="s">
        <v>6878</v>
      </c>
    </row>
    <row r="2343" spans="1:14" x14ac:dyDescent="0.2">
      <c r="A2343" t="s">
        <v>3455</v>
      </c>
      <c r="B2343" t="s">
        <v>2360</v>
      </c>
      <c r="C2343" s="9">
        <v>44999</v>
      </c>
      <c r="D2343" t="s">
        <v>946</v>
      </c>
      <c r="E2343" s="13">
        <v>13541825</v>
      </c>
      <c r="F2343" s="13">
        <v>5550</v>
      </c>
      <c r="G2343" s="9">
        <v>44999</v>
      </c>
      <c r="H2343" t="s">
        <v>1063</v>
      </c>
      <c r="I2343" t="s">
        <v>2382</v>
      </c>
      <c r="J2343" s="13">
        <v>300627</v>
      </c>
      <c r="K2343">
        <v>1</v>
      </c>
      <c r="L2343" t="s">
        <v>1064</v>
      </c>
      <c r="M2343" t="s">
        <v>2383</v>
      </c>
      <c r="N2343" s="15" t="s">
        <v>6878</v>
      </c>
    </row>
    <row r="2344" spans="1:14" x14ac:dyDescent="0.2">
      <c r="A2344" t="s">
        <v>3456</v>
      </c>
      <c r="B2344" t="s">
        <v>2360</v>
      </c>
      <c r="C2344" s="9">
        <v>44999</v>
      </c>
      <c r="D2344" t="s">
        <v>946</v>
      </c>
      <c r="E2344" s="13">
        <v>5511950</v>
      </c>
      <c r="F2344" s="13">
        <v>5550</v>
      </c>
      <c r="G2344" s="9">
        <v>44999</v>
      </c>
      <c r="H2344" t="s">
        <v>1063</v>
      </c>
      <c r="I2344" t="s">
        <v>2382</v>
      </c>
      <c r="J2344" s="13">
        <v>122365</v>
      </c>
      <c r="K2344">
        <v>1</v>
      </c>
      <c r="L2344" t="s">
        <v>1064</v>
      </c>
      <c r="M2344" t="s">
        <v>2383</v>
      </c>
      <c r="N2344" s="15" t="s">
        <v>6878</v>
      </c>
    </row>
    <row r="2345" spans="1:14" x14ac:dyDescent="0.2">
      <c r="A2345" t="s">
        <v>3457</v>
      </c>
      <c r="B2345" t="s">
        <v>2360</v>
      </c>
      <c r="C2345" s="9">
        <v>44999</v>
      </c>
      <c r="D2345" t="s">
        <v>946</v>
      </c>
      <c r="E2345" s="13">
        <v>13541825</v>
      </c>
      <c r="F2345" s="13">
        <v>5550</v>
      </c>
      <c r="G2345" s="9">
        <v>44999</v>
      </c>
      <c r="H2345" t="s">
        <v>1063</v>
      </c>
      <c r="I2345" t="s">
        <v>2382</v>
      </c>
      <c r="J2345" s="13">
        <v>300627</v>
      </c>
      <c r="K2345">
        <v>1</v>
      </c>
      <c r="L2345" t="s">
        <v>1064</v>
      </c>
      <c r="M2345" t="s">
        <v>2383</v>
      </c>
      <c r="N2345" s="15" t="s">
        <v>6878</v>
      </c>
    </row>
    <row r="2346" spans="1:14" x14ac:dyDescent="0.2">
      <c r="A2346" t="s">
        <v>3458</v>
      </c>
      <c r="B2346" t="s">
        <v>2360</v>
      </c>
      <c r="C2346" s="9">
        <v>44999</v>
      </c>
      <c r="D2346" t="s">
        <v>946</v>
      </c>
      <c r="E2346" s="13">
        <v>5511950</v>
      </c>
      <c r="F2346" s="13">
        <v>5550</v>
      </c>
      <c r="G2346" s="9">
        <v>44999</v>
      </c>
      <c r="H2346" t="s">
        <v>1063</v>
      </c>
      <c r="I2346" t="s">
        <v>2382</v>
      </c>
      <c r="J2346" s="13">
        <v>122365</v>
      </c>
      <c r="K2346">
        <v>1</v>
      </c>
      <c r="L2346" t="s">
        <v>1064</v>
      </c>
      <c r="M2346" t="s">
        <v>2383</v>
      </c>
      <c r="N2346" s="15" t="s">
        <v>6878</v>
      </c>
    </row>
    <row r="2347" spans="1:14" x14ac:dyDescent="0.2">
      <c r="A2347" t="s">
        <v>3459</v>
      </c>
      <c r="B2347" t="s">
        <v>2360</v>
      </c>
      <c r="C2347" s="9">
        <v>44999</v>
      </c>
      <c r="D2347" t="s">
        <v>946</v>
      </c>
      <c r="E2347" s="13">
        <v>13541825</v>
      </c>
      <c r="F2347" s="13">
        <v>5550</v>
      </c>
      <c r="G2347" s="9">
        <v>44999</v>
      </c>
      <c r="H2347" t="s">
        <v>1063</v>
      </c>
      <c r="I2347" t="s">
        <v>2382</v>
      </c>
      <c r="J2347" s="13">
        <v>300627</v>
      </c>
      <c r="K2347">
        <v>1</v>
      </c>
      <c r="L2347" t="s">
        <v>1064</v>
      </c>
      <c r="M2347" t="s">
        <v>2383</v>
      </c>
      <c r="N2347" s="15" t="s">
        <v>6878</v>
      </c>
    </row>
    <row r="2348" spans="1:14" x14ac:dyDescent="0.2">
      <c r="A2348" t="s">
        <v>3460</v>
      </c>
      <c r="B2348" t="s">
        <v>2360</v>
      </c>
      <c r="C2348" s="9">
        <v>44999</v>
      </c>
      <c r="D2348" t="s">
        <v>946</v>
      </c>
      <c r="E2348" s="13">
        <v>13541825</v>
      </c>
      <c r="F2348" s="13">
        <v>5550</v>
      </c>
      <c r="G2348" s="9">
        <v>44999</v>
      </c>
      <c r="H2348" t="s">
        <v>1063</v>
      </c>
      <c r="I2348" t="s">
        <v>2382</v>
      </c>
      <c r="J2348" s="13">
        <v>300627</v>
      </c>
      <c r="K2348">
        <v>1</v>
      </c>
      <c r="L2348" t="s">
        <v>1064</v>
      </c>
      <c r="M2348" t="s">
        <v>2383</v>
      </c>
      <c r="N2348" s="15" t="s">
        <v>6878</v>
      </c>
    </row>
    <row r="2349" spans="1:14" x14ac:dyDescent="0.2">
      <c r="A2349" t="s">
        <v>3461</v>
      </c>
      <c r="B2349" t="s">
        <v>2360</v>
      </c>
      <c r="C2349" s="9">
        <v>44999</v>
      </c>
      <c r="D2349" t="s">
        <v>946</v>
      </c>
      <c r="E2349" s="13">
        <v>7100000</v>
      </c>
      <c r="F2349" s="13">
        <v>5550</v>
      </c>
      <c r="G2349" s="9">
        <v>44999</v>
      </c>
      <c r="H2349" t="s">
        <v>1063</v>
      </c>
      <c r="I2349" t="s">
        <v>2382</v>
      </c>
      <c r="J2349" s="13">
        <v>157620</v>
      </c>
      <c r="K2349">
        <v>1</v>
      </c>
      <c r="L2349" t="s">
        <v>1064</v>
      </c>
      <c r="M2349" t="s">
        <v>2383</v>
      </c>
      <c r="N2349" s="15" t="s">
        <v>6878</v>
      </c>
    </row>
    <row r="2350" spans="1:14" x14ac:dyDescent="0.2">
      <c r="A2350" t="s">
        <v>3462</v>
      </c>
      <c r="B2350" t="s">
        <v>2360</v>
      </c>
      <c r="C2350" s="9">
        <v>44999</v>
      </c>
      <c r="D2350" t="s">
        <v>946</v>
      </c>
      <c r="E2350" s="13">
        <v>18538938</v>
      </c>
      <c r="F2350" s="13">
        <v>5550</v>
      </c>
      <c r="G2350" s="9">
        <v>44999</v>
      </c>
      <c r="H2350" t="s">
        <v>1063</v>
      </c>
      <c r="I2350" t="s">
        <v>2382</v>
      </c>
      <c r="J2350" s="13">
        <v>411563</v>
      </c>
      <c r="K2350">
        <v>1</v>
      </c>
      <c r="L2350" t="s">
        <v>1064</v>
      </c>
      <c r="M2350" t="s">
        <v>2383</v>
      </c>
      <c r="N2350" s="15" t="s">
        <v>6878</v>
      </c>
    </row>
    <row r="2351" spans="1:14" x14ac:dyDescent="0.2">
      <c r="A2351" t="s">
        <v>3463</v>
      </c>
      <c r="B2351" t="s">
        <v>2360</v>
      </c>
      <c r="C2351" s="9">
        <v>44999</v>
      </c>
      <c r="D2351" t="s">
        <v>946</v>
      </c>
      <c r="E2351" s="13">
        <v>5293450</v>
      </c>
      <c r="F2351" s="13">
        <v>5550</v>
      </c>
      <c r="G2351" s="9">
        <v>44999</v>
      </c>
      <c r="H2351" t="s">
        <v>1063</v>
      </c>
      <c r="I2351" t="s">
        <v>2382</v>
      </c>
      <c r="J2351" s="13">
        <v>117514</v>
      </c>
      <c r="K2351">
        <v>1</v>
      </c>
      <c r="L2351" t="s">
        <v>1064</v>
      </c>
      <c r="M2351" t="s">
        <v>2383</v>
      </c>
      <c r="N2351" s="15" t="s">
        <v>6878</v>
      </c>
    </row>
    <row r="2352" spans="1:14" x14ac:dyDescent="0.2">
      <c r="A2352" t="s">
        <v>3464</v>
      </c>
      <c r="B2352" t="s">
        <v>2360</v>
      </c>
      <c r="C2352" s="9">
        <v>44999</v>
      </c>
      <c r="D2352" t="s">
        <v>946</v>
      </c>
      <c r="E2352" s="13">
        <v>5293450</v>
      </c>
      <c r="F2352" s="13">
        <v>5550</v>
      </c>
      <c r="G2352" s="9">
        <v>44999</v>
      </c>
      <c r="H2352" t="s">
        <v>1063</v>
      </c>
      <c r="I2352" t="s">
        <v>2382</v>
      </c>
      <c r="J2352" s="13">
        <v>117514</v>
      </c>
      <c r="K2352">
        <v>1</v>
      </c>
      <c r="L2352" t="s">
        <v>1064</v>
      </c>
      <c r="M2352" t="s">
        <v>2383</v>
      </c>
      <c r="N2352" s="15" t="s">
        <v>6878</v>
      </c>
    </row>
    <row r="2353" spans="1:14" x14ac:dyDescent="0.2">
      <c r="A2353" t="s">
        <v>3465</v>
      </c>
      <c r="B2353" t="s">
        <v>2360</v>
      </c>
      <c r="C2353" s="9">
        <v>44999</v>
      </c>
      <c r="D2353" t="s">
        <v>946</v>
      </c>
      <c r="E2353" s="13">
        <v>5511950</v>
      </c>
      <c r="F2353" s="13">
        <v>5550</v>
      </c>
      <c r="G2353" s="9">
        <v>44999</v>
      </c>
      <c r="H2353" t="s">
        <v>1063</v>
      </c>
      <c r="I2353" t="s">
        <v>2382</v>
      </c>
      <c r="J2353" s="13">
        <v>122365</v>
      </c>
      <c r="K2353">
        <v>1</v>
      </c>
      <c r="L2353" t="s">
        <v>1064</v>
      </c>
      <c r="M2353" t="s">
        <v>2383</v>
      </c>
      <c r="N2353" s="15" t="s">
        <v>6878</v>
      </c>
    </row>
    <row r="2354" spans="1:14" x14ac:dyDescent="0.2">
      <c r="A2354" t="s">
        <v>3466</v>
      </c>
      <c r="B2354" t="s">
        <v>2360</v>
      </c>
      <c r="C2354" s="9">
        <v>44999</v>
      </c>
      <c r="D2354" t="s">
        <v>946</v>
      </c>
      <c r="E2354" s="13">
        <v>5511950</v>
      </c>
      <c r="F2354" s="13">
        <v>5550</v>
      </c>
      <c r="G2354" s="9">
        <v>44999</v>
      </c>
      <c r="H2354" t="s">
        <v>1063</v>
      </c>
      <c r="I2354" t="s">
        <v>2382</v>
      </c>
      <c r="J2354" s="13">
        <v>122365</v>
      </c>
      <c r="K2354">
        <v>1</v>
      </c>
      <c r="L2354" t="s">
        <v>1064</v>
      </c>
      <c r="M2354" t="s">
        <v>2383</v>
      </c>
      <c r="N2354" s="15" t="s">
        <v>6878</v>
      </c>
    </row>
    <row r="2355" spans="1:14" x14ac:dyDescent="0.2">
      <c r="A2355" t="s">
        <v>3467</v>
      </c>
      <c r="B2355" t="s">
        <v>2360</v>
      </c>
      <c r="C2355" s="9">
        <v>44999</v>
      </c>
      <c r="D2355" t="s">
        <v>946</v>
      </c>
      <c r="E2355" s="13">
        <v>6549825</v>
      </c>
      <c r="F2355" s="13">
        <v>5550</v>
      </c>
      <c r="G2355" s="9">
        <v>44999</v>
      </c>
      <c r="H2355" t="s">
        <v>1063</v>
      </c>
      <c r="I2355" t="s">
        <v>2382</v>
      </c>
      <c r="J2355" s="13">
        <v>145405</v>
      </c>
      <c r="K2355">
        <v>1</v>
      </c>
      <c r="L2355" t="s">
        <v>1064</v>
      </c>
      <c r="M2355" t="s">
        <v>2383</v>
      </c>
      <c r="N2355" s="15" t="s">
        <v>6878</v>
      </c>
    </row>
    <row r="2356" spans="1:14" x14ac:dyDescent="0.2">
      <c r="A2356" t="s">
        <v>3468</v>
      </c>
      <c r="B2356" t="s">
        <v>2360</v>
      </c>
      <c r="C2356" s="9">
        <v>44999</v>
      </c>
      <c r="D2356" t="s">
        <v>946</v>
      </c>
      <c r="E2356" s="13">
        <v>6549825</v>
      </c>
      <c r="F2356" s="13">
        <v>5550</v>
      </c>
      <c r="G2356" s="9">
        <v>44999</v>
      </c>
      <c r="H2356" t="s">
        <v>1063</v>
      </c>
      <c r="I2356" t="s">
        <v>2382</v>
      </c>
      <c r="J2356" s="13">
        <v>145405</v>
      </c>
      <c r="K2356">
        <v>1</v>
      </c>
      <c r="L2356" t="s">
        <v>1064</v>
      </c>
      <c r="M2356" t="s">
        <v>2383</v>
      </c>
      <c r="N2356" s="15" t="s">
        <v>6878</v>
      </c>
    </row>
    <row r="2357" spans="1:14" x14ac:dyDescent="0.2">
      <c r="A2357" t="s">
        <v>3469</v>
      </c>
      <c r="B2357" t="s">
        <v>2360</v>
      </c>
      <c r="C2357" s="9">
        <v>44999</v>
      </c>
      <c r="D2357" t="s">
        <v>946</v>
      </c>
      <c r="E2357" s="13">
        <v>5511950</v>
      </c>
      <c r="F2357" s="13">
        <v>5550</v>
      </c>
      <c r="G2357" s="9">
        <v>44999</v>
      </c>
      <c r="H2357" t="s">
        <v>1063</v>
      </c>
      <c r="I2357" t="s">
        <v>2382</v>
      </c>
      <c r="J2357" s="13">
        <v>122365</v>
      </c>
      <c r="K2357">
        <v>1</v>
      </c>
      <c r="L2357" t="s">
        <v>1064</v>
      </c>
      <c r="M2357" t="s">
        <v>2383</v>
      </c>
      <c r="N2357" s="15" t="s">
        <v>6878</v>
      </c>
    </row>
    <row r="2358" spans="1:14" x14ac:dyDescent="0.2">
      <c r="A2358" t="s">
        <v>3470</v>
      </c>
      <c r="B2358" t="s">
        <v>2360</v>
      </c>
      <c r="C2358" s="9">
        <v>44999</v>
      </c>
      <c r="D2358" t="s">
        <v>946</v>
      </c>
      <c r="E2358" s="13">
        <v>5511950</v>
      </c>
      <c r="F2358" s="13">
        <v>5550</v>
      </c>
      <c r="G2358" s="9">
        <v>44999</v>
      </c>
      <c r="H2358" t="s">
        <v>1063</v>
      </c>
      <c r="I2358" t="s">
        <v>2382</v>
      </c>
      <c r="J2358" s="13">
        <v>122365</v>
      </c>
      <c r="K2358">
        <v>1</v>
      </c>
      <c r="L2358" t="s">
        <v>1064</v>
      </c>
      <c r="M2358" t="s">
        <v>2383</v>
      </c>
      <c r="N2358" s="15" t="s">
        <v>6878</v>
      </c>
    </row>
    <row r="2359" spans="1:14" x14ac:dyDescent="0.2">
      <c r="A2359" t="s">
        <v>3471</v>
      </c>
      <c r="B2359" t="s">
        <v>2360</v>
      </c>
      <c r="C2359" s="9">
        <v>44999</v>
      </c>
      <c r="D2359" t="s">
        <v>946</v>
      </c>
      <c r="E2359" s="13">
        <v>5511950</v>
      </c>
      <c r="F2359" s="13">
        <v>5550</v>
      </c>
      <c r="G2359" s="9">
        <v>44999</v>
      </c>
      <c r="H2359" t="s">
        <v>1063</v>
      </c>
      <c r="I2359" t="s">
        <v>2382</v>
      </c>
      <c r="J2359" s="13">
        <v>122365</v>
      </c>
      <c r="K2359">
        <v>1</v>
      </c>
      <c r="L2359" t="s">
        <v>1064</v>
      </c>
      <c r="M2359" t="s">
        <v>2383</v>
      </c>
      <c r="N2359" s="15" t="s">
        <v>6878</v>
      </c>
    </row>
    <row r="2360" spans="1:14" x14ac:dyDescent="0.2">
      <c r="A2360" t="s">
        <v>3472</v>
      </c>
      <c r="B2360" t="s">
        <v>2360</v>
      </c>
      <c r="C2360" s="9">
        <v>44999</v>
      </c>
      <c r="D2360" t="s">
        <v>946</v>
      </c>
      <c r="E2360" s="13">
        <v>6265350</v>
      </c>
      <c r="F2360" s="13">
        <v>5550</v>
      </c>
      <c r="G2360" s="9">
        <v>44999</v>
      </c>
      <c r="H2360" t="s">
        <v>1063</v>
      </c>
      <c r="I2360" t="s">
        <v>2382</v>
      </c>
      <c r="J2360" s="13">
        <v>139090</v>
      </c>
      <c r="K2360">
        <v>1</v>
      </c>
      <c r="L2360" t="s">
        <v>1064</v>
      </c>
      <c r="M2360" t="s">
        <v>2383</v>
      </c>
      <c r="N2360" s="15" t="s">
        <v>6878</v>
      </c>
    </row>
    <row r="2361" spans="1:14" x14ac:dyDescent="0.2">
      <c r="A2361" t="s">
        <v>3473</v>
      </c>
      <c r="B2361" t="s">
        <v>2360</v>
      </c>
      <c r="C2361" s="9">
        <v>44999</v>
      </c>
      <c r="D2361" t="s">
        <v>946</v>
      </c>
      <c r="E2361" s="13">
        <v>7174170</v>
      </c>
      <c r="F2361" s="13">
        <v>5550</v>
      </c>
      <c r="G2361" s="9">
        <v>44999</v>
      </c>
      <c r="H2361" t="s">
        <v>1063</v>
      </c>
      <c r="I2361" t="s">
        <v>2382</v>
      </c>
      <c r="J2361" s="13">
        <v>159266</v>
      </c>
      <c r="K2361">
        <v>1</v>
      </c>
      <c r="L2361" t="s">
        <v>1064</v>
      </c>
      <c r="M2361" t="s">
        <v>2383</v>
      </c>
      <c r="N2361" s="15" t="s">
        <v>6878</v>
      </c>
    </row>
    <row r="2362" spans="1:14" x14ac:dyDescent="0.2">
      <c r="A2362" t="s">
        <v>3474</v>
      </c>
      <c r="B2362" t="s">
        <v>2360</v>
      </c>
      <c r="C2362" s="9">
        <v>44999</v>
      </c>
      <c r="D2362" t="s">
        <v>946</v>
      </c>
      <c r="E2362" s="13">
        <v>19320000</v>
      </c>
      <c r="F2362" s="13">
        <v>5550</v>
      </c>
      <c r="G2362" s="9">
        <v>44999</v>
      </c>
      <c r="H2362" t="s">
        <v>1063</v>
      </c>
      <c r="I2362" t="s">
        <v>2382</v>
      </c>
      <c r="J2362" s="13">
        <v>428904</v>
      </c>
      <c r="K2362">
        <v>1</v>
      </c>
      <c r="L2362" t="s">
        <v>1064</v>
      </c>
      <c r="M2362" t="s">
        <v>2383</v>
      </c>
      <c r="N2362" s="15" t="s">
        <v>6878</v>
      </c>
    </row>
    <row r="2363" spans="1:14" x14ac:dyDescent="0.2">
      <c r="A2363" t="s">
        <v>3475</v>
      </c>
      <c r="B2363" t="s">
        <v>2360</v>
      </c>
      <c r="C2363" s="9">
        <v>44999</v>
      </c>
      <c r="D2363" t="s">
        <v>946</v>
      </c>
      <c r="E2363" s="13">
        <v>5511950</v>
      </c>
      <c r="F2363" s="13">
        <v>5550</v>
      </c>
      <c r="G2363" s="9">
        <v>44999</v>
      </c>
      <c r="H2363" t="s">
        <v>1063</v>
      </c>
      <c r="I2363" t="s">
        <v>2382</v>
      </c>
      <c r="J2363" s="13">
        <v>122365</v>
      </c>
      <c r="K2363">
        <v>1</v>
      </c>
      <c r="L2363" t="s">
        <v>1064</v>
      </c>
      <c r="M2363" t="s">
        <v>2383</v>
      </c>
      <c r="N2363" s="15" t="s">
        <v>6878</v>
      </c>
    </row>
    <row r="2364" spans="1:14" x14ac:dyDescent="0.2">
      <c r="A2364" t="s">
        <v>3476</v>
      </c>
      <c r="B2364" t="s">
        <v>2360</v>
      </c>
      <c r="C2364" s="9">
        <v>44999</v>
      </c>
      <c r="D2364" t="s">
        <v>946</v>
      </c>
      <c r="E2364" s="13">
        <v>4100000</v>
      </c>
      <c r="F2364" s="13">
        <v>5550</v>
      </c>
      <c r="G2364" s="9">
        <v>44999</v>
      </c>
      <c r="H2364" t="s">
        <v>1063</v>
      </c>
      <c r="I2364" t="s">
        <v>2382</v>
      </c>
      <c r="J2364" s="13">
        <v>91020</v>
      </c>
      <c r="K2364">
        <v>1</v>
      </c>
      <c r="L2364" t="s">
        <v>1064</v>
      </c>
      <c r="M2364" t="s">
        <v>2383</v>
      </c>
      <c r="N2364" s="15" t="s">
        <v>6878</v>
      </c>
    </row>
    <row r="2365" spans="1:14" x14ac:dyDescent="0.2">
      <c r="A2365" t="s">
        <v>3477</v>
      </c>
      <c r="B2365" t="s">
        <v>2360</v>
      </c>
      <c r="C2365" s="9">
        <v>44999</v>
      </c>
      <c r="D2365" t="s">
        <v>946</v>
      </c>
      <c r="E2365" s="13">
        <v>4900000</v>
      </c>
      <c r="F2365" s="13">
        <v>5550</v>
      </c>
      <c r="G2365" s="9">
        <v>44999</v>
      </c>
      <c r="H2365" t="s">
        <v>1063</v>
      </c>
      <c r="I2365" t="s">
        <v>2382</v>
      </c>
      <c r="J2365" s="13">
        <v>108780</v>
      </c>
      <c r="K2365">
        <v>1</v>
      </c>
      <c r="L2365" t="s">
        <v>1064</v>
      </c>
      <c r="M2365" t="s">
        <v>2383</v>
      </c>
      <c r="N2365" s="15" t="s">
        <v>6878</v>
      </c>
    </row>
    <row r="2366" spans="1:14" x14ac:dyDescent="0.2">
      <c r="A2366" t="s">
        <v>3478</v>
      </c>
      <c r="B2366" t="s">
        <v>2360</v>
      </c>
      <c r="C2366" s="9">
        <v>44999</v>
      </c>
      <c r="D2366" t="s">
        <v>946</v>
      </c>
      <c r="E2366" s="13">
        <v>4700000</v>
      </c>
      <c r="F2366" s="13">
        <v>5550</v>
      </c>
      <c r="G2366" s="9">
        <v>44999</v>
      </c>
      <c r="H2366" t="s">
        <v>1063</v>
      </c>
      <c r="I2366" t="s">
        <v>2382</v>
      </c>
      <c r="J2366" s="13">
        <v>104340</v>
      </c>
      <c r="K2366">
        <v>1</v>
      </c>
      <c r="L2366" t="s">
        <v>1064</v>
      </c>
      <c r="M2366" t="s">
        <v>2383</v>
      </c>
      <c r="N2366" s="15" t="s">
        <v>6878</v>
      </c>
    </row>
    <row r="2367" spans="1:14" x14ac:dyDescent="0.2">
      <c r="A2367" t="s">
        <v>3479</v>
      </c>
      <c r="B2367" t="s">
        <v>2360</v>
      </c>
      <c r="C2367" s="9">
        <v>44999</v>
      </c>
      <c r="D2367" t="s">
        <v>946</v>
      </c>
      <c r="E2367" s="13">
        <v>4900000</v>
      </c>
      <c r="F2367" s="13">
        <v>5550</v>
      </c>
      <c r="G2367" s="9">
        <v>44999</v>
      </c>
      <c r="H2367" t="s">
        <v>1063</v>
      </c>
      <c r="I2367" t="s">
        <v>2382</v>
      </c>
      <c r="J2367" s="13">
        <v>108780</v>
      </c>
      <c r="K2367">
        <v>1</v>
      </c>
      <c r="L2367" t="s">
        <v>1064</v>
      </c>
      <c r="M2367" t="s">
        <v>2383</v>
      </c>
      <c r="N2367" s="15" t="s">
        <v>6878</v>
      </c>
    </row>
    <row r="2368" spans="1:14" x14ac:dyDescent="0.2">
      <c r="A2368" t="s">
        <v>3480</v>
      </c>
      <c r="B2368" t="s">
        <v>2360</v>
      </c>
      <c r="C2368" s="9">
        <v>44999</v>
      </c>
      <c r="D2368" t="s">
        <v>946</v>
      </c>
      <c r="E2368" s="13">
        <v>4900000</v>
      </c>
      <c r="F2368" s="13">
        <v>5550</v>
      </c>
      <c r="G2368" s="9">
        <v>44999</v>
      </c>
      <c r="H2368" t="s">
        <v>1063</v>
      </c>
      <c r="I2368" t="s">
        <v>2382</v>
      </c>
      <c r="J2368" s="13">
        <v>108780</v>
      </c>
      <c r="K2368">
        <v>1</v>
      </c>
      <c r="L2368" t="s">
        <v>1064</v>
      </c>
      <c r="M2368" t="s">
        <v>2383</v>
      </c>
      <c r="N2368" s="15" t="s">
        <v>6878</v>
      </c>
    </row>
    <row r="2369" spans="1:14" x14ac:dyDescent="0.2">
      <c r="A2369" t="s">
        <v>3481</v>
      </c>
      <c r="B2369" t="s">
        <v>2360</v>
      </c>
      <c r="C2369" s="9">
        <v>44999</v>
      </c>
      <c r="D2369" t="s">
        <v>946</v>
      </c>
      <c r="E2369" s="13">
        <v>2975000</v>
      </c>
      <c r="F2369" s="13">
        <v>5550</v>
      </c>
      <c r="G2369" s="9">
        <v>44999</v>
      </c>
      <c r="H2369" t="s">
        <v>1063</v>
      </c>
      <c r="I2369" t="s">
        <v>2382</v>
      </c>
      <c r="J2369" s="13">
        <v>66045</v>
      </c>
      <c r="K2369">
        <v>1</v>
      </c>
      <c r="L2369" t="s">
        <v>1064</v>
      </c>
      <c r="M2369" t="s">
        <v>2383</v>
      </c>
      <c r="N2369" s="15" t="s">
        <v>6878</v>
      </c>
    </row>
    <row r="2370" spans="1:14" x14ac:dyDescent="0.2">
      <c r="A2370" t="s">
        <v>3482</v>
      </c>
      <c r="B2370" t="s">
        <v>2360</v>
      </c>
      <c r="C2370" s="9">
        <v>44999</v>
      </c>
      <c r="D2370" t="s">
        <v>946</v>
      </c>
      <c r="E2370" s="13">
        <v>2700000</v>
      </c>
      <c r="F2370" s="13">
        <v>5550</v>
      </c>
      <c r="G2370" s="9">
        <v>44999</v>
      </c>
      <c r="H2370" t="s">
        <v>1063</v>
      </c>
      <c r="I2370" t="s">
        <v>2382</v>
      </c>
      <c r="J2370" s="13">
        <v>59940</v>
      </c>
      <c r="K2370">
        <v>1</v>
      </c>
      <c r="L2370" t="s">
        <v>1064</v>
      </c>
      <c r="M2370" t="s">
        <v>2383</v>
      </c>
      <c r="N2370" s="15" t="s">
        <v>6878</v>
      </c>
    </row>
    <row r="2371" spans="1:14" x14ac:dyDescent="0.2">
      <c r="A2371" t="s">
        <v>3483</v>
      </c>
      <c r="B2371" t="s">
        <v>2360</v>
      </c>
      <c r="C2371" s="9">
        <v>44999</v>
      </c>
      <c r="D2371" t="s">
        <v>946</v>
      </c>
      <c r="E2371" s="13">
        <v>2975000</v>
      </c>
      <c r="F2371" s="13">
        <v>5550</v>
      </c>
      <c r="G2371" s="9">
        <v>44999</v>
      </c>
      <c r="H2371" t="s">
        <v>1063</v>
      </c>
      <c r="I2371" t="s">
        <v>2382</v>
      </c>
      <c r="J2371" s="13">
        <v>66045</v>
      </c>
      <c r="K2371">
        <v>1</v>
      </c>
      <c r="L2371" t="s">
        <v>1064</v>
      </c>
      <c r="M2371" t="s">
        <v>2383</v>
      </c>
      <c r="N2371" s="15" t="s">
        <v>6878</v>
      </c>
    </row>
    <row r="2372" spans="1:14" x14ac:dyDescent="0.2">
      <c r="A2372" t="s">
        <v>3484</v>
      </c>
      <c r="B2372" t="s">
        <v>2360</v>
      </c>
      <c r="C2372" s="9">
        <v>44999</v>
      </c>
      <c r="D2372" t="s">
        <v>946</v>
      </c>
      <c r="E2372" s="13">
        <v>2700000</v>
      </c>
      <c r="F2372" s="13">
        <v>5550</v>
      </c>
      <c r="G2372" s="9">
        <v>44999</v>
      </c>
      <c r="H2372" t="s">
        <v>1063</v>
      </c>
      <c r="I2372" t="s">
        <v>2382</v>
      </c>
      <c r="J2372" s="13">
        <v>59940</v>
      </c>
      <c r="K2372">
        <v>1</v>
      </c>
      <c r="L2372" t="s">
        <v>1064</v>
      </c>
      <c r="M2372" t="s">
        <v>2383</v>
      </c>
      <c r="N2372" s="15" t="s">
        <v>6878</v>
      </c>
    </row>
    <row r="2373" spans="1:14" x14ac:dyDescent="0.2">
      <c r="A2373" t="s">
        <v>3485</v>
      </c>
      <c r="B2373" t="s">
        <v>2360</v>
      </c>
      <c r="C2373" s="9">
        <v>44999</v>
      </c>
      <c r="D2373" t="s">
        <v>946</v>
      </c>
      <c r="E2373" s="13">
        <v>4700000</v>
      </c>
      <c r="F2373" s="13">
        <v>5550</v>
      </c>
      <c r="G2373" s="9">
        <v>44999</v>
      </c>
      <c r="H2373" t="s">
        <v>1063</v>
      </c>
      <c r="I2373" t="s">
        <v>2382</v>
      </c>
      <c r="J2373" s="13">
        <v>104340</v>
      </c>
      <c r="K2373">
        <v>1</v>
      </c>
      <c r="L2373" t="s">
        <v>1064</v>
      </c>
      <c r="M2373" t="s">
        <v>2383</v>
      </c>
      <c r="N2373" s="15" t="s">
        <v>6878</v>
      </c>
    </row>
    <row r="2374" spans="1:14" x14ac:dyDescent="0.2">
      <c r="A2374" t="s">
        <v>3486</v>
      </c>
      <c r="B2374" t="s">
        <v>2360</v>
      </c>
      <c r="C2374" s="9">
        <v>44999</v>
      </c>
      <c r="D2374" t="s">
        <v>946</v>
      </c>
      <c r="E2374" s="13">
        <v>4900000</v>
      </c>
      <c r="F2374" s="13">
        <v>5550</v>
      </c>
      <c r="G2374" s="9">
        <v>44999</v>
      </c>
      <c r="H2374" t="s">
        <v>1063</v>
      </c>
      <c r="I2374" t="s">
        <v>2382</v>
      </c>
      <c r="J2374" s="13">
        <v>108780</v>
      </c>
      <c r="K2374">
        <v>1</v>
      </c>
      <c r="L2374" t="s">
        <v>1064</v>
      </c>
      <c r="M2374" t="s">
        <v>2383</v>
      </c>
      <c r="N2374" s="15" t="s">
        <v>6878</v>
      </c>
    </row>
    <row r="2375" spans="1:14" x14ac:dyDescent="0.2">
      <c r="A2375" t="s">
        <v>3487</v>
      </c>
      <c r="B2375" t="s">
        <v>2360</v>
      </c>
      <c r="C2375" s="9">
        <v>44999</v>
      </c>
      <c r="D2375" t="s">
        <v>946</v>
      </c>
      <c r="E2375" s="13">
        <v>13541825</v>
      </c>
      <c r="F2375" s="13">
        <v>5550</v>
      </c>
      <c r="G2375" s="9">
        <v>44999</v>
      </c>
      <c r="H2375" t="s">
        <v>1063</v>
      </c>
      <c r="I2375" t="s">
        <v>2382</v>
      </c>
      <c r="J2375" s="13">
        <v>300627</v>
      </c>
      <c r="K2375">
        <v>1</v>
      </c>
      <c r="L2375" t="s">
        <v>1064</v>
      </c>
      <c r="M2375" t="s">
        <v>2383</v>
      </c>
      <c r="N2375" s="15" t="s">
        <v>6878</v>
      </c>
    </row>
    <row r="2376" spans="1:14" x14ac:dyDescent="0.2">
      <c r="A2376" t="s">
        <v>3488</v>
      </c>
      <c r="B2376" t="s">
        <v>2360</v>
      </c>
      <c r="C2376" s="9">
        <v>44999</v>
      </c>
      <c r="D2376" t="s">
        <v>946</v>
      </c>
      <c r="E2376" s="13">
        <v>5511950</v>
      </c>
      <c r="F2376" s="13">
        <v>5550</v>
      </c>
      <c r="G2376" s="9">
        <v>44999</v>
      </c>
      <c r="H2376" t="s">
        <v>1063</v>
      </c>
      <c r="I2376" t="s">
        <v>2382</v>
      </c>
      <c r="J2376" s="13">
        <v>122365</v>
      </c>
      <c r="K2376">
        <v>1</v>
      </c>
      <c r="L2376" t="s">
        <v>1064</v>
      </c>
      <c r="M2376" t="s">
        <v>2383</v>
      </c>
      <c r="N2376" s="15" t="s">
        <v>6878</v>
      </c>
    </row>
    <row r="2377" spans="1:14" x14ac:dyDescent="0.2">
      <c r="A2377" t="s">
        <v>3489</v>
      </c>
      <c r="B2377" t="s">
        <v>2360</v>
      </c>
      <c r="C2377" s="9">
        <v>44999</v>
      </c>
      <c r="D2377" t="s">
        <v>946</v>
      </c>
      <c r="E2377" s="13">
        <v>6549825</v>
      </c>
      <c r="F2377" s="13">
        <v>5550</v>
      </c>
      <c r="G2377" s="9">
        <v>44999</v>
      </c>
      <c r="H2377" t="s">
        <v>1063</v>
      </c>
      <c r="I2377" t="s">
        <v>2382</v>
      </c>
      <c r="J2377" s="13">
        <v>145405</v>
      </c>
      <c r="K2377">
        <v>1</v>
      </c>
      <c r="L2377" t="s">
        <v>1064</v>
      </c>
      <c r="M2377" t="s">
        <v>2383</v>
      </c>
      <c r="N2377" s="15" t="s">
        <v>6878</v>
      </c>
    </row>
    <row r="2378" spans="1:14" x14ac:dyDescent="0.2">
      <c r="A2378" t="s">
        <v>3490</v>
      </c>
      <c r="B2378" t="s">
        <v>2360</v>
      </c>
      <c r="C2378" s="9">
        <v>44999</v>
      </c>
      <c r="D2378" t="s">
        <v>946</v>
      </c>
      <c r="E2378" s="13">
        <v>3157920</v>
      </c>
      <c r="F2378" s="13">
        <v>5550</v>
      </c>
      <c r="G2378" s="9">
        <v>44999</v>
      </c>
      <c r="H2378" t="s">
        <v>1063</v>
      </c>
      <c r="I2378" t="s">
        <v>2382</v>
      </c>
      <c r="J2378" s="13">
        <v>70105</v>
      </c>
      <c r="K2378">
        <v>1</v>
      </c>
      <c r="L2378" t="s">
        <v>1064</v>
      </c>
      <c r="M2378" t="s">
        <v>2383</v>
      </c>
      <c r="N2378" s="15" t="s">
        <v>6878</v>
      </c>
    </row>
    <row r="2379" spans="1:14" x14ac:dyDescent="0.2">
      <c r="A2379" t="s">
        <v>3491</v>
      </c>
      <c r="B2379" t="s">
        <v>2360</v>
      </c>
      <c r="C2379" s="9">
        <v>44999</v>
      </c>
      <c r="D2379" t="s">
        <v>946</v>
      </c>
      <c r="E2379" s="13">
        <v>4176900</v>
      </c>
      <c r="F2379" s="13">
        <v>5550</v>
      </c>
      <c r="G2379" s="9">
        <v>44999</v>
      </c>
      <c r="H2379" t="s">
        <v>1063</v>
      </c>
      <c r="I2379" t="s">
        <v>2382</v>
      </c>
      <c r="J2379" s="13">
        <v>92727</v>
      </c>
      <c r="K2379">
        <v>1</v>
      </c>
      <c r="L2379" t="s">
        <v>1064</v>
      </c>
      <c r="M2379" t="s">
        <v>2383</v>
      </c>
      <c r="N2379" s="15" t="s">
        <v>6878</v>
      </c>
    </row>
    <row r="2380" spans="1:14" x14ac:dyDescent="0.2">
      <c r="A2380" t="s">
        <v>3492</v>
      </c>
      <c r="B2380" t="s">
        <v>2360</v>
      </c>
      <c r="C2380" s="9">
        <v>44999</v>
      </c>
      <c r="D2380" t="s">
        <v>946</v>
      </c>
      <c r="E2380" s="13">
        <v>5293450</v>
      </c>
      <c r="F2380" s="13">
        <v>5550</v>
      </c>
      <c r="G2380" s="9">
        <v>44999</v>
      </c>
      <c r="H2380" t="s">
        <v>1063</v>
      </c>
      <c r="I2380" t="s">
        <v>2382</v>
      </c>
      <c r="J2380" s="13">
        <v>117514</v>
      </c>
      <c r="K2380">
        <v>1</v>
      </c>
      <c r="L2380" t="s">
        <v>1064</v>
      </c>
      <c r="M2380" t="s">
        <v>2383</v>
      </c>
      <c r="N2380" s="15" t="s">
        <v>6878</v>
      </c>
    </row>
    <row r="2381" spans="1:14" x14ac:dyDescent="0.2">
      <c r="A2381" t="s">
        <v>3493</v>
      </c>
      <c r="B2381" t="s">
        <v>2360</v>
      </c>
      <c r="C2381" s="9">
        <v>44999</v>
      </c>
      <c r="D2381" t="s">
        <v>946</v>
      </c>
      <c r="E2381" s="13">
        <v>5293450</v>
      </c>
      <c r="F2381" s="13">
        <v>5550</v>
      </c>
      <c r="G2381" s="9">
        <v>44999</v>
      </c>
      <c r="H2381" t="s">
        <v>1063</v>
      </c>
      <c r="I2381" t="s">
        <v>2382</v>
      </c>
      <c r="J2381" s="13">
        <v>117514</v>
      </c>
      <c r="K2381">
        <v>1</v>
      </c>
      <c r="L2381" t="s">
        <v>1064</v>
      </c>
      <c r="M2381" t="s">
        <v>2383</v>
      </c>
      <c r="N2381" s="15" t="s">
        <v>6878</v>
      </c>
    </row>
    <row r="2382" spans="1:14" x14ac:dyDescent="0.2">
      <c r="A2382" t="s">
        <v>3494</v>
      </c>
      <c r="B2382" t="s">
        <v>2360</v>
      </c>
      <c r="C2382" s="9">
        <v>44999</v>
      </c>
      <c r="D2382" t="s">
        <v>946</v>
      </c>
      <c r="E2382" s="13">
        <v>17467806</v>
      </c>
      <c r="F2382" s="13">
        <v>5550</v>
      </c>
      <c r="G2382" s="9">
        <v>44999</v>
      </c>
      <c r="H2382" t="s">
        <v>1063</v>
      </c>
      <c r="I2382" t="s">
        <v>2382</v>
      </c>
      <c r="J2382" s="13">
        <v>387785</v>
      </c>
      <c r="K2382">
        <v>1</v>
      </c>
      <c r="L2382" t="s">
        <v>1064</v>
      </c>
      <c r="M2382" t="s">
        <v>2383</v>
      </c>
      <c r="N2382" s="15" t="s">
        <v>6878</v>
      </c>
    </row>
    <row r="2383" spans="1:14" x14ac:dyDescent="0.2">
      <c r="A2383" t="s">
        <v>3495</v>
      </c>
      <c r="B2383" t="s">
        <v>2360</v>
      </c>
      <c r="C2383" s="9">
        <v>44999</v>
      </c>
      <c r="D2383" t="s">
        <v>946</v>
      </c>
      <c r="E2383" s="13">
        <v>5511950</v>
      </c>
      <c r="F2383" s="13">
        <v>5550</v>
      </c>
      <c r="G2383" s="9">
        <v>44999</v>
      </c>
      <c r="H2383" t="s">
        <v>1063</v>
      </c>
      <c r="I2383" t="s">
        <v>2382</v>
      </c>
      <c r="J2383" s="13">
        <v>122365</v>
      </c>
      <c r="K2383">
        <v>1</v>
      </c>
      <c r="L2383" t="s">
        <v>1064</v>
      </c>
      <c r="M2383" t="s">
        <v>2383</v>
      </c>
      <c r="N2383" s="15" t="s">
        <v>6878</v>
      </c>
    </row>
    <row r="2384" spans="1:14" x14ac:dyDescent="0.2">
      <c r="A2384" t="s">
        <v>3496</v>
      </c>
      <c r="B2384" t="s">
        <v>2360</v>
      </c>
      <c r="C2384" s="9">
        <v>44999</v>
      </c>
      <c r="D2384" t="s">
        <v>946</v>
      </c>
      <c r="E2384" s="13">
        <v>6549825</v>
      </c>
      <c r="F2384" s="13">
        <v>5550</v>
      </c>
      <c r="G2384" s="9">
        <v>44999</v>
      </c>
      <c r="H2384" t="s">
        <v>1063</v>
      </c>
      <c r="I2384" t="s">
        <v>2382</v>
      </c>
      <c r="J2384" s="13">
        <v>145405</v>
      </c>
      <c r="K2384">
        <v>1</v>
      </c>
      <c r="L2384" t="s">
        <v>1064</v>
      </c>
      <c r="M2384" t="s">
        <v>2383</v>
      </c>
      <c r="N2384" s="15" t="s">
        <v>6878</v>
      </c>
    </row>
    <row r="2385" spans="1:14" x14ac:dyDescent="0.2">
      <c r="A2385" t="s">
        <v>3497</v>
      </c>
      <c r="B2385" t="s">
        <v>2360</v>
      </c>
      <c r="C2385" s="9">
        <v>44999</v>
      </c>
      <c r="D2385" t="s">
        <v>946</v>
      </c>
      <c r="E2385" s="13">
        <v>5511950</v>
      </c>
      <c r="F2385" s="13">
        <v>5550</v>
      </c>
      <c r="G2385" s="9">
        <v>44999</v>
      </c>
      <c r="H2385" t="s">
        <v>1063</v>
      </c>
      <c r="I2385" t="s">
        <v>2382</v>
      </c>
      <c r="J2385" s="13">
        <v>122365</v>
      </c>
      <c r="K2385">
        <v>1</v>
      </c>
      <c r="L2385" t="s">
        <v>1064</v>
      </c>
      <c r="M2385" t="s">
        <v>2383</v>
      </c>
      <c r="N2385" s="15" t="s">
        <v>6878</v>
      </c>
    </row>
    <row r="2386" spans="1:14" x14ac:dyDescent="0.2">
      <c r="A2386" t="s">
        <v>3498</v>
      </c>
      <c r="B2386" t="s">
        <v>2360</v>
      </c>
      <c r="C2386" s="9">
        <v>44999</v>
      </c>
      <c r="D2386" t="s">
        <v>946</v>
      </c>
      <c r="E2386" s="13">
        <v>5511950</v>
      </c>
      <c r="F2386" s="13">
        <v>5550</v>
      </c>
      <c r="G2386" s="9">
        <v>44999</v>
      </c>
      <c r="H2386" t="s">
        <v>1063</v>
      </c>
      <c r="I2386" t="s">
        <v>2382</v>
      </c>
      <c r="J2386" s="13">
        <v>122365</v>
      </c>
      <c r="K2386">
        <v>1</v>
      </c>
      <c r="L2386" t="s">
        <v>1064</v>
      </c>
      <c r="M2386" t="s">
        <v>2383</v>
      </c>
      <c r="N2386" s="15" t="s">
        <v>6878</v>
      </c>
    </row>
    <row r="2387" spans="1:14" x14ac:dyDescent="0.2">
      <c r="A2387" t="s">
        <v>3499</v>
      </c>
      <c r="B2387" t="s">
        <v>2360</v>
      </c>
      <c r="C2387" s="9">
        <v>44999</v>
      </c>
      <c r="D2387" t="s">
        <v>946</v>
      </c>
      <c r="E2387" s="13">
        <v>6549825</v>
      </c>
      <c r="F2387" s="13">
        <v>5550</v>
      </c>
      <c r="G2387" s="9">
        <v>44999</v>
      </c>
      <c r="H2387" t="s">
        <v>1063</v>
      </c>
      <c r="I2387" t="s">
        <v>2382</v>
      </c>
      <c r="J2387" s="13">
        <v>145405</v>
      </c>
      <c r="K2387">
        <v>1</v>
      </c>
      <c r="L2387" t="s">
        <v>1064</v>
      </c>
      <c r="M2387" t="s">
        <v>2383</v>
      </c>
      <c r="N2387" s="15" t="s">
        <v>6878</v>
      </c>
    </row>
    <row r="2388" spans="1:14" x14ac:dyDescent="0.2">
      <c r="A2388" t="s">
        <v>3500</v>
      </c>
      <c r="B2388" t="s">
        <v>2360</v>
      </c>
      <c r="C2388" s="9">
        <v>44999</v>
      </c>
      <c r="D2388" t="s">
        <v>946</v>
      </c>
      <c r="E2388" s="13">
        <v>5511950</v>
      </c>
      <c r="F2388" s="13">
        <v>5550</v>
      </c>
      <c r="G2388" s="9">
        <v>44999</v>
      </c>
      <c r="H2388" t="s">
        <v>1063</v>
      </c>
      <c r="I2388" t="s">
        <v>2382</v>
      </c>
      <c r="J2388" s="13">
        <v>122365</v>
      </c>
      <c r="K2388">
        <v>1</v>
      </c>
      <c r="L2388" t="s">
        <v>1064</v>
      </c>
      <c r="M2388" t="s">
        <v>2383</v>
      </c>
      <c r="N2388" s="15" t="s">
        <v>6878</v>
      </c>
    </row>
    <row r="2389" spans="1:14" x14ac:dyDescent="0.2">
      <c r="A2389" t="s">
        <v>3501</v>
      </c>
      <c r="B2389" t="s">
        <v>2360</v>
      </c>
      <c r="C2389" s="9">
        <v>44999</v>
      </c>
      <c r="D2389" t="s">
        <v>946</v>
      </c>
      <c r="E2389" s="13">
        <v>5511950</v>
      </c>
      <c r="F2389" s="13">
        <v>5550</v>
      </c>
      <c r="G2389" s="9">
        <v>44999</v>
      </c>
      <c r="H2389" t="s">
        <v>1063</v>
      </c>
      <c r="I2389" t="s">
        <v>2382</v>
      </c>
      <c r="J2389" s="13">
        <v>122365</v>
      </c>
      <c r="K2389">
        <v>1</v>
      </c>
      <c r="L2389" t="s">
        <v>1064</v>
      </c>
      <c r="M2389" t="s">
        <v>2383</v>
      </c>
      <c r="N2389" s="15" t="s">
        <v>6878</v>
      </c>
    </row>
    <row r="2390" spans="1:14" x14ac:dyDescent="0.2">
      <c r="A2390" t="s">
        <v>3502</v>
      </c>
      <c r="B2390" t="s">
        <v>2360</v>
      </c>
      <c r="C2390" s="9">
        <v>44999</v>
      </c>
      <c r="D2390" t="s">
        <v>946</v>
      </c>
      <c r="E2390" s="13">
        <v>5511950</v>
      </c>
      <c r="F2390" s="13">
        <v>5550</v>
      </c>
      <c r="G2390" s="9">
        <v>44999</v>
      </c>
      <c r="H2390" t="s">
        <v>1063</v>
      </c>
      <c r="I2390" t="s">
        <v>2382</v>
      </c>
      <c r="J2390" s="13">
        <v>122365</v>
      </c>
      <c r="K2390">
        <v>1</v>
      </c>
      <c r="L2390" t="s">
        <v>1064</v>
      </c>
      <c r="M2390" t="s">
        <v>2383</v>
      </c>
      <c r="N2390" s="15" t="s">
        <v>6878</v>
      </c>
    </row>
    <row r="2391" spans="1:14" x14ac:dyDescent="0.2">
      <c r="A2391" t="s">
        <v>3503</v>
      </c>
      <c r="B2391" t="s">
        <v>2360</v>
      </c>
      <c r="C2391" s="9">
        <v>44999</v>
      </c>
      <c r="D2391" t="s">
        <v>946</v>
      </c>
      <c r="E2391" s="13">
        <v>6549825</v>
      </c>
      <c r="F2391" s="13">
        <v>5550</v>
      </c>
      <c r="G2391" s="9">
        <v>44999</v>
      </c>
      <c r="H2391" t="s">
        <v>1063</v>
      </c>
      <c r="I2391" t="s">
        <v>2382</v>
      </c>
      <c r="J2391" s="13">
        <v>145405</v>
      </c>
      <c r="K2391">
        <v>1</v>
      </c>
      <c r="L2391" t="s">
        <v>1064</v>
      </c>
      <c r="M2391" t="s">
        <v>2383</v>
      </c>
      <c r="N2391" s="15" t="s">
        <v>6878</v>
      </c>
    </row>
    <row r="2392" spans="1:14" x14ac:dyDescent="0.2">
      <c r="A2392" t="s">
        <v>3504</v>
      </c>
      <c r="B2392" t="s">
        <v>2360</v>
      </c>
      <c r="C2392" s="9">
        <v>44999</v>
      </c>
      <c r="D2392" t="s">
        <v>946</v>
      </c>
      <c r="E2392" s="13">
        <v>6549825</v>
      </c>
      <c r="F2392" s="13">
        <v>5550</v>
      </c>
      <c r="G2392" s="9">
        <v>44999</v>
      </c>
      <c r="H2392" t="s">
        <v>1063</v>
      </c>
      <c r="I2392" t="s">
        <v>2382</v>
      </c>
      <c r="J2392" s="13">
        <v>145405</v>
      </c>
      <c r="K2392">
        <v>1</v>
      </c>
      <c r="L2392" t="s">
        <v>1064</v>
      </c>
      <c r="M2392" t="s">
        <v>2383</v>
      </c>
      <c r="N2392" s="15" t="s">
        <v>6878</v>
      </c>
    </row>
    <row r="2393" spans="1:14" x14ac:dyDescent="0.2">
      <c r="A2393" t="s">
        <v>3505</v>
      </c>
      <c r="B2393" t="s">
        <v>2360</v>
      </c>
      <c r="C2393" s="9">
        <v>44999</v>
      </c>
      <c r="D2393" t="s">
        <v>946</v>
      </c>
      <c r="E2393" s="13">
        <v>7889470</v>
      </c>
      <c r="F2393" s="13">
        <v>5550</v>
      </c>
      <c r="G2393" s="9">
        <v>44999</v>
      </c>
      <c r="H2393" t="s">
        <v>1063</v>
      </c>
      <c r="I2393" t="s">
        <v>2382</v>
      </c>
      <c r="J2393" s="13">
        <v>175145</v>
      </c>
      <c r="K2393">
        <v>1</v>
      </c>
      <c r="L2393" t="s">
        <v>1064</v>
      </c>
      <c r="M2393" t="s">
        <v>2383</v>
      </c>
      <c r="N2393" s="15" t="s">
        <v>6878</v>
      </c>
    </row>
    <row r="2394" spans="1:14" x14ac:dyDescent="0.2">
      <c r="A2394" t="s">
        <v>3506</v>
      </c>
      <c r="B2394" t="s">
        <v>2360</v>
      </c>
      <c r="C2394" s="9">
        <v>44999</v>
      </c>
      <c r="D2394" t="s">
        <v>946</v>
      </c>
      <c r="E2394" s="13">
        <v>7468500</v>
      </c>
      <c r="F2394" s="13">
        <v>5550</v>
      </c>
      <c r="G2394" s="9">
        <v>44999</v>
      </c>
      <c r="H2394" t="s">
        <v>1063</v>
      </c>
      <c r="I2394" t="s">
        <v>2382</v>
      </c>
      <c r="J2394" s="13">
        <v>165800</v>
      </c>
      <c r="K2394">
        <v>1</v>
      </c>
      <c r="L2394" t="s">
        <v>1064</v>
      </c>
      <c r="M2394" t="s">
        <v>2383</v>
      </c>
      <c r="N2394" s="15" t="s">
        <v>6878</v>
      </c>
    </row>
    <row r="2395" spans="1:14" x14ac:dyDescent="0.2">
      <c r="A2395" t="s">
        <v>3507</v>
      </c>
      <c r="B2395" t="s">
        <v>2360</v>
      </c>
      <c r="C2395" s="9">
        <v>44999</v>
      </c>
      <c r="D2395" t="s">
        <v>946</v>
      </c>
      <c r="E2395" s="13">
        <v>10324790</v>
      </c>
      <c r="F2395" s="13">
        <v>5550</v>
      </c>
      <c r="G2395" s="9">
        <v>44999</v>
      </c>
      <c r="H2395" t="s">
        <v>1063</v>
      </c>
      <c r="I2395" t="s">
        <v>2382</v>
      </c>
      <c r="J2395" s="13">
        <v>229209</v>
      </c>
      <c r="K2395">
        <v>1</v>
      </c>
      <c r="L2395" t="s">
        <v>1064</v>
      </c>
      <c r="M2395" t="s">
        <v>2383</v>
      </c>
      <c r="N2395" s="15" t="s">
        <v>6878</v>
      </c>
    </row>
    <row r="2396" spans="1:14" x14ac:dyDescent="0.2">
      <c r="A2396" t="s">
        <v>3508</v>
      </c>
      <c r="B2396" t="s">
        <v>2360</v>
      </c>
      <c r="C2396" s="9">
        <v>44999</v>
      </c>
      <c r="D2396" t="s">
        <v>946</v>
      </c>
      <c r="E2396" s="13">
        <v>10301230</v>
      </c>
      <c r="F2396" s="13">
        <v>5550</v>
      </c>
      <c r="G2396" s="9">
        <v>44999</v>
      </c>
      <c r="H2396" t="s">
        <v>1063</v>
      </c>
      <c r="I2396" t="s">
        <v>2382</v>
      </c>
      <c r="J2396" s="13">
        <v>228686</v>
      </c>
      <c r="K2396">
        <v>1</v>
      </c>
      <c r="L2396" t="s">
        <v>1064</v>
      </c>
      <c r="M2396" t="s">
        <v>2383</v>
      </c>
      <c r="N2396" s="15" t="s">
        <v>6878</v>
      </c>
    </row>
    <row r="2397" spans="1:14" x14ac:dyDescent="0.2">
      <c r="A2397" t="s">
        <v>3509</v>
      </c>
      <c r="B2397" t="s">
        <v>2360</v>
      </c>
      <c r="C2397" s="9">
        <v>44999</v>
      </c>
      <c r="D2397" t="s">
        <v>946</v>
      </c>
      <c r="E2397" s="13">
        <v>6549825</v>
      </c>
      <c r="F2397" s="13">
        <v>5550</v>
      </c>
      <c r="G2397" s="9">
        <v>44999</v>
      </c>
      <c r="H2397" t="s">
        <v>1063</v>
      </c>
      <c r="I2397" t="s">
        <v>2382</v>
      </c>
      <c r="J2397" s="13">
        <v>145405</v>
      </c>
      <c r="K2397">
        <v>1</v>
      </c>
      <c r="L2397" t="s">
        <v>1064</v>
      </c>
      <c r="M2397" t="s">
        <v>2383</v>
      </c>
      <c r="N2397" s="15" t="s">
        <v>6878</v>
      </c>
    </row>
    <row r="2398" spans="1:14" x14ac:dyDescent="0.2">
      <c r="A2398" t="s">
        <v>3510</v>
      </c>
      <c r="B2398" t="s">
        <v>2360</v>
      </c>
      <c r="C2398" s="9">
        <v>44999</v>
      </c>
      <c r="D2398" t="s">
        <v>946</v>
      </c>
      <c r="E2398" s="13">
        <v>13541825</v>
      </c>
      <c r="F2398" s="13">
        <v>5550</v>
      </c>
      <c r="G2398" s="9">
        <v>44999</v>
      </c>
      <c r="H2398" t="s">
        <v>1063</v>
      </c>
      <c r="I2398" t="s">
        <v>2382</v>
      </c>
      <c r="J2398" s="13">
        <v>300627</v>
      </c>
      <c r="K2398">
        <v>1</v>
      </c>
      <c r="L2398" t="s">
        <v>1064</v>
      </c>
      <c r="M2398" t="s">
        <v>2383</v>
      </c>
      <c r="N2398" s="15" t="s">
        <v>6878</v>
      </c>
    </row>
    <row r="2399" spans="1:14" x14ac:dyDescent="0.2">
      <c r="A2399" t="s">
        <v>3511</v>
      </c>
      <c r="B2399" t="s">
        <v>2360</v>
      </c>
      <c r="C2399" s="9">
        <v>44999</v>
      </c>
      <c r="D2399" t="s">
        <v>946</v>
      </c>
      <c r="E2399" s="13">
        <v>5293450</v>
      </c>
      <c r="F2399" s="13">
        <v>5550</v>
      </c>
      <c r="G2399" s="9">
        <v>44999</v>
      </c>
      <c r="H2399" t="s">
        <v>1063</v>
      </c>
      <c r="I2399" t="s">
        <v>2382</v>
      </c>
      <c r="J2399" s="13">
        <v>117514</v>
      </c>
      <c r="K2399">
        <v>1</v>
      </c>
      <c r="L2399" t="s">
        <v>1064</v>
      </c>
      <c r="M2399" t="s">
        <v>2383</v>
      </c>
      <c r="N2399" s="15" t="s">
        <v>6878</v>
      </c>
    </row>
    <row r="2400" spans="1:14" x14ac:dyDescent="0.2">
      <c r="A2400" t="s">
        <v>3512</v>
      </c>
      <c r="B2400" t="s">
        <v>2360</v>
      </c>
      <c r="C2400" s="9">
        <v>44999</v>
      </c>
      <c r="D2400" t="s">
        <v>946</v>
      </c>
      <c r="E2400" s="13">
        <v>5293450</v>
      </c>
      <c r="F2400" s="13">
        <v>5550</v>
      </c>
      <c r="G2400" s="9">
        <v>44999</v>
      </c>
      <c r="H2400" t="s">
        <v>1063</v>
      </c>
      <c r="I2400" t="s">
        <v>2382</v>
      </c>
      <c r="J2400" s="13">
        <v>117514</v>
      </c>
      <c r="K2400">
        <v>1</v>
      </c>
      <c r="L2400" t="s">
        <v>1064</v>
      </c>
      <c r="M2400" t="s">
        <v>2383</v>
      </c>
      <c r="N2400" s="15" t="s">
        <v>6878</v>
      </c>
    </row>
    <row r="2401" spans="1:14" x14ac:dyDescent="0.2">
      <c r="A2401" t="s">
        <v>3513</v>
      </c>
      <c r="B2401" t="s">
        <v>2360</v>
      </c>
      <c r="C2401" s="9">
        <v>44999</v>
      </c>
      <c r="D2401" t="s">
        <v>946</v>
      </c>
      <c r="E2401" s="13">
        <v>5293450</v>
      </c>
      <c r="F2401" s="13">
        <v>5550</v>
      </c>
      <c r="G2401" s="9">
        <v>44999</v>
      </c>
      <c r="H2401" t="s">
        <v>1063</v>
      </c>
      <c r="I2401" t="s">
        <v>2382</v>
      </c>
      <c r="J2401" s="13">
        <v>117514</v>
      </c>
      <c r="K2401">
        <v>1</v>
      </c>
      <c r="L2401" t="s">
        <v>1064</v>
      </c>
      <c r="M2401" t="s">
        <v>2383</v>
      </c>
      <c r="N2401" s="15" t="s">
        <v>6878</v>
      </c>
    </row>
    <row r="2402" spans="1:14" x14ac:dyDescent="0.2">
      <c r="A2402" t="s">
        <v>3514</v>
      </c>
      <c r="B2402" t="s">
        <v>2360</v>
      </c>
      <c r="C2402" s="9">
        <v>44999</v>
      </c>
      <c r="D2402" t="s">
        <v>946</v>
      </c>
      <c r="E2402" s="13">
        <v>21724080</v>
      </c>
      <c r="F2402" s="13">
        <v>5550</v>
      </c>
      <c r="G2402" s="9">
        <v>44999</v>
      </c>
      <c r="H2402" t="s">
        <v>1063</v>
      </c>
      <c r="I2402" t="s">
        <v>2382</v>
      </c>
      <c r="J2402" s="13">
        <v>482273</v>
      </c>
      <c r="K2402">
        <v>1</v>
      </c>
      <c r="L2402" t="s">
        <v>1064</v>
      </c>
      <c r="M2402" t="s">
        <v>2383</v>
      </c>
      <c r="N2402" s="15" t="s">
        <v>6878</v>
      </c>
    </row>
    <row r="2403" spans="1:14" x14ac:dyDescent="0.2">
      <c r="A2403" t="s">
        <v>3515</v>
      </c>
      <c r="B2403" t="s">
        <v>2360</v>
      </c>
      <c r="C2403" s="9">
        <v>44999</v>
      </c>
      <c r="D2403" t="s">
        <v>946</v>
      </c>
      <c r="E2403" s="13">
        <v>5511950</v>
      </c>
      <c r="F2403" s="13">
        <v>5550</v>
      </c>
      <c r="G2403" s="9">
        <v>44999</v>
      </c>
      <c r="H2403" t="s">
        <v>1063</v>
      </c>
      <c r="I2403" t="s">
        <v>2382</v>
      </c>
      <c r="J2403" s="13">
        <v>122365</v>
      </c>
      <c r="K2403">
        <v>1</v>
      </c>
      <c r="L2403" t="s">
        <v>1064</v>
      </c>
      <c r="M2403" t="s">
        <v>2383</v>
      </c>
      <c r="N2403" s="15" t="s">
        <v>6878</v>
      </c>
    </row>
    <row r="2404" spans="1:14" x14ac:dyDescent="0.2">
      <c r="A2404" t="s">
        <v>3516</v>
      </c>
      <c r="B2404" t="s">
        <v>2360</v>
      </c>
      <c r="C2404" s="9">
        <v>44999</v>
      </c>
      <c r="D2404" t="s">
        <v>946</v>
      </c>
      <c r="E2404" s="13">
        <v>5511950</v>
      </c>
      <c r="F2404" s="13">
        <v>5550</v>
      </c>
      <c r="G2404" s="9">
        <v>44999</v>
      </c>
      <c r="H2404" t="s">
        <v>1063</v>
      </c>
      <c r="I2404" t="s">
        <v>2382</v>
      </c>
      <c r="J2404" s="13">
        <v>122365</v>
      </c>
      <c r="K2404">
        <v>1</v>
      </c>
      <c r="L2404" t="s">
        <v>1064</v>
      </c>
      <c r="M2404" t="s">
        <v>2383</v>
      </c>
      <c r="N2404" s="15" t="s">
        <v>6878</v>
      </c>
    </row>
    <row r="2405" spans="1:14" x14ac:dyDescent="0.2">
      <c r="A2405" t="s">
        <v>3517</v>
      </c>
      <c r="B2405" t="s">
        <v>2360</v>
      </c>
      <c r="C2405" s="9">
        <v>44999</v>
      </c>
      <c r="D2405" t="s">
        <v>946</v>
      </c>
      <c r="E2405" s="13">
        <v>5511950</v>
      </c>
      <c r="F2405" s="13">
        <v>5550</v>
      </c>
      <c r="G2405" s="9">
        <v>44999</v>
      </c>
      <c r="H2405" t="s">
        <v>1063</v>
      </c>
      <c r="I2405" t="s">
        <v>2382</v>
      </c>
      <c r="J2405" s="13">
        <v>122365</v>
      </c>
      <c r="K2405">
        <v>1</v>
      </c>
      <c r="L2405" t="s">
        <v>1064</v>
      </c>
      <c r="M2405" t="s">
        <v>2383</v>
      </c>
      <c r="N2405" s="15" t="s">
        <v>6878</v>
      </c>
    </row>
    <row r="2406" spans="1:14" x14ac:dyDescent="0.2">
      <c r="A2406" t="s">
        <v>3518</v>
      </c>
      <c r="B2406" t="s">
        <v>2360</v>
      </c>
      <c r="C2406" s="9">
        <v>44999</v>
      </c>
      <c r="D2406" t="s">
        <v>946</v>
      </c>
      <c r="E2406" s="13">
        <v>5511950</v>
      </c>
      <c r="F2406" s="13">
        <v>5550</v>
      </c>
      <c r="G2406" s="9">
        <v>44999</v>
      </c>
      <c r="H2406" t="s">
        <v>1063</v>
      </c>
      <c r="I2406" t="s">
        <v>2382</v>
      </c>
      <c r="J2406" s="13">
        <v>122365</v>
      </c>
      <c r="K2406">
        <v>1</v>
      </c>
      <c r="L2406" t="s">
        <v>1064</v>
      </c>
      <c r="M2406" t="s">
        <v>2383</v>
      </c>
      <c r="N2406" s="15" t="s">
        <v>6878</v>
      </c>
    </row>
    <row r="2407" spans="1:14" x14ac:dyDescent="0.2">
      <c r="A2407" t="s">
        <v>3519</v>
      </c>
      <c r="B2407" t="s">
        <v>2360</v>
      </c>
      <c r="C2407" s="9">
        <v>44999</v>
      </c>
      <c r="D2407" t="s">
        <v>946</v>
      </c>
      <c r="E2407" s="13">
        <v>10417275</v>
      </c>
      <c r="F2407" s="13">
        <v>5550</v>
      </c>
      <c r="G2407" s="9">
        <v>44999</v>
      </c>
      <c r="H2407" t="s">
        <v>1063</v>
      </c>
      <c r="I2407" t="s">
        <v>2382</v>
      </c>
      <c r="J2407" s="13">
        <v>231262</v>
      </c>
      <c r="K2407">
        <v>1</v>
      </c>
      <c r="L2407" t="s">
        <v>1064</v>
      </c>
      <c r="M2407" t="s">
        <v>2383</v>
      </c>
      <c r="N2407" s="15" t="s">
        <v>6878</v>
      </c>
    </row>
    <row r="2408" spans="1:14" x14ac:dyDescent="0.2">
      <c r="A2408" t="s">
        <v>3520</v>
      </c>
      <c r="B2408" t="s">
        <v>2360</v>
      </c>
      <c r="C2408" s="9">
        <v>44999</v>
      </c>
      <c r="D2408" t="s">
        <v>946</v>
      </c>
      <c r="E2408" s="13">
        <v>13541825</v>
      </c>
      <c r="F2408" s="13">
        <v>5550</v>
      </c>
      <c r="G2408" s="9">
        <v>44999</v>
      </c>
      <c r="H2408" t="s">
        <v>1063</v>
      </c>
      <c r="I2408" t="s">
        <v>2382</v>
      </c>
      <c r="J2408" s="13">
        <v>300627</v>
      </c>
      <c r="K2408">
        <v>1</v>
      </c>
      <c r="L2408" t="s">
        <v>1064</v>
      </c>
      <c r="M2408" t="s">
        <v>2383</v>
      </c>
      <c r="N2408" s="15" t="s">
        <v>6878</v>
      </c>
    </row>
    <row r="2409" spans="1:14" x14ac:dyDescent="0.2">
      <c r="A2409" t="s">
        <v>3521</v>
      </c>
      <c r="B2409" t="s">
        <v>2360</v>
      </c>
      <c r="C2409" s="9">
        <v>44999</v>
      </c>
      <c r="D2409" t="s">
        <v>946</v>
      </c>
      <c r="E2409" s="13">
        <v>5293450</v>
      </c>
      <c r="F2409" s="13">
        <v>5550</v>
      </c>
      <c r="G2409" s="9">
        <v>44999</v>
      </c>
      <c r="H2409" t="s">
        <v>1063</v>
      </c>
      <c r="I2409" t="s">
        <v>2382</v>
      </c>
      <c r="J2409" s="13">
        <v>117514</v>
      </c>
      <c r="K2409">
        <v>1</v>
      </c>
      <c r="L2409" t="s">
        <v>1064</v>
      </c>
      <c r="M2409" t="s">
        <v>2383</v>
      </c>
      <c r="N2409" s="15" t="s">
        <v>6878</v>
      </c>
    </row>
    <row r="2410" spans="1:14" x14ac:dyDescent="0.2">
      <c r="A2410" t="s">
        <v>3522</v>
      </c>
      <c r="B2410" t="s">
        <v>2360</v>
      </c>
      <c r="C2410" s="9">
        <v>44999</v>
      </c>
      <c r="D2410" t="s">
        <v>946</v>
      </c>
      <c r="E2410" s="13">
        <v>5293450</v>
      </c>
      <c r="F2410" s="13">
        <v>5550</v>
      </c>
      <c r="G2410" s="9">
        <v>44999</v>
      </c>
      <c r="H2410" t="s">
        <v>1063</v>
      </c>
      <c r="I2410" t="s">
        <v>2382</v>
      </c>
      <c r="J2410" s="13">
        <v>117514</v>
      </c>
      <c r="K2410">
        <v>1</v>
      </c>
      <c r="L2410" t="s">
        <v>1064</v>
      </c>
      <c r="M2410" t="s">
        <v>2383</v>
      </c>
      <c r="N2410" s="15" t="s">
        <v>6878</v>
      </c>
    </row>
    <row r="2411" spans="1:14" x14ac:dyDescent="0.2">
      <c r="A2411" t="s">
        <v>3523</v>
      </c>
      <c r="B2411" t="s">
        <v>2360</v>
      </c>
      <c r="C2411" s="9">
        <v>44999</v>
      </c>
      <c r="D2411" t="s">
        <v>946</v>
      </c>
      <c r="E2411" s="13">
        <v>7286500</v>
      </c>
      <c r="F2411" s="13">
        <v>5550</v>
      </c>
      <c r="G2411" s="9">
        <v>44999</v>
      </c>
      <c r="H2411" t="s">
        <v>1063</v>
      </c>
      <c r="I2411" t="s">
        <v>2382</v>
      </c>
      <c r="J2411" s="13">
        <v>161760</v>
      </c>
      <c r="K2411">
        <v>1</v>
      </c>
      <c r="L2411" t="s">
        <v>1064</v>
      </c>
      <c r="M2411" t="s">
        <v>2383</v>
      </c>
      <c r="N2411" s="15" t="s">
        <v>6878</v>
      </c>
    </row>
    <row r="2412" spans="1:14" x14ac:dyDescent="0.2">
      <c r="A2412" t="s">
        <v>3524</v>
      </c>
      <c r="B2412" t="s">
        <v>2360</v>
      </c>
      <c r="C2412" s="9">
        <v>44999</v>
      </c>
      <c r="D2412" t="s">
        <v>946</v>
      </c>
      <c r="E2412" s="13">
        <v>5816700</v>
      </c>
      <c r="F2412" s="13">
        <v>5550</v>
      </c>
      <c r="G2412" s="9">
        <v>44999</v>
      </c>
      <c r="H2412" t="s">
        <v>1063</v>
      </c>
      <c r="I2412" t="s">
        <v>2382</v>
      </c>
      <c r="J2412" s="13">
        <v>129130</v>
      </c>
      <c r="K2412">
        <v>1</v>
      </c>
      <c r="L2412" t="s">
        <v>1064</v>
      </c>
      <c r="M2412" t="s">
        <v>2383</v>
      </c>
      <c r="N2412" s="15" t="s">
        <v>6878</v>
      </c>
    </row>
    <row r="2413" spans="1:14" x14ac:dyDescent="0.2">
      <c r="A2413" t="s">
        <v>3525</v>
      </c>
      <c r="B2413" t="s">
        <v>2360</v>
      </c>
      <c r="C2413" s="9">
        <v>44999</v>
      </c>
      <c r="D2413" t="s">
        <v>946</v>
      </c>
      <c r="E2413" s="13">
        <v>21562389</v>
      </c>
      <c r="F2413" s="13">
        <v>5550</v>
      </c>
      <c r="G2413" s="9">
        <v>44999</v>
      </c>
      <c r="H2413" t="s">
        <v>1063</v>
      </c>
      <c r="I2413" t="s">
        <v>2382</v>
      </c>
      <c r="J2413" s="13">
        <v>478684</v>
      </c>
      <c r="K2413">
        <v>1</v>
      </c>
      <c r="L2413" t="s">
        <v>1064</v>
      </c>
      <c r="M2413" t="s">
        <v>2383</v>
      </c>
      <c r="N2413" s="15" t="s">
        <v>6878</v>
      </c>
    </row>
    <row r="2414" spans="1:14" x14ac:dyDescent="0.2">
      <c r="A2414" t="s">
        <v>3526</v>
      </c>
      <c r="B2414" t="s">
        <v>2360</v>
      </c>
      <c r="C2414" s="9">
        <v>44999</v>
      </c>
      <c r="D2414" t="s">
        <v>946</v>
      </c>
      <c r="E2414" s="13">
        <v>4666240</v>
      </c>
      <c r="F2414" s="13">
        <v>5550</v>
      </c>
      <c r="G2414" s="9">
        <v>44999</v>
      </c>
      <c r="H2414" t="s">
        <v>1063</v>
      </c>
      <c r="I2414" t="s">
        <v>2382</v>
      </c>
      <c r="J2414" s="13">
        <v>103589</v>
      </c>
      <c r="K2414">
        <v>1</v>
      </c>
      <c r="L2414" t="s">
        <v>1064</v>
      </c>
      <c r="M2414" t="s">
        <v>2383</v>
      </c>
      <c r="N2414" s="15" t="s">
        <v>6878</v>
      </c>
    </row>
    <row r="2415" spans="1:14" x14ac:dyDescent="0.2">
      <c r="A2415" t="s">
        <v>3527</v>
      </c>
      <c r="B2415" t="s">
        <v>2360</v>
      </c>
      <c r="C2415" s="9">
        <v>44999</v>
      </c>
      <c r="D2415" t="s">
        <v>946</v>
      </c>
      <c r="E2415" s="13">
        <v>17411109</v>
      </c>
      <c r="F2415" s="13">
        <v>5550</v>
      </c>
      <c r="G2415" s="9">
        <v>44999</v>
      </c>
      <c r="H2415" t="s">
        <v>1063</v>
      </c>
      <c r="I2415" t="s">
        <v>2382</v>
      </c>
      <c r="J2415" s="13">
        <v>386526</v>
      </c>
      <c r="K2415">
        <v>1</v>
      </c>
      <c r="L2415" t="s">
        <v>1064</v>
      </c>
      <c r="M2415" t="s">
        <v>2383</v>
      </c>
      <c r="N2415" s="15" t="s">
        <v>6878</v>
      </c>
    </row>
    <row r="2416" spans="1:14" x14ac:dyDescent="0.2">
      <c r="A2416" t="s">
        <v>3528</v>
      </c>
      <c r="B2416" t="s">
        <v>2360</v>
      </c>
      <c r="C2416" s="9">
        <v>44999</v>
      </c>
      <c r="D2416" t="s">
        <v>946</v>
      </c>
      <c r="E2416" s="13">
        <v>18031976</v>
      </c>
      <c r="F2416" s="13">
        <v>5550</v>
      </c>
      <c r="G2416" s="9">
        <v>44999</v>
      </c>
      <c r="H2416" t="s">
        <v>1063</v>
      </c>
      <c r="I2416" t="s">
        <v>2382</v>
      </c>
      <c r="J2416" s="13">
        <v>400309</v>
      </c>
      <c r="K2416">
        <v>1</v>
      </c>
      <c r="L2416" t="s">
        <v>1064</v>
      </c>
      <c r="M2416" t="s">
        <v>2383</v>
      </c>
      <c r="N2416" s="15" t="s">
        <v>6878</v>
      </c>
    </row>
    <row r="2417" spans="1:14" x14ac:dyDescent="0.2">
      <c r="A2417" t="s">
        <v>3529</v>
      </c>
      <c r="B2417" t="s">
        <v>2360</v>
      </c>
      <c r="C2417" s="9">
        <v>44999</v>
      </c>
      <c r="D2417" t="s">
        <v>946</v>
      </c>
      <c r="E2417" s="13">
        <v>18899469</v>
      </c>
      <c r="F2417" s="13">
        <v>5550</v>
      </c>
      <c r="G2417" s="9">
        <v>44999</v>
      </c>
      <c r="H2417" t="s">
        <v>1063</v>
      </c>
      <c r="I2417" t="s">
        <v>2382</v>
      </c>
      <c r="J2417" s="13">
        <v>419567</v>
      </c>
      <c r="K2417">
        <v>1</v>
      </c>
      <c r="L2417" t="s">
        <v>1064</v>
      </c>
      <c r="M2417" t="s">
        <v>2383</v>
      </c>
      <c r="N2417" s="15" t="s">
        <v>6878</v>
      </c>
    </row>
    <row r="2418" spans="1:14" x14ac:dyDescent="0.2">
      <c r="A2418" t="s">
        <v>3530</v>
      </c>
      <c r="B2418" t="s">
        <v>2360</v>
      </c>
      <c r="C2418" s="9">
        <v>44999</v>
      </c>
      <c r="D2418" t="s">
        <v>946</v>
      </c>
      <c r="E2418" s="13">
        <v>8665020</v>
      </c>
      <c r="F2418" s="13">
        <v>5550</v>
      </c>
      <c r="G2418" s="9">
        <v>44999</v>
      </c>
      <c r="H2418" t="s">
        <v>1063</v>
      </c>
      <c r="I2418" t="s">
        <v>2382</v>
      </c>
      <c r="J2418" s="13">
        <v>192363</v>
      </c>
      <c r="K2418">
        <v>1</v>
      </c>
      <c r="L2418" t="s">
        <v>1064</v>
      </c>
      <c r="M2418" t="s">
        <v>2383</v>
      </c>
      <c r="N2418" s="15" t="s">
        <v>6878</v>
      </c>
    </row>
    <row r="2419" spans="1:14" x14ac:dyDescent="0.2">
      <c r="A2419" t="s">
        <v>3531</v>
      </c>
      <c r="B2419" t="s">
        <v>2360</v>
      </c>
      <c r="C2419" s="9">
        <v>44999</v>
      </c>
      <c r="D2419" t="s">
        <v>946</v>
      </c>
      <c r="E2419" s="13">
        <v>5801175</v>
      </c>
      <c r="F2419" s="13">
        <v>5550</v>
      </c>
      <c r="G2419" s="9">
        <v>44999</v>
      </c>
      <c r="H2419" t="s">
        <v>1063</v>
      </c>
      <c r="I2419" t="s">
        <v>2382</v>
      </c>
      <c r="J2419" s="13">
        <v>128785</v>
      </c>
      <c r="K2419">
        <v>1</v>
      </c>
      <c r="L2419" t="s">
        <v>1064</v>
      </c>
      <c r="M2419" t="s">
        <v>2383</v>
      </c>
      <c r="N2419" s="15" t="s">
        <v>6878</v>
      </c>
    </row>
    <row r="2420" spans="1:14" x14ac:dyDescent="0.2">
      <c r="A2420" t="s">
        <v>3532</v>
      </c>
      <c r="B2420" t="s">
        <v>2360</v>
      </c>
      <c r="C2420" s="9">
        <v>44999</v>
      </c>
      <c r="D2420" t="s">
        <v>946</v>
      </c>
      <c r="E2420" s="13">
        <v>34838800</v>
      </c>
      <c r="F2420" s="13">
        <v>5550</v>
      </c>
      <c r="G2420" s="9">
        <v>44999</v>
      </c>
      <c r="H2420" t="s">
        <v>1063</v>
      </c>
      <c r="I2420" t="s">
        <v>2382</v>
      </c>
      <c r="J2420" s="13">
        <v>773421</v>
      </c>
      <c r="K2420">
        <v>1</v>
      </c>
      <c r="L2420" t="s">
        <v>1064</v>
      </c>
      <c r="M2420" t="s">
        <v>2383</v>
      </c>
      <c r="N2420" s="15" t="s">
        <v>6878</v>
      </c>
    </row>
    <row r="2421" spans="1:14" x14ac:dyDescent="0.2">
      <c r="A2421" t="s">
        <v>3533</v>
      </c>
      <c r="B2421" t="s">
        <v>2360</v>
      </c>
      <c r="C2421" s="9">
        <v>44999</v>
      </c>
      <c r="D2421" t="s">
        <v>946</v>
      </c>
      <c r="E2421" s="13">
        <v>6549825</v>
      </c>
      <c r="F2421" s="13">
        <v>5550</v>
      </c>
      <c r="G2421" s="9">
        <v>44999</v>
      </c>
      <c r="H2421" t="s">
        <v>1063</v>
      </c>
      <c r="I2421" t="s">
        <v>2382</v>
      </c>
      <c r="J2421" s="13">
        <v>145405</v>
      </c>
      <c r="K2421">
        <v>1</v>
      </c>
      <c r="L2421" t="s">
        <v>1064</v>
      </c>
      <c r="M2421" t="s">
        <v>2383</v>
      </c>
      <c r="N2421" s="15" t="s">
        <v>6878</v>
      </c>
    </row>
    <row r="2422" spans="1:14" x14ac:dyDescent="0.2">
      <c r="A2422" t="s">
        <v>3534</v>
      </c>
      <c r="B2422" t="s">
        <v>2360</v>
      </c>
      <c r="C2422" s="9">
        <v>44999</v>
      </c>
      <c r="D2422" t="s">
        <v>946</v>
      </c>
      <c r="E2422" s="13">
        <v>5511950</v>
      </c>
      <c r="F2422" s="13">
        <v>5550</v>
      </c>
      <c r="G2422" s="9">
        <v>44999</v>
      </c>
      <c r="H2422" t="s">
        <v>1063</v>
      </c>
      <c r="I2422" t="s">
        <v>2382</v>
      </c>
      <c r="J2422" s="13">
        <v>122365</v>
      </c>
      <c r="K2422">
        <v>1</v>
      </c>
      <c r="L2422" t="s">
        <v>1064</v>
      </c>
      <c r="M2422" t="s">
        <v>2383</v>
      </c>
      <c r="N2422" s="15" t="s">
        <v>6878</v>
      </c>
    </row>
    <row r="2423" spans="1:14" x14ac:dyDescent="0.2">
      <c r="A2423" t="s">
        <v>3535</v>
      </c>
      <c r="B2423" t="s">
        <v>2360</v>
      </c>
      <c r="C2423" s="9">
        <v>44999</v>
      </c>
      <c r="D2423" t="s">
        <v>946</v>
      </c>
      <c r="E2423" s="13">
        <v>6549825</v>
      </c>
      <c r="F2423" s="13">
        <v>5550</v>
      </c>
      <c r="G2423" s="9">
        <v>44999</v>
      </c>
      <c r="H2423" t="s">
        <v>1063</v>
      </c>
      <c r="I2423" t="s">
        <v>2382</v>
      </c>
      <c r="J2423" s="13">
        <v>145405</v>
      </c>
      <c r="K2423">
        <v>1</v>
      </c>
      <c r="L2423" t="s">
        <v>1064</v>
      </c>
      <c r="M2423" t="s">
        <v>2383</v>
      </c>
      <c r="N2423" s="15" t="s">
        <v>6878</v>
      </c>
    </row>
    <row r="2424" spans="1:14" x14ac:dyDescent="0.2">
      <c r="A2424" t="s">
        <v>3536</v>
      </c>
      <c r="B2424" t="s">
        <v>2360</v>
      </c>
      <c r="C2424" s="9">
        <v>44999</v>
      </c>
      <c r="D2424" t="s">
        <v>946</v>
      </c>
      <c r="E2424" s="13">
        <v>14488050</v>
      </c>
      <c r="F2424" s="13">
        <v>5550</v>
      </c>
      <c r="G2424" s="9">
        <v>44999</v>
      </c>
      <c r="H2424" t="s">
        <v>1063</v>
      </c>
      <c r="I2424" t="s">
        <v>2382</v>
      </c>
      <c r="J2424" s="13">
        <v>321634</v>
      </c>
      <c r="K2424">
        <v>1</v>
      </c>
      <c r="L2424" t="s">
        <v>1064</v>
      </c>
      <c r="M2424" t="s">
        <v>2383</v>
      </c>
      <c r="N2424" s="15" t="s">
        <v>6878</v>
      </c>
    </row>
    <row r="2425" spans="1:14" x14ac:dyDescent="0.2">
      <c r="A2425" t="s">
        <v>3537</v>
      </c>
      <c r="B2425" t="s">
        <v>2360</v>
      </c>
      <c r="C2425" s="9">
        <v>44999</v>
      </c>
      <c r="D2425" t="s">
        <v>946</v>
      </c>
      <c r="E2425" s="13">
        <v>13450175</v>
      </c>
      <c r="F2425" s="13">
        <v>5550</v>
      </c>
      <c r="G2425" s="9">
        <v>44999</v>
      </c>
      <c r="H2425" t="s">
        <v>1063</v>
      </c>
      <c r="I2425" t="s">
        <v>2382</v>
      </c>
      <c r="J2425" s="13">
        <v>298593</v>
      </c>
      <c r="K2425">
        <v>1</v>
      </c>
      <c r="L2425" t="s">
        <v>1064</v>
      </c>
      <c r="M2425" t="s">
        <v>2383</v>
      </c>
      <c r="N2425" s="15" t="s">
        <v>6878</v>
      </c>
    </row>
    <row r="2426" spans="1:14" x14ac:dyDescent="0.2">
      <c r="A2426" t="s">
        <v>3538</v>
      </c>
      <c r="B2426" t="s">
        <v>2360</v>
      </c>
      <c r="C2426" s="9">
        <v>44999</v>
      </c>
      <c r="D2426" t="s">
        <v>946</v>
      </c>
      <c r="E2426" s="13">
        <v>6549825</v>
      </c>
      <c r="F2426" s="13">
        <v>5550</v>
      </c>
      <c r="G2426" s="9">
        <v>44999</v>
      </c>
      <c r="H2426" t="s">
        <v>1063</v>
      </c>
      <c r="I2426" t="s">
        <v>2382</v>
      </c>
      <c r="J2426" s="13">
        <v>145405</v>
      </c>
      <c r="K2426">
        <v>1</v>
      </c>
      <c r="L2426" t="s">
        <v>1064</v>
      </c>
      <c r="M2426" t="s">
        <v>2383</v>
      </c>
      <c r="N2426" s="15" t="s">
        <v>6878</v>
      </c>
    </row>
    <row r="2427" spans="1:14" x14ac:dyDescent="0.2">
      <c r="A2427" t="s">
        <v>3539</v>
      </c>
      <c r="B2427" t="s">
        <v>2360</v>
      </c>
      <c r="C2427" s="9">
        <v>44999</v>
      </c>
      <c r="D2427" t="s">
        <v>946</v>
      </c>
      <c r="E2427" s="13">
        <v>6549825</v>
      </c>
      <c r="F2427" s="13">
        <v>5550</v>
      </c>
      <c r="G2427" s="9">
        <v>44999</v>
      </c>
      <c r="H2427" t="s">
        <v>1063</v>
      </c>
      <c r="I2427" t="s">
        <v>2382</v>
      </c>
      <c r="J2427" s="13">
        <v>145405</v>
      </c>
      <c r="K2427">
        <v>1</v>
      </c>
      <c r="L2427" t="s">
        <v>1064</v>
      </c>
      <c r="M2427" t="s">
        <v>2383</v>
      </c>
      <c r="N2427" s="15" t="s">
        <v>6878</v>
      </c>
    </row>
    <row r="2428" spans="1:14" x14ac:dyDescent="0.2">
      <c r="A2428" t="s">
        <v>3540</v>
      </c>
      <c r="B2428" t="s">
        <v>2360</v>
      </c>
      <c r="C2428" s="9">
        <v>44999</v>
      </c>
      <c r="D2428" t="s">
        <v>946</v>
      </c>
      <c r="E2428" s="13">
        <v>5293450</v>
      </c>
      <c r="F2428" s="13">
        <v>5550</v>
      </c>
      <c r="G2428" s="9">
        <v>44999</v>
      </c>
      <c r="H2428" t="s">
        <v>1063</v>
      </c>
      <c r="I2428" t="s">
        <v>2382</v>
      </c>
      <c r="J2428" s="13">
        <v>117514</v>
      </c>
      <c r="K2428">
        <v>1</v>
      </c>
      <c r="L2428" t="s">
        <v>1064</v>
      </c>
      <c r="M2428" t="s">
        <v>2383</v>
      </c>
      <c r="N2428" s="15" t="s">
        <v>6878</v>
      </c>
    </row>
    <row r="2429" spans="1:14" x14ac:dyDescent="0.2">
      <c r="A2429" t="s">
        <v>3541</v>
      </c>
      <c r="B2429" t="s">
        <v>2360</v>
      </c>
      <c r="C2429" s="9">
        <v>44999</v>
      </c>
      <c r="D2429" t="s">
        <v>946</v>
      </c>
      <c r="E2429" s="13">
        <v>5293450</v>
      </c>
      <c r="F2429" s="13">
        <v>5550</v>
      </c>
      <c r="G2429" s="9">
        <v>44999</v>
      </c>
      <c r="H2429" t="s">
        <v>1063</v>
      </c>
      <c r="I2429" t="s">
        <v>2382</v>
      </c>
      <c r="J2429" s="13">
        <v>117514</v>
      </c>
      <c r="K2429">
        <v>1</v>
      </c>
      <c r="L2429" t="s">
        <v>1064</v>
      </c>
      <c r="M2429" t="s">
        <v>2383</v>
      </c>
      <c r="N2429" s="15" t="s">
        <v>6878</v>
      </c>
    </row>
    <row r="2430" spans="1:14" x14ac:dyDescent="0.2">
      <c r="A2430" t="s">
        <v>3542</v>
      </c>
      <c r="B2430" t="s">
        <v>2360</v>
      </c>
      <c r="C2430" s="9">
        <v>44999</v>
      </c>
      <c r="D2430" t="s">
        <v>946</v>
      </c>
      <c r="E2430" s="13">
        <v>5293450</v>
      </c>
      <c r="F2430" s="13">
        <v>5550</v>
      </c>
      <c r="G2430" s="9">
        <v>44999</v>
      </c>
      <c r="H2430" t="s">
        <v>1063</v>
      </c>
      <c r="I2430" t="s">
        <v>2382</v>
      </c>
      <c r="J2430" s="13">
        <v>117514</v>
      </c>
      <c r="K2430">
        <v>1</v>
      </c>
      <c r="L2430" t="s">
        <v>1064</v>
      </c>
      <c r="M2430" t="s">
        <v>2383</v>
      </c>
      <c r="N2430" s="15" t="s">
        <v>6878</v>
      </c>
    </row>
    <row r="2431" spans="1:14" x14ac:dyDescent="0.2">
      <c r="A2431" t="s">
        <v>3543</v>
      </c>
      <c r="B2431" t="s">
        <v>2360</v>
      </c>
      <c r="C2431" s="9">
        <v>44999</v>
      </c>
      <c r="D2431" t="s">
        <v>946</v>
      </c>
      <c r="E2431" s="13">
        <v>6549825</v>
      </c>
      <c r="F2431" s="13">
        <v>5550</v>
      </c>
      <c r="G2431" s="9">
        <v>44999</v>
      </c>
      <c r="H2431" t="s">
        <v>1063</v>
      </c>
      <c r="I2431" t="s">
        <v>2382</v>
      </c>
      <c r="J2431" s="13">
        <v>145405</v>
      </c>
      <c r="K2431">
        <v>1</v>
      </c>
      <c r="L2431" t="s">
        <v>1064</v>
      </c>
      <c r="M2431" t="s">
        <v>2383</v>
      </c>
      <c r="N2431" s="15" t="s">
        <v>6878</v>
      </c>
    </row>
    <row r="2432" spans="1:14" x14ac:dyDescent="0.2">
      <c r="A2432" t="s">
        <v>3544</v>
      </c>
      <c r="B2432" t="s">
        <v>2360</v>
      </c>
      <c r="C2432" s="9">
        <v>44999</v>
      </c>
      <c r="D2432" t="s">
        <v>946</v>
      </c>
      <c r="E2432" s="13">
        <v>5669040</v>
      </c>
      <c r="F2432" s="13">
        <v>5550</v>
      </c>
      <c r="G2432" s="9">
        <v>44999</v>
      </c>
      <c r="H2432" t="s">
        <v>1063</v>
      </c>
      <c r="I2432" t="s">
        <v>2382</v>
      </c>
      <c r="J2432" s="13">
        <v>125851</v>
      </c>
      <c r="K2432">
        <v>1</v>
      </c>
      <c r="L2432" t="s">
        <v>1064</v>
      </c>
      <c r="M2432" t="s">
        <v>2383</v>
      </c>
      <c r="N2432" s="15" t="s">
        <v>6878</v>
      </c>
    </row>
    <row r="2433" spans="1:14" x14ac:dyDescent="0.2">
      <c r="A2433" t="s">
        <v>3545</v>
      </c>
      <c r="B2433" t="s">
        <v>2360</v>
      </c>
      <c r="C2433" s="9">
        <v>44999</v>
      </c>
      <c r="D2433" t="s">
        <v>946</v>
      </c>
      <c r="E2433" s="13">
        <v>5661680</v>
      </c>
      <c r="F2433" s="13">
        <v>5550</v>
      </c>
      <c r="G2433" s="9">
        <v>44999</v>
      </c>
      <c r="H2433" t="s">
        <v>1063</v>
      </c>
      <c r="I2433" t="s">
        <v>2382</v>
      </c>
      <c r="J2433" s="13">
        <v>125688</v>
      </c>
      <c r="K2433">
        <v>1</v>
      </c>
      <c r="L2433" t="s">
        <v>1064</v>
      </c>
      <c r="M2433" t="s">
        <v>2383</v>
      </c>
      <c r="N2433" s="15" t="s">
        <v>6878</v>
      </c>
    </row>
    <row r="2434" spans="1:14" x14ac:dyDescent="0.2">
      <c r="A2434" t="s">
        <v>3546</v>
      </c>
      <c r="B2434" t="s">
        <v>2360</v>
      </c>
      <c r="C2434" s="9">
        <v>44999</v>
      </c>
      <c r="D2434" t="s">
        <v>946</v>
      </c>
      <c r="E2434" s="13">
        <v>16760670</v>
      </c>
      <c r="F2434" s="13">
        <v>5550</v>
      </c>
      <c r="G2434" s="9">
        <v>44999</v>
      </c>
      <c r="H2434" t="s">
        <v>1063</v>
      </c>
      <c r="I2434" t="s">
        <v>2382</v>
      </c>
      <c r="J2434" s="13">
        <v>372086</v>
      </c>
      <c r="K2434">
        <v>1</v>
      </c>
      <c r="L2434" t="s">
        <v>1064</v>
      </c>
      <c r="M2434" t="s">
        <v>2383</v>
      </c>
      <c r="N2434" s="15" t="s">
        <v>6878</v>
      </c>
    </row>
    <row r="2435" spans="1:14" x14ac:dyDescent="0.2">
      <c r="A2435" t="s">
        <v>3547</v>
      </c>
      <c r="B2435" t="s">
        <v>2360</v>
      </c>
      <c r="C2435" s="9">
        <v>44999</v>
      </c>
      <c r="D2435" t="s">
        <v>946</v>
      </c>
      <c r="E2435" s="13">
        <v>5293450</v>
      </c>
      <c r="F2435" s="13">
        <v>5550</v>
      </c>
      <c r="G2435" s="9">
        <v>44999</v>
      </c>
      <c r="H2435" t="s">
        <v>1063</v>
      </c>
      <c r="I2435" t="s">
        <v>2382</v>
      </c>
      <c r="J2435" s="13">
        <v>117514</v>
      </c>
      <c r="K2435">
        <v>1</v>
      </c>
      <c r="L2435" t="s">
        <v>1064</v>
      </c>
      <c r="M2435" t="s">
        <v>2383</v>
      </c>
      <c r="N2435" s="15" t="s">
        <v>6878</v>
      </c>
    </row>
    <row r="2436" spans="1:14" x14ac:dyDescent="0.2">
      <c r="A2436" t="s">
        <v>3548</v>
      </c>
      <c r="B2436" t="s">
        <v>2360</v>
      </c>
      <c r="C2436" s="9">
        <v>44999</v>
      </c>
      <c r="D2436" t="s">
        <v>946</v>
      </c>
      <c r="E2436" s="13">
        <v>5511950</v>
      </c>
      <c r="F2436" s="13">
        <v>5550</v>
      </c>
      <c r="G2436" s="9">
        <v>44999</v>
      </c>
      <c r="H2436" t="s">
        <v>1063</v>
      </c>
      <c r="I2436" t="s">
        <v>2382</v>
      </c>
      <c r="J2436" s="13">
        <v>122365</v>
      </c>
      <c r="K2436">
        <v>1</v>
      </c>
      <c r="L2436" t="s">
        <v>1064</v>
      </c>
      <c r="M2436" t="s">
        <v>2383</v>
      </c>
      <c r="N2436" s="15" t="s">
        <v>6878</v>
      </c>
    </row>
    <row r="2437" spans="1:14" x14ac:dyDescent="0.2">
      <c r="A2437" t="s">
        <v>3549</v>
      </c>
      <c r="B2437" t="s">
        <v>2360</v>
      </c>
      <c r="C2437" s="9">
        <v>44999</v>
      </c>
      <c r="D2437" t="s">
        <v>946</v>
      </c>
      <c r="E2437" s="13">
        <v>5511950</v>
      </c>
      <c r="F2437" s="13">
        <v>5550</v>
      </c>
      <c r="G2437" s="9">
        <v>44999</v>
      </c>
      <c r="H2437" t="s">
        <v>1063</v>
      </c>
      <c r="I2437" t="s">
        <v>2382</v>
      </c>
      <c r="J2437" s="13">
        <v>122365</v>
      </c>
      <c r="K2437">
        <v>1</v>
      </c>
      <c r="L2437" t="s">
        <v>1064</v>
      </c>
      <c r="M2437" t="s">
        <v>2383</v>
      </c>
      <c r="N2437" s="15" t="s">
        <v>6878</v>
      </c>
    </row>
    <row r="2438" spans="1:14" x14ac:dyDescent="0.2">
      <c r="A2438" t="s">
        <v>3550</v>
      </c>
      <c r="B2438" t="s">
        <v>2360</v>
      </c>
      <c r="C2438" s="9">
        <v>44999</v>
      </c>
      <c r="D2438" t="s">
        <v>946</v>
      </c>
      <c r="E2438" s="13">
        <v>5511950</v>
      </c>
      <c r="F2438" s="13">
        <v>5550</v>
      </c>
      <c r="G2438" s="9">
        <v>44999</v>
      </c>
      <c r="H2438" t="s">
        <v>1063</v>
      </c>
      <c r="I2438" t="s">
        <v>2382</v>
      </c>
      <c r="J2438" s="13">
        <v>122365</v>
      </c>
      <c r="K2438">
        <v>1</v>
      </c>
      <c r="L2438" t="s">
        <v>1064</v>
      </c>
      <c r="M2438" t="s">
        <v>2383</v>
      </c>
      <c r="N2438" s="15" t="s">
        <v>6878</v>
      </c>
    </row>
    <row r="2439" spans="1:14" x14ac:dyDescent="0.2">
      <c r="A2439" t="s">
        <v>3551</v>
      </c>
      <c r="B2439" t="s">
        <v>2360</v>
      </c>
      <c r="C2439" s="9">
        <v>44999</v>
      </c>
      <c r="D2439" t="s">
        <v>946</v>
      </c>
      <c r="E2439" s="13">
        <v>5511950</v>
      </c>
      <c r="F2439" s="13">
        <v>5550</v>
      </c>
      <c r="G2439" s="9">
        <v>44999</v>
      </c>
      <c r="H2439" t="s">
        <v>1063</v>
      </c>
      <c r="I2439" t="s">
        <v>2382</v>
      </c>
      <c r="J2439" s="13">
        <v>122365</v>
      </c>
      <c r="K2439">
        <v>1</v>
      </c>
      <c r="L2439" t="s">
        <v>1064</v>
      </c>
      <c r="M2439" t="s">
        <v>2383</v>
      </c>
      <c r="N2439" s="15" t="s">
        <v>6878</v>
      </c>
    </row>
    <row r="2440" spans="1:14" x14ac:dyDescent="0.2">
      <c r="A2440" t="s">
        <v>3552</v>
      </c>
      <c r="B2440" t="s">
        <v>2360</v>
      </c>
      <c r="C2440" s="9">
        <v>44999</v>
      </c>
      <c r="D2440" t="s">
        <v>946</v>
      </c>
      <c r="E2440" s="13">
        <v>5511950</v>
      </c>
      <c r="F2440" s="13">
        <v>5550</v>
      </c>
      <c r="G2440" s="9">
        <v>44999</v>
      </c>
      <c r="H2440" t="s">
        <v>1063</v>
      </c>
      <c r="I2440" t="s">
        <v>2382</v>
      </c>
      <c r="J2440" s="13">
        <v>122365</v>
      </c>
      <c r="K2440">
        <v>1</v>
      </c>
      <c r="L2440" t="s">
        <v>1064</v>
      </c>
      <c r="M2440" t="s">
        <v>2383</v>
      </c>
      <c r="N2440" s="15" t="s">
        <v>6878</v>
      </c>
    </row>
    <row r="2441" spans="1:14" x14ac:dyDescent="0.2">
      <c r="A2441" t="s">
        <v>3553</v>
      </c>
      <c r="B2441" t="s">
        <v>2360</v>
      </c>
      <c r="C2441" s="9">
        <v>44999</v>
      </c>
      <c r="D2441" t="s">
        <v>946</v>
      </c>
      <c r="E2441" s="13">
        <v>5511950</v>
      </c>
      <c r="F2441" s="13">
        <v>5550</v>
      </c>
      <c r="G2441" s="9">
        <v>44999</v>
      </c>
      <c r="H2441" t="s">
        <v>1063</v>
      </c>
      <c r="I2441" t="s">
        <v>2382</v>
      </c>
      <c r="J2441" s="13">
        <v>122365</v>
      </c>
      <c r="K2441">
        <v>1</v>
      </c>
      <c r="L2441" t="s">
        <v>1064</v>
      </c>
      <c r="M2441" t="s">
        <v>2383</v>
      </c>
      <c r="N2441" s="15" t="s">
        <v>6878</v>
      </c>
    </row>
    <row r="2442" spans="1:14" x14ac:dyDescent="0.2">
      <c r="A2442" t="s">
        <v>3554</v>
      </c>
      <c r="B2442" t="s">
        <v>2360</v>
      </c>
      <c r="C2442" s="9">
        <v>44999</v>
      </c>
      <c r="D2442" t="s">
        <v>946</v>
      </c>
      <c r="E2442" s="13">
        <v>6549825</v>
      </c>
      <c r="F2442" s="13">
        <v>5550</v>
      </c>
      <c r="G2442" s="9">
        <v>44999</v>
      </c>
      <c r="H2442" t="s">
        <v>1063</v>
      </c>
      <c r="I2442" t="s">
        <v>2382</v>
      </c>
      <c r="J2442" s="13">
        <v>145405</v>
      </c>
      <c r="K2442">
        <v>1</v>
      </c>
      <c r="L2442" t="s">
        <v>1064</v>
      </c>
      <c r="M2442" t="s">
        <v>2383</v>
      </c>
      <c r="N2442" s="15" t="s">
        <v>6878</v>
      </c>
    </row>
    <row r="2443" spans="1:14" x14ac:dyDescent="0.2">
      <c r="A2443" t="s">
        <v>3555</v>
      </c>
      <c r="B2443" t="s">
        <v>2360</v>
      </c>
      <c r="C2443" s="9">
        <v>44999</v>
      </c>
      <c r="D2443" t="s">
        <v>946</v>
      </c>
      <c r="E2443" s="13">
        <v>6549825</v>
      </c>
      <c r="F2443" s="13">
        <v>5550</v>
      </c>
      <c r="G2443" s="9">
        <v>44999</v>
      </c>
      <c r="H2443" t="s">
        <v>1063</v>
      </c>
      <c r="I2443" t="s">
        <v>2382</v>
      </c>
      <c r="J2443" s="13">
        <v>145405</v>
      </c>
      <c r="K2443">
        <v>1</v>
      </c>
      <c r="L2443" t="s">
        <v>1064</v>
      </c>
      <c r="M2443" t="s">
        <v>2383</v>
      </c>
      <c r="N2443" s="15" t="s">
        <v>6878</v>
      </c>
    </row>
    <row r="2444" spans="1:14" x14ac:dyDescent="0.2">
      <c r="A2444" t="s">
        <v>3556</v>
      </c>
      <c r="B2444" t="s">
        <v>2360</v>
      </c>
      <c r="C2444" s="9">
        <v>44999</v>
      </c>
      <c r="D2444" t="s">
        <v>946</v>
      </c>
      <c r="E2444" s="13">
        <v>6549825</v>
      </c>
      <c r="F2444" s="13">
        <v>5550</v>
      </c>
      <c r="G2444" s="9">
        <v>44999</v>
      </c>
      <c r="H2444" t="s">
        <v>1063</v>
      </c>
      <c r="I2444" t="s">
        <v>2382</v>
      </c>
      <c r="J2444" s="13">
        <v>145405</v>
      </c>
      <c r="K2444">
        <v>1</v>
      </c>
      <c r="L2444" t="s">
        <v>1064</v>
      </c>
      <c r="M2444" t="s">
        <v>2383</v>
      </c>
      <c r="N2444" s="15" t="s">
        <v>6878</v>
      </c>
    </row>
    <row r="2445" spans="1:14" x14ac:dyDescent="0.2">
      <c r="A2445" t="s">
        <v>3557</v>
      </c>
      <c r="B2445" t="s">
        <v>2360</v>
      </c>
      <c r="C2445" s="9">
        <v>44999</v>
      </c>
      <c r="D2445" t="s">
        <v>946</v>
      </c>
      <c r="E2445" s="13">
        <v>6549825</v>
      </c>
      <c r="F2445" s="13">
        <v>5550</v>
      </c>
      <c r="G2445" s="9">
        <v>44999</v>
      </c>
      <c r="H2445" t="s">
        <v>1063</v>
      </c>
      <c r="I2445" t="s">
        <v>2382</v>
      </c>
      <c r="J2445" s="13">
        <v>145405</v>
      </c>
      <c r="K2445">
        <v>1</v>
      </c>
      <c r="L2445" t="s">
        <v>1064</v>
      </c>
      <c r="M2445" t="s">
        <v>2383</v>
      </c>
      <c r="N2445" s="15" t="s">
        <v>6878</v>
      </c>
    </row>
    <row r="2446" spans="1:14" x14ac:dyDescent="0.2">
      <c r="A2446" t="s">
        <v>3558</v>
      </c>
      <c r="B2446" t="s">
        <v>2360</v>
      </c>
      <c r="C2446" s="9">
        <v>44999</v>
      </c>
      <c r="D2446" t="s">
        <v>946</v>
      </c>
      <c r="E2446" s="13">
        <v>5511950</v>
      </c>
      <c r="F2446" s="13">
        <v>5550</v>
      </c>
      <c r="G2446" s="9">
        <v>44999</v>
      </c>
      <c r="H2446" t="s">
        <v>1063</v>
      </c>
      <c r="I2446" t="s">
        <v>2382</v>
      </c>
      <c r="J2446" s="13">
        <v>122365</v>
      </c>
      <c r="K2446">
        <v>1</v>
      </c>
      <c r="L2446" t="s">
        <v>1064</v>
      </c>
      <c r="M2446" t="s">
        <v>2383</v>
      </c>
      <c r="N2446" s="15" t="s">
        <v>6878</v>
      </c>
    </row>
    <row r="2447" spans="1:14" x14ac:dyDescent="0.2">
      <c r="A2447" t="s">
        <v>3559</v>
      </c>
      <c r="B2447" t="s">
        <v>2360</v>
      </c>
      <c r="C2447" s="9">
        <v>44999</v>
      </c>
      <c r="D2447" t="s">
        <v>946</v>
      </c>
      <c r="E2447" s="13">
        <v>6549825</v>
      </c>
      <c r="F2447" s="13">
        <v>5550</v>
      </c>
      <c r="G2447" s="9">
        <v>44999</v>
      </c>
      <c r="H2447" t="s">
        <v>1063</v>
      </c>
      <c r="I2447" t="s">
        <v>2382</v>
      </c>
      <c r="J2447" s="13">
        <v>145405</v>
      </c>
      <c r="K2447">
        <v>1</v>
      </c>
      <c r="L2447" t="s">
        <v>1064</v>
      </c>
      <c r="M2447" t="s">
        <v>2383</v>
      </c>
      <c r="N2447" s="15" t="s">
        <v>6878</v>
      </c>
    </row>
    <row r="2448" spans="1:14" x14ac:dyDescent="0.2">
      <c r="A2448" t="s">
        <v>3560</v>
      </c>
      <c r="B2448" t="s">
        <v>2360</v>
      </c>
      <c r="C2448" s="9">
        <v>44999</v>
      </c>
      <c r="D2448" t="s">
        <v>946</v>
      </c>
      <c r="E2448" s="13">
        <v>6549825</v>
      </c>
      <c r="F2448" s="13">
        <v>5550</v>
      </c>
      <c r="G2448" s="9">
        <v>44999</v>
      </c>
      <c r="H2448" t="s">
        <v>1063</v>
      </c>
      <c r="I2448" t="s">
        <v>2382</v>
      </c>
      <c r="J2448" s="13">
        <v>145405</v>
      </c>
      <c r="K2448">
        <v>1</v>
      </c>
      <c r="L2448" t="s">
        <v>1064</v>
      </c>
      <c r="M2448" t="s">
        <v>2383</v>
      </c>
      <c r="N2448" s="15" t="s">
        <v>6878</v>
      </c>
    </row>
    <row r="2449" spans="1:14" x14ac:dyDescent="0.2">
      <c r="A2449" t="s">
        <v>3561</v>
      </c>
      <c r="B2449" t="s">
        <v>2360</v>
      </c>
      <c r="C2449" s="9">
        <v>44999</v>
      </c>
      <c r="D2449" t="s">
        <v>946</v>
      </c>
      <c r="E2449" s="13">
        <v>5511952</v>
      </c>
      <c r="F2449" s="13">
        <v>5550</v>
      </c>
      <c r="G2449" s="9">
        <v>44999</v>
      </c>
      <c r="H2449" t="s">
        <v>1063</v>
      </c>
      <c r="I2449" t="s">
        <v>2382</v>
      </c>
      <c r="J2449" s="13">
        <v>122365</v>
      </c>
      <c r="K2449">
        <v>1</v>
      </c>
      <c r="L2449" t="s">
        <v>1064</v>
      </c>
      <c r="M2449" t="s">
        <v>2383</v>
      </c>
      <c r="N2449" s="15" t="s">
        <v>6878</v>
      </c>
    </row>
    <row r="2450" spans="1:14" x14ac:dyDescent="0.2">
      <c r="A2450" t="s">
        <v>3562</v>
      </c>
      <c r="B2450" t="s">
        <v>2360</v>
      </c>
      <c r="C2450" s="9">
        <v>44999</v>
      </c>
      <c r="D2450" t="s">
        <v>946</v>
      </c>
      <c r="E2450" s="13">
        <v>6549825</v>
      </c>
      <c r="F2450" s="13">
        <v>5550</v>
      </c>
      <c r="G2450" s="9">
        <v>44999</v>
      </c>
      <c r="H2450" t="s">
        <v>1063</v>
      </c>
      <c r="I2450" t="s">
        <v>2382</v>
      </c>
      <c r="J2450" s="13">
        <v>145405</v>
      </c>
      <c r="K2450">
        <v>1</v>
      </c>
      <c r="L2450" t="s">
        <v>1064</v>
      </c>
      <c r="M2450" t="s">
        <v>2383</v>
      </c>
      <c r="N2450" s="15" t="s">
        <v>6878</v>
      </c>
    </row>
    <row r="2451" spans="1:14" x14ac:dyDescent="0.2">
      <c r="A2451" t="s">
        <v>3563</v>
      </c>
      <c r="B2451" t="s">
        <v>2360</v>
      </c>
      <c r="C2451" s="9">
        <v>44999</v>
      </c>
      <c r="D2451" t="s">
        <v>946</v>
      </c>
      <c r="E2451" s="13">
        <v>21919141</v>
      </c>
      <c r="F2451" s="13">
        <v>5550</v>
      </c>
      <c r="G2451" s="9">
        <v>44999</v>
      </c>
      <c r="H2451" t="s">
        <v>1063</v>
      </c>
      <c r="I2451" t="s">
        <v>2382</v>
      </c>
      <c r="J2451" s="13">
        <v>486604</v>
      </c>
      <c r="K2451">
        <v>1</v>
      </c>
      <c r="L2451" t="s">
        <v>1064</v>
      </c>
      <c r="M2451" t="s">
        <v>2383</v>
      </c>
      <c r="N2451" s="15" t="s">
        <v>6878</v>
      </c>
    </row>
    <row r="2452" spans="1:14" x14ac:dyDescent="0.2">
      <c r="A2452" t="s">
        <v>3564</v>
      </c>
      <c r="B2452" t="s">
        <v>2360</v>
      </c>
      <c r="C2452" s="9">
        <v>44999</v>
      </c>
      <c r="D2452" t="s">
        <v>946</v>
      </c>
      <c r="E2452" s="13">
        <v>10444110</v>
      </c>
      <c r="F2452" s="13">
        <v>5550</v>
      </c>
      <c r="G2452" s="9">
        <v>44999</v>
      </c>
      <c r="H2452" t="s">
        <v>1063</v>
      </c>
      <c r="I2452" t="s">
        <v>2382</v>
      </c>
      <c r="J2452" s="13">
        <v>231859</v>
      </c>
      <c r="K2452">
        <v>1</v>
      </c>
      <c r="L2452" t="s">
        <v>1064</v>
      </c>
      <c r="M2452" t="s">
        <v>2383</v>
      </c>
      <c r="N2452" s="15" t="s">
        <v>6878</v>
      </c>
    </row>
    <row r="2453" spans="1:14" x14ac:dyDescent="0.2">
      <c r="A2453" t="s">
        <v>3565</v>
      </c>
      <c r="B2453" t="s">
        <v>2360</v>
      </c>
      <c r="C2453" s="9">
        <v>44999</v>
      </c>
      <c r="D2453" t="s">
        <v>946</v>
      </c>
      <c r="E2453" s="13">
        <v>5230200</v>
      </c>
      <c r="F2453" s="13">
        <v>5550</v>
      </c>
      <c r="G2453" s="9">
        <v>44999</v>
      </c>
      <c r="H2453" t="s">
        <v>1063</v>
      </c>
      <c r="I2453" t="s">
        <v>2382</v>
      </c>
      <c r="J2453" s="13">
        <v>116110</v>
      </c>
      <c r="K2453">
        <v>1</v>
      </c>
      <c r="L2453" t="s">
        <v>1064</v>
      </c>
      <c r="M2453" t="s">
        <v>2383</v>
      </c>
      <c r="N2453" s="15" t="s">
        <v>6878</v>
      </c>
    </row>
    <row r="2454" spans="1:14" x14ac:dyDescent="0.2">
      <c r="A2454" t="s">
        <v>3566</v>
      </c>
      <c r="B2454" t="s">
        <v>2360</v>
      </c>
      <c r="C2454" s="9">
        <v>44999</v>
      </c>
      <c r="D2454" t="s">
        <v>946</v>
      </c>
      <c r="E2454" s="13">
        <v>5293450</v>
      </c>
      <c r="F2454" s="13">
        <v>5550</v>
      </c>
      <c r="G2454" s="9">
        <v>44999</v>
      </c>
      <c r="H2454" t="s">
        <v>1063</v>
      </c>
      <c r="I2454" t="s">
        <v>2382</v>
      </c>
      <c r="J2454" s="13">
        <v>117514</v>
      </c>
      <c r="K2454">
        <v>1</v>
      </c>
      <c r="L2454" t="s">
        <v>1064</v>
      </c>
      <c r="M2454" t="s">
        <v>2383</v>
      </c>
      <c r="N2454" s="15" t="s">
        <v>6878</v>
      </c>
    </row>
    <row r="2455" spans="1:14" x14ac:dyDescent="0.2">
      <c r="A2455" t="s">
        <v>3567</v>
      </c>
      <c r="B2455" t="s">
        <v>2360</v>
      </c>
      <c r="C2455" s="9">
        <v>44999</v>
      </c>
      <c r="D2455" t="s">
        <v>946</v>
      </c>
      <c r="E2455" s="13">
        <v>5293450</v>
      </c>
      <c r="F2455" s="13">
        <v>5550</v>
      </c>
      <c r="G2455" s="9">
        <v>44999</v>
      </c>
      <c r="H2455" t="s">
        <v>1063</v>
      </c>
      <c r="I2455" t="s">
        <v>2382</v>
      </c>
      <c r="J2455" s="13">
        <v>117514</v>
      </c>
      <c r="K2455">
        <v>1</v>
      </c>
      <c r="L2455" t="s">
        <v>1064</v>
      </c>
      <c r="M2455" t="s">
        <v>2383</v>
      </c>
      <c r="N2455" s="15" t="s">
        <v>6878</v>
      </c>
    </row>
    <row r="2456" spans="1:14" x14ac:dyDescent="0.2">
      <c r="A2456" t="s">
        <v>3568</v>
      </c>
      <c r="B2456" t="s">
        <v>2360</v>
      </c>
      <c r="C2456" s="9">
        <v>44999</v>
      </c>
      <c r="D2456" t="s">
        <v>946</v>
      </c>
      <c r="E2456" s="13">
        <v>2386800</v>
      </c>
      <c r="F2456" s="13">
        <v>5550</v>
      </c>
      <c r="G2456" s="9">
        <v>44999</v>
      </c>
      <c r="H2456" t="s">
        <v>1063</v>
      </c>
      <c r="I2456" t="s">
        <v>2382</v>
      </c>
      <c r="J2456" s="13">
        <v>52986</v>
      </c>
      <c r="K2456">
        <v>1</v>
      </c>
      <c r="L2456" t="s">
        <v>1064</v>
      </c>
      <c r="M2456" t="s">
        <v>2383</v>
      </c>
      <c r="N2456" s="15" t="s">
        <v>6878</v>
      </c>
    </row>
    <row r="2457" spans="1:14" x14ac:dyDescent="0.2">
      <c r="A2457" t="s">
        <v>3569</v>
      </c>
      <c r="B2457" t="s">
        <v>2360</v>
      </c>
      <c r="C2457" s="9">
        <v>44999</v>
      </c>
      <c r="D2457" t="s">
        <v>946</v>
      </c>
      <c r="E2457" s="13">
        <v>6265350</v>
      </c>
      <c r="F2457" s="13">
        <v>5550</v>
      </c>
      <c r="G2457" s="9">
        <v>44999</v>
      </c>
      <c r="H2457" t="s">
        <v>1063</v>
      </c>
      <c r="I2457" t="s">
        <v>2382</v>
      </c>
      <c r="J2457" s="13">
        <v>139090</v>
      </c>
      <c r="K2457">
        <v>1</v>
      </c>
      <c r="L2457" t="s">
        <v>1064</v>
      </c>
      <c r="M2457" t="s">
        <v>2383</v>
      </c>
      <c r="N2457" s="15" t="s">
        <v>6878</v>
      </c>
    </row>
    <row r="2458" spans="1:14" x14ac:dyDescent="0.2">
      <c r="A2458" t="s">
        <v>3570</v>
      </c>
      <c r="B2458" t="s">
        <v>2360</v>
      </c>
      <c r="C2458" s="9">
        <v>44999</v>
      </c>
      <c r="D2458" t="s">
        <v>946</v>
      </c>
      <c r="E2458" s="13">
        <v>6549825</v>
      </c>
      <c r="F2458" s="13">
        <v>5550</v>
      </c>
      <c r="G2458" s="9">
        <v>44999</v>
      </c>
      <c r="H2458" t="s">
        <v>1063</v>
      </c>
      <c r="I2458" t="s">
        <v>2382</v>
      </c>
      <c r="J2458" s="13">
        <v>145405</v>
      </c>
      <c r="K2458">
        <v>1</v>
      </c>
      <c r="L2458" t="s">
        <v>1064</v>
      </c>
      <c r="M2458" t="s">
        <v>2383</v>
      </c>
      <c r="N2458" s="15" t="s">
        <v>6878</v>
      </c>
    </row>
    <row r="2459" spans="1:14" x14ac:dyDescent="0.2">
      <c r="A2459" t="s">
        <v>3571</v>
      </c>
      <c r="B2459" t="s">
        <v>2360</v>
      </c>
      <c r="C2459" s="9">
        <v>44999</v>
      </c>
      <c r="D2459" t="s">
        <v>946</v>
      </c>
      <c r="E2459" s="13">
        <v>6549825</v>
      </c>
      <c r="F2459" s="13">
        <v>5550</v>
      </c>
      <c r="G2459" s="9">
        <v>44999</v>
      </c>
      <c r="H2459" t="s">
        <v>1063</v>
      </c>
      <c r="I2459" t="s">
        <v>2382</v>
      </c>
      <c r="J2459" s="13">
        <v>145405</v>
      </c>
      <c r="K2459">
        <v>1</v>
      </c>
      <c r="L2459" t="s">
        <v>1064</v>
      </c>
      <c r="M2459" t="s">
        <v>2383</v>
      </c>
      <c r="N2459" s="15" t="s">
        <v>6878</v>
      </c>
    </row>
    <row r="2460" spans="1:14" x14ac:dyDescent="0.2">
      <c r="A2460" t="s">
        <v>3572</v>
      </c>
      <c r="B2460" t="s">
        <v>2360</v>
      </c>
      <c r="C2460" s="9">
        <v>44999</v>
      </c>
      <c r="D2460" t="s">
        <v>946</v>
      </c>
      <c r="E2460" s="13">
        <v>5647650</v>
      </c>
      <c r="F2460" s="13">
        <v>5550</v>
      </c>
      <c r="G2460" s="9">
        <v>44999</v>
      </c>
      <c r="H2460" t="s">
        <v>1063</v>
      </c>
      <c r="I2460" t="s">
        <v>2382</v>
      </c>
      <c r="J2460" s="13">
        <v>125377</v>
      </c>
      <c r="K2460">
        <v>1</v>
      </c>
      <c r="L2460" t="s">
        <v>1064</v>
      </c>
      <c r="M2460" t="s">
        <v>2383</v>
      </c>
      <c r="N2460" s="15" t="s">
        <v>6878</v>
      </c>
    </row>
    <row r="2461" spans="1:14" x14ac:dyDescent="0.2">
      <c r="A2461" t="s">
        <v>3573</v>
      </c>
      <c r="B2461" t="s">
        <v>2360</v>
      </c>
      <c r="C2461" s="9">
        <v>44999</v>
      </c>
      <c r="D2461" t="s">
        <v>946</v>
      </c>
      <c r="E2461" s="13">
        <v>17663515</v>
      </c>
      <c r="F2461" s="13">
        <v>5550</v>
      </c>
      <c r="G2461" s="9">
        <v>44999</v>
      </c>
      <c r="H2461" t="s">
        <v>1063</v>
      </c>
      <c r="I2461" t="s">
        <v>2382</v>
      </c>
      <c r="J2461" s="13">
        <v>392129</v>
      </c>
      <c r="K2461">
        <v>1</v>
      </c>
      <c r="L2461" t="s">
        <v>1064</v>
      </c>
      <c r="M2461" t="s">
        <v>2383</v>
      </c>
      <c r="N2461" s="15" t="s">
        <v>6878</v>
      </c>
    </row>
    <row r="2462" spans="1:14" x14ac:dyDescent="0.2">
      <c r="A2462" t="s">
        <v>3574</v>
      </c>
      <c r="B2462" t="s">
        <v>2360</v>
      </c>
      <c r="C2462" s="9">
        <v>44999</v>
      </c>
      <c r="D2462" t="s">
        <v>946</v>
      </c>
      <c r="E2462" s="13">
        <v>17665115</v>
      </c>
      <c r="F2462" s="13">
        <v>5550</v>
      </c>
      <c r="G2462" s="9">
        <v>44999</v>
      </c>
      <c r="H2462" t="s">
        <v>1063</v>
      </c>
      <c r="I2462" t="s">
        <v>2382</v>
      </c>
      <c r="J2462" s="13">
        <v>392165</v>
      </c>
      <c r="K2462">
        <v>1</v>
      </c>
      <c r="L2462" t="s">
        <v>1064</v>
      </c>
      <c r="M2462" t="s">
        <v>2383</v>
      </c>
      <c r="N2462" s="15" t="s">
        <v>6878</v>
      </c>
    </row>
    <row r="2463" spans="1:14" x14ac:dyDescent="0.2">
      <c r="A2463" t="s">
        <v>3575</v>
      </c>
      <c r="B2463" t="s">
        <v>2360</v>
      </c>
      <c r="C2463" s="9">
        <v>44999</v>
      </c>
      <c r="D2463" t="s">
        <v>946</v>
      </c>
      <c r="E2463" s="13">
        <v>11347578</v>
      </c>
      <c r="F2463" s="13">
        <v>5550</v>
      </c>
      <c r="G2463" s="9">
        <v>44999</v>
      </c>
      <c r="H2463" t="s">
        <v>1063</v>
      </c>
      <c r="I2463" t="s">
        <v>2382</v>
      </c>
      <c r="J2463" s="13">
        <v>251915</v>
      </c>
      <c r="K2463">
        <v>1</v>
      </c>
      <c r="L2463" t="s">
        <v>1064</v>
      </c>
      <c r="M2463" t="s">
        <v>2383</v>
      </c>
      <c r="N2463" s="15" t="s">
        <v>6878</v>
      </c>
    </row>
    <row r="2464" spans="1:14" x14ac:dyDescent="0.2">
      <c r="A2464" t="s">
        <v>3576</v>
      </c>
      <c r="B2464" t="s">
        <v>2360</v>
      </c>
      <c r="C2464" s="9">
        <v>44999</v>
      </c>
      <c r="D2464" t="s">
        <v>946</v>
      </c>
      <c r="E2464" s="13">
        <v>5175000</v>
      </c>
      <c r="F2464" s="13">
        <v>5550</v>
      </c>
      <c r="G2464" s="9">
        <v>44999</v>
      </c>
      <c r="H2464" t="s">
        <v>1063</v>
      </c>
      <c r="I2464" t="s">
        <v>2382</v>
      </c>
      <c r="J2464" s="13">
        <v>114885</v>
      </c>
      <c r="K2464">
        <v>1</v>
      </c>
      <c r="L2464" t="s">
        <v>1064</v>
      </c>
      <c r="M2464" t="s">
        <v>2383</v>
      </c>
      <c r="N2464" s="15" t="s">
        <v>6878</v>
      </c>
    </row>
    <row r="2465" spans="1:14" x14ac:dyDescent="0.2">
      <c r="A2465" t="s">
        <v>3577</v>
      </c>
      <c r="B2465" t="s">
        <v>2360</v>
      </c>
      <c r="C2465" s="9">
        <v>44999</v>
      </c>
      <c r="D2465" t="s">
        <v>946</v>
      </c>
      <c r="E2465" s="13">
        <v>4732489</v>
      </c>
      <c r="F2465" s="13">
        <v>5550</v>
      </c>
      <c r="G2465" s="9">
        <v>44999</v>
      </c>
      <c r="H2465" t="s">
        <v>1063</v>
      </c>
      <c r="I2465" t="s">
        <v>2382</v>
      </c>
      <c r="J2465" s="13">
        <v>105060</v>
      </c>
      <c r="K2465">
        <v>1</v>
      </c>
      <c r="L2465" t="s">
        <v>1064</v>
      </c>
      <c r="M2465" t="s">
        <v>2383</v>
      </c>
      <c r="N2465" s="15" t="s">
        <v>6878</v>
      </c>
    </row>
    <row r="2466" spans="1:14" x14ac:dyDescent="0.2">
      <c r="A2466" t="s">
        <v>3578</v>
      </c>
      <c r="B2466" t="s">
        <v>2360</v>
      </c>
      <c r="C2466" s="9">
        <v>44999</v>
      </c>
      <c r="D2466" t="s">
        <v>946</v>
      </c>
      <c r="E2466" s="13">
        <v>5640750</v>
      </c>
      <c r="F2466" s="13">
        <v>5550</v>
      </c>
      <c r="G2466" s="9">
        <v>44999</v>
      </c>
      <c r="H2466" t="s">
        <v>1063</v>
      </c>
      <c r="I2466" t="s">
        <v>2382</v>
      </c>
      <c r="J2466" s="13">
        <v>125224</v>
      </c>
      <c r="K2466">
        <v>1</v>
      </c>
      <c r="L2466" t="s">
        <v>1064</v>
      </c>
      <c r="M2466" t="s">
        <v>2383</v>
      </c>
      <c r="N2466" s="15" t="s">
        <v>6878</v>
      </c>
    </row>
    <row r="2467" spans="1:14" x14ac:dyDescent="0.2">
      <c r="A2467" t="s">
        <v>3579</v>
      </c>
      <c r="B2467" t="s">
        <v>2360</v>
      </c>
      <c r="C2467" s="9">
        <v>44999</v>
      </c>
      <c r="D2467" t="s">
        <v>946</v>
      </c>
      <c r="E2467" s="13">
        <v>14350000</v>
      </c>
      <c r="F2467" s="13">
        <v>5550</v>
      </c>
      <c r="G2467" s="9">
        <v>44999</v>
      </c>
      <c r="H2467" t="s">
        <v>1063</v>
      </c>
      <c r="I2467" t="s">
        <v>2382</v>
      </c>
      <c r="J2467" s="13">
        <v>318570</v>
      </c>
      <c r="K2467">
        <v>1</v>
      </c>
      <c r="L2467" t="s">
        <v>1064</v>
      </c>
      <c r="M2467" t="s">
        <v>2383</v>
      </c>
      <c r="N2467" s="15" t="s">
        <v>6878</v>
      </c>
    </row>
    <row r="2468" spans="1:14" x14ac:dyDescent="0.2">
      <c r="A2468" t="s">
        <v>3580</v>
      </c>
      <c r="B2468" t="s">
        <v>2360</v>
      </c>
      <c r="C2468" s="9">
        <v>44999</v>
      </c>
      <c r="D2468" t="s">
        <v>946</v>
      </c>
      <c r="E2468" s="13">
        <v>7000000</v>
      </c>
      <c r="F2468" s="13">
        <v>5550</v>
      </c>
      <c r="G2468" s="9">
        <v>44999</v>
      </c>
      <c r="H2468" t="s">
        <v>1063</v>
      </c>
      <c r="I2468" t="s">
        <v>2382</v>
      </c>
      <c r="J2468" s="13">
        <v>155400</v>
      </c>
      <c r="K2468">
        <v>1</v>
      </c>
      <c r="L2468" t="s">
        <v>1064</v>
      </c>
      <c r="M2468" t="s">
        <v>2383</v>
      </c>
      <c r="N2468" s="15" t="s">
        <v>6878</v>
      </c>
    </row>
    <row r="2469" spans="1:14" x14ac:dyDescent="0.2">
      <c r="A2469" t="s">
        <v>3581</v>
      </c>
      <c r="B2469" t="s">
        <v>2360</v>
      </c>
      <c r="C2469" s="9">
        <v>44999</v>
      </c>
      <c r="D2469" t="s">
        <v>946</v>
      </c>
      <c r="E2469" s="13">
        <v>5293450</v>
      </c>
      <c r="F2469" s="13">
        <v>5550</v>
      </c>
      <c r="G2469" s="9">
        <v>44999</v>
      </c>
      <c r="H2469" t="s">
        <v>1063</v>
      </c>
      <c r="I2469" t="s">
        <v>2382</v>
      </c>
      <c r="J2469" s="13">
        <v>117514</v>
      </c>
      <c r="K2469">
        <v>1</v>
      </c>
      <c r="L2469" t="s">
        <v>1064</v>
      </c>
      <c r="M2469" t="s">
        <v>2383</v>
      </c>
      <c r="N2469" s="15" t="s">
        <v>6878</v>
      </c>
    </row>
    <row r="2470" spans="1:14" x14ac:dyDescent="0.2">
      <c r="A2470" t="s">
        <v>3582</v>
      </c>
      <c r="B2470" t="s">
        <v>2360</v>
      </c>
      <c r="C2470" s="9">
        <v>44999</v>
      </c>
      <c r="D2470" t="s">
        <v>946</v>
      </c>
      <c r="E2470" s="13">
        <v>5293450</v>
      </c>
      <c r="F2470" s="13">
        <v>5550</v>
      </c>
      <c r="G2470" s="9">
        <v>44999</v>
      </c>
      <c r="H2470" t="s">
        <v>1063</v>
      </c>
      <c r="I2470" t="s">
        <v>2382</v>
      </c>
      <c r="J2470" s="13">
        <v>117514</v>
      </c>
      <c r="K2470">
        <v>1</v>
      </c>
      <c r="L2470" t="s">
        <v>1064</v>
      </c>
      <c r="M2470" t="s">
        <v>2383</v>
      </c>
      <c r="N2470" s="15" t="s">
        <v>6878</v>
      </c>
    </row>
    <row r="2471" spans="1:14" x14ac:dyDescent="0.2">
      <c r="A2471" t="s">
        <v>3583</v>
      </c>
      <c r="B2471" t="s">
        <v>2360</v>
      </c>
      <c r="C2471" s="9">
        <v>44999</v>
      </c>
      <c r="D2471" t="s">
        <v>946</v>
      </c>
      <c r="E2471" s="13">
        <v>5293450</v>
      </c>
      <c r="F2471" s="13">
        <v>5550</v>
      </c>
      <c r="G2471" s="9">
        <v>44999</v>
      </c>
      <c r="H2471" t="s">
        <v>1063</v>
      </c>
      <c r="I2471" t="s">
        <v>2382</v>
      </c>
      <c r="J2471" s="13">
        <v>117514</v>
      </c>
      <c r="K2471">
        <v>1</v>
      </c>
      <c r="L2471" t="s">
        <v>1064</v>
      </c>
      <c r="M2471" t="s">
        <v>2383</v>
      </c>
      <c r="N2471" s="15" t="s">
        <v>6878</v>
      </c>
    </row>
    <row r="2472" spans="1:14" x14ac:dyDescent="0.2">
      <c r="A2472" t="s">
        <v>3584</v>
      </c>
      <c r="B2472" t="s">
        <v>2360</v>
      </c>
      <c r="C2472" s="9">
        <v>44999</v>
      </c>
      <c r="D2472" t="s">
        <v>946</v>
      </c>
      <c r="E2472" s="13">
        <v>5293450</v>
      </c>
      <c r="F2472" s="13">
        <v>5550</v>
      </c>
      <c r="G2472" s="9">
        <v>44999</v>
      </c>
      <c r="H2472" t="s">
        <v>1063</v>
      </c>
      <c r="I2472" t="s">
        <v>2382</v>
      </c>
      <c r="J2472" s="13">
        <v>117514</v>
      </c>
      <c r="K2472">
        <v>1</v>
      </c>
      <c r="L2472" t="s">
        <v>1064</v>
      </c>
      <c r="M2472" t="s">
        <v>2383</v>
      </c>
      <c r="N2472" s="15" t="s">
        <v>6878</v>
      </c>
    </row>
    <row r="2473" spans="1:14" x14ac:dyDescent="0.2">
      <c r="A2473" t="s">
        <v>3585</v>
      </c>
      <c r="B2473" t="s">
        <v>2360</v>
      </c>
      <c r="C2473" s="9">
        <v>44999</v>
      </c>
      <c r="D2473" t="s">
        <v>946</v>
      </c>
      <c r="E2473" s="13">
        <v>5293450</v>
      </c>
      <c r="F2473" s="13">
        <v>5550</v>
      </c>
      <c r="G2473" s="9">
        <v>44999</v>
      </c>
      <c r="H2473" t="s">
        <v>1063</v>
      </c>
      <c r="I2473" t="s">
        <v>2382</v>
      </c>
      <c r="J2473" s="13">
        <v>117514</v>
      </c>
      <c r="K2473">
        <v>1</v>
      </c>
      <c r="L2473" t="s">
        <v>1064</v>
      </c>
      <c r="M2473" t="s">
        <v>2383</v>
      </c>
      <c r="N2473" s="15" t="s">
        <v>6878</v>
      </c>
    </row>
    <row r="2474" spans="1:14" x14ac:dyDescent="0.2">
      <c r="A2474" t="s">
        <v>3586</v>
      </c>
      <c r="B2474" t="s">
        <v>2360</v>
      </c>
      <c r="C2474" s="9">
        <v>44999</v>
      </c>
      <c r="D2474" t="s">
        <v>946</v>
      </c>
      <c r="E2474" s="13">
        <v>5293450</v>
      </c>
      <c r="F2474" s="13">
        <v>5550</v>
      </c>
      <c r="G2474" s="9">
        <v>44999</v>
      </c>
      <c r="H2474" t="s">
        <v>1063</v>
      </c>
      <c r="I2474" t="s">
        <v>2382</v>
      </c>
      <c r="J2474" s="13">
        <v>117514</v>
      </c>
      <c r="K2474">
        <v>1</v>
      </c>
      <c r="L2474" t="s">
        <v>1064</v>
      </c>
      <c r="M2474" t="s">
        <v>2383</v>
      </c>
      <c r="N2474" s="15" t="s">
        <v>6878</v>
      </c>
    </row>
    <row r="2475" spans="1:14" x14ac:dyDescent="0.2">
      <c r="A2475" t="s">
        <v>3587</v>
      </c>
      <c r="B2475" t="s">
        <v>2360</v>
      </c>
      <c r="C2475" s="9">
        <v>44999</v>
      </c>
      <c r="D2475" t="s">
        <v>946</v>
      </c>
      <c r="E2475" s="13">
        <v>5293450</v>
      </c>
      <c r="F2475" s="13">
        <v>5550</v>
      </c>
      <c r="G2475" s="9">
        <v>44999</v>
      </c>
      <c r="H2475" t="s">
        <v>1063</v>
      </c>
      <c r="I2475" t="s">
        <v>2382</v>
      </c>
      <c r="J2475" s="13">
        <v>117514</v>
      </c>
      <c r="K2475">
        <v>1</v>
      </c>
      <c r="L2475" t="s">
        <v>1064</v>
      </c>
      <c r="M2475" t="s">
        <v>2383</v>
      </c>
      <c r="N2475" s="15" t="s">
        <v>6878</v>
      </c>
    </row>
    <row r="2476" spans="1:14" x14ac:dyDescent="0.2">
      <c r="A2476" t="s">
        <v>3588</v>
      </c>
      <c r="B2476" t="s">
        <v>2360</v>
      </c>
      <c r="C2476" s="9">
        <v>44999</v>
      </c>
      <c r="D2476" t="s">
        <v>946</v>
      </c>
      <c r="E2476" s="13">
        <v>5293450</v>
      </c>
      <c r="F2476" s="13">
        <v>5550</v>
      </c>
      <c r="G2476" s="9">
        <v>44999</v>
      </c>
      <c r="H2476" t="s">
        <v>1063</v>
      </c>
      <c r="I2476" t="s">
        <v>2382</v>
      </c>
      <c r="J2476" s="13">
        <v>117514</v>
      </c>
      <c r="K2476">
        <v>1</v>
      </c>
      <c r="L2476" t="s">
        <v>1064</v>
      </c>
      <c r="M2476" t="s">
        <v>2383</v>
      </c>
      <c r="N2476" s="15" t="s">
        <v>6878</v>
      </c>
    </row>
    <row r="2477" spans="1:14" x14ac:dyDescent="0.2">
      <c r="A2477" t="s">
        <v>3589</v>
      </c>
      <c r="B2477" t="s">
        <v>2360</v>
      </c>
      <c r="C2477" s="9">
        <v>44999</v>
      </c>
      <c r="D2477" t="s">
        <v>946</v>
      </c>
      <c r="E2477" s="13">
        <v>5293450</v>
      </c>
      <c r="F2477" s="13">
        <v>5550</v>
      </c>
      <c r="G2477" s="9">
        <v>44999</v>
      </c>
      <c r="H2477" t="s">
        <v>1063</v>
      </c>
      <c r="I2477" t="s">
        <v>2382</v>
      </c>
      <c r="J2477" s="13">
        <v>117514</v>
      </c>
      <c r="K2477">
        <v>1</v>
      </c>
      <c r="L2477" t="s">
        <v>1064</v>
      </c>
      <c r="M2477" t="s">
        <v>2383</v>
      </c>
      <c r="N2477" s="15" t="s">
        <v>6878</v>
      </c>
    </row>
    <row r="2478" spans="1:14" x14ac:dyDescent="0.2">
      <c r="A2478" t="s">
        <v>3590</v>
      </c>
      <c r="B2478" t="s">
        <v>2360</v>
      </c>
      <c r="C2478" s="9">
        <v>44999</v>
      </c>
      <c r="D2478" t="s">
        <v>946</v>
      </c>
      <c r="E2478" s="13">
        <v>4700000</v>
      </c>
      <c r="F2478" s="13">
        <v>5550</v>
      </c>
      <c r="G2478" s="9">
        <v>44999</v>
      </c>
      <c r="H2478" t="s">
        <v>1063</v>
      </c>
      <c r="I2478" t="s">
        <v>2382</v>
      </c>
      <c r="J2478" s="13">
        <v>104340</v>
      </c>
      <c r="K2478">
        <v>1</v>
      </c>
      <c r="L2478" t="s">
        <v>1064</v>
      </c>
      <c r="M2478" t="s">
        <v>2383</v>
      </c>
      <c r="N2478" s="15" t="s">
        <v>6878</v>
      </c>
    </row>
    <row r="2479" spans="1:14" x14ac:dyDescent="0.2">
      <c r="A2479" t="s">
        <v>3591</v>
      </c>
      <c r="B2479" t="s">
        <v>2360</v>
      </c>
      <c r="C2479" s="9">
        <v>44999</v>
      </c>
      <c r="D2479" t="s">
        <v>946</v>
      </c>
      <c r="E2479" s="13">
        <v>5200000</v>
      </c>
      <c r="F2479" s="13">
        <v>5550</v>
      </c>
      <c r="G2479" s="9">
        <v>44999</v>
      </c>
      <c r="H2479" t="s">
        <v>1063</v>
      </c>
      <c r="I2479" t="s">
        <v>2382</v>
      </c>
      <c r="J2479" s="13">
        <v>115440</v>
      </c>
      <c r="K2479">
        <v>1</v>
      </c>
      <c r="L2479" t="s">
        <v>1064</v>
      </c>
      <c r="M2479" t="s">
        <v>2383</v>
      </c>
      <c r="N2479" s="15" t="s">
        <v>6878</v>
      </c>
    </row>
    <row r="2480" spans="1:14" x14ac:dyDescent="0.2">
      <c r="A2480" t="s">
        <v>3592</v>
      </c>
      <c r="B2480" t="s">
        <v>2360</v>
      </c>
      <c r="C2480" s="9">
        <v>44999</v>
      </c>
      <c r="D2480" t="s">
        <v>946</v>
      </c>
      <c r="E2480" s="13">
        <v>5200000</v>
      </c>
      <c r="F2480" s="13">
        <v>5550</v>
      </c>
      <c r="G2480" s="9">
        <v>44999</v>
      </c>
      <c r="H2480" t="s">
        <v>1063</v>
      </c>
      <c r="I2480" t="s">
        <v>2382</v>
      </c>
      <c r="J2480" s="13">
        <v>115440</v>
      </c>
      <c r="K2480">
        <v>1</v>
      </c>
      <c r="L2480" t="s">
        <v>1064</v>
      </c>
      <c r="M2480" t="s">
        <v>2383</v>
      </c>
      <c r="N2480" s="15" t="s">
        <v>6878</v>
      </c>
    </row>
    <row r="2481" spans="1:14" x14ac:dyDescent="0.2">
      <c r="A2481" t="s">
        <v>3593</v>
      </c>
      <c r="B2481" t="s">
        <v>2360</v>
      </c>
      <c r="C2481" s="9">
        <v>44999</v>
      </c>
      <c r="D2481" t="s">
        <v>946</v>
      </c>
      <c r="E2481" s="13">
        <v>5200000</v>
      </c>
      <c r="F2481" s="13">
        <v>5550</v>
      </c>
      <c r="G2481" s="9">
        <v>44999</v>
      </c>
      <c r="H2481" t="s">
        <v>1063</v>
      </c>
      <c r="I2481" t="s">
        <v>2382</v>
      </c>
      <c r="J2481" s="13">
        <v>115440</v>
      </c>
      <c r="K2481">
        <v>1</v>
      </c>
      <c r="L2481" t="s">
        <v>1064</v>
      </c>
      <c r="M2481" t="s">
        <v>2383</v>
      </c>
      <c r="N2481" s="15" t="s">
        <v>6878</v>
      </c>
    </row>
    <row r="2482" spans="1:14" x14ac:dyDescent="0.2">
      <c r="A2482" t="s">
        <v>3594</v>
      </c>
      <c r="B2482" t="s">
        <v>2360</v>
      </c>
      <c r="C2482" s="9">
        <v>44999</v>
      </c>
      <c r="D2482" t="s">
        <v>946</v>
      </c>
      <c r="E2482" s="13">
        <v>4900000</v>
      </c>
      <c r="F2482" s="13">
        <v>5550</v>
      </c>
      <c r="G2482" s="9">
        <v>44999</v>
      </c>
      <c r="H2482" t="s">
        <v>1063</v>
      </c>
      <c r="I2482" t="s">
        <v>2382</v>
      </c>
      <c r="J2482" s="13">
        <v>108780</v>
      </c>
      <c r="K2482">
        <v>1</v>
      </c>
      <c r="L2482" t="s">
        <v>1064</v>
      </c>
      <c r="M2482" t="s">
        <v>2383</v>
      </c>
      <c r="N2482" s="15" t="s">
        <v>6878</v>
      </c>
    </row>
    <row r="2483" spans="1:14" x14ac:dyDescent="0.2">
      <c r="A2483" t="s">
        <v>3595</v>
      </c>
      <c r="B2483" t="s">
        <v>2360</v>
      </c>
      <c r="C2483" s="9">
        <v>44999</v>
      </c>
      <c r="D2483" t="s">
        <v>946</v>
      </c>
      <c r="E2483" s="13">
        <v>5200000</v>
      </c>
      <c r="F2483" s="13">
        <v>5550</v>
      </c>
      <c r="G2483" s="9">
        <v>44999</v>
      </c>
      <c r="H2483" t="s">
        <v>1063</v>
      </c>
      <c r="I2483" t="s">
        <v>2382</v>
      </c>
      <c r="J2483" s="13">
        <v>115440</v>
      </c>
      <c r="K2483">
        <v>1</v>
      </c>
      <c r="L2483" t="s">
        <v>1064</v>
      </c>
      <c r="M2483" t="s">
        <v>2383</v>
      </c>
      <c r="N2483" s="15" t="s">
        <v>6878</v>
      </c>
    </row>
    <row r="2484" spans="1:14" x14ac:dyDescent="0.2">
      <c r="A2484" t="s">
        <v>3596</v>
      </c>
      <c r="B2484" t="s">
        <v>2360</v>
      </c>
      <c r="C2484" s="9">
        <v>44999</v>
      </c>
      <c r="D2484" t="s">
        <v>9</v>
      </c>
      <c r="E2484" s="13">
        <v>458150</v>
      </c>
      <c r="F2484" s="13">
        <v>24975</v>
      </c>
      <c r="G2484" s="9">
        <v>45006</v>
      </c>
      <c r="H2484" t="s">
        <v>1063</v>
      </c>
      <c r="I2484" t="s">
        <v>436</v>
      </c>
      <c r="J2484" s="13">
        <v>15255</v>
      </c>
      <c r="K2484">
        <v>1</v>
      </c>
      <c r="L2484" t="s">
        <v>1064</v>
      </c>
      <c r="M2484" t="s">
        <v>2364</v>
      </c>
      <c r="N2484" s="15" t="s">
        <v>6878</v>
      </c>
    </row>
    <row r="2485" spans="1:14" x14ac:dyDescent="0.2">
      <c r="A2485" t="s">
        <v>3597</v>
      </c>
      <c r="B2485" t="s">
        <v>2360</v>
      </c>
      <c r="C2485" s="9">
        <v>45000</v>
      </c>
      <c r="D2485" t="s">
        <v>1014</v>
      </c>
      <c r="E2485" s="13">
        <v>5997000</v>
      </c>
      <c r="F2485" s="13">
        <v>27750</v>
      </c>
      <c r="G2485" s="9">
        <v>45001</v>
      </c>
      <c r="H2485" t="s">
        <v>1111</v>
      </c>
      <c r="I2485" t="s">
        <v>3053</v>
      </c>
      <c r="J2485" s="13">
        <v>232983</v>
      </c>
      <c r="K2485">
        <v>1</v>
      </c>
      <c r="L2485" t="s">
        <v>1064</v>
      </c>
      <c r="M2485" t="s">
        <v>3054</v>
      </c>
      <c r="N2485" s="15" t="s">
        <v>6878</v>
      </c>
    </row>
    <row r="2486" spans="1:14" x14ac:dyDescent="0.2">
      <c r="A2486" t="s">
        <v>3598</v>
      </c>
      <c r="B2486" t="s">
        <v>2360</v>
      </c>
      <c r="C2486" s="9">
        <v>45000</v>
      </c>
      <c r="D2486" t="s">
        <v>1014</v>
      </c>
      <c r="E2486" s="13">
        <v>1872000</v>
      </c>
      <c r="F2486" s="13">
        <v>27750</v>
      </c>
      <c r="G2486" s="9">
        <v>45001</v>
      </c>
      <c r="H2486" t="s">
        <v>1111</v>
      </c>
      <c r="I2486" t="s">
        <v>3053</v>
      </c>
      <c r="J2486" s="13">
        <v>72727</v>
      </c>
      <c r="K2486">
        <v>1</v>
      </c>
      <c r="L2486" t="s">
        <v>1064</v>
      </c>
      <c r="M2486" t="s">
        <v>3054</v>
      </c>
      <c r="N2486" s="15" t="s">
        <v>6878</v>
      </c>
    </row>
    <row r="2487" spans="1:14" x14ac:dyDescent="0.2">
      <c r="A2487" t="s">
        <v>3599</v>
      </c>
      <c r="B2487" t="s">
        <v>2360</v>
      </c>
      <c r="C2487" s="9">
        <v>45000</v>
      </c>
      <c r="D2487" t="s">
        <v>1014</v>
      </c>
      <c r="E2487" s="13">
        <v>1637000</v>
      </c>
      <c r="F2487" s="13">
        <v>27750</v>
      </c>
      <c r="G2487" s="9">
        <v>45001</v>
      </c>
      <c r="H2487" t="s">
        <v>1111</v>
      </c>
      <c r="I2487" t="s">
        <v>3053</v>
      </c>
      <c r="J2487" s="13">
        <v>63597</v>
      </c>
      <c r="K2487">
        <v>1</v>
      </c>
      <c r="L2487" t="s">
        <v>1064</v>
      </c>
      <c r="M2487" t="s">
        <v>3054</v>
      </c>
      <c r="N2487" s="15" t="s">
        <v>6878</v>
      </c>
    </row>
    <row r="2488" spans="1:14" x14ac:dyDescent="0.2">
      <c r="A2488" t="s">
        <v>3600</v>
      </c>
      <c r="B2488" t="s">
        <v>2360</v>
      </c>
      <c r="C2488" s="9">
        <v>45000</v>
      </c>
      <c r="D2488" t="s">
        <v>1014</v>
      </c>
      <c r="E2488" s="13">
        <v>6173000</v>
      </c>
      <c r="F2488" s="13">
        <v>27750</v>
      </c>
      <c r="G2488" s="9">
        <v>45001</v>
      </c>
      <c r="H2488" t="s">
        <v>1111</v>
      </c>
      <c r="I2488" t="s">
        <v>3053</v>
      </c>
      <c r="J2488" s="13">
        <v>239821</v>
      </c>
      <c r="K2488">
        <v>1</v>
      </c>
      <c r="L2488" t="s">
        <v>1064</v>
      </c>
      <c r="M2488" t="s">
        <v>3054</v>
      </c>
      <c r="N2488" s="15" t="s">
        <v>6878</v>
      </c>
    </row>
    <row r="2489" spans="1:14" x14ac:dyDescent="0.2">
      <c r="A2489" t="s">
        <v>3601</v>
      </c>
      <c r="B2489" t="s">
        <v>2360</v>
      </c>
      <c r="C2489" s="9">
        <v>45000</v>
      </c>
      <c r="D2489" t="s">
        <v>1014</v>
      </c>
      <c r="E2489" s="13">
        <v>6173000</v>
      </c>
      <c r="F2489" s="13">
        <v>27750</v>
      </c>
      <c r="G2489" s="9">
        <v>45001</v>
      </c>
      <c r="H2489" t="s">
        <v>1111</v>
      </c>
      <c r="I2489" t="s">
        <v>3053</v>
      </c>
      <c r="J2489" s="13">
        <v>239821</v>
      </c>
      <c r="K2489">
        <v>1</v>
      </c>
      <c r="L2489" t="s">
        <v>1064</v>
      </c>
      <c r="M2489" t="s">
        <v>3054</v>
      </c>
      <c r="N2489" s="15" t="s">
        <v>6878</v>
      </c>
    </row>
    <row r="2490" spans="1:14" x14ac:dyDescent="0.2">
      <c r="A2490" t="s">
        <v>3602</v>
      </c>
      <c r="B2490" t="s">
        <v>2360</v>
      </c>
      <c r="C2490" s="9">
        <v>45000</v>
      </c>
      <c r="D2490" t="s">
        <v>1014</v>
      </c>
      <c r="E2490" s="13">
        <v>6141750</v>
      </c>
      <c r="F2490" s="13">
        <v>27750</v>
      </c>
      <c r="G2490" s="9">
        <v>45001</v>
      </c>
      <c r="H2490" t="s">
        <v>1111</v>
      </c>
      <c r="I2490" t="s">
        <v>3053</v>
      </c>
      <c r="J2490" s="13">
        <v>238606</v>
      </c>
      <c r="K2490">
        <v>1</v>
      </c>
      <c r="L2490" t="s">
        <v>1064</v>
      </c>
      <c r="M2490" t="s">
        <v>3054</v>
      </c>
      <c r="N2490" s="15" t="s">
        <v>6878</v>
      </c>
    </row>
    <row r="2491" spans="1:14" x14ac:dyDescent="0.2">
      <c r="A2491" t="s">
        <v>3603</v>
      </c>
      <c r="B2491" t="s">
        <v>2360</v>
      </c>
      <c r="C2491" s="9">
        <v>45000</v>
      </c>
      <c r="D2491" t="s">
        <v>1014</v>
      </c>
      <c r="E2491" s="13">
        <v>3158000</v>
      </c>
      <c r="F2491" s="13">
        <v>27750</v>
      </c>
      <c r="G2491" s="9">
        <v>45001</v>
      </c>
      <c r="H2491" t="s">
        <v>1111</v>
      </c>
      <c r="I2491" t="s">
        <v>3053</v>
      </c>
      <c r="J2491" s="13">
        <v>122688</v>
      </c>
      <c r="K2491">
        <v>1</v>
      </c>
      <c r="L2491" t="s">
        <v>1064</v>
      </c>
      <c r="M2491" t="s">
        <v>3054</v>
      </c>
      <c r="N2491" s="15" t="s">
        <v>6878</v>
      </c>
    </row>
    <row r="2492" spans="1:14" x14ac:dyDescent="0.2">
      <c r="A2492" t="s">
        <v>3604</v>
      </c>
      <c r="B2492" t="s">
        <v>2360</v>
      </c>
      <c r="C2492" s="9">
        <v>45000</v>
      </c>
      <c r="D2492" t="s">
        <v>1014</v>
      </c>
      <c r="E2492" s="13">
        <v>3158000</v>
      </c>
      <c r="F2492" s="13">
        <v>27750</v>
      </c>
      <c r="G2492" s="9">
        <v>45001</v>
      </c>
      <c r="H2492" t="s">
        <v>1111</v>
      </c>
      <c r="I2492" t="s">
        <v>3053</v>
      </c>
      <c r="J2492" s="13">
        <v>122688</v>
      </c>
      <c r="K2492">
        <v>1</v>
      </c>
      <c r="L2492" t="s">
        <v>1064</v>
      </c>
      <c r="M2492" t="s">
        <v>3054</v>
      </c>
      <c r="N2492" s="15" t="s">
        <v>6878</v>
      </c>
    </row>
    <row r="2493" spans="1:14" x14ac:dyDescent="0.2">
      <c r="A2493" t="s">
        <v>3605</v>
      </c>
      <c r="B2493" t="s">
        <v>2360</v>
      </c>
      <c r="C2493" s="9">
        <v>45000</v>
      </c>
      <c r="D2493" t="s">
        <v>1014</v>
      </c>
      <c r="E2493" s="13">
        <v>2681500</v>
      </c>
      <c r="F2493" s="13">
        <v>27750</v>
      </c>
      <c r="G2493" s="9">
        <v>45001</v>
      </c>
      <c r="H2493" t="s">
        <v>1111</v>
      </c>
      <c r="I2493" t="s">
        <v>3053</v>
      </c>
      <c r="J2493" s="13">
        <v>104175</v>
      </c>
      <c r="K2493">
        <v>1</v>
      </c>
      <c r="L2493" t="s">
        <v>1064</v>
      </c>
      <c r="M2493" t="s">
        <v>3054</v>
      </c>
      <c r="N2493" s="15" t="s">
        <v>6878</v>
      </c>
    </row>
    <row r="2494" spans="1:14" x14ac:dyDescent="0.2">
      <c r="A2494" t="s">
        <v>3606</v>
      </c>
      <c r="B2494" t="s">
        <v>2360</v>
      </c>
      <c r="C2494" s="9">
        <v>45000</v>
      </c>
      <c r="D2494" t="s">
        <v>1014</v>
      </c>
      <c r="E2494" s="13">
        <v>1872000</v>
      </c>
      <c r="F2494" s="13">
        <v>27750</v>
      </c>
      <c r="G2494" s="9">
        <v>45001</v>
      </c>
      <c r="H2494" t="s">
        <v>1111</v>
      </c>
      <c r="I2494" t="s">
        <v>3053</v>
      </c>
      <c r="J2494" s="13">
        <v>72727</v>
      </c>
      <c r="K2494">
        <v>1</v>
      </c>
      <c r="L2494" t="s">
        <v>1064</v>
      </c>
      <c r="M2494" t="s">
        <v>3054</v>
      </c>
      <c r="N2494" s="15" t="s">
        <v>6878</v>
      </c>
    </row>
    <row r="2495" spans="1:14" x14ac:dyDescent="0.2">
      <c r="A2495" t="s">
        <v>3607</v>
      </c>
      <c r="B2495" t="s">
        <v>2360</v>
      </c>
      <c r="C2495" s="9">
        <v>45000</v>
      </c>
      <c r="D2495" t="s">
        <v>1014</v>
      </c>
      <c r="E2495" s="13">
        <v>3158000</v>
      </c>
      <c r="F2495" s="13">
        <v>27750</v>
      </c>
      <c r="G2495" s="9">
        <v>45001</v>
      </c>
      <c r="H2495" t="s">
        <v>1111</v>
      </c>
      <c r="I2495" t="s">
        <v>3053</v>
      </c>
      <c r="J2495" s="13">
        <v>122688</v>
      </c>
      <c r="K2495">
        <v>1</v>
      </c>
      <c r="L2495" t="s">
        <v>1064</v>
      </c>
      <c r="M2495" t="s">
        <v>3054</v>
      </c>
      <c r="N2495" s="15" t="s">
        <v>6878</v>
      </c>
    </row>
    <row r="2496" spans="1:14" x14ac:dyDescent="0.2">
      <c r="A2496" t="s">
        <v>3608</v>
      </c>
      <c r="B2496" t="s">
        <v>2360</v>
      </c>
      <c r="C2496" s="9">
        <v>45000</v>
      </c>
      <c r="D2496" t="s">
        <v>1014</v>
      </c>
      <c r="E2496" s="13">
        <v>3068000</v>
      </c>
      <c r="F2496" s="13">
        <v>27750</v>
      </c>
      <c r="G2496" s="9">
        <v>45001</v>
      </c>
      <c r="H2496" t="s">
        <v>1111</v>
      </c>
      <c r="I2496" t="s">
        <v>3053</v>
      </c>
      <c r="J2496" s="13">
        <v>119191</v>
      </c>
      <c r="K2496">
        <v>1</v>
      </c>
      <c r="L2496" t="s">
        <v>1064</v>
      </c>
      <c r="M2496" t="s">
        <v>3054</v>
      </c>
      <c r="N2496" s="15" t="s">
        <v>6878</v>
      </c>
    </row>
    <row r="2497" spans="1:14" x14ac:dyDescent="0.2">
      <c r="A2497" t="s">
        <v>3609</v>
      </c>
      <c r="B2497" t="s">
        <v>2360</v>
      </c>
      <c r="C2497" s="9">
        <v>45000</v>
      </c>
      <c r="D2497" t="s">
        <v>1014</v>
      </c>
      <c r="E2497" s="13">
        <v>3158000</v>
      </c>
      <c r="F2497" s="13">
        <v>27750</v>
      </c>
      <c r="G2497" s="9">
        <v>45001</v>
      </c>
      <c r="H2497" t="s">
        <v>1111</v>
      </c>
      <c r="I2497" t="s">
        <v>3053</v>
      </c>
      <c r="J2497" s="13">
        <v>122688</v>
      </c>
      <c r="K2497">
        <v>1</v>
      </c>
      <c r="L2497" t="s">
        <v>1064</v>
      </c>
      <c r="M2497" t="s">
        <v>3054</v>
      </c>
      <c r="N2497" s="15" t="s">
        <v>6878</v>
      </c>
    </row>
    <row r="2498" spans="1:14" x14ac:dyDescent="0.2">
      <c r="A2498" t="s">
        <v>3610</v>
      </c>
      <c r="B2498" t="s">
        <v>2360</v>
      </c>
      <c r="C2498" s="9">
        <v>45000</v>
      </c>
      <c r="D2498" t="s">
        <v>1014</v>
      </c>
      <c r="E2498" s="13">
        <v>3158000</v>
      </c>
      <c r="F2498" s="13">
        <v>27750</v>
      </c>
      <c r="G2498" s="9">
        <v>45001</v>
      </c>
      <c r="H2498" t="s">
        <v>1111</v>
      </c>
      <c r="I2498" t="s">
        <v>3053</v>
      </c>
      <c r="J2498" s="13">
        <v>122688</v>
      </c>
      <c r="K2498">
        <v>1</v>
      </c>
      <c r="L2498" t="s">
        <v>1064</v>
      </c>
      <c r="M2498" t="s">
        <v>3054</v>
      </c>
      <c r="N2498" s="15" t="s">
        <v>6878</v>
      </c>
    </row>
    <row r="2499" spans="1:14" x14ac:dyDescent="0.2">
      <c r="A2499" t="s">
        <v>3611</v>
      </c>
      <c r="B2499" t="s">
        <v>2360</v>
      </c>
      <c r="C2499" s="9">
        <v>45000</v>
      </c>
      <c r="D2499" t="s">
        <v>1014</v>
      </c>
      <c r="E2499" s="13">
        <v>2808000</v>
      </c>
      <c r="F2499" s="13">
        <v>27750</v>
      </c>
      <c r="G2499" s="9">
        <v>45001</v>
      </c>
      <c r="H2499" t="s">
        <v>1111</v>
      </c>
      <c r="I2499" t="s">
        <v>3053</v>
      </c>
      <c r="J2499" s="13">
        <v>109090</v>
      </c>
      <c r="K2499">
        <v>1</v>
      </c>
      <c r="L2499" t="s">
        <v>1064</v>
      </c>
      <c r="M2499" t="s">
        <v>3054</v>
      </c>
      <c r="N2499" s="15" t="s">
        <v>6878</v>
      </c>
    </row>
    <row r="2500" spans="1:14" x14ac:dyDescent="0.2">
      <c r="A2500" t="s">
        <v>3612</v>
      </c>
      <c r="B2500" t="s">
        <v>2360</v>
      </c>
      <c r="C2500" s="9">
        <v>45000</v>
      </c>
      <c r="D2500" t="s">
        <v>1014</v>
      </c>
      <c r="E2500" s="13">
        <v>3158000</v>
      </c>
      <c r="F2500" s="13">
        <v>27750</v>
      </c>
      <c r="G2500" s="9">
        <v>45001</v>
      </c>
      <c r="H2500" t="s">
        <v>1111</v>
      </c>
      <c r="I2500" t="s">
        <v>3053</v>
      </c>
      <c r="J2500" s="13">
        <v>122688</v>
      </c>
      <c r="K2500">
        <v>1</v>
      </c>
      <c r="L2500" t="s">
        <v>1064</v>
      </c>
      <c r="M2500" t="s">
        <v>3054</v>
      </c>
      <c r="N2500" s="15" t="s">
        <v>6878</v>
      </c>
    </row>
    <row r="2501" spans="1:14" x14ac:dyDescent="0.2">
      <c r="A2501" t="s">
        <v>3613</v>
      </c>
      <c r="B2501" t="s">
        <v>2360</v>
      </c>
      <c r="C2501" s="9">
        <v>45000</v>
      </c>
      <c r="D2501" t="s">
        <v>983</v>
      </c>
      <c r="E2501" s="13">
        <v>5600000</v>
      </c>
      <c r="F2501" s="13">
        <v>11100</v>
      </c>
      <c r="G2501" s="9">
        <v>45003</v>
      </c>
      <c r="H2501" t="s">
        <v>1111</v>
      </c>
      <c r="I2501" t="s">
        <v>2896</v>
      </c>
      <c r="J2501" s="13">
        <v>155400</v>
      </c>
      <c r="K2501">
        <v>1</v>
      </c>
      <c r="L2501" t="s">
        <v>1064</v>
      </c>
      <c r="M2501" t="s">
        <v>2897</v>
      </c>
      <c r="N2501" s="15" t="s">
        <v>6878</v>
      </c>
    </row>
    <row r="2502" spans="1:14" x14ac:dyDescent="0.2">
      <c r="A2502" t="s">
        <v>3614</v>
      </c>
      <c r="B2502" t="s">
        <v>2360</v>
      </c>
      <c r="C2502" s="9">
        <v>45000</v>
      </c>
      <c r="D2502" t="s">
        <v>983</v>
      </c>
      <c r="E2502" s="13">
        <v>5600000</v>
      </c>
      <c r="F2502" s="13">
        <v>11100</v>
      </c>
      <c r="G2502" s="9">
        <v>45003</v>
      </c>
      <c r="H2502" t="s">
        <v>1111</v>
      </c>
      <c r="I2502" t="s">
        <v>2896</v>
      </c>
      <c r="J2502" s="13">
        <v>155400</v>
      </c>
      <c r="K2502">
        <v>1</v>
      </c>
      <c r="L2502" t="s">
        <v>1064</v>
      </c>
      <c r="M2502" t="s">
        <v>2897</v>
      </c>
      <c r="N2502" s="15" t="s">
        <v>6878</v>
      </c>
    </row>
    <row r="2503" spans="1:14" x14ac:dyDescent="0.2">
      <c r="A2503" t="s">
        <v>3615</v>
      </c>
      <c r="B2503" t="s">
        <v>2360</v>
      </c>
      <c r="C2503" s="9">
        <v>45000</v>
      </c>
      <c r="D2503" t="s">
        <v>983</v>
      </c>
      <c r="E2503" s="13">
        <v>5600000</v>
      </c>
      <c r="F2503" s="13">
        <v>11100</v>
      </c>
      <c r="G2503" s="9">
        <v>45003</v>
      </c>
      <c r="H2503" t="s">
        <v>1111</v>
      </c>
      <c r="I2503" t="s">
        <v>2896</v>
      </c>
      <c r="J2503" s="13">
        <v>155400</v>
      </c>
      <c r="K2503">
        <v>1</v>
      </c>
      <c r="L2503" t="s">
        <v>1064</v>
      </c>
      <c r="M2503" t="s">
        <v>2897</v>
      </c>
      <c r="N2503" s="15" t="s">
        <v>6878</v>
      </c>
    </row>
    <row r="2504" spans="1:14" x14ac:dyDescent="0.2">
      <c r="A2504" t="s">
        <v>3616</v>
      </c>
      <c r="B2504" t="s">
        <v>2360</v>
      </c>
      <c r="C2504" s="9">
        <v>45000</v>
      </c>
      <c r="D2504" t="s">
        <v>983</v>
      </c>
      <c r="E2504" s="13">
        <v>5600000</v>
      </c>
      <c r="F2504" s="13">
        <v>11100</v>
      </c>
      <c r="G2504" s="9">
        <v>45003</v>
      </c>
      <c r="H2504" t="s">
        <v>1111</v>
      </c>
      <c r="I2504" t="s">
        <v>2896</v>
      </c>
      <c r="J2504" s="13">
        <v>155400</v>
      </c>
      <c r="K2504">
        <v>1</v>
      </c>
      <c r="L2504" t="s">
        <v>1064</v>
      </c>
      <c r="M2504" t="s">
        <v>2897</v>
      </c>
      <c r="N2504" s="15" t="s">
        <v>6878</v>
      </c>
    </row>
    <row r="2505" spans="1:14" x14ac:dyDescent="0.2">
      <c r="A2505" t="s">
        <v>3617</v>
      </c>
      <c r="B2505" t="s">
        <v>2360</v>
      </c>
      <c r="C2505" s="9">
        <v>45000</v>
      </c>
      <c r="D2505" t="s">
        <v>983</v>
      </c>
      <c r="E2505" s="13">
        <v>5600000</v>
      </c>
      <c r="F2505" s="13">
        <v>11100</v>
      </c>
      <c r="G2505" s="9">
        <v>45003</v>
      </c>
      <c r="H2505" t="s">
        <v>1111</v>
      </c>
      <c r="I2505" t="s">
        <v>2896</v>
      </c>
      <c r="J2505" s="13">
        <v>155400</v>
      </c>
      <c r="K2505">
        <v>1</v>
      </c>
      <c r="L2505" t="s">
        <v>1064</v>
      </c>
      <c r="M2505" t="s">
        <v>2897</v>
      </c>
      <c r="N2505" s="15" t="s">
        <v>6878</v>
      </c>
    </row>
    <row r="2506" spans="1:14" x14ac:dyDescent="0.2">
      <c r="A2506" t="s">
        <v>3618</v>
      </c>
      <c r="B2506" t="s">
        <v>2360</v>
      </c>
      <c r="C2506" s="9">
        <v>45000</v>
      </c>
      <c r="D2506" t="s">
        <v>983</v>
      </c>
      <c r="E2506" s="13">
        <v>5600000</v>
      </c>
      <c r="F2506" s="13">
        <v>11100</v>
      </c>
      <c r="G2506" s="9">
        <v>45003</v>
      </c>
      <c r="H2506" t="s">
        <v>1111</v>
      </c>
      <c r="I2506" t="s">
        <v>2896</v>
      </c>
      <c r="J2506" s="13">
        <v>155400</v>
      </c>
      <c r="K2506">
        <v>1</v>
      </c>
      <c r="L2506" t="s">
        <v>1064</v>
      </c>
      <c r="M2506" t="s">
        <v>2897</v>
      </c>
      <c r="N2506" s="15" t="s">
        <v>6878</v>
      </c>
    </row>
    <row r="2507" spans="1:14" x14ac:dyDescent="0.2">
      <c r="A2507" t="s">
        <v>3619</v>
      </c>
      <c r="B2507" t="s">
        <v>2360</v>
      </c>
      <c r="C2507" s="9">
        <v>45000</v>
      </c>
      <c r="D2507" t="s">
        <v>983</v>
      </c>
      <c r="E2507" s="13">
        <v>5600000</v>
      </c>
      <c r="F2507" s="13">
        <v>11100</v>
      </c>
      <c r="G2507" s="9">
        <v>45003</v>
      </c>
      <c r="H2507" t="s">
        <v>1111</v>
      </c>
      <c r="I2507" t="s">
        <v>2896</v>
      </c>
      <c r="J2507" s="13">
        <v>155400</v>
      </c>
      <c r="K2507">
        <v>1</v>
      </c>
      <c r="L2507" t="s">
        <v>1064</v>
      </c>
      <c r="M2507" t="s">
        <v>2897</v>
      </c>
      <c r="N2507" s="15" t="s">
        <v>6878</v>
      </c>
    </row>
    <row r="2508" spans="1:14" x14ac:dyDescent="0.2">
      <c r="A2508" t="s">
        <v>3620</v>
      </c>
      <c r="B2508" t="s">
        <v>2360</v>
      </c>
      <c r="C2508" s="9">
        <v>45000</v>
      </c>
      <c r="D2508" t="s">
        <v>983</v>
      </c>
      <c r="E2508" s="13">
        <v>5600000</v>
      </c>
      <c r="F2508" s="13">
        <v>11100</v>
      </c>
      <c r="G2508" s="9">
        <v>45003</v>
      </c>
      <c r="H2508" t="s">
        <v>1111</v>
      </c>
      <c r="I2508" t="s">
        <v>2896</v>
      </c>
      <c r="J2508" s="13">
        <v>155400</v>
      </c>
      <c r="K2508">
        <v>1</v>
      </c>
      <c r="L2508" t="s">
        <v>1064</v>
      </c>
      <c r="M2508" t="s">
        <v>2897</v>
      </c>
      <c r="N2508" s="15" t="s">
        <v>6878</v>
      </c>
    </row>
    <row r="2509" spans="1:14" x14ac:dyDescent="0.2">
      <c r="A2509" t="s">
        <v>3621</v>
      </c>
      <c r="B2509" t="s">
        <v>2360</v>
      </c>
      <c r="C2509" s="9">
        <v>45000</v>
      </c>
      <c r="D2509" t="s">
        <v>983</v>
      </c>
      <c r="E2509" s="13">
        <v>5600000</v>
      </c>
      <c r="F2509" s="13">
        <v>11100</v>
      </c>
      <c r="G2509" s="9">
        <v>45003</v>
      </c>
      <c r="H2509" t="s">
        <v>1111</v>
      </c>
      <c r="I2509" t="s">
        <v>2896</v>
      </c>
      <c r="J2509" s="13">
        <v>155400</v>
      </c>
      <c r="K2509">
        <v>1</v>
      </c>
      <c r="L2509" t="s">
        <v>1064</v>
      </c>
      <c r="M2509" t="s">
        <v>2897</v>
      </c>
      <c r="N2509" s="15" t="s">
        <v>6878</v>
      </c>
    </row>
    <row r="2510" spans="1:14" x14ac:dyDescent="0.2">
      <c r="A2510" t="s">
        <v>3622</v>
      </c>
      <c r="B2510" t="s">
        <v>2360</v>
      </c>
      <c r="C2510" s="9">
        <v>45000</v>
      </c>
      <c r="D2510" t="s">
        <v>983</v>
      </c>
      <c r="E2510" s="13">
        <v>5600000</v>
      </c>
      <c r="F2510" s="13">
        <v>11100</v>
      </c>
      <c r="G2510" s="9">
        <v>45003</v>
      </c>
      <c r="H2510" t="s">
        <v>1111</v>
      </c>
      <c r="I2510" t="s">
        <v>2896</v>
      </c>
      <c r="J2510" s="13">
        <v>155400</v>
      </c>
      <c r="K2510">
        <v>1</v>
      </c>
      <c r="L2510" t="s">
        <v>1064</v>
      </c>
      <c r="M2510" t="s">
        <v>2897</v>
      </c>
      <c r="N2510" s="15" t="s">
        <v>6878</v>
      </c>
    </row>
    <row r="2511" spans="1:14" x14ac:dyDescent="0.2">
      <c r="A2511" t="s">
        <v>3623</v>
      </c>
      <c r="B2511" t="s">
        <v>2360</v>
      </c>
      <c r="C2511" s="9">
        <v>45000</v>
      </c>
      <c r="D2511" t="s">
        <v>9</v>
      </c>
      <c r="E2511" s="13">
        <v>294490</v>
      </c>
      <c r="F2511" s="13">
        <v>24975</v>
      </c>
      <c r="G2511" s="9">
        <v>45006</v>
      </c>
      <c r="H2511" t="s">
        <v>1063</v>
      </c>
      <c r="I2511" t="s">
        <v>436</v>
      </c>
      <c r="J2511" s="13">
        <v>9805</v>
      </c>
      <c r="K2511">
        <v>1</v>
      </c>
      <c r="L2511" t="s">
        <v>1064</v>
      </c>
      <c r="M2511" t="s">
        <v>2364</v>
      </c>
      <c r="N2511" s="15" t="s">
        <v>6878</v>
      </c>
    </row>
    <row r="2512" spans="1:14" x14ac:dyDescent="0.2">
      <c r="A2512" t="s">
        <v>3624</v>
      </c>
      <c r="B2512" t="s">
        <v>2360</v>
      </c>
      <c r="C2512" s="9">
        <v>45000</v>
      </c>
      <c r="D2512" t="s">
        <v>9</v>
      </c>
      <c r="E2512" s="13">
        <v>2817500</v>
      </c>
      <c r="F2512" s="13">
        <v>24975</v>
      </c>
      <c r="G2512" s="9">
        <v>45009</v>
      </c>
      <c r="H2512" t="s">
        <v>1063</v>
      </c>
      <c r="I2512" t="s">
        <v>2361</v>
      </c>
      <c r="J2512" s="13">
        <v>93822</v>
      </c>
      <c r="K2512">
        <v>1</v>
      </c>
      <c r="L2512" t="s">
        <v>1064</v>
      </c>
      <c r="M2512" t="s">
        <v>2362</v>
      </c>
      <c r="N2512" s="15" t="s">
        <v>6878</v>
      </c>
    </row>
    <row r="2513" spans="1:14" x14ac:dyDescent="0.2">
      <c r="A2513" t="s">
        <v>3625</v>
      </c>
      <c r="B2513" t="s">
        <v>2360</v>
      </c>
      <c r="C2513" s="9">
        <v>45001</v>
      </c>
      <c r="D2513" t="s">
        <v>946</v>
      </c>
      <c r="E2513" s="13">
        <v>4700000</v>
      </c>
      <c r="F2513" s="13">
        <v>5550</v>
      </c>
      <c r="G2513" s="9">
        <v>45002</v>
      </c>
      <c r="H2513" t="s">
        <v>1111</v>
      </c>
      <c r="I2513" t="s">
        <v>2382</v>
      </c>
      <c r="J2513" s="13">
        <v>78255</v>
      </c>
      <c r="K2513">
        <v>1</v>
      </c>
      <c r="L2513" t="s">
        <v>1064</v>
      </c>
      <c r="M2513" t="s">
        <v>2383</v>
      </c>
      <c r="N2513" s="15" t="s">
        <v>6878</v>
      </c>
    </row>
    <row r="2514" spans="1:14" x14ac:dyDescent="0.2">
      <c r="A2514" t="s">
        <v>3626</v>
      </c>
      <c r="B2514" t="s">
        <v>2360</v>
      </c>
      <c r="C2514" s="9">
        <v>45001</v>
      </c>
      <c r="D2514" t="s">
        <v>946</v>
      </c>
      <c r="E2514" s="13">
        <v>4700000</v>
      </c>
      <c r="F2514" s="13">
        <v>5550</v>
      </c>
      <c r="G2514" s="9">
        <v>45002</v>
      </c>
      <c r="H2514" t="s">
        <v>1111</v>
      </c>
      <c r="I2514" t="s">
        <v>2382</v>
      </c>
      <c r="J2514" s="13">
        <v>78255</v>
      </c>
      <c r="K2514">
        <v>1</v>
      </c>
      <c r="L2514" t="s">
        <v>1064</v>
      </c>
      <c r="M2514" t="s">
        <v>2383</v>
      </c>
      <c r="N2514" s="15" t="s">
        <v>6878</v>
      </c>
    </row>
    <row r="2515" spans="1:14" x14ac:dyDescent="0.2">
      <c r="A2515" t="s">
        <v>3627</v>
      </c>
      <c r="B2515" t="s">
        <v>2360</v>
      </c>
      <c r="C2515" s="9">
        <v>45001</v>
      </c>
      <c r="D2515" t="s">
        <v>946</v>
      </c>
      <c r="E2515" s="13">
        <v>500000</v>
      </c>
      <c r="F2515" s="13">
        <v>5550</v>
      </c>
      <c r="G2515" s="9">
        <v>45002</v>
      </c>
      <c r="H2515" t="s">
        <v>1111</v>
      </c>
      <c r="I2515" t="s">
        <v>2382</v>
      </c>
      <c r="J2515" s="13">
        <v>8325</v>
      </c>
      <c r="K2515">
        <v>1</v>
      </c>
      <c r="L2515" t="s">
        <v>1064</v>
      </c>
      <c r="M2515" t="s">
        <v>2383</v>
      </c>
      <c r="N2515" s="15" t="s">
        <v>6878</v>
      </c>
    </row>
    <row r="2516" spans="1:14" x14ac:dyDescent="0.2">
      <c r="A2516" t="s">
        <v>3628</v>
      </c>
      <c r="B2516" t="s">
        <v>2360</v>
      </c>
      <c r="C2516" s="9">
        <v>45001</v>
      </c>
      <c r="D2516" t="s">
        <v>946</v>
      </c>
      <c r="E2516" s="13">
        <v>4200000</v>
      </c>
      <c r="F2516" s="13">
        <v>5550</v>
      </c>
      <c r="G2516" s="9">
        <v>45002</v>
      </c>
      <c r="H2516" t="s">
        <v>1111</v>
      </c>
      <c r="I2516" t="s">
        <v>2382</v>
      </c>
      <c r="J2516" s="13">
        <v>69930</v>
      </c>
      <c r="K2516">
        <v>1</v>
      </c>
      <c r="L2516" t="s">
        <v>1064</v>
      </c>
      <c r="M2516" t="s">
        <v>2383</v>
      </c>
      <c r="N2516" s="15" t="s">
        <v>6878</v>
      </c>
    </row>
    <row r="2517" spans="1:14" x14ac:dyDescent="0.2">
      <c r="A2517" t="s">
        <v>3629</v>
      </c>
      <c r="B2517" t="s">
        <v>2360</v>
      </c>
      <c r="C2517" s="9">
        <v>45001</v>
      </c>
      <c r="D2517" t="s">
        <v>946</v>
      </c>
      <c r="E2517" s="13">
        <v>400000</v>
      </c>
      <c r="F2517" s="13">
        <v>5550</v>
      </c>
      <c r="G2517" s="9">
        <v>45002</v>
      </c>
      <c r="H2517" t="s">
        <v>1111</v>
      </c>
      <c r="I2517" t="s">
        <v>2382</v>
      </c>
      <c r="J2517" s="13">
        <v>6660</v>
      </c>
      <c r="K2517">
        <v>1</v>
      </c>
      <c r="L2517" t="s">
        <v>1064</v>
      </c>
      <c r="M2517" t="s">
        <v>2383</v>
      </c>
      <c r="N2517" s="15" t="s">
        <v>6878</v>
      </c>
    </row>
    <row r="2518" spans="1:14" x14ac:dyDescent="0.2">
      <c r="A2518" t="s">
        <v>3630</v>
      </c>
      <c r="B2518" t="s">
        <v>2360</v>
      </c>
      <c r="C2518" s="9">
        <v>45001</v>
      </c>
      <c r="D2518" t="s">
        <v>946</v>
      </c>
      <c r="E2518" s="13">
        <v>4700000</v>
      </c>
      <c r="F2518" s="13">
        <v>5550</v>
      </c>
      <c r="G2518" s="9">
        <v>45002</v>
      </c>
      <c r="H2518" t="s">
        <v>1111</v>
      </c>
      <c r="I2518" t="s">
        <v>2382</v>
      </c>
      <c r="J2518" s="13">
        <v>78255</v>
      </c>
      <c r="K2518">
        <v>1</v>
      </c>
      <c r="L2518" t="s">
        <v>1064</v>
      </c>
      <c r="M2518" t="s">
        <v>2383</v>
      </c>
      <c r="N2518" s="15" t="s">
        <v>6878</v>
      </c>
    </row>
    <row r="2519" spans="1:14" x14ac:dyDescent="0.2">
      <c r="A2519" t="s">
        <v>3631</v>
      </c>
      <c r="B2519" t="s">
        <v>2360</v>
      </c>
      <c r="C2519" s="9">
        <v>45001</v>
      </c>
      <c r="D2519" t="s">
        <v>946</v>
      </c>
      <c r="E2519" s="13">
        <v>500000</v>
      </c>
      <c r="F2519" s="13">
        <v>5550</v>
      </c>
      <c r="G2519" s="9">
        <v>45002</v>
      </c>
      <c r="H2519" t="s">
        <v>1111</v>
      </c>
      <c r="I2519" t="s">
        <v>2382</v>
      </c>
      <c r="J2519" s="13">
        <v>8325</v>
      </c>
      <c r="K2519">
        <v>1</v>
      </c>
      <c r="L2519" t="s">
        <v>1064</v>
      </c>
      <c r="M2519" t="s">
        <v>2383</v>
      </c>
      <c r="N2519" s="15" t="s">
        <v>6878</v>
      </c>
    </row>
    <row r="2520" spans="1:14" x14ac:dyDescent="0.2">
      <c r="A2520" t="s">
        <v>3632</v>
      </c>
      <c r="B2520" t="s">
        <v>2360</v>
      </c>
      <c r="C2520" s="9">
        <v>45001</v>
      </c>
      <c r="D2520" t="s">
        <v>946</v>
      </c>
      <c r="E2520" s="13">
        <v>4900000</v>
      </c>
      <c r="F2520" s="13">
        <v>5550</v>
      </c>
      <c r="G2520" s="9">
        <v>45002</v>
      </c>
      <c r="H2520" t="s">
        <v>1111</v>
      </c>
      <c r="I2520" t="s">
        <v>2382</v>
      </c>
      <c r="J2520" s="13">
        <v>81585</v>
      </c>
      <c r="K2520">
        <v>1</v>
      </c>
      <c r="L2520" t="s">
        <v>1064</v>
      </c>
      <c r="M2520" t="s">
        <v>2383</v>
      </c>
      <c r="N2520" s="15" t="s">
        <v>6878</v>
      </c>
    </row>
    <row r="2521" spans="1:14" x14ac:dyDescent="0.2">
      <c r="A2521" t="s">
        <v>3633</v>
      </c>
      <c r="B2521" t="s">
        <v>2360</v>
      </c>
      <c r="C2521" s="9">
        <v>45001</v>
      </c>
      <c r="D2521" t="s">
        <v>946</v>
      </c>
      <c r="E2521" s="13">
        <v>500000</v>
      </c>
      <c r="F2521" s="13">
        <v>5550</v>
      </c>
      <c r="G2521" s="9">
        <v>45002</v>
      </c>
      <c r="H2521" t="s">
        <v>1111</v>
      </c>
      <c r="I2521" t="s">
        <v>2382</v>
      </c>
      <c r="J2521" s="13">
        <v>8325</v>
      </c>
      <c r="K2521">
        <v>1</v>
      </c>
      <c r="L2521" t="s">
        <v>1064</v>
      </c>
      <c r="M2521" t="s">
        <v>2383</v>
      </c>
      <c r="N2521" s="15" t="s">
        <v>6878</v>
      </c>
    </row>
    <row r="2522" spans="1:14" x14ac:dyDescent="0.2">
      <c r="A2522" t="s">
        <v>3634</v>
      </c>
      <c r="B2522" t="s">
        <v>2360</v>
      </c>
      <c r="C2522" s="9">
        <v>45001</v>
      </c>
      <c r="D2522" t="s">
        <v>946</v>
      </c>
      <c r="E2522" s="13">
        <v>4900000</v>
      </c>
      <c r="F2522" s="13">
        <v>5550</v>
      </c>
      <c r="G2522" s="9">
        <v>45002</v>
      </c>
      <c r="H2522" t="s">
        <v>1111</v>
      </c>
      <c r="I2522" t="s">
        <v>2382</v>
      </c>
      <c r="J2522" s="13">
        <v>81585</v>
      </c>
      <c r="K2522">
        <v>1</v>
      </c>
      <c r="L2522" t="s">
        <v>1064</v>
      </c>
      <c r="M2522" t="s">
        <v>2383</v>
      </c>
      <c r="N2522" s="15" t="s">
        <v>6878</v>
      </c>
    </row>
    <row r="2523" spans="1:14" x14ac:dyDescent="0.2">
      <c r="A2523" t="s">
        <v>3635</v>
      </c>
      <c r="B2523" t="s">
        <v>2360</v>
      </c>
      <c r="C2523" s="9">
        <v>45001</v>
      </c>
      <c r="D2523" t="s">
        <v>946</v>
      </c>
      <c r="E2523" s="13">
        <v>500000</v>
      </c>
      <c r="F2523" s="13">
        <v>5550</v>
      </c>
      <c r="G2523" s="9">
        <v>45002</v>
      </c>
      <c r="H2523" t="s">
        <v>1111</v>
      </c>
      <c r="I2523" t="s">
        <v>2382</v>
      </c>
      <c r="J2523" s="13">
        <v>8325</v>
      </c>
      <c r="K2523">
        <v>1</v>
      </c>
      <c r="L2523" t="s">
        <v>1064</v>
      </c>
      <c r="M2523" t="s">
        <v>2383</v>
      </c>
      <c r="N2523" s="15" t="s">
        <v>6878</v>
      </c>
    </row>
    <row r="2524" spans="1:14" x14ac:dyDescent="0.2">
      <c r="A2524" t="s">
        <v>3636</v>
      </c>
      <c r="B2524" t="s">
        <v>2360</v>
      </c>
      <c r="C2524" s="9">
        <v>45001</v>
      </c>
      <c r="D2524" t="s">
        <v>946</v>
      </c>
      <c r="E2524" s="13">
        <v>2700000</v>
      </c>
      <c r="F2524" s="13">
        <v>5550</v>
      </c>
      <c r="G2524" s="9">
        <v>45002</v>
      </c>
      <c r="H2524" t="s">
        <v>1111</v>
      </c>
      <c r="I2524" t="s">
        <v>2382</v>
      </c>
      <c r="J2524" s="13">
        <v>44955</v>
      </c>
      <c r="K2524">
        <v>1</v>
      </c>
      <c r="L2524" t="s">
        <v>1064</v>
      </c>
      <c r="M2524" t="s">
        <v>2383</v>
      </c>
      <c r="N2524" s="15" t="s">
        <v>6878</v>
      </c>
    </row>
    <row r="2525" spans="1:14" x14ac:dyDescent="0.2">
      <c r="A2525" t="s">
        <v>3637</v>
      </c>
      <c r="B2525" t="s">
        <v>2360</v>
      </c>
      <c r="C2525" s="9">
        <v>45001</v>
      </c>
      <c r="D2525" t="s">
        <v>946</v>
      </c>
      <c r="E2525" s="13">
        <v>2975000</v>
      </c>
      <c r="F2525" s="13">
        <v>5550</v>
      </c>
      <c r="G2525" s="9">
        <v>45002</v>
      </c>
      <c r="H2525" t="s">
        <v>1111</v>
      </c>
      <c r="I2525" t="s">
        <v>2382</v>
      </c>
      <c r="J2525" s="13">
        <v>49533</v>
      </c>
      <c r="K2525">
        <v>1</v>
      </c>
      <c r="L2525" t="s">
        <v>1064</v>
      </c>
      <c r="M2525" t="s">
        <v>2383</v>
      </c>
      <c r="N2525" s="15" t="s">
        <v>6878</v>
      </c>
    </row>
    <row r="2526" spans="1:14" x14ac:dyDescent="0.2">
      <c r="A2526" t="s">
        <v>3638</v>
      </c>
      <c r="B2526" t="s">
        <v>2360</v>
      </c>
      <c r="C2526" s="9">
        <v>45001</v>
      </c>
      <c r="D2526" t="s">
        <v>946</v>
      </c>
      <c r="E2526" s="13">
        <v>1650000</v>
      </c>
      <c r="F2526" s="13">
        <v>5550</v>
      </c>
      <c r="G2526" s="9">
        <v>45002</v>
      </c>
      <c r="H2526" t="s">
        <v>1111</v>
      </c>
      <c r="I2526" t="s">
        <v>2382</v>
      </c>
      <c r="J2526" s="13">
        <v>27472</v>
      </c>
      <c r="K2526">
        <v>1</v>
      </c>
      <c r="L2526" t="s">
        <v>1064</v>
      </c>
      <c r="M2526" t="s">
        <v>2383</v>
      </c>
      <c r="N2526" s="15" t="s">
        <v>6878</v>
      </c>
    </row>
    <row r="2527" spans="1:14" x14ac:dyDescent="0.2">
      <c r="A2527" t="s">
        <v>3639</v>
      </c>
      <c r="B2527" t="s">
        <v>2360</v>
      </c>
      <c r="C2527" s="9">
        <v>45001</v>
      </c>
      <c r="D2527" t="s">
        <v>946</v>
      </c>
      <c r="E2527" s="13">
        <v>1650000</v>
      </c>
      <c r="F2527" s="13">
        <v>5550</v>
      </c>
      <c r="G2527" s="9">
        <v>45002</v>
      </c>
      <c r="H2527" t="s">
        <v>1111</v>
      </c>
      <c r="I2527" t="s">
        <v>2382</v>
      </c>
      <c r="J2527" s="13">
        <v>27472</v>
      </c>
      <c r="K2527">
        <v>1</v>
      </c>
      <c r="L2527" t="s">
        <v>1064</v>
      </c>
      <c r="M2527" t="s">
        <v>2383</v>
      </c>
      <c r="N2527" s="15" t="s">
        <v>6878</v>
      </c>
    </row>
    <row r="2528" spans="1:14" x14ac:dyDescent="0.2">
      <c r="A2528" t="s">
        <v>3640</v>
      </c>
      <c r="B2528" t="s">
        <v>2360</v>
      </c>
      <c r="C2528" s="9">
        <v>45001</v>
      </c>
      <c r="D2528" t="s">
        <v>946</v>
      </c>
      <c r="E2528" s="13">
        <v>1650000</v>
      </c>
      <c r="F2528" s="13">
        <v>5550</v>
      </c>
      <c r="G2528" s="9">
        <v>45002</v>
      </c>
      <c r="H2528" t="s">
        <v>1111</v>
      </c>
      <c r="I2528" t="s">
        <v>2382</v>
      </c>
      <c r="J2528" s="13">
        <v>27472</v>
      </c>
      <c r="K2528">
        <v>1</v>
      </c>
      <c r="L2528" t="s">
        <v>1064</v>
      </c>
      <c r="M2528" t="s">
        <v>2383</v>
      </c>
      <c r="N2528" s="15" t="s">
        <v>6878</v>
      </c>
    </row>
    <row r="2529" spans="1:14" x14ac:dyDescent="0.2">
      <c r="A2529" t="s">
        <v>3641</v>
      </c>
      <c r="B2529" t="s">
        <v>2360</v>
      </c>
      <c r="C2529" s="9">
        <v>45001</v>
      </c>
      <c r="D2529" t="s">
        <v>946</v>
      </c>
      <c r="E2529" s="13">
        <v>4900000</v>
      </c>
      <c r="F2529" s="13">
        <v>5550</v>
      </c>
      <c r="G2529" s="9">
        <v>45002</v>
      </c>
      <c r="H2529" t="s">
        <v>1111</v>
      </c>
      <c r="I2529" t="s">
        <v>2382</v>
      </c>
      <c r="J2529" s="13">
        <v>81585</v>
      </c>
      <c r="K2529">
        <v>1</v>
      </c>
      <c r="L2529" t="s">
        <v>1064</v>
      </c>
      <c r="M2529" t="s">
        <v>2383</v>
      </c>
      <c r="N2529" s="15" t="s">
        <v>6878</v>
      </c>
    </row>
    <row r="2530" spans="1:14" x14ac:dyDescent="0.2">
      <c r="A2530" t="s">
        <v>3642</v>
      </c>
      <c r="B2530" t="s">
        <v>2360</v>
      </c>
      <c r="C2530" s="9">
        <v>45001</v>
      </c>
      <c r="D2530" t="s">
        <v>946</v>
      </c>
      <c r="E2530" s="13">
        <v>500000</v>
      </c>
      <c r="F2530" s="13">
        <v>5550</v>
      </c>
      <c r="G2530" s="9">
        <v>45002</v>
      </c>
      <c r="H2530" t="s">
        <v>1111</v>
      </c>
      <c r="I2530" t="s">
        <v>2382</v>
      </c>
      <c r="J2530" s="13">
        <v>8325</v>
      </c>
      <c r="K2530">
        <v>1</v>
      </c>
      <c r="L2530" t="s">
        <v>1064</v>
      </c>
      <c r="M2530" t="s">
        <v>2383</v>
      </c>
      <c r="N2530" s="15" t="s">
        <v>6878</v>
      </c>
    </row>
    <row r="2531" spans="1:14" x14ac:dyDescent="0.2">
      <c r="A2531" t="s">
        <v>3643</v>
      </c>
      <c r="B2531" t="s">
        <v>2360</v>
      </c>
      <c r="C2531" s="9">
        <v>45001</v>
      </c>
      <c r="D2531" t="s">
        <v>946</v>
      </c>
      <c r="E2531" s="13">
        <v>4900000</v>
      </c>
      <c r="F2531" s="13">
        <v>5550</v>
      </c>
      <c r="G2531" s="9">
        <v>45002</v>
      </c>
      <c r="H2531" t="s">
        <v>1111</v>
      </c>
      <c r="I2531" t="s">
        <v>2382</v>
      </c>
      <c r="J2531" s="13">
        <v>81585</v>
      </c>
      <c r="K2531">
        <v>1</v>
      </c>
      <c r="L2531" t="s">
        <v>1064</v>
      </c>
      <c r="M2531" t="s">
        <v>2383</v>
      </c>
      <c r="N2531" s="15" t="s">
        <v>6878</v>
      </c>
    </row>
    <row r="2532" spans="1:14" x14ac:dyDescent="0.2">
      <c r="A2532" t="s">
        <v>3644</v>
      </c>
      <c r="B2532" t="s">
        <v>2360</v>
      </c>
      <c r="C2532" s="9">
        <v>45001</v>
      </c>
      <c r="D2532" t="s">
        <v>946</v>
      </c>
      <c r="E2532" s="13">
        <v>4600000</v>
      </c>
      <c r="F2532" s="13">
        <v>5550</v>
      </c>
      <c r="G2532" s="9">
        <v>45002</v>
      </c>
      <c r="H2532" t="s">
        <v>1111</v>
      </c>
      <c r="I2532" t="s">
        <v>2382</v>
      </c>
      <c r="J2532" s="13">
        <v>76590</v>
      </c>
      <c r="K2532">
        <v>1</v>
      </c>
      <c r="L2532" t="s">
        <v>1064</v>
      </c>
      <c r="M2532" t="s">
        <v>2383</v>
      </c>
      <c r="N2532" s="15" t="s">
        <v>6878</v>
      </c>
    </row>
    <row r="2533" spans="1:14" x14ac:dyDescent="0.2">
      <c r="A2533" t="s">
        <v>3645</v>
      </c>
      <c r="B2533" t="s">
        <v>2360</v>
      </c>
      <c r="C2533" s="9">
        <v>45001</v>
      </c>
      <c r="D2533" t="s">
        <v>946</v>
      </c>
      <c r="E2533" s="13">
        <v>4700000</v>
      </c>
      <c r="F2533" s="13">
        <v>5550</v>
      </c>
      <c r="G2533" s="9">
        <v>45002</v>
      </c>
      <c r="H2533" t="s">
        <v>1111</v>
      </c>
      <c r="I2533" t="s">
        <v>2382</v>
      </c>
      <c r="J2533" s="13">
        <v>78255</v>
      </c>
      <c r="K2533">
        <v>1</v>
      </c>
      <c r="L2533" t="s">
        <v>1064</v>
      </c>
      <c r="M2533" t="s">
        <v>2383</v>
      </c>
      <c r="N2533" s="15" t="s">
        <v>6878</v>
      </c>
    </row>
    <row r="2534" spans="1:14" x14ac:dyDescent="0.2">
      <c r="A2534" t="s">
        <v>3646</v>
      </c>
      <c r="B2534" t="s">
        <v>2360</v>
      </c>
      <c r="C2534" s="9">
        <v>45001</v>
      </c>
      <c r="D2534" t="s">
        <v>946</v>
      </c>
      <c r="E2534" s="13">
        <v>500000</v>
      </c>
      <c r="F2534" s="13">
        <v>5550</v>
      </c>
      <c r="G2534" s="9">
        <v>45002</v>
      </c>
      <c r="H2534" t="s">
        <v>1111</v>
      </c>
      <c r="I2534" t="s">
        <v>2382</v>
      </c>
      <c r="J2534" s="13">
        <v>8325</v>
      </c>
      <c r="K2534">
        <v>1</v>
      </c>
      <c r="L2534" t="s">
        <v>1064</v>
      </c>
      <c r="M2534" t="s">
        <v>2383</v>
      </c>
      <c r="N2534" s="15" t="s">
        <v>6878</v>
      </c>
    </row>
    <row r="2535" spans="1:14" x14ac:dyDescent="0.2">
      <c r="A2535" t="s">
        <v>3647</v>
      </c>
      <c r="B2535" t="s">
        <v>2360</v>
      </c>
      <c r="C2535" s="9">
        <v>45001</v>
      </c>
      <c r="D2535" t="s">
        <v>946</v>
      </c>
      <c r="E2535" s="13">
        <v>4900000</v>
      </c>
      <c r="F2535" s="13">
        <v>5550</v>
      </c>
      <c r="G2535" s="9">
        <v>45002</v>
      </c>
      <c r="H2535" t="s">
        <v>1111</v>
      </c>
      <c r="I2535" t="s">
        <v>2382</v>
      </c>
      <c r="J2535" s="13">
        <v>81585</v>
      </c>
      <c r="K2535">
        <v>1</v>
      </c>
      <c r="L2535" t="s">
        <v>1064</v>
      </c>
      <c r="M2535" t="s">
        <v>2383</v>
      </c>
      <c r="N2535" s="15" t="s">
        <v>6878</v>
      </c>
    </row>
    <row r="2536" spans="1:14" x14ac:dyDescent="0.2">
      <c r="A2536" t="s">
        <v>3648</v>
      </c>
      <c r="B2536" t="s">
        <v>2360</v>
      </c>
      <c r="C2536" s="9">
        <v>45001</v>
      </c>
      <c r="D2536" t="s">
        <v>946</v>
      </c>
      <c r="E2536" s="13">
        <v>500000</v>
      </c>
      <c r="F2536" s="13">
        <v>5550</v>
      </c>
      <c r="G2536" s="9">
        <v>45002</v>
      </c>
      <c r="H2536" t="s">
        <v>1111</v>
      </c>
      <c r="I2536" t="s">
        <v>2382</v>
      </c>
      <c r="J2536" s="13">
        <v>8325</v>
      </c>
      <c r="K2536">
        <v>1</v>
      </c>
      <c r="L2536" t="s">
        <v>1064</v>
      </c>
      <c r="M2536" t="s">
        <v>2383</v>
      </c>
      <c r="N2536" s="15" t="s">
        <v>6878</v>
      </c>
    </row>
    <row r="2537" spans="1:14" x14ac:dyDescent="0.2">
      <c r="A2537" t="s">
        <v>3649</v>
      </c>
      <c r="B2537" t="s">
        <v>2360</v>
      </c>
      <c r="C2537" s="9">
        <v>45001</v>
      </c>
      <c r="D2537" t="s">
        <v>946</v>
      </c>
      <c r="E2537" s="13">
        <v>25200000</v>
      </c>
      <c r="F2537" s="13">
        <v>5550</v>
      </c>
      <c r="G2537" s="9">
        <v>45002</v>
      </c>
      <c r="H2537" t="s">
        <v>1111</v>
      </c>
      <c r="I2537" t="s">
        <v>2382</v>
      </c>
      <c r="J2537" s="13">
        <v>419580</v>
      </c>
      <c r="K2537">
        <v>1</v>
      </c>
      <c r="L2537" t="s">
        <v>1064</v>
      </c>
      <c r="M2537" t="s">
        <v>2383</v>
      </c>
      <c r="N2537" s="15" t="s">
        <v>6878</v>
      </c>
    </row>
    <row r="2538" spans="1:14" x14ac:dyDescent="0.2">
      <c r="A2538" t="s">
        <v>3650</v>
      </c>
      <c r="B2538" t="s">
        <v>2360</v>
      </c>
      <c r="C2538" s="9">
        <v>45001</v>
      </c>
      <c r="D2538" t="s">
        <v>946</v>
      </c>
      <c r="E2538" s="13">
        <v>30710367</v>
      </c>
      <c r="F2538" s="13">
        <v>5550</v>
      </c>
      <c r="G2538" s="9">
        <v>45002</v>
      </c>
      <c r="H2538" t="s">
        <v>1111</v>
      </c>
      <c r="I2538" t="s">
        <v>2382</v>
      </c>
      <c r="J2538" s="13">
        <v>511327</v>
      </c>
      <c r="K2538">
        <v>1</v>
      </c>
      <c r="L2538" t="s">
        <v>1064</v>
      </c>
      <c r="M2538" t="s">
        <v>2383</v>
      </c>
      <c r="N2538" s="15" t="s">
        <v>6878</v>
      </c>
    </row>
    <row r="2539" spans="1:14" x14ac:dyDescent="0.2">
      <c r="A2539" t="s">
        <v>3651</v>
      </c>
      <c r="B2539" t="s">
        <v>2360</v>
      </c>
      <c r="C2539" s="9">
        <v>45001</v>
      </c>
      <c r="D2539" t="s">
        <v>946</v>
      </c>
      <c r="E2539" s="13">
        <v>27832000</v>
      </c>
      <c r="F2539" s="13">
        <v>5550</v>
      </c>
      <c r="G2539" s="9">
        <v>45002</v>
      </c>
      <c r="H2539" t="s">
        <v>1111</v>
      </c>
      <c r="I2539" t="s">
        <v>2382</v>
      </c>
      <c r="J2539" s="13">
        <v>463402</v>
      </c>
      <c r="K2539">
        <v>1</v>
      </c>
      <c r="L2539" t="s">
        <v>1064</v>
      </c>
      <c r="M2539" t="s">
        <v>2383</v>
      </c>
      <c r="N2539" s="15" t="s">
        <v>6878</v>
      </c>
    </row>
    <row r="2540" spans="1:14" x14ac:dyDescent="0.2">
      <c r="A2540" t="s">
        <v>3652</v>
      </c>
      <c r="B2540" t="s">
        <v>2360</v>
      </c>
      <c r="C2540" s="9">
        <v>45001</v>
      </c>
      <c r="D2540" t="s">
        <v>946</v>
      </c>
      <c r="E2540" s="13">
        <v>19032951</v>
      </c>
      <c r="F2540" s="13">
        <v>5550</v>
      </c>
      <c r="G2540" s="9">
        <v>45002</v>
      </c>
      <c r="H2540" t="s">
        <v>1111</v>
      </c>
      <c r="I2540" t="s">
        <v>2382</v>
      </c>
      <c r="J2540" s="13">
        <v>316898</v>
      </c>
      <c r="K2540">
        <v>1</v>
      </c>
      <c r="L2540" t="s">
        <v>1064</v>
      </c>
      <c r="M2540" t="s">
        <v>2383</v>
      </c>
      <c r="N2540" s="15" t="s">
        <v>6878</v>
      </c>
    </row>
    <row r="2541" spans="1:14" x14ac:dyDescent="0.2">
      <c r="A2541" t="s">
        <v>3653</v>
      </c>
      <c r="B2541" t="s">
        <v>2360</v>
      </c>
      <c r="C2541" s="9">
        <v>45001</v>
      </c>
      <c r="D2541" t="s">
        <v>946</v>
      </c>
      <c r="E2541" s="13">
        <v>22451987</v>
      </c>
      <c r="F2541" s="13">
        <v>5550</v>
      </c>
      <c r="G2541" s="9">
        <v>45002</v>
      </c>
      <c r="H2541" t="s">
        <v>1111</v>
      </c>
      <c r="I2541" t="s">
        <v>2382</v>
      </c>
      <c r="J2541" s="13">
        <v>373824</v>
      </c>
      <c r="K2541">
        <v>1</v>
      </c>
      <c r="L2541" t="s">
        <v>1064</v>
      </c>
      <c r="M2541" t="s">
        <v>2383</v>
      </c>
      <c r="N2541" s="15" t="s">
        <v>6878</v>
      </c>
    </row>
    <row r="2542" spans="1:14" x14ac:dyDescent="0.2">
      <c r="A2542" t="s">
        <v>3654</v>
      </c>
      <c r="B2542" t="s">
        <v>2360</v>
      </c>
      <c r="C2542" s="9">
        <v>45001</v>
      </c>
      <c r="D2542" t="s">
        <v>946</v>
      </c>
      <c r="E2542" s="13">
        <v>19443513</v>
      </c>
      <c r="F2542" s="13">
        <v>5550</v>
      </c>
      <c r="G2542" s="9">
        <v>45002</v>
      </c>
      <c r="H2542" t="s">
        <v>1111</v>
      </c>
      <c r="I2542" t="s">
        <v>2382</v>
      </c>
      <c r="J2542" s="13">
        <v>323733</v>
      </c>
      <c r="K2542">
        <v>1</v>
      </c>
      <c r="L2542" t="s">
        <v>1064</v>
      </c>
      <c r="M2542" t="s">
        <v>2383</v>
      </c>
      <c r="N2542" s="15" t="s">
        <v>6878</v>
      </c>
    </row>
    <row r="2543" spans="1:14" x14ac:dyDescent="0.2">
      <c r="A2543" t="s">
        <v>3655</v>
      </c>
      <c r="B2543" t="s">
        <v>2360</v>
      </c>
      <c r="C2543" s="9">
        <v>45001</v>
      </c>
      <c r="D2543" t="s">
        <v>946</v>
      </c>
      <c r="E2543" s="13">
        <v>2200000</v>
      </c>
      <c r="F2543" s="13">
        <v>5550</v>
      </c>
      <c r="G2543" s="9">
        <v>45002</v>
      </c>
      <c r="H2543" t="s">
        <v>1111</v>
      </c>
      <c r="I2543" t="s">
        <v>2382</v>
      </c>
      <c r="J2543" s="13">
        <v>36630</v>
      </c>
      <c r="K2543">
        <v>1</v>
      </c>
      <c r="L2543" t="s">
        <v>1064</v>
      </c>
      <c r="M2543" t="s">
        <v>2383</v>
      </c>
      <c r="N2543" s="15" t="s">
        <v>6878</v>
      </c>
    </row>
    <row r="2544" spans="1:14" x14ac:dyDescent="0.2">
      <c r="A2544" t="s">
        <v>3656</v>
      </c>
      <c r="B2544" t="s">
        <v>2360</v>
      </c>
      <c r="C2544" s="9">
        <v>45001</v>
      </c>
      <c r="D2544" t="s">
        <v>946</v>
      </c>
      <c r="E2544" s="13">
        <v>979436</v>
      </c>
      <c r="F2544" s="13">
        <v>5550</v>
      </c>
      <c r="G2544" s="9">
        <v>45002</v>
      </c>
      <c r="H2544" t="s">
        <v>1111</v>
      </c>
      <c r="I2544" t="s">
        <v>2382</v>
      </c>
      <c r="J2544" s="13">
        <v>16307</v>
      </c>
      <c r="K2544">
        <v>1</v>
      </c>
      <c r="L2544" t="s">
        <v>1064</v>
      </c>
      <c r="M2544" t="s">
        <v>2383</v>
      </c>
      <c r="N2544" s="15" t="s">
        <v>6878</v>
      </c>
    </row>
    <row r="2545" spans="1:14" x14ac:dyDescent="0.2">
      <c r="A2545" t="s">
        <v>3657</v>
      </c>
      <c r="B2545" t="s">
        <v>2360</v>
      </c>
      <c r="C2545" s="9">
        <v>45001</v>
      </c>
      <c r="D2545" t="s">
        <v>946</v>
      </c>
      <c r="E2545" s="13">
        <v>18906927</v>
      </c>
      <c r="F2545" s="13">
        <v>5550</v>
      </c>
      <c r="G2545" s="9">
        <v>45002</v>
      </c>
      <c r="H2545" t="s">
        <v>1111</v>
      </c>
      <c r="I2545" t="s">
        <v>2382</v>
      </c>
      <c r="J2545" s="13">
        <v>314799</v>
      </c>
      <c r="K2545">
        <v>1</v>
      </c>
      <c r="L2545" t="s">
        <v>1064</v>
      </c>
      <c r="M2545" t="s">
        <v>2383</v>
      </c>
      <c r="N2545" s="15" t="s">
        <v>6878</v>
      </c>
    </row>
    <row r="2546" spans="1:14" x14ac:dyDescent="0.2">
      <c r="A2546" t="s">
        <v>3658</v>
      </c>
      <c r="B2546" t="s">
        <v>2360</v>
      </c>
      <c r="C2546" s="9">
        <v>45001</v>
      </c>
      <c r="D2546" t="s">
        <v>946</v>
      </c>
      <c r="E2546" s="13">
        <v>18906927</v>
      </c>
      <c r="F2546" s="13">
        <v>5550</v>
      </c>
      <c r="G2546" s="9">
        <v>45002</v>
      </c>
      <c r="H2546" t="s">
        <v>1111</v>
      </c>
      <c r="I2546" t="s">
        <v>2382</v>
      </c>
      <c r="J2546" s="13">
        <v>314799</v>
      </c>
      <c r="K2546">
        <v>1</v>
      </c>
      <c r="L2546" t="s">
        <v>1064</v>
      </c>
      <c r="M2546" t="s">
        <v>2383</v>
      </c>
      <c r="N2546" s="15" t="s">
        <v>6878</v>
      </c>
    </row>
    <row r="2547" spans="1:14" x14ac:dyDescent="0.2">
      <c r="A2547" t="s">
        <v>3659</v>
      </c>
      <c r="B2547" t="s">
        <v>2360</v>
      </c>
      <c r="C2547" s="9">
        <v>45001</v>
      </c>
      <c r="D2547" t="s">
        <v>946</v>
      </c>
      <c r="E2547" s="13">
        <v>1238094</v>
      </c>
      <c r="F2547" s="13">
        <v>5550</v>
      </c>
      <c r="G2547" s="9">
        <v>45002</v>
      </c>
      <c r="H2547" t="s">
        <v>1111</v>
      </c>
      <c r="I2547" t="s">
        <v>2382</v>
      </c>
      <c r="J2547" s="13">
        <v>20613</v>
      </c>
      <c r="K2547">
        <v>1</v>
      </c>
      <c r="L2547" t="s">
        <v>1064</v>
      </c>
      <c r="M2547" t="s">
        <v>2383</v>
      </c>
      <c r="N2547" s="15" t="s">
        <v>6878</v>
      </c>
    </row>
    <row r="2548" spans="1:14" x14ac:dyDescent="0.2">
      <c r="A2548" t="s">
        <v>3660</v>
      </c>
      <c r="B2548" t="s">
        <v>2360</v>
      </c>
      <c r="C2548" s="9">
        <v>45001</v>
      </c>
      <c r="D2548" t="s">
        <v>946</v>
      </c>
      <c r="E2548" s="13">
        <v>20009813</v>
      </c>
      <c r="F2548" s="13">
        <v>5550</v>
      </c>
      <c r="G2548" s="9">
        <v>45002</v>
      </c>
      <c r="H2548" t="s">
        <v>1111</v>
      </c>
      <c r="I2548" t="s">
        <v>2382</v>
      </c>
      <c r="J2548" s="13">
        <v>333163</v>
      </c>
      <c r="K2548">
        <v>1</v>
      </c>
      <c r="L2548" t="s">
        <v>1064</v>
      </c>
      <c r="M2548" t="s">
        <v>2383</v>
      </c>
      <c r="N2548" s="15" t="s">
        <v>6878</v>
      </c>
    </row>
    <row r="2549" spans="1:14" x14ac:dyDescent="0.2">
      <c r="A2549" t="s">
        <v>3661</v>
      </c>
      <c r="B2549" t="s">
        <v>2360</v>
      </c>
      <c r="C2549" s="9">
        <v>45001</v>
      </c>
      <c r="D2549" t="s">
        <v>946</v>
      </c>
      <c r="E2549" s="13">
        <v>23155860</v>
      </c>
      <c r="F2549" s="13">
        <v>5550</v>
      </c>
      <c r="G2549" s="9">
        <v>45002</v>
      </c>
      <c r="H2549" t="s">
        <v>1111</v>
      </c>
      <c r="I2549" t="s">
        <v>2382</v>
      </c>
      <c r="J2549" s="13">
        <v>385544</v>
      </c>
      <c r="K2549">
        <v>1</v>
      </c>
      <c r="L2549" t="s">
        <v>1064</v>
      </c>
      <c r="M2549" t="s">
        <v>2383</v>
      </c>
      <c r="N2549" s="15" t="s">
        <v>6878</v>
      </c>
    </row>
    <row r="2550" spans="1:14" x14ac:dyDescent="0.2">
      <c r="A2550" t="s">
        <v>3662</v>
      </c>
      <c r="B2550" t="s">
        <v>2360</v>
      </c>
      <c r="C2550" s="9">
        <v>45001</v>
      </c>
      <c r="D2550" t="s">
        <v>946</v>
      </c>
      <c r="E2550" s="13">
        <v>25200000</v>
      </c>
      <c r="F2550" s="13">
        <v>5550</v>
      </c>
      <c r="G2550" s="9">
        <v>45002</v>
      </c>
      <c r="H2550" t="s">
        <v>1111</v>
      </c>
      <c r="I2550" t="s">
        <v>2382</v>
      </c>
      <c r="J2550" s="13">
        <v>419580</v>
      </c>
      <c r="K2550">
        <v>1</v>
      </c>
      <c r="L2550" t="s">
        <v>1064</v>
      </c>
      <c r="M2550" t="s">
        <v>2383</v>
      </c>
      <c r="N2550" s="15" t="s">
        <v>6878</v>
      </c>
    </row>
    <row r="2551" spans="1:14" x14ac:dyDescent="0.2">
      <c r="A2551" t="s">
        <v>3663</v>
      </c>
      <c r="B2551" t="s">
        <v>2360</v>
      </c>
      <c r="C2551" s="9">
        <v>45001</v>
      </c>
      <c r="D2551" t="s">
        <v>946</v>
      </c>
      <c r="E2551" s="13">
        <v>25200000</v>
      </c>
      <c r="F2551" s="13">
        <v>5550</v>
      </c>
      <c r="G2551" s="9">
        <v>45002</v>
      </c>
      <c r="H2551" t="s">
        <v>1111</v>
      </c>
      <c r="I2551" t="s">
        <v>2382</v>
      </c>
      <c r="J2551" s="13">
        <v>419580</v>
      </c>
      <c r="K2551">
        <v>1</v>
      </c>
      <c r="L2551" t="s">
        <v>1064</v>
      </c>
      <c r="M2551" t="s">
        <v>2383</v>
      </c>
      <c r="N2551" s="15" t="s">
        <v>6878</v>
      </c>
    </row>
    <row r="2552" spans="1:14" x14ac:dyDescent="0.2">
      <c r="A2552" t="s">
        <v>3664</v>
      </c>
      <c r="B2552" t="s">
        <v>2360</v>
      </c>
      <c r="C2552" s="9">
        <v>45001</v>
      </c>
      <c r="D2552" t="s">
        <v>946</v>
      </c>
      <c r="E2552" s="13">
        <v>19205321</v>
      </c>
      <c r="F2552" s="13">
        <v>5550</v>
      </c>
      <c r="G2552" s="9">
        <v>45002</v>
      </c>
      <c r="H2552" t="s">
        <v>1111</v>
      </c>
      <c r="I2552" t="s">
        <v>2382</v>
      </c>
      <c r="J2552" s="13">
        <v>319767</v>
      </c>
      <c r="K2552">
        <v>1</v>
      </c>
      <c r="L2552" t="s">
        <v>1064</v>
      </c>
      <c r="M2552" t="s">
        <v>2383</v>
      </c>
      <c r="N2552" s="15" t="s">
        <v>6878</v>
      </c>
    </row>
    <row r="2553" spans="1:14" x14ac:dyDescent="0.2">
      <c r="A2553" t="s">
        <v>3665</v>
      </c>
      <c r="B2553" t="s">
        <v>2360</v>
      </c>
      <c r="C2553" s="9">
        <v>45001</v>
      </c>
      <c r="D2553" t="s">
        <v>946</v>
      </c>
      <c r="E2553" s="13">
        <v>26085436</v>
      </c>
      <c r="F2553" s="13">
        <v>5550</v>
      </c>
      <c r="G2553" s="9">
        <v>45002</v>
      </c>
      <c r="H2553" t="s">
        <v>1111</v>
      </c>
      <c r="I2553" t="s">
        <v>2382</v>
      </c>
      <c r="J2553" s="13">
        <v>434321</v>
      </c>
      <c r="K2553">
        <v>1</v>
      </c>
      <c r="L2553" t="s">
        <v>1064</v>
      </c>
      <c r="M2553" t="s">
        <v>2383</v>
      </c>
      <c r="N2553" s="15" t="s">
        <v>6878</v>
      </c>
    </row>
    <row r="2554" spans="1:14" x14ac:dyDescent="0.2">
      <c r="A2554" t="s">
        <v>3666</v>
      </c>
      <c r="B2554" t="s">
        <v>2360</v>
      </c>
      <c r="C2554" s="9">
        <v>45001</v>
      </c>
      <c r="D2554" t="s">
        <v>946</v>
      </c>
      <c r="E2554" s="13">
        <v>400000</v>
      </c>
      <c r="F2554" s="13">
        <v>5550</v>
      </c>
      <c r="G2554" s="9">
        <v>45002</v>
      </c>
      <c r="H2554" t="s">
        <v>1111</v>
      </c>
      <c r="I2554" t="s">
        <v>2382</v>
      </c>
      <c r="J2554" s="13">
        <v>6660</v>
      </c>
      <c r="K2554">
        <v>1</v>
      </c>
      <c r="L2554" t="s">
        <v>1064</v>
      </c>
      <c r="M2554" t="s">
        <v>2383</v>
      </c>
      <c r="N2554" s="15" t="s">
        <v>6878</v>
      </c>
    </row>
    <row r="2555" spans="1:14" x14ac:dyDescent="0.2">
      <c r="A2555" t="s">
        <v>3667</v>
      </c>
      <c r="B2555" t="s">
        <v>2360</v>
      </c>
      <c r="C2555" s="9">
        <v>45001</v>
      </c>
      <c r="D2555" t="s">
        <v>946</v>
      </c>
      <c r="E2555" s="13">
        <v>25894267</v>
      </c>
      <c r="F2555" s="13">
        <v>5550</v>
      </c>
      <c r="G2555" s="9">
        <v>45002</v>
      </c>
      <c r="H2555" t="s">
        <v>1111</v>
      </c>
      <c r="I2555" t="s">
        <v>2382</v>
      </c>
      <c r="J2555" s="13">
        <v>431139</v>
      </c>
      <c r="K2555">
        <v>1</v>
      </c>
      <c r="L2555" t="s">
        <v>1064</v>
      </c>
      <c r="M2555" t="s">
        <v>2383</v>
      </c>
      <c r="N2555" s="15" t="s">
        <v>6878</v>
      </c>
    </row>
    <row r="2556" spans="1:14" x14ac:dyDescent="0.2">
      <c r="A2556" t="s">
        <v>3668</v>
      </c>
      <c r="B2556" t="s">
        <v>2360</v>
      </c>
      <c r="C2556" s="9">
        <v>45001</v>
      </c>
      <c r="D2556" t="s">
        <v>946</v>
      </c>
      <c r="E2556" s="13">
        <v>29456000</v>
      </c>
      <c r="F2556" s="13">
        <v>5550</v>
      </c>
      <c r="G2556" s="9">
        <v>45002</v>
      </c>
      <c r="H2556" t="s">
        <v>1111</v>
      </c>
      <c r="I2556" t="s">
        <v>2382</v>
      </c>
      <c r="J2556" s="13">
        <v>490442</v>
      </c>
      <c r="K2556">
        <v>1</v>
      </c>
      <c r="L2556" t="s">
        <v>1064</v>
      </c>
      <c r="M2556" t="s">
        <v>2383</v>
      </c>
      <c r="N2556" s="15" t="s">
        <v>6878</v>
      </c>
    </row>
    <row r="2557" spans="1:14" x14ac:dyDescent="0.2">
      <c r="A2557" t="s">
        <v>3669</v>
      </c>
      <c r="B2557" t="s">
        <v>2360</v>
      </c>
      <c r="C2557" s="9">
        <v>45001</v>
      </c>
      <c r="D2557" t="s">
        <v>946</v>
      </c>
      <c r="E2557" s="13">
        <v>27832000</v>
      </c>
      <c r="F2557" s="13">
        <v>5550</v>
      </c>
      <c r="G2557" s="9">
        <v>45002</v>
      </c>
      <c r="H2557" t="s">
        <v>1111</v>
      </c>
      <c r="I2557" t="s">
        <v>2382</v>
      </c>
      <c r="J2557" s="13">
        <v>463402</v>
      </c>
      <c r="K2557">
        <v>1</v>
      </c>
      <c r="L2557" t="s">
        <v>1064</v>
      </c>
      <c r="M2557" t="s">
        <v>2383</v>
      </c>
      <c r="N2557" s="15" t="s">
        <v>6878</v>
      </c>
    </row>
    <row r="2558" spans="1:14" x14ac:dyDescent="0.2">
      <c r="A2558" t="s">
        <v>3670</v>
      </c>
      <c r="B2558" t="s">
        <v>2360</v>
      </c>
      <c r="C2558" s="9">
        <v>45001</v>
      </c>
      <c r="D2558" t="s">
        <v>946</v>
      </c>
      <c r="E2558" s="13">
        <v>17346806</v>
      </c>
      <c r="F2558" s="13">
        <v>5550</v>
      </c>
      <c r="G2558" s="9">
        <v>45002</v>
      </c>
      <c r="H2558" t="s">
        <v>1111</v>
      </c>
      <c r="I2558" t="s">
        <v>2382</v>
      </c>
      <c r="J2558" s="13">
        <v>288824</v>
      </c>
      <c r="K2558">
        <v>1</v>
      </c>
      <c r="L2558" t="s">
        <v>1064</v>
      </c>
      <c r="M2558" t="s">
        <v>2383</v>
      </c>
      <c r="N2558" s="15" t="s">
        <v>6878</v>
      </c>
    </row>
    <row r="2559" spans="1:14" x14ac:dyDescent="0.2">
      <c r="A2559" t="s">
        <v>3671</v>
      </c>
      <c r="B2559" t="s">
        <v>2360</v>
      </c>
      <c r="C2559" s="9">
        <v>45001</v>
      </c>
      <c r="D2559" t="s">
        <v>946</v>
      </c>
      <c r="E2559" s="13">
        <v>17391248</v>
      </c>
      <c r="F2559" s="13">
        <v>5550</v>
      </c>
      <c r="G2559" s="9">
        <v>45002</v>
      </c>
      <c r="H2559" t="s">
        <v>1111</v>
      </c>
      <c r="I2559" t="s">
        <v>2382</v>
      </c>
      <c r="J2559" s="13">
        <v>289563</v>
      </c>
      <c r="K2559">
        <v>1</v>
      </c>
      <c r="L2559" t="s">
        <v>1064</v>
      </c>
      <c r="M2559" t="s">
        <v>2383</v>
      </c>
      <c r="N2559" s="15" t="s">
        <v>6878</v>
      </c>
    </row>
    <row r="2560" spans="1:14" x14ac:dyDescent="0.2">
      <c r="A2560" t="s">
        <v>3672</v>
      </c>
      <c r="B2560" t="s">
        <v>2360</v>
      </c>
      <c r="C2560" s="9">
        <v>45001</v>
      </c>
      <c r="D2560" t="s">
        <v>946</v>
      </c>
      <c r="E2560" s="13">
        <v>17363124</v>
      </c>
      <c r="F2560" s="13">
        <v>5550</v>
      </c>
      <c r="G2560" s="9">
        <v>45002</v>
      </c>
      <c r="H2560" t="s">
        <v>1111</v>
      </c>
      <c r="I2560" t="s">
        <v>2382</v>
      </c>
      <c r="J2560" s="13">
        <v>289095</v>
      </c>
      <c r="K2560">
        <v>1</v>
      </c>
      <c r="L2560" t="s">
        <v>1064</v>
      </c>
      <c r="M2560" t="s">
        <v>2383</v>
      </c>
      <c r="N2560" s="15" t="s">
        <v>6878</v>
      </c>
    </row>
    <row r="2561" spans="1:14" x14ac:dyDescent="0.2">
      <c r="A2561" t="s">
        <v>3673</v>
      </c>
      <c r="B2561" t="s">
        <v>2360</v>
      </c>
      <c r="C2561" s="9">
        <v>45001</v>
      </c>
      <c r="D2561" t="s">
        <v>946</v>
      </c>
      <c r="E2561" s="13">
        <v>17464160</v>
      </c>
      <c r="F2561" s="13">
        <v>5550</v>
      </c>
      <c r="G2561" s="9">
        <v>45002</v>
      </c>
      <c r="H2561" t="s">
        <v>1111</v>
      </c>
      <c r="I2561" t="s">
        <v>2382</v>
      </c>
      <c r="J2561" s="13">
        <v>290777</v>
      </c>
      <c r="K2561">
        <v>1</v>
      </c>
      <c r="L2561" t="s">
        <v>1064</v>
      </c>
      <c r="M2561" t="s">
        <v>2383</v>
      </c>
      <c r="N2561" s="15" t="s">
        <v>6878</v>
      </c>
    </row>
    <row r="2562" spans="1:14" x14ac:dyDescent="0.2">
      <c r="A2562" t="s">
        <v>3674</v>
      </c>
      <c r="B2562" t="s">
        <v>2360</v>
      </c>
      <c r="C2562" s="9">
        <v>45001</v>
      </c>
      <c r="D2562" t="s">
        <v>946</v>
      </c>
      <c r="E2562" s="13">
        <v>16852393</v>
      </c>
      <c r="F2562" s="13">
        <v>5550</v>
      </c>
      <c r="G2562" s="9">
        <v>45002</v>
      </c>
      <c r="H2562" t="s">
        <v>1111</v>
      </c>
      <c r="I2562" t="s">
        <v>2382</v>
      </c>
      <c r="J2562" s="13">
        <v>280591</v>
      </c>
      <c r="K2562">
        <v>1</v>
      </c>
      <c r="L2562" t="s">
        <v>1064</v>
      </c>
      <c r="M2562" t="s">
        <v>2383</v>
      </c>
      <c r="N2562" s="15" t="s">
        <v>6878</v>
      </c>
    </row>
    <row r="2563" spans="1:14" x14ac:dyDescent="0.2">
      <c r="A2563" t="s">
        <v>3675</v>
      </c>
      <c r="B2563" t="s">
        <v>2360</v>
      </c>
      <c r="C2563" s="9">
        <v>45001</v>
      </c>
      <c r="D2563" t="s">
        <v>946</v>
      </c>
      <c r="E2563" s="13">
        <v>25976650</v>
      </c>
      <c r="F2563" s="13">
        <v>5550</v>
      </c>
      <c r="G2563" s="9">
        <v>45002</v>
      </c>
      <c r="H2563" t="s">
        <v>1111</v>
      </c>
      <c r="I2563" t="s">
        <v>2382</v>
      </c>
      <c r="J2563" s="13">
        <v>432510</v>
      </c>
      <c r="K2563">
        <v>1</v>
      </c>
      <c r="L2563" t="s">
        <v>1064</v>
      </c>
      <c r="M2563" t="s">
        <v>2383</v>
      </c>
      <c r="N2563" s="15" t="s">
        <v>6878</v>
      </c>
    </row>
    <row r="2564" spans="1:14" x14ac:dyDescent="0.2">
      <c r="A2564" t="s">
        <v>3676</v>
      </c>
      <c r="B2564" t="s">
        <v>2360</v>
      </c>
      <c r="C2564" s="9">
        <v>45001</v>
      </c>
      <c r="D2564" t="s">
        <v>946</v>
      </c>
      <c r="E2564" s="13">
        <v>25200000</v>
      </c>
      <c r="F2564" s="13">
        <v>5550</v>
      </c>
      <c r="G2564" s="9">
        <v>45002</v>
      </c>
      <c r="H2564" t="s">
        <v>1111</v>
      </c>
      <c r="I2564" t="s">
        <v>2382</v>
      </c>
      <c r="J2564" s="13">
        <v>419580</v>
      </c>
      <c r="K2564">
        <v>1</v>
      </c>
      <c r="L2564" t="s">
        <v>1064</v>
      </c>
      <c r="M2564" t="s">
        <v>2383</v>
      </c>
      <c r="N2564" s="15" t="s">
        <v>6878</v>
      </c>
    </row>
    <row r="2565" spans="1:14" x14ac:dyDescent="0.2">
      <c r="A2565" t="s">
        <v>3677</v>
      </c>
      <c r="B2565" t="s">
        <v>2360</v>
      </c>
      <c r="C2565" s="9">
        <v>45001</v>
      </c>
      <c r="D2565" t="s">
        <v>946</v>
      </c>
      <c r="E2565" s="13">
        <v>17374235</v>
      </c>
      <c r="F2565" s="13">
        <v>5550</v>
      </c>
      <c r="G2565" s="9">
        <v>45002</v>
      </c>
      <c r="H2565" t="s">
        <v>1111</v>
      </c>
      <c r="I2565" t="s">
        <v>2382</v>
      </c>
      <c r="J2565" s="13">
        <v>289280</v>
      </c>
      <c r="K2565">
        <v>1</v>
      </c>
      <c r="L2565" t="s">
        <v>1064</v>
      </c>
      <c r="M2565" t="s">
        <v>2383</v>
      </c>
      <c r="N2565" s="15" t="s">
        <v>6878</v>
      </c>
    </row>
    <row r="2566" spans="1:14" x14ac:dyDescent="0.2">
      <c r="A2566" t="s">
        <v>3678</v>
      </c>
      <c r="B2566" t="s">
        <v>2360</v>
      </c>
      <c r="C2566" s="9">
        <v>45001</v>
      </c>
      <c r="D2566" t="s">
        <v>946</v>
      </c>
      <c r="E2566" s="13">
        <v>26780000</v>
      </c>
      <c r="F2566" s="13">
        <v>5550</v>
      </c>
      <c r="G2566" s="9">
        <v>45002</v>
      </c>
      <c r="H2566" t="s">
        <v>1111</v>
      </c>
      <c r="I2566" t="s">
        <v>2382</v>
      </c>
      <c r="J2566" s="13">
        <v>445887</v>
      </c>
      <c r="K2566">
        <v>1</v>
      </c>
      <c r="L2566" t="s">
        <v>1064</v>
      </c>
      <c r="M2566" t="s">
        <v>2383</v>
      </c>
      <c r="N2566" s="15" t="s">
        <v>6878</v>
      </c>
    </row>
    <row r="2567" spans="1:14" x14ac:dyDescent="0.2">
      <c r="A2567" t="s">
        <v>3679</v>
      </c>
      <c r="B2567" t="s">
        <v>2360</v>
      </c>
      <c r="C2567" s="9">
        <v>45001</v>
      </c>
      <c r="D2567" t="s">
        <v>946</v>
      </c>
      <c r="E2567" s="13">
        <v>22725958</v>
      </c>
      <c r="F2567" s="13">
        <v>5550</v>
      </c>
      <c r="G2567" s="9">
        <v>45002</v>
      </c>
      <c r="H2567" t="s">
        <v>1111</v>
      </c>
      <c r="I2567" t="s">
        <v>2382</v>
      </c>
      <c r="J2567" s="13">
        <v>378386</v>
      </c>
      <c r="K2567">
        <v>1</v>
      </c>
      <c r="L2567" t="s">
        <v>1064</v>
      </c>
      <c r="M2567" t="s">
        <v>2383</v>
      </c>
      <c r="N2567" s="15" t="s">
        <v>6878</v>
      </c>
    </row>
    <row r="2568" spans="1:14" x14ac:dyDescent="0.2">
      <c r="A2568" t="s">
        <v>3680</v>
      </c>
      <c r="B2568" t="s">
        <v>2360</v>
      </c>
      <c r="C2568" s="9">
        <v>45001</v>
      </c>
      <c r="D2568" t="s">
        <v>946</v>
      </c>
      <c r="E2568" s="13">
        <v>27832000</v>
      </c>
      <c r="F2568" s="13">
        <v>5550</v>
      </c>
      <c r="G2568" s="9">
        <v>45002</v>
      </c>
      <c r="H2568" t="s">
        <v>1111</v>
      </c>
      <c r="I2568" t="s">
        <v>2382</v>
      </c>
      <c r="J2568" s="13">
        <v>463402</v>
      </c>
      <c r="K2568">
        <v>1</v>
      </c>
      <c r="L2568" t="s">
        <v>1064</v>
      </c>
      <c r="M2568" t="s">
        <v>2383</v>
      </c>
      <c r="N2568" s="15" t="s">
        <v>6878</v>
      </c>
    </row>
    <row r="2569" spans="1:14" x14ac:dyDescent="0.2">
      <c r="A2569" t="s">
        <v>3681</v>
      </c>
      <c r="B2569" t="s">
        <v>2360</v>
      </c>
      <c r="C2569" s="9">
        <v>45001</v>
      </c>
      <c r="D2569" t="s">
        <v>946</v>
      </c>
      <c r="E2569" s="13">
        <v>19351066</v>
      </c>
      <c r="F2569" s="13">
        <v>5550</v>
      </c>
      <c r="G2569" s="9">
        <v>45002</v>
      </c>
      <c r="H2569" t="s">
        <v>1111</v>
      </c>
      <c r="I2569" t="s">
        <v>2382</v>
      </c>
      <c r="J2569" s="13">
        <v>322194</v>
      </c>
      <c r="K2569">
        <v>1</v>
      </c>
      <c r="L2569" t="s">
        <v>1064</v>
      </c>
      <c r="M2569" t="s">
        <v>2383</v>
      </c>
      <c r="N2569" s="15" t="s">
        <v>6878</v>
      </c>
    </row>
    <row r="2570" spans="1:14" x14ac:dyDescent="0.2">
      <c r="A2570" t="s">
        <v>3682</v>
      </c>
      <c r="B2570" t="s">
        <v>2360</v>
      </c>
      <c r="C2570" s="9">
        <v>45001</v>
      </c>
      <c r="D2570" t="s">
        <v>946</v>
      </c>
      <c r="E2570" s="13">
        <v>15717777</v>
      </c>
      <c r="F2570" s="13">
        <v>5550</v>
      </c>
      <c r="G2570" s="9">
        <v>45002</v>
      </c>
      <c r="H2570" t="s">
        <v>1111</v>
      </c>
      <c r="I2570" t="s">
        <v>2382</v>
      </c>
      <c r="J2570" s="13">
        <v>261700</v>
      </c>
      <c r="K2570">
        <v>1</v>
      </c>
      <c r="L2570" t="s">
        <v>1064</v>
      </c>
      <c r="M2570" t="s">
        <v>2383</v>
      </c>
      <c r="N2570" s="15" t="s">
        <v>6878</v>
      </c>
    </row>
    <row r="2571" spans="1:14" x14ac:dyDescent="0.2">
      <c r="A2571" t="s">
        <v>3683</v>
      </c>
      <c r="B2571" t="s">
        <v>2360</v>
      </c>
      <c r="C2571" s="9">
        <v>45001</v>
      </c>
      <c r="D2571" t="s">
        <v>946</v>
      </c>
      <c r="E2571" s="13">
        <v>23157540</v>
      </c>
      <c r="F2571" s="13">
        <v>5550</v>
      </c>
      <c r="G2571" s="9">
        <v>45002</v>
      </c>
      <c r="H2571" t="s">
        <v>1111</v>
      </c>
      <c r="I2571" t="s">
        <v>2382</v>
      </c>
      <c r="J2571" s="13">
        <v>385572</v>
      </c>
      <c r="K2571">
        <v>1</v>
      </c>
      <c r="L2571" t="s">
        <v>1064</v>
      </c>
      <c r="M2571" t="s">
        <v>2383</v>
      </c>
      <c r="N2571" s="15" t="s">
        <v>6878</v>
      </c>
    </row>
    <row r="2572" spans="1:14" x14ac:dyDescent="0.2">
      <c r="A2572" t="s">
        <v>3684</v>
      </c>
      <c r="B2572" t="s">
        <v>2360</v>
      </c>
      <c r="C2572" s="9">
        <v>45001</v>
      </c>
      <c r="D2572" t="s">
        <v>946</v>
      </c>
      <c r="E2572" s="13">
        <v>25200000</v>
      </c>
      <c r="F2572" s="13">
        <v>5550</v>
      </c>
      <c r="G2572" s="9">
        <v>45002</v>
      </c>
      <c r="H2572" t="s">
        <v>1111</v>
      </c>
      <c r="I2572" t="s">
        <v>2382</v>
      </c>
      <c r="J2572" s="13">
        <v>419580</v>
      </c>
      <c r="K2572">
        <v>1</v>
      </c>
      <c r="L2572" t="s">
        <v>1064</v>
      </c>
      <c r="M2572" t="s">
        <v>2383</v>
      </c>
      <c r="N2572" s="15" t="s">
        <v>6878</v>
      </c>
    </row>
    <row r="2573" spans="1:14" x14ac:dyDescent="0.2">
      <c r="A2573" t="s">
        <v>3685</v>
      </c>
      <c r="B2573" t="s">
        <v>2360</v>
      </c>
      <c r="C2573" s="9">
        <v>45001</v>
      </c>
      <c r="D2573" t="s">
        <v>946</v>
      </c>
      <c r="E2573" s="13">
        <v>23023560</v>
      </c>
      <c r="F2573" s="13">
        <v>5550</v>
      </c>
      <c r="G2573" s="9">
        <v>45002</v>
      </c>
      <c r="H2573" t="s">
        <v>1111</v>
      </c>
      <c r="I2573" t="s">
        <v>2382</v>
      </c>
      <c r="J2573" s="13">
        <v>383341</v>
      </c>
      <c r="K2573">
        <v>1</v>
      </c>
      <c r="L2573" t="s">
        <v>1064</v>
      </c>
      <c r="M2573" t="s">
        <v>2383</v>
      </c>
      <c r="N2573" s="15" t="s">
        <v>6878</v>
      </c>
    </row>
    <row r="2574" spans="1:14" x14ac:dyDescent="0.2">
      <c r="A2574" t="s">
        <v>3686</v>
      </c>
      <c r="B2574" t="s">
        <v>2360</v>
      </c>
      <c r="C2574" s="9">
        <v>45001</v>
      </c>
      <c r="D2574" t="s">
        <v>946</v>
      </c>
      <c r="E2574" s="13">
        <v>26012275</v>
      </c>
      <c r="F2574" s="13">
        <v>5550</v>
      </c>
      <c r="G2574" s="9">
        <v>45002</v>
      </c>
      <c r="H2574" t="s">
        <v>1111</v>
      </c>
      <c r="I2574" t="s">
        <v>2382</v>
      </c>
      <c r="J2574" s="13">
        <v>433104</v>
      </c>
      <c r="K2574">
        <v>1</v>
      </c>
      <c r="L2574" t="s">
        <v>1064</v>
      </c>
      <c r="M2574" t="s">
        <v>2383</v>
      </c>
      <c r="N2574" s="15" t="s">
        <v>6878</v>
      </c>
    </row>
    <row r="2575" spans="1:14" x14ac:dyDescent="0.2">
      <c r="A2575" t="s">
        <v>3687</v>
      </c>
      <c r="B2575" t="s">
        <v>2360</v>
      </c>
      <c r="C2575" s="9">
        <v>45001</v>
      </c>
      <c r="D2575" t="s">
        <v>946</v>
      </c>
      <c r="E2575" s="13">
        <v>30466238</v>
      </c>
      <c r="F2575" s="13">
        <v>5550</v>
      </c>
      <c r="G2575" s="9">
        <v>45002</v>
      </c>
      <c r="H2575" t="s">
        <v>1111</v>
      </c>
      <c r="I2575" t="s">
        <v>2382</v>
      </c>
      <c r="J2575" s="13">
        <v>507262</v>
      </c>
      <c r="K2575">
        <v>1</v>
      </c>
      <c r="L2575" t="s">
        <v>1064</v>
      </c>
      <c r="M2575" t="s">
        <v>2383</v>
      </c>
      <c r="N2575" s="15" t="s">
        <v>6878</v>
      </c>
    </row>
    <row r="2576" spans="1:14" x14ac:dyDescent="0.2">
      <c r="A2576" t="s">
        <v>3688</v>
      </c>
      <c r="B2576" t="s">
        <v>2360</v>
      </c>
      <c r="C2576" s="9">
        <v>45001</v>
      </c>
      <c r="D2576" t="s">
        <v>946</v>
      </c>
      <c r="E2576" s="13">
        <v>29561807</v>
      </c>
      <c r="F2576" s="13">
        <v>5550</v>
      </c>
      <c r="G2576" s="9">
        <v>45002</v>
      </c>
      <c r="H2576" t="s">
        <v>1111</v>
      </c>
      <c r="I2576" t="s">
        <v>2382</v>
      </c>
      <c r="J2576" s="13">
        <v>492203</v>
      </c>
      <c r="K2576">
        <v>1</v>
      </c>
      <c r="L2576" t="s">
        <v>1064</v>
      </c>
      <c r="M2576" t="s">
        <v>2383</v>
      </c>
      <c r="N2576" s="15" t="s">
        <v>6878</v>
      </c>
    </row>
    <row r="2577" spans="1:14" x14ac:dyDescent="0.2">
      <c r="A2577" t="s">
        <v>3689</v>
      </c>
      <c r="B2577" t="s">
        <v>2360</v>
      </c>
      <c r="C2577" s="9">
        <v>45001</v>
      </c>
      <c r="D2577" t="s">
        <v>946</v>
      </c>
      <c r="E2577" s="13">
        <v>25200000</v>
      </c>
      <c r="F2577" s="13">
        <v>5550</v>
      </c>
      <c r="G2577" s="9">
        <v>45002</v>
      </c>
      <c r="H2577" t="s">
        <v>1111</v>
      </c>
      <c r="I2577" t="s">
        <v>2382</v>
      </c>
      <c r="J2577" s="13">
        <v>419580</v>
      </c>
      <c r="K2577">
        <v>1</v>
      </c>
      <c r="L2577" t="s">
        <v>1064</v>
      </c>
      <c r="M2577" t="s">
        <v>2383</v>
      </c>
      <c r="N2577" s="15" t="s">
        <v>6878</v>
      </c>
    </row>
    <row r="2578" spans="1:14" x14ac:dyDescent="0.2">
      <c r="A2578" t="s">
        <v>3690</v>
      </c>
      <c r="B2578" t="s">
        <v>2360</v>
      </c>
      <c r="C2578" s="9">
        <v>45001</v>
      </c>
      <c r="D2578" t="s">
        <v>946</v>
      </c>
      <c r="E2578" s="13">
        <v>17345070</v>
      </c>
      <c r="F2578" s="13">
        <v>5550</v>
      </c>
      <c r="G2578" s="9">
        <v>45002</v>
      </c>
      <c r="H2578" t="s">
        <v>1111</v>
      </c>
      <c r="I2578" t="s">
        <v>2382</v>
      </c>
      <c r="J2578" s="13">
        <v>288795</v>
      </c>
      <c r="K2578">
        <v>1</v>
      </c>
      <c r="L2578" t="s">
        <v>1064</v>
      </c>
      <c r="M2578" t="s">
        <v>2383</v>
      </c>
      <c r="N2578" s="15" t="s">
        <v>6878</v>
      </c>
    </row>
    <row r="2579" spans="1:14" x14ac:dyDescent="0.2">
      <c r="A2579" t="s">
        <v>3691</v>
      </c>
      <c r="B2579" t="s">
        <v>2360</v>
      </c>
      <c r="C2579" s="9">
        <v>45001</v>
      </c>
      <c r="D2579" t="s">
        <v>946</v>
      </c>
      <c r="E2579" s="13">
        <v>1093073</v>
      </c>
      <c r="F2579" s="13">
        <v>5550</v>
      </c>
      <c r="G2579" s="9">
        <v>45002</v>
      </c>
      <c r="H2579" t="s">
        <v>1111</v>
      </c>
      <c r="I2579" t="s">
        <v>2382</v>
      </c>
      <c r="J2579" s="13">
        <v>18199</v>
      </c>
      <c r="K2579">
        <v>1</v>
      </c>
      <c r="L2579" t="s">
        <v>1064</v>
      </c>
      <c r="M2579" t="s">
        <v>2383</v>
      </c>
      <c r="N2579" s="15" t="s">
        <v>6878</v>
      </c>
    </row>
    <row r="2580" spans="1:14" x14ac:dyDescent="0.2">
      <c r="A2580" t="s">
        <v>3692</v>
      </c>
      <c r="B2580" t="s">
        <v>2360</v>
      </c>
      <c r="C2580" s="9">
        <v>45001</v>
      </c>
      <c r="D2580" t="s">
        <v>946</v>
      </c>
      <c r="E2580" s="13">
        <v>1186146</v>
      </c>
      <c r="F2580" s="13">
        <v>5550</v>
      </c>
      <c r="G2580" s="9">
        <v>45002</v>
      </c>
      <c r="H2580" t="s">
        <v>1111</v>
      </c>
      <c r="I2580" t="s">
        <v>2382</v>
      </c>
      <c r="J2580" s="13">
        <v>19749</v>
      </c>
      <c r="K2580">
        <v>1</v>
      </c>
      <c r="L2580" t="s">
        <v>1064</v>
      </c>
      <c r="M2580" t="s">
        <v>2383</v>
      </c>
      <c r="N2580" s="15" t="s">
        <v>6878</v>
      </c>
    </row>
    <row r="2581" spans="1:14" x14ac:dyDescent="0.2">
      <c r="A2581" t="s">
        <v>3693</v>
      </c>
      <c r="B2581" t="s">
        <v>2360</v>
      </c>
      <c r="C2581" s="9">
        <v>45001</v>
      </c>
      <c r="D2581" t="s">
        <v>946</v>
      </c>
      <c r="E2581" s="13">
        <v>979436</v>
      </c>
      <c r="F2581" s="13">
        <v>5550</v>
      </c>
      <c r="G2581" s="9">
        <v>45002</v>
      </c>
      <c r="H2581" t="s">
        <v>1111</v>
      </c>
      <c r="I2581" t="s">
        <v>2382</v>
      </c>
      <c r="J2581" s="13">
        <v>16307</v>
      </c>
      <c r="K2581">
        <v>1</v>
      </c>
      <c r="L2581" t="s">
        <v>1064</v>
      </c>
      <c r="M2581" t="s">
        <v>2383</v>
      </c>
      <c r="N2581" s="15" t="s">
        <v>6878</v>
      </c>
    </row>
    <row r="2582" spans="1:14" x14ac:dyDescent="0.2">
      <c r="A2582" t="s">
        <v>3694</v>
      </c>
      <c r="B2582" t="s">
        <v>2360</v>
      </c>
      <c r="C2582" s="9">
        <v>45001</v>
      </c>
      <c r="D2582" t="s">
        <v>946</v>
      </c>
      <c r="E2582" s="13">
        <v>1093073</v>
      </c>
      <c r="F2582" s="13">
        <v>5550</v>
      </c>
      <c r="G2582" s="9">
        <v>45002</v>
      </c>
      <c r="H2582" t="s">
        <v>1111</v>
      </c>
      <c r="I2582" t="s">
        <v>2382</v>
      </c>
      <c r="J2582" s="13">
        <v>18199</v>
      </c>
      <c r="K2582">
        <v>1</v>
      </c>
      <c r="L2582" t="s">
        <v>1064</v>
      </c>
      <c r="M2582" t="s">
        <v>2383</v>
      </c>
      <c r="N2582" s="15" t="s">
        <v>6878</v>
      </c>
    </row>
    <row r="2583" spans="1:14" x14ac:dyDescent="0.2">
      <c r="A2583" t="s">
        <v>3695</v>
      </c>
      <c r="B2583" t="s">
        <v>2360</v>
      </c>
      <c r="C2583" s="9">
        <v>45001</v>
      </c>
      <c r="D2583" t="s">
        <v>946</v>
      </c>
      <c r="E2583" s="13">
        <v>1031384</v>
      </c>
      <c r="F2583" s="13">
        <v>5550</v>
      </c>
      <c r="G2583" s="9">
        <v>45002</v>
      </c>
      <c r="H2583" t="s">
        <v>1111</v>
      </c>
      <c r="I2583" t="s">
        <v>2382</v>
      </c>
      <c r="J2583" s="13">
        <v>17171</v>
      </c>
      <c r="K2583">
        <v>1</v>
      </c>
      <c r="L2583" t="s">
        <v>1064</v>
      </c>
      <c r="M2583" t="s">
        <v>2383</v>
      </c>
      <c r="N2583" s="15" t="s">
        <v>6878</v>
      </c>
    </row>
    <row r="2584" spans="1:14" x14ac:dyDescent="0.2">
      <c r="A2584" t="s">
        <v>3696</v>
      </c>
      <c r="B2584" t="s">
        <v>2360</v>
      </c>
      <c r="C2584" s="9">
        <v>45001</v>
      </c>
      <c r="D2584" t="s">
        <v>946</v>
      </c>
      <c r="E2584" s="13">
        <v>1093073</v>
      </c>
      <c r="F2584" s="13">
        <v>5550</v>
      </c>
      <c r="G2584" s="9">
        <v>45004</v>
      </c>
      <c r="H2584" t="s">
        <v>1111</v>
      </c>
      <c r="I2584" t="s">
        <v>2382</v>
      </c>
      <c r="J2584" s="13">
        <v>18199</v>
      </c>
      <c r="K2584">
        <v>1</v>
      </c>
      <c r="L2584" t="s">
        <v>1064</v>
      </c>
      <c r="M2584" t="s">
        <v>2383</v>
      </c>
      <c r="N2584" s="15" t="s">
        <v>6878</v>
      </c>
    </row>
    <row r="2585" spans="1:14" x14ac:dyDescent="0.2">
      <c r="A2585" t="s">
        <v>3697</v>
      </c>
      <c r="B2585" t="s">
        <v>2360</v>
      </c>
      <c r="C2585" s="9">
        <v>45001</v>
      </c>
      <c r="D2585" t="s">
        <v>946</v>
      </c>
      <c r="E2585" s="13">
        <v>1093073</v>
      </c>
      <c r="F2585" s="13">
        <v>5550</v>
      </c>
      <c r="G2585" s="9">
        <v>45002</v>
      </c>
      <c r="H2585" t="s">
        <v>1111</v>
      </c>
      <c r="I2585" t="s">
        <v>2382</v>
      </c>
      <c r="J2585" s="13">
        <v>18199</v>
      </c>
      <c r="K2585">
        <v>1</v>
      </c>
      <c r="L2585" t="s">
        <v>1064</v>
      </c>
      <c r="M2585" t="s">
        <v>2383</v>
      </c>
      <c r="N2585" s="15" t="s">
        <v>6878</v>
      </c>
    </row>
    <row r="2586" spans="1:14" x14ac:dyDescent="0.2">
      <c r="A2586" t="s">
        <v>3698</v>
      </c>
      <c r="B2586" t="s">
        <v>2360</v>
      </c>
      <c r="C2586" s="9">
        <v>45001</v>
      </c>
      <c r="D2586" t="s">
        <v>946</v>
      </c>
      <c r="E2586" s="13">
        <v>1186146</v>
      </c>
      <c r="F2586" s="13">
        <v>5550</v>
      </c>
      <c r="G2586" s="9">
        <v>45002</v>
      </c>
      <c r="H2586" t="s">
        <v>1111</v>
      </c>
      <c r="I2586" t="s">
        <v>2382</v>
      </c>
      <c r="J2586" s="13">
        <v>19749</v>
      </c>
      <c r="K2586">
        <v>1</v>
      </c>
      <c r="L2586" t="s">
        <v>1064</v>
      </c>
      <c r="M2586" t="s">
        <v>2383</v>
      </c>
      <c r="N2586" s="15" t="s">
        <v>6878</v>
      </c>
    </row>
    <row r="2587" spans="1:14" x14ac:dyDescent="0.2">
      <c r="A2587" t="s">
        <v>3699</v>
      </c>
      <c r="B2587" t="s">
        <v>2360</v>
      </c>
      <c r="C2587" s="9">
        <v>45001</v>
      </c>
      <c r="D2587" t="s">
        <v>946</v>
      </c>
      <c r="E2587" s="13">
        <v>1093073</v>
      </c>
      <c r="F2587" s="13">
        <v>5550</v>
      </c>
      <c r="G2587" s="9">
        <v>45002</v>
      </c>
      <c r="H2587" t="s">
        <v>1111</v>
      </c>
      <c r="I2587" t="s">
        <v>2382</v>
      </c>
      <c r="J2587" s="13">
        <v>18199</v>
      </c>
      <c r="K2587">
        <v>1</v>
      </c>
      <c r="L2587" t="s">
        <v>1064</v>
      </c>
      <c r="M2587" t="s">
        <v>2383</v>
      </c>
      <c r="N2587" s="15" t="s">
        <v>6878</v>
      </c>
    </row>
    <row r="2588" spans="1:14" x14ac:dyDescent="0.2">
      <c r="A2588" t="s">
        <v>3700</v>
      </c>
      <c r="B2588" t="s">
        <v>2360</v>
      </c>
      <c r="C2588" s="9">
        <v>45001</v>
      </c>
      <c r="D2588" t="s">
        <v>946</v>
      </c>
      <c r="E2588" s="13">
        <v>979436</v>
      </c>
      <c r="F2588" s="13">
        <v>5550</v>
      </c>
      <c r="G2588" s="9">
        <v>45002</v>
      </c>
      <c r="H2588" t="s">
        <v>1111</v>
      </c>
      <c r="I2588" t="s">
        <v>2382</v>
      </c>
      <c r="J2588" s="13">
        <v>16307</v>
      </c>
      <c r="K2588">
        <v>1</v>
      </c>
      <c r="L2588" t="s">
        <v>1064</v>
      </c>
      <c r="M2588" t="s">
        <v>2383</v>
      </c>
      <c r="N2588" s="15" t="s">
        <v>6878</v>
      </c>
    </row>
    <row r="2589" spans="1:14" x14ac:dyDescent="0.2">
      <c r="A2589" t="s">
        <v>3701</v>
      </c>
      <c r="B2589" t="s">
        <v>2360</v>
      </c>
      <c r="C2589" s="9">
        <v>45001</v>
      </c>
      <c r="D2589" t="s">
        <v>946</v>
      </c>
      <c r="E2589" s="13">
        <v>979436</v>
      </c>
      <c r="F2589" s="13">
        <v>5550</v>
      </c>
      <c r="G2589" s="9">
        <v>45002</v>
      </c>
      <c r="H2589" t="s">
        <v>1111</v>
      </c>
      <c r="I2589" t="s">
        <v>2382</v>
      </c>
      <c r="J2589" s="13">
        <v>16307</v>
      </c>
      <c r="K2589">
        <v>1</v>
      </c>
      <c r="L2589" t="s">
        <v>1064</v>
      </c>
      <c r="M2589" t="s">
        <v>2383</v>
      </c>
      <c r="N2589" s="15" t="s">
        <v>6878</v>
      </c>
    </row>
    <row r="2590" spans="1:14" x14ac:dyDescent="0.2">
      <c r="A2590" t="s">
        <v>3702</v>
      </c>
      <c r="B2590" t="s">
        <v>2360</v>
      </c>
      <c r="C2590" s="9">
        <v>45001</v>
      </c>
      <c r="D2590" t="s">
        <v>946</v>
      </c>
      <c r="E2590" s="13">
        <v>1134198</v>
      </c>
      <c r="F2590" s="13">
        <v>5550</v>
      </c>
      <c r="G2590" s="9">
        <v>45002</v>
      </c>
      <c r="H2590" t="s">
        <v>1111</v>
      </c>
      <c r="I2590" t="s">
        <v>2382</v>
      </c>
      <c r="J2590" s="13">
        <v>18883</v>
      </c>
      <c r="K2590">
        <v>1</v>
      </c>
      <c r="L2590" t="s">
        <v>1064</v>
      </c>
      <c r="M2590" t="s">
        <v>2383</v>
      </c>
      <c r="N2590" s="15" t="s">
        <v>6878</v>
      </c>
    </row>
    <row r="2591" spans="1:14" x14ac:dyDescent="0.2">
      <c r="A2591" t="s">
        <v>3703</v>
      </c>
      <c r="B2591" t="s">
        <v>2360</v>
      </c>
      <c r="C2591" s="9">
        <v>45001</v>
      </c>
      <c r="D2591" t="s">
        <v>946</v>
      </c>
      <c r="E2591" s="13">
        <v>1134198</v>
      </c>
      <c r="F2591" s="13">
        <v>5550</v>
      </c>
      <c r="G2591" s="9">
        <v>45002</v>
      </c>
      <c r="H2591" t="s">
        <v>1111</v>
      </c>
      <c r="I2591" t="s">
        <v>2382</v>
      </c>
      <c r="J2591" s="13">
        <v>18883</v>
      </c>
      <c r="K2591">
        <v>1</v>
      </c>
      <c r="L2591" t="s">
        <v>1064</v>
      </c>
      <c r="M2591" t="s">
        <v>2383</v>
      </c>
      <c r="N2591" s="15" t="s">
        <v>6878</v>
      </c>
    </row>
    <row r="2592" spans="1:14" x14ac:dyDescent="0.2">
      <c r="A2592" t="s">
        <v>3704</v>
      </c>
      <c r="B2592" t="s">
        <v>2360</v>
      </c>
      <c r="C2592" s="9">
        <v>45001</v>
      </c>
      <c r="D2592" t="s">
        <v>946</v>
      </c>
      <c r="E2592" s="13">
        <v>25200000</v>
      </c>
      <c r="F2592" s="13">
        <v>5550</v>
      </c>
      <c r="G2592" s="9">
        <v>45002</v>
      </c>
      <c r="H2592" t="s">
        <v>1111</v>
      </c>
      <c r="I2592" t="s">
        <v>2382</v>
      </c>
      <c r="J2592" s="13">
        <v>419580</v>
      </c>
      <c r="K2592">
        <v>1</v>
      </c>
      <c r="L2592" t="s">
        <v>1064</v>
      </c>
      <c r="M2592" t="s">
        <v>2383</v>
      </c>
      <c r="N2592" s="15" t="s">
        <v>6878</v>
      </c>
    </row>
    <row r="2593" spans="1:14" x14ac:dyDescent="0.2">
      <c r="A2593" t="s">
        <v>3705</v>
      </c>
      <c r="B2593" t="s">
        <v>2360</v>
      </c>
      <c r="C2593" s="9">
        <v>45001</v>
      </c>
      <c r="D2593" t="s">
        <v>946</v>
      </c>
      <c r="E2593" s="13">
        <v>30554000</v>
      </c>
      <c r="F2593" s="13">
        <v>5550</v>
      </c>
      <c r="G2593" s="9">
        <v>45002</v>
      </c>
      <c r="H2593" t="s">
        <v>1111</v>
      </c>
      <c r="I2593" t="s">
        <v>2382</v>
      </c>
      <c r="J2593" s="13">
        <v>508724</v>
      </c>
      <c r="K2593">
        <v>1</v>
      </c>
      <c r="L2593" t="s">
        <v>1064</v>
      </c>
      <c r="M2593" t="s">
        <v>2383</v>
      </c>
      <c r="N2593" s="15" t="s">
        <v>6878</v>
      </c>
    </row>
    <row r="2594" spans="1:14" x14ac:dyDescent="0.2">
      <c r="A2594" t="s">
        <v>3706</v>
      </c>
      <c r="B2594" t="s">
        <v>2360</v>
      </c>
      <c r="C2594" s="9">
        <v>45001</v>
      </c>
      <c r="D2594" t="s">
        <v>946</v>
      </c>
      <c r="E2594" s="13">
        <v>22480365</v>
      </c>
      <c r="F2594" s="13">
        <v>5550</v>
      </c>
      <c r="G2594" s="9">
        <v>45002</v>
      </c>
      <c r="H2594" t="s">
        <v>1111</v>
      </c>
      <c r="I2594" t="s">
        <v>2382</v>
      </c>
      <c r="J2594" s="13">
        <v>374297</v>
      </c>
      <c r="K2594">
        <v>1</v>
      </c>
      <c r="L2594" t="s">
        <v>1064</v>
      </c>
      <c r="M2594" t="s">
        <v>2383</v>
      </c>
      <c r="N2594" s="15" t="s">
        <v>6878</v>
      </c>
    </row>
    <row r="2595" spans="1:14" x14ac:dyDescent="0.2">
      <c r="A2595" t="s">
        <v>3707</v>
      </c>
      <c r="B2595" t="s">
        <v>2360</v>
      </c>
      <c r="C2595" s="9">
        <v>45001</v>
      </c>
      <c r="D2595" t="s">
        <v>946</v>
      </c>
      <c r="E2595" s="13">
        <v>21713664</v>
      </c>
      <c r="F2595" s="13">
        <v>5550</v>
      </c>
      <c r="G2595" s="9">
        <v>45002</v>
      </c>
      <c r="H2595" t="s">
        <v>1111</v>
      </c>
      <c r="I2595" t="s">
        <v>2382</v>
      </c>
      <c r="J2595" s="13">
        <v>361531</v>
      </c>
      <c r="K2595">
        <v>1</v>
      </c>
      <c r="L2595" t="s">
        <v>1064</v>
      </c>
      <c r="M2595" t="s">
        <v>2383</v>
      </c>
      <c r="N2595" s="15" t="s">
        <v>6878</v>
      </c>
    </row>
    <row r="2596" spans="1:14" x14ac:dyDescent="0.2">
      <c r="A2596" t="s">
        <v>3708</v>
      </c>
      <c r="B2596" t="s">
        <v>2360</v>
      </c>
      <c r="C2596" s="9">
        <v>45001</v>
      </c>
      <c r="D2596" t="s">
        <v>946</v>
      </c>
      <c r="E2596" s="13">
        <v>17349584</v>
      </c>
      <c r="F2596" s="13">
        <v>5550</v>
      </c>
      <c r="G2596" s="9">
        <v>45002</v>
      </c>
      <c r="H2596" t="s">
        <v>1111</v>
      </c>
      <c r="I2596" t="s">
        <v>2382</v>
      </c>
      <c r="J2596" s="13">
        <v>288869</v>
      </c>
      <c r="K2596">
        <v>1</v>
      </c>
      <c r="L2596" t="s">
        <v>1064</v>
      </c>
      <c r="M2596" t="s">
        <v>2383</v>
      </c>
      <c r="N2596" s="15" t="s">
        <v>6878</v>
      </c>
    </row>
    <row r="2597" spans="1:14" x14ac:dyDescent="0.2">
      <c r="A2597" t="s">
        <v>3709</v>
      </c>
      <c r="B2597" t="s">
        <v>2360</v>
      </c>
      <c r="C2597" s="9">
        <v>45001</v>
      </c>
      <c r="D2597" t="s">
        <v>946</v>
      </c>
      <c r="E2597" s="13">
        <v>21649375</v>
      </c>
      <c r="F2597" s="13">
        <v>5550</v>
      </c>
      <c r="G2597" s="9">
        <v>45002</v>
      </c>
      <c r="H2597" t="s">
        <v>1111</v>
      </c>
      <c r="I2597" t="s">
        <v>2382</v>
      </c>
      <c r="J2597" s="13">
        <v>360461</v>
      </c>
      <c r="K2597">
        <v>1</v>
      </c>
      <c r="L2597" t="s">
        <v>1064</v>
      </c>
      <c r="M2597" t="s">
        <v>2383</v>
      </c>
      <c r="N2597" s="15" t="s">
        <v>6878</v>
      </c>
    </row>
    <row r="2598" spans="1:14" x14ac:dyDescent="0.2">
      <c r="A2598" t="s">
        <v>3710</v>
      </c>
      <c r="B2598" t="s">
        <v>2360</v>
      </c>
      <c r="C2598" s="9">
        <v>45001</v>
      </c>
      <c r="D2598" t="s">
        <v>946</v>
      </c>
      <c r="E2598" s="13">
        <v>18906826</v>
      </c>
      <c r="F2598" s="13">
        <v>5550</v>
      </c>
      <c r="G2598" s="9">
        <v>45002</v>
      </c>
      <c r="H2598" t="s">
        <v>1111</v>
      </c>
      <c r="I2598" t="s">
        <v>2382</v>
      </c>
      <c r="J2598" s="13">
        <v>314798</v>
      </c>
      <c r="K2598">
        <v>1</v>
      </c>
      <c r="L2598" t="s">
        <v>1064</v>
      </c>
      <c r="M2598" t="s">
        <v>2383</v>
      </c>
      <c r="N2598" s="15" t="s">
        <v>6878</v>
      </c>
    </row>
    <row r="2599" spans="1:14" x14ac:dyDescent="0.2">
      <c r="A2599" t="s">
        <v>3711</v>
      </c>
      <c r="B2599" t="s">
        <v>2360</v>
      </c>
      <c r="C2599" s="9">
        <v>45001</v>
      </c>
      <c r="D2599" t="s">
        <v>946</v>
      </c>
      <c r="E2599" s="13">
        <v>18912431</v>
      </c>
      <c r="F2599" s="13">
        <v>5550</v>
      </c>
      <c r="G2599" s="9">
        <v>45002</v>
      </c>
      <c r="H2599" t="s">
        <v>1111</v>
      </c>
      <c r="I2599" t="s">
        <v>2382</v>
      </c>
      <c r="J2599" s="13">
        <v>314891</v>
      </c>
      <c r="K2599">
        <v>1</v>
      </c>
      <c r="L2599" t="s">
        <v>1064</v>
      </c>
      <c r="M2599" t="s">
        <v>2383</v>
      </c>
      <c r="N2599" s="15" t="s">
        <v>6878</v>
      </c>
    </row>
    <row r="2600" spans="1:14" x14ac:dyDescent="0.2">
      <c r="A2600" t="s">
        <v>3712</v>
      </c>
      <c r="B2600" t="s">
        <v>2360</v>
      </c>
      <c r="C2600" s="9">
        <v>45001</v>
      </c>
      <c r="D2600" t="s">
        <v>946</v>
      </c>
      <c r="E2600" s="13">
        <v>18657379</v>
      </c>
      <c r="F2600" s="13">
        <v>5550</v>
      </c>
      <c r="G2600" s="9">
        <v>45002</v>
      </c>
      <c r="H2600" t="s">
        <v>1111</v>
      </c>
      <c r="I2600" t="s">
        <v>2382</v>
      </c>
      <c r="J2600" s="13">
        <v>310644</v>
      </c>
      <c r="K2600">
        <v>1</v>
      </c>
      <c r="L2600" t="s">
        <v>1064</v>
      </c>
      <c r="M2600" t="s">
        <v>2383</v>
      </c>
      <c r="N2600" s="15" t="s">
        <v>6878</v>
      </c>
    </row>
    <row r="2601" spans="1:14" x14ac:dyDescent="0.2">
      <c r="A2601" t="s">
        <v>3713</v>
      </c>
      <c r="B2601" t="s">
        <v>2360</v>
      </c>
      <c r="C2601" s="9">
        <v>45001</v>
      </c>
      <c r="D2601" t="s">
        <v>946</v>
      </c>
      <c r="E2601" s="13">
        <v>19048716</v>
      </c>
      <c r="F2601" s="13">
        <v>5550</v>
      </c>
      <c r="G2601" s="9">
        <v>45002</v>
      </c>
      <c r="H2601" t="s">
        <v>1111</v>
      </c>
      <c r="I2601" t="s">
        <v>2382</v>
      </c>
      <c r="J2601" s="13">
        <v>317160</v>
      </c>
      <c r="K2601">
        <v>1</v>
      </c>
      <c r="L2601" t="s">
        <v>1064</v>
      </c>
      <c r="M2601" t="s">
        <v>2383</v>
      </c>
      <c r="N2601" s="15" t="s">
        <v>6878</v>
      </c>
    </row>
    <row r="2602" spans="1:14" x14ac:dyDescent="0.2">
      <c r="A2602" t="s">
        <v>3714</v>
      </c>
      <c r="B2602" t="s">
        <v>2360</v>
      </c>
      <c r="C2602" s="9">
        <v>45001</v>
      </c>
      <c r="D2602" t="s">
        <v>946</v>
      </c>
      <c r="E2602" s="13">
        <v>19558562</v>
      </c>
      <c r="F2602" s="13">
        <v>5550</v>
      </c>
      <c r="G2602" s="9">
        <v>45002</v>
      </c>
      <c r="H2602" t="s">
        <v>1111</v>
      </c>
      <c r="I2602" t="s">
        <v>2382</v>
      </c>
      <c r="J2602" s="13">
        <v>325649</v>
      </c>
      <c r="K2602">
        <v>1</v>
      </c>
      <c r="L2602" t="s">
        <v>1064</v>
      </c>
      <c r="M2602" t="s">
        <v>2383</v>
      </c>
      <c r="N2602" s="15" t="s">
        <v>6878</v>
      </c>
    </row>
    <row r="2603" spans="1:14" x14ac:dyDescent="0.2">
      <c r="A2603" t="s">
        <v>3715</v>
      </c>
      <c r="B2603" t="s">
        <v>2360</v>
      </c>
      <c r="C2603" s="9">
        <v>45001</v>
      </c>
      <c r="D2603" t="s">
        <v>946</v>
      </c>
      <c r="E2603" s="13">
        <v>23010090</v>
      </c>
      <c r="F2603" s="13">
        <v>5550</v>
      </c>
      <c r="G2603" s="9">
        <v>45002</v>
      </c>
      <c r="H2603" t="s">
        <v>1111</v>
      </c>
      <c r="I2603" t="s">
        <v>2382</v>
      </c>
      <c r="J2603" s="13">
        <v>383117</v>
      </c>
      <c r="K2603">
        <v>1</v>
      </c>
      <c r="L2603" t="s">
        <v>1064</v>
      </c>
      <c r="M2603" t="s">
        <v>2383</v>
      </c>
      <c r="N2603" s="15" t="s">
        <v>6878</v>
      </c>
    </row>
    <row r="2604" spans="1:14" x14ac:dyDescent="0.2">
      <c r="A2604" t="s">
        <v>3716</v>
      </c>
      <c r="B2604" t="s">
        <v>2360</v>
      </c>
      <c r="C2604" s="9">
        <v>45001</v>
      </c>
      <c r="D2604" t="s">
        <v>946</v>
      </c>
      <c r="E2604" s="13">
        <v>20050634</v>
      </c>
      <c r="F2604" s="13">
        <v>5550</v>
      </c>
      <c r="G2604" s="9">
        <v>45002</v>
      </c>
      <c r="H2604" t="s">
        <v>1111</v>
      </c>
      <c r="I2604" t="s">
        <v>2382</v>
      </c>
      <c r="J2604" s="13">
        <v>333842</v>
      </c>
      <c r="K2604">
        <v>1</v>
      </c>
      <c r="L2604" t="s">
        <v>1064</v>
      </c>
      <c r="M2604" t="s">
        <v>2383</v>
      </c>
      <c r="N2604" s="15" t="s">
        <v>6878</v>
      </c>
    </row>
    <row r="2605" spans="1:14" x14ac:dyDescent="0.2">
      <c r="A2605" t="s">
        <v>3717</v>
      </c>
      <c r="B2605" t="s">
        <v>2360</v>
      </c>
      <c r="C2605" s="9">
        <v>45001</v>
      </c>
      <c r="D2605" t="s">
        <v>946</v>
      </c>
      <c r="E2605" s="13">
        <v>23744919</v>
      </c>
      <c r="F2605" s="13">
        <v>5550</v>
      </c>
      <c r="G2605" s="9">
        <v>45002</v>
      </c>
      <c r="H2605" t="s">
        <v>1111</v>
      </c>
      <c r="I2605" t="s">
        <v>2382</v>
      </c>
      <c r="J2605" s="13">
        <v>395352</v>
      </c>
      <c r="K2605">
        <v>1</v>
      </c>
      <c r="L2605" t="s">
        <v>1064</v>
      </c>
      <c r="M2605" t="s">
        <v>2383</v>
      </c>
      <c r="N2605" s="15" t="s">
        <v>6878</v>
      </c>
    </row>
    <row r="2606" spans="1:14" x14ac:dyDescent="0.2">
      <c r="A2606" t="s">
        <v>3718</v>
      </c>
      <c r="B2606" t="s">
        <v>2360</v>
      </c>
      <c r="C2606" s="9">
        <v>45001</v>
      </c>
      <c r="D2606" t="s">
        <v>946</v>
      </c>
      <c r="E2606" s="13">
        <v>19028848</v>
      </c>
      <c r="F2606" s="13">
        <v>5550</v>
      </c>
      <c r="G2606" s="9">
        <v>45002</v>
      </c>
      <c r="H2606" t="s">
        <v>1111</v>
      </c>
      <c r="I2606" t="s">
        <v>2382</v>
      </c>
      <c r="J2606" s="13">
        <v>316829</v>
      </c>
      <c r="K2606">
        <v>1</v>
      </c>
      <c r="L2606" t="s">
        <v>1064</v>
      </c>
      <c r="M2606" t="s">
        <v>2383</v>
      </c>
      <c r="N2606" s="15" t="s">
        <v>6878</v>
      </c>
    </row>
    <row r="2607" spans="1:14" x14ac:dyDescent="0.2">
      <c r="A2607" t="s">
        <v>3719</v>
      </c>
      <c r="B2607" t="s">
        <v>2360</v>
      </c>
      <c r="C2607" s="9">
        <v>45001</v>
      </c>
      <c r="D2607" t="s">
        <v>946</v>
      </c>
      <c r="E2607" s="13">
        <v>25200000</v>
      </c>
      <c r="F2607" s="13">
        <v>5550</v>
      </c>
      <c r="G2607" s="9">
        <v>45002</v>
      </c>
      <c r="H2607" t="s">
        <v>1111</v>
      </c>
      <c r="I2607" t="s">
        <v>2382</v>
      </c>
      <c r="J2607" s="13">
        <v>419580</v>
      </c>
      <c r="K2607">
        <v>1</v>
      </c>
      <c r="L2607" t="s">
        <v>1064</v>
      </c>
      <c r="M2607" t="s">
        <v>2383</v>
      </c>
      <c r="N2607" s="15" t="s">
        <v>6878</v>
      </c>
    </row>
    <row r="2608" spans="1:14" x14ac:dyDescent="0.2">
      <c r="A2608" t="s">
        <v>3720</v>
      </c>
      <c r="B2608" t="s">
        <v>2360</v>
      </c>
      <c r="C2608" s="9">
        <v>45001</v>
      </c>
      <c r="D2608" t="s">
        <v>946</v>
      </c>
      <c r="E2608" s="13">
        <v>17510337</v>
      </c>
      <c r="F2608" s="13">
        <v>5550</v>
      </c>
      <c r="G2608" s="9">
        <v>45002</v>
      </c>
      <c r="H2608" t="s">
        <v>1111</v>
      </c>
      <c r="I2608" t="s">
        <v>2382</v>
      </c>
      <c r="J2608" s="13">
        <v>291547</v>
      </c>
      <c r="K2608">
        <v>1</v>
      </c>
      <c r="L2608" t="s">
        <v>1064</v>
      </c>
      <c r="M2608" t="s">
        <v>2383</v>
      </c>
      <c r="N2608" s="15" t="s">
        <v>6878</v>
      </c>
    </row>
    <row r="2609" spans="1:14" x14ac:dyDescent="0.2">
      <c r="A2609" t="s">
        <v>3721</v>
      </c>
      <c r="B2609" t="s">
        <v>2360</v>
      </c>
      <c r="C2609" s="9">
        <v>45001</v>
      </c>
      <c r="D2609" t="s">
        <v>946</v>
      </c>
      <c r="E2609" s="13">
        <v>17527003</v>
      </c>
      <c r="F2609" s="13">
        <v>5550</v>
      </c>
      <c r="G2609" s="9">
        <v>45002</v>
      </c>
      <c r="H2609" t="s">
        <v>1111</v>
      </c>
      <c r="I2609" t="s">
        <v>2382</v>
      </c>
      <c r="J2609" s="13">
        <v>291824</v>
      </c>
      <c r="K2609">
        <v>1</v>
      </c>
      <c r="L2609" t="s">
        <v>1064</v>
      </c>
      <c r="M2609" t="s">
        <v>2383</v>
      </c>
      <c r="N2609" s="15" t="s">
        <v>6878</v>
      </c>
    </row>
    <row r="2610" spans="1:14" x14ac:dyDescent="0.2">
      <c r="A2610" t="s">
        <v>3722</v>
      </c>
      <c r="B2610" t="s">
        <v>2360</v>
      </c>
      <c r="C2610" s="9">
        <v>45001</v>
      </c>
      <c r="D2610" t="s">
        <v>946</v>
      </c>
      <c r="E2610" s="13">
        <v>1093073</v>
      </c>
      <c r="F2610" s="13">
        <v>5550</v>
      </c>
      <c r="G2610" s="9">
        <v>45002</v>
      </c>
      <c r="H2610" t="s">
        <v>1111</v>
      </c>
      <c r="I2610" t="s">
        <v>2382</v>
      </c>
      <c r="J2610" s="13">
        <v>18199</v>
      </c>
      <c r="K2610">
        <v>1</v>
      </c>
      <c r="L2610" t="s">
        <v>1064</v>
      </c>
      <c r="M2610" t="s">
        <v>2383</v>
      </c>
      <c r="N2610" s="15" t="s">
        <v>6878</v>
      </c>
    </row>
    <row r="2611" spans="1:14" x14ac:dyDescent="0.2">
      <c r="A2611" t="s">
        <v>3723</v>
      </c>
      <c r="B2611" t="s">
        <v>2360</v>
      </c>
      <c r="C2611" s="9">
        <v>45001</v>
      </c>
      <c r="D2611" t="s">
        <v>946</v>
      </c>
      <c r="E2611" s="13">
        <v>1093073</v>
      </c>
      <c r="F2611" s="13">
        <v>5550</v>
      </c>
      <c r="G2611" s="9">
        <v>45002</v>
      </c>
      <c r="H2611" t="s">
        <v>1111</v>
      </c>
      <c r="I2611" t="s">
        <v>2382</v>
      </c>
      <c r="J2611" s="13">
        <v>18199</v>
      </c>
      <c r="K2611">
        <v>1</v>
      </c>
      <c r="L2611" t="s">
        <v>1064</v>
      </c>
      <c r="M2611" t="s">
        <v>2383</v>
      </c>
      <c r="N2611" s="15" t="s">
        <v>6878</v>
      </c>
    </row>
    <row r="2612" spans="1:14" x14ac:dyDescent="0.2">
      <c r="A2612" t="s">
        <v>3724</v>
      </c>
      <c r="B2612" t="s">
        <v>2360</v>
      </c>
      <c r="C2612" s="9">
        <v>45001</v>
      </c>
      <c r="D2612" t="s">
        <v>946</v>
      </c>
      <c r="E2612" s="13">
        <v>2220000</v>
      </c>
      <c r="F2612" s="13">
        <v>5550</v>
      </c>
      <c r="G2612" s="9">
        <v>45002</v>
      </c>
      <c r="H2612" t="s">
        <v>1111</v>
      </c>
      <c r="I2612" t="s">
        <v>2382</v>
      </c>
      <c r="J2612" s="13">
        <v>36963</v>
      </c>
      <c r="K2612">
        <v>1</v>
      </c>
      <c r="L2612" t="s">
        <v>1064</v>
      </c>
      <c r="M2612" t="s">
        <v>2383</v>
      </c>
      <c r="N2612" s="15" t="s">
        <v>6878</v>
      </c>
    </row>
    <row r="2613" spans="1:14" x14ac:dyDescent="0.2">
      <c r="A2613" t="s">
        <v>3725</v>
      </c>
      <c r="B2613" t="s">
        <v>2360</v>
      </c>
      <c r="C2613" s="9">
        <v>45001</v>
      </c>
      <c r="D2613" t="s">
        <v>946</v>
      </c>
      <c r="E2613" s="13">
        <v>883543</v>
      </c>
      <c r="F2613" s="13">
        <v>5550</v>
      </c>
      <c r="G2613" s="9">
        <v>45002</v>
      </c>
      <c r="H2613" t="s">
        <v>1111</v>
      </c>
      <c r="I2613" t="s">
        <v>2382</v>
      </c>
      <c r="J2613" s="13">
        <v>14710</v>
      </c>
      <c r="K2613">
        <v>1</v>
      </c>
      <c r="L2613" t="s">
        <v>1064</v>
      </c>
      <c r="M2613" t="s">
        <v>2383</v>
      </c>
      <c r="N2613" s="15" t="s">
        <v>6878</v>
      </c>
    </row>
    <row r="2614" spans="1:14" x14ac:dyDescent="0.2">
      <c r="A2614" t="s">
        <v>3726</v>
      </c>
      <c r="B2614" t="s">
        <v>2360</v>
      </c>
      <c r="C2614" s="9">
        <v>45001</v>
      </c>
      <c r="D2614" t="s">
        <v>946</v>
      </c>
      <c r="E2614" s="13">
        <v>198088</v>
      </c>
      <c r="F2614" s="13">
        <v>5550</v>
      </c>
      <c r="G2614" s="9">
        <v>45002</v>
      </c>
      <c r="H2614" t="s">
        <v>1111</v>
      </c>
      <c r="I2614" t="s">
        <v>2382</v>
      </c>
      <c r="J2614" s="13">
        <v>3297</v>
      </c>
      <c r="K2614">
        <v>1</v>
      </c>
      <c r="L2614" t="s">
        <v>1064</v>
      </c>
      <c r="M2614" t="s">
        <v>2383</v>
      </c>
      <c r="N2614" s="15" t="s">
        <v>6878</v>
      </c>
    </row>
    <row r="2615" spans="1:14" x14ac:dyDescent="0.2">
      <c r="A2615" t="s">
        <v>3727</v>
      </c>
      <c r="B2615" t="s">
        <v>2360</v>
      </c>
      <c r="C2615" s="9">
        <v>45001</v>
      </c>
      <c r="D2615" t="s">
        <v>946</v>
      </c>
      <c r="E2615" s="13">
        <v>889905</v>
      </c>
      <c r="F2615" s="13">
        <v>5550</v>
      </c>
      <c r="G2615" s="9">
        <v>45002</v>
      </c>
      <c r="H2615" t="s">
        <v>1111</v>
      </c>
      <c r="I2615" t="s">
        <v>2382</v>
      </c>
      <c r="J2615" s="13">
        <v>14816</v>
      </c>
      <c r="K2615">
        <v>1</v>
      </c>
      <c r="L2615" t="s">
        <v>1064</v>
      </c>
      <c r="M2615" t="s">
        <v>2383</v>
      </c>
      <c r="N2615" s="15" t="s">
        <v>6878</v>
      </c>
    </row>
    <row r="2616" spans="1:14" x14ac:dyDescent="0.2">
      <c r="A2616" t="s">
        <v>3728</v>
      </c>
      <c r="B2616" t="s">
        <v>2360</v>
      </c>
      <c r="C2616" s="9">
        <v>45001</v>
      </c>
      <c r="D2616" t="s">
        <v>946</v>
      </c>
      <c r="E2616" s="13">
        <v>22835400</v>
      </c>
      <c r="F2616" s="13">
        <v>5550</v>
      </c>
      <c r="G2616" s="9">
        <v>45002</v>
      </c>
      <c r="H2616" t="s">
        <v>1111</v>
      </c>
      <c r="I2616" t="s">
        <v>2382</v>
      </c>
      <c r="J2616" s="13">
        <v>380209</v>
      </c>
      <c r="K2616">
        <v>1</v>
      </c>
      <c r="L2616" t="s">
        <v>1064</v>
      </c>
      <c r="M2616" t="s">
        <v>2383</v>
      </c>
      <c r="N2616" s="15" t="s">
        <v>6878</v>
      </c>
    </row>
    <row r="2617" spans="1:14" x14ac:dyDescent="0.2">
      <c r="A2617" t="s">
        <v>3729</v>
      </c>
      <c r="B2617" t="s">
        <v>2360</v>
      </c>
      <c r="C2617" s="9">
        <v>45001</v>
      </c>
      <c r="D2617" t="s">
        <v>946</v>
      </c>
      <c r="E2617" s="13">
        <v>24721606</v>
      </c>
      <c r="F2617" s="13">
        <v>5550</v>
      </c>
      <c r="G2617" s="9">
        <v>45002</v>
      </c>
      <c r="H2617" t="s">
        <v>1111</v>
      </c>
      <c r="I2617" t="s">
        <v>2382</v>
      </c>
      <c r="J2617" s="13">
        <v>411614</v>
      </c>
      <c r="K2617">
        <v>1</v>
      </c>
      <c r="L2617" t="s">
        <v>1064</v>
      </c>
      <c r="M2617" t="s">
        <v>2383</v>
      </c>
      <c r="N2617" s="15" t="s">
        <v>6878</v>
      </c>
    </row>
    <row r="2618" spans="1:14" x14ac:dyDescent="0.2">
      <c r="A2618" t="s">
        <v>3730</v>
      </c>
      <c r="B2618" t="s">
        <v>2360</v>
      </c>
      <c r="C2618" s="9">
        <v>45001</v>
      </c>
      <c r="D2618" t="s">
        <v>946</v>
      </c>
      <c r="E2618" s="13">
        <v>23386020</v>
      </c>
      <c r="F2618" s="13">
        <v>5550</v>
      </c>
      <c r="G2618" s="9">
        <v>45002</v>
      </c>
      <c r="H2618" t="s">
        <v>1111</v>
      </c>
      <c r="I2618" t="s">
        <v>2382</v>
      </c>
      <c r="J2618" s="13">
        <v>389376</v>
      </c>
      <c r="K2618">
        <v>1</v>
      </c>
      <c r="L2618" t="s">
        <v>1064</v>
      </c>
      <c r="M2618" t="s">
        <v>2383</v>
      </c>
      <c r="N2618" s="15" t="s">
        <v>6878</v>
      </c>
    </row>
    <row r="2619" spans="1:14" x14ac:dyDescent="0.2">
      <c r="A2619" t="s">
        <v>3731</v>
      </c>
      <c r="B2619" t="s">
        <v>2360</v>
      </c>
      <c r="C2619" s="9">
        <v>45001</v>
      </c>
      <c r="D2619" t="s">
        <v>946</v>
      </c>
      <c r="E2619" s="13">
        <v>19449081</v>
      </c>
      <c r="F2619" s="13">
        <v>5550</v>
      </c>
      <c r="G2619" s="9">
        <v>45002</v>
      </c>
      <c r="H2619" t="s">
        <v>1111</v>
      </c>
      <c r="I2619" t="s">
        <v>2382</v>
      </c>
      <c r="J2619" s="13">
        <v>323826</v>
      </c>
      <c r="K2619">
        <v>1</v>
      </c>
      <c r="L2619" t="s">
        <v>1064</v>
      </c>
      <c r="M2619" t="s">
        <v>2383</v>
      </c>
      <c r="N2619" s="15" t="s">
        <v>6878</v>
      </c>
    </row>
    <row r="2620" spans="1:14" x14ac:dyDescent="0.2">
      <c r="A2620" t="s">
        <v>3732</v>
      </c>
      <c r="B2620" t="s">
        <v>2360</v>
      </c>
      <c r="C2620" s="9">
        <v>45001</v>
      </c>
      <c r="D2620" t="s">
        <v>946</v>
      </c>
      <c r="E2620" s="13">
        <v>13619718</v>
      </c>
      <c r="F2620" s="13">
        <v>5550</v>
      </c>
      <c r="G2620" s="9">
        <v>45002</v>
      </c>
      <c r="H2620" t="s">
        <v>1111</v>
      </c>
      <c r="I2620" t="s">
        <v>2382</v>
      </c>
      <c r="J2620" s="13">
        <v>226767</v>
      </c>
      <c r="K2620">
        <v>1</v>
      </c>
      <c r="L2620" t="s">
        <v>1064</v>
      </c>
      <c r="M2620" t="s">
        <v>2383</v>
      </c>
      <c r="N2620" s="15" t="s">
        <v>6878</v>
      </c>
    </row>
    <row r="2621" spans="1:14" x14ac:dyDescent="0.2">
      <c r="A2621" t="s">
        <v>3733</v>
      </c>
      <c r="B2621" t="s">
        <v>2360</v>
      </c>
      <c r="C2621" s="9">
        <v>45001</v>
      </c>
      <c r="D2621" t="s">
        <v>946</v>
      </c>
      <c r="E2621" s="13">
        <v>23480940</v>
      </c>
      <c r="F2621" s="13">
        <v>5550</v>
      </c>
      <c r="G2621" s="9">
        <v>45003</v>
      </c>
      <c r="H2621" t="s">
        <v>1111</v>
      </c>
      <c r="I2621" t="s">
        <v>2382</v>
      </c>
      <c r="J2621" s="13">
        <v>390957</v>
      </c>
      <c r="K2621">
        <v>1</v>
      </c>
      <c r="L2621" t="s">
        <v>1064</v>
      </c>
      <c r="M2621" t="s">
        <v>2383</v>
      </c>
      <c r="N2621" s="15" t="s">
        <v>6878</v>
      </c>
    </row>
    <row r="2622" spans="1:14" x14ac:dyDescent="0.2">
      <c r="A2622" t="s">
        <v>3734</v>
      </c>
      <c r="B2622" t="s">
        <v>2360</v>
      </c>
      <c r="C2622" s="9">
        <v>45001</v>
      </c>
      <c r="D2622" t="s">
        <v>946</v>
      </c>
      <c r="E2622" s="13">
        <v>27752032</v>
      </c>
      <c r="F2622" s="13">
        <v>5550</v>
      </c>
      <c r="G2622" s="9">
        <v>45002</v>
      </c>
      <c r="H2622" t="s">
        <v>1111</v>
      </c>
      <c r="I2622" t="s">
        <v>2382</v>
      </c>
      <c r="J2622" s="13">
        <v>462070</v>
      </c>
      <c r="K2622">
        <v>1</v>
      </c>
      <c r="L2622" t="s">
        <v>1064</v>
      </c>
      <c r="M2622" t="s">
        <v>2383</v>
      </c>
      <c r="N2622" s="15" t="s">
        <v>6878</v>
      </c>
    </row>
    <row r="2623" spans="1:14" x14ac:dyDescent="0.2">
      <c r="A2623" t="s">
        <v>3735</v>
      </c>
      <c r="B2623" t="s">
        <v>2360</v>
      </c>
      <c r="C2623" s="9">
        <v>45001</v>
      </c>
      <c r="D2623" t="s">
        <v>946</v>
      </c>
      <c r="E2623" s="13">
        <v>19224129</v>
      </c>
      <c r="F2623" s="13">
        <v>5550</v>
      </c>
      <c r="G2623" s="9">
        <v>45002</v>
      </c>
      <c r="H2623" t="s">
        <v>1111</v>
      </c>
      <c r="I2623" t="s">
        <v>2382</v>
      </c>
      <c r="J2623" s="13">
        <v>320080</v>
      </c>
      <c r="K2623">
        <v>1</v>
      </c>
      <c r="L2623" t="s">
        <v>1064</v>
      </c>
      <c r="M2623" t="s">
        <v>2383</v>
      </c>
      <c r="N2623" s="15" t="s">
        <v>6878</v>
      </c>
    </row>
    <row r="2624" spans="1:14" x14ac:dyDescent="0.2">
      <c r="A2624" t="s">
        <v>3736</v>
      </c>
      <c r="B2624" t="s">
        <v>2360</v>
      </c>
      <c r="C2624" s="9">
        <v>45001</v>
      </c>
      <c r="D2624" t="s">
        <v>946</v>
      </c>
      <c r="E2624" s="13">
        <v>19549931</v>
      </c>
      <c r="F2624" s="13">
        <v>5550</v>
      </c>
      <c r="G2624" s="9">
        <v>45002</v>
      </c>
      <c r="H2624" t="s">
        <v>1111</v>
      </c>
      <c r="I2624" t="s">
        <v>2382</v>
      </c>
      <c r="J2624" s="13">
        <v>325505</v>
      </c>
      <c r="K2624">
        <v>1</v>
      </c>
      <c r="L2624" t="s">
        <v>1064</v>
      </c>
      <c r="M2624" t="s">
        <v>2383</v>
      </c>
      <c r="N2624" s="15" t="s">
        <v>6878</v>
      </c>
    </row>
    <row r="2625" spans="1:14" x14ac:dyDescent="0.2">
      <c r="A2625" t="s">
        <v>3737</v>
      </c>
      <c r="B2625" t="s">
        <v>2360</v>
      </c>
      <c r="C2625" s="9">
        <v>45001</v>
      </c>
      <c r="D2625" t="s">
        <v>946</v>
      </c>
      <c r="E2625" s="13">
        <v>17454438</v>
      </c>
      <c r="F2625" s="13">
        <v>5550</v>
      </c>
      <c r="G2625" s="9">
        <v>45002</v>
      </c>
      <c r="H2625" t="s">
        <v>1111</v>
      </c>
      <c r="I2625" t="s">
        <v>2382</v>
      </c>
      <c r="J2625" s="13">
        <v>290615</v>
      </c>
      <c r="K2625">
        <v>1</v>
      </c>
      <c r="L2625" t="s">
        <v>1064</v>
      </c>
      <c r="M2625" t="s">
        <v>2383</v>
      </c>
      <c r="N2625" s="15" t="s">
        <v>6878</v>
      </c>
    </row>
    <row r="2626" spans="1:14" x14ac:dyDescent="0.2">
      <c r="A2626" t="s">
        <v>3738</v>
      </c>
      <c r="B2626" t="s">
        <v>2360</v>
      </c>
      <c r="C2626" s="9">
        <v>45001</v>
      </c>
      <c r="D2626" t="s">
        <v>946</v>
      </c>
      <c r="E2626" s="13">
        <v>17454438</v>
      </c>
      <c r="F2626" s="13">
        <v>5550</v>
      </c>
      <c r="G2626" s="9">
        <v>45002</v>
      </c>
      <c r="H2626" t="s">
        <v>1111</v>
      </c>
      <c r="I2626" t="s">
        <v>2382</v>
      </c>
      <c r="J2626" s="13">
        <v>290615</v>
      </c>
      <c r="K2626">
        <v>1</v>
      </c>
      <c r="L2626" t="s">
        <v>1064</v>
      </c>
      <c r="M2626" t="s">
        <v>2383</v>
      </c>
      <c r="N2626" s="15" t="s">
        <v>6878</v>
      </c>
    </row>
    <row r="2627" spans="1:14" x14ac:dyDescent="0.2">
      <c r="A2627" t="s">
        <v>3739</v>
      </c>
      <c r="B2627" t="s">
        <v>2360</v>
      </c>
      <c r="C2627" s="9">
        <v>45001</v>
      </c>
      <c r="D2627" t="s">
        <v>946</v>
      </c>
      <c r="E2627" s="13">
        <v>7765380</v>
      </c>
      <c r="F2627" s="13">
        <v>5550</v>
      </c>
      <c r="G2627" s="9">
        <v>45002</v>
      </c>
      <c r="H2627" t="s">
        <v>1111</v>
      </c>
      <c r="I2627" t="s">
        <v>2382</v>
      </c>
      <c r="J2627" s="13">
        <v>129292</v>
      </c>
      <c r="K2627">
        <v>1</v>
      </c>
      <c r="L2627" t="s">
        <v>1064</v>
      </c>
      <c r="M2627" t="s">
        <v>2383</v>
      </c>
      <c r="N2627" s="15" t="s">
        <v>6878</v>
      </c>
    </row>
    <row r="2628" spans="1:14" x14ac:dyDescent="0.2">
      <c r="A2628" t="s">
        <v>3740</v>
      </c>
      <c r="B2628" t="s">
        <v>2360</v>
      </c>
      <c r="C2628" s="9">
        <v>45001</v>
      </c>
      <c r="D2628" t="s">
        <v>946</v>
      </c>
      <c r="E2628" s="13">
        <v>750000</v>
      </c>
      <c r="F2628" s="13">
        <v>5550</v>
      </c>
      <c r="G2628" s="9">
        <v>45002</v>
      </c>
      <c r="H2628" t="s">
        <v>1111</v>
      </c>
      <c r="I2628" t="s">
        <v>2382</v>
      </c>
      <c r="J2628" s="13">
        <v>12487</v>
      </c>
      <c r="K2628">
        <v>1</v>
      </c>
      <c r="L2628" t="s">
        <v>1064</v>
      </c>
      <c r="M2628" t="s">
        <v>2383</v>
      </c>
      <c r="N2628" s="15" t="s">
        <v>6878</v>
      </c>
    </row>
    <row r="2629" spans="1:14" x14ac:dyDescent="0.2">
      <c r="A2629" t="s">
        <v>3741</v>
      </c>
      <c r="B2629" t="s">
        <v>2360</v>
      </c>
      <c r="C2629" s="9">
        <v>45001</v>
      </c>
      <c r="D2629" t="s">
        <v>946</v>
      </c>
      <c r="E2629" s="13">
        <v>10000000</v>
      </c>
      <c r="F2629" s="13">
        <v>5550</v>
      </c>
      <c r="G2629" s="9">
        <v>45002</v>
      </c>
      <c r="H2629" t="s">
        <v>1111</v>
      </c>
      <c r="I2629" t="s">
        <v>2382</v>
      </c>
      <c r="J2629" s="13">
        <v>166500</v>
      </c>
      <c r="K2629">
        <v>1</v>
      </c>
      <c r="L2629" t="s">
        <v>1064</v>
      </c>
      <c r="M2629" t="s">
        <v>2383</v>
      </c>
      <c r="N2629" s="15" t="s">
        <v>6878</v>
      </c>
    </row>
    <row r="2630" spans="1:14" x14ac:dyDescent="0.2">
      <c r="A2630" t="s">
        <v>3742</v>
      </c>
      <c r="B2630" t="s">
        <v>2360</v>
      </c>
      <c r="C2630" s="9">
        <v>45001</v>
      </c>
      <c r="D2630" t="s">
        <v>946</v>
      </c>
      <c r="E2630" s="13">
        <v>6956745</v>
      </c>
      <c r="F2630" s="13">
        <v>5550</v>
      </c>
      <c r="G2630" s="9">
        <v>45002</v>
      </c>
      <c r="H2630" t="s">
        <v>1111</v>
      </c>
      <c r="I2630" t="s">
        <v>2382</v>
      </c>
      <c r="J2630" s="13">
        <v>115829</v>
      </c>
      <c r="K2630">
        <v>1</v>
      </c>
      <c r="L2630" t="s">
        <v>1064</v>
      </c>
      <c r="M2630" t="s">
        <v>2383</v>
      </c>
      <c r="N2630" s="15" t="s">
        <v>6878</v>
      </c>
    </row>
    <row r="2631" spans="1:14" x14ac:dyDescent="0.2">
      <c r="A2631" t="s">
        <v>3743</v>
      </c>
      <c r="B2631" t="s">
        <v>2360</v>
      </c>
      <c r="C2631" s="9">
        <v>45001</v>
      </c>
      <c r="D2631" t="s">
        <v>946</v>
      </c>
      <c r="E2631" s="13">
        <v>528200</v>
      </c>
      <c r="F2631" s="13">
        <v>5550</v>
      </c>
      <c r="G2631" s="9">
        <v>45002</v>
      </c>
      <c r="H2631" t="s">
        <v>1111</v>
      </c>
      <c r="I2631" t="s">
        <v>2382</v>
      </c>
      <c r="J2631" s="13">
        <v>8794</v>
      </c>
      <c r="K2631">
        <v>1</v>
      </c>
      <c r="L2631" t="s">
        <v>1064</v>
      </c>
      <c r="M2631" t="s">
        <v>2383</v>
      </c>
      <c r="N2631" s="15" t="s">
        <v>6878</v>
      </c>
    </row>
    <row r="2632" spans="1:14" x14ac:dyDescent="0.2">
      <c r="A2632" t="s">
        <v>3744</v>
      </c>
      <c r="B2632" t="s">
        <v>2360</v>
      </c>
      <c r="C2632" s="9">
        <v>45001</v>
      </c>
      <c r="D2632" t="s">
        <v>946</v>
      </c>
      <c r="E2632" s="13">
        <v>7622580</v>
      </c>
      <c r="F2632" s="13">
        <v>5550</v>
      </c>
      <c r="G2632" s="9">
        <v>45002</v>
      </c>
      <c r="H2632" t="s">
        <v>1111</v>
      </c>
      <c r="I2632" t="s">
        <v>2382</v>
      </c>
      <c r="J2632" s="13">
        <v>126915</v>
      </c>
      <c r="K2632">
        <v>1</v>
      </c>
      <c r="L2632" t="s">
        <v>1064</v>
      </c>
      <c r="M2632" t="s">
        <v>2383</v>
      </c>
      <c r="N2632" s="15" t="s">
        <v>6878</v>
      </c>
    </row>
    <row r="2633" spans="1:14" x14ac:dyDescent="0.2">
      <c r="A2633" t="s">
        <v>3745</v>
      </c>
      <c r="B2633" t="s">
        <v>2360</v>
      </c>
      <c r="C2633" s="9">
        <v>45001</v>
      </c>
      <c r="D2633" t="s">
        <v>946</v>
      </c>
      <c r="E2633" s="13">
        <v>351800</v>
      </c>
      <c r="F2633" s="13">
        <v>5550</v>
      </c>
      <c r="G2633" s="9">
        <v>45002</v>
      </c>
      <c r="H2633" t="s">
        <v>1111</v>
      </c>
      <c r="I2633" t="s">
        <v>2382</v>
      </c>
      <c r="J2633" s="13">
        <v>5857</v>
      </c>
      <c r="K2633">
        <v>1</v>
      </c>
      <c r="L2633" t="s">
        <v>1064</v>
      </c>
      <c r="M2633" t="s">
        <v>2383</v>
      </c>
      <c r="N2633" s="15" t="s">
        <v>6878</v>
      </c>
    </row>
    <row r="2634" spans="1:14" x14ac:dyDescent="0.2">
      <c r="A2634" t="s">
        <v>3746</v>
      </c>
      <c r="B2634" t="s">
        <v>2360</v>
      </c>
      <c r="C2634" s="9">
        <v>45001</v>
      </c>
      <c r="D2634" t="s">
        <v>946</v>
      </c>
      <c r="E2634" s="13">
        <v>7775460</v>
      </c>
      <c r="F2634" s="13">
        <v>5550</v>
      </c>
      <c r="G2634" s="9">
        <v>45002</v>
      </c>
      <c r="H2634" t="s">
        <v>1111</v>
      </c>
      <c r="I2634" t="s">
        <v>2382</v>
      </c>
      <c r="J2634" s="13">
        <v>129460</v>
      </c>
      <c r="K2634">
        <v>1</v>
      </c>
      <c r="L2634" t="s">
        <v>1064</v>
      </c>
      <c r="M2634" t="s">
        <v>2383</v>
      </c>
      <c r="N2634" s="15" t="s">
        <v>6878</v>
      </c>
    </row>
    <row r="2635" spans="1:14" x14ac:dyDescent="0.2">
      <c r="A2635" t="s">
        <v>3747</v>
      </c>
      <c r="B2635" t="s">
        <v>2360</v>
      </c>
      <c r="C2635" s="9">
        <v>45001</v>
      </c>
      <c r="D2635" t="s">
        <v>946</v>
      </c>
      <c r="E2635" s="13">
        <v>595000</v>
      </c>
      <c r="F2635" s="13">
        <v>5550</v>
      </c>
      <c r="G2635" s="9">
        <v>45002</v>
      </c>
      <c r="H2635" t="s">
        <v>1111</v>
      </c>
      <c r="I2635" t="s">
        <v>2382</v>
      </c>
      <c r="J2635" s="13">
        <v>9906</v>
      </c>
      <c r="K2635">
        <v>1</v>
      </c>
      <c r="L2635" t="s">
        <v>1064</v>
      </c>
      <c r="M2635" t="s">
        <v>2383</v>
      </c>
      <c r="N2635" s="15" t="s">
        <v>6878</v>
      </c>
    </row>
    <row r="2636" spans="1:14" x14ac:dyDescent="0.2">
      <c r="A2636" t="s">
        <v>3748</v>
      </c>
      <c r="B2636" t="s">
        <v>2360</v>
      </c>
      <c r="C2636" s="9">
        <v>45001</v>
      </c>
      <c r="D2636" t="s">
        <v>946</v>
      </c>
      <c r="E2636" s="13">
        <v>10387563</v>
      </c>
      <c r="F2636" s="13">
        <v>5550</v>
      </c>
      <c r="G2636" s="9">
        <v>45002</v>
      </c>
      <c r="H2636" t="s">
        <v>1111</v>
      </c>
      <c r="I2636" t="s">
        <v>2382</v>
      </c>
      <c r="J2636" s="13">
        <v>172952</v>
      </c>
      <c r="K2636">
        <v>1</v>
      </c>
      <c r="L2636" t="s">
        <v>1064</v>
      </c>
      <c r="M2636" t="s">
        <v>2383</v>
      </c>
      <c r="N2636" s="15" t="s">
        <v>6878</v>
      </c>
    </row>
    <row r="2637" spans="1:14" x14ac:dyDescent="0.2">
      <c r="A2637" t="s">
        <v>3749</v>
      </c>
      <c r="B2637" t="s">
        <v>2360</v>
      </c>
      <c r="C2637" s="9">
        <v>45001</v>
      </c>
      <c r="D2637" t="s">
        <v>946</v>
      </c>
      <c r="E2637" s="13">
        <v>8333498</v>
      </c>
      <c r="F2637" s="13">
        <v>5550</v>
      </c>
      <c r="G2637" s="9">
        <v>45002</v>
      </c>
      <c r="H2637" t="s">
        <v>1111</v>
      </c>
      <c r="I2637" t="s">
        <v>2382</v>
      </c>
      <c r="J2637" s="13">
        <v>138752</v>
      </c>
      <c r="K2637">
        <v>1</v>
      </c>
      <c r="L2637" t="s">
        <v>1064</v>
      </c>
      <c r="M2637" t="s">
        <v>2383</v>
      </c>
      <c r="N2637" s="15" t="s">
        <v>6878</v>
      </c>
    </row>
    <row r="2638" spans="1:14" x14ac:dyDescent="0.2">
      <c r="A2638" t="s">
        <v>3750</v>
      </c>
      <c r="B2638" t="s">
        <v>2360</v>
      </c>
      <c r="C2638" s="9">
        <v>45001</v>
      </c>
      <c r="D2638" t="s">
        <v>946</v>
      </c>
      <c r="E2638" s="13">
        <v>10100679</v>
      </c>
      <c r="F2638" s="13">
        <v>5550</v>
      </c>
      <c r="G2638" s="9">
        <v>45002</v>
      </c>
      <c r="H2638" t="s">
        <v>1111</v>
      </c>
      <c r="I2638" t="s">
        <v>2382</v>
      </c>
      <c r="J2638" s="13">
        <v>168176</v>
      </c>
      <c r="K2638">
        <v>1</v>
      </c>
      <c r="L2638" t="s">
        <v>1064</v>
      </c>
      <c r="M2638" t="s">
        <v>2383</v>
      </c>
      <c r="N2638" s="15" t="s">
        <v>6878</v>
      </c>
    </row>
    <row r="2639" spans="1:14" x14ac:dyDescent="0.2">
      <c r="A2639" t="s">
        <v>3751</v>
      </c>
      <c r="B2639" t="s">
        <v>2360</v>
      </c>
      <c r="C2639" s="9">
        <v>45001</v>
      </c>
      <c r="D2639" t="s">
        <v>946</v>
      </c>
      <c r="E2639" s="13">
        <v>9639680</v>
      </c>
      <c r="F2639" s="13">
        <v>5550</v>
      </c>
      <c r="G2639" s="9">
        <v>45002</v>
      </c>
      <c r="H2639" t="s">
        <v>1111</v>
      </c>
      <c r="I2639" t="s">
        <v>2382</v>
      </c>
      <c r="J2639" s="13">
        <v>160500</v>
      </c>
      <c r="K2639">
        <v>1</v>
      </c>
      <c r="L2639" t="s">
        <v>1064</v>
      </c>
      <c r="M2639" t="s">
        <v>2383</v>
      </c>
      <c r="N2639" s="15" t="s">
        <v>6878</v>
      </c>
    </row>
    <row r="2640" spans="1:14" x14ac:dyDescent="0.2">
      <c r="A2640" t="s">
        <v>3752</v>
      </c>
      <c r="B2640" t="s">
        <v>2360</v>
      </c>
      <c r="C2640" s="9">
        <v>45001</v>
      </c>
      <c r="D2640" t="s">
        <v>946</v>
      </c>
      <c r="E2640" s="13">
        <v>10623465</v>
      </c>
      <c r="F2640" s="13">
        <v>5550</v>
      </c>
      <c r="G2640" s="9">
        <v>45002</v>
      </c>
      <c r="H2640" t="s">
        <v>1111</v>
      </c>
      <c r="I2640" t="s">
        <v>2382</v>
      </c>
      <c r="J2640" s="13">
        <v>176879</v>
      </c>
      <c r="K2640">
        <v>1</v>
      </c>
      <c r="L2640" t="s">
        <v>1064</v>
      </c>
      <c r="M2640" t="s">
        <v>2383</v>
      </c>
      <c r="N2640" s="15" t="s">
        <v>6878</v>
      </c>
    </row>
    <row r="2641" spans="1:14" x14ac:dyDescent="0.2">
      <c r="A2641" t="s">
        <v>3753</v>
      </c>
      <c r="B2641" t="s">
        <v>2360</v>
      </c>
      <c r="C2641" s="9">
        <v>45001</v>
      </c>
      <c r="D2641" t="s">
        <v>946</v>
      </c>
      <c r="E2641" s="13">
        <v>25200000</v>
      </c>
      <c r="F2641" s="13">
        <v>5550</v>
      </c>
      <c r="G2641" s="9">
        <v>45002</v>
      </c>
      <c r="H2641" t="s">
        <v>1111</v>
      </c>
      <c r="I2641" t="s">
        <v>2382</v>
      </c>
      <c r="J2641" s="13">
        <v>419580</v>
      </c>
      <c r="K2641">
        <v>1</v>
      </c>
      <c r="L2641" t="s">
        <v>1064</v>
      </c>
      <c r="M2641" t="s">
        <v>2383</v>
      </c>
      <c r="N2641" s="15" t="s">
        <v>6878</v>
      </c>
    </row>
    <row r="2642" spans="1:14" x14ac:dyDescent="0.2">
      <c r="A2642" t="s">
        <v>3754</v>
      </c>
      <c r="B2642" t="s">
        <v>2360</v>
      </c>
      <c r="C2642" s="9">
        <v>45001</v>
      </c>
      <c r="D2642" t="s">
        <v>946</v>
      </c>
      <c r="E2642" s="13">
        <v>29680000</v>
      </c>
      <c r="F2642" s="13">
        <v>5550</v>
      </c>
      <c r="G2642" s="9">
        <v>45002</v>
      </c>
      <c r="H2642" t="s">
        <v>1111</v>
      </c>
      <c r="I2642" t="s">
        <v>2382</v>
      </c>
      <c r="J2642" s="13">
        <v>494172</v>
      </c>
      <c r="K2642">
        <v>1</v>
      </c>
      <c r="L2642" t="s">
        <v>1064</v>
      </c>
      <c r="M2642" t="s">
        <v>2383</v>
      </c>
      <c r="N2642" s="15" t="s">
        <v>6878</v>
      </c>
    </row>
    <row r="2643" spans="1:14" x14ac:dyDescent="0.2">
      <c r="A2643" t="s">
        <v>3755</v>
      </c>
      <c r="B2643" t="s">
        <v>2360</v>
      </c>
      <c r="C2643" s="9">
        <v>45001</v>
      </c>
      <c r="D2643" t="s">
        <v>946</v>
      </c>
      <c r="E2643" s="13">
        <v>25979247</v>
      </c>
      <c r="F2643" s="13">
        <v>5550</v>
      </c>
      <c r="G2643" s="9">
        <v>45002</v>
      </c>
      <c r="H2643" t="s">
        <v>1111</v>
      </c>
      <c r="I2643" t="s">
        <v>2382</v>
      </c>
      <c r="J2643" s="13">
        <v>432553</v>
      </c>
      <c r="K2643">
        <v>1</v>
      </c>
      <c r="L2643" t="s">
        <v>1064</v>
      </c>
      <c r="M2643" t="s">
        <v>2383</v>
      </c>
      <c r="N2643" s="15" t="s">
        <v>6878</v>
      </c>
    </row>
    <row r="2644" spans="1:14" x14ac:dyDescent="0.2">
      <c r="A2644" t="s">
        <v>3756</v>
      </c>
      <c r="B2644" t="s">
        <v>2360</v>
      </c>
      <c r="C2644" s="9">
        <v>45001</v>
      </c>
      <c r="D2644" t="s">
        <v>946</v>
      </c>
      <c r="E2644" s="13">
        <v>21185640</v>
      </c>
      <c r="F2644" s="13">
        <v>5550</v>
      </c>
      <c r="G2644" s="9">
        <v>45002</v>
      </c>
      <c r="H2644" t="s">
        <v>1111</v>
      </c>
      <c r="I2644" t="s">
        <v>2382</v>
      </c>
      <c r="J2644" s="13">
        <v>352740</v>
      </c>
      <c r="K2644">
        <v>1</v>
      </c>
      <c r="L2644" t="s">
        <v>1064</v>
      </c>
      <c r="M2644" t="s">
        <v>2383</v>
      </c>
      <c r="N2644" s="15" t="s">
        <v>6878</v>
      </c>
    </row>
    <row r="2645" spans="1:14" x14ac:dyDescent="0.2">
      <c r="A2645" t="s">
        <v>3757</v>
      </c>
      <c r="B2645" t="s">
        <v>2360</v>
      </c>
      <c r="C2645" s="9">
        <v>45001</v>
      </c>
      <c r="D2645" t="s">
        <v>946</v>
      </c>
      <c r="E2645" s="13">
        <v>25200000</v>
      </c>
      <c r="F2645" s="13">
        <v>5550</v>
      </c>
      <c r="G2645" s="9">
        <v>45002</v>
      </c>
      <c r="H2645" t="s">
        <v>1111</v>
      </c>
      <c r="I2645" t="s">
        <v>2382</v>
      </c>
      <c r="J2645" s="13">
        <v>419580</v>
      </c>
      <c r="K2645">
        <v>1</v>
      </c>
      <c r="L2645" t="s">
        <v>1064</v>
      </c>
      <c r="M2645" t="s">
        <v>2383</v>
      </c>
      <c r="N2645" s="15" t="s">
        <v>6878</v>
      </c>
    </row>
    <row r="2646" spans="1:14" x14ac:dyDescent="0.2">
      <c r="A2646" t="s">
        <v>3758</v>
      </c>
      <c r="B2646" t="s">
        <v>2360</v>
      </c>
      <c r="C2646" s="9">
        <v>45001</v>
      </c>
      <c r="D2646" t="s">
        <v>946</v>
      </c>
      <c r="E2646" s="13">
        <v>25200000</v>
      </c>
      <c r="F2646" s="13">
        <v>5550</v>
      </c>
      <c r="G2646" s="9">
        <v>45002</v>
      </c>
      <c r="H2646" t="s">
        <v>1111</v>
      </c>
      <c r="I2646" t="s">
        <v>2382</v>
      </c>
      <c r="J2646" s="13">
        <v>419580</v>
      </c>
      <c r="K2646">
        <v>1</v>
      </c>
      <c r="L2646" t="s">
        <v>1064</v>
      </c>
      <c r="M2646" t="s">
        <v>2383</v>
      </c>
      <c r="N2646" s="15" t="s">
        <v>6878</v>
      </c>
    </row>
    <row r="2647" spans="1:14" x14ac:dyDescent="0.2">
      <c r="A2647" t="s">
        <v>3759</v>
      </c>
      <c r="B2647" t="s">
        <v>2360</v>
      </c>
      <c r="C2647" s="9">
        <v>45001</v>
      </c>
      <c r="D2647" t="s">
        <v>946</v>
      </c>
      <c r="E2647" s="13">
        <v>17398886</v>
      </c>
      <c r="F2647" s="13">
        <v>5550</v>
      </c>
      <c r="G2647" s="9">
        <v>45002</v>
      </c>
      <c r="H2647" t="s">
        <v>1111</v>
      </c>
      <c r="I2647" t="s">
        <v>2382</v>
      </c>
      <c r="J2647" s="13">
        <v>289691</v>
      </c>
      <c r="K2647">
        <v>1</v>
      </c>
      <c r="L2647" t="s">
        <v>1064</v>
      </c>
      <c r="M2647" t="s">
        <v>2383</v>
      </c>
      <c r="N2647" s="15" t="s">
        <v>6878</v>
      </c>
    </row>
    <row r="2648" spans="1:14" x14ac:dyDescent="0.2">
      <c r="A2648" t="s">
        <v>3760</v>
      </c>
      <c r="B2648" t="s">
        <v>2360</v>
      </c>
      <c r="C2648" s="9">
        <v>45001</v>
      </c>
      <c r="D2648" t="s">
        <v>946</v>
      </c>
      <c r="E2648" s="13">
        <v>19601568</v>
      </c>
      <c r="F2648" s="13">
        <v>5550</v>
      </c>
      <c r="G2648" s="9">
        <v>45002</v>
      </c>
      <c r="H2648" t="s">
        <v>1111</v>
      </c>
      <c r="I2648" t="s">
        <v>2382</v>
      </c>
      <c r="J2648" s="13">
        <v>326365</v>
      </c>
      <c r="K2648">
        <v>1</v>
      </c>
      <c r="L2648" t="s">
        <v>1064</v>
      </c>
      <c r="M2648" t="s">
        <v>2383</v>
      </c>
      <c r="N2648" s="15" t="s">
        <v>6878</v>
      </c>
    </row>
    <row r="2649" spans="1:14" x14ac:dyDescent="0.2">
      <c r="A2649" t="s">
        <v>3761</v>
      </c>
      <c r="B2649" t="s">
        <v>2360</v>
      </c>
      <c r="C2649" s="9">
        <v>45001</v>
      </c>
      <c r="D2649" t="s">
        <v>946</v>
      </c>
      <c r="E2649" s="13">
        <v>25829325</v>
      </c>
      <c r="F2649" s="13">
        <v>5550</v>
      </c>
      <c r="G2649" s="9">
        <v>45002</v>
      </c>
      <c r="H2649" t="s">
        <v>1111</v>
      </c>
      <c r="I2649" t="s">
        <v>2382</v>
      </c>
      <c r="J2649" s="13">
        <v>430057</v>
      </c>
      <c r="K2649">
        <v>1</v>
      </c>
      <c r="L2649" t="s">
        <v>1064</v>
      </c>
      <c r="M2649" t="s">
        <v>2383</v>
      </c>
      <c r="N2649" s="15" t="s">
        <v>6878</v>
      </c>
    </row>
    <row r="2650" spans="1:14" x14ac:dyDescent="0.2">
      <c r="A2650" t="s">
        <v>3762</v>
      </c>
      <c r="B2650" t="s">
        <v>2360</v>
      </c>
      <c r="C2650" s="9">
        <v>45001</v>
      </c>
      <c r="D2650" t="s">
        <v>946</v>
      </c>
      <c r="E2650" s="13">
        <v>25200000</v>
      </c>
      <c r="F2650" s="13">
        <v>5550</v>
      </c>
      <c r="G2650" s="9">
        <v>45002</v>
      </c>
      <c r="H2650" t="s">
        <v>1111</v>
      </c>
      <c r="I2650" t="s">
        <v>2382</v>
      </c>
      <c r="J2650" s="13">
        <v>419580</v>
      </c>
      <c r="K2650">
        <v>1</v>
      </c>
      <c r="L2650" t="s">
        <v>1064</v>
      </c>
      <c r="M2650" t="s">
        <v>2383</v>
      </c>
      <c r="N2650" s="15" t="s">
        <v>6878</v>
      </c>
    </row>
    <row r="2651" spans="1:14" x14ac:dyDescent="0.2">
      <c r="A2651" t="s">
        <v>3763</v>
      </c>
      <c r="B2651" t="s">
        <v>2360</v>
      </c>
      <c r="C2651" s="9">
        <v>45001</v>
      </c>
      <c r="D2651" t="s">
        <v>946</v>
      </c>
      <c r="E2651" s="13">
        <v>1028310</v>
      </c>
      <c r="F2651" s="13">
        <v>5550</v>
      </c>
      <c r="G2651" s="9">
        <v>45002</v>
      </c>
      <c r="H2651" t="s">
        <v>1111</v>
      </c>
      <c r="I2651" t="s">
        <v>2382</v>
      </c>
      <c r="J2651" s="13">
        <v>17120</v>
      </c>
      <c r="K2651">
        <v>1</v>
      </c>
      <c r="L2651" t="s">
        <v>1064</v>
      </c>
      <c r="M2651" t="s">
        <v>2383</v>
      </c>
      <c r="N2651" s="15" t="s">
        <v>6878</v>
      </c>
    </row>
    <row r="2652" spans="1:14" x14ac:dyDescent="0.2">
      <c r="A2652" t="s">
        <v>3764</v>
      </c>
      <c r="B2652" t="s">
        <v>2360</v>
      </c>
      <c r="C2652" s="9">
        <v>45001</v>
      </c>
      <c r="D2652" t="s">
        <v>946</v>
      </c>
      <c r="E2652" s="13">
        <v>897887</v>
      </c>
      <c r="F2652" s="13">
        <v>5550</v>
      </c>
      <c r="G2652" s="9">
        <v>45002</v>
      </c>
      <c r="H2652" t="s">
        <v>1111</v>
      </c>
      <c r="I2652" t="s">
        <v>2382</v>
      </c>
      <c r="J2652" s="13">
        <v>14949</v>
      </c>
      <c r="K2652">
        <v>1</v>
      </c>
      <c r="L2652" t="s">
        <v>1064</v>
      </c>
      <c r="M2652" t="s">
        <v>2383</v>
      </c>
      <c r="N2652" s="15" t="s">
        <v>6878</v>
      </c>
    </row>
    <row r="2653" spans="1:14" x14ac:dyDescent="0.2">
      <c r="A2653" t="s">
        <v>3765</v>
      </c>
      <c r="B2653" t="s">
        <v>2360</v>
      </c>
      <c r="C2653" s="9">
        <v>45001</v>
      </c>
      <c r="D2653" t="s">
        <v>946</v>
      </c>
      <c r="E2653" s="13">
        <v>764282</v>
      </c>
      <c r="F2653" s="13">
        <v>5550</v>
      </c>
      <c r="G2653" s="9">
        <v>45002</v>
      </c>
      <c r="H2653" t="s">
        <v>1111</v>
      </c>
      <c r="I2653" t="s">
        <v>2382</v>
      </c>
      <c r="J2653" s="13">
        <v>12725</v>
      </c>
      <c r="K2653">
        <v>1</v>
      </c>
      <c r="L2653" t="s">
        <v>1064</v>
      </c>
      <c r="M2653" t="s">
        <v>2383</v>
      </c>
      <c r="N2653" s="15" t="s">
        <v>6878</v>
      </c>
    </row>
    <row r="2654" spans="1:14" x14ac:dyDescent="0.2">
      <c r="A2654" t="s">
        <v>3766</v>
      </c>
      <c r="B2654" t="s">
        <v>2360</v>
      </c>
      <c r="C2654" s="9">
        <v>45001</v>
      </c>
      <c r="D2654" t="s">
        <v>946</v>
      </c>
      <c r="E2654" s="13">
        <v>2220000</v>
      </c>
      <c r="F2654" s="13">
        <v>5550</v>
      </c>
      <c r="G2654" s="9">
        <v>45002</v>
      </c>
      <c r="H2654" t="s">
        <v>1111</v>
      </c>
      <c r="I2654" t="s">
        <v>2382</v>
      </c>
      <c r="J2654" s="13">
        <v>36963</v>
      </c>
      <c r="K2654">
        <v>1</v>
      </c>
      <c r="L2654" t="s">
        <v>1064</v>
      </c>
      <c r="M2654" t="s">
        <v>2383</v>
      </c>
      <c r="N2654" s="15" t="s">
        <v>6878</v>
      </c>
    </row>
    <row r="2655" spans="1:14" x14ac:dyDescent="0.2">
      <c r="A2655" t="s">
        <v>3767</v>
      </c>
      <c r="B2655" t="s">
        <v>2360</v>
      </c>
      <c r="C2655" s="9">
        <v>45001</v>
      </c>
      <c r="D2655" t="s">
        <v>946</v>
      </c>
      <c r="E2655" s="13">
        <v>979436</v>
      </c>
      <c r="F2655" s="13">
        <v>5550</v>
      </c>
      <c r="G2655" s="9">
        <v>45002</v>
      </c>
      <c r="H2655" t="s">
        <v>1111</v>
      </c>
      <c r="I2655" t="s">
        <v>2382</v>
      </c>
      <c r="J2655" s="13">
        <v>16307</v>
      </c>
      <c r="K2655">
        <v>1</v>
      </c>
      <c r="L2655" t="s">
        <v>1064</v>
      </c>
      <c r="M2655" t="s">
        <v>2383</v>
      </c>
      <c r="N2655" s="15" t="s">
        <v>6878</v>
      </c>
    </row>
    <row r="2656" spans="1:14" x14ac:dyDescent="0.2">
      <c r="A2656" t="s">
        <v>3768</v>
      </c>
      <c r="B2656" t="s">
        <v>2360</v>
      </c>
      <c r="C2656" s="9">
        <v>45001</v>
      </c>
      <c r="D2656" t="s">
        <v>946</v>
      </c>
      <c r="E2656" s="13">
        <v>2220000</v>
      </c>
      <c r="F2656" s="13">
        <v>5550</v>
      </c>
      <c r="G2656" s="9">
        <v>45002</v>
      </c>
      <c r="H2656" t="s">
        <v>1111</v>
      </c>
      <c r="I2656" t="s">
        <v>2382</v>
      </c>
      <c r="J2656" s="13">
        <v>36963</v>
      </c>
      <c r="K2656">
        <v>1</v>
      </c>
      <c r="L2656" t="s">
        <v>1064</v>
      </c>
      <c r="M2656" t="s">
        <v>2383</v>
      </c>
      <c r="N2656" s="15" t="s">
        <v>6878</v>
      </c>
    </row>
    <row r="2657" spans="1:14" x14ac:dyDescent="0.2">
      <c r="A2657" t="s">
        <v>3769</v>
      </c>
      <c r="B2657" t="s">
        <v>2360</v>
      </c>
      <c r="C2657" s="9">
        <v>45001</v>
      </c>
      <c r="D2657" t="s">
        <v>946</v>
      </c>
      <c r="E2657" s="13">
        <v>1093073</v>
      </c>
      <c r="F2657" s="13">
        <v>5550</v>
      </c>
      <c r="G2657" s="9">
        <v>45002</v>
      </c>
      <c r="H2657" t="s">
        <v>1111</v>
      </c>
      <c r="I2657" t="s">
        <v>2382</v>
      </c>
      <c r="J2657" s="13">
        <v>18199</v>
      </c>
      <c r="K2657">
        <v>1</v>
      </c>
      <c r="L2657" t="s">
        <v>1064</v>
      </c>
      <c r="M2657" t="s">
        <v>2383</v>
      </c>
      <c r="N2657" s="15" t="s">
        <v>6878</v>
      </c>
    </row>
    <row r="2658" spans="1:14" x14ac:dyDescent="0.2">
      <c r="A2658" t="s">
        <v>3770</v>
      </c>
      <c r="B2658" t="s">
        <v>2360</v>
      </c>
      <c r="C2658" s="9">
        <v>45001</v>
      </c>
      <c r="D2658" t="s">
        <v>946</v>
      </c>
      <c r="E2658" s="13">
        <v>1031384</v>
      </c>
      <c r="F2658" s="13">
        <v>5550</v>
      </c>
      <c r="G2658" s="9">
        <v>45002</v>
      </c>
      <c r="H2658" t="s">
        <v>1111</v>
      </c>
      <c r="I2658" t="s">
        <v>2382</v>
      </c>
      <c r="J2658" s="13">
        <v>17171</v>
      </c>
      <c r="K2658">
        <v>1</v>
      </c>
      <c r="L2658" t="s">
        <v>1064</v>
      </c>
      <c r="M2658" t="s">
        <v>2383</v>
      </c>
      <c r="N2658" s="15" t="s">
        <v>6878</v>
      </c>
    </row>
    <row r="2659" spans="1:14" x14ac:dyDescent="0.2">
      <c r="A2659" t="s">
        <v>3771</v>
      </c>
      <c r="B2659" t="s">
        <v>2360</v>
      </c>
      <c r="C2659" s="9">
        <v>45001</v>
      </c>
      <c r="D2659" t="s">
        <v>946</v>
      </c>
      <c r="E2659" s="13">
        <v>1093073</v>
      </c>
      <c r="F2659" s="13">
        <v>5550</v>
      </c>
      <c r="G2659" s="9">
        <v>45002</v>
      </c>
      <c r="H2659" t="s">
        <v>1111</v>
      </c>
      <c r="I2659" t="s">
        <v>2382</v>
      </c>
      <c r="J2659" s="13">
        <v>18199</v>
      </c>
      <c r="K2659">
        <v>1</v>
      </c>
      <c r="L2659" t="s">
        <v>1064</v>
      </c>
      <c r="M2659" t="s">
        <v>2383</v>
      </c>
      <c r="N2659" s="15" t="s">
        <v>6878</v>
      </c>
    </row>
    <row r="2660" spans="1:14" x14ac:dyDescent="0.2">
      <c r="A2660" t="s">
        <v>3772</v>
      </c>
      <c r="B2660" t="s">
        <v>2360</v>
      </c>
      <c r="C2660" s="9">
        <v>45001</v>
      </c>
      <c r="D2660" t="s">
        <v>946</v>
      </c>
      <c r="E2660" s="13">
        <v>1031384</v>
      </c>
      <c r="F2660" s="13">
        <v>5550</v>
      </c>
      <c r="G2660" s="9">
        <v>45002</v>
      </c>
      <c r="H2660" t="s">
        <v>1111</v>
      </c>
      <c r="I2660" t="s">
        <v>2382</v>
      </c>
      <c r="J2660" s="13">
        <v>17171</v>
      </c>
      <c r="K2660">
        <v>1</v>
      </c>
      <c r="L2660" t="s">
        <v>1064</v>
      </c>
      <c r="M2660" t="s">
        <v>2383</v>
      </c>
      <c r="N2660" s="15" t="s">
        <v>6878</v>
      </c>
    </row>
    <row r="2661" spans="1:14" x14ac:dyDescent="0.2">
      <c r="A2661" t="s">
        <v>3773</v>
      </c>
      <c r="B2661" t="s">
        <v>2360</v>
      </c>
      <c r="C2661" s="9">
        <v>45001</v>
      </c>
      <c r="D2661" t="s">
        <v>946</v>
      </c>
      <c r="E2661" s="13">
        <v>2220000</v>
      </c>
      <c r="F2661" s="13">
        <v>5550</v>
      </c>
      <c r="G2661" s="9">
        <v>45002</v>
      </c>
      <c r="H2661" t="s">
        <v>1111</v>
      </c>
      <c r="I2661" t="s">
        <v>2382</v>
      </c>
      <c r="J2661" s="13">
        <v>36963</v>
      </c>
      <c r="K2661">
        <v>1</v>
      </c>
      <c r="L2661" t="s">
        <v>1064</v>
      </c>
      <c r="M2661" t="s">
        <v>2383</v>
      </c>
      <c r="N2661" s="15" t="s">
        <v>6878</v>
      </c>
    </row>
    <row r="2662" spans="1:14" x14ac:dyDescent="0.2">
      <c r="A2662" t="s">
        <v>3774</v>
      </c>
      <c r="B2662" t="s">
        <v>2360</v>
      </c>
      <c r="C2662" s="9">
        <v>45001</v>
      </c>
      <c r="D2662" t="s">
        <v>946</v>
      </c>
      <c r="E2662" s="13">
        <v>901209</v>
      </c>
      <c r="F2662" s="13">
        <v>5550</v>
      </c>
      <c r="G2662" s="9">
        <v>45002</v>
      </c>
      <c r="H2662" t="s">
        <v>1111</v>
      </c>
      <c r="I2662" t="s">
        <v>2382</v>
      </c>
      <c r="J2662" s="13">
        <v>15004</v>
      </c>
      <c r="K2662">
        <v>1</v>
      </c>
      <c r="L2662" t="s">
        <v>1064</v>
      </c>
      <c r="M2662" t="s">
        <v>2383</v>
      </c>
      <c r="N2662" s="15" t="s">
        <v>6878</v>
      </c>
    </row>
    <row r="2663" spans="1:14" x14ac:dyDescent="0.2">
      <c r="A2663" t="s">
        <v>3775</v>
      </c>
      <c r="B2663" t="s">
        <v>2360</v>
      </c>
      <c r="C2663" s="9">
        <v>45001</v>
      </c>
      <c r="D2663" t="s">
        <v>946</v>
      </c>
      <c r="E2663" s="13">
        <v>2220000</v>
      </c>
      <c r="F2663" s="13">
        <v>5550</v>
      </c>
      <c r="G2663" s="9">
        <v>45002</v>
      </c>
      <c r="H2663" t="s">
        <v>1111</v>
      </c>
      <c r="I2663" t="s">
        <v>2382</v>
      </c>
      <c r="J2663" s="13">
        <v>36963</v>
      </c>
      <c r="K2663">
        <v>1</v>
      </c>
      <c r="L2663" t="s">
        <v>1064</v>
      </c>
      <c r="M2663" t="s">
        <v>2383</v>
      </c>
      <c r="N2663" s="15" t="s">
        <v>6878</v>
      </c>
    </row>
    <row r="2664" spans="1:14" x14ac:dyDescent="0.2">
      <c r="A2664" t="s">
        <v>3776</v>
      </c>
      <c r="B2664" t="s">
        <v>2360</v>
      </c>
      <c r="C2664" s="9">
        <v>45001</v>
      </c>
      <c r="D2664" t="s">
        <v>946</v>
      </c>
      <c r="E2664" s="13">
        <v>1031384</v>
      </c>
      <c r="F2664" s="13">
        <v>5550</v>
      </c>
      <c r="G2664" s="9">
        <v>45002</v>
      </c>
      <c r="H2664" t="s">
        <v>1111</v>
      </c>
      <c r="I2664" t="s">
        <v>2382</v>
      </c>
      <c r="J2664" s="13">
        <v>17171</v>
      </c>
      <c r="K2664">
        <v>1</v>
      </c>
      <c r="L2664" t="s">
        <v>1064</v>
      </c>
      <c r="M2664" t="s">
        <v>2383</v>
      </c>
      <c r="N2664" s="15" t="s">
        <v>6878</v>
      </c>
    </row>
    <row r="2665" spans="1:14" x14ac:dyDescent="0.2">
      <c r="A2665" t="s">
        <v>3777</v>
      </c>
      <c r="B2665" t="s">
        <v>2360</v>
      </c>
      <c r="C2665" s="9">
        <v>45001</v>
      </c>
      <c r="D2665" t="s">
        <v>946</v>
      </c>
      <c r="E2665" s="13">
        <v>27369048</v>
      </c>
      <c r="F2665" s="13">
        <v>5550</v>
      </c>
      <c r="G2665" s="9">
        <v>45002</v>
      </c>
      <c r="H2665" t="s">
        <v>1111</v>
      </c>
      <c r="I2665" t="s">
        <v>2382</v>
      </c>
      <c r="J2665" s="13">
        <v>455693</v>
      </c>
      <c r="K2665">
        <v>1</v>
      </c>
      <c r="L2665" t="s">
        <v>1064</v>
      </c>
      <c r="M2665" t="s">
        <v>2383</v>
      </c>
      <c r="N2665" s="15" t="s">
        <v>6878</v>
      </c>
    </row>
    <row r="2666" spans="1:14" x14ac:dyDescent="0.2">
      <c r="A2666" t="s">
        <v>3778</v>
      </c>
      <c r="B2666" t="s">
        <v>2360</v>
      </c>
      <c r="C2666" s="9">
        <v>45001</v>
      </c>
      <c r="D2666" t="s">
        <v>946</v>
      </c>
      <c r="E2666" s="13">
        <v>18911030</v>
      </c>
      <c r="F2666" s="13">
        <v>5550</v>
      </c>
      <c r="G2666" s="9">
        <v>45002</v>
      </c>
      <c r="H2666" t="s">
        <v>1111</v>
      </c>
      <c r="I2666" t="s">
        <v>2382</v>
      </c>
      <c r="J2666" s="13">
        <v>314868</v>
      </c>
      <c r="K2666">
        <v>1</v>
      </c>
      <c r="L2666" t="s">
        <v>1064</v>
      </c>
      <c r="M2666" t="s">
        <v>2383</v>
      </c>
      <c r="N2666" s="15" t="s">
        <v>6878</v>
      </c>
    </row>
    <row r="2667" spans="1:14" x14ac:dyDescent="0.2">
      <c r="A2667" t="s">
        <v>3779</v>
      </c>
      <c r="B2667" t="s">
        <v>2360</v>
      </c>
      <c r="C2667" s="9">
        <v>45001</v>
      </c>
      <c r="D2667" t="s">
        <v>946</v>
      </c>
      <c r="E2667" s="13">
        <v>25965517</v>
      </c>
      <c r="F2667" s="13">
        <v>5550</v>
      </c>
      <c r="G2667" s="9">
        <v>45002</v>
      </c>
      <c r="H2667" t="s">
        <v>1111</v>
      </c>
      <c r="I2667" t="s">
        <v>2382</v>
      </c>
      <c r="J2667" s="13">
        <v>432325</v>
      </c>
      <c r="K2667">
        <v>1</v>
      </c>
      <c r="L2667" t="s">
        <v>1064</v>
      </c>
      <c r="M2667" t="s">
        <v>2383</v>
      </c>
      <c r="N2667" s="15" t="s">
        <v>6878</v>
      </c>
    </row>
    <row r="2668" spans="1:14" x14ac:dyDescent="0.2">
      <c r="A2668" t="s">
        <v>3780</v>
      </c>
      <c r="B2668" t="s">
        <v>2360</v>
      </c>
      <c r="C2668" s="9">
        <v>45001</v>
      </c>
      <c r="D2668" t="s">
        <v>946</v>
      </c>
      <c r="E2668" s="13">
        <v>19396075</v>
      </c>
      <c r="F2668" s="13">
        <v>5550</v>
      </c>
      <c r="G2668" s="9">
        <v>45002</v>
      </c>
      <c r="H2668" t="s">
        <v>1111</v>
      </c>
      <c r="I2668" t="s">
        <v>2382</v>
      </c>
      <c r="J2668" s="13">
        <v>322944</v>
      </c>
      <c r="K2668">
        <v>1</v>
      </c>
      <c r="L2668" t="s">
        <v>1064</v>
      </c>
      <c r="M2668" t="s">
        <v>2383</v>
      </c>
      <c r="N2668" s="15" t="s">
        <v>6878</v>
      </c>
    </row>
    <row r="2669" spans="1:14" x14ac:dyDescent="0.2">
      <c r="A2669" t="s">
        <v>3781</v>
      </c>
      <c r="B2669" t="s">
        <v>2360</v>
      </c>
      <c r="C2669" s="9">
        <v>45001</v>
      </c>
      <c r="D2669" t="s">
        <v>946</v>
      </c>
      <c r="E2669" s="13">
        <v>25697957</v>
      </c>
      <c r="F2669" s="13">
        <v>5550</v>
      </c>
      <c r="G2669" s="9">
        <v>45002</v>
      </c>
      <c r="H2669" t="s">
        <v>1111</v>
      </c>
      <c r="I2669" t="s">
        <v>2382</v>
      </c>
      <c r="J2669" s="13">
        <v>427870</v>
      </c>
      <c r="K2669">
        <v>1</v>
      </c>
      <c r="L2669" t="s">
        <v>1064</v>
      </c>
      <c r="M2669" t="s">
        <v>2383</v>
      </c>
      <c r="N2669" s="15" t="s">
        <v>6878</v>
      </c>
    </row>
    <row r="2670" spans="1:14" x14ac:dyDescent="0.2">
      <c r="A2670" t="s">
        <v>3782</v>
      </c>
      <c r="B2670" t="s">
        <v>2360</v>
      </c>
      <c r="C2670" s="9">
        <v>45001</v>
      </c>
      <c r="D2670" t="s">
        <v>946</v>
      </c>
      <c r="E2670" s="13">
        <v>22371720</v>
      </c>
      <c r="F2670" s="13">
        <v>5550</v>
      </c>
      <c r="G2670" s="9">
        <v>45002</v>
      </c>
      <c r="H2670" t="s">
        <v>1111</v>
      </c>
      <c r="I2670" t="s">
        <v>2382</v>
      </c>
      <c r="J2670" s="13">
        <v>372488</v>
      </c>
      <c r="K2670">
        <v>1</v>
      </c>
      <c r="L2670" t="s">
        <v>1064</v>
      </c>
      <c r="M2670" t="s">
        <v>2383</v>
      </c>
      <c r="N2670" s="15" t="s">
        <v>6878</v>
      </c>
    </row>
    <row r="2671" spans="1:14" x14ac:dyDescent="0.2">
      <c r="A2671" t="s">
        <v>3783</v>
      </c>
      <c r="B2671" t="s">
        <v>2360</v>
      </c>
      <c r="C2671" s="9">
        <v>45001</v>
      </c>
      <c r="D2671" t="s">
        <v>946</v>
      </c>
      <c r="E2671" s="13">
        <v>25663817</v>
      </c>
      <c r="F2671" s="13">
        <v>5550</v>
      </c>
      <c r="G2671" s="9">
        <v>45002</v>
      </c>
      <c r="H2671" t="s">
        <v>1111</v>
      </c>
      <c r="I2671" t="s">
        <v>2382</v>
      </c>
      <c r="J2671" s="13">
        <v>427302</v>
      </c>
      <c r="K2671">
        <v>1</v>
      </c>
      <c r="L2671" t="s">
        <v>1064</v>
      </c>
      <c r="M2671" t="s">
        <v>2383</v>
      </c>
      <c r="N2671" s="15" t="s">
        <v>6878</v>
      </c>
    </row>
    <row r="2672" spans="1:14" x14ac:dyDescent="0.2">
      <c r="A2672" t="s">
        <v>3784</v>
      </c>
      <c r="B2672" t="s">
        <v>2360</v>
      </c>
      <c r="C2672" s="9">
        <v>45001</v>
      </c>
      <c r="D2672" t="s">
        <v>946</v>
      </c>
      <c r="E2672" s="13">
        <v>25200000</v>
      </c>
      <c r="F2672" s="13">
        <v>5550</v>
      </c>
      <c r="G2672" s="9">
        <v>45002</v>
      </c>
      <c r="H2672" t="s">
        <v>1111</v>
      </c>
      <c r="I2672" t="s">
        <v>2382</v>
      </c>
      <c r="J2672" s="13">
        <v>419580</v>
      </c>
      <c r="K2672">
        <v>1</v>
      </c>
      <c r="L2672" t="s">
        <v>1064</v>
      </c>
      <c r="M2672" t="s">
        <v>2383</v>
      </c>
      <c r="N2672" s="15" t="s">
        <v>6878</v>
      </c>
    </row>
    <row r="2673" spans="1:14" x14ac:dyDescent="0.2">
      <c r="A2673" t="s">
        <v>3785</v>
      </c>
      <c r="B2673" t="s">
        <v>2360</v>
      </c>
      <c r="C2673" s="9">
        <v>45001</v>
      </c>
      <c r="D2673" t="s">
        <v>9</v>
      </c>
      <c r="E2673" s="13">
        <v>294490</v>
      </c>
      <c r="F2673" s="13">
        <v>24975</v>
      </c>
      <c r="G2673" s="9">
        <v>45006</v>
      </c>
      <c r="H2673" t="s">
        <v>1063</v>
      </c>
      <c r="I2673" t="s">
        <v>436</v>
      </c>
      <c r="J2673" s="13">
        <v>9805</v>
      </c>
      <c r="K2673">
        <v>1</v>
      </c>
      <c r="L2673" t="s">
        <v>1064</v>
      </c>
      <c r="M2673" t="s">
        <v>2364</v>
      </c>
      <c r="N2673" s="15" t="s">
        <v>6878</v>
      </c>
    </row>
    <row r="2674" spans="1:14" x14ac:dyDescent="0.2">
      <c r="A2674" t="s">
        <v>3786</v>
      </c>
      <c r="B2674" t="s">
        <v>2360</v>
      </c>
      <c r="C2674" s="9">
        <v>45002</v>
      </c>
      <c r="D2674" t="s">
        <v>946</v>
      </c>
      <c r="E2674" s="13">
        <v>15525000</v>
      </c>
      <c r="F2674" s="13">
        <v>5550</v>
      </c>
      <c r="G2674" s="9">
        <v>45002</v>
      </c>
      <c r="H2674" t="s">
        <v>1111</v>
      </c>
      <c r="I2674" t="s">
        <v>2382</v>
      </c>
      <c r="J2674" s="13">
        <v>258491</v>
      </c>
      <c r="K2674">
        <v>1</v>
      </c>
      <c r="L2674" t="s">
        <v>1064</v>
      </c>
      <c r="M2674" t="s">
        <v>2383</v>
      </c>
      <c r="N2674" s="15" t="s">
        <v>6878</v>
      </c>
    </row>
    <row r="2675" spans="1:14" x14ac:dyDescent="0.2">
      <c r="A2675" t="s">
        <v>3787</v>
      </c>
      <c r="B2675" t="s">
        <v>2360</v>
      </c>
      <c r="C2675" s="9">
        <v>45002</v>
      </c>
      <c r="D2675" t="s">
        <v>946</v>
      </c>
      <c r="E2675" s="13">
        <v>150000</v>
      </c>
      <c r="F2675" s="13">
        <v>5550</v>
      </c>
      <c r="G2675" s="9">
        <v>45002</v>
      </c>
      <c r="H2675" t="s">
        <v>1111</v>
      </c>
      <c r="I2675" t="s">
        <v>2382</v>
      </c>
      <c r="J2675" s="13">
        <v>2497</v>
      </c>
      <c r="K2675">
        <v>1</v>
      </c>
      <c r="L2675" t="s">
        <v>1064</v>
      </c>
      <c r="M2675" t="s">
        <v>2383</v>
      </c>
      <c r="N2675" s="15" t="s">
        <v>6878</v>
      </c>
    </row>
    <row r="2676" spans="1:14" x14ac:dyDescent="0.2">
      <c r="A2676" t="s">
        <v>3788</v>
      </c>
      <c r="B2676" t="s">
        <v>2360</v>
      </c>
      <c r="C2676" s="9">
        <v>45002</v>
      </c>
      <c r="D2676" t="s">
        <v>946</v>
      </c>
      <c r="E2676" s="13">
        <v>16100000</v>
      </c>
      <c r="F2676" s="13">
        <v>5550</v>
      </c>
      <c r="G2676" s="9">
        <v>45002</v>
      </c>
      <c r="H2676" t="s">
        <v>1111</v>
      </c>
      <c r="I2676" t="s">
        <v>2382</v>
      </c>
      <c r="J2676" s="13">
        <v>268065</v>
      </c>
      <c r="K2676">
        <v>1</v>
      </c>
      <c r="L2676" t="s">
        <v>1064</v>
      </c>
      <c r="M2676" t="s">
        <v>2383</v>
      </c>
      <c r="N2676" s="15" t="s">
        <v>6878</v>
      </c>
    </row>
    <row r="2677" spans="1:14" x14ac:dyDescent="0.2">
      <c r="A2677" t="s">
        <v>3789</v>
      </c>
      <c r="B2677" t="s">
        <v>2360</v>
      </c>
      <c r="C2677" s="9">
        <v>45002</v>
      </c>
      <c r="D2677" t="s">
        <v>946</v>
      </c>
      <c r="E2677" s="13">
        <v>16675000</v>
      </c>
      <c r="F2677" s="13">
        <v>5550</v>
      </c>
      <c r="G2677" s="9">
        <v>45002</v>
      </c>
      <c r="H2677" t="s">
        <v>1111</v>
      </c>
      <c r="I2677" t="s">
        <v>2382</v>
      </c>
      <c r="J2677" s="13">
        <v>277638</v>
      </c>
      <c r="K2677">
        <v>1</v>
      </c>
      <c r="L2677" t="s">
        <v>1064</v>
      </c>
      <c r="M2677" t="s">
        <v>2383</v>
      </c>
      <c r="N2677" s="15" t="s">
        <v>6878</v>
      </c>
    </row>
    <row r="2678" spans="1:14" x14ac:dyDescent="0.2">
      <c r="A2678" t="s">
        <v>3790</v>
      </c>
      <c r="B2678" t="s">
        <v>2360</v>
      </c>
      <c r="C2678" s="9">
        <v>45002</v>
      </c>
      <c r="D2678" t="s">
        <v>946</v>
      </c>
      <c r="E2678" s="13">
        <v>11155000</v>
      </c>
      <c r="F2678" s="13">
        <v>5550</v>
      </c>
      <c r="G2678" s="9">
        <v>45002</v>
      </c>
      <c r="H2678" t="s">
        <v>1111</v>
      </c>
      <c r="I2678" t="s">
        <v>2382</v>
      </c>
      <c r="J2678" s="13">
        <v>185730</v>
      </c>
      <c r="K2678">
        <v>1</v>
      </c>
      <c r="L2678" t="s">
        <v>1064</v>
      </c>
      <c r="M2678" t="s">
        <v>2383</v>
      </c>
      <c r="N2678" s="15" t="s">
        <v>6878</v>
      </c>
    </row>
    <row r="2679" spans="1:14" x14ac:dyDescent="0.2">
      <c r="A2679" t="s">
        <v>3791</v>
      </c>
      <c r="B2679" t="s">
        <v>2360</v>
      </c>
      <c r="C2679" s="9">
        <v>45002</v>
      </c>
      <c r="D2679" t="s">
        <v>946</v>
      </c>
      <c r="E2679" s="13">
        <v>12075000</v>
      </c>
      <c r="F2679" s="13">
        <v>5550</v>
      </c>
      <c r="G2679" s="9">
        <v>45002</v>
      </c>
      <c r="H2679" t="s">
        <v>1111</v>
      </c>
      <c r="I2679" t="s">
        <v>2382</v>
      </c>
      <c r="J2679" s="13">
        <v>201048</v>
      </c>
      <c r="K2679">
        <v>1</v>
      </c>
      <c r="L2679" t="s">
        <v>1064</v>
      </c>
      <c r="M2679" t="s">
        <v>2383</v>
      </c>
      <c r="N2679" s="15" t="s">
        <v>6878</v>
      </c>
    </row>
    <row r="2680" spans="1:14" x14ac:dyDescent="0.2">
      <c r="A2680" t="s">
        <v>3792</v>
      </c>
      <c r="B2680" t="s">
        <v>2360</v>
      </c>
      <c r="C2680" s="9">
        <v>45002</v>
      </c>
      <c r="D2680" t="s">
        <v>946</v>
      </c>
      <c r="E2680" s="13">
        <v>12535000</v>
      </c>
      <c r="F2680" s="13">
        <v>5550</v>
      </c>
      <c r="G2680" s="9">
        <v>45002</v>
      </c>
      <c r="H2680" t="s">
        <v>1111</v>
      </c>
      <c r="I2680" t="s">
        <v>2382</v>
      </c>
      <c r="J2680" s="13">
        <v>208707</v>
      </c>
      <c r="K2680">
        <v>1</v>
      </c>
      <c r="L2680" t="s">
        <v>1064</v>
      </c>
      <c r="M2680" t="s">
        <v>2383</v>
      </c>
      <c r="N2680" s="15" t="s">
        <v>6878</v>
      </c>
    </row>
    <row r="2681" spans="1:14" x14ac:dyDescent="0.2">
      <c r="A2681" t="s">
        <v>3793</v>
      </c>
      <c r="B2681" t="s">
        <v>2360</v>
      </c>
      <c r="C2681" s="9">
        <v>45002</v>
      </c>
      <c r="D2681" t="s">
        <v>946</v>
      </c>
      <c r="E2681" s="13">
        <v>12075000</v>
      </c>
      <c r="F2681" s="13">
        <v>5550</v>
      </c>
      <c r="G2681" s="9">
        <v>45002</v>
      </c>
      <c r="H2681" t="s">
        <v>1111</v>
      </c>
      <c r="I2681" t="s">
        <v>2382</v>
      </c>
      <c r="J2681" s="13">
        <v>201048</v>
      </c>
      <c r="K2681">
        <v>1</v>
      </c>
      <c r="L2681" t="s">
        <v>1064</v>
      </c>
      <c r="M2681" t="s">
        <v>2383</v>
      </c>
      <c r="N2681" s="15" t="s">
        <v>6878</v>
      </c>
    </row>
    <row r="2682" spans="1:14" x14ac:dyDescent="0.2">
      <c r="A2682" t="s">
        <v>3794</v>
      </c>
      <c r="B2682" t="s">
        <v>2360</v>
      </c>
      <c r="C2682" s="9">
        <v>45002</v>
      </c>
      <c r="D2682" t="s">
        <v>946</v>
      </c>
      <c r="E2682" s="13">
        <v>29325000</v>
      </c>
      <c r="F2682" s="13">
        <v>5550</v>
      </c>
      <c r="G2682" s="9">
        <v>45002</v>
      </c>
      <c r="H2682" t="s">
        <v>1111</v>
      </c>
      <c r="I2682" t="s">
        <v>2382</v>
      </c>
      <c r="J2682" s="13">
        <v>488261</v>
      </c>
      <c r="K2682">
        <v>1</v>
      </c>
      <c r="L2682" t="s">
        <v>1064</v>
      </c>
      <c r="M2682" t="s">
        <v>2383</v>
      </c>
      <c r="N2682" s="15" t="s">
        <v>6878</v>
      </c>
    </row>
    <row r="2683" spans="1:14" x14ac:dyDescent="0.2">
      <c r="A2683" t="s">
        <v>3795</v>
      </c>
      <c r="B2683" t="s">
        <v>2360</v>
      </c>
      <c r="C2683" s="9">
        <v>45002</v>
      </c>
      <c r="D2683" t="s">
        <v>946</v>
      </c>
      <c r="E2683" s="13">
        <v>14950000</v>
      </c>
      <c r="F2683" s="13">
        <v>5550</v>
      </c>
      <c r="G2683" s="9">
        <v>45002</v>
      </c>
      <c r="H2683" t="s">
        <v>1111</v>
      </c>
      <c r="I2683" t="s">
        <v>2382</v>
      </c>
      <c r="J2683" s="13">
        <v>248917</v>
      </c>
      <c r="K2683">
        <v>1</v>
      </c>
      <c r="L2683" t="s">
        <v>1064</v>
      </c>
      <c r="M2683" t="s">
        <v>2383</v>
      </c>
      <c r="N2683" s="15" t="s">
        <v>6878</v>
      </c>
    </row>
    <row r="2684" spans="1:14" x14ac:dyDescent="0.2">
      <c r="A2684" t="s">
        <v>3796</v>
      </c>
      <c r="B2684" t="s">
        <v>2360</v>
      </c>
      <c r="C2684" s="9">
        <v>45002</v>
      </c>
      <c r="D2684" t="s">
        <v>946</v>
      </c>
      <c r="E2684" s="13">
        <v>12075000</v>
      </c>
      <c r="F2684" s="13">
        <v>5550</v>
      </c>
      <c r="G2684" s="9">
        <v>45002</v>
      </c>
      <c r="H2684" t="s">
        <v>1111</v>
      </c>
      <c r="I2684" t="s">
        <v>2382</v>
      </c>
      <c r="J2684" s="13">
        <v>201048</v>
      </c>
      <c r="K2684">
        <v>1</v>
      </c>
      <c r="L2684" t="s">
        <v>1064</v>
      </c>
      <c r="M2684" t="s">
        <v>2383</v>
      </c>
      <c r="N2684" s="15" t="s">
        <v>6878</v>
      </c>
    </row>
    <row r="2685" spans="1:14" x14ac:dyDescent="0.2">
      <c r="A2685" t="s">
        <v>3797</v>
      </c>
      <c r="B2685" t="s">
        <v>2360</v>
      </c>
      <c r="C2685" s="9">
        <v>45002</v>
      </c>
      <c r="D2685" t="s">
        <v>946</v>
      </c>
      <c r="E2685" s="13">
        <v>12075000</v>
      </c>
      <c r="F2685" s="13">
        <v>5550</v>
      </c>
      <c r="G2685" s="9">
        <v>45002</v>
      </c>
      <c r="H2685" t="s">
        <v>1111</v>
      </c>
      <c r="I2685" t="s">
        <v>2382</v>
      </c>
      <c r="J2685" s="13">
        <v>201048</v>
      </c>
      <c r="K2685">
        <v>1</v>
      </c>
      <c r="L2685" t="s">
        <v>1064</v>
      </c>
      <c r="M2685" t="s">
        <v>2383</v>
      </c>
      <c r="N2685" s="15" t="s">
        <v>6878</v>
      </c>
    </row>
    <row r="2686" spans="1:14" x14ac:dyDescent="0.2">
      <c r="A2686" t="s">
        <v>3798</v>
      </c>
      <c r="B2686" t="s">
        <v>2360</v>
      </c>
      <c r="C2686" s="9">
        <v>45002</v>
      </c>
      <c r="D2686" t="s">
        <v>946</v>
      </c>
      <c r="E2686" s="13">
        <v>11500000</v>
      </c>
      <c r="F2686" s="13">
        <v>5550</v>
      </c>
      <c r="G2686" s="9">
        <v>45002</v>
      </c>
      <c r="H2686" t="s">
        <v>1111</v>
      </c>
      <c r="I2686" t="s">
        <v>2382</v>
      </c>
      <c r="J2686" s="13">
        <v>191475</v>
      </c>
      <c r="K2686">
        <v>1</v>
      </c>
      <c r="L2686" t="s">
        <v>1064</v>
      </c>
      <c r="M2686" t="s">
        <v>2383</v>
      </c>
      <c r="N2686" s="15" t="s">
        <v>6878</v>
      </c>
    </row>
    <row r="2687" spans="1:14" x14ac:dyDescent="0.2">
      <c r="A2687" t="s">
        <v>3799</v>
      </c>
      <c r="B2687" t="s">
        <v>2360</v>
      </c>
      <c r="C2687" s="9">
        <v>45002</v>
      </c>
      <c r="D2687" t="s">
        <v>946</v>
      </c>
      <c r="E2687" s="13">
        <v>12075000</v>
      </c>
      <c r="F2687" s="13">
        <v>5550</v>
      </c>
      <c r="G2687" s="9">
        <v>45002</v>
      </c>
      <c r="H2687" t="s">
        <v>1111</v>
      </c>
      <c r="I2687" t="s">
        <v>2382</v>
      </c>
      <c r="J2687" s="13">
        <v>201048</v>
      </c>
      <c r="K2687">
        <v>1</v>
      </c>
      <c r="L2687" t="s">
        <v>1064</v>
      </c>
      <c r="M2687" t="s">
        <v>2383</v>
      </c>
      <c r="N2687" s="15" t="s">
        <v>6878</v>
      </c>
    </row>
    <row r="2688" spans="1:14" x14ac:dyDescent="0.2">
      <c r="A2688" t="s">
        <v>3800</v>
      </c>
      <c r="B2688" t="s">
        <v>2360</v>
      </c>
      <c r="C2688" s="9">
        <v>45002</v>
      </c>
      <c r="D2688" t="s">
        <v>946</v>
      </c>
      <c r="E2688" s="13">
        <v>2200000</v>
      </c>
      <c r="F2688" s="13">
        <v>5550</v>
      </c>
      <c r="G2688" s="9">
        <v>45002</v>
      </c>
      <c r="H2688" t="s">
        <v>1111</v>
      </c>
      <c r="I2688" t="s">
        <v>2382</v>
      </c>
      <c r="J2688" s="13">
        <v>36630</v>
      </c>
      <c r="K2688">
        <v>1</v>
      </c>
      <c r="L2688" t="s">
        <v>1064</v>
      </c>
      <c r="M2688" t="s">
        <v>2383</v>
      </c>
      <c r="N2688" s="15" t="s">
        <v>6878</v>
      </c>
    </row>
    <row r="2689" spans="1:14" x14ac:dyDescent="0.2">
      <c r="A2689" t="s">
        <v>3801</v>
      </c>
      <c r="B2689" t="s">
        <v>2360</v>
      </c>
      <c r="C2689" s="9">
        <v>45002</v>
      </c>
      <c r="D2689" t="s">
        <v>946</v>
      </c>
      <c r="E2689" s="13">
        <v>12075000</v>
      </c>
      <c r="F2689" s="13">
        <v>5550</v>
      </c>
      <c r="G2689" s="9">
        <v>45002</v>
      </c>
      <c r="H2689" t="s">
        <v>1111</v>
      </c>
      <c r="I2689" t="s">
        <v>2382</v>
      </c>
      <c r="J2689" s="13">
        <v>201048</v>
      </c>
      <c r="K2689">
        <v>1</v>
      </c>
      <c r="L2689" t="s">
        <v>1064</v>
      </c>
      <c r="M2689" t="s">
        <v>2383</v>
      </c>
      <c r="N2689" s="15" t="s">
        <v>6878</v>
      </c>
    </row>
    <row r="2690" spans="1:14" x14ac:dyDescent="0.2">
      <c r="A2690" t="s">
        <v>3802</v>
      </c>
      <c r="B2690" t="s">
        <v>2360</v>
      </c>
      <c r="C2690" s="9">
        <v>45002</v>
      </c>
      <c r="D2690" t="s">
        <v>946</v>
      </c>
      <c r="E2690" s="13">
        <v>22425000</v>
      </c>
      <c r="F2690" s="13">
        <v>5550</v>
      </c>
      <c r="G2690" s="9">
        <v>45002</v>
      </c>
      <c r="H2690" t="s">
        <v>1111</v>
      </c>
      <c r="I2690" t="s">
        <v>2382</v>
      </c>
      <c r="J2690" s="13">
        <v>373376</v>
      </c>
      <c r="K2690">
        <v>1</v>
      </c>
      <c r="L2690" t="s">
        <v>1064</v>
      </c>
      <c r="M2690" t="s">
        <v>2383</v>
      </c>
      <c r="N2690" s="15" t="s">
        <v>6878</v>
      </c>
    </row>
    <row r="2691" spans="1:14" x14ac:dyDescent="0.2">
      <c r="A2691" t="s">
        <v>3803</v>
      </c>
      <c r="B2691" t="s">
        <v>2360</v>
      </c>
      <c r="C2691" s="9">
        <v>45002</v>
      </c>
      <c r="D2691" t="s">
        <v>946</v>
      </c>
      <c r="E2691" s="13">
        <v>4290000</v>
      </c>
      <c r="F2691" s="13">
        <v>5550</v>
      </c>
      <c r="G2691" s="9">
        <v>45002</v>
      </c>
      <c r="H2691" t="s">
        <v>1111</v>
      </c>
      <c r="I2691" t="s">
        <v>2382</v>
      </c>
      <c r="J2691" s="13">
        <v>71428</v>
      </c>
      <c r="K2691">
        <v>1</v>
      </c>
      <c r="L2691" t="s">
        <v>1064</v>
      </c>
      <c r="M2691" t="s">
        <v>2383</v>
      </c>
      <c r="N2691" s="15" t="s">
        <v>6878</v>
      </c>
    </row>
    <row r="2692" spans="1:14" x14ac:dyDescent="0.2">
      <c r="A2692" t="s">
        <v>3804</v>
      </c>
      <c r="B2692" t="s">
        <v>2360</v>
      </c>
      <c r="C2692" s="9">
        <v>45002</v>
      </c>
      <c r="D2692" t="s">
        <v>946</v>
      </c>
      <c r="E2692" s="13">
        <v>19550000</v>
      </c>
      <c r="F2692" s="13">
        <v>5550</v>
      </c>
      <c r="G2692" s="9">
        <v>45002</v>
      </c>
      <c r="H2692" t="s">
        <v>1111</v>
      </c>
      <c r="I2692" t="s">
        <v>2382</v>
      </c>
      <c r="J2692" s="13">
        <v>325507</v>
      </c>
      <c r="K2692">
        <v>1</v>
      </c>
      <c r="L2692" t="s">
        <v>1064</v>
      </c>
      <c r="M2692" t="s">
        <v>2383</v>
      </c>
      <c r="N2692" s="15" t="s">
        <v>6878</v>
      </c>
    </row>
    <row r="2693" spans="1:14" x14ac:dyDescent="0.2">
      <c r="A2693" t="s">
        <v>3805</v>
      </c>
      <c r="B2693" t="s">
        <v>2360</v>
      </c>
      <c r="C2693" s="9">
        <v>45002</v>
      </c>
      <c r="D2693" t="s">
        <v>946</v>
      </c>
      <c r="E2693" s="13">
        <v>2200000</v>
      </c>
      <c r="F2693" s="13">
        <v>5550</v>
      </c>
      <c r="G2693" s="9">
        <v>45002</v>
      </c>
      <c r="H2693" t="s">
        <v>1111</v>
      </c>
      <c r="I2693" t="s">
        <v>2382</v>
      </c>
      <c r="J2693" s="13">
        <v>36630</v>
      </c>
      <c r="K2693">
        <v>1</v>
      </c>
      <c r="L2693" t="s">
        <v>1064</v>
      </c>
      <c r="M2693" t="s">
        <v>2383</v>
      </c>
      <c r="N2693" s="15" t="s">
        <v>6878</v>
      </c>
    </row>
    <row r="2694" spans="1:14" x14ac:dyDescent="0.2">
      <c r="A2694" t="s">
        <v>3806</v>
      </c>
      <c r="B2694" t="s">
        <v>2360</v>
      </c>
      <c r="C2694" s="9">
        <v>45002</v>
      </c>
      <c r="D2694" t="s">
        <v>946</v>
      </c>
      <c r="E2694" s="13">
        <v>18020000</v>
      </c>
      <c r="F2694" s="13">
        <v>5550</v>
      </c>
      <c r="G2694" s="9">
        <v>45002</v>
      </c>
      <c r="H2694" t="s">
        <v>1111</v>
      </c>
      <c r="I2694" t="s">
        <v>2382</v>
      </c>
      <c r="J2694" s="13">
        <v>300033</v>
      </c>
      <c r="K2694">
        <v>1</v>
      </c>
      <c r="L2694" t="s">
        <v>1064</v>
      </c>
      <c r="M2694" t="s">
        <v>2383</v>
      </c>
      <c r="N2694" s="15" t="s">
        <v>6878</v>
      </c>
    </row>
    <row r="2695" spans="1:14" x14ac:dyDescent="0.2">
      <c r="A2695" t="s">
        <v>3807</v>
      </c>
      <c r="B2695" t="s">
        <v>2360</v>
      </c>
      <c r="C2695" s="9">
        <v>45002</v>
      </c>
      <c r="D2695" t="s">
        <v>946</v>
      </c>
      <c r="E2695" s="13">
        <v>19550000</v>
      </c>
      <c r="F2695" s="13">
        <v>5550</v>
      </c>
      <c r="G2695" s="9">
        <v>45002</v>
      </c>
      <c r="H2695" t="s">
        <v>1111</v>
      </c>
      <c r="I2695" t="s">
        <v>2382</v>
      </c>
      <c r="J2695" s="13">
        <v>325507</v>
      </c>
      <c r="K2695">
        <v>1</v>
      </c>
      <c r="L2695" t="s">
        <v>1064</v>
      </c>
      <c r="M2695" t="s">
        <v>2383</v>
      </c>
      <c r="N2695" s="15" t="s">
        <v>6878</v>
      </c>
    </row>
    <row r="2696" spans="1:14" x14ac:dyDescent="0.2">
      <c r="A2696" t="s">
        <v>3808</v>
      </c>
      <c r="B2696" t="s">
        <v>2360</v>
      </c>
      <c r="C2696" s="9">
        <v>45002</v>
      </c>
      <c r="D2696" t="s">
        <v>946</v>
      </c>
      <c r="E2696" s="13">
        <v>19550000</v>
      </c>
      <c r="F2696" s="13">
        <v>5550</v>
      </c>
      <c r="G2696" s="9">
        <v>45002</v>
      </c>
      <c r="H2696" t="s">
        <v>1111</v>
      </c>
      <c r="I2696" t="s">
        <v>2382</v>
      </c>
      <c r="J2696" s="13">
        <v>325507</v>
      </c>
      <c r="K2696">
        <v>1</v>
      </c>
      <c r="L2696" t="s">
        <v>1064</v>
      </c>
      <c r="M2696" t="s">
        <v>2383</v>
      </c>
      <c r="N2696" s="15" t="s">
        <v>6878</v>
      </c>
    </row>
    <row r="2697" spans="1:14" x14ac:dyDescent="0.2">
      <c r="A2697" t="s">
        <v>3809</v>
      </c>
      <c r="B2697" t="s">
        <v>2360</v>
      </c>
      <c r="C2697" s="9">
        <v>45002</v>
      </c>
      <c r="D2697" t="s">
        <v>946</v>
      </c>
      <c r="E2697" s="13">
        <v>19550000</v>
      </c>
      <c r="F2697" s="13">
        <v>5550</v>
      </c>
      <c r="G2697" s="9">
        <v>45002</v>
      </c>
      <c r="H2697" t="s">
        <v>1111</v>
      </c>
      <c r="I2697" t="s">
        <v>2382</v>
      </c>
      <c r="J2697" s="13">
        <v>325507</v>
      </c>
      <c r="K2697">
        <v>1</v>
      </c>
      <c r="L2697" t="s">
        <v>1064</v>
      </c>
      <c r="M2697" t="s">
        <v>2383</v>
      </c>
      <c r="N2697" s="15" t="s">
        <v>6878</v>
      </c>
    </row>
    <row r="2698" spans="1:14" x14ac:dyDescent="0.2">
      <c r="A2698" t="s">
        <v>3810</v>
      </c>
      <c r="B2698" t="s">
        <v>2360</v>
      </c>
      <c r="C2698" s="9">
        <v>45002</v>
      </c>
      <c r="D2698" t="s">
        <v>946</v>
      </c>
      <c r="E2698" s="13">
        <v>10225000</v>
      </c>
      <c r="F2698" s="13">
        <v>5550</v>
      </c>
      <c r="G2698" s="9">
        <v>45002</v>
      </c>
      <c r="H2698" t="s">
        <v>1111</v>
      </c>
      <c r="I2698" t="s">
        <v>2382</v>
      </c>
      <c r="J2698" s="13">
        <v>170246</v>
      </c>
      <c r="K2698">
        <v>1</v>
      </c>
      <c r="L2698" t="s">
        <v>1064</v>
      </c>
      <c r="M2698" t="s">
        <v>2383</v>
      </c>
      <c r="N2698" s="15" t="s">
        <v>6878</v>
      </c>
    </row>
    <row r="2699" spans="1:14" x14ac:dyDescent="0.2">
      <c r="A2699" t="s">
        <v>3811</v>
      </c>
      <c r="B2699" t="s">
        <v>2360</v>
      </c>
      <c r="C2699" s="9">
        <v>45002</v>
      </c>
      <c r="D2699" t="s">
        <v>946</v>
      </c>
      <c r="E2699" s="13">
        <v>11155000</v>
      </c>
      <c r="F2699" s="13">
        <v>5550</v>
      </c>
      <c r="G2699" s="9">
        <v>45002</v>
      </c>
      <c r="H2699" t="s">
        <v>1111</v>
      </c>
      <c r="I2699" t="s">
        <v>2382</v>
      </c>
      <c r="J2699" s="13">
        <v>185730</v>
      </c>
      <c r="K2699">
        <v>1</v>
      </c>
      <c r="L2699" t="s">
        <v>1064</v>
      </c>
      <c r="M2699" t="s">
        <v>2383</v>
      </c>
      <c r="N2699" s="15" t="s">
        <v>6878</v>
      </c>
    </row>
    <row r="2700" spans="1:14" x14ac:dyDescent="0.2">
      <c r="A2700" t="s">
        <v>3812</v>
      </c>
      <c r="B2700" t="s">
        <v>2360</v>
      </c>
      <c r="C2700" s="9">
        <v>45002</v>
      </c>
      <c r="D2700" t="s">
        <v>946</v>
      </c>
      <c r="E2700" s="13">
        <v>2640000</v>
      </c>
      <c r="F2700" s="13">
        <v>5550</v>
      </c>
      <c r="G2700" s="9">
        <v>45002</v>
      </c>
      <c r="H2700" t="s">
        <v>1111</v>
      </c>
      <c r="I2700" t="s">
        <v>2382</v>
      </c>
      <c r="J2700" s="13">
        <v>43956</v>
      </c>
      <c r="K2700">
        <v>1</v>
      </c>
      <c r="L2700" t="s">
        <v>1064</v>
      </c>
      <c r="M2700" t="s">
        <v>2383</v>
      </c>
      <c r="N2700" s="15" t="s">
        <v>6878</v>
      </c>
    </row>
    <row r="2701" spans="1:14" x14ac:dyDescent="0.2">
      <c r="A2701" t="s">
        <v>3813</v>
      </c>
      <c r="B2701" t="s">
        <v>2360</v>
      </c>
      <c r="C2701" s="9">
        <v>45002</v>
      </c>
      <c r="D2701" t="s">
        <v>960</v>
      </c>
      <c r="E2701" s="13">
        <v>350000000</v>
      </c>
      <c r="F2701" s="13">
        <v>27750</v>
      </c>
      <c r="G2701" s="9">
        <v>45004</v>
      </c>
      <c r="H2701" t="s">
        <v>1111</v>
      </c>
      <c r="I2701" t="s">
        <v>3814</v>
      </c>
      <c r="J2701" s="13">
        <v>21367500</v>
      </c>
      <c r="K2701">
        <v>1</v>
      </c>
      <c r="L2701" t="s">
        <v>1064</v>
      </c>
      <c r="M2701" t="s">
        <v>3815</v>
      </c>
      <c r="N2701" s="15" t="s">
        <v>6878</v>
      </c>
    </row>
    <row r="2702" spans="1:14" x14ac:dyDescent="0.2">
      <c r="A2702" t="s">
        <v>3816</v>
      </c>
      <c r="B2702" t="s">
        <v>2360</v>
      </c>
      <c r="C2702" s="9">
        <v>45002</v>
      </c>
      <c r="D2702" t="s">
        <v>964</v>
      </c>
      <c r="E2702" s="13">
        <v>3700000</v>
      </c>
      <c r="F2702" s="13">
        <v>27750</v>
      </c>
      <c r="G2702" s="9">
        <v>45006</v>
      </c>
      <c r="H2702" t="s">
        <v>1111</v>
      </c>
      <c r="I2702" t="s">
        <v>2520</v>
      </c>
      <c r="J2702" s="13">
        <v>102675</v>
      </c>
      <c r="K2702">
        <v>1</v>
      </c>
      <c r="L2702" t="s">
        <v>1064</v>
      </c>
      <c r="M2702" t="s">
        <v>2521</v>
      </c>
      <c r="N2702" s="15" t="s">
        <v>6878</v>
      </c>
    </row>
    <row r="2703" spans="1:14" x14ac:dyDescent="0.2">
      <c r="A2703" t="s">
        <v>3817</v>
      </c>
      <c r="B2703" t="s">
        <v>2360</v>
      </c>
      <c r="C2703" s="9">
        <v>45002</v>
      </c>
      <c r="D2703" t="s">
        <v>946</v>
      </c>
      <c r="E2703" s="13">
        <v>9775000</v>
      </c>
      <c r="F2703" s="13">
        <v>5550</v>
      </c>
      <c r="G2703" s="9">
        <v>45002</v>
      </c>
      <c r="H2703" t="s">
        <v>1111</v>
      </c>
      <c r="I2703" t="s">
        <v>2382</v>
      </c>
      <c r="J2703" s="13">
        <v>162753</v>
      </c>
      <c r="K2703">
        <v>1</v>
      </c>
      <c r="L2703" t="s">
        <v>1064</v>
      </c>
      <c r="M2703" t="s">
        <v>2383</v>
      </c>
      <c r="N2703" s="15" t="s">
        <v>6878</v>
      </c>
    </row>
    <row r="2704" spans="1:14" x14ac:dyDescent="0.2">
      <c r="A2704" t="s">
        <v>3818</v>
      </c>
      <c r="B2704" t="s">
        <v>2360</v>
      </c>
      <c r="C2704" s="9">
        <v>45002</v>
      </c>
      <c r="D2704" t="s">
        <v>946</v>
      </c>
      <c r="E2704" s="13">
        <v>26450000</v>
      </c>
      <c r="F2704" s="13">
        <v>5550</v>
      </c>
      <c r="G2704" s="9">
        <v>45002</v>
      </c>
      <c r="H2704" t="s">
        <v>1111</v>
      </c>
      <c r="I2704" t="s">
        <v>2382</v>
      </c>
      <c r="J2704" s="13">
        <v>440392</v>
      </c>
      <c r="K2704">
        <v>1</v>
      </c>
      <c r="L2704" t="s">
        <v>1064</v>
      </c>
      <c r="M2704" t="s">
        <v>2383</v>
      </c>
      <c r="N2704" s="15" t="s">
        <v>6878</v>
      </c>
    </row>
    <row r="2705" spans="1:14" x14ac:dyDescent="0.2">
      <c r="A2705" t="s">
        <v>3819</v>
      </c>
      <c r="B2705" t="s">
        <v>2360</v>
      </c>
      <c r="C2705" s="9">
        <v>45002</v>
      </c>
      <c r="D2705" t="s">
        <v>946</v>
      </c>
      <c r="E2705" s="13">
        <v>9200000</v>
      </c>
      <c r="F2705" s="13">
        <v>5550</v>
      </c>
      <c r="G2705" s="9">
        <v>45002</v>
      </c>
      <c r="H2705" t="s">
        <v>1111</v>
      </c>
      <c r="I2705" t="s">
        <v>2382</v>
      </c>
      <c r="J2705" s="13">
        <v>153180</v>
      </c>
      <c r="K2705">
        <v>1</v>
      </c>
      <c r="L2705" t="s">
        <v>1064</v>
      </c>
      <c r="M2705" t="s">
        <v>2383</v>
      </c>
      <c r="N2705" s="15" t="s">
        <v>6878</v>
      </c>
    </row>
    <row r="2706" spans="1:14" x14ac:dyDescent="0.2">
      <c r="A2706" t="s">
        <v>3820</v>
      </c>
      <c r="B2706" t="s">
        <v>2360</v>
      </c>
      <c r="C2706" s="9">
        <v>45002</v>
      </c>
      <c r="D2706" t="s">
        <v>946</v>
      </c>
      <c r="E2706" s="13">
        <v>18975000</v>
      </c>
      <c r="F2706" s="13">
        <v>5550</v>
      </c>
      <c r="G2706" s="9">
        <v>45002</v>
      </c>
      <c r="H2706" t="s">
        <v>1111</v>
      </c>
      <c r="I2706" t="s">
        <v>2382</v>
      </c>
      <c r="J2706" s="13">
        <v>315933</v>
      </c>
      <c r="K2706">
        <v>1</v>
      </c>
      <c r="L2706" t="s">
        <v>1064</v>
      </c>
      <c r="M2706" t="s">
        <v>2383</v>
      </c>
      <c r="N2706" s="15" t="s">
        <v>6878</v>
      </c>
    </row>
    <row r="2707" spans="1:14" x14ac:dyDescent="0.2">
      <c r="A2707" t="s">
        <v>3821</v>
      </c>
      <c r="B2707" t="s">
        <v>2360</v>
      </c>
      <c r="C2707" s="9">
        <v>45002</v>
      </c>
      <c r="D2707" t="s">
        <v>946</v>
      </c>
      <c r="E2707" s="13">
        <v>9832500</v>
      </c>
      <c r="F2707" s="13">
        <v>5550</v>
      </c>
      <c r="G2707" s="9">
        <v>45002</v>
      </c>
      <c r="H2707" t="s">
        <v>1111</v>
      </c>
      <c r="I2707" t="s">
        <v>2382</v>
      </c>
      <c r="J2707" s="13">
        <v>163710</v>
      </c>
      <c r="K2707">
        <v>1</v>
      </c>
      <c r="L2707" t="s">
        <v>1064</v>
      </c>
      <c r="M2707" t="s">
        <v>2383</v>
      </c>
      <c r="N2707" s="15" t="s">
        <v>6878</v>
      </c>
    </row>
    <row r="2708" spans="1:14" x14ac:dyDescent="0.2">
      <c r="A2708" t="s">
        <v>3822</v>
      </c>
      <c r="B2708" t="s">
        <v>2360</v>
      </c>
      <c r="C2708" s="9">
        <v>45002</v>
      </c>
      <c r="D2708" t="s">
        <v>946</v>
      </c>
      <c r="E2708" s="13">
        <v>19550000</v>
      </c>
      <c r="F2708" s="13">
        <v>5550</v>
      </c>
      <c r="G2708" s="9">
        <v>45002</v>
      </c>
      <c r="H2708" t="s">
        <v>1111</v>
      </c>
      <c r="I2708" t="s">
        <v>2382</v>
      </c>
      <c r="J2708" s="13">
        <v>325507</v>
      </c>
      <c r="K2708">
        <v>1</v>
      </c>
      <c r="L2708" t="s">
        <v>1064</v>
      </c>
      <c r="M2708" t="s">
        <v>2383</v>
      </c>
      <c r="N2708" s="15" t="s">
        <v>6878</v>
      </c>
    </row>
    <row r="2709" spans="1:14" x14ac:dyDescent="0.2">
      <c r="A2709" t="s">
        <v>3823</v>
      </c>
      <c r="B2709" t="s">
        <v>2360</v>
      </c>
      <c r="C2709" s="9">
        <v>45002</v>
      </c>
      <c r="D2709" t="s">
        <v>946</v>
      </c>
      <c r="E2709" s="13">
        <v>14950000</v>
      </c>
      <c r="F2709" s="13">
        <v>5550</v>
      </c>
      <c r="G2709" s="9">
        <v>45002</v>
      </c>
      <c r="H2709" t="s">
        <v>1111</v>
      </c>
      <c r="I2709" t="s">
        <v>2382</v>
      </c>
      <c r="J2709" s="13">
        <v>248917</v>
      </c>
      <c r="K2709">
        <v>1</v>
      </c>
      <c r="L2709" t="s">
        <v>1064</v>
      </c>
      <c r="M2709" t="s">
        <v>2383</v>
      </c>
      <c r="N2709" s="15" t="s">
        <v>6878</v>
      </c>
    </row>
    <row r="2710" spans="1:14" x14ac:dyDescent="0.2">
      <c r="A2710" t="s">
        <v>3824</v>
      </c>
      <c r="B2710" t="s">
        <v>2360</v>
      </c>
      <c r="C2710" s="9">
        <v>45002</v>
      </c>
      <c r="D2710" t="s">
        <v>946</v>
      </c>
      <c r="E2710" s="13">
        <v>15525000</v>
      </c>
      <c r="F2710" s="13">
        <v>5550</v>
      </c>
      <c r="G2710" s="9">
        <v>45002</v>
      </c>
      <c r="H2710" t="s">
        <v>1111</v>
      </c>
      <c r="I2710" t="s">
        <v>2382</v>
      </c>
      <c r="J2710" s="13">
        <v>258491</v>
      </c>
      <c r="K2710">
        <v>1</v>
      </c>
      <c r="L2710" t="s">
        <v>1064</v>
      </c>
      <c r="M2710" t="s">
        <v>2383</v>
      </c>
      <c r="N2710" s="15" t="s">
        <v>6878</v>
      </c>
    </row>
    <row r="2711" spans="1:14" x14ac:dyDescent="0.2">
      <c r="A2711" t="s">
        <v>3825</v>
      </c>
      <c r="B2711" t="s">
        <v>2360</v>
      </c>
      <c r="C2711" s="9">
        <v>45002</v>
      </c>
      <c r="D2711" t="s">
        <v>946</v>
      </c>
      <c r="E2711" s="13">
        <v>12420000</v>
      </c>
      <c r="F2711" s="13">
        <v>5550</v>
      </c>
      <c r="G2711" s="9">
        <v>45002</v>
      </c>
      <c r="H2711" t="s">
        <v>1111</v>
      </c>
      <c r="I2711" t="s">
        <v>2382</v>
      </c>
      <c r="J2711" s="13">
        <v>206793</v>
      </c>
      <c r="K2711">
        <v>1</v>
      </c>
      <c r="L2711" t="s">
        <v>1064</v>
      </c>
      <c r="M2711" t="s">
        <v>2383</v>
      </c>
      <c r="N2711" s="15" t="s">
        <v>6878</v>
      </c>
    </row>
    <row r="2712" spans="1:14" x14ac:dyDescent="0.2">
      <c r="A2712" t="s">
        <v>3826</v>
      </c>
      <c r="B2712" t="s">
        <v>2360</v>
      </c>
      <c r="C2712" s="9">
        <v>45002</v>
      </c>
      <c r="D2712" t="s">
        <v>946</v>
      </c>
      <c r="E2712" s="13">
        <v>15525000</v>
      </c>
      <c r="F2712" s="13">
        <v>5550</v>
      </c>
      <c r="G2712" s="9">
        <v>45002</v>
      </c>
      <c r="H2712" t="s">
        <v>1111</v>
      </c>
      <c r="I2712" t="s">
        <v>2382</v>
      </c>
      <c r="J2712" s="13">
        <v>258491</v>
      </c>
      <c r="K2712">
        <v>1</v>
      </c>
      <c r="L2712" t="s">
        <v>1064</v>
      </c>
      <c r="M2712" t="s">
        <v>2383</v>
      </c>
      <c r="N2712" s="15" t="s">
        <v>6878</v>
      </c>
    </row>
    <row r="2713" spans="1:14" x14ac:dyDescent="0.2">
      <c r="A2713" t="s">
        <v>3827</v>
      </c>
      <c r="B2713" t="s">
        <v>2360</v>
      </c>
      <c r="C2713" s="9">
        <v>45002</v>
      </c>
      <c r="D2713" t="s">
        <v>946</v>
      </c>
      <c r="E2713" s="13">
        <v>12075000</v>
      </c>
      <c r="F2713" s="13">
        <v>5550</v>
      </c>
      <c r="G2713" s="9">
        <v>45002</v>
      </c>
      <c r="H2713" t="s">
        <v>1111</v>
      </c>
      <c r="I2713" t="s">
        <v>2382</v>
      </c>
      <c r="J2713" s="13">
        <v>201048</v>
      </c>
      <c r="K2713">
        <v>1</v>
      </c>
      <c r="L2713" t="s">
        <v>1064</v>
      </c>
      <c r="M2713" t="s">
        <v>2383</v>
      </c>
      <c r="N2713" s="15" t="s">
        <v>6878</v>
      </c>
    </row>
    <row r="2714" spans="1:14" x14ac:dyDescent="0.2">
      <c r="A2714" t="s">
        <v>3828</v>
      </c>
      <c r="B2714" t="s">
        <v>2360</v>
      </c>
      <c r="C2714" s="9">
        <v>45002</v>
      </c>
      <c r="D2714" t="s">
        <v>946</v>
      </c>
      <c r="E2714" s="13">
        <v>19550000</v>
      </c>
      <c r="F2714" s="13">
        <v>5550</v>
      </c>
      <c r="G2714" s="9">
        <v>45002</v>
      </c>
      <c r="H2714" t="s">
        <v>1111</v>
      </c>
      <c r="I2714" t="s">
        <v>2382</v>
      </c>
      <c r="J2714" s="13">
        <v>325507</v>
      </c>
      <c r="K2714">
        <v>1</v>
      </c>
      <c r="L2714" t="s">
        <v>1064</v>
      </c>
      <c r="M2714" t="s">
        <v>2383</v>
      </c>
      <c r="N2714" s="15" t="s">
        <v>6878</v>
      </c>
    </row>
    <row r="2715" spans="1:14" x14ac:dyDescent="0.2">
      <c r="A2715" t="s">
        <v>3829</v>
      </c>
      <c r="B2715" t="s">
        <v>2360</v>
      </c>
      <c r="C2715" s="9">
        <v>45002</v>
      </c>
      <c r="D2715" t="s">
        <v>946</v>
      </c>
      <c r="E2715" s="13">
        <v>10000000</v>
      </c>
      <c r="F2715" s="13">
        <v>5550</v>
      </c>
      <c r="G2715" s="9">
        <v>45002</v>
      </c>
      <c r="H2715" t="s">
        <v>1111</v>
      </c>
      <c r="I2715" t="s">
        <v>2382</v>
      </c>
      <c r="J2715" s="13">
        <v>166500</v>
      </c>
      <c r="K2715">
        <v>1</v>
      </c>
      <c r="L2715" t="s">
        <v>1064</v>
      </c>
      <c r="M2715" t="s">
        <v>2383</v>
      </c>
      <c r="N2715" s="15" t="s">
        <v>6878</v>
      </c>
    </row>
    <row r="2716" spans="1:14" x14ac:dyDescent="0.2">
      <c r="A2716" t="s">
        <v>3830</v>
      </c>
      <c r="B2716" t="s">
        <v>2360</v>
      </c>
      <c r="C2716" s="9">
        <v>45002</v>
      </c>
      <c r="D2716" t="s">
        <v>946</v>
      </c>
      <c r="E2716" s="13">
        <v>9150000</v>
      </c>
      <c r="F2716" s="13">
        <v>5550</v>
      </c>
      <c r="G2716" s="9">
        <v>45002</v>
      </c>
      <c r="H2716" t="s">
        <v>1111</v>
      </c>
      <c r="I2716" t="s">
        <v>2382</v>
      </c>
      <c r="J2716" s="13">
        <v>152347</v>
      </c>
      <c r="K2716">
        <v>1</v>
      </c>
      <c r="L2716" t="s">
        <v>1064</v>
      </c>
      <c r="M2716" t="s">
        <v>2383</v>
      </c>
      <c r="N2716" s="15" t="s">
        <v>6878</v>
      </c>
    </row>
    <row r="2717" spans="1:14" x14ac:dyDescent="0.2">
      <c r="A2717" t="s">
        <v>3831</v>
      </c>
      <c r="B2717" t="s">
        <v>2360</v>
      </c>
      <c r="C2717" s="9">
        <v>45002</v>
      </c>
      <c r="D2717" t="s">
        <v>946</v>
      </c>
      <c r="E2717" s="13">
        <v>3680000</v>
      </c>
      <c r="F2717" s="13">
        <v>5550</v>
      </c>
      <c r="G2717" s="9">
        <v>45002</v>
      </c>
      <c r="H2717" t="s">
        <v>1111</v>
      </c>
      <c r="I2717" t="s">
        <v>2382</v>
      </c>
      <c r="J2717" s="13">
        <v>61272</v>
      </c>
      <c r="K2717">
        <v>1</v>
      </c>
      <c r="L2717" t="s">
        <v>1064</v>
      </c>
      <c r="M2717" t="s">
        <v>2383</v>
      </c>
      <c r="N2717" s="15" t="s">
        <v>6878</v>
      </c>
    </row>
    <row r="2718" spans="1:14" x14ac:dyDescent="0.2">
      <c r="A2718" t="s">
        <v>3832</v>
      </c>
      <c r="B2718" t="s">
        <v>2360</v>
      </c>
      <c r="C2718" s="9">
        <v>45002</v>
      </c>
      <c r="D2718" t="s">
        <v>946</v>
      </c>
      <c r="E2718" s="13">
        <v>17360000</v>
      </c>
      <c r="F2718" s="13">
        <v>5550</v>
      </c>
      <c r="G2718" s="9">
        <v>45002</v>
      </c>
      <c r="H2718" t="s">
        <v>1111</v>
      </c>
      <c r="I2718" t="s">
        <v>2382</v>
      </c>
      <c r="J2718" s="13">
        <v>289044</v>
      </c>
      <c r="K2718">
        <v>1</v>
      </c>
      <c r="L2718" t="s">
        <v>1064</v>
      </c>
      <c r="M2718" t="s">
        <v>2383</v>
      </c>
      <c r="N2718" s="15" t="s">
        <v>6878</v>
      </c>
    </row>
    <row r="2719" spans="1:14" x14ac:dyDescent="0.2">
      <c r="A2719" t="s">
        <v>3833</v>
      </c>
      <c r="B2719" t="s">
        <v>2360</v>
      </c>
      <c r="C2719" s="9">
        <v>45002</v>
      </c>
      <c r="D2719" t="s">
        <v>946</v>
      </c>
      <c r="E2719" s="13">
        <v>880000</v>
      </c>
      <c r="F2719" s="13">
        <v>5550</v>
      </c>
      <c r="G2719" s="9">
        <v>45002</v>
      </c>
      <c r="H2719" t="s">
        <v>1111</v>
      </c>
      <c r="I2719" t="s">
        <v>2382</v>
      </c>
      <c r="J2719" s="13">
        <v>14652</v>
      </c>
      <c r="K2719">
        <v>1</v>
      </c>
      <c r="L2719" t="s">
        <v>1064</v>
      </c>
      <c r="M2719" t="s">
        <v>2383</v>
      </c>
      <c r="N2719" s="15" t="s">
        <v>6878</v>
      </c>
    </row>
    <row r="2720" spans="1:14" x14ac:dyDescent="0.2">
      <c r="A2720" t="s">
        <v>3834</v>
      </c>
      <c r="B2720" t="s">
        <v>2360</v>
      </c>
      <c r="C2720" s="9">
        <v>45002</v>
      </c>
      <c r="D2720" t="s">
        <v>946</v>
      </c>
      <c r="E2720" s="13">
        <v>2640000</v>
      </c>
      <c r="F2720" s="13">
        <v>5550</v>
      </c>
      <c r="G2720" s="9">
        <v>45002</v>
      </c>
      <c r="H2720" t="s">
        <v>1111</v>
      </c>
      <c r="I2720" t="s">
        <v>2382</v>
      </c>
      <c r="J2720" s="13">
        <v>43956</v>
      </c>
      <c r="K2720">
        <v>1</v>
      </c>
      <c r="L2720" t="s">
        <v>1064</v>
      </c>
      <c r="M2720" t="s">
        <v>2383</v>
      </c>
      <c r="N2720" s="15" t="s">
        <v>6878</v>
      </c>
    </row>
    <row r="2721" spans="1:14" x14ac:dyDescent="0.2">
      <c r="A2721" t="s">
        <v>3835</v>
      </c>
      <c r="B2721" t="s">
        <v>2360</v>
      </c>
      <c r="C2721" s="9">
        <v>45002</v>
      </c>
      <c r="D2721" t="s">
        <v>946</v>
      </c>
      <c r="E2721" s="13">
        <v>3300000</v>
      </c>
      <c r="F2721" s="13">
        <v>5550</v>
      </c>
      <c r="G2721" s="9">
        <v>45002</v>
      </c>
      <c r="H2721" t="s">
        <v>1111</v>
      </c>
      <c r="I2721" t="s">
        <v>2382</v>
      </c>
      <c r="J2721" s="13">
        <v>54945</v>
      </c>
      <c r="K2721">
        <v>1</v>
      </c>
      <c r="L2721" t="s">
        <v>1064</v>
      </c>
      <c r="M2721" t="s">
        <v>2383</v>
      </c>
      <c r="N2721" s="15" t="s">
        <v>6878</v>
      </c>
    </row>
    <row r="2722" spans="1:14" x14ac:dyDescent="0.2">
      <c r="A2722" t="s">
        <v>3836</v>
      </c>
      <c r="B2722" t="s">
        <v>2360</v>
      </c>
      <c r="C2722" s="9">
        <v>45002</v>
      </c>
      <c r="D2722" t="s">
        <v>946</v>
      </c>
      <c r="E2722" s="13">
        <v>990000</v>
      </c>
      <c r="F2722" s="13">
        <v>5550</v>
      </c>
      <c r="G2722" s="9">
        <v>45002</v>
      </c>
      <c r="H2722" t="s">
        <v>1111</v>
      </c>
      <c r="I2722" t="s">
        <v>2382</v>
      </c>
      <c r="J2722" s="13">
        <v>16483</v>
      </c>
      <c r="K2722">
        <v>1</v>
      </c>
      <c r="L2722" t="s">
        <v>1064</v>
      </c>
      <c r="M2722" t="s">
        <v>2383</v>
      </c>
      <c r="N2722" s="15" t="s">
        <v>6878</v>
      </c>
    </row>
    <row r="2723" spans="1:14" x14ac:dyDescent="0.2">
      <c r="A2723" t="s">
        <v>3837</v>
      </c>
      <c r="B2723" t="s">
        <v>2360</v>
      </c>
      <c r="C2723" s="9">
        <v>45002</v>
      </c>
      <c r="D2723" t="s">
        <v>946</v>
      </c>
      <c r="E2723" s="13">
        <v>3080000</v>
      </c>
      <c r="F2723" s="13">
        <v>5550</v>
      </c>
      <c r="G2723" s="9">
        <v>45002</v>
      </c>
      <c r="H2723" t="s">
        <v>1111</v>
      </c>
      <c r="I2723" t="s">
        <v>2382</v>
      </c>
      <c r="J2723" s="13">
        <v>51282</v>
      </c>
      <c r="K2723">
        <v>1</v>
      </c>
      <c r="L2723" t="s">
        <v>1064</v>
      </c>
      <c r="M2723" t="s">
        <v>2383</v>
      </c>
      <c r="N2723" s="15" t="s">
        <v>6878</v>
      </c>
    </row>
    <row r="2724" spans="1:14" x14ac:dyDescent="0.2">
      <c r="A2724" t="s">
        <v>3838</v>
      </c>
      <c r="B2724" t="s">
        <v>2360</v>
      </c>
      <c r="C2724" s="9">
        <v>45002</v>
      </c>
      <c r="D2724" t="s">
        <v>946</v>
      </c>
      <c r="E2724" s="13">
        <v>10000000</v>
      </c>
      <c r="F2724" s="13">
        <v>5550</v>
      </c>
      <c r="G2724" s="9">
        <v>45002</v>
      </c>
      <c r="H2724" t="s">
        <v>1111</v>
      </c>
      <c r="I2724" t="s">
        <v>2382</v>
      </c>
      <c r="J2724" s="13">
        <v>166500</v>
      </c>
      <c r="K2724">
        <v>1</v>
      </c>
      <c r="L2724" t="s">
        <v>1064</v>
      </c>
      <c r="M2724" t="s">
        <v>2383</v>
      </c>
      <c r="N2724" s="15" t="s">
        <v>6878</v>
      </c>
    </row>
    <row r="2725" spans="1:14" x14ac:dyDescent="0.2">
      <c r="A2725" t="s">
        <v>3839</v>
      </c>
      <c r="B2725" t="s">
        <v>2360</v>
      </c>
      <c r="C2725" s="9">
        <v>45002</v>
      </c>
      <c r="D2725" t="s">
        <v>946</v>
      </c>
      <c r="E2725" s="13">
        <v>9832500</v>
      </c>
      <c r="F2725" s="13">
        <v>5550</v>
      </c>
      <c r="G2725" s="9">
        <v>45002</v>
      </c>
      <c r="H2725" t="s">
        <v>1111</v>
      </c>
      <c r="I2725" t="s">
        <v>2382</v>
      </c>
      <c r="J2725" s="13">
        <v>163710</v>
      </c>
      <c r="K2725">
        <v>1</v>
      </c>
      <c r="L2725" t="s">
        <v>1064</v>
      </c>
      <c r="M2725" t="s">
        <v>2383</v>
      </c>
      <c r="N2725" s="15" t="s">
        <v>6878</v>
      </c>
    </row>
    <row r="2726" spans="1:14" x14ac:dyDescent="0.2">
      <c r="A2726" t="s">
        <v>3840</v>
      </c>
      <c r="B2726" t="s">
        <v>2360</v>
      </c>
      <c r="C2726" s="9">
        <v>45002</v>
      </c>
      <c r="D2726" t="s">
        <v>946</v>
      </c>
      <c r="E2726" s="13">
        <v>2200000</v>
      </c>
      <c r="F2726" s="13">
        <v>5550</v>
      </c>
      <c r="G2726" s="9">
        <v>45002</v>
      </c>
      <c r="H2726" t="s">
        <v>1111</v>
      </c>
      <c r="I2726" t="s">
        <v>2382</v>
      </c>
      <c r="J2726" s="13">
        <v>36630</v>
      </c>
      <c r="K2726">
        <v>1</v>
      </c>
      <c r="L2726" t="s">
        <v>1064</v>
      </c>
      <c r="M2726" t="s">
        <v>2383</v>
      </c>
      <c r="N2726" s="15" t="s">
        <v>6878</v>
      </c>
    </row>
    <row r="2727" spans="1:14" x14ac:dyDescent="0.2">
      <c r="A2727" t="s">
        <v>3841</v>
      </c>
      <c r="B2727" t="s">
        <v>2360</v>
      </c>
      <c r="C2727" s="9">
        <v>45002</v>
      </c>
      <c r="D2727" t="s">
        <v>946</v>
      </c>
      <c r="E2727" s="13">
        <v>12075000</v>
      </c>
      <c r="F2727" s="13">
        <v>5550</v>
      </c>
      <c r="G2727" s="9">
        <v>45002</v>
      </c>
      <c r="H2727" t="s">
        <v>1111</v>
      </c>
      <c r="I2727" t="s">
        <v>2382</v>
      </c>
      <c r="J2727" s="13">
        <v>201048</v>
      </c>
      <c r="K2727">
        <v>1</v>
      </c>
      <c r="L2727" t="s">
        <v>1064</v>
      </c>
      <c r="M2727" t="s">
        <v>2383</v>
      </c>
      <c r="N2727" s="15" t="s">
        <v>6878</v>
      </c>
    </row>
    <row r="2728" spans="1:14" x14ac:dyDescent="0.2">
      <c r="A2728" t="s">
        <v>3842</v>
      </c>
      <c r="B2728" t="s">
        <v>2360</v>
      </c>
      <c r="C2728" s="9">
        <v>45002</v>
      </c>
      <c r="D2728" t="s">
        <v>946</v>
      </c>
      <c r="E2728" s="13">
        <v>9200000</v>
      </c>
      <c r="F2728" s="13">
        <v>5550</v>
      </c>
      <c r="G2728" s="9">
        <v>45002</v>
      </c>
      <c r="H2728" t="s">
        <v>1111</v>
      </c>
      <c r="I2728" t="s">
        <v>2382</v>
      </c>
      <c r="J2728" s="13">
        <v>153180</v>
      </c>
      <c r="K2728">
        <v>1</v>
      </c>
      <c r="L2728" t="s">
        <v>1064</v>
      </c>
      <c r="M2728" t="s">
        <v>2383</v>
      </c>
      <c r="N2728" s="15" t="s">
        <v>6878</v>
      </c>
    </row>
    <row r="2729" spans="1:14" x14ac:dyDescent="0.2">
      <c r="A2729" t="s">
        <v>3843</v>
      </c>
      <c r="B2729" t="s">
        <v>2360</v>
      </c>
      <c r="C2729" s="9">
        <v>45002</v>
      </c>
      <c r="D2729" t="s">
        <v>946</v>
      </c>
      <c r="E2729" s="13">
        <v>12650000</v>
      </c>
      <c r="F2729" s="13">
        <v>5550</v>
      </c>
      <c r="G2729" s="9">
        <v>45002</v>
      </c>
      <c r="H2729" t="s">
        <v>1111</v>
      </c>
      <c r="I2729" t="s">
        <v>2382</v>
      </c>
      <c r="J2729" s="13">
        <v>210622</v>
      </c>
      <c r="K2729">
        <v>1</v>
      </c>
      <c r="L2729" t="s">
        <v>1064</v>
      </c>
      <c r="M2729" t="s">
        <v>2383</v>
      </c>
      <c r="N2729" s="15" t="s">
        <v>6878</v>
      </c>
    </row>
    <row r="2730" spans="1:14" x14ac:dyDescent="0.2">
      <c r="A2730" t="s">
        <v>3844</v>
      </c>
      <c r="B2730" t="s">
        <v>2360</v>
      </c>
      <c r="C2730" s="9">
        <v>45002</v>
      </c>
      <c r="D2730" t="s">
        <v>946</v>
      </c>
      <c r="E2730" s="13">
        <v>11615000</v>
      </c>
      <c r="F2730" s="13">
        <v>5550</v>
      </c>
      <c r="G2730" s="9">
        <v>45002</v>
      </c>
      <c r="H2730" t="s">
        <v>1111</v>
      </c>
      <c r="I2730" t="s">
        <v>2382</v>
      </c>
      <c r="J2730" s="13">
        <v>193389</v>
      </c>
      <c r="K2730">
        <v>1</v>
      </c>
      <c r="L2730" t="s">
        <v>1064</v>
      </c>
      <c r="M2730" t="s">
        <v>2383</v>
      </c>
      <c r="N2730" s="15" t="s">
        <v>6878</v>
      </c>
    </row>
    <row r="2731" spans="1:14" x14ac:dyDescent="0.2">
      <c r="A2731" t="s">
        <v>3845</v>
      </c>
      <c r="B2731" t="s">
        <v>2360</v>
      </c>
      <c r="C2731" s="9">
        <v>45002</v>
      </c>
      <c r="D2731" t="s">
        <v>946</v>
      </c>
      <c r="E2731" s="13">
        <v>11500000</v>
      </c>
      <c r="F2731" s="13">
        <v>5550</v>
      </c>
      <c r="G2731" s="9">
        <v>45002</v>
      </c>
      <c r="H2731" t="s">
        <v>1111</v>
      </c>
      <c r="I2731" t="s">
        <v>2382</v>
      </c>
      <c r="J2731" s="13">
        <v>191475</v>
      </c>
      <c r="K2731">
        <v>1</v>
      </c>
      <c r="L2731" t="s">
        <v>1064</v>
      </c>
      <c r="M2731" t="s">
        <v>2383</v>
      </c>
      <c r="N2731" s="15" t="s">
        <v>6878</v>
      </c>
    </row>
    <row r="2732" spans="1:14" x14ac:dyDescent="0.2">
      <c r="A2732" t="s">
        <v>3846</v>
      </c>
      <c r="B2732" t="s">
        <v>2360</v>
      </c>
      <c r="C2732" s="9">
        <v>45002</v>
      </c>
      <c r="D2732" t="s">
        <v>946</v>
      </c>
      <c r="E2732" s="13">
        <v>2640000</v>
      </c>
      <c r="F2732" s="13">
        <v>5550</v>
      </c>
      <c r="G2732" s="9">
        <v>45002</v>
      </c>
      <c r="H2732" t="s">
        <v>1111</v>
      </c>
      <c r="I2732" t="s">
        <v>2382</v>
      </c>
      <c r="J2732" s="13">
        <v>43956</v>
      </c>
      <c r="K2732">
        <v>1</v>
      </c>
      <c r="L2732" t="s">
        <v>1064</v>
      </c>
      <c r="M2732" t="s">
        <v>2383</v>
      </c>
      <c r="N2732" s="15" t="s">
        <v>6878</v>
      </c>
    </row>
    <row r="2733" spans="1:14" x14ac:dyDescent="0.2">
      <c r="A2733" t="s">
        <v>3847</v>
      </c>
      <c r="B2733" t="s">
        <v>2360</v>
      </c>
      <c r="C2733" s="9">
        <v>45002</v>
      </c>
      <c r="D2733" t="s">
        <v>946</v>
      </c>
      <c r="E2733" s="13">
        <v>3300000</v>
      </c>
      <c r="F2733" s="13">
        <v>5550</v>
      </c>
      <c r="G2733" s="9">
        <v>45002</v>
      </c>
      <c r="H2733" t="s">
        <v>1111</v>
      </c>
      <c r="I2733" t="s">
        <v>2382</v>
      </c>
      <c r="J2733" s="13">
        <v>54945</v>
      </c>
      <c r="K2733">
        <v>1</v>
      </c>
      <c r="L2733" t="s">
        <v>1064</v>
      </c>
      <c r="M2733" t="s">
        <v>2383</v>
      </c>
      <c r="N2733" s="15" t="s">
        <v>6878</v>
      </c>
    </row>
    <row r="2734" spans="1:14" x14ac:dyDescent="0.2">
      <c r="A2734" t="s">
        <v>3848</v>
      </c>
      <c r="B2734" t="s">
        <v>2360</v>
      </c>
      <c r="C2734" s="9">
        <v>45002</v>
      </c>
      <c r="D2734" t="s">
        <v>946</v>
      </c>
      <c r="E2734" s="13">
        <v>2200000</v>
      </c>
      <c r="F2734" s="13">
        <v>5550</v>
      </c>
      <c r="G2734" s="9">
        <v>45002</v>
      </c>
      <c r="H2734" t="s">
        <v>1111</v>
      </c>
      <c r="I2734" t="s">
        <v>2382</v>
      </c>
      <c r="J2734" s="13">
        <v>36630</v>
      </c>
      <c r="K2734">
        <v>1</v>
      </c>
      <c r="L2734" t="s">
        <v>1064</v>
      </c>
      <c r="M2734" t="s">
        <v>2383</v>
      </c>
      <c r="N2734" s="15" t="s">
        <v>6878</v>
      </c>
    </row>
    <row r="2735" spans="1:14" x14ac:dyDescent="0.2">
      <c r="A2735" t="s">
        <v>3849</v>
      </c>
      <c r="B2735" t="s">
        <v>2360</v>
      </c>
      <c r="C2735" s="9">
        <v>45002</v>
      </c>
      <c r="D2735" t="s">
        <v>946</v>
      </c>
      <c r="E2735" s="13">
        <v>3300000</v>
      </c>
      <c r="F2735" s="13">
        <v>5550</v>
      </c>
      <c r="G2735" s="9">
        <v>45002</v>
      </c>
      <c r="H2735" t="s">
        <v>1111</v>
      </c>
      <c r="I2735" t="s">
        <v>2382</v>
      </c>
      <c r="J2735" s="13">
        <v>54945</v>
      </c>
      <c r="K2735">
        <v>1</v>
      </c>
      <c r="L2735" t="s">
        <v>1064</v>
      </c>
      <c r="M2735" t="s">
        <v>2383</v>
      </c>
      <c r="N2735" s="15" t="s">
        <v>6878</v>
      </c>
    </row>
    <row r="2736" spans="1:14" x14ac:dyDescent="0.2">
      <c r="A2736" t="s">
        <v>3850</v>
      </c>
      <c r="B2736" t="s">
        <v>2360</v>
      </c>
      <c r="C2736" s="9">
        <v>45002</v>
      </c>
      <c r="D2736" t="s">
        <v>946</v>
      </c>
      <c r="E2736" s="13">
        <v>4290000</v>
      </c>
      <c r="F2736" s="13">
        <v>5550</v>
      </c>
      <c r="G2736" s="9">
        <v>45002</v>
      </c>
      <c r="H2736" t="s">
        <v>1111</v>
      </c>
      <c r="I2736" t="s">
        <v>2382</v>
      </c>
      <c r="J2736" s="13">
        <v>71428</v>
      </c>
      <c r="K2736">
        <v>1</v>
      </c>
      <c r="L2736" t="s">
        <v>1064</v>
      </c>
      <c r="M2736" t="s">
        <v>2383</v>
      </c>
      <c r="N2736" s="15" t="s">
        <v>6878</v>
      </c>
    </row>
    <row r="2737" spans="1:14" x14ac:dyDescent="0.2">
      <c r="A2737" t="s">
        <v>3851</v>
      </c>
      <c r="B2737" t="s">
        <v>2360</v>
      </c>
      <c r="C2737" s="9">
        <v>45002</v>
      </c>
      <c r="D2737" t="s">
        <v>946</v>
      </c>
      <c r="E2737" s="13">
        <v>1210000</v>
      </c>
      <c r="F2737" s="13">
        <v>5550</v>
      </c>
      <c r="G2737" s="9">
        <v>45002</v>
      </c>
      <c r="H2737" t="s">
        <v>1111</v>
      </c>
      <c r="I2737" t="s">
        <v>2382</v>
      </c>
      <c r="J2737" s="13">
        <v>20146</v>
      </c>
      <c r="K2737">
        <v>1</v>
      </c>
      <c r="L2737" t="s">
        <v>1064</v>
      </c>
      <c r="M2737" t="s">
        <v>2383</v>
      </c>
      <c r="N2737" s="15" t="s">
        <v>6878</v>
      </c>
    </row>
    <row r="2738" spans="1:14" x14ac:dyDescent="0.2">
      <c r="A2738" t="s">
        <v>3852</v>
      </c>
      <c r="B2738" t="s">
        <v>2360</v>
      </c>
      <c r="C2738" s="9">
        <v>45002</v>
      </c>
      <c r="D2738" t="s">
        <v>946</v>
      </c>
      <c r="E2738" s="13">
        <v>1100000</v>
      </c>
      <c r="F2738" s="13">
        <v>5550</v>
      </c>
      <c r="G2738" s="9">
        <v>45002</v>
      </c>
      <c r="H2738" t="s">
        <v>1111</v>
      </c>
      <c r="I2738" t="s">
        <v>2382</v>
      </c>
      <c r="J2738" s="13">
        <v>18315</v>
      </c>
      <c r="K2738">
        <v>1</v>
      </c>
      <c r="L2738" t="s">
        <v>1064</v>
      </c>
      <c r="M2738" t="s">
        <v>2383</v>
      </c>
      <c r="N2738" s="15" t="s">
        <v>6878</v>
      </c>
    </row>
    <row r="2739" spans="1:14" x14ac:dyDescent="0.2">
      <c r="A2739" t="s">
        <v>3853</v>
      </c>
      <c r="B2739" t="s">
        <v>2360</v>
      </c>
      <c r="C2739" s="9">
        <v>45002</v>
      </c>
      <c r="D2739" t="s">
        <v>946</v>
      </c>
      <c r="E2739" s="13">
        <v>37950000</v>
      </c>
      <c r="F2739" s="13">
        <v>5550</v>
      </c>
      <c r="G2739" s="9">
        <v>45002</v>
      </c>
      <c r="H2739" t="s">
        <v>1111</v>
      </c>
      <c r="I2739" t="s">
        <v>2382</v>
      </c>
      <c r="J2739" s="13">
        <v>631867</v>
      </c>
      <c r="K2739">
        <v>1</v>
      </c>
      <c r="L2739" t="s">
        <v>1064</v>
      </c>
      <c r="M2739" t="s">
        <v>2383</v>
      </c>
      <c r="N2739" s="15" t="s">
        <v>6878</v>
      </c>
    </row>
    <row r="2740" spans="1:14" x14ac:dyDescent="0.2">
      <c r="A2740" t="s">
        <v>3854</v>
      </c>
      <c r="B2740" t="s">
        <v>2360</v>
      </c>
      <c r="C2740" s="9">
        <v>45002</v>
      </c>
      <c r="D2740" t="s">
        <v>946</v>
      </c>
      <c r="E2740" s="13">
        <v>150000</v>
      </c>
      <c r="F2740" s="13">
        <v>5550</v>
      </c>
      <c r="G2740" s="9">
        <v>45002</v>
      </c>
      <c r="H2740" t="s">
        <v>1111</v>
      </c>
      <c r="I2740" t="s">
        <v>2382</v>
      </c>
      <c r="J2740" s="13">
        <v>2497</v>
      </c>
      <c r="K2740">
        <v>1</v>
      </c>
      <c r="L2740" t="s">
        <v>1064</v>
      </c>
      <c r="M2740" t="s">
        <v>2383</v>
      </c>
      <c r="N2740" s="15" t="s">
        <v>6878</v>
      </c>
    </row>
    <row r="2741" spans="1:14" x14ac:dyDescent="0.2">
      <c r="A2741" t="s">
        <v>3855</v>
      </c>
      <c r="B2741" t="s">
        <v>2360</v>
      </c>
      <c r="C2741" s="9">
        <v>45002</v>
      </c>
      <c r="D2741" t="s">
        <v>946</v>
      </c>
      <c r="E2741" s="13">
        <v>550000</v>
      </c>
      <c r="F2741" s="13">
        <v>5550</v>
      </c>
      <c r="G2741" s="9">
        <v>45002</v>
      </c>
      <c r="H2741" t="s">
        <v>1111</v>
      </c>
      <c r="I2741" t="s">
        <v>2382</v>
      </c>
      <c r="J2741" s="13">
        <v>9157</v>
      </c>
      <c r="K2741">
        <v>1</v>
      </c>
      <c r="L2741" t="s">
        <v>1064</v>
      </c>
      <c r="M2741" t="s">
        <v>2383</v>
      </c>
      <c r="N2741" s="15" t="s">
        <v>6878</v>
      </c>
    </row>
    <row r="2742" spans="1:14" x14ac:dyDescent="0.2">
      <c r="A2742" t="s">
        <v>3856</v>
      </c>
      <c r="B2742" t="s">
        <v>2360</v>
      </c>
      <c r="C2742" s="9">
        <v>45002</v>
      </c>
      <c r="D2742" t="s">
        <v>946</v>
      </c>
      <c r="E2742" s="13">
        <v>20700000</v>
      </c>
      <c r="F2742" s="13">
        <v>5550</v>
      </c>
      <c r="G2742" s="9">
        <v>45002</v>
      </c>
      <c r="H2742" t="s">
        <v>1111</v>
      </c>
      <c r="I2742" t="s">
        <v>2382</v>
      </c>
      <c r="J2742" s="13">
        <v>344655</v>
      </c>
      <c r="K2742">
        <v>1</v>
      </c>
      <c r="L2742" t="s">
        <v>1064</v>
      </c>
      <c r="M2742" t="s">
        <v>2383</v>
      </c>
      <c r="N2742" s="15" t="s">
        <v>6878</v>
      </c>
    </row>
    <row r="2743" spans="1:14" x14ac:dyDescent="0.2">
      <c r="A2743" t="s">
        <v>3857</v>
      </c>
      <c r="B2743" t="s">
        <v>2360</v>
      </c>
      <c r="C2743" s="9">
        <v>45002</v>
      </c>
      <c r="D2743" t="s">
        <v>946</v>
      </c>
      <c r="E2743" s="13">
        <v>150000</v>
      </c>
      <c r="F2743" s="13">
        <v>5550</v>
      </c>
      <c r="G2743" s="9">
        <v>45002</v>
      </c>
      <c r="H2743" t="s">
        <v>1111</v>
      </c>
      <c r="I2743" t="s">
        <v>2382</v>
      </c>
      <c r="J2743" s="13">
        <v>2497</v>
      </c>
      <c r="K2743">
        <v>1</v>
      </c>
      <c r="L2743" t="s">
        <v>1064</v>
      </c>
      <c r="M2743" t="s">
        <v>2383</v>
      </c>
      <c r="N2743" s="15" t="s">
        <v>6878</v>
      </c>
    </row>
    <row r="2744" spans="1:14" x14ac:dyDescent="0.2">
      <c r="A2744" t="s">
        <v>3858</v>
      </c>
      <c r="B2744" t="s">
        <v>2360</v>
      </c>
      <c r="C2744" s="9">
        <v>45002</v>
      </c>
      <c r="D2744" t="s">
        <v>946</v>
      </c>
      <c r="E2744" s="13">
        <v>13800000</v>
      </c>
      <c r="F2744" s="13">
        <v>5550</v>
      </c>
      <c r="G2744" s="9">
        <v>45002</v>
      </c>
      <c r="H2744" t="s">
        <v>1111</v>
      </c>
      <c r="I2744" t="s">
        <v>2382</v>
      </c>
      <c r="J2744" s="13">
        <v>229770</v>
      </c>
      <c r="K2744">
        <v>1</v>
      </c>
      <c r="L2744" t="s">
        <v>1064</v>
      </c>
      <c r="M2744" t="s">
        <v>2383</v>
      </c>
      <c r="N2744" s="15" t="s">
        <v>6878</v>
      </c>
    </row>
    <row r="2745" spans="1:14" x14ac:dyDescent="0.2">
      <c r="A2745" t="s">
        <v>3859</v>
      </c>
      <c r="B2745" t="s">
        <v>2360</v>
      </c>
      <c r="C2745" s="9">
        <v>45002</v>
      </c>
      <c r="D2745" t="s">
        <v>946</v>
      </c>
      <c r="E2745" s="13">
        <v>3335000</v>
      </c>
      <c r="F2745" s="13">
        <v>5550</v>
      </c>
      <c r="G2745" s="9">
        <v>45002</v>
      </c>
      <c r="H2745" t="s">
        <v>1111</v>
      </c>
      <c r="I2745" t="s">
        <v>2382</v>
      </c>
      <c r="J2745" s="13">
        <v>55527</v>
      </c>
      <c r="K2745">
        <v>1</v>
      </c>
      <c r="L2745" t="s">
        <v>1064</v>
      </c>
      <c r="M2745" t="s">
        <v>2383</v>
      </c>
      <c r="N2745" s="15" t="s">
        <v>6878</v>
      </c>
    </row>
    <row r="2746" spans="1:14" x14ac:dyDescent="0.2">
      <c r="A2746" t="s">
        <v>3860</v>
      </c>
      <c r="B2746" t="s">
        <v>2360</v>
      </c>
      <c r="C2746" s="9">
        <v>45002</v>
      </c>
      <c r="D2746" t="s">
        <v>946</v>
      </c>
      <c r="E2746" s="13">
        <v>660000</v>
      </c>
      <c r="F2746" s="13">
        <v>5550</v>
      </c>
      <c r="G2746" s="9">
        <v>45002</v>
      </c>
      <c r="H2746" t="s">
        <v>1111</v>
      </c>
      <c r="I2746" t="s">
        <v>2382</v>
      </c>
      <c r="J2746" s="13">
        <v>10989</v>
      </c>
      <c r="K2746">
        <v>1</v>
      </c>
      <c r="L2746" t="s">
        <v>1064</v>
      </c>
      <c r="M2746" t="s">
        <v>2383</v>
      </c>
      <c r="N2746" s="15" t="s">
        <v>6878</v>
      </c>
    </row>
    <row r="2747" spans="1:14" x14ac:dyDescent="0.2">
      <c r="A2747" t="s">
        <v>3861</v>
      </c>
      <c r="B2747" t="s">
        <v>2360</v>
      </c>
      <c r="C2747" s="9">
        <v>45002</v>
      </c>
      <c r="D2747" t="s">
        <v>946</v>
      </c>
      <c r="E2747" s="13">
        <v>22425000</v>
      </c>
      <c r="F2747" s="13">
        <v>5550</v>
      </c>
      <c r="G2747" s="9">
        <v>45002</v>
      </c>
      <c r="H2747" t="s">
        <v>1111</v>
      </c>
      <c r="I2747" t="s">
        <v>2382</v>
      </c>
      <c r="J2747" s="13">
        <v>373376</v>
      </c>
      <c r="K2747">
        <v>1</v>
      </c>
      <c r="L2747" t="s">
        <v>1064</v>
      </c>
      <c r="M2747" t="s">
        <v>2383</v>
      </c>
      <c r="N2747" s="15" t="s">
        <v>6878</v>
      </c>
    </row>
    <row r="2748" spans="1:14" x14ac:dyDescent="0.2">
      <c r="A2748" t="s">
        <v>3862</v>
      </c>
      <c r="B2748" t="s">
        <v>2360</v>
      </c>
      <c r="C2748" s="9">
        <v>45002</v>
      </c>
      <c r="D2748" t="s">
        <v>946</v>
      </c>
      <c r="E2748" s="13">
        <v>8050000</v>
      </c>
      <c r="F2748" s="13">
        <v>5550</v>
      </c>
      <c r="G2748" s="9">
        <v>45002</v>
      </c>
      <c r="H2748" t="s">
        <v>1111</v>
      </c>
      <c r="I2748" t="s">
        <v>2382</v>
      </c>
      <c r="J2748" s="13">
        <v>134032</v>
      </c>
      <c r="K2748">
        <v>1</v>
      </c>
      <c r="L2748" t="s">
        <v>1064</v>
      </c>
      <c r="M2748" t="s">
        <v>2383</v>
      </c>
      <c r="N2748" s="15" t="s">
        <v>6878</v>
      </c>
    </row>
    <row r="2749" spans="1:14" x14ac:dyDescent="0.2">
      <c r="A2749" t="s">
        <v>3863</v>
      </c>
      <c r="B2749" t="s">
        <v>2360</v>
      </c>
      <c r="C2749" s="9">
        <v>45002</v>
      </c>
      <c r="D2749" t="s">
        <v>946</v>
      </c>
      <c r="E2749" s="13">
        <v>6095000</v>
      </c>
      <c r="F2749" s="13">
        <v>5550</v>
      </c>
      <c r="G2749" s="9">
        <v>45002</v>
      </c>
      <c r="H2749" t="s">
        <v>1111</v>
      </c>
      <c r="I2749" t="s">
        <v>2382</v>
      </c>
      <c r="J2749" s="13">
        <v>101481</v>
      </c>
      <c r="K2749">
        <v>1</v>
      </c>
      <c r="L2749" t="s">
        <v>1064</v>
      </c>
      <c r="M2749" t="s">
        <v>2383</v>
      </c>
      <c r="N2749" s="15" t="s">
        <v>6878</v>
      </c>
    </row>
    <row r="2750" spans="1:14" x14ac:dyDescent="0.2">
      <c r="A2750" t="s">
        <v>3864</v>
      </c>
      <c r="B2750" t="s">
        <v>2360</v>
      </c>
      <c r="C2750" s="9">
        <v>45002</v>
      </c>
      <c r="D2750" t="s">
        <v>946</v>
      </c>
      <c r="E2750" s="13">
        <v>16100000</v>
      </c>
      <c r="F2750" s="13">
        <v>5550</v>
      </c>
      <c r="G2750" s="9">
        <v>45002</v>
      </c>
      <c r="H2750" t="s">
        <v>1111</v>
      </c>
      <c r="I2750" t="s">
        <v>2382</v>
      </c>
      <c r="J2750" s="13">
        <v>268065</v>
      </c>
      <c r="K2750">
        <v>1</v>
      </c>
      <c r="L2750" t="s">
        <v>1064</v>
      </c>
      <c r="M2750" t="s">
        <v>2383</v>
      </c>
      <c r="N2750" s="15" t="s">
        <v>6878</v>
      </c>
    </row>
    <row r="2751" spans="1:14" x14ac:dyDescent="0.2">
      <c r="A2751" t="s">
        <v>3865</v>
      </c>
      <c r="B2751" t="s">
        <v>2360</v>
      </c>
      <c r="C2751" s="9">
        <v>45002</v>
      </c>
      <c r="D2751" t="s">
        <v>946</v>
      </c>
      <c r="E2751" s="13">
        <v>16100000</v>
      </c>
      <c r="F2751" s="13">
        <v>5550</v>
      </c>
      <c r="G2751" s="9">
        <v>45002</v>
      </c>
      <c r="H2751" t="s">
        <v>1111</v>
      </c>
      <c r="I2751" t="s">
        <v>2382</v>
      </c>
      <c r="J2751" s="13">
        <v>268065</v>
      </c>
      <c r="K2751">
        <v>1</v>
      </c>
      <c r="L2751" t="s">
        <v>1064</v>
      </c>
      <c r="M2751" t="s">
        <v>2383</v>
      </c>
      <c r="N2751" s="15" t="s">
        <v>6878</v>
      </c>
    </row>
    <row r="2752" spans="1:14" x14ac:dyDescent="0.2">
      <c r="A2752" t="s">
        <v>3866</v>
      </c>
      <c r="B2752" t="s">
        <v>2360</v>
      </c>
      <c r="C2752" s="9">
        <v>45002</v>
      </c>
      <c r="D2752" t="s">
        <v>946</v>
      </c>
      <c r="E2752" s="13">
        <v>13110000</v>
      </c>
      <c r="F2752" s="13">
        <v>5550</v>
      </c>
      <c r="G2752" s="9">
        <v>45002</v>
      </c>
      <c r="H2752" t="s">
        <v>1111</v>
      </c>
      <c r="I2752" t="s">
        <v>2382</v>
      </c>
      <c r="J2752" s="13">
        <v>218281</v>
      </c>
      <c r="K2752">
        <v>1</v>
      </c>
      <c r="L2752" t="s">
        <v>1064</v>
      </c>
      <c r="M2752" t="s">
        <v>2383</v>
      </c>
      <c r="N2752" s="15" t="s">
        <v>6878</v>
      </c>
    </row>
    <row r="2753" spans="1:14" x14ac:dyDescent="0.2">
      <c r="A2753" t="s">
        <v>3867</v>
      </c>
      <c r="B2753" t="s">
        <v>2360</v>
      </c>
      <c r="C2753" s="9">
        <v>45002</v>
      </c>
      <c r="D2753" t="s">
        <v>946</v>
      </c>
      <c r="E2753" s="13">
        <v>18975000</v>
      </c>
      <c r="F2753" s="13">
        <v>5550</v>
      </c>
      <c r="G2753" s="9">
        <v>45002</v>
      </c>
      <c r="H2753" t="s">
        <v>1111</v>
      </c>
      <c r="I2753" t="s">
        <v>2382</v>
      </c>
      <c r="J2753" s="13">
        <v>315933</v>
      </c>
      <c r="K2753">
        <v>1</v>
      </c>
      <c r="L2753" t="s">
        <v>1064</v>
      </c>
      <c r="M2753" t="s">
        <v>2383</v>
      </c>
      <c r="N2753" s="15" t="s">
        <v>6878</v>
      </c>
    </row>
    <row r="2754" spans="1:14" x14ac:dyDescent="0.2">
      <c r="A2754" t="s">
        <v>3868</v>
      </c>
      <c r="B2754" t="s">
        <v>2360</v>
      </c>
      <c r="C2754" s="9">
        <v>45002</v>
      </c>
      <c r="D2754" t="s">
        <v>946</v>
      </c>
      <c r="E2754" s="13">
        <v>11155000</v>
      </c>
      <c r="F2754" s="13">
        <v>5550</v>
      </c>
      <c r="G2754" s="9">
        <v>45002</v>
      </c>
      <c r="H2754" t="s">
        <v>1111</v>
      </c>
      <c r="I2754" t="s">
        <v>2382</v>
      </c>
      <c r="J2754" s="13">
        <v>185730</v>
      </c>
      <c r="K2754">
        <v>1</v>
      </c>
      <c r="L2754" t="s">
        <v>1064</v>
      </c>
      <c r="M2754" t="s">
        <v>2383</v>
      </c>
      <c r="N2754" s="15" t="s">
        <v>6878</v>
      </c>
    </row>
    <row r="2755" spans="1:14" x14ac:dyDescent="0.2">
      <c r="A2755" t="s">
        <v>3869</v>
      </c>
      <c r="B2755" t="s">
        <v>2360</v>
      </c>
      <c r="C2755" s="9">
        <v>45002</v>
      </c>
      <c r="D2755" t="s">
        <v>946</v>
      </c>
      <c r="E2755" s="13">
        <v>19550000</v>
      </c>
      <c r="F2755" s="13">
        <v>5550</v>
      </c>
      <c r="G2755" s="9">
        <v>45002</v>
      </c>
      <c r="H2755" t="s">
        <v>1111</v>
      </c>
      <c r="I2755" t="s">
        <v>2382</v>
      </c>
      <c r="J2755" s="13">
        <v>325507</v>
      </c>
      <c r="K2755">
        <v>1</v>
      </c>
      <c r="L2755" t="s">
        <v>1064</v>
      </c>
      <c r="M2755" t="s">
        <v>2383</v>
      </c>
      <c r="N2755" s="15" t="s">
        <v>6878</v>
      </c>
    </row>
    <row r="2756" spans="1:14" x14ac:dyDescent="0.2">
      <c r="A2756" t="s">
        <v>3870</v>
      </c>
      <c r="B2756" t="s">
        <v>2360</v>
      </c>
      <c r="C2756" s="9">
        <v>45002</v>
      </c>
      <c r="D2756" t="s">
        <v>946</v>
      </c>
      <c r="E2756" s="13">
        <v>12535000</v>
      </c>
      <c r="F2756" s="13">
        <v>5550</v>
      </c>
      <c r="G2756" s="9">
        <v>45002</v>
      </c>
      <c r="H2756" t="s">
        <v>1111</v>
      </c>
      <c r="I2756" t="s">
        <v>2382</v>
      </c>
      <c r="J2756" s="13">
        <v>208707</v>
      </c>
      <c r="K2756">
        <v>1</v>
      </c>
      <c r="L2756" t="s">
        <v>1064</v>
      </c>
      <c r="M2756" t="s">
        <v>2383</v>
      </c>
      <c r="N2756" s="15" t="s">
        <v>6878</v>
      </c>
    </row>
    <row r="2757" spans="1:14" x14ac:dyDescent="0.2">
      <c r="A2757" t="s">
        <v>3871</v>
      </c>
      <c r="B2757" t="s">
        <v>2360</v>
      </c>
      <c r="C2757" s="9">
        <v>45002</v>
      </c>
      <c r="D2757" t="s">
        <v>946</v>
      </c>
      <c r="E2757" s="13">
        <v>18975000</v>
      </c>
      <c r="F2757" s="13">
        <v>5550</v>
      </c>
      <c r="G2757" s="9">
        <v>45002</v>
      </c>
      <c r="H2757" t="s">
        <v>1111</v>
      </c>
      <c r="I2757" t="s">
        <v>2382</v>
      </c>
      <c r="J2757" s="13">
        <v>315933</v>
      </c>
      <c r="K2757">
        <v>1</v>
      </c>
      <c r="L2757" t="s">
        <v>1064</v>
      </c>
      <c r="M2757" t="s">
        <v>2383</v>
      </c>
      <c r="N2757" s="15" t="s">
        <v>6878</v>
      </c>
    </row>
    <row r="2758" spans="1:14" x14ac:dyDescent="0.2">
      <c r="A2758" t="s">
        <v>3872</v>
      </c>
      <c r="B2758" t="s">
        <v>2360</v>
      </c>
      <c r="C2758" s="9">
        <v>45002</v>
      </c>
      <c r="D2758" t="s">
        <v>946</v>
      </c>
      <c r="E2758" s="13">
        <v>770000</v>
      </c>
      <c r="F2758" s="13">
        <v>5550</v>
      </c>
      <c r="G2758" s="9">
        <v>45002</v>
      </c>
      <c r="H2758" t="s">
        <v>1111</v>
      </c>
      <c r="I2758" t="s">
        <v>2382</v>
      </c>
      <c r="J2758" s="13">
        <v>12820</v>
      </c>
      <c r="K2758">
        <v>1</v>
      </c>
      <c r="L2758" t="s">
        <v>1064</v>
      </c>
      <c r="M2758" t="s">
        <v>2383</v>
      </c>
      <c r="N2758" s="15" t="s">
        <v>6878</v>
      </c>
    </row>
    <row r="2759" spans="1:14" x14ac:dyDescent="0.2">
      <c r="A2759" t="s">
        <v>3873</v>
      </c>
      <c r="B2759" t="s">
        <v>2360</v>
      </c>
      <c r="C2759" s="9">
        <v>45002</v>
      </c>
      <c r="D2759" t="s">
        <v>946</v>
      </c>
      <c r="E2759" s="13">
        <v>13800000</v>
      </c>
      <c r="F2759" s="13">
        <v>5550</v>
      </c>
      <c r="G2759" s="9">
        <v>45002</v>
      </c>
      <c r="H2759" t="s">
        <v>1111</v>
      </c>
      <c r="I2759" t="s">
        <v>2382</v>
      </c>
      <c r="J2759" s="13">
        <v>229770</v>
      </c>
      <c r="K2759">
        <v>1</v>
      </c>
      <c r="L2759" t="s">
        <v>1064</v>
      </c>
      <c r="M2759" t="s">
        <v>2383</v>
      </c>
      <c r="N2759" s="15" t="s">
        <v>6878</v>
      </c>
    </row>
    <row r="2760" spans="1:14" x14ac:dyDescent="0.2">
      <c r="A2760" t="s">
        <v>3874</v>
      </c>
      <c r="B2760" t="s">
        <v>2360</v>
      </c>
      <c r="C2760" s="9">
        <v>45002</v>
      </c>
      <c r="D2760" t="s">
        <v>946</v>
      </c>
      <c r="E2760" s="13">
        <v>18400000</v>
      </c>
      <c r="F2760" s="13">
        <v>5550</v>
      </c>
      <c r="G2760" s="9">
        <v>45002</v>
      </c>
      <c r="H2760" t="s">
        <v>1111</v>
      </c>
      <c r="I2760" t="s">
        <v>2382</v>
      </c>
      <c r="J2760" s="13">
        <v>306360</v>
      </c>
      <c r="K2760">
        <v>1</v>
      </c>
      <c r="L2760" t="s">
        <v>1064</v>
      </c>
      <c r="M2760" t="s">
        <v>2383</v>
      </c>
      <c r="N2760" s="15" t="s">
        <v>6878</v>
      </c>
    </row>
    <row r="2761" spans="1:14" x14ac:dyDescent="0.2">
      <c r="A2761" t="s">
        <v>3875</v>
      </c>
      <c r="B2761" t="s">
        <v>2360</v>
      </c>
      <c r="C2761" s="9">
        <v>45002</v>
      </c>
      <c r="D2761" t="s">
        <v>946</v>
      </c>
      <c r="E2761" s="13">
        <v>16100000</v>
      </c>
      <c r="F2761" s="13">
        <v>5550</v>
      </c>
      <c r="G2761" s="9">
        <v>45002</v>
      </c>
      <c r="H2761" t="s">
        <v>1111</v>
      </c>
      <c r="I2761" t="s">
        <v>2382</v>
      </c>
      <c r="J2761" s="13">
        <v>268065</v>
      </c>
      <c r="K2761">
        <v>1</v>
      </c>
      <c r="L2761" t="s">
        <v>1064</v>
      </c>
      <c r="M2761" t="s">
        <v>2383</v>
      </c>
      <c r="N2761" s="15" t="s">
        <v>6878</v>
      </c>
    </row>
    <row r="2762" spans="1:14" x14ac:dyDescent="0.2">
      <c r="A2762" t="s">
        <v>3876</v>
      </c>
      <c r="B2762" t="s">
        <v>2360</v>
      </c>
      <c r="C2762" s="9">
        <v>45002</v>
      </c>
      <c r="D2762" t="s">
        <v>946</v>
      </c>
      <c r="E2762" s="13">
        <v>1903000</v>
      </c>
      <c r="F2762" s="13">
        <v>5550</v>
      </c>
      <c r="G2762" s="9">
        <v>45002</v>
      </c>
      <c r="H2762" t="s">
        <v>1111</v>
      </c>
      <c r="I2762" t="s">
        <v>2382</v>
      </c>
      <c r="J2762" s="13">
        <v>31684</v>
      </c>
      <c r="K2762">
        <v>1</v>
      </c>
      <c r="L2762" t="s">
        <v>1064</v>
      </c>
      <c r="M2762" t="s">
        <v>2383</v>
      </c>
      <c r="N2762" s="15" t="s">
        <v>6878</v>
      </c>
    </row>
    <row r="2763" spans="1:14" x14ac:dyDescent="0.2">
      <c r="A2763" t="s">
        <v>3877</v>
      </c>
      <c r="B2763" t="s">
        <v>2360</v>
      </c>
      <c r="C2763" s="9">
        <v>45002</v>
      </c>
      <c r="D2763" t="s">
        <v>946</v>
      </c>
      <c r="E2763" s="13">
        <v>770000</v>
      </c>
      <c r="F2763" s="13">
        <v>5550</v>
      </c>
      <c r="G2763" s="9">
        <v>45002</v>
      </c>
      <c r="H2763" t="s">
        <v>1111</v>
      </c>
      <c r="I2763" t="s">
        <v>2382</v>
      </c>
      <c r="J2763" s="13">
        <v>12820</v>
      </c>
      <c r="K2763">
        <v>1</v>
      </c>
      <c r="L2763" t="s">
        <v>1064</v>
      </c>
      <c r="M2763" t="s">
        <v>2383</v>
      </c>
      <c r="N2763" s="15" t="s">
        <v>6878</v>
      </c>
    </row>
    <row r="2764" spans="1:14" x14ac:dyDescent="0.2">
      <c r="A2764" t="s">
        <v>3878</v>
      </c>
      <c r="B2764" t="s">
        <v>2360</v>
      </c>
      <c r="C2764" s="9">
        <v>45002</v>
      </c>
      <c r="D2764" t="s">
        <v>946</v>
      </c>
      <c r="E2764" s="13">
        <v>3080000</v>
      </c>
      <c r="F2764" s="13">
        <v>5550</v>
      </c>
      <c r="G2764" s="9">
        <v>45002</v>
      </c>
      <c r="H2764" t="s">
        <v>1111</v>
      </c>
      <c r="I2764" t="s">
        <v>2382</v>
      </c>
      <c r="J2764" s="13">
        <v>51282</v>
      </c>
      <c r="K2764">
        <v>1</v>
      </c>
      <c r="L2764" t="s">
        <v>1064</v>
      </c>
      <c r="M2764" t="s">
        <v>2383</v>
      </c>
      <c r="N2764" s="15" t="s">
        <v>6878</v>
      </c>
    </row>
    <row r="2765" spans="1:14" x14ac:dyDescent="0.2">
      <c r="A2765" t="s">
        <v>3879</v>
      </c>
      <c r="B2765" t="s">
        <v>2360</v>
      </c>
      <c r="C2765" s="9">
        <v>45002</v>
      </c>
      <c r="D2765" t="s">
        <v>946</v>
      </c>
      <c r="E2765" s="13">
        <v>9775000</v>
      </c>
      <c r="F2765" s="13">
        <v>5550</v>
      </c>
      <c r="G2765" s="9">
        <v>45002</v>
      </c>
      <c r="H2765" t="s">
        <v>1111</v>
      </c>
      <c r="I2765" t="s">
        <v>2382</v>
      </c>
      <c r="J2765" s="13">
        <v>162753</v>
      </c>
      <c r="K2765">
        <v>1</v>
      </c>
      <c r="L2765" t="s">
        <v>1064</v>
      </c>
      <c r="M2765" t="s">
        <v>2383</v>
      </c>
      <c r="N2765" s="15" t="s">
        <v>6878</v>
      </c>
    </row>
    <row r="2766" spans="1:14" x14ac:dyDescent="0.2">
      <c r="A2766" t="s">
        <v>3880</v>
      </c>
      <c r="B2766" t="s">
        <v>2360</v>
      </c>
      <c r="C2766" s="9">
        <v>45002</v>
      </c>
      <c r="D2766" t="s">
        <v>946</v>
      </c>
      <c r="E2766" s="13">
        <v>1100000</v>
      </c>
      <c r="F2766" s="13">
        <v>5550</v>
      </c>
      <c r="G2766" s="9">
        <v>45002</v>
      </c>
      <c r="H2766" t="s">
        <v>1111</v>
      </c>
      <c r="I2766" t="s">
        <v>2382</v>
      </c>
      <c r="J2766" s="13">
        <v>18315</v>
      </c>
      <c r="K2766">
        <v>1</v>
      </c>
      <c r="L2766" t="s">
        <v>1064</v>
      </c>
      <c r="M2766" t="s">
        <v>2383</v>
      </c>
      <c r="N2766" s="15" t="s">
        <v>6878</v>
      </c>
    </row>
    <row r="2767" spans="1:14" x14ac:dyDescent="0.2">
      <c r="A2767" t="s">
        <v>3881</v>
      </c>
      <c r="B2767" t="s">
        <v>2360</v>
      </c>
      <c r="C2767" s="9">
        <v>45002</v>
      </c>
      <c r="D2767" t="s">
        <v>946</v>
      </c>
      <c r="E2767" s="13">
        <v>150000</v>
      </c>
      <c r="F2767" s="13">
        <v>5550</v>
      </c>
      <c r="G2767" s="9">
        <v>45002</v>
      </c>
      <c r="H2767" t="s">
        <v>1111</v>
      </c>
      <c r="I2767" t="s">
        <v>2382</v>
      </c>
      <c r="J2767" s="13">
        <v>2497</v>
      </c>
      <c r="K2767">
        <v>1</v>
      </c>
      <c r="L2767" t="s">
        <v>1064</v>
      </c>
      <c r="M2767" t="s">
        <v>2383</v>
      </c>
      <c r="N2767" s="15" t="s">
        <v>6878</v>
      </c>
    </row>
    <row r="2768" spans="1:14" x14ac:dyDescent="0.2">
      <c r="A2768" t="s">
        <v>3882</v>
      </c>
      <c r="B2768" t="s">
        <v>2360</v>
      </c>
      <c r="C2768" s="9">
        <v>45002</v>
      </c>
      <c r="D2768" t="s">
        <v>946</v>
      </c>
      <c r="E2768" s="13">
        <v>8338000</v>
      </c>
      <c r="F2768" s="13">
        <v>5550</v>
      </c>
      <c r="G2768" s="9">
        <v>45002</v>
      </c>
      <c r="H2768" t="s">
        <v>1111</v>
      </c>
      <c r="I2768" t="s">
        <v>2382</v>
      </c>
      <c r="J2768" s="13">
        <v>138827</v>
      </c>
      <c r="K2768">
        <v>1</v>
      </c>
      <c r="L2768" t="s">
        <v>1064</v>
      </c>
      <c r="M2768" t="s">
        <v>2383</v>
      </c>
      <c r="N2768" s="15" t="s">
        <v>6878</v>
      </c>
    </row>
    <row r="2769" spans="1:14" x14ac:dyDescent="0.2">
      <c r="A2769" t="s">
        <v>3883</v>
      </c>
      <c r="B2769" t="s">
        <v>2360</v>
      </c>
      <c r="C2769" s="9">
        <v>45002</v>
      </c>
      <c r="D2769" t="s">
        <v>946</v>
      </c>
      <c r="E2769" s="13">
        <v>1650000</v>
      </c>
      <c r="F2769" s="13">
        <v>5550</v>
      </c>
      <c r="G2769" s="9">
        <v>45002</v>
      </c>
      <c r="H2769" t="s">
        <v>1111</v>
      </c>
      <c r="I2769" t="s">
        <v>2382</v>
      </c>
      <c r="J2769" s="13">
        <v>27472</v>
      </c>
      <c r="K2769">
        <v>1</v>
      </c>
      <c r="L2769" t="s">
        <v>1064</v>
      </c>
      <c r="M2769" t="s">
        <v>2383</v>
      </c>
      <c r="N2769" s="15" t="s">
        <v>6878</v>
      </c>
    </row>
    <row r="2770" spans="1:14" x14ac:dyDescent="0.2">
      <c r="A2770" t="s">
        <v>3884</v>
      </c>
      <c r="B2770" t="s">
        <v>2360</v>
      </c>
      <c r="C2770" s="9">
        <v>45002</v>
      </c>
      <c r="D2770" t="s">
        <v>946</v>
      </c>
      <c r="E2770" s="13">
        <v>1210000</v>
      </c>
      <c r="F2770" s="13">
        <v>5550</v>
      </c>
      <c r="G2770" s="9">
        <v>45002</v>
      </c>
      <c r="H2770" t="s">
        <v>1111</v>
      </c>
      <c r="I2770" t="s">
        <v>2382</v>
      </c>
      <c r="J2770" s="13">
        <v>20146</v>
      </c>
      <c r="K2770">
        <v>1</v>
      </c>
      <c r="L2770" t="s">
        <v>1064</v>
      </c>
      <c r="M2770" t="s">
        <v>2383</v>
      </c>
      <c r="N2770" s="15" t="s">
        <v>6878</v>
      </c>
    </row>
    <row r="2771" spans="1:14" x14ac:dyDescent="0.2">
      <c r="A2771" t="s">
        <v>3885</v>
      </c>
      <c r="B2771" t="s">
        <v>2360</v>
      </c>
      <c r="C2771" s="9">
        <v>45002</v>
      </c>
      <c r="D2771" t="s">
        <v>946</v>
      </c>
      <c r="E2771" s="13">
        <v>3080000</v>
      </c>
      <c r="F2771" s="13">
        <v>5550</v>
      </c>
      <c r="G2771" s="9">
        <v>45002</v>
      </c>
      <c r="H2771" t="s">
        <v>1111</v>
      </c>
      <c r="I2771" t="s">
        <v>2382</v>
      </c>
      <c r="J2771" s="13">
        <v>51282</v>
      </c>
      <c r="K2771">
        <v>1</v>
      </c>
      <c r="L2771" t="s">
        <v>1064</v>
      </c>
      <c r="M2771" t="s">
        <v>2383</v>
      </c>
      <c r="N2771" s="15" t="s">
        <v>6878</v>
      </c>
    </row>
    <row r="2772" spans="1:14" x14ac:dyDescent="0.2">
      <c r="A2772" t="s">
        <v>3886</v>
      </c>
      <c r="B2772" t="s">
        <v>2360</v>
      </c>
      <c r="C2772" s="9">
        <v>45002</v>
      </c>
      <c r="D2772" t="s">
        <v>946</v>
      </c>
      <c r="E2772" s="13">
        <v>9775000</v>
      </c>
      <c r="F2772" s="13">
        <v>5550</v>
      </c>
      <c r="G2772" s="9">
        <v>45002</v>
      </c>
      <c r="H2772" t="s">
        <v>1111</v>
      </c>
      <c r="I2772" t="s">
        <v>2382</v>
      </c>
      <c r="J2772" s="13">
        <v>162753</v>
      </c>
      <c r="K2772">
        <v>1</v>
      </c>
      <c r="L2772" t="s">
        <v>1064</v>
      </c>
      <c r="M2772" t="s">
        <v>2383</v>
      </c>
      <c r="N2772" s="15" t="s">
        <v>6878</v>
      </c>
    </row>
    <row r="2773" spans="1:14" x14ac:dyDescent="0.2">
      <c r="A2773" t="s">
        <v>3887</v>
      </c>
      <c r="B2773" t="s">
        <v>2360</v>
      </c>
      <c r="C2773" s="9">
        <v>45002</v>
      </c>
      <c r="D2773" t="s">
        <v>946</v>
      </c>
      <c r="E2773" s="13">
        <v>660000</v>
      </c>
      <c r="F2773" s="13">
        <v>5550</v>
      </c>
      <c r="G2773" s="9">
        <v>45002</v>
      </c>
      <c r="H2773" t="s">
        <v>1111</v>
      </c>
      <c r="I2773" t="s">
        <v>2382</v>
      </c>
      <c r="J2773" s="13">
        <v>10989</v>
      </c>
      <c r="K2773">
        <v>1</v>
      </c>
      <c r="L2773" t="s">
        <v>1064</v>
      </c>
      <c r="M2773" t="s">
        <v>2383</v>
      </c>
      <c r="N2773" s="15" t="s">
        <v>6878</v>
      </c>
    </row>
    <row r="2774" spans="1:14" x14ac:dyDescent="0.2">
      <c r="A2774" t="s">
        <v>3888</v>
      </c>
      <c r="B2774" t="s">
        <v>2360</v>
      </c>
      <c r="C2774" s="9">
        <v>45002</v>
      </c>
      <c r="D2774" t="s">
        <v>946</v>
      </c>
      <c r="E2774" s="13">
        <v>330000</v>
      </c>
      <c r="F2774" s="13">
        <v>5550</v>
      </c>
      <c r="G2774" s="9">
        <v>45002</v>
      </c>
      <c r="H2774" t="s">
        <v>1111</v>
      </c>
      <c r="I2774" t="s">
        <v>2382</v>
      </c>
      <c r="J2774" s="13">
        <v>5494</v>
      </c>
      <c r="K2774">
        <v>1</v>
      </c>
      <c r="L2774" t="s">
        <v>1064</v>
      </c>
      <c r="M2774" t="s">
        <v>2383</v>
      </c>
      <c r="N2774" s="15" t="s">
        <v>6878</v>
      </c>
    </row>
    <row r="2775" spans="1:14" x14ac:dyDescent="0.2">
      <c r="A2775" t="s">
        <v>3889</v>
      </c>
      <c r="B2775" t="s">
        <v>2360</v>
      </c>
      <c r="C2775" s="9">
        <v>45002</v>
      </c>
      <c r="D2775" t="s">
        <v>946</v>
      </c>
      <c r="E2775" s="13">
        <v>1210000</v>
      </c>
      <c r="F2775" s="13">
        <v>5550</v>
      </c>
      <c r="G2775" s="9">
        <v>45002</v>
      </c>
      <c r="H2775" t="s">
        <v>1111</v>
      </c>
      <c r="I2775" t="s">
        <v>2382</v>
      </c>
      <c r="J2775" s="13">
        <v>20146</v>
      </c>
      <c r="K2775">
        <v>1</v>
      </c>
      <c r="L2775" t="s">
        <v>1064</v>
      </c>
      <c r="M2775" t="s">
        <v>2383</v>
      </c>
      <c r="N2775" s="15" t="s">
        <v>6878</v>
      </c>
    </row>
    <row r="2776" spans="1:14" x14ac:dyDescent="0.2">
      <c r="A2776" t="s">
        <v>3890</v>
      </c>
      <c r="B2776" t="s">
        <v>2360</v>
      </c>
      <c r="C2776" s="9">
        <v>45002</v>
      </c>
      <c r="D2776" t="s">
        <v>946</v>
      </c>
      <c r="E2776" s="13">
        <v>1210000</v>
      </c>
      <c r="F2776" s="13">
        <v>5550</v>
      </c>
      <c r="G2776" s="9">
        <v>45002</v>
      </c>
      <c r="H2776" t="s">
        <v>1111</v>
      </c>
      <c r="I2776" t="s">
        <v>2382</v>
      </c>
      <c r="J2776" s="13">
        <v>20146</v>
      </c>
      <c r="K2776">
        <v>1</v>
      </c>
      <c r="L2776" t="s">
        <v>1064</v>
      </c>
      <c r="M2776" t="s">
        <v>2383</v>
      </c>
      <c r="N2776" s="15" t="s">
        <v>6878</v>
      </c>
    </row>
    <row r="2777" spans="1:14" x14ac:dyDescent="0.2">
      <c r="A2777" t="s">
        <v>3891</v>
      </c>
      <c r="B2777" t="s">
        <v>2360</v>
      </c>
      <c r="C2777" s="9">
        <v>45002</v>
      </c>
      <c r="D2777" t="s">
        <v>946</v>
      </c>
      <c r="E2777" s="13">
        <v>880000</v>
      </c>
      <c r="F2777" s="13">
        <v>5550</v>
      </c>
      <c r="G2777" s="9">
        <v>45002</v>
      </c>
      <c r="H2777" t="s">
        <v>1111</v>
      </c>
      <c r="I2777" t="s">
        <v>2382</v>
      </c>
      <c r="J2777" s="13">
        <v>14652</v>
      </c>
      <c r="K2777">
        <v>1</v>
      </c>
      <c r="L2777" t="s">
        <v>1064</v>
      </c>
      <c r="M2777" t="s">
        <v>2383</v>
      </c>
      <c r="N2777" s="15" t="s">
        <v>6878</v>
      </c>
    </row>
    <row r="2778" spans="1:14" x14ac:dyDescent="0.2">
      <c r="A2778" t="s">
        <v>3892</v>
      </c>
      <c r="B2778" t="s">
        <v>2360</v>
      </c>
      <c r="C2778" s="9">
        <v>45002</v>
      </c>
      <c r="D2778" t="s">
        <v>946</v>
      </c>
      <c r="E2778" s="13">
        <v>9200000</v>
      </c>
      <c r="F2778" s="13">
        <v>5550</v>
      </c>
      <c r="G2778" s="9">
        <v>45002</v>
      </c>
      <c r="H2778" t="s">
        <v>1111</v>
      </c>
      <c r="I2778" t="s">
        <v>2382</v>
      </c>
      <c r="J2778" s="13">
        <v>153180</v>
      </c>
      <c r="K2778">
        <v>1</v>
      </c>
      <c r="L2778" t="s">
        <v>1064</v>
      </c>
      <c r="M2778" t="s">
        <v>2383</v>
      </c>
      <c r="N2778" s="15" t="s">
        <v>6878</v>
      </c>
    </row>
    <row r="2779" spans="1:14" x14ac:dyDescent="0.2">
      <c r="A2779" t="s">
        <v>3893</v>
      </c>
      <c r="B2779" t="s">
        <v>2360</v>
      </c>
      <c r="C2779" s="9">
        <v>45002</v>
      </c>
      <c r="D2779" t="s">
        <v>946</v>
      </c>
      <c r="E2779" s="13">
        <v>4290000</v>
      </c>
      <c r="F2779" s="13">
        <v>5550</v>
      </c>
      <c r="G2779" s="9">
        <v>45002</v>
      </c>
      <c r="H2779" t="s">
        <v>1111</v>
      </c>
      <c r="I2779" t="s">
        <v>2382</v>
      </c>
      <c r="J2779" s="13">
        <v>95238</v>
      </c>
      <c r="K2779">
        <v>1</v>
      </c>
      <c r="L2779" t="s">
        <v>1064</v>
      </c>
      <c r="M2779" t="s">
        <v>2383</v>
      </c>
      <c r="N2779" s="15" t="s">
        <v>6878</v>
      </c>
    </row>
    <row r="2780" spans="1:14" x14ac:dyDescent="0.2">
      <c r="A2780" t="s">
        <v>3894</v>
      </c>
      <c r="B2780" t="s">
        <v>2360</v>
      </c>
      <c r="C2780" s="9">
        <v>45002</v>
      </c>
      <c r="D2780" t="s">
        <v>946</v>
      </c>
      <c r="E2780" s="13">
        <v>1870000</v>
      </c>
      <c r="F2780" s="13">
        <v>5550</v>
      </c>
      <c r="G2780" s="9">
        <v>45002</v>
      </c>
      <c r="H2780" t="s">
        <v>1111</v>
      </c>
      <c r="I2780" t="s">
        <v>2382</v>
      </c>
      <c r="J2780" s="13">
        <v>41514</v>
      </c>
      <c r="K2780">
        <v>1</v>
      </c>
      <c r="L2780" t="s">
        <v>1064</v>
      </c>
      <c r="M2780" t="s">
        <v>2383</v>
      </c>
      <c r="N2780" s="15" t="s">
        <v>6878</v>
      </c>
    </row>
    <row r="2781" spans="1:14" x14ac:dyDescent="0.2">
      <c r="A2781" t="s">
        <v>3895</v>
      </c>
      <c r="B2781" t="s">
        <v>2360</v>
      </c>
      <c r="C2781" s="9">
        <v>45002</v>
      </c>
      <c r="D2781" t="s">
        <v>946</v>
      </c>
      <c r="E2781" s="13">
        <v>770000</v>
      </c>
      <c r="F2781" s="13">
        <v>5550</v>
      </c>
      <c r="G2781" s="9">
        <v>45002</v>
      </c>
      <c r="H2781" t="s">
        <v>1111</v>
      </c>
      <c r="I2781" t="s">
        <v>2382</v>
      </c>
      <c r="J2781" s="13">
        <v>17094</v>
      </c>
      <c r="K2781">
        <v>1</v>
      </c>
      <c r="L2781" t="s">
        <v>1064</v>
      </c>
      <c r="M2781" t="s">
        <v>2383</v>
      </c>
      <c r="N2781" s="15" t="s">
        <v>6878</v>
      </c>
    </row>
    <row r="2782" spans="1:14" x14ac:dyDescent="0.2">
      <c r="A2782" t="s">
        <v>3896</v>
      </c>
      <c r="B2782" t="s">
        <v>2360</v>
      </c>
      <c r="C2782" s="9">
        <v>45002</v>
      </c>
      <c r="D2782" t="s">
        <v>946</v>
      </c>
      <c r="E2782" s="13">
        <v>2200000</v>
      </c>
      <c r="F2782" s="13">
        <v>5550</v>
      </c>
      <c r="G2782" s="9">
        <v>45002</v>
      </c>
      <c r="H2782" t="s">
        <v>1111</v>
      </c>
      <c r="I2782" t="s">
        <v>2382</v>
      </c>
      <c r="J2782" s="13">
        <v>48840</v>
      </c>
      <c r="K2782">
        <v>1</v>
      </c>
      <c r="L2782" t="s">
        <v>1064</v>
      </c>
      <c r="M2782" t="s">
        <v>2383</v>
      </c>
      <c r="N2782" s="15" t="s">
        <v>6878</v>
      </c>
    </row>
    <row r="2783" spans="1:14" x14ac:dyDescent="0.2">
      <c r="A2783" t="s">
        <v>3897</v>
      </c>
      <c r="B2783" t="s">
        <v>2360</v>
      </c>
      <c r="C2783" s="9">
        <v>45002</v>
      </c>
      <c r="D2783" t="s">
        <v>946</v>
      </c>
      <c r="E2783" s="13">
        <v>550000</v>
      </c>
      <c r="F2783" s="13">
        <v>5550</v>
      </c>
      <c r="G2783" s="9">
        <v>45002</v>
      </c>
      <c r="H2783" t="s">
        <v>1111</v>
      </c>
      <c r="I2783" t="s">
        <v>2382</v>
      </c>
      <c r="J2783" s="13">
        <v>9157</v>
      </c>
      <c r="K2783">
        <v>1</v>
      </c>
      <c r="L2783" t="s">
        <v>1064</v>
      </c>
      <c r="M2783" t="s">
        <v>2383</v>
      </c>
      <c r="N2783" s="15" t="s">
        <v>6878</v>
      </c>
    </row>
    <row r="2784" spans="1:14" x14ac:dyDescent="0.2">
      <c r="A2784" t="s">
        <v>3898</v>
      </c>
      <c r="B2784" t="s">
        <v>2360</v>
      </c>
      <c r="C2784" s="9">
        <v>45002</v>
      </c>
      <c r="D2784" t="s">
        <v>946</v>
      </c>
      <c r="E2784" s="13">
        <v>7150000</v>
      </c>
      <c r="F2784" s="13">
        <v>5550</v>
      </c>
      <c r="G2784" s="9">
        <v>45002</v>
      </c>
      <c r="H2784" t="s">
        <v>1111</v>
      </c>
      <c r="I2784" t="s">
        <v>2382</v>
      </c>
      <c r="J2784" s="13">
        <v>119047</v>
      </c>
      <c r="K2784">
        <v>1</v>
      </c>
      <c r="L2784" t="s">
        <v>1064</v>
      </c>
      <c r="M2784" t="s">
        <v>2383</v>
      </c>
      <c r="N2784" s="15" t="s">
        <v>6878</v>
      </c>
    </row>
    <row r="2785" spans="1:14" x14ac:dyDescent="0.2">
      <c r="A2785" t="s">
        <v>3899</v>
      </c>
      <c r="B2785" t="s">
        <v>2360</v>
      </c>
      <c r="C2785" s="9">
        <v>45002</v>
      </c>
      <c r="D2785" t="s">
        <v>946</v>
      </c>
      <c r="E2785" s="13">
        <v>3080000</v>
      </c>
      <c r="F2785" s="13">
        <v>5550</v>
      </c>
      <c r="G2785" s="9">
        <v>45002</v>
      </c>
      <c r="H2785" t="s">
        <v>1111</v>
      </c>
      <c r="I2785" t="s">
        <v>2382</v>
      </c>
      <c r="J2785" s="13">
        <v>68376</v>
      </c>
      <c r="K2785">
        <v>1</v>
      </c>
      <c r="L2785" t="s">
        <v>1064</v>
      </c>
      <c r="M2785" t="s">
        <v>2383</v>
      </c>
      <c r="N2785" s="15" t="s">
        <v>6878</v>
      </c>
    </row>
    <row r="2786" spans="1:14" x14ac:dyDescent="0.2">
      <c r="A2786" t="s">
        <v>3900</v>
      </c>
      <c r="B2786" t="s">
        <v>2360</v>
      </c>
      <c r="C2786" s="9">
        <v>45002</v>
      </c>
      <c r="D2786" t="s">
        <v>946</v>
      </c>
      <c r="E2786" s="13">
        <v>12650000</v>
      </c>
      <c r="F2786" s="13">
        <v>5550</v>
      </c>
      <c r="G2786" s="9">
        <v>45002</v>
      </c>
      <c r="H2786" t="s">
        <v>1111</v>
      </c>
      <c r="I2786" t="s">
        <v>2382</v>
      </c>
      <c r="J2786" s="13">
        <v>280830</v>
      </c>
      <c r="K2786">
        <v>1</v>
      </c>
      <c r="L2786" t="s">
        <v>1064</v>
      </c>
      <c r="M2786" t="s">
        <v>2383</v>
      </c>
      <c r="N2786" s="15" t="s">
        <v>6878</v>
      </c>
    </row>
    <row r="2787" spans="1:14" x14ac:dyDescent="0.2">
      <c r="A2787" t="s">
        <v>3901</v>
      </c>
      <c r="B2787" t="s">
        <v>2360</v>
      </c>
      <c r="C2787" s="9">
        <v>45002</v>
      </c>
      <c r="D2787" t="s">
        <v>946</v>
      </c>
      <c r="E2787" s="13">
        <v>17825000</v>
      </c>
      <c r="F2787" s="13">
        <v>5550</v>
      </c>
      <c r="G2787" s="9">
        <v>45002</v>
      </c>
      <c r="H2787" t="s">
        <v>1111</v>
      </c>
      <c r="I2787" t="s">
        <v>2382</v>
      </c>
      <c r="J2787" s="13">
        <v>395715</v>
      </c>
      <c r="K2787">
        <v>1</v>
      </c>
      <c r="L2787" t="s">
        <v>1064</v>
      </c>
      <c r="M2787" t="s">
        <v>2383</v>
      </c>
      <c r="N2787" s="15" t="s">
        <v>6878</v>
      </c>
    </row>
    <row r="2788" spans="1:14" x14ac:dyDescent="0.2">
      <c r="A2788" t="s">
        <v>3902</v>
      </c>
      <c r="B2788" t="s">
        <v>2360</v>
      </c>
      <c r="C2788" s="9">
        <v>45002</v>
      </c>
      <c r="D2788" t="s">
        <v>946</v>
      </c>
      <c r="E2788" s="13">
        <v>2200000</v>
      </c>
      <c r="F2788" s="13">
        <v>5550</v>
      </c>
      <c r="G2788" s="9">
        <v>45002</v>
      </c>
      <c r="H2788" t="s">
        <v>1111</v>
      </c>
      <c r="I2788" t="s">
        <v>2382</v>
      </c>
      <c r="J2788" s="13">
        <v>48840</v>
      </c>
      <c r="K2788">
        <v>1</v>
      </c>
      <c r="L2788" t="s">
        <v>1064</v>
      </c>
      <c r="M2788" t="s">
        <v>2383</v>
      </c>
      <c r="N2788" s="15" t="s">
        <v>6878</v>
      </c>
    </row>
    <row r="2789" spans="1:14" x14ac:dyDescent="0.2">
      <c r="A2789" t="s">
        <v>3903</v>
      </c>
      <c r="B2789" t="s">
        <v>2360</v>
      </c>
      <c r="C2789" s="9">
        <v>45002</v>
      </c>
      <c r="D2789" t="s">
        <v>946</v>
      </c>
      <c r="E2789" s="13">
        <v>3080000</v>
      </c>
      <c r="F2789" s="13">
        <v>5550</v>
      </c>
      <c r="G2789" s="9">
        <v>45002</v>
      </c>
      <c r="H2789" t="s">
        <v>1111</v>
      </c>
      <c r="I2789" t="s">
        <v>2382</v>
      </c>
      <c r="J2789" s="13">
        <v>68376</v>
      </c>
      <c r="K2789">
        <v>1</v>
      </c>
      <c r="L2789" t="s">
        <v>1064</v>
      </c>
      <c r="M2789" t="s">
        <v>2383</v>
      </c>
      <c r="N2789" s="15" t="s">
        <v>6878</v>
      </c>
    </row>
    <row r="2790" spans="1:14" x14ac:dyDescent="0.2">
      <c r="A2790" t="s">
        <v>3904</v>
      </c>
      <c r="B2790" t="s">
        <v>2360</v>
      </c>
      <c r="C2790" s="9">
        <v>45002</v>
      </c>
      <c r="D2790" t="s">
        <v>946</v>
      </c>
      <c r="E2790" s="13">
        <v>19550000</v>
      </c>
      <c r="F2790" s="13">
        <v>5550</v>
      </c>
      <c r="G2790" s="9">
        <v>45002</v>
      </c>
      <c r="H2790" t="s">
        <v>1111</v>
      </c>
      <c r="I2790" t="s">
        <v>2382</v>
      </c>
      <c r="J2790" s="13">
        <v>434010</v>
      </c>
      <c r="K2790">
        <v>1</v>
      </c>
      <c r="L2790" t="s">
        <v>1064</v>
      </c>
      <c r="M2790" t="s">
        <v>2383</v>
      </c>
      <c r="N2790" s="15" t="s">
        <v>6878</v>
      </c>
    </row>
    <row r="2791" spans="1:14" x14ac:dyDescent="0.2">
      <c r="A2791" t="s">
        <v>3905</v>
      </c>
      <c r="B2791" t="s">
        <v>2360</v>
      </c>
      <c r="C2791" s="9">
        <v>45002</v>
      </c>
      <c r="D2791" t="s">
        <v>946</v>
      </c>
      <c r="E2791" s="13">
        <v>12535000</v>
      </c>
      <c r="F2791" s="13">
        <v>5550</v>
      </c>
      <c r="G2791" s="9">
        <v>45002</v>
      </c>
      <c r="H2791" t="s">
        <v>1111</v>
      </c>
      <c r="I2791" t="s">
        <v>2382</v>
      </c>
      <c r="J2791" s="13">
        <v>278277</v>
      </c>
      <c r="K2791">
        <v>1</v>
      </c>
      <c r="L2791" t="s">
        <v>1064</v>
      </c>
      <c r="M2791" t="s">
        <v>2383</v>
      </c>
      <c r="N2791" s="15" t="s">
        <v>6878</v>
      </c>
    </row>
    <row r="2792" spans="1:14" x14ac:dyDescent="0.2">
      <c r="A2792" t="s">
        <v>3906</v>
      </c>
      <c r="B2792" t="s">
        <v>2360</v>
      </c>
      <c r="C2792" s="9">
        <v>45002</v>
      </c>
      <c r="D2792" t="s">
        <v>946</v>
      </c>
      <c r="E2792" s="13">
        <v>11155000</v>
      </c>
      <c r="F2792" s="13">
        <v>5550</v>
      </c>
      <c r="G2792" s="9">
        <v>45002</v>
      </c>
      <c r="H2792" t="s">
        <v>1111</v>
      </c>
      <c r="I2792" t="s">
        <v>2382</v>
      </c>
      <c r="J2792" s="13">
        <v>247641</v>
      </c>
      <c r="K2792">
        <v>1</v>
      </c>
      <c r="L2792" t="s">
        <v>1064</v>
      </c>
      <c r="M2792" t="s">
        <v>2383</v>
      </c>
      <c r="N2792" s="15" t="s">
        <v>6878</v>
      </c>
    </row>
    <row r="2793" spans="1:14" x14ac:dyDescent="0.2">
      <c r="A2793" t="s">
        <v>3907</v>
      </c>
      <c r="B2793" t="s">
        <v>2360</v>
      </c>
      <c r="C2793" s="9">
        <v>45002</v>
      </c>
      <c r="D2793" t="s">
        <v>946</v>
      </c>
      <c r="E2793" s="13">
        <v>18400000</v>
      </c>
      <c r="F2793" s="13">
        <v>5550</v>
      </c>
      <c r="G2793" s="9">
        <v>45002</v>
      </c>
      <c r="H2793" t="s">
        <v>1111</v>
      </c>
      <c r="I2793" t="s">
        <v>2382</v>
      </c>
      <c r="J2793" s="13">
        <v>408480</v>
      </c>
      <c r="K2793">
        <v>1</v>
      </c>
      <c r="L2793" t="s">
        <v>1064</v>
      </c>
      <c r="M2793" t="s">
        <v>2383</v>
      </c>
      <c r="N2793" s="15" t="s">
        <v>6878</v>
      </c>
    </row>
    <row r="2794" spans="1:14" x14ac:dyDescent="0.2">
      <c r="A2794" t="s">
        <v>3908</v>
      </c>
      <c r="B2794" t="s">
        <v>2360</v>
      </c>
      <c r="C2794" s="9">
        <v>45002</v>
      </c>
      <c r="D2794" t="s">
        <v>946</v>
      </c>
      <c r="E2794" s="13">
        <v>5750000</v>
      </c>
      <c r="F2794" s="13">
        <v>5550</v>
      </c>
      <c r="G2794" s="9">
        <v>45002</v>
      </c>
      <c r="H2794" t="s">
        <v>1111</v>
      </c>
      <c r="I2794" t="s">
        <v>2382</v>
      </c>
      <c r="J2794" s="13">
        <v>127650</v>
      </c>
      <c r="K2794">
        <v>1</v>
      </c>
      <c r="L2794" t="s">
        <v>1064</v>
      </c>
      <c r="M2794" t="s">
        <v>2383</v>
      </c>
      <c r="N2794" s="15" t="s">
        <v>6878</v>
      </c>
    </row>
    <row r="2795" spans="1:14" x14ac:dyDescent="0.2">
      <c r="A2795" t="s">
        <v>3909</v>
      </c>
      <c r="B2795" t="s">
        <v>2360</v>
      </c>
      <c r="C2795" s="9">
        <v>45002</v>
      </c>
      <c r="D2795" t="s">
        <v>946</v>
      </c>
      <c r="E2795" s="13">
        <v>150000</v>
      </c>
      <c r="F2795" s="13">
        <v>5550</v>
      </c>
      <c r="G2795" s="9">
        <v>45002</v>
      </c>
      <c r="H2795" t="s">
        <v>1111</v>
      </c>
      <c r="I2795" t="s">
        <v>2382</v>
      </c>
      <c r="J2795" s="13">
        <v>3330</v>
      </c>
      <c r="K2795">
        <v>1</v>
      </c>
      <c r="L2795" t="s">
        <v>1064</v>
      </c>
      <c r="M2795" t="s">
        <v>2383</v>
      </c>
      <c r="N2795" s="15" t="s">
        <v>6878</v>
      </c>
    </row>
    <row r="2796" spans="1:14" x14ac:dyDescent="0.2">
      <c r="A2796" t="s">
        <v>3910</v>
      </c>
      <c r="B2796" t="s">
        <v>2360</v>
      </c>
      <c r="C2796" s="9">
        <v>45002</v>
      </c>
      <c r="D2796" t="s">
        <v>946</v>
      </c>
      <c r="E2796" s="13">
        <v>12535000</v>
      </c>
      <c r="F2796" s="13">
        <v>5550</v>
      </c>
      <c r="G2796" s="9">
        <v>45002</v>
      </c>
      <c r="H2796" t="s">
        <v>1111</v>
      </c>
      <c r="I2796" t="s">
        <v>2382</v>
      </c>
      <c r="J2796" s="13">
        <v>278277</v>
      </c>
      <c r="K2796">
        <v>1</v>
      </c>
      <c r="L2796" t="s">
        <v>1064</v>
      </c>
      <c r="M2796" t="s">
        <v>2383</v>
      </c>
      <c r="N2796" s="15" t="s">
        <v>6878</v>
      </c>
    </row>
    <row r="2797" spans="1:14" x14ac:dyDescent="0.2">
      <c r="A2797" t="s">
        <v>3911</v>
      </c>
      <c r="B2797" t="s">
        <v>2360</v>
      </c>
      <c r="C2797" s="9">
        <v>45002</v>
      </c>
      <c r="D2797" t="s">
        <v>946</v>
      </c>
      <c r="E2797" s="13">
        <v>9200000</v>
      </c>
      <c r="F2797" s="13">
        <v>5550</v>
      </c>
      <c r="G2797" s="9">
        <v>45002</v>
      </c>
      <c r="H2797" t="s">
        <v>1111</v>
      </c>
      <c r="I2797" t="s">
        <v>2382</v>
      </c>
      <c r="J2797" s="13">
        <v>204240</v>
      </c>
      <c r="K2797">
        <v>1</v>
      </c>
      <c r="L2797" t="s">
        <v>1064</v>
      </c>
      <c r="M2797" t="s">
        <v>2383</v>
      </c>
      <c r="N2797" s="15" t="s">
        <v>6878</v>
      </c>
    </row>
    <row r="2798" spans="1:14" x14ac:dyDescent="0.2">
      <c r="A2798" t="s">
        <v>3912</v>
      </c>
      <c r="B2798" t="s">
        <v>2360</v>
      </c>
      <c r="C2798" s="9">
        <v>45002</v>
      </c>
      <c r="D2798" t="s">
        <v>946</v>
      </c>
      <c r="E2798" s="13">
        <v>770000</v>
      </c>
      <c r="F2798" s="13">
        <v>5550</v>
      </c>
      <c r="G2798" s="9">
        <v>45002</v>
      </c>
      <c r="H2798" t="s">
        <v>1111</v>
      </c>
      <c r="I2798" t="s">
        <v>2382</v>
      </c>
      <c r="J2798" s="13">
        <v>17094</v>
      </c>
      <c r="K2798">
        <v>1</v>
      </c>
      <c r="L2798" t="s">
        <v>1064</v>
      </c>
      <c r="M2798" t="s">
        <v>2383</v>
      </c>
      <c r="N2798" s="15" t="s">
        <v>6878</v>
      </c>
    </row>
    <row r="2799" spans="1:14" x14ac:dyDescent="0.2">
      <c r="A2799" t="s">
        <v>3913</v>
      </c>
      <c r="B2799" t="s">
        <v>2360</v>
      </c>
      <c r="C2799" s="9">
        <v>45002</v>
      </c>
      <c r="D2799" t="s">
        <v>946</v>
      </c>
      <c r="E2799" s="13">
        <v>1650000</v>
      </c>
      <c r="F2799" s="13">
        <v>5550</v>
      </c>
      <c r="G2799" s="9">
        <v>45002</v>
      </c>
      <c r="H2799" t="s">
        <v>1111</v>
      </c>
      <c r="I2799" t="s">
        <v>2382</v>
      </c>
      <c r="J2799" s="13">
        <v>36630</v>
      </c>
      <c r="K2799">
        <v>1</v>
      </c>
      <c r="L2799" t="s">
        <v>1064</v>
      </c>
      <c r="M2799" t="s">
        <v>2383</v>
      </c>
      <c r="N2799" s="15" t="s">
        <v>6878</v>
      </c>
    </row>
    <row r="2800" spans="1:14" x14ac:dyDescent="0.2">
      <c r="A2800" t="s">
        <v>3914</v>
      </c>
      <c r="B2800" t="s">
        <v>2360</v>
      </c>
      <c r="C2800" s="9">
        <v>45002</v>
      </c>
      <c r="D2800" t="s">
        <v>946</v>
      </c>
      <c r="E2800" s="13">
        <v>17825000</v>
      </c>
      <c r="F2800" s="13">
        <v>5550</v>
      </c>
      <c r="G2800" s="9">
        <v>45002</v>
      </c>
      <c r="H2800" t="s">
        <v>1111</v>
      </c>
      <c r="I2800" t="s">
        <v>2382</v>
      </c>
      <c r="J2800" s="13">
        <v>395715</v>
      </c>
      <c r="K2800">
        <v>1</v>
      </c>
      <c r="L2800" t="s">
        <v>1064</v>
      </c>
      <c r="M2800" t="s">
        <v>2383</v>
      </c>
      <c r="N2800" s="15" t="s">
        <v>6878</v>
      </c>
    </row>
    <row r="2801" spans="1:14" x14ac:dyDescent="0.2">
      <c r="A2801" t="s">
        <v>3915</v>
      </c>
      <c r="B2801" t="s">
        <v>2360</v>
      </c>
      <c r="C2801" s="9">
        <v>45002</v>
      </c>
      <c r="D2801" t="s">
        <v>946</v>
      </c>
      <c r="E2801" s="13">
        <v>1210000</v>
      </c>
      <c r="F2801" s="13">
        <v>5550</v>
      </c>
      <c r="G2801" s="9">
        <v>45002</v>
      </c>
      <c r="H2801" t="s">
        <v>1111</v>
      </c>
      <c r="I2801" t="s">
        <v>2382</v>
      </c>
      <c r="J2801" s="13">
        <v>26862</v>
      </c>
      <c r="K2801">
        <v>1</v>
      </c>
      <c r="L2801" t="s">
        <v>1064</v>
      </c>
      <c r="M2801" t="s">
        <v>2383</v>
      </c>
      <c r="N2801" s="15" t="s">
        <v>6878</v>
      </c>
    </row>
    <row r="2802" spans="1:14" x14ac:dyDescent="0.2">
      <c r="A2802" t="s">
        <v>3916</v>
      </c>
      <c r="B2802" t="s">
        <v>2360</v>
      </c>
      <c r="C2802" s="9">
        <v>45002</v>
      </c>
      <c r="D2802" t="s">
        <v>946</v>
      </c>
      <c r="E2802" s="13">
        <v>1650000</v>
      </c>
      <c r="F2802" s="13">
        <v>5550</v>
      </c>
      <c r="G2802" s="9">
        <v>45002</v>
      </c>
      <c r="H2802" t="s">
        <v>1111</v>
      </c>
      <c r="I2802" t="s">
        <v>2382</v>
      </c>
      <c r="J2802" s="13">
        <v>36630</v>
      </c>
      <c r="K2802">
        <v>1</v>
      </c>
      <c r="L2802" t="s">
        <v>1064</v>
      </c>
      <c r="M2802" t="s">
        <v>2383</v>
      </c>
      <c r="N2802" s="15" t="s">
        <v>6878</v>
      </c>
    </row>
    <row r="2803" spans="1:14" x14ac:dyDescent="0.2">
      <c r="A2803" t="s">
        <v>3917</v>
      </c>
      <c r="B2803" t="s">
        <v>2360</v>
      </c>
      <c r="C2803" s="9">
        <v>45002</v>
      </c>
      <c r="D2803" t="s">
        <v>946</v>
      </c>
      <c r="E2803" s="13">
        <v>1540000</v>
      </c>
      <c r="F2803" s="13">
        <v>5550</v>
      </c>
      <c r="G2803" s="9">
        <v>45002</v>
      </c>
      <c r="H2803" t="s">
        <v>1111</v>
      </c>
      <c r="I2803" t="s">
        <v>2382</v>
      </c>
      <c r="J2803" s="13">
        <v>34188</v>
      </c>
      <c r="K2803">
        <v>1</v>
      </c>
      <c r="L2803" t="s">
        <v>1064</v>
      </c>
      <c r="M2803" t="s">
        <v>2383</v>
      </c>
      <c r="N2803" s="15" t="s">
        <v>6878</v>
      </c>
    </row>
    <row r="2804" spans="1:14" x14ac:dyDescent="0.2">
      <c r="A2804" t="s">
        <v>3918</v>
      </c>
      <c r="B2804" t="s">
        <v>2360</v>
      </c>
      <c r="C2804" s="9">
        <v>45002</v>
      </c>
      <c r="D2804" t="s">
        <v>946</v>
      </c>
      <c r="E2804" s="13">
        <v>2200000</v>
      </c>
      <c r="F2804" s="13">
        <v>5550</v>
      </c>
      <c r="G2804" s="9">
        <v>45002</v>
      </c>
      <c r="H2804" t="s">
        <v>1111</v>
      </c>
      <c r="I2804" t="s">
        <v>2382</v>
      </c>
      <c r="J2804" s="13">
        <v>48840</v>
      </c>
      <c r="K2804">
        <v>1</v>
      </c>
      <c r="L2804" t="s">
        <v>1064</v>
      </c>
      <c r="M2804" t="s">
        <v>2383</v>
      </c>
      <c r="N2804" s="15" t="s">
        <v>6878</v>
      </c>
    </row>
    <row r="2805" spans="1:14" x14ac:dyDescent="0.2">
      <c r="A2805" t="s">
        <v>3919</v>
      </c>
      <c r="B2805" t="s">
        <v>2360</v>
      </c>
      <c r="C2805" s="9">
        <v>45002</v>
      </c>
      <c r="D2805" t="s">
        <v>946</v>
      </c>
      <c r="E2805" s="13">
        <v>1870000</v>
      </c>
      <c r="F2805" s="13">
        <v>5550</v>
      </c>
      <c r="G2805" s="9">
        <v>45002</v>
      </c>
      <c r="H2805" t="s">
        <v>1111</v>
      </c>
      <c r="I2805" t="s">
        <v>2382</v>
      </c>
      <c r="J2805" s="13">
        <v>41514</v>
      </c>
      <c r="K2805">
        <v>1</v>
      </c>
      <c r="L2805" t="s">
        <v>1064</v>
      </c>
      <c r="M2805" t="s">
        <v>2383</v>
      </c>
      <c r="N2805" s="15" t="s">
        <v>6878</v>
      </c>
    </row>
    <row r="2806" spans="1:14" x14ac:dyDescent="0.2">
      <c r="A2806" t="s">
        <v>3920</v>
      </c>
      <c r="B2806" t="s">
        <v>2360</v>
      </c>
      <c r="C2806" s="9">
        <v>45002</v>
      </c>
      <c r="D2806" t="s">
        <v>946</v>
      </c>
      <c r="E2806" s="13">
        <v>8050000</v>
      </c>
      <c r="F2806" s="13">
        <v>5550</v>
      </c>
      <c r="G2806" s="9">
        <v>45002</v>
      </c>
      <c r="H2806" t="s">
        <v>1111</v>
      </c>
      <c r="I2806" t="s">
        <v>2382</v>
      </c>
      <c r="J2806" s="13">
        <v>178710</v>
      </c>
      <c r="K2806">
        <v>1</v>
      </c>
      <c r="L2806" t="s">
        <v>1064</v>
      </c>
      <c r="M2806" t="s">
        <v>2383</v>
      </c>
      <c r="N2806" s="15" t="s">
        <v>6878</v>
      </c>
    </row>
    <row r="2807" spans="1:14" x14ac:dyDescent="0.2">
      <c r="A2807" t="s">
        <v>3921</v>
      </c>
      <c r="B2807" t="s">
        <v>2360</v>
      </c>
      <c r="C2807" s="9">
        <v>45002</v>
      </c>
      <c r="D2807" t="s">
        <v>946</v>
      </c>
      <c r="E2807" s="13">
        <v>1650000</v>
      </c>
      <c r="F2807" s="13">
        <v>5550</v>
      </c>
      <c r="G2807" s="9">
        <v>45002</v>
      </c>
      <c r="H2807" t="s">
        <v>1111</v>
      </c>
      <c r="I2807" t="s">
        <v>2382</v>
      </c>
      <c r="J2807" s="13">
        <v>36630</v>
      </c>
      <c r="K2807">
        <v>1</v>
      </c>
      <c r="L2807" t="s">
        <v>1064</v>
      </c>
      <c r="M2807" t="s">
        <v>2383</v>
      </c>
      <c r="N2807" s="15" t="s">
        <v>6878</v>
      </c>
    </row>
    <row r="2808" spans="1:14" x14ac:dyDescent="0.2">
      <c r="A2808" t="s">
        <v>3922</v>
      </c>
      <c r="B2808" t="s">
        <v>2360</v>
      </c>
      <c r="C2808" s="9">
        <v>45002</v>
      </c>
      <c r="D2808" t="s">
        <v>946</v>
      </c>
      <c r="E2808" s="13">
        <v>770000</v>
      </c>
      <c r="F2808" s="13">
        <v>5550</v>
      </c>
      <c r="G2808" s="9">
        <v>45002</v>
      </c>
      <c r="H2808" t="s">
        <v>1111</v>
      </c>
      <c r="I2808" t="s">
        <v>2382</v>
      </c>
      <c r="J2808" s="13">
        <v>17094</v>
      </c>
      <c r="K2808">
        <v>1</v>
      </c>
      <c r="L2808" t="s">
        <v>1064</v>
      </c>
      <c r="M2808" t="s">
        <v>2383</v>
      </c>
      <c r="N2808" s="15" t="s">
        <v>6878</v>
      </c>
    </row>
    <row r="2809" spans="1:14" x14ac:dyDescent="0.2">
      <c r="A2809" t="s">
        <v>3923</v>
      </c>
      <c r="B2809" t="s">
        <v>2360</v>
      </c>
      <c r="C2809" s="9">
        <v>45002</v>
      </c>
      <c r="D2809" t="s">
        <v>946</v>
      </c>
      <c r="E2809" s="13">
        <v>4290000</v>
      </c>
      <c r="F2809" s="13">
        <v>5550</v>
      </c>
      <c r="G2809" s="9">
        <v>45002</v>
      </c>
      <c r="H2809" t="s">
        <v>1111</v>
      </c>
      <c r="I2809" t="s">
        <v>2382</v>
      </c>
      <c r="J2809" s="13">
        <v>95238</v>
      </c>
      <c r="K2809">
        <v>1</v>
      </c>
      <c r="L2809" t="s">
        <v>1064</v>
      </c>
      <c r="M2809" t="s">
        <v>2383</v>
      </c>
      <c r="N2809" s="15" t="s">
        <v>6878</v>
      </c>
    </row>
    <row r="2810" spans="1:14" x14ac:dyDescent="0.2">
      <c r="A2810" t="s">
        <v>3924</v>
      </c>
      <c r="B2810" t="s">
        <v>2360</v>
      </c>
      <c r="C2810" s="9">
        <v>45002</v>
      </c>
      <c r="D2810" t="s">
        <v>946</v>
      </c>
      <c r="E2810" s="13">
        <v>1100000</v>
      </c>
      <c r="F2810" s="13">
        <v>5550</v>
      </c>
      <c r="G2810" s="9">
        <v>45002</v>
      </c>
      <c r="H2810" t="s">
        <v>1111</v>
      </c>
      <c r="I2810" t="s">
        <v>2382</v>
      </c>
      <c r="J2810" s="13">
        <v>24420</v>
      </c>
      <c r="K2810">
        <v>1</v>
      </c>
      <c r="L2810" t="s">
        <v>1064</v>
      </c>
      <c r="M2810" t="s">
        <v>2383</v>
      </c>
      <c r="N2810" s="15" t="s">
        <v>6878</v>
      </c>
    </row>
    <row r="2811" spans="1:14" x14ac:dyDescent="0.2">
      <c r="A2811" t="s">
        <v>3925</v>
      </c>
      <c r="B2811" t="s">
        <v>2360</v>
      </c>
      <c r="C2811" s="9">
        <v>45002</v>
      </c>
      <c r="D2811" t="s">
        <v>946</v>
      </c>
      <c r="E2811" s="13">
        <v>19550000</v>
      </c>
      <c r="F2811" s="13">
        <v>5550</v>
      </c>
      <c r="G2811" s="9">
        <v>45002</v>
      </c>
      <c r="H2811" t="s">
        <v>1111</v>
      </c>
      <c r="I2811" t="s">
        <v>2382</v>
      </c>
      <c r="J2811" s="13">
        <v>434010</v>
      </c>
      <c r="K2811">
        <v>1</v>
      </c>
      <c r="L2811" t="s">
        <v>1064</v>
      </c>
      <c r="M2811" t="s">
        <v>2383</v>
      </c>
      <c r="N2811" s="15" t="s">
        <v>6878</v>
      </c>
    </row>
    <row r="2812" spans="1:14" x14ac:dyDescent="0.2">
      <c r="A2812" t="s">
        <v>3926</v>
      </c>
      <c r="B2812" t="s">
        <v>2360</v>
      </c>
      <c r="C2812" s="9">
        <v>45002</v>
      </c>
      <c r="D2812" t="s">
        <v>946</v>
      </c>
      <c r="E2812" s="13">
        <v>4290000</v>
      </c>
      <c r="F2812" s="13">
        <v>5550</v>
      </c>
      <c r="G2812" s="9">
        <v>45002</v>
      </c>
      <c r="H2812" t="s">
        <v>1111</v>
      </c>
      <c r="I2812" t="s">
        <v>2382</v>
      </c>
      <c r="J2812" s="13">
        <v>95238</v>
      </c>
      <c r="K2812">
        <v>1</v>
      </c>
      <c r="L2812" t="s">
        <v>1064</v>
      </c>
      <c r="M2812" t="s">
        <v>2383</v>
      </c>
      <c r="N2812" s="15" t="s">
        <v>6878</v>
      </c>
    </row>
    <row r="2813" spans="1:14" x14ac:dyDescent="0.2">
      <c r="A2813" t="s">
        <v>3927</v>
      </c>
      <c r="B2813" t="s">
        <v>2360</v>
      </c>
      <c r="C2813" s="9">
        <v>45002</v>
      </c>
      <c r="D2813" t="s">
        <v>946</v>
      </c>
      <c r="E2813" s="13">
        <v>2200000</v>
      </c>
      <c r="F2813" s="13">
        <v>5550</v>
      </c>
      <c r="G2813" s="9">
        <v>45002</v>
      </c>
      <c r="H2813" t="s">
        <v>1111</v>
      </c>
      <c r="I2813" t="s">
        <v>2382</v>
      </c>
      <c r="J2813" s="13">
        <v>48840</v>
      </c>
      <c r="K2813">
        <v>1</v>
      </c>
      <c r="L2813" t="s">
        <v>1064</v>
      </c>
      <c r="M2813" t="s">
        <v>2383</v>
      </c>
      <c r="N2813" s="15" t="s">
        <v>6878</v>
      </c>
    </row>
    <row r="2814" spans="1:14" x14ac:dyDescent="0.2">
      <c r="A2814" t="s">
        <v>3928</v>
      </c>
      <c r="B2814" t="s">
        <v>2360</v>
      </c>
      <c r="C2814" s="9">
        <v>45002</v>
      </c>
      <c r="D2814" t="s">
        <v>946</v>
      </c>
      <c r="E2814" s="13">
        <v>11500000</v>
      </c>
      <c r="F2814" s="13">
        <v>5550</v>
      </c>
      <c r="G2814" s="9">
        <v>45002</v>
      </c>
      <c r="H2814" t="s">
        <v>1111</v>
      </c>
      <c r="I2814" t="s">
        <v>2382</v>
      </c>
      <c r="J2814" s="13">
        <v>255300</v>
      </c>
      <c r="K2814">
        <v>1</v>
      </c>
      <c r="L2814" t="s">
        <v>1064</v>
      </c>
      <c r="M2814" t="s">
        <v>2383</v>
      </c>
      <c r="N2814" s="15" t="s">
        <v>6878</v>
      </c>
    </row>
    <row r="2815" spans="1:14" x14ac:dyDescent="0.2">
      <c r="A2815" t="s">
        <v>3929</v>
      </c>
      <c r="B2815" t="s">
        <v>2360</v>
      </c>
      <c r="C2815" s="9">
        <v>45002</v>
      </c>
      <c r="D2815" t="s">
        <v>966</v>
      </c>
      <c r="E2815" s="13">
        <v>25000000</v>
      </c>
      <c r="F2815" s="13">
        <v>27750</v>
      </c>
      <c r="G2815" s="9">
        <v>45004</v>
      </c>
      <c r="H2815" t="s">
        <v>1063</v>
      </c>
      <c r="I2815" t="s">
        <v>1515</v>
      </c>
      <c r="J2815" s="13">
        <v>1110000</v>
      </c>
      <c r="K2815">
        <v>1</v>
      </c>
      <c r="L2815" t="s">
        <v>1064</v>
      </c>
      <c r="M2815" t="s">
        <v>1516</v>
      </c>
      <c r="N2815" s="15" t="s">
        <v>6878</v>
      </c>
    </row>
    <row r="2816" spans="1:14" x14ac:dyDescent="0.2">
      <c r="A2816" t="s">
        <v>3930</v>
      </c>
      <c r="B2816" t="s">
        <v>2360</v>
      </c>
      <c r="C2816" s="9">
        <v>45002</v>
      </c>
      <c r="D2816" t="s">
        <v>946</v>
      </c>
      <c r="E2816" s="13">
        <v>10350000</v>
      </c>
      <c r="F2816" s="13">
        <v>5550</v>
      </c>
      <c r="G2816" s="9">
        <v>45002</v>
      </c>
      <c r="H2816" t="s">
        <v>1111</v>
      </c>
      <c r="I2816" t="s">
        <v>2382</v>
      </c>
      <c r="J2816" s="13">
        <v>229770</v>
      </c>
      <c r="K2816">
        <v>1</v>
      </c>
      <c r="L2816" t="s">
        <v>1064</v>
      </c>
      <c r="M2816" t="s">
        <v>2383</v>
      </c>
      <c r="N2816" s="15" t="s">
        <v>6878</v>
      </c>
    </row>
    <row r="2817" spans="1:14" x14ac:dyDescent="0.2">
      <c r="A2817" t="s">
        <v>3931</v>
      </c>
      <c r="B2817" t="s">
        <v>2360</v>
      </c>
      <c r="C2817" s="9">
        <v>45002</v>
      </c>
      <c r="D2817" t="s">
        <v>946</v>
      </c>
      <c r="E2817" s="13">
        <v>10350000</v>
      </c>
      <c r="F2817" s="13">
        <v>5550</v>
      </c>
      <c r="G2817" s="9">
        <v>45002</v>
      </c>
      <c r="H2817" t="s">
        <v>1111</v>
      </c>
      <c r="I2817" t="s">
        <v>2382</v>
      </c>
      <c r="J2817" s="13">
        <v>229770</v>
      </c>
      <c r="K2817">
        <v>1</v>
      </c>
      <c r="L2817" t="s">
        <v>1064</v>
      </c>
      <c r="M2817" t="s">
        <v>2383</v>
      </c>
      <c r="N2817" s="15" t="s">
        <v>6878</v>
      </c>
    </row>
    <row r="2818" spans="1:14" x14ac:dyDescent="0.2">
      <c r="A2818" t="s">
        <v>3932</v>
      </c>
      <c r="B2818" t="s">
        <v>2360</v>
      </c>
      <c r="C2818" s="9">
        <v>45002</v>
      </c>
      <c r="D2818" t="s">
        <v>946</v>
      </c>
      <c r="E2818" s="13">
        <v>880000</v>
      </c>
      <c r="F2818" s="13">
        <v>5550</v>
      </c>
      <c r="G2818" s="9">
        <v>45002</v>
      </c>
      <c r="H2818" t="s">
        <v>1111</v>
      </c>
      <c r="I2818" t="s">
        <v>2382</v>
      </c>
      <c r="J2818" s="13">
        <v>19536</v>
      </c>
      <c r="K2818">
        <v>1</v>
      </c>
      <c r="L2818" t="s">
        <v>1064</v>
      </c>
      <c r="M2818" t="s">
        <v>2383</v>
      </c>
      <c r="N2818" s="15" t="s">
        <v>6878</v>
      </c>
    </row>
    <row r="2819" spans="1:14" x14ac:dyDescent="0.2">
      <c r="A2819" t="s">
        <v>3933</v>
      </c>
      <c r="B2819" t="s">
        <v>2360</v>
      </c>
      <c r="C2819" s="9">
        <v>45002</v>
      </c>
      <c r="D2819" t="s">
        <v>946</v>
      </c>
      <c r="E2819" s="13">
        <v>330000</v>
      </c>
      <c r="F2819" s="13">
        <v>5550</v>
      </c>
      <c r="G2819" s="9">
        <v>45002</v>
      </c>
      <c r="H2819" t="s">
        <v>1111</v>
      </c>
      <c r="I2819" t="s">
        <v>2382</v>
      </c>
      <c r="J2819" s="13">
        <v>7326</v>
      </c>
      <c r="K2819">
        <v>1</v>
      </c>
      <c r="L2819" t="s">
        <v>1064</v>
      </c>
      <c r="M2819" t="s">
        <v>2383</v>
      </c>
      <c r="N2819" s="15" t="s">
        <v>6878</v>
      </c>
    </row>
    <row r="2820" spans="1:14" x14ac:dyDescent="0.2">
      <c r="A2820" t="s">
        <v>3934</v>
      </c>
      <c r="B2820" t="s">
        <v>2360</v>
      </c>
      <c r="C2820" s="9">
        <v>45002</v>
      </c>
      <c r="D2820" t="s">
        <v>946</v>
      </c>
      <c r="E2820" s="13">
        <v>660000</v>
      </c>
      <c r="F2820" s="13">
        <v>5550</v>
      </c>
      <c r="G2820" s="9">
        <v>45002</v>
      </c>
      <c r="H2820" t="s">
        <v>1111</v>
      </c>
      <c r="I2820" t="s">
        <v>2382</v>
      </c>
      <c r="J2820" s="13">
        <v>14652</v>
      </c>
      <c r="K2820">
        <v>1</v>
      </c>
      <c r="L2820" t="s">
        <v>1064</v>
      </c>
      <c r="M2820" t="s">
        <v>2383</v>
      </c>
      <c r="N2820" s="15" t="s">
        <v>6878</v>
      </c>
    </row>
    <row r="2821" spans="1:14" x14ac:dyDescent="0.2">
      <c r="A2821" t="s">
        <v>3935</v>
      </c>
      <c r="B2821" t="s">
        <v>2360</v>
      </c>
      <c r="C2821" s="9">
        <v>45002</v>
      </c>
      <c r="D2821" t="s">
        <v>946</v>
      </c>
      <c r="E2821" s="13">
        <v>3300000</v>
      </c>
      <c r="F2821" s="13">
        <v>5550</v>
      </c>
      <c r="G2821" s="9">
        <v>45002</v>
      </c>
      <c r="H2821" t="s">
        <v>1111</v>
      </c>
      <c r="I2821" t="s">
        <v>2382</v>
      </c>
      <c r="J2821" s="13">
        <v>73260</v>
      </c>
      <c r="K2821">
        <v>1</v>
      </c>
      <c r="L2821" t="s">
        <v>1064</v>
      </c>
      <c r="M2821" t="s">
        <v>2383</v>
      </c>
      <c r="N2821" s="15" t="s">
        <v>6878</v>
      </c>
    </row>
    <row r="2822" spans="1:14" x14ac:dyDescent="0.2">
      <c r="A2822" t="s">
        <v>3936</v>
      </c>
      <c r="B2822" t="s">
        <v>2360</v>
      </c>
      <c r="C2822" s="9">
        <v>45002</v>
      </c>
      <c r="D2822" t="s">
        <v>946</v>
      </c>
      <c r="E2822" s="13">
        <v>19550000</v>
      </c>
      <c r="F2822" s="13">
        <v>5550</v>
      </c>
      <c r="G2822" s="9">
        <v>45002</v>
      </c>
      <c r="H2822" t="s">
        <v>1111</v>
      </c>
      <c r="I2822" t="s">
        <v>2382</v>
      </c>
      <c r="J2822" s="13">
        <v>434010</v>
      </c>
      <c r="K2822">
        <v>1</v>
      </c>
      <c r="L2822" t="s">
        <v>1064</v>
      </c>
      <c r="M2822" t="s">
        <v>2383</v>
      </c>
      <c r="N2822" s="15" t="s">
        <v>6878</v>
      </c>
    </row>
    <row r="2823" spans="1:14" x14ac:dyDescent="0.2">
      <c r="A2823" t="s">
        <v>3937</v>
      </c>
      <c r="B2823" t="s">
        <v>2360</v>
      </c>
      <c r="C2823" s="9">
        <v>45002</v>
      </c>
      <c r="D2823" t="s">
        <v>946</v>
      </c>
      <c r="E2823" s="13">
        <v>19550000</v>
      </c>
      <c r="F2823" s="13">
        <v>5550</v>
      </c>
      <c r="G2823" s="9">
        <v>45002</v>
      </c>
      <c r="H2823" t="s">
        <v>1111</v>
      </c>
      <c r="I2823" t="s">
        <v>2382</v>
      </c>
      <c r="J2823" s="13">
        <v>434010</v>
      </c>
      <c r="K2823">
        <v>1</v>
      </c>
      <c r="L2823" t="s">
        <v>1064</v>
      </c>
      <c r="M2823" t="s">
        <v>2383</v>
      </c>
      <c r="N2823" s="15" t="s">
        <v>6878</v>
      </c>
    </row>
    <row r="2824" spans="1:14" x14ac:dyDescent="0.2">
      <c r="A2824" t="s">
        <v>3938</v>
      </c>
      <c r="B2824" t="s">
        <v>2360</v>
      </c>
      <c r="C2824" s="9">
        <v>45002</v>
      </c>
      <c r="D2824" t="s">
        <v>946</v>
      </c>
      <c r="E2824" s="13">
        <v>8338000</v>
      </c>
      <c r="F2824" s="13">
        <v>5550</v>
      </c>
      <c r="G2824" s="9">
        <v>45002</v>
      </c>
      <c r="H2824" t="s">
        <v>1111</v>
      </c>
      <c r="I2824" t="s">
        <v>2382</v>
      </c>
      <c r="J2824" s="13">
        <v>185103</v>
      </c>
      <c r="K2824">
        <v>1</v>
      </c>
      <c r="L2824" t="s">
        <v>1064</v>
      </c>
      <c r="M2824" t="s">
        <v>2383</v>
      </c>
      <c r="N2824" s="15" t="s">
        <v>6878</v>
      </c>
    </row>
    <row r="2825" spans="1:14" x14ac:dyDescent="0.2">
      <c r="A2825" t="s">
        <v>3939</v>
      </c>
      <c r="B2825" t="s">
        <v>2360</v>
      </c>
      <c r="C2825" s="9">
        <v>45002</v>
      </c>
      <c r="D2825" t="s">
        <v>946</v>
      </c>
      <c r="E2825" s="13">
        <v>2200000</v>
      </c>
      <c r="F2825" s="13">
        <v>5550</v>
      </c>
      <c r="G2825" s="9">
        <v>45002</v>
      </c>
      <c r="H2825" t="s">
        <v>1111</v>
      </c>
      <c r="I2825" t="s">
        <v>2382</v>
      </c>
      <c r="J2825" s="13">
        <v>48840</v>
      </c>
      <c r="K2825">
        <v>1</v>
      </c>
      <c r="L2825" t="s">
        <v>1064</v>
      </c>
      <c r="M2825" t="s">
        <v>2383</v>
      </c>
      <c r="N2825" s="15" t="s">
        <v>6878</v>
      </c>
    </row>
    <row r="2826" spans="1:14" x14ac:dyDescent="0.2">
      <c r="A2826" t="s">
        <v>3940</v>
      </c>
      <c r="B2826" t="s">
        <v>2360</v>
      </c>
      <c r="C2826" s="9">
        <v>45002</v>
      </c>
      <c r="D2826" t="s">
        <v>946</v>
      </c>
      <c r="E2826" s="13">
        <v>770000</v>
      </c>
      <c r="F2826" s="13">
        <v>5550</v>
      </c>
      <c r="G2826" s="9">
        <v>45002</v>
      </c>
      <c r="H2826" t="s">
        <v>1111</v>
      </c>
      <c r="I2826" t="s">
        <v>2382</v>
      </c>
      <c r="J2826" s="13">
        <v>17094</v>
      </c>
      <c r="K2826">
        <v>1</v>
      </c>
      <c r="L2826" t="s">
        <v>1064</v>
      </c>
      <c r="M2826" t="s">
        <v>2383</v>
      </c>
      <c r="N2826" s="15" t="s">
        <v>6878</v>
      </c>
    </row>
    <row r="2827" spans="1:14" x14ac:dyDescent="0.2">
      <c r="A2827" t="s">
        <v>3941</v>
      </c>
      <c r="B2827" t="s">
        <v>2360</v>
      </c>
      <c r="C2827" s="9">
        <v>45002</v>
      </c>
      <c r="D2827" t="s">
        <v>946</v>
      </c>
      <c r="E2827" s="13">
        <v>770000</v>
      </c>
      <c r="F2827" s="13">
        <v>5550</v>
      </c>
      <c r="G2827" s="9">
        <v>45002</v>
      </c>
      <c r="H2827" t="s">
        <v>1111</v>
      </c>
      <c r="I2827" t="s">
        <v>2382</v>
      </c>
      <c r="J2827" s="13">
        <v>17094</v>
      </c>
      <c r="K2827">
        <v>1</v>
      </c>
      <c r="L2827" t="s">
        <v>1064</v>
      </c>
      <c r="M2827" t="s">
        <v>2383</v>
      </c>
      <c r="N2827" s="15" t="s">
        <v>6878</v>
      </c>
    </row>
    <row r="2828" spans="1:14" x14ac:dyDescent="0.2">
      <c r="A2828" t="s">
        <v>3942</v>
      </c>
      <c r="B2828" t="s">
        <v>2360</v>
      </c>
      <c r="C2828" s="9">
        <v>45002</v>
      </c>
      <c r="D2828" t="s">
        <v>946</v>
      </c>
      <c r="E2828" s="13">
        <v>32200000</v>
      </c>
      <c r="F2828" s="13">
        <v>5550</v>
      </c>
      <c r="G2828" s="9">
        <v>45002</v>
      </c>
      <c r="H2828" t="s">
        <v>1111</v>
      </c>
      <c r="I2828" t="s">
        <v>2382</v>
      </c>
      <c r="J2828" s="13">
        <v>714840</v>
      </c>
      <c r="K2828">
        <v>1</v>
      </c>
      <c r="L2828" t="s">
        <v>1064</v>
      </c>
      <c r="M2828" t="s">
        <v>2383</v>
      </c>
      <c r="N2828" s="15" t="s">
        <v>6878</v>
      </c>
    </row>
    <row r="2829" spans="1:14" x14ac:dyDescent="0.2">
      <c r="A2829" t="s">
        <v>3943</v>
      </c>
      <c r="B2829" t="s">
        <v>2360</v>
      </c>
      <c r="C2829" s="9">
        <v>45002</v>
      </c>
      <c r="D2829" t="s">
        <v>946</v>
      </c>
      <c r="E2829" s="13">
        <v>1210000</v>
      </c>
      <c r="F2829" s="13">
        <v>5550</v>
      </c>
      <c r="G2829" s="9">
        <v>45002</v>
      </c>
      <c r="H2829" t="s">
        <v>1111</v>
      </c>
      <c r="I2829" t="s">
        <v>2382</v>
      </c>
      <c r="J2829" s="13">
        <v>26862</v>
      </c>
      <c r="K2829">
        <v>1</v>
      </c>
      <c r="L2829" t="s">
        <v>1064</v>
      </c>
      <c r="M2829" t="s">
        <v>2383</v>
      </c>
      <c r="N2829" s="15" t="s">
        <v>6878</v>
      </c>
    </row>
    <row r="2830" spans="1:14" x14ac:dyDescent="0.2">
      <c r="A2830" t="s">
        <v>3944</v>
      </c>
      <c r="B2830" t="s">
        <v>2360</v>
      </c>
      <c r="C2830" s="9">
        <v>45002</v>
      </c>
      <c r="D2830" t="s">
        <v>946</v>
      </c>
      <c r="E2830" s="13">
        <v>1430000</v>
      </c>
      <c r="F2830" s="13">
        <v>5550</v>
      </c>
      <c r="G2830" s="9">
        <v>45002</v>
      </c>
      <c r="H2830" t="s">
        <v>1111</v>
      </c>
      <c r="I2830" t="s">
        <v>2382</v>
      </c>
      <c r="J2830" s="13">
        <v>31746</v>
      </c>
      <c r="K2830">
        <v>1</v>
      </c>
      <c r="L2830" t="s">
        <v>1064</v>
      </c>
      <c r="M2830" t="s">
        <v>2383</v>
      </c>
      <c r="N2830" s="15" t="s">
        <v>6878</v>
      </c>
    </row>
    <row r="2831" spans="1:14" x14ac:dyDescent="0.2">
      <c r="A2831" t="s">
        <v>3945</v>
      </c>
      <c r="B2831" t="s">
        <v>2360</v>
      </c>
      <c r="C2831" s="9">
        <v>45002</v>
      </c>
      <c r="D2831" t="s">
        <v>946</v>
      </c>
      <c r="E2831" s="13">
        <v>2200000</v>
      </c>
      <c r="F2831" s="13">
        <v>5550</v>
      </c>
      <c r="G2831" s="9">
        <v>45002</v>
      </c>
      <c r="H2831" t="s">
        <v>1111</v>
      </c>
      <c r="I2831" t="s">
        <v>2382</v>
      </c>
      <c r="J2831" s="13">
        <v>48840</v>
      </c>
      <c r="K2831">
        <v>1</v>
      </c>
      <c r="L2831" t="s">
        <v>1064</v>
      </c>
      <c r="M2831" t="s">
        <v>2383</v>
      </c>
      <c r="N2831" s="15" t="s">
        <v>6878</v>
      </c>
    </row>
    <row r="2832" spans="1:14" x14ac:dyDescent="0.2">
      <c r="A2832" t="s">
        <v>3946</v>
      </c>
      <c r="B2832" t="s">
        <v>2360</v>
      </c>
      <c r="C2832" s="9">
        <v>45002</v>
      </c>
      <c r="D2832" t="s">
        <v>946</v>
      </c>
      <c r="E2832" s="13">
        <v>1430000</v>
      </c>
      <c r="F2832" s="13">
        <v>5550</v>
      </c>
      <c r="G2832" s="9">
        <v>45002</v>
      </c>
      <c r="H2832" t="s">
        <v>1111</v>
      </c>
      <c r="I2832" t="s">
        <v>2382</v>
      </c>
      <c r="J2832" s="13">
        <v>31746</v>
      </c>
      <c r="K2832">
        <v>1</v>
      </c>
      <c r="L2832" t="s">
        <v>1064</v>
      </c>
      <c r="M2832" t="s">
        <v>2383</v>
      </c>
      <c r="N2832" s="15" t="s">
        <v>6878</v>
      </c>
    </row>
    <row r="2833" spans="1:14" x14ac:dyDescent="0.2">
      <c r="A2833" t="s">
        <v>3947</v>
      </c>
      <c r="B2833" t="s">
        <v>2360</v>
      </c>
      <c r="C2833" s="9">
        <v>45002</v>
      </c>
      <c r="D2833" t="s">
        <v>946</v>
      </c>
      <c r="E2833" s="13">
        <v>7348590</v>
      </c>
      <c r="F2833" s="13">
        <v>5550</v>
      </c>
      <c r="G2833" s="9">
        <v>45002</v>
      </c>
      <c r="H2833" t="s">
        <v>1111</v>
      </c>
      <c r="I2833" t="s">
        <v>2382</v>
      </c>
      <c r="J2833" s="13">
        <v>122353</v>
      </c>
      <c r="K2833">
        <v>1</v>
      </c>
      <c r="L2833" t="s">
        <v>1064</v>
      </c>
      <c r="M2833" t="s">
        <v>2383</v>
      </c>
      <c r="N2833" s="15" t="s">
        <v>6878</v>
      </c>
    </row>
    <row r="2834" spans="1:14" x14ac:dyDescent="0.2">
      <c r="A2834" t="s">
        <v>3948</v>
      </c>
      <c r="B2834" t="s">
        <v>2360</v>
      </c>
      <c r="C2834" s="9">
        <v>45002</v>
      </c>
      <c r="D2834" t="s">
        <v>946</v>
      </c>
      <c r="E2834" s="13">
        <v>6520500</v>
      </c>
      <c r="F2834" s="13">
        <v>5550</v>
      </c>
      <c r="G2834" s="9">
        <v>45002</v>
      </c>
      <c r="H2834" t="s">
        <v>1111</v>
      </c>
      <c r="I2834" t="s">
        <v>2382</v>
      </c>
      <c r="J2834" s="13">
        <v>108565</v>
      </c>
      <c r="K2834">
        <v>1</v>
      </c>
      <c r="L2834" t="s">
        <v>1064</v>
      </c>
      <c r="M2834" t="s">
        <v>2383</v>
      </c>
      <c r="N2834" s="15" t="s">
        <v>6878</v>
      </c>
    </row>
    <row r="2835" spans="1:14" x14ac:dyDescent="0.2">
      <c r="A2835" t="s">
        <v>3949</v>
      </c>
      <c r="B2835" t="s">
        <v>2360</v>
      </c>
      <c r="C2835" s="9">
        <v>45002</v>
      </c>
      <c r="D2835" t="s">
        <v>946</v>
      </c>
      <c r="E2835" s="13">
        <v>34178125</v>
      </c>
      <c r="F2835" s="13">
        <v>5550</v>
      </c>
      <c r="G2835" s="9">
        <v>45002</v>
      </c>
      <c r="H2835" t="s">
        <v>1111</v>
      </c>
      <c r="I2835" t="s">
        <v>2382</v>
      </c>
      <c r="J2835" s="13">
        <v>569064</v>
      </c>
      <c r="K2835">
        <v>1</v>
      </c>
      <c r="L2835" t="s">
        <v>1064</v>
      </c>
      <c r="M2835" t="s">
        <v>2383</v>
      </c>
      <c r="N2835" s="15" t="s">
        <v>6878</v>
      </c>
    </row>
    <row r="2836" spans="1:14" x14ac:dyDescent="0.2">
      <c r="A2836" t="s">
        <v>3950</v>
      </c>
      <c r="B2836" t="s">
        <v>2360</v>
      </c>
      <c r="C2836" s="9">
        <v>45002</v>
      </c>
      <c r="D2836" t="s">
        <v>946</v>
      </c>
      <c r="E2836" s="13">
        <v>5827050</v>
      </c>
      <c r="F2836" s="13">
        <v>5550</v>
      </c>
      <c r="G2836" s="9">
        <v>45002</v>
      </c>
      <c r="H2836" t="s">
        <v>1111</v>
      </c>
      <c r="I2836" t="s">
        <v>2382</v>
      </c>
      <c r="J2836" s="13">
        <v>97019</v>
      </c>
      <c r="K2836">
        <v>1</v>
      </c>
      <c r="L2836" t="s">
        <v>1064</v>
      </c>
      <c r="M2836" t="s">
        <v>2383</v>
      </c>
      <c r="N2836" s="15" t="s">
        <v>6878</v>
      </c>
    </row>
    <row r="2837" spans="1:14" x14ac:dyDescent="0.2">
      <c r="A2837" t="s">
        <v>3951</v>
      </c>
      <c r="B2837" t="s">
        <v>2360</v>
      </c>
      <c r="C2837" s="9">
        <v>45002</v>
      </c>
      <c r="D2837" t="s">
        <v>946</v>
      </c>
      <c r="E2837" s="13">
        <v>5651100</v>
      </c>
      <c r="F2837" s="13">
        <v>5550</v>
      </c>
      <c r="G2837" s="9">
        <v>45002</v>
      </c>
      <c r="H2837" t="s">
        <v>1111</v>
      </c>
      <c r="I2837" t="s">
        <v>2382</v>
      </c>
      <c r="J2837" s="13">
        <v>94090</v>
      </c>
      <c r="K2837">
        <v>1</v>
      </c>
      <c r="L2837" t="s">
        <v>1064</v>
      </c>
      <c r="M2837" t="s">
        <v>2383</v>
      </c>
      <c r="N2837" s="15" t="s">
        <v>6878</v>
      </c>
    </row>
    <row r="2838" spans="1:14" x14ac:dyDescent="0.2">
      <c r="A2838" t="s">
        <v>3952</v>
      </c>
      <c r="B2838" t="s">
        <v>2360</v>
      </c>
      <c r="C2838" s="9">
        <v>45002</v>
      </c>
      <c r="D2838" t="s">
        <v>946</v>
      </c>
      <c r="E2838" s="13">
        <v>5293450</v>
      </c>
      <c r="F2838" s="13">
        <v>5550</v>
      </c>
      <c r="G2838" s="9">
        <v>45002</v>
      </c>
      <c r="H2838" t="s">
        <v>1111</v>
      </c>
      <c r="I2838" t="s">
        <v>2382</v>
      </c>
      <c r="J2838" s="13">
        <v>88135</v>
      </c>
      <c r="K2838">
        <v>1</v>
      </c>
      <c r="L2838" t="s">
        <v>1064</v>
      </c>
      <c r="M2838" t="s">
        <v>2383</v>
      </c>
      <c r="N2838" s="15" t="s">
        <v>6878</v>
      </c>
    </row>
    <row r="2839" spans="1:14" x14ac:dyDescent="0.2">
      <c r="A2839" t="s">
        <v>3953</v>
      </c>
      <c r="B2839" t="s">
        <v>2360</v>
      </c>
      <c r="C2839" s="9">
        <v>45002</v>
      </c>
      <c r="D2839" t="s">
        <v>946</v>
      </c>
      <c r="E2839" s="13">
        <v>5293450</v>
      </c>
      <c r="F2839" s="13">
        <v>5550</v>
      </c>
      <c r="G2839" s="9">
        <v>45002</v>
      </c>
      <c r="H2839" t="s">
        <v>1111</v>
      </c>
      <c r="I2839" t="s">
        <v>2382</v>
      </c>
      <c r="J2839" s="13">
        <v>88135</v>
      </c>
      <c r="K2839">
        <v>1</v>
      </c>
      <c r="L2839" t="s">
        <v>1064</v>
      </c>
      <c r="M2839" t="s">
        <v>2383</v>
      </c>
      <c r="N2839" s="15" t="s">
        <v>6878</v>
      </c>
    </row>
    <row r="2840" spans="1:14" x14ac:dyDescent="0.2">
      <c r="A2840" t="s">
        <v>3954</v>
      </c>
      <c r="B2840" t="s">
        <v>2360</v>
      </c>
      <c r="C2840" s="9">
        <v>45002</v>
      </c>
      <c r="D2840" t="s">
        <v>946</v>
      </c>
      <c r="E2840" s="13">
        <v>5293450</v>
      </c>
      <c r="F2840" s="13">
        <v>5550</v>
      </c>
      <c r="G2840" s="9">
        <v>45002</v>
      </c>
      <c r="H2840" t="s">
        <v>1111</v>
      </c>
      <c r="I2840" t="s">
        <v>2382</v>
      </c>
      <c r="J2840" s="13">
        <v>88135</v>
      </c>
      <c r="K2840">
        <v>1</v>
      </c>
      <c r="L2840" t="s">
        <v>1064</v>
      </c>
      <c r="M2840" t="s">
        <v>2383</v>
      </c>
      <c r="N2840" s="15" t="s">
        <v>6878</v>
      </c>
    </row>
    <row r="2841" spans="1:14" x14ac:dyDescent="0.2">
      <c r="A2841" t="s">
        <v>3955</v>
      </c>
      <c r="B2841" t="s">
        <v>2360</v>
      </c>
      <c r="C2841" s="9">
        <v>45002</v>
      </c>
      <c r="D2841" t="s">
        <v>946</v>
      </c>
      <c r="E2841" s="13">
        <v>5293450</v>
      </c>
      <c r="F2841" s="13">
        <v>5550</v>
      </c>
      <c r="G2841" s="9">
        <v>45002</v>
      </c>
      <c r="H2841" t="s">
        <v>1111</v>
      </c>
      <c r="I2841" t="s">
        <v>2382</v>
      </c>
      <c r="J2841" s="13">
        <v>88135</v>
      </c>
      <c r="K2841">
        <v>1</v>
      </c>
      <c r="L2841" t="s">
        <v>1064</v>
      </c>
      <c r="M2841" t="s">
        <v>2383</v>
      </c>
      <c r="N2841" s="15" t="s">
        <v>6878</v>
      </c>
    </row>
    <row r="2842" spans="1:14" x14ac:dyDescent="0.2">
      <c r="A2842" t="s">
        <v>3956</v>
      </c>
      <c r="B2842" t="s">
        <v>2360</v>
      </c>
      <c r="C2842" s="9">
        <v>45002</v>
      </c>
      <c r="D2842" t="s">
        <v>946</v>
      </c>
      <c r="E2842" s="13">
        <v>5293450</v>
      </c>
      <c r="F2842" s="13">
        <v>5550</v>
      </c>
      <c r="G2842" s="9">
        <v>45002</v>
      </c>
      <c r="H2842" t="s">
        <v>1111</v>
      </c>
      <c r="I2842" t="s">
        <v>2382</v>
      </c>
      <c r="J2842" s="13">
        <v>88135</v>
      </c>
      <c r="K2842">
        <v>1</v>
      </c>
      <c r="L2842" t="s">
        <v>1064</v>
      </c>
      <c r="M2842" t="s">
        <v>2383</v>
      </c>
      <c r="N2842" s="15" t="s">
        <v>6878</v>
      </c>
    </row>
    <row r="2843" spans="1:14" x14ac:dyDescent="0.2">
      <c r="A2843" t="s">
        <v>3957</v>
      </c>
      <c r="B2843" t="s">
        <v>2360</v>
      </c>
      <c r="C2843" s="9">
        <v>45002</v>
      </c>
      <c r="D2843" t="s">
        <v>946</v>
      </c>
      <c r="E2843" s="13">
        <v>6563700</v>
      </c>
      <c r="F2843" s="13">
        <v>5550</v>
      </c>
      <c r="G2843" s="9">
        <v>45002</v>
      </c>
      <c r="H2843" t="s">
        <v>1111</v>
      </c>
      <c r="I2843" t="s">
        <v>2382</v>
      </c>
      <c r="J2843" s="13">
        <v>109285</v>
      </c>
      <c r="K2843">
        <v>1</v>
      </c>
      <c r="L2843" t="s">
        <v>1064</v>
      </c>
      <c r="M2843" t="s">
        <v>2383</v>
      </c>
      <c r="N2843" s="15" t="s">
        <v>6878</v>
      </c>
    </row>
    <row r="2844" spans="1:14" x14ac:dyDescent="0.2">
      <c r="A2844" t="s">
        <v>3958</v>
      </c>
      <c r="B2844" t="s">
        <v>2360</v>
      </c>
      <c r="C2844" s="9">
        <v>45002</v>
      </c>
      <c r="D2844" t="s">
        <v>946</v>
      </c>
      <c r="E2844" s="13">
        <v>5511950</v>
      </c>
      <c r="F2844" s="13">
        <v>5550</v>
      </c>
      <c r="G2844" s="9">
        <v>45002</v>
      </c>
      <c r="H2844" t="s">
        <v>1111</v>
      </c>
      <c r="I2844" t="s">
        <v>2382</v>
      </c>
      <c r="J2844" s="13">
        <v>91773</v>
      </c>
      <c r="K2844">
        <v>1</v>
      </c>
      <c r="L2844" t="s">
        <v>1064</v>
      </c>
      <c r="M2844" t="s">
        <v>2383</v>
      </c>
      <c r="N2844" s="15" t="s">
        <v>6878</v>
      </c>
    </row>
    <row r="2845" spans="1:14" x14ac:dyDescent="0.2">
      <c r="A2845" t="s">
        <v>3959</v>
      </c>
      <c r="B2845" t="s">
        <v>2360</v>
      </c>
      <c r="C2845" s="9">
        <v>45002</v>
      </c>
      <c r="D2845" t="s">
        <v>946</v>
      </c>
      <c r="E2845" s="13">
        <v>13541825</v>
      </c>
      <c r="F2845" s="13">
        <v>5550</v>
      </c>
      <c r="G2845" s="9">
        <v>45002</v>
      </c>
      <c r="H2845" t="s">
        <v>1111</v>
      </c>
      <c r="I2845" t="s">
        <v>2382</v>
      </c>
      <c r="J2845" s="13">
        <v>225470</v>
      </c>
      <c r="K2845">
        <v>1</v>
      </c>
      <c r="L2845" t="s">
        <v>1064</v>
      </c>
      <c r="M2845" t="s">
        <v>2383</v>
      </c>
      <c r="N2845" s="15" t="s">
        <v>6878</v>
      </c>
    </row>
    <row r="2846" spans="1:14" x14ac:dyDescent="0.2">
      <c r="A2846" t="s">
        <v>3960</v>
      </c>
      <c r="B2846" t="s">
        <v>2360</v>
      </c>
      <c r="C2846" s="9">
        <v>45002</v>
      </c>
      <c r="D2846" t="s">
        <v>946</v>
      </c>
      <c r="E2846" s="13">
        <v>6549825</v>
      </c>
      <c r="F2846" s="13">
        <v>5550</v>
      </c>
      <c r="G2846" s="9">
        <v>45002</v>
      </c>
      <c r="H2846" t="s">
        <v>1111</v>
      </c>
      <c r="I2846" t="s">
        <v>2382</v>
      </c>
      <c r="J2846" s="13">
        <v>109054</v>
      </c>
      <c r="K2846">
        <v>1</v>
      </c>
      <c r="L2846" t="s">
        <v>1064</v>
      </c>
      <c r="M2846" t="s">
        <v>2383</v>
      </c>
      <c r="N2846" s="15" t="s">
        <v>6878</v>
      </c>
    </row>
    <row r="2847" spans="1:14" x14ac:dyDescent="0.2">
      <c r="A2847" t="s">
        <v>3961</v>
      </c>
      <c r="B2847" t="s">
        <v>2360</v>
      </c>
      <c r="C2847" s="9">
        <v>45002</v>
      </c>
      <c r="D2847" t="s">
        <v>946</v>
      </c>
      <c r="E2847" s="13">
        <v>5511950</v>
      </c>
      <c r="F2847" s="13">
        <v>5550</v>
      </c>
      <c r="G2847" s="9">
        <v>45002</v>
      </c>
      <c r="H2847" t="s">
        <v>1111</v>
      </c>
      <c r="I2847" t="s">
        <v>2382</v>
      </c>
      <c r="J2847" s="13">
        <v>91773</v>
      </c>
      <c r="K2847">
        <v>1</v>
      </c>
      <c r="L2847" t="s">
        <v>1064</v>
      </c>
      <c r="M2847" t="s">
        <v>2383</v>
      </c>
      <c r="N2847" s="15" t="s">
        <v>6878</v>
      </c>
    </row>
    <row r="2848" spans="1:14" x14ac:dyDescent="0.2">
      <c r="A2848" t="s">
        <v>3962</v>
      </c>
      <c r="B2848" t="s">
        <v>2360</v>
      </c>
      <c r="C2848" s="9">
        <v>45002</v>
      </c>
      <c r="D2848" t="s">
        <v>946</v>
      </c>
      <c r="E2848" s="13">
        <v>13541825</v>
      </c>
      <c r="F2848" s="13">
        <v>5550</v>
      </c>
      <c r="G2848" s="9">
        <v>45002</v>
      </c>
      <c r="H2848" t="s">
        <v>1111</v>
      </c>
      <c r="I2848" t="s">
        <v>2382</v>
      </c>
      <c r="J2848" s="13">
        <v>225470</v>
      </c>
      <c r="K2848">
        <v>1</v>
      </c>
      <c r="L2848" t="s">
        <v>1064</v>
      </c>
      <c r="M2848" t="s">
        <v>2383</v>
      </c>
      <c r="N2848" s="15" t="s">
        <v>6878</v>
      </c>
    </row>
    <row r="2849" spans="1:14" x14ac:dyDescent="0.2">
      <c r="A2849" t="s">
        <v>3963</v>
      </c>
      <c r="B2849" t="s">
        <v>2360</v>
      </c>
      <c r="C2849" s="9">
        <v>45002</v>
      </c>
      <c r="D2849" t="s">
        <v>946</v>
      </c>
      <c r="E2849" s="13">
        <v>5511950</v>
      </c>
      <c r="F2849" s="13">
        <v>5550</v>
      </c>
      <c r="G2849" s="9">
        <v>45002</v>
      </c>
      <c r="H2849" t="s">
        <v>1111</v>
      </c>
      <c r="I2849" t="s">
        <v>2382</v>
      </c>
      <c r="J2849" s="13">
        <v>91773</v>
      </c>
      <c r="K2849">
        <v>1</v>
      </c>
      <c r="L2849" t="s">
        <v>1064</v>
      </c>
      <c r="M2849" t="s">
        <v>2383</v>
      </c>
      <c r="N2849" s="15" t="s">
        <v>6878</v>
      </c>
    </row>
    <row r="2850" spans="1:14" x14ac:dyDescent="0.2">
      <c r="A2850" t="s">
        <v>3964</v>
      </c>
      <c r="B2850" t="s">
        <v>2360</v>
      </c>
      <c r="C2850" s="9">
        <v>45002</v>
      </c>
      <c r="D2850" t="s">
        <v>946</v>
      </c>
      <c r="E2850" s="13">
        <v>3878550</v>
      </c>
      <c r="F2850" s="13">
        <v>5550</v>
      </c>
      <c r="G2850" s="9">
        <v>45002</v>
      </c>
      <c r="H2850" t="s">
        <v>1111</v>
      </c>
      <c r="I2850" t="s">
        <v>2382</v>
      </c>
      <c r="J2850" s="13">
        <v>64577</v>
      </c>
      <c r="K2850">
        <v>1</v>
      </c>
      <c r="L2850" t="s">
        <v>1064</v>
      </c>
      <c r="M2850" t="s">
        <v>2383</v>
      </c>
      <c r="N2850" s="15" t="s">
        <v>6878</v>
      </c>
    </row>
    <row r="2851" spans="1:14" x14ac:dyDescent="0.2">
      <c r="A2851" t="s">
        <v>3965</v>
      </c>
      <c r="B2851" t="s">
        <v>2360</v>
      </c>
      <c r="C2851" s="9">
        <v>45002</v>
      </c>
      <c r="D2851" t="s">
        <v>946</v>
      </c>
      <c r="E2851" s="13">
        <v>4355910</v>
      </c>
      <c r="F2851" s="13">
        <v>5550</v>
      </c>
      <c r="G2851" s="9">
        <v>45002</v>
      </c>
      <c r="H2851" t="s">
        <v>1111</v>
      </c>
      <c r="I2851" t="s">
        <v>2382</v>
      </c>
      <c r="J2851" s="13">
        <v>72525</v>
      </c>
      <c r="K2851">
        <v>1</v>
      </c>
      <c r="L2851" t="s">
        <v>1064</v>
      </c>
      <c r="M2851" t="s">
        <v>2383</v>
      </c>
      <c r="N2851" s="15" t="s">
        <v>6878</v>
      </c>
    </row>
    <row r="2852" spans="1:14" x14ac:dyDescent="0.2">
      <c r="A2852" t="s">
        <v>3966</v>
      </c>
      <c r="B2852" t="s">
        <v>2360</v>
      </c>
      <c r="C2852" s="9">
        <v>45002</v>
      </c>
      <c r="D2852" t="s">
        <v>946</v>
      </c>
      <c r="E2852" s="13">
        <v>5293450</v>
      </c>
      <c r="F2852" s="13">
        <v>5550</v>
      </c>
      <c r="G2852" s="9">
        <v>45002</v>
      </c>
      <c r="H2852" t="s">
        <v>1111</v>
      </c>
      <c r="I2852" t="s">
        <v>2382</v>
      </c>
      <c r="J2852" s="13">
        <v>88135</v>
      </c>
      <c r="K2852">
        <v>1</v>
      </c>
      <c r="L2852" t="s">
        <v>1064</v>
      </c>
      <c r="M2852" t="s">
        <v>2383</v>
      </c>
      <c r="N2852" s="15" t="s">
        <v>6878</v>
      </c>
    </row>
    <row r="2853" spans="1:14" x14ac:dyDescent="0.2">
      <c r="A2853" t="s">
        <v>3967</v>
      </c>
      <c r="B2853" t="s">
        <v>2360</v>
      </c>
      <c r="C2853" s="9">
        <v>45002</v>
      </c>
      <c r="D2853" t="s">
        <v>946</v>
      </c>
      <c r="E2853" s="13">
        <v>13541825</v>
      </c>
      <c r="F2853" s="13">
        <v>5550</v>
      </c>
      <c r="G2853" s="9">
        <v>45002</v>
      </c>
      <c r="H2853" t="s">
        <v>1111</v>
      </c>
      <c r="I2853" t="s">
        <v>2382</v>
      </c>
      <c r="J2853" s="13">
        <v>225470</v>
      </c>
      <c r="K2853">
        <v>1</v>
      </c>
      <c r="L2853" t="s">
        <v>1064</v>
      </c>
      <c r="M2853" t="s">
        <v>2383</v>
      </c>
      <c r="N2853" s="15" t="s">
        <v>6878</v>
      </c>
    </row>
    <row r="2854" spans="1:14" x14ac:dyDescent="0.2">
      <c r="A2854" t="s">
        <v>3968</v>
      </c>
      <c r="B2854" t="s">
        <v>2360</v>
      </c>
      <c r="C2854" s="9">
        <v>45002</v>
      </c>
      <c r="D2854" t="s">
        <v>946</v>
      </c>
      <c r="E2854" s="13">
        <v>13541825</v>
      </c>
      <c r="F2854" s="13">
        <v>5550</v>
      </c>
      <c r="G2854" s="9">
        <v>45002</v>
      </c>
      <c r="H2854" t="s">
        <v>1111</v>
      </c>
      <c r="I2854" t="s">
        <v>2382</v>
      </c>
      <c r="J2854" s="13">
        <v>225470</v>
      </c>
      <c r="K2854">
        <v>1</v>
      </c>
      <c r="L2854" t="s">
        <v>1064</v>
      </c>
      <c r="M2854" t="s">
        <v>2383</v>
      </c>
      <c r="N2854" s="15" t="s">
        <v>6878</v>
      </c>
    </row>
    <row r="2855" spans="1:14" x14ac:dyDescent="0.2">
      <c r="A2855" t="s">
        <v>3969</v>
      </c>
      <c r="B2855" t="s">
        <v>2360</v>
      </c>
      <c r="C2855" s="9">
        <v>45002</v>
      </c>
      <c r="D2855" t="s">
        <v>946</v>
      </c>
      <c r="E2855" s="13">
        <v>9991200</v>
      </c>
      <c r="F2855" s="13">
        <v>5550</v>
      </c>
      <c r="G2855" s="9">
        <v>45002</v>
      </c>
      <c r="H2855" t="s">
        <v>1111</v>
      </c>
      <c r="I2855" t="s">
        <v>2382</v>
      </c>
      <c r="J2855" s="13">
        <v>166353</v>
      </c>
      <c r="K2855">
        <v>1</v>
      </c>
      <c r="L2855" t="s">
        <v>1064</v>
      </c>
      <c r="M2855" t="s">
        <v>2383</v>
      </c>
      <c r="N2855" s="15" t="s">
        <v>6878</v>
      </c>
    </row>
    <row r="2856" spans="1:14" x14ac:dyDescent="0.2">
      <c r="A2856" t="s">
        <v>3970</v>
      </c>
      <c r="B2856" t="s">
        <v>2360</v>
      </c>
      <c r="C2856" s="9">
        <v>45002</v>
      </c>
      <c r="D2856" t="s">
        <v>946</v>
      </c>
      <c r="E2856" s="13">
        <v>9784200</v>
      </c>
      <c r="F2856" s="13">
        <v>5550</v>
      </c>
      <c r="G2856" s="9">
        <v>45002</v>
      </c>
      <c r="H2856" t="s">
        <v>1111</v>
      </c>
      <c r="I2856" t="s">
        <v>2382</v>
      </c>
      <c r="J2856" s="13">
        <v>162906</v>
      </c>
      <c r="K2856">
        <v>1</v>
      </c>
      <c r="L2856" t="s">
        <v>1064</v>
      </c>
      <c r="M2856" t="s">
        <v>2383</v>
      </c>
      <c r="N2856" s="15" t="s">
        <v>6878</v>
      </c>
    </row>
    <row r="2857" spans="1:14" x14ac:dyDescent="0.2">
      <c r="A2857" t="s">
        <v>3971</v>
      </c>
      <c r="B2857" t="s">
        <v>2360</v>
      </c>
      <c r="C2857" s="9">
        <v>45002</v>
      </c>
      <c r="D2857" t="s">
        <v>946</v>
      </c>
      <c r="E2857" s="13">
        <v>5782200</v>
      </c>
      <c r="F2857" s="13">
        <v>5550</v>
      </c>
      <c r="G2857" s="9">
        <v>45002</v>
      </c>
      <c r="H2857" t="s">
        <v>1111</v>
      </c>
      <c r="I2857" t="s">
        <v>2382</v>
      </c>
      <c r="J2857" s="13">
        <v>96273</v>
      </c>
      <c r="K2857">
        <v>1</v>
      </c>
      <c r="L2857" t="s">
        <v>1064</v>
      </c>
      <c r="M2857" t="s">
        <v>2383</v>
      </c>
      <c r="N2857" s="15" t="s">
        <v>6878</v>
      </c>
    </row>
    <row r="2858" spans="1:14" x14ac:dyDescent="0.2">
      <c r="A2858" t="s">
        <v>3972</v>
      </c>
      <c r="B2858" t="s">
        <v>2360</v>
      </c>
      <c r="C2858" s="9">
        <v>45002</v>
      </c>
      <c r="D2858" t="s">
        <v>946</v>
      </c>
      <c r="E2858" s="13">
        <v>5343360</v>
      </c>
      <c r="F2858" s="13">
        <v>5550</v>
      </c>
      <c r="G2858" s="9">
        <v>45002</v>
      </c>
      <c r="H2858" t="s">
        <v>1111</v>
      </c>
      <c r="I2858" t="s">
        <v>2382</v>
      </c>
      <c r="J2858" s="13">
        <v>88966</v>
      </c>
      <c r="K2858">
        <v>1</v>
      </c>
      <c r="L2858" t="s">
        <v>1064</v>
      </c>
      <c r="M2858" t="s">
        <v>2383</v>
      </c>
      <c r="N2858" s="15" t="s">
        <v>6878</v>
      </c>
    </row>
    <row r="2859" spans="1:14" x14ac:dyDescent="0.2">
      <c r="A2859" t="s">
        <v>3973</v>
      </c>
      <c r="B2859" t="s">
        <v>2360</v>
      </c>
      <c r="C2859" s="9">
        <v>45002</v>
      </c>
      <c r="D2859" t="s">
        <v>946</v>
      </c>
      <c r="E2859" s="13">
        <v>6872400</v>
      </c>
      <c r="F2859" s="13">
        <v>5550</v>
      </c>
      <c r="G2859" s="9">
        <v>45002</v>
      </c>
      <c r="H2859" t="s">
        <v>1111</v>
      </c>
      <c r="I2859" t="s">
        <v>2382</v>
      </c>
      <c r="J2859" s="13">
        <v>114425</v>
      </c>
      <c r="K2859">
        <v>1</v>
      </c>
      <c r="L2859" t="s">
        <v>1064</v>
      </c>
      <c r="M2859" t="s">
        <v>2383</v>
      </c>
      <c r="N2859" s="15" t="s">
        <v>6878</v>
      </c>
    </row>
    <row r="2860" spans="1:14" x14ac:dyDescent="0.2">
      <c r="A2860" t="s">
        <v>3974</v>
      </c>
      <c r="B2860" t="s">
        <v>2360</v>
      </c>
      <c r="C2860" s="9">
        <v>45002</v>
      </c>
      <c r="D2860" t="s">
        <v>946</v>
      </c>
      <c r="E2860" s="13">
        <v>6388020</v>
      </c>
      <c r="F2860" s="13">
        <v>5550</v>
      </c>
      <c r="G2860" s="9">
        <v>45002</v>
      </c>
      <c r="H2860" t="s">
        <v>1111</v>
      </c>
      <c r="I2860" t="s">
        <v>2382</v>
      </c>
      <c r="J2860" s="13">
        <v>106360</v>
      </c>
      <c r="K2860">
        <v>1</v>
      </c>
      <c r="L2860" t="s">
        <v>1064</v>
      </c>
      <c r="M2860" t="s">
        <v>2383</v>
      </c>
      <c r="N2860" s="15" t="s">
        <v>6878</v>
      </c>
    </row>
    <row r="2861" spans="1:14" x14ac:dyDescent="0.2">
      <c r="A2861" t="s">
        <v>3975</v>
      </c>
      <c r="B2861" t="s">
        <v>2360</v>
      </c>
      <c r="C2861" s="9">
        <v>45002</v>
      </c>
      <c r="D2861" t="s">
        <v>946</v>
      </c>
      <c r="E2861" s="13">
        <v>4644160</v>
      </c>
      <c r="F2861" s="13">
        <v>5550</v>
      </c>
      <c r="G2861" s="9">
        <v>45002</v>
      </c>
      <c r="H2861" t="s">
        <v>1111</v>
      </c>
      <c r="I2861" t="s">
        <v>2382</v>
      </c>
      <c r="J2861" s="13">
        <v>77324</v>
      </c>
      <c r="K2861">
        <v>1</v>
      </c>
      <c r="L2861" t="s">
        <v>1064</v>
      </c>
      <c r="M2861" t="s">
        <v>2383</v>
      </c>
      <c r="N2861" s="15" t="s">
        <v>6878</v>
      </c>
    </row>
    <row r="2862" spans="1:14" x14ac:dyDescent="0.2">
      <c r="A2862" t="s">
        <v>3976</v>
      </c>
      <c r="B2862" t="s">
        <v>2360</v>
      </c>
      <c r="C2862" s="9">
        <v>45002</v>
      </c>
      <c r="D2862" t="s">
        <v>946</v>
      </c>
      <c r="E2862" s="13">
        <v>13113630</v>
      </c>
      <c r="F2862" s="13">
        <v>5550</v>
      </c>
      <c r="G2862" s="9">
        <v>45003</v>
      </c>
      <c r="H2862" t="s">
        <v>1111</v>
      </c>
      <c r="I2862" t="s">
        <v>2382</v>
      </c>
      <c r="J2862" s="13">
        <v>218341</v>
      </c>
      <c r="K2862">
        <v>1</v>
      </c>
      <c r="L2862" t="s">
        <v>1064</v>
      </c>
      <c r="M2862" t="s">
        <v>2383</v>
      </c>
      <c r="N2862" s="15" t="s">
        <v>6878</v>
      </c>
    </row>
    <row r="2863" spans="1:14" x14ac:dyDescent="0.2">
      <c r="A2863" t="s">
        <v>3977</v>
      </c>
      <c r="B2863" t="s">
        <v>2360</v>
      </c>
      <c r="C2863" s="9">
        <v>45002</v>
      </c>
      <c r="D2863" t="s">
        <v>946</v>
      </c>
      <c r="E2863" s="13">
        <v>13871367</v>
      </c>
      <c r="F2863" s="13">
        <v>5550</v>
      </c>
      <c r="G2863" s="9">
        <v>45003</v>
      </c>
      <c r="H2863" t="s">
        <v>1111</v>
      </c>
      <c r="I2863" t="s">
        <v>2382</v>
      </c>
      <c r="J2863" s="13">
        <v>230957</v>
      </c>
      <c r="K2863">
        <v>1</v>
      </c>
      <c r="L2863" t="s">
        <v>1064</v>
      </c>
      <c r="M2863" t="s">
        <v>2383</v>
      </c>
      <c r="N2863" s="15" t="s">
        <v>6878</v>
      </c>
    </row>
    <row r="2864" spans="1:14" x14ac:dyDescent="0.2">
      <c r="A2864" t="s">
        <v>3978</v>
      </c>
      <c r="B2864" t="s">
        <v>2360</v>
      </c>
      <c r="C2864" s="9">
        <v>45002</v>
      </c>
      <c r="D2864" t="s">
        <v>946</v>
      </c>
      <c r="E2864" s="13">
        <v>16779204</v>
      </c>
      <c r="F2864" s="13">
        <v>5550</v>
      </c>
      <c r="G2864" s="9">
        <v>45003</v>
      </c>
      <c r="H2864" t="s">
        <v>1111</v>
      </c>
      <c r="I2864" t="s">
        <v>2382</v>
      </c>
      <c r="J2864" s="13">
        <v>279373</v>
      </c>
      <c r="K2864">
        <v>1</v>
      </c>
      <c r="L2864" t="s">
        <v>1064</v>
      </c>
      <c r="M2864" t="s">
        <v>2383</v>
      </c>
      <c r="N2864" s="15" t="s">
        <v>6878</v>
      </c>
    </row>
    <row r="2865" spans="1:14" x14ac:dyDescent="0.2">
      <c r="A2865" t="s">
        <v>3979</v>
      </c>
      <c r="B2865" t="s">
        <v>2360</v>
      </c>
      <c r="C2865" s="9">
        <v>45002</v>
      </c>
      <c r="D2865" t="s">
        <v>946</v>
      </c>
      <c r="E2865" s="13">
        <v>10727424</v>
      </c>
      <c r="F2865" s="13">
        <v>5550</v>
      </c>
      <c r="G2865" s="9">
        <v>45003</v>
      </c>
      <c r="H2865" t="s">
        <v>1111</v>
      </c>
      <c r="I2865" t="s">
        <v>2382</v>
      </c>
      <c r="J2865" s="13">
        <v>178611</v>
      </c>
      <c r="K2865">
        <v>1</v>
      </c>
      <c r="L2865" t="s">
        <v>1064</v>
      </c>
      <c r="M2865" t="s">
        <v>2383</v>
      </c>
      <c r="N2865" s="15" t="s">
        <v>6878</v>
      </c>
    </row>
    <row r="2866" spans="1:14" x14ac:dyDescent="0.2">
      <c r="A2866" t="s">
        <v>3980</v>
      </c>
      <c r="B2866" t="s">
        <v>2360</v>
      </c>
      <c r="C2866" s="9">
        <v>45002</v>
      </c>
      <c r="D2866" t="s">
        <v>946</v>
      </c>
      <c r="E2866" s="13">
        <v>3819000</v>
      </c>
      <c r="F2866" s="13">
        <v>5550</v>
      </c>
      <c r="G2866" s="9">
        <v>45003</v>
      </c>
      <c r="H2866" t="s">
        <v>1111</v>
      </c>
      <c r="I2866" t="s">
        <v>2382</v>
      </c>
      <c r="J2866" s="13">
        <v>63586</v>
      </c>
      <c r="K2866">
        <v>1</v>
      </c>
      <c r="L2866" t="s">
        <v>1064</v>
      </c>
      <c r="M2866" t="s">
        <v>2383</v>
      </c>
      <c r="N2866" s="15" t="s">
        <v>6878</v>
      </c>
    </row>
    <row r="2867" spans="1:14" x14ac:dyDescent="0.2">
      <c r="A2867" t="s">
        <v>3981</v>
      </c>
      <c r="B2867" t="s">
        <v>2360</v>
      </c>
      <c r="C2867" s="9">
        <v>45002</v>
      </c>
      <c r="D2867" t="s">
        <v>946</v>
      </c>
      <c r="E2867" s="13">
        <v>18339063</v>
      </c>
      <c r="F2867" s="13">
        <v>5550</v>
      </c>
      <c r="G2867" s="9">
        <v>45003</v>
      </c>
      <c r="H2867" t="s">
        <v>1111</v>
      </c>
      <c r="I2867" t="s">
        <v>2382</v>
      </c>
      <c r="J2867" s="13">
        <v>305344</v>
      </c>
      <c r="K2867">
        <v>1</v>
      </c>
      <c r="L2867" t="s">
        <v>1064</v>
      </c>
      <c r="M2867" t="s">
        <v>2383</v>
      </c>
      <c r="N2867" s="15" t="s">
        <v>6878</v>
      </c>
    </row>
    <row r="2868" spans="1:14" x14ac:dyDescent="0.2">
      <c r="A2868" t="s">
        <v>3982</v>
      </c>
      <c r="B2868" t="s">
        <v>2360</v>
      </c>
      <c r="C2868" s="9">
        <v>45002</v>
      </c>
      <c r="D2868" t="s">
        <v>946</v>
      </c>
      <c r="E2868" s="13">
        <v>17720000</v>
      </c>
      <c r="F2868" s="13">
        <v>5550</v>
      </c>
      <c r="G2868" s="9">
        <v>45003</v>
      </c>
      <c r="H2868" t="s">
        <v>1111</v>
      </c>
      <c r="I2868" t="s">
        <v>2382</v>
      </c>
      <c r="J2868" s="13">
        <v>295038</v>
      </c>
      <c r="K2868">
        <v>1</v>
      </c>
      <c r="L2868" t="s">
        <v>1064</v>
      </c>
      <c r="M2868" t="s">
        <v>2383</v>
      </c>
      <c r="N2868" s="15" t="s">
        <v>6878</v>
      </c>
    </row>
    <row r="2869" spans="1:14" x14ac:dyDescent="0.2">
      <c r="A2869" t="s">
        <v>3983</v>
      </c>
      <c r="B2869" t="s">
        <v>2360</v>
      </c>
      <c r="C2869" s="9">
        <v>45002</v>
      </c>
      <c r="D2869" t="s">
        <v>946</v>
      </c>
      <c r="E2869" s="13">
        <v>2945003</v>
      </c>
      <c r="F2869" s="13">
        <v>5550</v>
      </c>
      <c r="G2869" s="9">
        <v>45003</v>
      </c>
      <c r="H2869" t="s">
        <v>1111</v>
      </c>
      <c r="I2869" t="s">
        <v>2382</v>
      </c>
      <c r="J2869" s="13">
        <v>49034</v>
      </c>
      <c r="K2869">
        <v>1</v>
      </c>
      <c r="L2869" t="s">
        <v>1064</v>
      </c>
      <c r="M2869" t="s">
        <v>2383</v>
      </c>
      <c r="N2869" s="15" t="s">
        <v>6878</v>
      </c>
    </row>
    <row r="2870" spans="1:14" x14ac:dyDescent="0.2">
      <c r="A2870" t="s">
        <v>3984</v>
      </c>
      <c r="B2870" t="s">
        <v>2360</v>
      </c>
      <c r="C2870" s="9">
        <v>45002</v>
      </c>
      <c r="D2870" t="s">
        <v>946</v>
      </c>
      <c r="E2870" s="13">
        <v>2596000</v>
      </c>
      <c r="F2870" s="13">
        <v>5550</v>
      </c>
      <c r="G2870" s="9">
        <v>45003</v>
      </c>
      <c r="H2870" t="s">
        <v>1111</v>
      </c>
      <c r="I2870" t="s">
        <v>2382</v>
      </c>
      <c r="J2870" s="13">
        <v>43223</v>
      </c>
      <c r="K2870">
        <v>1</v>
      </c>
      <c r="L2870" t="s">
        <v>1064</v>
      </c>
      <c r="M2870" t="s">
        <v>2383</v>
      </c>
      <c r="N2870" s="15" t="s">
        <v>6878</v>
      </c>
    </row>
    <row r="2871" spans="1:14" x14ac:dyDescent="0.2">
      <c r="A2871" t="s">
        <v>3985</v>
      </c>
      <c r="B2871" t="s">
        <v>2360</v>
      </c>
      <c r="C2871" s="9">
        <v>45002</v>
      </c>
      <c r="D2871" t="s">
        <v>946</v>
      </c>
      <c r="E2871" s="13">
        <v>18518496</v>
      </c>
      <c r="F2871" s="13">
        <v>5550</v>
      </c>
      <c r="G2871" s="9">
        <v>45003</v>
      </c>
      <c r="H2871" t="s">
        <v>1111</v>
      </c>
      <c r="I2871" t="s">
        <v>2382</v>
      </c>
      <c r="J2871" s="13">
        <v>308332</v>
      </c>
      <c r="K2871">
        <v>1</v>
      </c>
      <c r="L2871" t="s">
        <v>1064</v>
      </c>
      <c r="M2871" t="s">
        <v>2383</v>
      </c>
      <c r="N2871" s="15" t="s">
        <v>6878</v>
      </c>
    </row>
    <row r="2872" spans="1:14" x14ac:dyDescent="0.2">
      <c r="A2872" t="s">
        <v>3986</v>
      </c>
      <c r="B2872" t="s">
        <v>2360</v>
      </c>
      <c r="C2872" s="9">
        <v>45002</v>
      </c>
      <c r="D2872" t="s">
        <v>946</v>
      </c>
      <c r="E2872" s="13">
        <v>18601765</v>
      </c>
      <c r="F2872" s="13">
        <v>5550</v>
      </c>
      <c r="G2872" s="9">
        <v>45003</v>
      </c>
      <c r="H2872" t="s">
        <v>1111</v>
      </c>
      <c r="I2872" t="s">
        <v>2382</v>
      </c>
      <c r="J2872" s="13">
        <v>309718</v>
      </c>
      <c r="K2872">
        <v>1</v>
      </c>
      <c r="L2872" t="s">
        <v>1064</v>
      </c>
      <c r="M2872" t="s">
        <v>2383</v>
      </c>
      <c r="N2872" s="15" t="s">
        <v>6878</v>
      </c>
    </row>
    <row r="2873" spans="1:14" x14ac:dyDescent="0.2">
      <c r="A2873" t="s">
        <v>3987</v>
      </c>
      <c r="B2873" t="s">
        <v>2360</v>
      </c>
      <c r="C2873" s="9">
        <v>45002</v>
      </c>
      <c r="D2873" t="s">
        <v>946</v>
      </c>
      <c r="E2873" s="13">
        <v>22817927</v>
      </c>
      <c r="F2873" s="13">
        <v>5550</v>
      </c>
      <c r="G2873" s="9">
        <v>45003</v>
      </c>
      <c r="H2873" t="s">
        <v>1111</v>
      </c>
      <c r="I2873" t="s">
        <v>2382</v>
      </c>
      <c r="J2873" s="13">
        <v>379917</v>
      </c>
      <c r="K2873">
        <v>1</v>
      </c>
      <c r="L2873" t="s">
        <v>1064</v>
      </c>
      <c r="M2873" t="s">
        <v>2383</v>
      </c>
      <c r="N2873" s="15" t="s">
        <v>6878</v>
      </c>
    </row>
    <row r="2874" spans="1:14" x14ac:dyDescent="0.2">
      <c r="A2874" t="s">
        <v>3988</v>
      </c>
      <c r="B2874" t="s">
        <v>2360</v>
      </c>
      <c r="C2874" s="9">
        <v>45002</v>
      </c>
      <c r="D2874" t="s">
        <v>946</v>
      </c>
      <c r="E2874" s="13">
        <v>22850185</v>
      </c>
      <c r="F2874" s="13">
        <v>5550</v>
      </c>
      <c r="G2874" s="9">
        <v>45003</v>
      </c>
      <c r="H2874" t="s">
        <v>1111</v>
      </c>
      <c r="I2874" t="s">
        <v>2382</v>
      </c>
      <c r="J2874" s="13">
        <v>380454</v>
      </c>
      <c r="K2874">
        <v>1</v>
      </c>
      <c r="L2874" t="s">
        <v>1064</v>
      </c>
      <c r="M2874" t="s">
        <v>2383</v>
      </c>
      <c r="N2874" s="15" t="s">
        <v>6878</v>
      </c>
    </row>
    <row r="2875" spans="1:14" x14ac:dyDescent="0.2">
      <c r="A2875" t="s">
        <v>3989</v>
      </c>
      <c r="B2875" t="s">
        <v>2360</v>
      </c>
      <c r="C2875" s="9">
        <v>45002</v>
      </c>
      <c r="D2875" t="s">
        <v>946</v>
      </c>
      <c r="E2875" s="13">
        <v>9555173</v>
      </c>
      <c r="F2875" s="13">
        <v>5550</v>
      </c>
      <c r="G2875" s="9">
        <v>45003</v>
      </c>
      <c r="H2875" t="s">
        <v>1111</v>
      </c>
      <c r="I2875" t="s">
        <v>2382</v>
      </c>
      <c r="J2875" s="13">
        <v>159092</v>
      </c>
      <c r="K2875">
        <v>1</v>
      </c>
      <c r="L2875" t="s">
        <v>1064</v>
      </c>
      <c r="M2875" t="s">
        <v>2383</v>
      </c>
      <c r="N2875" s="15" t="s">
        <v>6878</v>
      </c>
    </row>
    <row r="2876" spans="1:14" x14ac:dyDescent="0.2">
      <c r="A2876" t="s">
        <v>3990</v>
      </c>
      <c r="B2876" t="s">
        <v>2360</v>
      </c>
      <c r="C2876" s="9">
        <v>45002</v>
      </c>
      <c r="D2876" t="s">
        <v>946</v>
      </c>
      <c r="E2876" s="13">
        <v>17337748</v>
      </c>
      <c r="F2876" s="13">
        <v>5550</v>
      </c>
      <c r="G2876" s="9">
        <v>45003</v>
      </c>
      <c r="H2876" t="s">
        <v>1111</v>
      </c>
      <c r="I2876" t="s">
        <v>2382</v>
      </c>
      <c r="J2876" s="13">
        <v>288673</v>
      </c>
      <c r="K2876">
        <v>1</v>
      </c>
      <c r="L2876" t="s">
        <v>1064</v>
      </c>
      <c r="M2876" t="s">
        <v>2383</v>
      </c>
      <c r="N2876" s="15" t="s">
        <v>6878</v>
      </c>
    </row>
    <row r="2877" spans="1:14" x14ac:dyDescent="0.2">
      <c r="A2877" t="s">
        <v>3991</v>
      </c>
      <c r="B2877" t="s">
        <v>2360</v>
      </c>
      <c r="C2877" s="9">
        <v>45002</v>
      </c>
      <c r="D2877" t="s">
        <v>946</v>
      </c>
      <c r="E2877" s="13">
        <v>21470455</v>
      </c>
      <c r="F2877" s="13">
        <v>5550</v>
      </c>
      <c r="G2877" s="9">
        <v>45003</v>
      </c>
      <c r="H2877" t="s">
        <v>1111</v>
      </c>
      <c r="I2877" t="s">
        <v>2382</v>
      </c>
      <c r="J2877" s="13">
        <v>357482</v>
      </c>
      <c r="K2877">
        <v>1</v>
      </c>
      <c r="L2877" t="s">
        <v>1064</v>
      </c>
      <c r="M2877" t="s">
        <v>2383</v>
      </c>
      <c r="N2877" s="15" t="s">
        <v>6878</v>
      </c>
    </row>
    <row r="2878" spans="1:14" x14ac:dyDescent="0.2">
      <c r="A2878" t="s">
        <v>3992</v>
      </c>
      <c r="B2878" t="s">
        <v>2360</v>
      </c>
      <c r="C2878" s="9">
        <v>45002</v>
      </c>
      <c r="D2878" t="s">
        <v>946</v>
      </c>
      <c r="E2878" s="13">
        <v>15353662</v>
      </c>
      <c r="F2878" s="13">
        <v>5550</v>
      </c>
      <c r="G2878" s="9">
        <v>45003</v>
      </c>
      <c r="H2878" t="s">
        <v>1111</v>
      </c>
      <c r="I2878" t="s">
        <v>2382</v>
      </c>
      <c r="J2878" s="13">
        <v>255637</v>
      </c>
      <c r="K2878">
        <v>1</v>
      </c>
      <c r="L2878" t="s">
        <v>1064</v>
      </c>
      <c r="M2878" t="s">
        <v>2383</v>
      </c>
      <c r="N2878" s="15" t="s">
        <v>6878</v>
      </c>
    </row>
    <row r="2879" spans="1:14" x14ac:dyDescent="0.2">
      <c r="A2879" t="s">
        <v>3993</v>
      </c>
      <c r="B2879" t="s">
        <v>2360</v>
      </c>
      <c r="C2879" s="9">
        <v>45002</v>
      </c>
      <c r="D2879" t="s">
        <v>946</v>
      </c>
      <c r="E2879" s="13">
        <v>8183424</v>
      </c>
      <c r="F2879" s="13">
        <v>5550</v>
      </c>
      <c r="G2879" s="9">
        <v>45003</v>
      </c>
      <c r="H2879" t="s">
        <v>1111</v>
      </c>
      <c r="I2879" t="s">
        <v>2382</v>
      </c>
      <c r="J2879" s="13">
        <v>136253</v>
      </c>
      <c r="K2879">
        <v>1</v>
      </c>
      <c r="L2879" t="s">
        <v>1064</v>
      </c>
      <c r="M2879" t="s">
        <v>2383</v>
      </c>
      <c r="N2879" s="15" t="s">
        <v>6878</v>
      </c>
    </row>
    <row r="2880" spans="1:14" x14ac:dyDescent="0.2">
      <c r="A2880" t="s">
        <v>3994</v>
      </c>
      <c r="B2880" t="s">
        <v>2360</v>
      </c>
      <c r="C2880" s="9">
        <v>45002</v>
      </c>
      <c r="D2880" t="s">
        <v>946</v>
      </c>
      <c r="E2880" s="13">
        <v>10418528</v>
      </c>
      <c r="F2880" s="13">
        <v>5550</v>
      </c>
      <c r="G2880" s="9">
        <v>45003</v>
      </c>
      <c r="H2880" t="s">
        <v>1111</v>
      </c>
      <c r="I2880" t="s">
        <v>2382</v>
      </c>
      <c r="J2880" s="13">
        <v>173467</v>
      </c>
      <c r="K2880">
        <v>1</v>
      </c>
      <c r="L2880" t="s">
        <v>1064</v>
      </c>
      <c r="M2880" t="s">
        <v>2383</v>
      </c>
      <c r="N2880" s="15" t="s">
        <v>6878</v>
      </c>
    </row>
    <row r="2881" spans="1:14" x14ac:dyDescent="0.2">
      <c r="A2881" t="s">
        <v>3995</v>
      </c>
      <c r="B2881" t="s">
        <v>2360</v>
      </c>
      <c r="C2881" s="9">
        <v>45002</v>
      </c>
      <c r="D2881" t="s">
        <v>946</v>
      </c>
      <c r="E2881" s="13">
        <v>10806400</v>
      </c>
      <c r="F2881" s="13">
        <v>5550</v>
      </c>
      <c r="G2881" s="9">
        <v>45003</v>
      </c>
      <c r="H2881" t="s">
        <v>1111</v>
      </c>
      <c r="I2881" t="s">
        <v>2382</v>
      </c>
      <c r="J2881" s="13">
        <v>179926</v>
      </c>
      <c r="K2881">
        <v>1</v>
      </c>
      <c r="L2881" t="s">
        <v>1064</v>
      </c>
      <c r="M2881" t="s">
        <v>2383</v>
      </c>
      <c r="N2881" s="15" t="s">
        <v>6878</v>
      </c>
    </row>
    <row r="2882" spans="1:14" x14ac:dyDescent="0.2">
      <c r="A2882" t="s">
        <v>3996</v>
      </c>
      <c r="B2882" t="s">
        <v>2360</v>
      </c>
      <c r="C2882" s="9">
        <v>45002</v>
      </c>
      <c r="D2882" t="s">
        <v>946</v>
      </c>
      <c r="E2882" s="13">
        <v>7919200</v>
      </c>
      <c r="F2882" s="13">
        <v>5550</v>
      </c>
      <c r="G2882" s="9">
        <v>45003</v>
      </c>
      <c r="H2882" t="s">
        <v>1111</v>
      </c>
      <c r="I2882" t="s">
        <v>2382</v>
      </c>
      <c r="J2882" s="13">
        <v>131854</v>
      </c>
      <c r="K2882">
        <v>1</v>
      </c>
      <c r="L2882" t="s">
        <v>1064</v>
      </c>
      <c r="M2882" t="s">
        <v>2383</v>
      </c>
      <c r="N2882" s="15" t="s">
        <v>6878</v>
      </c>
    </row>
    <row r="2883" spans="1:14" x14ac:dyDescent="0.2">
      <c r="A2883" t="s">
        <v>3997</v>
      </c>
      <c r="B2883" t="s">
        <v>2360</v>
      </c>
      <c r="C2883" s="9">
        <v>45002</v>
      </c>
      <c r="D2883" t="s">
        <v>946</v>
      </c>
      <c r="E2883" s="13">
        <v>13799990</v>
      </c>
      <c r="F2883" s="13">
        <v>5550</v>
      </c>
      <c r="G2883" s="9">
        <v>45003</v>
      </c>
      <c r="H2883" t="s">
        <v>1111</v>
      </c>
      <c r="I2883" t="s">
        <v>2382</v>
      </c>
      <c r="J2883" s="13">
        <v>229768</v>
      </c>
      <c r="K2883">
        <v>1</v>
      </c>
      <c r="L2883" t="s">
        <v>1064</v>
      </c>
      <c r="M2883" t="s">
        <v>2383</v>
      </c>
      <c r="N2883" s="15" t="s">
        <v>6878</v>
      </c>
    </row>
    <row r="2884" spans="1:14" x14ac:dyDescent="0.2">
      <c r="A2884" t="s">
        <v>3998</v>
      </c>
      <c r="B2884" t="s">
        <v>2360</v>
      </c>
      <c r="C2884" s="9">
        <v>45002</v>
      </c>
      <c r="D2884" t="s">
        <v>946</v>
      </c>
      <c r="E2884" s="13">
        <v>6904000</v>
      </c>
      <c r="F2884" s="13">
        <v>5550</v>
      </c>
      <c r="G2884" s="9">
        <v>45003</v>
      </c>
      <c r="H2884" t="s">
        <v>1111</v>
      </c>
      <c r="I2884" t="s">
        <v>2382</v>
      </c>
      <c r="J2884" s="13">
        <v>114951</v>
      </c>
      <c r="K2884">
        <v>1</v>
      </c>
      <c r="L2884" t="s">
        <v>1064</v>
      </c>
      <c r="M2884" t="s">
        <v>2383</v>
      </c>
      <c r="N2884" s="15" t="s">
        <v>6878</v>
      </c>
    </row>
    <row r="2885" spans="1:14" x14ac:dyDescent="0.2">
      <c r="A2885" t="s">
        <v>3999</v>
      </c>
      <c r="B2885" t="s">
        <v>2360</v>
      </c>
      <c r="C2885" s="9">
        <v>45002</v>
      </c>
      <c r="D2885" t="s">
        <v>946</v>
      </c>
      <c r="E2885" s="13">
        <v>6904000</v>
      </c>
      <c r="F2885" s="13">
        <v>5550</v>
      </c>
      <c r="G2885" s="9">
        <v>45003</v>
      </c>
      <c r="H2885" t="s">
        <v>1111</v>
      </c>
      <c r="I2885" t="s">
        <v>2382</v>
      </c>
      <c r="J2885" s="13">
        <v>114951</v>
      </c>
      <c r="K2885">
        <v>1</v>
      </c>
      <c r="L2885" t="s">
        <v>1064</v>
      </c>
      <c r="M2885" t="s">
        <v>2383</v>
      </c>
      <c r="N2885" s="15" t="s">
        <v>6878</v>
      </c>
    </row>
    <row r="2886" spans="1:14" x14ac:dyDescent="0.2">
      <c r="A2886" t="s">
        <v>4000</v>
      </c>
      <c r="B2886" t="s">
        <v>2360</v>
      </c>
      <c r="C2886" s="9">
        <v>45002</v>
      </c>
      <c r="D2886" t="s">
        <v>946</v>
      </c>
      <c r="E2886" s="13">
        <v>1100000</v>
      </c>
      <c r="F2886" s="13">
        <v>5550</v>
      </c>
      <c r="G2886" s="9">
        <v>45003</v>
      </c>
      <c r="H2886" t="s">
        <v>1111</v>
      </c>
      <c r="I2886" t="s">
        <v>2382</v>
      </c>
      <c r="J2886" s="13">
        <v>18315</v>
      </c>
      <c r="K2886">
        <v>1</v>
      </c>
      <c r="L2886" t="s">
        <v>1064</v>
      </c>
      <c r="M2886" t="s">
        <v>2383</v>
      </c>
      <c r="N2886" s="15" t="s">
        <v>6878</v>
      </c>
    </row>
    <row r="2887" spans="1:14" x14ac:dyDescent="0.2">
      <c r="A2887" t="s">
        <v>4001</v>
      </c>
      <c r="B2887" t="s">
        <v>2360</v>
      </c>
      <c r="C2887" s="9">
        <v>45002</v>
      </c>
      <c r="D2887" t="s">
        <v>946</v>
      </c>
      <c r="E2887" s="13">
        <v>13205056</v>
      </c>
      <c r="F2887" s="13">
        <v>5550</v>
      </c>
      <c r="G2887" s="9">
        <v>45003</v>
      </c>
      <c r="H2887" t="s">
        <v>1111</v>
      </c>
      <c r="I2887" t="s">
        <v>2382</v>
      </c>
      <c r="J2887" s="13">
        <v>219863</v>
      </c>
      <c r="K2887">
        <v>1</v>
      </c>
      <c r="L2887" t="s">
        <v>1064</v>
      </c>
      <c r="M2887" t="s">
        <v>2383</v>
      </c>
      <c r="N2887" s="15" t="s">
        <v>6878</v>
      </c>
    </row>
    <row r="2888" spans="1:14" x14ac:dyDescent="0.2">
      <c r="A2888" t="s">
        <v>4002</v>
      </c>
      <c r="B2888" t="s">
        <v>2360</v>
      </c>
      <c r="C2888" s="9">
        <v>45002</v>
      </c>
      <c r="D2888" t="s">
        <v>946</v>
      </c>
      <c r="E2888" s="13">
        <v>3240000</v>
      </c>
      <c r="F2888" s="13">
        <v>5550</v>
      </c>
      <c r="G2888" s="9">
        <v>45003</v>
      </c>
      <c r="H2888" t="s">
        <v>1111</v>
      </c>
      <c r="I2888" t="s">
        <v>2382</v>
      </c>
      <c r="J2888" s="13">
        <v>53946</v>
      </c>
      <c r="K2888">
        <v>1</v>
      </c>
      <c r="L2888" t="s">
        <v>1064</v>
      </c>
      <c r="M2888" t="s">
        <v>2383</v>
      </c>
      <c r="N2888" s="15" t="s">
        <v>6878</v>
      </c>
    </row>
    <row r="2889" spans="1:14" x14ac:dyDescent="0.2">
      <c r="A2889" t="s">
        <v>4003</v>
      </c>
      <c r="B2889" t="s">
        <v>2360</v>
      </c>
      <c r="C2889" s="9">
        <v>45002</v>
      </c>
      <c r="D2889" t="s">
        <v>946</v>
      </c>
      <c r="E2889" s="13">
        <v>4670000</v>
      </c>
      <c r="F2889" s="13">
        <v>5550</v>
      </c>
      <c r="G2889" s="9">
        <v>45003</v>
      </c>
      <c r="H2889" t="s">
        <v>1111</v>
      </c>
      <c r="I2889" t="s">
        <v>2382</v>
      </c>
      <c r="J2889" s="13">
        <v>77755</v>
      </c>
      <c r="K2889">
        <v>1</v>
      </c>
      <c r="L2889" t="s">
        <v>1064</v>
      </c>
      <c r="M2889" t="s">
        <v>2383</v>
      </c>
      <c r="N2889" s="15" t="s">
        <v>6878</v>
      </c>
    </row>
    <row r="2890" spans="1:14" x14ac:dyDescent="0.2">
      <c r="A2890" t="s">
        <v>4004</v>
      </c>
      <c r="B2890" t="s">
        <v>2360</v>
      </c>
      <c r="C2890" s="9">
        <v>45002</v>
      </c>
      <c r="D2890" t="s">
        <v>946</v>
      </c>
      <c r="E2890" s="13">
        <v>16271955</v>
      </c>
      <c r="F2890" s="13">
        <v>5550</v>
      </c>
      <c r="G2890" s="9">
        <v>45003</v>
      </c>
      <c r="H2890" t="s">
        <v>1111</v>
      </c>
      <c r="I2890" t="s">
        <v>2382</v>
      </c>
      <c r="J2890" s="13">
        <v>270927</v>
      </c>
      <c r="K2890">
        <v>1</v>
      </c>
      <c r="L2890" t="s">
        <v>1064</v>
      </c>
      <c r="M2890" t="s">
        <v>2383</v>
      </c>
      <c r="N2890" s="15" t="s">
        <v>6878</v>
      </c>
    </row>
    <row r="2891" spans="1:14" x14ac:dyDescent="0.2">
      <c r="A2891" t="s">
        <v>4005</v>
      </c>
      <c r="B2891" t="s">
        <v>2360</v>
      </c>
      <c r="C2891" s="9">
        <v>45002</v>
      </c>
      <c r="D2891" t="s">
        <v>946</v>
      </c>
      <c r="E2891" s="13">
        <v>2500000</v>
      </c>
      <c r="F2891" s="13">
        <v>5550</v>
      </c>
      <c r="G2891" s="9">
        <v>45003</v>
      </c>
      <c r="H2891" t="s">
        <v>1111</v>
      </c>
      <c r="I2891" t="s">
        <v>2382</v>
      </c>
      <c r="J2891" s="13">
        <v>41625</v>
      </c>
      <c r="K2891">
        <v>1</v>
      </c>
      <c r="L2891" t="s">
        <v>1064</v>
      </c>
      <c r="M2891" t="s">
        <v>2383</v>
      </c>
      <c r="N2891" s="15" t="s">
        <v>6878</v>
      </c>
    </row>
    <row r="2892" spans="1:14" x14ac:dyDescent="0.2">
      <c r="A2892" t="s">
        <v>4006</v>
      </c>
      <c r="B2892" t="s">
        <v>2360</v>
      </c>
      <c r="C2892" s="9">
        <v>45002</v>
      </c>
      <c r="D2892" t="s">
        <v>946</v>
      </c>
      <c r="E2892" s="13">
        <v>2700000</v>
      </c>
      <c r="F2892" s="13">
        <v>5550</v>
      </c>
      <c r="G2892" s="9">
        <v>45003</v>
      </c>
      <c r="H2892" t="s">
        <v>1111</v>
      </c>
      <c r="I2892" t="s">
        <v>2382</v>
      </c>
      <c r="J2892" s="13">
        <v>44955</v>
      </c>
      <c r="K2892">
        <v>1</v>
      </c>
      <c r="L2892" t="s">
        <v>1064</v>
      </c>
      <c r="M2892" t="s">
        <v>2383</v>
      </c>
      <c r="N2892" s="15" t="s">
        <v>6878</v>
      </c>
    </row>
    <row r="2893" spans="1:14" x14ac:dyDescent="0.2">
      <c r="A2893" t="s">
        <v>4007</v>
      </c>
      <c r="B2893" t="s">
        <v>2360</v>
      </c>
      <c r="C2893" s="9">
        <v>45002</v>
      </c>
      <c r="D2893" t="s">
        <v>946</v>
      </c>
      <c r="E2893" s="13">
        <v>2500000</v>
      </c>
      <c r="F2893" s="13">
        <v>5550</v>
      </c>
      <c r="G2893" s="9">
        <v>45003</v>
      </c>
      <c r="H2893" t="s">
        <v>1111</v>
      </c>
      <c r="I2893" t="s">
        <v>2382</v>
      </c>
      <c r="J2893" s="13">
        <v>41625</v>
      </c>
      <c r="K2893">
        <v>1</v>
      </c>
      <c r="L2893" t="s">
        <v>1064</v>
      </c>
      <c r="M2893" t="s">
        <v>2383</v>
      </c>
      <c r="N2893" s="15" t="s">
        <v>6878</v>
      </c>
    </row>
    <row r="2894" spans="1:14" x14ac:dyDescent="0.2">
      <c r="A2894" t="s">
        <v>4008</v>
      </c>
      <c r="B2894" t="s">
        <v>2360</v>
      </c>
      <c r="C2894" s="9">
        <v>45002</v>
      </c>
      <c r="D2894" t="s">
        <v>946</v>
      </c>
      <c r="E2894" s="13">
        <v>2938162</v>
      </c>
      <c r="F2894" s="13">
        <v>5550</v>
      </c>
      <c r="G2894" s="9">
        <v>45003</v>
      </c>
      <c r="H2894" t="s">
        <v>1111</v>
      </c>
      <c r="I2894" t="s">
        <v>2382</v>
      </c>
      <c r="J2894" s="13">
        <v>48919</v>
      </c>
      <c r="K2894">
        <v>1</v>
      </c>
      <c r="L2894" t="s">
        <v>1064</v>
      </c>
      <c r="M2894" t="s">
        <v>2383</v>
      </c>
      <c r="N2894" s="15" t="s">
        <v>6878</v>
      </c>
    </row>
    <row r="2895" spans="1:14" x14ac:dyDescent="0.2">
      <c r="A2895" t="s">
        <v>4009</v>
      </c>
      <c r="B2895" t="s">
        <v>2360</v>
      </c>
      <c r="C2895" s="9">
        <v>45002</v>
      </c>
      <c r="D2895" t="s">
        <v>946</v>
      </c>
      <c r="E2895" s="13">
        <v>3819000</v>
      </c>
      <c r="F2895" s="13">
        <v>5550</v>
      </c>
      <c r="G2895" s="9">
        <v>45003</v>
      </c>
      <c r="H2895" t="s">
        <v>1111</v>
      </c>
      <c r="I2895" t="s">
        <v>2382</v>
      </c>
      <c r="J2895" s="13">
        <v>63586</v>
      </c>
      <c r="K2895">
        <v>1</v>
      </c>
      <c r="L2895" t="s">
        <v>1064</v>
      </c>
      <c r="M2895" t="s">
        <v>2383</v>
      </c>
      <c r="N2895" s="15" t="s">
        <v>6878</v>
      </c>
    </row>
    <row r="2896" spans="1:14" x14ac:dyDescent="0.2">
      <c r="A2896" t="s">
        <v>4010</v>
      </c>
      <c r="B2896" t="s">
        <v>2360</v>
      </c>
      <c r="C2896" s="9">
        <v>45002</v>
      </c>
      <c r="D2896" t="s">
        <v>946</v>
      </c>
      <c r="E2896" s="13">
        <v>4670000</v>
      </c>
      <c r="F2896" s="13">
        <v>5550</v>
      </c>
      <c r="G2896" s="9">
        <v>45003</v>
      </c>
      <c r="H2896" t="s">
        <v>1111</v>
      </c>
      <c r="I2896" t="s">
        <v>2382</v>
      </c>
      <c r="J2896" s="13">
        <v>77755</v>
      </c>
      <c r="K2896">
        <v>1</v>
      </c>
      <c r="L2896" t="s">
        <v>1064</v>
      </c>
      <c r="M2896" t="s">
        <v>2383</v>
      </c>
      <c r="N2896" s="15" t="s">
        <v>6878</v>
      </c>
    </row>
    <row r="2897" spans="1:14" x14ac:dyDescent="0.2">
      <c r="A2897" t="s">
        <v>4011</v>
      </c>
      <c r="B2897" t="s">
        <v>2360</v>
      </c>
      <c r="C2897" s="9">
        <v>45002</v>
      </c>
      <c r="D2897" t="s">
        <v>946</v>
      </c>
      <c r="E2897" s="13">
        <v>1805195</v>
      </c>
      <c r="F2897" s="13">
        <v>5550</v>
      </c>
      <c r="G2897" s="9">
        <v>45003</v>
      </c>
      <c r="H2897" t="s">
        <v>1111</v>
      </c>
      <c r="I2897" t="s">
        <v>2382</v>
      </c>
      <c r="J2897" s="13">
        <v>30055</v>
      </c>
      <c r="K2897">
        <v>1</v>
      </c>
      <c r="L2897" t="s">
        <v>1064</v>
      </c>
      <c r="M2897" t="s">
        <v>2383</v>
      </c>
      <c r="N2897" s="15" t="s">
        <v>6878</v>
      </c>
    </row>
    <row r="2898" spans="1:14" x14ac:dyDescent="0.2">
      <c r="A2898" t="s">
        <v>4012</v>
      </c>
      <c r="B2898" t="s">
        <v>2360</v>
      </c>
      <c r="C2898" s="9">
        <v>45002</v>
      </c>
      <c r="D2898" t="s">
        <v>946</v>
      </c>
      <c r="E2898" s="13">
        <v>2600000</v>
      </c>
      <c r="F2898" s="13">
        <v>5550</v>
      </c>
      <c r="G2898" s="9">
        <v>45003</v>
      </c>
      <c r="H2898" t="s">
        <v>1111</v>
      </c>
      <c r="I2898" t="s">
        <v>2382</v>
      </c>
      <c r="J2898" s="13">
        <v>43290</v>
      </c>
      <c r="K2898">
        <v>1</v>
      </c>
      <c r="L2898" t="s">
        <v>1064</v>
      </c>
      <c r="M2898" t="s">
        <v>2383</v>
      </c>
      <c r="N2898" s="15" t="s">
        <v>6878</v>
      </c>
    </row>
    <row r="2899" spans="1:14" x14ac:dyDescent="0.2">
      <c r="A2899" t="s">
        <v>4013</v>
      </c>
      <c r="B2899" t="s">
        <v>2360</v>
      </c>
      <c r="C2899" s="9">
        <v>45002</v>
      </c>
      <c r="D2899" t="s">
        <v>946</v>
      </c>
      <c r="E2899" s="13">
        <v>16544945</v>
      </c>
      <c r="F2899" s="13">
        <v>5550</v>
      </c>
      <c r="G2899" s="9">
        <v>45003</v>
      </c>
      <c r="H2899" t="s">
        <v>1111</v>
      </c>
      <c r="I2899" t="s">
        <v>2382</v>
      </c>
      <c r="J2899" s="13">
        <v>275473</v>
      </c>
      <c r="K2899">
        <v>1</v>
      </c>
      <c r="L2899" t="s">
        <v>1064</v>
      </c>
      <c r="M2899" t="s">
        <v>2383</v>
      </c>
      <c r="N2899" s="15" t="s">
        <v>6878</v>
      </c>
    </row>
    <row r="2900" spans="1:14" x14ac:dyDescent="0.2">
      <c r="A2900" t="s">
        <v>4014</v>
      </c>
      <c r="B2900" t="s">
        <v>2360</v>
      </c>
      <c r="C2900" s="9">
        <v>45002</v>
      </c>
      <c r="D2900" t="s">
        <v>946</v>
      </c>
      <c r="E2900" s="13">
        <v>12929860</v>
      </c>
      <c r="F2900" s="13">
        <v>5550</v>
      </c>
      <c r="G2900" s="9">
        <v>45003</v>
      </c>
      <c r="H2900" t="s">
        <v>1111</v>
      </c>
      <c r="I2900" t="s">
        <v>2382</v>
      </c>
      <c r="J2900" s="13">
        <v>215281</v>
      </c>
      <c r="K2900">
        <v>1</v>
      </c>
      <c r="L2900" t="s">
        <v>1064</v>
      </c>
      <c r="M2900" t="s">
        <v>2383</v>
      </c>
      <c r="N2900" s="15" t="s">
        <v>6878</v>
      </c>
    </row>
    <row r="2901" spans="1:14" x14ac:dyDescent="0.2">
      <c r="A2901" t="s">
        <v>4015</v>
      </c>
      <c r="B2901" t="s">
        <v>2360</v>
      </c>
      <c r="C2901" s="9">
        <v>45002</v>
      </c>
      <c r="D2901" t="s">
        <v>946</v>
      </c>
      <c r="E2901" s="13">
        <v>12945510</v>
      </c>
      <c r="F2901" s="13">
        <v>5550</v>
      </c>
      <c r="G2901" s="9">
        <v>45003</v>
      </c>
      <c r="H2901" t="s">
        <v>1111</v>
      </c>
      <c r="I2901" t="s">
        <v>2382</v>
      </c>
      <c r="J2901" s="13">
        <v>215542</v>
      </c>
      <c r="K2901">
        <v>1</v>
      </c>
      <c r="L2901" t="s">
        <v>1064</v>
      </c>
      <c r="M2901" t="s">
        <v>2383</v>
      </c>
      <c r="N2901" s="15" t="s">
        <v>6878</v>
      </c>
    </row>
    <row r="2902" spans="1:14" x14ac:dyDescent="0.2">
      <c r="A2902" t="s">
        <v>4016</v>
      </c>
      <c r="B2902" t="s">
        <v>2360</v>
      </c>
      <c r="C2902" s="9">
        <v>45002</v>
      </c>
      <c r="D2902" t="s">
        <v>946</v>
      </c>
      <c r="E2902" s="13">
        <v>12946468</v>
      </c>
      <c r="F2902" s="13">
        <v>5550</v>
      </c>
      <c r="G2902" s="9">
        <v>45003</v>
      </c>
      <c r="H2902" t="s">
        <v>1111</v>
      </c>
      <c r="I2902" t="s">
        <v>2382</v>
      </c>
      <c r="J2902" s="13">
        <v>215558</v>
      </c>
      <c r="K2902">
        <v>1</v>
      </c>
      <c r="L2902" t="s">
        <v>1064</v>
      </c>
      <c r="M2902" t="s">
        <v>2383</v>
      </c>
      <c r="N2902" s="15" t="s">
        <v>6878</v>
      </c>
    </row>
    <row r="2903" spans="1:14" x14ac:dyDescent="0.2">
      <c r="A2903" t="s">
        <v>4017</v>
      </c>
      <c r="B2903" t="s">
        <v>2360</v>
      </c>
      <c r="C2903" s="9">
        <v>45002</v>
      </c>
      <c r="D2903" t="s">
        <v>946</v>
      </c>
      <c r="E2903" s="13">
        <v>8197221</v>
      </c>
      <c r="F2903" s="13">
        <v>5550</v>
      </c>
      <c r="G2903" s="9">
        <v>45003</v>
      </c>
      <c r="H2903" t="s">
        <v>1111</v>
      </c>
      <c r="I2903" t="s">
        <v>2382</v>
      </c>
      <c r="J2903" s="13">
        <v>136483</v>
      </c>
      <c r="K2903">
        <v>1</v>
      </c>
      <c r="L2903" t="s">
        <v>1064</v>
      </c>
      <c r="M2903" t="s">
        <v>2383</v>
      </c>
      <c r="N2903" s="15" t="s">
        <v>6878</v>
      </c>
    </row>
    <row r="2904" spans="1:14" x14ac:dyDescent="0.2">
      <c r="A2904" t="s">
        <v>4018</v>
      </c>
      <c r="B2904" t="s">
        <v>2360</v>
      </c>
      <c r="C2904" s="9">
        <v>45002</v>
      </c>
      <c r="D2904" t="s">
        <v>946</v>
      </c>
      <c r="E2904" s="13">
        <v>3610000</v>
      </c>
      <c r="F2904" s="13">
        <v>5550</v>
      </c>
      <c r="G2904" s="9">
        <v>45003</v>
      </c>
      <c r="H2904" t="s">
        <v>1111</v>
      </c>
      <c r="I2904" t="s">
        <v>2382</v>
      </c>
      <c r="J2904" s="13">
        <v>60106</v>
      </c>
      <c r="K2904">
        <v>1</v>
      </c>
      <c r="L2904" t="s">
        <v>1064</v>
      </c>
      <c r="M2904" t="s">
        <v>2383</v>
      </c>
      <c r="N2904" s="15" t="s">
        <v>6878</v>
      </c>
    </row>
    <row r="2905" spans="1:14" x14ac:dyDescent="0.2">
      <c r="A2905" t="s">
        <v>4019</v>
      </c>
      <c r="B2905" t="s">
        <v>2360</v>
      </c>
      <c r="C2905" s="9">
        <v>45002</v>
      </c>
      <c r="D2905" t="s">
        <v>946</v>
      </c>
      <c r="E2905" s="13">
        <v>858550</v>
      </c>
      <c r="F2905" s="13">
        <v>5550</v>
      </c>
      <c r="G2905" s="9">
        <v>45003</v>
      </c>
      <c r="H2905" t="s">
        <v>1111</v>
      </c>
      <c r="I2905" t="s">
        <v>2382</v>
      </c>
      <c r="J2905" s="13">
        <v>14294</v>
      </c>
      <c r="K2905">
        <v>1</v>
      </c>
      <c r="L2905" t="s">
        <v>1064</v>
      </c>
      <c r="M2905" t="s">
        <v>2383</v>
      </c>
      <c r="N2905" s="15" t="s">
        <v>6878</v>
      </c>
    </row>
    <row r="2906" spans="1:14" x14ac:dyDescent="0.2">
      <c r="A2906" t="s">
        <v>4020</v>
      </c>
      <c r="B2906" t="s">
        <v>2360</v>
      </c>
      <c r="C2906" s="9">
        <v>45002</v>
      </c>
      <c r="D2906" t="s">
        <v>946</v>
      </c>
      <c r="E2906" s="13">
        <v>16646189</v>
      </c>
      <c r="F2906" s="13">
        <v>5550</v>
      </c>
      <c r="G2906" s="9">
        <v>45003</v>
      </c>
      <c r="H2906" t="s">
        <v>1111</v>
      </c>
      <c r="I2906" t="s">
        <v>2382</v>
      </c>
      <c r="J2906" s="13">
        <v>277158</v>
      </c>
      <c r="K2906">
        <v>1</v>
      </c>
      <c r="L2906" t="s">
        <v>1064</v>
      </c>
      <c r="M2906" t="s">
        <v>2383</v>
      </c>
      <c r="N2906" s="15" t="s">
        <v>6878</v>
      </c>
    </row>
    <row r="2907" spans="1:14" x14ac:dyDescent="0.2">
      <c r="A2907" t="s">
        <v>4021</v>
      </c>
      <c r="B2907" t="s">
        <v>2360</v>
      </c>
      <c r="C2907" s="9">
        <v>45002</v>
      </c>
      <c r="D2907" t="s">
        <v>946</v>
      </c>
      <c r="E2907" s="13">
        <v>21342063</v>
      </c>
      <c r="F2907" s="13">
        <v>5550</v>
      </c>
      <c r="G2907" s="9">
        <v>45003</v>
      </c>
      <c r="H2907" t="s">
        <v>1111</v>
      </c>
      <c r="I2907" t="s">
        <v>2382</v>
      </c>
      <c r="J2907" s="13">
        <v>355344</v>
      </c>
      <c r="K2907">
        <v>1</v>
      </c>
      <c r="L2907" t="s">
        <v>1064</v>
      </c>
      <c r="M2907" t="s">
        <v>2383</v>
      </c>
      <c r="N2907" s="15" t="s">
        <v>6878</v>
      </c>
    </row>
    <row r="2908" spans="1:14" x14ac:dyDescent="0.2">
      <c r="A2908" t="s">
        <v>4022</v>
      </c>
      <c r="B2908" t="s">
        <v>2360</v>
      </c>
      <c r="C2908" s="9">
        <v>45002</v>
      </c>
      <c r="D2908" t="s">
        <v>946</v>
      </c>
      <c r="E2908" s="13">
        <v>1540000</v>
      </c>
      <c r="F2908" s="13">
        <v>5550</v>
      </c>
      <c r="G2908" s="9">
        <v>45003</v>
      </c>
      <c r="H2908" t="s">
        <v>1111</v>
      </c>
      <c r="I2908" t="s">
        <v>2382</v>
      </c>
      <c r="J2908" s="13">
        <v>25641</v>
      </c>
      <c r="K2908">
        <v>1</v>
      </c>
      <c r="L2908" t="s">
        <v>1064</v>
      </c>
      <c r="M2908" t="s">
        <v>2383</v>
      </c>
      <c r="N2908" s="15" t="s">
        <v>6878</v>
      </c>
    </row>
    <row r="2909" spans="1:14" x14ac:dyDescent="0.2">
      <c r="A2909" t="s">
        <v>4023</v>
      </c>
      <c r="B2909" t="s">
        <v>2360</v>
      </c>
      <c r="C2909" s="9">
        <v>45002</v>
      </c>
      <c r="D2909" t="s">
        <v>946</v>
      </c>
      <c r="E2909" s="13">
        <v>1100000</v>
      </c>
      <c r="F2909" s="13">
        <v>5550</v>
      </c>
      <c r="G2909" s="9">
        <v>45003</v>
      </c>
      <c r="H2909" t="s">
        <v>1111</v>
      </c>
      <c r="I2909" t="s">
        <v>2382</v>
      </c>
      <c r="J2909" s="13">
        <v>18315</v>
      </c>
      <c r="K2909">
        <v>1</v>
      </c>
      <c r="L2909" t="s">
        <v>1064</v>
      </c>
      <c r="M2909" t="s">
        <v>2383</v>
      </c>
      <c r="N2909" s="15" t="s">
        <v>6878</v>
      </c>
    </row>
    <row r="2910" spans="1:14" x14ac:dyDescent="0.2">
      <c r="A2910" t="s">
        <v>4024</v>
      </c>
      <c r="B2910" t="s">
        <v>2360</v>
      </c>
      <c r="C2910" s="9">
        <v>45002</v>
      </c>
      <c r="D2910" t="s">
        <v>946</v>
      </c>
      <c r="E2910" s="13">
        <v>950000</v>
      </c>
      <c r="F2910" s="13">
        <v>5550</v>
      </c>
      <c r="G2910" s="9">
        <v>45003</v>
      </c>
      <c r="H2910" t="s">
        <v>1111</v>
      </c>
      <c r="I2910" t="s">
        <v>2382</v>
      </c>
      <c r="J2910" s="13">
        <v>15817</v>
      </c>
      <c r="K2910">
        <v>1</v>
      </c>
      <c r="L2910" t="s">
        <v>1064</v>
      </c>
      <c r="M2910" t="s">
        <v>2383</v>
      </c>
      <c r="N2910" s="15" t="s">
        <v>6878</v>
      </c>
    </row>
    <row r="2911" spans="1:14" x14ac:dyDescent="0.2">
      <c r="A2911" t="s">
        <v>4025</v>
      </c>
      <c r="B2911" t="s">
        <v>2360</v>
      </c>
      <c r="C2911" s="9">
        <v>45002</v>
      </c>
      <c r="D2911" t="s">
        <v>946</v>
      </c>
      <c r="E2911" s="13">
        <v>7500000</v>
      </c>
      <c r="F2911" s="13">
        <v>5550</v>
      </c>
      <c r="G2911" s="9">
        <v>45003</v>
      </c>
      <c r="H2911" t="s">
        <v>1111</v>
      </c>
      <c r="I2911" t="s">
        <v>2382</v>
      </c>
      <c r="J2911" s="13">
        <v>124875</v>
      </c>
      <c r="K2911">
        <v>1</v>
      </c>
      <c r="L2911" t="s">
        <v>1064</v>
      </c>
      <c r="M2911" t="s">
        <v>2383</v>
      </c>
      <c r="N2911" s="15" t="s">
        <v>6878</v>
      </c>
    </row>
    <row r="2912" spans="1:14" x14ac:dyDescent="0.2">
      <c r="A2912" t="s">
        <v>4026</v>
      </c>
      <c r="B2912" t="s">
        <v>2360</v>
      </c>
      <c r="C2912" s="9">
        <v>45002</v>
      </c>
      <c r="D2912" t="s">
        <v>946</v>
      </c>
      <c r="E2912" s="13">
        <v>7500000</v>
      </c>
      <c r="F2912" s="13">
        <v>5550</v>
      </c>
      <c r="G2912" s="9">
        <v>45003</v>
      </c>
      <c r="H2912" t="s">
        <v>1111</v>
      </c>
      <c r="I2912" t="s">
        <v>2382</v>
      </c>
      <c r="J2912" s="13">
        <v>124875</v>
      </c>
      <c r="K2912">
        <v>1</v>
      </c>
      <c r="L2912" t="s">
        <v>1064</v>
      </c>
      <c r="M2912" t="s">
        <v>2383</v>
      </c>
      <c r="N2912" s="15" t="s">
        <v>6878</v>
      </c>
    </row>
    <row r="2913" spans="1:14" x14ac:dyDescent="0.2">
      <c r="A2913" t="s">
        <v>4027</v>
      </c>
      <c r="B2913" t="s">
        <v>2360</v>
      </c>
      <c r="C2913" s="9">
        <v>45002</v>
      </c>
      <c r="D2913" t="s">
        <v>946</v>
      </c>
      <c r="E2913" s="13">
        <v>8244936</v>
      </c>
      <c r="F2913" s="13">
        <v>5550</v>
      </c>
      <c r="G2913" s="9">
        <v>45003</v>
      </c>
      <c r="H2913" t="s">
        <v>1111</v>
      </c>
      <c r="I2913" t="s">
        <v>2382</v>
      </c>
      <c r="J2913" s="13">
        <v>137278</v>
      </c>
      <c r="K2913">
        <v>1</v>
      </c>
      <c r="L2913" t="s">
        <v>1064</v>
      </c>
      <c r="M2913" t="s">
        <v>2383</v>
      </c>
      <c r="N2913" s="15" t="s">
        <v>6878</v>
      </c>
    </row>
    <row r="2914" spans="1:14" x14ac:dyDescent="0.2">
      <c r="A2914" t="s">
        <v>4028</v>
      </c>
      <c r="B2914" t="s">
        <v>2360</v>
      </c>
      <c r="C2914" s="9">
        <v>45002</v>
      </c>
      <c r="D2914" t="s">
        <v>946</v>
      </c>
      <c r="E2914" s="13">
        <v>10955120</v>
      </c>
      <c r="F2914" s="13">
        <v>5550</v>
      </c>
      <c r="G2914" s="9">
        <v>45003</v>
      </c>
      <c r="H2914" t="s">
        <v>1111</v>
      </c>
      <c r="I2914" t="s">
        <v>2382</v>
      </c>
      <c r="J2914" s="13">
        <v>182401</v>
      </c>
      <c r="K2914">
        <v>1</v>
      </c>
      <c r="L2914" t="s">
        <v>1064</v>
      </c>
      <c r="M2914" t="s">
        <v>2383</v>
      </c>
      <c r="N2914" s="15" t="s">
        <v>6878</v>
      </c>
    </row>
    <row r="2915" spans="1:14" x14ac:dyDescent="0.2">
      <c r="A2915" t="s">
        <v>4029</v>
      </c>
      <c r="B2915" t="s">
        <v>2360</v>
      </c>
      <c r="C2915" s="9">
        <v>45002</v>
      </c>
      <c r="D2915" t="s">
        <v>946</v>
      </c>
      <c r="E2915" s="13">
        <v>25845840</v>
      </c>
      <c r="F2915" s="13">
        <v>5550</v>
      </c>
      <c r="G2915" s="9">
        <v>45003</v>
      </c>
      <c r="H2915" t="s">
        <v>1111</v>
      </c>
      <c r="I2915" t="s">
        <v>2382</v>
      </c>
      <c r="J2915" s="13">
        <v>430332</v>
      </c>
      <c r="K2915">
        <v>1</v>
      </c>
      <c r="L2915" t="s">
        <v>1064</v>
      </c>
      <c r="M2915" t="s">
        <v>2383</v>
      </c>
      <c r="N2915" s="15" t="s">
        <v>6878</v>
      </c>
    </row>
    <row r="2916" spans="1:14" x14ac:dyDescent="0.2">
      <c r="A2916" t="s">
        <v>4030</v>
      </c>
      <c r="B2916" t="s">
        <v>2360</v>
      </c>
      <c r="C2916" s="9">
        <v>45002</v>
      </c>
      <c r="D2916" t="s">
        <v>946</v>
      </c>
      <c r="E2916" s="13">
        <v>16092466</v>
      </c>
      <c r="F2916" s="13">
        <v>5550</v>
      </c>
      <c r="G2916" s="9">
        <v>45003</v>
      </c>
      <c r="H2916" t="s">
        <v>1111</v>
      </c>
      <c r="I2916" t="s">
        <v>2382</v>
      </c>
      <c r="J2916" s="13">
        <v>267938</v>
      </c>
      <c r="K2916">
        <v>1</v>
      </c>
      <c r="L2916" t="s">
        <v>1064</v>
      </c>
      <c r="M2916" t="s">
        <v>2383</v>
      </c>
      <c r="N2916" s="15" t="s">
        <v>6878</v>
      </c>
    </row>
    <row r="2917" spans="1:14" x14ac:dyDescent="0.2">
      <c r="A2917" t="s">
        <v>4031</v>
      </c>
      <c r="B2917" t="s">
        <v>2360</v>
      </c>
      <c r="C2917" s="9">
        <v>45002</v>
      </c>
      <c r="D2917" t="s">
        <v>946</v>
      </c>
      <c r="E2917" s="13">
        <v>15182802</v>
      </c>
      <c r="F2917" s="13">
        <v>5550</v>
      </c>
      <c r="G2917" s="9">
        <v>45003</v>
      </c>
      <c r="H2917" t="s">
        <v>1111</v>
      </c>
      <c r="I2917" t="s">
        <v>2382</v>
      </c>
      <c r="J2917" s="13">
        <v>252793</v>
      </c>
      <c r="K2917">
        <v>1</v>
      </c>
      <c r="L2917" t="s">
        <v>1064</v>
      </c>
      <c r="M2917" t="s">
        <v>2383</v>
      </c>
      <c r="N2917" s="15" t="s">
        <v>6878</v>
      </c>
    </row>
    <row r="2918" spans="1:14" x14ac:dyDescent="0.2">
      <c r="A2918" t="s">
        <v>4032</v>
      </c>
      <c r="B2918" t="s">
        <v>2360</v>
      </c>
      <c r="C2918" s="9">
        <v>45002</v>
      </c>
      <c r="D2918" t="s">
        <v>946</v>
      </c>
      <c r="E2918" s="13">
        <v>18040532</v>
      </c>
      <c r="F2918" s="13">
        <v>5550</v>
      </c>
      <c r="G2918" s="9">
        <v>45003</v>
      </c>
      <c r="H2918" t="s">
        <v>1111</v>
      </c>
      <c r="I2918" t="s">
        <v>2382</v>
      </c>
      <c r="J2918" s="13">
        <v>300373</v>
      </c>
      <c r="K2918">
        <v>1</v>
      </c>
      <c r="L2918" t="s">
        <v>1064</v>
      </c>
      <c r="M2918" t="s">
        <v>2383</v>
      </c>
      <c r="N2918" s="15" t="s">
        <v>6878</v>
      </c>
    </row>
    <row r="2919" spans="1:14" x14ac:dyDescent="0.2">
      <c r="A2919" t="s">
        <v>4033</v>
      </c>
      <c r="B2919" t="s">
        <v>2360</v>
      </c>
      <c r="C2919" s="9">
        <v>45002</v>
      </c>
      <c r="D2919" t="s">
        <v>946</v>
      </c>
      <c r="E2919" s="13">
        <v>24653978</v>
      </c>
      <c r="F2919" s="13">
        <v>5550</v>
      </c>
      <c r="G2919" s="9">
        <v>45003</v>
      </c>
      <c r="H2919" t="s">
        <v>1111</v>
      </c>
      <c r="I2919" t="s">
        <v>2382</v>
      </c>
      <c r="J2919" s="13">
        <v>410487</v>
      </c>
      <c r="K2919">
        <v>1</v>
      </c>
      <c r="L2919" t="s">
        <v>1064</v>
      </c>
      <c r="M2919" t="s">
        <v>2383</v>
      </c>
      <c r="N2919" s="15" t="s">
        <v>6878</v>
      </c>
    </row>
    <row r="2920" spans="1:14" x14ac:dyDescent="0.2">
      <c r="A2920" t="s">
        <v>4034</v>
      </c>
      <c r="B2920" t="s">
        <v>2360</v>
      </c>
      <c r="C2920" s="9">
        <v>45002</v>
      </c>
      <c r="D2920" t="s">
        <v>946</v>
      </c>
      <c r="E2920" s="13">
        <v>19709104</v>
      </c>
      <c r="F2920" s="13">
        <v>5550</v>
      </c>
      <c r="G2920" s="9">
        <v>45003</v>
      </c>
      <c r="H2920" t="s">
        <v>1111</v>
      </c>
      <c r="I2920" t="s">
        <v>2382</v>
      </c>
      <c r="J2920" s="13">
        <v>328155</v>
      </c>
      <c r="K2920">
        <v>1</v>
      </c>
      <c r="L2920" t="s">
        <v>1064</v>
      </c>
      <c r="M2920" t="s">
        <v>2383</v>
      </c>
      <c r="N2920" s="15" t="s">
        <v>6878</v>
      </c>
    </row>
    <row r="2921" spans="1:14" x14ac:dyDescent="0.2">
      <c r="A2921" t="s">
        <v>4035</v>
      </c>
      <c r="B2921" t="s">
        <v>2360</v>
      </c>
      <c r="C2921" s="9">
        <v>45002</v>
      </c>
      <c r="D2921" t="s">
        <v>946</v>
      </c>
      <c r="E2921" s="13">
        <v>12257840</v>
      </c>
      <c r="F2921" s="13">
        <v>5550</v>
      </c>
      <c r="G2921" s="9">
        <v>45003</v>
      </c>
      <c r="H2921" t="s">
        <v>1111</v>
      </c>
      <c r="I2921" t="s">
        <v>2382</v>
      </c>
      <c r="J2921" s="13">
        <v>204092</v>
      </c>
      <c r="K2921">
        <v>1</v>
      </c>
      <c r="L2921" t="s">
        <v>1064</v>
      </c>
      <c r="M2921" t="s">
        <v>2383</v>
      </c>
      <c r="N2921" s="15" t="s">
        <v>6878</v>
      </c>
    </row>
    <row r="2922" spans="1:14" x14ac:dyDescent="0.2">
      <c r="A2922" t="s">
        <v>4036</v>
      </c>
      <c r="B2922" t="s">
        <v>2360</v>
      </c>
      <c r="C2922" s="9">
        <v>45002</v>
      </c>
      <c r="D2922" t="s">
        <v>946</v>
      </c>
      <c r="E2922" s="13">
        <v>20241473</v>
      </c>
      <c r="F2922" s="13">
        <v>5550</v>
      </c>
      <c r="G2922" s="9">
        <v>45003</v>
      </c>
      <c r="H2922" t="s">
        <v>1111</v>
      </c>
      <c r="I2922" t="s">
        <v>2382</v>
      </c>
      <c r="J2922" s="13">
        <v>337020</v>
      </c>
      <c r="K2922">
        <v>1</v>
      </c>
      <c r="L2922" t="s">
        <v>1064</v>
      </c>
      <c r="M2922" t="s">
        <v>2383</v>
      </c>
      <c r="N2922" s="15" t="s">
        <v>6878</v>
      </c>
    </row>
    <row r="2923" spans="1:14" x14ac:dyDescent="0.2">
      <c r="A2923" t="s">
        <v>4037</v>
      </c>
      <c r="B2923" t="s">
        <v>2360</v>
      </c>
      <c r="C2923" s="9">
        <v>45002</v>
      </c>
      <c r="D2923" t="s">
        <v>946</v>
      </c>
      <c r="E2923" s="13">
        <v>20801669</v>
      </c>
      <c r="F2923" s="13">
        <v>5550</v>
      </c>
      <c r="G2923" s="9">
        <v>45003</v>
      </c>
      <c r="H2923" t="s">
        <v>1111</v>
      </c>
      <c r="I2923" t="s">
        <v>2382</v>
      </c>
      <c r="J2923" s="13">
        <v>346347</v>
      </c>
      <c r="K2923">
        <v>1</v>
      </c>
      <c r="L2923" t="s">
        <v>1064</v>
      </c>
      <c r="M2923" t="s">
        <v>2383</v>
      </c>
      <c r="N2923" s="15" t="s">
        <v>6878</v>
      </c>
    </row>
    <row r="2924" spans="1:14" x14ac:dyDescent="0.2">
      <c r="A2924" t="s">
        <v>4038</v>
      </c>
      <c r="B2924" t="s">
        <v>2360</v>
      </c>
      <c r="C2924" s="9">
        <v>45002</v>
      </c>
      <c r="D2924" t="s">
        <v>946</v>
      </c>
      <c r="E2924" s="13">
        <v>22357125</v>
      </c>
      <c r="F2924" s="13">
        <v>5550</v>
      </c>
      <c r="G2924" s="9">
        <v>45003</v>
      </c>
      <c r="H2924" t="s">
        <v>1111</v>
      </c>
      <c r="I2924" t="s">
        <v>2382</v>
      </c>
      <c r="J2924" s="13">
        <v>372245</v>
      </c>
      <c r="K2924">
        <v>1</v>
      </c>
      <c r="L2924" t="s">
        <v>1064</v>
      </c>
      <c r="M2924" t="s">
        <v>2383</v>
      </c>
      <c r="N2924" s="15" t="s">
        <v>6878</v>
      </c>
    </row>
    <row r="2925" spans="1:14" x14ac:dyDescent="0.2">
      <c r="A2925" t="s">
        <v>4039</v>
      </c>
      <c r="B2925" t="s">
        <v>2360</v>
      </c>
      <c r="C2925" s="9">
        <v>45002</v>
      </c>
      <c r="D2925" t="s">
        <v>946</v>
      </c>
      <c r="E2925" s="13">
        <v>16264946</v>
      </c>
      <c r="F2925" s="13">
        <v>5550</v>
      </c>
      <c r="G2925" s="9">
        <v>45003</v>
      </c>
      <c r="H2925" t="s">
        <v>1111</v>
      </c>
      <c r="I2925" t="s">
        <v>2382</v>
      </c>
      <c r="J2925" s="13">
        <v>270811</v>
      </c>
      <c r="K2925">
        <v>1</v>
      </c>
      <c r="L2925" t="s">
        <v>1064</v>
      </c>
      <c r="M2925" t="s">
        <v>2383</v>
      </c>
      <c r="N2925" s="15" t="s">
        <v>6878</v>
      </c>
    </row>
    <row r="2926" spans="1:14" x14ac:dyDescent="0.2">
      <c r="A2926" t="s">
        <v>4040</v>
      </c>
      <c r="B2926" t="s">
        <v>2360</v>
      </c>
      <c r="C2926" s="9">
        <v>45002</v>
      </c>
      <c r="D2926" t="s">
        <v>946</v>
      </c>
      <c r="E2926" s="13">
        <v>15284635</v>
      </c>
      <c r="F2926" s="13">
        <v>5550</v>
      </c>
      <c r="G2926" s="9">
        <v>45003</v>
      </c>
      <c r="H2926" t="s">
        <v>1111</v>
      </c>
      <c r="I2926" t="s">
        <v>2382</v>
      </c>
      <c r="J2926" s="13">
        <v>254488</v>
      </c>
      <c r="K2926">
        <v>1</v>
      </c>
      <c r="L2926" t="s">
        <v>1064</v>
      </c>
      <c r="M2926" t="s">
        <v>2383</v>
      </c>
      <c r="N2926" s="15" t="s">
        <v>6878</v>
      </c>
    </row>
    <row r="2927" spans="1:14" x14ac:dyDescent="0.2">
      <c r="A2927" t="s">
        <v>4041</v>
      </c>
      <c r="B2927" t="s">
        <v>2360</v>
      </c>
      <c r="C2927" s="9">
        <v>45002</v>
      </c>
      <c r="D2927" t="s">
        <v>946</v>
      </c>
      <c r="E2927" s="13">
        <v>13687884</v>
      </c>
      <c r="F2927" s="13">
        <v>5550</v>
      </c>
      <c r="G2927" s="9">
        <v>45003</v>
      </c>
      <c r="H2927" t="s">
        <v>1111</v>
      </c>
      <c r="I2927" t="s">
        <v>2382</v>
      </c>
      <c r="J2927" s="13">
        <v>227902</v>
      </c>
      <c r="K2927">
        <v>1</v>
      </c>
      <c r="L2927" t="s">
        <v>1064</v>
      </c>
      <c r="M2927" t="s">
        <v>2383</v>
      </c>
      <c r="N2927" s="15" t="s">
        <v>6878</v>
      </c>
    </row>
    <row r="2928" spans="1:14" x14ac:dyDescent="0.2">
      <c r="A2928" t="s">
        <v>4042</v>
      </c>
      <c r="B2928" t="s">
        <v>2360</v>
      </c>
      <c r="C2928" s="9">
        <v>45002</v>
      </c>
      <c r="D2928" t="s">
        <v>946</v>
      </c>
      <c r="E2928" s="13">
        <v>2738000</v>
      </c>
      <c r="F2928" s="13">
        <v>5550</v>
      </c>
      <c r="G2928" s="9">
        <v>45003</v>
      </c>
      <c r="H2928" t="s">
        <v>1111</v>
      </c>
      <c r="I2928" t="s">
        <v>2382</v>
      </c>
      <c r="J2928" s="13">
        <v>45587</v>
      </c>
      <c r="K2928">
        <v>1</v>
      </c>
      <c r="L2928" t="s">
        <v>1064</v>
      </c>
      <c r="M2928" t="s">
        <v>2383</v>
      </c>
      <c r="N2928" s="15" t="s">
        <v>6878</v>
      </c>
    </row>
    <row r="2929" spans="1:14" x14ac:dyDescent="0.2">
      <c r="A2929" t="s">
        <v>4043</v>
      </c>
      <c r="B2929" t="s">
        <v>2360</v>
      </c>
      <c r="C2929" s="9">
        <v>45002</v>
      </c>
      <c r="D2929" t="s">
        <v>946</v>
      </c>
      <c r="E2929" s="13">
        <v>13180644</v>
      </c>
      <c r="F2929" s="13">
        <v>5550</v>
      </c>
      <c r="G2929" s="9">
        <v>45003</v>
      </c>
      <c r="H2929" t="s">
        <v>1111</v>
      </c>
      <c r="I2929" t="s">
        <v>2382</v>
      </c>
      <c r="J2929" s="13">
        <v>219456</v>
      </c>
      <c r="K2929">
        <v>1</v>
      </c>
      <c r="L2929" t="s">
        <v>1064</v>
      </c>
      <c r="M2929" t="s">
        <v>2383</v>
      </c>
      <c r="N2929" s="15" t="s">
        <v>6878</v>
      </c>
    </row>
    <row r="2930" spans="1:14" x14ac:dyDescent="0.2">
      <c r="A2930" t="s">
        <v>4044</v>
      </c>
      <c r="B2930" t="s">
        <v>2360</v>
      </c>
      <c r="C2930" s="9">
        <v>45002</v>
      </c>
      <c r="D2930" t="s">
        <v>946</v>
      </c>
      <c r="E2930" s="13">
        <v>16977708</v>
      </c>
      <c r="F2930" s="13">
        <v>5550</v>
      </c>
      <c r="G2930" s="9">
        <v>45003</v>
      </c>
      <c r="H2930" t="s">
        <v>1111</v>
      </c>
      <c r="I2930" t="s">
        <v>2382</v>
      </c>
      <c r="J2930" s="13">
        <v>282678</v>
      </c>
      <c r="K2930">
        <v>1</v>
      </c>
      <c r="L2930" t="s">
        <v>1064</v>
      </c>
      <c r="M2930" t="s">
        <v>2383</v>
      </c>
      <c r="N2930" s="15" t="s">
        <v>6878</v>
      </c>
    </row>
    <row r="2931" spans="1:14" x14ac:dyDescent="0.2">
      <c r="A2931" t="s">
        <v>4045</v>
      </c>
      <c r="B2931" t="s">
        <v>2360</v>
      </c>
      <c r="C2931" s="9">
        <v>45002</v>
      </c>
      <c r="D2931" t="s">
        <v>946</v>
      </c>
      <c r="E2931" s="13">
        <v>15023410</v>
      </c>
      <c r="F2931" s="13">
        <v>5550</v>
      </c>
      <c r="G2931" s="9">
        <v>45003</v>
      </c>
      <c r="H2931" t="s">
        <v>1111</v>
      </c>
      <c r="I2931" t="s">
        <v>2382</v>
      </c>
      <c r="J2931" s="13">
        <v>250139</v>
      </c>
      <c r="K2931">
        <v>1</v>
      </c>
      <c r="L2931" t="s">
        <v>1064</v>
      </c>
      <c r="M2931" t="s">
        <v>2383</v>
      </c>
      <c r="N2931" s="15" t="s">
        <v>6878</v>
      </c>
    </row>
    <row r="2932" spans="1:14" x14ac:dyDescent="0.2">
      <c r="A2932" t="s">
        <v>4046</v>
      </c>
      <c r="B2932" t="s">
        <v>2360</v>
      </c>
      <c r="C2932" s="9">
        <v>45002</v>
      </c>
      <c r="D2932" t="s">
        <v>946</v>
      </c>
      <c r="E2932" s="13">
        <v>14954065</v>
      </c>
      <c r="F2932" s="13">
        <v>5550</v>
      </c>
      <c r="G2932" s="9">
        <v>45003</v>
      </c>
      <c r="H2932" t="s">
        <v>1111</v>
      </c>
      <c r="I2932" t="s">
        <v>2382</v>
      </c>
      <c r="J2932" s="13">
        <v>248984</v>
      </c>
      <c r="K2932">
        <v>1</v>
      </c>
      <c r="L2932" t="s">
        <v>1064</v>
      </c>
      <c r="M2932" t="s">
        <v>2383</v>
      </c>
      <c r="N2932" s="15" t="s">
        <v>6878</v>
      </c>
    </row>
    <row r="2933" spans="1:14" x14ac:dyDescent="0.2">
      <c r="A2933" t="s">
        <v>4047</v>
      </c>
      <c r="B2933" t="s">
        <v>2360</v>
      </c>
      <c r="C2933" s="9">
        <v>45002</v>
      </c>
      <c r="D2933" t="s">
        <v>946</v>
      </c>
      <c r="E2933" s="13">
        <v>7359840</v>
      </c>
      <c r="F2933" s="13">
        <v>5550</v>
      </c>
      <c r="G2933" s="9">
        <v>45003</v>
      </c>
      <c r="H2933" t="s">
        <v>1111</v>
      </c>
      <c r="I2933" t="s">
        <v>2382</v>
      </c>
      <c r="J2933" s="13">
        <v>122540</v>
      </c>
      <c r="K2933">
        <v>1</v>
      </c>
      <c r="L2933" t="s">
        <v>1064</v>
      </c>
      <c r="M2933" t="s">
        <v>2383</v>
      </c>
      <c r="N2933" s="15" t="s">
        <v>6878</v>
      </c>
    </row>
    <row r="2934" spans="1:14" x14ac:dyDescent="0.2">
      <c r="A2934" t="s">
        <v>4048</v>
      </c>
      <c r="B2934" t="s">
        <v>2360</v>
      </c>
      <c r="C2934" s="9">
        <v>45002</v>
      </c>
      <c r="D2934" t="s">
        <v>946</v>
      </c>
      <c r="E2934" s="13">
        <v>10095360</v>
      </c>
      <c r="F2934" s="13">
        <v>5550</v>
      </c>
      <c r="G2934" s="9">
        <v>45003</v>
      </c>
      <c r="H2934" t="s">
        <v>1111</v>
      </c>
      <c r="I2934" t="s">
        <v>2382</v>
      </c>
      <c r="J2934" s="13">
        <v>168087</v>
      </c>
      <c r="K2934">
        <v>1</v>
      </c>
      <c r="L2934" t="s">
        <v>1064</v>
      </c>
      <c r="M2934" t="s">
        <v>2383</v>
      </c>
      <c r="N2934" s="15" t="s">
        <v>6878</v>
      </c>
    </row>
    <row r="2935" spans="1:14" x14ac:dyDescent="0.2">
      <c r="A2935" t="s">
        <v>4049</v>
      </c>
      <c r="B2935" t="s">
        <v>2360</v>
      </c>
      <c r="C2935" s="9">
        <v>45002</v>
      </c>
      <c r="D2935" t="s">
        <v>946</v>
      </c>
      <c r="E2935" s="13">
        <v>16282675</v>
      </c>
      <c r="F2935" s="13">
        <v>5550</v>
      </c>
      <c r="G2935" s="9">
        <v>45003</v>
      </c>
      <c r="H2935" t="s">
        <v>1111</v>
      </c>
      <c r="I2935" t="s">
        <v>2382</v>
      </c>
      <c r="J2935" s="13">
        <v>271106</v>
      </c>
      <c r="K2935">
        <v>1</v>
      </c>
      <c r="L2935" t="s">
        <v>1064</v>
      </c>
      <c r="M2935" t="s">
        <v>2383</v>
      </c>
      <c r="N2935" s="15" t="s">
        <v>6878</v>
      </c>
    </row>
    <row r="2936" spans="1:14" x14ac:dyDescent="0.2">
      <c r="A2936" t="s">
        <v>4050</v>
      </c>
      <c r="B2936" t="s">
        <v>2360</v>
      </c>
      <c r="C2936" s="9">
        <v>45002</v>
      </c>
      <c r="D2936" t="s">
        <v>946</v>
      </c>
      <c r="E2936" s="13">
        <v>12877608</v>
      </c>
      <c r="F2936" s="13">
        <v>5550</v>
      </c>
      <c r="G2936" s="9">
        <v>45003</v>
      </c>
      <c r="H2936" t="s">
        <v>1111</v>
      </c>
      <c r="I2936" t="s">
        <v>2382</v>
      </c>
      <c r="J2936" s="13">
        <v>214412</v>
      </c>
      <c r="K2936">
        <v>1</v>
      </c>
      <c r="L2936" t="s">
        <v>1064</v>
      </c>
      <c r="M2936" t="s">
        <v>2383</v>
      </c>
      <c r="N2936" s="15" t="s">
        <v>6878</v>
      </c>
    </row>
    <row r="2937" spans="1:14" x14ac:dyDescent="0.2">
      <c r="A2937" t="s">
        <v>4051</v>
      </c>
      <c r="B2937" t="s">
        <v>2360</v>
      </c>
      <c r="C2937" s="9">
        <v>45002</v>
      </c>
      <c r="D2937" t="s">
        <v>946</v>
      </c>
      <c r="E2937" s="13">
        <v>17094715</v>
      </c>
      <c r="F2937" s="13">
        <v>5550</v>
      </c>
      <c r="G2937" s="9">
        <v>45003</v>
      </c>
      <c r="H2937" t="s">
        <v>1111</v>
      </c>
      <c r="I2937" t="s">
        <v>2382</v>
      </c>
      <c r="J2937" s="13">
        <v>284626</v>
      </c>
      <c r="K2937">
        <v>1</v>
      </c>
      <c r="L2937" t="s">
        <v>1064</v>
      </c>
      <c r="M2937" t="s">
        <v>2383</v>
      </c>
      <c r="N2937" s="15" t="s">
        <v>6878</v>
      </c>
    </row>
    <row r="2938" spans="1:14" x14ac:dyDescent="0.2">
      <c r="A2938" t="s">
        <v>4052</v>
      </c>
      <c r="B2938" t="s">
        <v>2360</v>
      </c>
      <c r="C2938" s="9">
        <v>45002</v>
      </c>
      <c r="D2938" t="s">
        <v>946</v>
      </c>
      <c r="E2938" s="13">
        <v>22800042</v>
      </c>
      <c r="F2938" s="13">
        <v>5550</v>
      </c>
      <c r="G2938" s="9">
        <v>45003</v>
      </c>
      <c r="H2938" t="s">
        <v>1111</v>
      </c>
      <c r="I2938" t="s">
        <v>2382</v>
      </c>
      <c r="J2938" s="13">
        <v>379620</v>
      </c>
      <c r="K2938">
        <v>1</v>
      </c>
      <c r="L2938" t="s">
        <v>1064</v>
      </c>
      <c r="M2938" t="s">
        <v>2383</v>
      </c>
      <c r="N2938" s="15" t="s">
        <v>6878</v>
      </c>
    </row>
    <row r="2939" spans="1:14" x14ac:dyDescent="0.2">
      <c r="A2939" t="s">
        <v>4053</v>
      </c>
      <c r="B2939" t="s">
        <v>2360</v>
      </c>
      <c r="C2939" s="9">
        <v>45002</v>
      </c>
      <c r="D2939" t="s">
        <v>946</v>
      </c>
      <c r="E2939" s="13">
        <v>21303098</v>
      </c>
      <c r="F2939" s="13">
        <v>5550</v>
      </c>
      <c r="G2939" s="9">
        <v>45003</v>
      </c>
      <c r="H2939" t="s">
        <v>1111</v>
      </c>
      <c r="I2939" t="s">
        <v>2382</v>
      </c>
      <c r="J2939" s="13">
        <v>354696</v>
      </c>
      <c r="K2939">
        <v>1</v>
      </c>
      <c r="L2939" t="s">
        <v>1064</v>
      </c>
      <c r="M2939" t="s">
        <v>2383</v>
      </c>
      <c r="N2939" s="15" t="s">
        <v>6878</v>
      </c>
    </row>
    <row r="2940" spans="1:14" x14ac:dyDescent="0.2">
      <c r="A2940" t="s">
        <v>4054</v>
      </c>
      <c r="B2940" t="s">
        <v>2360</v>
      </c>
      <c r="C2940" s="9">
        <v>45002</v>
      </c>
      <c r="D2940" t="s">
        <v>946</v>
      </c>
      <c r="E2940" s="13">
        <v>8608697</v>
      </c>
      <c r="F2940" s="13">
        <v>5550</v>
      </c>
      <c r="G2940" s="9">
        <v>45003</v>
      </c>
      <c r="H2940" t="s">
        <v>1111</v>
      </c>
      <c r="I2940" t="s">
        <v>2382</v>
      </c>
      <c r="J2940" s="13">
        <v>143334</v>
      </c>
      <c r="K2940">
        <v>1</v>
      </c>
      <c r="L2940" t="s">
        <v>1064</v>
      </c>
      <c r="M2940" t="s">
        <v>2383</v>
      </c>
      <c r="N2940" s="15" t="s">
        <v>6878</v>
      </c>
    </row>
    <row r="2941" spans="1:14" x14ac:dyDescent="0.2">
      <c r="A2941" t="s">
        <v>4055</v>
      </c>
      <c r="B2941" t="s">
        <v>2360</v>
      </c>
      <c r="C2941" s="9">
        <v>45002</v>
      </c>
      <c r="D2941" t="s">
        <v>946</v>
      </c>
      <c r="E2941" s="13">
        <v>8350774</v>
      </c>
      <c r="F2941" s="13">
        <v>5550</v>
      </c>
      <c r="G2941" s="9">
        <v>45003</v>
      </c>
      <c r="H2941" t="s">
        <v>1111</v>
      </c>
      <c r="I2941" t="s">
        <v>2382</v>
      </c>
      <c r="J2941" s="13">
        <v>139039</v>
      </c>
      <c r="K2941">
        <v>1</v>
      </c>
      <c r="L2941" t="s">
        <v>1064</v>
      </c>
      <c r="M2941" t="s">
        <v>2383</v>
      </c>
      <c r="N2941" s="15" t="s">
        <v>6878</v>
      </c>
    </row>
    <row r="2942" spans="1:14" x14ac:dyDescent="0.2">
      <c r="A2942" t="s">
        <v>4056</v>
      </c>
      <c r="B2942" t="s">
        <v>2360</v>
      </c>
      <c r="C2942" s="9">
        <v>45002</v>
      </c>
      <c r="D2942" t="s">
        <v>946</v>
      </c>
      <c r="E2942" s="13">
        <v>3610000</v>
      </c>
      <c r="F2942" s="13">
        <v>5550</v>
      </c>
      <c r="G2942" s="9">
        <v>45003</v>
      </c>
      <c r="H2942" t="s">
        <v>1111</v>
      </c>
      <c r="I2942" t="s">
        <v>2382</v>
      </c>
      <c r="J2942" s="13">
        <v>60106</v>
      </c>
      <c r="K2942">
        <v>1</v>
      </c>
      <c r="L2942" t="s">
        <v>1064</v>
      </c>
      <c r="M2942" t="s">
        <v>2383</v>
      </c>
      <c r="N2942" s="15" t="s">
        <v>6878</v>
      </c>
    </row>
    <row r="2943" spans="1:14" x14ac:dyDescent="0.2">
      <c r="A2943" t="s">
        <v>4057</v>
      </c>
      <c r="B2943" t="s">
        <v>2360</v>
      </c>
      <c r="C2943" s="9">
        <v>45002</v>
      </c>
      <c r="D2943" t="s">
        <v>946</v>
      </c>
      <c r="E2943" s="13">
        <v>2200000</v>
      </c>
      <c r="F2943" s="13">
        <v>5550</v>
      </c>
      <c r="G2943" s="9">
        <v>45003</v>
      </c>
      <c r="H2943" t="s">
        <v>1111</v>
      </c>
      <c r="I2943" t="s">
        <v>2382</v>
      </c>
      <c r="J2943" s="13">
        <v>36630</v>
      </c>
      <c r="K2943">
        <v>1</v>
      </c>
      <c r="L2943" t="s">
        <v>1064</v>
      </c>
      <c r="M2943" t="s">
        <v>2383</v>
      </c>
      <c r="N2943" s="15" t="s">
        <v>6878</v>
      </c>
    </row>
    <row r="2944" spans="1:14" x14ac:dyDescent="0.2">
      <c r="A2944" t="s">
        <v>4058</v>
      </c>
      <c r="B2944" t="s">
        <v>2360</v>
      </c>
      <c r="C2944" s="9">
        <v>45002</v>
      </c>
      <c r="D2944" t="s">
        <v>946</v>
      </c>
      <c r="E2944" s="13">
        <v>2560000</v>
      </c>
      <c r="F2944" s="13">
        <v>5550</v>
      </c>
      <c r="G2944" s="9">
        <v>45003</v>
      </c>
      <c r="H2944" t="s">
        <v>1111</v>
      </c>
      <c r="I2944" t="s">
        <v>2382</v>
      </c>
      <c r="J2944" s="13">
        <v>42624</v>
      </c>
      <c r="K2944">
        <v>1</v>
      </c>
      <c r="L2944" t="s">
        <v>1064</v>
      </c>
      <c r="M2944" t="s">
        <v>2383</v>
      </c>
      <c r="N2944" s="15" t="s">
        <v>6878</v>
      </c>
    </row>
    <row r="2945" spans="1:14" x14ac:dyDescent="0.2">
      <c r="A2945" t="s">
        <v>4059</v>
      </c>
      <c r="B2945" t="s">
        <v>2360</v>
      </c>
      <c r="C2945" s="9">
        <v>45002</v>
      </c>
      <c r="D2945" t="s">
        <v>946</v>
      </c>
      <c r="E2945" s="13">
        <v>6904000</v>
      </c>
      <c r="F2945" s="13">
        <v>5550</v>
      </c>
      <c r="G2945" s="9">
        <v>45003</v>
      </c>
      <c r="H2945" t="s">
        <v>1111</v>
      </c>
      <c r="I2945" t="s">
        <v>2382</v>
      </c>
      <c r="J2945" s="13">
        <v>114951</v>
      </c>
      <c r="K2945">
        <v>1</v>
      </c>
      <c r="L2945" t="s">
        <v>1064</v>
      </c>
      <c r="M2945" t="s">
        <v>2383</v>
      </c>
      <c r="N2945" s="15" t="s">
        <v>6878</v>
      </c>
    </row>
    <row r="2946" spans="1:14" x14ac:dyDescent="0.2">
      <c r="A2946" t="s">
        <v>4060</v>
      </c>
      <c r="B2946" t="s">
        <v>2360</v>
      </c>
      <c r="C2946" s="9">
        <v>45002</v>
      </c>
      <c r="D2946" t="s">
        <v>946</v>
      </c>
      <c r="E2946" s="13">
        <v>2738000</v>
      </c>
      <c r="F2946" s="13">
        <v>5550</v>
      </c>
      <c r="G2946" s="9">
        <v>45003</v>
      </c>
      <c r="H2946" t="s">
        <v>1111</v>
      </c>
      <c r="I2946" t="s">
        <v>2382</v>
      </c>
      <c r="J2946" s="13">
        <v>45587</v>
      </c>
      <c r="K2946">
        <v>1</v>
      </c>
      <c r="L2946" t="s">
        <v>1064</v>
      </c>
      <c r="M2946" t="s">
        <v>2383</v>
      </c>
      <c r="N2946" s="15" t="s">
        <v>6878</v>
      </c>
    </row>
    <row r="2947" spans="1:14" x14ac:dyDescent="0.2">
      <c r="A2947" t="s">
        <v>4061</v>
      </c>
      <c r="B2947" t="s">
        <v>2360</v>
      </c>
      <c r="C2947" s="9">
        <v>45002</v>
      </c>
      <c r="D2947" t="s">
        <v>946</v>
      </c>
      <c r="E2947" s="13">
        <v>15717777</v>
      </c>
      <c r="F2947" s="13">
        <v>5550</v>
      </c>
      <c r="G2947" s="9">
        <v>45002</v>
      </c>
      <c r="H2947" t="s">
        <v>1111</v>
      </c>
      <c r="I2947" t="s">
        <v>2382</v>
      </c>
      <c r="J2947" s="13">
        <v>261700</v>
      </c>
      <c r="K2947">
        <v>1</v>
      </c>
      <c r="L2947" t="s">
        <v>1064</v>
      </c>
      <c r="M2947" t="s">
        <v>2383</v>
      </c>
      <c r="N2947" s="15" t="s">
        <v>6878</v>
      </c>
    </row>
    <row r="2948" spans="1:14" x14ac:dyDescent="0.2">
      <c r="A2948" t="s">
        <v>4062</v>
      </c>
      <c r="B2948" t="s">
        <v>2360</v>
      </c>
      <c r="C2948" s="9">
        <v>45002</v>
      </c>
      <c r="D2948" t="s">
        <v>946</v>
      </c>
      <c r="E2948" s="13">
        <v>15458681</v>
      </c>
      <c r="F2948" s="13">
        <v>5550</v>
      </c>
      <c r="G2948" s="9">
        <v>45002</v>
      </c>
      <c r="H2948" t="s">
        <v>1111</v>
      </c>
      <c r="I2948" t="s">
        <v>2382</v>
      </c>
      <c r="J2948" s="13">
        <v>257386</v>
      </c>
      <c r="K2948">
        <v>1</v>
      </c>
      <c r="L2948" t="s">
        <v>1064</v>
      </c>
      <c r="M2948" t="s">
        <v>2383</v>
      </c>
      <c r="N2948" s="15" t="s">
        <v>6878</v>
      </c>
    </row>
    <row r="2949" spans="1:14" x14ac:dyDescent="0.2">
      <c r="A2949" t="s">
        <v>4063</v>
      </c>
      <c r="B2949" t="s">
        <v>2360</v>
      </c>
      <c r="C2949" s="9">
        <v>45002</v>
      </c>
      <c r="D2949" t="s">
        <v>946</v>
      </c>
      <c r="E2949" s="13">
        <v>16374012</v>
      </c>
      <c r="F2949" s="13">
        <v>5550</v>
      </c>
      <c r="G2949" s="9">
        <v>45002</v>
      </c>
      <c r="H2949" t="s">
        <v>1111</v>
      </c>
      <c r="I2949" t="s">
        <v>2382</v>
      </c>
      <c r="J2949" s="13">
        <v>272627</v>
      </c>
      <c r="K2949">
        <v>1</v>
      </c>
      <c r="L2949" t="s">
        <v>1064</v>
      </c>
      <c r="M2949" t="s">
        <v>2383</v>
      </c>
      <c r="N2949" s="15" t="s">
        <v>6878</v>
      </c>
    </row>
    <row r="2950" spans="1:14" x14ac:dyDescent="0.2">
      <c r="A2950" t="s">
        <v>4064</v>
      </c>
      <c r="B2950" t="s">
        <v>2360</v>
      </c>
      <c r="C2950" s="9">
        <v>45002</v>
      </c>
      <c r="D2950" t="s">
        <v>946</v>
      </c>
      <c r="E2950" s="13">
        <v>13064016</v>
      </c>
      <c r="F2950" s="13">
        <v>5550</v>
      </c>
      <c r="G2950" s="9">
        <v>45002</v>
      </c>
      <c r="H2950" t="s">
        <v>1111</v>
      </c>
      <c r="I2950" t="s">
        <v>2382</v>
      </c>
      <c r="J2950" s="13">
        <v>217515</v>
      </c>
      <c r="K2950">
        <v>1</v>
      </c>
      <c r="L2950" t="s">
        <v>1064</v>
      </c>
      <c r="M2950" t="s">
        <v>2383</v>
      </c>
      <c r="N2950" s="15" t="s">
        <v>6878</v>
      </c>
    </row>
    <row r="2951" spans="1:14" x14ac:dyDescent="0.2">
      <c r="A2951" t="s">
        <v>4065</v>
      </c>
      <c r="B2951" t="s">
        <v>2360</v>
      </c>
      <c r="C2951" s="9">
        <v>45002</v>
      </c>
      <c r="D2951" t="s">
        <v>946</v>
      </c>
      <c r="E2951" s="13">
        <v>16201989</v>
      </c>
      <c r="F2951" s="13">
        <v>5550</v>
      </c>
      <c r="G2951" s="9">
        <v>45002</v>
      </c>
      <c r="H2951" t="s">
        <v>1111</v>
      </c>
      <c r="I2951" t="s">
        <v>2382</v>
      </c>
      <c r="J2951" s="13">
        <v>269762</v>
      </c>
      <c r="K2951">
        <v>1</v>
      </c>
      <c r="L2951" t="s">
        <v>1064</v>
      </c>
      <c r="M2951" t="s">
        <v>2383</v>
      </c>
      <c r="N2951" s="15" t="s">
        <v>6878</v>
      </c>
    </row>
    <row r="2952" spans="1:14" x14ac:dyDescent="0.2">
      <c r="A2952" t="s">
        <v>4066</v>
      </c>
      <c r="B2952" t="s">
        <v>2360</v>
      </c>
      <c r="C2952" s="9">
        <v>45002</v>
      </c>
      <c r="D2952" t="s">
        <v>946</v>
      </c>
      <c r="E2952" s="13">
        <v>11367525</v>
      </c>
      <c r="F2952" s="13">
        <v>5550</v>
      </c>
      <c r="G2952" s="9">
        <v>45003</v>
      </c>
      <c r="H2952" t="s">
        <v>1111</v>
      </c>
      <c r="I2952" t="s">
        <v>2382</v>
      </c>
      <c r="J2952" s="13">
        <v>189268</v>
      </c>
      <c r="K2952">
        <v>1</v>
      </c>
      <c r="L2952" t="s">
        <v>1064</v>
      </c>
      <c r="M2952" t="s">
        <v>2383</v>
      </c>
      <c r="N2952" s="15" t="s">
        <v>6878</v>
      </c>
    </row>
    <row r="2953" spans="1:14" x14ac:dyDescent="0.2">
      <c r="A2953" t="s">
        <v>4067</v>
      </c>
      <c r="B2953" t="s">
        <v>2360</v>
      </c>
      <c r="C2953" s="9">
        <v>45002</v>
      </c>
      <c r="D2953" t="s">
        <v>946</v>
      </c>
      <c r="E2953" s="13">
        <v>5511950</v>
      </c>
      <c r="F2953" s="13">
        <v>5550</v>
      </c>
      <c r="G2953" s="9">
        <v>45003</v>
      </c>
      <c r="H2953" t="s">
        <v>1111</v>
      </c>
      <c r="I2953" t="s">
        <v>2382</v>
      </c>
      <c r="J2953" s="13">
        <v>91773</v>
      </c>
      <c r="K2953">
        <v>1</v>
      </c>
      <c r="L2953" t="s">
        <v>1064</v>
      </c>
      <c r="M2953" t="s">
        <v>2383</v>
      </c>
      <c r="N2953" s="15" t="s">
        <v>6878</v>
      </c>
    </row>
    <row r="2954" spans="1:14" x14ac:dyDescent="0.2">
      <c r="A2954" t="s">
        <v>4068</v>
      </c>
      <c r="B2954" t="s">
        <v>2360</v>
      </c>
      <c r="C2954" s="9">
        <v>45002</v>
      </c>
      <c r="D2954" t="s">
        <v>946</v>
      </c>
      <c r="E2954" s="13">
        <v>5511950</v>
      </c>
      <c r="F2954" s="13">
        <v>5550</v>
      </c>
      <c r="G2954" s="9">
        <v>45003</v>
      </c>
      <c r="H2954" t="s">
        <v>1111</v>
      </c>
      <c r="I2954" t="s">
        <v>2382</v>
      </c>
      <c r="J2954" s="13">
        <v>91773</v>
      </c>
      <c r="K2954">
        <v>1</v>
      </c>
      <c r="L2954" t="s">
        <v>1064</v>
      </c>
      <c r="M2954" t="s">
        <v>2383</v>
      </c>
      <c r="N2954" s="15" t="s">
        <v>6878</v>
      </c>
    </row>
    <row r="2955" spans="1:14" x14ac:dyDescent="0.2">
      <c r="A2955" t="s">
        <v>4069</v>
      </c>
      <c r="B2955" t="s">
        <v>2360</v>
      </c>
      <c r="C2955" s="9">
        <v>45002</v>
      </c>
      <c r="D2955" t="s">
        <v>946</v>
      </c>
      <c r="E2955" s="13">
        <v>6549825</v>
      </c>
      <c r="F2955" s="13">
        <v>5550</v>
      </c>
      <c r="G2955" s="9">
        <v>45003</v>
      </c>
      <c r="H2955" t="s">
        <v>1111</v>
      </c>
      <c r="I2955" t="s">
        <v>2382</v>
      </c>
      <c r="J2955" s="13">
        <v>109054</v>
      </c>
      <c r="K2955">
        <v>1</v>
      </c>
      <c r="L2955" t="s">
        <v>1064</v>
      </c>
      <c r="M2955" t="s">
        <v>2383</v>
      </c>
      <c r="N2955" s="15" t="s">
        <v>6878</v>
      </c>
    </row>
    <row r="2956" spans="1:14" x14ac:dyDescent="0.2">
      <c r="A2956" t="s">
        <v>4070</v>
      </c>
      <c r="B2956" t="s">
        <v>2360</v>
      </c>
      <c r="C2956" s="9">
        <v>45002</v>
      </c>
      <c r="D2956" t="s">
        <v>946</v>
      </c>
      <c r="E2956" s="13">
        <v>6549825</v>
      </c>
      <c r="F2956" s="13">
        <v>5550</v>
      </c>
      <c r="G2956" s="9">
        <v>45003</v>
      </c>
      <c r="H2956" t="s">
        <v>1111</v>
      </c>
      <c r="I2956" t="s">
        <v>2382</v>
      </c>
      <c r="J2956" s="13">
        <v>109054</v>
      </c>
      <c r="K2956">
        <v>1</v>
      </c>
      <c r="L2956" t="s">
        <v>1064</v>
      </c>
      <c r="M2956" t="s">
        <v>2383</v>
      </c>
      <c r="N2956" s="15" t="s">
        <v>6878</v>
      </c>
    </row>
    <row r="2957" spans="1:14" x14ac:dyDescent="0.2">
      <c r="A2957" t="s">
        <v>4071</v>
      </c>
      <c r="B2957" t="s">
        <v>2360</v>
      </c>
      <c r="C2957" s="9">
        <v>45002</v>
      </c>
      <c r="D2957" t="s">
        <v>946</v>
      </c>
      <c r="E2957" s="13">
        <v>5511950</v>
      </c>
      <c r="F2957" s="13">
        <v>5550</v>
      </c>
      <c r="G2957" s="9">
        <v>45003</v>
      </c>
      <c r="H2957" t="s">
        <v>1111</v>
      </c>
      <c r="I2957" t="s">
        <v>2382</v>
      </c>
      <c r="J2957" s="13">
        <v>91773</v>
      </c>
      <c r="K2957">
        <v>1</v>
      </c>
      <c r="L2957" t="s">
        <v>1064</v>
      </c>
      <c r="M2957" t="s">
        <v>2383</v>
      </c>
      <c r="N2957" s="15" t="s">
        <v>6878</v>
      </c>
    </row>
    <row r="2958" spans="1:14" x14ac:dyDescent="0.2">
      <c r="A2958" t="s">
        <v>4072</v>
      </c>
      <c r="B2958" t="s">
        <v>2360</v>
      </c>
      <c r="C2958" s="9">
        <v>45002</v>
      </c>
      <c r="D2958" t="s">
        <v>946</v>
      </c>
      <c r="E2958" s="13">
        <v>9991200</v>
      </c>
      <c r="F2958" s="13">
        <v>5550</v>
      </c>
      <c r="G2958" s="9">
        <v>45003</v>
      </c>
      <c r="H2958" t="s">
        <v>1111</v>
      </c>
      <c r="I2958" t="s">
        <v>2382</v>
      </c>
      <c r="J2958" s="13">
        <v>166353</v>
      </c>
      <c r="K2958">
        <v>1</v>
      </c>
      <c r="L2958" t="s">
        <v>1064</v>
      </c>
      <c r="M2958" t="s">
        <v>2383</v>
      </c>
      <c r="N2958" s="15" t="s">
        <v>6878</v>
      </c>
    </row>
    <row r="2959" spans="1:14" x14ac:dyDescent="0.2">
      <c r="A2959" t="s">
        <v>4073</v>
      </c>
      <c r="B2959" t="s">
        <v>2360</v>
      </c>
      <c r="C2959" s="9">
        <v>45002</v>
      </c>
      <c r="D2959" t="s">
        <v>946</v>
      </c>
      <c r="E2959" s="13">
        <v>17206493</v>
      </c>
      <c r="F2959" s="13">
        <v>5550</v>
      </c>
      <c r="G2959" s="9">
        <v>45003</v>
      </c>
      <c r="H2959" t="s">
        <v>1111</v>
      </c>
      <c r="I2959" t="s">
        <v>2382</v>
      </c>
      <c r="J2959" s="13">
        <v>286487</v>
      </c>
      <c r="K2959">
        <v>1</v>
      </c>
      <c r="L2959" t="s">
        <v>1064</v>
      </c>
      <c r="M2959" t="s">
        <v>2383</v>
      </c>
      <c r="N2959" s="15" t="s">
        <v>6878</v>
      </c>
    </row>
    <row r="2960" spans="1:14" x14ac:dyDescent="0.2">
      <c r="A2960" t="s">
        <v>4074</v>
      </c>
      <c r="B2960" t="s">
        <v>2360</v>
      </c>
      <c r="C2960" s="9">
        <v>45002</v>
      </c>
      <c r="D2960" t="s">
        <v>946</v>
      </c>
      <c r="E2960" s="13">
        <v>979436</v>
      </c>
      <c r="F2960" s="13">
        <v>5550</v>
      </c>
      <c r="G2960" s="9">
        <v>45003</v>
      </c>
      <c r="H2960" t="s">
        <v>1111</v>
      </c>
      <c r="I2960" t="s">
        <v>2382</v>
      </c>
      <c r="J2960" s="13">
        <v>16307</v>
      </c>
      <c r="K2960">
        <v>1</v>
      </c>
      <c r="L2960" t="s">
        <v>1064</v>
      </c>
      <c r="M2960" t="s">
        <v>2383</v>
      </c>
      <c r="N2960" s="15" t="s">
        <v>6878</v>
      </c>
    </row>
    <row r="2961" spans="1:14" x14ac:dyDescent="0.2">
      <c r="A2961" t="s">
        <v>4075</v>
      </c>
      <c r="B2961" t="s">
        <v>2360</v>
      </c>
      <c r="C2961" s="9">
        <v>45002</v>
      </c>
      <c r="D2961" t="s">
        <v>946</v>
      </c>
      <c r="E2961" s="13">
        <v>1168616</v>
      </c>
      <c r="F2961" s="13">
        <v>5550</v>
      </c>
      <c r="G2961" s="9">
        <v>45003</v>
      </c>
      <c r="H2961" t="s">
        <v>1111</v>
      </c>
      <c r="I2961" t="s">
        <v>2382</v>
      </c>
      <c r="J2961" s="13">
        <v>19457</v>
      </c>
      <c r="K2961">
        <v>1</v>
      </c>
      <c r="L2961" t="s">
        <v>1064</v>
      </c>
      <c r="M2961" t="s">
        <v>2383</v>
      </c>
      <c r="N2961" s="15" t="s">
        <v>6878</v>
      </c>
    </row>
    <row r="2962" spans="1:14" x14ac:dyDescent="0.2">
      <c r="A2962" t="s">
        <v>4076</v>
      </c>
      <c r="B2962" t="s">
        <v>2360</v>
      </c>
      <c r="C2962" s="9">
        <v>45002</v>
      </c>
      <c r="D2962" t="s">
        <v>946</v>
      </c>
      <c r="E2962" s="13">
        <v>1031384</v>
      </c>
      <c r="F2962" s="13">
        <v>5550</v>
      </c>
      <c r="G2962" s="9">
        <v>45003</v>
      </c>
      <c r="H2962" t="s">
        <v>1111</v>
      </c>
      <c r="I2962" t="s">
        <v>2382</v>
      </c>
      <c r="J2962" s="13">
        <v>17171</v>
      </c>
      <c r="K2962">
        <v>1</v>
      </c>
      <c r="L2962" t="s">
        <v>1064</v>
      </c>
      <c r="M2962" t="s">
        <v>2383</v>
      </c>
      <c r="N2962" s="15" t="s">
        <v>6878</v>
      </c>
    </row>
    <row r="2963" spans="1:14" x14ac:dyDescent="0.2">
      <c r="A2963" t="s">
        <v>4077</v>
      </c>
      <c r="B2963" t="s">
        <v>2360</v>
      </c>
      <c r="C2963" s="9">
        <v>45002</v>
      </c>
      <c r="D2963" t="s">
        <v>946</v>
      </c>
      <c r="E2963" s="13">
        <v>1093073</v>
      </c>
      <c r="F2963" s="13">
        <v>5550</v>
      </c>
      <c r="G2963" s="9">
        <v>45003</v>
      </c>
      <c r="H2963" t="s">
        <v>1111</v>
      </c>
      <c r="I2963" t="s">
        <v>2382</v>
      </c>
      <c r="J2963" s="13">
        <v>18199</v>
      </c>
      <c r="K2963">
        <v>1</v>
      </c>
      <c r="L2963" t="s">
        <v>1064</v>
      </c>
      <c r="M2963" t="s">
        <v>2383</v>
      </c>
      <c r="N2963" s="15" t="s">
        <v>6878</v>
      </c>
    </row>
    <row r="2964" spans="1:14" x14ac:dyDescent="0.2">
      <c r="A2964" t="s">
        <v>4078</v>
      </c>
      <c r="B2964" t="s">
        <v>2360</v>
      </c>
      <c r="C2964" s="9">
        <v>45002</v>
      </c>
      <c r="D2964" t="s">
        <v>946</v>
      </c>
      <c r="E2964" s="13">
        <v>979436</v>
      </c>
      <c r="F2964" s="13">
        <v>5550</v>
      </c>
      <c r="G2964" s="9">
        <v>45003</v>
      </c>
      <c r="H2964" t="s">
        <v>1111</v>
      </c>
      <c r="I2964" t="s">
        <v>2382</v>
      </c>
      <c r="J2964" s="13">
        <v>16307</v>
      </c>
      <c r="K2964">
        <v>1</v>
      </c>
      <c r="L2964" t="s">
        <v>1064</v>
      </c>
      <c r="M2964" t="s">
        <v>2383</v>
      </c>
      <c r="N2964" s="15" t="s">
        <v>6878</v>
      </c>
    </row>
    <row r="2965" spans="1:14" x14ac:dyDescent="0.2">
      <c r="A2965" t="s">
        <v>4079</v>
      </c>
      <c r="B2965" t="s">
        <v>2360</v>
      </c>
      <c r="C2965" s="9">
        <v>45002</v>
      </c>
      <c r="D2965" t="s">
        <v>946</v>
      </c>
      <c r="E2965" s="13">
        <v>1093073</v>
      </c>
      <c r="F2965" s="13">
        <v>5550</v>
      </c>
      <c r="G2965" s="9">
        <v>45003</v>
      </c>
      <c r="H2965" t="s">
        <v>1111</v>
      </c>
      <c r="I2965" t="s">
        <v>2382</v>
      </c>
      <c r="J2965" s="13">
        <v>18199</v>
      </c>
      <c r="K2965">
        <v>1</v>
      </c>
      <c r="L2965" t="s">
        <v>1064</v>
      </c>
      <c r="M2965" t="s">
        <v>2383</v>
      </c>
      <c r="N2965" s="15" t="s">
        <v>6878</v>
      </c>
    </row>
    <row r="2966" spans="1:14" x14ac:dyDescent="0.2">
      <c r="A2966" t="s">
        <v>4080</v>
      </c>
      <c r="B2966" t="s">
        <v>2360</v>
      </c>
      <c r="C2966" s="9">
        <v>45002</v>
      </c>
      <c r="D2966" t="s">
        <v>946</v>
      </c>
      <c r="E2966" s="13">
        <v>1013268</v>
      </c>
      <c r="F2966" s="13">
        <v>5550</v>
      </c>
      <c r="G2966" s="9">
        <v>45003</v>
      </c>
      <c r="H2966" t="s">
        <v>1111</v>
      </c>
      <c r="I2966" t="s">
        <v>2382</v>
      </c>
      <c r="J2966" s="13">
        <v>16870</v>
      </c>
      <c r="K2966">
        <v>1</v>
      </c>
      <c r="L2966" t="s">
        <v>1064</v>
      </c>
      <c r="M2966" t="s">
        <v>2383</v>
      </c>
      <c r="N2966" s="15" t="s">
        <v>6878</v>
      </c>
    </row>
    <row r="2967" spans="1:14" x14ac:dyDescent="0.2">
      <c r="A2967" t="s">
        <v>4081</v>
      </c>
      <c r="B2967" t="s">
        <v>2360</v>
      </c>
      <c r="C2967" s="9">
        <v>45002</v>
      </c>
      <c r="D2967" t="s">
        <v>946</v>
      </c>
      <c r="E2967" s="13">
        <v>979436</v>
      </c>
      <c r="F2967" s="13">
        <v>5550</v>
      </c>
      <c r="G2967" s="9">
        <v>45003</v>
      </c>
      <c r="H2967" t="s">
        <v>1111</v>
      </c>
      <c r="I2967" t="s">
        <v>2382</v>
      </c>
      <c r="J2967" s="13">
        <v>16307</v>
      </c>
      <c r="K2967">
        <v>1</v>
      </c>
      <c r="L2967" t="s">
        <v>1064</v>
      </c>
      <c r="M2967" t="s">
        <v>2383</v>
      </c>
      <c r="N2967" s="15" t="s">
        <v>6878</v>
      </c>
    </row>
    <row r="2968" spans="1:14" x14ac:dyDescent="0.2">
      <c r="A2968" t="s">
        <v>4082</v>
      </c>
      <c r="B2968" t="s">
        <v>2360</v>
      </c>
      <c r="C2968" s="9">
        <v>45002</v>
      </c>
      <c r="D2968" t="s">
        <v>946</v>
      </c>
      <c r="E2968" s="13">
        <v>1134198</v>
      </c>
      <c r="F2968" s="13">
        <v>5550</v>
      </c>
      <c r="G2968" s="9">
        <v>45003</v>
      </c>
      <c r="H2968" t="s">
        <v>1111</v>
      </c>
      <c r="I2968" t="s">
        <v>2382</v>
      </c>
      <c r="J2968" s="13">
        <v>18883</v>
      </c>
      <c r="K2968">
        <v>1</v>
      </c>
      <c r="L2968" t="s">
        <v>1064</v>
      </c>
      <c r="M2968" t="s">
        <v>2383</v>
      </c>
      <c r="N2968" s="15" t="s">
        <v>6878</v>
      </c>
    </row>
    <row r="2969" spans="1:14" x14ac:dyDescent="0.2">
      <c r="A2969" t="s">
        <v>4083</v>
      </c>
      <c r="B2969" t="s">
        <v>2360</v>
      </c>
      <c r="C2969" s="9">
        <v>45002</v>
      </c>
      <c r="D2969" t="s">
        <v>946</v>
      </c>
      <c r="E2969" s="13">
        <v>900816</v>
      </c>
      <c r="F2969" s="13">
        <v>5550</v>
      </c>
      <c r="G2969" s="9">
        <v>45003</v>
      </c>
      <c r="H2969" t="s">
        <v>1111</v>
      </c>
      <c r="I2969" t="s">
        <v>2382</v>
      </c>
      <c r="J2969" s="13">
        <v>14998</v>
      </c>
      <c r="K2969">
        <v>1</v>
      </c>
      <c r="L2969" t="s">
        <v>1064</v>
      </c>
      <c r="M2969" t="s">
        <v>2383</v>
      </c>
      <c r="N2969" s="15" t="s">
        <v>6878</v>
      </c>
    </row>
    <row r="2970" spans="1:14" x14ac:dyDescent="0.2">
      <c r="A2970" t="s">
        <v>4084</v>
      </c>
      <c r="B2970" t="s">
        <v>2360</v>
      </c>
      <c r="C2970" s="9">
        <v>45002</v>
      </c>
      <c r="D2970" t="s">
        <v>946</v>
      </c>
      <c r="E2970" s="13">
        <v>1134198</v>
      </c>
      <c r="F2970" s="13">
        <v>5550</v>
      </c>
      <c r="G2970" s="9">
        <v>45003</v>
      </c>
      <c r="H2970" t="s">
        <v>1111</v>
      </c>
      <c r="I2970" t="s">
        <v>2382</v>
      </c>
      <c r="J2970" s="13">
        <v>18883</v>
      </c>
      <c r="K2970">
        <v>1</v>
      </c>
      <c r="L2970" t="s">
        <v>1064</v>
      </c>
      <c r="M2970" t="s">
        <v>2383</v>
      </c>
      <c r="N2970" s="15" t="s">
        <v>6878</v>
      </c>
    </row>
    <row r="2971" spans="1:14" x14ac:dyDescent="0.2">
      <c r="A2971" t="s">
        <v>4085</v>
      </c>
      <c r="B2971" t="s">
        <v>2360</v>
      </c>
      <c r="C2971" s="9">
        <v>45002</v>
      </c>
      <c r="D2971" t="s">
        <v>946</v>
      </c>
      <c r="E2971" s="13">
        <v>851316</v>
      </c>
      <c r="F2971" s="13">
        <v>5550</v>
      </c>
      <c r="G2971" s="9">
        <v>45003</v>
      </c>
      <c r="H2971" t="s">
        <v>1111</v>
      </c>
      <c r="I2971" t="s">
        <v>2382</v>
      </c>
      <c r="J2971" s="13">
        <v>14173</v>
      </c>
      <c r="K2971">
        <v>1</v>
      </c>
      <c r="L2971" t="s">
        <v>1064</v>
      </c>
      <c r="M2971" t="s">
        <v>2383</v>
      </c>
      <c r="N2971" s="15" t="s">
        <v>6878</v>
      </c>
    </row>
    <row r="2972" spans="1:14" x14ac:dyDescent="0.2">
      <c r="A2972" t="s">
        <v>4086</v>
      </c>
      <c r="B2972" t="s">
        <v>2360</v>
      </c>
      <c r="C2972" s="9">
        <v>45002</v>
      </c>
      <c r="D2972" t="s">
        <v>946</v>
      </c>
      <c r="E2972" s="13">
        <v>29456000</v>
      </c>
      <c r="F2972" s="13">
        <v>5550</v>
      </c>
      <c r="G2972" s="9">
        <v>45003</v>
      </c>
      <c r="H2972" t="s">
        <v>1111</v>
      </c>
      <c r="I2972" t="s">
        <v>2382</v>
      </c>
      <c r="J2972" s="13">
        <v>490442</v>
      </c>
      <c r="K2972">
        <v>1</v>
      </c>
      <c r="L2972" t="s">
        <v>1064</v>
      </c>
      <c r="M2972" t="s">
        <v>2383</v>
      </c>
      <c r="N2972" s="15" t="s">
        <v>6878</v>
      </c>
    </row>
    <row r="2973" spans="1:14" x14ac:dyDescent="0.2">
      <c r="A2973" t="s">
        <v>4087</v>
      </c>
      <c r="B2973" t="s">
        <v>2360</v>
      </c>
      <c r="C2973" s="9">
        <v>45002</v>
      </c>
      <c r="D2973" t="s">
        <v>946</v>
      </c>
      <c r="E2973" s="13">
        <v>30759817</v>
      </c>
      <c r="F2973" s="13">
        <v>5550</v>
      </c>
      <c r="G2973" s="9">
        <v>45003</v>
      </c>
      <c r="H2973" t="s">
        <v>1111</v>
      </c>
      <c r="I2973" t="s">
        <v>2382</v>
      </c>
      <c r="J2973" s="13">
        <v>512150</v>
      </c>
      <c r="K2973">
        <v>1</v>
      </c>
      <c r="L2973" t="s">
        <v>1064</v>
      </c>
      <c r="M2973" t="s">
        <v>2383</v>
      </c>
      <c r="N2973" s="15" t="s">
        <v>6878</v>
      </c>
    </row>
    <row r="2974" spans="1:14" x14ac:dyDescent="0.2">
      <c r="A2974" t="s">
        <v>4088</v>
      </c>
      <c r="B2974" t="s">
        <v>2360</v>
      </c>
      <c r="C2974" s="9">
        <v>45002</v>
      </c>
      <c r="D2974" t="s">
        <v>946</v>
      </c>
      <c r="E2974" s="13">
        <v>330000</v>
      </c>
      <c r="F2974" s="13">
        <v>5550</v>
      </c>
      <c r="G2974" s="9">
        <v>45003</v>
      </c>
      <c r="H2974" t="s">
        <v>1111</v>
      </c>
      <c r="I2974" t="s">
        <v>2382</v>
      </c>
      <c r="J2974" s="13">
        <v>5494</v>
      </c>
      <c r="K2974">
        <v>1</v>
      </c>
      <c r="L2974" t="s">
        <v>1064</v>
      </c>
      <c r="M2974" t="s">
        <v>2383</v>
      </c>
      <c r="N2974" s="15" t="s">
        <v>6878</v>
      </c>
    </row>
    <row r="2975" spans="1:14" x14ac:dyDescent="0.2">
      <c r="A2975" t="s">
        <v>4089</v>
      </c>
      <c r="B2975" t="s">
        <v>2360</v>
      </c>
      <c r="C2975" s="9">
        <v>45002</v>
      </c>
      <c r="D2975" t="s">
        <v>946</v>
      </c>
      <c r="E2975" s="13">
        <v>1650000</v>
      </c>
      <c r="F2975" s="13">
        <v>5550</v>
      </c>
      <c r="G2975" s="9">
        <v>45003</v>
      </c>
      <c r="H2975" t="s">
        <v>1111</v>
      </c>
      <c r="I2975" t="s">
        <v>2382</v>
      </c>
      <c r="J2975" s="13">
        <v>27472</v>
      </c>
      <c r="K2975">
        <v>1</v>
      </c>
      <c r="L2975" t="s">
        <v>1064</v>
      </c>
      <c r="M2975" t="s">
        <v>2383</v>
      </c>
      <c r="N2975" s="15" t="s">
        <v>6878</v>
      </c>
    </row>
    <row r="2976" spans="1:14" x14ac:dyDescent="0.2">
      <c r="A2976" t="s">
        <v>4090</v>
      </c>
      <c r="B2976" t="s">
        <v>2360</v>
      </c>
      <c r="C2976" s="9">
        <v>45002</v>
      </c>
      <c r="D2976" t="s">
        <v>946</v>
      </c>
      <c r="E2976" s="13">
        <v>1694000</v>
      </c>
      <c r="F2976" s="13">
        <v>5550</v>
      </c>
      <c r="G2976" s="9">
        <v>45003</v>
      </c>
      <c r="H2976" t="s">
        <v>1111</v>
      </c>
      <c r="I2976" t="s">
        <v>2382</v>
      </c>
      <c r="J2976" s="13">
        <v>28205</v>
      </c>
      <c r="K2976">
        <v>1</v>
      </c>
      <c r="L2976" t="s">
        <v>1064</v>
      </c>
      <c r="M2976" t="s">
        <v>2383</v>
      </c>
      <c r="N2976" s="15" t="s">
        <v>6878</v>
      </c>
    </row>
    <row r="2977" spans="1:14" x14ac:dyDescent="0.2">
      <c r="A2977" t="s">
        <v>4091</v>
      </c>
      <c r="B2977" t="s">
        <v>2360</v>
      </c>
      <c r="C2977" s="9">
        <v>45002</v>
      </c>
      <c r="D2977" t="s">
        <v>946</v>
      </c>
      <c r="E2977" s="13">
        <v>4620000</v>
      </c>
      <c r="F2977" s="13">
        <v>5550</v>
      </c>
      <c r="G2977" s="9">
        <v>45003</v>
      </c>
      <c r="H2977" t="s">
        <v>1111</v>
      </c>
      <c r="I2977" t="s">
        <v>2382</v>
      </c>
      <c r="J2977" s="13">
        <v>76923</v>
      </c>
      <c r="K2977">
        <v>1</v>
      </c>
      <c r="L2977" t="s">
        <v>1064</v>
      </c>
      <c r="M2977" t="s">
        <v>2383</v>
      </c>
      <c r="N2977" s="15" t="s">
        <v>6878</v>
      </c>
    </row>
    <row r="2978" spans="1:14" x14ac:dyDescent="0.2">
      <c r="A2978" t="s">
        <v>4092</v>
      </c>
      <c r="B2978" t="s">
        <v>2360</v>
      </c>
      <c r="C2978" s="9">
        <v>45002</v>
      </c>
      <c r="D2978" t="s">
        <v>946</v>
      </c>
      <c r="E2978" s="13">
        <v>13225000</v>
      </c>
      <c r="F2978" s="13">
        <v>5550</v>
      </c>
      <c r="G2978" s="9">
        <v>45003</v>
      </c>
      <c r="H2978" t="s">
        <v>1111</v>
      </c>
      <c r="I2978" t="s">
        <v>2382</v>
      </c>
      <c r="J2978" s="13">
        <v>220196</v>
      </c>
      <c r="K2978">
        <v>1</v>
      </c>
      <c r="L2978" t="s">
        <v>1064</v>
      </c>
      <c r="M2978" t="s">
        <v>2383</v>
      </c>
      <c r="N2978" s="15" t="s">
        <v>6878</v>
      </c>
    </row>
    <row r="2979" spans="1:14" x14ac:dyDescent="0.2">
      <c r="A2979" t="s">
        <v>4093</v>
      </c>
      <c r="B2979" t="s">
        <v>2360</v>
      </c>
      <c r="C2979" s="9">
        <v>45002</v>
      </c>
      <c r="D2979" t="s">
        <v>946</v>
      </c>
      <c r="E2979" s="13">
        <v>770000</v>
      </c>
      <c r="F2979" s="13">
        <v>5550</v>
      </c>
      <c r="G2979" s="9">
        <v>45003</v>
      </c>
      <c r="H2979" t="s">
        <v>1111</v>
      </c>
      <c r="I2979" t="s">
        <v>2382</v>
      </c>
      <c r="J2979" s="13">
        <v>12820</v>
      </c>
      <c r="K2979">
        <v>1</v>
      </c>
      <c r="L2979" t="s">
        <v>1064</v>
      </c>
      <c r="M2979" t="s">
        <v>2383</v>
      </c>
      <c r="N2979" s="15" t="s">
        <v>6878</v>
      </c>
    </row>
    <row r="2980" spans="1:14" x14ac:dyDescent="0.2">
      <c r="A2980" t="s">
        <v>4094</v>
      </c>
      <c r="B2980" t="s">
        <v>2360</v>
      </c>
      <c r="C2980" s="9">
        <v>45002</v>
      </c>
      <c r="D2980" t="s">
        <v>946</v>
      </c>
      <c r="E2980" s="13">
        <v>1650000</v>
      </c>
      <c r="F2980" s="13">
        <v>5550</v>
      </c>
      <c r="G2980" s="9">
        <v>45003</v>
      </c>
      <c r="H2980" t="s">
        <v>1111</v>
      </c>
      <c r="I2980" t="s">
        <v>2382</v>
      </c>
      <c r="J2980" s="13">
        <v>27472</v>
      </c>
      <c r="K2980">
        <v>1</v>
      </c>
      <c r="L2980" t="s">
        <v>1064</v>
      </c>
      <c r="M2980" t="s">
        <v>2383</v>
      </c>
      <c r="N2980" s="15" t="s">
        <v>6878</v>
      </c>
    </row>
    <row r="2981" spans="1:14" x14ac:dyDescent="0.2">
      <c r="A2981" t="s">
        <v>4095</v>
      </c>
      <c r="B2981" t="s">
        <v>2360</v>
      </c>
      <c r="C2981" s="9">
        <v>45002</v>
      </c>
      <c r="D2981" t="s">
        <v>946</v>
      </c>
      <c r="E2981" s="13">
        <v>1650000</v>
      </c>
      <c r="F2981" s="13">
        <v>5550</v>
      </c>
      <c r="G2981" s="9">
        <v>45003</v>
      </c>
      <c r="H2981" t="s">
        <v>1111</v>
      </c>
      <c r="I2981" t="s">
        <v>2382</v>
      </c>
      <c r="J2981" s="13">
        <v>27472</v>
      </c>
      <c r="K2981">
        <v>1</v>
      </c>
      <c r="L2981" t="s">
        <v>1064</v>
      </c>
      <c r="M2981" t="s">
        <v>2383</v>
      </c>
      <c r="N2981" s="15" t="s">
        <v>6878</v>
      </c>
    </row>
    <row r="2982" spans="1:14" x14ac:dyDescent="0.2">
      <c r="A2982" t="s">
        <v>4096</v>
      </c>
      <c r="B2982" t="s">
        <v>2360</v>
      </c>
      <c r="C2982" s="9">
        <v>45002</v>
      </c>
      <c r="D2982" t="s">
        <v>946</v>
      </c>
      <c r="E2982" s="13">
        <v>6600000</v>
      </c>
      <c r="F2982" s="13">
        <v>5550</v>
      </c>
      <c r="G2982" s="9">
        <v>45003</v>
      </c>
      <c r="H2982" t="s">
        <v>1111</v>
      </c>
      <c r="I2982" t="s">
        <v>2382</v>
      </c>
      <c r="J2982" s="13">
        <v>109890</v>
      </c>
      <c r="K2982">
        <v>1</v>
      </c>
      <c r="L2982" t="s">
        <v>1064</v>
      </c>
      <c r="M2982" t="s">
        <v>2383</v>
      </c>
      <c r="N2982" s="15" t="s">
        <v>6878</v>
      </c>
    </row>
    <row r="2983" spans="1:14" x14ac:dyDescent="0.2">
      <c r="A2983" t="s">
        <v>4097</v>
      </c>
      <c r="B2983" t="s">
        <v>2360</v>
      </c>
      <c r="C2983" s="9">
        <v>45002</v>
      </c>
      <c r="D2983" t="s">
        <v>946</v>
      </c>
      <c r="E2983" s="13">
        <v>3080000</v>
      </c>
      <c r="F2983" s="13">
        <v>5550</v>
      </c>
      <c r="G2983" s="9">
        <v>45003</v>
      </c>
      <c r="H2983" t="s">
        <v>1111</v>
      </c>
      <c r="I2983" t="s">
        <v>2382</v>
      </c>
      <c r="J2983" s="13">
        <v>51282</v>
      </c>
      <c r="K2983">
        <v>1</v>
      </c>
      <c r="L2983" t="s">
        <v>1064</v>
      </c>
      <c r="M2983" t="s">
        <v>2383</v>
      </c>
      <c r="N2983" s="15" t="s">
        <v>6878</v>
      </c>
    </row>
    <row r="2984" spans="1:14" x14ac:dyDescent="0.2">
      <c r="A2984" t="s">
        <v>4098</v>
      </c>
      <c r="B2984" t="s">
        <v>2360</v>
      </c>
      <c r="C2984" s="9">
        <v>45002</v>
      </c>
      <c r="D2984" t="s">
        <v>946</v>
      </c>
      <c r="E2984" s="13">
        <v>4180000</v>
      </c>
      <c r="F2984" s="13">
        <v>5550</v>
      </c>
      <c r="G2984" s="9">
        <v>45003</v>
      </c>
      <c r="H2984" t="s">
        <v>1111</v>
      </c>
      <c r="I2984" t="s">
        <v>2382</v>
      </c>
      <c r="J2984" s="13">
        <v>69597</v>
      </c>
      <c r="K2984">
        <v>1</v>
      </c>
      <c r="L2984" t="s">
        <v>1064</v>
      </c>
      <c r="M2984" t="s">
        <v>2383</v>
      </c>
      <c r="N2984" s="15" t="s">
        <v>6878</v>
      </c>
    </row>
    <row r="2985" spans="1:14" x14ac:dyDescent="0.2">
      <c r="A2985" t="s">
        <v>4099</v>
      </c>
      <c r="B2985" t="s">
        <v>2360</v>
      </c>
      <c r="C2985" s="9">
        <v>45002</v>
      </c>
      <c r="D2985" t="s">
        <v>946</v>
      </c>
      <c r="E2985" s="13">
        <v>4180000</v>
      </c>
      <c r="F2985" s="13">
        <v>5550</v>
      </c>
      <c r="G2985" s="9">
        <v>45003</v>
      </c>
      <c r="H2985" t="s">
        <v>1111</v>
      </c>
      <c r="I2985" t="s">
        <v>2382</v>
      </c>
      <c r="J2985" s="13">
        <v>69597</v>
      </c>
      <c r="K2985">
        <v>1</v>
      </c>
      <c r="L2985" t="s">
        <v>1064</v>
      </c>
      <c r="M2985" t="s">
        <v>2383</v>
      </c>
      <c r="N2985" s="15" t="s">
        <v>6878</v>
      </c>
    </row>
    <row r="2986" spans="1:14" x14ac:dyDescent="0.2">
      <c r="A2986" t="s">
        <v>4100</v>
      </c>
      <c r="B2986" t="s">
        <v>2360</v>
      </c>
      <c r="C2986" s="9">
        <v>45002</v>
      </c>
      <c r="D2986" t="s">
        <v>946</v>
      </c>
      <c r="E2986" s="13">
        <v>19550000</v>
      </c>
      <c r="F2986" s="13">
        <v>5550</v>
      </c>
      <c r="G2986" s="9">
        <v>45003</v>
      </c>
      <c r="H2986" t="s">
        <v>1111</v>
      </c>
      <c r="I2986" t="s">
        <v>2382</v>
      </c>
      <c r="J2986" s="13">
        <v>325507</v>
      </c>
      <c r="K2986">
        <v>1</v>
      </c>
      <c r="L2986" t="s">
        <v>1064</v>
      </c>
      <c r="M2986" t="s">
        <v>2383</v>
      </c>
      <c r="N2986" s="15" t="s">
        <v>6878</v>
      </c>
    </row>
    <row r="2987" spans="1:14" x14ac:dyDescent="0.2">
      <c r="A2987" t="s">
        <v>4101</v>
      </c>
      <c r="B2987" t="s">
        <v>2360</v>
      </c>
      <c r="C2987" s="9">
        <v>45002</v>
      </c>
      <c r="D2987" t="s">
        <v>946</v>
      </c>
      <c r="E2987" s="13">
        <v>13110000</v>
      </c>
      <c r="F2987" s="13">
        <v>5550</v>
      </c>
      <c r="G2987" s="9">
        <v>45003</v>
      </c>
      <c r="H2987" t="s">
        <v>1111</v>
      </c>
      <c r="I2987" t="s">
        <v>2382</v>
      </c>
      <c r="J2987" s="13">
        <v>218281</v>
      </c>
      <c r="K2987">
        <v>1</v>
      </c>
      <c r="L2987" t="s">
        <v>1064</v>
      </c>
      <c r="M2987" t="s">
        <v>2383</v>
      </c>
      <c r="N2987" s="15" t="s">
        <v>6878</v>
      </c>
    </row>
    <row r="2988" spans="1:14" x14ac:dyDescent="0.2">
      <c r="A2988" t="s">
        <v>4102</v>
      </c>
      <c r="B2988" t="s">
        <v>2360</v>
      </c>
      <c r="C2988" s="9">
        <v>45002</v>
      </c>
      <c r="D2988" t="s">
        <v>946</v>
      </c>
      <c r="E2988" s="13">
        <v>20700000</v>
      </c>
      <c r="F2988" s="13">
        <v>5550</v>
      </c>
      <c r="G2988" s="9">
        <v>45003</v>
      </c>
      <c r="H2988" t="s">
        <v>1111</v>
      </c>
      <c r="I2988" t="s">
        <v>2382</v>
      </c>
      <c r="J2988" s="13">
        <v>344655</v>
      </c>
      <c r="K2988">
        <v>1</v>
      </c>
      <c r="L2988" t="s">
        <v>1064</v>
      </c>
      <c r="M2988" t="s">
        <v>2383</v>
      </c>
      <c r="N2988" s="15" t="s">
        <v>6878</v>
      </c>
    </row>
    <row r="2989" spans="1:14" x14ac:dyDescent="0.2">
      <c r="A2989" t="s">
        <v>4103</v>
      </c>
      <c r="B2989" t="s">
        <v>2360</v>
      </c>
      <c r="C2989" s="9">
        <v>45002</v>
      </c>
      <c r="D2989" t="s">
        <v>946</v>
      </c>
      <c r="E2989" s="13">
        <v>13790000</v>
      </c>
      <c r="F2989" s="13">
        <v>5550</v>
      </c>
      <c r="G2989" s="9">
        <v>45003</v>
      </c>
      <c r="H2989" t="s">
        <v>1111</v>
      </c>
      <c r="I2989" t="s">
        <v>2382</v>
      </c>
      <c r="J2989" s="13">
        <v>229603</v>
      </c>
      <c r="K2989">
        <v>1</v>
      </c>
      <c r="L2989" t="s">
        <v>1064</v>
      </c>
      <c r="M2989" t="s">
        <v>2383</v>
      </c>
      <c r="N2989" s="15" t="s">
        <v>6878</v>
      </c>
    </row>
    <row r="2990" spans="1:14" x14ac:dyDescent="0.2">
      <c r="A2990" t="s">
        <v>4104</v>
      </c>
      <c r="B2990" t="s">
        <v>2360</v>
      </c>
      <c r="C2990" s="9">
        <v>45002</v>
      </c>
      <c r="D2990" t="s">
        <v>946</v>
      </c>
      <c r="E2990" s="13">
        <v>6210000</v>
      </c>
      <c r="F2990" s="13">
        <v>5550</v>
      </c>
      <c r="G2990" s="9">
        <v>45003</v>
      </c>
      <c r="H2990" t="s">
        <v>1111</v>
      </c>
      <c r="I2990" t="s">
        <v>2382</v>
      </c>
      <c r="J2990" s="13">
        <v>103396</v>
      </c>
      <c r="K2990">
        <v>1</v>
      </c>
      <c r="L2990" t="s">
        <v>1064</v>
      </c>
      <c r="M2990" t="s">
        <v>2383</v>
      </c>
      <c r="N2990" s="15" t="s">
        <v>6878</v>
      </c>
    </row>
    <row r="2991" spans="1:14" x14ac:dyDescent="0.2">
      <c r="A2991" t="s">
        <v>4105</v>
      </c>
      <c r="B2991" t="s">
        <v>2360</v>
      </c>
      <c r="C2991" s="9">
        <v>45002</v>
      </c>
      <c r="D2991" t="s">
        <v>946</v>
      </c>
      <c r="E2991" s="13">
        <v>12420000</v>
      </c>
      <c r="F2991" s="13">
        <v>5550</v>
      </c>
      <c r="G2991" s="9">
        <v>45003</v>
      </c>
      <c r="H2991" t="s">
        <v>1111</v>
      </c>
      <c r="I2991" t="s">
        <v>2382</v>
      </c>
      <c r="J2991" s="13">
        <v>206793</v>
      </c>
      <c r="K2991">
        <v>1</v>
      </c>
      <c r="L2991" t="s">
        <v>1064</v>
      </c>
      <c r="M2991" t="s">
        <v>2383</v>
      </c>
      <c r="N2991" s="15" t="s">
        <v>6878</v>
      </c>
    </row>
    <row r="2992" spans="1:14" x14ac:dyDescent="0.2">
      <c r="A2992" t="s">
        <v>4106</v>
      </c>
      <c r="B2992" t="s">
        <v>2360</v>
      </c>
      <c r="C2992" s="9">
        <v>45002</v>
      </c>
      <c r="D2992" t="s">
        <v>946</v>
      </c>
      <c r="E2992" s="13">
        <v>1155000</v>
      </c>
      <c r="F2992" s="13">
        <v>5550</v>
      </c>
      <c r="G2992" s="9">
        <v>45003</v>
      </c>
      <c r="H2992" t="s">
        <v>1111</v>
      </c>
      <c r="I2992" t="s">
        <v>2382</v>
      </c>
      <c r="J2992" s="13">
        <v>19230</v>
      </c>
      <c r="K2992">
        <v>1</v>
      </c>
      <c r="L2992" t="s">
        <v>1064</v>
      </c>
      <c r="M2992" t="s">
        <v>2383</v>
      </c>
      <c r="N2992" s="15" t="s">
        <v>6878</v>
      </c>
    </row>
    <row r="2993" spans="1:14" x14ac:dyDescent="0.2">
      <c r="A2993" t="s">
        <v>4107</v>
      </c>
      <c r="B2993" t="s">
        <v>2360</v>
      </c>
      <c r="C2993" s="9">
        <v>45002</v>
      </c>
      <c r="D2993" t="s">
        <v>946</v>
      </c>
      <c r="E2993" s="13">
        <v>10679795</v>
      </c>
      <c r="F2993" s="13">
        <v>5550</v>
      </c>
      <c r="G2993" s="9">
        <v>45003</v>
      </c>
      <c r="H2993" t="s">
        <v>1111</v>
      </c>
      <c r="I2993" t="s">
        <v>2382</v>
      </c>
      <c r="J2993" s="13">
        <v>177817</v>
      </c>
      <c r="K2993">
        <v>1</v>
      </c>
      <c r="L2993" t="s">
        <v>1064</v>
      </c>
      <c r="M2993" t="s">
        <v>2383</v>
      </c>
      <c r="N2993" s="15" t="s">
        <v>6878</v>
      </c>
    </row>
    <row r="2994" spans="1:14" x14ac:dyDescent="0.2">
      <c r="A2994" t="s">
        <v>4108</v>
      </c>
      <c r="B2994" t="s">
        <v>2360</v>
      </c>
      <c r="C2994" s="9">
        <v>45002</v>
      </c>
      <c r="D2994" t="s">
        <v>946</v>
      </c>
      <c r="E2994" s="13">
        <v>16207596</v>
      </c>
      <c r="F2994" s="13">
        <v>5550</v>
      </c>
      <c r="G2994" s="9">
        <v>45003</v>
      </c>
      <c r="H2994" t="s">
        <v>1111</v>
      </c>
      <c r="I2994" t="s">
        <v>2382</v>
      </c>
      <c r="J2994" s="13">
        <v>269855</v>
      </c>
      <c r="K2994">
        <v>1</v>
      </c>
      <c r="L2994" t="s">
        <v>1064</v>
      </c>
      <c r="M2994" t="s">
        <v>2383</v>
      </c>
      <c r="N2994" s="15" t="s">
        <v>6878</v>
      </c>
    </row>
    <row r="2995" spans="1:14" x14ac:dyDescent="0.2">
      <c r="A2995" t="s">
        <v>4109</v>
      </c>
      <c r="B2995" t="s">
        <v>2360</v>
      </c>
      <c r="C2995" s="9">
        <v>45002</v>
      </c>
      <c r="D2995" t="s">
        <v>946</v>
      </c>
      <c r="E2995" s="13">
        <v>27220400</v>
      </c>
      <c r="F2995" s="13">
        <v>5550</v>
      </c>
      <c r="G2995" s="9">
        <v>45003</v>
      </c>
      <c r="H2995" t="s">
        <v>1111</v>
      </c>
      <c r="I2995" t="s">
        <v>2382</v>
      </c>
      <c r="J2995" s="13">
        <v>453219</v>
      </c>
      <c r="K2995">
        <v>1</v>
      </c>
      <c r="L2995" t="s">
        <v>1064</v>
      </c>
      <c r="M2995" t="s">
        <v>2383</v>
      </c>
      <c r="N2995" s="15" t="s">
        <v>6878</v>
      </c>
    </row>
    <row r="2996" spans="1:14" x14ac:dyDescent="0.2">
      <c r="A2996" t="s">
        <v>4110</v>
      </c>
      <c r="B2996" t="s">
        <v>2360</v>
      </c>
      <c r="C2996" s="9">
        <v>45002</v>
      </c>
      <c r="D2996" t="s">
        <v>946</v>
      </c>
      <c r="E2996" s="13">
        <v>23406868</v>
      </c>
      <c r="F2996" s="13">
        <v>5550</v>
      </c>
      <c r="G2996" s="9">
        <v>45003</v>
      </c>
      <c r="H2996" t="s">
        <v>1111</v>
      </c>
      <c r="I2996" t="s">
        <v>2382</v>
      </c>
      <c r="J2996" s="13">
        <v>389724</v>
      </c>
      <c r="K2996">
        <v>1</v>
      </c>
      <c r="L2996" t="s">
        <v>1064</v>
      </c>
      <c r="M2996" t="s">
        <v>2383</v>
      </c>
      <c r="N2996" s="15" t="s">
        <v>6878</v>
      </c>
    </row>
    <row r="2997" spans="1:14" x14ac:dyDescent="0.2">
      <c r="A2997" t="s">
        <v>4111</v>
      </c>
      <c r="B2997" t="s">
        <v>2360</v>
      </c>
      <c r="C2997" s="9">
        <v>45002</v>
      </c>
      <c r="D2997" t="s">
        <v>946</v>
      </c>
      <c r="E2997" s="13">
        <v>13034340</v>
      </c>
      <c r="F2997" s="13">
        <v>5550</v>
      </c>
      <c r="G2997" s="9">
        <v>45003</v>
      </c>
      <c r="H2997" t="s">
        <v>1111</v>
      </c>
      <c r="I2997" t="s">
        <v>2382</v>
      </c>
      <c r="J2997" s="13">
        <v>217021</v>
      </c>
      <c r="K2997">
        <v>1</v>
      </c>
      <c r="L2997" t="s">
        <v>1064</v>
      </c>
      <c r="M2997" t="s">
        <v>2383</v>
      </c>
      <c r="N2997" s="15" t="s">
        <v>6878</v>
      </c>
    </row>
    <row r="2998" spans="1:14" x14ac:dyDescent="0.2">
      <c r="A2998" t="s">
        <v>4112</v>
      </c>
      <c r="B2998" t="s">
        <v>2360</v>
      </c>
      <c r="C2998" s="9">
        <v>45002</v>
      </c>
      <c r="D2998" t="s">
        <v>946</v>
      </c>
      <c r="E2998" s="13">
        <v>6244246</v>
      </c>
      <c r="F2998" s="13">
        <v>5550</v>
      </c>
      <c r="G2998" s="9">
        <v>45003</v>
      </c>
      <c r="H2998" t="s">
        <v>1111</v>
      </c>
      <c r="I2998" t="s">
        <v>2382</v>
      </c>
      <c r="J2998" s="13">
        <v>103965</v>
      </c>
      <c r="K2998">
        <v>1</v>
      </c>
      <c r="L2998" t="s">
        <v>1064</v>
      </c>
      <c r="M2998" t="s">
        <v>2383</v>
      </c>
      <c r="N2998" s="15" t="s">
        <v>6878</v>
      </c>
    </row>
    <row r="2999" spans="1:14" x14ac:dyDescent="0.2">
      <c r="A2999" t="s">
        <v>4113</v>
      </c>
      <c r="B2999" t="s">
        <v>2360</v>
      </c>
      <c r="C2999" s="9">
        <v>45002</v>
      </c>
      <c r="D2999" t="s">
        <v>946</v>
      </c>
      <c r="E2999" s="13">
        <v>8026208</v>
      </c>
      <c r="F2999" s="13">
        <v>5550</v>
      </c>
      <c r="G2999" s="9">
        <v>45003</v>
      </c>
      <c r="H2999" t="s">
        <v>1111</v>
      </c>
      <c r="I2999" t="s">
        <v>2382</v>
      </c>
      <c r="J2999" s="13">
        <v>133636</v>
      </c>
      <c r="K2999">
        <v>1</v>
      </c>
      <c r="L2999" t="s">
        <v>1064</v>
      </c>
      <c r="M2999" t="s">
        <v>2383</v>
      </c>
      <c r="N2999" s="15" t="s">
        <v>6878</v>
      </c>
    </row>
    <row r="3000" spans="1:14" x14ac:dyDescent="0.2">
      <c r="A3000" t="s">
        <v>4114</v>
      </c>
      <c r="B3000" t="s">
        <v>2360</v>
      </c>
      <c r="C3000" s="9">
        <v>45002</v>
      </c>
      <c r="D3000" t="s">
        <v>946</v>
      </c>
      <c r="E3000" s="13">
        <v>10956000</v>
      </c>
      <c r="F3000" s="13">
        <v>5550</v>
      </c>
      <c r="G3000" s="9">
        <v>45003</v>
      </c>
      <c r="H3000" t="s">
        <v>1111</v>
      </c>
      <c r="I3000" t="s">
        <v>2382</v>
      </c>
      <c r="J3000" s="13">
        <v>182417</v>
      </c>
      <c r="K3000">
        <v>1</v>
      </c>
      <c r="L3000" t="s">
        <v>1064</v>
      </c>
      <c r="M3000" t="s">
        <v>2383</v>
      </c>
      <c r="N3000" s="15" t="s">
        <v>6878</v>
      </c>
    </row>
    <row r="3001" spans="1:14" x14ac:dyDescent="0.2">
      <c r="A3001" t="s">
        <v>4115</v>
      </c>
      <c r="B3001" t="s">
        <v>2360</v>
      </c>
      <c r="C3001" s="9">
        <v>45002</v>
      </c>
      <c r="D3001" t="s">
        <v>946</v>
      </c>
      <c r="E3001" s="13">
        <v>10810800</v>
      </c>
      <c r="F3001" s="13">
        <v>5550</v>
      </c>
      <c r="G3001" s="9">
        <v>45003</v>
      </c>
      <c r="H3001" t="s">
        <v>1111</v>
      </c>
      <c r="I3001" t="s">
        <v>2382</v>
      </c>
      <c r="J3001" s="13">
        <v>179999</v>
      </c>
      <c r="K3001">
        <v>1</v>
      </c>
      <c r="L3001" t="s">
        <v>1064</v>
      </c>
      <c r="M3001" t="s">
        <v>2383</v>
      </c>
      <c r="N3001" s="15" t="s">
        <v>6878</v>
      </c>
    </row>
    <row r="3002" spans="1:14" x14ac:dyDescent="0.2">
      <c r="A3002" t="s">
        <v>4116</v>
      </c>
      <c r="B3002" t="s">
        <v>2360</v>
      </c>
      <c r="C3002" s="9">
        <v>45002</v>
      </c>
      <c r="D3002" t="s">
        <v>946</v>
      </c>
      <c r="E3002" s="13">
        <v>25571400</v>
      </c>
      <c r="F3002" s="13">
        <v>5550</v>
      </c>
      <c r="G3002" s="9">
        <v>45003</v>
      </c>
      <c r="H3002" t="s">
        <v>1111</v>
      </c>
      <c r="I3002" t="s">
        <v>2382</v>
      </c>
      <c r="J3002" s="13">
        <v>425763</v>
      </c>
      <c r="K3002">
        <v>1</v>
      </c>
      <c r="L3002" t="s">
        <v>1064</v>
      </c>
      <c r="M3002" t="s">
        <v>2383</v>
      </c>
      <c r="N3002" s="15" t="s">
        <v>6878</v>
      </c>
    </row>
    <row r="3003" spans="1:14" x14ac:dyDescent="0.2">
      <c r="A3003" t="s">
        <v>4117</v>
      </c>
      <c r="B3003" t="s">
        <v>2360</v>
      </c>
      <c r="C3003" s="9">
        <v>45002</v>
      </c>
      <c r="D3003" t="s">
        <v>946</v>
      </c>
      <c r="E3003" s="13">
        <v>485915</v>
      </c>
      <c r="F3003" s="13">
        <v>5550</v>
      </c>
      <c r="G3003" s="9">
        <v>45003</v>
      </c>
      <c r="H3003" t="s">
        <v>1111</v>
      </c>
      <c r="I3003" t="s">
        <v>2382</v>
      </c>
      <c r="J3003" s="13">
        <v>8089</v>
      </c>
      <c r="K3003">
        <v>1</v>
      </c>
      <c r="L3003" t="s">
        <v>1064</v>
      </c>
      <c r="M3003" t="s">
        <v>2383</v>
      </c>
      <c r="N3003" s="15" t="s">
        <v>6878</v>
      </c>
    </row>
    <row r="3004" spans="1:14" x14ac:dyDescent="0.2">
      <c r="A3004" t="s">
        <v>4118</v>
      </c>
      <c r="B3004" t="s">
        <v>2360</v>
      </c>
      <c r="C3004" s="9">
        <v>45002</v>
      </c>
      <c r="D3004" t="s">
        <v>946</v>
      </c>
      <c r="E3004" s="13">
        <v>11597520</v>
      </c>
      <c r="F3004" s="13">
        <v>5550</v>
      </c>
      <c r="G3004" s="9">
        <v>45003</v>
      </c>
      <c r="H3004" t="s">
        <v>1111</v>
      </c>
      <c r="I3004" t="s">
        <v>2382</v>
      </c>
      <c r="J3004" s="13">
        <v>193097</v>
      </c>
      <c r="K3004">
        <v>1</v>
      </c>
      <c r="L3004" t="s">
        <v>1064</v>
      </c>
      <c r="M3004" t="s">
        <v>2383</v>
      </c>
      <c r="N3004" s="15" t="s">
        <v>6878</v>
      </c>
    </row>
    <row r="3005" spans="1:14" x14ac:dyDescent="0.2">
      <c r="A3005" t="s">
        <v>4119</v>
      </c>
      <c r="B3005" t="s">
        <v>2360</v>
      </c>
      <c r="C3005" s="9">
        <v>45003</v>
      </c>
      <c r="D3005" t="s">
        <v>964</v>
      </c>
      <c r="E3005" s="13">
        <v>3700000</v>
      </c>
      <c r="F3005" s="13">
        <v>27750</v>
      </c>
      <c r="G3005" s="9">
        <v>45006</v>
      </c>
      <c r="H3005" t="s">
        <v>1111</v>
      </c>
      <c r="I3005" t="s">
        <v>2520</v>
      </c>
      <c r="J3005" s="13">
        <v>102675</v>
      </c>
      <c r="K3005">
        <v>1</v>
      </c>
      <c r="L3005" t="s">
        <v>1064</v>
      </c>
      <c r="M3005" t="s">
        <v>2521</v>
      </c>
      <c r="N3005" s="15" t="s">
        <v>6878</v>
      </c>
    </row>
    <row r="3006" spans="1:14" x14ac:dyDescent="0.2">
      <c r="A3006" t="s">
        <v>4120</v>
      </c>
      <c r="B3006" t="s">
        <v>2360</v>
      </c>
      <c r="C3006" s="9">
        <v>45003</v>
      </c>
      <c r="D3006" t="s">
        <v>964</v>
      </c>
      <c r="E3006" s="13">
        <v>10500000</v>
      </c>
      <c r="F3006" s="13">
        <v>27750</v>
      </c>
      <c r="G3006" s="9">
        <v>45009</v>
      </c>
      <c r="H3006" t="s">
        <v>1111</v>
      </c>
      <c r="I3006" t="s">
        <v>2520</v>
      </c>
      <c r="J3006" s="13">
        <v>291375</v>
      </c>
      <c r="K3006">
        <v>1</v>
      </c>
      <c r="L3006" t="s">
        <v>1064</v>
      </c>
      <c r="M3006" t="s">
        <v>2521</v>
      </c>
      <c r="N3006" s="15" t="s">
        <v>6878</v>
      </c>
    </row>
    <row r="3007" spans="1:14" x14ac:dyDescent="0.2">
      <c r="A3007" t="s">
        <v>4121</v>
      </c>
      <c r="B3007" t="s">
        <v>2360</v>
      </c>
      <c r="C3007" s="9">
        <v>45003</v>
      </c>
      <c r="D3007" t="s">
        <v>964</v>
      </c>
      <c r="E3007" s="13">
        <v>10500000</v>
      </c>
      <c r="F3007" s="13">
        <v>27750</v>
      </c>
      <c r="G3007" s="9">
        <v>45009</v>
      </c>
      <c r="H3007" t="s">
        <v>1111</v>
      </c>
      <c r="I3007" t="s">
        <v>2520</v>
      </c>
      <c r="J3007" s="13">
        <v>291375</v>
      </c>
      <c r="K3007">
        <v>1</v>
      </c>
      <c r="L3007" t="s">
        <v>1064</v>
      </c>
      <c r="M3007" t="s">
        <v>2521</v>
      </c>
      <c r="N3007" s="15" t="s">
        <v>6878</v>
      </c>
    </row>
    <row r="3008" spans="1:14" x14ac:dyDescent="0.2">
      <c r="A3008" t="s">
        <v>4122</v>
      </c>
      <c r="B3008" t="s">
        <v>2360</v>
      </c>
      <c r="C3008" s="9">
        <v>45003</v>
      </c>
      <c r="D3008" t="s">
        <v>946</v>
      </c>
      <c r="E3008" s="13">
        <v>19349966</v>
      </c>
      <c r="F3008" s="13">
        <v>5550</v>
      </c>
      <c r="G3008" s="9">
        <v>45003</v>
      </c>
      <c r="H3008" t="s">
        <v>1111</v>
      </c>
      <c r="I3008" t="s">
        <v>2382</v>
      </c>
      <c r="J3008" s="13">
        <v>322176</v>
      </c>
      <c r="K3008">
        <v>1</v>
      </c>
      <c r="L3008" t="s">
        <v>1064</v>
      </c>
      <c r="M3008" t="s">
        <v>2383</v>
      </c>
      <c r="N3008" s="15" t="s">
        <v>6878</v>
      </c>
    </row>
    <row r="3009" spans="1:14" x14ac:dyDescent="0.2">
      <c r="A3009" t="s">
        <v>4123</v>
      </c>
      <c r="B3009" t="s">
        <v>2360</v>
      </c>
      <c r="C3009" s="9">
        <v>45003</v>
      </c>
      <c r="D3009" t="s">
        <v>946</v>
      </c>
      <c r="E3009" s="13">
        <v>19368531</v>
      </c>
      <c r="F3009" s="13">
        <v>5550</v>
      </c>
      <c r="G3009" s="9">
        <v>45003</v>
      </c>
      <c r="H3009" t="s">
        <v>1111</v>
      </c>
      <c r="I3009" t="s">
        <v>2382</v>
      </c>
      <c r="J3009" s="13">
        <v>322484</v>
      </c>
      <c r="K3009">
        <v>1</v>
      </c>
      <c r="L3009" t="s">
        <v>1064</v>
      </c>
      <c r="M3009" t="s">
        <v>2383</v>
      </c>
      <c r="N3009" s="15" t="s">
        <v>6878</v>
      </c>
    </row>
    <row r="3010" spans="1:14" x14ac:dyDescent="0.2">
      <c r="A3010" t="s">
        <v>4124</v>
      </c>
      <c r="B3010" t="s">
        <v>2360</v>
      </c>
      <c r="C3010" s="9">
        <v>45003</v>
      </c>
      <c r="D3010" t="s">
        <v>946</v>
      </c>
      <c r="E3010" s="13">
        <v>12650000</v>
      </c>
      <c r="F3010" s="13">
        <v>5550</v>
      </c>
      <c r="G3010" s="9">
        <v>45003</v>
      </c>
      <c r="H3010" t="s">
        <v>1111</v>
      </c>
      <c r="I3010" t="s">
        <v>2382</v>
      </c>
      <c r="J3010" s="13">
        <v>210622</v>
      </c>
      <c r="K3010">
        <v>1</v>
      </c>
      <c r="L3010" t="s">
        <v>1064</v>
      </c>
      <c r="M3010" t="s">
        <v>2383</v>
      </c>
      <c r="N3010" s="15" t="s">
        <v>6878</v>
      </c>
    </row>
    <row r="3011" spans="1:14" x14ac:dyDescent="0.2">
      <c r="A3011" t="s">
        <v>4125</v>
      </c>
      <c r="B3011" t="s">
        <v>2360</v>
      </c>
      <c r="C3011" s="9">
        <v>45003</v>
      </c>
      <c r="D3011" t="s">
        <v>946</v>
      </c>
      <c r="E3011" s="13">
        <v>12650000</v>
      </c>
      <c r="F3011" s="13">
        <v>5550</v>
      </c>
      <c r="G3011" s="9">
        <v>45003</v>
      </c>
      <c r="H3011" t="s">
        <v>1111</v>
      </c>
      <c r="I3011" t="s">
        <v>2382</v>
      </c>
      <c r="J3011" s="13">
        <v>210622</v>
      </c>
      <c r="K3011">
        <v>1</v>
      </c>
      <c r="L3011" t="s">
        <v>1064</v>
      </c>
      <c r="M3011" t="s">
        <v>2383</v>
      </c>
      <c r="N3011" s="15" t="s">
        <v>6878</v>
      </c>
    </row>
    <row r="3012" spans="1:14" x14ac:dyDescent="0.2">
      <c r="A3012" t="s">
        <v>4126</v>
      </c>
      <c r="B3012" t="s">
        <v>2360</v>
      </c>
      <c r="C3012" s="9">
        <v>45003</v>
      </c>
      <c r="D3012" t="s">
        <v>946</v>
      </c>
      <c r="E3012" s="13">
        <v>12650000</v>
      </c>
      <c r="F3012" s="13">
        <v>5550</v>
      </c>
      <c r="G3012" s="9">
        <v>45003</v>
      </c>
      <c r="H3012" t="s">
        <v>1111</v>
      </c>
      <c r="I3012" t="s">
        <v>2382</v>
      </c>
      <c r="J3012" s="13">
        <v>210622</v>
      </c>
      <c r="K3012">
        <v>1</v>
      </c>
      <c r="L3012" t="s">
        <v>1064</v>
      </c>
      <c r="M3012" t="s">
        <v>2383</v>
      </c>
      <c r="N3012" s="15" t="s">
        <v>6878</v>
      </c>
    </row>
    <row r="3013" spans="1:14" x14ac:dyDescent="0.2">
      <c r="A3013" t="s">
        <v>4127</v>
      </c>
      <c r="B3013" t="s">
        <v>2360</v>
      </c>
      <c r="C3013" s="9">
        <v>45003</v>
      </c>
      <c r="D3013" t="s">
        <v>946</v>
      </c>
      <c r="E3013" s="13">
        <v>24007500</v>
      </c>
      <c r="F3013" s="13">
        <v>5550</v>
      </c>
      <c r="G3013" s="9">
        <v>45003</v>
      </c>
      <c r="H3013" t="s">
        <v>1111</v>
      </c>
      <c r="I3013" t="s">
        <v>2382</v>
      </c>
      <c r="J3013" s="13">
        <v>399724</v>
      </c>
      <c r="K3013">
        <v>1</v>
      </c>
      <c r="L3013" t="s">
        <v>1064</v>
      </c>
      <c r="M3013" t="s">
        <v>2383</v>
      </c>
      <c r="N3013" s="15" t="s">
        <v>6878</v>
      </c>
    </row>
    <row r="3014" spans="1:14" x14ac:dyDescent="0.2">
      <c r="A3014" t="s">
        <v>4128</v>
      </c>
      <c r="B3014" t="s">
        <v>2360</v>
      </c>
      <c r="C3014" s="9">
        <v>45003</v>
      </c>
      <c r="D3014" t="s">
        <v>946</v>
      </c>
      <c r="E3014" s="13">
        <v>12720000</v>
      </c>
      <c r="F3014" s="13">
        <v>5550</v>
      </c>
      <c r="G3014" s="9">
        <v>45003</v>
      </c>
      <c r="H3014" t="s">
        <v>1111</v>
      </c>
      <c r="I3014" t="s">
        <v>2382</v>
      </c>
      <c r="J3014" s="13">
        <v>211788</v>
      </c>
      <c r="K3014">
        <v>1</v>
      </c>
      <c r="L3014" t="s">
        <v>1064</v>
      </c>
      <c r="M3014" t="s">
        <v>2383</v>
      </c>
      <c r="N3014" s="15" t="s">
        <v>6878</v>
      </c>
    </row>
    <row r="3015" spans="1:14" x14ac:dyDescent="0.2">
      <c r="A3015" t="s">
        <v>4129</v>
      </c>
      <c r="B3015" t="s">
        <v>2360</v>
      </c>
      <c r="C3015" s="9">
        <v>45003</v>
      </c>
      <c r="D3015" t="s">
        <v>946</v>
      </c>
      <c r="E3015" s="13">
        <v>10844121</v>
      </c>
      <c r="F3015" s="13">
        <v>5550</v>
      </c>
      <c r="G3015" s="9">
        <v>45003</v>
      </c>
      <c r="H3015" t="s">
        <v>1111</v>
      </c>
      <c r="I3015" t="s">
        <v>2382</v>
      </c>
      <c r="J3015" s="13">
        <v>180553</v>
      </c>
      <c r="K3015">
        <v>1</v>
      </c>
      <c r="L3015" t="s">
        <v>1064</v>
      </c>
      <c r="M3015" t="s">
        <v>2383</v>
      </c>
      <c r="N3015" s="15" t="s">
        <v>6878</v>
      </c>
    </row>
    <row r="3016" spans="1:14" x14ac:dyDescent="0.2">
      <c r="A3016" t="s">
        <v>4130</v>
      </c>
      <c r="B3016" t="s">
        <v>2360</v>
      </c>
      <c r="C3016" s="9">
        <v>45003</v>
      </c>
      <c r="D3016" t="s">
        <v>946</v>
      </c>
      <c r="E3016" s="13">
        <v>4830000</v>
      </c>
      <c r="F3016" s="13">
        <v>5550</v>
      </c>
      <c r="G3016" s="9">
        <v>45003</v>
      </c>
      <c r="H3016" t="s">
        <v>1111</v>
      </c>
      <c r="I3016" t="s">
        <v>2382</v>
      </c>
      <c r="J3016" s="13">
        <v>80419</v>
      </c>
      <c r="K3016">
        <v>1</v>
      </c>
      <c r="L3016" t="s">
        <v>1064</v>
      </c>
      <c r="M3016" t="s">
        <v>2383</v>
      </c>
      <c r="N3016" s="15" t="s">
        <v>6878</v>
      </c>
    </row>
    <row r="3017" spans="1:14" x14ac:dyDescent="0.2">
      <c r="A3017" t="s">
        <v>4131</v>
      </c>
      <c r="B3017" t="s">
        <v>2360</v>
      </c>
      <c r="C3017" s="9">
        <v>45003</v>
      </c>
      <c r="D3017" t="s">
        <v>946</v>
      </c>
      <c r="E3017" s="13">
        <v>950000</v>
      </c>
      <c r="F3017" s="13">
        <v>5550</v>
      </c>
      <c r="G3017" s="9">
        <v>45003</v>
      </c>
      <c r="H3017" t="s">
        <v>1111</v>
      </c>
      <c r="I3017" t="s">
        <v>2382</v>
      </c>
      <c r="J3017" s="13">
        <v>15817</v>
      </c>
      <c r="K3017">
        <v>1</v>
      </c>
      <c r="L3017" t="s">
        <v>1064</v>
      </c>
      <c r="M3017" t="s">
        <v>2383</v>
      </c>
      <c r="N3017" s="15" t="s">
        <v>6878</v>
      </c>
    </row>
    <row r="3018" spans="1:14" x14ac:dyDescent="0.2">
      <c r="A3018" t="s">
        <v>4132</v>
      </c>
      <c r="B3018" t="s">
        <v>2360</v>
      </c>
      <c r="C3018" s="9">
        <v>45003</v>
      </c>
      <c r="D3018" t="s">
        <v>946</v>
      </c>
      <c r="E3018" s="13">
        <v>12720000</v>
      </c>
      <c r="F3018" s="13">
        <v>5550</v>
      </c>
      <c r="G3018" s="9">
        <v>45003</v>
      </c>
      <c r="H3018" t="s">
        <v>1111</v>
      </c>
      <c r="I3018" t="s">
        <v>2382</v>
      </c>
      <c r="J3018" s="13">
        <v>211788</v>
      </c>
      <c r="K3018">
        <v>1</v>
      </c>
      <c r="L3018" t="s">
        <v>1064</v>
      </c>
      <c r="M3018" t="s">
        <v>2383</v>
      </c>
      <c r="N3018" s="15" t="s">
        <v>6878</v>
      </c>
    </row>
    <row r="3019" spans="1:14" x14ac:dyDescent="0.2">
      <c r="A3019" t="s">
        <v>4133</v>
      </c>
      <c r="B3019" t="s">
        <v>2360</v>
      </c>
      <c r="C3019" s="9">
        <v>45003</v>
      </c>
      <c r="D3019" t="s">
        <v>946</v>
      </c>
      <c r="E3019" s="13">
        <v>950000</v>
      </c>
      <c r="F3019" s="13">
        <v>5550</v>
      </c>
      <c r="G3019" s="9">
        <v>45003</v>
      </c>
      <c r="H3019" t="s">
        <v>1111</v>
      </c>
      <c r="I3019" t="s">
        <v>2382</v>
      </c>
      <c r="J3019" s="13">
        <v>15817</v>
      </c>
      <c r="K3019">
        <v>1</v>
      </c>
      <c r="L3019" t="s">
        <v>1064</v>
      </c>
      <c r="M3019" t="s">
        <v>2383</v>
      </c>
      <c r="N3019" s="15" t="s">
        <v>6878</v>
      </c>
    </row>
    <row r="3020" spans="1:14" x14ac:dyDescent="0.2">
      <c r="A3020" t="s">
        <v>4134</v>
      </c>
      <c r="B3020" t="s">
        <v>2360</v>
      </c>
      <c r="C3020" s="9">
        <v>45003</v>
      </c>
      <c r="D3020" t="s">
        <v>946</v>
      </c>
      <c r="E3020" s="13">
        <v>38015000</v>
      </c>
      <c r="F3020" s="13">
        <v>5550</v>
      </c>
      <c r="G3020" s="9">
        <v>45003</v>
      </c>
      <c r="H3020" t="s">
        <v>1111</v>
      </c>
      <c r="I3020" t="s">
        <v>2382</v>
      </c>
      <c r="J3020" s="13">
        <v>632949</v>
      </c>
      <c r="K3020">
        <v>1</v>
      </c>
      <c r="L3020" t="s">
        <v>1064</v>
      </c>
      <c r="M3020" t="s">
        <v>2383</v>
      </c>
      <c r="N3020" s="15" t="s">
        <v>6878</v>
      </c>
    </row>
    <row r="3021" spans="1:14" x14ac:dyDescent="0.2">
      <c r="A3021" t="s">
        <v>4135</v>
      </c>
      <c r="B3021" t="s">
        <v>2360</v>
      </c>
      <c r="C3021" s="9">
        <v>45003</v>
      </c>
      <c r="D3021" t="s">
        <v>946</v>
      </c>
      <c r="E3021" s="13">
        <v>17400000</v>
      </c>
      <c r="F3021" s="13">
        <v>5550</v>
      </c>
      <c r="G3021" s="9">
        <v>45003</v>
      </c>
      <c r="H3021" t="s">
        <v>1111</v>
      </c>
      <c r="I3021" t="s">
        <v>2382</v>
      </c>
      <c r="J3021" s="13">
        <v>289710</v>
      </c>
      <c r="K3021">
        <v>1</v>
      </c>
      <c r="L3021" t="s">
        <v>1064</v>
      </c>
      <c r="M3021" t="s">
        <v>2383</v>
      </c>
      <c r="N3021" s="15" t="s">
        <v>6878</v>
      </c>
    </row>
    <row r="3022" spans="1:14" x14ac:dyDescent="0.2">
      <c r="A3022" t="s">
        <v>4136</v>
      </c>
      <c r="B3022" t="s">
        <v>2360</v>
      </c>
      <c r="C3022" s="9">
        <v>45003</v>
      </c>
      <c r="D3022" t="s">
        <v>960</v>
      </c>
      <c r="E3022" s="13">
        <v>350000000</v>
      </c>
      <c r="F3022" s="13">
        <v>27750</v>
      </c>
      <c r="G3022" s="9">
        <v>45004</v>
      </c>
      <c r="H3022" t="s">
        <v>1111</v>
      </c>
      <c r="I3022" t="s">
        <v>3814</v>
      </c>
      <c r="J3022" s="13">
        <v>21367500</v>
      </c>
      <c r="K3022">
        <v>1</v>
      </c>
      <c r="L3022" t="s">
        <v>1064</v>
      </c>
      <c r="M3022" t="s">
        <v>3815</v>
      </c>
      <c r="N3022" s="15" t="s">
        <v>6878</v>
      </c>
    </row>
    <row r="3023" spans="1:14" x14ac:dyDescent="0.2">
      <c r="A3023" t="s">
        <v>4137</v>
      </c>
      <c r="B3023" t="s">
        <v>2360</v>
      </c>
      <c r="C3023" s="9">
        <v>45004</v>
      </c>
      <c r="D3023" t="s">
        <v>992</v>
      </c>
      <c r="E3023" s="13">
        <v>2550500</v>
      </c>
      <c r="F3023" s="13">
        <v>22200</v>
      </c>
      <c r="G3023" s="9">
        <v>45004</v>
      </c>
      <c r="H3023" t="s">
        <v>1063</v>
      </c>
      <c r="I3023" t="s">
        <v>2370</v>
      </c>
      <c r="J3023" s="13">
        <v>113242</v>
      </c>
      <c r="K3023">
        <v>1</v>
      </c>
      <c r="L3023" t="s">
        <v>1064</v>
      </c>
      <c r="M3023" t="s">
        <v>2371</v>
      </c>
      <c r="N3023" s="15" t="s">
        <v>6878</v>
      </c>
    </row>
    <row r="3024" spans="1:14" x14ac:dyDescent="0.2">
      <c r="A3024" t="s">
        <v>4138</v>
      </c>
      <c r="B3024" t="s">
        <v>2360</v>
      </c>
      <c r="C3024" s="9">
        <v>45004</v>
      </c>
      <c r="D3024" t="s">
        <v>992</v>
      </c>
      <c r="E3024" s="13">
        <v>1172760</v>
      </c>
      <c r="F3024" s="13">
        <v>22200</v>
      </c>
      <c r="G3024" s="9">
        <v>45004</v>
      </c>
      <c r="H3024" t="s">
        <v>1063</v>
      </c>
      <c r="I3024" t="s">
        <v>2370</v>
      </c>
      <c r="J3024" s="13">
        <v>52070</v>
      </c>
      <c r="K3024">
        <v>1</v>
      </c>
      <c r="L3024" t="s">
        <v>1064</v>
      </c>
      <c r="M3024" t="s">
        <v>2371</v>
      </c>
      <c r="N3024" s="15" t="s">
        <v>6878</v>
      </c>
    </row>
    <row r="3025" spans="1:14" x14ac:dyDescent="0.2">
      <c r="A3025" t="s">
        <v>4139</v>
      </c>
      <c r="B3025" t="s">
        <v>2360</v>
      </c>
      <c r="C3025" s="9">
        <v>45004</v>
      </c>
      <c r="D3025" t="s">
        <v>9</v>
      </c>
      <c r="E3025" s="13">
        <v>399350</v>
      </c>
      <c r="F3025" s="13">
        <v>24975</v>
      </c>
      <c r="G3025" s="9">
        <v>45029</v>
      </c>
      <c r="H3025" t="s">
        <v>1111</v>
      </c>
      <c r="I3025" t="s">
        <v>436</v>
      </c>
      <c r="J3025" s="13">
        <v>13297</v>
      </c>
      <c r="K3025">
        <v>1</v>
      </c>
      <c r="L3025" t="s">
        <v>1064</v>
      </c>
      <c r="M3025" t="s">
        <v>2364</v>
      </c>
      <c r="N3025" s="15" t="s">
        <v>6878</v>
      </c>
    </row>
    <row r="3026" spans="1:14" x14ac:dyDescent="0.2">
      <c r="A3026" t="s">
        <v>4140</v>
      </c>
      <c r="B3026" t="s">
        <v>2360</v>
      </c>
      <c r="C3026" s="9">
        <v>45004</v>
      </c>
      <c r="D3026" t="s">
        <v>9</v>
      </c>
      <c r="E3026" s="13">
        <v>190000</v>
      </c>
      <c r="F3026" s="13">
        <v>22500</v>
      </c>
      <c r="H3026" t="s">
        <v>1185</v>
      </c>
      <c r="I3026" t="s">
        <v>3286</v>
      </c>
      <c r="J3026" s="13">
        <v>0</v>
      </c>
      <c r="K3026">
        <v>1</v>
      </c>
      <c r="L3026" t="s">
        <v>1064</v>
      </c>
      <c r="M3026" t="s">
        <v>3287</v>
      </c>
      <c r="N3026" s="14" t="s">
        <v>6877</v>
      </c>
    </row>
    <row r="3027" spans="1:14" x14ac:dyDescent="0.2">
      <c r="A3027" t="s">
        <v>4141</v>
      </c>
      <c r="B3027" t="s">
        <v>2360</v>
      </c>
      <c r="C3027" s="9">
        <v>45004</v>
      </c>
      <c r="D3027" t="s">
        <v>9</v>
      </c>
      <c r="E3027" s="13">
        <v>340060</v>
      </c>
      <c r="F3027" s="13">
        <v>24975</v>
      </c>
      <c r="G3027" s="9">
        <v>45009</v>
      </c>
      <c r="H3027" t="s">
        <v>1063</v>
      </c>
      <c r="I3027" t="s">
        <v>436</v>
      </c>
      <c r="J3027" s="13">
        <v>11323</v>
      </c>
      <c r="K3027">
        <v>1</v>
      </c>
      <c r="L3027" t="s">
        <v>1064</v>
      </c>
      <c r="M3027" t="s">
        <v>2364</v>
      </c>
      <c r="N3027" s="15" t="s">
        <v>6878</v>
      </c>
    </row>
    <row r="3028" spans="1:14" x14ac:dyDescent="0.2">
      <c r="A3028" t="s">
        <v>4142</v>
      </c>
      <c r="B3028" t="s">
        <v>2360</v>
      </c>
      <c r="C3028" s="9">
        <v>45004</v>
      </c>
      <c r="D3028" t="s">
        <v>9</v>
      </c>
      <c r="E3028" s="13">
        <v>340060</v>
      </c>
      <c r="F3028" s="13">
        <v>24975</v>
      </c>
      <c r="G3028" s="9">
        <v>45009</v>
      </c>
      <c r="H3028" t="s">
        <v>1063</v>
      </c>
      <c r="I3028" t="s">
        <v>436</v>
      </c>
      <c r="J3028" s="13">
        <v>11323</v>
      </c>
      <c r="K3028">
        <v>1</v>
      </c>
      <c r="L3028" t="s">
        <v>1064</v>
      </c>
      <c r="M3028" t="s">
        <v>2364</v>
      </c>
      <c r="N3028" s="15" t="s">
        <v>6878</v>
      </c>
    </row>
    <row r="3029" spans="1:14" x14ac:dyDescent="0.2">
      <c r="A3029" t="s">
        <v>4143</v>
      </c>
      <c r="B3029" t="s">
        <v>2360</v>
      </c>
      <c r="C3029" s="9">
        <v>45004</v>
      </c>
      <c r="D3029" t="s">
        <v>9</v>
      </c>
      <c r="E3029" s="13">
        <v>340060</v>
      </c>
      <c r="F3029" s="13">
        <v>24975</v>
      </c>
      <c r="G3029" s="9">
        <v>45009</v>
      </c>
      <c r="H3029" t="s">
        <v>1063</v>
      </c>
      <c r="I3029" t="s">
        <v>436</v>
      </c>
      <c r="J3029" s="13">
        <v>11323</v>
      </c>
      <c r="K3029">
        <v>1</v>
      </c>
      <c r="L3029" t="s">
        <v>1064</v>
      </c>
      <c r="M3029" t="s">
        <v>2364</v>
      </c>
      <c r="N3029" s="15" t="s">
        <v>6878</v>
      </c>
    </row>
    <row r="3030" spans="1:14" x14ac:dyDescent="0.2">
      <c r="A3030" t="s">
        <v>4144</v>
      </c>
      <c r="B3030" t="s">
        <v>2360</v>
      </c>
      <c r="C3030" s="9">
        <v>45004</v>
      </c>
      <c r="D3030" t="s">
        <v>9</v>
      </c>
      <c r="E3030" s="13">
        <v>274890</v>
      </c>
      <c r="F3030" s="13">
        <v>24975</v>
      </c>
      <c r="G3030" s="9">
        <v>45029</v>
      </c>
      <c r="H3030" t="s">
        <v>1111</v>
      </c>
      <c r="I3030" t="s">
        <v>436</v>
      </c>
      <c r="J3030" s="13">
        <v>9153</v>
      </c>
      <c r="K3030">
        <v>1</v>
      </c>
      <c r="L3030" t="s">
        <v>1064</v>
      </c>
      <c r="M3030" t="s">
        <v>2364</v>
      </c>
      <c r="N3030" s="15" t="s">
        <v>6878</v>
      </c>
    </row>
    <row r="3031" spans="1:14" x14ac:dyDescent="0.2">
      <c r="A3031" t="s">
        <v>4145</v>
      </c>
      <c r="B3031" t="s">
        <v>2360</v>
      </c>
      <c r="C3031" s="9">
        <v>45004</v>
      </c>
      <c r="D3031" t="s">
        <v>9</v>
      </c>
      <c r="E3031" s="13">
        <v>274890</v>
      </c>
      <c r="F3031" s="13">
        <v>24975</v>
      </c>
      <c r="G3031" s="9">
        <v>45029</v>
      </c>
      <c r="H3031" t="s">
        <v>1111</v>
      </c>
      <c r="I3031" t="s">
        <v>436</v>
      </c>
      <c r="J3031" s="13">
        <v>9153</v>
      </c>
      <c r="K3031">
        <v>1</v>
      </c>
      <c r="L3031" t="s">
        <v>1064</v>
      </c>
      <c r="M3031" t="s">
        <v>2364</v>
      </c>
      <c r="N3031" s="15" t="s">
        <v>6878</v>
      </c>
    </row>
    <row r="3032" spans="1:14" x14ac:dyDescent="0.2">
      <c r="A3032" t="s">
        <v>4146</v>
      </c>
      <c r="B3032" t="s">
        <v>2360</v>
      </c>
      <c r="C3032" s="9">
        <v>45005</v>
      </c>
      <c r="D3032" t="s">
        <v>9</v>
      </c>
      <c r="E3032" s="13">
        <v>340060</v>
      </c>
      <c r="F3032" s="13">
        <v>24975</v>
      </c>
      <c r="G3032" s="9">
        <v>45028</v>
      </c>
      <c r="H3032" t="s">
        <v>1111</v>
      </c>
      <c r="I3032" t="s">
        <v>436</v>
      </c>
      <c r="J3032" s="13">
        <v>11323</v>
      </c>
      <c r="K3032">
        <v>1</v>
      </c>
      <c r="L3032" t="s">
        <v>1064</v>
      </c>
      <c r="M3032" t="s">
        <v>2364</v>
      </c>
      <c r="N3032" s="15" t="s">
        <v>6878</v>
      </c>
    </row>
    <row r="3033" spans="1:14" x14ac:dyDescent="0.2">
      <c r="A3033" t="s">
        <v>4147</v>
      </c>
      <c r="B3033" t="s">
        <v>2360</v>
      </c>
      <c r="C3033" s="9">
        <v>45005</v>
      </c>
      <c r="D3033" t="s">
        <v>9</v>
      </c>
      <c r="E3033" s="13">
        <v>458150</v>
      </c>
      <c r="F3033" s="13">
        <v>24975</v>
      </c>
      <c r="G3033" s="9">
        <v>45029</v>
      </c>
      <c r="H3033" t="s">
        <v>1111</v>
      </c>
      <c r="I3033" t="s">
        <v>436</v>
      </c>
      <c r="J3033" s="13">
        <v>15255</v>
      </c>
      <c r="K3033">
        <v>1</v>
      </c>
      <c r="L3033" t="s">
        <v>1064</v>
      </c>
      <c r="M3033" t="s">
        <v>2364</v>
      </c>
      <c r="N3033" s="15" t="s">
        <v>6878</v>
      </c>
    </row>
    <row r="3034" spans="1:14" x14ac:dyDescent="0.2">
      <c r="A3034" t="s">
        <v>4148</v>
      </c>
      <c r="B3034" t="s">
        <v>2360</v>
      </c>
      <c r="C3034" s="9">
        <v>45005</v>
      </c>
      <c r="D3034" t="s">
        <v>9</v>
      </c>
      <c r="E3034" s="13">
        <v>294490</v>
      </c>
      <c r="F3034" s="13">
        <v>24975</v>
      </c>
      <c r="G3034" s="9">
        <v>45029</v>
      </c>
      <c r="H3034" t="s">
        <v>1111</v>
      </c>
      <c r="I3034" t="s">
        <v>436</v>
      </c>
      <c r="J3034" s="13">
        <v>9805</v>
      </c>
      <c r="K3034">
        <v>1</v>
      </c>
      <c r="L3034" t="s">
        <v>1064</v>
      </c>
      <c r="M3034" t="s">
        <v>2364</v>
      </c>
      <c r="N3034" s="15" t="s">
        <v>6878</v>
      </c>
    </row>
    <row r="3035" spans="1:14" x14ac:dyDescent="0.2">
      <c r="A3035" t="s">
        <v>4149</v>
      </c>
      <c r="B3035" t="s">
        <v>2360</v>
      </c>
      <c r="C3035" s="9">
        <v>45006</v>
      </c>
      <c r="D3035" t="s">
        <v>964</v>
      </c>
      <c r="E3035" s="13">
        <v>13000000</v>
      </c>
      <c r="F3035" s="13">
        <v>27750</v>
      </c>
      <c r="G3035" s="9">
        <v>45007</v>
      </c>
      <c r="H3035" t="s">
        <v>1111</v>
      </c>
      <c r="I3035" t="s">
        <v>2520</v>
      </c>
      <c r="J3035" s="13">
        <v>360750</v>
      </c>
      <c r="K3035">
        <v>1</v>
      </c>
      <c r="L3035" t="s">
        <v>1064</v>
      </c>
      <c r="M3035" t="s">
        <v>2521</v>
      </c>
      <c r="N3035" s="15" t="s">
        <v>6878</v>
      </c>
    </row>
    <row r="3036" spans="1:14" x14ac:dyDescent="0.2">
      <c r="A3036" t="s">
        <v>4150</v>
      </c>
      <c r="B3036" t="s">
        <v>2360</v>
      </c>
      <c r="C3036" s="9">
        <v>45007</v>
      </c>
      <c r="D3036" t="s">
        <v>964</v>
      </c>
      <c r="E3036" s="13">
        <v>10000000</v>
      </c>
      <c r="F3036" s="13">
        <v>27750</v>
      </c>
      <c r="G3036" s="9">
        <v>45007</v>
      </c>
      <c r="H3036" t="s">
        <v>1111</v>
      </c>
      <c r="I3036" t="s">
        <v>2520</v>
      </c>
      <c r="J3036" s="13">
        <v>277500</v>
      </c>
      <c r="K3036">
        <v>1</v>
      </c>
      <c r="L3036" t="s">
        <v>1064</v>
      </c>
      <c r="M3036" t="s">
        <v>2521</v>
      </c>
      <c r="N3036" s="15" t="s">
        <v>6878</v>
      </c>
    </row>
    <row r="3037" spans="1:14" x14ac:dyDescent="0.2">
      <c r="A3037" t="s">
        <v>4151</v>
      </c>
      <c r="B3037" t="s">
        <v>2360</v>
      </c>
      <c r="C3037" s="9">
        <v>45007</v>
      </c>
      <c r="D3037" t="s">
        <v>964</v>
      </c>
      <c r="E3037" s="13">
        <v>10000000</v>
      </c>
      <c r="F3037" s="13">
        <v>27750</v>
      </c>
      <c r="G3037" s="9">
        <v>45007</v>
      </c>
      <c r="H3037" t="s">
        <v>1111</v>
      </c>
      <c r="I3037" t="s">
        <v>2520</v>
      </c>
      <c r="J3037" s="13">
        <v>277500</v>
      </c>
      <c r="K3037">
        <v>1</v>
      </c>
      <c r="L3037" t="s">
        <v>1064</v>
      </c>
      <c r="M3037" t="s">
        <v>2521</v>
      </c>
      <c r="N3037" s="15" t="s">
        <v>6878</v>
      </c>
    </row>
    <row r="3038" spans="1:14" x14ac:dyDescent="0.2">
      <c r="A3038" t="s">
        <v>4152</v>
      </c>
      <c r="B3038" t="s">
        <v>2360</v>
      </c>
      <c r="C3038" s="9">
        <v>45007</v>
      </c>
      <c r="D3038" t="s">
        <v>964</v>
      </c>
      <c r="E3038" s="13">
        <v>13000000</v>
      </c>
      <c r="F3038" s="13">
        <v>27750</v>
      </c>
      <c r="G3038" s="9">
        <v>45007</v>
      </c>
      <c r="H3038" t="s">
        <v>1111</v>
      </c>
      <c r="I3038" t="s">
        <v>2520</v>
      </c>
      <c r="J3038" s="13">
        <v>360750</v>
      </c>
      <c r="K3038">
        <v>1</v>
      </c>
      <c r="L3038" t="s">
        <v>1064</v>
      </c>
      <c r="M3038" t="s">
        <v>2521</v>
      </c>
      <c r="N3038" s="15" t="s">
        <v>6878</v>
      </c>
    </row>
    <row r="3039" spans="1:14" x14ac:dyDescent="0.2">
      <c r="A3039" t="s">
        <v>4153</v>
      </c>
      <c r="B3039" t="s">
        <v>2360</v>
      </c>
      <c r="C3039" s="9">
        <v>45007</v>
      </c>
      <c r="D3039" t="s">
        <v>964</v>
      </c>
      <c r="E3039" s="13">
        <v>13000000</v>
      </c>
      <c r="F3039" s="13">
        <v>27750</v>
      </c>
      <c r="G3039" s="9">
        <v>45007</v>
      </c>
      <c r="H3039" t="s">
        <v>1111</v>
      </c>
      <c r="I3039" t="s">
        <v>2520</v>
      </c>
      <c r="J3039" s="13">
        <v>360750</v>
      </c>
      <c r="K3039">
        <v>1</v>
      </c>
      <c r="L3039" t="s">
        <v>1064</v>
      </c>
      <c r="M3039" t="s">
        <v>2521</v>
      </c>
      <c r="N3039" s="15" t="s">
        <v>6878</v>
      </c>
    </row>
    <row r="3040" spans="1:14" x14ac:dyDescent="0.2">
      <c r="A3040" t="s">
        <v>4154</v>
      </c>
      <c r="B3040" t="s">
        <v>2360</v>
      </c>
      <c r="C3040" s="9">
        <v>45007</v>
      </c>
      <c r="D3040" t="s">
        <v>988</v>
      </c>
      <c r="E3040" s="13">
        <v>9530000</v>
      </c>
      <c r="F3040" s="13">
        <v>264457</v>
      </c>
      <c r="G3040" s="9">
        <v>45008</v>
      </c>
      <c r="H3040" t="s">
        <v>1111</v>
      </c>
      <c r="I3040" t="s">
        <v>2610</v>
      </c>
      <c r="J3040" s="13">
        <v>27750</v>
      </c>
      <c r="K3040">
        <v>1</v>
      </c>
      <c r="L3040" t="s">
        <v>1064</v>
      </c>
      <c r="M3040" t="s">
        <v>2611</v>
      </c>
      <c r="N3040" s="15" t="s">
        <v>6878</v>
      </c>
    </row>
    <row r="3041" spans="1:14" x14ac:dyDescent="0.2">
      <c r="A3041" t="s">
        <v>4155</v>
      </c>
      <c r="B3041" t="s">
        <v>2360</v>
      </c>
      <c r="C3041" s="9">
        <v>45007</v>
      </c>
      <c r="D3041" t="s">
        <v>988</v>
      </c>
      <c r="E3041" s="13">
        <v>9530000</v>
      </c>
      <c r="F3041" s="13">
        <v>264457</v>
      </c>
      <c r="G3041" s="9">
        <v>45008</v>
      </c>
      <c r="H3041" t="s">
        <v>1111</v>
      </c>
      <c r="I3041" t="s">
        <v>2610</v>
      </c>
      <c r="J3041" s="13">
        <v>27750</v>
      </c>
      <c r="K3041">
        <v>1</v>
      </c>
      <c r="L3041" t="s">
        <v>1064</v>
      </c>
      <c r="M3041" t="s">
        <v>2611</v>
      </c>
      <c r="N3041" s="15" t="s">
        <v>6878</v>
      </c>
    </row>
    <row r="3042" spans="1:14" x14ac:dyDescent="0.2">
      <c r="A3042" t="s">
        <v>4156</v>
      </c>
      <c r="B3042" t="s">
        <v>2360</v>
      </c>
      <c r="C3042" s="9">
        <v>45007</v>
      </c>
      <c r="D3042" t="s">
        <v>988</v>
      </c>
      <c r="E3042" s="13">
        <v>4590000</v>
      </c>
      <c r="F3042" s="13">
        <v>127372</v>
      </c>
      <c r="G3042" s="9">
        <v>45008</v>
      </c>
      <c r="H3042" t="s">
        <v>1111</v>
      </c>
      <c r="I3042" t="s">
        <v>2610</v>
      </c>
      <c r="J3042" s="13">
        <v>27750</v>
      </c>
      <c r="K3042">
        <v>1</v>
      </c>
      <c r="L3042" t="s">
        <v>1064</v>
      </c>
      <c r="M3042" t="s">
        <v>2611</v>
      </c>
      <c r="N3042" s="15" t="s">
        <v>6878</v>
      </c>
    </row>
    <row r="3043" spans="1:14" x14ac:dyDescent="0.2">
      <c r="A3043" t="s">
        <v>4157</v>
      </c>
      <c r="B3043" t="s">
        <v>2360</v>
      </c>
      <c r="C3043" s="9">
        <v>45007</v>
      </c>
      <c r="D3043" t="s">
        <v>988</v>
      </c>
      <c r="E3043" s="13">
        <v>3940000</v>
      </c>
      <c r="F3043" s="13">
        <v>109335</v>
      </c>
      <c r="G3043" s="9">
        <v>45008</v>
      </c>
      <c r="H3043" t="s">
        <v>1111</v>
      </c>
      <c r="I3043" t="s">
        <v>2610</v>
      </c>
      <c r="J3043" s="13">
        <v>27750</v>
      </c>
      <c r="K3043">
        <v>1</v>
      </c>
      <c r="L3043" t="s">
        <v>1064</v>
      </c>
      <c r="M3043" t="s">
        <v>2611</v>
      </c>
      <c r="N3043" s="15" t="s">
        <v>6878</v>
      </c>
    </row>
    <row r="3044" spans="1:14" x14ac:dyDescent="0.2">
      <c r="A3044" t="s">
        <v>4158</v>
      </c>
      <c r="B3044" t="s">
        <v>2360</v>
      </c>
      <c r="C3044" s="9">
        <v>45008</v>
      </c>
      <c r="D3044" t="s">
        <v>988</v>
      </c>
      <c r="E3044" s="13">
        <v>8825000</v>
      </c>
      <c r="F3044" s="13">
        <v>244893</v>
      </c>
      <c r="G3044" s="9">
        <v>45008</v>
      </c>
      <c r="H3044" t="s">
        <v>1111</v>
      </c>
      <c r="I3044" t="s">
        <v>2610</v>
      </c>
      <c r="J3044" s="13">
        <v>27750</v>
      </c>
      <c r="K3044">
        <v>1</v>
      </c>
      <c r="L3044" t="s">
        <v>1064</v>
      </c>
      <c r="M3044" t="s">
        <v>2611</v>
      </c>
      <c r="N3044" s="15" t="s">
        <v>6878</v>
      </c>
    </row>
    <row r="3045" spans="1:14" x14ac:dyDescent="0.2">
      <c r="A3045" t="s">
        <v>4159</v>
      </c>
      <c r="B3045" t="s">
        <v>2360</v>
      </c>
      <c r="C3045" s="9">
        <v>45008</v>
      </c>
      <c r="D3045" t="s">
        <v>988</v>
      </c>
      <c r="E3045" s="13">
        <v>8825000</v>
      </c>
      <c r="F3045" s="13">
        <v>244893</v>
      </c>
      <c r="G3045" s="9">
        <v>45008</v>
      </c>
      <c r="H3045" t="s">
        <v>1111</v>
      </c>
      <c r="I3045" t="s">
        <v>2610</v>
      </c>
      <c r="J3045" s="13">
        <v>27750</v>
      </c>
      <c r="K3045">
        <v>1</v>
      </c>
      <c r="L3045" t="s">
        <v>1064</v>
      </c>
      <c r="M3045" t="s">
        <v>2611</v>
      </c>
      <c r="N3045" s="15" t="s">
        <v>6878</v>
      </c>
    </row>
    <row r="3046" spans="1:14" x14ac:dyDescent="0.2">
      <c r="A3046" t="s">
        <v>4160</v>
      </c>
      <c r="B3046" t="s">
        <v>2360</v>
      </c>
      <c r="C3046" s="9">
        <v>45008</v>
      </c>
      <c r="D3046" t="s">
        <v>988</v>
      </c>
      <c r="E3046" s="13">
        <v>5280000</v>
      </c>
      <c r="F3046" s="13"/>
      <c r="H3046" t="s">
        <v>2184</v>
      </c>
      <c r="I3046" t="s">
        <v>2610</v>
      </c>
      <c r="J3046" s="13">
        <v>0</v>
      </c>
      <c r="K3046">
        <v>1</v>
      </c>
      <c r="L3046" t="s">
        <v>1064</v>
      </c>
      <c r="M3046" t="s">
        <v>2611</v>
      </c>
      <c r="N3046" s="14" t="s">
        <v>6877</v>
      </c>
    </row>
    <row r="3047" spans="1:14" x14ac:dyDescent="0.2">
      <c r="A3047" t="s">
        <v>4161</v>
      </c>
      <c r="B3047" t="s">
        <v>2360</v>
      </c>
      <c r="C3047" s="9">
        <v>45008</v>
      </c>
      <c r="D3047" t="s">
        <v>988</v>
      </c>
      <c r="E3047" s="13">
        <v>4725000</v>
      </c>
      <c r="F3047" s="13">
        <v>131118</v>
      </c>
      <c r="G3047" s="9">
        <v>45008</v>
      </c>
      <c r="H3047" t="s">
        <v>1111</v>
      </c>
      <c r="I3047" t="s">
        <v>2610</v>
      </c>
      <c r="J3047" s="13">
        <v>27750</v>
      </c>
      <c r="K3047">
        <v>1</v>
      </c>
      <c r="L3047" t="s">
        <v>1064</v>
      </c>
      <c r="M3047" t="s">
        <v>2611</v>
      </c>
      <c r="N3047" s="15" t="s">
        <v>6878</v>
      </c>
    </row>
    <row r="3048" spans="1:14" x14ac:dyDescent="0.2">
      <c r="A3048" t="s">
        <v>4162</v>
      </c>
      <c r="B3048" t="s">
        <v>2360</v>
      </c>
      <c r="C3048" s="9">
        <v>45008</v>
      </c>
      <c r="D3048" t="s">
        <v>1014</v>
      </c>
      <c r="E3048" s="13">
        <v>6141750</v>
      </c>
      <c r="F3048" s="13">
        <v>25000</v>
      </c>
      <c r="H3048" t="s">
        <v>1659</v>
      </c>
      <c r="I3048" t="s">
        <v>3053</v>
      </c>
      <c r="J3048" s="13">
        <v>0</v>
      </c>
      <c r="K3048">
        <v>1</v>
      </c>
      <c r="L3048" t="s">
        <v>1064</v>
      </c>
      <c r="M3048" t="s">
        <v>3054</v>
      </c>
      <c r="N3048" s="14" t="s">
        <v>6877</v>
      </c>
    </row>
    <row r="3049" spans="1:14" x14ac:dyDescent="0.2">
      <c r="A3049" t="s">
        <v>4163</v>
      </c>
      <c r="B3049" t="s">
        <v>2360</v>
      </c>
      <c r="C3049" s="9">
        <v>45008</v>
      </c>
      <c r="D3049" t="s">
        <v>1014</v>
      </c>
      <c r="E3049" s="13">
        <v>5822000</v>
      </c>
      <c r="F3049" s="13">
        <v>27750</v>
      </c>
      <c r="G3049" s="9">
        <v>45010</v>
      </c>
      <c r="H3049" t="s">
        <v>1111</v>
      </c>
      <c r="I3049" t="s">
        <v>3053</v>
      </c>
      <c r="J3049" s="13">
        <v>226184</v>
      </c>
      <c r="K3049">
        <v>1</v>
      </c>
      <c r="L3049" t="s">
        <v>1064</v>
      </c>
      <c r="M3049" t="s">
        <v>3054</v>
      </c>
      <c r="N3049" s="15" t="s">
        <v>6878</v>
      </c>
    </row>
    <row r="3050" spans="1:14" x14ac:dyDescent="0.2">
      <c r="A3050" t="s">
        <v>4164</v>
      </c>
      <c r="B3050" t="s">
        <v>2360</v>
      </c>
      <c r="C3050" s="9">
        <v>45008</v>
      </c>
      <c r="D3050" t="s">
        <v>1014</v>
      </c>
      <c r="E3050" s="13">
        <v>3158000</v>
      </c>
      <c r="F3050" s="13">
        <v>27750</v>
      </c>
      <c r="G3050" s="9">
        <v>45010</v>
      </c>
      <c r="H3050" t="s">
        <v>1111</v>
      </c>
      <c r="I3050" t="s">
        <v>3053</v>
      </c>
      <c r="J3050" s="13">
        <v>122688</v>
      </c>
      <c r="K3050">
        <v>1</v>
      </c>
      <c r="L3050" t="s">
        <v>1064</v>
      </c>
      <c r="M3050" t="s">
        <v>3054</v>
      </c>
      <c r="N3050" s="15" t="s">
        <v>6878</v>
      </c>
    </row>
    <row r="3051" spans="1:14" x14ac:dyDescent="0.2">
      <c r="A3051" t="s">
        <v>4165</v>
      </c>
      <c r="B3051" t="s">
        <v>2360</v>
      </c>
      <c r="C3051" s="9">
        <v>45008</v>
      </c>
      <c r="D3051" t="s">
        <v>1014</v>
      </c>
      <c r="E3051" s="13">
        <v>2808000</v>
      </c>
      <c r="F3051" s="13">
        <v>27750</v>
      </c>
      <c r="G3051" s="9">
        <v>45010</v>
      </c>
      <c r="H3051" t="s">
        <v>1111</v>
      </c>
      <c r="I3051" t="s">
        <v>3053</v>
      </c>
      <c r="J3051" s="13">
        <v>109090</v>
      </c>
      <c r="K3051">
        <v>1</v>
      </c>
      <c r="L3051" t="s">
        <v>1064</v>
      </c>
      <c r="M3051" t="s">
        <v>3054</v>
      </c>
      <c r="N3051" s="15" t="s">
        <v>6878</v>
      </c>
    </row>
    <row r="3052" spans="1:14" x14ac:dyDescent="0.2">
      <c r="A3052" t="s">
        <v>4166</v>
      </c>
      <c r="B3052" t="s">
        <v>2360</v>
      </c>
      <c r="C3052" s="9">
        <v>45008</v>
      </c>
      <c r="D3052" t="s">
        <v>1014</v>
      </c>
      <c r="E3052" s="13">
        <v>3158000</v>
      </c>
      <c r="F3052" s="13">
        <v>27750</v>
      </c>
      <c r="G3052" s="9">
        <v>45010</v>
      </c>
      <c r="H3052" t="s">
        <v>1111</v>
      </c>
      <c r="I3052" t="s">
        <v>3053</v>
      </c>
      <c r="J3052" s="13">
        <v>122688</v>
      </c>
      <c r="K3052">
        <v>1</v>
      </c>
      <c r="L3052" t="s">
        <v>1064</v>
      </c>
      <c r="M3052" t="s">
        <v>3054</v>
      </c>
      <c r="N3052" s="15" t="s">
        <v>6878</v>
      </c>
    </row>
    <row r="3053" spans="1:14" x14ac:dyDescent="0.2">
      <c r="A3053" t="s">
        <v>4167</v>
      </c>
      <c r="B3053" t="s">
        <v>2360</v>
      </c>
      <c r="C3053" s="9">
        <v>45008</v>
      </c>
      <c r="D3053" t="s">
        <v>1014</v>
      </c>
      <c r="E3053" s="13">
        <v>1872000</v>
      </c>
      <c r="F3053" s="13">
        <v>27750</v>
      </c>
      <c r="G3053" s="9">
        <v>45010</v>
      </c>
      <c r="H3053" t="s">
        <v>1111</v>
      </c>
      <c r="I3053" t="s">
        <v>3053</v>
      </c>
      <c r="J3053" s="13">
        <v>72727</v>
      </c>
      <c r="K3053">
        <v>1</v>
      </c>
      <c r="L3053" t="s">
        <v>1064</v>
      </c>
      <c r="M3053" t="s">
        <v>3054</v>
      </c>
      <c r="N3053" s="15" t="s">
        <v>6878</v>
      </c>
    </row>
    <row r="3054" spans="1:14" x14ac:dyDescent="0.2">
      <c r="A3054" t="s">
        <v>4168</v>
      </c>
      <c r="B3054" t="s">
        <v>2360</v>
      </c>
      <c r="C3054" s="9">
        <v>45008</v>
      </c>
      <c r="D3054" t="s">
        <v>1014</v>
      </c>
      <c r="E3054" s="13">
        <v>4067000</v>
      </c>
      <c r="F3054" s="13">
        <v>27750</v>
      </c>
      <c r="G3054" s="9">
        <v>45010</v>
      </c>
      <c r="H3054" t="s">
        <v>1111</v>
      </c>
      <c r="I3054" t="s">
        <v>3053</v>
      </c>
      <c r="J3054" s="13">
        <v>158002</v>
      </c>
      <c r="K3054">
        <v>1</v>
      </c>
      <c r="L3054" t="s">
        <v>1064</v>
      </c>
      <c r="M3054" t="s">
        <v>3054</v>
      </c>
      <c r="N3054" s="15" t="s">
        <v>6878</v>
      </c>
    </row>
    <row r="3055" spans="1:14" x14ac:dyDescent="0.2">
      <c r="A3055" t="s">
        <v>1015</v>
      </c>
      <c r="B3055" t="s">
        <v>2360</v>
      </c>
      <c r="C3055" s="9">
        <v>45008</v>
      </c>
      <c r="D3055" t="s">
        <v>1014</v>
      </c>
      <c r="E3055" s="13">
        <v>1637000</v>
      </c>
      <c r="F3055" s="13">
        <v>27750</v>
      </c>
      <c r="G3055" s="9">
        <v>45010</v>
      </c>
      <c r="H3055" t="s">
        <v>1111</v>
      </c>
      <c r="I3055" t="s">
        <v>3053</v>
      </c>
      <c r="J3055" s="13">
        <v>63597</v>
      </c>
      <c r="K3055">
        <v>1</v>
      </c>
      <c r="L3055" t="s">
        <v>1064</v>
      </c>
      <c r="M3055" t="s">
        <v>3054</v>
      </c>
      <c r="N3055" s="15" t="s">
        <v>6878</v>
      </c>
    </row>
    <row r="3056" spans="1:14" x14ac:dyDescent="0.2">
      <c r="A3056" t="s">
        <v>4169</v>
      </c>
      <c r="B3056" t="s">
        <v>2360</v>
      </c>
      <c r="C3056" s="9">
        <v>45009</v>
      </c>
      <c r="D3056" t="s">
        <v>9</v>
      </c>
      <c r="E3056" s="13">
        <v>458150</v>
      </c>
      <c r="F3056" s="13">
        <v>24975</v>
      </c>
      <c r="G3056" s="9">
        <v>45029</v>
      </c>
      <c r="H3056" t="s">
        <v>1111</v>
      </c>
      <c r="I3056" t="s">
        <v>436</v>
      </c>
      <c r="J3056" s="13">
        <v>15255</v>
      </c>
      <c r="K3056">
        <v>1</v>
      </c>
      <c r="L3056" t="s">
        <v>1064</v>
      </c>
      <c r="M3056" t="s">
        <v>2364</v>
      </c>
      <c r="N3056" s="15" t="s">
        <v>6878</v>
      </c>
    </row>
    <row r="3057" spans="1:14" x14ac:dyDescent="0.2">
      <c r="A3057" t="s">
        <v>4170</v>
      </c>
      <c r="B3057" t="s">
        <v>2360</v>
      </c>
      <c r="C3057" s="9">
        <v>45009</v>
      </c>
      <c r="D3057" t="s">
        <v>9</v>
      </c>
      <c r="E3057" s="13">
        <v>294000</v>
      </c>
      <c r="F3057" s="13">
        <v>24975</v>
      </c>
      <c r="G3057" s="9">
        <v>45029</v>
      </c>
      <c r="H3057" t="s">
        <v>1111</v>
      </c>
      <c r="I3057" t="s">
        <v>436</v>
      </c>
      <c r="J3057" s="13">
        <v>9790</v>
      </c>
      <c r="K3057">
        <v>1</v>
      </c>
      <c r="L3057" t="s">
        <v>1064</v>
      </c>
      <c r="M3057" t="s">
        <v>2364</v>
      </c>
      <c r="N3057" s="15" t="s">
        <v>6878</v>
      </c>
    </row>
    <row r="3058" spans="1:14" x14ac:dyDescent="0.2">
      <c r="A3058" t="s">
        <v>4171</v>
      </c>
      <c r="B3058" t="s">
        <v>2360</v>
      </c>
      <c r="C3058" s="9">
        <v>45009</v>
      </c>
      <c r="D3058" t="s">
        <v>9</v>
      </c>
      <c r="E3058" s="13">
        <v>274890</v>
      </c>
      <c r="F3058" s="13">
        <v>24975</v>
      </c>
      <c r="G3058" s="9">
        <v>45029</v>
      </c>
      <c r="H3058" t="s">
        <v>1111</v>
      </c>
      <c r="I3058" t="s">
        <v>436</v>
      </c>
      <c r="J3058" s="13">
        <v>9153</v>
      </c>
      <c r="K3058">
        <v>1</v>
      </c>
      <c r="L3058" t="s">
        <v>1064</v>
      </c>
      <c r="M3058" t="s">
        <v>2364</v>
      </c>
      <c r="N3058" s="15" t="s">
        <v>6878</v>
      </c>
    </row>
    <row r="3059" spans="1:14" x14ac:dyDescent="0.2">
      <c r="A3059" t="s">
        <v>4172</v>
      </c>
      <c r="B3059" t="s">
        <v>2360</v>
      </c>
      <c r="C3059" s="9">
        <v>45009</v>
      </c>
      <c r="D3059" t="s">
        <v>9</v>
      </c>
      <c r="E3059" s="13">
        <v>340060</v>
      </c>
      <c r="F3059" s="13">
        <v>24975</v>
      </c>
      <c r="G3059" s="9">
        <v>45028</v>
      </c>
      <c r="H3059" t="s">
        <v>1111</v>
      </c>
      <c r="I3059" t="s">
        <v>436</v>
      </c>
      <c r="J3059" s="13">
        <v>11323</v>
      </c>
      <c r="K3059">
        <v>1</v>
      </c>
      <c r="L3059" t="s">
        <v>1064</v>
      </c>
      <c r="M3059" t="s">
        <v>2364</v>
      </c>
      <c r="N3059" s="15" t="s">
        <v>6878</v>
      </c>
    </row>
    <row r="3060" spans="1:14" x14ac:dyDescent="0.2">
      <c r="A3060" t="s">
        <v>4173</v>
      </c>
      <c r="B3060" t="s">
        <v>2360</v>
      </c>
      <c r="C3060" s="9">
        <v>45009</v>
      </c>
      <c r="D3060" t="s">
        <v>9</v>
      </c>
      <c r="E3060" s="13">
        <v>340060</v>
      </c>
      <c r="F3060" s="13">
        <v>24975</v>
      </c>
      <c r="G3060" s="9">
        <v>45028</v>
      </c>
      <c r="H3060" t="s">
        <v>1111</v>
      </c>
      <c r="I3060" t="s">
        <v>436</v>
      </c>
      <c r="J3060" s="13">
        <v>11323</v>
      </c>
      <c r="K3060">
        <v>1</v>
      </c>
      <c r="L3060" t="s">
        <v>1064</v>
      </c>
      <c r="M3060" t="s">
        <v>2364</v>
      </c>
      <c r="N3060" s="15" t="s">
        <v>6878</v>
      </c>
    </row>
    <row r="3061" spans="1:14" x14ac:dyDescent="0.2">
      <c r="A3061" t="s">
        <v>4174</v>
      </c>
      <c r="B3061" t="s">
        <v>2360</v>
      </c>
      <c r="C3061" s="9">
        <v>45009</v>
      </c>
      <c r="D3061" t="s">
        <v>9</v>
      </c>
      <c r="E3061" s="13">
        <v>0</v>
      </c>
      <c r="F3061" s="13">
        <v>22500</v>
      </c>
      <c r="H3061" t="s">
        <v>1185</v>
      </c>
      <c r="I3061" t="s">
        <v>3286</v>
      </c>
      <c r="J3061" s="13">
        <v>0</v>
      </c>
      <c r="K3061">
        <v>1</v>
      </c>
      <c r="L3061" t="s">
        <v>1064</v>
      </c>
      <c r="M3061" t="s">
        <v>3287</v>
      </c>
      <c r="N3061" s="14" t="s">
        <v>6877</v>
      </c>
    </row>
    <row r="3062" spans="1:14" x14ac:dyDescent="0.2">
      <c r="A3062" t="s">
        <v>4175</v>
      </c>
      <c r="B3062" t="s">
        <v>2360</v>
      </c>
      <c r="C3062" s="9">
        <v>45009</v>
      </c>
      <c r="D3062" t="s">
        <v>964</v>
      </c>
      <c r="E3062" s="13">
        <v>9000000</v>
      </c>
      <c r="F3062" s="13">
        <v>27750</v>
      </c>
      <c r="G3062" s="9">
        <v>45009</v>
      </c>
      <c r="H3062" t="s">
        <v>1111</v>
      </c>
      <c r="I3062" t="s">
        <v>2520</v>
      </c>
      <c r="J3062" s="13">
        <v>249750</v>
      </c>
      <c r="K3062">
        <v>1</v>
      </c>
      <c r="L3062" t="s">
        <v>1064</v>
      </c>
      <c r="M3062" t="s">
        <v>2521</v>
      </c>
      <c r="N3062" s="15" t="s">
        <v>6878</v>
      </c>
    </row>
    <row r="3063" spans="1:14" x14ac:dyDescent="0.2">
      <c r="A3063" t="s">
        <v>4176</v>
      </c>
      <c r="B3063" t="s">
        <v>2360</v>
      </c>
      <c r="C3063" s="9">
        <v>45009</v>
      </c>
      <c r="D3063" t="s">
        <v>964</v>
      </c>
      <c r="E3063" s="13">
        <v>4700000</v>
      </c>
      <c r="F3063" s="13">
        <v>27750</v>
      </c>
      <c r="G3063" s="9">
        <v>45009</v>
      </c>
      <c r="H3063" t="s">
        <v>1111</v>
      </c>
      <c r="I3063" t="s">
        <v>2520</v>
      </c>
      <c r="J3063" s="13">
        <v>130425</v>
      </c>
      <c r="K3063">
        <v>1</v>
      </c>
      <c r="L3063" t="s">
        <v>1064</v>
      </c>
      <c r="M3063" t="s">
        <v>2521</v>
      </c>
      <c r="N3063" s="15" t="s">
        <v>6878</v>
      </c>
    </row>
    <row r="3064" spans="1:14" x14ac:dyDescent="0.2">
      <c r="A3064" t="s">
        <v>4177</v>
      </c>
      <c r="B3064" t="s">
        <v>2360</v>
      </c>
      <c r="C3064" s="9">
        <v>45009</v>
      </c>
      <c r="D3064" t="s">
        <v>992</v>
      </c>
      <c r="E3064" s="13">
        <v>2726000</v>
      </c>
      <c r="F3064" s="13">
        <v>20000</v>
      </c>
      <c r="H3064" t="s">
        <v>2184</v>
      </c>
      <c r="I3064" t="s">
        <v>2370</v>
      </c>
      <c r="J3064" s="13">
        <v>0</v>
      </c>
      <c r="K3064">
        <v>1</v>
      </c>
      <c r="L3064" t="s">
        <v>1064</v>
      </c>
      <c r="M3064" t="s">
        <v>2371</v>
      </c>
      <c r="N3064" s="14" t="s">
        <v>6877</v>
      </c>
    </row>
    <row r="3065" spans="1:14" x14ac:dyDescent="0.2">
      <c r="A3065" t="s">
        <v>4178</v>
      </c>
      <c r="B3065" t="s">
        <v>2360</v>
      </c>
      <c r="C3065" s="9">
        <v>45009</v>
      </c>
      <c r="D3065" t="s">
        <v>992</v>
      </c>
      <c r="E3065" s="13">
        <v>2371806</v>
      </c>
      <c r="F3065" s="13">
        <v>22200</v>
      </c>
      <c r="G3065" s="9">
        <v>45011</v>
      </c>
      <c r="H3065" t="s">
        <v>1111</v>
      </c>
      <c r="I3065" t="s">
        <v>2370</v>
      </c>
      <c r="J3065" s="13">
        <v>105307</v>
      </c>
      <c r="K3065">
        <v>1</v>
      </c>
      <c r="L3065" t="s">
        <v>1064</v>
      </c>
      <c r="M3065" t="s">
        <v>2371</v>
      </c>
      <c r="N3065" s="15" t="s">
        <v>6878</v>
      </c>
    </row>
    <row r="3066" spans="1:14" x14ac:dyDescent="0.2">
      <c r="A3066" t="s">
        <v>4179</v>
      </c>
      <c r="B3066" t="s">
        <v>2360</v>
      </c>
      <c r="C3066" s="9">
        <v>45009</v>
      </c>
      <c r="D3066" t="s">
        <v>9</v>
      </c>
      <c r="E3066" s="13">
        <v>287630</v>
      </c>
      <c r="F3066" s="13">
        <v>24975</v>
      </c>
      <c r="G3066" s="9">
        <v>45029</v>
      </c>
      <c r="H3066" t="s">
        <v>1111</v>
      </c>
      <c r="I3066" t="s">
        <v>436</v>
      </c>
      <c r="J3066" s="13">
        <v>9577</v>
      </c>
      <c r="K3066">
        <v>1</v>
      </c>
      <c r="L3066" t="s">
        <v>1064</v>
      </c>
      <c r="M3066" t="s">
        <v>2364</v>
      </c>
      <c r="N3066" s="15" t="s">
        <v>6878</v>
      </c>
    </row>
    <row r="3067" spans="1:14" x14ac:dyDescent="0.2">
      <c r="A3067" t="s">
        <v>4180</v>
      </c>
      <c r="B3067" t="s">
        <v>2360</v>
      </c>
      <c r="C3067" s="9">
        <v>45009</v>
      </c>
      <c r="D3067" t="s">
        <v>985</v>
      </c>
      <c r="E3067" s="13">
        <v>2856000</v>
      </c>
      <c r="F3067" s="13">
        <v>13875</v>
      </c>
      <c r="G3067" s="9">
        <v>45010</v>
      </c>
      <c r="H3067" t="s">
        <v>1063</v>
      </c>
      <c r="I3067" t="s">
        <v>3063</v>
      </c>
      <c r="J3067" s="13">
        <v>79254</v>
      </c>
      <c r="K3067">
        <v>1</v>
      </c>
      <c r="L3067" t="s">
        <v>1064</v>
      </c>
      <c r="M3067" t="s">
        <v>3064</v>
      </c>
      <c r="N3067" s="15" t="s">
        <v>6878</v>
      </c>
    </row>
    <row r="3068" spans="1:14" x14ac:dyDescent="0.2">
      <c r="A3068" t="s">
        <v>4181</v>
      </c>
      <c r="B3068" t="s">
        <v>2360</v>
      </c>
      <c r="C3068" s="9">
        <v>45009</v>
      </c>
      <c r="D3068" t="s">
        <v>985</v>
      </c>
      <c r="E3068" s="13">
        <v>1400000</v>
      </c>
      <c r="F3068" s="13">
        <v>13875</v>
      </c>
      <c r="G3068" s="9">
        <v>45010</v>
      </c>
      <c r="H3068" t="s">
        <v>1063</v>
      </c>
      <c r="I3068" t="s">
        <v>3063</v>
      </c>
      <c r="J3068" s="13">
        <v>38850</v>
      </c>
      <c r="K3068">
        <v>1</v>
      </c>
      <c r="L3068" t="s">
        <v>1064</v>
      </c>
      <c r="M3068" t="s">
        <v>3064</v>
      </c>
      <c r="N3068" s="15" t="s">
        <v>6878</v>
      </c>
    </row>
    <row r="3069" spans="1:14" x14ac:dyDescent="0.2">
      <c r="A3069" t="s">
        <v>4182</v>
      </c>
      <c r="B3069" t="s">
        <v>2360</v>
      </c>
      <c r="C3069" s="9">
        <v>45009</v>
      </c>
      <c r="D3069" t="s">
        <v>985</v>
      </c>
      <c r="E3069" s="13">
        <v>2856000</v>
      </c>
      <c r="F3069" s="13">
        <v>13875</v>
      </c>
      <c r="G3069" s="9">
        <v>45010</v>
      </c>
      <c r="H3069" t="s">
        <v>1063</v>
      </c>
      <c r="I3069" t="s">
        <v>3063</v>
      </c>
      <c r="J3069" s="13">
        <v>79254</v>
      </c>
      <c r="K3069">
        <v>1</v>
      </c>
      <c r="L3069" t="s">
        <v>1064</v>
      </c>
      <c r="M3069" t="s">
        <v>3064</v>
      </c>
      <c r="N3069" s="15" t="s">
        <v>6878</v>
      </c>
    </row>
    <row r="3070" spans="1:14" x14ac:dyDescent="0.2">
      <c r="A3070" t="s">
        <v>4183</v>
      </c>
      <c r="B3070" t="s">
        <v>2360</v>
      </c>
      <c r="C3070" s="9">
        <v>45009</v>
      </c>
      <c r="D3070" t="s">
        <v>985</v>
      </c>
      <c r="E3070" s="13">
        <v>1400000</v>
      </c>
      <c r="F3070" s="13">
        <v>13875</v>
      </c>
      <c r="G3070" s="9">
        <v>45010</v>
      </c>
      <c r="H3070" t="s">
        <v>1063</v>
      </c>
      <c r="I3070" t="s">
        <v>3063</v>
      </c>
      <c r="J3070" s="13">
        <v>38850</v>
      </c>
      <c r="K3070">
        <v>1</v>
      </c>
      <c r="L3070" t="s">
        <v>1064</v>
      </c>
      <c r="M3070" t="s">
        <v>3064</v>
      </c>
      <c r="N3070" s="15" t="s">
        <v>6878</v>
      </c>
    </row>
    <row r="3071" spans="1:14" x14ac:dyDescent="0.2">
      <c r="A3071" t="s">
        <v>4184</v>
      </c>
      <c r="B3071" t="s">
        <v>2360</v>
      </c>
      <c r="C3071" s="9">
        <v>45009</v>
      </c>
      <c r="D3071" t="s">
        <v>985</v>
      </c>
      <c r="E3071" s="13">
        <v>2856000</v>
      </c>
      <c r="F3071" s="13">
        <v>13875</v>
      </c>
      <c r="G3071" s="9">
        <v>45010</v>
      </c>
      <c r="H3071" t="s">
        <v>1063</v>
      </c>
      <c r="I3071" t="s">
        <v>3063</v>
      </c>
      <c r="J3071" s="13">
        <v>79254</v>
      </c>
      <c r="K3071">
        <v>1</v>
      </c>
      <c r="L3071" t="s">
        <v>1064</v>
      </c>
      <c r="M3071" t="s">
        <v>3064</v>
      </c>
      <c r="N3071" s="15" t="s">
        <v>6878</v>
      </c>
    </row>
    <row r="3072" spans="1:14" x14ac:dyDescent="0.2">
      <c r="A3072" t="s">
        <v>4185</v>
      </c>
      <c r="B3072" t="s">
        <v>2360</v>
      </c>
      <c r="C3072" s="9">
        <v>45009</v>
      </c>
      <c r="D3072" t="s">
        <v>985</v>
      </c>
      <c r="E3072" s="13">
        <v>1400000</v>
      </c>
      <c r="F3072" s="13">
        <v>13875</v>
      </c>
      <c r="G3072" s="9">
        <v>45010</v>
      </c>
      <c r="H3072" t="s">
        <v>1063</v>
      </c>
      <c r="I3072" t="s">
        <v>3063</v>
      </c>
      <c r="J3072" s="13">
        <v>38850</v>
      </c>
      <c r="K3072">
        <v>1</v>
      </c>
      <c r="L3072" t="s">
        <v>1064</v>
      </c>
      <c r="M3072" t="s">
        <v>3064</v>
      </c>
      <c r="N3072" s="15" t="s">
        <v>6878</v>
      </c>
    </row>
    <row r="3073" spans="1:14" x14ac:dyDescent="0.2">
      <c r="A3073" t="s">
        <v>4186</v>
      </c>
      <c r="B3073" t="s">
        <v>2360</v>
      </c>
      <c r="C3073" s="9">
        <v>45009</v>
      </c>
      <c r="D3073" t="s">
        <v>985</v>
      </c>
      <c r="E3073" s="13">
        <v>2856000</v>
      </c>
      <c r="F3073" s="13">
        <v>13875</v>
      </c>
      <c r="G3073" s="9">
        <v>45010</v>
      </c>
      <c r="H3073" t="s">
        <v>1063</v>
      </c>
      <c r="I3073" t="s">
        <v>3063</v>
      </c>
      <c r="J3073" s="13">
        <v>79254</v>
      </c>
      <c r="K3073">
        <v>1</v>
      </c>
      <c r="L3073" t="s">
        <v>1064</v>
      </c>
      <c r="M3073" t="s">
        <v>3064</v>
      </c>
      <c r="N3073" s="15" t="s">
        <v>6878</v>
      </c>
    </row>
    <row r="3074" spans="1:14" x14ac:dyDescent="0.2">
      <c r="A3074" t="s">
        <v>4187</v>
      </c>
      <c r="B3074" t="s">
        <v>2360</v>
      </c>
      <c r="C3074" s="9">
        <v>45009</v>
      </c>
      <c r="D3074" t="s">
        <v>985</v>
      </c>
      <c r="E3074" s="13">
        <v>1400000</v>
      </c>
      <c r="F3074" s="13">
        <v>13875</v>
      </c>
      <c r="G3074" s="9">
        <v>45018</v>
      </c>
      <c r="H3074" t="s">
        <v>1063</v>
      </c>
      <c r="I3074" t="s">
        <v>3063</v>
      </c>
      <c r="J3074" s="13">
        <v>38850</v>
      </c>
      <c r="K3074">
        <v>1</v>
      </c>
      <c r="L3074" t="s">
        <v>1064</v>
      </c>
      <c r="M3074" t="s">
        <v>3064</v>
      </c>
      <c r="N3074" s="15" t="s">
        <v>6878</v>
      </c>
    </row>
    <row r="3075" spans="1:14" x14ac:dyDescent="0.2">
      <c r="A3075" t="s">
        <v>4188</v>
      </c>
      <c r="B3075" t="s">
        <v>2360</v>
      </c>
      <c r="C3075" s="9">
        <v>45009</v>
      </c>
      <c r="D3075" t="s">
        <v>985</v>
      </c>
      <c r="E3075" s="13">
        <v>2856000</v>
      </c>
      <c r="F3075" s="13">
        <v>13875</v>
      </c>
      <c r="G3075" s="9">
        <v>45018</v>
      </c>
      <c r="H3075" t="s">
        <v>1063</v>
      </c>
      <c r="I3075" t="s">
        <v>3063</v>
      </c>
      <c r="J3075" s="13">
        <v>79254</v>
      </c>
      <c r="K3075">
        <v>1</v>
      </c>
      <c r="L3075" t="s">
        <v>1064</v>
      </c>
      <c r="M3075" t="s">
        <v>3064</v>
      </c>
      <c r="N3075" s="15" t="s">
        <v>6878</v>
      </c>
    </row>
    <row r="3076" spans="1:14" x14ac:dyDescent="0.2">
      <c r="A3076" t="s">
        <v>4189</v>
      </c>
      <c r="B3076" t="s">
        <v>2360</v>
      </c>
      <c r="C3076" s="9">
        <v>45009</v>
      </c>
      <c r="D3076" t="s">
        <v>985</v>
      </c>
      <c r="E3076" s="13">
        <v>2856000</v>
      </c>
      <c r="F3076" s="13">
        <v>13875</v>
      </c>
      <c r="G3076" s="9">
        <v>45018</v>
      </c>
      <c r="H3076" t="s">
        <v>1063</v>
      </c>
      <c r="I3076" t="s">
        <v>3063</v>
      </c>
      <c r="J3076" s="13">
        <v>79254</v>
      </c>
      <c r="K3076">
        <v>1</v>
      </c>
      <c r="L3076" t="s">
        <v>1064</v>
      </c>
      <c r="M3076" t="s">
        <v>3064</v>
      </c>
      <c r="N3076" s="15" t="s">
        <v>6878</v>
      </c>
    </row>
    <row r="3077" spans="1:14" x14ac:dyDescent="0.2">
      <c r="A3077" t="s">
        <v>4190</v>
      </c>
      <c r="B3077" t="s">
        <v>2360</v>
      </c>
      <c r="C3077" s="9">
        <v>45009</v>
      </c>
      <c r="D3077" t="s">
        <v>985</v>
      </c>
      <c r="E3077" s="13">
        <v>2545500</v>
      </c>
      <c r="F3077" s="13">
        <v>13875</v>
      </c>
      <c r="G3077" s="9">
        <v>45018</v>
      </c>
      <c r="H3077" t="s">
        <v>1063</v>
      </c>
      <c r="I3077" t="s">
        <v>3063</v>
      </c>
      <c r="J3077" s="13">
        <v>70637</v>
      </c>
      <c r="K3077">
        <v>1</v>
      </c>
      <c r="L3077" t="s">
        <v>1064</v>
      </c>
      <c r="M3077" t="s">
        <v>3064</v>
      </c>
      <c r="N3077" s="15" t="s">
        <v>6878</v>
      </c>
    </row>
    <row r="3078" spans="1:14" x14ac:dyDescent="0.2">
      <c r="A3078" t="s">
        <v>4191</v>
      </c>
      <c r="B3078" t="s">
        <v>2360</v>
      </c>
      <c r="C3078" s="9">
        <v>45009</v>
      </c>
      <c r="D3078" t="s">
        <v>985</v>
      </c>
      <c r="E3078" s="13">
        <v>2545500</v>
      </c>
      <c r="F3078" s="13">
        <v>13875</v>
      </c>
      <c r="G3078" s="9">
        <v>45027</v>
      </c>
      <c r="H3078" t="s">
        <v>1063</v>
      </c>
      <c r="I3078" t="s">
        <v>3063</v>
      </c>
      <c r="J3078" s="13">
        <v>70637</v>
      </c>
      <c r="K3078">
        <v>1</v>
      </c>
      <c r="L3078" t="s">
        <v>1064</v>
      </c>
      <c r="M3078" t="s">
        <v>3064</v>
      </c>
      <c r="N3078" s="15" t="s">
        <v>6878</v>
      </c>
    </row>
    <row r="3079" spans="1:14" x14ac:dyDescent="0.2">
      <c r="A3079" t="s">
        <v>4192</v>
      </c>
      <c r="B3079" t="s">
        <v>2360</v>
      </c>
      <c r="C3079" s="9">
        <v>45009</v>
      </c>
      <c r="D3079" t="s">
        <v>985</v>
      </c>
      <c r="E3079" s="13">
        <v>2750000</v>
      </c>
      <c r="F3079" s="13">
        <v>13875</v>
      </c>
      <c r="G3079" s="9">
        <v>45027</v>
      </c>
      <c r="H3079" t="s">
        <v>1063</v>
      </c>
      <c r="I3079" t="s">
        <v>3063</v>
      </c>
      <c r="J3079" s="13">
        <v>76312</v>
      </c>
      <c r="K3079">
        <v>1</v>
      </c>
      <c r="L3079" t="s">
        <v>1064</v>
      </c>
      <c r="M3079" t="s">
        <v>3064</v>
      </c>
      <c r="N3079" s="15" t="s">
        <v>6878</v>
      </c>
    </row>
    <row r="3080" spans="1:14" x14ac:dyDescent="0.2">
      <c r="A3080" t="s">
        <v>4193</v>
      </c>
      <c r="B3080" t="s">
        <v>2360</v>
      </c>
      <c r="C3080" s="9">
        <v>45009</v>
      </c>
      <c r="D3080" t="s">
        <v>985</v>
      </c>
      <c r="E3080" s="13">
        <v>4097000</v>
      </c>
      <c r="F3080" s="13">
        <v>13875</v>
      </c>
      <c r="G3080" s="9">
        <v>45027</v>
      </c>
      <c r="H3080" t="s">
        <v>1063</v>
      </c>
      <c r="I3080" t="s">
        <v>3063</v>
      </c>
      <c r="J3080" s="13">
        <v>113691</v>
      </c>
      <c r="K3080">
        <v>1</v>
      </c>
      <c r="L3080" t="s">
        <v>1064</v>
      </c>
      <c r="M3080" t="s">
        <v>3064</v>
      </c>
      <c r="N3080" s="15" t="s">
        <v>6878</v>
      </c>
    </row>
    <row r="3081" spans="1:14" x14ac:dyDescent="0.2">
      <c r="A3081" t="s">
        <v>4194</v>
      </c>
      <c r="B3081" t="s">
        <v>2360</v>
      </c>
      <c r="C3081" s="9">
        <v>45009</v>
      </c>
      <c r="D3081" t="s">
        <v>985</v>
      </c>
      <c r="E3081" s="13">
        <v>4097000</v>
      </c>
      <c r="F3081" s="13">
        <v>13875</v>
      </c>
      <c r="G3081" s="9">
        <v>45027</v>
      </c>
      <c r="H3081" t="s">
        <v>1063</v>
      </c>
      <c r="I3081" t="s">
        <v>3063</v>
      </c>
      <c r="J3081" s="13">
        <v>113691</v>
      </c>
      <c r="K3081">
        <v>1</v>
      </c>
      <c r="L3081" t="s">
        <v>1064</v>
      </c>
      <c r="M3081" t="s">
        <v>3064</v>
      </c>
      <c r="N3081" s="15" t="s">
        <v>6878</v>
      </c>
    </row>
    <row r="3082" spans="1:14" x14ac:dyDescent="0.2">
      <c r="A3082" t="s">
        <v>4195</v>
      </c>
      <c r="B3082" t="s">
        <v>2360</v>
      </c>
      <c r="C3082" s="9">
        <v>45009</v>
      </c>
      <c r="D3082" t="s">
        <v>985</v>
      </c>
      <c r="E3082" s="13">
        <v>1331000</v>
      </c>
      <c r="F3082" s="13">
        <v>13875</v>
      </c>
      <c r="G3082" s="9">
        <v>45018</v>
      </c>
      <c r="H3082" t="s">
        <v>1063</v>
      </c>
      <c r="I3082" t="s">
        <v>3063</v>
      </c>
      <c r="J3082" s="13">
        <v>36935</v>
      </c>
      <c r="K3082">
        <v>1</v>
      </c>
      <c r="L3082" t="s">
        <v>1064</v>
      </c>
      <c r="M3082" t="s">
        <v>3064</v>
      </c>
      <c r="N3082" s="15" t="s">
        <v>6878</v>
      </c>
    </row>
    <row r="3083" spans="1:14" x14ac:dyDescent="0.2">
      <c r="A3083" t="s">
        <v>4196</v>
      </c>
      <c r="B3083" t="s">
        <v>2360</v>
      </c>
      <c r="C3083" s="9">
        <v>45009</v>
      </c>
      <c r="D3083" t="s">
        <v>985</v>
      </c>
      <c r="E3083" s="13">
        <v>2750000</v>
      </c>
      <c r="F3083" s="13">
        <v>13875</v>
      </c>
      <c r="G3083" s="9">
        <v>45018</v>
      </c>
      <c r="H3083" t="s">
        <v>1063</v>
      </c>
      <c r="I3083" t="s">
        <v>3063</v>
      </c>
      <c r="J3083" s="13">
        <v>76312</v>
      </c>
      <c r="K3083">
        <v>1</v>
      </c>
      <c r="L3083" t="s">
        <v>1064</v>
      </c>
      <c r="M3083" t="s">
        <v>3064</v>
      </c>
      <c r="N3083" s="15" t="s">
        <v>6878</v>
      </c>
    </row>
    <row r="3084" spans="1:14" x14ac:dyDescent="0.2">
      <c r="A3084" t="s">
        <v>4197</v>
      </c>
      <c r="B3084" t="s">
        <v>2360</v>
      </c>
      <c r="C3084" s="9">
        <v>45009</v>
      </c>
      <c r="D3084" t="s">
        <v>985</v>
      </c>
      <c r="E3084" s="13">
        <v>2545500</v>
      </c>
      <c r="F3084" s="13">
        <v>13875</v>
      </c>
      <c r="G3084" s="9">
        <v>45018</v>
      </c>
      <c r="H3084" t="s">
        <v>1063</v>
      </c>
      <c r="I3084" t="s">
        <v>3063</v>
      </c>
      <c r="J3084" s="13">
        <v>70637</v>
      </c>
      <c r="K3084">
        <v>1</v>
      </c>
      <c r="L3084" t="s">
        <v>1064</v>
      </c>
      <c r="M3084" t="s">
        <v>3064</v>
      </c>
      <c r="N3084" s="15" t="s">
        <v>6878</v>
      </c>
    </row>
    <row r="3085" spans="1:14" x14ac:dyDescent="0.2">
      <c r="A3085" t="s">
        <v>4198</v>
      </c>
      <c r="B3085" t="s">
        <v>2360</v>
      </c>
      <c r="C3085" s="9">
        <v>45009</v>
      </c>
      <c r="D3085" t="s">
        <v>985</v>
      </c>
      <c r="E3085" s="13">
        <v>1331000</v>
      </c>
      <c r="F3085" s="13">
        <v>13875</v>
      </c>
      <c r="G3085" s="9">
        <v>45018</v>
      </c>
      <c r="H3085" t="s">
        <v>1063</v>
      </c>
      <c r="I3085" t="s">
        <v>3063</v>
      </c>
      <c r="J3085" s="13">
        <v>36935</v>
      </c>
      <c r="K3085">
        <v>1</v>
      </c>
      <c r="L3085" t="s">
        <v>1064</v>
      </c>
      <c r="M3085" t="s">
        <v>3064</v>
      </c>
      <c r="N3085" s="15" t="s">
        <v>6878</v>
      </c>
    </row>
    <row r="3086" spans="1:14" x14ac:dyDescent="0.2">
      <c r="A3086" t="s">
        <v>4199</v>
      </c>
      <c r="B3086" t="s">
        <v>2360</v>
      </c>
      <c r="C3086" s="9">
        <v>45010</v>
      </c>
      <c r="D3086" t="s">
        <v>985</v>
      </c>
      <c r="E3086" s="13">
        <v>4097000</v>
      </c>
      <c r="F3086" s="13">
        <v>13875</v>
      </c>
      <c r="G3086" s="9">
        <v>45018</v>
      </c>
      <c r="H3086" t="s">
        <v>1063</v>
      </c>
      <c r="I3086" t="s">
        <v>3063</v>
      </c>
      <c r="J3086" s="13">
        <v>113691</v>
      </c>
      <c r="K3086">
        <v>1</v>
      </c>
      <c r="L3086" t="s">
        <v>1064</v>
      </c>
      <c r="M3086" t="s">
        <v>3064</v>
      </c>
      <c r="N3086" s="15" t="s">
        <v>6878</v>
      </c>
    </row>
    <row r="3087" spans="1:14" x14ac:dyDescent="0.2">
      <c r="A3087" t="s">
        <v>4200</v>
      </c>
      <c r="B3087" t="s">
        <v>2360</v>
      </c>
      <c r="C3087" s="9">
        <v>45010</v>
      </c>
      <c r="D3087" t="s">
        <v>985</v>
      </c>
      <c r="E3087" s="13">
        <v>2750000</v>
      </c>
      <c r="F3087" s="13">
        <v>13875</v>
      </c>
      <c r="G3087" s="9">
        <v>45018</v>
      </c>
      <c r="H3087" t="s">
        <v>1063</v>
      </c>
      <c r="I3087" t="s">
        <v>3063</v>
      </c>
      <c r="J3087" s="13">
        <v>76312</v>
      </c>
      <c r="K3087">
        <v>1</v>
      </c>
      <c r="L3087" t="s">
        <v>1064</v>
      </c>
      <c r="M3087" t="s">
        <v>3064</v>
      </c>
      <c r="N3087" s="15" t="s">
        <v>6878</v>
      </c>
    </row>
    <row r="3088" spans="1:14" x14ac:dyDescent="0.2">
      <c r="A3088" t="s">
        <v>4201</v>
      </c>
      <c r="B3088" t="s">
        <v>2360</v>
      </c>
      <c r="C3088" s="9">
        <v>45010</v>
      </c>
      <c r="D3088" t="s">
        <v>985</v>
      </c>
      <c r="E3088" s="13">
        <v>1331000</v>
      </c>
      <c r="F3088" s="13">
        <v>13875</v>
      </c>
      <c r="G3088" s="9">
        <v>45018</v>
      </c>
      <c r="H3088" t="s">
        <v>1063</v>
      </c>
      <c r="I3088" t="s">
        <v>3063</v>
      </c>
      <c r="J3088" s="13">
        <v>36935</v>
      </c>
      <c r="K3088">
        <v>1</v>
      </c>
      <c r="L3088" t="s">
        <v>1064</v>
      </c>
      <c r="M3088" t="s">
        <v>3064</v>
      </c>
      <c r="N3088" s="15" t="s">
        <v>6878</v>
      </c>
    </row>
    <row r="3089" spans="1:14" x14ac:dyDescent="0.2">
      <c r="A3089" t="s">
        <v>4202</v>
      </c>
      <c r="B3089" t="s">
        <v>2360</v>
      </c>
      <c r="C3089" s="9">
        <v>45010</v>
      </c>
      <c r="D3089" t="s">
        <v>964</v>
      </c>
      <c r="E3089" s="13">
        <v>13500000</v>
      </c>
      <c r="F3089" s="13">
        <v>27750</v>
      </c>
      <c r="G3089" s="9">
        <v>45018</v>
      </c>
      <c r="H3089" t="s">
        <v>1111</v>
      </c>
      <c r="I3089" t="s">
        <v>2520</v>
      </c>
      <c r="J3089" s="13">
        <v>374625</v>
      </c>
      <c r="K3089">
        <v>1</v>
      </c>
      <c r="L3089" t="s">
        <v>1064</v>
      </c>
      <c r="M3089" t="s">
        <v>2521</v>
      </c>
      <c r="N3089" s="15" t="s">
        <v>6878</v>
      </c>
    </row>
    <row r="3090" spans="1:14" x14ac:dyDescent="0.2">
      <c r="A3090" t="s">
        <v>4203</v>
      </c>
      <c r="B3090" t="s">
        <v>2360</v>
      </c>
      <c r="C3090" s="9">
        <v>45011</v>
      </c>
      <c r="D3090" t="s">
        <v>992</v>
      </c>
      <c r="E3090" s="13">
        <v>4972800</v>
      </c>
      <c r="F3090" s="13">
        <v>22200</v>
      </c>
      <c r="G3090" s="9">
        <v>45011</v>
      </c>
      <c r="H3090" t="s">
        <v>1111</v>
      </c>
      <c r="I3090" t="s">
        <v>2370</v>
      </c>
      <c r="J3090" s="13">
        <v>220792</v>
      </c>
      <c r="K3090">
        <v>1</v>
      </c>
      <c r="L3090" t="s">
        <v>1064</v>
      </c>
      <c r="M3090" t="s">
        <v>2371</v>
      </c>
      <c r="N3090" s="15" t="s">
        <v>6878</v>
      </c>
    </row>
    <row r="3091" spans="1:14" x14ac:dyDescent="0.2">
      <c r="A3091" t="s">
        <v>4204</v>
      </c>
      <c r="B3091" t="s">
        <v>2360</v>
      </c>
      <c r="C3091" s="9">
        <v>45011</v>
      </c>
      <c r="D3091" t="s">
        <v>992</v>
      </c>
      <c r="E3091" s="13">
        <v>12432000</v>
      </c>
      <c r="F3091" s="13">
        <v>22200</v>
      </c>
      <c r="G3091" s="9">
        <v>45011</v>
      </c>
      <c r="H3091" t="s">
        <v>1111</v>
      </c>
      <c r="I3091" t="s">
        <v>2370</v>
      </c>
      <c r="J3091" s="13">
        <v>551980</v>
      </c>
      <c r="K3091">
        <v>1</v>
      </c>
      <c r="L3091" t="s">
        <v>1064</v>
      </c>
      <c r="M3091" t="s">
        <v>2371</v>
      </c>
      <c r="N3091" s="15" t="s">
        <v>6878</v>
      </c>
    </row>
    <row r="3092" spans="1:14" x14ac:dyDescent="0.2">
      <c r="A3092" t="s">
        <v>4205</v>
      </c>
      <c r="B3092" t="s">
        <v>2360</v>
      </c>
      <c r="C3092" s="9">
        <v>45011</v>
      </c>
      <c r="D3092" t="s">
        <v>992</v>
      </c>
      <c r="E3092" s="13">
        <v>1276000</v>
      </c>
      <c r="F3092" s="13">
        <v>20000</v>
      </c>
      <c r="H3092" t="s">
        <v>2272</v>
      </c>
      <c r="I3092" t="s">
        <v>2370</v>
      </c>
      <c r="J3092" s="13">
        <v>0</v>
      </c>
      <c r="K3092">
        <v>1</v>
      </c>
      <c r="L3092" t="s">
        <v>1064</v>
      </c>
      <c r="M3092" t="s">
        <v>2371</v>
      </c>
      <c r="N3092" s="14" t="s">
        <v>6877</v>
      </c>
    </row>
    <row r="3093" spans="1:14" x14ac:dyDescent="0.2">
      <c r="A3093" t="s">
        <v>4206</v>
      </c>
      <c r="B3093" t="s">
        <v>2360</v>
      </c>
      <c r="C3093" s="9">
        <v>45011</v>
      </c>
      <c r="D3093" t="s">
        <v>992</v>
      </c>
      <c r="E3093" s="13">
        <v>4506431</v>
      </c>
      <c r="F3093" s="13">
        <v>22200</v>
      </c>
      <c r="G3093" s="9">
        <v>45011</v>
      </c>
      <c r="H3093" t="s">
        <v>1111</v>
      </c>
      <c r="I3093" t="s">
        <v>2370</v>
      </c>
      <c r="J3093" s="13">
        <v>200085</v>
      </c>
      <c r="K3093">
        <v>1</v>
      </c>
      <c r="L3093" t="s">
        <v>1064</v>
      </c>
      <c r="M3093" t="s">
        <v>2371</v>
      </c>
      <c r="N3093" s="15" t="s">
        <v>6878</v>
      </c>
    </row>
    <row r="3094" spans="1:14" x14ac:dyDescent="0.2">
      <c r="A3094" t="s">
        <v>4207</v>
      </c>
      <c r="B3094" t="s">
        <v>2360</v>
      </c>
      <c r="C3094" s="9">
        <v>45011</v>
      </c>
      <c r="D3094" t="s">
        <v>992</v>
      </c>
      <c r="E3094" s="13">
        <v>4226991</v>
      </c>
      <c r="F3094" s="13">
        <v>22200</v>
      </c>
      <c r="G3094" s="9">
        <v>45011</v>
      </c>
      <c r="H3094" t="s">
        <v>1111</v>
      </c>
      <c r="I3094" t="s">
        <v>2370</v>
      </c>
      <c r="J3094" s="13">
        <v>187677</v>
      </c>
      <c r="K3094">
        <v>1</v>
      </c>
      <c r="L3094" t="s">
        <v>1064</v>
      </c>
      <c r="M3094" t="s">
        <v>2371</v>
      </c>
      <c r="N3094" s="15" t="s">
        <v>6878</v>
      </c>
    </row>
    <row r="3095" spans="1:14" x14ac:dyDescent="0.2">
      <c r="A3095" t="s">
        <v>4208</v>
      </c>
      <c r="B3095" t="s">
        <v>2360</v>
      </c>
      <c r="C3095" s="9">
        <v>45011</v>
      </c>
      <c r="D3095" t="s">
        <v>992</v>
      </c>
      <c r="E3095" s="13">
        <v>2552000</v>
      </c>
      <c r="F3095" s="13">
        <v>20000</v>
      </c>
      <c r="H3095" t="s">
        <v>2272</v>
      </c>
      <c r="I3095" t="s">
        <v>2370</v>
      </c>
      <c r="J3095" s="13">
        <v>0</v>
      </c>
      <c r="K3095">
        <v>1</v>
      </c>
      <c r="L3095" t="s">
        <v>1064</v>
      </c>
      <c r="M3095" t="s">
        <v>2371</v>
      </c>
      <c r="N3095" s="14" t="s">
        <v>6877</v>
      </c>
    </row>
    <row r="3096" spans="1:14" x14ac:dyDescent="0.2">
      <c r="A3096" t="s">
        <v>4209</v>
      </c>
      <c r="B3096" t="s">
        <v>2360</v>
      </c>
      <c r="C3096" s="9">
        <v>45011</v>
      </c>
      <c r="D3096" t="s">
        <v>992</v>
      </c>
      <c r="E3096" s="13">
        <v>3034517</v>
      </c>
      <c r="F3096" s="13">
        <v>22200</v>
      </c>
      <c r="G3096" s="9">
        <v>45011</v>
      </c>
      <c r="H3096" t="s">
        <v>1111</v>
      </c>
      <c r="I3096" t="s">
        <v>2370</v>
      </c>
      <c r="J3096" s="13">
        <v>134731</v>
      </c>
      <c r="K3096">
        <v>1</v>
      </c>
      <c r="L3096" t="s">
        <v>1064</v>
      </c>
      <c r="M3096" t="s">
        <v>2371</v>
      </c>
      <c r="N3096" s="15" t="s">
        <v>6878</v>
      </c>
    </row>
    <row r="3097" spans="1:14" x14ac:dyDescent="0.2">
      <c r="A3097" t="s">
        <v>4210</v>
      </c>
      <c r="B3097" t="s">
        <v>2360</v>
      </c>
      <c r="C3097" s="9">
        <v>45011</v>
      </c>
      <c r="D3097" t="s">
        <v>992</v>
      </c>
      <c r="E3097" s="13">
        <v>4232552</v>
      </c>
      <c r="F3097" s="13">
        <v>22200</v>
      </c>
      <c r="G3097" s="9">
        <v>45011</v>
      </c>
      <c r="H3097" t="s">
        <v>1111</v>
      </c>
      <c r="I3097" t="s">
        <v>2370</v>
      </c>
      <c r="J3097" s="13">
        <v>187925</v>
      </c>
      <c r="K3097">
        <v>1</v>
      </c>
      <c r="L3097" t="s">
        <v>1064</v>
      </c>
      <c r="M3097" t="s">
        <v>2371</v>
      </c>
      <c r="N3097" s="15" t="s">
        <v>6878</v>
      </c>
    </row>
    <row r="3098" spans="1:14" x14ac:dyDescent="0.2">
      <c r="A3098" t="s">
        <v>4211</v>
      </c>
      <c r="B3098" t="s">
        <v>2360</v>
      </c>
      <c r="C3098" s="9">
        <v>45011</v>
      </c>
      <c r="D3098" t="s">
        <v>992</v>
      </c>
      <c r="E3098" s="13">
        <v>2200947</v>
      </c>
      <c r="F3098" s="13">
        <v>22200</v>
      </c>
      <c r="G3098" s="9">
        <v>45012</v>
      </c>
      <c r="H3098" t="s">
        <v>1111</v>
      </c>
      <c r="I3098" t="s">
        <v>2370</v>
      </c>
      <c r="J3098" s="13">
        <v>97721</v>
      </c>
      <c r="K3098">
        <v>1</v>
      </c>
      <c r="L3098" t="s">
        <v>1064</v>
      </c>
      <c r="M3098" t="s">
        <v>2371</v>
      </c>
      <c r="N3098" s="15" t="s">
        <v>6878</v>
      </c>
    </row>
    <row r="3099" spans="1:14" x14ac:dyDescent="0.2">
      <c r="A3099" t="s">
        <v>4212</v>
      </c>
      <c r="B3099" t="s">
        <v>2360</v>
      </c>
      <c r="C3099" s="9">
        <v>45011</v>
      </c>
      <c r="D3099" t="s">
        <v>9</v>
      </c>
      <c r="E3099" s="13">
        <v>458150</v>
      </c>
      <c r="F3099" s="13">
        <v>24975</v>
      </c>
      <c r="G3099" s="9">
        <v>45029</v>
      </c>
      <c r="H3099" t="s">
        <v>1111</v>
      </c>
      <c r="I3099" t="s">
        <v>436</v>
      </c>
      <c r="J3099" s="13">
        <v>15255</v>
      </c>
      <c r="K3099">
        <v>1</v>
      </c>
      <c r="L3099" t="s">
        <v>1064</v>
      </c>
      <c r="M3099" t="s">
        <v>2364</v>
      </c>
      <c r="N3099" s="15" t="s">
        <v>6878</v>
      </c>
    </row>
    <row r="3100" spans="1:14" x14ac:dyDescent="0.2">
      <c r="A3100" t="s">
        <v>4213</v>
      </c>
      <c r="B3100" t="s">
        <v>2360</v>
      </c>
      <c r="C3100" s="9">
        <v>45011</v>
      </c>
      <c r="D3100" t="s">
        <v>9</v>
      </c>
      <c r="E3100" s="13">
        <v>315560</v>
      </c>
      <c r="F3100" s="13">
        <v>24975</v>
      </c>
      <c r="G3100" s="9">
        <v>45028</v>
      </c>
      <c r="H3100" t="s">
        <v>1111</v>
      </c>
      <c r="I3100" t="s">
        <v>436</v>
      </c>
      <c r="J3100" s="13">
        <v>10507</v>
      </c>
      <c r="K3100">
        <v>1</v>
      </c>
      <c r="L3100" t="s">
        <v>1064</v>
      </c>
      <c r="M3100" t="s">
        <v>2364</v>
      </c>
      <c r="N3100" s="15" t="s">
        <v>6878</v>
      </c>
    </row>
    <row r="3101" spans="1:14" x14ac:dyDescent="0.2">
      <c r="A3101" t="s">
        <v>4214</v>
      </c>
      <c r="B3101" t="s">
        <v>2360</v>
      </c>
      <c r="C3101" s="9">
        <v>45011</v>
      </c>
      <c r="D3101" t="s">
        <v>9</v>
      </c>
      <c r="E3101" s="13">
        <v>458150</v>
      </c>
      <c r="F3101" s="13">
        <v>49950</v>
      </c>
      <c r="G3101" s="9">
        <v>45029</v>
      </c>
      <c r="H3101" t="s">
        <v>1111</v>
      </c>
      <c r="I3101" t="s">
        <v>436</v>
      </c>
      <c r="J3101" s="13">
        <v>15255</v>
      </c>
      <c r="K3101">
        <v>2</v>
      </c>
      <c r="L3101" t="s">
        <v>1064</v>
      </c>
      <c r="M3101" t="s">
        <v>2364</v>
      </c>
      <c r="N3101" s="15" t="s">
        <v>6878</v>
      </c>
    </row>
    <row r="3102" spans="1:14" x14ac:dyDescent="0.2">
      <c r="A3102" t="s">
        <v>4215</v>
      </c>
      <c r="B3102" t="s">
        <v>2360</v>
      </c>
      <c r="C3102" s="9">
        <v>45011</v>
      </c>
      <c r="D3102" t="s">
        <v>998</v>
      </c>
      <c r="E3102" s="13">
        <v>19000000</v>
      </c>
      <c r="F3102" s="13">
        <v>27750</v>
      </c>
      <c r="G3102" s="9">
        <v>45012</v>
      </c>
      <c r="H3102" t="s">
        <v>1063</v>
      </c>
      <c r="I3102" t="s">
        <v>2902</v>
      </c>
      <c r="J3102" s="13">
        <v>843600</v>
      </c>
      <c r="K3102">
        <v>1</v>
      </c>
      <c r="L3102" t="s">
        <v>1064</v>
      </c>
      <c r="M3102" t="s">
        <v>2903</v>
      </c>
      <c r="N3102" s="15" t="s">
        <v>6878</v>
      </c>
    </row>
    <row r="3103" spans="1:14" x14ac:dyDescent="0.2">
      <c r="A3103" t="s">
        <v>4216</v>
      </c>
      <c r="B3103" t="s">
        <v>2360</v>
      </c>
      <c r="C3103" s="9">
        <v>45011</v>
      </c>
      <c r="D3103" t="s">
        <v>992</v>
      </c>
      <c r="E3103" s="13">
        <v>4199694</v>
      </c>
      <c r="F3103" s="13">
        <v>22200</v>
      </c>
      <c r="G3103" s="9">
        <v>45018</v>
      </c>
      <c r="H3103" t="s">
        <v>1111</v>
      </c>
      <c r="I3103" t="s">
        <v>2370</v>
      </c>
      <c r="J3103" s="13">
        <v>186465</v>
      </c>
      <c r="K3103">
        <v>1</v>
      </c>
      <c r="L3103" t="s">
        <v>1064</v>
      </c>
      <c r="M3103" t="s">
        <v>2371</v>
      </c>
      <c r="N3103" s="15" t="s">
        <v>6878</v>
      </c>
    </row>
    <row r="3104" spans="1:14" x14ac:dyDescent="0.2">
      <c r="A3104" t="s">
        <v>4217</v>
      </c>
      <c r="B3104" t="s">
        <v>2360</v>
      </c>
      <c r="C3104" s="9">
        <v>45011</v>
      </c>
      <c r="D3104" t="s">
        <v>992</v>
      </c>
      <c r="E3104" s="13">
        <v>1172760</v>
      </c>
      <c r="F3104" s="13">
        <v>22200</v>
      </c>
      <c r="G3104" s="9">
        <v>45018</v>
      </c>
      <c r="H3104" t="s">
        <v>1111</v>
      </c>
      <c r="I3104" t="s">
        <v>2370</v>
      </c>
      <c r="J3104" s="13">
        <v>52070</v>
      </c>
      <c r="K3104">
        <v>1</v>
      </c>
      <c r="L3104" t="s">
        <v>1064</v>
      </c>
      <c r="M3104" t="s">
        <v>2371</v>
      </c>
      <c r="N3104" s="15" t="s">
        <v>6878</v>
      </c>
    </row>
    <row r="3105" spans="1:14" x14ac:dyDescent="0.2">
      <c r="A3105" t="s">
        <v>4218</v>
      </c>
      <c r="B3105" t="s">
        <v>2360</v>
      </c>
      <c r="C3105" s="9">
        <v>45011</v>
      </c>
      <c r="D3105" t="s">
        <v>992</v>
      </c>
      <c r="E3105" s="13">
        <v>4054110</v>
      </c>
      <c r="F3105" s="13">
        <v>22200</v>
      </c>
      <c r="G3105" s="9">
        <v>45018</v>
      </c>
      <c r="H3105" t="s">
        <v>1111</v>
      </c>
      <c r="I3105" t="s">
        <v>2370</v>
      </c>
      <c r="J3105" s="13">
        <v>180002</v>
      </c>
      <c r="K3105">
        <v>1</v>
      </c>
      <c r="L3105" t="s">
        <v>1064</v>
      </c>
      <c r="M3105" t="s">
        <v>2371</v>
      </c>
      <c r="N3105" s="15" t="s">
        <v>6878</v>
      </c>
    </row>
    <row r="3106" spans="1:14" x14ac:dyDescent="0.2">
      <c r="A3106" t="s">
        <v>4219</v>
      </c>
      <c r="B3106" t="s">
        <v>2360</v>
      </c>
      <c r="C3106" s="9">
        <v>45011</v>
      </c>
      <c r="D3106" t="s">
        <v>992</v>
      </c>
      <c r="E3106" s="13">
        <v>1608962</v>
      </c>
      <c r="F3106" s="13">
        <v>22200</v>
      </c>
      <c r="G3106" s="9">
        <v>45012</v>
      </c>
      <c r="H3106" t="s">
        <v>1111</v>
      </c>
      <c r="I3106" t="s">
        <v>2370</v>
      </c>
      <c r="J3106" s="13">
        <v>71437</v>
      </c>
      <c r="K3106">
        <v>1</v>
      </c>
      <c r="L3106" t="s">
        <v>1064</v>
      </c>
      <c r="M3106" t="s">
        <v>2371</v>
      </c>
      <c r="N3106" s="15" t="s">
        <v>6878</v>
      </c>
    </row>
    <row r="3107" spans="1:14" x14ac:dyDescent="0.2">
      <c r="A3107" t="s">
        <v>4220</v>
      </c>
      <c r="B3107" t="s">
        <v>2360</v>
      </c>
      <c r="C3107" s="9">
        <v>45012</v>
      </c>
      <c r="D3107" t="s">
        <v>9</v>
      </c>
      <c r="E3107" s="13">
        <v>274890</v>
      </c>
      <c r="F3107" s="13">
        <v>24975</v>
      </c>
      <c r="G3107" s="9">
        <v>45029</v>
      </c>
      <c r="H3107" t="s">
        <v>1111</v>
      </c>
      <c r="I3107" t="s">
        <v>436</v>
      </c>
      <c r="J3107" s="13">
        <v>9153</v>
      </c>
      <c r="K3107">
        <v>1</v>
      </c>
      <c r="L3107" t="s">
        <v>1064</v>
      </c>
      <c r="M3107" t="s">
        <v>2364</v>
      </c>
      <c r="N3107" s="15" t="s">
        <v>6878</v>
      </c>
    </row>
    <row r="3108" spans="1:14" x14ac:dyDescent="0.2">
      <c r="A3108" t="s">
        <v>4221</v>
      </c>
      <c r="B3108" t="s">
        <v>2360</v>
      </c>
      <c r="C3108" s="9">
        <v>45012</v>
      </c>
      <c r="D3108" t="s">
        <v>981</v>
      </c>
      <c r="E3108" s="13">
        <v>2457750</v>
      </c>
      <c r="F3108" s="13">
        <v>25000</v>
      </c>
      <c r="H3108" t="s">
        <v>2184</v>
      </c>
      <c r="I3108" t="s">
        <v>4222</v>
      </c>
      <c r="J3108" s="13">
        <v>0</v>
      </c>
      <c r="K3108">
        <v>1</v>
      </c>
      <c r="L3108" t="s">
        <v>1064</v>
      </c>
      <c r="M3108" t="s">
        <v>4223</v>
      </c>
      <c r="N3108" s="14" t="s">
        <v>6877</v>
      </c>
    </row>
    <row r="3109" spans="1:14" x14ac:dyDescent="0.2">
      <c r="A3109" t="s">
        <v>4224</v>
      </c>
      <c r="B3109" t="s">
        <v>2360</v>
      </c>
      <c r="C3109" s="9">
        <v>45012</v>
      </c>
      <c r="D3109" t="s">
        <v>946</v>
      </c>
      <c r="E3109" s="13">
        <v>22956818</v>
      </c>
      <c r="F3109" s="13">
        <v>5550</v>
      </c>
      <c r="G3109" s="9">
        <v>45015</v>
      </c>
      <c r="H3109" t="s">
        <v>1111</v>
      </c>
      <c r="I3109" t="s">
        <v>2382</v>
      </c>
      <c r="J3109" s="13">
        <v>382230</v>
      </c>
      <c r="K3109">
        <v>1</v>
      </c>
      <c r="L3109" t="s">
        <v>1064</v>
      </c>
      <c r="M3109" t="s">
        <v>2383</v>
      </c>
      <c r="N3109" s="15" t="s">
        <v>6878</v>
      </c>
    </row>
    <row r="3110" spans="1:14" x14ac:dyDescent="0.2">
      <c r="A3110" t="s">
        <v>4225</v>
      </c>
      <c r="B3110" t="s">
        <v>2360</v>
      </c>
      <c r="C3110" s="9">
        <v>45012</v>
      </c>
      <c r="D3110" t="s">
        <v>946</v>
      </c>
      <c r="E3110" s="13">
        <v>5293450</v>
      </c>
      <c r="F3110" s="13">
        <v>5550</v>
      </c>
      <c r="G3110" s="9">
        <v>45015</v>
      </c>
      <c r="H3110" t="s">
        <v>1111</v>
      </c>
      <c r="I3110" t="s">
        <v>2382</v>
      </c>
      <c r="J3110" s="13">
        <v>88135</v>
      </c>
      <c r="K3110">
        <v>1</v>
      </c>
      <c r="L3110" t="s">
        <v>1064</v>
      </c>
      <c r="M3110" t="s">
        <v>2383</v>
      </c>
      <c r="N3110" s="15" t="s">
        <v>6878</v>
      </c>
    </row>
    <row r="3111" spans="1:14" x14ac:dyDescent="0.2">
      <c r="A3111" t="s">
        <v>4226</v>
      </c>
      <c r="B3111" t="s">
        <v>2360</v>
      </c>
      <c r="C3111" s="9">
        <v>45012</v>
      </c>
      <c r="D3111" t="s">
        <v>946</v>
      </c>
      <c r="E3111" s="13">
        <v>5293450</v>
      </c>
      <c r="F3111" s="13">
        <v>5550</v>
      </c>
      <c r="G3111" s="9">
        <v>45015</v>
      </c>
      <c r="H3111" t="s">
        <v>1111</v>
      </c>
      <c r="I3111" t="s">
        <v>2382</v>
      </c>
      <c r="J3111" s="13">
        <v>88135</v>
      </c>
      <c r="K3111">
        <v>1</v>
      </c>
      <c r="L3111" t="s">
        <v>1064</v>
      </c>
      <c r="M3111" t="s">
        <v>2383</v>
      </c>
      <c r="N3111" s="15" t="s">
        <v>6878</v>
      </c>
    </row>
    <row r="3112" spans="1:14" x14ac:dyDescent="0.2">
      <c r="A3112" t="s">
        <v>4227</v>
      </c>
      <c r="B3112" t="s">
        <v>2360</v>
      </c>
      <c r="C3112" s="9">
        <v>45012</v>
      </c>
      <c r="D3112" t="s">
        <v>946</v>
      </c>
      <c r="E3112" s="13">
        <v>5293450</v>
      </c>
      <c r="F3112" s="13">
        <v>5550</v>
      </c>
      <c r="G3112" s="9">
        <v>45015</v>
      </c>
      <c r="H3112" t="s">
        <v>1111</v>
      </c>
      <c r="I3112" t="s">
        <v>2382</v>
      </c>
      <c r="J3112" s="13">
        <v>88135</v>
      </c>
      <c r="K3112">
        <v>1</v>
      </c>
      <c r="L3112" t="s">
        <v>1064</v>
      </c>
      <c r="M3112" t="s">
        <v>2383</v>
      </c>
      <c r="N3112" s="15" t="s">
        <v>6878</v>
      </c>
    </row>
    <row r="3113" spans="1:14" x14ac:dyDescent="0.2">
      <c r="A3113" t="s">
        <v>4228</v>
      </c>
      <c r="B3113" t="s">
        <v>2360</v>
      </c>
      <c r="C3113" s="9">
        <v>45012</v>
      </c>
      <c r="D3113" t="s">
        <v>946</v>
      </c>
      <c r="E3113" s="13">
        <v>5293450</v>
      </c>
      <c r="F3113" s="13">
        <v>5550</v>
      </c>
      <c r="G3113" s="9">
        <v>45015</v>
      </c>
      <c r="H3113" t="s">
        <v>1111</v>
      </c>
      <c r="I3113" t="s">
        <v>2382</v>
      </c>
      <c r="J3113" s="13">
        <v>88135</v>
      </c>
      <c r="K3113">
        <v>1</v>
      </c>
      <c r="L3113" t="s">
        <v>1064</v>
      </c>
      <c r="M3113" t="s">
        <v>2383</v>
      </c>
      <c r="N3113" s="15" t="s">
        <v>6878</v>
      </c>
    </row>
    <row r="3114" spans="1:14" x14ac:dyDescent="0.2">
      <c r="A3114" t="s">
        <v>4229</v>
      </c>
      <c r="B3114" t="s">
        <v>2360</v>
      </c>
      <c r="C3114" s="9">
        <v>45012</v>
      </c>
      <c r="D3114" t="s">
        <v>946</v>
      </c>
      <c r="E3114" s="13">
        <v>5293450</v>
      </c>
      <c r="F3114" s="13">
        <v>5550</v>
      </c>
      <c r="G3114" s="9">
        <v>45015</v>
      </c>
      <c r="H3114" t="s">
        <v>1111</v>
      </c>
      <c r="I3114" t="s">
        <v>2382</v>
      </c>
      <c r="J3114" s="13">
        <v>88135</v>
      </c>
      <c r="K3114">
        <v>1</v>
      </c>
      <c r="L3114" t="s">
        <v>1064</v>
      </c>
      <c r="M3114" t="s">
        <v>2383</v>
      </c>
      <c r="N3114" s="15" t="s">
        <v>6878</v>
      </c>
    </row>
    <row r="3115" spans="1:14" x14ac:dyDescent="0.2">
      <c r="A3115" t="s">
        <v>4230</v>
      </c>
      <c r="B3115" t="s">
        <v>2360</v>
      </c>
      <c r="C3115" s="9">
        <v>45012</v>
      </c>
      <c r="D3115" t="s">
        <v>946</v>
      </c>
      <c r="E3115" s="13">
        <v>13745930</v>
      </c>
      <c r="F3115" s="13">
        <v>5550</v>
      </c>
      <c r="G3115" s="9">
        <v>45015</v>
      </c>
      <c r="H3115" t="s">
        <v>1111</v>
      </c>
      <c r="I3115" t="s">
        <v>2382</v>
      </c>
      <c r="J3115" s="13">
        <v>228868</v>
      </c>
      <c r="K3115">
        <v>1</v>
      </c>
      <c r="L3115" t="s">
        <v>1064</v>
      </c>
      <c r="M3115" t="s">
        <v>2383</v>
      </c>
      <c r="N3115" s="15" t="s">
        <v>6878</v>
      </c>
    </row>
    <row r="3116" spans="1:14" x14ac:dyDescent="0.2">
      <c r="A3116" t="s">
        <v>4231</v>
      </c>
      <c r="B3116" t="s">
        <v>2360</v>
      </c>
      <c r="C3116" s="9">
        <v>45012</v>
      </c>
      <c r="D3116" t="s">
        <v>946</v>
      </c>
      <c r="E3116" s="13">
        <v>6549825</v>
      </c>
      <c r="F3116" s="13">
        <v>5550</v>
      </c>
      <c r="G3116" s="9">
        <v>45015</v>
      </c>
      <c r="H3116" t="s">
        <v>1111</v>
      </c>
      <c r="I3116" t="s">
        <v>2382</v>
      </c>
      <c r="J3116" s="13">
        <v>109054</v>
      </c>
      <c r="K3116">
        <v>1</v>
      </c>
      <c r="L3116" t="s">
        <v>1064</v>
      </c>
      <c r="M3116" t="s">
        <v>2383</v>
      </c>
      <c r="N3116" s="15" t="s">
        <v>6878</v>
      </c>
    </row>
    <row r="3117" spans="1:14" x14ac:dyDescent="0.2">
      <c r="A3117" t="s">
        <v>4232</v>
      </c>
      <c r="B3117" t="s">
        <v>2360</v>
      </c>
      <c r="C3117" s="9">
        <v>45012</v>
      </c>
      <c r="D3117" t="s">
        <v>946</v>
      </c>
      <c r="E3117" s="13">
        <v>5511950</v>
      </c>
      <c r="F3117" s="13">
        <v>5550</v>
      </c>
      <c r="G3117" s="9">
        <v>45015</v>
      </c>
      <c r="H3117" t="s">
        <v>1111</v>
      </c>
      <c r="I3117" t="s">
        <v>2382</v>
      </c>
      <c r="J3117" s="13">
        <v>91773</v>
      </c>
      <c r="K3117">
        <v>1</v>
      </c>
      <c r="L3117" t="s">
        <v>1064</v>
      </c>
      <c r="M3117" t="s">
        <v>2383</v>
      </c>
      <c r="N3117" s="15" t="s">
        <v>6878</v>
      </c>
    </row>
    <row r="3118" spans="1:14" x14ac:dyDescent="0.2">
      <c r="A3118" t="s">
        <v>4233</v>
      </c>
      <c r="B3118" t="s">
        <v>2360</v>
      </c>
      <c r="C3118" s="9">
        <v>45012</v>
      </c>
      <c r="D3118" t="s">
        <v>946</v>
      </c>
      <c r="E3118" s="13">
        <v>5511950</v>
      </c>
      <c r="F3118" s="13">
        <v>5550</v>
      </c>
      <c r="G3118" s="9">
        <v>45015</v>
      </c>
      <c r="H3118" t="s">
        <v>1111</v>
      </c>
      <c r="I3118" t="s">
        <v>2382</v>
      </c>
      <c r="J3118" s="13">
        <v>91773</v>
      </c>
      <c r="K3118">
        <v>1</v>
      </c>
      <c r="L3118" t="s">
        <v>1064</v>
      </c>
      <c r="M3118" t="s">
        <v>2383</v>
      </c>
      <c r="N3118" s="15" t="s">
        <v>6878</v>
      </c>
    </row>
    <row r="3119" spans="1:14" x14ac:dyDescent="0.2">
      <c r="A3119" t="s">
        <v>4234</v>
      </c>
      <c r="B3119" t="s">
        <v>2360</v>
      </c>
      <c r="C3119" s="9">
        <v>45012</v>
      </c>
      <c r="D3119" t="s">
        <v>946</v>
      </c>
      <c r="E3119" s="13">
        <v>5511950</v>
      </c>
      <c r="F3119" s="13">
        <v>5550</v>
      </c>
      <c r="G3119" s="9">
        <v>45015</v>
      </c>
      <c r="H3119" t="s">
        <v>1111</v>
      </c>
      <c r="I3119" t="s">
        <v>2382</v>
      </c>
      <c r="J3119" s="13">
        <v>91773</v>
      </c>
      <c r="K3119">
        <v>1</v>
      </c>
      <c r="L3119" t="s">
        <v>1064</v>
      </c>
      <c r="M3119" t="s">
        <v>2383</v>
      </c>
      <c r="N3119" s="15" t="s">
        <v>6878</v>
      </c>
    </row>
    <row r="3120" spans="1:14" x14ac:dyDescent="0.2">
      <c r="A3120" t="s">
        <v>4235</v>
      </c>
      <c r="B3120" t="s">
        <v>2360</v>
      </c>
      <c r="C3120" s="9">
        <v>45012</v>
      </c>
      <c r="D3120" t="s">
        <v>946</v>
      </c>
      <c r="E3120" s="13">
        <v>5511950</v>
      </c>
      <c r="F3120" s="13">
        <v>5550</v>
      </c>
      <c r="G3120" s="9">
        <v>45015</v>
      </c>
      <c r="H3120" t="s">
        <v>1111</v>
      </c>
      <c r="I3120" t="s">
        <v>2382</v>
      </c>
      <c r="J3120" s="13">
        <v>91773</v>
      </c>
      <c r="K3120">
        <v>1</v>
      </c>
      <c r="L3120" t="s">
        <v>1064</v>
      </c>
      <c r="M3120" t="s">
        <v>2383</v>
      </c>
      <c r="N3120" s="15" t="s">
        <v>6878</v>
      </c>
    </row>
    <row r="3121" spans="1:14" x14ac:dyDescent="0.2">
      <c r="A3121" t="s">
        <v>4236</v>
      </c>
      <c r="B3121" t="s">
        <v>2360</v>
      </c>
      <c r="C3121" s="9">
        <v>45012</v>
      </c>
      <c r="D3121" t="s">
        <v>946</v>
      </c>
      <c r="E3121" s="13">
        <v>6549825</v>
      </c>
      <c r="F3121" s="13">
        <v>5550</v>
      </c>
      <c r="G3121" s="9">
        <v>45015</v>
      </c>
      <c r="H3121" t="s">
        <v>1111</v>
      </c>
      <c r="I3121" t="s">
        <v>2382</v>
      </c>
      <c r="J3121" s="13">
        <v>109054</v>
      </c>
      <c r="K3121">
        <v>1</v>
      </c>
      <c r="L3121" t="s">
        <v>1064</v>
      </c>
      <c r="M3121" t="s">
        <v>2383</v>
      </c>
      <c r="N3121" s="15" t="s">
        <v>6878</v>
      </c>
    </row>
    <row r="3122" spans="1:14" x14ac:dyDescent="0.2">
      <c r="A3122" t="s">
        <v>4237</v>
      </c>
      <c r="B3122" t="s">
        <v>2360</v>
      </c>
      <c r="C3122" s="9">
        <v>45012</v>
      </c>
      <c r="D3122" t="s">
        <v>946</v>
      </c>
      <c r="E3122" s="13">
        <v>6549825</v>
      </c>
      <c r="F3122" s="13">
        <v>5550</v>
      </c>
      <c r="G3122" s="9">
        <v>45015</v>
      </c>
      <c r="H3122" t="s">
        <v>1111</v>
      </c>
      <c r="I3122" t="s">
        <v>2382</v>
      </c>
      <c r="J3122" s="13">
        <v>109054</v>
      </c>
      <c r="K3122">
        <v>1</v>
      </c>
      <c r="L3122" t="s">
        <v>1064</v>
      </c>
      <c r="M3122" t="s">
        <v>2383</v>
      </c>
      <c r="N3122" s="15" t="s">
        <v>6878</v>
      </c>
    </row>
    <row r="3123" spans="1:14" x14ac:dyDescent="0.2">
      <c r="A3123" t="s">
        <v>4238</v>
      </c>
      <c r="B3123" t="s">
        <v>2360</v>
      </c>
      <c r="C3123" s="9">
        <v>45012</v>
      </c>
      <c r="D3123" t="s">
        <v>946</v>
      </c>
      <c r="E3123" s="13">
        <v>5511950</v>
      </c>
      <c r="F3123" s="13">
        <v>5550</v>
      </c>
      <c r="G3123" s="9">
        <v>45015</v>
      </c>
      <c r="H3123" t="s">
        <v>1111</v>
      </c>
      <c r="I3123" t="s">
        <v>2382</v>
      </c>
      <c r="J3123" s="13">
        <v>91773</v>
      </c>
      <c r="K3123">
        <v>1</v>
      </c>
      <c r="L3123" t="s">
        <v>1064</v>
      </c>
      <c r="M3123" t="s">
        <v>2383</v>
      </c>
      <c r="N3123" s="15" t="s">
        <v>6878</v>
      </c>
    </row>
    <row r="3124" spans="1:14" x14ac:dyDescent="0.2">
      <c r="A3124" t="s">
        <v>4239</v>
      </c>
      <c r="B3124" t="s">
        <v>2360</v>
      </c>
      <c r="C3124" s="9">
        <v>45012</v>
      </c>
      <c r="D3124" t="s">
        <v>946</v>
      </c>
      <c r="E3124" s="13">
        <v>6549825</v>
      </c>
      <c r="F3124" s="13">
        <v>5550</v>
      </c>
      <c r="G3124" s="9">
        <v>45015</v>
      </c>
      <c r="H3124" t="s">
        <v>1111</v>
      </c>
      <c r="I3124" t="s">
        <v>2382</v>
      </c>
      <c r="J3124" s="13">
        <v>109054</v>
      </c>
      <c r="K3124">
        <v>1</v>
      </c>
      <c r="L3124" t="s">
        <v>1064</v>
      </c>
      <c r="M3124" t="s">
        <v>2383</v>
      </c>
      <c r="N3124" s="15" t="s">
        <v>6878</v>
      </c>
    </row>
    <row r="3125" spans="1:14" x14ac:dyDescent="0.2">
      <c r="A3125" t="s">
        <v>4240</v>
      </c>
      <c r="B3125" t="s">
        <v>2360</v>
      </c>
      <c r="C3125" s="9">
        <v>45012</v>
      </c>
      <c r="D3125" t="s">
        <v>946</v>
      </c>
      <c r="E3125" s="13">
        <v>6549825</v>
      </c>
      <c r="F3125" s="13">
        <v>5550</v>
      </c>
      <c r="G3125" s="9">
        <v>45015</v>
      </c>
      <c r="H3125" t="s">
        <v>1111</v>
      </c>
      <c r="I3125" t="s">
        <v>2382</v>
      </c>
      <c r="J3125" s="13">
        <v>109054</v>
      </c>
      <c r="K3125">
        <v>1</v>
      </c>
      <c r="L3125" t="s">
        <v>1064</v>
      </c>
      <c r="M3125" t="s">
        <v>2383</v>
      </c>
      <c r="N3125" s="15" t="s">
        <v>6878</v>
      </c>
    </row>
    <row r="3126" spans="1:14" x14ac:dyDescent="0.2">
      <c r="A3126" t="s">
        <v>4241</v>
      </c>
      <c r="B3126" t="s">
        <v>2360</v>
      </c>
      <c r="C3126" s="9">
        <v>45012</v>
      </c>
      <c r="D3126" t="s">
        <v>981</v>
      </c>
      <c r="E3126" s="13">
        <v>1732750</v>
      </c>
      <c r="F3126" s="13">
        <v>25000</v>
      </c>
      <c r="H3126" t="s">
        <v>2184</v>
      </c>
      <c r="I3126" t="s">
        <v>4222</v>
      </c>
      <c r="J3126" s="13">
        <v>0</v>
      </c>
      <c r="K3126">
        <v>1</v>
      </c>
      <c r="L3126" t="s">
        <v>1064</v>
      </c>
      <c r="M3126" t="s">
        <v>4223</v>
      </c>
      <c r="N3126" s="14" t="s">
        <v>6877</v>
      </c>
    </row>
    <row r="3127" spans="1:14" x14ac:dyDescent="0.2">
      <c r="A3127" t="s">
        <v>4242</v>
      </c>
      <c r="B3127" t="s">
        <v>2360</v>
      </c>
      <c r="C3127" s="9">
        <v>45012</v>
      </c>
      <c r="D3127" t="s">
        <v>981</v>
      </c>
      <c r="E3127" s="13">
        <v>2562750</v>
      </c>
      <c r="F3127" s="13">
        <v>25000</v>
      </c>
      <c r="H3127" t="s">
        <v>2184</v>
      </c>
      <c r="I3127" t="s">
        <v>4222</v>
      </c>
      <c r="J3127" s="13">
        <v>0</v>
      </c>
      <c r="K3127">
        <v>1</v>
      </c>
      <c r="L3127" t="s">
        <v>1064</v>
      </c>
      <c r="M3127" t="s">
        <v>4223</v>
      </c>
      <c r="N3127" s="14" t="s">
        <v>6877</v>
      </c>
    </row>
    <row r="3128" spans="1:14" x14ac:dyDescent="0.2">
      <c r="A3128" t="s">
        <v>4243</v>
      </c>
      <c r="B3128" t="s">
        <v>2360</v>
      </c>
      <c r="C3128" s="9">
        <v>45012</v>
      </c>
      <c r="D3128" t="s">
        <v>981</v>
      </c>
      <c r="E3128" s="13">
        <v>2562750</v>
      </c>
      <c r="F3128" s="13">
        <v>25000</v>
      </c>
      <c r="H3128" t="s">
        <v>2184</v>
      </c>
      <c r="I3128" t="s">
        <v>4222</v>
      </c>
      <c r="J3128" s="13">
        <v>0</v>
      </c>
      <c r="K3128">
        <v>1</v>
      </c>
      <c r="L3128" t="s">
        <v>1064</v>
      </c>
      <c r="M3128" t="s">
        <v>4223</v>
      </c>
      <c r="N3128" s="14" t="s">
        <v>6877</v>
      </c>
    </row>
    <row r="3129" spans="1:14" x14ac:dyDescent="0.2">
      <c r="A3129" t="s">
        <v>4244</v>
      </c>
      <c r="B3129" t="s">
        <v>2360</v>
      </c>
      <c r="C3129" s="9">
        <v>45012</v>
      </c>
      <c r="D3129" t="s">
        <v>981</v>
      </c>
      <c r="E3129" s="13">
        <v>4017750</v>
      </c>
      <c r="F3129" s="13">
        <v>25000</v>
      </c>
      <c r="H3129" t="s">
        <v>2184</v>
      </c>
      <c r="I3129" t="s">
        <v>4222</v>
      </c>
      <c r="J3129" s="13">
        <v>0</v>
      </c>
      <c r="K3129">
        <v>1</v>
      </c>
      <c r="L3129" t="s">
        <v>1064</v>
      </c>
      <c r="M3129" t="s">
        <v>4223</v>
      </c>
      <c r="N3129" s="14" t="s">
        <v>6877</v>
      </c>
    </row>
    <row r="3130" spans="1:14" x14ac:dyDescent="0.2">
      <c r="A3130" t="s">
        <v>4245</v>
      </c>
      <c r="B3130" t="s">
        <v>2360</v>
      </c>
      <c r="C3130" s="9">
        <v>45012</v>
      </c>
      <c r="D3130" t="s">
        <v>981</v>
      </c>
      <c r="E3130" s="13">
        <v>1957750</v>
      </c>
      <c r="F3130" s="13">
        <v>25000</v>
      </c>
      <c r="H3130" t="s">
        <v>2184</v>
      </c>
      <c r="I3130" t="s">
        <v>4222</v>
      </c>
      <c r="J3130" s="13">
        <v>0</v>
      </c>
      <c r="K3130">
        <v>1</v>
      </c>
      <c r="L3130" t="s">
        <v>1064</v>
      </c>
      <c r="M3130" t="s">
        <v>4223</v>
      </c>
      <c r="N3130" s="14" t="s">
        <v>6877</v>
      </c>
    </row>
    <row r="3131" spans="1:14" x14ac:dyDescent="0.2">
      <c r="A3131" t="s">
        <v>4246</v>
      </c>
      <c r="B3131" t="s">
        <v>2360</v>
      </c>
      <c r="C3131" s="9">
        <v>45012</v>
      </c>
      <c r="D3131" t="s">
        <v>4247</v>
      </c>
      <c r="E3131" s="13">
        <v>4950000</v>
      </c>
      <c r="F3131" s="13">
        <v>192307</v>
      </c>
      <c r="G3131" s="9">
        <v>45013</v>
      </c>
      <c r="H3131" t="s">
        <v>1063</v>
      </c>
      <c r="I3131" t="s">
        <v>4248</v>
      </c>
      <c r="J3131" s="13">
        <v>27750</v>
      </c>
      <c r="K3131">
        <v>1</v>
      </c>
      <c r="L3131" t="s">
        <v>1064</v>
      </c>
      <c r="M3131" t="s">
        <v>4249</v>
      </c>
      <c r="N3131" s="15" t="s">
        <v>6878</v>
      </c>
    </row>
    <row r="3132" spans="1:14" x14ac:dyDescent="0.2">
      <c r="A3132" t="s">
        <v>4250</v>
      </c>
      <c r="B3132" t="s">
        <v>2360</v>
      </c>
      <c r="C3132" s="9">
        <v>45012</v>
      </c>
      <c r="D3132" t="s">
        <v>4247</v>
      </c>
      <c r="E3132" s="13">
        <v>16188139</v>
      </c>
      <c r="F3132" s="13">
        <v>628908</v>
      </c>
      <c r="G3132" s="9">
        <v>45021</v>
      </c>
      <c r="H3132" t="s">
        <v>1111</v>
      </c>
      <c r="I3132" t="s">
        <v>4248</v>
      </c>
      <c r="J3132" s="13">
        <v>27750</v>
      </c>
      <c r="K3132">
        <v>1</v>
      </c>
      <c r="L3132" t="s">
        <v>1064</v>
      </c>
      <c r="M3132" t="s">
        <v>4249</v>
      </c>
      <c r="N3132" s="15" t="s">
        <v>6878</v>
      </c>
    </row>
    <row r="3133" spans="1:14" x14ac:dyDescent="0.2">
      <c r="A3133" t="s">
        <v>4251</v>
      </c>
      <c r="B3133" t="s">
        <v>2360</v>
      </c>
      <c r="C3133" s="9">
        <v>45012</v>
      </c>
      <c r="D3133" t="s">
        <v>4247</v>
      </c>
      <c r="E3133" s="13">
        <v>15000000</v>
      </c>
      <c r="F3133" s="13">
        <v>582750</v>
      </c>
      <c r="G3133" s="9">
        <v>45013</v>
      </c>
      <c r="H3133" t="s">
        <v>1111</v>
      </c>
      <c r="I3133" t="s">
        <v>4248</v>
      </c>
      <c r="J3133" s="13">
        <v>27750</v>
      </c>
      <c r="K3133">
        <v>1</v>
      </c>
      <c r="L3133" t="s">
        <v>1064</v>
      </c>
      <c r="M3133" t="s">
        <v>4249</v>
      </c>
      <c r="N3133" s="15" t="s">
        <v>6878</v>
      </c>
    </row>
    <row r="3134" spans="1:14" x14ac:dyDescent="0.2">
      <c r="A3134" t="s">
        <v>4252</v>
      </c>
      <c r="B3134" t="s">
        <v>2360</v>
      </c>
      <c r="C3134" s="9">
        <v>45012</v>
      </c>
      <c r="D3134" t="s">
        <v>4247</v>
      </c>
      <c r="E3134" s="13">
        <v>15000000</v>
      </c>
      <c r="F3134" s="13">
        <v>582750</v>
      </c>
      <c r="G3134" s="9">
        <v>45013</v>
      </c>
      <c r="H3134" t="s">
        <v>1111</v>
      </c>
      <c r="I3134" t="s">
        <v>4248</v>
      </c>
      <c r="J3134" s="13">
        <v>27750</v>
      </c>
      <c r="K3134">
        <v>1</v>
      </c>
      <c r="L3134" t="s">
        <v>1064</v>
      </c>
      <c r="M3134" t="s">
        <v>4249</v>
      </c>
      <c r="N3134" s="15" t="s">
        <v>6878</v>
      </c>
    </row>
    <row r="3135" spans="1:14" x14ac:dyDescent="0.2">
      <c r="A3135" t="s">
        <v>4253</v>
      </c>
      <c r="B3135" t="s">
        <v>2360</v>
      </c>
      <c r="C3135" s="9">
        <v>45012</v>
      </c>
      <c r="D3135" t="s">
        <v>4247</v>
      </c>
      <c r="E3135" s="13">
        <v>15000000</v>
      </c>
      <c r="F3135" s="13">
        <v>582750</v>
      </c>
      <c r="G3135" s="9">
        <v>45013</v>
      </c>
      <c r="H3135" t="s">
        <v>1111</v>
      </c>
      <c r="I3135" t="s">
        <v>4248</v>
      </c>
      <c r="J3135" s="13">
        <v>27750</v>
      </c>
      <c r="K3135">
        <v>1</v>
      </c>
      <c r="L3135" t="s">
        <v>1064</v>
      </c>
      <c r="M3135" t="s">
        <v>4249</v>
      </c>
      <c r="N3135" s="15" t="s">
        <v>6878</v>
      </c>
    </row>
    <row r="3136" spans="1:14" x14ac:dyDescent="0.2">
      <c r="A3136" t="s">
        <v>4254</v>
      </c>
      <c r="B3136" t="s">
        <v>2360</v>
      </c>
      <c r="C3136" s="9">
        <v>45012</v>
      </c>
      <c r="D3136" t="s">
        <v>4247</v>
      </c>
      <c r="E3136" s="13">
        <v>15000000</v>
      </c>
      <c r="F3136" s="13">
        <v>582750</v>
      </c>
      <c r="G3136" s="9">
        <v>45013</v>
      </c>
      <c r="H3136" t="s">
        <v>1111</v>
      </c>
      <c r="I3136" t="s">
        <v>4248</v>
      </c>
      <c r="J3136" s="13">
        <v>27750</v>
      </c>
      <c r="K3136">
        <v>1</v>
      </c>
      <c r="L3136" t="s">
        <v>1064</v>
      </c>
      <c r="M3136" t="s">
        <v>4249</v>
      </c>
      <c r="N3136" s="15" t="s">
        <v>6878</v>
      </c>
    </row>
    <row r="3137" spans="1:14" x14ac:dyDescent="0.2">
      <c r="A3137" t="s">
        <v>4255</v>
      </c>
      <c r="B3137" t="s">
        <v>2360</v>
      </c>
      <c r="C3137" s="9">
        <v>45012</v>
      </c>
      <c r="D3137" t="s">
        <v>4247</v>
      </c>
      <c r="E3137" s="13">
        <v>15000000</v>
      </c>
      <c r="F3137" s="13">
        <v>582750</v>
      </c>
      <c r="G3137" s="9">
        <v>45013</v>
      </c>
      <c r="H3137" t="s">
        <v>1111</v>
      </c>
      <c r="I3137" t="s">
        <v>4248</v>
      </c>
      <c r="J3137" s="13">
        <v>27750</v>
      </c>
      <c r="K3137">
        <v>1</v>
      </c>
      <c r="L3137" t="s">
        <v>1064</v>
      </c>
      <c r="M3137" t="s">
        <v>4249</v>
      </c>
      <c r="N3137" s="15" t="s">
        <v>6878</v>
      </c>
    </row>
    <row r="3138" spans="1:14" x14ac:dyDescent="0.2">
      <c r="A3138" t="s">
        <v>4256</v>
      </c>
      <c r="B3138" t="s">
        <v>2360</v>
      </c>
      <c r="C3138" s="9">
        <v>45012</v>
      </c>
      <c r="D3138" t="s">
        <v>4247</v>
      </c>
      <c r="E3138" s="13">
        <v>15000000</v>
      </c>
      <c r="F3138" s="13">
        <v>582750</v>
      </c>
      <c r="G3138" s="9">
        <v>45013</v>
      </c>
      <c r="H3138" t="s">
        <v>1111</v>
      </c>
      <c r="I3138" t="s">
        <v>4248</v>
      </c>
      <c r="J3138" s="13">
        <v>27750</v>
      </c>
      <c r="K3138">
        <v>1</v>
      </c>
      <c r="L3138" t="s">
        <v>1064</v>
      </c>
      <c r="M3138" t="s">
        <v>4249</v>
      </c>
      <c r="N3138" s="15" t="s">
        <v>6878</v>
      </c>
    </row>
    <row r="3139" spans="1:14" x14ac:dyDescent="0.2">
      <c r="A3139" t="s">
        <v>4257</v>
      </c>
      <c r="B3139" t="s">
        <v>2360</v>
      </c>
      <c r="C3139" s="9">
        <v>45012</v>
      </c>
      <c r="D3139" t="s">
        <v>4247</v>
      </c>
      <c r="E3139" s="13">
        <v>15000000</v>
      </c>
      <c r="F3139" s="13">
        <v>582750</v>
      </c>
      <c r="G3139" s="9">
        <v>45013</v>
      </c>
      <c r="H3139" t="s">
        <v>1111</v>
      </c>
      <c r="I3139" t="s">
        <v>4248</v>
      </c>
      <c r="J3139" s="13">
        <v>27750</v>
      </c>
      <c r="K3139">
        <v>1</v>
      </c>
      <c r="L3139" t="s">
        <v>1064</v>
      </c>
      <c r="M3139" t="s">
        <v>4249</v>
      </c>
      <c r="N3139" s="15" t="s">
        <v>6878</v>
      </c>
    </row>
    <row r="3140" spans="1:14" x14ac:dyDescent="0.2">
      <c r="A3140" t="s">
        <v>4258</v>
      </c>
      <c r="B3140" t="s">
        <v>2360</v>
      </c>
      <c r="C3140" s="9">
        <v>45012</v>
      </c>
      <c r="D3140" t="s">
        <v>4247</v>
      </c>
      <c r="E3140" s="13">
        <v>15000000</v>
      </c>
      <c r="F3140" s="13">
        <v>582750</v>
      </c>
      <c r="G3140" s="9">
        <v>45013</v>
      </c>
      <c r="H3140" t="s">
        <v>1111</v>
      </c>
      <c r="I3140" t="s">
        <v>4248</v>
      </c>
      <c r="J3140" s="13">
        <v>27750</v>
      </c>
      <c r="K3140">
        <v>1</v>
      </c>
      <c r="L3140" t="s">
        <v>1064</v>
      </c>
      <c r="M3140" t="s">
        <v>4249</v>
      </c>
      <c r="N3140" s="15" t="s">
        <v>6878</v>
      </c>
    </row>
    <row r="3141" spans="1:14" x14ac:dyDescent="0.2">
      <c r="A3141" t="s">
        <v>4259</v>
      </c>
      <c r="B3141" t="s">
        <v>2360</v>
      </c>
      <c r="C3141" s="9">
        <v>45012</v>
      </c>
      <c r="D3141" t="s">
        <v>4247</v>
      </c>
      <c r="E3141" s="13">
        <v>15000000</v>
      </c>
      <c r="F3141" s="13">
        <v>582750</v>
      </c>
      <c r="G3141" s="9">
        <v>45013</v>
      </c>
      <c r="H3141" t="s">
        <v>1111</v>
      </c>
      <c r="I3141" t="s">
        <v>4248</v>
      </c>
      <c r="J3141" s="13">
        <v>27750</v>
      </c>
      <c r="K3141">
        <v>1</v>
      </c>
      <c r="L3141" t="s">
        <v>1064</v>
      </c>
      <c r="M3141" t="s">
        <v>4249</v>
      </c>
      <c r="N3141" s="15" t="s">
        <v>6878</v>
      </c>
    </row>
    <row r="3142" spans="1:14" x14ac:dyDescent="0.2">
      <c r="A3142" t="s">
        <v>4260</v>
      </c>
      <c r="B3142" t="s">
        <v>2360</v>
      </c>
      <c r="C3142" s="9">
        <v>45012</v>
      </c>
      <c r="D3142" t="s">
        <v>4247</v>
      </c>
      <c r="E3142" s="13">
        <v>15000000</v>
      </c>
      <c r="F3142" s="13">
        <v>582750</v>
      </c>
      <c r="G3142" s="9">
        <v>45013</v>
      </c>
      <c r="H3142" t="s">
        <v>1111</v>
      </c>
      <c r="I3142" t="s">
        <v>4248</v>
      </c>
      <c r="J3142" s="13">
        <v>27750</v>
      </c>
      <c r="K3142">
        <v>1</v>
      </c>
      <c r="L3142" t="s">
        <v>1064</v>
      </c>
      <c r="M3142" t="s">
        <v>4249</v>
      </c>
      <c r="N3142" s="15" t="s">
        <v>6878</v>
      </c>
    </row>
    <row r="3143" spans="1:14" x14ac:dyDescent="0.2">
      <c r="A3143" t="s">
        <v>4261</v>
      </c>
      <c r="B3143" t="s">
        <v>2360</v>
      </c>
      <c r="C3143" s="9">
        <v>45012</v>
      </c>
      <c r="D3143" t="s">
        <v>4247</v>
      </c>
      <c r="E3143" s="13">
        <v>15000000</v>
      </c>
      <c r="F3143" s="13">
        <v>582750</v>
      </c>
      <c r="G3143" s="9">
        <v>45013</v>
      </c>
      <c r="H3143" t="s">
        <v>1111</v>
      </c>
      <c r="I3143" t="s">
        <v>4248</v>
      </c>
      <c r="J3143" s="13">
        <v>27750</v>
      </c>
      <c r="K3143">
        <v>1</v>
      </c>
      <c r="L3143" t="s">
        <v>1064</v>
      </c>
      <c r="M3143" t="s">
        <v>4249</v>
      </c>
      <c r="N3143" s="15" t="s">
        <v>6878</v>
      </c>
    </row>
    <row r="3144" spans="1:14" x14ac:dyDescent="0.2">
      <c r="A3144" t="s">
        <v>4262</v>
      </c>
      <c r="B3144" t="s">
        <v>2360</v>
      </c>
      <c r="C3144" s="9">
        <v>45012</v>
      </c>
      <c r="D3144" t="s">
        <v>4247</v>
      </c>
      <c r="E3144" s="13">
        <v>15000000</v>
      </c>
      <c r="F3144" s="13">
        <v>582750</v>
      </c>
      <c r="G3144" s="9">
        <v>45013</v>
      </c>
      <c r="H3144" t="s">
        <v>1111</v>
      </c>
      <c r="I3144" t="s">
        <v>4248</v>
      </c>
      <c r="J3144" s="13">
        <v>27750</v>
      </c>
      <c r="K3144">
        <v>1</v>
      </c>
      <c r="L3144" t="s">
        <v>1064</v>
      </c>
      <c r="M3144" t="s">
        <v>4249</v>
      </c>
      <c r="N3144" s="15" t="s">
        <v>6878</v>
      </c>
    </row>
    <row r="3145" spans="1:14" x14ac:dyDescent="0.2">
      <c r="A3145" t="s">
        <v>4263</v>
      </c>
      <c r="B3145" t="s">
        <v>2360</v>
      </c>
      <c r="C3145" s="9">
        <v>45012</v>
      </c>
      <c r="D3145" t="s">
        <v>4247</v>
      </c>
      <c r="E3145" s="13">
        <v>15000000</v>
      </c>
      <c r="F3145" s="13">
        <v>582750</v>
      </c>
      <c r="G3145" s="9">
        <v>45013</v>
      </c>
      <c r="H3145" t="s">
        <v>1111</v>
      </c>
      <c r="I3145" t="s">
        <v>4248</v>
      </c>
      <c r="J3145" s="13">
        <v>27750</v>
      </c>
      <c r="K3145">
        <v>1</v>
      </c>
      <c r="L3145" t="s">
        <v>1064</v>
      </c>
      <c r="M3145" t="s">
        <v>4249</v>
      </c>
      <c r="N3145" s="15" t="s">
        <v>6878</v>
      </c>
    </row>
    <row r="3146" spans="1:14" x14ac:dyDescent="0.2">
      <c r="A3146" t="s">
        <v>4264</v>
      </c>
      <c r="B3146" t="s">
        <v>2360</v>
      </c>
      <c r="C3146" s="9">
        <v>45012</v>
      </c>
      <c r="D3146" t="s">
        <v>4247</v>
      </c>
      <c r="E3146" s="13">
        <v>15000000</v>
      </c>
      <c r="F3146" s="13">
        <v>582750</v>
      </c>
      <c r="G3146" s="9">
        <v>45013</v>
      </c>
      <c r="H3146" t="s">
        <v>1111</v>
      </c>
      <c r="I3146" t="s">
        <v>4248</v>
      </c>
      <c r="J3146" s="13">
        <v>27750</v>
      </c>
      <c r="K3146">
        <v>1</v>
      </c>
      <c r="L3146" t="s">
        <v>1064</v>
      </c>
      <c r="M3146" t="s">
        <v>4249</v>
      </c>
      <c r="N3146" s="15" t="s">
        <v>6878</v>
      </c>
    </row>
    <row r="3147" spans="1:14" x14ac:dyDescent="0.2">
      <c r="A3147" t="s">
        <v>4265</v>
      </c>
      <c r="B3147" t="s">
        <v>2360</v>
      </c>
      <c r="C3147" s="9">
        <v>45012</v>
      </c>
      <c r="D3147" t="s">
        <v>4247</v>
      </c>
      <c r="E3147" s="13">
        <v>15000000</v>
      </c>
      <c r="F3147" s="13">
        <v>582750</v>
      </c>
      <c r="G3147" s="9">
        <v>45013</v>
      </c>
      <c r="H3147" t="s">
        <v>1111</v>
      </c>
      <c r="I3147" t="s">
        <v>4248</v>
      </c>
      <c r="J3147" s="13">
        <v>27750</v>
      </c>
      <c r="K3147">
        <v>1</v>
      </c>
      <c r="L3147" t="s">
        <v>1064</v>
      </c>
      <c r="M3147" t="s">
        <v>4249</v>
      </c>
      <c r="N3147" s="15" t="s">
        <v>6878</v>
      </c>
    </row>
    <row r="3148" spans="1:14" x14ac:dyDescent="0.2">
      <c r="A3148" t="s">
        <v>4266</v>
      </c>
      <c r="B3148" t="s">
        <v>2360</v>
      </c>
      <c r="C3148" s="9">
        <v>45012</v>
      </c>
      <c r="D3148" t="s">
        <v>4247</v>
      </c>
      <c r="E3148" s="13">
        <v>15000000</v>
      </c>
      <c r="F3148" s="13">
        <v>582750</v>
      </c>
      <c r="G3148" s="9">
        <v>45013</v>
      </c>
      <c r="H3148" t="s">
        <v>1111</v>
      </c>
      <c r="I3148" t="s">
        <v>4248</v>
      </c>
      <c r="J3148" s="13">
        <v>27750</v>
      </c>
      <c r="K3148">
        <v>1</v>
      </c>
      <c r="L3148" t="s">
        <v>1064</v>
      </c>
      <c r="M3148" t="s">
        <v>4249</v>
      </c>
      <c r="N3148" s="15" t="s">
        <v>6878</v>
      </c>
    </row>
    <row r="3149" spans="1:14" x14ac:dyDescent="0.2">
      <c r="A3149" t="s">
        <v>4267</v>
      </c>
      <c r="B3149" t="s">
        <v>2360</v>
      </c>
      <c r="C3149" s="9">
        <v>45012</v>
      </c>
      <c r="D3149" t="s">
        <v>4247</v>
      </c>
      <c r="E3149" s="13">
        <v>15000000</v>
      </c>
      <c r="F3149" s="13">
        <v>582750</v>
      </c>
      <c r="G3149" s="9">
        <v>45013</v>
      </c>
      <c r="H3149" t="s">
        <v>1111</v>
      </c>
      <c r="I3149" t="s">
        <v>4248</v>
      </c>
      <c r="J3149" s="13">
        <v>27750</v>
      </c>
      <c r="K3149">
        <v>1</v>
      </c>
      <c r="L3149" t="s">
        <v>1064</v>
      </c>
      <c r="M3149" t="s">
        <v>4249</v>
      </c>
      <c r="N3149" s="15" t="s">
        <v>6878</v>
      </c>
    </row>
    <row r="3150" spans="1:14" x14ac:dyDescent="0.2">
      <c r="A3150" t="s">
        <v>4268</v>
      </c>
      <c r="B3150" t="s">
        <v>2360</v>
      </c>
      <c r="C3150" s="9">
        <v>45012</v>
      </c>
      <c r="D3150" t="s">
        <v>4247</v>
      </c>
      <c r="E3150" s="13">
        <v>15000000</v>
      </c>
      <c r="F3150" s="13">
        <v>582750</v>
      </c>
      <c r="G3150" s="9">
        <v>45013</v>
      </c>
      <c r="H3150" t="s">
        <v>1111</v>
      </c>
      <c r="I3150" t="s">
        <v>4248</v>
      </c>
      <c r="J3150" s="13">
        <v>27750</v>
      </c>
      <c r="K3150">
        <v>1</v>
      </c>
      <c r="L3150" t="s">
        <v>1064</v>
      </c>
      <c r="M3150" t="s">
        <v>4249</v>
      </c>
      <c r="N3150" s="15" t="s">
        <v>6878</v>
      </c>
    </row>
    <row r="3151" spans="1:14" x14ac:dyDescent="0.2">
      <c r="A3151" t="s">
        <v>4269</v>
      </c>
      <c r="B3151" t="s">
        <v>2360</v>
      </c>
      <c r="C3151" s="9">
        <v>45012</v>
      </c>
      <c r="D3151" t="s">
        <v>4247</v>
      </c>
      <c r="E3151" s="13">
        <v>15000000</v>
      </c>
      <c r="F3151" s="13">
        <v>582750</v>
      </c>
      <c r="G3151" s="9">
        <v>45013</v>
      </c>
      <c r="H3151" t="s">
        <v>1111</v>
      </c>
      <c r="I3151" t="s">
        <v>4248</v>
      </c>
      <c r="J3151" s="13">
        <v>27750</v>
      </c>
      <c r="K3151">
        <v>1</v>
      </c>
      <c r="L3151" t="s">
        <v>1064</v>
      </c>
      <c r="M3151" t="s">
        <v>4249</v>
      </c>
      <c r="N3151" s="15" t="s">
        <v>6878</v>
      </c>
    </row>
    <row r="3152" spans="1:14" x14ac:dyDescent="0.2">
      <c r="A3152" t="s">
        <v>4270</v>
      </c>
      <c r="B3152" t="s">
        <v>2360</v>
      </c>
      <c r="C3152" s="9">
        <v>45012</v>
      </c>
      <c r="D3152" t="s">
        <v>4247</v>
      </c>
      <c r="E3152" s="13">
        <v>15000000</v>
      </c>
      <c r="F3152" s="13">
        <v>582750</v>
      </c>
      <c r="G3152" s="9">
        <v>45013</v>
      </c>
      <c r="H3152" t="s">
        <v>1111</v>
      </c>
      <c r="I3152" t="s">
        <v>4248</v>
      </c>
      <c r="J3152" s="13">
        <v>27750</v>
      </c>
      <c r="K3152">
        <v>1</v>
      </c>
      <c r="L3152" t="s">
        <v>1064</v>
      </c>
      <c r="M3152" t="s">
        <v>4249</v>
      </c>
      <c r="N3152" s="15" t="s">
        <v>6878</v>
      </c>
    </row>
    <row r="3153" spans="1:14" x14ac:dyDescent="0.2">
      <c r="A3153" t="s">
        <v>4271</v>
      </c>
      <c r="B3153" t="s">
        <v>2360</v>
      </c>
      <c r="C3153" s="9">
        <v>45012</v>
      </c>
      <c r="D3153" t="s">
        <v>4247</v>
      </c>
      <c r="E3153" s="13">
        <v>15000000</v>
      </c>
      <c r="F3153" s="13">
        <v>582750</v>
      </c>
      <c r="G3153" s="9">
        <v>45013</v>
      </c>
      <c r="H3153" t="s">
        <v>1111</v>
      </c>
      <c r="I3153" t="s">
        <v>4248</v>
      </c>
      <c r="J3153" s="13">
        <v>27750</v>
      </c>
      <c r="K3153">
        <v>1</v>
      </c>
      <c r="L3153" t="s">
        <v>1064</v>
      </c>
      <c r="M3153" t="s">
        <v>4249</v>
      </c>
      <c r="N3153" s="15" t="s">
        <v>6878</v>
      </c>
    </row>
    <row r="3154" spans="1:14" x14ac:dyDescent="0.2">
      <c r="A3154" t="s">
        <v>4272</v>
      </c>
      <c r="B3154" t="s">
        <v>2360</v>
      </c>
      <c r="C3154" s="9">
        <v>45012</v>
      </c>
      <c r="D3154" t="s">
        <v>4247</v>
      </c>
      <c r="E3154" s="13">
        <v>15000000</v>
      </c>
      <c r="F3154" s="13">
        <v>582750</v>
      </c>
      <c r="G3154" s="9">
        <v>45013</v>
      </c>
      <c r="H3154" t="s">
        <v>1111</v>
      </c>
      <c r="I3154" t="s">
        <v>4248</v>
      </c>
      <c r="J3154" s="13">
        <v>27750</v>
      </c>
      <c r="K3154">
        <v>1</v>
      </c>
      <c r="L3154" t="s">
        <v>1064</v>
      </c>
      <c r="M3154" t="s">
        <v>4249</v>
      </c>
      <c r="N3154" s="15" t="s">
        <v>6878</v>
      </c>
    </row>
    <row r="3155" spans="1:14" x14ac:dyDescent="0.2">
      <c r="A3155" t="s">
        <v>4273</v>
      </c>
      <c r="B3155" t="s">
        <v>2360</v>
      </c>
      <c r="C3155" s="9">
        <v>45012</v>
      </c>
      <c r="D3155" t="s">
        <v>4247</v>
      </c>
      <c r="E3155" s="13">
        <v>15000000</v>
      </c>
      <c r="F3155" s="13">
        <v>582750</v>
      </c>
      <c r="G3155" s="9">
        <v>45013</v>
      </c>
      <c r="H3155" t="s">
        <v>1111</v>
      </c>
      <c r="I3155" t="s">
        <v>4248</v>
      </c>
      <c r="J3155" s="13">
        <v>27750</v>
      </c>
      <c r="K3155">
        <v>1</v>
      </c>
      <c r="L3155" t="s">
        <v>1064</v>
      </c>
      <c r="M3155" t="s">
        <v>4249</v>
      </c>
      <c r="N3155" s="15" t="s">
        <v>6878</v>
      </c>
    </row>
    <row r="3156" spans="1:14" x14ac:dyDescent="0.2">
      <c r="A3156" t="s">
        <v>4274</v>
      </c>
      <c r="B3156" t="s">
        <v>2360</v>
      </c>
      <c r="C3156" s="9">
        <v>45012</v>
      </c>
      <c r="D3156" t="s">
        <v>4247</v>
      </c>
      <c r="E3156" s="13">
        <v>15000000</v>
      </c>
      <c r="F3156" s="13">
        <v>582750</v>
      </c>
      <c r="G3156" s="9">
        <v>45013</v>
      </c>
      <c r="H3156" t="s">
        <v>1111</v>
      </c>
      <c r="I3156" t="s">
        <v>4248</v>
      </c>
      <c r="J3156" s="13">
        <v>27750</v>
      </c>
      <c r="K3156">
        <v>1</v>
      </c>
      <c r="L3156" t="s">
        <v>1064</v>
      </c>
      <c r="M3156" t="s">
        <v>4249</v>
      </c>
      <c r="N3156" s="15" t="s">
        <v>6878</v>
      </c>
    </row>
    <row r="3157" spans="1:14" x14ac:dyDescent="0.2">
      <c r="A3157" t="s">
        <v>4275</v>
      </c>
      <c r="B3157" t="s">
        <v>2360</v>
      </c>
      <c r="C3157" s="9">
        <v>45012</v>
      </c>
      <c r="D3157" t="s">
        <v>4247</v>
      </c>
      <c r="E3157" s="13">
        <v>15000000</v>
      </c>
      <c r="F3157" s="13">
        <v>582750</v>
      </c>
      <c r="G3157" s="9">
        <v>45013</v>
      </c>
      <c r="H3157" t="s">
        <v>1111</v>
      </c>
      <c r="I3157" t="s">
        <v>4248</v>
      </c>
      <c r="J3157" s="13">
        <v>27750</v>
      </c>
      <c r="K3157">
        <v>1</v>
      </c>
      <c r="L3157" t="s">
        <v>1064</v>
      </c>
      <c r="M3157" t="s">
        <v>4249</v>
      </c>
      <c r="N3157" s="15" t="s">
        <v>6878</v>
      </c>
    </row>
    <row r="3158" spans="1:14" x14ac:dyDescent="0.2">
      <c r="A3158" t="s">
        <v>4276</v>
      </c>
      <c r="B3158" t="s">
        <v>2360</v>
      </c>
      <c r="C3158" s="9">
        <v>45012</v>
      </c>
      <c r="D3158" t="s">
        <v>4247</v>
      </c>
      <c r="E3158" s="13">
        <v>15000000</v>
      </c>
      <c r="F3158" s="13">
        <v>582750</v>
      </c>
      <c r="G3158" s="9">
        <v>45013</v>
      </c>
      <c r="H3158" t="s">
        <v>1111</v>
      </c>
      <c r="I3158" t="s">
        <v>4248</v>
      </c>
      <c r="J3158" s="13">
        <v>27750</v>
      </c>
      <c r="K3158">
        <v>1</v>
      </c>
      <c r="L3158" t="s">
        <v>1064</v>
      </c>
      <c r="M3158" t="s">
        <v>4249</v>
      </c>
      <c r="N3158" s="15" t="s">
        <v>6878</v>
      </c>
    </row>
    <row r="3159" spans="1:14" x14ac:dyDescent="0.2">
      <c r="A3159" t="s">
        <v>4277</v>
      </c>
      <c r="B3159" t="s">
        <v>2360</v>
      </c>
      <c r="C3159" s="9">
        <v>45012</v>
      </c>
      <c r="D3159" t="s">
        <v>4247</v>
      </c>
      <c r="E3159" s="13">
        <v>15000000</v>
      </c>
      <c r="F3159" s="13">
        <v>582750</v>
      </c>
      <c r="G3159" s="9">
        <v>45013</v>
      </c>
      <c r="H3159" t="s">
        <v>1111</v>
      </c>
      <c r="I3159" t="s">
        <v>4248</v>
      </c>
      <c r="J3159" s="13">
        <v>27750</v>
      </c>
      <c r="K3159">
        <v>1</v>
      </c>
      <c r="L3159" t="s">
        <v>1064</v>
      </c>
      <c r="M3159" t="s">
        <v>4249</v>
      </c>
      <c r="N3159" s="15" t="s">
        <v>6878</v>
      </c>
    </row>
    <row r="3160" spans="1:14" x14ac:dyDescent="0.2">
      <c r="A3160" t="s">
        <v>4278</v>
      </c>
      <c r="B3160" t="s">
        <v>2360</v>
      </c>
      <c r="C3160" s="9">
        <v>45012</v>
      </c>
      <c r="D3160" t="s">
        <v>4247</v>
      </c>
      <c r="E3160" s="13">
        <v>15000000</v>
      </c>
      <c r="F3160" s="13">
        <v>582750</v>
      </c>
      <c r="G3160" s="9">
        <v>45013</v>
      </c>
      <c r="H3160" t="s">
        <v>1111</v>
      </c>
      <c r="I3160" t="s">
        <v>4248</v>
      </c>
      <c r="J3160" s="13">
        <v>27750</v>
      </c>
      <c r="K3160">
        <v>1</v>
      </c>
      <c r="L3160" t="s">
        <v>1064</v>
      </c>
      <c r="M3160" t="s">
        <v>4249</v>
      </c>
      <c r="N3160" s="15" t="s">
        <v>6878</v>
      </c>
    </row>
    <row r="3161" spans="1:14" x14ac:dyDescent="0.2">
      <c r="A3161" t="s">
        <v>4279</v>
      </c>
      <c r="B3161" t="s">
        <v>2360</v>
      </c>
      <c r="C3161" s="9">
        <v>45012</v>
      </c>
      <c r="D3161" t="s">
        <v>4247</v>
      </c>
      <c r="E3161" s="13">
        <v>15000000</v>
      </c>
      <c r="F3161" s="13">
        <v>582750</v>
      </c>
      <c r="G3161" s="9">
        <v>45013</v>
      </c>
      <c r="H3161" t="s">
        <v>1111</v>
      </c>
      <c r="I3161" t="s">
        <v>4248</v>
      </c>
      <c r="J3161" s="13">
        <v>27750</v>
      </c>
      <c r="K3161">
        <v>1</v>
      </c>
      <c r="L3161" t="s">
        <v>1064</v>
      </c>
      <c r="M3161" t="s">
        <v>4249</v>
      </c>
      <c r="N3161" s="15" t="s">
        <v>6878</v>
      </c>
    </row>
    <row r="3162" spans="1:14" x14ac:dyDescent="0.2">
      <c r="A3162" t="s">
        <v>4280</v>
      </c>
      <c r="B3162" t="s">
        <v>2360</v>
      </c>
      <c r="C3162" s="9">
        <v>45012</v>
      </c>
      <c r="D3162" t="s">
        <v>4247</v>
      </c>
      <c r="E3162" s="13">
        <v>15000000</v>
      </c>
      <c r="F3162" s="13">
        <v>582750</v>
      </c>
      <c r="G3162" s="9">
        <v>45013</v>
      </c>
      <c r="H3162" t="s">
        <v>1111</v>
      </c>
      <c r="I3162" t="s">
        <v>4248</v>
      </c>
      <c r="J3162" s="13">
        <v>27750</v>
      </c>
      <c r="K3162">
        <v>1</v>
      </c>
      <c r="L3162" t="s">
        <v>1064</v>
      </c>
      <c r="M3162" t="s">
        <v>4249</v>
      </c>
      <c r="N3162" s="15" t="s">
        <v>6878</v>
      </c>
    </row>
    <row r="3163" spans="1:14" x14ac:dyDescent="0.2">
      <c r="A3163" t="s">
        <v>4281</v>
      </c>
      <c r="B3163" t="s">
        <v>2360</v>
      </c>
      <c r="C3163" s="9">
        <v>45012</v>
      </c>
      <c r="D3163" t="s">
        <v>4247</v>
      </c>
      <c r="E3163" s="13">
        <v>9500000</v>
      </c>
      <c r="F3163" s="13">
        <v>369075</v>
      </c>
      <c r="G3163" s="9">
        <v>45013</v>
      </c>
      <c r="H3163" t="s">
        <v>1111</v>
      </c>
      <c r="I3163" t="s">
        <v>4248</v>
      </c>
      <c r="J3163" s="13">
        <v>27750</v>
      </c>
      <c r="K3163">
        <v>1</v>
      </c>
      <c r="L3163" t="s">
        <v>1064</v>
      </c>
      <c r="M3163" t="s">
        <v>4249</v>
      </c>
      <c r="N3163" s="15" t="s">
        <v>6878</v>
      </c>
    </row>
    <row r="3164" spans="1:14" x14ac:dyDescent="0.2">
      <c r="A3164" t="s">
        <v>4282</v>
      </c>
      <c r="B3164" t="s">
        <v>2360</v>
      </c>
      <c r="C3164" s="9">
        <v>45012</v>
      </c>
      <c r="D3164" t="s">
        <v>4247</v>
      </c>
      <c r="E3164" s="13">
        <v>9500000</v>
      </c>
      <c r="F3164" s="13">
        <v>369075</v>
      </c>
      <c r="G3164" s="9">
        <v>45013</v>
      </c>
      <c r="H3164" t="s">
        <v>1111</v>
      </c>
      <c r="I3164" t="s">
        <v>4248</v>
      </c>
      <c r="J3164" s="13">
        <v>27750</v>
      </c>
      <c r="K3164">
        <v>1</v>
      </c>
      <c r="L3164" t="s">
        <v>1064</v>
      </c>
      <c r="M3164" t="s">
        <v>4249</v>
      </c>
      <c r="N3164" s="15" t="s">
        <v>6878</v>
      </c>
    </row>
    <row r="3165" spans="1:14" x14ac:dyDescent="0.2">
      <c r="A3165" t="s">
        <v>4283</v>
      </c>
      <c r="B3165" t="s">
        <v>2360</v>
      </c>
      <c r="C3165" s="9">
        <v>45012</v>
      </c>
      <c r="D3165" t="s">
        <v>4247</v>
      </c>
      <c r="E3165" s="13">
        <v>9500000</v>
      </c>
      <c r="F3165" s="13">
        <v>369075</v>
      </c>
      <c r="G3165" s="9">
        <v>45013</v>
      </c>
      <c r="H3165" t="s">
        <v>1111</v>
      </c>
      <c r="I3165" t="s">
        <v>4248</v>
      </c>
      <c r="J3165" s="13">
        <v>27750</v>
      </c>
      <c r="K3165">
        <v>1</v>
      </c>
      <c r="L3165" t="s">
        <v>1064</v>
      </c>
      <c r="M3165" t="s">
        <v>4249</v>
      </c>
      <c r="N3165" s="15" t="s">
        <v>6878</v>
      </c>
    </row>
    <row r="3166" spans="1:14" x14ac:dyDescent="0.2">
      <c r="A3166" t="s">
        <v>4284</v>
      </c>
      <c r="B3166" t="s">
        <v>2360</v>
      </c>
      <c r="C3166" s="9">
        <v>45012</v>
      </c>
      <c r="D3166" t="s">
        <v>4247</v>
      </c>
      <c r="E3166" s="13">
        <v>9500000</v>
      </c>
      <c r="F3166" s="13">
        <v>369075</v>
      </c>
      <c r="G3166" s="9">
        <v>45013</v>
      </c>
      <c r="H3166" t="s">
        <v>1063</v>
      </c>
      <c r="I3166" t="s">
        <v>4248</v>
      </c>
      <c r="J3166" s="13">
        <v>27750</v>
      </c>
      <c r="K3166">
        <v>1</v>
      </c>
      <c r="L3166" t="s">
        <v>1064</v>
      </c>
      <c r="M3166" t="s">
        <v>4249</v>
      </c>
      <c r="N3166" s="15" t="s">
        <v>6878</v>
      </c>
    </row>
    <row r="3167" spans="1:14" x14ac:dyDescent="0.2">
      <c r="A3167" t="s">
        <v>4285</v>
      </c>
      <c r="B3167" t="s">
        <v>2360</v>
      </c>
      <c r="C3167" s="9">
        <v>45012</v>
      </c>
      <c r="D3167" t="s">
        <v>946</v>
      </c>
      <c r="E3167" s="13">
        <v>25200000</v>
      </c>
      <c r="F3167" s="13">
        <v>5550</v>
      </c>
      <c r="G3167" s="9">
        <v>45015</v>
      </c>
      <c r="H3167" t="s">
        <v>1111</v>
      </c>
      <c r="I3167" t="s">
        <v>2382</v>
      </c>
      <c r="J3167" s="13">
        <v>419580</v>
      </c>
      <c r="K3167">
        <v>1</v>
      </c>
      <c r="L3167" t="s">
        <v>1064</v>
      </c>
      <c r="M3167" t="s">
        <v>2383</v>
      </c>
      <c r="N3167" s="15" t="s">
        <v>6878</v>
      </c>
    </row>
    <row r="3168" spans="1:14" x14ac:dyDescent="0.2">
      <c r="A3168" t="s">
        <v>4286</v>
      </c>
      <c r="B3168" t="s">
        <v>2360</v>
      </c>
      <c r="C3168" s="9">
        <v>45012</v>
      </c>
      <c r="D3168" t="s">
        <v>946</v>
      </c>
      <c r="E3168" s="13">
        <v>19300217</v>
      </c>
      <c r="F3168" s="13">
        <v>5550</v>
      </c>
      <c r="G3168" s="9">
        <v>45015</v>
      </c>
      <c r="H3168" t="s">
        <v>1111</v>
      </c>
      <c r="I3168" t="s">
        <v>2382</v>
      </c>
      <c r="J3168" s="13">
        <v>321348</v>
      </c>
      <c r="K3168">
        <v>1</v>
      </c>
      <c r="L3168" t="s">
        <v>1064</v>
      </c>
      <c r="M3168" t="s">
        <v>2383</v>
      </c>
      <c r="N3168" s="15" t="s">
        <v>6878</v>
      </c>
    </row>
    <row r="3169" spans="1:14" x14ac:dyDescent="0.2">
      <c r="A3169" t="s">
        <v>4287</v>
      </c>
      <c r="B3169" t="s">
        <v>2360</v>
      </c>
      <c r="C3169" s="9">
        <v>45012</v>
      </c>
      <c r="D3169" t="s">
        <v>4247</v>
      </c>
      <c r="E3169" s="13">
        <v>9500000</v>
      </c>
      <c r="F3169" s="13">
        <v>369075</v>
      </c>
      <c r="G3169" s="9">
        <v>45013</v>
      </c>
      <c r="H3169" t="s">
        <v>1063</v>
      </c>
      <c r="I3169" t="s">
        <v>4248</v>
      </c>
      <c r="J3169" s="13">
        <v>27750</v>
      </c>
      <c r="K3169">
        <v>1</v>
      </c>
      <c r="L3169" t="s">
        <v>1064</v>
      </c>
      <c r="M3169" t="s">
        <v>4249</v>
      </c>
      <c r="N3169" s="15" t="s">
        <v>6878</v>
      </c>
    </row>
    <row r="3170" spans="1:14" x14ac:dyDescent="0.2">
      <c r="A3170" t="s">
        <v>4288</v>
      </c>
      <c r="B3170" t="s">
        <v>2360</v>
      </c>
      <c r="C3170" s="9">
        <v>45012</v>
      </c>
      <c r="D3170" t="s">
        <v>4247</v>
      </c>
      <c r="E3170" s="13">
        <v>9500000</v>
      </c>
      <c r="F3170" s="13">
        <v>369075</v>
      </c>
      <c r="G3170" s="9">
        <v>45013</v>
      </c>
      <c r="H3170" t="s">
        <v>1063</v>
      </c>
      <c r="I3170" t="s">
        <v>4248</v>
      </c>
      <c r="J3170" s="13">
        <v>27750</v>
      </c>
      <c r="K3170">
        <v>1</v>
      </c>
      <c r="L3170" t="s">
        <v>1064</v>
      </c>
      <c r="M3170" t="s">
        <v>4249</v>
      </c>
      <c r="N3170" s="15" t="s">
        <v>6878</v>
      </c>
    </row>
    <row r="3171" spans="1:14" x14ac:dyDescent="0.2">
      <c r="A3171" t="s">
        <v>4289</v>
      </c>
      <c r="B3171" t="s">
        <v>2360</v>
      </c>
      <c r="C3171" s="9">
        <v>45012</v>
      </c>
      <c r="D3171" t="s">
        <v>946</v>
      </c>
      <c r="E3171" s="13">
        <v>30263985</v>
      </c>
      <c r="F3171" s="13">
        <v>5550</v>
      </c>
      <c r="G3171" s="9">
        <v>45015</v>
      </c>
      <c r="H3171" t="s">
        <v>1111</v>
      </c>
      <c r="I3171" t="s">
        <v>2382</v>
      </c>
      <c r="J3171" s="13">
        <v>503894</v>
      </c>
      <c r="K3171">
        <v>1</v>
      </c>
      <c r="L3171" t="s">
        <v>1064</v>
      </c>
      <c r="M3171" t="s">
        <v>2383</v>
      </c>
      <c r="N3171" s="15" t="s">
        <v>6878</v>
      </c>
    </row>
    <row r="3172" spans="1:14" x14ac:dyDescent="0.2">
      <c r="A3172" t="s">
        <v>4290</v>
      </c>
      <c r="B3172" t="s">
        <v>2360</v>
      </c>
      <c r="C3172" s="9">
        <v>45012</v>
      </c>
      <c r="D3172" t="s">
        <v>946</v>
      </c>
      <c r="E3172" s="13">
        <v>29680000</v>
      </c>
      <c r="F3172" s="13">
        <v>5550</v>
      </c>
      <c r="G3172" s="9">
        <v>45015</v>
      </c>
      <c r="H3172" t="s">
        <v>1111</v>
      </c>
      <c r="I3172" t="s">
        <v>2382</v>
      </c>
      <c r="J3172" s="13">
        <v>494172</v>
      </c>
      <c r="K3172">
        <v>1</v>
      </c>
      <c r="L3172" t="s">
        <v>1064</v>
      </c>
      <c r="M3172" t="s">
        <v>2383</v>
      </c>
      <c r="N3172" s="15" t="s">
        <v>6878</v>
      </c>
    </row>
    <row r="3173" spans="1:14" x14ac:dyDescent="0.2">
      <c r="A3173" t="s">
        <v>4291</v>
      </c>
      <c r="B3173" t="s">
        <v>2360</v>
      </c>
      <c r="C3173" s="9">
        <v>45012</v>
      </c>
      <c r="D3173" t="s">
        <v>946</v>
      </c>
      <c r="E3173" s="13">
        <v>19270359</v>
      </c>
      <c r="F3173" s="13">
        <v>5550</v>
      </c>
      <c r="G3173" s="9">
        <v>45015</v>
      </c>
      <c r="H3173" t="s">
        <v>1111</v>
      </c>
      <c r="I3173" t="s">
        <v>2382</v>
      </c>
      <c r="J3173" s="13">
        <v>320851</v>
      </c>
      <c r="K3173">
        <v>1</v>
      </c>
      <c r="L3173" t="s">
        <v>1064</v>
      </c>
      <c r="M3173" t="s">
        <v>2383</v>
      </c>
      <c r="N3173" s="15" t="s">
        <v>6878</v>
      </c>
    </row>
    <row r="3174" spans="1:14" x14ac:dyDescent="0.2">
      <c r="A3174" t="s">
        <v>4292</v>
      </c>
      <c r="B3174" t="s">
        <v>2360</v>
      </c>
      <c r="C3174" s="9">
        <v>45012</v>
      </c>
      <c r="D3174" t="s">
        <v>946</v>
      </c>
      <c r="E3174" s="13">
        <v>23157540</v>
      </c>
      <c r="F3174" s="13">
        <v>5550</v>
      </c>
      <c r="G3174" s="9">
        <v>45015</v>
      </c>
      <c r="H3174" t="s">
        <v>1111</v>
      </c>
      <c r="I3174" t="s">
        <v>2382</v>
      </c>
      <c r="J3174" s="13">
        <v>385572</v>
      </c>
      <c r="K3174">
        <v>1</v>
      </c>
      <c r="L3174" t="s">
        <v>1064</v>
      </c>
      <c r="M3174" t="s">
        <v>2383</v>
      </c>
      <c r="N3174" s="15" t="s">
        <v>6878</v>
      </c>
    </row>
    <row r="3175" spans="1:14" x14ac:dyDescent="0.2">
      <c r="A3175" t="s">
        <v>4293</v>
      </c>
      <c r="B3175" t="s">
        <v>2360</v>
      </c>
      <c r="C3175" s="9">
        <v>45012</v>
      </c>
      <c r="D3175" t="s">
        <v>946</v>
      </c>
      <c r="E3175" s="13">
        <v>17388123</v>
      </c>
      <c r="F3175" s="13">
        <v>5550</v>
      </c>
      <c r="G3175" s="9">
        <v>45015</v>
      </c>
      <c r="H3175" t="s">
        <v>1111</v>
      </c>
      <c r="I3175" t="s">
        <v>2382</v>
      </c>
      <c r="J3175" s="13">
        <v>289511</v>
      </c>
      <c r="K3175">
        <v>1</v>
      </c>
      <c r="L3175" t="s">
        <v>1064</v>
      </c>
      <c r="M3175" t="s">
        <v>2383</v>
      </c>
      <c r="N3175" s="15" t="s">
        <v>6878</v>
      </c>
    </row>
    <row r="3176" spans="1:14" x14ac:dyDescent="0.2">
      <c r="A3176" t="s">
        <v>4294</v>
      </c>
      <c r="B3176" t="s">
        <v>2360</v>
      </c>
      <c r="C3176" s="9">
        <v>45012</v>
      </c>
      <c r="D3176" t="s">
        <v>946</v>
      </c>
      <c r="E3176" s="13">
        <v>23289420</v>
      </c>
      <c r="F3176" s="13">
        <v>5550</v>
      </c>
      <c r="G3176" s="9">
        <v>45015</v>
      </c>
      <c r="H3176" t="s">
        <v>1111</v>
      </c>
      <c r="I3176" t="s">
        <v>2382</v>
      </c>
      <c r="J3176" s="13">
        <v>387768</v>
      </c>
      <c r="K3176">
        <v>1</v>
      </c>
      <c r="L3176" t="s">
        <v>1064</v>
      </c>
      <c r="M3176" t="s">
        <v>2383</v>
      </c>
      <c r="N3176" s="15" t="s">
        <v>6878</v>
      </c>
    </row>
    <row r="3177" spans="1:14" x14ac:dyDescent="0.2">
      <c r="A3177" t="s">
        <v>4295</v>
      </c>
      <c r="B3177" t="s">
        <v>2360</v>
      </c>
      <c r="C3177" s="9">
        <v>45012</v>
      </c>
      <c r="D3177" t="s">
        <v>946</v>
      </c>
      <c r="E3177" s="13">
        <v>17350972</v>
      </c>
      <c r="F3177" s="13">
        <v>5550</v>
      </c>
      <c r="G3177" s="9">
        <v>45015</v>
      </c>
      <c r="H3177" t="s">
        <v>1111</v>
      </c>
      <c r="I3177" t="s">
        <v>2382</v>
      </c>
      <c r="J3177" s="13">
        <v>288893</v>
      </c>
      <c r="K3177">
        <v>1</v>
      </c>
      <c r="L3177" t="s">
        <v>1064</v>
      </c>
      <c r="M3177" t="s">
        <v>2383</v>
      </c>
      <c r="N3177" s="15" t="s">
        <v>6878</v>
      </c>
    </row>
    <row r="3178" spans="1:14" x14ac:dyDescent="0.2">
      <c r="A3178" t="s">
        <v>4296</v>
      </c>
      <c r="B3178" t="s">
        <v>2360</v>
      </c>
      <c r="C3178" s="9">
        <v>45012</v>
      </c>
      <c r="D3178" t="s">
        <v>946</v>
      </c>
      <c r="E3178" s="13">
        <v>17316947</v>
      </c>
      <c r="F3178" s="13">
        <v>5550</v>
      </c>
      <c r="G3178" s="9">
        <v>45015</v>
      </c>
      <c r="H3178" t="s">
        <v>1111</v>
      </c>
      <c r="I3178" t="s">
        <v>2382</v>
      </c>
      <c r="J3178" s="13">
        <v>288326</v>
      </c>
      <c r="K3178">
        <v>1</v>
      </c>
      <c r="L3178" t="s">
        <v>1064</v>
      </c>
      <c r="M3178" t="s">
        <v>2383</v>
      </c>
      <c r="N3178" s="15" t="s">
        <v>6878</v>
      </c>
    </row>
    <row r="3179" spans="1:14" x14ac:dyDescent="0.2">
      <c r="A3179" t="s">
        <v>4297</v>
      </c>
      <c r="B3179" t="s">
        <v>2360</v>
      </c>
      <c r="C3179" s="9">
        <v>45012</v>
      </c>
      <c r="D3179" t="s">
        <v>946</v>
      </c>
      <c r="E3179" s="13">
        <v>17345070</v>
      </c>
      <c r="F3179" s="13">
        <v>5550</v>
      </c>
      <c r="G3179" s="9">
        <v>45015</v>
      </c>
      <c r="H3179" t="s">
        <v>1111</v>
      </c>
      <c r="I3179" t="s">
        <v>2382</v>
      </c>
      <c r="J3179" s="13">
        <v>288795</v>
      </c>
      <c r="K3179">
        <v>1</v>
      </c>
      <c r="L3179" t="s">
        <v>1064</v>
      </c>
      <c r="M3179" t="s">
        <v>2383</v>
      </c>
      <c r="N3179" s="15" t="s">
        <v>6878</v>
      </c>
    </row>
    <row r="3180" spans="1:14" x14ac:dyDescent="0.2">
      <c r="A3180" t="s">
        <v>4298</v>
      </c>
      <c r="B3180" t="s">
        <v>2360</v>
      </c>
      <c r="C3180" s="9">
        <v>45012</v>
      </c>
      <c r="D3180" t="s">
        <v>946</v>
      </c>
      <c r="E3180" s="13">
        <v>29680000</v>
      </c>
      <c r="F3180" s="13">
        <v>5550</v>
      </c>
      <c r="G3180" s="9">
        <v>45015</v>
      </c>
      <c r="H3180" t="s">
        <v>1111</v>
      </c>
      <c r="I3180" t="s">
        <v>2382</v>
      </c>
      <c r="J3180" s="13">
        <v>494172</v>
      </c>
      <c r="K3180">
        <v>1</v>
      </c>
      <c r="L3180" t="s">
        <v>1064</v>
      </c>
      <c r="M3180" t="s">
        <v>2383</v>
      </c>
      <c r="N3180" s="15" t="s">
        <v>6878</v>
      </c>
    </row>
    <row r="3181" spans="1:14" x14ac:dyDescent="0.2">
      <c r="A3181" t="s">
        <v>4299</v>
      </c>
      <c r="B3181" t="s">
        <v>2360</v>
      </c>
      <c r="C3181" s="9">
        <v>45012</v>
      </c>
      <c r="D3181" t="s">
        <v>946</v>
      </c>
      <c r="E3181" s="13">
        <v>18916285</v>
      </c>
      <c r="F3181" s="13">
        <v>5550</v>
      </c>
      <c r="G3181" s="9">
        <v>45015</v>
      </c>
      <c r="H3181" t="s">
        <v>1111</v>
      </c>
      <c r="I3181" t="s">
        <v>2382</v>
      </c>
      <c r="J3181" s="13">
        <v>314955</v>
      </c>
      <c r="K3181">
        <v>1</v>
      </c>
      <c r="L3181" t="s">
        <v>1064</v>
      </c>
      <c r="M3181" t="s">
        <v>2383</v>
      </c>
      <c r="N3181" s="15" t="s">
        <v>6878</v>
      </c>
    </row>
    <row r="3182" spans="1:14" x14ac:dyDescent="0.2">
      <c r="A3182" t="s">
        <v>4300</v>
      </c>
      <c r="B3182" t="s">
        <v>2360</v>
      </c>
      <c r="C3182" s="9">
        <v>45012</v>
      </c>
      <c r="D3182" t="s">
        <v>946</v>
      </c>
      <c r="E3182" s="13">
        <v>17454438</v>
      </c>
      <c r="F3182" s="13">
        <v>5550</v>
      </c>
      <c r="G3182" s="9">
        <v>45015</v>
      </c>
      <c r="H3182" t="s">
        <v>1111</v>
      </c>
      <c r="I3182" t="s">
        <v>2382</v>
      </c>
      <c r="J3182" s="13">
        <v>290615</v>
      </c>
      <c r="K3182">
        <v>1</v>
      </c>
      <c r="L3182" t="s">
        <v>1064</v>
      </c>
      <c r="M3182" t="s">
        <v>2383</v>
      </c>
      <c r="N3182" s="15" t="s">
        <v>6878</v>
      </c>
    </row>
    <row r="3183" spans="1:14" x14ac:dyDescent="0.2">
      <c r="A3183" t="s">
        <v>4301</v>
      </c>
      <c r="B3183" t="s">
        <v>2360</v>
      </c>
      <c r="C3183" s="9">
        <v>45012</v>
      </c>
      <c r="D3183" t="s">
        <v>946</v>
      </c>
      <c r="E3183" s="13">
        <v>17376665</v>
      </c>
      <c r="F3183" s="13">
        <v>5550</v>
      </c>
      <c r="G3183" s="9">
        <v>45015</v>
      </c>
      <c r="H3183" t="s">
        <v>1111</v>
      </c>
      <c r="I3183" t="s">
        <v>2382</v>
      </c>
      <c r="J3183" s="13">
        <v>289320</v>
      </c>
      <c r="K3183">
        <v>1</v>
      </c>
      <c r="L3183" t="s">
        <v>1064</v>
      </c>
      <c r="M3183" t="s">
        <v>2383</v>
      </c>
      <c r="N3183" s="15" t="s">
        <v>6878</v>
      </c>
    </row>
    <row r="3184" spans="1:14" x14ac:dyDescent="0.2">
      <c r="A3184" t="s">
        <v>4302</v>
      </c>
      <c r="B3184" t="s">
        <v>2360</v>
      </c>
      <c r="C3184" s="9">
        <v>45012</v>
      </c>
      <c r="D3184" t="s">
        <v>946</v>
      </c>
      <c r="E3184" s="13">
        <v>17454438</v>
      </c>
      <c r="F3184" s="13">
        <v>5550</v>
      </c>
      <c r="G3184" s="9">
        <v>45015</v>
      </c>
      <c r="H3184" t="s">
        <v>1111</v>
      </c>
      <c r="I3184" t="s">
        <v>2382</v>
      </c>
      <c r="J3184" s="13">
        <v>290615</v>
      </c>
      <c r="K3184">
        <v>1</v>
      </c>
      <c r="L3184" t="s">
        <v>1064</v>
      </c>
      <c r="M3184" t="s">
        <v>2383</v>
      </c>
      <c r="N3184" s="15" t="s">
        <v>6878</v>
      </c>
    </row>
    <row r="3185" spans="1:14" x14ac:dyDescent="0.2">
      <c r="A3185" t="s">
        <v>4303</v>
      </c>
      <c r="B3185" t="s">
        <v>2360</v>
      </c>
      <c r="C3185" s="9">
        <v>45012</v>
      </c>
      <c r="D3185" t="s">
        <v>946</v>
      </c>
      <c r="E3185" s="13">
        <v>31322917</v>
      </c>
      <c r="F3185" s="13">
        <v>5550</v>
      </c>
      <c r="G3185" s="9">
        <v>45015</v>
      </c>
      <c r="H3185" t="s">
        <v>1111</v>
      </c>
      <c r="I3185" t="s">
        <v>2382</v>
      </c>
      <c r="J3185" s="13">
        <v>521525</v>
      </c>
      <c r="K3185">
        <v>1</v>
      </c>
      <c r="L3185" t="s">
        <v>1064</v>
      </c>
      <c r="M3185" t="s">
        <v>2383</v>
      </c>
      <c r="N3185" s="15" t="s">
        <v>6878</v>
      </c>
    </row>
    <row r="3186" spans="1:14" x14ac:dyDescent="0.2">
      <c r="A3186" t="s">
        <v>4304</v>
      </c>
      <c r="B3186" t="s">
        <v>2360</v>
      </c>
      <c r="C3186" s="9">
        <v>45012</v>
      </c>
      <c r="D3186" t="s">
        <v>946</v>
      </c>
      <c r="E3186" s="13">
        <v>17343681</v>
      </c>
      <c r="F3186" s="13">
        <v>5550</v>
      </c>
      <c r="G3186" s="9">
        <v>45015</v>
      </c>
      <c r="H3186" t="s">
        <v>1111</v>
      </c>
      <c r="I3186" t="s">
        <v>2382</v>
      </c>
      <c r="J3186" s="13">
        <v>288772</v>
      </c>
      <c r="K3186">
        <v>1</v>
      </c>
      <c r="L3186" t="s">
        <v>1064</v>
      </c>
      <c r="M3186" t="s">
        <v>2383</v>
      </c>
      <c r="N3186" s="15" t="s">
        <v>6878</v>
      </c>
    </row>
    <row r="3187" spans="1:14" x14ac:dyDescent="0.2">
      <c r="A3187" t="s">
        <v>4305</v>
      </c>
      <c r="B3187" t="s">
        <v>2360</v>
      </c>
      <c r="C3187" s="9">
        <v>45012</v>
      </c>
      <c r="D3187" t="s">
        <v>946</v>
      </c>
      <c r="E3187" s="13">
        <v>17454438</v>
      </c>
      <c r="F3187" s="13">
        <v>5550</v>
      </c>
      <c r="G3187" s="9">
        <v>45015</v>
      </c>
      <c r="H3187" t="s">
        <v>1111</v>
      </c>
      <c r="I3187" t="s">
        <v>2382</v>
      </c>
      <c r="J3187" s="13">
        <v>290615</v>
      </c>
      <c r="K3187">
        <v>1</v>
      </c>
      <c r="L3187" t="s">
        <v>1064</v>
      </c>
      <c r="M3187" t="s">
        <v>2383</v>
      </c>
      <c r="N3187" s="15" t="s">
        <v>6878</v>
      </c>
    </row>
    <row r="3188" spans="1:14" x14ac:dyDescent="0.2">
      <c r="A3188" t="s">
        <v>4306</v>
      </c>
      <c r="B3188" t="s">
        <v>2360</v>
      </c>
      <c r="C3188" s="9">
        <v>45012</v>
      </c>
      <c r="D3188" t="s">
        <v>946</v>
      </c>
      <c r="E3188" s="13">
        <v>17454438</v>
      </c>
      <c r="F3188" s="13">
        <v>5550</v>
      </c>
      <c r="G3188" s="9">
        <v>45015</v>
      </c>
      <c r="H3188" t="s">
        <v>1111</v>
      </c>
      <c r="I3188" t="s">
        <v>2382</v>
      </c>
      <c r="J3188" s="13">
        <v>290615</v>
      </c>
      <c r="K3188">
        <v>1</v>
      </c>
      <c r="L3188" t="s">
        <v>1064</v>
      </c>
      <c r="M3188" t="s">
        <v>2383</v>
      </c>
      <c r="N3188" s="15" t="s">
        <v>6878</v>
      </c>
    </row>
    <row r="3189" spans="1:14" x14ac:dyDescent="0.2">
      <c r="A3189" t="s">
        <v>4307</v>
      </c>
      <c r="B3189" t="s">
        <v>2360</v>
      </c>
      <c r="C3189" s="9">
        <v>45012</v>
      </c>
      <c r="D3189" t="s">
        <v>946</v>
      </c>
      <c r="E3189" s="13">
        <v>23157540</v>
      </c>
      <c r="F3189" s="13">
        <v>5550</v>
      </c>
      <c r="G3189" s="9">
        <v>45015</v>
      </c>
      <c r="H3189" t="s">
        <v>1111</v>
      </c>
      <c r="I3189" t="s">
        <v>2382</v>
      </c>
      <c r="J3189" s="13">
        <v>385572</v>
      </c>
      <c r="K3189">
        <v>1</v>
      </c>
      <c r="L3189" t="s">
        <v>1064</v>
      </c>
      <c r="M3189" t="s">
        <v>2383</v>
      </c>
      <c r="N3189" s="15" t="s">
        <v>6878</v>
      </c>
    </row>
    <row r="3190" spans="1:14" x14ac:dyDescent="0.2">
      <c r="A3190" t="s">
        <v>4308</v>
      </c>
      <c r="B3190" t="s">
        <v>2360</v>
      </c>
      <c r="C3190" s="9">
        <v>45012</v>
      </c>
      <c r="D3190" t="s">
        <v>946</v>
      </c>
      <c r="E3190" s="13">
        <v>18979282</v>
      </c>
      <c r="F3190" s="13">
        <v>5550</v>
      </c>
      <c r="G3190" s="9">
        <v>45015</v>
      </c>
      <c r="H3190" t="s">
        <v>1111</v>
      </c>
      <c r="I3190" t="s">
        <v>2382</v>
      </c>
      <c r="J3190" s="13">
        <v>316004</v>
      </c>
      <c r="K3190">
        <v>1</v>
      </c>
      <c r="L3190" t="s">
        <v>1064</v>
      </c>
      <c r="M3190" t="s">
        <v>2383</v>
      </c>
      <c r="N3190" s="15" t="s">
        <v>6878</v>
      </c>
    </row>
    <row r="3191" spans="1:14" x14ac:dyDescent="0.2">
      <c r="A3191" t="s">
        <v>4309</v>
      </c>
      <c r="B3191" t="s">
        <v>2360</v>
      </c>
      <c r="C3191" s="9">
        <v>45012</v>
      </c>
      <c r="D3191" t="s">
        <v>946</v>
      </c>
      <c r="E3191" s="13">
        <v>17398886</v>
      </c>
      <c r="F3191" s="13">
        <v>5550</v>
      </c>
      <c r="G3191" s="9">
        <v>45015</v>
      </c>
      <c r="H3191" t="s">
        <v>1111</v>
      </c>
      <c r="I3191" t="s">
        <v>2382</v>
      </c>
      <c r="J3191" s="13">
        <v>289691</v>
      </c>
      <c r="K3191">
        <v>1</v>
      </c>
      <c r="L3191" t="s">
        <v>1064</v>
      </c>
      <c r="M3191" t="s">
        <v>2383</v>
      </c>
      <c r="N3191" s="15" t="s">
        <v>6878</v>
      </c>
    </row>
    <row r="3192" spans="1:14" x14ac:dyDescent="0.2">
      <c r="A3192" t="s">
        <v>4310</v>
      </c>
      <c r="B3192" t="s">
        <v>2360</v>
      </c>
      <c r="C3192" s="9">
        <v>45012</v>
      </c>
      <c r="D3192" t="s">
        <v>946</v>
      </c>
      <c r="E3192" s="13">
        <v>19114321</v>
      </c>
      <c r="F3192" s="13">
        <v>5550</v>
      </c>
      <c r="G3192" s="9">
        <v>45015</v>
      </c>
      <c r="H3192" t="s">
        <v>1111</v>
      </c>
      <c r="I3192" t="s">
        <v>2382</v>
      </c>
      <c r="J3192" s="13">
        <v>318252</v>
      </c>
      <c r="K3192">
        <v>1</v>
      </c>
      <c r="L3192" t="s">
        <v>1064</v>
      </c>
      <c r="M3192" t="s">
        <v>2383</v>
      </c>
      <c r="N3192" s="15" t="s">
        <v>6878</v>
      </c>
    </row>
    <row r="3193" spans="1:14" x14ac:dyDescent="0.2">
      <c r="A3193" t="s">
        <v>4311</v>
      </c>
      <c r="B3193" t="s">
        <v>2360</v>
      </c>
      <c r="C3193" s="9">
        <v>45012</v>
      </c>
      <c r="D3193" t="s">
        <v>946</v>
      </c>
      <c r="E3193" s="13">
        <v>20108972</v>
      </c>
      <c r="F3193" s="13">
        <v>5550</v>
      </c>
      <c r="G3193" s="9">
        <v>45015</v>
      </c>
      <c r="H3193" t="s">
        <v>1111</v>
      </c>
      <c r="I3193" t="s">
        <v>2382</v>
      </c>
      <c r="J3193" s="13">
        <v>334813</v>
      </c>
      <c r="K3193">
        <v>1</v>
      </c>
      <c r="L3193" t="s">
        <v>1064</v>
      </c>
      <c r="M3193" t="s">
        <v>2383</v>
      </c>
      <c r="N3193" s="15" t="s">
        <v>6878</v>
      </c>
    </row>
    <row r="3194" spans="1:14" x14ac:dyDescent="0.2">
      <c r="A3194" t="s">
        <v>4312</v>
      </c>
      <c r="B3194" t="s">
        <v>2360</v>
      </c>
      <c r="C3194" s="9">
        <v>45012</v>
      </c>
      <c r="D3194" t="s">
        <v>946</v>
      </c>
      <c r="E3194" s="13">
        <v>22725958</v>
      </c>
      <c r="F3194" s="13">
        <v>5550</v>
      </c>
      <c r="G3194" s="9">
        <v>45015</v>
      </c>
      <c r="H3194" t="s">
        <v>1111</v>
      </c>
      <c r="I3194" t="s">
        <v>2382</v>
      </c>
      <c r="J3194" s="13">
        <v>378386</v>
      </c>
      <c r="K3194">
        <v>1</v>
      </c>
      <c r="L3194" t="s">
        <v>1064</v>
      </c>
      <c r="M3194" t="s">
        <v>2383</v>
      </c>
      <c r="N3194" s="15" t="s">
        <v>6878</v>
      </c>
    </row>
    <row r="3195" spans="1:14" x14ac:dyDescent="0.2">
      <c r="A3195" t="s">
        <v>4313</v>
      </c>
      <c r="B3195" t="s">
        <v>2360</v>
      </c>
      <c r="C3195" s="9">
        <v>45012</v>
      </c>
      <c r="D3195" t="s">
        <v>946</v>
      </c>
      <c r="E3195" s="13">
        <v>25912364</v>
      </c>
      <c r="F3195" s="13">
        <v>5550</v>
      </c>
      <c r="G3195" s="9">
        <v>45015</v>
      </c>
      <c r="H3195" t="s">
        <v>1111</v>
      </c>
      <c r="I3195" t="s">
        <v>2382</v>
      </c>
      <c r="J3195" s="13">
        <v>431440</v>
      </c>
      <c r="K3195">
        <v>1</v>
      </c>
      <c r="L3195" t="s">
        <v>1064</v>
      </c>
      <c r="M3195" t="s">
        <v>2383</v>
      </c>
      <c r="N3195" s="15" t="s">
        <v>6878</v>
      </c>
    </row>
    <row r="3196" spans="1:14" x14ac:dyDescent="0.2">
      <c r="A3196" t="s">
        <v>4314</v>
      </c>
      <c r="B3196" t="s">
        <v>2360</v>
      </c>
      <c r="C3196" s="9">
        <v>45012</v>
      </c>
      <c r="D3196" t="s">
        <v>946</v>
      </c>
      <c r="E3196" s="13">
        <v>20099989</v>
      </c>
      <c r="F3196" s="13">
        <v>5550</v>
      </c>
      <c r="G3196" s="9">
        <v>45015</v>
      </c>
      <c r="H3196" t="s">
        <v>1111</v>
      </c>
      <c r="I3196" t="s">
        <v>2382</v>
      </c>
      <c r="J3196" s="13">
        <v>334663</v>
      </c>
      <c r="K3196">
        <v>1</v>
      </c>
      <c r="L3196" t="s">
        <v>1064</v>
      </c>
      <c r="M3196" t="s">
        <v>2383</v>
      </c>
      <c r="N3196" s="15" t="s">
        <v>6878</v>
      </c>
    </row>
    <row r="3197" spans="1:14" x14ac:dyDescent="0.2">
      <c r="A3197" t="s">
        <v>4315</v>
      </c>
      <c r="B3197" t="s">
        <v>2360</v>
      </c>
      <c r="C3197" s="9">
        <v>45012</v>
      </c>
      <c r="D3197" t="s">
        <v>946</v>
      </c>
      <c r="E3197" s="13">
        <v>20593174</v>
      </c>
      <c r="F3197" s="13">
        <v>5550</v>
      </c>
      <c r="G3197" s="9">
        <v>45015</v>
      </c>
      <c r="H3197" t="s">
        <v>1111</v>
      </c>
      <c r="I3197" t="s">
        <v>2382</v>
      </c>
      <c r="J3197" s="13">
        <v>342875</v>
      </c>
      <c r="K3197">
        <v>1</v>
      </c>
      <c r="L3197" t="s">
        <v>1064</v>
      </c>
      <c r="M3197" t="s">
        <v>2383</v>
      </c>
      <c r="N3197" s="15" t="s">
        <v>6878</v>
      </c>
    </row>
    <row r="3198" spans="1:14" x14ac:dyDescent="0.2">
      <c r="A3198" t="s">
        <v>4316</v>
      </c>
      <c r="B3198" t="s">
        <v>2360</v>
      </c>
      <c r="C3198" s="9">
        <v>45012</v>
      </c>
      <c r="D3198" t="s">
        <v>946</v>
      </c>
      <c r="E3198" s="13">
        <v>27832000</v>
      </c>
      <c r="F3198" s="13">
        <v>5550</v>
      </c>
      <c r="G3198" s="9">
        <v>45015</v>
      </c>
      <c r="H3198" t="s">
        <v>1111</v>
      </c>
      <c r="I3198" t="s">
        <v>2382</v>
      </c>
      <c r="J3198" s="13">
        <v>463402</v>
      </c>
      <c r="K3198">
        <v>1</v>
      </c>
      <c r="L3198" t="s">
        <v>1064</v>
      </c>
      <c r="M3198" t="s">
        <v>2383</v>
      </c>
      <c r="N3198" s="15" t="s">
        <v>6878</v>
      </c>
    </row>
    <row r="3199" spans="1:14" x14ac:dyDescent="0.2">
      <c r="A3199" t="s">
        <v>4317</v>
      </c>
      <c r="B3199" t="s">
        <v>2360</v>
      </c>
      <c r="C3199" s="9">
        <v>45012</v>
      </c>
      <c r="D3199" t="s">
        <v>9</v>
      </c>
      <c r="E3199" s="13">
        <v>3606400</v>
      </c>
      <c r="F3199" s="13">
        <v>24975</v>
      </c>
      <c r="G3199" s="9">
        <v>45028</v>
      </c>
      <c r="H3199" t="s">
        <v>1111</v>
      </c>
      <c r="I3199" t="s">
        <v>2361</v>
      </c>
      <c r="J3199" s="13">
        <v>120093</v>
      </c>
      <c r="K3199">
        <v>1</v>
      </c>
      <c r="L3199" t="s">
        <v>1064</v>
      </c>
      <c r="M3199" t="s">
        <v>2362</v>
      </c>
      <c r="N3199" s="15" t="s">
        <v>6878</v>
      </c>
    </row>
    <row r="3200" spans="1:14" x14ac:dyDescent="0.2">
      <c r="A3200" t="s">
        <v>4318</v>
      </c>
      <c r="B3200" t="s">
        <v>2360</v>
      </c>
      <c r="C3200" s="9">
        <v>45013</v>
      </c>
      <c r="D3200" t="s">
        <v>981</v>
      </c>
      <c r="E3200" s="13">
        <v>2002750</v>
      </c>
      <c r="F3200" s="13">
        <v>25000</v>
      </c>
      <c r="H3200" t="s">
        <v>2184</v>
      </c>
      <c r="I3200" t="s">
        <v>4222</v>
      </c>
      <c r="J3200" s="13">
        <v>0</v>
      </c>
      <c r="K3200">
        <v>1</v>
      </c>
      <c r="L3200" t="s">
        <v>1064</v>
      </c>
      <c r="M3200" t="s">
        <v>4223</v>
      </c>
      <c r="N3200" s="14" t="s">
        <v>6877</v>
      </c>
    </row>
    <row r="3201" spans="1:14" x14ac:dyDescent="0.2">
      <c r="A3201" t="s">
        <v>4319</v>
      </c>
      <c r="B3201" t="s">
        <v>2360</v>
      </c>
      <c r="C3201" s="9">
        <v>45013</v>
      </c>
      <c r="D3201" t="s">
        <v>981</v>
      </c>
      <c r="E3201" s="13">
        <v>2002750</v>
      </c>
      <c r="F3201" s="13">
        <v>25000</v>
      </c>
      <c r="H3201" t="s">
        <v>2184</v>
      </c>
      <c r="I3201" t="s">
        <v>4222</v>
      </c>
      <c r="J3201" s="13">
        <v>0</v>
      </c>
      <c r="K3201">
        <v>1</v>
      </c>
      <c r="L3201" t="s">
        <v>1064</v>
      </c>
      <c r="M3201" t="s">
        <v>4223</v>
      </c>
      <c r="N3201" s="14" t="s">
        <v>6877</v>
      </c>
    </row>
    <row r="3202" spans="1:14" x14ac:dyDescent="0.2">
      <c r="A3202" t="s">
        <v>4320</v>
      </c>
      <c r="B3202" t="s">
        <v>2360</v>
      </c>
      <c r="C3202" s="9">
        <v>45013</v>
      </c>
      <c r="D3202" t="s">
        <v>981</v>
      </c>
      <c r="E3202" s="13">
        <v>2002750</v>
      </c>
      <c r="F3202" s="13">
        <v>25000</v>
      </c>
      <c r="H3202" t="s">
        <v>2184</v>
      </c>
      <c r="I3202" t="s">
        <v>4222</v>
      </c>
      <c r="J3202" s="13">
        <v>0</v>
      </c>
      <c r="K3202">
        <v>1</v>
      </c>
      <c r="L3202" t="s">
        <v>1064</v>
      </c>
      <c r="M3202" t="s">
        <v>4223</v>
      </c>
      <c r="N3202" s="14" t="s">
        <v>6877</v>
      </c>
    </row>
    <row r="3203" spans="1:14" x14ac:dyDescent="0.2">
      <c r="A3203" t="s">
        <v>4321</v>
      </c>
      <c r="B3203" t="s">
        <v>2360</v>
      </c>
      <c r="C3203" s="9">
        <v>45013</v>
      </c>
      <c r="D3203" t="s">
        <v>946</v>
      </c>
      <c r="E3203" s="13">
        <v>12650000</v>
      </c>
      <c r="F3203" s="13">
        <v>5550</v>
      </c>
      <c r="G3203" s="9">
        <v>45015</v>
      </c>
      <c r="H3203" t="s">
        <v>1111</v>
      </c>
      <c r="I3203" t="s">
        <v>2382</v>
      </c>
      <c r="J3203" s="13">
        <v>210622</v>
      </c>
      <c r="K3203">
        <v>1</v>
      </c>
      <c r="L3203" t="s">
        <v>1064</v>
      </c>
      <c r="M3203" t="s">
        <v>2383</v>
      </c>
      <c r="N3203" s="15" t="s">
        <v>6878</v>
      </c>
    </row>
    <row r="3204" spans="1:14" x14ac:dyDescent="0.2">
      <c r="A3204" t="s">
        <v>4322</v>
      </c>
      <c r="B3204" t="s">
        <v>2360</v>
      </c>
      <c r="C3204" s="9">
        <v>45013</v>
      </c>
      <c r="D3204" t="s">
        <v>946</v>
      </c>
      <c r="E3204" s="13">
        <v>18400000</v>
      </c>
      <c r="F3204" s="13">
        <v>5550</v>
      </c>
      <c r="G3204" s="9">
        <v>45015</v>
      </c>
      <c r="H3204" t="s">
        <v>1111</v>
      </c>
      <c r="I3204" t="s">
        <v>2382</v>
      </c>
      <c r="J3204" s="13">
        <v>306360</v>
      </c>
      <c r="K3204">
        <v>1</v>
      </c>
      <c r="L3204" t="s">
        <v>1064</v>
      </c>
      <c r="M3204" t="s">
        <v>2383</v>
      </c>
      <c r="N3204" s="15" t="s">
        <v>6878</v>
      </c>
    </row>
    <row r="3205" spans="1:14" x14ac:dyDescent="0.2">
      <c r="A3205" t="s">
        <v>4323</v>
      </c>
      <c r="B3205" t="s">
        <v>2360</v>
      </c>
      <c r="C3205" s="9">
        <v>45013</v>
      </c>
      <c r="D3205" t="s">
        <v>946</v>
      </c>
      <c r="E3205" s="13">
        <v>12650000</v>
      </c>
      <c r="F3205" s="13">
        <v>5550</v>
      </c>
      <c r="G3205" s="9">
        <v>45015</v>
      </c>
      <c r="H3205" t="s">
        <v>1111</v>
      </c>
      <c r="I3205" t="s">
        <v>2382</v>
      </c>
      <c r="J3205" s="13">
        <v>210622</v>
      </c>
      <c r="K3205">
        <v>1</v>
      </c>
      <c r="L3205" t="s">
        <v>1064</v>
      </c>
      <c r="M3205" t="s">
        <v>2383</v>
      </c>
      <c r="N3205" s="15" t="s">
        <v>6878</v>
      </c>
    </row>
    <row r="3206" spans="1:14" x14ac:dyDescent="0.2">
      <c r="A3206" t="s">
        <v>4324</v>
      </c>
      <c r="B3206" t="s">
        <v>2360</v>
      </c>
      <c r="C3206" s="9">
        <v>45013</v>
      </c>
      <c r="D3206" t="s">
        <v>946</v>
      </c>
      <c r="E3206" s="13">
        <v>11500000</v>
      </c>
      <c r="F3206" s="13">
        <v>5550</v>
      </c>
      <c r="G3206" s="9">
        <v>45015</v>
      </c>
      <c r="H3206" t="s">
        <v>1111</v>
      </c>
      <c r="I3206" t="s">
        <v>2382</v>
      </c>
      <c r="J3206" s="13">
        <v>191475</v>
      </c>
      <c r="K3206">
        <v>1</v>
      </c>
      <c r="L3206" t="s">
        <v>1064</v>
      </c>
      <c r="M3206" t="s">
        <v>2383</v>
      </c>
      <c r="N3206" s="15" t="s">
        <v>6878</v>
      </c>
    </row>
    <row r="3207" spans="1:14" x14ac:dyDescent="0.2">
      <c r="A3207" t="s">
        <v>4325</v>
      </c>
      <c r="B3207" t="s">
        <v>2360</v>
      </c>
      <c r="C3207" s="9">
        <v>45013</v>
      </c>
      <c r="D3207" t="s">
        <v>946</v>
      </c>
      <c r="E3207" s="13">
        <v>16675000</v>
      </c>
      <c r="F3207" s="13">
        <v>5550</v>
      </c>
      <c r="G3207" s="9">
        <v>45015</v>
      </c>
      <c r="H3207" t="s">
        <v>1111</v>
      </c>
      <c r="I3207" t="s">
        <v>2382</v>
      </c>
      <c r="J3207" s="13">
        <v>277638</v>
      </c>
      <c r="K3207">
        <v>1</v>
      </c>
      <c r="L3207" t="s">
        <v>1064</v>
      </c>
      <c r="M3207" t="s">
        <v>2383</v>
      </c>
      <c r="N3207" s="15" t="s">
        <v>6878</v>
      </c>
    </row>
    <row r="3208" spans="1:14" x14ac:dyDescent="0.2">
      <c r="A3208" t="s">
        <v>4326</v>
      </c>
      <c r="B3208" t="s">
        <v>2360</v>
      </c>
      <c r="C3208" s="9">
        <v>45013</v>
      </c>
      <c r="D3208" t="s">
        <v>946</v>
      </c>
      <c r="E3208" s="13">
        <v>12535000</v>
      </c>
      <c r="F3208" s="13">
        <v>5550</v>
      </c>
      <c r="G3208" s="9">
        <v>45015</v>
      </c>
      <c r="H3208" t="s">
        <v>1111</v>
      </c>
      <c r="I3208" t="s">
        <v>2382</v>
      </c>
      <c r="J3208" s="13">
        <v>208707</v>
      </c>
      <c r="K3208">
        <v>1</v>
      </c>
      <c r="L3208" t="s">
        <v>1064</v>
      </c>
      <c r="M3208" t="s">
        <v>2383</v>
      </c>
      <c r="N3208" s="15" t="s">
        <v>6878</v>
      </c>
    </row>
    <row r="3209" spans="1:14" x14ac:dyDescent="0.2">
      <c r="A3209" t="s">
        <v>4327</v>
      </c>
      <c r="B3209" t="s">
        <v>2360</v>
      </c>
      <c r="C3209" s="9">
        <v>45013</v>
      </c>
      <c r="D3209" t="s">
        <v>946</v>
      </c>
      <c r="E3209" s="13">
        <v>19326373</v>
      </c>
      <c r="F3209" s="13">
        <v>5550</v>
      </c>
      <c r="G3209" s="9">
        <v>45015</v>
      </c>
      <c r="H3209" t="s">
        <v>1111</v>
      </c>
      <c r="I3209" t="s">
        <v>2382</v>
      </c>
      <c r="J3209" s="13">
        <v>321783</v>
      </c>
      <c r="K3209">
        <v>1</v>
      </c>
      <c r="L3209" t="s">
        <v>1064</v>
      </c>
      <c r="M3209" t="s">
        <v>2383</v>
      </c>
      <c r="N3209" s="15" t="s">
        <v>6878</v>
      </c>
    </row>
    <row r="3210" spans="1:14" x14ac:dyDescent="0.2">
      <c r="A3210" t="s">
        <v>4328</v>
      </c>
      <c r="B3210" t="s">
        <v>2360</v>
      </c>
      <c r="C3210" s="9">
        <v>45013</v>
      </c>
      <c r="D3210" t="s">
        <v>946</v>
      </c>
      <c r="E3210" s="13">
        <v>19342231</v>
      </c>
      <c r="F3210" s="13">
        <v>5550</v>
      </c>
      <c r="G3210" s="9">
        <v>45015</v>
      </c>
      <c r="H3210" t="s">
        <v>1111</v>
      </c>
      <c r="I3210" t="s">
        <v>2382</v>
      </c>
      <c r="J3210" s="13">
        <v>322047</v>
      </c>
      <c r="K3210">
        <v>1</v>
      </c>
      <c r="L3210" t="s">
        <v>1064</v>
      </c>
      <c r="M3210" t="s">
        <v>2383</v>
      </c>
      <c r="N3210" s="15" t="s">
        <v>6878</v>
      </c>
    </row>
    <row r="3211" spans="1:14" x14ac:dyDescent="0.2">
      <c r="A3211" t="s">
        <v>4329</v>
      </c>
      <c r="B3211" t="s">
        <v>2360</v>
      </c>
      <c r="C3211" s="9">
        <v>45013</v>
      </c>
      <c r="D3211" t="s">
        <v>9</v>
      </c>
      <c r="E3211" s="13">
        <v>340060</v>
      </c>
      <c r="F3211" s="13">
        <v>24975</v>
      </c>
      <c r="G3211" s="9">
        <v>45028</v>
      </c>
      <c r="H3211" t="s">
        <v>1111</v>
      </c>
      <c r="I3211" t="s">
        <v>436</v>
      </c>
      <c r="J3211" s="13">
        <v>11323</v>
      </c>
      <c r="K3211">
        <v>1</v>
      </c>
      <c r="L3211" t="s">
        <v>1064</v>
      </c>
      <c r="M3211" t="s">
        <v>2364</v>
      </c>
      <c r="N3211" s="15" t="s">
        <v>6878</v>
      </c>
    </row>
    <row r="3212" spans="1:14" x14ac:dyDescent="0.2">
      <c r="A3212" t="s">
        <v>4330</v>
      </c>
      <c r="B3212" t="s">
        <v>2360</v>
      </c>
      <c r="C3212" s="9">
        <v>45013</v>
      </c>
      <c r="D3212" t="s">
        <v>9</v>
      </c>
      <c r="E3212" s="13">
        <v>340060</v>
      </c>
      <c r="F3212" s="13">
        <v>24975</v>
      </c>
      <c r="G3212" s="9">
        <v>45028</v>
      </c>
      <c r="H3212" t="s">
        <v>1111</v>
      </c>
      <c r="I3212" t="s">
        <v>436</v>
      </c>
      <c r="J3212" s="13">
        <v>11323</v>
      </c>
      <c r="K3212">
        <v>1</v>
      </c>
      <c r="L3212" t="s">
        <v>1064</v>
      </c>
      <c r="M3212" t="s">
        <v>2364</v>
      </c>
      <c r="N3212" s="15" t="s">
        <v>6878</v>
      </c>
    </row>
    <row r="3213" spans="1:14" x14ac:dyDescent="0.2">
      <c r="A3213" t="s">
        <v>4331</v>
      </c>
      <c r="B3213" t="s">
        <v>2360</v>
      </c>
      <c r="C3213" s="9">
        <v>45013</v>
      </c>
      <c r="D3213" t="s">
        <v>946</v>
      </c>
      <c r="E3213" s="13">
        <v>12983004</v>
      </c>
      <c r="F3213" s="13">
        <v>5550</v>
      </c>
      <c r="G3213" s="9">
        <v>45015</v>
      </c>
      <c r="H3213" t="s">
        <v>1111</v>
      </c>
      <c r="I3213" t="s">
        <v>2382</v>
      </c>
      <c r="J3213" s="13">
        <v>216166</v>
      </c>
      <c r="K3213">
        <v>1</v>
      </c>
      <c r="L3213" t="s">
        <v>1064</v>
      </c>
      <c r="M3213" t="s">
        <v>2383</v>
      </c>
      <c r="N3213" s="15" t="s">
        <v>6878</v>
      </c>
    </row>
    <row r="3214" spans="1:14" x14ac:dyDescent="0.2">
      <c r="A3214" t="s">
        <v>4332</v>
      </c>
      <c r="B3214" t="s">
        <v>2360</v>
      </c>
      <c r="C3214" s="9">
        <v>45013</v>
      </c>
      <c r="D3214" t="s">
        <v>946</v>
      </c>
      <c r="E3214" s="13">
        <v>10669792</v>
      </c>
      <c r="F3214" s="13">
        <v>5550</v>
      </c>
      <c r="G3214" s="9">
        <v>45015</v>
      </c>
      <c r="H3214" t="s">
        <v>1111</v>
      </c>
      <c r="I3214" t="s">
        <v>2382</v>
      </c>
      <c r="J3214" s="13">
        <v>177651</v>
      </c>
      <c r="K3214">
        <v>1</v>
      </c>
      <c r="L3214" t="s">
        <v>1064</v>
      </c>
      <c r="M3214" t="s">
        <v>2383</v>
      </c>
      <c r="N3214" s="15" t="s">
        <v>6878</v>
      </c>
    </row>
    <row r="3215" spans="1:14" x14ac:dyDescent="0.2">
      <c r="A3215" t="s">
        <v>4333</v>
      </c>
      <c r="B3215" t="s">
        <v>2360</v>
      </c>
      <c r="C3215" s="9">
        <v>45013</v>
      </c>
      <c r="D3215" t="s">
        <v>946</v>
      </c>
      <c r="E3215" s="13">
        <v>23170525</v>
      </c>
      <c r="F3215" s="13">
        <v>5550</v>
      </c>
      <c r="G3215" s="9">
        <v>45015</v>
      </c>
      <c r="H3215" t="s">
        <v>1111</v>
      </c>
      <c r="I3215" t="s">
        <v>2382</v>
      </c>
      <c r="J3215" s="13">
        <v>385788</v>
      </c>
      <c r="K3215">
        <v>1</v>
      </c>
      <c r="L3215" t="s">
        <v>1064</v>
      </c>
      <c r="M3215" t="s">
        <v>2383</v>
      </c>
      <c r="N3215" s="15" t="s">
        <v>6878</v>
      </c>
    </row>
    <row r="3216" spans="1:14" x14ac:dyDescent="0.2">
      <c r="A3216" t="s">
        <v>4334</v>
      </c>
      <c r="B3216" t="s">
        <v>2360</v>
      </c>
      <c r="C3216" s="9">
        <v>45013</v>
      </c>
      <c r="D3216" t="s">
        <v>946</v>
      </c>
      <c r="E3216" s="13">
        <v>18478393</v>
      </c>
      <c r="F3216" s="13">
        <v>5550</v>
      </c>
      <c r="G3216" s="9">
        <v>45015</v>
      </c>
      <c r="H3216" t="s">
        <v>1111</v>
      </c>
      <c r="I3216" t="s">
        <v>2382</v>
      </c>
      <c r="J3216" s="13">
        <v>307664</v>
      </c>
      <c r="K3216">
        <v>1</v>
      </c>
      <c r="L3216" t="s">
        <v>1064</v>
      </c>
      <c r="M3216" t="s">
        <v>2383</v>
      </c>
      <c r="N3216" s="15" t="s">
        <v>6878</v>
      </c>
    </row>
    <row r="3217" spans="1:14" x14ac:dyDescent="0.2">
      <c r="A3217" t="s">
        <v>4335</v>
      </c>
      <c r="B3217" t="s">
        <v>2360</v>
      </c>
      <c r="C3217" s="9">
        <v>45013</v>
      </c>
      <c r="D3217" t="s">
        <v>946</v>
      </c>
      <c r="E3217" s="13">
        <v>11231488</v>
      </c>
      <c r="F3217" s="13">
        <v>5550</v>
      </c>
      <c r="G3217" s="9">
        <v>45015</v>
      </c>
      <c r="H3217" t="s">
        <v>1111</v>
      </c>
      <c r="I3217" t="s">
        <v>2382</v>
      </c>
      <c r="J3217" s="13">
        <v>187003</v>
      </c>
      <c r="K3217">
        <v>1</v>
      </c>
      <c r="L3217" t="s">
        <v>1064</v>
      </c>
      <c r="M3217" t="s">
        <v>2383</v>
      </c>
      <c r="N3217" s="15" t="s">
        <v>6878</v>
      </c>
    </row>
    <row r="3218" spans="1:14" x14ac:dyDescent="0.2">
      <c r="A3218" t="s">
        <v>4336</v>
      </c>
      <c r="B3218" t="s">
        <v>2360</v>
      </c>
      <c r="C3218" s="9">
        <v>45013</v>
      </c>
      <c r="D3218" t="s">
        <v>946</v>
      </c>
      <c r="E3218" s="13">
        <v>13932441</v>
      </c>
      <c r="F3218" s="13">
        <v>5550</v>
      </c>
      <c r="G3218" s="9">
        <v>45015</v>
      </c>
      <c r="H3218" t="s">
        <v>1111</v>
      </c>
      <c r="I3218" t="s">
        <v>2382</v>
      </c>
      <c r="J3218" s="13">
        <v>231974</v>
      </c>
      <c r="K3218">
        <v>1</v>
      </c>
      <c r="L3218" t="s">
        <v>1064</v>
      </c>
      <c r="M3218" t="s">
        <v>2383</v>
      </c>
      <c r="N3218" s="15" t="s">
        <v>6878</v>
      </c>
    </row>
    <row r="3219" spans="1:14" x14ac:dyDescent="0.2">
      <c r="A3219" t="s">
        <v>4337</v>
      </c>
      <c r="B3219" t="s">
        <v>2360</v>
      </c>
      <c r="C3219" s="9">
        <v>45013</v>
      </c>
      <c r="D3219" t="s">
        <v>946</v>
      </c>
      <c r="E3219" s="13">
        <v>19700000</v>
      </c>
      <c r="F3219" s="13">
        <v>5550</v>
      </c>
      <c r="G3219" s="9">
        <v>45015</v>
      </c>
      <c r="H3219" t="s">
        <v>1111</v>
      </c>
      <c r="I3219" t="s">
        <v>2382</v>
      </c>
      <c r="J3219" s="13">
        <v>328005</v>
      </c>
      <c r="K3219">
        <v>1</v>
      </c>
      <c r="L3219" t="s">
        <v>1064</v>
      </c>
      <c r="M3219" t="s">
        <v>2383</v>
      </c>
      <c r="N3219" s="15" t="s">
        <v>6878</v>
      </c>
    </row>
    <row r="3220" spans="1:14" x14ac:dyDescent="0.2">
      <c r="A3220" t="s">
        <v>4338</v>
      </c>
      <c r="B3220" t="s">
        <v>2360</v>
      </c>
      <c r="C3220" s="9">
        <v>45013</v>
      </c>
      <c r="D3220" t="s">
        <v>946</v>
      </c>
      <c r="E3220" s="13">
        <v>14604825</v>
      </c>
      <c r="F3220" s="13">
        <v>5550</v>
      </c>
      <c r="G3220" s="9">
        <v>45015</v>
      </c>
      <c r="H3220" t="s">
        <v>1111</v>
      </c>
      <c r="I3220" t="s">
        <v>2382</v>
      </c>
      <c r="J3220" s="13">
        <v>243169</v>
      </c>
      <c r="K3220">
        <v>1</v>
      </c>
      <c r="L3220" t="s">
        <v>1064</v>
      </c>
      <c r="M3220" t="s">
        <v>2383</v>
      </c>
      <c r="N3220" s="15" t="s">
        <v>6878</v>
      </c>
    </row>
    <row r="3221" spans="1:14" x14ac:dyDescent="0.2">
      <c r="A3221" t="s">
        <v>4339</v>
      </c>
      <c r="B3221" t="s">
        <v>2360</v>
      </c>
      <c r="C3221" s="9">
        <v>45013</v>
      </c>
      <c r="D3221" t="s">
        <v>946</v>
      </c>
      <c r="E3221" s="13">
        <v>23855400</v>
      </c>
      <c r="F3221" s="13">
        <v>5550</v>
      </c>
      <c r="G3221" s="9">
        <v>45015</v>
      </c>
      <c r="H3221" t="s">
        <v>1111</v>
      </c>
      <c r="I3221" t="s">
        <v>2382</v>
      </c>
      <c r="J3221" s="13">
        <v>397192</v>
      </c>
      <c r="K3221">
        <v>1</v>
      </c>
      <c r="L3221" t="s">
        <v>1064</v>
      </c>
      <c r="M3221" t="s">
        <v>2383</v>
      </c>
      <c r="N3221" s="15" t="s">
        <v>6878</v>
      </c>
    </row>
    <row r="3222" spans="1:14" x14ac:dyDescent="0.2">
      <c r="A3222" t="s">
        <v>4340</v>
      </c>
      <c r="B3222" t="s">
        <v>2360</v>
      </c>
      <c r="C3222" s="9">
        <v>45013</v>
      </c>
      <c r="D3222" t="s">
        <v>946</v>
      </c>
      <c r="E3222" s="13">
        <v>22661430</v>
      </c>
      <c r="F3222" s="13">
        <v>5550</v>
      </c>
      <c r="G3222" s="9">
        <v>45015</v>
      </c>
      <c r="H3222" t="s">
        <v>1111</v>
      </c>
      <c r="I3222" t="s">
        <v>2382</v>
      </c>
      <c r="J3222" s="13">
        <v>377312</v>
      </c>
      <c r="K3222">
        <v>1</v>
      </c>
      <c r="L3222" t="s">
        <v>1064</v>
      </c>
      <c r="M3222" t="s">
        <v>2383</v>
      </c>
      <c r="N3222" s="15" t="s">
        <v>6878</v>
      </c>
    </row>
    <row r="3223" spans="1:14" x14ac:dyDescent="0.2">
      <c r="A3223" t="s">
        <v>4341</v>
      </c>
      <c r="B3223" t="s">
        <v>2360</v>
      </c>
      <c r="C3223" s="9">
        <v>45013</v>
      </c>
      <c r="D3223" t="s">
        <v>9</v>
      </c>
      <c r="E3223" s="13">
        <v>340060</v>
      </c>
      <c r="F3223" s="13">
        <v>24975</v>
      </c>
      <c r="G3223" s="9">
        <v>45028</v>
      </c>
      <c r="H3223" t="s">
        <v>1111</v>
      </c>
      <c r="I3223" t="s">
        <v>436</v>
      </c>
      <c r="J3223" s="13">
        <v>11323</v>
      </c>
      <c r="K3223">
        <v>1</v>
      </c>
      <c r="L3223" t="s">
        <v>1064</v>
      </c>
      <c r="M3223" t="s">
        <v>2364</v>
      </c>
      <c r="N3223" s="15" t="s">
        <v>6878</v>
      </c>
    </row>
    <row r="3224" spans="1:14" x14ac:dyDescent="0.2">
      <c r="A3224" t="s">
        <v>4342</v>
      </c>
      <c r="B3224" t="s">
        <v>2360</v>
      </c>
      <c r="C3224" s="9">
        <v>45013</v>
      </c>
      <c r="D3224" t="s">
        <v>946</v>
      </c>
      <c r="E3224" s="13">
        <v>23690798</v>
      </c>
      <c r="F3224" s="13">
        <v>5550</v>
      </c>
      <c r="G3224" s="9">
        <v>45015</v>
      </c>
      <c r="H3224" t="s">
        <v>1111</v>
      </c>
      <c r="I3224" t="s">
        <v>2382</v>
      </c>
      <c r="J3224" s="13">
        <v>394450</v>
      </c>
      <c r="K3224">
        <v>1</v>
      </c>
      <c r="L3224" t="s">
        <v>1064</v>
      </c>
      <c r="M3224" t="s">
        <v>2383</v>
      </c>
      <c r="N3224" s="15" t="s">
        <v>6878</v>
      </c>
    </row>
    <row r="3225" spans="1:14" x14ac:dyDescent="0.2">
      <c r="A3225" t="s">
        <v>4343</v>
      </c>
      <c r="B3225" t="s">
        <v>2360</v>
      </c>
      <c r="C3225" s="9">
        <v>45013</v>
      </c>
      <c r="D3225" t="s">
        <v>946</v>
      </c>
      <c r="E3225" s="13">
        <v>23507280</v>
      </c>
      <c r="F3225" s="13">
        <v>5550</v>
      </c>
      <c r="G3225" s="9">
        <v>45015</v>
      </c>
      <c r="H3225" t="s">
        <v>1111</v>
      </c>
      <c r="I3225" t="s">
        <v>2382</v>
      </c>
      <c r="J3225" s="13">
        <v>391395</v>
      </c>
      <c r="K3225">
        <v>1</v>
      </c>
      <c r="L3225" t="s">
        <v>1064</v>
      </c>
      <c r="M3225" t="s">
        <v>2383</v>
      </c>
      <c r="N3225" s="15" t="s">
        <v>6878</v>
      </c>
    </row>
    <row r="3226" spans="1:14" x14ac:dyDescent="0.2">
      <c r="A3226" t="s">
        <v>4344</v>
      </c>
      <c r="B3226" t="s">
        <v>2360</v>
      </c>
      <c r="C3226" s="9">
        <v>45013</v>
      </c>
      <c r="D3226" t="s">
        <v>946</v>
      </c>
      <c r="E3226" s="13">
        <v>20108290</v>
      </c>
      <c r="F3226" s="13">
        <v>5550</v>
      </c>
      <c r="G3226" s="9">
        <v>45015</v>
      </c>
      <c r="H3226" t="s">
        <v>1111</v>
      </c>
      <c r="I3226" t="s">
        <v>2382</v>
      </c>
      <c r="J3226" s="13">
        <v>334802</v>
      </c>
      <c r="K3226">
        <v>1</v>
      </c>
      <c r="L3226" t="s">
        <v>1064</v>
      </c>
      <c r="M3226" t="s">
        <v>2383</v>
      </c>
      <c r="N3226" s="15" t="s">
        <v>6878</v>
      </c>
    </row>
    <row r="3227" spans="1:14" x14ac:dyDescent="0.2">
      <c r="A3227" t="s">
        <v>4345</v>
      </c>
      <c r="B3227" t="s">
        <v>2360</v>
      </c>
      <c r="C3227" s="9">
        <v>45013</v>
      </c>
      <c r="D3227" t="s">
        <v>946</v>
      </c>
      <c r="E3227" s="13">
        <v>16826228</v>
      </c>
      <c r="F3227" s="13">
        <v>5550</v>
      </c>
      <c r="G3227" s="9">
        <v>45015</v>
      </c>
      <c r="H3227" t="s">
        <v>1111</v>
      </c>
      <c r="I3227" t="s">
        <v>2382</v>
      </c>
      <c r="J3227" s="13">
        <v>280156</v>
      </c>
      <c r="K3227">
        <v>1</v>
      </c>
      <c r="L3227" t="s">
        <v>1064</v>
      </c>
      <c r="M3227" t="s">
        <v>2383</v>
      </c>
      <c r="N3227" s="15" t="s">
        <v>6878</v>
      </c>
    </row>
    <row r="3228" spans="1:14" x14ac:dyDescent="0.2">
      <c r="A3228" t="s">
        <v>4346</v>
      </c>
      <c r="B3228" t="s">
        <v>2360</v>
      </c>
      <c r="C3228" s="9">
        <v>45013</v>
      </c>
      <c r="D3228" t="s">
        <v>946</v>
      </c>
      <c r="E3228" s="13">
        <v>19599510</v>
      </c>
      <c r="F3228" s="13">
        <v>5550</v>
      </c>
      <c r="G3228" s="9">
        <v>45015</v>
      </c>
      <c r="H3228" t="s">
        <v>1111</v>
      </c>
      <c r="I3228" t="s">
        <v>2382</v>
      </c>
      <c r="J3228" s="13">
        <v>326331</v>
      </c>
      <c r="K3228">
        <v>1</v>
      </c>
      <c r="L3228" t="s">
        <v>1064</v>
      </c>
      <c r="M3228" t="s">
        <v>2383</v>
      </c>
      <c r="N3228" s="15" t="s">
        <v>6878</v>
      </c>
    </row>
    <row r="3229" spans="1:14" x14ac:dyDescent="0.2">
      <c r="A3229" t="s">
        <v>4347</v>
      </c>
      <c r="B3229" t="s">
        <v>2360</v>
      </c>
      <c r="C3229" s="9">
        <v>45013</v>
      </c>
      <c r="D3229" t="s">
        <v>946</v>
      </c>
      <c r="E3229" s="13">
        <v>21351325</v>
      </c>
      <c r="F3229" s="13">
        <v>5550</v>
      </c>
      <c r="G3229" s="9">
        <v>45015</v>
      </c>
      <c r="H3229" t="s">
        <v>1111</v>
      </c>
      <c r="I3229" t="s">
        <v>2382</v>
      </c>
      <c r="J3229" s="13">
        <v>355498</v>
      </c>
      <c r="K3229">
        <v>1</v>
      </c>
      <c r="L3229" t="s">
        <v>1064</v>
      </c>
      <c r="M3229" t="s">
        <v>2383</v>
      </c>
      <c r="N3229" s="15" t="s">
        <v>6878</v>
      </c>
    </row>
    <row r="3230" spans="1:14" x14ac:dyDescent="0.2">
      <c r="A3230" t="s">
        <v>4348</v>
      </c>
      <c r="B3230" t="s">
        <v>2360</v>
      </c>
      <c r="C3230" s="9">
        <v>45013</v>
      </c>
      <c r="D3230" t="s">
        <v>946</v>
      </c>
      <c r="E3230" s="13">
        <v>24496120</v>
      </c>
      <c r="F3230" s="13">
        <v>5550</v>
      </c>
      <c r="G3230" s="9">
        <v>45015</v>
      </c>
      <c r="H3230" t="s">
        <v>1111</v>
      </c>
      <c r="I3230" t="s">
        <v>2382</v>
      </c>
      <c r="J3230" s="13">
        <v>407859</v>
      </c>
      <c r="K3230">
        <v>1</v>
      </c>
      <c r="L3230" t="s">
        <v>1064</v>
      </c>
      <c r="M3230" t="s">
        <v>2383</v>
      </c>
      <c r="N3230" s="15" t="s">
        <v>6878</v>
      </c>
    </row>
    <row r="3231" spans="1:14" x14ac:dyDescent="0.2">
      <c r="A3231" t="s">
        <v>4349</v>
      </c>
      <c r="B3231" t="s">
        <v>2360</v>
      </c>
      <c r="C3231" s="9">
        <v>45013</v>
      </c>
      <c r="D3231" t="s">
        <v>946</v>
      </c>
      <c r="E3231" s="13">
        <v>21791880</v>
      </c>
      <c r="F3231" s="13">
        <v>5550</v>
      </c>
      <c r="G3231" s="9">
        <v>45015</v>
      </c>
      <c r="H3231" t="s">
        <v>1111</v>
      </c>
      <c r="I3231" t="s">
        <v>2382</v>
      </c>
      <c r="J3231" s="13">
        <v>362834</v>
      </c>
      <c r="K3231">
        <v>1</v>
      </c>
      <c r="L3231" t="s">
        <v>1064</v>
      </c>
      <c r="M3231" t="s">
        <v>2383</v>
      </c>
      <c r="N3231" s="15" t="s">
        <v>6878</v>
      </c>
    </row>
    <row r="3232" spans="1:14" x14ac:dyDescent="0.2">
      <c r="A3232" t="s">
        <v>4350</v>
      </c>
      <c r="B3232" t="s">
        <v>2360</v>
      </c>
      <c r="C3232" s="9">
        <v>45013</v>
      </c>
      <c r="D3232" t="s">
        <v>946</v>
      </c>
      <c r="E3232" s="13">
        <v>26252280</v>
      </c>
      <c r="F3232" s="13">
        <v>5550</v>
      </c>
      <c r="G3232" s="9">
        <v>45015</v>
      </c>
      <c r="H3232" t="s">
        <v>1111</v>
      </c>
      <c r="I3232" t="s">
        <v>2382</v>
      </c>
      <c r="J3232" s="13">
        <v>437100</v>
      </c>
      <c r="K3232">
        <v>1</v>
      </c>
      <c r="L3232" t="s">
        <v>1064</v>
      </c>
      <c r="M3232" t="s">
        <v>2383</v>
      </c>
      <c r="N3232" s="15" t="s">
        <v>6878</v>
      </c>
    </row>
    <row r="3233" spans="1:14" x14ac:dyDescent="0.2">
      <c r="A3233" t="s">
        <v>4351</v>
      </c>
      <c r="B3233" t="s">
        <v>2360</v>
      </c>
      <c r="C3233" s="9">
        <v>45013</v>
      </c>
      <c r="D3233" t="s">
        <v>981</v>
      </c>
      <c r="E3233" s="13">
        <v>1957750</v>
      </c>
      <c r="F3233" s="13">
        <v>25000</v>
      </c>
      <c r="H3233" t="s">
        <v>2184</v>
      </c>
      <c r="I3233" t="s">
        <v>4222</v>
      </c>
      <c r="J3233" s="13">
        <v>0</v>
      </c>
      <c r="K3233">
        <v>1</v>
      </c>
      <c r="L3233" t="s">
        <v>1064</v>
      </c>
      <c r="M3233" t="s">
        <v>4223</v>
      </c>
      <c r="N3233" s="14" t="s">
        <v>6877</v>
      </c>
    </row>
    <row r="3234" spans="1:14" x14ac:dyDescent="0.2">
      <c r="A3234" t="s">
        <v>4352</v>
      </c>
      <c r="B3234" t="s">
        <v>2360</v>
      </c>
      <c r="C3234" s="9">
        <v>45013</v>
      </c>
      <c r="D3234" t="s">
        <v>946</v>
      </c>
      <c r="E3234" s="13">
        <v>17168446</v>
      </c>
      <c r="F3234" s="13">
        <v>5550</v>
      </c>
      <c r="G3234" s="9">
        <v>45015</v>
      </c>
      <c r="H3234" t="s">
        <v>1111</v>
      </c>
      <c r="I3234" t="s">
        <v>2382</v>
      </c>
      <c r="J3234" s="13">
        <v>285853</v>
      </c>
      <c r="K3234">
        <v>1</v>
      </c>
      <c r="L3234" t="s">
        <v>1064</v>
      </c>
      <c r="M3234" t="s">
        <v>2383</v>
      </c>
      <c r="N3234" s="15" t="s">
        <v>6878</v>
      </c>
    </row>
    <row r="3235" spans="1:14" x14ac:dyDescent="0.2">
      <c r="A3235" t="s">
        <v>4353</v>
      </c>
      <c r="B3235" t="s">
        <v>2360</v>
      </c>
      <c r="C3235" s="9">
        <v>45013</v>
      </c>
      <c r="D3235" t="s">
        <v>981</v>
      </c>
      <c r="E3235" s="13">
        <v>2247750</v>
      </c>
      <c r="F3235" s="13">
        <v>25000</v>
      </c>
      <c r="H3235" t="s">
        <v>2184</v>
      </c>
      <c r="I3235" t="s">
        <v>4222</v>
      </c>
      <c r="J3235" s="13">
        <v>0</v>
      </c>
      <c r="K3235">
        <v>1</v>
      </c>
      <c r="L3235" t="s">
        <v>1064</v>
      </c>
      <c r="M3235" t="s">
        <v>4223</v>
      </c>
      <c r="N3235" s="14" t="s">
        <v>6877</v>
      </c>
    </row>
    <row r="3236" spans="1:14" x14ac:dyDescent="0.2">
      <c r="A3236" t="s">
        <v>4354</v>
      </c>
      <c r="B3236" t="s">
        <v>2360</v>
      </c>
      <c r="C3236" s="9">
        <v>45013</v>
      </c>
      <c r="D3236" t="s">
        <v>981</v>
      </c>
      <c r="E3236" s="13">
        <v>1027750</v>
      </c>
      <c r="F3236" s="13">
        <v>25000</v>
      </c>
      <c r="H3236" t="s">
        <v>2184</v>
      </c>
      <c r="I3236" t="s">
        <v>4222</v>
      </c>
      <c r="J3236" s="13">
        <v>0</v>
      </c>
      <c r="K3236">
        <v>1</v>
      </c>
      <c r="L3236" t="s">
        <v>1064</v>
      </c>
      <c r="M3236" t="s">
        <v>4223</v>
      </c>
      <c r="N3236" s="14" t="s">
        <v>6877</v>
      </c>
    </row>
    <row r="3237" spans="1:14" x14ac:dyDescent="0.2">
      <c r="A3237" t="s">
        <v>4355</v>
      </c>
      <c r="B3237" t="s">
        <v>2360</v>
      </c>
      <c r="C3237" s="9">
        <v>45013</v>
      </c>
      <c r="D3237" t="s">
        <v>981</v>
      </c>
      <c r="E3237" s="13">
        <v>1957750</v>
      </c>
      <c r="F3237" s="13">
        <v>25000</v>
      </c>
      <c r="H3237" t="s">
        <v>2184</v>
      </c>
      <c r="I3237" t="s">
        <v>4222</v>
      </c>
      <c r="J3237" s="13">
        <v>0</v>
      </c>
      <c r="K3237">
        <v>1</v>
      </c>
      <c r="L3237" t="s">
        <v>1064</v>
      </c>
      <c r="M3237" t="s">
        <v>4223</v>
      </c>
      <c r="N3237" s="14" t="s">
        <v>6877</v>
      </c>
    </row>
    <row r="3238" spans="1:14" x14ac:dyDescent="0.2">
      <c r="A3238" t="s">
        <v>4356</v>
      </c>
      <c r="B3238" t="s">
        <v>2360</v>
      </c>
      <c r="C3238" s="9">
        <v>45013</v>
      </c>
      <c r="D3238" t="s">
        <v>981</v>
      </c>
      <c r="E3238" s="13">
        <v>1957750</v>
      </c>
      <c r="F3238" s="13">
        <v>25000</v>
      </c>
      <c r="H3238" t="s">
        <v>2184</v>
      </c>
      <c r="I3238" t="s">
        <v>4222</v>
      </c>
      <c r="J3238" s="13">
        <v>0</v>
      </c>
      <c r="K3238">
        <v>1</v>
      </c>
      <c r="L3238" t="s">
        <v>1064</v>
      </c>
      <c r="M3238" t="s">
        <v>4223</v>
      </c>
      <c r="N3238" s="14" t="s">
        <v>6877</v>
      </c>
    </row>
    <row r="3239" spans="1:14" x14ac:dyDescent="0.2">
      <c r="A3239" t="s">
        <v>4357</v>
      </c>
      <c r="B3239" t="s">
        <v>2360</v>
      </c>
      <c r="C3239" s="9">
        <v>45013</v>
      </c>
      <c r="D3239" t="s">
        <v>981</v>
      </c>
      <c r="E3239" s="13">
        <v>2367750</v>
      </c>
      <c r="F3239" s="13">
        <v>25000</v>
      </c>
      <c r="H3239" t="s">
        <v>2184</v>
      </c>
      <c r="I3239" t="s">
        <v>4222</v>
      </c>
      <c r="J3239" s="13">
        <v>0</v>
      </c>
      <c r="K3239">
        <v>1</v>
      </c>
      <c r="L3239" t="s">
        <v>1064</v>
      </c>
      <c r="M3239" t="s">
        <v>4223</v>
      </c>
      <c r="N3239" s="14" t="s">
        <v>6877</v>
      </c>
    </row>
    <row r="3240" spans="1:14" x14ac:dyDescent="0.2">
      <c r="A3240" t="s">
        <v>4358</v>
      </c>
      <c r="B3240" t="s">
        <v>2360</v>
      </c>
      <c r="C3240" s="9">
        <v>45013</v>
      </c>
      <c r="D3240" t="s">
        <v>981</v>
      </c>
      <c r="E3240" s="13">
        <v>3477750</v>
      </c>
      <c r="F3240" s="13">
        <v>25000</v>
      </c>
      <c r="H3240" t="s">
        <v>2184</v>
      </c>
      <c r="I3240" t="s">
        <v>4222</v>
      </c>
      <c r="J3240" s="13">
        <v>0</v>
      </c>
      <c r="K3240">
        <v>1</v>
      </c>
      <c r="L3240" t="s">
        <v>1064</v>
      </c>
      <c r="M3240" t="s">
        <v>4223</v>
      </c>
      <c r="N3240" s="14" t="s">
        <v>6877</v>
      </c>
    </row>
    <row r="3241" spans="1:14" x14ac:dyDescent="0.2">
      <c r="A3241" t="s">
        <v>4359</v>
      </c>
      <c r="B3241" t="s">
        <v>2360</v>
      </c>
      <c r="C3241" s="9">
        <v>45013</v>
      </c>
      <c r="D3241" t="s">
        <v>981</v>
      </c>
      <c r="E3241" s="13">
        <v>2462750</v>
      </c>
      <c r="F3241" s="13">
        <v>25000</v>
      </c>
      <c r="H3241" t="s">
        <v>2184</v>
      </c>
      <c r="I3241" t="s">
        <v>4222</v>
      </c>
      <c r="J3241" s="13">
        <v>0</v>
      </c>
      <c r="K3241">
        <v>1</v>
      </c>
      <c r="L3241" t="s">
        <v>1064</v>
      </c>
      <c r="M3241" t="s">
        <v>4223</v>
      </c>
      <c r="N3241" s="14" t="s">
        <v>6877</v>
      </c>
    </row>
    <row r="3242" spans="1:14" x14ac:dyDescent="0.2">
      <c r="A3242" t="s">
        <v>4360</v>
      </c>
      <c r="B3242" t="s">
        <v>2360</v>
      </c>
      <c r="C3242" s="9">
        <v>45013</v>
      </c>
      <c r="D3242" t="s">
        <v>981</v>
      </c>
      <c r="E3242" s="13">
        <v>1957750</v>
      </c>
      <c r="F3242" s="13">
        <v>25000</v>
      </c>
      <c r="H3242" t="s">
        <v>2184</v>
      </c>
      <c r="I3242" t="s">
        <v>4222</v>
      </c>
      <c r="J3242" s="13">
        <v>0</v>
      </c>
      <c r="K3242">
        <v>1</v>
      </c>
      <c r="L3242" t="s">
        <v>1064</v>
      </c>
      <c r="M3242" t="s">
        <v>4223</v>
      </c>
      <c r="N3242" s="14" t="s">
        <v>6877</v>
      </c>
    </row>
    <row r="3243" spans="1:14" x14ac:dyDescent="0.2">
      <c r="A3243" t="s">
        <v>4361</v>
      </c>
      <c r="B3243" t="s">
        <v>2360</v>
      </c>
      <c r="C3243" s="9">
        <v>45013</v>
      </c>
      <c r="D3243" t="s">
        <v>981</v>
      </c>
      <c r="E3243" s="13">
        <v>2562750</v>
      </c>
      <c r="F3243" s="13">
        <v>25000</v>
      </c>
      <c r="H3243" t="s">
        <v>2184</v>
      </c>
      <c r="I3243" t="s">
        <v>4222</v>
      </c>
      <c r="J3243" s="13">
        <v>0</v>
      </c>
      <c r="K3243">
        <v>1</v>
      </c>
      <c r="L3243" t="s">
        <v>1064</v>
      </c>
      <c r="M3243" t="s">
        <v>4223</v>
      </c>
      <c r="N3243" s="14" t="s">
        <v>6877</v>
      </c>
    </row>
    <row r="3244" spans="1:14" x14ac:dyDescent="0.2">
      <c r="A3244" t="s">
        <v>4362</v>
      </c>
      <c r="B3244" t="s">
        <v>2360</v>
      </c>
      <c r="C3244" s="9">
        <v>45013</v>
      </c>
      <c r="D3244" t="s">
        <v>981</v>
      </c>
      <c r="E3244" s="13">
        <v>3327750</v>
      </c>
      <c r="F3244" s="13">
        <v>25000</v>
      </c>
      <c r="H3244" t="s">
        <v>2184</v>
      </c>
      <c r="I3244" t="s">
        <v>4222</v>
      </c>
      <c r="J3244" s="13">
        <v>0</v>
      </c>
      <c r="K3244">
        <v>1</v>
      </c>
      <c r="L3244" t="s">
        <v>1064</v>
      </c>
      <c r="M3244" t="s">
        <v>4223</v>
      </c>
      <c r="N3244" s="14" t="s">
        <v>6877</v>
      </c>
    </row>
    <row r="3245" spans="1:14" x14ac:dyDescent="0.2">
      <c r="A3245" t="s">
        <v>4363</v>
      </c>
      <c r="B3245" t="s">
        <v>2360</v>
      </c>
      <c r="C3245" s="9">
        <v>45013</v>
      </c>
      <c r="D3245" t="s">
        <v>981</v>
      </c>
      <c r="E3245" s="13">
        <v>3062750</v>
      </c>
      <c r="F3245" s="13">
        <v>25000</v>
      </c>
      <c r="H3245" t="s">
        <v>2184</v>
      </c>
      <c r="I3245" t="s">
        <v>4222</v>
      </c>
      <c r="J3245" s="13">
        <v>0</v>
      </c>
      <c r="K3245">
        <v>1</v>
      </c>
      <c r="L3245" t="s">
        <v>1064</v>
      </c>
      <c r="M3245" t="s">
        <v>4223</v>
      </c>
      <c r="N3245" s="14" t="s">
        <v>6877</v>
      </c>
    </row>
    <row r="3246" spans="1:14" x14ac:dyDescent="0.2">
      <c r="A3246" t="s">
        <v>4364</v>
      </c>
      <c r="B3246" t="s">
        <v>2360</v>
      </c>
      <c r="C3246" s="9">
        <v>45013</v>
      </c>
      <c r="D3246" t="s">
        <v>981</v>
      </c>
      <c r="E3246" s="13">
        <v>1957750</v>
      </c>
      <c r="F3246" s="13">
        <v>25000</v>
      </c>
      <c r="H3246" t="s">
        <v>2184</v>
      </c>
      <c r="I3246" t="s">
        <v>4222</v>
      </c>
      <c r="J3246" s="13">
        <v>0</v>
      </c>
      <c r="K3246">
        <v>1</v>
      </c>
      <c r="L3246" t="s">
        <v>1064</v>
      </c>
      <c r="M3246" t="s">
        <v>4223</v>
      </c>
      <c r="N3246" s="14" t="s">
        <v>6877</v>
      </c>
    </row>
    <row r="3247" spans="1:14" x14ac:dyDescent="0.2">
      <c r="A3247" t="s">
        <v>4365</v>
      </c>
      <c r="B3247" t="s">
        <v>2360</v>
      </c>
      <c r="C3247" s="9">
        <v>45013</v>
      </c>
      <c r="D3247" t="s">
        <v>981</v>
      </c>
      <c r="E3247" s="13">
        <v>1957750</v>
      </c>
      <c r="F3247" s="13">
        <v>25000</v>
      </c>
      <c r="H3247" t="s">
        <v>2184</v>
      </c>
      <c r="I3247" t="s">
        <v>4222</v>
      </c>
      <c r="J3247" s="13">
        <v>0</v>
      </c>
      <c r="K3247">
        <v>1</v>
      </c>
      <c r="L3247" t="s">
        <v>1064</v>
      </c>
      <c r="M3247" t="s">
        <v>4223</v>
      </c>
      <c r="N3247" s="14" t="s">
        <v>6877</v>
      </c>
    </row>
    <row r="3248" spans="1:14" x14ac:dyDescent="0.2">
      <c r="A3248" t="s">
        <v>4366</v>
      </c>
      <c r="B3248" t="s">
        <v>2360</v>
      </c>
      <c r="C3248" s="9">
        <v>45013</v>
      </c>
      <c r="D3248" t="s">
        <v>981</v>
      </c>
      <c r="E3248" s="13">
        <v>1957750</v>
      </c>
      <c r="F3248" s="13">
        <v>27750</v>
      </c>
      <c r="G3248" s="9">
        <v>45015</v>
      </c>
      <c r="H3248" t="s">
        <v>1063</v>
      </c>
      <c r="I3248" t="s">
        <v>4222</v>
      </c>
      <c r="J3248" s="13">
        <v>86924</v>
      </c>
      <c r="K3248">
        <v>1</v>
      </c>
      <c r="L3248" t="s">
        <v>1064</v>
      </c>
      <c r="M3248" t="s">
        <v>4223</v>
      </c>
      <c r="N3248" s="15" t="s">
        <v>6878</v>
      </c>
    </row>
    <row r="3249" spans="1:14" x14ac:dyDescent="0.2">
      <c r="A3249" t="s">
        <v>4367</v>
      </c>
      <c r="B3249" t="s">
        <v>2360</v>
      </c>
      <c r="C3249" s="9">
        <v>45013</v>
      </c>
      <c r="D3249" t="s">
        <v>979</v>
      </c>
      <c r="E3249" s="13">
        <v>14150000</v>
      </c>
      <c r="F3249" s="13">
        <v>25000</v>
      </c>
      <c r="H3249" t="s">
        <v>1659</v>
      </c>
      <c r="I3249" t="s">
        <v>4368</v>
      </c>
      <c r="J3249" s="13">
        <v>0</v>
      </c>
      <c r="K3249">
        <v>1</v>
      </c>
      <c r="L3249" t="s">
        <v>1064</v>
      </c>
      <c r="M3249" t="s">
        <v>4369</v>
      </c>
      <c r="N3249" s="14" t="s">
        <v>6877</v>
      </c>
    </row>
    <row r="3250" spans="1:14" x14ac:dyDescent="0.2">
      <c r="A3250" t="s">
        <v>4370</v>
      </c>
      <c r="B3250" t="s">
        <v>2360</v>
      </c>
      <c r="C3250" s="9">
        <v>45013</v>
      </c>
      <c r="D3250" t="s">
        <v>946</v>
      </c>
      <c r="E3250" s="13">
        <v>5293450</v>
      </c>
      <c r="F3250" s="13">
        <v>5550</v>
      </c>
      <c r="G3250" s="9">
        <v>45015</v>
      </c>
      <c r="H3250" t="s">
        <v>1111</v>
      </c>
      <c r="I3250" t="s">
        <v>2382</v>
      </c>
      <c r="J3250" s="13">
        <v>88135</v>
      </c>
      <c r="K3250">
        <v>1</v>
      </c>
      <c r="L3250" t="s">
        <v>1064</v>
      </c>
      <c r="M3250" t="s">
        <v>2383</v>
      </c>
      <c r="N3250" s="15" t="s">
        <v>6878</v>
      </c>
    </row>
    <row r="3251" spans="1:14" x14ac:dyDescent="0.2">
      <c r="A3251" t="s">
        <v>4371</v>
      </c>
      <c r="B3251" t="s">
        <v>2360</v>
      </c>
      <c r="C3251" s="9">
        <v>45013</v>
      </c>
      <c r="D3251" t="s">
        <v>946</v>
      </c>
      <c r="E3251" s="13">
        <v>5293450</v>
      </c>
      <c r="F3251" s="13">
        <v>5550</v>
      </c>
      <c r="G3251" s="9">
        <v>45015</v>
      </c>
      <c r="H3251" t="s">
        <v>1111</v>
      </c>
      <c r="I3251" t="s">
        <v>2382</v>
      </c>
      <c r="J3251" s="13">
        <v>88135</v>
      </c>
      <c r="K3251">
        <v>1</v>
      </c>
      <c r="L3251" t="s">
        <v>1064</v>
      </c>
      <c r="M3251" t="s">
        <v>2383</v>
      </c>
      <c r="N3251" s="15" t="s">
        <v>6878</v>
      </c>
    </row>
    <row r="3252" spans="1:14" x14ac:dyDescent="0.2">
      <c r="A3252" t="s">
        <v>4372</v>
      </c>
      <c r="B3252" t="s">
        <v>2360</v>
      </c>
      <c r="C3252" s="9">
        <v>45013</v>
      </c>
      <c r="D3252" t="s">
        <v>946</v>
      </c>
      <c r="E3252" s="13">
        <v>2550000</v>
      </c>
      <c r="F3252" s="13">
        <v>5550</v>
      </c>
      <c r="G3252" s="9">
        <v>45015</v>
      </c>
      <c r="H3252" t="s">
        <v>1111</v>
      </c>
      <c r="I3252" t="s">
        <v>2382</v>
      </c>
      <c r="J3252" s="13">
        <v>42457</v>
      </c>
      <c r="K3252">
        <v>1</v>
      </c>
      <c r="L3252" t="s">
        <v>1064</v>
      </c>
      <c r="M3252" t="s">
        <v>2383</v>
      </c>
      <c r="N3252" s="15" t="s">
        <v>6878</v>
      </c>
    </row>
    <row r="3253" spans="1:14" x14ac:dyDescent="0.2">
      <c r="A3253" t="s">
        <v>4373</v>
      </c>
      <c r="B3253" t="s">
        <v>2360</v>
      </c>
      <c r="C3253" s="9">
        <v>45013</v>
      </c>
      <c r="D3253" t="s">
        <v>946</v>
      </c>
      <c r="E3253" s="13">
        <v>1650000</v>
      </c>
      <c r="F3253" s="13">
        <v>5550</v>
      </c>
      <c r="G3253" s="9">
        <v>45015</v>
      </c>
      <c r="H3253" t="s">
        <v>1111</v>
      </c>
      <c r="I3253" t="s">
        <v>2382</v>
      </c>
      <c r="J3253" s="13">
        <v>27472</v>
      </c>
      <c r="K3253">
        <v>1</v>
      </c>
      <c r="L3253" t="s">
        <v>1064</v>
      </c>
      <c r="M3253" t="s">
        <v>2383</v>
      </c>
      <c r="N3253" s="15" t="s">
        <v>6878</v>
      </c>
    </row>
    <row r="3254" spans="1:14" x14ac:dyDescent="0.2">
      <c r="A3254" t="s">
        <v>4374</v>
      </c>
      <c r="B3254" t="s">
        <v>2360</v>
      </c>
      <c r="C3254" s="9">
        <v>45013</v>
      </c>
      <c r="D3254" t="s">
        <v>946</v>
      </c>
      <c r="E3254" s="13">
        <v>1650000</v>
      </c>
      <c r="F3254" s="13">
        <v>5550</v>
      </c>
      <c r="G3254" s="9">
        <v>45015</v>
      </c>
      <c r="H3254" t="s">
        <v>1111</v>
      </c>
      <c r="I3254" t="s">
        <v>2382</v>
      </c>
      <c r="J3254" s="13">
        <v>27472</v>
      </c>
      <c r="K3254">
        <v>1</v>
      </c>
      <c r="L3254" t="s">
        <v>1064</v>
      </c>
      <c r="M3254" t="s">
        <v>2383</v>
      </c>
      <c r="N3254" s="15" t="s">
        <v>6878</v>
      </c>
    </row>
    <row r="3255" spans="1:14" x14ac:dyDescent="0.2">
      <c r="A3255" t="s">
        <v>4375</v>
      </c>
      <c r="B3255" t="s">
        <v>2360</v>
      </c>
      <c r="C3255" s="9">
        <v>45013</v>
      </c>
      <c r="D3255" t="s">
        <v>946</v>
      </c>
      <c r="E3255" s="13">
        <v>1100000</v>
      </c>
      <c r="F3255" s="13">
        <v>5550</v>
      </c>
      <c r="G3255" s="9">
        <v>45023</v>
      </c>
      <c r="H3255" t="s">
        <v>1111</v>
      </c>
      <c r="I3255" t="s">
        <v>2382</v>
      </c>
      <c r="J3255" s="13">
        <v>18315</v>
      </c>
      <c r="K3255">
        <v>1</v>
      </c>
      <c r="L3255" t="s">
        <v>1064</v>
      </c>
      <c r="M3255" t="s">
        <v>2383</v>
      </c>
      <c r="N3255" s="15" t="s">
        <v>6878</v>
      </c>
    </row>
    <row r="3256" spans="1:14" x14ac:dyDescent="0.2">
      <c r="A3256" t="s">
        <v>4376</v>
      </c>
      <c r="B3256" t="s">
        <v>2360</v>
      </c>
      <c r="C3256" s="9">
        <v>45013</v>
      </c>
      <c r="D3256" t="s">
        <v>946</v>
      </c>
      <c r="E3256" s="13">
        <v>17062890</v>
      </c>
      <c r="F3256" s="13">
        <v>5550</v>
      </c>
      <c r="G3256" s="9">
        <v>45015</v>
      </c>
      <c r="H3256" t="s">
        <v>1111</v>
      </c>
      <c r="I3256" t="s">
        <v>2382</v>
      </c>
      <c r="J3256" s="13">
        <v>284096</v>
      </c>
      <c r="K3256">
        <v>1</v>
      </c>
      <c r="L3256" t="s">
        <v>1064</v>
      </c>
      <c r="M3256" t="s">
        <v>2383</v>
      </c>
      <c r="N3256" s="15" t="s">
        <v>6878</v>
      </c>
    </row>
    <row r="3257" spans="1:14" x14ac:dyDescent="0.2">
      <c r="A3257" t="s">
        <v>4377</v>
      </c>
      <c r="B3257" t="s">
        <v>2360</v>
      </c>
      <c r="C3257" s="9">
        <v>45014</v>
      </c>
      <c r="D3257" t="s">
        <v>9</v>
      </c>
      <c r="E3257" s="13">
        <v>413000</v>
      </c>
      <c r="F3257" s="13">
        <v>22500</v>
      </c>
      <c r="H3257" t="s">
        <v>1185</v>
      </c>
      <c r="I3257" t="s">
        <v>3286</v>
      </c>
      <c r="J3257" s="13">
        <v>0</v>
      </c>
      <c r="K3257">
        <v>1</v>
      </c>
      <c r="L3257" t="s">
        <v>1064</v>
      </c>
      <c r="M3257" t="s">
        <v>3287</v>
      </c>
      <c r="N3257" s="14" t="s">
        <v>6877</v>
      </c>
    </row>
    <row r="3258" spans="1:14" x14ac:dyDescent="0.2">
      <c r="A3258" t="s">
        <v>4378</v>
      </c>
      <c r="B3258" t="s">
        <v>2360</v>
      </c>
      <c r="C3258" s="9">
        <v>45014</v>
      </c>
      <c r="D3258" t="s">
        <v>946</v>
      </c>
      <c r="E3258" s="13">
        <v>1186146</v>
      </c>
      <c r="F3258" s="13">
        <v>5550</v>
      </c>
      <c r="G3258" s="9">
        <v>45023</v>
      </c>
      <c r="H3258" t="s">
        <v>1111</v>
      </c>
      <c r="I3258" t="s">
        <v>2382</v>
      </c>
      <c r="J3258" s="13">
        <v>19749</v>
      </c>
      <c r="K3258">
        <v>1</v>
      </c>
      <c r="L3258" t="s">
        <v>1064</v>
      </c>
      <c r="M3258" t="s">
        <v>2383</v>
      </c>
      <c r="N3258" s="15" t="s">
        <v>6878</v>
      </c>
    </row>
    <row r="3259" spans="1:14" x14ac:dyDescent="0.2">
      <c r="A3259" t="s">
        <v>4379</v>
      </c>
      <c r="B3259" t="s">
        <v>2360</v>
      </c>
      <c r="C3259" s="9">
        <v>45014</v>
      </c>
      <c r="D3259" t="s">
        <v>946</v>
      </c>
      <c r="E3259" s="13">
        <v>10000000</v>
      </c>
      <c r="F3259" s="13">
        <v>5550</v>
      </c>
      <c r="G3259" s="9">
        <v>45023</v>
      </c>
      <c r="H3259" t="s">
        <v>1111</v>
      </c>
      <c r="I3259" t="s">
        <v>2382</v>
      </c>
      <c r="J3259" s="13">
        <v>166500</v>
      </c>
      <c r="K3259">
        <v>1</v>
      </c>
      <c r="L3259" t="s">
        <v>1064</v>
      </c>
      <c r="M3259" t="s">
        <v>2383</v>
      </c>
      <c r="N3259" s="15" t="s">
        <v>6878</v>
      </c>
    </row>
    <row r="3260" spans="1:14" x14ac:dyDescent="0.2">
      <c r="A3260" t="s">
        <v>4380</v>
      </c>
      <c r="B3260" t="s">
        <v>2360</v>
      </c>
      <c r="C3260" s="9">
        <v>45014</v>
      </c>
      <c r="D3260" t="s">
        <v>946</v>
      </c>
      <c r="E3260" s="13">
        <v>29680000</v>
      </c>
      <c r="F3260" s="13">
        <v>5550</v>
      </c>
      <c r="G3260" s="9">
        <v>45015</v>
      </c>
      <c r="H3260" t="s">
        <v>1111</v>
      </c>
      <c r="I3260" t="s">
        <v>2382</v>
      </c>
      <c r="J3260" s="13">
        <v>494172</v>
      </c>
      <c r="K3260">
        <v>1</v>
      </c>
      <c r="L3260" t="s">
        <v>1064</v>
      </c>
      <c r="M3260" t="s">
        <v>2383</v>
      </c>
      <c r="N3260" s="15" t="s">
        <v>6878</v>
      </c>
    </row>
    <row r="3261" spans="1:14" x14ac:dyDescent="0.2">
      <c r="A3261" t="s">
        <v>4381</v>
      </c>
      <c r="B3261" t="s">
        <v>2360</v>
      </c>
      <c r="C3261" s="9">
        <v>45014</v>
      </c>
      <c r="D3261" t="s">
        <v>946</v>
      </c>
      <c r="E3261" s="13">
        <v>19727781</v>
      </c>
      <c r="F3261" s="13">
        <v>5550</v>
      </c>
      <c r="G3261" s="9">
        <v>45015</v>
      </c>
      <c r="H3261" t="s">
        <v>1111</v>
      </c>
      <c r="I3261" t="s">
        <v>2382</v>
      </c>
      <c r="J3261" s="13">
        <v>328466</v>
      </c>
      <c r="K3261">
        <v>1</v>
      </c>
      <c r="L3261" t="s">
        <v>1064</v>
      </c>
      <c r="M3261" t="s">
        <v>2383</v>
      </c>
      <c r="N3261" s="15" t="s">
        <v>6878</v>
      </c>
    </row>
    <row r="3262" spans="1:14" x14ac:dyDescent="0.2">
      <c r="A3262" t="s">
        <v>4382</v>
      </c>
      <c r="B3262" t="s">
        <v>2360</v>
      </c>
      <c r="C3262" s="9">
        <v>45014</v>
      </c>
      <c r="D3262" t="s">
        <v>946</v>
      </c>
      <c r="E3262" s="13">
        <v>27832000</v>
      </c>
      <c r="F3262" s="13">
        <v>5550</v>
      </c>
      <c r="G3262" s="9">
        <v>45015</v>
      </c>
      <c r="H3262" t="s">
        <v>1111</v>
      </c>
      <c r="I3262" t="s">
        <v>2382</v>
      </c>
      <c r="J3262" s="13">
        <v>463402</v>
      </c>
      <c r="K3262">
        <v>1</v>
      </c>
      <c r="L3262" t="s">
        <v>1064</v>
      </c>
      <c r="M3262" t="s">
        <v>2383</v>
      </c>
      <c r="N3262" s="15" t="s">
        <v>6878</v>
      </c>
    </row>
    <row r="3263" spans="1:14" x14ac:dyDescent="0.2">
      <c r="A3263" t="s">
        <v>4383</v>
      </c>
      <c r="B3263" t="s">
        <v>2360</v>
      </c>
      <c r="C3263" s="9">
        <v>45014</v>
      </c>
      <c r="D3263" t="s">
        <v>946</v>
      </c>
      <c r="E3263" s="13">
        <v>5300000</v>
      </c>
      <c r="F3263" s="13">
        <v>5550</v>
      </c>
      <c r="G3263" s="9">
        <v>45015</v>
      </c>
      <c r="H3263" t="s">
        <v>1111</v>
      </c>
      <c r="I3263" t="s">
        <v>2382</v>
      </c>
      <c r="J3263" s="13">
        <v>88245</v>
      </c>
      <c r="K3263">
        <v>1</v>
      </c>
      <c r="L3263" t="s">
        <v>1064</v>
      </c>
      <c r="M3263" t="s">
        <v>2383</v>
      </c>
      <c r="N3263" s="15" t="s">
        <v>6878</v>
      </c>
    </row>
    <row r="3264" spans="1:14" x14ac:dyDescent="0.2">
      <c r="A3264" t="s">
        <v>4384</v>
      </c>
      <c r="B3264" t="s">
        <v>2360</v>
      </c>
      <c r="C3264" s="9">
        <v>45014</v>
      </c>
      <c r="D3264" t="s">
        <v>946</v>
      </c>
      <c r="E3264" s="13">
        <v>5300000</v>
      </c>
      <c r="F3264" s="13">
        <v>5550</v>
      </c>
      <c r="G3264" s="9">
        <v>45015</v>
      </c>
      <c r="H3264" t="s">
        <v>1111</v>
      </c>
      <c r="I3264" t="s">
        <v>2382</v>
      </c>
      <c r="J3264" s="13">
        <v>88245</v>
      </c>
      <c r="K3264">
        <v>1</v>
      </c>
      <c r="L3264" t="s">
        <v>1064</v>
      </c>
      <c r="M3264" t="s">
        <v>2383</v>
      </c>
      <c r="N3264" s="15" t="s">
        <v>6878</v>
      </c>
    </row>
    <row r="3265" spans="1:14" x14ac:dyDescent="0.2">
      <c r="A3265" t="s">
        <v>4385</v>
      </c>
      <c r="B3265" t="s">
        <v>2360</v>
      </c>
      <c r="C3265" s="9">
        <v>45014</v>
      </c>
      <c r="D3265" t="s">
        <v>946</v>
      </c>
      <c r="E3265" s="13">
        <v>5300000</v>
      </c>
      <c r="F3265" s="13">
        <v>5550</v>
      </c>
      <c r="G3265" s="9">
        <v>45015</v>
      </c>
      <c r="H3265" t="s">
        <v>1111</v>
      </c>
      <c r="I3265" t="s">
        <v>2382</v>
      </c>
      <c r="J3265" s="13">
        <v>88245</v>
      </c>
      <c r="K3265">
        <v>1</v>
      </c>
      <c r="L3265" t="s">
        <v>1064</v>
      </c>
      <c r="M3265" t="s">
        <v>2383</v>
      </c>
      <c r="N3265" s="15" t="s">
        <v>6878</v>
      </c>
    </row>
    <row r="3266" spans="1:14" x14ac:dyDescent="0.2">
      <c r="A3266" t="s">
        <v>4386</v>
      </c>
      <c r="B3266" t="s">
        <v>2360</v>
      </c>
      <c r="C3266" s="9">
        <v>45014</v>
      </c>
      <c r="D3266" t="s">
        <v>946</v>
      </c>
      <c r="E3266" s="13">
        <v>5300000</v>
      </c>
      <c r="F3266" s="13">
        <v>5550</v>
      </c>
      <c r="G3266" s="9">
        <v>45015</v>
      </c>
      <c r="H3266" t="s">
        <v>1111</v>
      </c>
      <c r="I3266" t="s">
        <v>2382</v>
      </c>
      <c r="J3266" s="13">
        <v>88245</v>
      </c>
      <c r="K3266">
        <v>1</v>
      </c>
      <c r="L3266" t="s">
        <v>1064</v>
      </c>
      <c r="M3266" t="s">
        <v>2383</v>
      </c>
      <c r="N3266" s="15" t="s">
        <v>6878</v>
      </c>
    </row>
    <row r="3267" spans="1:14" x14ac:dyDescent="0.2">
      <c r="A3267" t="s">
        <v>4387</v>
      </c>
      <c r="B3267" t="s">
        <v>2360</v>
      </c>
      <c r="C3267" s="9">
        <v>45014</v>
      </c>
      <c r="D3267" t="s">
        <v>946</v>
      </c>
      <c r="E3267" s="13">
        <v>5300000</v>
      </c>
      <c r="F3267" s="13">
        <v>5550</v>
      </c>
      <c r="G3267" s="9">
        <v>45015</v>
      </c>
      <c r="H3267" t="s">
        <v>1111</v>
      </c>
      <c r="I3267" t="s">
        <v>2382</v>
      </c>
      <c r="J3267" s="13">
        <v>88245</v>
      </c>
      <c r="K3267">
        <v>1</v>
      </c>
      <c r="L3267" t="s">
        <v>1064</v>
      </c>
      <c r="M3267" t="s">
        <v>2383</v>
      </c>
      <c r="N3267" s="15" t="s">
        <v>6878</v>
      </c>
    </row>
    <row r="3268" spans="1:14" x14ac:dyDescent="0.2">
      <c r="A3268" t="s">
        <v>4388</v>
      </c>
      <c r="B3268" t="s">
        <v>2360</v>
      </c>
      <c r="C3268" s="9">
        <v>45014</v>
      </c>
      <c r="D3268" t="s">
        <v>946</v>
      </c>
      <c r="E3268" s="13">
        <v>5300000</v>
      </c>
      <c r="F3268" s="13">
        <v>5550</v>
      </c>
      <c r="G3268" s="9">
        <v>45015</v>
      </c>
      <c r="H3268" t="s">
        <v>1111</v>
      </c>
      <c r="I3268" t="s">
        <v>2382</v>
      </c>
      <c r="J3268" s="13">
        <v>88245</v>
      </c>
      <c r="K3268">
        <v>1</v>
      </c>
      <c r="L3268" t="s">
        <v>1064</v>
      </c>
      <c r="M3268" t="s">
        <v>2383</v>
      </c>
      <c r="N3268" s="15" t="s">
        <v>6878</v>
      </c>
    </row>
    <row r="3269" spans="1:14" x14ac:dyDescent="0.2">
      <c r="A3269" t="s">
        <v>4389</v>
      </c>
      <c r="B3269" t="s">
        <v>2360</v>
      </c>
      <c r="C3269" s="9">
        <v>45014</v>
      </c>
      <c r="D3269" t="s">
        <v>946</v>
      </c>
      <c r="E3269" s="13">
        <v>29325000</v>
      </c>
      <c r="F3269" s="13">
        <v>5550</v>
      </c>
      <c r="G3269" s="9">
        <v>45015</v>
      </c>
      <c r="H3269" t="s">
        <v>1111</v>
      </c>
      <c r="I3269" t="s">
        <v>2382</v>
      </c>
      <c r="J3269" s="13">
        <v>488261</v>
      </c>
      <c r="K3269">
        <v>1</v>
      </c>
      <c r="L3269" t="s">
        <v>1064</v>
      </c>
      <c r="M3269" t="s">
        <v>2383</v>
      </c>
      <c r="N3269" s="15" t="s">
        <v>6878</v>
      </c>
    </row>
    <row r="3270" spans="1:14" x14ac:dyDescent="0.2">
      <c r="A3270" t="s">
        <v>4390</v>
      </c>
      <c r="B3270" t="s">
        <v>2360</v>
      </c>
      <c r="C3270" s="9">
        <v>45014</v>
      </c>
      <c r="D3270" t="s">
        <v>946</v>
      </c>
      <c r="E3270" s="13">
        <v>13800000</v>
      </c>
      <c r="F3270" s="13">
        <v>5550</v>
      </c>
      <c r="G3270" s="9">
        <v>45015</v>
      </c>
      <c r="H3270" t="s">
        <v>1111</v>
      </c>
      <c r="I3270" t="s">
        <v>2382</v>
      </c>
      <c r="J3270" s="13">
        <v>229770</v>
      </c>
      <c r="K3270">
        <v>1</v>
      </c>
      <c r="L3270" t="s">
        <v>1064</v>
      </c>
      <c r="M3270" t="s">
        <v>2383</v>
      </c>
      <c r="N3270" s="15" t="s">
        <v>6878</v>
      </c>
    </row>
    <row r="3271" spans="1:14" x14ac:dyDescent="0.2">
      <c r="A3271" t="s">
        <v>4391</v>
      </c>
      <c r="B3271" t="s">
        <v>2360</v>
      </c>
      <c r="C3271" s="9">
        <v>45014</v>
      </c>
      <c r="D3271" t="s">
        <v>946</v>
      </c>
      <c r="E3271" s="13">
        <v>18400000</v>
      </c>
      <c r="F3271" s="13">
        <v>5550</v>
      </c>
      <c r="G3271" s="9">
        <v>45015</v>
      </c>
      <c r="H3271" t="s">
        <v>1111</v>
      </c>
      <c r="I3271" t="s">
        <v>2382</v>
      </c>
      <c r="J3271" s="13">
        <v>306360</v>
      </c>
      <c r="K3271">
        <v>1</v>
      </c>
      <c r="L3271" t="s">
        <v>1064</v>
      </c>
      <c r="M3271" t="s">
        <v>2383</v>
      </c>
      <c r="N3271" s="15" t="s">
        <v>6878</v>
      </c>
    </row>
    <row r="3272" spans="1:14" x14ac:dyDescent="0.2">
      <c r="A3272" t="s">
        <v>4392</v>
      </c>
      <c r="B3272" t="s">
        <v>2360</v>
      </c>
      <c r="C3272" s="9">
        <v>45014</v>
      </c>
      <c r="D3272" t="s">
        <v>946</v>
      </c>
      <c r="E3272" s="13">
        <v>12075000</v>
      </c>
      <c r="F3272" s="13">
        <v>5550</v>
      </c>
      <c r="G3272" s="9">
        <v>45015</v>
      </c>
      <c r="H3272" t="s">
        <v>1111</v>
      </c>
      <c r="I3272" t="s">
        <v>2382</v>
      </c>
      <c r="J3272" s="13">
        <v>201048</v>
      </c>
      <c r="K3272">
        <v>1</v>
      </c>
      <c r="L3272" t="s">
        <v>1064</v>
      </c>
      <c r="M3272" t="s">
        <v>2383</v>
      </c>
      <c r="N3272" s="15" t="s">
        <v>6878</v>
      </c>
    </row>
    <row r="3273" spans="1:14" x14ac:dyDescent="0.2">
      <c r="A3273" t="s">
        <v>4393</v>
      </c>
      <c r="B3273" t="s">
        <v>2360</v>
      </c>
      <c r="C3273" s="9">
        <v>45014</v>
      </c>
      <c r="D3273" t="s">
        <v>946</v>
      </c>
      <c r="E3273" s="13">
        <v>14950000</v>
      </c>
      <c r="F3273" s="13">
        <v>5550</v>
      </c>
      <c r="G3273" s="9">
        <v>45015</v>
      </c>
      <c r="H3273" t="s">
        <v>1111</v>
      </c>
      <c r="I3273" t="s">
        <v>2382</v>
      </c>
      <c r="J3273" s="13">
        <v>248917</v>
      </c>
      <c r="K3273">
        <v>1</v>
      </c>
      <c r="L3273" t="s">
        <v>1064</v>
      </c>
      <c r="M3273" t="s">
        <v>2383</v>
      </c>
      <c r="N3273" s="15" t="s">
        <v>6878</v>
      </c>
    </row>
    <row r="3274" spans="1:14" x14ac:dyDescent="0.2">
      <c r="A3274" t="s">
        <v>4394</v>
      </c>
      <c r="B3274" t="s">
        <v>2360</v>
      </c>
      <c r="C3274" s="9">
        <v>45014</v>
      </c>
      <c r="D3274" t="s">
        <v>946</v>
      </c>
      <c r="E3274" s="13">
        <v>6210000</v>
      </c>
      <c r="F3274" s="13">
        <v>5550</v>
      </c>
      <c r="G3274" s="9">
        <v>45015</v>
      </c>
      <c r="H3274" t="s">
        <v>1111</v>
      </c>
      <c r="I3274" t="s">
        <v>2382</v>
      </c>
      <c r="J3274" s="13">
        <v>103396</v>
      </c>
      <c r="K3274">
        <v>1</v>
      </c>
      <c r="L3274" t="s">
        <v>1064</v>
      </c>
      <c r="M3274" t="s">
        <v>2383</v>
      </c>
      <c r="N3274" s="15" t="s">
        <v>6878</v>
      </c>
    </row>
    <row r="3275" spans="1:14" x14ac:dyDescent="0.2">
      <c r="A3275" t="s">
        <v>4395</v>
      </c>
      <c r="B3275" t="s">
        <v>2360</v>
      </c>
      <c r="C3275" s="9">
        <v>45014</v>
      </c>
      <c r="D3275" t="s">
        <v>946</v>
      </c>
      <c r="E3275" s="13">
        <v>770000</v>
      </c>
      <c r="F3275" s="13">
        <v>5550</v>
      </c>
      <c r="G3275" s="9">
        <v>45015</v>
      </c>
      <c r="H3275" t="s">
        <v>1111</v>
      </c>
      <c r="I3275" t="s">
        <v>2382</v>
      </c>
      <c r="J3275" s="13">
        <v>12820</v>
      </c>
      <c r="K3275">
        <v>1</v>
      </c>
      <c r="L3275" t="s">
        <v>1064</v>
      </c>
      <c r="M3275" t="s">
        <v>2383</v>
      </c>
      <c r="N3275" s="15" t="s">
        <v>6878</v>
      </c>
    </row>
    <row r="3276" spans="1:14" x14ac:dyDescent="0.2">
      <c r="A3276" t="s">
        <v>4396</v>
      </c>
      <c r="B3276" t="s">
        <v>2360</v>
      </c>
      <c r="C3276" s="9">
        <v>45014</v>
      </c>
      <c r="D3276" t="s">
        <v>946</v>
      </c>
      <c r="E3276" s="13">
        <v>1210000</v>
      </c>
      <c r="F3276" s="13">
        <v>5550</v>
      </c>
      <c r="G3276" s="9">
        <v>45015</v>
      </c>
      <c r="H3276" t="s">
        <v>1111</v>
      </c>
      <c r="I3276" t="s">
        <v>2382</v>
      </c>
      <c r="J3276" s="13">
        <v>20146</v>
      </c>
      <c r="K3276">
        <v>1</v>
      </c>
      <c r="L3276" t="s">
        <v>1064</v>
      </c>
      <c r="M3276" t="s">
        <v>2383</v>
      </c>
      <c r="N3276" s="15" t="s">
        <v>6878</v>
      </c>
    </row>
    <row r="3277" spans="1:14" x14ac:dyDescent="0.2">
      <c r="A3277" t="s">
        <v>4397</v>
      </c>
      <c r="B3277" t="s">
        <v>2360</v>
      </c>
      <c r="C3277" s="9">
        <v>45014</v>
      </c>
      <c r="D3277" t="s">
        <v>946</v>
      </c>
      <c r="E3277" s="13">
        <v>1210000</v>
      </c>
      <c r="F3277" s="13">
        <v>5550</v>
      </c>
      <c r="G3277" s="9">
        <v>45015</v>
      </c>
      <c r="H3277" t="s">
        <v>1111</v>
      </c>
      <c r="I3277" t="s">
        <v>2382</v>
      </c>
      <c r="J3277" s="13">
        <v>20146</v>
      </c>
      <c r="K3277">
        <v>1</v>
      </c>
      <c r="L3277" t="s">
        <v>1064</v>
      </c>
      <c r="M3277" t="s">
        <v>2383</v>
      </c>
      <c r="N3277" s="15" t="s">
        <v>6878</v>
      </c>
    </row>
    <row r="3278" spans="1:14" x14ac:dyDescent="0.2">
      <c r="A3278" t="s">
        <v>4398</v>
      </c>
      <c r="B3278" t="s">
        <v>2360</v>
      </c>
      <c r="C3278" s="9">
        <v>45014</v>
      </c>
      <c r="D3278" t="s">
        <v>946</v>
      </c>
      <c r="E3278" s="13">
        <v>3630000</v>
      </c>
      <c r="F3278" s="13">
        <v>5550</v>
      </c>
      <c r="G3278" s="9">
        <v>45015</v>
      </c>
      <c r="H3278" t="s">
        <v>1111</v>
      </c>
      <c r="I3278" t="s">
        <v>2382</v>
      </c>
      <c r="J3278" s="13">
        <v>60439</v>
      </c>
      <c r="K3278">
        <v>1</v>
      </c>
      <c r="L3278" t="s">
        <v>1064</v>
      </c>
      <c r="M3278" t="s">
        <v>2383</v>
      </c>
      <c r="N3278" s="15" t="s">
        <v>6878</v>
      </c>
    </row>
    <row r="3279" spans="1:14" x14ac:dyDescent="0.2">
      <c r="A3279" t="s">
        <v>4399</v>
      </c>
      <c r="B3279" t="s">
        <v>2360</v>
      </c>
      <c r="C3279" s="9">
        <v>45014</v>
      </c>
      <c r="D3279" t="s">
        <v>946</v>
      </c>
      <c r="E3279" s="13">
        <v>11615000</v>
      </c>
      <c r="F3279" s="13">
        <v>5550</v>
      </c>
      <c r="G3279" s="9">
        <v>45015</v>
      </c>
      <c r="H3279" t="s">
        <v>1111</v>
      </c>
      <c r="I3279" t="s">
        <v>2382</v>
      </c>
      <c r="J3279" s="13">
        <v>193389</v>
      </c>
      <c r="K3279">
        <v>1</v>
      </c>
      <c r="L3279" t="s">
        <v>1064</v>
      </c>
      <c r="M3279" t="s">
        <v>2383</v>
      </c>
      <c r="N3279" s="15" t="s">
        <v>6878</v>
      </c>
    </row>
    <row r="3280" spans="1:14" x14ac:dyDescent="0.2">
      <c r="A3280" t="s">
        <v>4400</v>
      </c>
      <c r="B3280" t="s">
        <v>2360</v>
      </c>
      <c r="C3280" s="9">
        <v>45014</v>
      </c>
      <c r="D3280" t="s">
        <v>946</v>
      </c>
      <c r="E3280" s="13">
        <v>12650000</v>
      </c>
      <c r="F3280" s="13">
        <v>5550</v>
      </c>
      <c r="G3280" s="9">
        <v>45015</v>
      </c>
      <c r="H3280" t="s">
        <v>1111</v>
      </c>
      <c r="I3280" t="s">
        <v>2382</v>
      </c>
      <c r="J3280" s="13">
        <v>210622</v>
      </c>
      <c r="K3280">
        <v>1</v>
      </c>
      <c r="L3280" t="s">
        <v>1064</v>
      </c>
      <c r="M3280" t="s">
        <v>2383</v>
      </c>
      <c r="N3280" s="15" t="s">
        <v>6878</v>
      </c>
    </row>
    <row r="3281" spans="1:14" x14ac:dyDescent="0.2">
      <c r="A3281" t="s">
        <v>4401</v>
      </c>
      <c r="B3281" t="s">
        <v>2360</v>
      </c>
      <c r="C3281" s="9">
        <v>45014</v>
      </c>
      <c r="D3281" t="s">
        <v>946</v>
      </c>
      <c r="E3281" s="13">
        <v>12650000</v>
      </c>
      <c r="F3281" s="13">
        <v>5550</v>
      </c>
      <c r="G3281" s="9">
        <v>45015</v>
      </c>
      <c r="H3281" t="s">
        <v>1111</v>
      </c>
      <c r="I3281" t="s">
        <v>2382</v>
      </c>
      <c r="J3281" s="13">
        <v>210622</v>
      </c>
      <c r="K3281">
        <v>1</v>
      </c>
      <c r="L3281" t="s">
        <v>1064</v>
      </c>
      <c r="M3281" t="s">
        <v>2383</v>
      </c>
      <c r="N3281" s="15" t="s">
        <v>6878</v>
      </c>
    </row>
    <row r="3282" spans="1:14" x14ac:dyDescent="0.2">
      <c r="A3282" t="s">
        <v>4402</v>
      </c>
      <c r="B3282" t="s">
        <v>2360</v>
      </c>
      <c r="C3282" s="9">
        <v>45014</v>
      </c>
      <c r="D3282" t="s">
        <v>946</v>
      </c>
      <c r="E3282" s="13">
        <v>2420000</v>
      </c>
      <c r="F3282" s="13">
        <v>5550</v>
      </c>
      <c r="G3282" s="9">
        <v>45015</v>
      </c>
      <c r="H3282" t="s">
        <v>1111</v>
      </c>
      <c r="I3282" t="s">
        <v>2382</v>
      </c>
      <c r="J3282" s="13">
        <v>40293</v>
      </c>
      <c r="K3282">
        <v>1</v>
      </c>
      <c r="L3282" t="s">
        <v>1064</v>
      </c>
      <c r="M3282" t="s">
        <v>2383</v>
      </c>
      <c r="N3282" s="15" t="s">
        <v>6878</v>
      </c>
    </row>
    <row r="3283" spans="1:14" x14ac:dyDescent="0.2">
      <c r="A3283" t="s">
        <v>4403</v>
      </c>
      <c r="B3283" t="s">
        <v>2360</v>
      </c>
      <c r="C3283" s="9">
        <v>45014</v>
      </c>
      <c r="D3283" t="s">
        <v>946</v>
      </c>
      <c r="E3283" s="13">
        <v>8050000</v>
      </c>
      <c r="F3283" s="13">
        <v>5550</v>
      </c>
      <c r="G3283" s="9">
        <v>45015</v>
      </c>
      <c r="H3283" t="s">
        <v>1111</v>
      </c>
      <c r="I3283" t="s">
        <v>2382</v>
      </c>
      <c r="J3283" s="13">
        <v>134032</v>
      </c>
      <c r="K3283">
        <v>1</v>
      </c>
      <c r="L3283" t="s">
        <v>1064</v>
      </c>
      <c r="M3283" t="s">
        <v>2383</v>
      </c>
      <c r="N3283" s="15" t="s">
        <v>6878</v>
      </c>
    </row>
    <row r="3284" spans="1:14" x14ac:dyDescent="0.2">
      <c r="A3284" t="s">
        <v>4404</v>
      </c>
      <c r="B3284" t="s">
        <v>2360</v>
      </c>
      <c r="C3284" s="9">
        <v>45014</v>
      </c>
      <c r="D3284" t="s">
        <v>946</v>
      </c>
      <c r="E3284" s="13">
        <v>17825000</v>
      </c>
      <c r="F3284" s="13">
        <v>5550</v>
      </c>
      <c r="G3284" s="9">
        <v>45015</v>
      </c>
      <c r="H3284" t="s">
        <v>1111</v>
      </c>
      <c r="I3284" t="s">
        <v>2382</v>
      </c>
      <c r="J3284" s="13">
        <v>296786</v>
      </c>
      <c r="K3284">
        <v>1</v>
      </c>
      <c r="L3284" t="s">
        <v>1064</v>
      </c>
      <c r="M3284" t="s">
        <v>2383</v>
      </c>
      <c r="N3284" s="15" t="s">
        <v>6878</v>
      </c>
    </row>
    <row r="3285" spans="1:14" x14ac:dyDescent="0.2">
      <c r="A3285" t="s">
        <v>4405</v>
      </c>
      <c r="B3285" t="s">
        <v>2360</v>
      </c>
      <c r="C3285" s="9">
        <v>45014</v>
      </c>
      <c r="D3285" t="s">
        <v>946</v>
      </c>
      <c r="E3285" s="13">
        <v>11155000</v>
      </c>
      <c r="F3285" s="13">
        <v>5550</v>
      </c>
      <c r="G3285" s="9">
        <v>45015</v>
      </c>
      <c r="H3285" t="s">
        <v>1111</v>
      </c>
      <c r="I3285" t="s">
        <v>2382</v>
      </c>
      <c r="J3285" s="13">
        <v>185730</v>
      </c>
      <c r="K3285">
        <v>1</v>
      </c>
      <c r="L3285" t="s">
        <v>1064</v>
      </c>
      <c r="M3285" t="s">
        <v>2383</v>
      </c>
      <c r="N3285" s="15" t="s">
        <v>6878</v>
      </c>
    </row>
    <row r="3286" spans="1:14" x14ac:dyDescent="0.2">
      <c r="A3286" t="s">
        <v>4406</v>
      </c>
      <c r="B3286" t="s">
        <v>2360</v>
      </c>
      <c r="C3286" s="9">
        <v>45014</v>
      </c>
      <c r="D3286" t="s">
        <v>946</v>
      </c>
      <c r="E3286" s="13">
        <v>12420000</v>
      </c>
      <c r="F3286" s="13">
        <v>5550</v>
      </c>
      <c r="G3286" s="9">
        <v>45015</v>
      </c>
      <c r="H3286" t="s">
        <v>1111</v>
      </c>
      <c r="I3286" t="s">
        <v>2382</v>
      </c>
      <c r="J3286" s="13">
        <v>206793</v>
      </c>
      <c r="K3286">
        <v>1</v>
      </c>
      <c r="L3286" t="s">
        <v>1064</v>
      </c>
      <c r="M3286" t="s">
        <v>2383</v>
      </c>
      <c r="N3286" s="15" t="s">
        <v>6878</v>
      </c>
    </row>
    <row r="3287" spans="1:14" x14ac:dyDescent="0.2">
      <c r="A3287" t="s">
        <v>4407</v>
      </c>
      <c r="B3287" t="s">
        <v>2360</v>
      </c>
      <c r="C3287" s="9">
        <v>45014</v>
      </c>
      <c r="D3287" t="s">
        <v>946</v>
      </c>
      <c r="E3287" s="13">
        <v>12650000</v>
      </c>
      <c r="F3287" s="13">
        <v>5550</v>
      </c>
      <c r="G3287" s="9">
        <v>45015</v>
      </c>
      <c r="H3287" t="s">
        <v>1111</v>
      </c>
      <c r="I3287" t="s">
        <v>2382</v>
      </c>
      <c r="J3287" s="13">
        <v>210622</v>
      </c>
      <c r="K3287">
        <v>1</v>
      </c>
      <c r="L3287" t="s">
        <v>1064</v>
      </c>
      <c r="M3287" t="s">
        <v>2383</v>
      </c>
      <c r="N3287" s="15" t="s">
        <v>6878</v>
      </c>
    </row>
    <row r="3288" spans="1:14" x14ac:dyDescent="0.2">
      <c r="A3288" t="s">
        <v>4408</v>
      </c>
      <c r="B3288" t="s">
        <v>2360</v>
      </c>
      <c r="C3288" s="9">
        <v>45014</v>
      </c>
      <c r="D3288" t="s">
        <v>946</v>
      </c>
      <c r="E3288" s="13">
        <v>15295000</v>
      </c>
      <c r="F3288" s="13">
        <v>5550</v>
      </c>
      <c r="G3288" s="9">
        <v>45015</v>
      </c>
      <c r="H3288" t="s">
        <v>1111</v>
      </c>
      <c r="I3288" t="s">
        <v>2382</v>
      </c>
      <c r="J3288" s="13">
        <v>254661</v>
      </c>
      <c r="K3288">
        <v>1</v>
      </c>
      <c r="L3288" t="s">
        <v>1064</v>
      </c>
      <c r="M3288" t="s">
        <v>2383</v>
      </c>
      <c r="N3288" s="15" t="s">
        <v>6878</v>
      </c>
    </row>
    <row r="3289" spans="1:14" x14ac:dyDescent="0.2">
      <c r="A3289" t="s">
        <v>4409</v>
      </c>
      <c r="B3289" t="s">
        <v>2360</v>
      </c>
      <c r="C3289" s="9">
        <v>45014</v>
      </c>
      <c r="D3289" t="s">
        <v>946</v>
      </c>
      <c r="E3289" s="13">
        <v>8050000</v>
      </c>
      <c r="F3289" s="13">
        <v>5550</v>
      </c>
      <c r="G3289" s="9">
        <v>45015</v>
      </c>
      <c r="H3289" t="s">
        <v>1111</v>
      </c>
      <c r="I3289" t="s">
        <v>2382</v>
      </c>
      <c r="J3289" s="13">
        <v>134032</v>
      </c>
      <c r="K3289">
        <v>1</v>
      </c>
      <c r="L3289" t="s">
        <v>1064</v>
      </c>
      <c r="M3289" t="s">
        <v>2383</v>
      </c>
      <c r="N3289" s="15" t="s">
        <v>6878</v>
      </c>
    </row>
    <row r="3290" spans="1:14" x14ac:dyDescent="0.2">
      <c r="A3290" t="s">
        <v>4410</v>
      </c>
      <c r="B3290" t="s">
        <v>2360</v>
      </c>
      <c r="C3290" s="9">
        <v>45014</v>
      </c>
      <c r="D3290" t="s">
        <v>946</v>
      </c>
      <c r="E3290" s="13">
        <v>9775000</v>
      </c>
      <c r="F3290" s="13">
        <v>5550</v>
      </c>
      <c r="G3290" s="9">
        <v>45015</v>
      </c>
      <c r="H3290" t="s">
        <v>1111</v>
      </c>
      <c r="I3290" t="s">
        <v>2382</v>
      </c>
      <c r="J3290" s="13">
        <v>162753</v>
      </c>
      <c r="K3290">
        <v>1</v>
      </c>
      <c r="L3290" t="s">
        <v>1064</v>
      </c>
      <c r="M3290" t="s">
        <v>2383</v>
      </c>
      <c r="N3290" s="15" t="s">
        <v>6878</v>
      </c>
    </row>
    <row r="3291" spans="1:14" x14ac:dyDescent="0.2">
      <c r="A3291" t="s">
        <v>4411</v>
      </c>
      <c r="B3291" t="s">
        <v>2360</v>
      </c>
      <c r="C3291" s="9">
        <v>45014</v>
      </c>
      <c r="D3291" t="s">
        <v>946</v>
      </c>
      <c r="E3291" s="13">
        <v>17825000</v>
      </c>
      <c r="F3291" s="13">
        <v>5550</v>
      </c>
      <c r="G3291" s="9">
        <v>45015</v>
      </c>
      <c r="H3291" t="s">
        <v>1111</v>
      </c>
      <c r="I3291" t="s">
        <v>2382</v>
      </c>
      <c r="J3291" s="13">
        <v>296786</v>
      </c>
      <c r="K3291">
        <v>1</v>
      </c>
      <c r="L3291" t="s">
        <v>1064</v>
      </c>
      <c r="M3291" t="s">
        <v>2383</v>
      </c>
      <c r="N3291" s="15" t="s">
        <v>6878</v>
      </c>
    </row>
    <row r="3292" spans="1:14" x14ac:dyDescent="0.2">
      <c r="A3292" t="s">
        <v>4412</v>
      </c>
      <c r="B3292" t="s">
        <v>2360</v>
      </c>
      <c r="C3292" s="9">
        <v>45014</v>
      </c>
      <c r="D3292" t="s">
        <v>946</v>
      </c>
      <c r="E3292" s="13">
        <v>22425000</v>
      </c>
      <c r="F3292" s="13">
        <v>5550</v>
      </c>
      <c r="G3292" s="9">
        <v>45015</v>
      </c>
      <c r="H3292" t="s">
        <v>1111</v>
      </c>
      <c r="I3292" t="s">
        <v>2382</v>
      </c>
      <c r="J3292" s="13">
        <v>373376</v>
      </c>
      <c r="K3292">
        <v>1</v>
      </c>
      <c r="L3292" t="s">
        <v>1064</v>
      </c>
      <c r="M3292" t="s">
        <v>2383</v>
      </c>
      <c r="N3292" s="15" t="s">
        <v>6878</v>
      </c>
    </row>
    <row r="3293" spans="1:14" x14ac:dyDescent="0.2">
      <c r="A3293" t="s">
        <v>4413</v>
      </c>
      <c r="B3293" t="s">
        <v>2360</v>
      </c>
      <c r="C3293" s="9">
        <v>45014</v>
      </c>
      <c r="D3293" t="s">
        <v>946</v>
      </c>
      <c r="E3293" s="13">
        <v>12075000</v>
      </c>
      <c r="F3293" s="13">
        <v>5550</v>
      </c>
      <c r="G3293" s="9">
        <v>45015</v>
      </c>
      <c r="H3293" t="s">
        <v>1111</v>
      </c>
      <c r="I3293" t="s">
        <v>2382</v>
      </c>
      <c r="J3293" s="13">
        <v>201048</v>
      </c>
      <c r="K3293">
        <v>1</v>
      </c>
      <c r="L3293" t="s">
        <v>1064</v>
      </c>
      <c r="M3293" t="s">
        <v>2383</v>
      </c>
      <c r="N3293" s="15" t="s">
        <v>6878</v>
      </c>
    </row>
    <row r="3294" spans="1:14" x14ac:dyDescent="0.2">
      <c r="A3294" t="s">
        <v>4414</v>
      </c>
      <c r="B3294" t="s">
        <v>2360</v>
      </c>
      <c r="C3294" s="9">
        <v>45014</v>
      </c>
      <c r="D3294" t="s">
        <v>946</v>
      </c>
      <c r="E3294" s="13">
        <v>20700000</v>
      </c>
      <c r="F3294" s="13">
        <v>5550</v>
      </c>
      <c r="G3294" s="9">
        <v>45015</v>
      </c>
      <c r="H3294" t="s">
        <v>1111</v>
      </c>
      <c r="I3294" t="s">
        <v>2382</v>
      </c>
      <c r="J3294" s="13">
        <v>344655</v>
      </c>
      <c r="K3294">
        <v>1</v>
      </c>
      <c r="L3294" t="s">
        <v>1064</v>
      </c>
      <c r="M3294" t="s">
        <v>2383</v>
      </c>
      <c r="N3294" s="15" t="s">
        <v>6878</v>
      </c>
    </row>
    <row r="3295" spans="1:14" x14ac:dyDescent="0.2">
      <c r="A3295" t="s">
        <v>4415</v>
      </c>
      <c r="B3295" t="s">
        <v>2360</v>
      </c>
      <c r="C3295" s="9">
        <v>45014</v>
      </c>
      <c r="D3295" t="s">
        <v>946</v>
      </c>
      <c r="E3295" s="13">
        <v>770000</v>
      </c>
      <c r="F3295" s="13">
        <v>5550</v>
      </c>
      <c r="G3295" s="9">
        <v>45015</v>
      </c>
      <c r="H3295" t="s">
        <v>1111</v>
      </c>
      <c r="I3295" t="s">
        <v>2382</v>
      </c>
      <c r="J3295" s="13">
        <v>12820</v>
      </c>
      <c r="K3295">
        <v>1</v>
      </c>
      <c r="L3295" t="s">
        <v>1064</v>
      </c>
      <c r="M3295" t="s">
        <v>2383</v>
      </c>
      <c r="N3295" s="15" t="s">
        <v>6878</v>
      </c>
    </row>
    <row r="3296" spans="1:14" x14ac:dyDescent="0.2">
      <c r="A3296" t="s">
        <v>4416</v>
      </c>
      <c r="B3296" t="s">
        <v>2360</v>
      </c>
      <c r="C3296" s="9">
        <v>45014</v>
      </c>
      <c r="D3296" t="s">
        <v>946</v>
      </c>
      <c r="E3296" s="13">
        <v>19550000</v>
      </c>
      <c r="F3296" s="13">
        <v>5550</v>
      </c>
      <c r="G3296" s="9">
        <v>45015</v>
      </c>
      <c r="H3296" t="s">
        <v>1111</v>
      </c>
      <c r="I3296" t="s">
        <v>2382</v>
      </c>
      <c r="J3296" s="13">
        <v>325507</v>
      </c>
      <c r="K3296">
        <v>1</v>
      </c>
      <c r="L3296" t="s">
        <v>1064</v>
      </c>
      <c r="M3296" t="s">
        <v>2383</v>
      </c>
      <c r="N3296" s="15" t="s">
        <v>6878</v>
      </c>
    </row>
    <row r="3297" spans="1:14" x14ac:dyDescent="0.2">
      <c r="A3297" t="s">
        <v>4417</v>
      </c>
      <c r="B3297" t="s">
        <v>2360</v>
      </c>
      <c r="C3297" s="9">
        <v>45014</v>
      </c>
      <c r="D3297" t="s">
        <v>946</v>
      </c>
      <c r="E3297" s="13">
        <v>16100000</v>
      </c>
      <c r="F3297" s="13">
        <v>5550</v>
      </c>
      <c r="G3297" s="9">
        <v>45015</v>
      </c>
      <c r="H3297" t="s">
        <v>1111</v>
      </c>
      <c r="I3297" t="s">
        <v>2382</v>
      </c>
      <c r="J3297" s="13">
        <v>268065</v>
      </c>
      <c r="K3297">
        <v>1</v>
      </c>
      <c r="L3297" t="s">
        <v>1064</v>
      </c>
      <c r="M3297" t="s">
        <v>2383</v>
      </c>
      <c r="N3297" s="15" t="s">
        <v>6878</v>
      </c>
    </row>
    <row r="3298" spans="1:14" x14ac:dyDescent="0.2">
      <c r="A3298" t="s">
        <v>4418</v>
      </c>
      <c r="B3298" t="s">
        <v>2360</v>
      </c>
      <c r="C3298" s="9">
        <v>45014</v>
      </c>
      <c r="D3298" t="s">
        <v>946</v>
      </c>
      <c r="E3298" s="13">
        <v>19550000</v>
      </c>
      <c r="F3298" s="13">
        <v>5550</v>
      </c>
      <c r="G3298" s="9">
        <v>45015</v>
      </c>
      <c r="H3298" t="s">
        <v>1111</v>
      </c>
      <c r="I3298" t="s">
        <v>2382</v>
      </c>
      <c r="J3298" s="13">
        <v>325507</v>
      </c>
      <c r="K3298">
        <v>1</v>
      </c>
      <c r="L3298" t="s">
        <v>1064</v>
      </c>
      <c r="M3298" t="s">
        <v>2383</v>
      </c>
      <c r="N3298" s="15" t="s">
        <v>6878</v>
      </c>
    </row>
    <row r="3299" spans="1:14" x14ac:dyDescent="0.2">
      <c r="A3299" t="s">
        <v>4419</v>
      </c>
      <c r="B3299" t="s">
        <v>2360</v>
      </c>
      <c r="C3299" s="9">
        <v>45014</v>
      </c>
      <c r="D3299" t="s">
        <v>946</v>
      </c>
      <c r="E3299" s="13">
        <v>11155000</v>
      </c>
      <c r="F3299" s="13">
        <v>5550</v>
      </c>
      <c r="G3299" s="9">
        <v>45015</v>
      </c>
      <c r="H3299" t="s">
        <v>1111</v>
      </c>
      <c r="I3299" t="s">
        <v>2382</v>
      </c>
      <c r="J3299" s="13">
        <v>185730</v>
      </c>
      <c r="K3299">
        <v>1</v>
      </c>
      <c r="L3299" t="s">
        <v>1064</v>
      </c>
      <c r="M3299" t="s">
        <v>2383</v>
      </c>
      <c r="N3299" s="15" t="s">
        <v>6878</v>
      </c>
    </row>
    <row r="3300" spans="1:14" x14ac:dyDescent="0.2">
      <c r="A3300" t="s">
        <v>4420</v>
      </c>
      <c r="B3300" t="s">
        <v>2360</v>
      </c>
      <c r="C3300" s="9">
        <v>45014</v>
      </c>
      <c r="D3300" t="s">
        <v>946</v>
      </c>
      <c r="E3300" s="13">
        <v>13225000</v>
      </c>
      <c r="F3300" s="13">
        <v>5550</v>
      </c>
      <c r="G3300" s="9">
        <v>45015</v>
      </c>
      <c r="H3300" t="s">
        <v>1111</v>
      </c>
      <c r="I3300" t="s">
        <v>2382</v>
      </c>
      <c r="J3300" s="13">
        <v>220196</v>
      </c>
      <c r="K3300">
        <v>1</v>
      </c>
      <c r="L3300" t="s">
        <v>1064</v>
      </c>
      <c r="M3300" t="s">
        <v>2383</v>
      </c>
      <c r="N3300" s="15" t="s">
        <v>6878</v>
      </c>
    </row>
    <row r="3301" spans="1:14" x14ac:dyDescent="0.2">
      <c r="A3301" t="s">
        <v>4421</v>
      </c>
      <c r="B3301" t="s">
        <v>2360</v>
      </c>
      <c r="C3301" s="9">
        <v>45014</v>
      </c>
      <c r="D3301" t="s">
        <v>946</v>
      </c>
      <c r="E3301" s="13">
        <v>12650000</v>
      </c>
      <c r="F3301" s="13">
        <v>5550</v>
      </c>
      <c r="G3301" s="9">
        <v>45015</v>
      </c>
      <c r="H3301" t="s">
        <v>1111</v>
      </c>
      <c r="I3301" t="s">
        <v>2382</v>
      </c>
      <c r="J3301" s="13">
        <v>210622</v>
      </c>
      <c r="K3301">
        <v>1</v>
      </c>
      <c r="L3301" t="s">
        <v>1064</v>
      </c>
      <c r="M3301" t="s">
        <v>2383</v>
      </c>
      <c r="N3301" s="15" t="s">
        <v>6878</v>
      </c>
    </row>
    <row r="3302" spans="1:14" x14ac:dyDescent="0.2">
      <c r="A3302" t="s">
        <v>4422</v>
      </c>
      <c r="B3302" t="s">
        <v>2360</v>
      </c>
      <c r="C3302" s="9">
        <v>45014</v>
      </c>
      <c r="D3302" t="s">
        <v>946</v>
      </c>
      <c r="E3302" s="13">
        <v>20930000</v>
      </c>
      <c r="F3302" s="13">
        <v>5550</v>
      </c>
      <c r="G3302" s="9">
        <v>45015</v>
      </c>
      <c r="H3302" t="s">
        <v>1111</v>
      </c>
      <c r="I3302" t="s">
        <v>2382</v>
      </c>
      <c r="J3302" s="13">
        <v>348484</v>
      </c>
      <c r="K3302">
        <v>1</v>
      </c>
      <c r="L3302" t="s">
        <v>1064</v>
      </c>
      <c r="M3302" t="s">
        <v>2383</v>
      </c>
      <c r="N3302" s="15" t="s">
        <v>6878</v>
      </c>
    </row>
    <row r="3303" spans="1:14" x14ac:dyDescent="0.2">
      <c r="A3303" t="s">
        <v>4423</v>
      </c>
      <c r="B3303" t="s">
        <v>2360</v>
      </c>
      <c r="C3303" s="9">
        <v>45014</v>
      </c>
      <c r="D3303" t="s">
        <v>946</v>
      </c>
      <c r="E3303" s="13">
        <v>13800000</v>
      </c>
      <c r="F3303" s="13">
        <v>5550</v>
      </c>
      <c r="G3303" s="9">
        <v>45015</v>
      </c>
      <c r="H3303" t="s">
        <v>1111</v>
      </c>
      <c r="I3303" t="s">
        <v>2382</v>
      </c>
      <c r="J3303" s="13">
        <v>229770</v>
      </c>
      <c r="K3303">
        <v>1</v>
      </c>
      <c r="L3303" t="s">
        <v>1064</v>
      </c>
      <c r="M3303" t="s">
        <v>2383</v>
      </c>
      <c r="N3303" s="15" t="s">
        <v>6878</v>
      </c>
    </row>
    <row r="3304" spans="1:14" x14ac:dyDescent="0.2">
      <c r="A3304" t="s">
        <v>4424</v>
      </c>
      <c r="B3304" t="s">
        <v>2360</v>
      </c>
      <c r="C3304" s="9">
        <v>45014</v>
      </c>
      <c r="D3304" t="s">
        <v>946</v>
      </c>
      <c r="E3304" s="13">
        <v>12650000</v>
      </c>
      <c r="F3304" s="13">
        <v>5550</v>
      </c>
      <c r="G3304" s="9">
        <v>45015</v>
      </c>
      <c r="H3304" t="s">
        <v>1111</v>
      </c>
      <c r="I3304" t="s">
        <v>2382</v>
      </c>
      <c r="J3304" s="13">
        <v>210622</v>
      </c>
      <c r="K3304">
        <v>1</v>
      </c>
      <c r="L3304" t="s">
        <v>1064</v>
      </c>
      <c r="M3304" t="s">
        <v>2383</v>
      </c>
      <c r="N3304" s="15" t="s">
        <v>6878</v>
      </c>
    </row>
    <row r="3305" spans="1:14" x14ac:dyDescent="0.2">
      <c r="A3305" t="s">
        <v>4425</v>
      </c>
      <c r="B3305" t="s">
        <v>2360</v>
      </c>
      <c r="C3305" s="9">
        <v>45014</v>
      </c>
      <c r="D3305" t="s">
        <v>946</v>
      </c>
      <c r="E3305" s="13">
        <v>17825000</v>
      </c>
      <c r="F3305" s="13">
        <v>5550</v>
      </c>
      <c r="G3305" s="9">
        <v>45015</v>
      </c>
      <c r="H3305" t="s">
        <v>1111</v>
      </c>
      <c r="I3305" t="s">
        <v>2382</v>
      </c>
      <c r="J3305" s="13">
        <v>296786</v>
      </c>
      <c r="K3305">
        <v>1</v>
      </c>
      <c r="L3305" t="s">
        <v>1064</v>
      </c>
      <c r="M3305" t="s">
        <v>2383</v>
      </c>
      <c r="N3305" s="15" t="s">
        <v>6878</v>
      </c>
    </row>
    <row r="3306" spans="1:14" x14ac:dyDescent="0.2">
      <c r="A3306" t="s">
        <v>4426</v>
      </c>
      <c r="B3306" t="s">
        <v>2360</v>
      </c>
      <c r="C3306" s="9">
        <v>45014</v>
      </c>
      <c r="D3306" t="s">
        <v>946</v>
      </c>
      <c r="E3306" s="13">
        <v>9832500</v>
      </c>
      <c r="F3306" s="13">
        <v>5550</v>
      </c>
      <c r="G3306" s="9">
        <v>45015</v>
      </c>
      <c r="H3306" t="s">
        <v>1111</v>
      </c>
      <c r="I3306" t="s">
        <v>2382</v>
      </c>
      <c r="J3306" s="13">
        <v>163710</v>
      </c>
      <c r="K3306">
        <v>1</v>
      </c>
      <c r="L3306" t="s">
        <v>1064</v>
      </c>
      <c r="M3306" t="s">
        <v>2383</v>
      </c>
      <c r="N3306" s="15" t="s">
        <v>6878</v>
      </c>
    </row>
    <row r="3307" spans="1:14" x14ac:dyDescent="0.2">
      <c r="A3307" t="s">
        <v>4427</v>
      </c>
      <c r="B3307" t="s">
        <v>2360</v>
      </c>
      <c r="C3307" s="9">
        <v>45014</v>
      </c>
      <c r="D3307" t="s">
        <v>946</v>
      </c>
      <c r="E3307" s="13">
        <v>30590000</v>
      </c>
      <c r="F3307" s="13">
        <v>5550</v>
      </c>
      <c r="G3307" s="9">
        <v>45015</v>
      </c>
      <c r="H3307" t="s">
        <v>1111</v>
      </c>
      <c r="I3307" t="s">
        <v>2382</v>
      </c>
      <c r="J3307" s="13">
        <v>509323</v>
      </c>
      <c r="K3307">
        <v>1</v>
      </c>
      <c r="L3307" t="s">
        <v>1064</v>
      </c>
      <c r="M3307" t="s">
        <v>2383</v>
      </c>
      <c r="N3307" s="15" t="s">
        <v>6878</v>
      </c>
    </row>
    <row r="3308" spans="1:14" x14ac:dyDescent="0.2">
      <c r="A3308" t="s">
        <v>4428</v>
      </c>
      <c r="B3308" t="s">
        <v>2360</v>
      </c>
      <c r="C3308" s="9">
        <v>45014</v>
      </c>
      <c r="D3308" t="s">
        <v>946</v>
      </c>
      <c r="E3308" s="13">
        <v>6210000</v>
      </c>
      <c r="F3308" s="13">
        <v>5550</v>
      </c>
      <c r="G3308" s="9">
        <v>45015</v>
      </c>
      <c r="H3308" t="s">
        <v>1111</v>
      </c>
      <c r="I3308" t="s">
        <v>2382</v>
      </c>
      <c r="J3308" s="13">
        <v>103396</v>
      </c>
      <c r="K3308">
        <v>1</v>
      </c>
      <c r="L3308" t="s">
        <v>1064</v>
      </c>
      <c r="M3308" t="s">
        <v>2383</v>
      </c>
      <c r="N3308" s="15" t="s">
        <v>6878</v>
      </c>
    </row>
    <row r="3309" spans="1:14" x14ac:dyDescent="0.2">
      <c r="A3309" t="s">
        <v>4429</v>
      </c>
      <c r="B3309" t="s">
        <v>2360</v>
      </c>
      <c r="C3309" s="9">
        <v>45014</v>
      </c>
      <c r="D3309" t="s">
        <v>946</v>
      </c>
      <c r="E3309" s="13">
        <v>12075000</v>
      </c>
      <c r="F3309" s="13">
        <v>5550</v>
      </c>
      <c r="G3309" s="9">
        <v>45015</v>
      </c>
      <c r="H3309" t="s">
        <v>1111</v>
      </c>
      <c r="I3309" t="s">
        <v>2382</v>
      </c>
      <c r="J3309" s="13">
        <v>201048</v>
      </c>
      <c r="K3309">
        <v>1</v>
      </c>
      <c r="L3309" t="s">
        <v>1064</v>
      </c>
      <c r="M3309" t="s">
        <v>2383</v>
      </c>
      <c r="N3309" s="15" t="s">
        <v>6878</v>
      </c>
    </row>
    <row r="3310" spans="1:14" x14ac:dyDescent="0.2">
      <c r="A3310" t="s">
        <v>4430</v>
      </c>
      <c r="B3310" t="s">
        <v>2360</v>
      </c>
      <c r="C3310" s="9">
        <v>45014</v>
      </c>
      <c r="D3310" t="s">
        <v>946</v>
      </c>
      <c r="E3310" s="13">
        <v>19563079</v>
      </c>
      <c r="F3310" s="13">
        <v>5550</v>
      </c>
      <c r="G3310" s="9">
        <v>45023</v>
      </c>
      <c r="H3310" t="s">
        <v>1111</v>
      </c>
      <c r="I3310" t="s">
        <v>2382</v>
      </c>
      <c r="J3310" s="13">
        <v>325725</v>
      </c>
      <c r="K3310">
        <v>1</v>
      </c>
      <c r="L3310" t="s">
        <v>1064</v>
      </c>
      <c r="M3310" t="s">
        <v>2383</v>
      </c>
      <c r="N3310" s="15" t="s">
        <v>6878</v>
      </c>
    </row>
    <row r="3311" spans="1:14" x14ac:dyDescent="0.2">
      <c r="A3311" t="s">
        <v>4431</v>
      </c>
      <c r="B3311" t="s">
        <v>2360</v>
      </c>
      <c r="C3311" s="9">
        <v>45014</v>
      </c>
      <c r="D3311" t="s">
        <v>946</v>
      </c>
      <c r="E3311" s="13">
        <v>19550000</v>
      </c>
      <c r="F3311" s="13">
        <v>5550</v>
      </c>
      <c r="G3311" s="9">
        <v>45015</v>
      </c>
      <c r="H3311" t="s">
        <v>1111</v>
      </c>
      <c r="I3311" t="s">
        <v>2382</v>
      </c>
      <c r="J3311" s="13">
        <v>325507</v>
      </c>
      <c r="K3311">
        <v>1</v>
      </c>
      <c r="L3311" t="s">
        <v>1064</v>
      </c>
      <c r="M3311" t="s">
        <v>2383</v>
      </c>
      <c r="N3311" s="15" t="s">
        <v>6878</v>
      </c>
    </row>
    <row r="3312" spans="1:14" x14ac:dyDescent="0.2">
      <c r="A3312" t="s">
        <v>4432</v>
      </c>
      <c r="B3312" t="s">
        <v>2360</v>
      </c>
      <c r="C3312" s="9">
        <v>45014</v>
      </c>
      <c r="D3312" t="s">
        <v>946</v>
      </c>
      <c r="E3312" s="13">
        <v>12650000</v>
      </c>
      <c r="F3312" s="13">
        <v>5550</v>
      </c>
      <c r="G3312" s="9">
        <v>45015</v>
      </c>
      <c r="H3312" t="s">
        <v>1111</v>
      </c>
      <c r="I3312" t="s">
        <v>2382</v>
      </c>
      <c r="J3312" s="13">
        <v>210622</v>
      </c>
      <c r="K3312">
        <v>1</v>
      </c>
      <c r="L3312" t="s">
        <v>1064</v>
      </c>
      <c r="M3312" t="s">
        <v>2383</v>
      </c>
      <c r="N3312" s="15" t="s">
        <v>6878</v>
      </c>
    </row>
    <row r="3313" spans="1:14" x14ac:dyDescent="0.2">
      <c r="A3313" t="s">
        <v>4433</v>
      </c>
      <c r="B3313" t="s">
        <v>2360</v>
      </c>
      <c r="C3313" s="9">
        <v>45014</v>
      </c>
      <c r="D3313" t="s">
        <v>946</v>
      </c>
      <c r="E3313" s="13">
        <v>12650000</v>
      </c>
      <c r="F3313" s="13">
        <v>5550</v>
      </c>
      <c r="G3313" s="9">
        <v>45015</v>
      </c>
      <c r="H3313" t="s">
        <v>1111</v>
      </c>
      <c r="I3313" t="s">
        <v>2382</v>
      </c>
      <c r="J3313" s="13">
        <v>210622</v>
      </c>
      <c r="K3313">
        <v>1</v>
      </c>
      <c r="L3313" t="s">
        <v>1064</v>
      </c>
      <c r="M3313" t="s">
        <v>2383</v>
      </c>
      <c r="N3313" s="15" t="s">
        <v>6878</v>
      </c>
    </row>
    <row r="3314" spans="1:14" x14ac:dyDescent="0.2">
      <c r="A3314" t="s">
        <v>4434</v>
      </c>
      <c r="B3314" t="s">
        <v>2360</v>
      </c>
      <c r="C3314" s="9">
        <v>45014</v>
      </c>
      <c r="D3314" t="s">
        <v>946</v>
      </c>
      <c r="E3314" s="13">
        <v>30590000</v>
      </c>
      <c r="F3314" s="13">
        <v>5550</v>
      </c>
      <c r="G3314" s="9">
        <v>45015</v>
      </c>
      <c r="H3314" t="s">
        <v>1111</v>
      </c>
      <c r="I3314" t="s">
        <v>2382</v>
      </c>
      <c r="J3314" s="13">
        <v>509323</v>
      </c>
      <c r="K3314">
        <v>1</v>
      </c>
      <c r="L3314" t="s">
        <v>1064</v>
      </c>
      <c r="M3314" t="s">
        <v>2383</v>
      </c>
      <c r="N3314" s="15" t="s">
        <v>6878</v>
      </c>
    </row>
    <row r="3315" spans="1:14" x14ac:dyDescent="0.2">
      <c r="A3315" t="s">
        <v>4435</v>
      </c>
      <c r="B3315" t="s">
        <v>2360</v>
      </c>
      <c r="C3315" s="9">
        <v>45014</v>
      </c>
      <c r="D3315" t="s">
        <v>946</v>
      </c>
      <c r="E3315" s="13">
        <v>20930000</v>
      </c>
      <c r="F3315" s="13">
        <v>5550</v>
      </c>
      <c r="G3315" s="9">
        <v>45015</v>
      </c>
      <c r="H3315" t="s">
        <v>1111</v>
      </c>
      <c r="I3315" t="s">
        <v>2382</v>
      </c>
      <c r="J3315" s="13">
        <v>348484</v>
      </c>
      <c r="K3315">
        <v>1</v>
      </c>
      <c r="L3315" t="s">
        <v>1064</v>
      </c>
      <c r="M3315" t="s">
        <v>2383</v>
      </c>
      <c r="N3315" s="15" t="s">
        <v>6878</v>
      </c>
    </row>
    <row r="3316" spans="1:14" x14ac:dyDescent="0.2">
      <c r="A3316" t="s">
        <v>4436</v>
      </c>
      <c r="B3316" t="s">
        <v>2360</v>
      </c>
      <c r="C3316" s="9">
        <v>45014</v>
      </c>
      <c r="D3316" t="s">
        <v>946</v>
      </c>
      <c r="E3316" s="13">
        <v>9832500</v>
      </c>
      <c r="F3316" s="13">
        <v>5550</v>
      </c>
      <c r="G3316" s="9">
        <v>45015</v>
      </c>
      <c r="H3316" t="s">
        <v>1111</v>
      </c>
      <c r="I3316" t="s">
        <v>2382</v>
      </c>
      <c r="J3316" s="13">
        <v>163710</v>
      </c>
      <c r="K3316">
        <v>1</v>
      </c>
      <c r="L3316" t="s">
        <v>1064</v>
      </c>
      <c r="M3316" t="s">
        <v>2383</v>
      </c>
      <c r="N3316" s="15" t="s">
        <v>6878</v>
      </c>
    </row>
    <row r="3317" spans="1:14" x14ac:dyDescent="0.2">
      <c r="A3317" t="s">
        <v>4437</v>
      </c>
      <c r="B3317" t="s">
        <v>2360</v>
      </c>
      <c r="C3317" s="9">
        <v>45014</v>
      </c>
      <c r="D3317" t="s">
        <v>946</v>
      </c>
      <c r="E3317" s="13">
        <v>15295000</v>
      </c>
      <c r="F3317" s="13">
        <v>5550</v>
      </c>
      <c r="G3317" s="9">
        <v>45015</v>
      </c>
      <c r="H3317" t="s">
        <v>1111</v>
      </c>
      <c r="I3317" t="s">
        <v>2382</v>
      </c>
      <c r="J3317" s="13">
        <v>254661</v>
      </c>
      <c r="K3317">
        <v>1</v>
      </c>
      <c r="L3317" t="s">
        <v>1064</v>
      </c>
      <c r="M3317" t="s">
        <v>2383</v>
      </c>
      <c r="N3317" s="15" t="s">
        <v>6878</v>
      </c>
    </row>
    <row r="3318" spans="1:14" x14ac:dyDescent="0.2">
      <c r="A3318" t="s">
        <v>4438</v>
      </c>
      <c r="B3318" t="s">
        <v>2360</v>
      </c>
      <c r="C3318" s="9">
        <v>45014</v>
      </c>
      <c r="D3318" t="s">
        <v>946</v>
      </c>
      <c r="E3318" s="13">
        <v>19550000</v>
      </c>
      <c r="F3318" s="13">
        <v>5550</v>
      </c>
      <c r="G3318" s="9">
        <v>45015</v>
      </c>
      <c r="H3318" t="s">
        <v>1111</v>
      </c>
      <c r="I3318" t="s">
        <v>2382</v>
      </c>
      <c r="J3318" s="13">
        <v>325507</v>
      </c>
      <c r="K3318">
        <v>1</v>
      </c>
      <c r="L3318" t="s">
        <v>1064</v>
      </c>
      <c r="M3318" t="s">
        <v>2383</v>
      </c>
      <c r="N3318" s="15" t="s">
        <v>6878</v>
      </c>
    </row>
    <row r="3319" spans="1:14" x14ac:dyDescent="0.2">
      <c r="A3319" t="s">
        <v>4439</v>
      </c>
      <c r="B3319" t="s">
        <v>2360</v>
      </c>
      <c r="C3319" s="9">
        <v>45014</v>
      </c>
      <c r="D3319" t="s">
        <v>946</v>
      </c>
      <c r="E3319" s="13">
        <v>11155000</v>
      </c>
      <c r="F3319" s="13">
        <v>5550</v>
      </c>
      <c r="G3319" s="9">
        <v>45015</v>
      </c>
      <c r="H3319" t="s">
        <v>1111</v>
      </c>
      <c r="I3319" t="s">
        <v>2382</v>
      </c>
      <c r="J3319" s="13">
        <v>185730</v>
      </c>
      <c r="K3319">
        <v>1</v>
      </c>
      <c r="L3319" t="s">
        <v>1064</v>
      </c>
      <c r="M3319" t="s">
        <v>2383</v>
      </c>
      <c r="N3319" s="15" t="s">
        <v>6878</v>
      </c>
    </row>
    <row r="3320" spans="1:14" x14ac:dyDescent="0.2">
      <c r="A3320" t="s">
        <v>4440</v>
      </c>
      <c r="B3320" t="s">
        <v>2360</v>
      </c>
      <c r="C3320" s="9">
        <v>45014</v>
      </c>
      <c r="D3320" t="s">
        <v>946</v>
      </c>
      <c r="E3320" s="13">
        <v>14950000</v>
      </c>
      <c r="F3320" s="13">
        <v>5550</v>
      </c>
      <c r="G3320" s="9">
        <v>45015</v>
      </c>
      <c r="H3320" t="s">
        <v>1111</v>
      </c>
      <c r="I3320" t="s">
        <v>2382</v>
      </c>
      <c r="J3320" s="13">
        <v>248917</v>
      </c>
      <c r="K3320">
        <v>1</v>
      </c>
      <c r="L3320" t="s">
        <v>1064</v>
      </c>
      <c r="M3320" t="s">
        <v>2383</v>
      </c>
      <c r="N3320" s="15" t="s">
        <v>6878</v>
      </c>
    </row>
    <row r="3321" spans="1:14" x14ac:dyDescent="0.2">
      <c r="A3321" t="s">
        <v>4441</v>
      </c>
      <c r="B3321" t="s">
        <v>2360</v>
      </c>
      <c r="C3321" s="9">
        <v>45014</v>
      </c>
      <c r="D3321" t="s">
        <v>946</v>
      </c>
      <c r="E3321" s="13">
        <v>18400000</v>
      </c>
      <c r="F3321" s="13">
        <v>5550</v>
      </c>
      <c r="G3321" s="9">
        <v>45015</v>
      </c>
      <c r="H3321" t="s">
        <v>1111</v>
      </c>
      <c r="I3321" t="s">
        <v>2382</v>
      </c>
      <c r="J3321" s="13">
        <v>306360</v>
      </c>
      <c r="K3321">
        <v>1</v>
      </c>
      <c r="L3321" t="s">
        <v>1064</v>
      </c>
      <c r="M3321" t="s">
        <v>2383</v>
      </c>
      <c r="N3321" s="15" t="s">
        <v>6878</v>
      </c>
    </row>
    <row r="3322" spans="1:14" x14ac:dyDescent="0.2">
      <c r="A3322" t="s">
        <v>4442</v>
      </c>
      <c r="B3322" t="s">
        <v>2360</v>
      </c>
      <c r="C3322" s="9">
        <v>45014</v>
      </c>
      <c r="D3322" t="s">
        <v>946</v>
      </c>
      <c r="E3322" s="13">
        <v>16356121</v>
      </c>
      <c r="F3322" s="13">
        <v>5550</v>
      </c>
      <c r="G3322" s="9">
        <v>45016</v>
      </c>
      <c r="H3322" t="s">
        <v>1111</v>
      </c>
      <c r="I3322" t="s">
        <v>2382</v>
      </c>
      <c r="J3322" s="13">
        <v>272328</v>
      </c>
      <c r="K3322">
        <v>1</v>
      </c>
      <c r="L3322" t="s">
        <v>1064</v>
      </c>
      <c r="M3322" t="s">
        <v>2383</v>
      </c>
      <c r="N3322" s="15" t="s">
        <v>6878</v>
      </c>
    </row>
    <row r="3323" spans="1:14" x14ac:dyDescent="0.2">
      <c r="A3323" t="s">
        <v>4443</v>
      </c>
      <c r="B3323" t="s">
        <v>2360</v>
      </c>
      <c r="C3323" s="9">
        <v>45014</v>
      </c>
      <c r="D3323" t="s">
        <v>946</v>
      </c>
      <c r="E3323" s="13">
        <v>10161960</v>
      </c>
      <c r="F3323" s="13">
        <v>5550</v>
      </c>
      <c r="G3323" s="9">
        <v>45016</v>
      </c>
      <c r="H3323" t="s">
        <v>1111</v>
      </c>
      <c r="I3323" t="s">
        <v>2382</v>
      </c>
      <c r="J3323" s="13">
        <v>169196</v>
      </c>
      <c r="K3323">
        <v>1</v>
      </c>
      <c r="L3323" t="s">
        <v>1064</v>
      </c>
      <c r="M3323" t="s">
        <v>2383</v>
      </c>
      <c r="N3323" s="15" t="s">
        <v>6878</v>
      </c>
    </row>
    <row r="3324" spans="1:14" x14ac:dyDescent="0.2">
      <c r="A3324" t="s">
        <v>4444</v>
      </c>
      <c r="B3324" t="s">
        <v>2360</v>
      </c>
      <c r="C3324" s="9">
        <v>45014</v>
      </c>
      <c r="D3324" t="s">
        <v>946</v>
      </c>
      <c r="E3324" s="13">
        <v>11616930</v>
      </c>
      <c r="F3324" s="13">
        <v>5550</v>
      </c>
      <c r="G3324" s="9">
        <v>45016</v>
      </c>
      <c r="H3324" t="s">
        <v>1111</v>
      </c>
      <c r="I3324" t="s">
        <v>2382</v>
      </c>
      <c r="J3324" s="13">
        <v>193420</v>
      </c>
      <c r="K3324">
        <v>1</v>
      </c>
      <c r="L3324" t="s">
        <v>1064</v>
      </c>
      <c r="M3324" t="s">
        <v>2383</v>
      </c>
      <c r="N3324" s="15" t="s">
        <v>6878</v>
      </c>
    </row>
    <row r="3325" spans="1:14" x14ac:dyDescent="0.2">
      <c r="A3325" t="s">
        <v>4445</v>
      </c>
      <c r="B3325" t="s">
        <v>2360</v>
      </c>
      <c r="C3325" s="9">
        <v>45014</v>
      </c>
      <c r="D3325" t="s">
        <v>946</v>
      </c>
      <c r="E3325" s="13">
        <v>13541825</v>
      </c>
      <c r="F3325" s="13">
        <v>5550</v>
      </c>
      <c r="G3325" s="9">
        <v>45016</v>
      </c>
      <c r="H3325" t="s">
        <v>1111</v>
      </c>
      <c r="I3325" t="s">
        <v>2382</v>
      </c>
      <c r="J3325" s="13">
        <v>225470</v>
      </c>
      <c r="K3325">
        <v>1</v>
      </c>
      <c r="L3325" t="s">
        <v>1064</v>
      </c>
      <c r="M3325" t="s">
        <v>2383</v>
      </c>
      <c r="N3325" s="15" t="s">
        <v>6878</v>
      </c>
    </row>
    <row r="3326" spans="1:14" x14ac:dyDescent="0.2">
      <c r="A3326" t="s">
        <v>4446</v>
      </c>
      <c r="B3326" t="s">
        <v>2360</v>
      </c>
      <c r="C3326" s="9">
        <v>45014</v>
      </c>
      <c r="D3326" t="s">
        <v>946</v>
      </c>
      <c r="E3326" s="13">
        <v>9991200</v>
      </c>
      <c r="F3326" s="13">
        <v>5550</v>
      </c>
      <c r="G3326" s="9">
        <v>45016</v>
      </c>
      <c r="H3326" t="s">
        <v>1111</v>
      </c>
      <c r="I3326" t="s">
        <v>2382</v>
      </c>
      <c r="J3326" s="13">
        <v>166353</v>
      </c>
      <c r="K3326">
        <v>1</v>
      </c>
      <c r="L3326" t="s">
        <v>1064</v>
      </c>
      <c r="M3326" t="s">
        <v>2383</v>
      </c>
      <c r="N3326" s="15" t="s">
        <v>6878</v>
      </c>
    </row>
    <row r="3327" spans="1:14" x14ac:dyDescent="0.2">
      <c r="A3327" t="s">
        <v>4447</v>
      </c>
      <c r="B3327" t="s">
        <v>2360</v>
      </c>
      <c r="C3327" s="9">
        <v>45014</v>
      </c>
      <c r="D3327" t="s">
        <v>946</v>
      </c>
      <c r="E3327" s="13">
        <v>13541825</v>
      </c>
      <c r="F3327" s="13">
        <v>5550</v>
      </c>
      <c r="G3327" s="9">
        <v>45016</v>
      </c>
      <c r="H3327" t="s">
        <v>1111</v>
      </c>
      <c r="I3327" t="s">
        <v>2382</v>
      </c>
      <c r="J3327" s="13">
        <v>225470</v>
      </c>
      <c r="K3327">
        <v>1</v>
      </c>
      <c r="L3327" t="s">
        <v>1064</v>
      </c>
      <c r="M3327" t="s">
        <v>2383</v>
      </c>
      <c r="N3327" s="15" t="s">
        <v>6878</v>
      </c>
    </row>
    <row r="3328" spans="1:14" x14ac:dyDescent="0.2">
      <c r="A3328" t="s">
        <v>4448</v>
      </c>
      <c r="B3328" t="s">
        <v>2360</v>
      </c>
      <c r="C3328" s="9">
        <v>45014</v>
      </c>
      <c r="D3328" t="s">
        <v>946</v>
      </c>
      <c r="E3328" s="13">
        <v>5511950</v>
      </c>
      <c r="F3328" s="13">
        <v>5550</v>
      </c>
      <c r="G3328" s="9">
        <v>45016</v>
      </c>
      <c r="H3328" t="s">
        <v>1111</v>
      </c>
      <c r="I3328" t="s">
        <v>2382</v>
      </c>
      <c r="J3328" s="13">
        <v>91773</v>
      </c>
      <c r="K3328">
        <v>1</v>
      </c>
      <c r="L3328" t="s">
        <v>1064</v>
      </c>
      <c r="M3328" t="s">
        <v>2383</v>
      </c>
      <c r="N3328" s="15" t="s">
        <v>6878</v>
      </c>
    </row>
    <row r="3329" spans="1:14" x14ac:dyDescent="0.2">
      <c r="A3329" t="s">
        <v>4449</v>
      </c>
      <c r="B3329" t="s">
        <v>2360</v>
      </c>
      <c r="C3329" s="9">
        <v>45014</v>
      </c>
      <c r="D3329" t="s">
        <v>946</v>
      </c>
      <c r="E3329" s="13">
        <v>13541825</v>
      </c>
      <c r="F3329" s="13">
        <v>5550</v>
      </c>
      <c r="G3329" s="9">
        <v>45016</v>
      </c>
      <c r="H3329" t="s">
        <v>1111</v>
      </c>
      <c r="I3329" t="s">
        <v>2382</v>
      </c>
      <c r="J3329" s="13">
        <v>225470</v>
      </c>
      <c r="K3329">
        <v>1</v>
      </c>
      <c r="L3329" t="s">
        <v>1064</v>
      </c>
      <c r="M3329" t="s">
        <v>2383</v>
      </c>
      <c r="N3329" s="15" t="s">
        <v>6878</v>
      </c>
    </row>
    <row r="3330" spans="1:14" x14ac:dyDescent="0.2">
      <c r="A3330" t="s">
        <v>4450</v>
      </c>
      <c r="B3330" t="s">
        <v>2360</v>
      </c>
      <c r="C3330" s="9">
        <v>45014</v>
      </c>
      <c r="D3330" t="s">
        <v>946</v>
      </c>
      <c r="E3330" s="13">
        <v>13541825</v>
      </c>
      <c r="F3330" s="13">
        <v>5550</v>
      </c>
      <c r="G3330" s="9">
        <v>45016</v>
      </c>
      <c r="H3330" t="s">
        <v>1111</v>
      </c>
      <c r="I3330" t="s">
        <v>2382</v>
      </c>
      <c r="J3330" s="13">
        <v>225470</v>
      </c>
      <c r="K3330">
        <v>1</v>
      </c>
      <c r="L3330" t="s">
        <v>1064</v>
      </c>
      <c r="M3330" t="s">
        <v>2383</v>
      </c>
      <c r="N3330" s="15" t="s">
        <v>6878</v>
      </c>
    </row>
    <row r="3331" spans="1:14" x14ac:dyDescent="0.2">
      <c r="A3331" t="s">
        <v>4451</v>
      </c>
      <c r="B3331" t="s">
        <v>2360</v>
      </c>
      <c r="C3331" s="9">
        <v>45014</v>
      </c>
      <c r="D3331" t="s">
        <v>946</v>
      </c>
      <c r="E3331" s="13">
        <v>13377950</v>
      </c>
      <c r="F3331" s="13">
        <v>5550</v>
      </c>
      <c r="G3331" s="9">
        <v>45016</v>
      </c>
      <c r="H3331" t="s">
        <v>1111</v>
      </c>
      <c r="I3331" t="s">
        <v>2382</v>
      </c>
      <c r="J3331" s="13">
        <v>222742</v>
      </c>
      <c r="K3331">
        <v>1</v>
      </c>
      <c r="L3331" t="s">
        <v>1064</v>
      </c>
      <c r="M3331" t="s">
        <v>2383</v>
      </c>
      <c r="N3331" s="15" t="s">
        <v>6878</v>
      </c>
    </row>
    <row r="3332" spans="1:14" x14ac:dyDescent="0.2">
      <c r="A3332" t="s">
        <v>4452</v>
      </c>
      <c r="B3332" t="s">
        <v>2360</v>
      </c>
      <c r="C3332" s="9">
        <v>45014</v>
      </c>
      <c r="D3332" t="s">
        <v>946</v>
      </c>
      <c r="E3332" s="13">
        <v>6549825</v>
      </c>
      <c r="F3332" s="13">
        <v>5550</v>
      </c>
      <c r="G3332" s="9">
        <v>45016</v>
      </c>
      <c r="H3332" t="s">
        <v>1111</v>
      </c>
      <c r="I3332" t="s">
        <v>2382</v>
      </c>
      <c r="J3332" s="13">
        <v>109054</v>
      </c>
      <c r="K3332">
        <v>1</v>
      </c>
      <c r="L3332" t="s">
        <v>1064</v>
      </c>
      <c r="M3332" t="s">
        <v>2383</v>
      </c>
      <c r="N3332" s="15" t="s">
        <v>6878</v>
      </c>
    </row>
    <row r="3333" spans="1:14" x14ac:dyDescent="0.2">
      <c r="A3333" t="s">
        <v>4453</v>
      </c>
      <c r="B3333" t="s">
        <v>2360</v>
      </c>
      <c r="C3333" s="9">
        <v>45014</v>
      </c>
      <c r="D3333" t="s">
        <v>946</v>
      </c>
      <c r="E3333" s="13">
        <v>5511950</v>
      </c>
      <c r="F3333" s="13">
        <v>5550</v>
      </c>
      <c r="G3333" s="9">
        <v>45016</v>
      </c>
      <c r="H3333" t="s">
        <v>1111</v>
      </c>
      <c r="I3333" t="s">
        <v>2382</v>
      </c>
      <c r="J3333" s="13">
        <v>91773</v>
      </c>
      <c r="K3333">
        <v>1</v>
      </c>
      <c r="L3333" t="s">
        <v>1064</v>
      </c>
      <c r="M3333" t="s">
        <v>2383</v>
      </c>
      <c r="N3333" s="15" t="s">
        <v>6878</v>
      </c>
    </row>
    <row r="3334" spans="1:14" x14ac:dyDescent="0.2">
      <c r="A3334" t="s">
        <v>4454</v>
      </c>
      <c r="B3334" t="s">
        <v>2360</v>
      </c>
      <c r="C3334" s="9">
        <v>45014</v>
      </c>
      <c r="D3334" t="s">
        <v>946</v>
      </c>
      <c r="E3334" s="13">
        <v>5511950</v>
      </c>
      <c r="F3334" s="13">
        <v>5550</v>
      </c>
      <c r="G3334" s="9">
        <v>45016</v>
      </c>
      <c r="H3334" t="s">
        <v>1111</v>
      </c>
      <c r="I3334" t="s">
        <v>2382</v>
      </c>
      <c r="J3334" s="13">
        <v>91773</v>
      </c>
      <c r="K3334">
        <v>1</v>
      </c>
      <c r="L3334" t="s">
        <v>1064</v>
      </c>
      <c r="M3334" t="s">
        <v>2383</v>
      </c>
      <c r="N3334" s="15" t="s">
        <v>6878</v>
      </c>
    </row>
    <row r="3335" spans="1:14" x14ac:dyDescent="0.2">
      <c r="A3335" t="s">
        <v>4455</v>
      </c>
      <c r="B3335" t="s">
        <v>2360</v>
      </c>
      <c r="C3335" s="9">
        <v>45014</v>
      </c>
      <c r="D3335" t="s">
        <v>946</v>
      </c>
      <c r="E3335" s="13">
        <v>5511950</v>
      </c>
      <c r="F3335" s="13">
        <v>5550</v>
      </c>
      <c r="G3335" s="9">
        <v>45016</v>
      </c>
      <c r="H3335" t="s">
        <v>1111</v>
      </c>
      <c r="I3335" t="s">
        <v>2382</v>
      </c>
      <c r="J3335" s="13">
        <v>91773</v>
      </c>
      <c r="K3335">
        <v>1</v>
      </c>
      <c r="L3335" t="s">
        <v>1064</v>
      </c>
      <c r="M3335" t="s">
        <v>2383</v>
      </c>
      <c r="N3335" s="15" t="s">
        <v>6878</v>
      </c>
    </row>
    <row r="3336" spans="1:14" x14ac:dyDescent="0.2">
      <c r="A3336" t="s">
        <v>4456</v>
      </c>
      <c r="B3336" t="s">
        <v>2360</v>
      </c>
      <c r="C3336" s="9">
        <v>45014</v>
      </c>
      <c r="D3336" t="s">
        <v>946</v>
      </c>
      <c r="E3336" s="13">
        <v>6549825</v>
      </c>
      <c r="F3336" s="13">
        <v>5550</v>
      </c>
      <c r="G3336" s="9">
        <v>45016</v>
      </c>
      <c r="H3336" t="s">
        <v>1111</v>
      </c>
      <c r="I3336" t="s">
        <v>2382</v>
      </c>
      <c r="J3336" s="13">
        <v>109054</v>
      </c>
      <c r="K3336">
        <v>1</v>
      </c>
      <c r="L3336" t="s">
        <v>1064</v>
      </c>
      <c r="M3336" t="s">
        <v>2383</v>
      </c>
      <c r="N3336" s="15" t="s">
        <v>6878</v>
      </c>
    </row>
    <row r="3337" spans="1:14" x14ac:dyDescent="0.2">
      <c r="A3337" t="s">
        <v>4457</v>
      </c>
      <c r="B3337" t="s">
        <v>2360</v>
      </c>
      <c r="C3337" s="9">
        <v>45014</v>
      </c>
      <c r="D3337" t="s">
        <v>946</v>
      </c>
      <c r="E3337" s="13">
        <v>5511950</v>
      </c>
      <c r="F3337" s="13">
        <v>5550</v>
      </c>
      <c r="G3337" s="9">
        <v>45016</v>
      </c>
      <c r="H3337" t="s">
        <v>1111</v>
      </c>
      <c r="I3337" t="s">
        <v>2382</v>
      </c>
      <c r="J3337" s="13">
        <v>91773</v>
      </c>
      <c r="K3337">
        <v>1</v>
      </c>
      <c r="L3337" t="s">
        <v>1064</v>
      </c>
      <c r="M3337" t="s">
        <v>2383</v>
      </c>
      <c r="N3337" s="15" t="s">
        <v>6878</v>
      </c>
    </row>
    <row r="3338" spans="1:14" x14ac:dyDescent="0.2">
      <c r="A3338" t="s">
        <v>4458</v>
      </c>
      <c r="B3338" t="s">
        <v>2360</v>
      </c>
      <c r="C3338" s="9">
        <v>45014</v>
      </c>
      <c r="D3338" t="s">
        <v>946</v>
      </c>
      <c r="E3338" s="13">
        <v>5511950</v>
      </c>
      <c r="F3338" s="13">
        <v>5550</v>
      </c>
      <c r="G3338" s="9">
        <v>45016</v>
      </c>
      <c r="H3338" t="s">
        <v>1111</v>
      </c>
      <c r="I3338" t="s">
        <v>2382</v>
      </c>
      <c r="J3338" s="13">
        <v>91773</v>
      </c>
      <c r="K3338">
        <v>1</v>
      </c>
      <c r="L3338" t="s">
        <v>1064</v>
      </c>
      <c r="M3338" t="s">
        <v>2383</v>
      </c>
      <c r="N3338" s="15" t="s">
        <v>6878</v>
      </c>
    </row>
    <row r="3339" spans="1:14" x14ac:dyDescent="0.2">
      <c r="A3339" t="s">
        <v>4459</v>
      </c>
      <c r="B3339" t="s">
        <v>2360</v>
      </c>
      <c r="C3339" s="9">
        <v>45015</v>
      </c>
      <c r="D3339" t="s">
        <v>981</v>
      </c>
      <c r="E3339" s="13">
        <v>1707750</v>
      </c>
      <c r="F3339" s="13">
        <v>27750</v>
      </c>
      <c r="G3339" s="9">
        <v>45015</v>
      </c>
      <c r="H3339" t="s">
        <v>1063</v>
      </c>
      <c r="I3339" t="s">
        <v>4222</v>
      </c>
      <c r="J3339" s="13">
        <v>75824</v>
      </c>
      <c r="K3339">
        <v>1</v>
      </c>
      <c r="L3339" t="s">
        <v>1064</v>
      </c>
      <c r="M3339" t="s">
        <v>4223</v>
      </c>
      <c r="N3339" s="15" t="s">
        <v>6878</v>
      </c>
    </row>
    <row r="3340" spans="1:14" x14ac:dyDescent="0.2">
      <c r="A3340" t="s">
        <v>4460</v>
      </c>
      <c r="B3340" t="s">
        <v>2360</v>
      </c>
      <c r="C3340" s="9">
        <v>45015</v>
      </c>
      <c r="D3340" t="s">
        <v>981</v>
      </c>
      <c r="E3340" s="13">
        <v>1707750</v>
      </c>
      <c r="F3340" s="13">
        <v>27750</v>
      </c>
      <c r="G3340" s="9">
        <v>45015</v>
      </c>
      <c r="H3340" t="s">
        <v>1063</v>
      </c>
      <c r="I3340" t="s">
        <v>4222</v>
      </c>
      <c r="J3340" s="13">
        <v>75824</v>
      </c>
      <c r="K3340">
        <v>1</v>
      </c>
      <c r="L3340" t="s">
        <v>1064</v>
      </c>
      <c r="M3340" t="s">
        <v>4223</v>
      </c>
      <c r="N3340" s="15" t="s">
        <v>6878</v>
      </c>
    </row>
    <row r="3341" spans="1:14" x14ac:dyDescent="0.2">
      <c r="A3341" t="s">
        <v>4461</v>
      </c>
      <c r="B3341" t="s">
        <v>2360</v>
      </c>
      <c r="C3341" s="9">
        <v>45015</v>
      </c>
      <c r="D3341" t="s">
        <v>981</v>
      </c>
      <c r="E3341" s="13">
        <v>2537750</v>
      </c>
      <c r="F3341" s="13">
        <v>27750</v>
      </c>
      <c r="G3341" s="9">
        <v>45015</v>
      </c>
      <c r="H3341" t="s">
        <v>1063</v>
      </c>
      <c r="I3341" t="s">
        <v>4222</v>
      </c>
      <c r="J3341" s="13">
        <v>112676</v>
      </c>
      <c r="K3341">
        <v>1</v>
      </c>
      <c r="L3341" t="s">
        <v>1064</v>
      </c>
      <c r="M3341" t="s">
        <v>4223</v>
      </c>
      <c r="N3341" s="15" t="s">
        <v>6878</v>
      </c>
    </row>
    <row r="3342" spans="1:14" x14ac:dyDescent="0.2">
      <c r="A3342" t="s">
        <v>4462</v>
      </c>
      <c r="B3342" t="s">
        <v>2360</v>
      </c>
      <c r="C3342" s="9">
        <v>45015</v>
      </c>
      <c r="D3342" t="s">
        <v>981</v>
      </c>
      <c r="E3342" s="13">
        <v>2537750</v>
      </c>
      <c r="F3342" s="13">
        <v>27750</v>
      </c>
      <c r="G3342" s="9">
        <v>45015</v>
      </c>
      <c r="H3342" t="s">
        <v>1063</v>
      </c>
      <c r="I3342" t="s">
        <v>4222</v>
      </c>
      <c r="J3342" s="13">
        <v>112676</v>
      </c>
      <c r="K3342">
        <v>1</v>
      </c>
      <c r="L3342" t="s">
        <v>1064</v>
      </c>
      <c r="M3342" t="s">
        <v>4223</v>
      </c>
      <c r="N3342" s="15" t="s">
        <v>6878</v>
      </c>
    </row>
    <row r="3343" spans="1:14" x14ac:dyDescent="0.2">
      <c r="A3343" t="s">
        <v>4463</v>
      </c>
      <c r="B3343" t="s">
        <v>2360</v>
      </c>
      <c r="C3343" s="9">
        <v>45015</v>
      </c>
      <c r="D3343" t="s">
        <v>981</v>
      </c>
      <c r="E3343" s="13">
        <v>1707750</v>
      </c>
      <c r="F3343" s="13">
        <v>27750</v>
      </c>
      <c r="G3343" s="9">
        <v>45015</v>
      </c>
      <c r="H3343" t="s">
        <v>1063</v>
      </c>
      <c r="I3343" t="s">
        <v>4222</v>
      </c>
      <c r="J3343" s="13">
        <v>75824</v>
      </c>
      <c r="K3343">
        <v>1</v>
      </c>
      <c r="L3343" t="s">
        <v>1064</v>
      </c>
      <c r="M3343" t="s">
        <v>4223</v>
      </c>
      <c r="N3343" s="15" t="s">
        <v>6878</v>
      </c>
    </row>
    <row r="3344" spans="1:14" x14ac:dyDescent="0.2">
      <c r="A3344" t="s">
        <v>4464</v>
      </c>
      <c r="B3344" t="s">
        <v>2360</v>
      </c>
      <c r="C3344" s="9">
        <v>45015</v>
      </c>
      <c r="D3344" t="s">
        <v>981</v>
      </c>
      <c r="E3344" s="13">
        <v>1212750</v>
      </c>
      <c r="F3344" s="13">
        <v>27750</v>
      </c>
      <c r="G3344" s="9">
        <v>45015</v>
      </c>
      <c r="H3344" t="s">
        <v>1063</v>
      </c>
      <c r="I3344" t="s">
        <v>4222</v>
      </c>
      <c r="J3344" s="13">
        <v>53846</v>
      </c>
      <c r="K3344">
        <v>1</v>
      </c>
      <c r="L3344" t="s">
        <v>1064</v>
      </c>
      <c r="M3344" t="s">
        <v>4223</v>
      </c>
      <c r="N3344" s="15" t="s">
        <v>6878</v>
      </c>
    </row>
    <row r="3345" spans="1:14" x14ac:dyDescent="0.2">
      <c r="A3345" t="s">
        <v>4465</v>
      </c>
      <c r="B3345" t="s">
        <v>2360</v>
      </c>
      <c r="C3345" s="9">
        <v>45015</v>
      </c>
      <c r="D3345" t="s">
        <v>981</v>
      </c>
      <c r="E3345" s="13">
        <v>2537750</v>
      </c>
      <c r="F3345" s="13">
        <v>27750</v>
      </c>
      <c r="G3345" s="9">
        <v>45015</v>
      </c>
      <c r="H3345" t="s">
        <v>1063</v>
      </c>
      <c r="I3345" t="s">
        <v>4222</v>
      </c>
      <c r="J3345" s="13">
        <v>112676</v>
      </c>
      <c r="K3345">
        <v>1</v>
      </c>
      <c r="L3345" t="s">
        <v>1064</v>
      </c>
      <c r="M3345" t="s">
        <v>4223</v>
      </c>
      <c r="N3345" s="15" t="s">
        <v>6878</v>
      </c>
    </row>
    <row r="3346" spans="1:14" x14ac:dyDescent="0.2">
      <c r="A3346" t="s">
        <v>4466</v>
      </c>
      <c r="B3346" t="s">
        <v>2360</v>
      </c>
      <c r="C3346" s="9">
        <v>45015</v>
      </c>
      <c r="D3346" t="s">
        <v>981</v>
      </c>
      <c r="E3346" s="13">
        <v>1212750</v>
      </c>
      <c r="F3346" s="13">
        <v>27750</v>
      </c>
      <c r="G3346" s="9">
        <v>45015</v>
      </c>
      <c r="H3346" t="s">
        <v>1063</v>
      </c>
      <c r="I3346" t="s">
        <v>4222</v>
      </c>
      <c r="J3346" s="13">
        <v>53846</v>
      </c>
      <c r="K3346">
        <v>1</v>
      </c>
      <c r="L3346" t="s">
        <v>1064</v>
      </c>
      <c r="M3346" t="s">
        <v>4223</v>
      </c>
      <c r="N3346" s="15" t="s">
        <v>6878</v>
      </c>
    </row>
    <row r="3347" spans="1:14" x14ac:dyDescent="0.2">
      <c r="A3347" t="s">
        <v>4467</v>
      </c>
      <c r="B3347" t="s">
        <v>2360</v>
      </c>
      <c r="C3347" s="9">
        <v>45015</v>
      </c>
      <c r="D3347" t="s">
        <v>981</v>
      </c>
      <c r="E3347" s="13">
        <v>2537750</v>
      </c>
      <c r="F3347" s="13">
        <v>27750</v>
      </c>
      <c r="G3347" s="9">
        <v>45015</v>
      </c>
      <c r="H3347" t="s">
        <v>1063</v>
      </c>
      <c r="I3347" t="s">
        <v>4222</v>
      </c>
      <c r="J3347" s="13">
        <v>112676</v>
      </c>
      <c r="K3347">
        <v>1</v>
      </c>
      <c r="L3347" t="s">
        <v>1064</v>
      </c>
      <c r="M3347" t="s">
        <v>4223</v>
      </c>
      <c r="N3347" s="15" t="s">
        <v>6878</v>
      </c>
    </row>
    <row r="3348" spans="1:14" x14ac:dyDescent="0.2">
      <c r="A3348" t="s">
        <v>4468</v>
      </c>
      <c r="B3348" t="s">
        <v>2360</v>
      </c>
      <c r="C3348" s="9">
        <v>45015</v>
      </c>
      <c r="D3348" t="s">
        <v>981</v>
      </c>
      <c r="E3348" s="13">
        <v>2537750</v>
      </c>
      <c r="F3348" s="13">
        <v>27750</v>
      </c>
      <c r="G3348" s="9">
        <v>45015</v>
      </c>
      <c r="H3348" t="s">
        <v>1063</v>
      </c>
      <c r="I3348" t="s">
        <v>4222</v>
      </c>
      <c r="J3348" s="13">
        <v>112676</v>
      </c>
      <c r="K3348">
        <v>1</v>
      </c>
      <c r="L3348" t="s">
        <v>1064</v>
      </c>
      <c r="M3348" t="s">
        <v>4223</v>
      </c>
      <c r="N3348" s="15" t="s">
        <v>6878</v>
      </c>
    </row>
    <row r="3349" spans="1:14" x14ac:dyDescent="0.2">
      <c r="A3349" t="s">
        <v>4469</v>
      </c>
      <c r="B3349" t="s">
        <v>2360</v>
      </c>
      <c r="C3349" s="9">
        <v>45015</v>
      </c>
      <c r="D3349" t="s">
        <v>981</v>
      </c>
      <c r="E3349" s="13">
        <v>2537750</v>
      </c>
      <c r="F3349" s="13">
        <v>27750</v>
      </c>
      <c r="G3349" s="9">
        <v>45015</v>
      </c>
      <c r="H3349" t="s">
        <v>1063</v>
      </c>
      <c r="I3349" t="s">
        <v>4222</v>
      </c>
      <c r="J3349" s="13">
        <v>112676</v>
      </c>
      <c r="K3349">
        <v>1</v>
      </c>
      <c r="L3349" t="s">
        <v>1064</v>
      </c>
      <c r="M3349" t="s">
        <v>4223</v>
      </c>
      <c r="N3349" s="15" t="s">
        <v>6878</v>
      </c>
    </row>
    <row r="3350" spans="1:14" x14ac:dyDescent="0.2">
      <c r="A3350" t="s">
        <v>4470</v>
      </c>
      <c r="B3350" t="s">
        <v>2360</v>
      </c>
      <c r="C3350" s="9">
        <v>45015</v>
      </c>
      <c r="D3350" t="s">
        <v>981</v>
      </c>
      <c r="E3350" s="13">
        <v>2537750</v>
      </c>
      <c r="F3350" s="13">
        <v>27750</v>
      </c>
      <c r="G3350" s="9">
        <v>45015</v>
      </c>
      <c r="H3350" t="s">
        <v>1063</v>
      </c>
      <c r="I3350" t="s">
        <v>4222</v>
      </c>
      <c r="J3350" s="13">
        <v>112676</v>
      </c>
      <c r="K3350">
        <v>1</v>
      </c>
      <c r="L3350" t="s">
        <v>1064</v>
      </c>
      <c r="M3350" t="s">
        <v>4223</v>
      </c>
      <c r="N3350" s="15" t="s">
        <v>6878</v>
      </c>
    </row>
    <row r="3351" spans="1:14" x14ac:dyDescent="0.2">
      <c r="A3351" t="s">
        <v>4471</v>
      </c>
      <c r="B3351" t="s">
        <v>2360</v>
      </c>
      <c r="C3351" s="9">
        <v>45015</v>
      </c>
      <c r="D3351" t="s">
        <v>981</v>
      </c>
      <c r="E3351" s="13">
        <v>1932750</v>
      </c>
      <c r="F3351" s="13">
        <v>27750</v>
      </c>
      <c r="G3351" s="9">
        <v>45015</v>
      </c>
      <c r="H3351" t="s">
        <v>1063</v>
      </c>
      <c r="I3351" t="s">
        <v>4222</v>
      </c>
      <c r="J3351" s="13">
        <v>85814</v>
      </c>
      <c r="K3351">
        <v>1</v>
      </c>
      <c r="L3351" t="s">
        <v>1064</v>
      </c>
      <c r="M3351" t="s">
        <v>4223</v>
      </c>
      <c r="N3351" s="15" t="s">
        <v>6878</v>
      </c>
    </row>
    <row r="3352" spans="1:14" x14ac:dyDescent="0.2">
      <c r="A3352" t="s">
        <v>4472</v>
      </c>
      <c r="B3352" t="s">
        <v>2360</v>
      </c>
      <c r="C3352" s="9">
        <v>45015</v>
      </c>
      <c r="D3352" t="s">
        <v>981</v>
      </c>
      <c r="E3352" s="13">
        <v>3302750</v>
      </c>
      <c r="F3352" s="13">
        <v>27750</v>
      </c>
      <c r="G3352" s="9">
        <v>45015</v>
      </c>
      <c r="H3352" t="s">
        <v>1063</v>
      </c>
      <c r="I3352" t="s">
        <v>4222</v>
      </c>
      <c r="J3352" s="13">
        <v>146642</v>
      </c>
      <c r="K3352">
        <v>1</v>
      </c>
      <c r="L3352" t="s">
        <v>1064</v>
      </c>
      <c r="M3352" t="s">
        <v>4223</v>
      </c>
      <c r="N3352" s="15" t="s">
        <v>6878</v>
      </c>
    </row>
    <row r="3353" spans="1:14" x14ac:dyDescent="0.2">
      <c r="A3353" t="s">
        <v>4473</v>
      </c>
      <c r="B3353" t="s">
        <v>2360</v>
      </c>
      <c r="C3353" s="9">
        <v>45015</v>
      </c>
      <c r="D3353" t="s">
        <v>981</v>
      </c>
      <c r="E3353" s="13">
        <v>3302750</v>
      </c>
      <c r="F3353" s="13">
        <v>27750</v>
      </c>
      <c r="G3353" s="9">
        <v>45015</v>
      </c>
      <c r="H3353" t="s">
        <v>1063</v>
      </c>
      <c r="I3353" t="s">
        <v>4222</v>
      </c>
      <c r="J3353" s="13">
        <v>146642</v>
      </c>
      <c r="K3353">
        <v>1</v>
      </c>
      <c r="L3353" t="s">
        <v>1064</v>
      </c>
      <c r="M3353" t="s">
        <v>4223</v>
      </c>
      <c r="N3353" s="15" t="s">
        <v>6878</v>
      </c>
    </row>
    <row r="3354" spans="1:14" x14ac:dyDescent="0.2">
      <c r="A3354" t="s">
        <v>4474</v>
      </c>
      <c r="B3354" t="s">
        <v>2360</v>
      </c>
      <c r="C3354" s="9">
        <v>45015</v>
      </c>
      <c r="D3354" t="s">
        <v>981</v>
      </c>
      <c r="E3354" s="13">
        <v>1177750</v>
      </c>
      <c r="F3354" s="13">
        <v>27750</v>
      </c>
      <c r="G3354" s="9">
        <v>45015</v>
      </c>
      <c r="H3354" t="s">
        <v>1063</v>
      </c>
      <c r="I3354" t="s">
        <v>4222</v>
      </c>
      <c r="J3354" s="13">
        <v>52292</v>
      </c>
      <c r="K3354">
        <v>1</v>
      </c>
      <c r="L3354" t="s">
        <v>1064</v>
      </c>
      <c r="M3354" t="s">
        <v>4223</v>
      </c>
      <c r="N3354" s="15" t="s">
        <v>6878</v>
      </c>
    </row>
    <row r="3355" spans="1:14" x14ac:dyDescent="0.2">
      <c r="A3355" t="s">
        <v>4475</v>
      </c>
      <c r="B3355" t="s">
        <v>2360</v>
      </c>
      <c r="C3355" s="9">
        <v>45015</v>
      </c>
      <c r="D3355" t="s">
        <v>981</v>
      </c>
      <c r="E3355" s="13">
        <v>1707750</v>
      </c>
      <c r="F3355" s="13">
        <v>27750</v>
      </c>
      <c r="G3355" s="9">
        <v>45015</v>
      </c>
      <c r="H3355" t="s">
        <v>1063</v>
      </c>
      <c r="I3355" t="s">
        <v>4222</v>
      </c>
      <c r="J3355" s="13">
        <v>75824</v>
      </c>
      <c r="K3355">
        <v>1</v>
      </c>
      <c r="L3355" t="s">
        <v>1064</v>
      </c>
      <c r="M3355" t="s">
        <v>4223</v>
      </c>
      <c r="N3355" s="15" t="s">
        <v>6878</v>
      </c>
    </row>
    <row r="3356" spans="1:14" x14ac:dyDescent="0.2">
      <c r="A3356" t="s">
        <v>4476</v>
      </c>
      <c r="B3356" t="s">
        <v>2360</v>
      </c>
      <c r="C3356" s="9">
        <v>45015</v>
      </c>
      <c r="D3356" t="s">
        <v>981</v>
      </c>
      <c r="E3356" s="13">
        <v>1027750</v>
      </c>
      <c r="F3356" s="13">
        <v>27750</v>
      </c>
      <c r="G3356" s="9">
        <v>45015</v>
      </c>
      <c r="H3356" t="s">
        <v>1063</v>
      </c>
      <c r="I3356" t="s">
        <v>4222</v>
      </c>
      <c r="J3356" s="13">
        <v>45632</v>
      </c>
      <c r="K3356">
        <v>1</v>
      </c>
      <c r="L3356" t="s">
        <v>1064</v>
      </c>
      <c r="M3356" t="s">
        <v>4223</v>
      </c>
      <c r="N3356" s="15" t="s">
        <v>6878</v>
      </c>
    </row>
    <row r="3357" spans="1:14" x14ac:dyDescent="0.2">
      <c r="A3357" t="s">
        <v>4477</v>
      </c>
      <c r="B3357" t="s">
        <v>2360</v>
      </c>
      <c r="C3357" s="9">
        <v>45015</v>
      </c>
      <c r="D3357" t="s">
        <v>981</v>
      </c>
      <c r="E3357" s="13">
        <v>1905000</v>
      </c>
      <c r="F3357" s="13">
        <v>27750</v>
      </c>
      <c r="G3357" s="9">
        <v>45015</v>
      </c>
      <c r="H3357" t="s">
        <v>1063</v>
      </c>
      <c r="I3357" t="s">
        <v>4222</v>
      </c>
      <c r="J3357" s="13">
        <v>84582</v>
      </c>
      <c r="K3357">
        <v>1</v>
      </c>
      <c r="L3357" t="s">
        <v>1064</v>
      </c>
      <c r="M3357" t="s">
        <v>4223</v>
      </c>
      <c r="N3357" s="15" t="s">
        <v>6878</v>
      </c>
    </row>
    <row r="3358" spans="1:14" x14ac:dyDescent="0.2">
      <c r="A3358" t="s">
        <v>4478</v>
      </c>
      <c r="B3358" t="s">
        <v>2360</v>
      </c>
      <c r="C3358" s="9">
        <v>45015</v>
      </c>
      <c r="D3358" t="s">
        <v>981</v>
      </c>
      <c r="E3358" s="13">
        <v>1905000</v>
      </c>
      <c r="F3358" s="13">
        <v>27750</v>
      </c>
      <c r="G3358" s="9">
        <v>45015</v>
      </c>
      <c r="H3358" t="s">
        <v>1063</v>
      </c>
      <c r="I3358" t="s">
        <v>4222</v>
      </c>
      <c r="J3358" s="13">
        <v>84582</v>
      </c>
      <c r="K3358">
        <v>1</v>
      </c>
      <c r="L3358" t="s">
        <v>1064</v>
      </c>
      <c r="M3358" t="s">
        <v>4223</v>
      </c>
      <c r="N3358" s="15" t="s">
        <v>6878</v>
      </c>
    </row>
    <row r="3359" spans="1:14" x14ac:dyDescent="0.2">
      <c r="A3359" t="s">
        <v>4479</v>
      </c>
      <c r="B3359" t="s">
        <v>2360</v>
      </c>
      <c r="C3359" s="9">
        <v>45015</v>
      </c>
      <c r="D3359" t="s">
        <v>981</v>
      </c>
      <c r="E3359" s="13">
        <v>1905000</v>
      </c>
      <c r="F3359" s="13">
        <v>27750</v>
      </c>
      <c r="G3359" s="9">
        <v>45015</v>
      </c>
      <c r="H3359" t="s">
        <v>1063</v>
      </c>
      <c r="I3359" t="s">
        <v>4222</v>
      </c>
      <c r="J3359" s="13">
        <v>84582</v>
      </c>
      <c r="K3359">
        <v>1</v>
      </c>
      <c r="L3359" t="s">
        <v>1064</v>
      </c>
      <c r="M3359" t="s">
        <v>4223</v>
      </c>
      <c r="N3359" s="15" t="s">
        <v>6878</v>
      </c>
    </row>
    <row r="3360" spans="1:14" x14ac:dyDescent="0.2">
      <c r="A3360" t="s">
        <v>4480</v>
      </c>
      <c r="B3360" t="s">
        <v>2360</v>
      </c>
      <c r="C3360" s="9">
        <v>45015</v>
      </c>
      <c r="D3360" t="s">
        <v>981</v>
      </c>
      <c r="E3360" s="13">
        <v>1905000</v>
      </c>
      <c r="F3360" s="13">
        <v>27750</v>
      </c>
      <c r="G3360" s="9">
        <v>45015</v>
      </c>
      <c r="H3360" t="s">
        <v>1063</v>
      </c>
      <c r="I3360" t="s">
        <v>4222</v>
      </c>
      <c r="J3360" s="13">
        <v>84582</v>
      </c>
      <c r="K3360">
        <v>1</v>
      </c>
      <c r="L3360" t="s">
        <v>1064</v>
      </c>
      <c r="M3360" t="s">
        <v>4223</v>
      </c>
      <c r="N3360" s="15" t="s">
        <v>6878</v>
      </c>
    </row>
    <row r="3361" spans="1:14" x14ac:dyDescent="0.2">
      <c r="A3361" t="s">
        <v>4481</v>
      </c>
      <c r="B3361" t="s">
        <v>2360</v>
      </c>
      <c r="C3361" s="9">
        <v>45015</v>
      </c>
      <c r="D3361" t="s">
        <v>981</v>
      </c>
      <c r="E3361" s="13">
        <v>3275000</v>
      </c>
      <c r="F3361" s="13">
        <v>27750</v>
      </c>
      <c r="G3361" s="9">
        <v>45015</v>
      </c>
      <c r="H3361" t="s">
        <v>1063</v>
      </c>
      <c r="I3361" t="s">
        <v>4222</v>
      </c>
      <c r="J3361" s="13">
        <v>145410</v>
      </c>
      <c r="K3361">
        <v>1</v>
      </c>
      <c r="L3361" t="s">
        <v>1064</v>
      </c>
      <c r="M3361" t="s">
        <v>4223</v>
      </c>
      <c r="N3361" s="15" t="s">
        <v>6878</v>
      </c>
    </row>
    <row r="3362" spans="1:14" x14ac:dyDescent="0.2">
      <c r="A3362" t="s">
        <v>4482</v>
      </c>
      <c r="B3362" t="s">
        <v>2360</v>
      </c>
      <c r="C3362" s="9">
        <v>45015</v>
      </c>
      <c r="D3362" t="s">
        <v>981</v>
      </c>
      <c r="E3362" s="13">
        <v>1645000</v>
      </c>
      <c r="F3362" s="13">
        <v>27750</v>
      </c>
      <c r="G3362" s="9">
        <v>45015</v>
      </c>
      <c r="H3362" t="s">
        <v>1063</v>
      </c>
      <c r="I3362" t="s">
        <v>4222</v>
      </c>
      <c r="J3362" s="13">
        <v>73038</v>
      </c>
      <c r="K3362">
        <v>1</v>
      </c>
      <c r="L3362" t="s">
        <v>1064</v>
      </c>
      <c r="M3362" t="s">
        <v>4223</v>
      </c>
      <c r="N3362" s="15" t="s">
        <v>6878</v>
      </c>
    </row>
    <row r="3363" spans="1:14" x14ac:dyDescent="0.2">
      <c r="A3363" t="s">
        <v>4483</v>
      </c>
      <c r="B3363" t="s">
        <v>2360</v>
      </c>
      <c r="C3363" s="9">
        <v>45015</v>
      </c>
      <c r="D3363" t="s">
        <v>981</v>
      </c>
      <c r="E3363" s="13">
        <v>1905000</v>
      </c>
      <c r="F3363" s="13">
        <v>27750</v>
      </c>
      <c r="G3363" s="9">
        <v>45015</v>
      </c>
      <c r="H3363" t="s">
        <v>1063</v>
      </c>
      <c r="I3363" t="s">
        <v>4222</v>
      </c>
      <c r="J3363" s="13">
        <v>84582</v>
      </c>
      <c r="K3363">
        <v>1</v>
      </c>
      <c r="L3363" t="s">
        <v>1064</v>
      </c>
      <c r="M3363" t="s">
        <v>4223</v>
      </c>
      <c r="N3363" s="15" t="s">
        <v>6878</v>
      </c>
    </row>
    <row r="3364" spans="1:14" x14ac:dyDescent="0.2">
      <c r="A3364" t="s">
        <v>4484</v>
      </c>
      <c r="B3364" t="s">
        <v>2360</v>
      </c>
      <c r="C3364" s="9">
        <v>45015</v>
      </c>
      <c r="D3364" t="s">
        <v>981</v>
      </c>
      <c r="E3364" s="13">
        <v>3275000</v>
      </c>
      <c r="F3364" s="13">
        <v>27750</v>
      </c>
      <c r="G3364" s="9">
        <v>45015</v>
      </c>
      <c r="H3364" t="s">
        <v>1063</v>
      </c>
      <c r="I3364" t="s">
        <v>4222</v>
      </c>
      <c r="J3364" s="13">
        <v>145410</v>
      </c>
      <c r="K3364">
        <v>1</v>
      </c>
      <c r="L3364" t="s">
        <v>1064</v>
      </c>
      <c r="M3364" t="s">
        <v>4223</v>
      </c>
      <c r="N3364" s="15" t="s">
        <v>6878</v>
      </c>
    </row>
    <row r="3365" spans="1:14" x14ac:dyDescent="0.2">
      <c r="A3365" t="s">
        <v>4485</v>
      </c>
      <c r="B3365" t="s">
        <v>2360</v>
      </c>
      <c r="C3365" s="9">
        <v>45015</v>
      </c>
      <c r="D3365" t="s">
        <v>981</v>
      </c>
      <c r="E3365" s="13">
        <v>1150000</v>
      </c>
      <c r="F3365" s="13">
        <v>27750</v>
      </c>
      <c r="G3365" s="9">
        <v>45015</v>
      </c>
      <c r="H3365" t="s">
        <v>1063</v>
      </c>
      <c r="I3365" t="s">
        <v>4222</v>
      </c>
      <c r="J3365" s="13">
        <v>51060</v>
      </c>
      <c r="K3365">
        <v>1</v>
      </c>
      <c r="L3365" t="s">
        <v>1064</v>
      </c>
      <c r="M3365" t="s">
        <v>4223</v>
      </c>
      <c r="N3365" s="15" t="s">
        <v>6878</v>
      </c>
    </row>
    <row r="3366" spans="1:14" x14ac:dyDescent="0.2">
      <c r="A3366" t="s">
        <v>4486</v>
      </c>
      <c r="B3366" t="s">
        <v>2360</v>
      </c>
      <c r="C3366" s="9">
        <v>45015</v>
      </c>
      <c r="D3366" t="s">
        <v>981</v>
      </c>
      <c r="E3366" s="13">
        <v>2315000</v>
      </c>
      <c r="F3366" s="13">
        <v>27750</v>
      </c>
      <c r="G3366" s="9">
        <v>45015</v>
      </c>
      <c r="H3366" t="s">
        <v>1063</v>
      </c>
      <c r="I3366" t="s">
        <v>4222</v>
      </c>
      <c r="J3366" s="13">
        <v>102786</v>
      </c>
      <c r="K3366">
        <v>1</v>
      </c>
      <c r="L3366" t="s">
        <v>1064</v>
      </c>
      <c r="M3366" t="s">
        <v>4223</v>
      </c>
      <c r="N3366" s="15" t="s">
        <v>6878</v>
      </c>
    </row>
    <row r="3367" spans="1:14" x14ac:dyDescent="0.2">
      <c r="A3367" t="s">
        <v>4487</v>
      </c>
      <c r="B3367" t="s">
        <v>2360</v>
      </c>
      <c r="C3367" s="9">
        <v>45015</v>
      </c>
      <c r="D3367" t="s">
        <v>981</v>
      </c>
      <c r="E3367" s="13">
        <v>1080000</v>
      </c>
      <c r="F3367" s="13">
        <v>27750</v>
      </c>
      <c r="G3367" s="9">
        <v>45015</v>
      </c>
      <c r="H3367" t="s">
        <v>1063</v>
      </c>
      <c r="I3367" t="s">
        <v>4222</v>
      </c>
      <c r="J3367" s="13">
        <v>47952</v>
      </c>
      <c r="K3367">
        <v>1</v>
      </c>
      <c r="L3367" t="s">
        <v>1064</v>
      </c>
      <c r="M3367" t="s">
        <v>4223</v>
      </c>
      <c r="N3367" s="15" t="s">
        <v>6878</v>
      </c>
    </row>
    <row r="3368" spans="1:14" x14ac:dyDescent="0.2">
      <c r="A3368" t="s">
        <v>4488</v>
      </c>
      <c r="B3368" t="s">
        <v>2360</v>
      </c>
      <c r="C3368" s="9">
        <v>45015</v>
      </c>
      <c r="D3368" t="s">
        <v>946</v>
      </c>
      <c r="E3368" s="13">
        <v>1093073</v>
      </c>
      <c r="F3368" s="13">
        <v>5550</v>
      </c>
      <c r="G3368" s="9">
        <v>45016</v>
      </c>
      <c r="H3368" t="s">
        <v>1111</v>
      </c>
      <c r="I3368" t="s">
        <v>2382</v>
      </c>
      <c r="J3368" s="13">
        <v>18199</v>
      </c>
      <c r="K3368">
        <v>1</v>
      </c>
      <c r="L3368" t="s">
        <v>1064</v>
      </c>
      <c r="M3368" t="s">
        <v>2383</v>
      </c>
      <c r="N3368" s="15" t="s">
        <v>6878</v>
      </c>
    </row>
    <row r="3369" spans="1:14" x14ac:dyDescent="0.2">
      <c r="A3369" t="s">
        <v>4489</v>
      </c>
      <c r="B3369" t="s">
        <v>2360</v>
      </c>
      <c r="C3369" s="9">
        <v>45015</v>
      </c>
      <c r="D3369" t="s">
        <v>946</v>
      </c>
      <c r="E3369" s="13">
        <v>1093073</v>
      </c>
      <c r="F3369" s="13">
        <v>5550</v>
      </c>
      <c r="G3369" s="9">
        <v>45016</v>
      </c>
      <c r="H3369" t="s">
        <v>1111</v>
      </c>
      <c r="I3369" t="s">
        <v>2382</v>
      </c>
      <c r="J3369" s="13">
        <v>18199</v>
      </c>
      <c r="K3369">
        <v>1</v>
      </c>
      <c r="L3369" t="s">
        <v>1064</v>
      </c>
      <c r="M3369" t="s">
        <v>2383</v>
      </c>
      <c r="N3369" s="15" t="s">
        <v>6878</v>
      </c>
    </row>
    <row r="3370" spans="1:14" x14ac:dyDescent="0.2">
      <c r="A3370" t="s">
        <v>4490</v>
      </c>
      <c r="B3370" t="s">
        <v>2360</v>
      </c>
      <c r="C3370" s="9">
        <v>45015</v>
      </c>
      <c r="D3370" t="s">
        <v>946</v>
      </c>
      <c r="E3370" s="13">
        <v>1186146</v>
      </c>
      <c r="F3370" s="13">
        <v>5550</v>
      </c>
      <c r="G3370" s="9">
        <v>45023</v>
      </c>
      <c r="H3370" t="s">
        <v>1111</v>
      </c>
      <c r="I3370" t="s">
        <v>2382</v>
      </c>
      <c r="J3370" s="13">
        <v>19749</v>
      </c>
      <c r="K3370">
        <v>1</v>
      </c>
      <c r="L3370" t="s">
        <v>1064</v>
      </c>
      <c r="M3370" t="s">
        <v>2383</v>
      </c>
      <c r="N3370" s="15" t="s">
        <v>6878</v>
      </c>
    </row>
    <row r="3371" spans="1:14" x14ac:dyDescent="0.2">
      <c r="A3371" t="s">
        <v>4491</v>
      </c>
      <c r="B3371" t="s">
        <v>2360</v>
      </c>
      <c r="C3371" s="9">
        <v>45015</v>
      </c>
      <c r="D3371" t="s">
        <v>946</v>
      </c>
      <c r="E3371" s="13">
        <v>1093073</v>
      </c>
      <c r="F3371" s="13">
        <v>5550</v>
      </c>
      <c r="G3371" s="9">
        <v>45016</v>
      </c>
      <c r="H3371" t="s">
        <v>1111</v>
      </c>
      <c r="I3371" t="s">
        <v>2382</v>
      </c>
      <c r="J3371" s="13">
        <v>18199</v>
      </c>
      <c r="K3371">
        <v>1</v>
      </c>
      <c r="L3371" t="s">
        <v>1064</v>
      </c>
      <c r="M3371" t="s">
        <v>2383</v>
      </c>
      <c r="N3371" s="15" t="s">
        <v>6878</v>
      </c>
    </row>
    <row r="3372" spans="1:14" x14ac:dyDescent="0.2">
      <c r="A3372" t="s">
        <v>4492</v>
      </c>
      <c r="B3372" t="s">
        <v>2360</v>
      </c>
      <c r="C3372" s="9">
        <v>45015</v>
      </c>
      <c r="D3372" t="s">
        <v>946</v>
      </c>
      <c r="E3372" s="13">
        <v>979436</v>
      </c>
      <c r="F3372" s="13">
        <v>5550</v>
      </c>
      <c r="G3372" s="9">
        <v>45016</v>
      </c>
      <c r="H3372" t="s">
        <v>1111</v>
      </c>
      <c r="I3372" t="s">
        <v>2382</v>
      </c>
      <c r="J3372" s="13">
        <v>16307</v>
      </c>
      <c r="K3372">
        <v>1</v>
      </c>
      <c r="L3372" t="s">
        <v>1064</v>
      </c>
      <c r="M3372" t="s">
        <v>2383</v>
      </c>
      <c r="N3372" s="15" t="s">
        <v>6878</v>
      </c>
    </row>
    <row r="3373" spans="1:14" x14ac:dyDescent="0.2">
      <c r="A3373" t="s">
        <v>4493</v>
      </c>
      <c r="B3373" t="s">
        <v>2360</v>
      </c>
      <c r="C3373" s="9">
        <v>45015</v>
      </c>
      <c r="D3373" t="s">
        <v>946</v>
      </c>
      <c r="E3373" s="13">
        <v>2220000</v>
      </c>
      <c r="F3373" s="13">
        <v>5550</v>
      </c>
      <c r="G3373" s="9">
        <v>45023</v>
      </c>
      <c r="H3373" t="s">
        <v>1111</v>
      </c>
      <c r="I3373" t="s">
        <v>2382</v>
      </c>
      <c r="J3373" s="13">
        <v>36963</v>
      </c>
      <c r="K3373">
        <v>1</v>
      </c>
      <c r="L3373" t="s">
        <v>1064</v>
      </c>
      <c r="M3373" t="s">
        <v>2383</v>
      </c>
      <c r="N3373" s="15" t="s">
        <v>6878</v>
      </c>
    </row>
    <row r="3374" spans="1:14" x14ac:dyDescent="0.2">
      <c r="A3374" t="s">
        <v>4494</v>
      </c>
      <c r="B3374" t="s">
        <v>2360</v>
      </c>
      <c r="C3374" s="9">
        <v>45015</v>
      </c>
      <c r="D3374" t="s">
        <v>946</v>
      </c>
      <c r="E3374" s="13">
        <v>1031384</v>
      </c>
      <c r="F3374" s="13">
        <v>5550</v>
      </c>
      <c r="G3374" s="9">
        <v>45016</v>
      </c>
      <c r="H3374" t="s">
        <v>1111</v>
      </c>
      <c r="I3374" t="s">
        <v>2382</v>
      </c>
      <c r="J3374" s="13">
        <v>17171</v>
      </c>
      <c r="K3374">
        <v>1</v>
      </c>
      <c r="L3374" t="s">
        <v>1064</v>
      </c>
      <c r="M3374" t="s">
        <v>2383</v>
      </c>
      <c r="N3374" s="15" t="s">
        <v>6878</v>
      </c>
    </row>
    <row r="3375" spans="1:14" x14ac:dyDescent="0.2">
      <c r="A3375" t="s">
        <v>4495</v>
      </c>
      <c r="B3375" t="s">
        <v>2360</v>
      </c>
      <c r="C3375" s="9">
        <v>45015</v>
      </c>
      <c r="D3375" t="s">
        <v>946</v>
      </c>
      <c r="E3375" s="13">
        <v>1031384</v>
      </c>
      <c r="F3375" s="13">
        <v>5550</v>
      </c>
      <c r="G3375" s="9">
        <v>45016</v>
      </c>
      <c r="H3375" t="s">
        <v>1111</v>
      </c>
      <c r="I3375" t="s">
        <v>2382</v>
      </c>
      <c r="J3375" s="13">
        <v>17171</v>
      </c>
      <c r="K3375">
        <v>1</v>
      </c>
      <c r="L3375" t="s">
        <v>1064</v>
      </c>
      <c r="M3375" t="s">
        <v>2383</v>
      </c>
      <c r="N3375" s="15" t="s">
        <v>6878</v>
      </c>
    </row>
    <row r="3376" spans="1:14" x14ac:dyDescent="0.2">
      <c r="A3376" t="s">
        <v>4496</v>
      </c>
      <c r="B3376" t="s">
        <v>2360</v>
      </c>
      <c r="C3376" s="9">
        <v>45015</v>
      </c>
      <c r="D3376" t="s">
        <v>946</v>
      </c>
      <c r="E3376" s="13">
        <v>1031384</v>
      </c>
      <c r="F3376" s="13">
        <v>5550</v>
      </c>
      <c r="G3376" s="9">
        <v>45016</v>
      </c>
      <c r="H3376" t="s">
        <v>1111</v>
      </c>
      <c r="I3376" t="s">
        <v>2382</v>
      </c>
      <c r="J3376" s="13">
        <v>17171</v>
      </c>
      <c r="K3376">
        <v>1</v>
      </c>
      <c r="L3376" t="s">
        <v>1064</v>
      </c>
      <c r="M3376" t="s">
        <v>2383</v>
      </c>
      <c r="N3376" s="15" t="s">
        <v>6878</v>
      </c>
    </row>
    <row r="3377" spans="1:14" x14ac:dyDescent="0.2">
      <c r="A3377" t="s">
        <v>4497</v>
      </c>
      <c r="B3377" t="s">
        <v>2360</v>
      </c>
      <c r="C3377" s="9">
        <v>45015</v>
      </c>
      <c r="D3377" t="s">
        <v>981</v>
      </c>
      <c r="E3377" s="13">
        <v>1905000</v>
      </c>
      <c r="F3377" s="13">
        <v>27750</v>
      </c>
      <c r="G3377" s="9">
        <v>45015</v>
      </c>
      <c r="H3377" t="s">
        <v>1063</v>
      </c>
      <c r="I3377" t="s">
        <v>4222</v>
      </c>
      <c r="J3377" s="13">
        <v>84582</v>
      </c>
      <c r="K3377">
        <v>1</v>
      </c>
      <c r="L3377" t="s">
        <v>1064</v>
      </c>
      <c r="M3377" t="s">
        <v>4223</v>
      </c>
      <c r="N3377" s="15" t="s">
        <v>6878</v>
      </c>
    </row>
    <row r="3378" spans="1:14" x14ac:dyDescent="0.2">
      <c r="A3378" t="s">
        <v>4498</v>
      </c>
      <c r="B3378" t="s">
        <v>2360</v>
      </c>
      <c r="C3378" s="9">
        <v>45015</v>
      </c>
      <c r="D3378" t="s">
        <v>946</v>
      </c>
      <c r="E3378" s="13">
        <v>1134198</v>
      </c>
      <c r="F3378" s="13">
        <v>5550</v>
      </c>
      <c r="G3378" s="9">
        <v>45016</v>
      </c>
      <c r="H3378" t="s">
        <v>1111</v>
      </c>
      <c r="I3378" t="s">
        <v>2382</v>
      </c>
      <c r="J3378" s="13">
        <v>18883</v>
      </c>
      <c r="K3378">
        <v>1</v>
      </c>
      <c r="L3378" t="s">
        <v>1064</v>
      </c>
      <c r="M3378" t="s">
        <v>2383</v>
      </c>
      <c r="N3378" s="15" t="s">
        <v>6878</v>
      </c>
    </row>
    <row r="3379" spans="1:14" x14ac:dyDescent="0.2">
      <c r="A3379" t="s">
        <v>4499</v>
      </c>
      <c r="B3379" t="s">
        <v>2360</v>
      </c>
      <c r="C3379" s="9">
        <v>45015</v>
      </c>
      <c r="D3379" t="s">
        <v>946</v>
      </c>
      <c r="E3379" s="13">
        <v>1134198</v>
      </c>
      <c r="F3379" s="13">
        <v>5550</v>
      </c>
      <c r="G3379" s="9">
        <v>45016</v>
      </c>
      <c r="H3379" t="s">
        <v>1111</v>
      </c>
      <c r="I3379" t="s">
        <v>2382</v>
      </c>
      <c r="J3379" s="13">
        <v>18883</v>
      </c>
      <c r="K3379">
        <v>1</v>
      </c>
      <c r="L3379" t="s">
        <v>1064</v>
      </c>
      <c r="M3379" t="s">
        <v>2383</v>
      </c>
      <c r="N3379" s="15" t="s">
        <v>6878</v>
      </c>
    </row>
    <row r="3380" spans="1:14" x14ac:dyDescent="0.2">
      <c r="A3380" t="s">
        <v>4500</v>
      </c>
      <c r="B3380" t="s">
        <v>2360</v>
      </c>
      <c r="C3380" s="9">
        <v>45015</v>
      </c>
      <c r="D3380" t="s">
        <v>946</v>
      </c>
      <c r="E3380" s="13">
        <v>1134198</v>
      </c>
      <c r="F3380" s="13">
        <v>5550</v>
      </c>
      <c r="G3380" s="9">
        <v>45016</v>
      </c>
      <c r="H3380" t="s">
        <v>1111</v>
      </c>
      <c r="I3380" t="s">
        <v>2382</v>
      </c>
      <c r="J3380" s="13">
        <v>18883</v>
      </c>
      <c r="K3380">
        <v>1</v>
      </c>
      <c r="L3380" t="s">
        <v>1064</v>
      </c>
      <c r="M3380" t="s">
        <v>2383</v>
      </c>
      <c r="N3380" s="15" t="s">
        <v>6878</v>
      </c>
    </row>
    <row r="3381" spans="1:14" x14ac:dyDescent="0.2">
      <c r="A3381" t="s">
        <v>4501</v>
      </c>
      <c r="B3381" t="s">
        <v>2360</v>
      </c>
      <c r="C3381" s="9">
        <v>45015</v>
      </c>
      <c r="D3381" t="s">
        <v>946</v>
      </c>
      <c r="E3381" s="13">
        <v>1134198</v>
      </c>
      <c r="F3381" s="13">
        <v>5550</v>
      </c>
      <c r="G3381" s="9">
        <v>45016</v>
      </c>
      <c r="H3381" t="s">
        <v>1111</v>
      </c>
      <c r="I3381" t="s">
        <v>2382</v>
      </c>
      <c r="J3381" s="13">
        <v>18883</v>
      </c>
      <c r="K3381">
        <v>1</v>
      </c>
      <c r="L3381" t="s">
        <v>1064</v>
      </c>
      <c r="M3381" t="s">
        <v>2383</v>
      </c>
      <c r="N3381" s="15" t="s">
        <v>6878</v>
      </c>
    </row>
    <row r="3382" spans="1:14" x14ac:dyDescent="0.2">
      <c r="A3382" t="s">
        <v>4502</v>
      </c>
      <c r="B3382" t="s">
        <v>2360</v>
      </c>
      <c r="C3382" s="9">
        <v>45015</v>
      </c>
      <c r="D3382" t="s">
        <v>946</v>
      </c>
      <c r="E3382" s="13">
        <v>21720328</v>
      </c>
      <c r="F3382" s="13">
        <v>5550</v>
      </c>
      <c r="G3382" s="9">
        <v>45023</v>
      </c>
      <c r="H3382" t="s">
        <v>1111</v>
      </c>
      <c r="I3382" t="s">
        <v>2382</v>
      </c>
      <c r="J3382" s="13">
        <v>361642</v>
      </c>
      <c r="K3382">
        <v>1</v>
      </c>
      <c r="L3382" t="s">
        <v>1064</v>
      </c>
      <c r="M3382" t="s">
        <v>2383</v>
      </c>
      <c r="N3382" s="15" t="s">
        <v>6878</v>
      </c>
    </row>
    <row r="3383" spans="1:14" x14ac:dyDescent="0.2">
      <c r="A3383" t="s">
        <v>4503</v>
      </c>
      <c r="B3383" t="s">
        <v>2360</v>
      </c>
      <c r="C3383" s="9">
        <v>45015</v>
      </c>
      <c r="D3383" t="s">
        <v>946</v>
      </c>
      <c r="E3383" s="13">
        <v>900000</v>
      </c>
      <c r="F3383" s="13">
        <v>5550</v>
      </c>
      <c r="G3383" s="9">
        <v>45023</v>
      </c>
      <c r="H3383" t="s">
        <v>1111</v>
      </c>
      <c r="I3383" t="s">
        <v>2382</v>
      </c>
      <c r="J3383" s="13">
        <v>14985</v>
      </c>
      <c r="K3383">
        <v>1</v>
      </c>
      <c r="L3383" t="s">
        <v>1064</v>
      </c>
      <c r="M3383" t="s">
        <v>2383</v>
      </c>
      <c r="N3383" s="15" t="s">
        <v>6878</v>
      </c>
    </row>
    <row r="3384" spans="1:14" x14ac:dyDescent="0.2">
      <c r="A3384" t="s">
        <v>4504</v>
      </c>
      <c r="B3384" t="s">
        <v>2360</v>
      </c>
      <c r="C3384" s="9">
        <v>45015</v>
      </c>
      <c r="D3384" t="s">
        <v>946</v>
      </c>
      <c r="E3384" s="13">
        <v>12650000</v>
      </c>
      <c r="F3384" s="13">
        <v>5550</v>
      </c>
      <c r="G3384" s="9">
        <v>45030</v>
      </c>
      <c r="H3384" t="s">
        <v>1111</v>
      </c>
      <c r="I3384" t="s">
        <v>2382</v>
      </c>
      <c r="J3384" s="13">
        <v>631867</v>
      </c>
      <c r="K3384">
        <v>1</v>
      </c>
      <c r="L3384" t="s">
        <v>1064</v>
      </c>
      <c r="M3384" t="s">
        <v>2383</v>
      </c>
      <c r="N3384" s="15" t="s">
        <v>6878</v>
      </c>
    </row>
    <row r="3385" spans="1:14" x14ac:dyDescent="0.2">
      <c r="A3385" t="s">
        <v>4505</v>
      </c>
      <c r="B3385" t="s">
        <v>2360</v>
      </c>
      <c r="C3385" s="9">
        <v>45015</v>
      </c>
      <c r="D3385" t="s">
        <v>946</v>
      </c>
      <c r="E3385" s="13">
        <v>909841</v>
      </c>
      <c r="F3385" s="13">
        <v>5550</v>
      </c>
      <c r="G3385" s="9">
        <v>45016</v>
      </c>
      <c r="H3385" t="s">
        <v>1111</v>
      </c>
      <c r="I3385" t="s">
        <v>2382</v>
      </c>
      <c r="J3385" s="13">
        <v>15148</v>
      </c>
      <c r="K3385">
        <v>1</v>
      </c>
      <c r="L3385" t="s">
        <v>1064</v>
      </c>
      <c r="M3385" t="s">
        <v>2383</v>
      </c>
      <c r="N3385" s="15" t="s">
        <v>6878</v>
      </c>
    </row>
    <row r="3386" spans="1:14" x14ac:dyDescent="0.2">
      <c r="A3386" t="s">
        <v>4506</v>
      </c>
      <c r="B3386" t="s">
        <v>2360</v>
      </c>
      <c r="C3386" s="9">
        <v>45015</v>
      </c>
      <c r="D3386" t="s">
        <v>946</v>
      </c>
      <c r="E3386" s="13">
        <v>19088656</v>
      </c>
      <c r="F3386" s="13">
        <v>5550</v>
      </c>
      <c r="G3386" s="9">
        <v>45016</v>
      </c>
      <c r="H3386" t="s">
        <v>1111</v>
      </c>
      <c r="I3386" t="s">
        <v>2382</v>
      </c>
      <c r="J3386" s="13">
        <v>317825</v>
      </c>
      <c r="K3386">
        <v>1</v>
      </c>
      <c r="L3386" t="s">
        <v>1064</v>
      </c>
      <c r="M3386" t="s">
        <v>2383</v>
      </c>
      <c r="N3386" s="15" t="s">
        <v>6878</v>
      </c>
    </row>
    <row r="3387" spans="1:14" x14ac:dyDescent="0.2">
      <c r="A3387" t="s">
        <v>4507</v>
      </c>
      <c r="B3387" t="s">
        <v>2360</v>
      </c>
      <c r="C3387" s="9">
        <v>45015</v>
      </c>
      <c r="D3387" t="s">
        <v>946</v>
      </c>
      <c r="E3387" s="13">
        <v>23680440</v>
      </c>
      <c r="F3387" s="13">
        <v>5550</v>
      </c>
      <c r="G3387" s="9">
        <v>45016</v>
      </c>
      <c r="H3387" t="s">
        <v>1111</v>
      </c>
      <c r="I3387" t="s">
        <v>2382</v>
      </c>
      <c r="J3387" s="13">
        <v>394278</v>
      </c>
      <c r="K3387">
        <v>1</v>
      </c>
      <c r="L3387" t="s">
        <v>1064</v>
      </c>
      <c r="M3387" t="s">
        <v>2383</v>
      </c>
      <c r="N3387" s="15" t="s">
        <v>6878</v>
      </c>
    </row>
    <row r="3388" spans="1:14" x14ac:dyDescent="0.2">
      <c r="A3388" t="s">
        <v>4508</v>
      </c>
      <c r="B3388" t="s">
        <v>2360</v>
      </c>
      <c r="C3388" s="9">
        <v>45015</v>
      </c>
      <c r="D3388" t="s">
        <v>981</v>
      </c>
      <c r="E3388" s="13">
        <v>1905000</v>
      </c>
      <c r="F3388" s="13">
        <v>27750</v>
      </c>
      <c r="G3388" s="9">
        <v>45015</v>
      </c>
      <c r="H3388" t="s">
        <v>1063</v>
      </c>
      <c r="I3388" t="s">
        <v>4222</v>
      </c>
      <c r="J3388" s="13">
        <v>84582</v>
      </c>
      <c r="K3388">
        <v>1</v>
      </c>
      <c r="L3388" t="s">
        <v>1064</v>
      </c>
      <c r="M3388" t="s">
        <v>4223</v>
      </c>
      <c r="N3388" s="15" t="s">
        <v>6878</v>
      </c>
    </row>
    <row r="3389" spans="1:14" x14ac:dyDescent="0.2">
      <c r="A3389" t="s">
        <v>4509</v>
      </c>
      <c r="B3389" t="s">
        <v>2360</v>
      </c>
      <c r="C3389" s="9">
        <v>45015</v>
      </c>
      <c r="D3389" t="s">
        <v>946</v>
      </c>
      <c r="E3389" s="13">
        <v>14987891</v>
      </c>
      <c r="F3389" s="13">
        <v>5550</v>
      </c>
      <c r="G3389" s="9">
        <v>45023</v>
      </c>
      <c r="H3389" t="s">
        <v>1111</v>
      </c>
      <c r="I3389" t="s">
        <v>2382</v>
      </c>
      <c r="J3389" s="13">
        <v>249547</v>
      </c>
      <c r="K3389">
        <v>1</v>
      </c>
      <c r="L3389" t="s">
        <v>1064</v>
      </c>
      <c r="M3389" t="s">
        <v>2383</v>
      </c>
      <c r="N3389" s="15" t="s">
        <v>6878</v>
      </c>
    </row>
    <row r="3390" spans="1:14" x14ac:dyDescent="0.2">
      <c r="A3390" t="s">
        <v>4510</v>
      </c>
      <c r="B3390" t="s">
        <v>2360</v>
      </c>
      <c r="C3390" s="9">
        <v>45015</v>
      </c>
      <c r="D3390" t="s">
        <v>946</v>
      </c>
      <c r="E3390" s="13">
        <v>24925320</v>
      </c>
      <c r="F3390" s="13">
        <v>5550</v>
      </c>
      <c r="G3390" s="9">
        <v>45023</v>
      </c>
      <c r="H3390" t="s">
        <v>1111</v>
      </c>
      <c r="I3390" t="s">
        <v>2382</v>
      </c>
      <c r="J3390" s="13">
        <v>415005</v>
      </c>
      <c r="K3390">
        <v>1</v>
      </c>
      <c r="L3390" t="s">
        <v>1064</v>
      </c>
      <c r="M3390" t="s">
        <v>2383</v>
      </c>
      <c r="N3390" s="15" t="s">
        <v>6878</v>
      </c>
    </row>
    <row r="3391" spans="1:14" x14ac:dyDescent="0.2">
      <c r="A3391" t="s">
        <v>4511</v>
      </c>
      <c r="B3391" t="s">
        <v>2360</v>
      </c>
      <c r="C3391" s="9">
        <v>45015</v>
      </c>
      <c r="D3391" t="s">
        <v>946</v>
      </c>
      <c r="E3391" s="13">
        <v>24007500</v>
      </c>
      <c r="F3391" s="13">
        <v>5550</v>
      </c>
      <c r="G3391" s="9">
        <v>45023</v>
      </c>
      <c r="H3391" t="s">
        <v>1111</v>
      </c>
      <c r="I3391" t="s">
        <v>2382</v>
      </c>
      <c r="J3391" s="13">
        <v>399724</v>
      </c>
      <c r="K3391">
        <v>1</v>
      </c>
      <c r="L3391" t="s">
        <v>1064</v>
      </c>
      <c r="M3391" t="s">
        <v>2383</v>
      </c>
      <c r="N3391" s="15" t="s">
        <v>6878</v>
      </c>
    </row>
    <row r="3392" spans="1:14" x14ac:dyDescent="0.2">
      <c r="A3392" t="s">
        <v>4512</v>
      </c>
      <c r="B3392" t="s">
        <v>2360</v>
      </c>
      <c r="C3392" s="9">
        <v>45015</v>
      </c>
      <c r="D3392" t="s">
        <v>981</v>
      </c>
      <c r="E3392" s="13">
        <v>1905000</v>
      </c>
      <c r="F3392" s="13">
        <v>27750</v>
      </c>
      <c r="G3392" s="9">
        <v>45015</v>
      </c>
      <c r="H3392" t="s">
        <v>1063</v>
      </c>
      <c r="I3392" t="s">
        <v>4222</v>
      </c>
      <c r="J3392" s="13">
        <v>84582</v>
      </c>
      <c r="K3392">
        <v>1</v>
      </c>
      <c r="L3392" t="s">
        <v>1064</v>
      </c>
      <c r="M3392" t="s">
        <v>4223</v>
      </c>
      <c r="N3392" s="15" t="s">
        <v>6878</v>
      </c>
    </row>
    <row r="3393" spans="1:14" x14ac:dyDescent="0.2">
      <c r="A3393" t="s">
        <v>4513</v>
      </c>
      <c r="B3393" t="s">
        <v>2360</v>
      </c>
      <c r="C3393" s="9">
        <v>45015</v>
      </c>
      <c r="D3393" t="s">
        <v>981</v>
      </c>
      <c r="E3393" s="13">
        <v>1680000</v>
      </c>
      <c r="F3393" s="13">
        <v>27750</v>
      </c>
      <c r="G3393" s="9">
        <v>45015</v>
      </c>
      <c r="H3393" t="s">
        <v>1063</v>
      </c>
      <c r="I3393" t="s">
        <v>4222</v>
      </c>
      <c r="J3393" s="13">
        <v>74592</v>
      </c>
      <c r="K3393">
        <v>1</v>
      </c>
      <c r="L3393" t="s">
        <v>1064</v>
      </c>
      <c r="M3393" t="s">
        <v>4223</v>
      </c>
      <c r="N3393" s="15" t="s">
        <v>6878</v>
      </c>
    </row>
    <row r="3394" spans="1:14" x14ac:dyDescent="0.2">
      <c r="A3394" t="s">
        <v>4514</v>
      </c>
      <c r="B3394" t="s">
        <v>2360</v>
      </c>
      <c r="C3394" s="9">
        <v>45015</v>
      </c>
      <c r="D3394" t="s">
        <v>981</v>
      </c>
      <c r="E3394" s="13">
        <v>1680000</v>
      </c>
      <c r="F3394" s="13">
        <v>27750</v>
      </c>
      <c r="G3394" s="9">
        <v>45015</v>
      </c>
      <c r="H3394" t="s">
        <v>1063</v>
      </c>
      <c r="I3394" t="s">
        <v>4222</v>
      </c>
      <c r="J3394" s="13">
        <v>74592</v>
      </c>
      <c r="K3394">
        <v>1</v>
      </c>
      <c r="L3394" t="s">
        <v>1064</v>
      </c>
      <c r="M3394" t="s">
        <v>4223</v>
      </c>
      <c r="N3394" s="15" t="s">
        <v>6878</v>
      </c>
    </row>
    <row r="3395" spans="1:14" x14ac:dyDescent="0.2">
      <c r="A3395" t="s">
        <v>4515</v>
      </c>
      <c r="B3395" t="s">
        <v>2360</v>
      </c>
      <c r="C3395" s="9">
        <v>45015</v>
      </c>
      <c r="D3395" t="s">
        <v>981</v>
      </c>
      <c r="E3395" s="13">
        <v>2195000</v>
      </c>
      <c r="F3395" s="13">
        <v>27750</v>
      </c>
      <c r="G3395" s="9">
        <v>45015</v>
      </c>
      <c r="H3395" t="s">
        <v>1063</v>
      </c>
      <c r="I3395" t="s">
        <v>4222</v>
      </c>
      <c r="J3395" s="13">
        <v>97458</v>
      </c>
      <c r="K3395">
        <v>1</v>
      </c>
      <c r="L3395" t="s">
        <v>1064</v>
      </c>
      <c r="M3395" t="s">
        <v>4223</v>
      </c>
      <c r="N3395" s="15" t="s">
        <v>6878</v>
      </c>
    </row>
    <row r="3396" spans="1:14" x14ac:dyDescent="0.2">
      <c r="A3396" t="s">
        <v>4516</v>
      </c>
      <c r="B3396" t="s">
        <v>2360</v>
      </c>
      <c r="C3396" s="9">
        <v>45015</v>
      </c>
      <c r="D3396" t="s">
        <v>981</v>
      </c>
      <c r="E3396" s="13">
        <v>2510000</v>
      </c>
      <c r="F3396" s="13">
        <v>27750</v>
      </c>
      <c r="G3396" s="9">
        <v>45015</v>
      </c>
      <c r="H3396" t="s">
        <v>1063</v>
      </c>
      <c r="I3396" t="s">
        <v>4222</v>
      </c>
      <c r="J3396" s="13">
        <v>111444</v>
      </c>
      <c r="K3396">
        <v>1</v>
      </c>
      <c r="L3396" t="s">
        <v>1064</v>
      </c>
      <c r="M3396" t="s">
        <v>4223</v>
      </c>
      <c r="N3396" s="15" t="s">
        <v>6878</v>
      </c>
    </row>
    <row r="3397" spans="1:14" x14ac:dyDescent="0.2">
      <c r="A3397" t="s">
        <v>4517</v>
      </c>
      <c r="B3397" t="s">
        <v>2360</v>
      </c>
      <c r="C3397" s="9">
        <v>45015</v>
      </c>
      <c r="D3397" t="s">
        <v>981</v>
      </c>
      <c r="E3397" s="13">
        <v>1905000</v>
      </c>
      <c r="F3397" s="13">
        <v>27750</v>
      </c>
      <c r="G3397" s="9">
        <v>45015</v>
      </c>
      <c r="H3397" t="s">
        <v>1063</v>
      </c>
      <c r="I3397" t="s">
        <v>4222</v>
      </c>
      <c r="J3397" s="13">
        <v>84582</v>
      </c>
      <c r="K3397">
        <v>1</v>
      </c>
      <c r="L3397" t="s">
        <v>1064</v>
      </c>
      <c r="M3397" t="s">
        <v>4223</v>
      </c>
      <c r="N3397" s="15" t="s">
        <v>6878</v>
      </c>
    </row>
    <row r="3398" spans="1:14" x14ac:dyDescent="0.2">
      <c r="A3398" t="s">
        <v>4518</v>
      </c>
      <c r="B3398" t="s">
        <v>2360</v>
      </c>
      <c r="C3398" s="9">
        <v>45015</v>
      </c>
      <c r="D3398" t="s">
        <v>981</v>
      </c>
      <c r="E3398" s="13">
        <v>2195000</v>
      </c>
      <c r="F3398" s="13">
        <v>27750</v>
      </c>
      <c r="G3398" s="9">
        <v>45015</v>
      </c>
      <c r="H3398" t="s">
        <v>1063</v>
      </c>
      <c r="I3398" t="s">
        <v>4222</v>
      </c>
      <c r="J3398" s="13">
        <v>97458</v>
      </c>
      <c r="K3398">
        <v>1</v>
      </c>
      <c r="L3398" t="s">
        <v>1064</v>
      </c>
      <c r="M3398" t="s">
        <v>4223</v>
      </c>
      <c r="N3398" s="15" t="s">
        <v>6878</v>
      </c>
    </row>
    <row r="3399" spans="1:14" x14ac:dyDescent="0.2">
      <c r="A3399" t="s">
        <v>4519</v>
      </c>
      <c r="B3399" t="s">
        <v>2360</v>
      </c>
      <c r="C3399" s="9">
        <v>45015</v>
      </c>
      <c r="D3399" t="s">
        <v>981</v>
      </c>
      <c r="E3399" s="13">
        <v>2195000</v>
      </c>
      <c r="F3399" s="13">
        <v>27750</v>
      </c>
      <c r="G3399" s="9">
        <v>45015</v>
      </c>
      <c r="H3399" t="s">
        <v>1063</v>
      </c>
      <c r="I3399" t="s">
        <v>4222</v>
      </c>
      <c r="J3399" s="13">
        <v>97458</v>
      </c>
      <c r="K3399">
        <v>1</v>
      </c>
      <c r="L3399" t="s">
        <v>1064</v>
      </c>
      <c r="M3399" t="s">
        <v>4223</v>
      </c>
      <c r="N3399" s="15" t="s">
        <v>6878</v>
      </c>
    </row>
    <row r="3400" spans="1:14" x14ac:dyDescent="0.2">
      <c r="A3400" t="s">
        <v>4520</v>
      </c>
      <c r="B3400" t="s">
        <v>2360</v>
      </c>
      <c r="C3400" s="9">
        <v>45015</v>
      </c>
      <c r="D3400" t="s">
        <v>981</v>
      </c>
      <c r="E3400" s="13">
        <v>2510000</v>
      </c>
      <c r="F3400" s="13">
        <v>27750</v>
      </c>
      <c r="G3400" s="9">
        <v>45015</v>
      </c>
      <c r="H3400" t="s">
        <v>1063</v>
      </c>
      <c r="I3400" t="s">
        <v>4222</v>
      </c>
      <c r="J3400" s="13">
        <v>111444</v>
      </c>
      <c r="K3400">
        <v>1</v>
      </c>
      <c r="L3400" t="s">
        <v>1064</v>
      </c>
      <c r="M3400" t="s">
        <v>4223</v>
      </c>
      <c r="N3400" s="15" t="s">
        <v>6878</v>
      </c>
    </row>
    <row r="3401" spans="1:14" x14ac:dyDescent="0.2">
      <c r="A3401" t="s">
        <v>4521</v>
      </c>
      <c r="B3401" t="s">
        <v>2360</v>
      </c>
      <c r="C3401" s="9">
        <v>45015</v>
      </c>
      <c r="D3401" t="s">
        <v>981</v>
      </c>
      <c r="E3401" s="13">
        <v>1950000</v>
      </c>
      <c r="F3401" s="13">
        <v>27750</v>
      </c>
      <c r="G3401" s="9">
        <v>45015</v>
      </c>
      <c r="H3401" t="s">
        <v>1063</v>
      </c>
      <c r="I3401" t="s">
        <v>4222</v>
      </c>
      <c r="J3401" s="13">
        <v>86580</v>
      </c>
      <c r="K3401">
        <v>1</v>
      </c>
      <c r="L3401" t="s">
        <v>1064</v>
      </c>
      <c r="M3401" t="s">
        <v>4223</v>
      </c>
      <c r="N3401" s="15" t="s">
        <v>6878</v>
      </c>
    </row>
    <row r="3402" spans="1:14" x14ac:dyDescent="0.2">
      <c r="A3402" t="s">
        <v>4522</v>
      </c>
      <c r="B3402" t="s">
        <v>2360</v>
      </c>
      <c r="C3402" s="9">
        <v>45015</v>
      </c>
      <c r="D3402" t="s">
        <v>981</v>
      </c>
      <c r="E3402" s="13">
        <v>2510000</v>
      </c>
      <c r="F3402" s="13">
        <v>27750</v>
      </c>
      <c r="G3402" s="9">
        <v>45015</v>
      </c>
      <c r="H3402" t="s">
        <v>1063</v>
      </c>
      <c r="I3402" t="s">
        <v>4222</v>
      </c>
      <c r="J3402" s="13">
        <v>111444</v>
      </c>
      <c r="K3402">
        <v>1</v>
      </c>
      <c r="L3402" t="s">
        <v>1064</v>
      </c>
      <c r="M3402" t="s">
        <v>4223</v>
      </c>
      <c r="N3402" s="15" t="s">
        <v>6878</v>
      </c>
    </row>
    <row r="3403" spans="1:14" x14ac:dyDescent="0.2">
      <c r="A3403" t="s">
        <v>4523</v>
      </c>
      <c r="B3403" t="s">
        <v>2360</v>
      </c>
      <c r="C3403" s="9">
        <v>45015</v>
      </c>
      <c r="D3403" t="s">
        <v>981</v>
      </c>
      <c r="E3403" s="13">
        <v>1950000</v>
      </c>
      <c r="F3403" s="13">
        <v>27750</v>
      </c>
      <c r="G3403" s="9">
        <v>45015</v>
      </c>
      <c r="H3403" t="s">
        <v>1063</v>
      </c>
      <c r="I3403" t="s">
        <v>4222</v>
      </c>
      <c r="J3403" s="13">
        <v>86580</v>
      </c>
      <c r="K3403">
        <v>1</v>
      </c>
      <c r="L3403" t="s">
        <v>1064</v>
      </c>
      <c r="M3403" t="s">
        <v>4223</v>
      </c>
      <c r="N3403" s="15" t="s">
        <v>6878</v>
      </c>
    </row>
    <row r="3404" spans="1:14" x14ac:dyDescent="0.2">
      <c r="A3404" t="s">
        <v>4524</v>
      </c>
      <c r="B3404" t="s">
        <v>2360</v>
      </c>
      <c r="C3404" s="9">
        <v>45015</v>
      </c>
      <c r="D3404" t="s">
        <v>981</v>
      </c>
      <c r="E3404" s="13">
        <v>1950000</v>
      </c>
      <c r="F3404" s="13">
        <v>27750</v>
      </c>
      <c r="G3404" s="9">
        <v>45015</v>
      </c>
      <c r="H3404" t="s">
        <v>1063</v>
      </c>
      <c r="I3404" t="s">
        <v>4222</v>
      </c>
      <c r="J3404" s="13">
        <v>86580</v>
      </c>
      <c r="K3404">
        <v>1</v>
      </c>
      <c r="L3404" t="s">
        <v>1064</v>
      </c>
      <c r="M3404" t="s">
        <v>4223</v>
      </c>
      <c r="N3404" s="15" t="s">
        <v>6878</v>
      </c>
    </row>
    <row r="3405" spans="1:14" x14ac:dyDescent="0.2">
      <c r="A3405" t="s">
        <v>4525</v>
      </c>
      <c r="B3405" t="s">
        <v>2360</v>
      </c>
      <c r="C3405" s="9">
        <v>45015</v>
      </c>
      <c r="D3405" t="s">
        <v>981</v>
      </c>
      <c r="E3405" s="13">
        <v>864000</v>
      </c>
      <c r="F3405" s="13">
        <v>27750</v>
      </c>
      <c r="G3405" s="9">
        <v>45015</v>
      </c>
      <c r="H3405" t="s">
        <v>1063</v>
      </c>
      <c r="I3405" t="s">
        <v>4222</v>
      </c>
      <c r="J3405" s="13">
        <v>38361</v>
      </c>
      <c r="K3405">
        <v>1</v>
      </c>
      <c r="L3405" t="s">
        <v>1064</v>
      </c>
      <c r="M3405" t="s">
        <v>4223</v>
      </c>
      <c r="N3405" s="15" t="s">
        <v>6878</v>
      </c>
    </row>
    <row r="3406" spans="1:14" x14ac:dyDescent="0.2">
      <c r="A3406" t="s">
        <v>4526</v>
      </c>
      <c r="B3406" t="s">
        <v>2360</v>
      </c>
      <c r="C3406" s="9">
        <v>45015</v>
      </c>
      <c r="D3406" t="s">
        <v>981</v>
      </c>
      <c r="E3406" s="13">
        <v>864000</v>
      </c>
      <c r="F3406" s="13">
        <v>27750</v>
      </c>
      <c r="G3406" s="9">
        <v>45015</v>
      </c>
      <c r="H3406" t="s">
        <v>1063</v>
      </c>
      <c r="I3406" t="s">
        <v>4222</v>
      </c>
      <c r="J3406" s="13">
        <v>38361</v>
      </c>
      <c r="K3406">
        <v>1</v>
      </c>
      <c r="L3406" t="s">
        <v>1064</v>
      </c>
      <c r="M3406" t="s">
        <v>4223</v>
      </c>
      <c r="N3406" s="15" t="s">
        <v>6878</v>
      </c>
    </row>
    <row r="3407" spans="1:14" x14ac:dyDescent="0.2">
      <c r="A3407" t="s">
        <v>4527</v>
      </c>
      <c r="B3407" t="s">
        <v>2360</v>
      </c>
      <c r="C3407" s="9">
        <v>45015</v>
      </c>
      <c r="D3407" t="s">
        <v>981</v>
      </c>
      <c r="E3407" s="13">
        <v>2510000</v>
      </c>
      <c r="F3407" s="13">
        <v>27750</v>
      </c>
      <c r="G3407" s="9">
        <v>45015</v>
      </c>
      <c r="H3407" t="s">
        <v>1063</v>
      </c>
      <c r="I3407" t="s">
        <v>4222</v>
      </c>
      <c r="J3407" s="13">
        <v>111444</v>
      </c>
      <c r="K3407">
        <v>1</v>
      </c>
      <c r="L3407" t="s">
        <v>1064</v>
      </c>
      <c r="M3407" t="s">
        <v>4223</v>
      </c>
      <c r="N3407" s="15" t="s">
        <v>6878</v>
      </c>
    </row>
    <row r="3408" spans="1:14" x14ac:dyDescent="0.2">
      <c r="A3408" t="s">
        <v>4528</v>
      </c>
      <c r="B3408" t="s">
        <v>2360</v>
      </c>
      <c r="C3408" s="9">
        <v>45015</v>
      </c>
      <c r="D3408" t="s">
        <v>981</v>
      </c>
      <c r="E3408" s="13">
        <v>1840000</v>
      </c>
      <c r="F3408" s="13">
        <v>27750</v>
      </c>
      <c r="G3408" s="9">
        <v>45015</v>
      </c>
      <c r="H3408" t="s">
        <v>1063</v>
      </c>
      <c r="I3408" t="s">
        <v>4222</v>
      </c>
      <c r="J3408" s="13">
        <v>81696</v>
      </c>
      <c r="K3408">
        <v>1</v>
      </c>
      <c r="L3408" t="s">
        <v>1064</v>
      </c>
      <c r="M3408" t="s">
        <v>4223</v>
      </c>
      <c r="N3408" s="15" t="s">
        <v>6878</v>
      </c>
    </row>
    <row r="3409" spans="1:14" x14ac:dyDescent="0.2">
      <c r="A3409" t="s">
        <v>4529</v>
      </c>
      <c r="B3409" t="s">
        <v>2360</v>
      </c>
      <c r="C3409" s="9">
        <v>45015</v>
      </c>
      <c r="D3409" t="s">
        <v>981</v>
      </c>
      <c r="E3409" s="13">
        <v>1840000</v>
      </c>
      <c r="F3409" s="13">
        <v>27750</v>
      </c>
      <c r="G3409" s="9">
        <v>45015</v>
      </c>
      <c r="H3409" t="s">
        <v>1063</v>
      </c>
      <c r="I3409" t="s">
        <v>4222</v>
      </c>
      <c r="J3409" s="13">
        <v>81696</v>
      </c>
      <c r="K3409">
        <v>1</v>
      </c>
      <c r="L3409" t="s">
        <v>1064</v>
      </c>
      <c r="M3409" t="s">
        <v>4223</v>
      </c>
      <c r="N3409" s="15" t="s">
        <v>6878</v>
      </c>
    </row>
    <row r="3410" spans="1:14" x14ac:dyDescent="0.2">
      <c r="A3410" t="s">
        <v>4530</v>
      </c>
      <c r="B3410" t="s">
        <v>2360</v>
      </c>
      <c r="C3410" s="9">
        <v>45015</v>
      </c>
      <c r="D3410" t="s">
        <v>981</v>
      </c>
      <c r="E3410" s="13">
        <v>2510000</v>
      </c>
      <c r="F3410" s="13">
        <v>27750</v>
      </c>
      <c r="G3410" s="9">
        <v>45015</v>
      </c>
      <c r="H3410" t="s">
        <v>1063</v>
      </c>
      <c r="I3410" t="s">
        <v>4222</v>
      </c>
      <c r="J3410" s="13">
        <v>111444</v>
      </c>
      <c r="K3410">
        <v>1</v>
      </c>
      <c r="L3410" t="s">
        <v>1064</v>
      </c>
      <c r="M3410" t="s">
        <v>4223</v>
      </c>
      <c r="N3410" s="15" t="s">
        <v>6878</v>
      </c>
    </row>
    <row r="3411" spans="1:14" x14ac:dyDescent="0.2">
      <c r="A3411" t="s">
        <v>4531</v>
      </c>
      <c r="B3411" t="s">
        <v>2360</v>
      </c>
      <c r="C3411" s="9">
        <v>45015</v>
      </c>
      <c r="D3411" t="s">
        <v>981</v>
      </c>
      <c r="E3411" s="13">
        <v>2510000</v>
      </c>
      <c r="F3411" s="13">
        <v>27750</v>
      </c>
      <c r="G3411" s="9">
        <v>45015</v>
      </c>
      <c r="H3411" t="s">
        <v>1063</v>
      </c>
      <c r="I3411" t="s">
        <v>4222</v>
      </c>
      <c r="J3411" s="13">
        <v>111444</v>
      </c>
      <c r="K3411">
        <v>1</v>
      </c>
      <c r="L3411" t="s">
        <v>1064</v>
      </c>
      <c r="M3411" t="s">
        <v>4223</v>
      </c>
      <c r="N3411" s="15" t="s">
        <v>6878</v>
      </c>
    </row>
    <row r="3412" spans="1:14" x14ac:dyDescent="0.2">
      <c r="A3412" t="s">
        <v>4532</v>
      </c>
      <c r="B3412" t="s">
        <v>2360</v>
      </c>
      <c r="C3412" s="9">
        <v>45015</v>
      </c>
      <c r="D3412" t="s">
        <v>981</v>
      </c>
      <c r="E3412" s="13">
        <v>1905000</v>
      </c>
      <c r="F3412" s="13">
        <v>27750</v>
      </c>
      <c r="G3412" s="9">
        <v>45015</v>
      </c>
      <c r="H3412" t="s">
        <v>1063</v>
      </c>
      <c r="I3412" t="s">
        <v>4222</v>
      </c>
      <c r="J3412" s="13">
        <v>84582</v>
      </c>
      <c r="K3412">
        <v>1</v>
      </c>
      <c r="L3412" t="s">
        <v>1064</v>
      </c>
      <c r="M3412" t="s">
        <v>4223</v>
      </c>
      <c r="N3412" s="15" t="s">
        <v>6878</v>
      </c>
    </row>
    <row r="3413" spans="1:14" x14ac:dyDescent="0.2">
      <c r="A3413" t="s">
        <v>4533</v>
      </c>
      <c r="B3413" t="s">
        <v>2360</v>
      </c>
      <c r="C3413" s="9">
        <v>45015</v>
      </c>
      <c r="D3413" t="s">
        <v>981</v>
      </c>
      <c r="E3413" s="13">
        <v>1905000</v>
      </c>
      <c r="F3413" s="13">
        <v>27750</v>
      </c>
      <c r="G3413" s="9">
        <v>45015</v>
      </c>
      <c r="H3413" t="s">
        <v>1063</v>
      </c>
      <c r="I3413" t="s">
        <v>4222</v>
      </c>
      <c r="J3413" s="13">
        <v>84582</v>
      </c>
      <c r="K3413">
        <v>1</v>
      </c>
      <c r="L3413" t="s">
        <v>1064</v>
      </c>
      <c r="M3413" t="s">
        <v>4223</v>
      </c>
      <c r="N3413" s="15" t="s">
        <v>6878</v>
      </c>
    </row>
    <row r="3414" spans="1:14" x14ac:dyDescent="0.2">
      <c r="A3414" t="s">
        <v>4534</v>
      </c>
      <c r="B3414" t="s">
        <v>2360</v>
      </c>
      <c r="C3414" s="9">
        <v>45015</v>
      </c>
      <c r="D3414" t="s">
        <v>981</v>
      </c>
      <c r="E3414" s="13">
        <v>2510000</v>
      </c>
      <c r="F3414" s="13">
        <v>27750</v>
      </c>
      <c r="G3414" s="9">
        <v>45015</v>
      </c>
      <c r="H3414" t="s">
        <v>1063</v>
      </c>
      <c r="I3414" t="s">
        <v>4222</v>
      </c>
      <c r="J3414" s="13">
        <v>111444</v>
      </c>
      <c r="K3414">
        <v>1</v>
      </c>
      <c r="L3414" t="s">
        <v>1064</v>
      </c>
      <c r="M3414" t="s">
        <v>4223</v>
      </c>
      <c r="N3414" s="15" t="s">
        <v>6878</v>
      </c>
    </row>
    <row r="3415" spans="1:14" x14ac:dyDescent="0.2">
      <c r="A3415" t="s">
        <v>4535</v>
      </c>
      <c r="B3415" t="s">
        <v>2360</v>
      </c>
      <c r="C3415" s="9">
        <v>45015</v>
      </c>
      <c r="D3415" t="s">
        <v>9</v>
      </c>
      <c r="E3415" s="13">
        <v>340060</v>
      </c>
      <c r="F3415" s="13">
        <v>24975</v>
      </c>
      <c r="G3415" s="9">
        <v>45028</v>
      </c>
      <c r="H3415" t="s">
        <v>1111</v>
      </c>
      <c r="I3415" t="s">
        <v>436</v>
      </c>
      <c r="J3415" s="13">
        <v>11323</v>
      </c>
      <c r="K3415">
        <v>1</v>
      </c>
      <c r="L3415" t="s">
        <v>1064</v>
      </c>
      <c r="M3415" t="s">
        <v>2364</v>
      </c>
      <c r="N3415" s="15" t="s">
        <v>6878</v>
      </c>
    </row>
    <row r="3416" spans="1:14" x14ac:dyDescent="0.2">
      <c r="A3416" t="s">
        <v>4536</v>
      </c>
      <c r="B3416" t="s">
        <v>2360</v>
      </c>
      <c r="C3416" s="9">
        <v>45015</v>
      </c>
      <c r="D3416" t="s">
        <v>946</v>
      </c>
      <c r="E3416" s="13">
        <v>5293450</v>
      </c>
      <c r="F3416" s="13">
        <v>5550</v>
      </c>
      <c r="G3416" s="9">
        <v>45016</v>
      </c>
      <c r="H3416" t="s">
        <v>1111</v>
      </c>
      <c r="I3416" t="s">
        <v>2382</v>
      </c>
      <c r="J3416" s="13">
        <v>88135</v>
      </c>
      <c r="K3416">
        <v>1</v>
      </c>
      <c r="L3416" t="s">
        <v>1064</v>
      </c>
      <c r="M3416" t="s">
        <v>2383</v>
      </c>
      <c r="N3416" s="15" t="s">
        <v>6878</v>
      </c>
    </row>
    <row r="3417" spans="1:14" x14ac:dyDescent="0.2">
      <c r="A3417" t="s">
        <v>4537</v>
      </c>
      <c r="B3417" t="s">
        <v>2360</v>
      </c>
      <c r="C3417" s="9">
        <v>45015</v>
      </c>
      <c r="D3417" t="s">
        <v>946</v>
      </c>
      <c r="E3417" s="13">
        <v>5293450</v>
      </c>
      <c r="F3417" s="13">
        <v>5550</v>
      </c>
      <c r="G3417" s="9">
        <v>45016</v>
      </c>
      <c r="H3417" t="s">
        <v>1111</v>
      </c>
      <c r="I3417" t="s">
        <v>2382</v>
      </c>
      <c r="J3417" s="13">
        <v>88135</v>
      </c>
      <c r="K3417">
        <v>1</v>
      </c>
      <c r="L3417" t="s">
        <v>1064</v>
      </c>
      <c r="M3417" t="s">
        <v>2383</v>
      </c>
      <c r="N3417" s="15" t="s">
        <v>6878</v>
      </c>
    </row>
    <row r="3418" spans="1:14" x14ac:dyDescent="0.2">
      <c r="A3418" t="s">
        <v>4538</v>
      </c>
      <c r="B3418" t="s">
        <v>2360</v>
      </c>
      <c r="C3418" s="9">
        <v>45015</v>
      </c>
      <c r="D3418" t="s">
        <v>946</v>
      </c>
      <c r="E3418" s="13">
        <v>5293450</v>
      </c>
      <c r="F3418" s="13">
        <v>5550</v>
      </c>
      <c r="G3418" s="9">
        <v>45016</v>
      </c>
      <c r="H3418" t="s">
        <v>1111</v>
      </c>
      <c r="I3418" t="s">
        <v>2382</v>
      </c>
      <c r="J3418" s="13">
        <v>88135</v>
      </c>
      <c r="K3418">
        <v>1</v>
      </c>
      <c r="L3418" t="s">
        <v>1064</v>
      </c>
      <c r="M3418" t="s">
        <v>2383</v>
      </c>
      <c r="N3418" s="15" t="s">
        <v>6878</v>
      </c>
    </row>
    <row r="3419" spans="1:14" x14ac:dyDescent="0.2">
      <c r="A3419" t="s">
        <v>4539</v>
      </c>
      <c r="B3419" t="s">
        <v>2360</v>
      </c>
      <c r="C3419" s="9">
        <v>45015</v>
      </c>
      <c r="D3419" t="s">
        <v>946</v>
      </c>
      <c r="E3419" s="13">
        <v>6549825</v>
      </c>
      <c r="F3419" s="13">
        <v>5550</v>
      </c>
      <c r="G3419" s="9">
        <v>45016</v>
      </c>
      <c r="H3419" t="s">
        <v>1111</v>
      </c>
      <c r="I3419" t="s">
        <v>2382</v>
      </c>
      <c r="J3419" s="13">
        <v>109054</v>
      </c>
      <c r="K3419">
        <v>1</v>
      </c>
      <c r="L3419" t="s">
        <v>1064</v>
      </c>
      <c r="M3419" t="s">
        <v>2383</v>
      </c>
      <c r="N3419" s="15" t="s">
        <v>6878</v>
      </c>
    </row>
    <row r="3420" spans="1:14" x14ac:dyDescent="0.2">
      <c r="A3420" t="s">
        <v>4540</v>
      </c>
      <c r="B3420" t="s">
        <v>2360</v>
      </c>
      <c r="C3420" s="9">
        <v>45015</v>
      </c>
      <c r="D3420" t="s">
        <v>946</v>
      </c>
      <c r="E3420" s="13">
        <v>13541825</v>
      </c>
      <c r="F3420" s="13">
        <v>5550</v>
      </c>
      <c r="G3420" s="9">
        <v>45016</v>
      </c>
      <c r="H3420" t="s">
        <v>1111</v>
      </c>
      <c r="I3420" t="s">
        <v>2382</v>
      </c>
      <c r="J3420" s="13">
        <v>225470</v>
      </c>
      <c r="K3420">
        <v>1</v>
      </c>
      <c r="L3420" t="s">
        <v>1064</v>
      </c>
      <c r="M3420" t="s">
        <v>2383</v>
      </c>
      <c r="N3420" s="15" t="s">
        <v>6878</v>
      </c>
    </row>
    <row r="3421" spans="1:14" x14ac:dyDescent="0.2">
      <c r="A3421" t="s">
        <v>4541</v>
      </c>
      <c r="B3421" t="s">
        <v>2360</v>
      </c>
      <c r="C3421" s="9">
        <v>45015</v>
      </c>
      <c r="D3421" t="s">
        <v>946</v>
      </c>
      <c r="E3421" s="13">
        <v>6549825</v>
      </c>
      <c r="F3421" s="13">
        <v>5550</v>
      </c>
      <c r="G3421" s="9">
        <v>45016</v>
      </c>
      <c r="H3421" t="s">
        <v>1111</v>
      </c>
      <c r="I3421" t="s">
        <v>2382</v>
      </c>
      <c r="J3421" s="13">
        <v>109054</v>
      </c>
      <c r="K3421">
        <v>1</v>
      </c>
      <c r="L3421" t="s">
        <v>1064</v>
      </c>
      <c r="M3421" t="s">
        <v>2383</v>
      </c>
      <c r="N3421" s="15" t="s">
        <v>6878</v>
      </c>
    </row>
    <row r="3422" spans="1:14" x14ac:dyDescent="0.2">
      <c r="A3422" t="s">
        <v>4542</v>
      </c>
      <c r="B3422" t="s">
        <v>2360</v>
      </c>
      <c r="C3422" s="9">
        <v>45015</v>
      </c>
      <c r="D3422" t="s">
        <v>946</v>
      </c>
      <c r="E3422" s="13">
        <v>2220000</v>
      </c>
      <c r="F3422" s="13">
        <v>5550</v>
      </c>
      <c r="G3422" s="9">
        <v>45023</v>
      </c>
      <c r="H3422" t="s">
        <v>1111</v>
      </c>
      <c r="I3422" t="s">
        <v>2382</v>
      </c>
      <c r="J3422" s="13">
        <v>36963</v>
      </c>
      <c r="K3422">
        <v>1</v>
      </c>
      <c r="L3422" t="s">
        <v>1064</v>
      </c>
      <c r="M3422" t="s">
        <v>2383</v>
      </c>
      <c r="N3422" s="15" t="s">
        <v>6878</v>
      </c>
    </row>
    <row r="3423" spans="1:14" x14ac:dyDescent="0.2">
      <c r="A3423" t="s">
        <v>4543</v>
      </c>
      <c r="B3423" t="s">
        <v>2360</v>
      </c>
      <c r="C3423" s="9">
        <v>45015</v>
      </c>
      <c r="D3423" t="s">
        <v>946</v>
      </c>
      <c r="E3423" s="13">
        <v>964538</v>
      </c>
      <c r="F3423" s="13">
        <v>5550</v>
      </c>
      <c r="G3423" s="9">
        <v>45016</v>
      </c>
      <c r="H3423" t="s">
        <v>1111</v>
      </c>
      <c r="I3423" t="s">
        <v>2382</v>
      </c>
      <c r="J3423" s="13">
        <v>16059</v>
      </c>
      <c r="K3423">
        <v>1</v>
      </c>
      <c r="L3423" t="s">
        <v>1064</v>
      </c>
      <c r="M3423" t="s">
        <v>2383</v>
      </c>
      <c r="N3423" s="15" t="s">
        <v>6878</v>
      </c>
    </row>
    <row r="3424" spans="1:14" x14ac:dyDescent="0.2">
      <c r="A3424" t="s">
        <v>4544</v>
      </c>
      <c r="B3424" t="s">
        <v>2360</v>
      </c>
      <c r="C3424" s="9">
        <v>45015</v>
      </c>
      <c r="D3424" t="s">
        <v>946</v>
      </c>
      <c r="E3424" s="13">
        <v>906023</v>
      </c>
      <c r="F3424" s="13">
        <v>5550</v>
      </c>
      <c r="G3424" s="9">
        <v>45016</v>
      </c>
      <c r="H3424" t="s">
        <v>1111</v>
      </c>
      <c r="I3424" t="s">
        <v>2382</v>
      </c>
      <c r="J3424" s="13">
        <v>15084</v>
      </c>
      <c r="K3424">
        <v>1</v>
      </c>
      <c r="L3424" t="s">
        <v>1064</v>
      </c>
      <c r="M3424" t="s">
        <v>2383</v>
      </c>
      <c r="N3424" s="15" t="s">
        <v>6878</v>
      </c>
    </row>
    <row r="3425" spans="1:14" x14ac:dyDescent="0.2">
      <c r="A3425" t="s">
        <v>4545</v>
      </c>
      <c r="B3425" t="s">
        <v>2360</v>
      </c>
      <c r="C3425" s="9">
        <v>45015</v>
      </c>
      <c r="D3425" t="s">
        <v>946</v>
      </c>
      <c r="E3425" s="13">
        <v>900000</v>
      </c>
      <c r="F3425" s="13">
        <v>5550</v>
      </c>
      <c r="G3425" s="9">
        <v>45023</v>
      </c>
      <c r="H3425" t="s">
        <v>1111</v>
      </c>
      <c r="I3425" t="s">
        <v>2382</v>
      </c>
      <c r="J3425" s="13">
        <v>14985</v>
      </c>
      <c r="K3425">
        <v>1</v>
      </c>
      <c r="L3425" t="s">
        <v>1064</v>
      </c>
      <c r="M3425" t="s">
        <v>2383</v>
      </c>
      <c r="N3425" s="15" t="s">
        <v>6878</v>
      </c>
    </row>
    <row r="3426" spans="1:14" x14ac:dyDescent="0.2">
      <c r="A3426" t="s">
        <v>4546</v>
      </c>
      <c r="B3426" t="s">
        <v>2360</v>
      </c>
      <c r="C3426" s="9">
        <v>45015</v>
      </c>
      <c r="D3426" t="s">
        <v>946</v>
      </c>
      <c r="E3426" s="13">
        <v>19292908</v>
      </c>
      <c r="F3426" s="13">
        <v>5550</v>
      </c>
      <c r="G3426" s="9">
        <v>45023</v>
      </c>
      <c r="H3426" t="s">
        <v>1111</v>
      </c>
      <c r="I3426" t="s">
        <v>2382</v>
      </c>
      <c r="J3426" s="13">
        <v>321226</v>
      </c>
      <c r="K3426">
        <v>1</v>
      </c>
      <c r="L3426" t="s">
        <v>1064</v>
      </c>
      <c r="M3426" t="s">
        <v>2383</v>
      </c>
      <c r="N3426" s="15" t="s">
        <v>6878</v>
      </c>
    </row>
    <row r="3427" spans="1:14" x14ac:dyDescent="0.2">
      <c r="A3427" t="s">
        <v>4547</v>
      </c>
      <c r="B3427" t="s">
        <v>2360</v>
      </c>
      <c r="C3427" s="9">
        <v>45015</v>
      </c>
      <c r="D3427" t="s">
        <v>946</v>
      </c>
      <c r="E3427" s="13">
        <v>19094962</v>
      </c>
      <c r="F3427" s="13">
        <v>5550</v>
      </c>
      <c r="G3427" s="9">
        <v>45016</v>
      </c>
      <c r="H3427" t="s">
        <v>1111</v>
      </c>
      <c r="I3427" t="s">
        <v>2382</v>
      </c>
      <c r="J3427" s="13">
        <v>317930</v>
      </c>
      <c r="K3427">
        <v>1</v>
      </c>
      <c r="L3427" t="s">
        <v>1064</v>
      </c>
      <c r="M3427" t="s">
        <v>2383</v>
      </c>
      <c r="N3427" s="15" t="s">
        <v>6878</v>
      </c>
    </row>
    <row r="3428" spans="1:14" x14ac:dyDescent="0.2">
      <c r="A3428" t="s">
        <v>4548</v>
      </c>
      <c r="B3428" t="s">
        <v>2360</v>
      </c>
      <c r="C3428" s="9">
        <v>45015</v>
      </c>
      <c r="D3428" t="s">
        <v>946</v>
      </c>
      <c r="E3428" s="13">
        <v>17454438</v>
      </c>
      <c r="F3428" s="13">
        <v>5550</v>
      </c>
      <c r="G3428" s="9">
        <v>45023</v>
      </c>
      <c r="H3428" t="s">
        <v>1111</v>
      </c>
      <c r="I3428" t="s">
        <v>2382</v>
      </c>
      <c r="J3428" s="13">
        <v>290615</v>
      </c>
      <c r="K3428">
        <v>1</v>
      </c>
      <c r="L3428" t="s">
        <v>1064</v>
      </c>
      <c r="M3428" t="s">
        <v>2383</v>
      </c>
      <c r="N3428" s="15" t="s">
        <v>6878</v>
      </c>
    </row>
    <row r="3429" spans="1:14" x14ac:dyDescent="0.2">
      <c r="A3429" t="s">
        <v>4549</v>
      </c>
      <c r="B3429" t="s">
        <v>2360</v>
      </c>
      <c r="C3429" s="9">
        <v>45015</v>
      </c>
      <c r="D3429" t="s">
        <v>946</v>
      </c>
      <c r="E3429" s="13">
        <v>17353056</v>
      </c>
      <c r="F3429" s="13">
        <v>5550</v>
      </c>
      <c r="G3429" s="9">
        <v>45023</v>
      </c>
      <c r="H3429" t="s">
        <v>1111</v>
      </c>
      <c r="I3429" t="s">
        <v>2382</v>
      </c>
      <c r="J3429" s="13">
        <v>288927</v>
      </c>
      <c r="K3429">
        <v>1</v>
      </c>
      <c r="L3429" t="s">
        <v>1064</v>
      </c>
      <c r="M3429" t="s">
        <v>2383</v>
      </c>
      <c r="N3429" s="15" t="s">
        <v>6878</v>
      </c>
    </row>
    <row r="3430" spans="1:14" x14ac:dyDescent="0.2">
      <c r="A3430" t="s">
        <v>4550</v>
      </c>
      <c r="B3430" t="s">
        <v>2360</v>
      </c>
      <c r="C3430" s="9">
        <v>45015</v>
      </c>
      <c r="D3430" t="s">
        <v>946</v>
      </c>
      <c r="E3430" s="13">
        <v>27823000</v>
      </c>
      <c r="F3430" s="13">
        <v>5550</v>
      </c>
      <c r="G3430" s="9">
        <v>45023</v>
      </c>
      <c r="H3430" t="s">
        <v>1111</v>
      </c>
      <c r="I3430" t="s">
        <v>2382</v>
      </c>
      <c r="J3430" s="13">
        <v>463252</v>
      </c>
      <c r="K3430">
        <v>1</v>
      </c>
      <c r="L3430" t="s">
        <v>1064</v>
      </c>
      <c r="M3430" t="s">
        <v>2383</v>
      </c>
      <c r="N3430" s="15" t="s">
        <v>6878</v>
      </c>
    </row>
    <row r="3431" spans="1:14" x14ac:dyDescent="0.2">
      <c r="A3431" t="s">
        <v>4551</v>
      </c>
      <c r="B3431" t="s">
        <v>2360</v>
      </c>
      <c r="C3431" s="9">
        <v>45015</v>
      </c>
      <c r="D3431" t="s">
        <v>946</v>
      </c>
      <c r="E3431" s="13">
        <v>23856000</v>
      </c>
      <c r="F3431" s="13">
        <v>5550</v>
      </c>
      <c r="G3431" s="9">
        <v>45023</v>
      </c>
      <c r="H3431" t="s">
        <v>1111</v>
      </c>
      <c r="I3431" t="s">
        <v>2382</v>
      </c>
      <c r="J3431" s="13">
        <v>397202</v>
      </c>
      <c r="K3431">
        <v>1</v>
      </c>
      <c r="L3431" t="s">
        <v>1064</v>
      </c>
      <c r="M3431" t="s">
        <v>2383</v>
      </c>
      <c r="N3431" s="15" t="s">
        <v>6878</v>
      </c>
    </row>
    <row r="3432" spans="1:14" x14ac:dyDescent="0.2">
      <c r="A3432" t="s">
        <v>4552</v>
      </c>
      <c r="B3432" t="s">
        <v>2360</v>
      </c>
      <c r="C3432" s="9">
        <v>45015</v>
      </c>
      <c r="D3432" t="s">
        <v>946</v>
      </c>
      <c r="E3432" s="13">
        <v>25964403</v>
      </c>
      <c r="F3432" s="13">
        <v>5550</v>
      </c>
      <c r="G3432" s="9">
        <v>45023</v>
      </c>
      <c r="H3432" t="s">
        <v>1111</v>
      </c>
      <c r="I3432" t="s">
        <v>2382</v>
      </c>
      <c r="J3432" s="13">
        <v>432307</v>
      </c>
      <c r="K3432">
        <v>1</v>
      </c>
      <c r="L3432" t="s">
        <v>1064</v>
      </c>
      <c r="M3432" t="s">
        <v>2383</v>
      </c>
      <c r="N3432" s="15" t="s">
        <v>6878</v>
      </c>
    </row>
    <row r="3433" spans="1:14" x14ac:dyDescent="0.2">
      <c r="A3433" t="s">
        <v>4553</v>
      </c>
      <c r="B3433" t="s">
        <v>2360</v>
      </c>
      <c r="C3433" s="9">
        <v>45015</v>
      </c>
      <c r="D3433" t="s">
        <v>9</v>
      </c>
      <c r="E3433" s="13">
        <v>274890</v>
      </c>
      <c r="F3433" s="13">
        <v>24975</v>
      </c>
      <c r="G3433" s="9">
        <v>45029</v>
      </c>
      <c r="H3433" t="s">
        <v>1111</v>
      </c>
      <c r="I3433" t="s">
        <v>436</v>
      </c>
      <c r="J3433" s="13">
        <v>9153</v>
      </c>
      <c r="K3433">
        <v>1</v>
      </c>
      <c r="L3433" t="s">
        <v>1064</v>
      </c>
      <c r="M3433" t="s">
        <v>2364</v>
      </c>
      <c r="N3433" s="15" t="s">
        <v>6878</v>
      </c>
    </row>
    <row r="3434" spans="1:14" x14ac:dyDescent="0.2">
      <c r="A3434" t="s">
        <v>4554</v>
      </c>
      <c r="B3434" t="s">
        <v>2360</v>
      </c>
      <c r="C3434" s="9">
        <v>45015</v>
      </c>
      <c r="D3434" t="s">
        <v>946</v>
      </c>
      <c r="E3434" s="13">
        <v>5300000</v>
      </c>
      <c r="F3434" s="13">
        <v>5550</v>
      </c>
      <c r="G3434" s="9">
        <v>45023</v>
      </c>
      <c r="H3434" t="s">
        <v>1111</v>
      </c>
      <c r="I3434" t="s">
        <v>2382</v>
      </c>
      <c r="J3434" s="13">
        <v>88245</v>
      </c>
      <c r="K3434">
        <v>1</v>
      </c>
      <c r="L3434" t="s">
        <v>1064</v>
      </c>
      <c r="M3434" t="s">
        <v>2383</v>
      </c>
      <c r="N3434" s="15" t="s">
        <v>6878</v>
      </c>
    </row>
    <row r="3435" spans="1:14" x14ac:dyDescent="0.2">
      <c r="A3435" t="s">
        <v>4555</v>
      </c>
      <c r="B3435" t="s">
        <v>2360</v>
      </c>
      <c r="C3435" s="9">
        <v>45015</v>
      </c>
      <c r="D3435" t="s">
        <v>946</v>
      </c>
      <c r="E3435" s="13">
        <v>5300000</v>
      </c>
      <c r="F3435" s="13">
        <v>5550</v>
      </c>
      <c r="G3435" s="9">
        <v>45023</v>
      </c>
      <c r="H3435" t="s">
        <v>1111</v>
      </c>
      <c r="I3435" t="s">
        <v>2382</v>
      </c>
      <c r="J3435" s="13">
        <v>88245</v>
      </c>
      <c r="K3435">
        <v>1</v>
      </c>
      <c r="L3435" t="s">
        <v>1064</v>
      </c>
      <c r="M3435" t="s">
        <v>2383</v>
      </c>
      <c r="N3435" s="15" t="s">
        <v>6878</v>
      </c>
    </row>
    <row r="3436" spans="1:14" x14ac:dyDescent="0.2">
      <c r="A3436" t="s">
        <v>4556</v>
      </c>
      <c r="B3436" t="s">
        <v>2360</v>
      </c>
      <c r="C3436" s="9">
        <v>45015</v>
      </c>
      <c r="D3436" t="s">
        <v>946</v>
      </c>
      <c r="E3436" s="13">
        <v>5300000</v>
      </c>
      <c r="F3436" s="13">
        <v>5550</v>
      </c>
      <c r="G3436" s="9">
        <v>45023</v>
      </c>
      <c r="H3436" t="s">
        <v>1111</v>
      </c>
      <c r="I3436" t="s">
        <v>2382</v>
      </c>
      <c r="J3436" s="13">
        <v>88245</v>
      </c>
      <c r="K3436">
        <v>1</v>
      </c>
      <c r="L3436" t="s">
        <v>1064</v>
      </c>
      <c r="M3436" t="s">
        <v>2383</v>
      </c>
      <c r="N3436" s="15" t="s">
        <v>6878</v>
      </c>
    </row>
    <row r="3437" spans="1:14" x14ac:dyDescent="0.2">
      <c r="A3437" t="s">
        <v>4557</v>
      </c>
      <c r="B3437" t="s">
        <v>2360</v>
      </c>
      <c r="C3437" s="9">
        <v>45015</v>
      </c>
      <c r="D3437" t="s">
        <v>946</v>
      </c>
      <c r="E3437" s="13">
        <v>5300000</v>
      </c>
      <c r="F3437" s="13">
        <v>5550</v>
      </c>
      <c r="G3437" s="9">
        <v>45023</v>
      </c>
      <c r="H3437" t="s">
        <v>1111</v>
      </c>
      <c r="I3437" t="s">
        <v>2382</v>
      </c>
      <c r="J3437" s="13">
        <v>88245</v>
      </c>
      <c r="K3437">
        <v>1</v>
      </c>
      <c r="L3437" t="s">
        <v>1064</v>
      </c>
      <c r="M3437" t="s">
        <v>2383</v>
      </c>
      <c r="N3437" s="15" t="s">
        <v>6878</v>
      </c>
    </row>
    <row r="3438" spans="1:14" x14ac:dyDescent="0.2">
      <c r="A3438" t="s">
        <v>4558</v>
      </c>
      <c r="B3438" t="s">
        <v>2360</v>
      </c>
      <c r="C3438" s="9">
        <v>45015</v>
      </c>
      <c r="D3438" t="s">
        <v>946</v>
      </c>
      <c r="E3438" s="13">
        <v>5300000</v>
      </c>
      <c r="F3438" s="13">
        <v>5550</v>
      </c>
      <c r="G3438" s="9">
        <v>45023</v>
      </c>
      <c r="H3438" t="s">
        <v>1111</v>
      </c>
      <c r="I3438" t="s">
        <v>2382</v>
      </c>
      <c r="J3438" s="13">
        <v>88245</v>
      </c>
      <c r="K3438">
        <v>1</v>
      </c>
      <c r="L3438" t="s">
        <v>1064</v>
      </c>
      <c r="M3438" t="s">
        <v>2383</v>
      </c>
      <c r="N3438" s="15" t="s">
        <v>6878</v>
      </c>
    </row>
    <row r="3439" spans="1:14" x14ac:dyDescent="0.2">
      <c r="A3439" t="s">
        <v>4559</v>
      </c>
      <c r="B3439" t="s">
        <v>2360</v>
      </c>
      <c r="C3439" s="9">
        <v>45015</v>
      </c>
      <c r="D3439" t="s">
        <v>946</v>
      </c>
      <c r="E3439" s="13">
        <v>5300000</v>
      </c>
      <c r="F3439" s="13">
        <v>5550</v>
      </c>
      <c r="G3439" s="9">
        <v>45023</v>
      </c>
      <c r="H3439" t="s">
        <v>1111</v>
      </c>
      <c r="I3439" t="s">
        <v>2382</v>
      </c>
      <c r="J3439" s="13">
        <v>88245</v>
      </c>
      <c r="K3439">
        <v>1</v>
      </c>
      <c r="L3439" t="s">
        <v>1064</v>
      </c>
      <c r="M3439" t="s">
        <v>2383</v>
      </c>
      <c r="N3439" s="15" t="s">
        <v>6878</v>
      </c>
    </row>
    <row r="3440" spans="1:14" x14ac:dyDescent="0.2">
      <c r="A3440" t="s">
        <v>4560</v>
      </c>
      <c r="B3440" t="s">
        <v>2360</v>
      </c>
      <c r="C3440" s="9">
        <v>45015</v>
      </c>
      <c r="D3440" t="s">
        <v>946</v>
      </c>
      <c r="E3440" s="13">
        <v>3000000</v>
      </c>
      <c r="F3440" s="13">
        <v>5550</v>
      </c>
      <c r="G3440" s="9">
        <v>45023</v>
      </c>
      <c r="H3440" t="s">
        <v>1111</v>
      </c>
      <c r="I3440" t="s">
        <v>2382</v>
      </c>
      <c r="J3440" s="13">
        <v>49950</v>
      </c>
      <c r="K3440">
        <v>1</v>
      </c>
      <c r="L3440" t="s">
        <v>1064</v>
      </c>
      <c r="M3440" t="s">
        <v>2383</v>
      </c>
      <c r="N3440" s="15" t="s">
        <v>6878</v>
      </c>
    </row>
    <row r="3441" spans="1:14" x14ac:dyDescent="0.2">
      <c r="A3441" t="s">
        <v>4561</v>
      </c>
      <c r="B3441" t="s">
        <v>2360</v>
      </c>
      <c r="C3441" s="9">
        <v>45016</v>
      </c>
      <c r="D3441" t="s">
        <v>1009</v>
      </c>
      <c r="E3441" s="13">
        <v>24000000</v>
      </c>
      <c r="F3441" s="13">
        <v>25000</v>
      </c>
      <c r="H3441" t="s">
        <v>2184</v>
      </c>
      <c r="I3441" t="s">
        <v>4562</v>
      </c>
      <c r="J3441" s="13">
        <v>0</v>
      </c>
      <c r="K3441">
        <v>1</v>
      </c>
      <c r="L3441" t="s">
        <v>1064</v>
      </c>
      <c r="M3441" t="s">
        <v>4563</v>
      </c>
      <c r="N3441" s="14" t="s">
        <v>6877</v>
      </c>
    </row>
    <row r="3442" spans="1:14" x14ac:dyDescent="0.2">
      <c r="A3442" t="s">
        <v>4564</v>
      </c>
      <c r="B3442" t="s">
        <v>2360</v>
      </c>
      <c r="C3442" s="9">
        <v>45016</v>
      </c>
      <c r="D3442" t="s">
        <v>966</v>
      </c>
      <c r="E3442" s="13">
        <v>8500000</v>
      </c>
      <c r="F3442" s="13">
        <v>27750</v>
      </c>
      <c r="G3442" s="9">
        <v>45018</v>
      </c>
      <c r="H3442" t="s">
        <v>1063</v>
      </c>
      <c r="I3442" t="s">
        <v>1515</v>
      </c>
      <c r="J3442" s="13">
        <v>377400</v>
      </c>
      <c r="K3442">
        <v>1</v>
      </c>
      <c r="L3442" t="s">
        <v>1064</v>
      </c>
      <c r="M3442" t="s">
        <v>1516</v>
      </c>
      <c r="N3442" s="15" t="s">
        <v>6878</v>
      </c>
    </row>
    <row r="3443" spans="1:14" x14ac:dyDescent="0.2">
      <c r="A3443" t="s">
        <v>4565</v>
      </c>
      <c r="B3443" t="s">
        <v>2360</v>
      </c>
      <c r="C3443" s="9">
        <v>45016</v>
      </c>
      <c r="D3443" t="s">
        <v>966</v>
      </c>
      <c r="E3443" s="13">
        <v>8500000</v>
      </c>
      <c r="F3443" s="13">
        <v>27750</v>
      </c>
      <c r="G3443" s="9">
        <v>45018</v>
      </c>
      <c r="H3443" t="s">
        <v>1063</v>
      </c>
      <c r="I3443" t="s">
        <v>1515</v>
      </c>
      <c r="J3443" s="13">
        <v>377400</v>
      </c>
      <c r="K3443">
        <v>1</v>
      </c>
      <c r="L3443" t="s">
        <v>1064</v>
      </c>
      <c r="M3443" t="s">
        <v>1516</v>
      </c>
      <c r="N3443" s="15" t="s">
        <v>6878</v>
      </c>
    </row>
    <row r="3444" spans="1:14" x14ac:dyDescent="0.2">
      <c r="A3444" t="s">
        <v>4566</v>
      </c>
      <c r="B3444" t="s">
        <v>2360</v>
      </c>
      <c r="C3444" s="9">
        <v>45016</v>
      </c>
      <c r="D3444" t="s">
        <v>966</v>
      </c>
      <c r="E3444" s="13">
        <v>8500000</v>
      </c>
      <c r="F3444" s="13">
        <v>27750</v>
      </c>
      <c r="G3444" s="9">
        <v>45018</v>
      </c>
      <c r="H3444" t="s">
        <v>1063</v>
      </c>
      <c r="I3444" t="s">
        <v>1515</v>
      </c>
      <c r="J3444" s="13">
        <v>377400</v>
      </c>
      <c r="K3444">
        <v>1</v>
      </c>
      <c r="L3444" t="s">
        <v>1064</v>
      </c>
      <c r="M3444" t="s">
        <v>1516</v>
      </c>
      <c r="N3444" s="15" t="s">
        <v>6878</v>
      </c>
    </row>
    <row r="3445" spans="1:14" x14ac:dyDescent="0.2">
      <c r="A3445" t="s">
        <v>4567</v>
      </c>
      <c r="B3445" t="s">
        <v>2360</v>
      </c>
      <c r="C3445" s="9">
        <v>45016</v>
      </c>
      <c r="D3445" t="s">
        <v>966</v>
      </c>
      <c r="E3445" s="13">
        <v>8500000</v>
      </c>
      <c r="F3445" s="13">
        <v>27750</v>
      </c>
      <c r="G3445" s="9">
        <v>45018</v>
      </c>
      <c r="H3445" t="s">
        <v>1063</v>
      </c>
      <c r="I3445" t="s">
        <v>1515</v>
      </c>
      <c r="J3445" s="13">
        <v>377400</v>
      </c>
      <c r="K3445">
        <v>1</v>
      </c>
      <c r="L3445" t="s">
        <v>1064</v>
      </c>
      <c r="M3445" t="s">
        <v>1516</v>
      </c>
      <c r="N3445" s="15" t="s">
        <v>6878</v>
      </c>
    </row>
    <row r="3446" spans="1:14" x14ac:dyDescent="0.2">
      <c r="A3446" t="s">
        <v>4568</v>
      </c>
      <c r="B3446" t="s">
        <v>2360</v>
      </c>
      <c r="C3446" s="9">
        <v>45016</v>
      </c>
      <c r="D3446" t="s">
        <v>966</v>
      </c>
      <c r="E3446" s="13">
        <v>8500000</v>
      </c>
      <c r="F3446" s="13">
        <v>27750</v>
      </c>
      <c r="G3446" s="9">
        <v>45018</v>
      </c>
      <c r="H3446" t="s">
        <v>1063</v>
      </c>
      <c r="I3446" t="s">
        <v>1515</v>
      </c>
      <c r="J3446" s="13">
        <v>377400</v>
      </c>
      <c r="K3446">
        <v>1</v>
      </c>
      <c r="L3446" t="s">
        <v>1064</v>
      </c>
      <c r="M3446" t="s">
        <v>1516</v>
      </c>
      <c r="N3446" s="15" t="s">
        <v>6878</v>
      </c>
    </row>
    <row r="3447" spans="1:14" x14ac:dyDescent="0.2">
      <c r="A3447" t="s">
        <v>4569</v>
      </c>
      <c r="B3447" t="s">
        <v>2360</v>
      </c>
      <c r="C3447" s="9">
        <v>45016</v>
      </c>
      <c r="D3447" t="s">
        <v>966</v>
      </c>
      <c r="E3447" s="13">
        <v>8500000</v>
      </c>
      <c r="F3447" s="13">
        <v>27750</v>
      </c>
      <c r="G3447" s="9">
        <v>45018</v>
      </c>
      <c r="H3447" t="s">
        <v>1063</v>
      </c>
      <c r="I3447" t="s">
        <v>1515</v>
      </c>
      <c r="J3447" s="13">
        <v>377400</v>
      </c>
      <c r="K3447">
        <v>1</v>
      </c>
      <c r="L3447" t="s">
        <v>1064</v>
      </c>
      <c r="M3447" t="s">
        <v>1516</v>
      </c>
      <c r="N3447" s="15" t="s">
        <v>6878</v>
      </c>
    </row>
    <row r="3448" spans="1:14" x14ac:dyDescent="0.2">
      <c r="A3448" t="s">
        <v>4570</v>
      </c>
      <c r="B3448" t="s">
        <v>2360</v>
      </c>
      <c r="C3448" s="9">
        <v>45016</v>
      </c>
      <c r="D3448" t="s">
        <v>966</v>
      </c>
      <c r="E3448" s="13">
        <v>8500000</v>
      </c>
      <c r="F3448" s="13">
        <v>27750</v>
      </c>
      <c r="G3448" s="9">
        <v>45018</v>
      </c>
      <c r="H3448" t="s">
        <v>1063</v>
      </c>
      <c r="I3448" t="s">
        <v>1515</v>
      </c>
      <c r="J3448" s="13">
        <v>377400</v>
      </c>
      <c r="K3448">
        <v>1</v>
      </c>
      <c r="L3448" t="s">
        <v>1064</v>
      </c>
      <c r="M3448" t="s">
        <v>1516</v>
      </c>
      <c r="N3448" s="15" t="s">
        <v>6878</v>
      </c>
    </row>
    <row r="3449" spans="1:14" x14ac:dyDescent="0.2">
      <c r="A3449" t="s">
        <v>4571</v>
      </c>
      <c r="B3449" t="s">
        <v>2360</v>
      </c>
      <c r="C3449" s="9">
        <v>45016</v>
      </c>
      <c r="D3449" t="s">
        <v>966</v>
      </c>
      <c r="E3449" s="13">
        <v>8500000</v>
      </c>
      <c r="F3449" s="13">
        <v>27750</v>
      </c>
      <c r="G3449" s="9">
        <v>45018</v>
      </c>
      <c r="H3449" t="s">
        <v>1063</v>
      </c>
      <c r="I3449" t="s">
        <v>1515</v>
      </c>
      <c r="J3449" s="13">
        <v>377400</v>
      </c>
      <c r="K3449">
        <v>1</v>
      </c>
      <c r="L3449" t="s">
        <v>1064</v>
      </c>
      <c r="M3449" t="s">
        <v>1516</v>
      </c>
      <c r="N3449" s="15" t="s">
        <v>6878</v>
      </c>
    </row>
    <row r="3450" spans="1:14" x14ac:dyDescent="0.2">
      <c r="A3450" t="s">
        <v>4572</v>
      </c>
      <c r="B3450" t="s">
        <v>2360</v>
      </c>
      <c r="C3450" s="9">
        <v>45016</v>
      </c>
      <c r="D3450" t="s">
        <v>966</v>
      </c>
      <c r="E3450" s="13">
        <v>8500000</v>
      </c>
      <c r="F3450" s="13">
        <v>27750</v>
      </c>
      <c r="G3450" s="9">
        <v>45018</v>
      </c>
      <c r="H3450" t="s">
        <v>1063</v>
      </c>
      <c r="I3450" t="s">
        <v>1515</v>
      </c>
      <c r="J3450" s="13">
        <v>377400</v>
      </c>
      <c r="K3450">
        <v>1</v>
      </c>
      <c r="L3450" t="s">
        <v>1064</v>
      </c>
      <c r="M3450" t="s">
        <v>1516</v>
      </c>
      <c r="N3450" s="15" t="s">
        <v>6878</v>
      </c>
    </row>
    <row r="3451" spans="1:14" x14ac:dyDescent="0.2">
      <c r="A3451" t="s">
        <v>4573</v>
      </c>
      <c r="B3451" t="s">
        <v>2360</v>
      </c>
      <c r="C3451" s="9">
        <v>45016</v>
      </c>
      <c r="D3451" t="s">
        <v>966</v>
      </c>
      <c r="E3451" s="13">
        <v>8500000</v>
      </c>
      <c r="F3451" s="13">
        <v>27750</v>
      </c>
      <c r="G3451" s="9">
        <v>45018</v>
      </c>
      <c r="H3451" t="s">
        <v>1063</v>
      </c>
      <c r="I3451" t="s">
        <v>1515</v>
      </c>
      <c r="J3451" s="13">
        <v>377400</v>
      </c>
      <c r="K3451">
        <v>1</v>
      </c>
      <c r="L3451" t="s">
        <v>1064</v>
      </c>
      <c r="M3451" t="s">
        <v>1516</v>
      </c>
      <c r="N3451" s="15" t="s">
        <v>6878</v>
      </c>
    </row>
    <row r="3452" spans="1:14" x14ac:dyDescent="0.2">
      <c r="A3452" t="s">
        <v>4574</v>
      </c>
      <c r="B3452" t="s">
        <v>2360</v>
      </c>
      <c r="C3452" s="9">
        <v>45017</v>
      </c>
      <c r="D3452" t="s">
        <v>964</v>
      </c>
      <c r="E3452" s="13">
        <v>10500000</v>
      </c>
      <c r="F3452" s="13">
        <v>27750</v>
      </c>
      <c r="G3452" s="9">
        <v>45018</v>
      </c>
      <c r="H3452" t="s">
        <v>1111</v>
      </c>
      <c r="I3452" t="s">
        <v>2520</v>
      </c>
      <c r="J3452" s="13">
        <v>291375</v>
      </c>
      <c r="K3452">
        <v>1</v>
      </c>
      <c r="L3452" t="s">
        <v>1064</v>
      </c>
      <c r="M3452" t="s">
        <v>2521</v>
      </c>
      <c r="N3452" s="15" t="s">
        <v>6878</v>
      </c>
    </row>
    <row r="3453" spans="1:14" x14ac:dyDescent="0.2">
      <c r="A3453" t="s">
        <v>4575</v>
      </c>
      <c r="B3453" t="s">
        <v>2360</v>
      </c>
      <c r="C3453" s="9">
        <v>45017</v>
      </c>
      <c r="D3453" t="s">
        <v>964</v>
      </c>
      <c r="E3453" s="13">
        <v>13500000</v>
      </c>
      <c r="F3453" s="13">
        <v>27750</v>
      </c>
      <c r="G3453" s="9">
        <v>45018</v>
      </c>
      <c r="H3453" t="s">
        <v>1111</v>
      </c>
      <c r="I3453" t="s">
        <v>2520</v>
      </c>
      <c r="J3453" s="13">
        <v>374625</v>
      </c>
      <c r="K3453">
        <v>1</v>
      </c>
      <c r="L3453" t="s">
        <v>1064</v>
      </c>
      <c r="M3453" t="s">
        <v>2521</v>
      </c>
      <c r="N3453" s="15" t="s">
        <v>6878</v>
      </c>
    </row>
    <row r="3454" spans="1:14" x14ac:dyDescent="0.2">
      <c r="A3454" t="s">
        <v>4576</v>
      </c>
      <c r="B3454" t="s">
        <v>2360</v>
      </c>
      <c r="C3454" s="9">
        <v>45017</v>
      </c>
      <c r="D3454" t="s">
        <v>964</v>
      </c>
      <c r="E3454" s="13">
        <v>10500000</v>
      </c>
      <c r="F3454" s="13">
        <v>27750</v>
      </c>
      <c r="G3454" s="9">
        <v>45018</v>
      </c>
      <c r="H3454" t="s">
        <v>1111</v>
      </c>
      <c r="I3454" t="s">
        <v>2520</v>
      </c>
      <c r="J3454" s="13">
        <v>291375</v>
      </c>
      <c r="K3454">
        <v>1</v>
      </c>
      <c r="L3454" t="s">
        <v>1064</v>
      </c>
      <c r="M3454" t="s">
        <v>2521</v>
      </c>
      <c r="N3454" s="15" t="s">
        <v>6878</v>
      </c>
    </row>
    <row r="3455" spans="1:14" x14ac:dyDescent="0.2">
      <c r="A3455" t="s">
        <v>4577</v>
      </c>
      <c r="B3455" t="s">
        <v>2360</v>
      </c>
      <c r="C3455" s="9">
        <v>45017</v>
      </c>
      <c r="D3455" t="s">
        <v>964</v>
      </c>
      <c r="E3455" s="13">
        <v>9000000</v>
      </c>
      <c r="F3455" s="13">
        <v>27750</v>
      </c>
      <c r="G3455" s="9">
        <v>45018</v>
      </c>
      <c r="H3455" t="s">
        <v>1111</v>
      </c>
      <c r="I3455" t="s">
        <v>2520</v>
      </c>
      <c r="J3455" s="13">
        <v>249750</v>
      </c>
      <c r="K3455">
        <v>1</v>
      </c>
      <c r="L3455" t="s">
        <v>1064</v>
      </c>
      <c r="M3455" t="s">
        <v>2521</v>
      </c>
      <c r="N3455" s="15" t="s">
        <v>6878</v>
      </c>
    </row>
    <row r="3456" spans="1:14" x14ac:dyDescent="0.2">
      <c r="A3456" t="s">
        <v>4578</v>
      </c>
      <c r="B3456" t="s">
        <v>2360</v>
      </c>
      <c r="C3456" s="9">
        <v>45017</v>
      </c>
      <c r="D3456" t="s">
        <v>964</v>
      </c>
      <c r="E3456" s="13">
        <v>13500000</v>
      </c>
      <c r="F3456" s="13">
        <v>27750</v>
      </c>
      <c r="G3456" s="9">
        <v>45018</v>
      </c>
      <c r="H3456" t="s">
        <v>1111</v>
      </c>
      <c r="I3456" t="s">
        <v>2520</v>
      </c>
      <c r="J3456" s="13">
        <v>374625</v>
      </c>
      <c r="K3456">
        <v>1</v>
      </c>
      <c r="L3456" t="s">
        <v>1064</v>
      </c>
      <c r="M3456" t="s">
        <v>2521</v>
      </c>
      <c r="N3456" s="15" t="s">
        <v>6878</v>
      </c>
    </row>
    <row r="3457" spans="1:14" x14ac:dyDescent="0.2">
      <c r="A3457" t="s">
        <v>4579</v>
      </c>
      <c r="B3457" t="s">
        <v>2360</v>
      </c>
      <c r="C3457" s="9">
        <v>45017</v>
      </c>
      <c r="D3457" t="s">
        <v>981</v>
      </c>
      <c r="E3457" s="13">
        <v>8125000</v>
      </c>
      <c r="F3457" s="13">
        <v>27750</v>
      </c>
      <c r="G3457" s="9">
        <v>45017</v>
      </c>
      <c r="H3457" t="s">
        <v>1063</v>
      </c>
      <c r="I3457" t="s">
        <v>4222</v>
      </c>
      <c r="J3457" s="13">
        <v>360750</v>
      </c>
      <c r="K3457">
        <v>1</v>
      </c>
      <c r="L3457" t="s">
        <v>1064</v>
      </c>
      <c r="M3457" t="s">
        <v>4223</v>
      </c>
      <c r="N3457" s="15" t="s">
        <v>6878</v>
      </c>
    </row>
    <row r="3458" spans="1:14" x14ac:dyDescent="0.2">
      <c r="A3458" t="s">
        <v>4580</v>
      </c>
      <c r="B3458" t="s">
        <v>2360</v>
      </c>
      <c r="C3458" s="9">
        <v>45017</v>
      </c>
      <c r="D3458" t="s">
        <v>981</v>
      </c>
      <c r="E3458" s="13">
        <v>1150000</v>
      </c>
      <c r="F3458" s="13">
        <v>27750</v>
      </c>
      <c r="G3458" s="9">
        <v>45017</v>
      </c>
      <c r="H3458" t="s">
        <v>1063</v>
      </c>
      <c r="I3458" t="s">
        <v>4222</v>
      </c>
      <c r="J3458" s="13">
        <v>51060</v>
      </c>
      <c r="K3458">
        <v>1</v>
      </c>
      <c r="L3458" t="s">
        <v>1064</v>
      </c>
      <c r="M3458" t="s">
        <v>4223</v>
      </c>
      <c r="N3458" s="15" t="s">
        <v>6878</v>
      </c>
    </row>
    <row r="3459" spans="1:14" x14ac:dyDescent="0.2">
      <c r="A3459" t="s">
        <v>4581</v>
      </c>
      <c r="B3459" t="s">
        <v>2360</v>
      </c>
      <c r="C3459" s="9">
        <v>45017</v>
      </c>
      <c r="D3459" t="s">
        <v>981</v>
      </c>
      <c r="E3459" s="13">
        <v>3275000</v>
      </c>
      <c r="F3459" s="13">
        <v>27750</v>
      </c>
      <c r="G3459" s="9">
        <v>45017</v>
      </c>
      <c r="H3459" t="s">
        <v>1063</v>
      </c>
      <c r="I3459" t="s">
        <v>4222</v>
      </c>
      <c r="J3459" s="13">
        <v>145410</v>
      </c>
      <c r="K3459">
        <v>1</v>
      </c>
      <c r="L3459" t="s">
        <v>1064</v>
      </c>
      <c r="M3459" t="s">
        <v>4223</v>
      </c>
      <c r="N3459" s="15" t="s">
        <v>6878</v>
      </c>
    </row>
    <row r="3460" spans="1:14" x14ac:dyDescent="0.2">
      <c r="A3460" t="s">
        <v>4582</v>
      </c>
      <c r="B3460" t="s">
        <v>2360</v>
      </c>
      <c r="C3460" s="9">
        <v>45017</v>
      </c>
      <c r="D3460" t="s">
        <v>981</v>
      </c>
      <c r="E3460" s="13">
        <v>3275000</v>
      </c>
      <c r="F3460" s="13">
        <v>27750</v>
      </c>
      <c r="G3460" s="9">
        <v>45017</v>
      </c>
      <c r="H3460" t="s">
        <v>1063</v>
      </c>
      <c r="I3460" t="s">
        <v>4222</v>
      </c>
      <c r="J3460" s="13">
        <v>145410</v>
      </c>
      <c r="K3460">
        <v>1</v>
      </c>
      <c r="L3460" t="s">
        <v>1064</v>
      </c>
      <c r="M3460" t="s">
        <v>4223</v>
      </c>
      <c r="N3460" s="15" t="s">
        <v>6878</v>
      </c>
    </row>
    <row r="3461" spans="1:14" x14ac:dyDescent="0.2">
      <c r="A3461" t="s">
        <v>4583</v>
      </c>
      <c r="B3461" t="s">
        <v>2360</v>
      </c>
      <c r="C3461" s="9">
        <v>45017</v>
      </c>
      <c r="D3461" t="s">
        <v>981</v>
      </c>
      <c r="E3461" s="13">
        <v>1150000</v>
      </c>
      <c r="F3461" s="13">
        <v>27750</v>
      </c>
      <c r="G3461" s="9">
        <v>45017</v>
      </c>
      <c r="H3461" t="s">
        <v>1063</v>
      </c>
      <c r="I3461" t="s">
        <v>4222</v>
      </c>
      <c r="J3461" s="13">
        <v>51060</v>
      </c>
      <c r="K3461">
        <v>1</v>
      </c>
      <c r="L3461" t="s">
        <v>1064</v>
      </c>
      <c r="M3461" t="s">
        <v>4223</v>
      </c>
      <c r="N3461" s="15" t="s">
        <v>6878</v>
      </c>
    </row>
    <row r="3462" spans="1:14" x14ac:dyDescent="0.2">
      <c r="A3462" t="s">
        <v>4584</v>
      </c>
      <c r="B3462" t="s">
        <v>2360</v>
      </c>
      <c r="C3462" s="9">
        <v>45017</v>
      </c>
      <c r="D3462" t="s">
        <v>981</v>
      </c>
      <c r="E3462" s="13">
        <v>1905000</v>
      </c>
      <c r="F3462" s="13">
        <v>27750</v>
      </c>
      <c r="G3462" s="9">
        <v>45017</v>
      </c>
      <c r="H3462" t="s">
        <v>1063</v>
      </c>
      <c r="I3462" t="s">
        <v>4222</v>
      </c>
      <c r="J3462" s="13">
        <v>84582</v>
      </c>
      <c r="K3462">
        <v>1</v>
      </c>
      <c r="L3462" t="s">
        <v>1064</v>
      </c>
      <c r="M3462" t="s">
        <v>4223</v>
      </c>
      <c r="N3462" s="15" t="s">
        <v>6878</v>
      </c>
    </row>
    <row r="3463" spans="1:14" x14ac:dyDescent="0.2">
      <c r="A3463" t="s">
        <v>4585</v>
      </c>
      <c r="B3463" t="s">
        <v>2360</v>
      </c>
      <c r="C3463" s="9">
        <v>45017</v>
      </c>
      <c r="D3463" t="s">
        <v>981</v>
      </c>
      <c r="E3463" s="13">
        <v>1905000</v>
      </c>
      <c r="F3463" s="13">
        <v>27750</v>
      </c>
      <c r="G3463" s="9">
        <v>45017</v>
      </c>
      <c r="H3463" t="s">
        <v>1063</v>
      </c>
      <c r="I3463" t="s">
        <v>4222</v>
      </c>
      <c r="J3463" s="13">
        <v>84582</v>
      </c>
      <c r="K3463">
        <v>1</v>
      </c>
      <c r="L3463" t="s">
        <v>1064</v>
      </c>
      <c r="M3463" t="s">
        <v>4223</v>
      </c>
      <c r="N3463" s="15" t="s">
        <v>6878</v>
      </c>
    </row>
    <row r="3464" spans="1:14" x14ac:dyDescent="0.2">
      <c r="A3464" t="s">
        <v>4586</v>
      </c>
      <c r="B3464" t="s">
        <v>2360</v>
      </c>
      <c r="C3464" s="9">
        <v>45017</v>
      </c>
      <c r="D3464" t="s">
        <v>981</v>
      </c>
      <c r="E3464" s="13">
        <v>1905000</v>
      </c>
      <c r="F3464" s="13">
        <v>27750</v>
      </c>
      <c r="G3464" s="9">
        <v>45017</v>
      </c>
      <c r="H3464" t="s">
        <v>1063</v>
      </c>
      <c r="I3464" t="s">
        <v>4222</v>
      </c>
      <c r="J3464" s="13">
        <v>84582</v>
      </c>
      <c r="K3464">
        <v>1</v>
      </c>
      <c r="L3464" t="s">
        <v>1064</v>
      </c>
      <c r="M3464" t="s">
        <v>4223</v>
      </c>
      <c r="N3464" s="15" t="s">
        <v>6878</v>
      </c>
    </row>
    <row r="3465" spans="1:14" x14ac:dyDescent="0.2">
      <c r="A3465" t="s">
        <v>4587</v>
      </c>
      <c r="B3465" t="s">
        <v>2360</v>
      </c>
      <c r="C3465" s="9">
        <v>45017</v>
      </c>
      <c r="D3465" t="s">
        <v>981</v>
      </c>
      <c r="E3465" s="13">
        <v>1905000</v>
      </c>
      <c r="F3465" s="13">
        <v>27750</v>
      </c>
      <c r="G3465" s="9">
        <v>45017</v>
      </c>
      <c r="H3465" t="s">
        <v>1063</v>
      </c>
      <c r="I3465" t="s">
        <v>4222</v>
      </c>
      <c r="J3465" s="13">
        <v>84582</v>
      </c>
      <c r="K3465">
        <v>1</v>
      </c>
      <c r="L3465" t="s">
        <v>1064</v>
      </c>
      <c r="M3465" t="s">
        <v>4223</v>
      </c>
      <c r="N3465" s="15" t="s">
        <v>6878</v>
      </c>
    </row>
    <row r="3466" spans="1:14" x14ac:dyDescent="0.2">
      <c r="A3466" t="s">
        <v>4588</v>
      </c>
      <c r="B3466" t="s">
        <v>2360</v>
      </c>
      <c r="C3466" s="9">
        <v>45017</v>
      </c>
      <c r="D3466" t="s">
        <v>981</v>
      </c>
      <c r="E3466" s="13">
        <v>1905000</v>
      </c>
      <c r="F3466" s="13">
        <v>27750</v>
      </c>
      <c r="G3466" s="9">
        <v>45017</v>
      </c>
      <c r="H3466" t="s">
        <v>1063</v>
      </c>
      <c r="I3466" t="s">
        <v>4222</v>
      </c>
      <c r="J3466" s="13">
        <v>84582</v>
      </c>
      <c r="K3466">
        <v>1</v>
      </c>
      <c r="L3466" t="s">
        <v>1064</v>
      </c>
      <c r="M3466" t="s">
        <v>4223</v>
      </c>
      <c r="N3466" s="15" t="s">
        <v>6878</v>
      </c>
    </row>
    <row r="3467" spans="1:14" x14ac:dyDescent="0.2">
      <c r="A3467" t="s">
        <v>4589</v>
      </c>
      <c r="B3467" t="s">
        <v>2360</v>
      </c>
      <c r="C3467" s="9">
        <v>45017</v>
      </c>
      <c r="D3467" t="s">
        <v>981</v>
      </c>
      <c r="E3467" s="13">
        <v>1905000</v>
      </c>
      <c r="F3467" s="13">
        <v>27750</v>
      </c>
      <c r="G3467" s="9">
        <v>45017</v>
      </c>
      <c r="H3467" t="s">
        <v>1063</v>
      </c>
      <c r="I3467" t="s">
        <v>4222</v>
      </c>
      <c r="J3467" s="13">
        <v>84582</v>
      </c>
      <c r="K3467">
        <v>1</v>
      </c>
      <c r="L3467" t="s">
        <v>1064</v>
      </c>
      <c r="M3467" t="s">
        <v>4223</v>
      </c>
      <c r="N3467" s="15" t="s">
        <v>6878</v>
      </c>
    </row>
    <row r="3468" spans="1:14" x14ac:dyDescent="0.2">
      <c r="A3468" t="s">
        <v>4590</v>
      </c>
      <c r="B3468" t="s">
        <v>2360</v>
      </c>
      <c r="C3468" s="9">
        <v>45017</v>
      </c>
      <c r="D3468" t="s">
        <v>981</v>
      </c>
      <c r="E3468" s="13">
        <v>2315000</v>
      </c>
      <c r="F3468" s="13">
        <v>27750</v>
      </c>
      <c r="G3468" s="9">
        <v>45017</v>
      </c>
      <c r="H3468" t="s">
        <v>1063</v>
      </c>
      <c r="I3468" t="s">
        <v>4222</v>
      </c>
      <c r="J3468" s="13">
        <v>102786</v>
      </c>
      <c r="K3468">
        <v>1</v>
      </c>
      <c r="L3468" t="s">
        <v>1064</v>
      </c>
      <c r="M3468" t="s">
        <v>4223</v>
      </c>
      <c r="N3468" s="15" t="s">
        <v>6878</v>
      </c>
    </row>
    <row r="3469" spans="1:14" x14ac:dyDescent="0.2">
      <c r="A3469" t="s">
        <v>4591</v>
      </c>
      <c r="B3469" t="s">
        <v>2360</v>
      </c>
      <c r="C3469" s="9">
        <v>45017</v>
      </c>
      <c r="D3469" t="s">
        <v>981</v>
      </c>
      <c r="E3469" s="13">
        <v>3425000</v>
      </c>
      <c r="F3469" s="13">
        <v>27750</v>
      </c>
      <c r="G3469" s="9">
        <v>45017</v>
      </c>
      <c r="H3469" t="s">
        <v>1063</v>
      </c>
      <c r="I3469" t="s">
        <v>4222</v>
      </c>
      <c r="J3469" s="13">
        <v>152070</v>
      </c>
      <c r="K3469">
        <v>1</v>
      </c>
      <c r="L3469" t="s">
        <v>1064</v>
      </c>
      <c r="M3469" t="s">
        <v>4223</v>
      </c>
      <c r="N3469" s="15" t="s">
        <v>6878</v>
      </c>
    </row>
    <row r="3470" spans="1:14" x14ac:dyDescent="0.2">
      <c r="A3470" t="s">
        <v>4592</v>
      </c>
      <c r="B3470" t="s">
        <v>2360</v>
      </c>
      <c r="C3470" s="9">
        <v>45017</v>
      </c>
      <c r="D3470" t="s">
        <v>981</v>
      </c>
      <c r="E3470" s="13">
        <v>1905000</v>
      </c>
      <c r="F3470" s="13">
        <v>27750</v>
      </c>
      <c r="G3470" s="9">
        <v>45017</v>
      </c>
      <c r="H3470" t="s">
        <v>1063</v>
      </c>
      <c r="I3470" t="s">
        <v>4222</v>
      </c>
      <c r="J3470" s="13">
        <v>84582</v>
      </c>
      <c r="K3470">
        <v>1</v>
      </c>
      <c r="L3470" t="s">
        <v>1064</v>
      </c>
      <c r="M3470" t="s">
        <v>4223</v>
      </c>
      <c r="N3470" s="15" t="s">
        <v>6878</v>
      </c>
    </row>
    <row r="3471" spans="1:14" x14ac:dyDescent="0.2">
      <c r="A3471" t="s">
        <v>4593</v>
      </c>
      <c r="B3471" t="s">
        <v>2360</v>
      </c>
      <c r="C3471" s="9">
        <v>45017</v>
      </c>
      <c r="D3471" t="s">
        <v>981</v>
      </c>
      <c r="E3471" s="13">
        <v>1905000</v>
      </c>
      <c r="F3471" s="13">
        <v>27750</v>
      </c>
      <c r="G3471" s="9">
        <v>45017</v>
      </c>
      <c r="H3471" t="s">
        <v>1063</v>
      </c>
      <c r="I3471" t="s">
        <v>4222</v>
      </c>
      <c r="J3471" s="13">
        <v>84582</v>
      </c>
      <c r="K3471">
        <v>1</v>
      </c>
      <c r="L3471" t="s">
        <v>1064</v>
      </c>
      <c r="M3471" t="s">
        <v>4223</v>
      </c>
      <c r="N3471" s="15" t="s">
        <v>6878</v>
      </c>
    </row>
    <row r="3472" spans="1:14" x14ac:dyDescent="0.2">
      <c r="A3472" t="s">
        <v>4594</v>
      </c>
      <c r="B3472" t="s">
        <v>2360</v>
      </c>
      <c r="C3472" s="9">
        <v>45017</v>
      </c>
      <c r="D3472" t="s">
        <v>981</v>
      </c>
      <c r="E3472" s="13">
        <v>2410000</v>
      </c>
      <c r="F3472" s="13">
        <v>27750</v>
      </c>
      <c r="G3472" s="9">
        <v>45017</v>
      </c>
      <c r="H3472" t="s">
        <v>1063</v>
      </c>
      <c r="I3472" t="s">
        <v>4222</v>
      </c>
      <c r="J3472" s="13">
        <v>107004</v>
      </c>
      <c r="K3472">
        <v>1</v>
      </c>
      <c r="L3472" t="s">
        <v>1064</v>
      </c>
      <c r="M3472" t="s">
        <v>4223</v>
      </c>
      <c r="N3472" s="15" t="s">
        <v>6878</v>
      </c>
    </row>
    <row r="3473" spans="1:14" x14ac:dyDescent="0.2">
      <c r="A3473" t="s">
        <v>4595</v>
      </c>
      <c r="B3473" t="s">
        <v>2360</v>
      </c>
      <c r="C3473" s="9">
        <v>45017</v>
      </c>
      <c r="D3473" t="s">
        <v>981</v>
      </c>
      <c r="E3473" s="13">
        <v>1905000</v>
      </c>
      <c r="F3473" s="13">
        <v>27750</v>
      </c>
      <c r="G3473" s="9">
        <v>45017</v>
      </c>
      <c r="H3473" t="s">
        <v>1063</v>
      </c>
      <c r="I3473" t="s">
        <v>4222</v>
      </c>
      <c r="J3473" s="13">
        <v>84582</v>
      </c>
      <c r="K3473">
        <v>1</v>
      </c>
      <c r="L3473" t="s">
        <v>1064</v>
      </c>
      <c r="M3473" t="s">
        <v>4223</v>
      </c>
      <c r="N3473" s="15" t="s">
        <v>6878</v>
      </c>
    </row>
    <row r="3474" spans="1:14" x14ac:dyDescent="0.2">
      <c r="A3474" t="s">
        <v>4596</v>
      </c>
      <c r="B3474" t="s">
        <v>2360</v>
      </c>
      <c r="C3474" s="9">
        <v>45017</v>
      </c>
      <c r="D3474" t="s">
        <v>981</v>
      </c>
      <c r="E3474" s="13">
        <v>2510000</v>
      </c>
      <c r="F3474" s="13">
        <v>27750</v>
      </c>
      <c r="G3474" s="9">
        <v>45017</v>
      </c>
      <c r="H3474" t="s">
        <v>1063</v>
      </c>
      <c r="I3474" t="s">
        <v>4222</v>
      </c>
      <c r="J3474" s="13">
        <v>111444</v>
      </c>
      <c r="K3474">
        <v>1</v>
      </c>
      <c r="L3474" t="s">
        <v>1064</v>
      </c>
      <c r="M3474" t="s">
        <v>4223</v>
      </c>
      <c r="N3474" s="15" t="s">
        <v>6878</v>
      </c>
    </row>
    <row r="3475" spans="1:14" x14ac:dyDescent="0.2">
      <c r="A3475" t="s">
        <v>4597</v>
      </c>
      <c r="B3475" t="s">
        <v>2360</v>
      </c>
      <c r="C3475" s="9">
        <v>45017</v>
      </c>
      <c r="D3475" t="s">
        <v>981</v>
      </c>
      <c r="E3475" s="13">
        <v>3275000</v>
      </c>
      <c r="F3475" s="13">
        <v>27750</v>
      </c>
      <c r="G3475" s="9">
        <v>45017</v>
      </c>
      <c r="H3475" t="s">
        <v>1063</v>
      </c>
      <c r="I3475" t="s">
        <v>4222</v>
      </c>
      <c r="J3475" s="13">
        <v>145410</v>
      </c>
      <c r="K3475">
        <v>1</v>
      </c>
      <c r="L3475" t="s">
        <v>1064</v>
      </c>
      <c r="M3475" t="s">
        <v>4223</v>
      </c>
      <c r="N3475" s="15" t="s">
        <v>6878</v>
      </c>
    </row>
    <row r="3476" spans="1:14" x14ac:dyDescent="0.2">
      <c r="A3476" t="s">
        <v>4598</v>
      </c>
      <c r="B3476" t="s">
        <v>2360</v>
      </c>
      <c r="C3476" s="9">
        <v>45017</v>
      </c>
      <c r="D3476" t="s">
        <v>981</v>
      </c>
      <c r="E3476" s="13">
        <v>2760000</v>
      </c>
      <c r="F3476" s="13">
        <v>27750</v>
      </c>
      <c r="G3476" s="9">
        <v>45017</v>
      </c>
      <c r="H3476" t="s">
        <v>1063</v>
      </c>
      <c r="I3476" t="s">
        <v>4222</v>
      </c>
      <c r="J3476" s="13">
        <v>122544</v>
      </c>
      <c r="K3476">
        <v>1</v>
      </c>
      <c r="L3476" t="s">
        <v>1064</v>
      </c>
      <c r="M3476" t="s">
        <v>4223</v>
      </c>
      <c r="N3476" s="15" t="s">
        <v>6878</v>
      </c>
    </row>
    <row r="3477" spans="1:14" x14ac:dyDescent="0.2">
      <c r="A3477" t="s">
        <v>4599</v>
      </c>
      <c r="B3477" t="s">
        <v>2360</v>
      </c>
      <c r="C3477" s="9">
        <v>45017</v>
      </c>
      <c r="D3477" t="s">
        <v>981</v>
      </c>
      <c r="E3477" s="13">
        <v>1905000</v>
      </c>
      <c r="F3477" s="13">
        <v>27750</v>
      </c>
      <c r="G3477" s="9">
        <v>45017</v>
      </c>
      <c r="H3477" t="s">
        <v>1063</v>
      </c>
      <c r="I3477" t="s">
        <v>4222</v>
      </c>
      <c r="J3477" s="13">
        <v>84582</v>
      </c>
      <c r="K3477">
        <v>1</v>
      </c>
      <c r="L3477" t="s">
        <v>1064</v>
      </c>
      <c r="M3477" t="s">
        <v>4223</v>
      </c>
      <c r="N3477" s="15" t="s">
        <v>6878</v>
      </c>
    </row>
    <row r="3478" spans="1:14" x14ac:dyDescent="0.2">
      <c r="A3478" t="s">
        <v>4600</v>
      </c>
      <c r="B3478" t="s">
        <v>2360</v>
      </c>
      <c r="C3478" s="9">
        <v>45017</v>
      </c>
      <c r="D3478" t="s">
        <v>981</v>
      </c>
      <c r="E3478" s="13">
        <v>1905000</v>
      </c>
      <c r="F3478" s="13">
        <v>27750</v>
      </c>
      <c r="G3478" s="9">
        <v>45017</v>
      </c>
      <c r="H3478" t="s">
        <v>1063</v>
      </c>
      <c r="I3478" t="s">
        <v>4222</v>
      </c>
      <c r="J3478" s="13">
        <v>84582</v>
      </c>
      <c r="K3478">
        <v>1</v>
      </c>
      <c r="L3478" t="s">
        <v>1064</v>
      </c>
      <c r="M3478" t="s">
        <v>4223</v>
      </c>
      <c r="N3478" s="15" t="s">
        <v>6878</v>
      </c>
    </row>
    <row r="3479" spans="1:14" x14ac:dyDescent="0.2">
      <c r="A3479" t="s">
        <v>4601</v>
      </c>
      <c r="B3479" t="s">
        <v>2360</v>
      </c>
      <c r="C3479" s="9">
        <v>45017</v>
      </c>
      <c r="D3479" t="s">
        <v>981</v>
      </c>
      <c r="E3479" s="13">
        <v>1905000</v>
      </c>
      <c r="F3479" s="13">
        <v>27750</v>
      </c>
      <c r="G3479" s="9">
        <v>45017</v>
      </c>
      <c r="H3479" t="s">
        <v>1063</v>
      </c>
      <c r="I3479" t="s">
        <v>4222</v>
      </c>
      <c r="J3479" s="13">
        <v>84582</v>
      </c>
      <c r="K3479">
        <v>1</v>
      </c>
      <c r="L3479" t="s">
        <v>1064</v>
      </c>
      <c r="M3479" t="s">
        <v>4223</v>
      </c>
      <c r="N3479" s="15" t="s">
        <v>6878</v>
      </c>
    </row>
    <row r="3480" spans="1:14" x14ac:dyDescent="0.2">
      <c r="A3480" t="s">
        <v>4602</v>
      </c>
      <c r="B3480" t="s">
        <v>2360</v>
      </c>
      <c r="C3480" s="9">
        <v>45017</v>
      </c>
      <c r="D3480" t="s">
        <v>992</v>
      </c>
      <c r="E3480" s="13">
        <v>1180039</v>
      </c>
      <c r="F3480" s="13">
        <v>22200</v>
      </c>
      <c r="G3480" s="9">
        <v>45066</v>
      </c>
      <c r="H3480" t="s">
        <v>1111</v>
      </c>
      <c r="I3480" t="s">
        <v>2370</v>
      </c>
      <c r="J3480" s="13">
        <v>52393</v>
      </c>
      <c r="K3480">
        <v>1</v>
      </c>
      <c r="L3480" t="s">
        <v>1064</v>
      </c>
      <c r="M3480" t="s">
        <v>2371</v>
      </c>
      <c r="N3480" s="15" t="s">
        <v>6878</v>
      </c>
    </row>
    <row r="3481" spans="1:14" x14ac:dyDescent="0.2">
      <c r="A3481" t="s">
        <v>4603</v>
      </c>
      <c r="B3481" t="s">
        <v>2360</v>
      </c>
      <c r="C3481" s="9">
        <v>45017</v>
      </c>
      <c r="D3481" t="s">
        <v>992</v>
      </c>
      <c r="E3481" s="13">
        <v>3368652</v>
      </c>
      <c r="F3481" s="13">
        <v>22200</v>
      </c>
      <c r="G3481" s="9">
        <v>45024</v>
      </c>
      <c r="H3481" t="s">
        <v>1111</v>
      </c>
      <c r="I3481" t="s">
        <v>2370</v>
      </c>
      <c r="J3481" s="13">
        <v>149568</v>
      </c>
      <c r="K3481">
        <v>1</v>
      </c>
      <c r="L3481" t="s">
        <v>1064</v>
      </c>
      <c r="M3481" t="s">
        <v>2371</v>
      </c>
      <c r="N3481" s="15" t="s">
        <v>6878</v>
      </c>
    </row>
    <row r="3482" spans="1:14" x14ac:dyDescent="0.2">
      <c r="A3482" t="s">
        <v>4604</v>
      </c>
      <c r="B3482" t="s">
        <v>2360</v>
      </c>
      <c r="C3482" s="9">
        <v>45017</v>
      </c>
      <c r="D3482" t="s">
        <v>992</v>
      </c>
      <c r="E3482" s="13">
        <v>2709177</v>
      </c>
      <c r="F3482" s="13">
        <v>22200</v>
      </c>
      <c r="G3482" s="9">
        <v>45024</v>
      </c>
      <c r="H3482" t="s">
        <v>1111</v>
      </c>
      <c r="I3482" t="s">
        <v>2370</v>
      </c>
      <c r="J3482" s="13">
        <v>120287</v>
      </c>
      <c r="K3482">
        <v>1</v>
      </c>
      <c r="L3482" t="s">
        <v>1064</v>
      </c>
      <c r="M3482" t="s">
        <v>2371</v>
      </c>
      <c r="N3482" s="15" t="s">
        <v>6878</v>
      </c>
    </row>
    <row r="3483" spans="1:14" x14ac:dyDescent="0.2">
      <c r="A3483" t="s">
        <v>4605</v>
      </c>
      <c r="B3483" t="s">
        <v>2360</v>
      </c>
      <c r="C3483" s="9">
        <v>45017</v>
      </c>
      <c r="D3483" t="s">
        <v>992</v>
      </c>
      <c r="E3483" s="13">
        <v>3260475</v>
      </c>
      <c r="F3483" s="13">
        <v>22200</v>
      </c>
      <c r="G3483" s="9">
        <v>45024</v>
      </c>
      <c r="H3483" t="s">
        <v>1111</v>
      </c>
      <c r="I3483" t="s">
        <v>2370</v>
      </c>
      <c r="J3483" s="13">
        <v>144765</v>
      </c>
      <c r="K3483">
        <v>1</v>
      </c>
      <c r="L3483" t="s">
        <v>1064</v>
      </c>
      <c r="M3483" t="s">
        <v>2371</v>
      </c>
      <c r="N3483" s="15" t="s">
        <v>6878</v>
      </c>
    </row>
    <row r="3484" spans="1:14" x14ac:dyDescent="0.2">
      <c r="A3484" t="s">
        <v>4606</v>
      </c>
      <c r="B3484" t="s">
        <v>2360</v>
      </c>
      <c r="C3484" s="9">
        <v>45017</v>
      </c>
      <c r="D3484" t="s">
        <v>992</v>
      </c>
      <c r="E3484" s="13">
        <v>4347806</v>
      </c>
      <c r="F3484" s="13">
        <v>22200</v>
      </c>
      <c r="G3484" s="9">
        <v>45024</v>
      </c>
      <c r="H3484" t="s">
        <v>1111</v>
      </c>
      <c r="I3484" t="s">
        <v>2370</v>
      </c>
      <c r="J3484" s="13">
        <v>193042</v>
      </c>
      <c r="K3484">
        <v>1</v>
      </c>
      <c r="L3484" t="s">
        <v>1064</v>
      </c>
      <c r="M3484" t="s">
        <v>2371</v>
      </c>
      <c r="N3484" s="15" t="s">
        <v>6878</v>
      </c>
    </row>
    <row r="3485" spans="1:14" x14ac:dyDescent="0.2">
      <c r="A3485" t="s">
        <v>4607</v>
      </c>
      <c r="B3485" t="s">
        <v>2360</v>
      </c>
      <c r="C3485" s="9">
        <v>45017</v>
      </c>
      <c r="D3485" t="s">
        <v>992</v>
      </c>
      <c r="E3485" s="13">
        <v>3485928</v>
      </c>
      <c r="F3485" s="13">
        <v>22200</v>
      </c>
      <c r="G3485" s="9">
        <v>45024</v>
      </c>
      <c r="H3485" t="s">
        <v>1111</v>
      </c>
      <c r="I3485" t="s">
        <v>2370</v>
      </c>
      <c r="J3485" s="13">
        <v>154775</v>
      </c>
      <c r="K3485">
        <v>1</v>
      </c>
      <c r="L3485" t="s">
        <v>1064</v>
      </c>
      <c r="M3485" t="s">
        <v>2371</v>
      </c>
      <c r="N3485" s="15" t="s">
        <v>6878</v>
      </c>
    </row>
    <row r="3486" spans="1:14" x14ac:dyDescent="0.2">
      <c r="A3486" t="s">
        <v>4608</v>
      </c>
      <c r="B3486" t="s">
        <v>2360</v>
      </c>
      <c r="C3486" s="9">
        <v>45017</v>
      </c>
      <c r="D3486" t="s">
        <v>992</v>
      </c>
      <c r="E3486" s="13">
        <v>1160000</v>
      </c>
      <c r="F3486" s="13">
        <v>22200</v>
      </c>
      <c r="G3486" s="9">
        <v>45066</v>
      </c>
      <c r="H3486" t="s">
        <v>1111</v>
      </c>
      <c r="I3486" t="s">
        <v>2370</v>
      </c>
      <c r="J3486" s="13">
        <v>51504</v>
      </c>
      <c r="K3486">
        <v>1</v>
      </c>
      <c r="L3486" t="s">
        <v>1064</v>
      </c>
      <c r="M3486" t="s">
        <v>2371</v>
      </c>
      <c r="N3486" s="15" t="s">
        <v>6878</v>
      </c>
    </row>
    <row r="3487" spans="1:14" x14ac:dyDescent="0.2">
      <c r="A3487" t="s">
        <v>4609</v>
      </c>
      <c r="B3487" t="s">
        <v>2360</v>
      </c>
      <c r="C3487" s="9">
        <v>45017</v>
      </c>
      <c r="D3487" t="s">
        <v>992</v>
      </c>
      <c r="E3487" s="13">
        <v>3184650</v>
      </c>
      <c r="F3487" s="13">
        <v>22200</v>
      </c>
      <c r="G3487" s="9">
        <v>45066</v>
      </c>
      <c r="H3487" t="s">
        <v>1111</v>
      </c>
      <c r="I3487" t="s">
        <v>2370</v>
      </c>
      <c r="J3487" s="13">
        <v>141398</v>
      </c>
      <c r="K3487">
        <v>1</v>
      </c>
      <c r="L3487" t="s">
        <v>1064</v>
      </c>
      <c r="M3487" t="s">
        <v>2371</v>
      </c>
      <c r="N3487" s="15" t="s">
        <v>6878</v>
      </c>
    </row>
    <row r="3488" spans="1:14" x14ac:dyDescent="0.2">
      <c r="A3488" t="s">
        <v>4610</v>
      </c>
      <c r="B3488" t="s">
        <v>2360</v>
      </c>
      <c r="C3488" s="9">
        <v>45017</v>
      </c>
      <c r="D3488" t="s">
        <v>964</v>
      </c>
      <c r="E3488" s="13">
        <v>4000000</v>
      </c>
      <c r="F3488" s="13">
        <v>27750</v>
      </c>
      <c r="G3488" s="9">
        <v>45018</v>
      </c>
      <c r="H3488" t="s">
        <v>1111</v>
      </c>
      <c r="I3488" t="s">
        <v>2520</v>
      </c>
      <c r="J3488" s="13">
        <v>111000</v>
      </c>
      <c r="K3488">
        <v>1</v>
      </c>
      <c r="L3488" t="s">
        <v>1064</v>
      </c>
      <c r="M3488" t="s">
        <v>2521</v>
      </c>
      <c r="N3488" s="15" t="s">
        <v>6878</v>
      </c>
    </row>
    <row r="3489" spans="1:14" x14ac:dyDescent="0.2">
      <c r="A3489" t="s">
        <v>4611</v>
      </c>
      <c r="B3489" t="s">
        <v>2360</v>
      </c>
      <c r="C3489" s="9">
        <v>45017</v>
      </c>
      <c r="D3489" t="s">
        <v>964</v>
      </c>
      <c r="E3489" s="13">
        <v>4000000</v>
      </c>
      <c r="F3489" s="13">
        <v>27750</v>
      </c>
      <c r="G3489" s="9">
        <v>45018</v>
      </c>
      <c r="H3489" t="s">
        <v>1111</v>
      </c>
      <c r="I3489" t="s">
        <v>2520</v>
      </c>
      <c r="J3489" s="13">
        <v>111000</v>
      </c>
      <c r="K3489">
        <v>1</v>
      </c>
      <c r="L3489" t="s">
        <v>1064</v>
      </c>
      <c r="M3489" t="s">
        <v>2521</v>
      </c>
      <c r="N3489" s="15" t="s">
        <v>6878</v>
      </c>
    </row>
    <row r="3490" spans="1:14" x14ac:dyDescent="0.2">
      <c r="A3490" t="s">
        <v>965</v>
      </c>
      <c r="B3490" t="s">
        <v>2360</v>
      </c>
      <c r="C3490" s="9">
        <v>45017</v>
      </c>
      <c r="D3490" t="s">
        <v>964</v>
      </c>
      <c r="E3490" s="13">
        <v>4000000</v>
      </c>
      <c r="F3490" s="13">
        <v>27750</v>
      </c>
      <c r="G3490" s="9">
        <v>45018</v>
      </c>
      <c r="H3490" t="s">
        <v>1111</v>
      </c>
      <c r="I3490" t="s">
        <v>2520</v>
      </c>
      <c r="J3490" s="13">
        <v>111000</v>
      </c>
      <c r="K3490">
        <v>1</v>
      </c>
      <c r="L3490" t="s">
        <v>1064</v>
      </c>
      <c r="M3490" t="s">
        <v>2521</v>
      </c>
      <c r="N3490" s="15" t="s">
        <v>6878</v>
      </c>
    </row>
    <row r="3491" spans="1:14" x14ac:dyDescent="0.2">
      <c r="A3491" t="s">
        <v>4612</v>
      </c>
      <c r="B3491" t="s">
        <v>2360</v>
      </c>
      <c r="C3491" s="9">
        <v>45018</v>
      </c>
      <c r="D3491" t="s">
        <v>992</v>
      </c>
      <c r="E3491" s="13">
        <v>2240000</v>
      </c>
      <c r="F3491" s="13">
        <v>20000</v>
      </c>
      <c r="H3491" t="s">
        <v>2184</v>
      </c>
      <c r="I3491" t="s">
        <v>2370</v>
      </c>
      <c r="J3491" s="13">
        <v>0</v>
      </c>
      <c r="K3491">
        <v>1</v>
      </c>
      <c r="L3491" t="s">
        <v>1064</v>
      </c>
      <c r="M3491" t="s">
        <v>2371</v>
      </c>
      <c r="N3491" s="14" t="s">
        <v>6877</v>
      </c>
    </row>
    <row r="3492" spans="1:14" x14ac:dyDescent="0.2">
      <c r="A3492" t="s">
        <v>4613</v>
      </c>
      <c r="B3492" t="s">
        <v>2360</v>
      </c>
      <c r="C3492" s="9">
        <v>45019</v>
      </c>
      <c r="D3492" t="s">
        <v>960</v>
      </c>
      <c r="E3492" s="13">
        <v>3500000</v>
      </c>
      <c r="F3492" s="13">
        <v>27750</v>
      </c>
      <c r="G3492" s="9">
        <v>45024</v>
      </c>
      <c r="H3492" t="s">
        <v>1111</v>
      </c>
      <c r="I3492" t="s">
        <v>3814</v>
      </c>
      <c r="J3492" s="13">
        <v>213675</v>
      </c>
      <c r="K3492">
        <v>1</v>
      </c>
      <c r="L3492" t="s">
        <v>1064</v>
      </c>
      <c r="M3492" t="s">
        <v>3815</v>
      </c>
      <c r="N3492" s="15" t="s">
        <v>6878</v>
      </c>
    </row>
    <row r="3493" spans="1:14" x14ac:dyDescent="0.2">
      <c r="A3493" t="s">
        <v>4614</v>
      </c>
      <c r="B3493" t="s">
        <v>2360</v>
      </c>
      <c r="C3493" s="9">
        <v>45019</v>
      </c>
      <c r="D3493" t="s">
        <v>960</v>
      </c>
      <c r="E3493" s="13">
        <v>3500000</v>
      </c>
      <c r="F3493" s="13">
        <v>27750</v>
      </c>
      <c r="G3493" s="9">
        <v>45024</v>
      </c>
      <c r="H3493" t="s">
        <v>1111</v>
      </c>
      <c r="I3493" t="s">
        <v>3814</v>
      </c>
      <c r="J3493" s="13">
        <v>213675</v>
      </c>
      <c r="K3493">
        <v>1</v>
      </c>
      <c r="L3493" t="s">
        <v>1064</v>
      </c>
      <c r="M3493" t="s">
        <v>3815</v>
      </c>
      <c r="N3493" s="15" t="s">
        <v>6878</v>
      </c>
    </row>
    <row r="3494" spans="1:14" x14ac:dyDescent="0.2">
      <c r="A3494" t="s">
        <v>4615</v>
      </c>
      <c r="B3494" t="s">
        <v>2360</v>
      </c>
      <c r="C3494" s="9">
        <v>45019</v>
      </c>
      <c r="D3494" t="s">
        <v>960</v>
      </c>
      <c r="E3494" s="13">
        <v>3500000</v>
      </c>
      <c r="F3494" s="13">
        <v>27750</v>
      </c>
      <c r="G3494" s="9">
        <v>45024</v>
      </c>
      <c r="H3494" t="s">
        <v>1111</v>
      </c>
      <c r="I3494" t="s">
        <v>3814</v>
      </c>
      <c r="J3494" s="13">
        <v>213675</v>
      </c>
      <c r="K3494">
        <v>1</v>
      </c>
      <c r="L3494" t="s">
        <v>1064</v>
      </c>
      <c r="M3494" t="s">
        <v>3815</v>
      </c>
      <c r="N3494" s="15" t="s">
        <v>6878</v>
      </c>
    </row>
    <row r="3495" spans="1:14" x14ac:dyDescent="0.2">
      <c r="A3495" t="s">
        <v>4616</v>
      </c>
      <c r="B3495" t="s">
        <v>2360</v>
      </c>
      <c r="C3495" s="9">
        <v>45019</v>
      </c>
      <c r="D3495" t="s">
        <v>960</v>
      </c>
      <c r="E3495" s="13">
        <v>3500000</v>
      </c>
      <c r="F3495" s="13">
        <v>27750</v>
      </c>
      <c r="G3495" s="9">
        <v>45024</v>
      </c>
      <c r="H3495" t="s">
        <v>1111</v>
      </c>
      <c r="I3495" t="s">
        <v>3814</v>
      </c>
      <c r="J3495" s="13">
        <v>213675</v>
      </c>
      <c r="K3495">
        <v>1</v>
      </c>
      <c r="L3495" t="s">
        <v>1064</v>
      </c>
      <c r="M3495" t="s">
        <v>3815</v>
      </c>
      <c r="N3495" s="15" t="s">
        <v>6878</v>
      </c>
    </row>
    <row r="3496" spans="1:14" x14ac:dyDescent="0.2">
      <c r="A3496" t="s">
        <v>4617</v>
      </c>
      <c r="B3496" t="s">
        <v>2360</v>
      </c>
      <c r="C3496" s="9">
        <v>45019</v>
      </c>
      <c r="D3496" t="s">
        <v>960</v>
      </c>
      <c r="E3496" s="13">
        <v>3500000</v>
      </c>
      <c r="F3496" s="13">
        <v>27750</v>
      </c>
      <c r="G3496" s="9">
        <v>45024</v>
      </c>
      <c r="H3496" t="s">
        <v>1111</v>
      </c>
      <c r="I3496" t="s">
        <v>3814</v>
      </c>
      <c r="J3496" s="13">
        <v>213675</v>
      </c>
      <c r="K3496">
        <v>1</v>
      </c>
      <c r="L3496" t="s">
        <v>1064</v>
      </c>
      <c r="M3496" t="s">
        <v>3815</v>
      </c>
      <c r="N3496" s="15" t="s">
        <v>6878</v>
      </c>
    </row>
    <row r="3497" spans="1:14" x14ac:dyDescent="0.2">
      <c r="A3497" t="s">
        <v>4618</v>
      </c>
      <c r="B3497" t="s">
        <v>2360</v>
      </c>
      <c r="C3497" s="9">
        <v>45019</v>
      </c>
      <c r="D3497" t="s">
        <v>960</v>
      </c>
      <c r="E3497" s="13">
        <v>3500000</v>
      </c>
      <c r="F3497" s="13">
        <v>27750</v>
      </c>
      <c r="G3497" s="9">
        <v>45024</v>
      </c>
      <c r="H3497" t="s">
        <v>1111</v>
      </c>
      <c r="I3497" t="s">
        <v>3814</v>
      </c>
      <c r="J3497" s="13">
        <v>213675</v>
      </c>
      <c r="K3497">
        <v>1</v>
      </c>
      <c r="L3497" t="s">
        <v>1064</v>
      </c>
      <c r="M3497" t="s">
        <v>3815</v>
      </c>
      <c r="N3497" s="15" t="s">
        <v>6878</v>
      </c>
    </row>
    <row r="3498" spans="1:14" x14ac:dyDescent="0.2">
      <c r="A3498" t="s">
        <v>4619</v>
      </c>
      <c r="B3498" t="s">
        <v>2360</v>
      </c>
      <c r="C3498" s="9">
        <v>45019</v>
      </c>
      <c r="D3498" t="s">
        <v>972</v>
      </c>
      <c r="E3498" s="13">
        <v>7557000</v>
      </c>
      <c r="F3498" s="13">
        <v>22200</v>
      </c>
      <c r="G3498" s="9">
        <v>45019</v>
      </c>
      <c r="H3498" t="s">
        <v>1063</v>
      </c>
      <c r="I3498" t="s">
        <v>4620</v>
      </c>
      <c r="J3498" s="13">
        <v>226483</v>
      </c>
      <c r="K3498">
        <v>1</v>
      </c>
      <c r="L3498" t="s">
        <v>1064</v>
      </c>
      <c r="M3498" t="s">
        <v>4621</v>
      </c>
      <c r="N3498" s="15" t="s">
        <v>6878</v>
      </c>
    </row>
    <row r="3499" spans="1:14" x14ac:dyDescent="0.2">
      <c r="A3499" t="s">
        <v>4622</v>
      </c>
      <c r="B3499" t="s">
        <v>2360</v>
      </c>
      <c r="C3499" s="9">
        <v>45019</v>
      </c>
      <c r="D3499" t="s">
        <v>960</v>
      </c>
      <c r="E3499" s="13">
        <v>3500000</v>
      </c>
      <c r="F3499" s="13">
        <v>27750</v>
      </c>
      <c r="G3499" s="9">
        <v>45024</v>
      </c>
      <c r="H3499" t="s">
        <v>1111</v>
      </c>
      <c r="I3499" t="s">
        <v>3814</v>
      </c>
      <c r="J3499" s="13">
        <v>213675</v>
      </c>
      <c r="K3499">
        <v>1</v>
      </c>
      <c r="L3499" t="s">
        <v>1064</v>
      </c>
      <c r="M3499" t="s">
        <v>3815</v>
      </c>
      <c r="N3499" s="15" t="s">
        <v>6878</v>
      </c>
    </row>
    <row r="3500" spans="1:14" x14ac:dyDescent="0.2">
      <c r="A3500" t="s">
        <v>4623</v>
      </c>
      <c r="B3500" t="s">
        <v>2360</v>
      </c>
      <c r="C3500" s="9">
        <v>45019</v>
      </c>
      <c r="D3500" t="s">
        <v>9</v>
      </c>
      <c r="E3500" s="13">
        <v>399350</v>
      </c>
      <c r="F3500" s="13">
        <v>24975</v>
      </c>
      <c r="G3500" s="9">
        <v>45043</v>
      </c>
      <c r="H3500" t="s">
        <v>1111</v>
      </c>
      <c r="I3500" t="s">
        <v>436</v>
      </c>
      <c r="J3500" s="13">
        <v>13297</v>
      </c>
      <c r="K3500">
        <v>1</v>
      </c>
      <c r="L3500" t="s">
        <v>1064</v>
      </c>
      <c r="M3500" t="s">
        <v>2364</v>
      </c>
      <c r="N3500" s="15" t="s">
        <v>6878</v>
      </c>
    </row>
    <row r="3501" spans="1:14" x14ac:dyDescent="0.2">
      <c r="A3501" t="s">
        <v>4624</v>
      </c>
      <c r="B3501" t="s">
        <v>2360</v>
      </c>
      <c r="C3501" s="9">
        <v>45019</v>
      </c>
      <c r="D3501" t="s">
        <v>9</v>
      </c>
      <c r="E3501" s="13">
        <v>0</v>
      </c>
      <c r="F3501" s="13">
        <v>22500</v>
      </c>
      <c r="H3501" t="s">
        <v>1185</v>
      </c>
      <c r="I3501" t="s">
        <v>3286</v>
      </c>
      <c r="J3501" s="13">
        <v>0</v>
      </c>
      <c r="K3501">
        <v>2</v>
      </c>
      <c r="L3501" t="s">
        <v>1064</v>
      </c>
      <c r="M3501" t="s">
        <v>3287</v>
      </c>
      <c r="N3501" s="14" t="s">
        <v>6877</v>
      </c>
    </row>
    <row r="3502" spans="1:14" x14ac:dyDescent="0.2">
      <c r="A3502" t="s">
        <v>4625</v>
      </c>
      <c r="B3502" t="s">
        <v>2360</v>
      </c>
      <c r="C3502" s="9">
        <v>45019</v>
      </c>
      <c r="D3502" t="s">
        <v>952</v>
      </c>
      <c r="E3502" s="13">
        <v>290875000</v>
      </c>
      <c r="F3502" s="13">
        <v>27750</v>
      </c>
      <c r="G3502" s="9">
        <v>45020</v>
      </c>
      <c r="H3502" t="s">
        <v>1063</v>
      </c>
      <c r="I3502" t="s">
        <v>4626</v>
      </c>
      <c r="J3502" s="13">
        <v>12914850</v>
      </c>
      <c r="K3502">
        <v>1</v>
      </c>
      <c r="L3502" t="s">
        <v>1064</v>
      </c>
      <c r="M3502" t="s">
        <v>4627</v>
      </c>
      <c r="N3502" s="15" t="s">
        <v>6878</v>
      </c>
    </row>
    <row r="3503" spans="1:14" x14ac:dyDescent="0.2">
      <c r="A3503" t="s">
        <v>4628</v>
      </c>
      <c r="B3503" t="s">
        <v>2360</v>
      </c>
      <c r="C3503" s="9">
        <v>45019</v>
      </c>
      <c r="D3503" t="s">
        <v>9</v>
      </c>
      <c r="E3503" s="13">
        <v>352000</v>
      </c>
      <c r="F3503" s="13">
        <v>22500</v>
      </c>
      <c r="H3503" t="s">
        <v>1185</v>
      </c>
      <c r="I3503" t="s">
        <v>3286</v>
      </c>
      <c r="J3503" s="13">
        <v>0</v>
      </c>
      <c r="K3503">
        <v>1</v>
      </c>
      <c r="L3503" t="s">
        <v>1064</v>
      </c>
      <c r="M3503" t="s">
        <v>3287</v>
      </c>
      <c r="N3503" s="14" t="s">
        <v>6877</v>
      </c>
    </row>
    <row r="3504" spans="1:14" x14ac:dyDescent="0.2">
      <c r="A3504" t="s">
        <v>4629</v>
      </c>
      <c r="B3504" t="s">
        <v>2360</v>
      </c>
      <c r="C3504" s="9">
        <v>45019</v>
      </c>
      <c r="D3504" t="s">
        <v>9</v>
      </c>
      <c r="E3504" s="13">
        <v>304290</v>
      </c>
      <c r="F3504" s="13">
        <v>49950</v>
      </c>
      <c r="G3504" s="9">
        <v>45049</v>
      </c>
      <c r="H3504" t="s">
        <v>1111</v>
      </c>
      <c r="I3504" t="s">
        <v>436</v>
      </c>
      <c r="J3504" s="13">
        <v>10132</v>
      </c>
      <c r="K3504">
        <v>2</v>
      </c>
      <c r="L3504" t="s">
        <v>1064</v>
      </c>
      <c r="M3504" t="s">
        <v>2364</v>
      </c>
      <c r="N3504" s="15" t="s">
        <v>6878</v>
      </c>
    </row>
    <row r="3505" spans="1:14" x14ac:dyDescent="0.2">
      <c r="A3505" t="s">
        <v>4630</v>
      </c>
      <c r="B3505" t="s">
        <v>2360</v>
      </c>
      <c r="C3505" s="9">
        <v>45019</v>
      </c>
      <c r="D3505" t="s">
        <v>9</v>
      </c>
      <c r="E3505" s="13">
        <v>207000</v>
      </c>
      <c r="F3505" s="13">
        <v>22500</v>
      </c>
      <c r="H3505" t="s">
        <v>1185</v>
      </c>
      <c r="I3505" t="s">
        <v>3286</v>
      </c>
      <c r="J3505" s="13">
        <v>0</v>
      </c>
      <c r="K3505">
        <v>1</v>
      </c>
      <c r="L3505" t="s">
        <v>1064</v>
      </c>
      <c r="M3505" t="s">
        <v>3287</v>
      </c>
      <c r="N3505" s="14" t="s">
        <v>6877</v>
      </c>
    </row>
    <row r="3506" spans="1:14" x14ac:dyDescent="0.2">
      <c r="A3506" t="s">
        <v>4631</v>
      </c>
      <c r="B3506" t="s">
        <v>2360</v>
      </c>
      <c r="C3506" s="9">
        <v>45019</v>
      </c>
      <c r="D3506" t="s">
        <v>9</v>
      </c>
      <c r="E3506" s="13">
        <v>207000</v>
      </c>
      <c r="F3506" s="13">
        <v>22500</v>
      </c>
      <c r="H3506" t="s">
        <v>1185</v>
      </c>
      <c r="I3506" t="s">
        <v>3286</v>
      </c>
      <c r="J3506" s="13">
        <v>0</v>
      </c>
      <c r="K3506">
        <v>1</v>
      </c>
      <c r="L3506" t="s">
        <v>1064</v>
      </c>
      <c r="M3506" t="s">
        <v>3287</v>
      </c>
      <c r="N3506" s="14" t="s">
        <v>6877</v>
      </c>
    </row>
    <row r="3507" spans="1:14" x14ac:dyDescent="0.2">
      <c r="A3507" t="s">
        <v>4632</v>
      </c>
      <c r="B3507" t="s">
        <v>2360</v>
      </c>
      <c r="C3507" s="9">
        <v>45019</v>
      </c>
      <c r="D3507" t="s">
        <v>9</v>
      </c>
      <c r="E3507" s="13">
        <v>340060</v>
      </c>
      <c r="F3507" s="13">
        <v>24975</v>
      </c>
      <c r="G3507" s="9">
        <v>45043</v>
      </c>
      <c r="H3507" t="s">
        <v>1111</v>
      </c>
      <c r="I3507" t="s">
        <v>436</v>
      </c>
      <c r="J3507" s="13">
        <v>11323</v>
      </c>
      <c r="K3507">
        <v>1</v>
      </c>
      <c r="L3507" t="s">
        <v>1064</v>
      </c>
      <c r="M3507" t="s">
        <v>2364</v>
      </c>
      <c r="N3507" s="15" t="s">
        <v>6878</v>
      </c>
    </row>
    <row r="3508" spans="1:14" x14ac:dyDescent="0.2">
      <c r="A3508" t="s">
        <v>4633</v>
      </c>
      <c r="B3508" t="s">
        <v>2360</v>
      </c>
      <c r="C3508" s="9">
        <v>45019</v>
      </c>
      <c r="D3508" t="s">
        <v>9</v>
      </c>
      <c r="E3508" s="13">
        <v>340060</v>
      </c>
      <c r="F3508" s="13">
        <v>24975</v>
      </c>
      <c r="G3508" s="9">
        <v>45043</v>
      </c>
      <c r="H3508" t="s">
        <v>1111</v>
      </c>
      <c r="I3508" t="s">
        <v>436</v>
      </c>
      <c r="J3508" s="13">
        <v>11323</v>
      </c>
      <c r="K3508">
        <v>1</v>
      </c>
      <c r="L3508" t="s">
        <v>1064</v>
      </c>
      <c r="M3508" t="s">
        <v>2364</v>
      </c>
      <c r="N3508" s="15" t="s">
        <v>6878</v>
      </c>
    </row>
    <row r="3509" spans="1:14" x14ac:dyDescent="0.2">
      <c r="A3509" t="s">
        <v>4634</v>
      </c>
      <c r="B3509" t="s">
        <v>2360</v>
      </c>
      <c r="C3509" s="9">
        <v>45019</v>
      </c>
      <c r="D3509" t="s">
        <v>9</v>
      </c>
      <c r="E3509" s="13">
        <v>609000</v>
      </c>
      <c r="F3509" s="13">
        <v>22500</v>
      </c>
      <c r="H3509" t="s">
        <v>1185</v>
      </c>
      <c r="I3509" t="s">
        <v>3286</v>
      </c>
      <c r="J3509" s="13">
        <v>0</v>
      </c>
      <c r="K3509">
        <v>1</v>
      </c>
      <c r="L3509" t="s">
        <v>1064</v>
      </c>
      <c r="M3509" t="s">
        <v>3287</v>
      </c>
      <c r="N3509" s="14" t="s">
        <v>6877</v>
      </c>
    </row>
    <row r="3510" spans="1:14" x14ac:dyDescent="0.2">
      <c r="A3510" t="s">
        <v>4635</v>
      </c>
      <c r="B3510" t="s">
        <v>2360</v>
      </c>
      <c r="C3510" s="9">
        <v>45020</v>
      </c>
      <c r="D3510" t="s">
        <v>960</v>
      </c>
      <c r="E3510" s="13">
        <v>3500000</v>
      </c>
      <c r="F3510" s="13">
        <v>27750</v>
      </c>
      <c r="G3510" s="9">
        <v>45024</v>
      </c>
      <c r="H3510" t="s">
        <v>1111</v>
      </c>
      <c r="I3510" t="s">
        <v>3814</v>
      </c>
      <c r="J3510" s="13">
        <v>213675</v>
      </c>
      <c r="K3510">
        <v>1</v>
      </c>
      <c r="L3510" t="s">
        <v>1064</v>
      </c>
      <c r="M3510" t="s">
        <v>3815</v>
      </c>
      <c r="N3510" s="15" t="s">
        <v>6878</v>
      </c>
    </row>
    <row r="3511" spans="1:14" x14ac:dyDescent="0.2">
      <c r="A3511" t="s">
        <v>4636</v>
      </c>
      <c r="B3511" t="s">
        <v>2360</v>
      </c>
      <c r="C3511" s="9">
        <v>45020</v>
      </c>
      <c r="D3511" t="s">
        <v>960</v>
      </c>
      <c r="E3511" s="13">
        <v>3500000</v>
      </c>
      <c r="F3511" s="13">
        <v>27750</v>
      </c>
      <c r="G3511" s="9">
        <v>45024</v>
      </c>
      <c r="H3511" t="s">
        <v>1111</v>
      </c>
      <c r="I3511" t="s">
        <v>3814</v>
      </c>
      <c r="J3511" s="13">
        <v>213675</v>
      </c>
      <c r="K3511">
        <v>1</v>
      </c>
      <c r="L3511" t="s">
        <v>1064</v>
      </c>
      <c r="M3511" t="s">
        <v>3815</v>
      </c>
      <c r="N3511" s="15" t="s">
        <v>6878</v>
      </c>
    </row>
    <row r="3512" spans="1:14" x14ac:dyDescent="0.2">
      <c r="A3512" t="s">
        <v>4637</v>
      </c>
      <c r="B3512" t="s">
        <v>2360</v>
      </c>
      <c r="C3512" s="9">
        <v>45020</v>
      </c>
      <c r="D3512" t="s">
        <v>960</v>
      </c>
      <c r="E3512" s="13">
        <v>3500000</v>
      </c>
      <c r="F3512" s="13">
        <v>27750</v>
      </c>
      <c r="G3512" s="9">
        <v>45024</v>
      </c>
      <c r="H3512" t="s">
        <v>1111</v>
      </c>
      <c r="I3512" t="s">
        <v>3814</v>
      </c>
      <c r="J3512" s="13">
        <v>213675</v>
      </c>
      <c r="K3512">
        <v>1</v>
      </c>
      <c r="L3512" t="s">
        <v>1064</v>
      </c>
      <c r="M3512" t="s">
        <v>3815</v>
      </c>
      <c r="N3512" s="15" t="s">
        <v>6878</v>
      </c>
    </row>
    <row r="3513" spans="1:14" x14ac:dyDescent="0.2">
      <c r="A3513" t="s">
        <v>4638</v>
      </c>
      <c r="B3513" t="s">
        <v>2360</v>
      </c>
      <c r="C3513" s="9">
        <v>45020</v>
      </c>
      <c r="D3513" t="s">
        <v>960</v>
      </c>
      <c r="E3513" s="13">
        <v>3500000</v>
      </c>
      <c r="F3513" s="13">
        <v>27750</v>
      </c>
      <c r="G3513" s="9">
        <v>45024</v>
      </c>
      <c r="H3513" t="s">
        <v>1111</v>
      </c>
      <c r="I3513" t="s">
        <v>3814</v>
      </c>
      <c r="J3513" s="13">
        <v>213675</v>
      </c>
      <c r="K3513">
        <v>1</v>
      </c>
      <c r="L3513" t="s">
        <v>1064</v>
      </c>
      <c r="M3513" t="s">
        <v>3815</v>
      </c>
      <c r="N3513" s="15" t="s">
        <v>6878</v>
      </c>
    </row>
    <row r="3514" spans="1:14" x14ac:dyDescent="0.2">
      <c r="A3514" t="s">
        <v>4639</v>
      </c>
      <c r="B3514" t="s">
        <v>2360</v>
      </c>
      <c r="C3514" s="9">
        <v>45020</v>
      </c>
      <c r="D3514" t="s">
        <v>960</v>
      </c>
      <c r="E3514" s="13">
        <v>3500000</v>
      </c>
      <c r="F3514" s="13">
        <v>27750</v>
      </c>
      <c r="G3514" s="9">
        <v>45024</v>
      </c>
      <c r="H3514" t="s">
        <v>1111</v>
      </c>
      <c r="I3514" t="s">
        <v>3814</v>
      </c>
      <c r="J3514" s="13">
        <v>213675</v>
      </c>
      <c r="K3514">
        <v>1</v>
      </c>
      <c r="L3514" t="s">
        <v>1064</v>
      </c>
      <c r="M3514" t="s">
        <v>3815</v>
      </c>
      <c r="N3514" s="15" t="s">
        <v>6878</v>
      </c>
    </row>
    <row r="3515" spans="1:14" x14ac:dyDescent="0.2">
      <c r="A3515" t="s">
        <v>4640</v>
      </c>
      <c r="B3515" t="s">
        <v>2360</v>
      </c>
      <c r="C3515" s="9">
        <v>45020</v>
      </c>
      <c r="D3515" t="s">
        <v>960</v>
      </c>
      <c r="E3515" s="13">
        <v>3500000</v>
      </c>
      <c r="F3515" s="13">
        <v>27750</v>
      </c>
      <c r="G3515" s="9">
        <v>45024</v>
      </c>
      <c r="H3515" t="s">
        <v>1111</v>
      </c>
      <c r="I3515" t="s">
        <v>3814</v>
      </c>
      <c r="J3515" s="13">
        <v>213675</v>
      </c>
      <c r="K3515">
        <v>1</v>
      </c>
      <c r="L3515" t="s">
        <v>1064</v>
      </c>
      <c r="M3515" t="s">
        <v>3815</v>
      </c>
      <c r="N3515" s="15" t="s">
        <v>6878</v>
      </c>
    </row>
    <row r="3516" spans="1:14" x14ac:dyDescent="0.2">
      <c r="A3516" t="s">
        <v>4641</v>
      </c>
      <c r="B3516" t="s">
        <v>2360</v>
      </c>
      <c r="C3516" s="9">
        <v>45020</v>
      </c>
      <c r="D3516" t="s">
        <v>960</v>
      </c>
      <c r="E3516" s="13">
        <v>3500000</v>
      </c>
      <c r="F3516" s="13">
        <v>27750</v>
      </c>
      <c r="G3516" s="9">
        <v>45024</v>
      </c>
      <c r="H3516" t="s">
        <v>1111</v>
      </c>
      <c r="I3516" t="s">
        <v>3814</v>
      </c>
      <c r="J3516" s="13">
        <v>213675</v>
      </c>
      <c r="K3516">
        <v>1</v>
      </c>
      <c r="L3516" t="s">
        <v>1064</v>
      </c>
      <c r="M3516" t="s">
        <v>3815</v>
      </c>
      <c r="N3516" s="15" t="s">
        <v>6878</v>
      </c>
    </row>
    <row r="3517" spans="1:14" x14ac:dyDescent="0.2">
      <c r="A3517" t="s">
        <v>4642</v>
      </c>
      <c r="B3517" t="s">
        <v>2360</v>
      </c>
      <c r="C3517" s="9">
        <v>45020</v>
      </c>
      <c r="D3517" t="s">
        <v>960</v>
      </c>
      <c r="E3517" s="13">
        <v>3500000</v>
      </c>
      <c r="F3517" s="13">
        <v>27750</v>
      </c>
      <c r="G3517" s="9">
        <v>45024</v>
      </c>
      <c r="H3517" t="s">
        <v>1111</v>
      </c>
      <c r="I3517" t="s">
        <v>3814</v>
      </c>
      <c r="J3517" s="13">
        <v>213675</v>
      </c>
      <c r="K3517">
        <v>1</v>
      </c>
      <c r="L3517" t="s">
        <v>1064</v>
      </c>
      <c r="M3517" t="s">
        <v>3815</v>
      </c>
      <c r="N3517" s="15" t="s">
        <v>6878</v>
      </c>
    </row>
    <row r="3518" spans="1:14" x14ac:dyDescent="0.2">
      <c r="A3518" t="s">
        <v>4643</v>
      </c>
      <c r="B3518" t="s">
        <v>2360</v>
      </c>
      <c r="C3518" s="9">
        <v>45020</v>
      </c>
      <c r="D3518" t="s">
        <v>960</v>
      </c>
      <c r="E3518" s="13">
        <v>3500000</v>
      </c>
      <c r="F3518" s="13">
        <v>27750</v>
      </c>
      <c r="G3518" s="9">
        <v>45024</v>
      </c>
      <c r="H3518" t="s">
        <v>1111</v>
      </c>
      <c r="I3518" t="s">
        <v>3814</v>
      </c>
      <c r="J3518" s="13">
        <v>213675</v>
      </c>
      <c r="K3518">
        <v>1</v>
      </c>
      <c r="L3518" t="s">
        <v>1064</v>
      </c>
      <c r="M3518" t="s">
        <v>3815</v>
      </c>
      <c r="N3518" s="15" t="s">
        <v>6878</v>
      </c>
    </row>
    <row r="3519" spans="1:14" x14ac:dyDescent="0.2">
      <c r="A3519" t="s">
        <v>4644</v>
      </c>
      <c r="B3519" t="s">
        <v>2360</v>
      </c>
      <c r="C3519" s="9">
        <v>45020</v>
      </c>
      <c r="D3519" t="s">
        <v>960</v>
      </c>
      <c r="E3519" s="13">
        <v>3500000</v>
      </c>
      <c r="F3519" s="13">
        <v>27750</v>
      </c>
      <c r="G3519" s="9">
        <v>45024</v>
      </c>
      <c r="H3519" t="s">
        <v>1111</v>
      </c>
      <c r="I3519" t="s">
        <v>3814</v>
      </c>
      <c r="J3519" s="13">
        <v>213675</v>
      </c>
      <c r="K3519">
        <v>1</v>
      </c>
      <c r="L3519" t="s">
        <v>1064</v>
      </c>
      <c r="M3519" t="s">
        <v>3815</v>
      </c>
      <c r="N3519" s="15" t="s">
        <v>6878</v>
      </c>
    </row>
    <row r="3520" spans="1:14" x14ac:dyDescent="0.2">
      <c r="A3520" t="s">
        <v>4645</v>
      </c>
      <c r="B3520" t="s">
        <v>2360</v>
      </c>
      <c r="C3520" s="9">
        <v>45020</v>
      </c>
      <c r="D3520" t="s">
        <v>960</v>
      </c>
      <c r="E3520" s="13">
        <v>3500000</v>
      </c>
      <c r="F3520" s="13">
        <v>27750</v>
      </c>
      <c r="G3520" s="9">
        <v>45024</v>
      </c>
      <c r="H3520" t="s">
        <v>1111</v>
      </c>
      <c r="I3520" t="s">
        <v>3814</v>
      </c>
      <c r="J3520" s="13">
        <v>213675</v>
      </c>
      <c r="K3520">
        <v>1</v>
      </c>
      <c r="L3520" t="s">
        <v>1064</v>
      </c>
      <c r="M3520" t="s">
        <v>3815</v>
      </c>
      <c r="N3520" s="15" t="s">
        <v>6878</v>
      </c>
    </row>
    <row r="3521" spans="1:14" x14ac:dyDescent="0.2">
      <c r="A3521" t="s">
        <v>4646</v>
      </c>
      <c r="B3521" t="s">
        <v>2360</v>
      </c>
      <c r="C3521" s="9">
        <v>45020</v>
      </c>
      <c r="D3521" t="s">
        <v>960</v>
      </c>
      <c r="E3521" s="13">
        <v>3500000</v>
      </c>
      <c r="F3521" s="13">
        <v>27750</v>
      </c>
      <c r="G3521" s="9">
        <v>45024</v>
      </c>
      <c r="H3521" t="s">
        <v>1111</v>
      </c>
      <c r="I3521" t="s">
        <v>3814</v>
      </c>
      <c r="J3521" s="13">
        <v>213675</v>
      </c>
      <c r="K3521">
        <v>1</v>
      </c>
      <c r="L3521" t="s">
        <v>1064</v>
      </c>
      <c r="M3521" t="s">
        <v>3815</v>
      </c>
      <c r="N3521" s="15" t="s">
        <v>6878</v>
      </c>
    </row>
    <row r="3522" spans="1:14" x14ac:dyDescent="0.2">
      <c r="A3522" t="s">
        <v>4647</v>
      </c>
      <c r="B3522" t="s">
        <v>2360</v>
      </c>
      <c r="C3522" s="9">
        <v>45020</v>
      </c>
      <c r="D3522" t="s">
        <v>960</v>
      </c>
      <c r="E3522" s="13">
        <v>3500000</v>
      </c>
      <c r="F3522" s="13">
        <v>27750</v>
      </c>
      <c r="G3522" s="9">
        <v>45024</v>
      </c>
      <c r="H3522" t="s">
        <v>1111</v>
      </c>
      <c r="I3522" t="s">
        <v>3814</v>
      </c>
      <c r="J3522" s="13">
        <v>213675</v>
      </c>
      <c r="K3522">
        <v>1</v>
      </c>
      <c r="L3522" t="s">
        <v>1064</v>
      </c>
      <c r="M3522" t="s">
        <v>3815</v>
      </c>
      <c r="N3522" s="15" t="s">
        <v>6878</v>
      </c>
    </row>
    <row r="3523" spans="1:14" x14ac:dyDescent="0.2">
      <c r="A3523" t="s">
        <v>4648</v>
      </c>
      <c r="B3523" t="s">
        <v>2360</v>
      </c>
      <c r="C3523" s="9">
        <v>45020</v>
      </c>
      <c r="D3523" t="s">
        <v>960</v>
      </c>
      <c r="E3523" s="13">
        <v>3500000</v>
      </c>
      <c r="F3523" s="13">
        <v>27750</v>
      </c>
      <c r="G3523" s="9">
        <v>45024</v>
      </c>
      <c r="H3523" t="s">
        <v>1111</v>
      </c>
      <c r="I3523" t="s">
        <v>3814</v>
      </c>
      <c r="J3523" s="13">
        <v>213675</v>
      </c>
      <c r="K3523">
        <v>1</v>
      </c>
      <c r="L3523" t="s">
        <v>1064</v>
      </c>
      <c r="M3523" t="s">
        <v>3815</v>
      </c>
      <c r="N3523" s="15" t="s">
        <v>6878</v>
      </c>
    </row>
    <row r="3524" spans="1:14" x14ac:dyDescent="0.2">
      <c r="A3524" t="s">
        <v>4649</v>
      </c>
      <c r="B3524" t="s">
        <v>2360</v>
      </c>
      <c r="C3524" s="9">
        <v>45020</v>
      </c>
      <c r="D3524" t="s">
        <v>960</v>
      </c>
      <c r="E3524" s="13">
        <v>3500000</v>
      </c>
      <c r="F3524" s="13">
        <v>27750</v>
      </c>
      <c r="G3524" s="9">
        <v>45024</v>
      </c>
      <c r="H3524" t="s">
        <v>1111</v>
      </c>
      <c r="I3524" t="s">
        <v>3814</v>
      </c>
      <c r="J3524" s="13">
        <v>213675</v>
      </c>
      <c r="K3524">
        <v>1</v>
      </c>
      <c r="L3524" t="s">
        <v>1064</v>
      </c>
      <c r="M3524" t="s">
        <v>3815</v>
      </c>
      <c r="N3524" s="15" t="s">
        <v>6878</v>
      </c>
    </row>
    <row r="3525" spans="1:14" x14ac:dyDescent="0.2">
      <c r="A3525" t="s">
        <v>4650</v>
      </c>
      <c r="B3525" t="s">
        <v>2360</v>
      </c>
      <c r="C3525" s="9">
        <v>45020</v>
      </c>
      <c r="D3525" t="s">
        <v>960</v>
      </c>
      <c r="E3525" s="13">
        <v>3500000</v>
      </c>
      <c r="F3525" s="13">
        <v>27750</v>
      </c>
      <c r="G3525" s="9">
        <v>45024</v>
      </c>
      <c r="H3525" t="s">
        <v>1111</v>
      </c>
      <c r="I3525" t="s">
        <v>3814</v>
      </c>
      <c r="J3525" s="13">
        <v>213675</v>
      </c>
      <c r="K3525">
        <v>1</v>
      </c>
      <c r="L3525" t="s">
        <v>1064</v>
      </c>
      <c r="M3525" t="s">
        <v>3815</v>
      </c>
      <c r="N3525" s="15" t="s">
        <v>6878</v>
      </c>
    </row>
    <row r="3526" spans="1:14" x14ac:dyDescent="0.2">
      <c r="A3526" t="s">
        <v>4651</v>
      </c>
      <c r="B3526" t="s">
        <v>2360</v>
      </c>
      <c r="C3526" s="9">
        <v>45020</v>
      </c>
      <c r="D3526" t="s">
        <v>960</v>
      </c>
      <c r="E3526" s="13">
        <v>3500000</v>
      </c>
      <c r="F3526" s="13">
        <v>27750</v>
      </c>
      <c r="G3526" s="9">
        <v>45024</v>
      </c>
      <c r="H3526" t="s">
        <v>1111</v>
      </c>
      <c r="I3526" t="s">
        <v>3814</v>
      </c>
      <c r="J3526" s="13">
        <v>213675</v>
      </c>
      <c r="K3526">
        <v>1</v>
      </c>
      <c r="L3526" t="s">
        <v>1064</v>
      </c>
      <c r="M3526" t="s">
        <v>3815</v>
      </c>
      <c r="N3526" s="15" t="s">
        <v>6878</v>
      </c>
    </row>
    <row r="3527" spans="1:14" x14ac:dyDescent="0.2">
      <c r="A3527" t="s">
        <v>4652</v>
      </c>
      <c r="B3527" t="s">
        <v>2360</v>
      </c>
      <c r="C3527" s="9">
        <v>45020</v>
      </c>
      <c r="D3527" t="s">
        <v>960</v>
      </c>
      <c r="E3527" s="13">
        <v>3500000</v>
      </c>
      <c r="F3527" s="13">
        <v>27750</v>
      </c>
      <c r="G3527" s="9">
        <v>45024</v>
      </c>
      <c r="H3527" t="s">
        <v>1111</v>
      </c>
      <c r="I3527" t="s">
        <v>3814</v>
      </c>
      <c r="J3527" s="13">
        <v>213675</v>
      </c>
      <c r="K3527">
        <v>1</v>
      </c>
      <c r="L3527" t="s">
        <v>1064</v>
      </c>
      <c r="M3527" t="s">
        <v>3815</v>
      </c>
      <c r="N3527" s="15" t="s">
        <v>6878</v>
      </c>
    </row>
    <row r="3528" spans="1:14" x14ac:dyDescent="0.2">
      <c r="A3528" t="s">
        <v>4653</v>
      </c>
      <c r="B3528" t="s">
        <v>2360</v>
      </c>
      <c r="C3528" s="9">
        <v>45020</v>
      </c>
      <c r="D3528" t="s">
        <v>960</v>
      </c>
      <c r="E3528" s="13">
        <v>3500000</v>
      </c>
      <c r="F3528" s="13">
        <v>27750</v>
      </c>
      <c r="G3528" s="9">
        <v>45024</v>
      </c>
      <c r="H3528" t="s">
        <v>1111</v>
      </c>
      <c r="I3528" t="s">
        <v>3814</v>
      </c>
      <c r="J3528" s="13">
        <v>213675</v>
      </c>
      <c r="K3528">
        <v>1</v>
      </c>
      <c r="L3528" t="s">
        <v>1064</v>
      </c>
      <c r="M3528" t="s">
        <v>3815</v>
      </c>
      <c r="N3528" s="15" t="s">
        <v>6878</v>
      </c>
    </row>
    <row r="3529" spans="1:14" x14ac:dyDescent="0.2">
      <c r="A3529" t="s">
        <v>4654</v>
      </c>
      <c r="B3529" t="s">
        <v>2360</v>
      </c>
      <c r="C3529" s="9">
        <v>45020</v>
      </c>
      <c r="D3529" t="s">
        <v>960</v>
      </c>
      <c r="E3529" s="13">
        <v>3500000</v>
      </c>
      <c r="F3529" s="13">
        <v>27750</v>
      </c>
      <c r="G3529" s="9">
        <v>45024</v>
      </c>
      <c r="H3529" t="s">
        <v>1111</v>
      </c>
      <c r="I3529" t="s">
        <v>3814</v>
      </c>
      <c r="J3529" s="13">
        <v>213675</v>
      </c>
      <c r="K3529">
        <v>1</v>
      </c>
      <c r="L3529" t="s">
        <v>1064</v>
      </c>
      <c r="M3529" t="s">
        <v>3815</v>
      </c>
      <c r="N3529" s="15" t="s">
        <v>6878</v>
      </c>
    </row>
    <row r="3530" spans="1:14" x14ac:dyDescent="0.2">
      <c r="A3530" t="s">
        <v>4655</v>
      </c>
      <c r="B3530" t="s">
        <v>2360</v>
      </c>
      <c r="C3530" s="9">
        <v>45020</v>
      </c>
      <c r="D3530" t="s">
        <v>960</v>
      </c>
      <c r="E3530" s="13">
        <v>3500000</v>
      </c>
      <c r="F3530" s="13">
        <v>27750</v>
      </c>
      <c r="G3530" s="9">
        <v>45024</v>
      </c>
      <c r="H3530" t="s">
        <v>1111</v>
      </c>
      <c r="I3530" t="s">
        <v>3814</v>
      </c>
      <c r="J3530" s="13">
        <v>213675</v>
      </c>
      <c r="K3530">
        <v>1</v>
      </c>
      <c r="L3530" t="s">
        <v>1064</v>
      </c>
      <c r="M3530" t="s">
        <v>3815</v>
      </c>
      <c r="N3530" s="15" t="s">
        <v>6878</v>
      </c>
    </row>
    <row r="3531" spans="1:14" x14ac:dyDescent="0.2">
      <c r="A3531" t="s">
        <v>4656</v>
      </c>
      <c r="B3531" t="s">
        <v>2360</v>
      </c>
      <c r="C3531" s="9">
        <v>45020</v>
      </c>
      <c r="D3531" t="s">
        <v>960</v>
      </c>
      <c r="E3531" s="13">
        <v>3500000</v>
      </c>
      <c r="F3531" s="13">
        <v>27750</v>
      </c>
      <c r="G3531" s="9">
        <v>45024</v>
      </c>
      <c r="H3531" t="s">
        <v>1111</v>
      </c>
      <c r="I3531" t="s">
        <v>3814</v>
      </c>
      <c r="J3531" s="13">
        <v>213675</v>
      </c>
      <c r="K3531">
        <v>1</v>
      </c>
      <c r="L3531" t="s">
        <v>1064</v>
      </c>
      <c r="M3531" t="s">
        <v>3815</v>
      </c>
      <c r="N3531" s="15" t="s">
        <v>6878</v>
      </c>
    </row>
    <row r="3532" spans="1:14" x14ac:dyDescent="0.2">
      <c r="A3532" t="s">
        <v>4657</v>
      </c>
      <c r="B3532" t="s">
        <v>2360</v>
      </c>
      <c r="C3532" s="9">
        <v>45020</v>
      </c>
      <c r="D3532" t="s">
        <v>960</v>
      </c>
      <c r="E3532" s="13">
        <v>3500000</v>
      </c>
      <c r="F3532" s="13">
        <v>27750</v>
      </c>
      <c r="G3532" s="9">
        <v>45024</v>
      </c>
      <c r="H3532" t="s">
        <v>1111</v>
      </c>
      <c r="I3532" t="s">
        <v>3814</v>
      </c>
      <c r="J3532" s="13">
        <v>213675</v>
      </c>
      <c r="K3532">
        <v>1</v>
      </c>
      <c r="L3532" t="s">
        <v>1064</v>
      </c>
      <c r="M3532" t="s">
        <v>3815</v>
      </c>
      <c r="N3532" s="15" t="s">
        <v>6878</v>
      </c>
    </row>
    <row r="3533" spans="1:14" x14ac:dyDescent="0.2">
      <c r="A3533" t="s">
        <v>4658</v>
      </c>
      <c r="B3533" t="s">
        <v>2360</v>
      </c>
      <c r="C3533" s="9">
        <v>45020</v>
      </c>
      <c r="D3533" t="s">
        <v>9</v>
      </c>
      <c r="E3533" s="13">
        <v>1464500</v>
      </c>
      <c r="F3533" s="13">
        <v>22500</v>
      </c>
      <c r="H3533" t="s">
        <v>1659</v>
      </c>
      <c r="I3533" t="s">
        <v>4659</v>
      </c>
      <c r="J3533" s="13">
        <v>0</v>
      </c>
      <c r="K3533">
        <v>1</v>
      </c>
      <c r="L3533" t="s">
        <v>1064</v>
      </c>
      <c r="M3533" t="s">
        <v>4660</v>
      </c>
      <c r="N3533" s="14" t="s">
        <v>6877</v>
      </c>
    </row>
    <row r="3534" spans="1:14" x14ac:dyDescent="0.2">
      <c r="A3534" t="s">
        <v>4661</v>
      </c>
      <c r="B3534" t="s">
        <v>2360</v>
      </c>
      <c r="C3534" s="9">
        <v>45020</v>
      </c>
      <c r="D3534" t="s">
        <v>9</v>
      </c>
      <c r="E3534" s="13">
        <v>1464500</v>
      </c>
      <c r="F3534" s="13">
        <v>22500</v>
      </c>
      <c r="H3534" t="s">
        <v>1659</v>
      </c>
      <c r="I3534" t="s">
        <v>4659</v>
      </c>
      <c r="J3534" s="13">
        <v>0</v>
      </c>
      <c r="K3534">
        <v>1</v>
      </c>
      <c r="L3534" t="s">
        <v>1064</v>
      </c>
      <c r="M3534" t="s">
        <v>4660</v>
      </c>
      <c r="N3534" s="14" t="s">
        <v>6877</v>
      </c>
    </row>
    <row r="3535" spans="1:14" x14ac:dyDescent="0.2">
      <c r="A3535" t="s">
        <v>4662</v>
      </c>
      <c r="B3535" t="s">
        <v>2360</v>
      </c>
      <c r="C3535" s="9">
        <v>45020</v>
      </c>
      <c r="D3535" t="s">
        <v>9</v>
      </c>
      <c r="E3535" s="13">
        <v>2800000</v>
      </c>
      <c r="F3535" s="13">
        <v>22500</v>
      </c>
      <c r="H3535" t="s">
        <v>1659</v>
      </c>
      <c r="I3535" t="s">
        <v>4659</v>
      </c>
      <c r="J3535" s="13">
        <v>0</v>
      </c>
      <c r="K3535">
        <v>1</v>
      </c>
      <c r="L3535" t="s">
        <v>1064</v>
      </c>
      <c r="M3535" t="s">
        <v>4660</v>
      </c>
      <c r="N3535" s="14" t="s">
        <v>6877</v>
      </c>
    </row>
    <row r="3536" spans="1:14" x14ac:dyDescent="0.2">
      <c r="A3536" t="s">
        <v>4663</v>
      </c>
      <c r="B3536" t="s">
        <v>2360</v>
      </c>
      <c r="C3536" s="9">
        <v>45020</v>
      </c>
      <c r="D3536" t="s">
        <v>9</v>
      </c>
      <c r="E3536" s="13">
        <v>298400</v>
      </c>
      <c r="F3536" s="13">
        <v>22500</v>
      </c>
      <c r="H3536" t="s">
        <v>1659</v>
      </c>
      <c r="I3536" t="s">
        <v>4659</v>
      </c>
      <c r="J3536" s="13">
        <v>0</v>
      </c>
      <c r="K3536">
        <v>1</v>
      </c>
      <c r="L3536" t="s">
        <v>1064</v>
      </c>
      <c r="M3536" t="s">
        <v>4660</v>
      </c>
      <c r="N3536" s="14" t="s">
        <v>6877</v>
      </c>
    </row>
    <row r="3537" spans="1:14" x14ac:dyDescent="0.2">
      <c r="A3537" t="s">
        <v>4664</v>
      </c>
      <c r="B3537" t="s">
        <v>2360</v>
      </c>
      <c r="C3537" s="9">
        <v>45020</v>
      </c>
      <c r="D3537" t="s">
        <v>9</v>
      </c>
      <c r="E3537" s="13">
        <v>328300</v>
      </c>
      <c r="F3537" s="13">
        <v>22500</v>
      </c>
      <c r="H3537" t="s">
        <v>1659</v>
      </c>
      <c r="I3537" t="s">
        <v>4659</v>
      </c>
      <c r="J3537" s="13">
        <v>0</v>
      </c>
      <c r="K3537">
        <v>1</v>
      </c>
      <c r="L3537" t="s">
        <v>1064</v>
      </c>
      <c r="M3537" t="s">
        <v>4660</v>
      </c>
      <c r="N3537" s="14" t="s">
        <v>6877</v>
      </c>
    </row>
    <row r="3538" spans="1:14" x14ac:dyDescent="0.2">
      <c r="A3538" t="s">
        <v>4665</v>
      </c>
      <c r="B3538" t="s">
        <v>2360</v>
      </c>
      <c r="C3538" s="9">
        <v>45020</v>
      </c>
      <c r="D3538" t="s">
        <v>9</v>
      </c>
      <c r="E3538" s="13">
        <v>298400</v>
      </c>
      <c r="F3538" s="13">
        <v>22500</v>
      </c>
      <c r="H3538" t="s">
        <v>1659</v>
      </c>
      <c r="I3538" t="s">
        <v>4659</v>
      </c>
      <c r="J3538" s="13">
        <v>0</v>
      </c>
      <c r="K3538">
        <v>1</v>
      </c>
      <c r="L3538" t="s">
        <v>1064</v>
      </c>
      <c r="M3538" t="s">
        <v>4660</v>
      </c>
      <c r="N3538" s="14" t="s">
        <v>6877</v>
      </c>
    </row>
    <row r="3539" spans="1:14" x14ac:dyDescent="0.2">
      <c r="A3539" t="s">
        <v>4666</v>
      </c>
      <c r="B3539" t="s">
        <v>2360</v>
      </c>
      <c r="C3539" s="9">
        <v>45020</v>
      </c>
      <c r="D3539" t="s">
        <v>960</v>
      </c>
      <c r="E3539" s="13">
        <v>3500000</v>
      </c>
      <c r="F3539" s="13">
        <v>27750</v>
      </c>
      <c r="G3539" s="9">
        <v>45024</v>
      </c>
      <c r="H3539" t="s">
        <v>1111</v>
      </c>
      <c r="I3539" t="s">
        <v>3814</v>
      </c>
      <c r="J3539" s="13">
        <v>213675</v>
      </c>
      <c r="K3539">
        <v>1</v>
      </c>
      <c r="L3539" t="s">
        <v>1064</v>
      </c>
      <c r="M3539" t="s">
        <v>3815</v>
      </c>
      <c r="N3539" s="15" t="s">
        <v>6878</v>
      </c>
    </row>
    <row r="3540" spans="1:14" x14ac:dyDescent="0.2">
      <c r="A3540" t="s">
        <v>4667</v>
      </c>
      <c r="B3540" t="s">
        <v>2360</v>
      </c>
      <c r="C3540" s="9">
        <v>45020</v>
      </c>
      <c r="D3540" t="s">
        <v>960</v>
      </c>
      <c r="E3540" s="13">
        <v>3500000</v>
      </c>
      <c r="F3540" s="13">
        <v>27750</v>
      </c>
      <c r="G3540" s="9">
        <v>45024</v>
      </c>
      <c r="H3540" t="s">
        <v>1111</v>
      </c>
      <c r="I3540" t="s">
        <v>3814</v>
      </c>
      <c r="J3540" s="13">
        <v>213675</v>
      </c>
      <c r="K3540">
        <v>1</v>
      </c>
      <c r="L3540" t="s">
        <v>1064</v>
      </c>
      <c r="M3540" t="s">
        <v>3815</v>
      </c>
      <c r="N3540" s="15" t="s">
        <v>6878</v>
      </c>
    </row>
    <row r="3541" spans="1:14" x14ac:dyDescent="0.2">
      <c r="A3541" t="s">
        <v>4668</v>
      </c>
      <c r="B3541" t="s">
        <v>2360</v>
      </c>
      <c r="C3541" s="9">
        <v>45020</v>
      </c>
      <c r="D3541" t="s">
        <v>960</v>
      </c>
      <c r="E3541" s="13">
        <v>3500000</v>
      </c>
      <c r="F3541" s="13">
        <v>27750</v>
      </c>
      <c r="G3541" s="9">
        <v>45024</v>
      </c>
      <c r="H3541" t="s">
        <v>1111</v>
      </c>
      <c r="I3541" t="s">
        <v>3814</v>
      </c>
      <c r="J3541" s="13">
        <v>213675</v>
      </c>
      <c r="K3541">
        <v>1</v>
      </c>
      <c r="L3541" t="s">
        <v>1064</v>
      </c>
      <c r="M3541" t="s">
        <v>3815</v>
      </c>
      <c r="N3541" s="15" t="s">
        <v>6878</v>
      </c>
    </row>
    <row r="3542" spans="1:14" x14ac:dyDescent="0.2">
      <c r="A3542" t="s">
        <v>4669</v>
      </c>
      <c r="B3542" t="s">
        <v>2360</v>
      </c>
      <c r="C3542" s="9">
        <v>45020</v>
      </c>
      <c r="D3542" t="s">
        <v>960</v>
      </c>
      <c r="E3542" s="13">
        <v>3500000</v>
      </c>
      <c r="F3542" s="13">
        <v>27750</v>
      </c>
      <c r="G3542" s="9">
        <v>45024</v>
      </c>
      <c r="H3542" t="s">
        <v>1111</v>
      </c>
      <c r="I3542" t="s">
        <v>3814</v>
      </c>
      <c r="J3542" s="13">
        <v>213675</v>
      </c>
      <c r="K3542">
        <v>1</v>
      </c>
      <c r="L3542" t="s">
        <v>1064</v>
      </c>
      <c r="M3542" t="s">
        <v>3815</v>
      </c>
      <c r="N3542" s="15" t="s">
        <v>6878</v>
      </c>
    </row>
    <row r="3543" spans="1:14" x14ac:dyDescent="0.2">
      <c r="A3543" t="s">
        <v>4670</v>
      </c>
      <c r="B3543" t="s">
        <v>2360</v>
      </c>
      <c r="C3543" s="9">
        <v>45020</v>
      </c>
      <c r="D3543" t="s">
        <v>960</v>
      </c>
      <c r="E3543" s="13">
        <v>3500000</v>
      </c>
      <c r="F3543" s="13">
        <v>27750</v>
      </c>
      <c r="G3543" s="9">
        <v>45024</v>
      </c>
      <c r="H3543" t="s">
        <v>1111</v>
      </c>
      <c r="I3543" t="s">
        <v>3814</v>
      </c>
      <c r="J3543" s="13">
        <v>213675</v>
      </c>
      <c r="K3543">
        <v>1</v>
      </c>
      <c r="L3543" t="s">
        <v>1064</v>
      </c>
      <c r="M3543" t="s">
        <v>3815</v>
      </c>
      <c r="N3543" s="15" t="s">
        <v>6878</v>
      </c>
    </row>
    <row r="3544" spans="1:14" x14ac:dyDescent="0.2">
      <c r="A3544" t="s">
        <v>4671</v>
      </c>
      <c r="B3544" t="s">
        <v>2360</v>
      </c>
      <c r="C3544" s="9">
        <v>45020</v>
      </c>
      <c r="D3544" t="s">
        <v>960</v>
      </c>
      <c r="E3544" s="13">
        <v>3500000</v>
      </c>
      <c r="F3544" s="13">
        <v>27750</v>
      </c>
      <c r="G3544" s="9">
        <v>45024</v>
      </c>
      <c r="H3544" t="s">
        <v>1111</v>
      </c>
      <c r="I3544" t="s">
        <v>3814</v>
      </c>
      <c r="J3544" s="13">
        <v>213675</v>
      </c>
      <c r="K3544">
        <v>1</v>
      </c>
      <c r="L3544" t="s">
        <v>1064</v>
      </c>
      <c r="M3544" t="s">
        <v>3815</v>
      </c>
      <c r="N3544" s="15" t="s">
        <v>6878</v>
      </c>
    </row>
    <row r="3545" spans="1:14" x14ac:dyDescent="0.2">
      <c r="A3545" t="s">
        <v>4672</v>
      </c>
      <c r="B3545" t="s">
        <v>2360</v>
      </c>
      <c r="C3545" s="9">
        <v>45020</v>
      </c>
      <c r="D3545" t="s">
        <v>960</v>
      </c>
      <c r="E3545" s="13">
        <v>3500000</v>
      </c>
      <c r="F3545" s="13">
        <v>27750</v>
      </c>
      <c r="G3545" s="9">
        <v>45024</v>
      </c>
      <c r="H3545" t="s">
        <v>1111</v>
      </c>
      <c r="I3545" t="s">
        <v>3814</v>
      </c>
      <c r="J3545" s="13">
        <v>213675</v>
      </c>
      <c r="K3545">
        <v>1</v>
      </c>
      <c r="L3545" t="s">
        <v>1064</v>
      </c>
      <c r="M3545" t="s">
        <v>3815</v>
      </c>
      <c r="N3545" s="15" t="s">
        <v>6878</v>
      </c>
    </row>
    <row r="3546" spans="1:14" x14ac:dyDescent="0.2">
      <c r="A3546" t="s">
        <v>4673</v>
      </c>
      <c r="B3546" t="s">
        <v>2360</v>
      </c>
      <c r="C3546" s="9">
        <v>45020</v>
      </c>
      <c r="D3546" t="s">
        <v>960</v>
      </c>
      <c r="E3546" s="13">
        <v>3500000</v>
      </c>
      <c r="F3546" s="13">
        <v>27750</v>
      </c>
      <c r="G3546" s="9">
        <v>45024</v>
      </c>
      <c r="H3546" t="s">
        <v>1111</v>
      </c>
      <c r="I3546" t="s">
        <v>3814</v>
      </c>
      <c r="J3546" s="13">
        <v>213675</v>
      </c>
      <c r="K3546">
        <v>1</v>
      </c>
      <c r="L3546" t="s">
        <v>1064</v>
      </c>
      <c r="M3546" t="s">
        <v>3815</v>
      </c>
      <c r="N3546" s="15" t="s">
        <v>6878</v>
      </c>
    </row>
    <row r="3547" spans="1:14" x14ac:dyDescent="0.2">
      <c r="A3547" t="s">
        <v>4674</v>
      </c>
      <c r="B3547" t="s">
        <v>2360</v>
      </c>
      <c r="C3547" s="9">
        <v>45020</v>
      </c>
      <c r="D3547" t="s">
        <v>960</v>
      </c>
      <c r="E3547" s="13">
        <v>3500000</v>
      </c>
      <c r="F3547" s="13">
        <v>27750</v>
      </c>
      <c r="G3547" s="9">
        <v>45024</v>
      </c>
      <c r="H3547" t="s">
        <v>1111</v>
      </c>
      <c r="I3547" t="s">
        <v>3814</v>
      </c>
      <c r="J3547" s="13">
        <v>213675</v>
      </c>
      <c r="K3547">
        <v>1</v>
      </c>
      <c r="L3547" t="s">
        <v>1064</v>
      </c>
      <c r="M3547" t="s">
        <v>3815</v>
      </c>
      <c r="N3547" s="15" t="s">
        <v>6878</v>
      </c>
    </row>
    <row r="3548" spans="1:14" x14ac:dyDescent="0.2">
      <c r="A3548" t="s">
        <v>4675</v>
      </c>
      <c r="B3548" t="s">
        <v>2360</v>
      </c>
      <c r="C3548" s="9">
        <v>45020</v>
      </c>
      <c r="D3548" t="s">
        <v>960</v>
      </c>
      <c r="E3548" s="13">
        <v>3500000</v>
      </c>
      <c r="F3548" s="13">
        <v>27750</v>
      </c>
      <c r="G3548" s="9">
        <v>45024</v>
      </c>
      <c r="H3548" t="s">
        <v>1111</v>
      </c>
      <c r="I3548" t="s">
        <v>3814</v>
      </c>
      <c r="J3548" s="13">
        <v>213675</v>
      </c>
      <c r="K3548">
        <v>1</v>
      </c>
      <c r="L3548" t="s">
        <v>1064</v>
      </c>
      <c r="M3548" t="s">
        <v>3815</v>
      </c>
      <c r="N3548" s="15" t="s">
        <v>6878</v>
      </c>
    </row>
    <row r="3549" spans="1:14" x14ac:dyDescent="0.2">
      <c r="A3549" t="s">
        <v>4676</v>
      </c>
      <c r="B3549" t="s">
        <v>2360</v>
      </c>
      <c r="C3549" s="9">
        <v>45020</v>
      </c>
      <c r="D3549" t="s">
        <v>960</v>
      </c>
      <c r="E3549" s="13">
        <v>3555500</v>
      </c>
      <c r="F3549" s="13">
        <v>25000</v>
      </c>
      <c r="H3549" t="s">
        <v>1659</v>
      </c>
      <c r="I3549" t="s">
        <v>3814</v>
      </c>
      <c r="J3549" s="13">
        <v>0</v>
      </c>
      <c r="K3549">
        <v>1</v>
      </c>
      <c r="L3549" t="s">
        <v>1064</v>
      </c>
      <c r="M3549" t="s">
        <v>3815</v>
      </c>
      <c r="N3549" s="14" t="s">
        <v>6877</v>
      </c>
    </row>
    <row r="3550" spans="1:14" x14ac:dyDescent="0.2">
      <c r="A3550" t="s">
        <v>4677</v>
      </c>
      <c r="B3550" t="s">
        <v>2360</v>
      </c>
      <c r="C3550" s="9">
        <v>45020</v>
      </c>
      <c r="D3550" t="s">
        <v>960</v>
      </c>
      <c r="E3550" s="13">
        <v>3500000</v>
      </c>
      <c r="F3550" s="13">
        <v>27750</v>
      </c>
      <c r="G3550" s="9">
        <v>45024</v>
      </c>
      <c r="H3550" t="s">
        <v>1111</v>
      </c>
      <c r="I3550" t="s">
        <v>3814</v>
      </c>
      <c r="J3550" s="13">
        <v>213675</v>
      </c>
      <c r="K3550">
        <v>1</v>
      </c>
      <c r="L3550" t="s">
        <v>1064</v>
      </c>
      <c r="M3550" t="s">
        <v>3815</v>
      </c>
      <c r="N3550" s="15" t="s">
        <v>6878</v>
      </c>
    </row>
    <row r="3551" spans="1:14" x14ac:dyDescent="0.2">
      <c r="A3551" t="s">
        <v>4678</v>
      </c>
      <c r="B3551" t="s">
        <v>2360</v>
      </c>
      <c r="C3551" s="9">
        <v>45020</v>
      </c>
      <c r="D3551" t="s">
        <v>960</v>
      </c>
      <c r="E3551" s="13">
        <v>3500000</v>
      </c>
      <c r="F3551" s="13">
        <v>27750</v>
      </c>
      <c r="G3551" s="9">
        <v>45024</v>
      </c>
      <c r="H3551" t="s">
        <v>1111</v>
      </c>
      <c r="I3551" t="s">
        <v>3814</v>
      </c>
      <c r="J3551" s="13">
        <v>213675</v>
      </c>
      <c r="K3551">
        <v>1</v>
      </c>
      <c r="L3551" t="s">
        <v>1064</v>
      </c>
      <c r="M3551" t="s">
        <v>3815</v>
      </c>
      <c r="N3551" s="15" t="s">
        <v>6878</v>
      </c>
    </row>
    <row r="3552" spans="1:14" x14ac:dyDescent="0.2">
      <c r="A3552" t="s">
        <v>4679</v>
      </c>
      <c r="B3552" t="s">
        <v>2360</v>
      </c>
      <c r="C3552" s="9">
        <v>45020</v>
      </c>
      <c r="D3552" t="s">
        <v>960</v>
      </c>
      <c r="E3552" s="13">
        <v>3500000</v>
      </c>
      <c r="F3552" s="13">
        <v>27750</v>
      </c>
      <c r="G3552" s="9">
        <v>45024</v>
      </c>
      <c r="H3552" t="s">
        <v>1111</v>
      </c>
      <c r="I3552" t="s">
        <v>3814</v>
      </c>
      <c r="J3552" s="13">
        <v>213675</v>
      </c>
      <c r="K3552">
        <v>1</v>
      </c>
      <c r="L3552" t="s">
        <v>1064</v>
      </c>
      <c r="M3552" t="s">
        <v>3815</v>
      </c>
      <c r="N3552" s="15" t="s">
        <v>6878</v>
      </c>
    </row>
    <row r="3553" spans="1:14" x14ac:dyDescent="0.2">
      <c r="A3553" t="s">
        <v>4680</v>
      </c>
      <c r="B3553" t="s">
        <v>2360</v>
      </c>
      <c r="C3553" s="9">
        <v>45020</v>
      </c>
      <c r="D3553" t="s">
        <v>960</v>
      </c>
      <c r="E3553" s="13">
        <v>3500000</v>
      </c>
      <c r="F3553" s="13">
        <v>27750</v>
      </c>
      <c r="G3553" s="9">
        <v>45024</v>
      </c>
      <c r="H3553" t="s">
        <v>1111</v>
      </c>
      <c r="I3553" t="s">
        <v>3814</v>
      </c>
      <c r="J3553" s="13">
        <v>213675</v>
      </c>
      <c r="K3553">
        <v>1</v>
      </c>
      <c r="L3553" t="s">
        <v>1064</v>
      </c>
      <c r="M3553" t="s">
        <v>3815</v>
      </c>
      <c r="N3553" s="15" t="s">
        <v>6878</v>
      </c>
    </row>
    <row r="3554" spans="1:14" x14ac:dyDescent="0.2">
      <c r="A3554" t="s">
        <v>4681</v>
      </c>
      <c r="B3554" t="s">
        <v>2360</v>
      </c>
      <c r="C3554" s="9">
        <v>45020</v>
      </c>
      <c r="D3554" t="s">
        <v>960</v>
      </c>
      <c r="E3554" s="13">
        <v>3500000</v>
      </c>
      <c r="F3554" s="13">
        <v>27750</v>
      </c>
      <c r="G3554" s="9">
        <v>45024</v>
      </c>
      <c r="H3554" t="s">
        <v>1111</v>
      </c>
      <c r="I3554" t="s">
        <v>3814</v>
      </c>
      <c r="J3554" s="13">
        <v>213675</v>
      </c>
      <c r="K3554">
        <v>1</v>
      </c>
      <c r="L3554" t="s">
        <v>1064</v>
      </c>
      <c r="M3554" t="s">
        <v>3815</v>
      </c>
      <c r="N3554" s="15" t="s">
        <v>6878</v>
      </c>
    </row>
    <row r="3555" spans="1:14" x14ac:dyDescent="0.2">
      <c r="A3555" t="s">
        <v>4682</v>
      </c>
      <c r="B3555" t="s">
        <v>2360</v>
      </c>
      <c r="C3555" s="9">
        <v>45020</v>
      </c>
      <c r="D3555" t="s">
        <v>960</v>
      </c>
      <c r="E3555" s="13">
        <v>3500000</v>
      </c>
      <c r="F3555" s="13">
        <v>27750</v>
      </c>
      <c r="G3555" s="9">
        <v>45024</v>
      </c>
      <c r="H3555" t="s">
        <v>1111</v>
      </c>
      <c r="I3555" t="s">
        <v>3814</v>
      </c>
      <c r="J3555" s="13">
        <v>213675</v>
      </c>
      <c r="K3555">
        <v>1</v>
      </c>
      <c r="L3555" t="s">
        <v>1064</v>
      </c>
      <c r="M3555" t="s">
        <v>3815</v>
      </c>
      <c r="N3555" s="15" t="s">
        <v>6878</v>
      </c>
    </row>
    <row r="3556" spans="1:14" x14ac:dyDescent="0.2">
      <c r="A3556" t="s">
        <v>4683</v>
      </c>
      <c r="B3556" t="s">
        <v>2360</v>
      </c>
      <c r="C3556" s="9">
        <v>45020</v>
      </c>
      <c r="D3556" t="s">
        <v>960</v>
      </c>
      <c r="E3556" s="13">
        <v>3500000</v>
      </c>
      <c r="F3556" s="13">
        <v>27750</v>
      </c>
      <c r="G3556" s="9">
        <v>45024</v>
      </c>
      <c r="H3556" t="s">
        <v>1111</v>
      </c>
      <c r="I3556" t="s">
        <v>3814</v>
      </c>
      <c r="J3556" s="13">
        <v>213675</v>
      </c>
      <c r="K3556">
        <v>1</v>
      </c>
      <c r="L3556" t="s">
        <v>1064</v>
      </c>
      <c r="M3556" t="s">
        <v>3815</v>
      </c>
      <c r="N3556" s="15" t="s">
        <v>6878</v>
      </c>
    </row>
    <row r="3557" spans="1:14" x14ac:dyDescent="0.2">
      <c r="A3557" t="s">
        <v>4684</v>
      </c>
      <c r="B3557" t="s">
        <v>2360</v>
      </c>
      <c r="C3557" s="9">
        <v>45020</v>
      </c>
      <c r="D3557" t="s">
        <v>960</v>
      </c>
      <c r="E3557" s="13">
        <v>3500000</v>
      </c>
      <c r="F3557" s="13">
        <v>27750</v>
      </c>
      <c r="G3557" s="9">
        <v>45024</v>
      </c>
      <c r="H3557" t="s">
        <v>1111</v>
      </c>
      <c r="I3557" t="s">
        <v>3814</v>
      </c>
      <c r="J3557" s="13">
        <v>213675</v>
      </c>
      <c r="K3557">
        <v>1</v>
      </c>
      <c r="L3557" t="s">
        <v>1064</v>
      </c>
      <c r="M3557" t="s">
        <v>3815</v>
      </c>
      <c r="N3557" s="15" t="s">
        <v>6878</v>
      </c>
    </row>
    <row r="3558" spans="1:14" x14ac:dyDescent="0.2">
      <c r="A3558" t="s">
        <v>4685</v>
      </c>
      <c r="B3558" t="s">
        <v>2360</v>
      </c>
      <c r="C3558" s="9">
        <v>45020</v>
      </c>
      <c r="D3558" t="s">
        <v>960</v>
      </c>
      <c r="E3558" s="13">
        <v>3500000</v>
      </c>
      <c r="F3558" s="13">
        <v>27750</v>
      </c>
      <c r="G3558" s="9">
        <v>45024</v>
      </c>
      <c r="H3558" t="s">
        <v>1111</v>
      </c>
      <c r="I3558" t="s">
        <v>3814</v>
      </c>
      <c r="J3558" s="13">
        <v>213675</v>
      </c>
      <c r="K3558">
        <v>1</v>
      </c>
      <c r="L3558" t="s">
        <v>1064</v>
      </c>
      <c r="M3558" t="s">
        <v>3815</v>
      </c>
      <c r="N3558" s="15" t="s">
        <v>6878</v>
      </c>
    </row>
    <row r="3559" spans="1:14" x14ac:dyDescent="0.2">
      <c r="A3559" t="s">
        <v>4686</v>
      </c>
      <c r="B3559" t="s">
        <v>2360</v>
      </c>
      <c r="C3559" s="9">
        <v>45020</v>
      </c>
      <c r="D3559" t="s">
        <v>960</v>
      </c>
      <c r="E3559" s="13">
        <v>3500000</v>
      </c>
      <c r="F3559" s="13">
        <v>27750</v>
      </c>
      <c r="G3559" s="9">
        <v>45024</v>
      </c>
      <c r="H3559" t="s">
        <v>1111</v>
      </c>
      <c r="I3559" t="s">
        <v>3814</v>
      </c>
      <c r="J3559" s="13">
        <v>213675</v>
      </c>
      <c r="K3559">
        <v>1</v>
      </c>
      <c r="L3559" t="s">
        <v>1064</v>
      </c>
      <c r="M3559" t="s">
        <v>3815</v>
      </c>
      <c r="N3559" s="15" t="s">
        <v>6878</v>
      </c>
    </row>
    <row r="3560" spans="1:14" x14ac:dyDescent="0.2">
      <c r="A3560" t="s">
        <v>4687</v>
      </c>
      <c r="B3560" t="s">
        <v>2360</v>
      </c>
      <c r="C3560" s="9">
        <v>45020</v>
      </c>
      <c r="D3560" t="s">
        <v>960</v>
      </c>
      <c r="E3560" s="13">
        <v>3500000</v>
      </c>
      <c r="F3560" s="13">
        <v>27750</v>
      </c>
      <c r="G3560" s="9">
        <v>45024</v>
      </c>
      <c r="H3560" t="s">
        <v>1111</v>
      </c>
      <c r="I3560" t="s">
        <v>3814</v>
      </c>
      <c r="J3560" s="13">
        <v>213675</v>
      </c>
      <c r="K3560">
        <v>1</v>
      </c>
      <c r="L3560" t="s">
        <v>1064</v>
      </c>
      <c r="M3560" t="s">
        <v>3815</v>
      </c>
      <c r="N3560" s="15" t="s">
        <v>6878</v>
      </c>
    </row>
    <row r="3561" spans="1:14" x14ac:dyDescent="0.2">
      <c r="A3561" t="s">
        <v>4688</v>
      </c>
      <c r="B3561" t="s">
        <v>2360</v>
      </c>
      <c r="C3561" s="9">
        <v>45020</v>
      </c>
      <c r="D3561" t="s">
        <v>960</v>
      </c>
      <c r="E3561" s="13">
        <v>3500000</v>
      </c>
      <c r="F3561" s="13">
        <v>27750</v>
      </c>
      <c r="G3561" s="9">
        <v>45024</v>
      </c>
      <c r="H3561" t="s">
        <v>1111</v>
      </c>
      <c r="I3561" t="s">
        <v>3814</v>
      </c>
      <c r="J3561" s="13">
        <v>213675</v>
      </c>
      <c r="K3561">
        <v>1</v>
      </c>
      <c r="L3561" t="s">
        <v>1064</v>
      </c>
      <c r="M3561" t="s">
        <v>3815</v>
      </c>
      <c r="N3561" s="15" t="s">
        <v>6878</v>
      </c>
    </row>
    <row r="3562" spans="1:14" x14ac:dyDescent="0.2">
      <c r="A3562" t="s">
        <v>4689</v>
      </c>
      <c r="B3562" t="s">
        <v>2360</v>
      </c>
      <c r="C3562" s="9">
        <v>45020</v>
      </c>
      <c r="D3562" t="s">
        <v>960</v>
      </c>
      <c r="E3562" s="13">
        <v>3500000</v>
      </c>
      <c r="F3562" s="13">
        <v>27750</v>
      </c>
      <c r="G3562" s="9">
        <v>45024</v>
      </c>
      <c r="H3562" t="s">
        <v>1111</v>
      </c>
      <c r="I3562" t="s">
        <v>3814</v>
      </c>
      <c r="J3562" s="13">
        <v>213675</v>
      </c>
      <c r="K3562">
        <v>1</v>
      </c>
      <c r="L3562" t="s">
        <v>1064</v>
      </c>
      <c r="M3562" t="s">
        <v>3815</v>
      </c>
      <c r="N3562" s="15" t="s">
        <v>6878</v>
      </c>
    </row>
    <row r="3563" spans="1:14" x14ac:dyDescent="0.2">
      <c r="A3563" t="s">
        <v>4690</v>
      </c>
      <c r="B3563" t="s">
        <v>2360</v>
      </c>
      <c r="C3563" s="9">
        <v>45020</v>
      </c>
      <c r="D3563" t="s">
        <v>960</v>
      </c>
      <c r="E3563" s="13">
        <v>3500000</v>
      </c>
      <c r="F3563" s="13">
        <v>27750</v>
      </c>
      <c r="G3563" s="9">
        <v>45024</v>
      </c>
      <c r="H3563" t="s">
        <v>1111</v>
      </c>
      <c r="I3563" t="s">
        <v>3814</v>
      </c>
      <c r="J3563" s="13">
        <v>213675</v>
      </c>
      <c r="K3563">
        <v>1</v>
      </c>
      <c r="L3563" t="s">
        <v>1064</v>
      </c>
      <c r="M3563" t="s">
        <v>3815</v>
      </c>
      <c r="N3563" s="15" t="s">
        <v>6878</v>
      </c>
    </row>
    <row r="3564" spans="1:14" x14ac:dyDescent="0.2">
      <c r="A3564" t="s">
        <v>4691</v>
      </c>
      <c r="B3564" t="s">
        <v>2360</v>
      </c>
      <c r="C3564" s="9">
        <v>45020</v>
      </c>
      <c r="D3564" t="s">
        <v>960</v>
      </c>
      <c r="E3564" s="13">
        <v>3500000</v>
      </c>
      <c r="F3564" s="13">
        <v>27750</v>
      </c>
      <c r="G3564" s="9">
        <v>45024</v>
      </c>
      <c r="H3564" t="s">
        <v>1111</v>
      </c>
      <c r="I3564" t="s">
        <v>3814</v>
      </c>
      <c r="J3564" s="13">
        <v>213675</v>
      </c>
      <c r="K3564">
        <v>1</v>
      </c>
      <c r="L3564" t="s">
        <v>1064</v>
      </c>
      <c r="M3564" t="s">
        <v>3815</v>
      </c>
      <c r="N3564" s="15" t="s">
        <v>6878</v>
      </c>
    </row>
    <row r="3565" spans="1:14" x14ac:dyDescent="0.2">
      <c r="A3565" t="s">
        <v>4692</v>
      </c>
      <c r="B3565" t="s">
        <v>2360</v>
      </c>
      <c r="C3565" s="9">
        <v>45020</v>
      </c>
      <c r="D3565" t="s">
        <v>960</v>
      </c>
      <c r="E3565" s="13">
        <v>3500000</v>
      </c>
      <c r="F3565" s="13">
        <v>27750</v>
      </c>
      <c r="G3565" s="9">
        <v>45024</v>
      </c>
      <c r="H3565" t="s">
        <v>1111</v>
      </c>
      <c r="I3565" t="s">
        <v>3814</v>
      </c>
      <c r="J3565" s="13">
        <v>213675</v>
      </c>
      <c r="K3565">
        <v>1</v>
      </c>
      <c r="L3565" t="s">
        <v>1064</v>
      </c>
      <c r="M3565" t="s">
        <v>3815</v>
      </c>
      <c r="N3565" s="15" t="s">
        <v>6878</v>
      </c>
    </row>
    <row r="3566" spans="1:14" x14ac:dyDescent="0.2">
      <c r="A3566" t="s">
        <v>4693</v>
      </c>
      <c r="B3566" t="s">
        <v>2360</v>
      </c>
      <c r="C3566" s="9">
        <v>45020</v>
      </c>
      <c r="D3566" t="s">
        <v>960</v>
      </c>
      <c r="E3566" s="13">
        <v>3500000</v>
      </c>
      <c r="F3566" s="13">
        <v>27750</v>
      </c>
      <c r="G3566" s="9">
        <v>45024</v>
      </c>
      <c r="H3566" t="s">
        <v>1111</v>
      </c>
      <c r="I3566" t="s">
        <v>3814</v>
      </c>
      <c r="J3566" s="13">
        <v>213675</v>
      </c>
      <c r="K3566">
        <v>1</v>
      </c>
      <c r="L3566" t="s">
        <v>1064</v>
      </c>
      <c r="M3566" t="s">
        <v>3815</v>
      </c>
      <c r="N3566" s="15" t="s">
        <v>6878</v>
      </c>
    </row>
    <row r="3567" spans="1:14" x14ac:dyDescent="0.2">
      <c r="A3567" t="s">
        <v>4694</v>
      </c>
      <c r="B3567" t="s">
        <v>2360</v>
      </c>
      <c r="C3567" s="9">
        <v>45020</v>
      </c>
      <c r="D3567" t="s">
        <v>960</v>
      </c>
      <c r="E3567" s="13">
        <v>3500000</v>
      </c>
      <c r="F3567" s="13">
        <v>27750</v>
      </c>
      <c r="G3567" s="9">
        <v>45024</v>
      </c>
      <c r="H3567" t="s">
        <v>1111</v>
      </c>
      <c r="I3567" t="s">
        <v>3814</v>
      </c>
      <c r="J3567" s="13">
        <v>213675</v>
      </c>
      <c r="K3567">
        <v>1</v>
      </c>
      <c r="L3567" t="s">
        <v>1064</v>
      </c>
      <c r="M3567" t="s">
        <v>3815</v>
      </c>
      <c r="N3567" s="15" t="s">
        <v>6878</v>
      </c>
    </row>
    <row r="3568" spans="1:14" x14ac:dyDescent="0.2">
      <c r="A3568" t="s">
        <v>4695</v>
      </c>
      <c r="B3568" t="s">
        <v>2360</v>
      </c>
      <c r="C3568" s="9">
        <v>45020</v>
      </c>
      <c r="D3568" t="s">
        <v>960</v>
      </c>
      <c r="E3568" s="13">
        <v>3500000</v>
      </c>
      <c r="F3568" s="13">
        <v>27750</v>
      </c>
      <c r="G3568" s="9">
        <v>45024</v>
      </c>
      <c r="H3568" t="s">
        <v>1111</v>
      </c>
      <c r="I3568" t="s">
        <v>3814</v>
      </c>
      <c r="J3568" s="13">
        <v>213675</v>
      </c>
      <c r="K3568">
        <v>1</v>
      </c>
      <c r="L3568" t="s">
        <v>1064</v>
      </c>
      <c r="M3568" t="s">
        <v>3815</v>
      </c>
      <c r="N3568" s="15" t="s">
        <v>6878</v>
      </c>
    </row>
    <row r="3569" spans="1:14" x14ac:dyDescent="0.2">
      <c r="A3569" t="s">
        <v>4696</v>
      </c>
      <c r="B3569" t="s">
        <v>2360</v>
      </c>
      <c r="C3569" s="9">
        <v>45020</v>
      </c>
      <c r="D3569" t="s">
        <v>960</v>
      </c>
      <c r="E3569" s="13">
        <v>3500000</v>
      </c>
      <c r="F3569" s="13">
        <v>27750</v>
      </c>
      <c r="G3569" s="9">
        <v>45024</v>
      </c>
      <c r="H3569" t="s">
        <v>1111</v>
      </c>
      <c r="I3569" t="s">
        <v>3814</v>
      </c>
      <c r="J3569" s="13">
        <v>213675</v>
      </c>
      <c r="K3569">
        <v>1</v>
      </c>
      <c r="L3569" t="s">
        <v>1064</v>
      </c>
      <c r="M3569" t="s">
        <v>3815</v>
      </c>
      <c r="N3569" s="15" t="s">
        <v>6878</v>
      </c>
    </row>
    <row r="3570" spans="1:14" x14ac:dyDescent="0.2">
      <c r="A3570" t="s">
        <v>4697</v>
      </c>
      <c r="B3570" t="s">
        <v>2360</v>
      </c>
      <c r="C3570" s="9">
        <v>45020</v>
      </c>
      <c r="D3570" t="s">
        <v>960</v>
      </c>
      <c r="E3570" s="13">
        <v>3500000</v>
      </c>
      <c r="F3570" s="13">
        <v>27750</v>
      </c>
      <c r="G3570" s="9">
        <v>45024</v>
      </c>
      <c r="H3570" t="s">
        <v>1111</v>
      </c>
      <c r="I3570" t="s">
        <v>3814</v>
      </c>
      <c r="J3570" s="13">
        <v>213675</v>
      </c>
      <c r="K3570">
        <v>1</v>
      </c>
      <c r="L3570" t="s">
        <v>1064</v>
      </c>
      <c r="M3570" t="s">
        <v>3815</v>
      </c>
      <c r="N3570" s="15" t="s">
        <v>6878</v>
      </c>
    </row>
    <row r="3571" spans="1:14" x14ac:dyDescent="0.2">
      <c r="A3571" t="s">
        <v>4698</v>
      </c>
      <c r="B3571" t="s">
        <v>2360</v>
      </c>
      <c r="C3571" s="9">
        <v>45020</v>
      </c>
      <c r="D3571" t="s">
        <v>960</v>
      </c>
      <c r="E3571" s="13">
        <v>3500000</v>
      </c>
      <c r="F3571" s="13">
        <v>27750</v>
      </c>
      <c r="G3571" s="9">
        <v>45024</v>
      </c>
      <c r="H3571" t="s">
        <v>1111</v>
      </c>
      <c r="I3571" t="s">
        <v>3814</v>
      </c>
      <c r="J3571" s="13">
        <v>213675</v>
      </c>
      <c r="K3571">
        <v>1</v>
      </c>
      <c r="L3571" t="s">
        <v>1064</v>
      </c>
      <c r="M3571" t="s">
        <v>3815</v>
      </c>
      <c r="N3571" s="15" t="s">
        <v>6878</v>
      </c>
    </row>
    <row r="3572" spans="1:14" x14ac:dyDescent="0.2">
      <c r="A3572" t="s">
        <v>4699</v>
      </c>
      <c r="B3572" t="s">
        <v>2360</v>
      </c>
      <c r="C3572" s="9">
        <v>45020</v>
      </c>
      <c r="D3572" t="s">
        <v>979</v>
      </c>
      <c r="E3572" s="13">
        <v>14985000</v>
      </c>
      <c r="F3572" s="13">
        <v>25000</v>
      </c>
      <c r="G3572" s="9">
        <v>45021</v>
      </c>
      <c r="H3572" t="s">
        <v>1063</v>
      </c>
      <c r="I3572" t="s">
        <v>4368</v>
      </c>
      <c r="J3572" s="13">
        <v>332667</v>
      </c>
      <c r="K3572">
        <v>1</v>
      </c>
      <c r="L3572" t="s">
        <v>1064</v>
      </c>
      <c r="M3572" t="s">
        <v>4369</v>
      </c>
      <c r="N3572" s="15" t="s">
        <v>6878</v>
      </c>
    </row>
    <row r="3573" spans="1:14" x14ac:dyDescent="0.2">
      <c r="A3573" t="s">
        <v>4700</v>
      </c>
      <c r="B3573" t="s">
        <v>2360</v>
      </c>
      <c r="C3573" s="9">
        <v>45020</v>
      </c>
      <c r="D3573" t="s">
        <v>4247</v>
      </c>
      <c r="E3573" s="13">
        <v>4450000</v>
      </c>
      <c r="F3573" s="13">
        <v>172882</v>
      </c>
      <c r="G3573" s="9">
        <v>45026</v>
      </c>
      <c r="H3573" t="s">
        <v>1111</v>
      </c>
      <c r="I3573" t="s">
        <v>4248</v>
      </c>
      <c r="J3573" s="13">
        <v>27750</v>
      </c>
      <c r="K3573">
        <v>1</v>
      </c>
      <c r="L3573" t="s">
        <v>1064</v>
      </c>
      <c r="M3573" t="s">
        <v>4249</v>
      </c>
      <c r="N3573" s="15" t="s">
        <v>6878</v>
      </c>
    </row>
    <row r="3574" spans="1:14" x14ac:dyDescent="0.2">
      <c r="A3574" t="s">
        <v>4701</v>
      </c>
      <c r="B3574" t="s">
        <v>2360</v>
      </c>
      <c r="C3574" s="9">
        <v>45020</v>
      </c>
      <c r="D3574" t="s">
        <v>4247</v>
      </c>
      <c r="E3574" s="13">
        <v>4450000</v>
      </c>
      <c r="F3574" s="13">
        <v>172882</v>
      </c>
      <c r="G3574" s="9">
        <v>45026</v>
      </c>
      <c r="H3574" t="s">
        <v>1111</v>
      </c>
      <c r="I3574" t="s">
        <v>4248</v>
      </c>
      <c r="J3574" s="13">
        <v>27750</v>
      </c>
      <c r="K3574">
        <v>1</v>
      </c>
      <c r="L3574" t="s">
        <v>1064</v>
      </c>
      <c r="M3574" t="s">
        <v>4249</v>
      </c>
      <c r="N3574" s="15" t="s">
        <v>6878</v>
      </c>
    </row>
    <row r="3575" spans="1:14" x14ac:dyDescent="0.2">
      <c r="A3575" t="s">
        <v>4702</v>
      </c>
      <c r="B3575" t="s">
        <v>2360</v>
      </c>
      <c r="C3575" s="9">
        <v>45020</v>
      </c>
      <c r="D3575" t="s">
        <v>4247</v>
      </c>
      <c r="E3575" s="13">
        <v>4450000</v>
      </c>
      <c r="F3575" s="13">
        <v>172882</v>
      </c>
      <c r="G3575" s="9">
        <v>45026</v>
      </c>
      <c r="H3575" t="s">
        <v>1111</v>
      </c>
      <c r="I3575" t="s">
        <v>4248</v>
      </c>
      <c r="J3575" s="13">
        <v>27750</v>
      </c>
      <c r="K3575">
        <v>1</v>
      </c>
      <c r="L3575" t="s">
        <v>1064</v>
      </c>
      <c r="M3575" t="s">
        <v>4249</v>
      </c>
      <c r="N3575" s="15" t="s">
        <v>6878</v>
      </c>
    </row>
    <row r="3576" spans="1:14" x14ac:dyDescent="0.2">
      <c r="A3576" t="s">
        <v>4703</v>
      </c>
      <c r="B3576" t="s">
        <v>2360</v>
      </c>
      <c r="C3576" s="9">
        <v>45020</v>
      </c>
      <c r="D3576" t="s">
        <v>4247</v>
      </c>
      <c r="E3576" s="13">
        <v>4450000</v>
      </c>
      <c r="F3576" s="13">
        <v>172882</v>
      </c>
      <c r="G3576" s="9">
        <v>45026</v>
      </c>
      <c r="H3576" t="s">
        <v>1111</v>
      </c>
      <c r="I3576" t="s">
        <v>4248</v>
      </c>
      <c r="J3576" s="13">
        <v>27750</v>
      </c>
      <c r="K3576">
        <v>1</v>
      </c>
      <c r="L3576" t="s">
        <v>1064</v>
      </c>
      <c r="M3576" t="s">
        <v>4249</v>
      </c>
      <c r="N3576" s="15" t="s">
        <v>6878</v>
      </c>
    </row>
    <row r="3577" spans="1:14" x14ac:dyDescent="0.2">
      <c r="A3577" t="s">
        <v>4704</v>
      </c>
      <c r="B3577" t="s">
        <v>2360</v>
      </c>
      <c r="C3577" s="9">
        <v>45020</v>
      </c>
      <c r="D3577" t="s">
        <v>4247</v>
      </c>
      <c r="E3577" s="13">
        <v>8000000</v>
      </c>
      <c r="F3577" s="13">
        <v>310800</v>
      </c>
      <c r="G3577" s="9">
        <v>45026</v>
      </c>
      <c r="H3577" t="s">
        <v>1111</v>
      </c>
      <c r="I3577" t="s">
        <v>4248</v>
      </c>
      <c r="J3577" s="13">
        <v>27750</v>
      </c>
      <c r="K3577">
        <v>1</v>
      </c>
      <c r="L3577" t="s">
        <v>1064</v>
      </c>
      <c r="M3577" t="s">
        <v>4249</v>
      </c>
      <c r="N3577" s="15" t="s">
        <v>6878</v>
      </c>
    </row>
    <row r="3578" spans="1:14" x14ac:dyDescent="0.2">
      <c r="A3578" t="s">
        <v>4705</v>
      </c>
      <c r="B3578" t="s">
        <v>2360</v>
      </c>
      <c r="C3578" s="9">
        <v>45020</v>
      </c>
      <c r="D3578" t="s">
        <v>4247</v>
      </c>
      <c r="E3578" s="13">
        <v>7900000</v>
      </c>
      <c r="F3578" s="13">
        <v>306915</v>
      </c>
      <c r="G3578" s="9">
        <v>45026</v>
      </c>
      <c r="H3578" t="s">
        <v>1111</v>
      </c>
      <c r="I3578" t="s">
        <v>4248</v>
      </c>
      <c r="J3578" s="13">
        <v>27750</v>
      </c>
      <c r="K3578">
        <v>1</v>
      </c>
      <c r="L3578" t="s">
        <v>1064</v>
      </c>
      <c r="M3578" t="s">
        <v>4249</v>
      </c>
      <c r="N3578" s="15" t="s">
        <v>6878</v>
      </c>
    </row>
    <row r="3579" spans="1:14" x14ac:dyDescent="0.2">
      <c r="A3579" t="s">
        <v>4706</v>
      </c>
      <c r="B3579" t="s">
        <v>2360</v>
      </c>
      <c r="C3579" s="9">
        <v>45020</v>
      </c>
      <c r="D3579" t="s">
        <v>4247</v>
      </c>
      <c r="E3579" s="13">
        <v>7900000</v>
      </c>
      <c r="F3579" s="13">
        <v>306915</v>
      </c>
      <c r="G3579" s="9">
        <v>45026</v>
      </c>
      <c r="H3579" t="s">
        <v>1111</v>
      </c>
      <c r="I3579" t="s">
        <v>4248</v>
      </c>
      <c r="J3579" s="13">
        <v>27750</v>
      </c>
      <c r="K3579">
        <v>1</v>
      </c>
      <c r="L3579" t="s">
        <v>1064</v>
      </c>
      <c r="M3579" t="s">
        <v>4249</v>
      </c>
      <c r="N3579" s="15" t="s">
        <v>6878</v>
      </c>
    </row>
    <row r="3580" spans="1:14" x14ac:dyDescent="0.2">
      <c r="A3580" t="s">
        <v>4707</v>
      </c>
      <c r="B3580" t="s">
        <v>2360</v>
      </c>
      <c r="C3580" s="9">
        <v>45020</v>
      </c>
      <c r="D3580" t="s">
        <v>4247</v>
      </c>
      <c r="E3580" s="13">
        <v>7900000</v>
      </c>
      <c r="F3580" s="13">
        <v>306915</v>
      </c>
      <c r="G3580" s="9">
        <v>45026</v>
      </c>
      <c r="H3580" t="s">
        <v>1111</v>
      </c>
      <c r="I3580" t="s">
        <v>4248</v>
      </c>
      <c r="J3580" s="13">
        <v>27750</v>
      </c>
      <c r="K3580">
        <v>1</v>
      </c>
      <c r="L3580" t="s">
        <v>1064</v>
      </c>
      <c r="M3580" t="s">
        <v>4249</v>
      </c>
      <c r="N3580" s="15" t="s">
        <v>6878</v>
      </c>
    </row>
    <row r="3581" spans="1:14" x14ac:dyDescent="0.2">
      <c r="A3581" t="s">
        <v>4708</v>
      </c>
      <c r="B3581" t="s">
        <v>2360</v>
      </c>
      <c r="C3581" s="9">
        <v>45020</v>
      </c>
      <c r="D3581" t="s">
        <v>4247</v>
      </c>
      <c r="E3581" s="13">
        <v>7900000</v>
      </c>
      <c r="F3581" s="13">
        <v>306915</v>
      </c>
      <c r="G3581" s="9">
        <v>45026</v>
      </c>
      <c r="H3581" t="s">
        <v>1111</v>
      </c>
      <c r="I3581" t="s">
        <v>4248</v>
      </c>
      <c r="J3581" s="13">
        <v>27750</v>
      </c>
      <c r="K3581">
        <v>1</v>
      </c>
      <c r="L3581" t="s">
        <v>1064</v>
      </c>
      <c r="M3581" t="s">
        <v>4249</v>
      </c>
      <c r="N3581" s="15" t="s">
        <v>6878</v>
      </c>
    </row>
    <row r="3582" spans="1:14" x14ac:dyDescent="0.2">
      <c r="A3582" t="s">
        <v>4709</v>
      </c>
      <c r="B3582" t="s">
        <v>2360</v>
      </c>
      <c r="C3582" s="9">
        <v>45020</v>
      </c>
      <c r="D3582" t="s">
        <v>4247</v>
      </c>
      <c r="E3582" s="13">
        <v>7900000</v>
      </c>
      <c r="F3582" s="13">
        <v>306915</v>
      </c>
      <c r="G3582" s="9">
        <v>45026</v>
      </c>
      <c r="H3582" t="s">
        <v>1111</v>
      </c>
      <c r="I3582" t="s">
        <v>4248</v>
      </c>
      <c r="J3582" s="13">
        <v>27750</v>
      </c>
      <c r="K3582">
        <v>1</v>
      </c>
      <c r="L3582" t="s">
        <v>1064</v>
      </c>
      <c r="M3582" t="s">
        <v>4249</v>
      </c>
      <c r="N3582" s="15" t="s">
        <v>6878</v>
      </c>
    </row>
    <row r="3583" spans="1:14" x14ac:dyDescent="0.2">
      <c r="A3583" t="s">
        <v>4710</v>
      </c>
      <c r="B3583" t="s">
        <v>2360</v>
      </c>
      <c r="C3583" s="9">
        <v>45020</v>
      </c>
      <c r="D3583" t="s">
        <v>4247</v>
      </c>
      <c r="E3583" s="13">
        <v>8000000</v>
      </c>
      <c r="F3583" s="13">
        <v>310800</v>
      </c>
      <c r="G3583" s="9">
        <v>45026</v>
      </c>
      <c r="H3583" t="s">
        <v>1111</v>
      </c>
      <c r="I3583" t="s">
        <v>4248</v>
      </c>
      <c r="J3583" s="13">
        <v>27750</v>
      </c>
      <c r="K3583">
        <v>1</v>
      </c>
      <c r="L3583" t="s">
        <v>1064</v>
      </c>
      <c r="M3583" t="s">
        <v>4249</v>
      </c>
      <c r="N3583" s="15" t="s">
        <v>6878</v>
      </c>
    </row>
    <row r="3584" spans="1:14" x14ac:dyDescent="0.2">
      <c r="A3584" t="s">
        <v>4711</v>
      </c>
      <c r="B3584" t="s">
        <v>2360</v>
      </c>
      <c r="C3584" s="9">
        <v>45020</v>
      </c>
      <c r="D3584" t="s">
        <v>4247</v>
      </c>
      <c r="E3584" s="13">
        <v>8000000</v>
      </c>
      <c r="F3584" s="13">
        <v>310800</v>
      </c>
      <c r="G3584" s="9">
        <v>45026</v>
      </c>
      <c r="H3584" t="s">
        <v>1111</v>
      </c>
      <c r="I3584" t="s">
        <v>4248</v>
      </c>
      <c r="J3584" s="13">
        <v>27750</v>
      </c>
      <c r="K3584">
        <v>1</v>
      </c>
      <c r="L3584" t="s">
        <v>1064</v>
      </c>
      <c r="M3584" t="s">
        <v>4249</v>
      </c>
      <c r="N3584" s="15" t="s">
        <v>6878</v>
      </c>
    </row>
    <row r="3585" spans="1:14" x14ac:dyDescent="0.2">
      <c r="A3585" t="s">
        <v>4712</v>
      </c>
      <c r="B3585" t="s">
        <v>2360</v>
      </c>
      <c r="C3585" s="9">
        <v>45020</v>
      </c>
      <c r="D3585" t="s">
        <v>4247</v>
      </c>
      <c r="E3585" s="13">
        <v>8000000</v>
      </c>
      <c r="F3585" s="13">
        <v>310800</v>
      </c>
      <c r="G3585" s="9">
        <v>45026</v>
      </c>
      <c r="H3585" t="s">
        <v>1111</v>
      </c>
      <c r="I3585" t="s">
        <v>4248</v>
      </c>
      <c r="J3585" s="13">
        <v>27750</v>
      </c>
      <c r="K3585">
        <v>1</v>
      </c>
      <c r="L3585" t="s">
        <v>1064</v>
      </c>
      <c r="M3585" t="s">
        <v>4249</v>
      </c>
      <c r="N3585" s="15" t="s">
        <v>6878</v>
      </c>
    </row>
    <row r="3586" spans="1:14" x14ac:dyDescent="0.2">
      <c r="A3586" t="s">
        <v>4713</v>
      </c>
      <c r="B3586" t="s">
        <v>2360</v>
      </c>
      <c r="C3586" s="9">
        <v>45020</v>
      </c>
      <c r="D3586" t="s">
        <v>4247</v>
      </c>
      <c r="E3586" s="13">
        <v>8000000</v>
      </c>
      <c r="F3586" s="13">
        <v>310800</v>
      </c>
      <c r="G3586" s="9">
        <v>45026</v>
      </c>
      <c r="H3586" t="s">
        <v>1111</v>
      </c>
      <c r="I3586" t="s">
        <v>4248</v>
      </c>
      <c r="J3586" s="13">
        <v>27750</v>
      </c>
      <c r="K3586">
        <v>1</v>
      </c>
      <c r="L3586" t="s">
        <v>1064</v>
      </c>
      <c r="M3586" t="s">
        <v>4249</v>
      </c>
      <c r="N3586" s="15" t="s">
        <v>6878</v>
      </c>
    </row>
    <row r="3587" spans="1:14" x14ac:dyDescent="0.2">
      <c r="A3587" t="s">
        <v>4714</v>
      </c>
      <c r="B3587" t="s">
        <v>2360</v>
      </c>
      <c r="C3587" s="9">
        <v>45020</v>
      </c>
      <c r="D3587" t="s">
        <v>4247</v>
      </c>
      <c r="E3587" s="13">
        <v>8000000</v>
      </c>
      <c r="F3587" s="13">
        <v>310800</v>
      </c>
      <c r="G3587" s="9">
        <v>45026</v>
      </c>
      <c r="H3587" t="s">
        <v>1111</v>
      </c>
      <c r="I3587" t="s">
        <v>4248</v>
      </c>
      <c r="J3587" s="13">
        <v>27750</v>
      </c>
      <c r="K3587">
        <v>1</v>
      </c>
      <c r="L3587" t="s">
        <v>1064</v>
      </c>
      <c r="M3587" t="s">
        <v>4249</v>
      </c>
      <c r="N3587" s="15" t="s">
        <v>6878</v>
      </c>
    </row>
    <row r="3588" spans="1:14" x14ac:dyDescent="0.2">
      <c r="A3588" t="s">
        <v>4715</v>
      </c>
      <c r="B3588" t="s">
        <v>2360</v>
      </c>
      <c r="C3588" s="9">
        <v>45020</v>
      </c>
      <c r="D3588" t="s">
        <v>4247</v>
      </c>
      <c r="E3588" s="13">
        <v>8000000</v>
      </c>
      <c r="F3588" s="13">
        <v>310800</v>
      </c>
      <c r="G3588" s="9">
        <v>45026</v>
      </c>
      <c r="H3588" t="s">
        <v>1111</v>
      </c>
      <c r="I3588" t="s">
        <v>4248</v>
      </c>
      <c r="J3588" s="13">
        <v>27750</v>
      </c>
      <c r="K3588">
        <v>1</v>
      </c>
      <c r="L3588" t="s">
        <v>1064</v>
      </c>
      <c r="M3588" t="s">
        <v>4249</v>
      </c>
      <c r="N3588" s="15" t="s">
        <v>6878</v>
      </c>
    </row>
    <row r="3589" spans="1:14" x14ac:dyDescent="0.2">
      <c r="A3589" t="s">
        <v>4716</v>
      </c>
      <c r="B3589" t="s">
        <v>2360</v>
      </c>
      <c r="C3589" s="9">
        <v>45020</v>
      </c>
      <c r="D3589" t="s">
        <v>4247</v>
      </c>
      <c r="E3589" s="13">
        <v>7900000</v>
      </c>
      <c r="F3589" s="13">
        <v>306915</v>
      </c>
      <c r="G3589" s="9">
        <v>45026</v>
      </c>
      <c r="H3589" t="s">
        <v>1063</v>
      </c>
      <c r="I3589" t="s">
        <v>4248</v>
      </c>
      <c r="J3589" s="13">
        <v>27750</v>
      </c>
      <c r="K3589">
        <v>1</v>
      </c>
      <c r="L3589" t="s">
        <v>1064</v>
      </c>
      <c r="M3589" t="s">
        <v>4249</v>
      </c>
      <c r="N3589" s="15" t="s">
        <v>6878</v>
      </c>
    </row>
    <row r="3590" spans="1:14" x14ac:dyDescent="0.2">
      <c r="A3590" t="s">
        <v>4717</v>
      </c>
      <c r="B3590" t="s">
        <v>2360</v>
      </c>
      <c r="C3590" s="9">
        <v>45020</v>
      </c>
      <c r="D3590" t="s">
        <v>4247</v>
      </c>
      <c r="E3590" s="13">
        <v>10000000</v>
      </c>
      <c r="F3590" s="13">
        <v>388500</v>
      </c>
      <c r="G3590" s="9">
        <v>45026</v>
      </c>
      <c r="H3590" t="s">
        <v>1111</v>
      </c>
      <c r="I3590" t="s">
        <v>4248</v>
      </c>
      <c r="J3590" s="13">
        <v>27750</v>
      </c>
      <c r="K3590">
        <v>1</v>
      </c>
      <c r="L3590" t="s">
        <v>1064</v>
      </c>
      <c r="M3590" t="s">
        <v>4249</v>
      </c>
      <c r="N3590" s="15" t="s">
        <v>6878</v>
      </c>
    </row>
    <row r="3591" spans="1:14" x14ac:dyDescent="0.2">
      <c r="A3591" t="s">
        <v>4718</v>
      </c>
      <c r="B3591" t="s">
        <v>2360</v>
      </c>
      <c r="C3591" s="9">
        <v>45020</v>
      </c>
      <c r="D3591" t="s">
        <v>4247</v>
      </c>
      <c r="E3591" s="13">
        <v>10000000</v>
      </c>
      <c r="F3591" s="13">
        <v>388500</v>
      </c>
      <c r="G3591" s="9">
        <v>45026</v>
      </c>
      <c r="H3591" t="s">
        <v>1111</v>
      </c>
      <c r="I3591" t="s">
        <v>4248</v>
      </c>
      <c r="J3591" s="13">
        <v>27750</v>
      </c>
      <c r="K3591">
        <v>1</v>
      </c>
      <c r="L3591" t="s">
        <v>1064</v>
      </c>
      <c r="M3591" t="s">
        <v>4249</v>
      </c>
      <c r="N3591" s="15" t="s">
        <v>6878</v>
      </c>
    </row>
    <row r="3592" spans="1:14" x14ac:dyDescent="0.2">
      <c r="A3592" t="s">
        <v>4719</v>
      </c>
      <c r="B3592" t="s">
        <v>2360</v>
      </c>
      <c r="C3592" s="9">
        <v>45020</v>
      </c>
      <c r="D3592" t="s">
        <v>4247</v>
      </c>
      <c r="E3592" s="13">
        <v>10000000</v>
      </c>
      <c r="F3592" s="13">
        <v>388500</v>
      </c>
      <c r="G3592" s="9">
        <v>45026</v>
      </c>
      <c r="H3592" t="s">
        <v>1111</v>
      </c>
      <c r="I3592" t="s">
        <v>4248</v>
      </c>
      <c r="J3592" s="13">
        <v>27750</v>
      </c>
      <c r="K3592">
        <v>1</v>
      </c>
      <c r="L3592" t="s">
        <v>1064</v>
      </c>
      <c r="M3592" t="s">
        <v>4249</v>
      </c>
      <c r="N3592" s="15" t="s">
        <v>6878</v>
      </c>
    </row>
    <row r="3593" spans="1:14" x14ac:dyDescent="0.2">
      <c r="A3593" t="s">
        <v>4720</v>
      </c>
      <c r="B3593" t="s">
        <v>2360</v>
      </c>
      <c r="C3593" s="9">
        <v>45020</v>
      </c>
      <c r="D3593" t="s">
        <v>4247</v>
      </c>
      <c r="E3593" s="13">
        <v>10000000</v>
      </c>
      <c r="F3593" s="13">
        <v>388500</v>
      </c>
      <c r="G3593" s="9">
        <v>45026</v>
      </c>
      <c r="H3593" t="s">
        <v>1111</v>
      </c>
      <c r="I3593" t="s">
        <v>4248</v>
      </c>
      <c r="J3593" s="13">
        <v>27750</v>
      </c>
      <c r="K3593">
        <v>1</v>
      </c>
      <c r="L3593" t="s">
        <v>1064</v>
      </c>
      <c r="M3593" t="s">
        <v>4249</v>
      </c>
      <c r="N3593" s="15" t="s">
        <v>6878</v>
      </c>
    </row>
    <row r="3594" spans="1:14" x14ac:dyDescent="0.2">
      <c r="A3594" t="s">
        <v>4721</v>
      </c>
      <c r="B3594" t="s">
        <v>2360</v>
      </c>
      <c r="C3594" s="9">
        <v>45020</v>
      </c>
      <c r="D3594" t="s">
        <v>4247</v>
      </c>
      <c r="E3594" s="13">
        <v>10000000</v>
      </c>
      <c r="F3594" s="13">
        <v>388500</v>
      </c>
      <c r="G3594" s="9">
        <v>45026</v>
      </c>
      <c r="H3594" t="s">
        <v>1111</v>
      </c>
      <c r="I3594" t="s">
        <v>4248</v>
      </c>
      <c r="J3594" s="13">
        <v>27750</v>
      </c>
      <c r="K3594">
        <v>1</v>
      </c>
      <c r="L3594" t="s">
        <v>1064</v>
      </c>
      <c r="M3594" t="s">
        <v>4249</v>
      </c>
      <c r="N3594" s="15" t="s">
        <v>6878</v>
      </c>
    </row>
    <row r="3595" spans="1:14" x14ac:dyDescent="0.2">
      <c r="A3595" t="s">
        <v>4722</v>
      </c>
      <c r="B3595" t="s">
        <v>2360</v>
      </c>
      <c r="C3595" s="9">
        <v>45020</v>
      </c>
      <c r="D3595" t="s">
        <v>4247</v>
      </c>
      <c r="E3595" s="13">
        <v>10000000</v>
      </c>
      <c r="F3595" s="13">
        <v>388500</v>
      </c>
      <c r="G3595" s="9">
        <v>45026</v>
      </c>
      <c r="H3595" t="s">
        <v>1111</v>
      </c>
      <c r="I3595" t="s">
        <v>4248</v>
      </c>
      <c r="J3595" s="13">
        <v>27750</v>
      </c>
      <c r="K3595">
        <v>1</v>
      </c>
      <c r="L3595" t="s">
        <v>1064</v>
      </c>
      <c r="M3595" t="s">
        <v>4249</v>
      </c>
      <c r="N3595" s="15" t="s">
        <v>6878</v>
      </c>
    </row>
    <row r="3596" spans="1:14" x14ac:dyDescent="0.2">
      <c r="A3596" t="s">
        <v>4723</v>
      </c>
      <c r="B3596" t="s">
        <v>2360</v>
      </c>
      <c r="C3596" s="9">
        <v>45020</v>
      </c>
      <c r="D3596" t="s">
        <v>4247</v>
      </c>
      <c r="E3596" s="13">
        <v>10000000</v>
      </c>
      <c r="F3596" s="13">
        <v>388500</v>
      </c>
      <c r="G3596" s="9">
        <v>45026</v>
      </c>
      <c r="H3596" t="s">
        <v>1111</v>
      </c>
      <c r="I3596" t="s">
        <v>4248</v>
      </c>
      <c r="J3596" s="13">
        <v>27750</v>
      </c>
      <c r="K3596">
        <v>1</v>
      </c>
      <c r="L3596" t="s">
        <v>1064</v>
      </c>
      <c r="M3596" t="s">
        <v>4249</v>
      </c>
      <c r="N3596" s="15" t="s">
        <v>6878</v>
      </c>
    </row>
    <row r="3597" spans="1:14" x14ac:dyDescent="0.2">
      <c r="A3597" t="s">
        <v>4724</v>
      </c>
      <c r="B3597" t="s">
        <v>2360</v>
      </c>
      <c r="C3597" s="9">
        <v>45020</v>
      </c>
      <c r="D3597" t="s">
        <v>4247</v>
      </c>
      <c r="E3597" s="13">
        <v>10000000</v>
      </c>
      <c r="F3597" s="13">
        <v>388500</v>
      </c>
      <c r="G3597" s="9">
        <v>45026</v>
      </c>
      <c r="H3597" t="s">
        <v>1111</v>
      </c>
      <c r="I3597" t="s">
        <v>4248</v>
      </c>
      <c r="J3597" s="13">
        <v>27750</v>
      </c>
      <c r="K3597">
        <v>1</v>
      </c>
      <c r="L3597" t="s">
        <v>1064</v>
      </c>
      <c r="M3597" t="s">
        <v>4249</v>
      </c>
      <c r="N3597" s="15" t="s">
        <v>6878</v>
      </c>
    </row>
    <row r="3598" spans="1:14" x14ac:dyDescent="0.2">
      <c r="A3598" t="s">
        <v>4725</v>
      </c>
      <c r="B3598" t="s">
        <v>2360</v>
      </c>
      <c r="C3598" s="9">
        <v>45020</v>
      </c>
      <c r="D3598" t="s">
        <v>4247</v>
      </c>
      <c r="E3598" s="13">
        <v>10000000</v>
      </c>
      <c r="F3598" s="13">
        <v>388500</v>
      </c>
      <c r="G3598" s="9">
        <v>45026</v>
      </c>
      <c r="H3598" t="s">
        <v>1111</v>
      </c>
      <c r="I3598" t="s">
        <v>4248</v>
      </c>
      <c r="J3598" s="13">
        <v>27750</v>
      </c>
      <c r="K3598">
        <v>1</v>
      </c>
      <c r="L3598" t="s">
        <v>1064</v>
      </c>
      <c r="M3598" t="s">
        <v>4249</v>
      </c>
      <c r="N3598" s="15" t="s">
        <v>6878</v>
      </c>
    </row>
    <row r="3599" spans="1:14" x14ac:dyDescent="0.2">
      <c r="A3599" t="s">
        <v>4726</v>
      </c>
      <c r="B3599" t="s">
        <v>2360</v>
      </c>
      <c r="C3599" s="9">
        <v>45020</v>
      </c>
      <c r="D3599" t="s">
        <v>4247</v>
      </c>
      <c r="E3599" s="13">
        <v>12000000</v>
      </c>
      <c r="F3599" s="13">
        <v>466200</v>
      </c>
      <c r="G3599" s="9">
        <v>45026</v>
      </c>
      <c r="H3599" t="s">
        <v>1111</v>
      </c>
      <c r="I3599" t="s">
        <v>4248</v>
      </c>
      <c r="J3599" s="13">
        <v>27750</v>
      </c>
      <c r="K3599">
        <v>1</v>
      </c>
      <c r="L3599" t="s">
        <v>1064</v>
      </c>
      <c r="M3599" t="s">
        <v>4249</v>
      </c>
      <c r="N3599" s="15" t="s">
        <v>6878</v>
      </c>
    </row>
    <row r="3600" spans="1:14" x14ac:dyDescent="0.2">
      <c r="A3600" t="s">
        <v>4727</v>
      </c>
      <c r="B3600" t="s">
        <v>2360</v>
      </c>
      <c r="C3600" s="9">
        <v>45020</v>
      </c>
      <c r="D3600" t="s">
        <v>4247</v>
      </c>
      <c r="E3600" s="13">
        <v>12000000</v>
      </c>
      <c r="F3600" s="13">
        <v>466200</v>
      </c>
      <c r="G3600" s="9">
        <v>45026</v>
      </c>
      <c r="H3600" t="s">
        <v>1111</v>
      </c>
      <c r="I3600" t="s">
        <v>4248</v>
      </c>
      <c r="J3600" s="13">
        <v>27750</v>
      </c>
      <c r="K3600">
        <v>1</v>
      </c>
      <c r="L3600" t="s">
        <v>1064</v>
      </c>
      <c r="M3600" t="s">
        <v>4249</v>
      </c>
      <c r="N3600" s="15" t="s">
        <v>6878</v>
      </c>
    </row>
    <row r="3601" spans="1:14" x14ac:dyDescent="0.2">
      <c r="A3601" t="s">
        <v>4728</v>
      </c>
      <c r="B3601" t="s">
        <v>2360</v>
      </c>
      <c r="C3601" s="9">
        <v>45020</v>
      </c>
      <c r="D3601" t="s">
        <v>4247</v>
      </c>
      <c r="E3601" s="13">
        <v>12000000</v>
      </c>
      <c r="F3601" s="13">
        <v>466200</v>
      </c>
      <c r="G3601" s="9">
        <v>45026</v>
      </c>
      <c r="H3601" t="s">
        <v>1111</v>
      </c>
      <c r="I3601" t="s">
        <v>4248</v>
      </c>
      <c r="J3601" s="13">
        <v>27750</v>
      </c>
      <c r="K3601">
        <v>1</v>
      </c>
      <c r="L3601" t="s">
        <v>1064</v>
      </c>
      <c r="M3601" t="s">
        <v>4249</v>
      </c>
      <c r="N3601" s="15" t="s">
        <v>6878</v>
      </c>
    </row>
    <row r="3602" spans="1:14" x14ac:dyDescent="0.2">
      <c r="A3602" t="s">
        <v>4729</v>
      </c>
      <c r="B3602" t="s">
        <v>2360</v>
      </c>
      <c r="C3602" s="9">
        <v>45020</v>
      </c>
      <c r="D3602" t="s">
        <v>4247</v>
      </c>
      <c r="E3602" s="13">
        <v>12000000</v>
      </c>
      <c r="F3602" s="13">
        <v>466200</v>
      </c>
      <c r="G3602" s="9">
        <v>45026</v>
      </c>
      <c r="H3602" t="s">
        <v>1111</v>
      </c>
      <c r="I3602" t="s">
        <v>4248</v>
      </c>
      <c r="J3602" s="13">
        <v>27750</v>
      </c>
      <c r="K3602">
        <v>1</v>
      </c>
      <c r="L3602" t="s">
        <v>1064</v>
      </c>
      <c r="M3602" t="s">
        <v>4249</v>
      </c>
      <c r="N3602" s="15" t="s">
        <v>6878</v>
      </c>
    </row>
    <row r="3603" spans="1:14" x14ac:dyDescent="0.2">
      <c r="A3603" t="s">
        <v>4730</v>
      </c>
      <c r="B3603" t="s">
        <v>2360</v>
      </c>
      <c r="C3603" s="9">
        <v>45020</v>
      </c>
      <c r="D3603" t="s">
        <v>979</v>
      </c>
      <c r="E3603" s="13">
        <v>14985000</v>
      </c>
      <c r="F3603" s="13">
        <v>25000</v>
      </c>
      <c r="G3603" s="9">
        <v>45021</v>
      </c>
      <c r="H3603" t="s">
        <v>1063</v>
      </c>
      <c r="I3603" t="s">
        <v>4368</v>
      </c>
      <c r="J3603" s="13">
        <v>332667</v>
      </c>
      <c r="K3603">
        <v>1</v>
      </c>
      <c r="L3603" t="s">
        <v>1064</v>
      </c>
      <c r="M3603" t="s">
        <v>4369</v>
      </c>
      <c r="N3603" s="15" t="s">
        <v>6878</v>
      </c>
    </row>
    <row r="3604" spans="1:14" x14ac:dyDescent="0.2">
      <c r="A3604" t="s">
        <v>4731</v>
      </c>
      <c r="B3604" t="s">
        <v>2360</v>
      </c>
      <c r="C3604" s="9">
        <v>45021</v>
      </c>
      <c r="D3604" t="s">
        <v>990</v>
      </c>
      <c r="E3604" s="13">
        <v>15500000</v>
      </c>
      <c r="F3604" s="13">
        <v>645187</v>
      </c>
      <c r="G3604" s="9">
        <v>45029</v>
      </c>
      <c r="H3604" t="s">
        <v>1063</v>
      </c>
      <c r="I3604" t="s">
        <v>4732</v>
      </c>
      <c r="J3604" s="13">
        <v>27750</v>
      </c>
      <c r="K3604">
        <v>1</v>
      </c>
      <c r="L3604" t="s">
        <v>1064</v>
      </c>
      <c r="M3604" t="s">
        <v>4733</v>
      </c>
      <c r="N3604" s="15" t="s">
        <v>6878</v>
      </c>
    </row>
    <row r="3605" spans="1:14" x14ac:dyDescent="0.2">
      <c r="A3605" t="s">
        <v>4734</v>
      </c>
      <c r="B3605" t="s">
        <v>2360</v>
      </c>
      <c r="C3605" s="9">
        <v>45021</v>
      </c>
      <c r="D3605" t="s">
        <v>946</v>
      </c>
      <c r="E3605" s="13">
        <v>10111420</v>
      </c>
      <c r="F3605" s="13">
        <v>5550</v>
      </c>
      <c r="G3605" s="9">
        <v>45023</v>
      </c>
      <c r="H3605" t="s">
        <v>1111</v>
      </c>
      <c r="I3605" t="s">
        <v>2382</v>
      </c>
      <c r="J3605" s="13">
        <v>168354</v>
      </c>
      <c r="K3605">
        <v>1</v>
      </c>
      <c r="L3605" t="s">
        <v>1064</v>
      </c>
      <c r="M3605" t="s">
        <v>2383</v>
      </c>
      <c r="N3605" s="15" t="s">
        <v>6878</v>
      </c>
    </row>
    <row r="3606" spans="1:14" x14ac:dyDescent="0.2">
      <c r="A3606" t="s">
        <v>4735</v>
      </c>
      <c r="B3606" t="s">
        <v>2360</v>
      </c>
      <c r="C3606" s="9">
        <v>45021</v>
      </c>
      <c r="D3606" t="s">
        <v>946</v>
      </c>
      <c r="E3606" s="13">
        <v>6228630</v>
      </c>
      <c r="F3606" s="13">
        <v>5550</v>
      </c>
      <c r="G3606" s="9">
        <v>45023</v>
      </c>
      <c r="H3606" t="s">
        <v>1111</v>
      </c>
      <c r="I3606" t="s">
        <v>2382</v>
      </c>
      <c r="J3606" s="13">
        <v>103706</v>
      </c>
      <c r="K3606">
        <v>1</v>
      </c>
      <c r="L3606" t="s">
        <v>1064</v>
      </c>
      <c r="M3606" t="s">
        <v>2383</v>
      </c>
      <c r="N3606" s="15" t="s">
        <v>6878</v>
      </c>
    </row>
    <row r="3607" spans="1:14" x14ac:dyDescent="0.2">
      <c r="A3607" t="s">
        <v>4736</v>
      </c>
      <c r="B3607" t="s">
        <v>2360</v>
      </c>
      <c r="C3607" s="9">
        <v>45021</v>
      </c>
      <c r="D3607" t="s">
        <v>946</v>
      </c>
      <c r="E3607" s="13">
        <v>27323425</v>
      </c>
      <c r="F3607" s="13">
        <v>5550</v>
      </c>
      <c r="G3607" s="9">
        <v>45023</v>
      </c>
      <c r="H3607" t="s">
        <v>1111</v>
      </c>
      <c r="I3607" t="s">
        <v>2382</v>
      </c>
      <c r="J3607" s="13">
        <v>454934</v>
      </c>
      <c r="K3607">
        <v>1</v>
      </c>
      <c r="L3607" t="s">
        <v>1064</v>
      </c>
      <c r="M3607" t="s">
        <v>2383</v>
      </c>
      <c r="N3607" s="15" t="s">
        <v>6878</v>
      </c>
    </row>
    <row r="3608" spans="1:14" x14ac:dyDescent="0.2">
      <c r="A3608" t="s">
        <v>4737</v>
      </c>
      <c r="B3608" t="s">
        <v>2360</v>
      </c>
      <c r="C3608" s="9">
        <v>45021</v>
      </c>
      <c r="D3608" t="s">
        <v>946</v>
      </c>
      <c r="E3608" s="13">
        <v>5293450</v>
      </c>
      <c r="F3608" s="13">
        <v>5550</v>
      </c>
      <c r="G3608" s="9">
        <v>45023</v>
      </c>
      <c r="H3608" t="s">
        <v>1111</v>
      </c>
      <c r="I3608" t="s">
        <v>2382</v>
      </c>
      <c r="J3608" s="13">
        <v>88135</v>
      </c>
      <c r="K3608">
        <v>1</v>
      </c>
      <c r="L3608" t="s">
        <v>1064</v>
      </c>
      <c r="M3608" t="s">
        <v>2383</v>
      </c>
      <c r="N3608" s="15" t="s">
        <v>6878</v>
      </c>
    </row>
    <row r="3609" spans="1:14" x14ac:dyDescent="0.2">
      <c r="A3609" t="s">
        <v>4738</v>
      </c>
      <c r="B3609" t="s">
        <v>2360</v>
      </c>
      <c r="C3609" s="9">
        <v>45021</v>
      </c>
      <c r="D3609" t="s">
        <v>946</v>
      </c>
      <c r="E3609" s="13">
        <v>5293450</v>
      </c>
      <c r="F3609" s="13">
        <v>5550</v>
      </c>
      <c r="G3609" s="9">
        <v>45023</v>
      </c>
      <c r="H3609" t="s">
        <v>1111</v>
      </c>
      <c r="I3609" t="s">
        <v>2382</v>
      </c>
      <c r="J3609" s="13">
        <v>88135</v>
      </c>
      <c r="K3609">
        <v>1</v>
      </c>
      <c r="L3609" t="s">
        <v>1064</v>
      </c>
      <c r="M3609" t="s">
        <v>2383</v>
      </c>
      <c r="N3609" s="15" t="s">
        <v>6878</v>
      </c>
    </row>
    <row r="3610" spans="1:14" x14ac:dyDescent="0.2">
      <c r="A3610" t="s">
        <v>4739</v>
      </c>
      <c r="B3610" t="s">
        <v>2360</v>
      </c>
      <c r="C3610" s="9">
        <v>45021</v>
      </c>
      <c r="D3610" t="s">
        <v>946</v>
      </c>
      <c r="E3610" s="13">
        <v>5293450</v>
      </c>
      <c r="F3610" s="13">
        <v>5550</v>
      </c>
      <c r="G3610" s="9">
        <v>45023</v>
      </c>
      <c r="H3610" t="s">
        <v>1111</v>
      </c>
      <c r="I3610" t="s">
        <v>2382</v>
      </c>
      <c r="J3610" s="13">
        <v>88135</v>
      </c>
      <c r="K3610">
        <v>1</v>
      </c>
      <c r="L3610" t="s">
        <v>1064</v>
      </c>
      <c r="M3610" t="s">
        <v>2383</v>
      </c>
      <c r="N3610" s="15" t="s">
        <v>6878</v>
      </c>
    </row>
    <row r="3611" spans="1:14" x14ac:dyDescent="0.2">
      <c r="A3611" t="s">
        <v>4740</v>
      </c>
      <c r="B3611" t="s">
        <v>2360</v>
      </c>
      <c r="C3611" s="9">
        <v>45021</v>
      </c>
      <c r="D3611" t="s">
        <v>946</v>
      </c>
      <c r="E3611" s="13">
        <v>4475250</v>
      </c>
      <c r="F3611" s="13">
        <v>5550</v>
      </c>
      <c r="G3611" s="9">
        <v>45023</v>
      </c>
      <c r="H3611" t="s">
        <v>1111</v>
      </c>
      <c r="I3611" t="s">
        <v>2382</v>
      </c>
      <c r="J3611" s="13">
        <v>74512</v>
      </c>
      <c r="K3611">
        <v>1</v>
      </c>
      <c r="L3611" t="s">
        <v>1064</v>
      </c>
      <c r="M3611" t="s">
        <v>2383</v>
      </c>
      <c r="N3611" s="15" t="s">
        <v>6878</v>
      </c>
    </row>
    <row r="3612" spans="1:14" x14ac:dyDescent="0.2">
      <c r="A3612" t="s">
        <v>4741</v>
      </c>
      <c r="B3612" t="s">
        <v>2360</v>
      </c>
      <c r="C3612" s="9">
        <v>45021</v>
      </c>
      <c r="D3612" t="s">
        <v>946</v>
      </c>
      <c r="E3612" s="13">
        <v>5549310</v>
      </c>
      <c r="F3612" s="13">
        <v>5550</v>
      </c>
      <c r="G3612" s="9">
        <v>45023</v>
      </c>
      <c r="H3612" t="s">
        <v>1111</v>
      </c>
      <c r="I3612" t="s">
        <v>2382</v>
      </c>
      <c r="J3612" s="13">
        <v>92395</v>
      </c>
      <c r="K3612">
        <v>1</v>
      </c>
      <c r="L3612" t="s">
        <v>1064</v>
      </c>
      <c r="M3612" t="s">
        <v>2383</v>
      </c>
      <c r="N3612" s="15" t="s">
        <v>6878</v>
      </c>
    </row>
    <row r="3613" spans="1:14" x14ac:dyDescent="0.2">
      <c r="A3613" t="s">
        <v>4742</v>
      </c>
      <c r="B3613" t="s">
        <v>2360</v>
      </c>
      <c r="C3613" s="9">
        <v>45021</v>
      </c>
      <c r="D3613" t="s">
        <v>946</v>
      </c>
      <c r="E3613" s="13">
        <v>9991200</v>
      </c>
      <c r="F3613" s="13">
        <v>5550</v>
      </c>
      <c r="G3613" s="9">
        <v>45023</v>
      </c>
      <c r="H3613" t="s">
        <v>1111</v>
      </c>
      <c r="I3613" t="s">
        <v>2382</v>
      </c>
      <c r="J3613" s="13">
        <v>166353</v>
      </c>
      <c r="K3613">
        <v>1</v>
      </c>
      <c r="L3613" t="s">
        <v>1064</v>
      </c>
      <c r="M3613" t="s">
        <v>2383</v>
      </c>
      <c r="N3613" s="15" t="s">
        <v>6878</v>
      </c>
    </row>
    <row r="3614" spans="1:14" x14ac:dyDescent="0.2">
      <c r="A3614" t="s">
        <v>4743</v>
      </c>
      <c r="B3614" t="s">
        <v>2360</v>
      </c>
      <c r="C3614" s="9">
        <v>45021</v>
      </c>
      <c r="D3614" t="s">
        <v>946</v>
      </c>
      <c r="E3614" s="13">
        <v>11023900</v>
      </c>
      <c r="F3614" s="13">
        <v>5550</v>
      </c>
      <c r="G3614" s="9">
        <v>45023</v>
      </c>
      <c r="H3614" t="s">
        <v>1111</v>
      </c>
      <c r="I3614" t="s">
        <v>2382</v>
      </c>
      <c r="J3614" s="13">
        <v>183547</v>
      </c>
      <c r="K3614">
        <v>1</v>
      </c>
      <c r="L3614" t="s">
        <v>1064</v>
      </c>
      <c r="M3614" t="s">
        <v>2383</v>
      </c>
      <c r="N3614" s="15" t="s">
        <v>6878</v>
      </c>
    </row>
    <row r="3615" spans="1:14" x14ac:dyDescent="0.2">
      <c r="A3615" t="s">
        <v>4744</v>
      </c>
      <c r="B3615" t="s">
        <v>2360</v>
      </c>
      <c r="C3615" s="9">
        <v>45021</v>
      </c>
      <c r="D3615" t="s">
        <v>946</v>
      </c>
      <c r="E3615" s="13">
        <v>13541825</v>
      </c>
      <c r="F3615" s="13">
        <v>5550</v>
      </c>
      <c r="G3615" s="9">
        <v>45023</v>
      </c>
      <c r="H3615" t="s">
        <v>1111</v>
      </c>
      <c r="I3615" t="s">
        <v>2382</v>
      </c>
      <c r="J3615" s="13">
        <v>225470</v>
      </c>
      <c r="K3615">
        <v>1</v>
      </c>
      <c r="L3615" t="s">
        <v>1064</v>
      </c>
      <c r="M3615" t="s">
        <v>2383</v>
      </c>
      <c r="N3615" s="15" t="s">
        <v>6878</v>
      </c>
    </row>
    <row r="3616" spans="1:14" x14ac:dyDescent="0.2">
      <c r="A3616" t="s">
        <v>4745</v>
      </c>
      <c r="B3616" t="s">
        <v>2360</v>
      </c>
      <c r="C3616" s="9">
        <v>45021</v>
      </c>
      <c r="D3616" t="s">
        <v>946</v>
      </c>
      <c r="E3616" s="13">
        <v>13541825</v>
      </c>
      <c r="F3616" s="13">
        <v>5550</v>
      </c>
      <c r="G3616" s="9">
        <v>45023</v>
      </c>
      <c r="H3616" t="s">
        <v>1111</v>
      </c>
      <c r="I3616" t="s">
        <v>2382</v>
      </c>
      <c r="J3616" s="13">
        <v>225470</v>
      </c>
      <c r="K3616">
        <v>1</v>
      </c>
      <c r="L3616" t="s">
        <v>1064</v>
      </c>
      <c r="M3616" t="s">
        <v>2383</v>
      </c>
      <c r="N3616" s="15" t="s">
        <v>6878</v>
      </c>
    </row>
    <row r="3617" spans="1:14" x14ac:dyDescent="0.2">
      <c r="A3617" t="s">
        <v>4746</v>
      </c>
      <c r="B3617" t="s">
        <v>2360</v>
      </c>
      <c r="C3617" s="9">
        <v>45021</v>
      </c>
      <c r="D3617" t="s">
        <v>946</v>
      </c>
      <c r="E3617" s="13">
        <v>5511950</v>
      </c>
      <c r="F3617" s="13">
        <v>5550</v>
      </c>
      <c r="G3617" s="9">
        <v>45023</v>
      </c>
      <c r="H3617" t="s">
        <v>1111</v>
      </c>
      <c r="I3617" t="s">
        <v>2382</v>
      </c>
      <c r="J3617" s="13">
        <v>91773</v>
      </c>
      <c r="K3617">
        <v>1</v>
      </c>
      <c r="L3617" t="s">
        <v>1064</v>
      </c>
      <c r="M3617" t="s">
        <v>2383</v>
      </c>
      <c r="N3617" s="15" t="s">
        <v>6878</v>
      </c>
    </row>
    <row r="3618" spans="1:14" x14ac:dyDescent="0.2">
      <c r="A3618" t="s">
        <v>4747</v>
      </c>
      <c r="B3618" t="s">
        <v>2360</v>
      </c>
      <c r="C3618" s="9">
        <v>45021</v>
      </c>
      <c r="D3618" t="s">
        <v>946</v>
      </c>
      <c r="E3618" s="13">
        <v>6549825</v>
      </c>
      <c r="F3618" s="13">
        <v>5550</v>
      </c>
      <c r="G3618" s="9">
        <v>45023</v>
      </c>
      <c r="H3618" t="s">
        <v>1111</v>
      </c>
      <c r="I3618" t="s">
        <v>2382</v>
      </c>
      <c r="J3618" s="13">
        <v>109054</v>
      </c>
      <c r="K3618">
        <v>1</v>
      </c>
      <c r="L3618" t="s">
        <v>1064</v>
      </c>
      <c r="M3618" t="s">
        <v>2383</v>
      </c>
      <c r="N3618" s="15" t="s">
        <v>6878</v>
      </c>
    </row>
    <row r="3619" spans="1:14" x14ac:dyDescent="0.2">
      <c r="A3619" t="s">
        <v>4748</v>
      </c>
      <c r="B3619" t="s">
        <v>2360</v>
      </c>
      <c r="C3619" s="9">
        <v>45021</v>
      </c>
      <c r="D3619" t="s">
        <v>946</v>
      </c>
      <c r="E3619" s="13">
        <v>6549825</v>
      </c>
      <c r="F3619" s="13">
        <v>5550</v>
      </c>
      <c r="G3619" s="9">
        <v>45023</v>
      </c>
      <c r="H3619" t="s">
        <v>1111</v>
      </c>
      <c r="I3619" t="s">
        <v>2382</v>
      </c>
      <c r="J3619" s="13">
        <v>109054</v>
      </c>
      <c r="K3619">
        <v>1</v>
      </c>
      <c r="L3619" t="s">
        <v>1064</v>
      </c>
      <c r="M3619" t="s">
        <v>2383</v>
      </c>
      <c r="N3619" s="15" t="s">
        <v>6878</v>
      </c>
    </row>
    <row r="3620" spans="1:14" x14ac:dyDescent="0.2">
      <c r="A3620" t="s">
        <v>4749</v>
      </c>
      <c r="B3620" t="s">
        <v>2360</v>
      </c>
      <c r="C3620" s="9">
        <v>45021</v>
      </c>
      <c r="D3620" t="s">
        <v>946</v>
      </c>
      <c r="E3620" s="13">
        <v>5511950</v>
      </c>
      <c r="F3620" s="13">
        <v>5550</v>
      </c>
      <c r="G3620" s="9">
        <v>45023</v>
      </c>
      <c r="H3620" t="s">
        <v>1111</v>
      </c>
      <c r="I3620" t="s">
        <v>2382</v>
      </c>
      <c r="J3620" s="13">
        <v>91773</v>
      </c>
      <c r="K3620">
        <v>1</v>
      </c>
      <c r="L3620" t="s">
        <v>1064</v>
      </c>
      <c r="M3620" t="s">
        <v>2383</v>
      </c>
      <c r="N3620" s="15" t="s">
        <v>6878</v>
      </c>
    </row>
    <row r="3621" spans="1:14" x14ac:dyDescent="0.2">
      <c r="A3621" t="s">
        <v>4750</v>
      </c>
      <c r="B3621" t="s">
        <v>2360</v>
      </c>
      <c r="C3621" s="9">
        <v>45021</v>
      </c>
      <c r="D3621" t="s">
        <v>946</v>
      </c>
      <c r="E3621" s="13">
        <v>5293450</v>
      </c>
      <c r="F3621" s="13">
        <v>5550</v>
      </c>
      <c r="G3621" s="9">
        <v>45023</v>
      </c>
      <c r="H3621" t="s">
        <v>1111</v>
      </c>
      <c r="I3621" t="s">
        <v>2382</v>
      </c>
      <c r="J3621" s="13">
        <v>88135</v>
      </c>
      <c r="K3621">
        <v>1</v>
      </c>
      <c r="L3621" t="s">
        <v>1064</v>
      </c>
      <c r="M3621" t="s">
        <v>2383</v>
      </c>
      <c r="N3621" s="15" t="s">
        <v>6878</v>
      </c>
    </row>
    <row r="3622" spans="1:14" x14ac:dyDescent="0.2">
      <c r="A3622" t="s">
        <v>4751</v>
      </c>
      <c r="B3622" t="s">
        <v>2360</v>
      </c>
      <c r="C3622" s="9">
        <v>45021</v>
      </c>
      <c r="D3622" t="s">
        <v>946</v>
      </c>
      <c r="E3622" s="13">
        <v>5293450</v>
      </c>
      <c r="F3622" s="13">
        <v>5550</v>
      </c>
      <c r="G3622" s="9">
        <v>45023</v>
      </c>
      <c r="H3622" t="s">
        <v>1111</v>
      </c>
      <c r="I3622" t="s">
        <v>2382</v>
      </c>
      <c r="J3622" s="13">
        <v>88135</v>
      </c>
      <c r="K3622">
        <v>1</v>
      </c>
      <c r="L3622" t="s">
        <v>1064</v>
      </c>
      <c r="M3622" t="s">
        <v>2383</v>
      </c>
      <c r="N3622" s="15" t="s">
        <v>6878</v>
      </c>
    </row>
    <row r="3623" spans="1:14" x14ac:dyDescent="0.2">
      <c r="A3623" t="s">
        <v>4752</v>
      </c>
      <c r="B3623" t="s">
        <v>2360</v>
      </c>
      <c r="C3623" s="9">
        <v>45021</v>
      </c>
      <c r="D3623" t="s">
        <v>946</v>
      </c>
      <c r="E3623" s="13">
        <v>5293450</v>
      </c>
      <c r="F3623" s="13">
        <v>5550</v>
      </c>
      <c r="G3623" s="9">
        <v>45023</v>
      </c>
      <c r="H3623" t="s">
        <v>1111</v>
      </c>
      <c r="I3623" t="s">
        <v>2382</v>
      </c>
      <c r="J3623" s="13">
        <v>88135</v>
      </c>
      <c r="K3623">
        <v>1</v>
      </c>
      <c r="L3623" t="s">
        <v>1064</v>
      </c>
      <c r="M3623" t="s">
        <v>2383</v>
      </c>
      <c r="N3623" s="15" t="s">
        <v>6878</v>
      </c>
    </row>
    <row r="3624" spans="1:14" x14ac:dyDescent="0.2">
      <c r="A3624" t="s">
        <v>4753</v>
      </c>
      <c r="B3624" t="s">
        <v>2360</v>
      </c>
      <c r="C3624" s="9">
        <v>45021</v>
      </c>
      <c r="D3624" t="s">
        <v>946</v>
      </c>
      <c r="E3624" s="13">
        <v>6549825</v>
      </c>
      <c r="F3624" s="13">
        <v>5550</v>
      </c>
      <c r="G3624" s="9">
        <v>45023</v>
      </c>
      <c r="H3624" t="s">
        <v>1111</v>
      </c>
      <c r="I3624" t="s">
        <v>2382</v>
      </c>
      <c r="J3624" s="13">
        <v>109054</v>
      </c>
      <c r="K3624">
        <v>1</v>
      </c>
      <c r="L3624" t="s">
        <v>1064</v>
      </c>
      <c r="M3624" t="s">
        <v>2383</v>
      </c>
      <c r="N3624" s="15" t="s">
        <v>6878</v>
      </c>
    </row>
    <row r="3625" spans="1:14" x14ac:dyDescent="0.2">
      <c r="A3625" t="s">
        <v>4754</v>
      </c>
      <c r="B3625" t="s">
        <v>2360</v>
      </c>
      <c r="C3625" s="9">
        <v>45021</v>
      </c>
      <c r="D3625" t="s">
        <v>946</v>
      </c>
      <c r="E3625" s="13">
        <v>5511950</v>
      </c>
      <c r="F3625" s="13">
        <v>5550</v>
      </c>
      <c r="G3625" s="9">
        <v>45023</v>
      </c>
      <c r="H3625" t="s">
        <v>1111</v>
      </c>
      <c r="I3625" t="s">
        <v>2382</v>
      </c>
      <c r="J3625" s="13">
        <v>91773</v>
      </c>
      <c r="K3625">
        <v>1</v>
      </c>
      <c r="L3625" t="s">
        <v>1064</v>
      </c>
      <c r="M3625" t="s">
        <v>2383</v>
      </c>
      <c r="N3625" s="15" t="s">
        <v>6878</v>
      </c>
    </row>
    <row r="3626" spans="1:14" x14ac:dyDescent="0.2">
      <c r="A3626" t="s">
        <v>4755</v>
      </c>
      <c r="B3626" t="s">
        <v>2360</v>
      </c>
      <c r="C3626" s="9">
        <v>45021</v>
      </c>
      <c r="D3626" t="s">
        <v>946</v>
      </c>
      <c r="E3626" s="13">
        <v>5511950</v>
      </c>
      <c r="F3626" s="13">
        <v>5550</v>
      </c>
      <c r="G3626" s="9">
        <v>45023</v>
      </c>
      <c r="H3626" t="s">
        <v>1111</v>
      </c>
      <c r="I3626" t="s">
        <v>2382</v>
      </c>
      <c r="J3626" s="13">
        <v>91773</v>
      </c>
      <c r="K3626">
        <v>1</v>
      </c>
      <c r="L3626" t="s">
        <v>1064</v>
      </c>
      <c r="M3626" t="s">
        <v>2383</v>
      </c>
      <c r="N3626" s="15" t="s">
        <v>6878</v>
      </c>
    </row>
    <row r="3627" spans="1:14" x14ac:dyDescent="0.2">
      <c r="A3627" t="s">
        <v>4756</v>
      </c>
      <c r="B3627" t="s">
        <v>2360</v>
      </c>
      <c r="C3627" s="9">
        <v>45021</v>
      </c>
      <c r="D3627" t="s">
        <v>946</v>
      </c>
      <c r="E3627" s="13">
        <v>6549825</v>
      </c>
      <c r="F3627" s="13">
        <v>5550</v>
      </c>
      <c r="G3627" s="9">
        <v>45023</v>
      </c>
      <c r="H3627" t="s">
        <v>1111</v>
      </c>
      <c r="I3627" t="s">
        <v>2382</v>
      </c>
      <c r="J3627" s="13">
        <v>109054</v>
      </c>
      <c r="K3627">
        <v>1</v>
      </c>
      <c r="L3627" t="s">
        <v>1064</v>
      </c>
      <c r="M3627" t="s">
        <v>2383</v>
      </c>
      <c r="N3627" s="15" t="s">
        <v>6878</v>
      </c>
    </row>
    <row r="3628" spans="1:14" x14ac:dyDescent="0.2">
      <c r="A3628" t="s">
        <v>4757</v>
      </c>
      <c r="B3628" t="s">
        <v>2360</v>
      </c>
      <c r="C3628" s="9">
        <v>45021</v>
      </c>
      <c r="D3628" t="s">
        <v>946</v>
      </c>
      <c r="E3628" s="13">
        <v>6549825</v>
      </c>
      <c r="F3628" s="13">
        <v>5550</v>
      </c>
      <c r="G3628" s="9">
        <v>45023</v>
      </c>
      <c r="H3628" t="s">
        <v>1111</v>
      </c>
      <c r="I3628" t="s">
        <v>2382</v>
      </c>
      <c r="J3628" s="13">
        <v>109054</v>
      </c>
      <c r="K3628">
        <v>1</v>
      </c>
      <c r="L3628" t="s">
        <v>1064</v>
      </c>
      <c r="M3628" t="s">
        <v>2383</v>
      </c>
      <c r="N3628" s="15" t="s">
        <v>6878</v>
      </c>
    </row>
    <row r="3629" spans="1:14" x14ac:dyDescent="0.2">
      <c r="A3629" t="s">
        <v>4758</v>
      </c>
      <c r="B3629" t="s">
        <v>2360</v>
      </c>
      <c r="C3629" s="9">
        <v>45021</v>
      </c>
      <c r="D3629" t="s">
        <v>946</v>
      </c>
      <c r="E3629" s="13">
        <v>5511950</v>
      </c>
      <c r="F3629" s="13">
        <v>5550</v>
      </c>
      <c r="G3629" s="9">
        <v>45023</v>
      </c>
      <c r="H3629" t="s">
        <v>1111</v>
      </c>
      <c r="I3629" t="s">
        <v>2382</v>
      </c>
      <c r="J3629" s="13">
        <v>91773</v>
      </c>
      <c r="K3629">
        <v>1</v>
      </c>
      <c r="L3629" t="s">
        <v>1064</v>
      </c>
      <c r="M3629" t="s">
        <v>2383</v>
      </c>
      <c r="N3629" s="15" t="s">
        <v>6878</v>
      </c>
    </row>
    <row r="3630" spans="1:14" x14ac:dyDescent="0.2">
      <c r="A3630" t="s">
        <v>4759</v>
      </c>
      <c r="B3630" t="s">
        <v>2360</v>
      </c>
      <c r="C3630" s="9">
        <v>45021</v>
      </c>
      <c r="D3630" t="s">
        <v>946</v>
      </c>
      <c r="E3630" s="13">
        <v>5370300</v>
      </c>
      <c r="F3630" s="13">
        <v>5550</v>
      </c>
      <c r="G3630" s="9">
        <v>45023</v>
      </c>
      <c r="H3630" t="s">
        <v>1111</v>
      </c>
      <c r="I3630" t="s">
        <v>2382</v>
      </c>
      <c r="J3630" s="13">
        <v>89414</v>
      </c>
      <c r="K3630">
        <v>1</v>
      </c>
      <c r="L3630" t="s">
        <v>1064</v>
      </c>
      <c r="M3630" t="s">
        <v>2383</v>
      </c>
      <c r="N3630" s="15" t="s">
        <v>6878</v>
      </c>
    </row>
    <row r="3631" spans="1:14" x14ac:dyDescent="0.2">
      <c r="A3631" t="s">
        <v>4760</v>
      </c>
      <c r="B3631" t="s">
        <v>2360</v>
      </c>
      <c r="C3631" s="9">
        <v>45021</v>
      </c>
      <c r="D3631" t="s">
        <v>946</v>
      </c>
      <c r="E3631" s="13">
        <v>6549825</v>
      </c>
      <c r="F3631" s="13">
        <v>5550</v>
      </c>
      <c r="G3631" s="9">
        <v>45023</v>
      </c>
      <c r="H3631" t="s">
        <v>1111</v>
      </c>
      <c r="I3631" t="s">
        <v>2382</v>
      </c>
      <c r="J3631" s="13">
        <v>109054</v>
      </c>
      <c r="K3631">
        <v>1</v>
      </c>
      <c r="L3631" t="s">
        <v>1064</v>
      </c>
      <c r="M3631" t="s">
        <v>2383</v>
      </c>
      <c r="N3631" s="15" t="s">
        <v>6878</v>
      </c>
    </row>
    <row r="3632" spans="1:14" x14ac:dyDescent="0.2">
      <c r="A3632" t="s">
        <v>4761</v>
      </c>
      <c r="B3632" t="s">
        <v>2360</v>
      </c>
      <c r="C3632" s="9">
        <v>45021</v>
      </c>
      <c r="D3632" t="s">
        <v>946</v>
      </c>
      <c r="E3632" s="13">
        <v>10877880</v>
      </c>
      <c r="F3632" s="13">
        <v>5550</v>
      </c>
      <c r="G3632" s="9">
        <v>45023</v>
      </c>
      <c r="H3632" t="s">
        <v>1111</v>
      </c>
      <c r="I3632" t="s">
        <v>2382</v>
      </c>
      <c r="J3632" s="13">
        <v>181116</v>
      </c>
      <c r="K3632">
        <v>1</v>
      </c>
      <c r="L3632" t="s">
        <v>1064</v>
      </c>
      <c r="M3632" t="s">
        <v>2383</v>
      </c>
      <c r="N3632" s="15" t="s">
        <v>6878</v>
      </c>
    </row>
    <row r="3633" spans="1:14" x14ac:dyDescent="0.2">
      <c r="A3633" t="s">
        <v>4762</v>
      </c>
      <c r="B3633" t="s">
        <v>2360</v>
      </c>
      <c r="C3633" s="9">
        <v>45021</v>
      </c>
      <c r="D3633" t="s">
        <v>979</v>
      </c>
      <c r="E3633" s="13">
        <v>14430000</v>
      </c>
      <c r="F3633" s="13">
        <v>25000</v>
      </c>
      <c r="G3633" s="9">
        <v>45021</v>
      </c>
      <c r="H3633" t="s">
        <v>1063</v>
      </c>
      <c r="I3633" t="s">
        <v>4368</v>
      </c>
      <c r="J3633" s="13">
        <v>320346</v>
      </c>
      <c r="K3633">
        <v>1</v>
      </c>
      <c r="L3633" t="s">
        <v>1064</v>
      </c>
      <c r="M3633" t="s">
        <v>4369</v>
      </c>
      <c r="N3633" s="15" t="s">
        <v>6878</v>
      </c>
    </row>
    <row r="3634" spans="1:14" x14ac:dyDescent="0.2">
      <c r="A3634" t="s">
        <v>4763</v>
      </c>
      <c r="B3634" t="s">
        <v>2360</v>
      </c>
      <c r="C3634" s="9">
        <v>45021</v>
      </c>
      <c r="D3634" t="s">
        <v>979</v>
      </c>
      <c r="E3634" s="13">
        <v>14430000</v>
      </c>
      <c r="F3634" s="13">
        <v>25000</v>
      </c>
      <c r="G3634" s="9">
        <v>45021</v>
      </c>
      <c r="H3634" t="s">
        <v>1063</v>
      </c>
      <c r="I3634" t="s">
        <v>4368</v>
      </c>
      <c r="J3634" s="13">
        <v>320346</v>
      </c>
      <c r="K3634">
        <v>1</v>
      </c>
      <c r="L3634" t="s">
        <v>1064</v>
      </c>
      <c r="M3634" t="s">
        <v>4369</v>
      </c>
      <c r="N3634" s="15" t="s">
        <v>6878</v>
      </c>
    </row>
    <row r="3635" spans="1:14" x14ac:dyDescent="0.2">
      <c r="A3635" t="s">
        <v>4764</v>
      </c>
      <c r="B3635" t="s">
        <v>2360</v>
      </c>
      <c r="C3635" s="9">
        <v>45021</v>
      </c>
      <c r="D3635" t="s">
        <v>979</v>
      </c>
      <c r="E3635" s="13">
        <v>14430000</v>
      </c>
      <c r="F3635" s="13">
        <v>25000</v>
      </c>
      <c r="G3635" s="9">
        <v>45021</v>
      </c>
      <c r="H3635" t="s">
        <v>1063</v>
      </c>
      <c r="I3635" t="s">
        <v>4368</v>
      </c>
      <c r="J3635" s="13">
        <v>320346</v>
      </c>
      <c r="K3635">
        <v>1</v>
      </c>
      <c r="L3635" t="s">
        <v>1064</v>
      </c>
      <c r="M3635" t="s">
        <v>4369</v>
      </c>
      <c r="N3635" s="15" t="s">
        <v>6878</v>
      </c>
    </row>
    <row r="3636" spans="1:14" x14ac:dyDescent="0.2">
      <c r="A3636" t="s">
        <v>4765</v>
      </c>
      <c r="B3636" t="s">
        <v>2360</v>
      </c>
      <c r="C3636" s="9">
        <v>45021</v>
      </c>
      <c r="D3636" t="s">
        <v>979</v>
      </c>
      <c r="E3636" s="13">
        <v>14430000</v>
      </c>
      <c r="F3636" s="13">
        <v>25000</v>
      </c>
      <c r="G3636" s="9">
        <v>45021</v>
      </c>
      <c r="H3636" t="s">
        <v>1063</v>
      </c>
      <c r="I3636" t="s">
        <v>4368</v>
      </c>
      <c r="J3636" s="13">
        <v>320346</v>
      </c>
      <c r="K3636">
        <v>1</v>
      </c>
      <c r="L3636" t="s">
        <v>1064</v>
      </c>
      <c r="M3636" t="s">
        <v>4369</v>
      </c>
      <c r="N3636" s="15" t="s">
        <v>6878</v>
      </c>
    </row>
    <row r="3637" spans="1:14" x14ac:dyDescent="0.2">
      <c r="A3637" t="s">
        <v>4766</v>
      </c>
      <c r="B3637" t="s">
        <v>2360</v>
      </c>
      <c r="C3637" s="9">
        <v>45021</v>
      </c>
      <c r="D3637" t="s">
        <v>979</v>
      </c>
      <c r="E3637" s="13">
        <v>14430000</v>
      </c>
      <c r="F3637" s="13">
        <v>25000</v>
      </c>
      <c r="G3637" s="9">
        <v>45021</v>
      </c>
      <c r="H3637" t="s">
        <v>1063</v>
      </c>
      <c r="I3637" t="s">
        <v>4368</v>
      </c>
      <c r="J3637" s="13">
        <v>320346</v>
      </c>
      <c r="K3637">
        <v>1</v>
      </c>
      <c r="L3637" t="s">
        <v>1064</v>
      </c>
      <c r="M3637" t="s">
        <v>4369</v>
      </c>
      <c r="N3637" s="15" t="s">
        <v>6878</v>
      </c>
    </row>
    <row r="3638" spans="1:14" x14ac:dyDescent="0.2">
      <c r="A3638" t="s">
        <v>4767</v>
      </c>
      <c r="B3638" t="s">
        <v>2360</v>
      </c>
      <c r="C3638" s="9">
        <v>45021</v>
      </c>
      <c r="D3638" t="s">
        <v>979</v>
      </c>
      <c r="E3638" s="13">
        <v>14430000</v>
      </c>
      <c r="F3638" s="13">
        <v>25000</v>
      </c>
      <c r="G3638" s="9">
        <v>45021</v>
      </c>
      <c r="H3638" t="s">
        <v>1063</v>
      </c>
      <c r="I3638" t="s">
        <v>4368</v>
      </c>
      <c r="J3638" s="13">
        <v>320346</v>
      </c>
      <c r="K3638">
        <v>1</v>
      </c>
      <c r="L3638" t="s">
        <v>1064</v>
      </c>
      <c r="M3638" t="s">
        <v>4369</v>
      </c>
      <c r="N3638" s="15" t="s">
        <v>6878</v>
      </c>
    </row>
    <row r="3639" spans="1:14" x14ac:dyDescent="0.2">
      <c r="A3639" t="s">
        <v>4768</v>
      </c>
      <c r="B3639" t="s">
        <v>2360</v>
      </c>
      <c r="C3639" s="9">
        <v>45021</v>
      </c>
      <c r="D3639" t="s">
        <v>946</v>
      </c>
      <c r="E3639" s="13">
        <v>780000</v>
      </c>
      <c r="F3639" s="13">
        <v>5550</v>
      </c>
      <c r="G3639" s="9">
        <v>45023</v>
      </c>
      <c r="H3639" t="s">
        <v>1111</v>
      </c>
      <c r="I3639" t="s">
        <v>2382</v>
      </c>
      <c r="J3639" s="13">
        <v>12987</v>
      </c>
      <c r="K3639">
        <v>1</v>
      </c>
      <c r="L3639" t="s">
        <v>1064</v>
      </c>
      <c r="M3639" t="s">
        <v>2383</v>
      </c>
      <c r="N3639" s="15" t="s">
        <v>6878</v>
      </c>
    </row>
    <row r="3640" spans="1:14" x14ac:dyDescent="0.2">
      <c r="A3640" t="s">
        <v>4769</v>
      </c>
      <c r="B3640" t="s">
        <v>2360</v>
      </c>
      <c r="C3640" s="9">
        <v>45021</v>
      </c>
      <c r="D3640" t="s">
        <v>946</v>
      </c>
      <c r="E3640" s="13">
        <v>1980000</v>
      </c>
      <c r="F3640" s="13">
        <v>5550</v>
      </c>
      <c r="G3640" s="9">
        <v>45023</v>
      </c>
      <c r="H3640" t="s">
        <v>1111</v>
      </c>
      <c r="I3640" t="s">
        <v>2382</v>
      </c>
      <c r="J3640" s="13">
        <v>32967</v>
      </c>
      <c r="K3640">
        <v>1</v>
      </c>
      <c r="L3640" t="s">
        <v>1064</v>
      </c>
      <c r="M3640" t="s">
        <v>2383</v>
      </c>
      <c r="N3640" s="15" t="s">
        <v>6878</v>
      </c>
    </row>
    <row r="3641" spans="1:14" x14ac:dyDescent="0.2">
      <c r="A3641" t="s">
        <v>4770</v>
      </c>
      <c r="B3641" t="s">
        <v>2360</v>
      </c>
      <c r="C3641" s="9">
        <v>45021</v>
      </c>
      <c r="D3641" t="s">
        <v>946</v>
      </c>
      <c r="E3641" s="13">
        <v>2750000</v>
      </c>
      <c r="F3641" s="13">
        <v>5550</v>
      </c>
      <c r="G3641" s="9">
        <v>45023</v>
      </c>
      <c r="H3641" t="s">
        <v>1111</v>
      </c>
      <c r="I3641" t="s">
        <v>2382</v>
      </c>
      <c r="J3641" s="13">
        <v>45787</v>
      </c>
      <c r="K3641">
        <v>1</v>
      </c>
      <c r="L3641" t="s">
        <v>1064</v>
      </c>
      <c r="M3641" t="s">
        <v>2383</v>
      </c>
      <c r="N3641" s="15" t="s">
        <v>6878</v>
      </c>
    </row>
    <row r="3642" spans="1:14" x14ac:dyDescent="0.2">
      <c r="A3642" t="s">
        <v>4771</v>
      </c>
      <c r="B3642" t="s">
        <v>2360</v>
      </c>
      <c r="C3642" s="9">
        <v>45021</v>
      </c>
      <c r="D3642" t="s">
        <v>946</v>
      </c>
      <c r="E3642" s="13">
        <v>6210000</v>
      </c>
      <c r="F3642" s="13">
        <v>5550</v>
      </c>
      <c r="G3642" s="9">
        <v>45023</v>
      </c>
      <c r="H3642" t="s">
        <v>1111</v>
      </c>
      <c r="I3642" t="s">
        <v>2382</v>
      </c>
      <c r="J3642" s="13">
        <v>103396</v>
      </c>
      <c r="K3642">
        <v>1</v>
      </c>
      <c r="L3642" t="s">
        <v>1064</v>
      </c>
      <c r="M3642" t="s">
        <v>2383</v>
      </c>
      <c r="N3642" s="15" t="s">
        <v>6878</v>
      </c>
    </row>
    <row r="3643" spans="1:14" x14ac:dyDescent="0.2">
      <c r="A3643" t="s">
        <v>4772</v>
      </c>
      <c r="B3643" t="s">
        <v>2360</v>
      </c>
      <c r="C3643" s="9">
        <v>45021</v>
      </c>
      <c r="D3643" t="s">
        <v>946</v>
      </c>
      <c r="E3643" s="13">
        <v>1100000</v>
      </c>
      <c r="F3643" s="13">
        <v>5550</v>
      </c>
      <c r="G3643" s="9">
        <v>45023</v>
      </c>
      <c r="H3643" t="s">
        <v>1111</v>
      </c>
      <c r="I3643" t="s">
        <v>2382</v>
      </c>
      <c r="J3643" s="13">
        <v>18315</v>
      </c>
      <c r="K3643">
        <v>1</v>
      </c>
      <c r="L3643" t="s">
        <v>1064</v>
      </c>
      <c r="M3643" t="s">
        <v>2383</v>
      </c>
      <c r="N3643" s="15" t="s">
        <v>6878</v>
      </c>
    </row>
    <row r="3644" spans="1:14" x14ac:dyDescent="0.2">
      <c r="A3644" t="s">
        <v>4773</v>
      </c>
      <c r="B3644" t="s">
        <v>2360</v>
      </c>
      <c r="C3644" s="9">
        <v>45021</v>
      </c>
      <c r="D3644" t="s">
        <v>946</v>
      </c>
      <c r="E3644" s="13">
        <v>660000</v>
      </c>
      <c r="F3644" s="13">
        <v>5550</v>
      </c>
      <c r="G3644" s="9">
        <v>45023</v>
      </c>
      <c r="H3644" t="s">
        <v>1111</v>
      </c>
      <c r="I3644" t="s">
        <v>2382</v>
      </c>
      <c r="J3644" s="13">
        <v>10989</v>
      </c>
      <c r="K3644">
        <v>1</v>
      </c>
      <c r="L3644" t="s">
        <v>1064</v>
      </c>
      <c r="M3644" t="s">
        <v>2383</v>
      </c>
      <c r="N3644" s="15" t="s">
        <v>6878</v>
      </c>
    </row>
    <row r="3645" spans="1:14" x14ac:dyDescent="0.2">
      <c r="A3645" t="s">
        <v>4774</v>
      </c>
      <c r="B3645" t="s">
        <v>2360</v>
      </c>
      <c r="C3645" s="9">
        <v>45021</v>
      </c>
      <c r="D3645" t="s">
        <v>946</v>
      </c>
      <c r="E3645" s="13">
        <v>1980000</v>
      </c>
      <c r="F3645" s="13">
        <v>5550</v>
      </c>
      <c r="G3645" s="9">
        <v>45023</v>
      </c>
      <c r="H3645" t="s">
        <v>1111</v>
      </c>
      <c r="I3645" t="s">
        <v>2382</v>
      </c>
      <c r="J3645" s="13">
        <v>32967</v>
      </c>
      <c r="K3645">
        <v>1</v>
      </c>
      <c r="L3645" t="s">
        <v>1064</v>
      </c>
      <c r="M3645" t="s">
        <v>2383</v>
      </c>
      <c r="N3645" s="15" t="s">
        <v>6878</v>
      </c>
    </row>
    <row r="3646" spans="1:14" x14ac:dyDescent="0.2">
      <c r="A3646" t="s">
        <v>4775</v>
      </c>
      <c r="B3646" t="s">
        <v>2360</v>
      </c>
      <c r="C3646" s="9">
        <v>45021</v>
      </c>
      <c r="D3646" t="s">
        <v>946</v>
      </c>
      <c r="E3646" s="13">
        <v>1210000</v>
      </c>
      <c r="F3646" s="13">
        <v>5550</v>
      </c>
      <c r="G3646" s="9">
        <v>45023</v>
      </c>
      <c r="H3646" t="s">
        <v>1111</v>
      </c>
      <c r="I3646" t="s">
        <v>2382</v>
      </c>
      <c r="J3646" s="13">
        <v>20146</v>
      </c>
      <c r="K3646">
        <v>1</v>
      </c>
      <c r="L3646" t="s">
        <v>1064</v>
      </c>
      <c r="M3646" t="s">
        <v>2383</v>
      </c>
      <c r="N3646" s="15" t="s">
        <v>6878</v>
      </c>
    </row>
    <row r="3647" spans="1:14" x14ac:dyDescent="0.2">
      <c r="A3647" t="s">
        <v>4776</v>
      </c>
      <c r="B3647" t="s">
        <v>2360</v>
      </c>
      <c r="C3647" s="9">
        <v>45021</v>
      </c>
      <c r="D3647" t="s">
        <v>946</v>
      </c>
      <c r="E3647" s="13">
        <v>12535000</v>
      </c>
      <c r="F3647" s="13">
        <v>5550</v>
      </c>
      <c r="G3647" s="9">
        <v>45023</v>
      </c>
      <c r="H3647" t="s">
        <v>1111</v>
      </c>
      <c r="I3647" t="s">
        <v>2382</v>
      </c>
      <c r="J3647" s="13">
        <v>208707</v>
      </c>
      <c r="K3647">
        <v>1</v>
      </c>
      <c r="L3647" t="s">
        <v>1064</v>
      </c>
      <c r="M3647" t="s">
        <v>2383</v>
      </c>
      <c r="N3647" s="15" t="s">
        <v>6878</v>
      </c>
    </row>
    <row r="3648" spans="1:14" x14ac:dyDescent="0.2">
      <c r="A3648" t="s">
        <v>4777</v>
      </c>
      <c r="B3648" t="s">
        <v>2360</v>
      </c>
      <c r="C3648" s="9">
        <v>45021</v>
      </c>
      <c r="D3648" t="s">
        <v>946</v>
      </c>
      <c r="E3648" s="13">
        <v>1093073</v>
      </c>
      <c r="F3648" s="13">
        <v>5550</v>
      </c>
      <c r="G3648" s="9">
        <v>45023</v>
      </c>
      <c r="H3648" t="s">
        <v>1111</v>
      </c>
      <c r="I3648" t="s">
        <v>2382</v>
      </c>
      <c r="J3648" s="13">
        <v>18199</v>
      </c>
      <c r="K3648">
        <v>1</v>
      </c>
      <c r="L3648" t="s">
        <v>1064</v>
      </c>
      <c r="M3648" t="s">
        <v>2383</v>
      </c>
      <c r="N3648" s="15" t="s">
        <v>6878</v>
      </c>
    </row>
    <row r="3649" spans="1:14" x14ac:dyDescent="0.2">
      <c r="A3649" t="s">
        <v>4778</v>
      </c>
      <c r="B3649" t="s">
        <v>2360</v>
      </c>
      <c r="C3649" s="9">
        <v>45021</v>
      </c>
      <c r="D3649" t="s">
        <v>946</v>
      </c>
      <c r="E3649" s="13">
        <v>1093073</v>
      </c>
      <c r="F3649" s="13">
        <v>5550</v>
      </c>
      <c r="G3649" s="9">
        <v>45023</v>
      </c>
      <c r="H3649" t="s">
        <v>1111</v>
      </c>
      <c r="I3649" t="s">
        <v>2382</v>
      </c>
      <c r="J3649" s="13">
        <v>18199</v>
      </c>
      <c r="K3649">
        <v>1</v>
      </c>
      <c r="L3649" t="s">
        <v>1064</v>
      </c>
      <c r="M3649" t="s">
        <v>2383</v>
      </c>
      <c r="N3649" s="15" t="s">
        <v>6878</v>
      </c>
    </row>
    <row r="3650" spans="1:14" x14ac:dyDescent="0.2">
      <c r="A3650" t="s">
        <v>4779</v>
      </c>
      <c r="B3650" t="s">
        <v>2360</v>
      </c>
      <c r="C3650" s="9">
        <v>45021</v>
      </c>
      <c r="D3650" t="s">
        <v>946</v>
      </c>
      <c r="E3650" s="13">
        <v>1093073</v>
      </c>
      <c r="F3650" s="13">
        <v>5550</v>
      </c>
      <c r="G3650" s="9">
        <v>45023</v>
      </c>
      <c r="H3650" t="s">
        <v>1111</v>
      </c>
      <c r="I3650" t="s">
        <v>2382</v>
      </c>
      <c r="J3650" s="13">
        <v>18199</v>
      </c>
      <c r="K3650">
        <v>1</v>
      </c>
      <c r="L3650" t="s">
        <v>1064</v>
      </c>
      <c r="M3650" t="s">
        <v>2383</v>
      </c>
      <c r="N3650" s="15" t="s">
        <v>6878</v>
      </c>
    </row>
    <row r="3651" spans="1:14" x14ac:dyDescent="0.2">
      <c r="A3651" t="s">
        <v>4780</v>
      </c>
      <c r="B3651" t="s">
        <v>2360</v>
      </c>
      <c r="C3651" s="9">
        <v>45021</v>
      </c>
      <c r="D3651" t="s">
        <v>946</v>
      </c>
      <c r="E3651" s="13">
        <v>1093073</v>
      </c>
      <c r="F3651" s="13">
        <v>5550</v>
      </c>
      <c r="G3651" s="9">
        <v>45023</v>
      </c>
      <c r="H3651" t="s">
        <v>1111</v>
      </c>
      <c r="I3651" t="s">
        <v>2382</v>
      </c>
      <c r="J3651" s="13">
        <v>18199</v>
      </c>
      <c r="K3651">
        <v>1</v>
      </c>
      <c r="L3651" t="s">
        <v>1064</v>
      </c>
      <c r="M3651" t="s">
        <v>2383</v>
      </c>
      <c r="N3651" s="15" t="s">
        <v>6878</v>
      </c>
    </row>
    <row r="3652" spans="1:14" x14ac:dyDescent="0.2">
      <c r="A3652" t="s">
        <v>4781</v>
      </c>
      <c r="B3652" t="s">
        <v>2360</v>
      </c>
      <c r="C3652" s="9">
        <v>45021</v>
      </c>
      <c r="D3652" t="s">
        <v>946</v>
      </c>
      <c r="E3652" s="13">
        <v>1031384</v>
      </c>
      <c r="F3652" s="13">
        <v>5550</v>
      </c>
      <c r="G3652" s="9">
        <v>45023</v>
      </c>
      <c r="H3652" t="s">
        <v>1111</v>
      </c>
      <c r="I3652" t="s">
        <v>2382</v>
      </c>
      <c r="J3652" s="13">
        <v>17171</v>
      </c>
      <c r="K3652">
        <v>1</v>
      </c>
      <c r="L3652" t="s">
        <v>1064</v>
      </c>
      <c r="M3652" t="s">
        <v>2383</v>
      </c>
      <c r="N3652" s="15" t="s">
        <v>6878</v>
      </c>
    </row>
    <row r="3653" spans="1:14" x14ac:dyDescent="0.2">
      <c r="A3653" t="s">
        <v>4782</v>
      </c>
      <c r="B3653" t="s">
        <v>2360</v>
      </c>
      <c r="C3653" s="9">
        <v>45021</v>
      </c>
      <c r="D3653" t="s">
        <v>946</v>
      </c>
      <c r="E3653" s="13">
        <v>1134198</v>
      </c>
      <c r="F3653" s="13">
        <v>5550</v>
      </c>
      <c r="G3653" s="9">
        <v>45023</v>
      </c>
      <c r="H3653" t="s">
        <v>1111</v>
      </c>
      <c r="I3653" t="s">
        <v>2382</v>
      </c>
      <c r="J3653" s="13">
        <v>18883</v>
      </c>
      <c r="K3653">
        <v>1</v>
      </c>
      <c r="L3653" t="s">
        <v>1064</v>
      </c>
      <c r="M3653" t="s">
        <v>2383</v>
      </c>
      <c r="N3653" s="15" t="s">
        <v>6878</v>
      </c>
    </row>
    <row r="3654" spans="1:14" x14ac:dyDescent="0.2">
      <c r="A3654" t="s">
        <v>4783</v>
      </c>
      <c r="B3654" t="s">
        <v>2360</v>
      </c>
      <c r="C3654" s="9">
        <v>45021</v>
      </c>
      <c r="D3654" t="s">
        <v>946</v>
      </c>
      <c r="E3654" s="13">
        <v>979436</v>
      </c>
      <c r="F3654" s="13">
        <v>5550</v>
      </c>
      <c r="G3654" s="9">
        <v>45023</v>
      </c>
      <c r="H3654" t="s">
        <v>1111</v>
      </c>
      <c r="I3654" t="s">
        <v>2382</v>
      </c>
      <c r="J3654" s="13">
        <v>16307</v>
      </c>
      <c r="K3654">
        <v>1</v>
      </c>
      <c r="L3654" t="s">
        <v>1064</v>
      </c>
      <c r="M3654" t="s">
        <v>2383</v>
      </c>
      <c r="N3654" s="15" t="s">
        <v>6878</v>
      </c>
    </row>
    <row r="3655" spans="1:14" x14ac:dyDescent="0.2">
      <c r="A3655" t="s">
        <v>4784</v>
      </c>
      <c r="B3655" t="s">
        <v>2360</v>
      </c>
      <c r="C3655" s="9">
        <v>45021</v>
      </c>
      <c r="D3655" t="s">
        <v>946</v>
      </c>
      <c r="E3655" s="13">
        <v>979436</v>
      </c>
      <c r="F3655" s="13">
        <v>5550</v>
      </c>
      <c r="G3655" s="9">
        <v>45023</v>
      </c>
      <c r="H3655" t="s">
        <v>1111</v>
      </c>
      <c r="I3655" t="s">
        <v>2382</v>
      </c>
      <c r="J3655" s="13">
        <v>16307</v>
      </c>
      <c r="K3655">
        <v>1</v>
      </c>
      <c r="L3655" t="s">
        <v>1064</v>
      </c>
      <c r="M3655" t="s">
        <v>2383</v>
      </c>
      <c r="N3655" s="15" t="s">
        <v>6878</v>
      </c>
    </row>
    <row r="3656" spans="1:14" x14ac:dyDescent="0.2">
      <c r="A3656" t="s">
        <v>4785</v>
      </c>
      <c r="B3656" t="s">
        <v>2360</v>
      </c>
      <c r="C3656" s="9">
        <v>45021</v>
      </c>
      <c r="D3656" t="s">
        <v>946</v>
      </c>
      <c r="E3656" s="13">
        <v>1134198</v>
      </c>
      <c r="F3656" s="13">
        <v>5550</v>
      </c>
      <c r="G3656" s="9">
        <v>45023</v>
      </c>
      <c r="H3656" t="s">
        <v>1111</v>
      </c>
      <c r="I3656" t="s">
        <v>2382</v>
      </c>
      <c r="J3656" s="13">
        <v>18883</v>
      </c>
      <c r="K3656">
        <v>1</v>
      </c>
      <c r="L3656" t="s">
        <v>1064</v>
      </c>
      <c r="M3656" t="s">
        <v>2383</v>
      </c>
      <c r="N3656" s="15" t="s">
        <v>6878</v>
      </c>
    </row>
    <row r="3657" spans="1:14" x14ac:dyDescent="0.2">
      <c r="A3657" t="s">
        <v>4786</v>
      </c>
      <c r="B3657" t="s">
        <v>2360</v>
      </c>
      <c r="C3657" s="9">
        <v>45021</v>
      </c>
      <c r="D3657" t="s">
        <v>946</v>
      </c>
      <c r="E3657" s="13">
        <v>1134198</v>
      </c>
      <c r="F3657" s="13">
        <v>5550</v>
      </c>
      <c r="G3657" s="9">
        <v>45023</v>
      </c>
      <c r="H3657" t="s">
        <v>1111</v>
      </c>
      <c r="I3657" t="s">
        <v>2382</v>
      </c>
      <c r="J3657" s="13">
        <v>18883</v>
      </c>
      <c r="K3657">
        <v>1</v>
      </c>
      <c r="L3657" t="s">
        <v>1064</v>
      </c>
      <c r="M3657" t="s">
        <v>2383</v>
      </c>
      <c r="N3657" s="15" t="s">
        <v>6878</v>
      </c>
    </row>
    <row r="3658" spans="1:14" x14ac:dyDescent="0.2">
      <c r="A3658" t="s">
        <v>4787</v>
      </c>
      <c r="B3658" t="s">
        <v>2360</v>
      </c>
      <c r="C3658" s="9">
        <v>45021</v>
      </c>
      <c r="D3658" t="s">
        <v>946</v>
      </c>
      <c r="E3658" s="13">
        <v>1443722</v>
      </c>
      <c r="F3658" s="13">
        <v>5550</v>
      </c>
      <c r="G3658" s="9">
        <v>45023</v>
      </c>
      <c r="H3658" t="s">
        <v>1111</v>
      </c>
      <c r="I3658" t="s">
        <v>2382</v>
      </c>
      <c r="J3658" s="13">
        <v>24037</v>
      </c>
      <c r="K3658">
        <v>1</v>
      </c>
      <c r="L3658" t="s">
        <v>1064</v>
      </c>
      <c r="M3658" t="s">
        <v>2383</v>
      </c>
      <c r="N3658" s="15" t="s">
        <v>6878</v>
      </c>
    </row>
    <row r="3659" spans="1:14" x14ac:dyDescent="0.2">
      <c r="A3659" t="s">
        <v>4788</v>
      </c>
      <c r="B3659" t="s">
        <v>2360</v>
      </c>
      <c r="C3659" s="9">
        <v>45021</v>
      </c>
      <c r="D3659" t="s">
        <v>946</v>
      </c>
      <c r="E3659" s="13">
        <v>979436</v>
      </c>
      <c r="F3659" s="13">
        <v>5550</v>
      </c>
      <c r="G3659" s="9">
        <v>45023</v>
      </c>
      <c r="H3659" t="s">
        <v>1111</v>
      </c>
      <c r="I3659" t="s">
        <v>2382</v>
      </c>
      <c r="J3659" s="13">
        <v>16307</v>
      </c>
      <c r="K3659">
        <v>1</v>
      </c>
      <c r="L3659" t="s">
        <v>1064</v>
      </c>
      <c r="M3659" t="s">
        <v>2383</v>
      </c>
      <c r="N3659" s="15" t="s">
        <v>6878</v>
      </c>
    </row>
    <row r="3660" spans="1:14" x14ac:dyDescent="0.2">
      <c r="A3660" t="s">
        <v>4789</v>
      </c>
      <c r="B3660" t="s">
        <v>2360</v>
      </c>
      <c r="C3660" s="9">
        <v>45021</v>
      </c>
      <c r="D3660" t="s">
        <v>946</v>
      </c>
      <c r="E3660" s="13">
        <v>1031384</v>
      </c>
      <c r="F3660" s="13">
        <v>5550</v>
      </c>
      <c r="G3660" s="9">
        <v>45023</v>
      </c>
      <c r="H3660" t="s">
        <v>1111</v>
      </c>
      <c r="I3660" t="s">
        <v>2382</v>
      </c>
      <c r="J3660" s="13">
        <v>17171</v>
      </c>
      <c r="K3660">
        <v>1</v>
      </c>
      <c r="L3660" t="s">
        <v>1064</v>
      </c>
      <c r="M3660" t="s">
        <v>2383</v>
      </c>
      <c r="N3660" s="15" t="s">
        <v>6878</v>
      </c>
    </row>
    <row r="3661" spans="1:14" x14ac:dyDescent="0.2">
      <c r="A3661" t="s">
        <v>4790</v>
      </c>
      <c r="B3661" t="s">
        <v>2360</v>
      </c>
      <c r="C3661" s="9">
        <v>45021</v>
      </c>
      <c r="D3661" t="s">
        <v>946</v>
      </c>
      <c r="E3661" s="13">
        <v>742496</v>
      </c>
      <c r="F3661" s="13">
        <v>5550</v>
      </c>
      <c r="G3661" s="9">
        <v>45023</v>
      </c>
      <c r="H3661" t="s">
        <v>1111</v>
      </c>
      <c r="I3661" t="s">
        <v>2382</v>
      </c>
      <c r="J3661" s="13">
        <v>12362</v>
      </c>
      <c r="K3661">
        <v>1</v>
      </c>
      <c r="L3661" t="s">
        <v>1064</v>
      </c>
      <c r="M3661" t="s">
        <v>2383</v>
      </c>
      <c r="N3661" s="15" t="s">
        <v>6878</v>
      </c>
    </row>
    <row r="3662" spans="1:14" x14ac:dyDescent="0.2">
      <c r="A3662" t="s">
        <v>4791</v>
      </c>
      <c r="B3662" t="s">
        <v>2360</v>
      </c>
      <c r="C3662" s="9">
        <v>45021</v>
      </c>
      <c r="D3662" t="s">
        <v>946</v>
      </c>
      <c r="E3662" s="13">
        <v>3452000</v>
      </c>
      <c r="F3662" s="13">
        <v>5550</v>
      </c>
      <c r="G3662" s="9">
        <v>45023</v>
      </c>
      <c r="H3662" t="s">
        <v>1111</v>
      </c>
      <c r="I3662" t="s">
        <v>2382</v>
      </c>
      <c r="J3662" s="13">
        <v>57475</v>
      </c>
      <c r="K3662">
        <v>1</v>
      </c>
      <c r="L3662" t="s">
        <v>1064</v>
      </c>
      <c r="M3662" t="s">
        <v>2383</v>
      </c>
      <c r="N3662" s="15" t="s">
        <v>6878</v>
      </c>
    </row>
    <row r="3663" spans="1:14" x14ac:dyDescent="0.2">
      <c r="A3663" t="s">
        <v>4792</v>
      </c>
      <c r="B3663" t="s">
        <v>2360</v>
      </c>
      <c r="C3663" s="9">
        <v>45021</v>
      </c>
      <c r="D3663" t="s">
        <v>946</v>
      </c>
      <c r="E3663" s="13">
        <v>5900000</v>
      </c>
      <c r="F3663" s="13">
        <v>5550</v>
      </c>
      <c r="G3663" s="9">
        <v>45023</v>
      </c>
      <c r="H3663" t="s">
        <v>1111</v>
      </c>
      <c r="I3663" t="s">
        <v>2382</v>
      </c>
      <c r="J3663" s="13">
        <v>98235</v>
      </c>
      <c r="K3663">
        <v>1</v>
      </c>
      <c r="L3663" t="s">
        <v>1064</v>
      </c>
      <c r="M3663" t="s">
        <v>2383</v>
      </c>
      <c r="N3663" s="15" t="s">
        <v>6878</v>
      </c>
    </row>
    <row r="3664" spans="1:14" x14ac:dyDescent="0.2">
      <c r="A3664" t="s">
        <v>4793</v>
      </c>
      <c r="B3664" t="s">
        <v>2360</v>
      </c>
      <c r="C3664" s="9">
        <v>45021</v>
      </c>
      <c r="D3664" t="s">
        <v>946</v>
      </c>
      <c r="E3664" s="13">
        <v>6232960</v>
      </c>
      <c r="F3664" s="13">
        <v>5550</v>
      </c>
      <c r="G3664" s="9">
        <v>45023</v>
      </c>
      <c r="H3664" t="s">
        <v>1111</v>
      </c>
      <c r="I3664" t="s">
        <v>2382</v>
      </c>
      <c r="J3664" s="13">
        <v>103778</v>
      </c>
      <c r="K3664">
        <v>1</v>
      </c>
      <c r="L3664" t="s">
        <v>1064</v>
      </c>
      <c r="M3664" t="s">
        <v>2383</v>
      </c>
      <c r="N3664" s="15" t="s">
        <v>6878</v>
      </c>
    </row>
    <row r="3665" spans="1:14" x14ac:dyDescent="0.2">
      <c r="A3665" t="s">
        <v>4794</v>
      </c>
      <c r="B3665" t="s">
        <v>2360</v>
      </c>
      <c r="C3665" s="9">
        <v>45021</v>
      </c>
      <c r="D3665" t="s">
        <v>946</v>
      </c>
      <c r="E3665" s="13">
        <v>5482587</v>
      </c>
      <c r="F3665" s="13">
        <v>5550</v>
      </c>
      <c r="G3665" s="9">
        <v>45023</v>
      </c>
      <c r="H3665" t="s">
        <v>1111</v>
      </c>
      <c r="I3665" t="s">
        <v>2382</v>
      </c>
      <c r="J3665" s="13">
        <v>91284</v>
      </c>
      <c r="K3665">
        <v>1</v>
      </c>
      <c r="L3665" t="s">
        <v>1064</v>
      </c>
      <c r="M3665" t="s">
        <v>2383</v>
      </c>
      <c r="N3665" s="15" t="s">
        <v>6878</v>
      </c>
    </row>
    <row r="3666" spans="1:14" x14ac:dyDescent="0.2">
      <c r="A3666" t="s">
        <v>4795</v>
      </c>
      <c r="B3666" t="s">
        <v>2360</v>
      </c>
      <c r="C3666" s="9">
        <v>45021</v>
      </c>
      <c r="D3666" t="s">
        <v>946</v>
      </c>
      <c r="E3666" s="13">
        <v>6210000</v>
      </c>
      <c r="F3666" s="13">
        <v>5550</v>
      </c>
      <c r="G3666" s="9">
        <v>45023</v>
      </c>
      <c r="H3666" t="s">
        <v>1111</v>
      </c>
      <c r="I3666" t="s">
        <v>2382</v>
      </c>
      <c r="J3666" s="13">
        <v>103396</v>
      </c>
      <c r="K3666">
        <v>1</v>
      </c>
      <c r="L3666" t="s">
        <v>1064</v>
      </c>
      <c r="M3666" t="s">
        <v>2383</v>
      </c>
      <c r="N3666" s="15" t="s">
        <v>6878</v>
      </c>
    </row>
    <row r="3667" spans="1:14" x14ac:dyDescent="0.2">
      <c r="A3667" t="s">
        <v>4796</v>
      </c>
      <c r="B3667" t="s">
        <v>2360</v>
      </c>
      <c r="C3667" s="9">
        <v>45021</v>
      </c>
      <c r="D3667" t="s">
        <v>946</v>
      </c>
      <c r="E3667" s="13">
        <v>7810255</v>
      </c>
      <c r="F3667" s="13">
        <v>5550</v>
      </c>
      <c r="G3667" s="9">
        <v>45023</v>
      </c>
      <c r="H3667" t="s">
        <v>1111</v>
      </c>
      <c r="I3667" t="s">
        <v>2382</v>
      </c>
      <c r="J3667" s="13">
        <v>130039</v>
      </c>
      <c r="K3667">
        <v>1</v>
      </c>
      <c r="L3667" t="s">
        <v>1064</v>
      </c>
      <c r="M3667" t="s">
        <v>2383</v>
      </c>
      <c r="N3667" s="15" t="s">
        <v>6878</v>
      </c>
    </row>
    <row r="3668" spans="1:14" x14ac:dyDescent="0.2">
      <c r="A3668" t="s">
        <v>4797</v>
      </c>
      <c r="B3668" t="s">
        <v>2360</v>
      </c>
      <c r="C3668" s="9">
        <v>45021</v>
      </c>
      <c r="D3668" t="s">
        <v>946</v>
      </c>
      <c r="E3668" s="13">
        <v>950000</v>
      </c>
      <c r="F3668" s="13">
        <v>5550</v>
      </c>
      <c r="G3668" s="9">
        <v>45023</v>
      </c>
      <c r="H3668" t="s">
        <v>1111</v>
      </c>
      <c r="I3668" t="s">
        <v>2382</v>
      </c>
      <c r="J3668" s="13">
        <v>15817</v>
      </c>
      <c r="K3668">
        <v>1</v>
      </c>
      <c r="L3668" t="s">
        <v>1064</v>
      </c>
      <c r="M3668" t="s">
        <v>2383</v>
      </c>
      <c r="N3668" s="15" t="s">
        <v>6878</v>
      </c>
    </row>
    <row r="3669" spans="1:14" x14ac:dyDescent="0.2">
      <c r="A3669" t="s">
        <v>4798</v>
      </c>
      <c r="B3669" t="s">
        <v>2360</v>
      </c>
      <c r="C3669" s="9">
        <v>45021</v>
      </c>
      <c r="D3669" t="s">
        <v>946</v>
      </c>
      <c r="E3669" s="13">
        <v>950000</v>
      </c>
      <c r="F3669" s="13">
        <v>5550</v>
      </c>
      <c r="G3669" s="9">
        <v>45023</v>
      </c>
      <c r="H3669" t="s">
        <v>1111</v>
      </c>
      <c r="I3669" t="s">
        <v>2382</v>
      </c>
      <c r="J3669" s="13">
        <v>15817</v>
      </c>
      <c r="K3669">
        <v>1</v>
      </c>
      <c r="L3669" t="s">
        <v>1064</v>
      </c>
      <c r="M3669" t="s">
        <v>2383</v>
      </c>
      <c r="N3669" s="15" t="s">
        <v>6878</v>
      </c>
    </row>
    <row r="3670" spans="1:14" x14ac:dyDescent="0.2">
      <c r="A3670" t="s">
        <v>4799</v>
      </c>
      <c r="B3670" t="s">
        <v>2360</v>
      </c>
      <c r="C3670" s="9">
        <v>45021</v>
      </c>
      <c r="D3670" t="s">
        <v>946</v>
      </c>
      <c r="E3670" s="13">
        <v>2738000</v>
      </c>
      <c r="F3670" s="13">
        <v>5550</v>
      </c>
      <c r="G3670" s="9">
        <v>45023</v>
      </c>
      <c r="H3670" t="s">
        <v>1111</v>
      </c>
      <c r="I3670" t="s">
        <v>2382</v>
      </c>
      <c r="J3670" s="13">
        <v>45587</v>
      </c>
      <c r="K3670">
        <v>1</v>
      </c>
      <c r="L3670" t="s">
        <v>1064</v>
      </c>
      <c r="M3670" t="s">
        <v>2383</v>
      </c>
      <c r="N3670" s="15" t="s">
        <v>6878</v>
      </c>
    </row>
    <row r="3671" spans="1:14" x14ac:dyDescent="0.2">
      <c r="A3671" t="s">
        <v>4800</v>
      </c>
      <c r="B3671" t="s">
        <v>2360</v>
      </c>
      <c r="C3671" s="9">
        <v>45021</v>
      </c>
      <c r="D3671" t="s">
        <v>946</v>
      </c>
      <c r="E3671" s="13">
        <v>3565000</v>
      </c>
      <c r="F3671" s="13">
        <v>5550</v>
      </c>
      <c r="G3671" s="9">
        <v>45023</v>
      </c>
      <c r="H3671" t="s">
        <v>1111</v>
      </c>
      <c r="I3671" t="s">
        <v>2382</v>
      </c>
      <c r="J3671" s="13">
        <v>59357</v>
      </c>
      <c r="K3671">
        <v>1</v>
      </c>
      <c r="L3671" t="s">
        <v>1064</v>
      </c>
      <c r="M3671" t="s">
        <v>2383</v>
      </c>
      <c r="N3671" s="15" t="s">
        <v>6878</v>
      </c>
    </row>
    <row r="3672" spans="1:14" x14ac:dyDescent="0.2">
      <c r="A3672" t="s">
        <v>4801</v>
      </c>
      <c r="B3672" t="s">
        <v>2360</v>
      </c>
      <c r="C3672" s="9">
        <v>45021</v>
      </c>
      <c r="D3672" t="s">
        <v>946</v>
      </c>
      <c r="E3672" s="13">
        <v>2738000</v>
      </c>
      <c r="F3672" s="13">
        <v>5550</v>
      </c>
      <c r="G3672" s="9">
        <v>45023</v>
      </c>
      <c r="H3672" t="s">
        <v>1111</v>
      </c>
      <c r="I3672" t="s">
        <v>2382</v>
      </c>
      <c r="J3672" s="13">
        <v>45587</v>
      </c>
      <c r="K3672">
        <v>1</v>
      </c>
      <c r="L3672" t="s">
        <v>1064</v>
      </c>
      <c r="M3672" t="s">
        <v>2383</v>
      </c>
      <c r="N3672" s="15" t="s">
        <v>6878</v>
      </c>
    </row>
    <row r="3673" spans="1:14" x14ac:dyDescent="0.2">
      <c r="A3673" t="s">
        <v>4802</v>
      </c>
      <c r="B3673" t="s">
        <v>2360</v>
      </c>
      <c r="C3673" s="9">
        <v>45021</v>
      </c>
      <c r="D3673" t="s">
        <v>946</v>
      </c>
      <c r="E3673" s="13">
        <v>8337301</v>
      </c>
      <c r="F3673" s="13">
        <v>5550</v>
      </c>
      <c r="G3673" s="9">
        <v>45023</v>
      </c>
      <c r="H3673" t="s">
        <v>1111</v>
      </c>
      <c r="I3673" t="s">
        <v>2382</v>
      </c>
      <c r="J3673" s="13">
        <v>138815</v>
      </c>
      <c r="K3673">
        <v>1</v>
      </c>
      <c r="L3673" t="s">
        <v>1064</v>
      </c>
      <c r="M3673" t="s">
        <v>2383</v>
      </c>
      <c r="N3673" s="15" t="s">
        <v>6878</v>
      </c>
    </row>
    <row r="3674" spans="1:14" x14ac:dyDescent="0.2">
      <c r="A3674" t="s">
        <v>4803</v>
      </c>
      <c r="B3674" t="s">
        <v>2360</v>
      </c>
      <c r="C3674" s="9">
        <v>45021</v>
      </c>
      <c r="D3674" t="s">
        <v>983</v>
      </c>
      <c r="E3674" s="13">
        <v>5600000</v>
      </c>
      <c r="F3674" s="13">
        <v>11100</v>
      </c>
      <c r="G3674" s="9">
        <v>45022</v>
      </c>
      <c r="H3674" t="s">
        <v>1111</v>
      </c>
      <c r="I3674" t="s">
        <v>2896</v>
      </c>
      <c r="J3674" s="13">
        <v>155400</v>
      </c>
      <c r="K3674">
        <v>1</v>
      </c>
      <c r="L3674" t="s">
        <v>1064</v>
      </c>
      <c r="M3674" t="s">
        <v>2897</v>
      </c>
      <c r="N3674" s="15" t="s">
        <v>6878</v>
      </c>
    </row>
    <row r="3675" spans="1:14" x14ac:dyDescent="0.2">
      <c r="A3675" t="s">
        <v>4804</v>
      </c>
      <c r="B3675" t="s">
        <v>2360</v>
      </c>
      <c r="C3675" s="9">
        <v>45021</v>
      </c>
      <c r="D3675" t="s">
        <v>983</v>
      </c>
      <c r="E3675" s="13">
        <v>5600000</v>
      </c>
      <c r="F3675" s="13">
        <v>11100</v>
      </c>
      <c r="G3675" s="9">
        <v>45022</v>
      </c>
      <c r="H3675" t="s">
        <v>1111</v>
      </c>
      <c r="I3675" t="s">
        <v>2896</v>
      </c>
      <c r="J3675" s="13">
        <v>155400</v>
      </c>
      <c r="K3675">
        <v>1</v>
      </c>
      <c r="L3675" t="s">
        <v>1064</v>
      </c>
      <c r="M3675" t="s">
        <v>2897</v>
      </c>
      <c r="N3675" s="15" t="s">
        <v>6878</v>
      </c>
    </row>
    <row r="3676" spans="1:14" x14ac:dyDescent="0.2">
      <c r="A3676" t="s">
        <v>4805</v>
      </c>
      <c r="B3676" t="s">
        <v>2360</v>
      </c>
      <c r="C3676" s="9">
        <v>45021</v>
      </c>
      <c r="D3676" t="s">
        <v>983</v>
      </c>
      <c r="E3676" s="13">
        <v>5600000</v>
      </c>
      <c r="F3676" s="13">
        <v>11100</v>
      </c>
      <c r="G3676" s="9">
        <v>45022</v>
      </c>
      <c r="H3676" t="s">
        <v>1111</v>
      </c>
      <c r="I3676" t="s">
        <v>2896</v>
      </c>
      <c r="J3676" s="13">
        <v>155400</v>
      </c>
      <c r="K3676">
        <v>1</v>
      </c>
      <c r="L3676" t="s">
        <v>1064</v>
      </c>
      <c r="M3676" t="s">
        <v>2897</v>
      </c>
      <c r="N3676" s="15" t="s">
        <v>6878</v>
      </c>
    </row>
    <row r="3677" spans="1:14" x14ac:dyDescent="0.2">
      <c r="A3677" t="s">
        <v>4806</v>
      </c>
      <c r="B3677" t="s">
        <v>2360</v>
      </c>
      <c r="C3677" s="9">
        <v>45021</v>
      </c>
      <c r="D3677" t="s">
        <v>983</v>
      </c>
      <c r="E3677" s="13">
        <v>6300000</v>
      </c>
      <c r="F3677" s="13">
        <v>11100</v>
      </c>
      <c r="G3677" s="9">
        <v>45022</v>
      </c>
      <c r="H3677" t="s">
        <v>1111</v>
      </c>
      <c r="I3677" t="s">
        <v>2896</v>
      </c>
      <c r="J3677" s="13">
        <v>174825</v>
      </c>
      <c r="K3677">
        <v>1</v>
      </c>
      <c r="L3677" t="s">
        <v>1064</v>
      </c>
      <c r="M3677" t="s">
        <v>2897</v>
      </c>
      <c r="N3677" s="15" t="s">
        <v>6878</v>
      </c>
    </row>
    <row r="3678" spans="1:14" x14ac:dyDescent="0.2">
      <c r="A3678" t="s">
        <v>4807</v>
      </c>
      <c r="B3678" t="s">
        <v>2360</v>
      </c>
      <c r="C3678" s="9">
        <v>45021</v>
      </c>
      <c r="D3678" t="s">
        <v>946</v>
      </c>
      <c r="E3678" s="13">
        <v>23097250</v>
      </c>
      <c r="F3678" s="13">
        <v>5550</v>
      </c>
      <c r="G3678" s="9">
        <v>45023</v>
      </c>
      <c r="H3678" t="s">
        <v>1111</v>
      </c>
      <c r="I3678" t="s">
        <v>2382</v>
      </c>
      <c r="J3678" s="13">
        <v>384568</v>
      </c>
      <c r="K3678">
        <v>1</v>
      </c>
      <c r="L3678" t="s">
        <v>1064</v>
      </c>
      <c r="M3678" t="s">
        <v>2383</v>
      </c>
      <c r="N3678" s="15" t="s">
        <v>6878</v>
      </c>
    </row>
    <row r="3679" spans="1:14" x14ac:dyDescent="0.2">
      <c r="A3679" t="s">
        <v>4808</v>
      </c>
      <c r="B3679" t="s">
        <v>2360</v>
      </c>
      <c r="C3679" s="9">
        <v>45021</v>
      </c>
      <c r="D3679" t="s">
        <v>946</v>
      </c>
      <c r="E3679" s="13">
        <v>6549825</v>
      </c>
      <c r="F3679" s="13">
        <v>5550</v>
      </c>
      <c r="G3679" s="9">
        <v>45023</v>
      </c>
      <c r="H3679" t="s">
        <v>1111</v>
      </c>
      <c r="I3679" t="s">
        <v>2382</v>
      </c>
      <c r="J3679" s="13">
        <v>109054</v>
      </c>
      <c r="K3679">
        <v>1</v>
      </c>
      <c r="L3679" t="s">
        <v>1064</v>
      </c>
      <c r="M3679" t="s">
        <v>2383</v>
      </c>
      <c r="N3679" s="15" t="s">
        <v>6878</v>
      </c>
    </row>
    <row r="3680" spans="1:14" x14ac:dyDescent="0.2">
      <c r="A3680" t="s">
        <v>4809</v>
      </c>
      <c r="B3680" t="s">
        <v>2360</v>
      </c>
      <c r="C3680" s="9">
        <v>45021</v>
      </c>
      <c r="D3680" t="s">
        <v>946</v>
      </c>
      <c r="E3680" s="13">
        <v>6549825</v>
      </c>
      <c r="F3680" s="13">
        <v>5550</v>
      </c>
      <c r="G3680" s="9">
        <v>45023</v>
      </c>
      <c r="H3680" t="s">
        <v>1111</v>
      </c>
      <c r="I3680" t="s">
        <v>2382</v>
      </c>
      <c r="J3680" s="13">
        <v>109054</v>
      </c>
      <c r="K3680">
        <v>1</v>
      </c>
      <c r="L3680" t="s">
        <v>1064</v>
      </c>
      <c r="M3680" t="s">
        <v>2383</v>
      </c>
      <c r="N3680" s="15" t="s">
        <v>6878</v>
      </c>
    </row>
    <row r="3681" spans="1:14" x14ac:dyDescent="0.2">
      <c r="A3681" t="s">
        <v>4810</v>
      </c>
      <c r="B3681" t="s">
        <v>2360</v>
      </c>
      <c r="C3681" s="9">
        <v>45021</v>
      </c>
      <c r="D3681" t="s">
        <v>946</v>
      </c>
      <c r="E3681" s="13">
        <v>5511950</v>
      </c>
      <c r="F3681" s="13">
        <v>5550</v>
      </c>
      <c r="G3681" s="9">
        <v>45023</v>
      </c>
      <c r="H3681" t="s">
        <v>1111</v>
      </c>
      <c r="I3681" t="s">
        <v>2382</v>
      </c>
      <c r="J3681" s="13">
        <v>91773</v>
      </c>
      <c r="K3681">
        <v>1</v>
      </c>
      <c r="L3681" t="s">
        <v>1064</v>
      </c>
      <c r="M3681" t="s">
        <v>2383</v>
      </c>
      <c r="N3681" s="15" t="s">
        <v>6878</v>
      </c>
    </row>
    <row r="3682" spans="1:14" x14ac:dyDescent="0.2">
      <c r="A3682" t="s">
        <v>4811</v>
      </c>
      <c r="B3682" t="s">
        <v>2360</v>
      </c>
      <c r="C3682" s="9">
        <v>45021</v>
      </c>
      <c r="D3682" t="s">
        <v>946</v>
      </c>
      <c r="E3682" s="13">
        <v>6549825</v>
      </c>
      <c r="F3682" s="13">
        <v>5550</v>
      </c>
      <c r="G3682" s="9">
        <v>45023</v>
      </c>
      <c r="H3682" t="s">
        <v>1111</v>
      </c>
      <c r="I3682" t="s">
        <v>2382</v>
      </c>
      <c r="J3682" s="13">
        <v>109054</v>
      </c>
      <c r="K3682">
        <v>1</v>
      </c>
      <c r="L3682" t="s">
        <v>1064</v>
      </c>
      <c r="M3682" t="s">
        <v>2383</v>
      </c>
      <c r="N3682" s="15" t="s">
        <v>6878</v>
      </c>
    </row>
    <row r="3683" spans="1:14" x14ac:dyDescent="0.2">
      <c r="A3683" t="s">
        <v>4812</v>
      </c>
      <c r="B3683" t="s">
        <v>2360</v>
      </c>
      <c r="C3683" s="9">
        <v>45021</v>
      </c>
      <c r="D3683" t="s">
        <v>946</v>
      </c>
      <c r="E3683" s="13">
        <v>5511950</v>
      </c>
      <c r="F3683" s="13">
        <v>5550</v>
      </c>
      <c r="G3683" s="9">
        <v>45023</v>
      </c>
      <c r="H3683" t="s">
        <v>1111</v>
      </c>
      <c r="I3683" t="s">
        <v>2382</v>
      </c>
      <c r="J3683" s="13">
        <v>91773</v>
      </c>
      <c r="K3683">
        <v>1</v>
      </c>
      <c r="L3683" t="s">
        <v>1064</v>
      </c>
      <c r="M3683" t="s">
        <v>2383</v>
      </c>
      <c r="N3683" s="15" t="s">
        <v>6878</v>
      </c>
    </row>
    <row r="3684" spans="1:14" x14ac:dyDescent="0.2">
      <c r="A3684" t="s">
        <v>4813</v>
      </c>
      <c r="B3684" t="s">
        <v>2360</v>
      </c>
      <c r="C3684" s="9">
        <v>45021</v>
      </c>
      <c r="D3684" t="s">
        <v>946</v>
      </c>
      <c r="E3684" s="13">
        <v>5511950</v>
      </c>
      <c r="F3684" s="13">
        <v>5550</v>
      </c>
      <c r="G3684" s="9">
        <v>45023</v>
      </c>
      <c r="H3684" t="s">
        <v>1111</v>
      </c>
      <c r="I3684" t="s">
        <v>2382</v>
      </c>
      <c r="J3684" s="13">
        <v>91773</v>
      </c>
      <c r="K3684">
        <v>1</v>
      </c>
      <c r="L3684" t="s">
        <v>1064</v>
      </c>
      <c r="M3684" t="s">
        <v>2383</v>
      </c>
      <c r="N3684" s="15" t="s">
        <v>6878</v>
      </c>
    </row>
    <row r="3685" spans="1:14" x14ac:dyDescent="0.2">
      <c r="A3685" t="s">
        <v>4814</v>
      </c>
      <c r="B3685" t="s">
        <v>2360</v>
      </c>
      <c r="C3685" s="9">
        <v>45021</v>
      </c>
      <c r="D3685" t="s">
        <v>946</v>
      </c>
      <c r="E3685" s="13">
        <v>5511950</v>
      </c>
      <c r="F3685" s="13">
        <v>5550</v>
      </c>
      <c r="G3685" s="9">
        <v>45023</v>
      </c>
      <c r="H3685" t="s">
        <v>1111</v>
      </c>
      <c r="I3685" t="s">
        <v>2382</v>
      </c>
      <c r="J3685" s="13">
        <v>91773</v>
      </c>
      <c r="K3685">
        <v>1</v>
      </c>
      <c r="L3685" t="s">
        <v>1064</v>
      </c>
      <c r="M3685" t="s">
        <v>2383</v>
      </c>
      <c r="N3685" s="15" t="s">
        <v>6878</v>
      </c>
    </row>
    <row r="3686" spans="1:14" x14ac:dyDescent="0.2">
      <c r="A3686" t="s">
        <v>4815</v>
      </c>
      <c r="B3686" t="s">
        <v>2360</v>
      </c>
      <c r="C3686" s="9">
        <v>45021</v>
      </c>
      <c r="D3686" t="s">
        <v>946</v>
      </c>
      <c r="E3686" s="13">
        <v>5511950</v>
      </c>
      <c r="F3686" s="13">
        <v>5550</v>
      </c>
      <c r="G3686" s="9">
        <v>45023</v>
      </c>
      <c r="H3686" t="s">
        <v>1111</v>
      </c>
      <c r="I3686" t="s">
        <v>2382</v>
      </c>
      <c r="J3686" s="13">
        <v>91773</v>
      </c>
      <c r="K3686">
        <v>1</v>
      </c>
      <c r="L3686" t="s">
        <v>1064</v>
      </c>
      <c r="M3686" t="s">
        <v>2383</v>
      </c>
      <c r="N3686" s="15" t="s">
        <v>6878</v>
      </c>
    </row>
    <row r="3687" spans="1:14" x14ac:dyDescent="0.2">
      <c r="A3687" t="s">
        <v>4816</v>
      </c>
      <c r="B3687" t="s">
        <v>2360</v>
      </c>
      <c r="C3687" s="9">
        <v>45021</v>
      </c>
      <c r="D3687" t="s">
        <v>946</v>
      </c>
      <c r="E3687" s="13">
        <v>5511950</v>
      </c>
      <c r="F3687" s="13">
        <v>5550</v>
      </c>
      <c r="G3687" s="9">
        <v>45023</v>
      </c>
      <c r="H3687" t="s">
        <v>1111</v>
      </c>
      <c r="I3687" t="s">
        <v>2382</v>
      </c>
      <c r="J3687" s="13">
        <v>91773</v>
      </c>
      <c r="K3687">
        <v>1</v>
      </c>
      <c r="L3687" t="s">
        <v>1064</v>
      </c>
      <c r="M3687" t="s">
        <v>2383</v>
      </c>
      <c r="N3687" s="15" t="s">
        <v>6878</v>
      </c>
    </row>
    <row r="3688" spans="1:14" x14ac:dyDescent="0.2">
      <c r="A3688" t="s">
        <v>4817</v>
      </c>
      <c r="B3688" t="s">
        <v>2360</v>
      </c>
      <c r="C3688" s="9">
        <v>45021</v>
      </c>
      <c r="D3688" t="s">
        <v>946</v>
      </c>
      <c r="E3688" s="13">
        <v>9124920</v>
      </c>
      <c r="F3688" s="13">
        <v>5550</v>
      </c>
      <c r="G3688" s="9">
        <v>45023</v>
      </c>
      <c r="H3688" t="s">
        <v>1111</v>
      </c>
      <c r="I3688" t="s">
        <v>2382</v>
      </c>
      <c r="J3688" s="13">
        <v>151929</v>
      </c>
      <c r="K3688">
        <v>1</v>
      </c>
      <c r="L3688" t="s">
        <v>1064</v>
      </c>
      <c r="M3688" t="s">
        <v>2383</v>
      </c>
      <c r="N3688" s="15" t="s">
        <v>6878</v>
      </c>
    </row>
    <row r="3689" spans="1:14" x14ac:dyDescent="0.2">
      <c r="A3689" t="s">
        <v>4818</v>
      </c>
      <c r="B3689" t="s">
        <v>2360</v>
      </c>
      <c r="C3689" s="9">
        <v>45021</v>
      </c>
      <c r="D3689" t="s">
        <v>946</v>
      </c>
      <c r="E3689" s="13">
        <v>10318950</v>
      </c>
      <c r="F3689" s="13">
        <v>5550</v>
      </c>
      <c r="G3689" s="9">
        <v>45023</v>
      </c>
      <c r="H3689" t="s">
        <v>1111</v>
      </c>
      <c r="I3689" t="s">
        <v>2382</v>
      </c>
      <c r="J3689" s="13">
        <v>171810</v>
      </c>
      <c r="K3689">
        <v>1</v>
      </c>
      <c r="L3689" t="s">
        <v>1064</v>
      </c>
      <c r="M3689" t="s">
        <v>2383</v>
      </c>
      <c r="N3689" s="15" t="s">
        <v>6878</v>
      </c>
    </row>
    <row r="3690" spans="1:14" x14ac:dyDescent="0.2">
      <c r="A3690" t="s">
        <v>4819</v>
      </c>
      <c r="B3690" t="s">
        <v>2360</v>
      </c>
      <c r="C3690" s="9">
        <v>45021</v>
      </c>
      <c r="D3690" t="s">
        <v>946</v>
      </c>
      <c r="E3690" s="13">
        <v>5511950</v>
      </c>
      <c r="F3690" s="13">
        <v>5550</v>
      </c>
      <c r="G3690" s="9">
        <v>45023</v>
      </c>
      <c r="H3690" t="s">
        <v>1111</v>
      </c>
      <c r="I3690" t="s">
        <v>2382</v>
      </c>
      <c r="J3690" s="13">
        <v>91773</v>
      </c>
      <c r="K3690">
        <v>1</v>
      </c>
      <c r="L3690" t="s">
        <v>1064</v>
      </c>
      <c r="M3690" t="s">
        <v>2383</v>
      </c>
      <c r="N3690" s="15" t="s">
        <v>6878</v>
      </c>
    </row>
    <row r="3691" spans="1:14" x14ac:dyDescent="0.2">
      <c r="A3691" t="s">
        <v>4820</v>
      </c>
      <c r="B3691" t="s">
        <v>2360</v>
      </c>
      <c r="C3691" s="9">
        <v>45021</v>
      </c>
      <c r="D3691" t="s">
        <v>946</v>
      </c>
      <c r="E3691" s="13">
        <v>6549825</v>
      </c>
      <c r="F3691" s="13">
        <v>5550</v>
      </c>
      <c r="G3691" s="9">
        <v>45023</v>
      </c>
      <c r="H3691" t="s">
        <v>1111</v>
      </c>
      <c r="I3691" t="s">
        <v>2382</v>
      </c>
      <c r="J3691" s="13">
        <v>109054</v>
      </c>
      <c r="K3691">
        <v>1</v>
      </c>
      <c r="L3691" t="s">
        <v>1064</v>
      </c>
      <c r="M3691" t="s">
        <v>2383</v>
      </c>
      <c r="N3691" s="15" t="s">
        <v>6878</v>
      </c>
    </row>
    <row r="3692" spans="1:14" x14ac:dyDescent="0.2">
      <c r="A3692" t="s">
        <v>4821</v>
      </c>
      <c r="B3692" t="s">
        <v>2360</v>
      </c>
      <c r="C3692" s="9">
        <v>45021</v>
      </c>
      <c r="D3692" t="s">
        <v>946</v>
      </c>
      <c r="E3692" s="13">
        <v>6549825</v>
      </c>
      <c r="F3692" s="13">
        <v>5550</v>
      </c>
      <c r="G3692" s="9">
        <v>45023</v>
      </c>
      <c r="H3692" t="s">
        <v>1111</v>
      </c>
      <c r="I3692" t="s">
        <v>2382</v>
      </c>
      <c r="J3692" s="13">
        <v>109054</v>
      </c>
      <c r="K3692">
        <v>1</v>
      </c>
      <c r="L3692" t="s">
        <v>1064</v>
      </c>
      <c r="M3692" t="s">
        <v>2383</v>
      </c>
      <c r="N3692" s="15" t="s">
        <v>6878</v>
      </c>
    </row>
    <row r="3693" spans="1:14" x14ac:dyDescent="0.2">
      <c r="A3693" t="s">
        <v>4822</v>
      </c>
      <c r="B3693" t="s">
        <v>2360</v>
      </c>
      <c r="C3693" s="9">
        <v>45021</v>
      </c>
      <c r="D3693" t="s">
        <v>946</v>
      </c>
      <c r="E3693" s="13">
        <v>5511950</v>
      </c>
      <c r="F3693" s="13">
        <v>5550</v>
      </c>
      <c r="G3693" s="9">
        <v>45023</v>
      </c>
      <c r="H3693" t="s">
        <v>1111</v>
      </c>
      <c r="I3693" t="s">
        <v>2382</v>
      </c>
      <c r="J3693" s="13">
        <v>91773</v>
      </c>
      <c r="K3693">
        <v>1</v>
      </c>
      <c r="L3693" t="s">
        <v>1064</v>
      </c>
      <c r="M3693" t="s">
        <v>2383</v>
      </c>
      <c r="N3693" s="15" t="s">
        <v>6878</v>
      </c>
    </row>
    <row r="3694" spans="1:14" x14ac:dyDescent="0.2">
      <c r="A3694" t="s">
        <v>4823</v>
      </c>
      <c r="B3694" t="s">
        <v>2360</v>
      </c>
      <c r="C3694" s="9">
        <v>45021</v>
      </c>
      <c r="D3694" t="s">
        <v>946</v>
      </c>
      <c r="E3694" s="13">
        <v>6549825</v>
      </c>
      <c r="F3694" s="13">
        <v>5550</v>
      </c>
      <c r="G3694" s="9">
        <v>45023</v>
      </c>
      <c r="H3694" t="s">
        <v>1111</v>
      </c>
      <c r="I3694" t="s">
        <v>2382</v>
      </c>
      <c r="J3694" s="13">
        <v>109054</v>
      </c>
      <c r="K3694">
        <v>1</v>
      </c>
      <c r="L3694" t="s">
        <v>1064</v>
      </c>
      <c r="M3694" t="s">
        <v>2383</v>
      </c>
      <c r="N3694" s="15" t="s">
        <v>6878</v>
      </c>
    </row>
    <row r="3695" spans="1:14" x14ac:dyDescent="0.2">
      <c r="A3695" t="s">
        <v>4824</v>
      </c>
      <c r="B3695" t="s">
        <v>2360</v>
      </c>
      <c r="C3695" s="9">
        <v>45021</v>
      </c>
      <c r="D3695" t="s">
        <v>946</v>
      </c>
      <c r="E3695" s="13">
        <v>21262235</v>
      </c>
      <c r="F3695" s="13">
        <v>5550</v>
      </c>
      <c r="G3695" s="9">
        <v>45023</v>
      </c>
      <c r="H3695" t="s">
        <v>1111</v>
      </c>
      <c r="I3695" t="s">
        <v>2382</v>
      </c>
      <c r="J3695" s="13">
        <v>354015</v>
      </c>
      <c r="K3695">
        <v>1</v>
      </c>
      <c r="L3695" t="s">
        <v>1064</v>
      </c>
      <c r="M3695" t="s">
        <v>2383</v>
      </c>
      <c r="N3695" s="15" t="s">
        <v>6878</v>
      </c>
    </row>
    <row r="3696" spans="1:14" x14ac:dyDescent="0.2">
      <c r="A3696" t="s">
        <v>4825</v>
      </c>
      <c r="B3696" t="s">
        <v>2360</v>
      </c>
      <c r="C3696" s="9">
        <v>45021</v>
      </c>
      <c r="D3696" t="s">
        <v>946</v>
      </c>
      <c r="E3696" s="13">
        <v>5293450</v>
      </c>
      <c r="F3696" s="13">
        <v>5550</v>
      </c>
      <c r="G3696" s="9">
        <v>45023</v>
      </c>
      <c r="H3696" t="s">
        <v>1111</v>
      </c>
      <c r="I3696" t="s">
        <v>2382</v>
      </c>
      <c r="J3696" s="13">
        <v>88135</v>
      </c>
      <c r="K3696">
        <v>1</v>
      </c>
      <c r="L3696" t="s">
        <v>1064</v>
      </c>
      <c r="M3696" t="s">
        <v>2383</v>
      </c>
      <c r="N3696" s="15" t="s">
        <v>6878</v>
      </c>
    </row>
    <row r="3697" spans="1:14" x14ac:dyDescent="0.2">
      <c r="A3697" t="s">
        <v>4826</v>
      </c>
      <c r="B3697" t="s">
        <v>2360</v>
      </c>
      <c r="C3697" s="9">
        <v>45021</v>
      </c>
      <c r="D3697" t="s">
        <v>946</v>
      </c>
      <c r="E3697" s="13">
        <v>6549825</v>
      </c>
      <c r="F3697" s="13">
        <v>5550</v>
      </c>
      <c r="G3697" s="9">
        <v>45023</v>
      </c>
      <c r="H3697" t="s">
        <v>1111</v>
      </c>
      <c r="I3697" t="s">
        <v>2382</v>
      </c>
      <c r="J3697" s="13">
        <v>109054</v>
      </c>
      <c r="K3697">
        <v>1</v>
      </c>
      <c r="L3697" t="s">
        <v>1064</v>
      </c>
      <c r="M3697" t="s">
        <v>2383</v>
      </c>
      <c r="N3697" s="15" t="s">
        <v>6878</v>
      </c>
    </row>
    <row r="3698" spans="1:14" x14ac:dyDescent="0.2">
      <c r="A3698" t="s">
        <v>4827</v>
      </c>
      <c r="B3698" t="s">
        <v>2360</v>
      </c>
      <c r="C3698" s="9">
        <v>45021</v>
      </c>
      <c r="D3698" t="s">
        <v>946</v>
      </c>
      <c r="E3698" s="13">
        <v>28961140</v>
      </c>
      <c r="F3698" s="13">
        <v>5550</v>
      </c>
      <c r="G3698" s="9">
        <v>45023</v>
      </c>
      <c r="H3698" t="s">
        <v>1111</v>
      </c>
      <c r="I3698" t="s">
        <v>2382</v>
      </c>
      <c r="J3698" s="13">
        <v>482202</v>
      </c>
      <c r="K3698">
        <v>1</v>
      </c>
      <c r="L3698" t="s">
        <v>1064</v>
      </c>
      <c r="M3698" t="s">
        <v>2383</v>
      </c>
      <c r="N3698" s="15" t="s">
        <v>6878</v>
      </c>
    </row>
    <row r="3699" spans="1:14" x14ac:dyDescent="0.2">
      <c r="A3699" t="s">
        <v>4828</v>
      </c>
      <c r="B3699" t="s">
        <v>2360</v>
      </c>
      <c r="C3699" s="9">
        <v>45021</v>
      </c>
      <c r="D3699" t="s">
        <v>946</v>
      </c>
      <c r="E3699" s="13">
        <v>5511950</v>
      </c>
      <c r="F3699" s="13">
        <v>5550</v>
      </c>
      <c r="G3699" s="9">
        <v>45023</v>
      </c>
      <c r="H3699" t="s">
        <v>1111</v>
      </c>
      <c r="I3699" t="s">
        <v>2382</v>
      </c>
      <c r="J3699" s="13">
        <v>91773</v>
      </c>
      <c r="K3699">
        <v>1</v>
      </c>
      <c r="L3699" t="s">
        <v>1064</v>
      </c>
      <c r="M3699" t="s">
        <v>2383</v>
      </c>
      <c r="N3699" s="15" t="s">
        <v>6878</v>
      </c>
    </row>
    <row r="3700" spans="1:14" x14ac:dyDescent="0.2">
      <c r="A3700" t="s">
        <v>4829</v>
      </c>
      <c r="B3700" t="s">
        <v>2360</v>
      </c>
      <c r="C3700" s="9">
        <v>45021</v>
      </c>
      <c r="D3700" t="s">
        <v>946</v>
      </c>
      <c r="E3700" s="13">
        <v>5511950</v>
      </c>
      <c r="F3700" s="13">
        <v>5550</v>
      </c>
      <c r="G3700" s="9">
        <v>45023</v>
      </c>
      <c r="H3700" t="s">
        <v>1111</v>
      </c>
      <c r="I3700" t="s">
        <v>2382</v>
      </c>
      <c r="J3700" s="13">
        <v>91773</v>
      </c>
      <c r="K3700">
        <v>1</v>
      </c>
      <c r="L3700" t="s">
        <v>1064</v>
      </c>
      <c r="M3700" t="s">
        <v>2383</v>
      </c>
      <c r="N3700" s="15" t="s">
        <v>6878</v>
      </c>
    </row>
    <row r="3701" spans="1:14" x14ac:dyDescent="0.2">
      <c r="A3701" t="s">
        <v>4830</v>
      </c>
      <c r="B3701" t="s">
        <v>2360</v>
      </c>
      <c r="C3701" s="9">
        <v>45021</v>
      </c>
      <c r="D3701" t="s">
        <v>946</v>
      </c>
      <c r="E3701" s="13">
        <v>5511950</v>
      </c>
      <c r="F3701" s="13">
        <v>5550</v>
      </c>
      <c r="G3701" s="9">
        <v>45023</v>
      </c>
      <c r="H3701" t="s">
        <v>1111</v>
      </c>
      <c r="I3701" t="s">
        <v>2382</v>
      </c>
      <c r="J3701" s="13">
        <v>91773</v>
      </c>
      <c r="K3701">
        <v>1</v>
      </c>
      <c r="L3701" t="s">
        <v>1064</v>
      </c>
      <c r="M3701" t="s">
        <v>2383</v>
      </c>
      <c r="N3701" s="15" t="s">
        <v>6878</v>
      </c>
    </row>
    <row r="3702" spans="1:14" x14ac:dyDescent="0.2">
      <c r="A3702" t="s">
        <v>4831</v>
      </c>
      <c r="B3702" t="s">
        <v>2360</v>
      </c>
      <c r="C3702" s="9">
        <v>45021</v>
      </c>
      <c r="D3702" t="s">
        <v>946</v>
      </c>
      <c r="E3702" s="13">
        <v>5511950</v>
      </c>
      <c r="F3702" s="13">
        <v>5550</v>
      </c>
      <c r="G3702" s="9">
        <v>45023</v>
      </c>
      <c r="H3702" t="s">
        <v>1111</v>
      </c>
      <c r="I3702" t="s">
        <v>2382</v>
      </c>
      <c r="J3702" s="13">
        <v>91773</v>
      </c>
      <c r="K3702">
        <v>1</v>
      </c>
      <c r="L3702" t="s">
        <v>1064</v>
      </c>
      <c r="M3702" t="s">
        <v>2383</v>
      </c>
      <c r="N3702" s="15" t="s">
        <v>6878</v>
      </c>
    </row>
    <row r="3703" spans="1:14" x14ac:dyDescent="0.2">
      <c r="A3703" t="s">
        <v>4832</v>
      </c>
      <c r="B3703" t="s">
        <v>2360</v>
      </c>
      <c r="C3703" s="9">
        <v>45021</v>
      </c>
      <c r="D3703" t="s">
        <v>946</v>
      </c>
      <c r="E3703" s="13">
        <v>13541825</v>
      </c>
      <c r="F3703" s="13">
        <v>5550</v>
      </c>
      <c r="G3703" s="9">
        <v>45023</v>
      </c>
      <c r="H3703" t="s">
        <v>1111</v>
      </c>
      <c r="I3703" t="s">
        <v>2382</v>
      </c>
      <c r="J3703" s="13">
        <v>225470</v>
      </c>
      <c r="K3703">
        <v>1</v>
      </c>
      <c r="L3703" t="s">
        <v>1064</v>
      </c>
      <c r="M3703" t="s">
        <v>2383</v>
      </c>
      <c r="N3703" s="15" t="s">
        <v>6878</v>
      </c>
    </row>
    <row r="3704" spans="1:14" x14ac:dyDescent="0.2">
      <c r="A3704" t="s">
        <v>4833</v>
      </c>
      <c r="B3704" t="s">
        <v>2360</v>
      </c>
      <c r="C3704" s="9">
        <v>45021</v>
      </c>
      <c r="D3704" t="s">
        <v>946</v>
      </c>
      <c r="E3704" s="13">
        <v>5511950</v>
      </c>
      <c r="F3704" s="13">
        <v>5550</v>
      </c>
      <c r="G3704" s="9">
        <v>45023</v>
      </c>
      <c r="H3704" t="s">
        <v>1111</v>
      </c>
      <c r="I3704" t="s">
        <v>2382</v>
      </c>
      <c r="J3704" s="13">
        <v>91773</v>
      </c>
      <c r="K3704">
        <v>1</v>
      </c>
      <c r="L3704" t="s">
        <v>1064</v>
      </c>
      <c r="M3704" t="s">
        <v>2383</v>
      </c>
      <c r="N3704" s="15" t="s">
        <v>6878</v>
      </c>
    </row>
    <row r="3705" spans="1:14" x14ac:dyDescent="0.2">
      <c r="A3705" t="s">
        <v>4834</v>
      </c>
      <c r="B3705" t="s">
        <v>2360</v>
      </c>
      <c r="C3705" s="9">
        <v>45021</v>
      </c>
      <c r="D3705" t="s">
        <v>946</v>
      </c>
      <c r="E3705" s="13">
        <v>5511950</v>
      </c>
      <c r="F3705" s="13">
        <v>5550</v>
      </c>
      <c r="G3705" s="9">
        <v>45023</v>
      </c>
      <c r="H3705" t="s">
        <v>1111</v>
      </c>
      <c r="I3705" t="s">
        <v>2382</v>
      </c>
      <c r="J3705" s="13">
        <v>91773</v>
      </c>
      <c r="K3705">
        <v>1</v>
      </c>
      <c r="L3705" t="s">
        <v>1064</v>
      </c>
      <c r="M3705" t="s">
        <v>2383</v>
      </c>
      <c r="N3705" s="15" t="s">
        <v>6878</v>
      </c>
    </row>
    <row r="3706" spans="1:14" x14ac:dyDescent="0.2">
      <c r="A3706" t="s">
        <v>4835</v>
      </c>
      <c r="B3706" t="s">
        <v>2360</v>
      </c>
      <c r="C3706" s="9">
        <v>45021</v>
      </c>
      <c r="D3706" t="s">
        <v>946</v>
      </c>
      <c r="E3706" s="13">
        <v>5511950</v>
      </c>
      <c r="F3706" s="13">
        <v>5550</v>
      </c>
      <c r="G3706" s="9">
        <v>45023</v>
      </c>
      <c r="H3706" t="s">
        <v>1111</v>
      </c>
      <c r="I3706" t="s">
        <v>2382</v>
      </c>
      <c r="J3706" s="13">
        <v>91773</v>
      </c>
      <c r="K3706">
        <v>1</v>
      </c>
      <c r="L3706" t="s">
        <v>1064</v>
      </c>
      <c r="M3706" t="s">
        <v>2383</v>
      </c>
      <c r="N3706" s="15" t="s">
        <v>6878</v>
      </c>
    </row>
    <row r="3707" spans="1:14" x14ac:dyDescent="0.2">
      <c r="A3707" t="s">
        <v>4836</v>
      </c>
      <c r="B3707" t="s">
        <v>2360</v>
      </c>
      <c r="C3707" s="9">
        <v>45021</v>
      </c>
      <c r="D3707" t="s">
        <v>946</v>
      </c>
      <c r="E3707" s="13">
        <v>6549825</v>
      </c>
      <c r="F3707" s="13">
        <v>5550</v>
      </c>
      <c r="G3707" s="9">
        <v>45023</v>
      </c>
      <c r="H3707" t="s">
        <v>1111</v>
      </c>
      <c r="I3707" t="s">
        <v>2382</v>
      </c>
      <c r="J3707" s="13">
        <v>109054</v>
      </c>
      <c r="K3707">
        <v>1</v>
      </c>
      <c r="L3707" t="s">
        <v>1064</v>
      </c>
      <c r="M3707" t="s">
        <v>2383</v>
      </c>
      <c r="N3707" s="15" t="s">
        <v>6878</v>
      </c>
    </row>
    <row r="3708" spans="1:14" x14ac:dyDescent="0.2">
      <c r="A3708" t="s">
        <v>4837</v>
      </c>
      <c r="B3708" t="s">
        <v>2360</v>
      </c>
      <c r="C3708" s="9">
        <v>45021</v>
      </c>
      <c r="D3708" t="s">
        <v>946</v>
      </c>
      <c r="E3708" s="13">
        <v>5200000</v>
      </c>
      <c r="F3708" s="13">
        <v>5550</v>
      </c>
      <c r="G3708" s="9">
        <v>45023</v>
      </c>
      <c r="H3708" t="s">
        <v>1111</v>
      </c>
      <c r="I3708" t="s">
        <v>2382</v>
      </c>
      <c r="J3708" s="13">
        <v>86580</v>
      </c>
      <c r="K3708">
        <v>1</v>
      </c>
      <c r="L3708" t="s">
        <v>1064</v>
      </c>
      <c r="M3708" t="s">
        <v>2383</v>
      </c>
      <c r="N3708" s="15" t="s">
        <v>6878</v>
      </c>
    </row>
    <row r="3709" spans="1:14" x14ac:dyDescent="0.2">
      <c r="A3709" t="s">
        <v>4838</v>
      </c>
      <c r="B3709" t="s">
        <v>2360</v>
      </c>
      <c r="C3709" s="9">
        <v>45021</v>
      </c>
      <c r="D3709" t="s">
        <v>946</v>
      </c>
      <c r="E3709" s="13">
        <v>4200000</v>
      </c>
      <c r="F3709" s="13">
        <v>5550</v>
      </c>
      <c r="G3709" s="9">
        <v>45023</v>
      </c>
      <c r="H3709" t="s">
        <v>1111</v>
      </c>
      <c r="I3709" t="s">
        <v>2382</v>
      </c>
      <c r="J3709" s="13">
        <v>69930</v>
      </c>
      <c r="K3709">
        <v>1</v>
      </c>
      <c r="L3709" t="s">
        <v>1064</v>
      </c>
      <c r="M3709" t="s">
        <v>2383</v>
      </c>
      <c r="N3709" s="15" t="s">
        <v>6878</v>
      </c>
    </row>
    <row r="3710" spans="1:14" x14ac:dyDescent="0.2">
      <c r="A3710" t="s">
        <v>4839</v>
      </c>
      <c r="B3710" t="s">
        <v>2360</v>
      </c>
      <c r="C3710" s="9">
        <v>45021</v>
      </c>
      <c r="D3710" t="s">
        <v>946</v>
      </c>
      <c r="E3710" s="13">
        <v>4900000</v>
      </c>
      <c r="F3710" s="13">
        <v>5550</v>
      </c>
      <c r="G3710" s="9">
        <v>45023</v>
      </c>
      <c r="H3710" t="s">
        <v>1111</v>
      </c>
      <c r="I3710" t="s">
        <v>2382</v>
      </c>
      <c r="J3710" s="13">
        <v>81585</v>
      </c>
      <c r="K3710">
        <v>1</v>
      </c>
      <c r="L3710" t="s">
        <v>1064</v>
      </c>
      <c r="M3710" t="s">
        <v>2383</v>
      </c>
      <c r="N3710" s="15" t="s">
        <v>6878</v>
      </c>
    </row>
    <row r="3711" spans="1:14" x14ac:dyDescent="0.2">
      <c r="A3711" t="s">
        <v>4840</v>
      </c>
      <c r="B3711" t="s">
        <v>2360</v>
      </c>
      <c r="C3711" s="9">
        <v>45021</v>
      </c>
      <c r="D3711" t="s">
        <v>946</v>
      </c>
      <c r="E3711" s="13">
        <v>4900000</v>
      </c>
      <c r="F3711" s="13">
        <v>5550</v>
      </c>
      <c r="G3711" s="9">
        <v>45023</v>
      </c>
      <c r="H3711" t="s">
        <v>1111</v>
      </c>
      <c r="I3711" t="s">
        <v>2382</v>
      </c>
      <c r="J3711" s="13">
        <v>81585</v>
      </c>
      <c r="K3711">
        <v>1</v>
      </c>
      <c r="L3711" t="s">
        <v>1064</v>
      </c>
      <c r="M3711" t="s">
        <v>2383</v>
      </c>
      <c r="N3711" s="15" t="s">
        <v>6878</v>
      </c>
    </row>
    <row r="3712" spans="1:14" x14ac:dyDescent="0.2">
      <c r="A3712" t="s">
        <v>4841</v>
      </c>
      <c r="B3712" t="s">
        <v>2360</v>
      </c>
      <c r="C3712" s="9">
        <v>45021</v>
      </c>
      <c r="D3712" t="s">
        <v>946</v>
      </c>
      <c r="E3712" s="13">
        <v>4900000</v>
      </c>
      <c r="F3712" s="13">
        <v>5550</v>
      </c>
      <c r="G3712" s="9">
        <v>45023</v>
      </c>
      <c r="H3712" t="s">
        <v>1111</v>
      </c>
      <c r="I3712" t="s">
        <v>2382</v>
      </c>
      <c r="J3712" s="13">
        <v>81585</v>
      </c>
      <c r="K3712">
        <v>1</v>
      </c>
      <c r="L3712" t="s">
        <v>1064</v>
      </c>
      <c r="M3712" t="s">
        <v>2383</v>
      </c>
      <c r="N3712" s="15" t="s">
        <v>6878</v>
      </c>
    </row>
    <row r="3713" spans="1:14" x14ac:dyDescent="0.2">
      <c r="A3713" t="s">
        <v>4842</v>
      </c>
      <c r="B3713" t="s">
        <v>2360</v>
      </c>
      <c r="C3713" s="9">
        <v>45021</v>
      </c>
      <c r="D3713" t="s">
        <v>946</v>
      </c>
      <c r="E3713" s="13">
        <v>4900000</v>
      </c>
      <c r="F3713" s="13">
        <v>5550</v>
      </c>
      <c r="G3713" s="9">
        <v>45023</v>
      </c>
      <c r="H3713" t="s">
        <v>1111</v>
      </c>
      <c r="I3713" t="s">
        <v>2382</v>
      </c>
      <c r="J3713" s="13">
        <v>81585</v>
      </c>
      <c r="K3713">
        <v>1</v>
      </c>
      <c r="L3713" t="s">
        <v>1064</v>
      </c>
      <c r="M3713" t="s">
        <v>2383</v>
      </c>
      <c r="N3713" s="15" t="s">
        <v>6878</v>
      </c>
    </row>
    <row r="3714" spans="1:14" x14ac:dyDescent="0.2">
      <c r="A3714" t="s">
        <v>4843</v>
      </c>
      <c r="B3714" t="s">
        <v>2360</v>
      </c>
      <c r="C3714" s="9">
        <v>45021</v>
      </c>
      <c r="D3714" t="s">
        <v>946</v>
      </c>
      <c r="E3714" s="13">
        <v>4700000</v>
      </c>
      <c r="F3714" s="13">
        <v>5550</v>
      </c>
      <c r="G3714" s="9">
        <v>45023</v>
      </c>
      <c r="H3714" t="s">
        <v>1111</v>
      </c>
      <c r="I3714" t="s">
        <v>2382</v>
      </c>
      <c r="J3714" s="13">
        <v>78255</v>
      </c>
      <c r="K3714">
        <v>1</v>
      </c>
      <c r="L3714" t="s">
        <v>1064</v>
      </c>
      <c r="M3714" t="s">
        <v>2383</v>
      </c>
      <c r="N3714" s="15" t="s">
        <v>6878</v>
      </c>
    </row>
    <row r="3715" spans="1:14" x14ac:dyDescent="0.2">
      <c r="A3715" t="s">
        <v>4844</v>
      </c>
      <c r="B3715" t="s">
        <v>2360</v>
      </c>
      <c r="C3715" s="9">
        <v>45021</v>
      </c>
      <c r="D3715" t="s">
        <v>946</v>
      </c>
      <c r="E3715" s="13">
        <v>5200000</v>
      </c>
      <c r="F3715" s="13">
        <v>5550</v>
      </c>
      <c r="G3715" s="9">
        <v>45023</v>
      </c>
      <c r="H3715" t="s">
        <v>1111</v>
      </c>
      <c r="I3715" t="s">
        <v>2382</v>
      </c>
      <c r="J3715" s="13">
        <v>86580</v>
      </c>
      <c r="K3715">
        <v>1</v>
      </c>
      <c r="L3715" t="s">
        <v>1064</v>
      </c>
      <c r="M3715" t="s">
        <v>2383</v>
      </c>
      <c r="N3715" s="15" t="s">
        <v>6878</v>
      </c>
    </row>
    <row r="3716" spans="1:14" x14ac:dyDescent="0.2">
      <c r="A3716" t="s">
        <v>4845</v>
      </c>
      <c r="B3716" t="s">
        <v>2360</v>
      </c>
      <c r="C3716" s="9">
        <v>45021</v>
      </c>
      <c r="D3716" t="s">
        <v>946</v>
      </c>
      <c r="E3716" s="13">
        <v>4700000</v>
      </c>
      <c r="F3716" s="13">
        <v>5550</v>
      </c>
      <c r="G3716" s="9">
        <v>45023</v>
      </c>
      <c r="H3716" t="s">
        <v>1111</v>
      </c>
      <c r="I3716" t="s">
        <v>2382</v>
      </c>
      <c r="J3716" s="13">
        <v>78255</v>
      </c>
      <c r="K3716">
        <v>1</v>
      </c>
      <c r="L3716" t="s">
        <v>1064</v>
      </c>
      <c r="M3716" t="s">
        <v>2383</v>
      </c>
      <c r="N3716" s="15" t="s">
        <v>6878</v>
      </c>
    </row>
    <row r="3717" spans="1:14" x14ac:dyDescent="0.2">
      <c r="A3717" t="s">
        <v>4846</v>
      </c>
      <c r="B3717" t="s">
        <v>2360</v>
      </c>
      <c r="C3717" s="9">
        <v>45021</v>
      </c>
      <c r="D3717" t="s">
        <v>946</v>
      </c>
      <c r="E3717" s="13">
        <v>5200000</v>
      </c>
      <c r="F3717" s="13">
        <v>5550</v>
      </c>
      <c r="G3717" s="9">
        <v>45023</v>
      </c>
      <c r="H3717" t="s">
        <v>1111</v>
      </c>
      <c r="I3717" t="s">
        <v>2382</v>
      </c>
      <c r="J3717" s="13">
        <v>86580</v>
      </c>
      <c r="K3717">
        <v>1</v>
      </c>
      <c r="L3717" t="s">
        <v>1064</v>
      </c>
      <c r="M3717" t="s">
        <v>2383</v>
      </c>
      <c r="N3717" s="15" t="s">
        <v>6878</v>
      </c>
    </row>
    <row r="3718" spans="1:14" x14ac:dyDescent="0.2">
      <c r="A3718" t="s">
        <v>4847</v>
      </c>
      <c r="B3718" t="s">
        <v>2360</v>
      </c>
      <c r="C3718" s="9">
        <v>45021</v>
      </c>
      <c r="D3718" t="s">
        <v>946</v>
      </c>
      <c r="E3718" s="13">
        <v>4900000</v>
      </c>
      <c r="F3718" s="13">
        <v>5550</v>
      </c>
      <c r="G3718" s="9">
        <v>45023</v>
      </c>
      <c r="H3718" t="s">
        <v>1111</v>
      </c>
      <c r="I3718" t="s">
        <v>2382</v>
      </c>
      <c r="J3718" s="13">
        <v>81585</v>
      </c>
      <c r="K3718">
        <v>1</v>
      </c>
      <c r="L3718" t="s">
        <v>1064</v>
      </c>
      <c r="M3718" t="s">
        <v>2383</v>
      </c>
      <c r="N3718" s="15" t="s">
        <v>6878</v>
      </c>
    </row>
    <row r="3719" spans="1:14" x14ac:dyDescent="0.2">
      <c r="A3719" t="s">
        <v>4848</v>
      </c>
      <c r="B3719" t="s">
        <v>2360</v>
      </c>
      <c r="C3719" s="9">
        <v>45021</v>
      </c>
      <c r="D3719" t="s">
        <v>946</v>
      </c>
      <c r="E3719" s="13">
        <v>4700000</v>
      </c>
      <c r="F3719" s="13">
        <v>5550</v>
      </c>
      <c r="G3719" s="9">
        <v>45023</v>
      </c>
      <c r="H3719" t="s">
        <v>1111</v>
      </c>
      <c r="I3719" t="s">
        <v>2382</v>
      </c>
      <c r="J3719" s="13">
        <v>78255</v>
      </c>
      <c r="K3719">
        <v>1</v>
      </c>
      <c r="L3719" t="s">
        <v>1064</v>
      </c>
      <c r="M3719" t="s">
        <v>2383</v>
      </c>
      <c r="N3719" s="15" t="s">
        <v>6878</v>
      </c>
    </row>
    <row r="3720" spans="1:14" x14ac:dyDescent="0.2">
      <c r="A3720" t="s">
        <v>4849</v>
      </c>
      <c r="B3720" t="s">
        <v>2360</v>
      </c>
      <c r="C3720" s="9">
        <v>45021</v>
      </c>
      <c r="D3720" t="s">
        <v>946</v>
      </c>
      <c r="E3720" s="13">
        <v>4700000</v>
      </c>
      <c r="F3720" s="13">
        <v>5550</v>
      </c>
      <c r="G3720" s="9">
        <v>45023</v>
      </c>
      <c r="H3720" t="s">
        <v>1111</v>
      </c>
      <c r="I3720" t="s">
        <v>2382</v>
      </c>
      <c r="J3720" s="13">
        <v>78255</v>
      </c>
      <c r="K3720">
        <v>1</v>
      </c>
      <c r="L3720" t="s">
        <v>1064</v>
      </c>
      <c r="M3720" t="s">
        <v>2383</v>
      </c>
      <c r="N3720" s="15" t="s">
        <v>6878</v>
      </c>
    </row>
    <row r="3721" spans="1:14" x14ac:dyDescent="0.2">
      <c r="A3721" t="s">
        <v>4850</v>
      </c>
      <c r="B3721" t="s">
        <v>2360</v>
      </c>
      <c r="C3721" s="9">
        <v>45021</v>
      </c>
      <c r="D3721" t="s">
        <v>946</v>
      </c>
      <c r="E3721" s="13">
        <v>4700000</v>
      </c>
      <c r="F3721" s="13">
        <v>5550</v>
      </c>
      <c r="G3721" s="9">
        <v>45023</v>
      </c>
      <c r="H3721" t="s">
        <v>1111</v>
      </c>
      <c r="I3721" t="s">
        <v>2382</v>
      </c>
      <c r="J3721" s="13">
        <v>78255</v>
      </c>
      <c r="K3721">
        <v>1</v>
      </c>
      <c r="L3721" t="s">
        <v>1064</v>
      </c>
      <c r="M3721" t="s">
        <v>2383</v>
      </c>
      <c r="N3721" s="15" t="s">
        <v>6878</v>
      </c>
    </row>
    <row r="3722" spans="1:14" x14ac:dyDescent="0.2">
      <c r="A3722" t="s">
        <v>4851</v>
      </c>
      <c r="B3722" t="s">
        <v>2360</v>
      </c>
      <c r="C3722" s="9">
        <v>45021</v>
      </c>
      <c r="D3722" t="s">
        <v>946</v>
      </c>
      <c r="E3722" s="13">
        <v>4900000</v>
      </c>
      <c r="F3722" s="13">
        <v>5550</v>
      </c>
      <c r="G3722" s="9">
        <v>45023</v>
      </c>
      <c r="H3722" t="s">
        <v>1111</v>
      </c>
      <c r="I3722" t="s">
        <v>2382</v>
      </c>
      <c r="J3722" s="13">
        <v>81585</v>
      </c>
      <c r="K3722">
        <v>1</v>
      </c>
      <c r="L3722" t="s">
        <v>1064</v>
      </c>
      <c r="M3722" t="s">
        <v>2383</v>
      </c>
      <c r="N3722" s="15" t="s">
        <v>6878</v>
      </c>
    </row>
    <row r="3723" spans="1:14" x14ac:dyDescent="0.2">
      <c r="A3723" t="s">
        <v>4852</v>
      </c>
      <c r="B3723" t="s">
        <v>2360</v>
      </c>
      <c r="C3723" s="9">
        <v>45021</v>
      </c>
      <c r="D3723" t="s">
        <v>946</v>
      </c>
      <c r="E3723" s="13">
        <v>4900000</v>
      </c>
      <c r="F3723" s="13">
        <v>5550</v>
      </c>
      <c r="G3723" s="9">
        <v>45023</v>
      </c>
      <c r="H3723" t="s">
        <v>1111</v>
      </c>
      <c r="I3723" t="s">
        <v>2382</v>
      </c>
      <c r="J3723" s="13">
        <v>81585</v>
      </c>
      <c r="K3723">
        <v>1</v>
      </c>
      <c r="L3723" t="s">
        <v>1064</v>
      </c>
      <c r="M3723" t="s">
        <v>2383</v>
      </c>
      <c r="N3723" s="15" t="s">
        <v>6878</v>
      </c>
    </row>
    <row r="3724" spans="1:14" x14ac:dyDescent="0.2">
      <c r="A3724" t="s">
        <v>4853</v>
      </c>
      <c r="B3724" t="s">
        <v>2360</v>
      </c>
      <c r="C3724" s="9">
        <v>45021</v>
      </c>
      <c r="D3724" t="s">
        <v>946</v>
      </c>
      <c r="E3724" s="13">
        <v>4900000</v>
      </c>
      <c r="F3724" s="13">
        <v>5550</v>
      </c>
      <c r="G3724" s="9">
        <v>45023</v>
      </c>
      <c r="H3724" t="s">
        <v>1111</v>
      </c>
      <c r="I3724" t="s">
        <v>2382</v>
      </c>
      <c r="J3724" s="13">
        <v>81585</v>
      </c>
      <c r="K3724">
        <v>1</v>
      </c>
      <c r="L3724" t="s">
        <v>1064</v>
      </c>
      <c r="M3724" t="s">
        <v>2383</v>
      </c>
      <c r="N3724" s="15" t="s">
        <v>6878</v>
      </c>
    </row>
    <row r="3725" spans="1:14" x14ac:dyDescent="0.2">
      <c r="A3725" t="s">
        <v>4854</v>
      </c>
      <c r="B3725" t="s">
        <v>2360</v>
      </c>
      <c r="C3725" s="9">
        <v>45021</v>
      </c>
      <c r="D3725" t="s">
        <v>946</v>
      </c>
      <c r="E3725" s="13">
        <v>4900000</v>
      </c>
      <c r="F3725" s="13">
        <v>5550</v>
      </c>
      <c r="G3725" s="9">
        <v>45023</v>
      </c>
      <c r="H3725" t="s">
        <v>1111</v>
      </c>
      <c r="I3725" t="s">
        <v>2382</v>
      </c>
      <c r="J3725" s="13">
        <v>81585</v>
      </c>
      <c r="K3725">
        <v>1</v>
      </c>
      <c r="L3725" t="s">
        <v>1064</v>
      </c>
      <c r="M3725" t="s">
        <v>2383</v>
      </c>
      <c r="N3725" s="15" t="s">
        <v>6878</v>
      </c>
    </row>
    <row r="3726" spans="1:14" x14ac:dyDescent="0.2">
      <c r="A3726" t="s">
        <v>4855</v>
      </c>
      <c r="B3726" t="s">
        <v>2360</v>
      </c>
      <c r="C3726" s="9">
        <v>45021</v>
      </c>
      <c r="D3726" t="s">
        <v>946</v>
      </c>
      <c r="E3726" s="13">
        <v>4900000</v>
      </c>
      <c r="F3726" s="13">
        <v>5550</v>
      </c>
      <c r="G3726" s="9">
        <v>45023</v>
      </c>
      <c r="H3726" t="s">
        <v>1111</v>
      </c>
      <c r="I3726" t="s">
        <v>2382</v>
      </c>
      <c r="J3726" s="13">
        <v>81585</v>
      </c>
      <c r="K3726">
        <v>1</v>
      </c>
      <c r="L3726" t="s">
        <v>1064</v>
      </c>
      <c r="M3726" t="s">
        <v>2383</v>
      </c>
      <c r="N3726" s="15" t="s">
        <v>6878</v>
      </c>
    </row>
    <row r="3727" spans="1:14" x14ac:dyDescent="0.2">
      <c r="A3727" t="s">
        <v>4856</v>
      </c>
      <c r="B3727" t="s">
        <v>2360</v>
      </c>
      <c r="C3727" s="9">
        <v>45021</v>
      </c>
      <c r="D3727" t="s">
        <v>946</v>
      </c>
      <c r="E3727" s="13">
        <v>3600000</v>
      </c>
      <c r="F3727" s="13">
        <v>5550</v>
      </c>
      <c r="G3727" s="9">
        <v>45023</v>
      </c>
      <c r="H3727" t="s">
        <v>1111</v>
      </c>
      <c r="I3727" t="s">
        <v>2382</v>
      </c>
      <c r="J3727" s="13">
        <v>59940</v>
      </c>
      <c r="K3727">
        <v>1</v>
      </c>
      <c r="L3727" t="s">
        <v>1064</v>
      </c>
      <c r="M3727" t="s">
        <v>2383</v>
      </c>
      <c r="N3727" s="15" t="s">
        <v>6878</v>
      </c>
    </row>
    <row r="3728" spans="1:14" x14ac:dyDescent="0.2">
      <c r="A3728" t="s">
        <v>4857</v>
      </c>
      <c r="B3728" t="s">
        <v>2360</v>
      </c>
      <c r="C3728" s="9">
        <v>45021</v>
      </c>
      <c r="D3728" t="s">
        <v>946</v>
      </c>
      <c r="E3728" s="13">
        <v>2550000</v>
      </c>
      <c r="F3728" s="13">
        <v>5550</v>
      </c>
      <c r="G3728" s="9">
        <v>45023</v>
      </c>
      <c r="H3728" t="s">
        <v>1111</v>
      </c>
      <c r="I3728" t="s">
        <v>2382</v>
      </c>
      <c r="J3728" s="13">
        <v>42457</v>
      </c>
      <c r="K3728">
        <v>1</v>
      </c>
      <c r="L3728" t="s">
        <v>1064</v>
      </c>
      <c r="M3728" t="s">
        <v>2383</v>
      </c>
      <c r="N3728" s="15" t="s">
        <v>6878</v>
      </c>
    </row>
    <row r="3729" spans="1:14" x14ac:dyDescent="0.2">
      <c r="A3729" t="s">
        <v>4858</v>
      </c>
      <c r="B3729" t="s">
        <v>2360</v>
      </c>
      <c r="C3729" s="9">
        <v>45021</v>
      </c>
      <c r="D3729" t="s">
        <v>946</v>
      </c>
      <c r="E3729" s="13">
        <v>2550000</v>
      </c>
      <c r="F3729" s="13">
        <v>5550</v>
      </c>
      <c r="G3729" s="9">
        <v>45023</v>
      </c>
      <c r="H3729" t="s">
        <v>1111</v>
      </c>
      <c r="I3729" t="s">
        <v>2382</v>
      </c>
      <c r="J3729" s="13">
        <v>42457</v>
      </c>
      <c r="K3729">
        <v>1</v>
      </c>
      <c r="L3729" t="s">
        <v>1064</v>
      </c>
      <c r="M3729" t="s">
        <v>2383</v>
      </c>
      <c r="N3729" s="15" t="s">
        <v>6878</v>
      </c>
    </row>
    <row r="3730" spans="1:14" x14ac:dyDescent="0.2">
      <c r="A3730" t="s">
        <v>4859</v>
      </c>
      <c r="B3730" t="s">
        <v>2360</v>
      </c>
      <c r="C3730" s="9">
        <v>45021</v>
      </c>
      <c r="D3730" t="s">
        <v>946</v>
      </c>
      <c r="E3730" s="13">
        <v>4600000</v>
      </c>
      <c r="F3730" s="13">
        <v>5550</v>
      </c>
      <c r="G3730" s="9">
        <v>45023</v>
      </c>
      <c r="H3730" t="s">
        <v>1111</v>
      </c>
      <c r="I3730" t="s">
        <v>2382</v>
      </c>
      <c r="J3730" s="13">
        <v>76590</v>
      </c>
      <c r="K3730">
        <v>1</v>
      </c>
      <c r="L3730" t="s">
        <v>1064</v>
      </c>
      <c r="M3730" t="s">
        <v>2383</v>
      </c>
      <c r="N3730" s="15" t="s">
        <v>6878</v>
      </c>
    </row>
    <row r="3731" spans="1:14" x14ac:dyDescent="0.2">
      <c r="A3731" t="s">
        <v>4860</v>
      </c>
      <c r="B3731" t="s">
        <v>2360</v>
      </c>
      <c r="C3731" s="9">
        <v>45021</v>
      </c>
      <c r="D3731" t="s">
        <v>946</v>
      </c>
      <c r="E3731" s="13">
        <v>4600000</v>
      </c>
      <c r="F3731" s="13">
        <v>5550</v>
      </c>
      <c r="G3731" s="9">
        <v>45023</v>
      </c>
      <c r="H3731" t="s">
        <v>1111</v>
      </c>
      <c r="I3731" t="s">
        <v>2382</v>
      </c>
      <c r="J3731" s="13">
        <v>76590</v>
      </c>
      <c r="K3731">
        <v>1</v>
      </c>
      <c r="L3731" t="s">
        <v>1064</v>
      </c>
      <c r="M3731" t="s">
        <v>2383</v>
      </c>
      <c r="N3731" s="15" t="s">
        <v>6878</v>
      </c>
    </row>
    <row r="3732" spans="1:14" x14ac:dyDescent="0.2">
      <c r="A3732" t="s">
        <v>4861</v>
      </c>
      <c r="B3732" t="s">
        <v>2360</v>
      </c>
      <c r="C3732" s="9">
        <v>45021</v>
      </c>
      <c r="D3732" t="s">
        <v>946</v>
      </c>
      <c r="E3732" s="13">
        <v>4900000</v>
      </c>
      <c r="F3732" s="13">
        <v>5550</v>
      </c>
      <c r="G3732" s="9">
        <v>45023</v>
      </c>
      <c r="H3732" t="s">
        <v>1111</v>
      </c>
      <c r="I3732" t="s">
        <v>2382</v>
      </c>
      <c r="J3732" s="13">
        <v>81585</v>
      </c>
      <c r="K3732">
        <v>1</v>
      </c>
      <c r="L3732" t="s">
        <v>1064</v>
      </c>
      <c r="M3732" t="s">
        <v>2383</v>
      </c>
      <c r="N3732" s="15" t="s">
        <v>6878</v>
      </c>
    </row>
    <row r="3733" spans="1:14" x14ac:dyDescent="0.2">
      <c r="A3733" t="s">
        <v>4862</v>
      </c>
      <c r="B3733" t="s">
        <v>2360</v>
      </c>
      <c r="C3733" s="9">
        <v>45021</v>
      </c>
      <c r="D3733" t="s">
        <v>946</v>
      </c>
      <c r="E3733" s="13">
        <v>4600000</v>
      </c>
      <c r="F3733" s="13">
        <v>5550</v>
      </c>
      <c r="G3733" s="9">
        <v>45023</v>
      </c>
      <c r="H3733" t="s">
        <v>1111</v>
      </c>
      <c r="I3733" t="s">
        <v>2382</v>
      </c>
      <c r="J3733" s="13">
        <v>76590</v>
      </c>
      <c r="K3733">
        <v>1</v>
      </c>
      <c r="L3733" t="s">
        <v>1064</v>
      </c>
      <c r="M3733" t="s">
        <v>2383</v>
      </c>
      <c r="N3733" s="15" t="s">
        <v>6878</v>
      </c>
    </row>
    <row r="3734" spans="1:14" x14ac:dyDescent="0.2">
      <c r="A3734" t="s">
        <v>4863</v>
      </c>
      <c r="B3734" t="s">
        <v>2360</v>
      </c>
      <c r="C3734" s="9">
        <v>45021</v>
      </c>
      <c r="D3734" t="s">
        <v>946</v>
      </c>
      <c r="E3734" s="13">
        <v>500000</v>
      </c>
      <c r="F3734" s="13">
        <v>5550</v>
      </c>
      <c r="G3734" s="9">
        <v>45023</v>
      </c>
      <c r="H3734" t="s">
        <v>1111</v>
      </c>
      <c r="I3734" t="s">
        <v>2382</v>
      </c>
      <c r="J3734" s="13">
        <v>8325</v>
      </c>
      <c r="K3734">
        <v>1</v>
      </c>
      <c r="L3734" t="s">
        <v>1064</v>
      </c>
      <c r="M3734" t="s">
        <v>2383</v>
      </c>
      <c r="N3734" s="15" t="s">
        <v>6878</v>
      </c>
    </row>
    <row r="3735" spans="1:14" x14ac:dyDescent="0.2">
      <c r="A3735" t="s">
        <v>4864</v>
      </c>
      <c r="B3735" t="s">
        <v>2360</v>
      </c>
      <c r="C3735" s="9">
        <v>45021</v>
      </c>
      <c r="D3735" t="s">
        <v>946</v>
      </c>
      <c r="E3735" s="13">
        <v>4700000</v>
      </c>
      <c r="F3735" s="13">
        <v>5550</v>
      </c>
      <c r="G3735" s="9">
        <v>45023</v>
      </c>
      <c r="H3735" t="s">
        <v>1111</v>
      </c>
      <c r="I3735" t="s">
        <v>2382</v>
      </c>
      <c r="J3735" s="13">
        <v>78255</v>
      </c>
      <c r="K3735">
        <v>1</v>
      </c>
      <c r="L3735" t="s">
        <v>1064</v>
      </c>
      <c r="M3735" t="s">
        <v>2383</v>
      </c>
      <c r="N3735" s="15" t="s">
        <v>6878</v>
      </c>
    </row>
    <row r="3736" spans="1:14" x14ac:dyDescent="0.2">
      <c r="A3736" t="s">
        <v>4865</v>
      </c>
      <c r="B3736" t="s">
        <v>2360</v>
      </c>
      <c r="C3736" s="9">
        <v>45021</v>
      </c>
      <c r="D3736" t="s">
        <v>946</v>
      </c>
      <c r="E3736" s="13">
        <v>4700000</v>
      </c>
      <c r="F3736" s="13">
        <v>5550</v>
      </c>
      <c r="G3736" s="9">
        <v>45023</v>
      </c>
      <c r="H3736" t="s">
        <v>1111</v>
      </c>
      <c r="I3736" t="s">
        <v>2382</v>
      </c>
      <c r="J3736" s="13">
        <v>78255</v>
      </c>
      <c r="K3736">
        <v>1</v>
      </c>
      <c r="L3736" t="s">
        <v>1064</v>
      </c>
      <c r="M3736" t="s">
        <v>2383</v>
      </c>
      <c r="N3736" s="15" t="s">
        <v>6878</v>
      </c>
    </row>
    <row r="3737" spans="1:14" x14ac:dyDescent="0.2">
      <c r="A3737" t="s">
        <v>4866</v>
      </c>
      <c r="B3737" t="s">
        <v>2360</v>
      </c>
      <c r="C3737" s="9">
        <v>45021</v>
      </c>
      <c r="D3737" t="s">
        <v>946</v>
      </c>
      <c r="E3737" s="13">
        <v>4200000</v>
      </c>
      <c r="F3737" s="13">
        <v>5550</v>
      </c>
      <c r="G3737" s="9">
        <v>45023</v>
      </c>
      <c r="H3737" t="s">
        <v>1111</v>
      </c>
      <c r="I3737" t="s">
        <v>2382</v>
      </c>
      <c r="J3737" s="13">
        <v>69930</v>
      </c>
      <c r="K3737">
        <v>1</v>
      </c>
      <c r="L3737" t="s">
        <v>1064</v>
      </c>
      <c r="M3737" t="s">
        <v>2383</v>
      </c>
      <c r="N3737" s="15" t="s">
        <v>6878</v>
      </c>
    </row>
    <row r="3738" spans="1:14" x14ac:dyDescent="0.2">
      <c r="A3738" t="s">
        <v>4867</v>
      </c>
      <c r="B3738" t="s">
        <v>2360</v>
      </c>
      <c r="C3738" s="9">
        <v>45021</v>
      </c>
      <c r="D3738" t="s">
        <v>946</v>
      </c>
      <c r="E3738" s="13">
        <v>800000</v>
      </c>
      <c r="F3738" s="13">
        <v>5550</v>
      </c>
      <c r="G3738" s="9">
        <v>45023</v>
      </c>
      <c r="H3738" t="s">
        <v>1111</v>
      </c>
      <c r="I3738" t="s">
        <v>2382</v>
      </c>
      <c r="J3738" s="13">
        <v>13320</v>
      </c>
      <c r="K3738">
        <v>1</v>
      </c>
      <c r="L3738" t="s">
        <v>1064</v>
      </c>
      <c r="M3738" t="s">
        <v>2383</v>
      </c>
      <c r="N3738" s="15" t="s">
        <v>6878</v>
      </c>
    </row>
    <row r="3739" spans="1:14" x14ac:dyDescent="0.2">
      <c r="A3739" t="s">
        <v>4868</v>
      </c>
      <c r="B3739" t="s">
        <v>2360</v>
      </c>
      <c r="C3739" s="9">
        <v>45021</v>
      </c>
      <c r="D3739" t="s">
        <v>946</v>
      </c>
      <c r="E3739" s="13">
        <v>4900000</v>
      </c>
      <c r="F3739" s="13">
        <v>5550</v>
      </c>
      <c r="G3739" s="9">
        <v>45023</v>
      </c>
      <c r="H3739" t="s">
        <v>1111</v>
      </c>
      <c r="I3739" t="s">
        <v>2382</v>
      </c>
      <c r="J3739" s="13">
        <v>81585</v>
      </c>
      <c r="K3739">
        <v>1</v>
      </c>
      <c r="L3739" t="s">
        <v>1064</v>
      </c>
      <c r="M3739" t="s">
        <v>2383</v>
      </c>
      <c r="N3739" s="15" t="s">
        <v>6878</v>
      </c>
    </row>
    <row r="3740" spans="1:14" x14ac:dyDescent="0.2">
      <c r="A3740" t="s">
        <v>4869</v>
      </c>
      <c r="B3740" t="s">
        <v>2360</v>
      </c>
      <c r="C3740" s="9">
        <v>45021</v>
      </c>
      <c r="D3740" t="s">
        <v>946</v>
      </c>
      <c r="E3740" s="13">
        <v>4900000</v>
      </c>
      <c r="F3740" s="13">
        <v>5550</v>
      </c>
      <c r="G3740" s="9">
        <v>45023</v>
      </c>
      <c r="H3740" t="s">
        <v>1111</v>
      </c>
      <c r="I3740" t="s">
        <v>2382</v>
      </c>
      <c r="J3740" s="13">
        <v>81585</v>
      </c>
      <c r="K3740">
        <v>1</v>
      </c>
      <c r="L3740" t="s">
        <v>1064</v>
      </c>
      <c r="M3740" t="s">
        <v>2383</v>
      </c>
      <c r="N3740" s="15" t="s">
        <v>6878</v>
      </c>
    </row>
    <row r="3741" spans="1:14" x14ac:dyDescent="0.2">
      <c r="A3741" t="s">
        <v>4870</v>
      </c>
      <c r="B3741" t="s">
        <v>2360</v>
      </c>
      <c r="C3741" s="9">
        <v>45021</v>
      </c>
      <c r="D3741" t="s">
        <v>946</v>
      </c>
      <c r="E3741" s="13">
        <v>4700000</v>
      </c>
      <c r="F3741" s="13">
        <v>5550</v>
      </c>
      <c r="G3741" s="9">
        <v>45023</v>
      </c>
      <c r="H3741" t="s">
        <v>1111</v>
      </c>
      <c r="I3741" t="s">
        <v>2382</v>
      </c>
      <c r="J3741" s="13">
        <v>78255</v>
      </c>
      <c r="K3741">
        <v>1</v>
      </c>
      <c r="L3741" t="s">
        <v>1064</v>
      </c>
      <c r="M3741" t="s">
        <v>2383</v>
      </c>
      <c r="N3741" s="15" t="s">
        <v>6878</v>
      </c>
    </row>
    <row r="3742" spans="1:14" x14ac:dyDescent="0.2">
      <c r="A3742" t="s">
        <v>4871</v>
      </c>
      <c r="B3742" t="s">
        <v>2360</v>
      </c>
      <c r="C3742" s="9">
        <v>45021</v>
      </c>
      <c r="D3742" t="s">
        <v>946</v>
      </c>
      <c r="E3742" s="13">
        <v>4900000</v>
      </c>
      <c r="F3742" s="13">
        <v>5550</v>
      </c>
      <c r="G3742" s="9">
        <v>45023</v>
      </c>
      <c r="H3742" t="s">
        <v>1111</v>
      </c>
      <c r="I3742" t="s">
        <v>2382</v>
      </c>
      <c r="J3742" s="13">
        <v>81585</v>
      </c>
      <c r="K3742">
        <v>1</v>
      </c>
      <c r="L3742" t="s">
        <v>1064</v>
      </c>
      <c r="M3742" t="s">
        <v>2383</v>
      </c>
      <c r="N3742" s="15" t="s">
        <v>6878</v>
      </c>
    </row>
    <row r="3743" spans="1:14" x14ac:dyDescent="0.2">
      <c r="A3743" t="s">
        <v>4872</v>
      </c>
      <c r="B3743" t="s">
        <v>2360</v>
      </c>
      <c r="C3743" s="9">
        <v>45021</v>
      </c>
      <c r="D3743" t="s">
        <v>946</v>
      </c>
      <c r="E3743" s="13">
        <v>2100000</v>
      </c>
      <c r="F3743" s="13">
        <v>5550</v>
      </c>
      <c r="G3743" s="9">
        <v>45023</v>
      </c>
      <c r="H3743" t="s">
        <v>1111</v>
      </c>
      <c r="I3743" t="s">
        <v>2382</v>
      </c>
      <c r="J3743" s="13">
        <v>34965</v>
      </c>
      <c r="K3743">
        <v>1</v>
      </c>
      <c r="L3743" t="s">
        <v>1064</v>
      </c>
      <c r="M3743" t="s">
        <v>2383</v>
      </c>
      <c r="N3743" s="15" t="s">
        <v>6878</v>
      </c>
    </row>
    <row r="3744" spans="1:14" x14ac:dyDescent="0.2">
      <c r="A3744" t="s">
        <v>4873</v>
      </c>
      <c r="B3744" t="s">
        <v>2360</v>
      </c>
      <c r="C3744" s="9">
        <v>45021</v>
      </c>
      <c r="D3744" t="s">
        <v>946</v>
      </c>
      <c r="E3744" s="13">
        <v>2400000</v>
      </c>
      <c r="F3744" s="13">
        <v>5550</v>
      </c>
      <c r="G3744" s="9">
        <v>45023</v>
      </c>
      <c r="H3744" t="s">
        <v>1111</v>
      </c>
      <c r="I3744" t="s">
        <v>2382</v>
      </c>
      <c r="J3744" s="13">
        <v>39960</v>
      </c>
      <c r="K3744">
        <v>1</v>
      </c>
      <c r="L3744" t="s">
        <v>1064</v>
      </c>
      <c r="M3744" t="s">
        <v>2383</v>
      </c>
      <c r="N3744" s="15" t="s">
        <v>6878</v>
      </c>
    </row>
    <row r="3745" spans="1:14" x14ac:dyDescent="0.2">
      <c r="A3745" t="s">
        <v>4874</v>
      </c>
      <c r="B3745" t="s">
        <v>2360</v>
      </c>
      <c r="C3745" s="9">
        <v>45021</v>
      </c>
      <c r="D3745" t="s">
        <v>946</v>
      </c>
      <c r="E3745" s="13">
        <v>4200000</v>
      </c>
      <c r="F3745" s="13">
        <v>5550</v>
      </c>
      <c r="G3745" s="9">
        <v>45023</v>
      </c>
      <c r="H3745" t="s">
        <v>1111</v>
      </c>
      <c r="I3745" t="s">
        <v>2382</v>
      </c>
      <c r="J3745" s="13">
        <v>69930</v>
      </c>
      <c r="K3745">
        <v>1</v>
      </c>
      <c r="L3745" t="s">
        <v>1064</v>
      </c>
      <c r="M3745" t="s">
        <v>2383</v>
      </c>
      <c r="N3745" s="15" t="s">
        <v>6878</v>
      </c>
    </row>
    <row r="3746" spans="1:14" x14ac:dyDescent="0.2">
      <c r="A3746" t="s">
        <v>4875</v>
      </c>
      <c r="B3746" t="s">
        <v>2360</v>
      </c>
      <c r="C3746" s="9">
        <v>45021</v>
      </c>
      <c r="D3746" t="s">
        <v>946</v>
      </c>
      <c r="E3746" s="13">
        <v>2975000</v>
      </c>
      <c r="F3746" s="13">
        <v>5550</v>
      </c>
      <c r="G3746" s="9">
        <v>45023</v>
      </c>
      <c r="H3746" t="s">
        <v>1111</v>
      </c>
      <c r="I3746" t="s">
        <v>2382</v>
      </c>
      <c r="J3746" s="13">
        <v>49533</v>
      </c>
      <c r="K3746">
        <v>1</v>
      </c>
      <c r="L3746" t="s">
        <v>1064</v>
      </c>
      <c r="M3746" t="s">
        <v>2383</v>
      </c>
      <c r="N3746" s="15" t="s">
        <v>6878</v>
      </c>
    </row>
    <row r="3747" spans="1:14" x14ac:dyDescent="0.2">
      <c r="A3747" t="s">
        <v>4876</v>
      </c>
      <c r="B3747" t="s">
        <v>2360</v>
      </c>
      <c r="C3747" s="9">
        <v>45021</v>
      </c>
      <c r="D3747" t="s">
        <v>949</v>
      </c>
      <c r="E3747" s="13">
        <v>49960000</v>
      </c>
      <c r="F3747" s="13">
        <v>22200</v>
      </c>
      <c r="G3747" s="9">
        <v>45022</v>
      </c>
      <c r="H3747" t="s">
        <v>1111</v>
      </c>
      <c r="I3747" t="s">
        <v>1746</v>
      </c>
      <c r="J3747" s="13">
        <v>1386390</v>
      </c>
      <c r="K3747">
        <v>1</v>
      </c>
      <c r="L3747" t="s">
        <v>1064</v>
      </c>
      <c r="M3747" t="s">
        <v>1747</v>
      </c>
      <c r="N3747" s="15" t="s">
        <v>6878</v>
      </c>
    </row>
    <row r="3748" spans="1:14" x14ac:dyDescent="0.2">
      <c r="A3748" t="s">
        <v>4877</v>
      </c>
      <c r="B3748" t="s">
        <v>2360</v>
      </c>
      <c r="C3748" s="9">
        <v>45021</v>
      </c>
      <c r="D3748" t="s">
        <v>949</v>
      </c>
      <c r="E3748" s="13">
        <v>32000000</v>
      </c>
      <c r="F3748" s="13">
        <v>22200</v>
      </c>
      <c r="G3748" s="9">
        <v>45022</v>
      </c>
      <c r="H3748" t="s">
        <v>1111</v>
      </c>
      <c r="I3748" t="s">
        <v>1746</v>
      </c>
      <c r="J3748" s="13">
        <v>888000</v>
      </c>
      <c r="K3748">
        <v>1</v>
      </c>
      <c r="L3748" t="s">
        <v>1064</v>
      </c>
      <c r="M3748" t="s">
        <v>1747</v>
      </c>
      <c r="N3748" s="15" t="s">
        <v>6878</v>
      </c>
    </row>
    <row r="3749" spans="1:14" x14ac:dyDescent="0.2">
      <c r="A3749" t="s">
        <v>4878</v>
      </c>
      <c r="B3749" t="s">
        <v>2360</v>
      </c>
      <c r="C3749" s="9">
        <v>45021</v>
      </c>
      <c r="D3749" t="s">
        <v>949</v>
      </c>
      <c r="E3749" s="13">
        <v>39050000</v>
      </c>
      <c r="F3749" s="13">
        <v>22200</v>
      </c>
      <c r="G3749" s="9">
        <v>45022</v>
      </c>
      <c r="H3749" t="s">
        <v>1111</v>
      </c>
      <c r="I3749" t="s">
        <v>1746</v>
      </c>
      <c r="J3749" s="13">
        <v>1083637</v>
      </c>
      <c r="K3749">
        <v>1</v>
      </c>
      <c r="L3749" t="s">
        <v>1064</v>
      </c>
      <c r="M3749" t="s">
        <v>1747</v>
      </c>
      <c r="N3749" s="15" t="s">
        <v>6878</v>
      </c>
    </row>
    <row r="3750" spans="1:14" x14ac:dyDescent="0.2">
      <c r="A3750" t="s">
        <v>4879</v>
      </c>
      <c r="B3750" t="s">
        <v>2360</v>
      </c>
      <c r="C3750" s="9">
        <v>45021</v>
      </c>
      <c r="D3750" t="s">
        <v>949</v>
      </c>
      <c r="E3750" s="13">
        <v>49960000</v>
      </c>
      <c r="F3750" s="13">
        <v>22200</v>
      </c>
      <c r="G3750" s="9">
        <v>45022</v>
      </c>
      <c r="H3750" t="s">
        <v>1111</v>
      </c>
      <c r="I3750" t="s">
        <v>1746</v>
      </c>
      <c r="J3750" s="13">
        <v>1386390</v>
      </c>
      <c r="K3750">
        <v>1</v>
      </c>
      <c r="L3750" t="s">
        <v>1064</v>
      </c>
      <c r="M3750" t="s">
        <v>1747</v>
      </c>
      <c r="N3750" s="15" t="s">
        <v>6878</v>
      </c>
    </row>
    <row r="3751" spans="1:14" x14ac:dyDescent="0.2">
      <c r="A3751" t="s">
        <v>4880</v>
      </c>
      <c r="B3751" t="s">
        <v>2360</v>
      </c>
      <c r="C3751" s="9">
        <v>45021</v>
      </c>
      <c r="D3751" t="s">
        <v>949</v>
      </c>
      <c r="E3751" s="13">
        <v>54910000</v>
      </c>
      <c r="F3751" s="13">
        <v>22200</v>
      </c>
      <c r="G3751" s="9">
        <v>45022</v>
      </c>
      <c r="H3751" t="s">
        <v>1111</v>
      </c>
      <c r="I3751" t="s">
        <v>1746</v>
      </c>
      <c r="J3751" s="13">
        <v>1523752</v>
      </c>
      <c r="K3751">
        <v>1</v>
      </c>
      <c r="L3751" t="s">
        <v>1064</v>
      </c>
      <c r="M3751" t="s">
        <v>1747</v>
      </c>
      <c r="N3751" s="15" t="s">
        <v>6878</v>
      </c>
    </row>
    <row r="3752" spans="1:14" x14ac:dyDescent="0.2">
      <c r="A3752" t="s">
        <v>4881</v>
      </c>
      <c r="B3752" t="s">
        <v>2360</v>
      </c>
      <c r="C3752" s="9">
        <v>45021</v>
      </c>
      <c r="D3752" t="s">
        <v>949</v>
      </c>
      <c r="E3752" s="13">
        <v>45000000</v>
      </c>
      <c r="F3752" s="13">
        <v>22200</v>
      </c>
      <c r="G3752" s="9">
        <v>45022</v>
      </c>
      <c r="H3752" t="s">
        <v>1111</v>
      </c>
      <c r="I3752" t="s">
        <v>1746</v>
      </c>
      <c r="J3752" s="13">
        <v>1248750</v>
      </c>
      <c r="K3752">
        <v>1</v>
      </c>
      <c r="L3752" t="s">
        <v>1064</v>
      </c>
      <c r="M3752" t="s">
        <v>1747</v>
      </c>
      <c r="N3752" s="15" t="s">
        <v>6878</v>
      </c>
    </row>
    <row r="3753" spans="1:14" x14ac:dyDescent="0.2">
      <c r="A3753" t="s">
        <v>4882</v>
      </c>
      <c r="B3753" t="s">
        <v>2360</v>
      </c>
      <c r="C3753" s="9">
        <v>45021</v>
      </c>
      <c r="D3753" t="s">
        <v>946</v>
      </c>
      <c r="E3753" s="13">
        <v>1540000</v>
      </c>
      <c r="F3753" s="13">
        <v>5550</v>
      </c>
      <c r="G3753" s="9">
        <v>45024</v>
      </c>
      <c r="H3753" t="s">
        <v>1111</v>
      </c>
      <c r="I3753" t="s">
        <v>2382</v>
      </c>
      <c r="J3753" s="13">
        <v>25641</v>
      </c>
      <c r="K3753">
        <v>1</v>
      </c>
      <c r="L3753" t="s">
        <v>1064</v>
      </c>
      <c r="M3753" t="s">
        <v>2383</v>
      </c>
      <c r="N3753" s="15" t="s">
        <v>6878</v>
      </c>
    </row>
    <row r="3754" spans="1:14" x14ac:dyDescent="0.2">
      <c r="A3754" t="s">
        <v>4883</v>
      </c>
      <c r="B3754" t="s">
        <v>2360</v>
      </c>
      <c r="C3754" s="9">
        <v>45021</v>
      </c>
      <c r="D3754" t="s">
        <v>946</v>
      </c>
      <c r="E3754" s="13">
        <v>770000</v>
      </c>
      <c r="F3754" s="13">
        <v>5550</v>
      </c>
      <c r="G3754" s="9">
        <v>45024</v>
      </c>
      <c r="H3754" t="s">
        <v>1111</v>
      </c>
      <c r="I3754" t="s">
        <v>2382</v>
      </c>
      <c r="J3754" s="13">
        <v>12820</v>
      </c>
      <c r="K3754">
        <v>1</v>
      </c>
      <c r="L3754" t="s">
        <v>1064</v>
      </c>
      <c r="M3754" t="s">
        <v>2383</v>
      </c>
      <c r="N3754" s="15" t="s">
        <v>6878</v>
      </c>
    </row>
    <row r="3755" spans="1:14" x14ac:dyDescent="0.2">
      <c r="A3755" t="s">
        <v>4884</v>
      </c>
      <c r="B3755" t="s">
        <v>2360</v>
      </c>
      <c r="C3755" s="9">
        <v>45021</v>
      </c>
      <c r="D3755" t="s">
        <v>946</v>
      </c>
      <c r="E3755" s="13">
        <v>1210000</v>
      </c>
      <c r="F3755" s="13">
        <v>5550</v>
      </c>
      <c r="G3755" s="9">
        <v>45024</v>
      </c>
      <c r="H3755" t="s">
        <v>1111</v>
      </c>
      <c r="I3755" t="s">
        <v>2382</v>
      </c>
      <c r="J3755" s="13">
        <v>20146</v>
      </c>
      <c r="K3755">
        <v>1</v>
      </c>
      <c r="L3755" t="s">
        <v>1064</v>
      </c>
      <c r="M3755" t="s">
        <v>2383</v>
      </c>
      <c r="N3755" s="15" t="s">
        <v>6878</v>
      </c>
    </row>
    <row r="3756" spans="1:14" x14ac:dyDescent="0.2">
      <c r="A3756" t="s">
        <v>4885</v>
      </c>
      <c r="B3756" t="s">
        <v>2360</v>
      </c>
      <c r="C3756" s="9">
        <v>45021</v>
      </c>
      <c r="D3756" t="s">
        <v>946</v>
      </c>
      <c r="E3756" s="13">
        <v>1210000</v>
      </c>
      <c r="F3756" s="13">
        <v>5550</v>
      </c>
      <c r="G3756" s="9">
        <v>45024</v>
      </c>
      <c r="H3756" t="s">
        <v>1111</v>
      </c>
      <c r="I3756" t="s">
        <v>2382</v>
      </c>
      <c r="J3756" s="13">
        <v>20146</v>
      </c>
      <c r="K3756">
        <v>1</v>
      </c>
      <c r="L3756" t="s">
        <v>1064</v>
      </c>
      <c r="M3756" t="s">
        <v>2383</v>
      </c>
      <c r="N3756" s="15" t="s">
        <v>6878</v>
      </c>
    </row>
    <row r="3757" spans="1:14" x14ac:dyDescent="0.2">
      <c r="A3757" t="s">
        <v>4886</v>
      </c>
      <c r="B3757" t="s">
        <v>2360</v>
      </c>
      <c r="C3757" s="9">
        <v>45021</v>
      </c>
      <c r="D3757" t="s">
        <v>946</v>
      </c>
      <c r="E3757" s="13">
        <v>2090000</v>
      </c>
      <c r="F3757" s="13">
        <v>5550</v>
      </c>
      <c r="G3757" s="9">
        <v>45024</v>
      </c>
      <c r="H3757" t="s">
        <v>1111</v>
      </c>
      <c r="I3757" t="s">
        <v>2382</v>
      </c>
      <c r="J3757" s="13">
        <v>34798</v>
      </c>
      <c r="K3757">
        <v>1</v>
      </c>
      <c r="L3757" t="s">
        <v>1064</v>
      </c>
      <c r="M3757" t="s">
        <v>2383</v>
      </c>
      <c r="N3757" s="15" t="s">
        <v>6878</v>
      </c>
    </row>
    <row r="3758" spans="1:14" x14ac:dyDescent="0.2">
      <c r="A3758" t="s">
        <v>4887</v>
      </c>
      <c r="B3758" t="s">
        <v>2360</v>
      </c>
      <c r="C3758" s="9">
        <v>45021</v>
      </c>
      <c r="D3758" t="s">
        <v>946</v>
      </c>
      <c r="E3758" s="13">
        <v>1430000</v>
      </c>
      <c r="F3758" s="13">
        <v>5550</v>
      </c>
      <c r="G3758" s="9">
        <v>45024</v>
      </c>
      <c r="H3758" t="s">
        <v>1111</v>
      </c>
      <c r="I3758" t="s">
        <v>2382</v>
      </c>
      <c r="J3758" s="13">
        <v>23809</v>
      </c>
      <c r="K3758">
        <v>1</v>
      </c>
      <c r="L3758" t="s">
        <v>1064</v>
      </c>
      <c r="M3758" t="s">
        <v>2383</v>
      </c>
      <c r="N3758" s="15" t="s">
        <v>6878</v>
      </c>
    </row>
    <row r="3759" spans="1:14" x14ac:dyDescent="0.2">
      <c r="A3759" t="s">
        <v>4888</v>
      </c>
      <c r="B3759" t="s">
        <v>2360</v>
      </c>
      <c r="C3759" s="9">
        <v>45021</v>
      </c>
      <c r="D3759" t="s">
        <v>946</v>
      </c>
      <c r="E3759" s="13">
        <v>2200000</v>
      </c>
      <c r="F3759" s="13">
        <v>5550</v>
      </c>
      <c r="G3759" s="9">
        <v>45024</v>
      </c>
      <c r="H3759" t="s">
        <v>1111</v>
      </c>
      <c r="I3759" t="s">
        <v>2382</v>
      </c>
      <c r="J3759" s="13">
        <v>36630</v>
      </c>
      <c r="K3759">
        <v>1</v>
      </c>
      <c r="L3759" t="s">
        <v>1064</v>
      </c>
      <c r="M3759" t="s">
        <v>2383</v>
      </c>
      <c r="N3759" s="15" t="s">
        <v>6878</v>
      </c>
    </row>
    <row r="3760" spans="1:14" x14ac:dyDescent="0.2">
      <c r="A3760" t="s">
        <v>4889</v>
      </c>
      <c r="B3760" t="s">
        <v>2360</v>
      </c>
      <c r="C3760" s="9">
        <v>45021</v>
      </c>
      <c r="D3760" t="s">
        <v>946</v>
      </c>
      <c r="E3760" s="13">
        <v>1210000</v>
      </c>
      <c r="F3760" s="13">
        <v>5550</v>
      </c>
      <c r="G3760" s="9">
        <v>45024</v>
      </c>
      <c r="H3760" t="s">
        <v>1111</v>
      </c>
      <c r="I3760" t="s">
        <v>2382</v>
      </c>
      <c r="J3760" s="13">
        <v>20146</v>
      </c>
      <c r="K3760">
        <v>1</v>
      </c>
      <c r="L3760" t="s">
        <v>1064</v>
      </c>
      <c r="M3760" t="s">
        <v>2383</v>
      </c>
      <c r="N3760" s="15" t="s">
        <v>6878</v>
      </c>
    </row>
    <row r="3761" spans="1:14" x14ac:dyDescent="0.2">
      <c r="A3761" t="s">
        <v>4890</v>
      </c>
      <c r="B3761" t="s">
        <v>2360</v>
      </c>
      <c r="C3761" s="9">
        <v>45021</v>
      </c>
      <c r="D3761" t="s">
        <v>946</v>
      </c>
      <c r="E3761" s="13">
        <v>4180000</v>
      </c>
      <c r="F3761" s="13">
        <v>5550</v>
      </c>
      <c r="G3761" s="9">
        <v>45024</v>
      </c>
      <c r="H3761" t="s">
        <v>1111</v>
      </c>
      <c r="I3761" t="s">
        <v>2382</v>
      </c>
      <c r="J3761" s="13">
        <v>69597</v>
      </c>
      <c r="K3761">
        <v>1</v>
      </c>
      <c r="L3761" t="s">
        <v>1064</v>
      </c>
      <c r="M3761" t="s">
        <v>2383</v>
      </c>
      <c r="N3761" s="15" t="s">
        <v>6878</v>
      </c>
    </row>
    <row r="3762" spans="1:14" x14ac:dyDescent="0.2">
      <c r="A3762" t="s">
        <v>4891</v>
      </c>
      <c r="B3762" t="s">
        <v>2360</v>
      </c>
      <c r="C3762" s="9">
        <v>45021</v>
      </c>
      <c r="D3762" t="s">
        <v>946</v>
      </c>
      <c r="E3762" s="13">
        <v>9775000</v>
      </c>
      <c r="F3762" s="13">
        <v>5550</v>
      </c>
      <c r="G3762" s="9">
        <v>45024</v>
      </c>
      <c r="H3762" t="s">
        <v>1111</v>
      </c>
      <c r="I3762" t="s">
        <v>2382</v>
      </c>
      <c r="J3762" s="13">
        <v>162753</v>
      </c>
      <c r="K3762">
        <v>1</v>
      </c>
      <c r="L3762" t="s">
        <v>1064</v>
      </c>
      <c r="M3762" t="s">
        <v>2383</v>
      </c>
      <c r="N3762" s="15" t="s">
        <v>6878</v>
      </c>
    </row>
    <row r="3763" spans="1:14" x14ac:dyDescent="0.2">
      <c r="A3763" t="s">
        <v>4892</v>
      </c>
      <c r="B3763" t="s">
        <v>2360</v>
      </c>
      <c r="C3763" s="9">
        <v>45021</v>
      </c>
      <c r="D3763" t="s">
        <v>946</v>
      </c>
      <c r="E3763" s="13">
        <v>5750000</v>
      </c>
      <c r="F3763" s="13">
        <v>5550</v>
      </c>
      <c r="G3763" s="9">
        <v>45024</v>
      </c>
      <c r="H3763" t="s">
        <v>1111</v>
      </c>
      <c r="I3763" t="s">
        <v>2382</v>
      </c>
      <c r="J3763" s="13">
        <v>95737</v>
      </c>
      <c r="K3763">
        <v>1</v>
      </c>
      <c r="L3763" t="s">
        <v>1064</v>
      </c>
      <c r="M3763" t="s">
        <v>2383</v>
      </c>
      <c r="N3763" s="15" t="s">
        <v>6878</v>
      </c>
    </row>
    <row r="3764" spans="1:14" x14ac:dyDescent="0.2">
      <c r="A3764" t="s">
        <v>4893</v>
      </c>
      <c r="B3764" t="s">
        <v>2360</v>
      </c>
      <c r="C3764" s="9">
        <v>45021</v>
      </c>
      <c r="D3764" t="s">
        <v>946</v>
      </c>
      <c r="E3764" s="13">
        <v>19550000</v>
      </c>
      <c r="F3764" s="13">
        <v>5550</v>
      </c>
      <c r="G3764" s="9">
        <v>45024</v>
      </c>
      <c r="H3764" t="s">
        <v>1111</v>
      </c>
      <c r="I3764" t="s">
        <v>2382</v>
      </c>
      <c r="J3764" s="13">
        <v>325507</v>
      </c>
      <c r="K3764">
        <v>1</v>
      </c>
      <c r="L3764" t="s">
        <v>1064</v>
      </c>
      <c r="M3764" t="s">
        <v>2383</v>
      </c>
      <c r="N3764" s="15" t="s">
        <v>6878</v>
      </c>
    </row>
    <row r="3765" spans="1:14" x14ac:dyDescent="0.2">
      <c r="A3765" t="s">
        <v>4894</v>
      </c>
      <c r="B3765" t="s">
        <v>2360</v>
      </c>
      <c r="C3765" s="9">
        <v>45021</v>
      </c>
      <c r="D3765" t="s">
        <v>946</v>
      </c>
      <c r="E3765" s="13">
        <v>9775000</v>
      </c>
      <c r="F3765" s="13">
        <v>5550</v>
      </c>
      <c r="G3765" s="9">
        <v>45024</v>
      </c>
      <c r="H3765" t="s">
        <v>1111</v>
      </c>
      <c r="I3765" t="s">
        <v>2382</v>
      </c>
      <c r="J3765" s="13">
        <v>162753</v>
      </c>
      <c r="K3765">
        <v>1</v>
      </c>
      <c r="L3765" t="s">
        <v>1064</v>
      </c>
      <c r="M3765" t="s">
        <v>2383</v>
      </c>
      <c r="N3765" s="15" t="s">
        <v>6878</v>
      </c>
    </row>
    <row r="3766" spans="1:14" x14ac:dyDescent="0.2">
      <c r="A3766" t="s">
        <v>4895</v>
      </c>
      <c r="B3766" t="s">
        <v>2360</v>
      </c>
      <c r="C3766" s="9">
        <v>45021</v>
      </c>
      <c r="D3766" t="s">
        <v>946</v>
      </c>
      <c r="E3766" s="13">
        <v>7245000</v>
      </c>
      <c r="F3766" s="13">
        <v>5550</v>
      </c>
      <c r="G3766" s="9">
        <v>45024</v>
      </c>
      <c r="H3766" t="s">
        <v>1111</v>
      </c>
      <c r="I3766" t="s">
        <v>2382</v>
      </c>
      <c r="J3766" s="13">
        <v>120629</v>
      </c>
      <c r="K3766">
        <v>1</v>
      </c>
      <c r="L3766" t="s">
        <v>1064</v>
      </c>
      <c r="M3766" t="s">
        <v>2383</v>
      </c>
      <c r="N3766" s="15" t="s">
        <v>6878</v>
      </c>
    </row>
    <row r="3767" spans="1:14" x14ac:dyDescent="0.2">
      <c r="A3767" t="s">
        <v>4896</v>
      </c>
      <c r="B3767" t="s">
        <v>2360</v>
      </c>
      <c r="C3767" s="9">
        <v>45021</v>
      </c>
      <c r="D3767" t="s">
        <v>946</v>
      </c>
      <c r="E3767" s="13">
        <v>1210000</v>
      </c>
      <c r="F3767" s="13">
        <v>5550</v>
      </c>
      <c r="G3767" s="9">
        <v>45024</v>
      </c>
      <c r="H3767" t="s">
        <v>1111</v>
      </c>
      <c r="I3767" t="s">
        <v>2382</v>
      </c>
      <c r="J3767" s="13">
        <v>20146</v>
      </c>
      <c r="K3767">
        <v>1</v>
      </c>
      <c r="L3767" t="s">
        <v>1064</v>
      </c>
      <c r="M3767" t="s">
        <v>2383</v>
      </c>
      <c r="N3767" s="15" t="s">
        <v>6878</v>
      </c>
    </row>
    <row r="3768" spans="1:14" x14ac:dyDescent="0.2">
      <c r="A3768" t="s">
        <v>4897</v>
      </c>
      <c r="B3768" t="s">
        <v>2360</v>
      </c>
      <c r="C3768" s="9">
        <v>45021</v>
      </c>
      <c r="D3768" t="s">
        <v>946</v>
      </c>
      <c r="E3768" s="13">
        <v>21275000</v>
      </c>
      <c r="F3768" s="13">
        <v>5550</v>
      </c>
      <c r="G3768" s="9">
        <v>45024</v>
      </c>
      <c r="H3768" t="s">
        <v>1111</v>
      </c>
      <c r="I3768" t="s">
        <v>2382</v>
      </c>
      <c r="J3768" s="13">
        <v>354228</v>
      </c>
      <c r="K3768">
        <v>1</v>
      </c>
      <c r="L3768" t="s">
        <v>1064</v>
      </c>
      <c r="M3768" t="s">
        <v>2383</v>
      </c>
      <c r="N3768" s="15" t="s">
        <v>6878</v>
      </c>
    </row>
    <row r="3769" spans="1:14" x14ac:dyDescent="0.2">
      <c r="A3769" t="s">
        <v>4898</v>
      </c>
      <c r="B3769" t="s">
        <v>2360</v>
      </c>
      <c r="C3769" s="9">
        <v>45021</v>
      </c>
      <c r="D3769" t="s">
        <v>946</v>
      </c>
      <c r="E3769" s="13">
        <v>1210000</v>
      </c>
      <c r="F3769" s="13">
        <v>5550</v>
      </c>
      <c r="G3769" s="9">
        <v>45024</v>
      </c>
      <c r="H3769" t="s">
        <v>1111</v>
      </c>
      <c r="I3769" t="s">
        <v>2382</v>
      </c>
      <c r="J3769" s="13">
        <v>20146</v>
      </c>
      <c r="K3769">
        <v>1</v>
      </c>
      <c r="L3769" t="s">
        <v>1064</v>
      </c>
      <c r="M3769" t="s">
        <v>2383</v>
      </c>
      <c r="N3769" s="15" t="s">
        <v>6878</v>
      </c>
    </row>
    <row r="3770" spans="1:14" x14ac:dyDescent="0.2">
      <c r="A3770" t="s">
        <v>4899</v>
      </c>
      <c r="B3770" t="s">
        <v>2360</v>
      </c>
      <c r="C3770" s="9">
        <v>45021</v>
      </c>
      <c r="D3770" t="s">
        <v>946</v>
      </c>
      <c r="E3770" s="13">
        <v>2310000</v>
      </c>
      <c r="F3770" s="13">
        <v>5550</v>
      </c>
      <c r="G3770" s="9">
        <v>45024</v>
      </c>
      <c r="H3770" t="s">
        <v>1111</v>
      </c>
      <c r="I3770" t="s">
        <v>2382</v>
      </c>
      <c r="J3770" s="13">
        <v>38461</v>
      </c>
      <c r="K3770">
        <v>1</v>
      </c>
      <c r="L3770" t="s">
        <v>1064</v>
      </c>
      <c r="M3770" t="s">
        <v>2383</v>
      </c>
      <c r="N3770" s="15" t="s">
        <v>6878</v>
      </c>
    </row>
    <row r="3771" spans="1:14" x14ac:dyDescent="0.2">
      <c r="A3771" t="s">
        <v>4900</v>
      </c>
      <c r="B3771" t="s">
        <v>2360</v>
      </c>
      <c r="C3771" s="9">
        <v>45021</v>
      </c>
      <c r="D3771" t="s">
        <v>946</v>
      </c>
      <c r="E3771" s="13">
        <v>3300000</v>
      </c>
      <c r="F3771" s="13">
        <v>5550</v>
      </c>
      <c r="G3771" s="9">
        <v>45024</v>
      </c>
      <c r="H3771" t="s">
        <v>1111</v>
      </c>
      <c r="I3771" t="s">
        <v>2382</v>
      </c>
      <c r="J3771" s="13">
        <v>54945</v>
      </c>
      <c r="K3771">
        <v>1</v>
      </c>
      <c r="L3771" t="s">
        <v>1064</v>
      </c>
      <c r="M3771" t="s">
        <v>2383</v>
      </c>
      <c r="N3771" s="15" t="s">
        <v>6878</v>
      </c>
    </row>
    <row r="3772" spans="1:14" x14ac:dyDescent="0.2">
      <c r="A3772" t="s">
        <v>4901</v>
      </c>
      <c r="B3772" t="s">
        <v>2360</v>
      </c>
      <c r="C3772" s="9">
        <v>45021</v>
      </c>
      <c r="D3772" t="s">
        <v>946</v>
      </c>
      <c r="E3772" s="13">
        <v>19550000</v>
      </c>
      <c r="F3772" s="13">
        <v>5550</v>
      </c>
      <c r="G3772" s="9">
        <v>45024</v>
      </c>
      <c r="H3772" t="s">
        <v>1111</v>
      </c>
      <c r="I3772" t="s">
        <v>2382</v>
      </c>
      <c r="J3772" s="13">
        <v>325507</v>
      </c>
      <c r="K3772">
        <v>1</v>
      </c>
      <c r="L3772" t="s">
        <v>1064</v>
      </c>
      <c r="M3772" t="s">
        <v>2383</v>
      </c>
      <c r="N3772" s="15" t="s">
        <v>6878</v>
      </c>
    </row>
    <row r="3773" spans="1:14" x14ac:dyDescent="0.2">
      <c r="A3773" t="s">
        <v>4902</v>
      </c>
      <c r="B3773" t="s">
        <v>2360</v>
      </c>
      <c r="C3773" s="9">
        <v>45021</v>
      </c>
      <c r="D3773" t="s">
        <v>946</v>
      </c>
      <c r="E3773" s="13">
        <v>19550000</v>
      </c>
      <c r="F3773" s="13">
        <v>5550</v>
      </c>
      <c r="G3773" s="9">
        <v>45024</v>
      </c>
      <c r="H3773" t="s">
        <v>1111</v>
      </c>
      <c r="I3773" t="s">
        <v>2382</v>
      </c>
      <c r="J3773" s="13">
        <v>325507</v>
      </c>
      <c r="K3773">
        <v>1</v>
      </c>
      <c r="L3773" t="s">
        <v>1064</v>
      </c>
      <c r="M3773" t="s">
        <v>2383</v>
      </c>
      <c r="N3773" s="15" t="s">
        <v>6878</v>
      </c>
    </row>
    <row r="3774" spans="1:14" x14ac:dyDescent="0.2">
      <c r="A3774" t="s">
        <v>4903</v>
      </c>
      <c r="B3774" t="s">
        <v>2360</v>
      </c>
      <c r="C3774" s="9">
        <v>45021</v>
      </c>
      <c r="D3774" t="s">
        <v>946</v>
      </c>
      <c r="E3774" s="13">
        <v>30590000</v>
      </c>
      <c r="F3774" s="13">
        <v>5550</v>
      </c>
      <c r="G3774" s="9">
        <v>45024</v>
      </c>
      <c r="H3774" t="s">
        <v>1111</v>
      </c>
      <c r="I3774" t="s">
        <v>2382</v>
      </c>
      <c r="J3774" s="13">
        <v>509323</v>
      </c>
      <c r="K3774">
        <v>1</v>
      </c>
      <c r="L3774" t="s">
        <v>1064</v>
      </c>
      <c r="M3774" t="s">
        <v>2383</v>
      </c>
      <c r="N3774" s="15" t="s">
        <v>6878</v>
      </c>
    </row>
    <row r="3775" spans="1:14" x14ac:dyDescent="0.2">
      <c r="A3775" t="s">
        <v>4904</v>
      </c>
      <c r="B3775" t="s">
        <v>2360</v>
      </c>
      <c r="C3775" s="9">
        <v>45021</v>
      </c>
      <c r="D3775" t="s">
        <v>946</v>
      </c>
      <c r="E3775" s="13">
        <v>600000</v>
      </c>
      <c r="F3775" s="13">
        <v>5550</v>
      </c>
      <c r="G3775" s="9">
        <v>45024</v>
      </c>
      <c r="H3775" t="s">
        <v>1111</v>
      </c>
      <c r="I3775" t="s">
        <v>2382</v>
      </c>
      <c r="J3775" s="13">
        <v>9990</v>
      </c>
      <c r="K3775">
        <v>1</v>
      </c>
      <c r="L3775" t="s">
        <v>1064</v>
      </c>
      <c r="M3775" t="s">
        <v>2383</v>
      </c>
      <c r="N3775" s="15" t="s">
        <v>6878</v>
      </c>
    </row>
    <row r="3776" spans="1:14" x14ac:dyDescent="0.2">
      <c r="A3776" t="s">
        <v>4905</v>
      </c>
      <c r="B3776" t="s">
        <v>2360</v>
      </c>
      <c r="C3776" s="9">
        <v>45021</v>
      </c>
      <c r="D3776" t="s">
        <v>946</v>
      </c>
      <c r="E3776" s="13">
        <v>18975000</v>
      </c>
      <c r="F3776" s="13">
        <v>5550</v>
      </c>
      <c r="G3776" s="9">
        <v>45024</v>
      </c>
      <c r="H3776" t="s">
        <v>1111</v>
      </c>
      <c r="I3776" t="s">
        <v>2382</v>
      </c>
      <c r="J3776" s="13">
        <v>315933</v>
      </c>
      <c r="K3776">
        <v>1</v>
      </c>
      <c r="L3776" t="s">
        <v>1064</v>
      </c>
      <c r="M3776" t="s">
        <v>2383</v>
      </c>
      <c r="N3776" s="15" t="s">
        <v>6878</v>
      </c>
    </row>
    <row r="3777" spans="1:14" x14ac:dyDescent="0.2">
      <c r="A3777" t="s">
        <v>4906</v>
      </c>
      <c r="B3777" t="s">
        <v>2360</v>
      </c>
      <c r="C3777" s="9">
        <v>45021</v>
      </c>
      <c r="D3777" t="s">
        <v>946</v>
      </c>
      <c r="E3777" s="13">
        <v>18975000</v>
      </c>
      <c r="F3777" s="13">
        <v>5550</v>
      </c>
      <c r="G3777" s="9">
        <v>45024</v>
      </c>
      <c r="H3777" t="s">
        <v>1111</v>
      </c>
      <c r="I3777" t="s">
        <v>2382</v>
      </c>
      <c r="J3777" s="13">
        <v>315933</v>
      </c>
      <c r="K3777">
        <v>1</v>
      </c>
      <c r="L3777" t="s">
        <v>1064</v>
      </c>
      <c r="M3777" t="s">
        <v>2383</v>
      </c>
      <c r="N3777" s="15" t="s">
        <v>6878</v>
      </c>
    </row>
    <row r="3778" spans="1:14" x14ac:dyDescent="0.2">
      <c r="A3778" t="s">
        <v>4907</v>
      </c>
      <c r="B3778" t="s">
        <v>2360</v>
      </c>
      <c r="C3778" s="9">
        <v>45021</v>
      </c>
      <c r="D3778" t="s">
        <v>946</v>
      </c>
      <c r="E3778" s="13">
        <v>40250000</v>
      </c>
      <c r="F3778" s="13">
        <v>5550</v>
      </c>
      <c r="G3778" s="9">
        <v>45024</v>
      </c>
      <c r="H3778" t="s">
        <v>1111</v>
      </c>
      <c r="I3778" t="s">
        <v>2382</v>
      </c>
      <c r="J3778" s="13">
        <v>670162</v>
      </c>
      <c r="K3778">
        <v>1</v>
      </c>
      <c r="L3778" t="s">
        <v>1064</v>
      </c>
      <c r="M3778" t="s">
        <v>2383</v>
      </c>
      <c r="N3778" s="15" t="s">
        <v>6878</v>
      </c>
    </row>
    <row r="3779" spans="1:14" x14ac:dyDescent="0.2">
      <c r="A3779" t="s">
        <v>4908</v>
      </c>
      <c r="B3779" t="s">
        <v>2360</v>
      </c>
      <c r="C3779" s="9">
        <v>45021</v>
      </c>
      <c r="D3779" t="s">
        <v>946</v>
      </c>
      <c r="E3779" s="13">
        <v>15525000</v>
      </c>
      <c r="F3779" s="13">
        <v>5550</v>
      </c>
      <c r="G3779" s="9">
        <v>45024</v>
      </c>
      <c r="H3779" t="s">
        <v>1111</v>
      </c>
      <c r="I3779" t="s">
        <v>2382</v>
      </c>
      <c r="J3779" s="13">
        <v>258491</v>
      </c>
      <c r="K3779">
        <v>1</v>
      </c>
      <c r="L3779" t="s">
        <v>1064</v>
      </c>
      <c r="M3779" t="s">
        <v>2383</v>
      </c>
      <c r="N3779" s="15" t="s">
        <v>6878</v>
      </c>
    </row>
    <row r="3780" spans="1:14" x14ac:dyDescent="0.2">
      <c r="A3780" t="s">
        <v>4909</v>
      </c>
      <c r="B3780" t="s">
        <v>2360</v>
      </c>
      <c r="C3780" s="9">
        <v>45021</v>
      </c>
      <c r="D3780" t="s">
        <v>946</v>
      </c>
      <c r="E3780" s="13">
        <v>12535000</v>
      </c>
      <c r="F3780" s="13">
        <v>5550</v>
      </c>
      <c r="G3780" s="9">
        <v>45024</v>
      </c>
      <c r="H3780" t="s">
        <v>1111</v>
      </c>
      <c r="I3780" t="s">
        <v>2382</v>
      </c>
      <c r="J3780" s="13">
        <v>208707</v>
      </c>
      <c r="K3780">
        <v>1</v>
      </c>
      <c r="L3780" t="s">
        <v>1064</v>
      </c>
      <c r="M3780" t="s">
        <v>2383</v>
      </c>
      <c r="N3780" s="15" t="s">
        <v>6878</v>
      </c>
    </row>
    <row r="3781" spans="1:14" x14ac:dyDescent="0.2">
      <c r="A3781" t="s">
        <v>4910</v>
      </c>
      <c r="B3781" t="s">
        <v>2360</v>
      </c>
      <c r="C3781" s="9">
        <v>45021</v>
      </c>
      <c r="D3781" t="s">
        <v>946</v>
      </c>
      <c r="E3781" s="13">
        <v>12420000</v>
      </c>
      <c r="F3781" s="13">
        <v>5550</v>
      </c>
      <c r="G3781" s="9">
        <v>45024</v>
      </c>
      <c r="H3781" t="s">
        <v>1111</v>
      </c>
      <c r="I3781" t="s">
        <v>2382</v>
      </c>
      <c r="J3781" s="13">
        <v>206793</v>
      </c>
      <c r="K3781">
        <v>1</v>
      </c>
      <c r="L3781" t="s">
        <v>1064</v>
      </c>
      <c r="M3781" t="s">
        <v>2383</v>
      </c>
      <c r="N3781" s="15" t="s">
        <v>6878</v>
      </c>
    </row>
    <row r="3782" spans="1:14" x14ac:dyDescent="0.2">
      <c r="A3782" t="s">
        <v>4911</v>
      </c>
      <c r="B3782" t="s">
        <v>2360</v>
      </c>
      <c r="C3782" s="9">
        <v>45021</v>
      </c>
      <c r="D3782" t="s">
        <v>946</v>
      </c>
      <c r="E3782" s="13">
        <v>15985000</v>
      </c>
      <c r="F3782" s="13">
        <v>5550</v>
      </c>
      <c r="G3782" s="9">
        <v>45024</v>
      </c>
      <c r="H3782" t="s">
        <v>1111</v>
      </c>
      <c r="I3782" t="s">
        <v>2382</v>
      </c>
      <c r="J3782" s="13">
        <v>266150</v>
      </c>
      <c r="K3782">
        <v>1</v>
      </c>
      <c r="L3782" t="s">
        <v>1064</v>
      </c>
      <c r="M3782" t="s">
        <v>2383</v>
      </c>
      <c r="N3782" s="15" t="s">
        <v>6878</v>
      </c>
    </row>
    <row r="3783" spans="1:14" x14ac:dyDescent="0.2">
      <c r="A3783" t="s">
        <v>4912</v>
      </c>
      <c r="B3783" t="s">
        <v>2360</v>
      </c>
      <c r="C3783" s="9">
        <v>45021</v>
      </c>
      <c r="D3783" t="s">
        <v>946</v>
      </c>
      <c r="E3783" s="13">
        <v>16675000</v>
      </c>
      <c r="F3783" s="13">
        <v>5550</v>
      </c>
      <c r="G3783" s="9">
        <v>45024</v>
      </c>
      <c r="H3783" t="s">
        <v>1111</v>
      </c>
      <c r="I3783" t="s">
        <v>2382</v>
      </c>
      <c r="J3783" s="13">
        <v>277638</v>
      </c>
      <c r="K3783">
        <v>1</v>
      </c>
      <c r="L3783" t="s">
        <v>1064</v>
      </c>
      <c r="M3783" t="s">
        <v>2383</v>
      </c>
      <c r="N3783" s="15" t="s">
        <v>6878</v>
      </c>
    </row>
    <row r="3784" spans="1:14" x14ac:dyDescent="0.2">
      <c r="A3784" t="s">
        <v>4913</v>
      </c>
      <c r="B3784" t="s">
        <v>2360</v>
      </c>
      <c r="C3784" s="9">
        <v>45021</v>
      </c>
      <c r="D3784" t="s">
        <v>946</v>
      </c>
      <c r="E3784" s="13">
        <v>12075000</v>
      </c>
      <c r="F3784" s="13">
        <v>5550</v>
      </c>
      <c r="G3784" s="9">
        <v>45024</v>
      </c>
      <c r="H3784" t="s">
        <v>1111</v>
      </c>
      <c r="I3784" t="s">
        <v>2382</v>
      </c>
      <c r="J3784" s="13">
        <v>201048</v>
      </c>
      <c r="K3784">
        <v>1</v>
      </c>
      <c r="L3784" t="s">
        <v>1064</v>
      </c>
      <c r="M3784" t="s">
        <v>2383</v>
      </c>
      <c r="N3784" s="15" t="s">
        <v>6878</v>
      </c>
    </row>
    <row r="3785" spans="1:14" x14ac:dyDescent="0.2">
      <c r="A3785" t="s">
        <v>4914</v>
      </c>
      <c r="B3785" t="s">
        <v>2360</v>
      </c>
      <c r="C3785" s="9">
        <v>45021</v>
      </c>
      <c r="D3785" t="s">
        <v>946</v>
      </c>
      <c r="E3785" s="13">
        <v>18400000</v>
      </c>
      <c r="F3785" s="13">
        <v>5550</v>
      </c>
      <c r="G3785" s="9">
        <v>45024</v>
      </c>
      <c r="H3785" t="s">
        <v>1111</v>
      </c>
      <c r="I3785" t="s">
        <v>2382</v>
      </c>
      <c r="J3785" s="13">
        <v>306360</v>
      </c>
      <c r="K3785">
        <v>1</v>
      </c>
      <c r="L3785" t="s">
        <v>1064</v>
      </c>
      <c r="M3785" t="s">
        <v>2383</v>
      </c>
      <c r="N3785" s="15" t="s">
        <v>6878</v>
      </c>
    </row>
    <row r="3786" spans="1:14" x14ac:dyDescent="0.2">
      <c r="A3786" t="s">
        <v>4915</v>
      </c>
      <c r="B3786" t="s">
        <v>2360</v>
      </c>
      <c r="C3786" s="9">
        <v>45021</v>
      </c>
      <c r="D3786" t="s">
        <v>9</v>
      </c>
      <c r="E3786" s="13">
        <v>634050</v>
      </c>
      <c r="F3786" s="13">
        <v>22500</v>
      </c>
      <c r="H3786" t="s">
        <v>2272</v>
      </c>
      <c r="I3786" t="s">
        <v>4659</v>
      </c>
      <c r="J3786" s="13">
        <v>0</v>
      </c>
      <c r="K3786">
        <v>1</v>
      </c>
      <c r="L3786" t="s">
        <v>1064</v>
      </c>
      <c r="M3786" t="s">
        <v>4660</v>
      </c>
      <c r="N3786" s="14" t="s">
        <v>6877</v>
      </c>
    </row>
    <row r="3787" spans="1:14" x14ac:dyDescent="0.2">
      <c r="A3787" t="s">
        <v>4916</v>
      </c>
      <c r="B3787" t="s">
        <v>2360</v>
      </c>
      <c r="C3787" s="9">
        <v>45021</v>
      </c>
      <c r="D3787" t="s">
        <v>946</v>
      </c>
      <c r="E3787" s="13">
        <v>1650000</v>
      </c>
      <c r="F3787" s="13">
        <v>5550</v>
      </c>
      <c r="G3787" s="9">
        <v>45024</v>
      </c>
      <c r="H3787" t="s">
        <v>1111</v>
      </c>
      <c r="I3787" t="s">
        <v>2382</v>
      </c>
      <c r="J3787" s="13">
        <v>27472</v>
      </c>
      <c r="K3787">
        <v>1</v>
      </c>
      <c r="L3787" t="s">
        <v>1064</v>
      </c>
      <c r="M3787" t="s">
        <v>2383</v>
      </c>
      <c r="N3787" s="15" t="s">
        <v>6878</v>
      </c>
    </row>
    <row r="3788" spans="1:14" x14ac:dyDescent="0.2">
      <c r="A3788" t="s">
        <v>4917</v>
      </c>
      <c r="B3788" t="s">
        <v>2360</v>
      </c>
      <c r="C3788" s="9">
        <v>45021</v>
      </c>
      <c r="D3788" t="s">
        <v>946</v>
      </c>
      <c r="E3788" s="13">
        <v>1100000</v>
      </c>
      <c r="F3788" s="13">
        <v>5550</v>
      </c>
      <c r="G3788" s="9">
        <v>45024</v>
      </c>
      <c r="H3788" t="s">
        <v>1111</v>
      </c>
      <c r="I3788" t="s">
        <v>2382</v>
      </c>
      <c r="J3788" s="13">
        <v>18315</v>
      </c>
      <c r="K3788">
        <v>1</v>
      </c>
      <c r="L3788" t="s">
        <v>1064</v>
      </c>
      <c r="M3788" t="s">
        <v>2383</v>
      </c>
      <c r="N3788" s="15" t="s">
        <v>6878</v>
      </c>
    </row>
    <row r="3789" spans="1:14" x14ac:dyDescent="0.2">
      <c r="A3789" t="s">
        <v>4918</v>
      </c>
      <c r="B3789" t="s">
        <v>2360</v>
      </c>
      <c r="C3789" s="9">
        <v>45021</v>
      </c>
      <c r="D3789" t="s">
        <v>946</v>
      </c>
      <c r="E3789" s="13">
        <v>2970000</v>
      </c>
      <c r="F3789" s="13">
        <v>5550</v>
      </c>
      <c r="G3789" s="9">
        <v>45024</v>
      </c>
      <c r="H3789" t="s">
        <v>1111</v>
      </c>
      <c r="I3789" t="s">
        <v>2382</v>
      </c>
      <c r="J3789" s="13">
        <v>49450</v>
      </c>
      <c r="K3789">
        <v>1</v>
      </c>
      <c r="L3789" t="s">
        <v>1064</v>
      </c>
      <c r="M3789" t="s">
        <v>2383</v>
      </c>
      <c r="N3789" s="15" t="s">
        <v>6878</v>
      </c>
    </row>
    <row r="3790" spans="1:14" x14ac:dyDescent="0.2">
      <c r="A3790" t="s">
        <v>4919</v>
      </c>
      <c r="B3790" t="s">
        <v>2360</v>
      </c>
      <c r="C3790" s="9">
        <v>45021</v>
      </c>
      <c r="D3790" t="s">
        <v>946</v>
      </c>
      <c r="E3790" s="13">
        <v>1730000</v>
      </c>
      <c r="F3790" s="13">
        <v>5550</v>
      </c>
      <c r="G3790" s="9">
        <v>45024</v>
      </c>
      <c r="H3790" t="s">
        <v>1111</v>
      </c>
      <c r="I3790" t="s">
        <v>2382</v>
      </c>
      <c r="J3790" s="13">
        <v>28804</v>
      </c>
      <c r="K3790">
        <v>1</v>
      </c>
      <c r="L3790" t="s">
        <v>1064</v>
      </c>
      <c r="M3790" t="s">
        <v>2383</v>
      </c>
      <c r="N3790" s="15" t="s">
        <v>6878</v>
      </c>
    </row>
    <row r="3791" spans="1:14" x14ac:dyDescent="0.2">
      <c r="A3791" t="s">
        <v>4920</v>
      </c>
      <c r="B3791" t="s">
        <v>2360</v>
      </c>
      <c r="C3791" s="9">
        <v>45021</v>
      </c>
      <c r="D3791" t="s">
        <v>946</v>
      </c>
      <c r="E3791" s="13">
        <v>13110000</v>
      </c>
      <c r="F3791" s="13">
        <v>5550</v>
      </c>
      <c r="G3791" s="9">
        <v>45024</v>
      </c>
      <c r="H3791" t="s">
        <v>1111</v>
      </c>
      <c r="I3791" t="s">
        <v>2382</v>
      </c>
      <c r="J3791" s="13">
        <v>218281</v>
      </c>
      <c r="K3791">
        <v>1</v>
      </c>
      <c r="L3791" t="s">
        <v>1064</v>
      </c>
      <c r="M3791" t="s">
        <v>2383</v>
      </c>
      <c r="N3791" s="15" t="s">
        <v>6878</v>
      </c>
    </row>
    <row r="3792" spans="1:14" x14ac:dyDescent="0.2">
      <c r="A3792" t="s">
        <v>4921</v>
      </c>
      <c r="B3792" t="s">
        <v>2360</v>
      </c>
      <c r="C3792" s="9">
        <v>45021</v>
      </c>
      <c r="D3792" t="s">
        <v>946</v>
      </c>
      <c r="E3792" s="13">
        <v>12420000</v>
      </c>
      <c r="F3792" s="13">
        <v>5550</v>
      </c>
      <c r="G3792" s="9">
        <v>45024</v>
      </c>
      <c r="H3792" t="s">
        <v>1111</v>
      </c>
      <c r="I3792" t="s">
        <v>2382</v>
      </c>
      <c r="J3792" s="13">
        <v>206793</v>
      </c>
      <c r="K3792">
        <v>1</v>
      </c>
      <c r="L3792" t="s">
        <v>1064</v>
      </c>
      <c r="M3792" t="s">
        <v>2383</v>
      </c>
      <c r="N3792" s="15" t="s">
        <v>6878</v>
      </c>
    </row>
    <row r="3793" spans="1:14" x14ac:dyDescent="0.2">
      <c r="A3793" t="s">
        <v>4922</v>
      </c>
      <c r="B3793" t="s">
        <v>2360</v>
      </c>
      <c r="C3793" s="9">
        <v>45021</v>
      </c>
      <c r="D3793" t="s">
        <v>946</v>
      </c>
      <c r="E3793" s="13">
        <v>2750000</v>
      </c>
      <c r="F3793" s="13">
        <v>5550</v>
      </c>
      <c r="G3793" s="9">
        <v>45024</v>
      </c>
      <c r="H3793" t="s">
        <v>1111</v>
      </c>
      <c r="I3793" t="s">
        <v>2382</v>
      </c>
      <c r="J3793" s="13">
        <v>45787</v>
      </c>
      <c r="K3793">
        <v>1</v>
      </c>
      <c r="L3793" t="s">
        <v>1064</v>
      </c>
      <c r="M3793" t="s">
        <v>2383</v>
      </c>
      <c r="N3793" s="15" t="s">
        <v>6878</v>
      </c>
    </row>
    <row r="3794" spans="1:14" x14ac:dyDescent="0.2">
      <c r="A3794" t="s">
        <v>4923</v>
      </c>
      <c r="B3794" t="s">
        <v>2360</v>
      </c>
      <c r="C3794" s="9">
        <v>45021</v>
      </c>
      <c r="D3794" t="s">
        <v>946</v>
      </c>
      <c r="E3794" s="13">
        <v>3300000</v>
      </c>
      <c r="F3794" s="13">
        <v>5550</v>
      </c>
      <c r="G3794" s="9">
        <v>45024</v>
      </c>
      <c r="H3794" t="s">
        <v>1111</v>
      </c>
      <c r="I3794" t="s">
        <v>2382</v>
      </c>
      <c r="J3794" s="13">
        <v>54945</v>
      </c>
      <c r="K3794">
        <v>1</v>
      </c>
      <c r="L3794" t="s">
        <v>1064</v>
      </c>
      <c r="M3794" t="s">
        <v>2383</v>
      </c>
      <c r="N3794" s="15" t="s">
        <v>6878</v>
      </c>
    </row>
    <row r="3795" spans="1:14" x14ac:dyDescent="0.2">
      <c r="A3795" t="s">
        <v>4924</v>
      </c>
      <c r="B3795" t="s">
        <v>2360</v>
      </c>
      <c r="C3795" s="9">
        <v>45021</v>
      </c>
      <c r="D3795" t="s">
        <v>946</v>
      </c>
      <c r="E3795" s="13">
        <v>12075000</v>
      </c>
      <c r="F3795" s="13">
        <v>5550</v>
      </c>
      <c r="G3795" s="9">
        <v>45024</v>
      </c>
      <c r="H3795" t="s">
        <v>1111</v>
      </c>
      <c r="I3795" t="s">
        <v>2382</v>
      </c>
      <c r="J3795" s="13">
        <v>201048</v>
      </c>
      <c r="K3795">
        <v>1</v>
      </c>
      <c r="L3795" t="s">
        <v>1064</v>
      </c>
      <c r="M3795" t="s">
        <v>2383</v>
      </c>
      <c r="N3795" s="15" t="s">
        <v>6878</v>
      </c>
    </row>
    <row r="3796" spans="1:14" x14ac:dyDescent="0.2">
      <c r="A3796" t="s">
        <v>4925</v>
      </c>
      <c r="B3796" t="s">
        <v>2360</v>
      </c>
      <c r="C3796" s="9">
        <v>45021</v>
      </c>
      <c r="D3796" t="s">
        <v>946</v>
      </c>
      <c r="E3796" s="13">
        <v>15525000</v>
      </c>
      <c r="F3796" s="13">
        <v>5550</v>
      </c>
      <c r="G3796" s="9">
        <v>45024</v>
      </c>
      <c r="H3796" t="s">
        <v>1111</v>
      </c>
      <c r="I3796" t="s">
        <v>2382</v>
      </c>
      <c r="J3796" s="13">
        <v>258491</v>
      </c>
      <c r="K3796">
        <v>1</v>
      </c>
      <c r="L3796" t="s">
        <v>1064</v>
      </c>
      <c r="M3796" t="s">
        <v>2383</v>
      </c>
      <c r="N3796" s="15" t="s">
        <v>6878</v>
      </c>
    </row>
    <row r="3797" spans="1:14" x14ac:dyDescent="0.2">
      <c r="A3797" t="s">
        <v>4926</v>
      </c>
      <c r="B3797" t="s">
        <v>2360</v>
      </c>
      <c r="C3797" s="9">
        <v>45021</v>
      </c>
      <c r="D3797" t="s">
        <v>946</v>
      </c>
      <c r="E3797" s="13">
        <v>12535000</v>
      </c>
      <c r="F3797" s="13">
        <v>5550</v>
      </c>
      <c r="G3797" s="9">
        <v>45024</v>
      </c>
      <c r="H3797" t="s">
        <v>1111</v>
      </c>
      <c r="I3797" t="s">
        <v>2382</v>
      </c>
      <c r="J3797" s="13">
        <v>208707</v>
      </c>
      <c r="K3797">
        <v>1</v>
      </c>
      <c r="L3797" t="s">
        <v>1064</v>
      </c>
      <c r="M3797" t="s">
        <v>2383</v>
      </c>
      <c r="N3797" s="15" t="s">
        <v>6878</v>
      </c>
    </row>
    <row r="3798" spans="1:14" x14ac:dyDescent="0.2">
      <c r="A3798" t="s">
        <v>4927</v>
      </c>
      <c r="B3798" t="s">
        <v>2360</v>
      </c>
      <c r="C3798" s="9">
        <v>45021</v>
      </c>
      <c r="D3798" t="s">
        <v>946</v>
      </c>
      <c r="E3798" s="13">
        <v>12420000</v>
      </c>
      <c r="F3798" s="13">
        <v>5550</v>
      </c>
      <c r="G3798" s="9">
        <v>45024</v>
      </c>
      <c r="H3798" t="s">
        <v>1111</v>
      </c>
      <c r="I3798" t="s">
        <v>2382</v>
      </c>
      <c r="J3798" s="13">
        <v>206793</v>
      </c>
      <c r="K3798">
        <v>1</v>
      </c>
      <c r="L3798" t="s">
        <v>1064</v>
      </c>
      <c r="M3798" t="s">
        <v>2383</v>
      </c>
      <c r="N3798" s="15" t="s">
        <v>6878</v>
      </c>
    </row>
    <row r="3799" spans="1:14" x14ac:dyDescent="0.2">
      <c r="A3799" t="s">
        <v>4928</v>
      </c>
      <c r="B3799" t="s">
        <v>2360</v>
      </c>
      <c r="C3799" s="9">
        <v>45021</v>
      </c>
      <c r="D3799" t="s">
        <v>946</v>
      </c>
      <c r="E3799" s="13">
        <v>18975000</v>
      </c>
      <c r="F3799" s="13">
        <v>5550</v>
      </c>
      <c r="G3799" s="9">
        <v>45024</v>
      </c>
      <c r="H3799" t="s">
        <v>1111</v>
      </c>
      <c r="I3799" t="s">
        <v>2382</v>
      </c>
      <c r="J3799" s="13">
        <v>315933</v>
      </c>
      <c r="K3799">
        <v>1</v>
      </c>
      <c r="L3799" t="s">
        <v>1064</v>
      </c>
      <c r="M3799" t="s">
        <v>2383</v>
      </c>
      <c r="N3799" s="15" t="s">
        <v>6878</v>
      </c>
    </row>
    <row r="3800" spans="1:14" x14ac:dyDescent="0.2">
      <c r="A3800" t="s">
        <v>4929</v>
      </c>
      <c r="B3800" t="s">
        <v>2360</v>
      </c>
      <c r="C3800" s="9">
        <v>45021</v>
      </c>
      <c r="D3800" t="s">
        <v>946</v>
      </c>
      <c r="E3800" s="13">
        <v>4290000</v>
      </c>
      <c r="F3800" s="13">
        <v>5550</v>
      </c>
      <c r="G3800" s="9">
        <v>45024</v>
      </c>
      <c r="H3800" t="s">
        <v>1111</v>
      </c>
      <c r="I3800" t="s">
        <v>2382</v>
      </c>
      <c r="J3800" s="13">
        <v>71428</v>
      </c>
      <c r="K3800">
        <v>1</v>
      </c>
      <c r="L3800" t="s">
        <v>1064</v>
      </c>
      <c r="M3800" t="s">
        <v>2383</v>
      </c>
      <c r="N3800" s="15" t="s">
        <v>6878</v>
      </c>
    </row>
    <row r="3801" spans="1:14" x14ac:dyDescent="0.2">
      <c r="A3801" t="s">
        <v>4930</v>
      </c>
      <c r="B3801" t="s">
        <v>2360</v>
      </c>
      <c r="C3801" s="9">
        <v>45021</v>
      </c>
      <c r="D3801" t="s">
        <v>946</v>
      </c>
      <c r="E3801" s="13">
        <v>19550000</v>
      </c>
      <c r="F3801" s="13">
        <v>5550</v>
      </c>
      <c r="G3801" s="9">
        <v>45024</v>
      </c>
      <c r="H3801" t="s">
        <v>1111</v>
      </c>
      <c r="I3801" t="s">
        <v>2382</v>
      </c>
      <c r="J3801" s="13">
        <v>325507</v>
      </c>
      <c r="K3801">
        <v>1</v>
      </c>
      <c r="L3801" t="s">
        <v>1064</v>
      </c>
      <c r="M3801" t="s">
        <v>2383</v>
      </c>
      <c r="N3801" s="15" t="s">
        <v>6878</v>
      </c>
    </row>
    <row r="3802" spans="1:14" x14ac:dyDescent="0.2">
      <c r="A3802" t="s">
        <v>4931</v>
      </c>
      <c r="B3802" t="s">
        <v>2360</v>
      </c>
      <c r="C3802" s="9">
        <v>45021</v>
      </c>
      <c r="D3802" t="s">
        <v>946</v>
      </c>
      <c r="E3802" s="13">
        <v>880000</v>
      </c>
      <c r="F3802" s="13">
        <v>5550</v>
      </c>
      <c r="G3802" s="9">
        <v>45024</v>
      </c>
      <c r="H3802" t="s">
        <v>1111</v>
      </c>
      <c r="I3802" t="s">
        <v>2382</v>
      </c>
      <c r="J3802" s="13">
        <v>14652</v>
      </c>
      <c r="K3802">
        <v>1</v>
      </c>
      <c r="L3802" t="s">
        <v>1064</v>
      </c>
      <c r="M3802" t="s">
        <v>2383</v>
      </c>
      <c r="N3802" s="15" t="s">
        <v>6878</v>
      </c>
    </row>
    <row r="3803" spans="1:14" x14ac:dyDescent="0.2">
      <c r="A3803" t="s">
        <v>4932</v>
      </c>
      <c r="B3803" t="s">
        <v>2360</v>
      </c>
      <c r="C3803" s="9">
        <v>45021</v>
      </c>
      <c r="D3803" t="s">
        <v>946</v>
      </c>
      <c r="E3803" s="13">
        <v>13110000</v>
      </c>
      <c r="F3803" s="13">
        <v>5550</v>
      </c>
      <c r="G3803" s="9">
        <v>45030</v>
      </c>
      <c r="H3803" t="s">
        <v>1111</v>
      </c>
      <c r="I3803" t="s">
        <v>2382</v>
      </c>
      <c r="J3803" s="13">
        <v>654844</v>
      </c>
      <c r="K3803">
        <v>1</v>
      </c>
      <c r="L3803" t="s">
        <v>1064</v>
      </c>
      <c r="M3803" t="s">
        <v>2383</v>
      </c>
      <c r="N3803" s="15" t="s">
        <v>6878</v>
      </c>
    </row>
    <row r="3804" spans="1:14" x14ac:dyDescent="0.2">
      <c r="A3804" t="s">
        <v>4933</v>
      </c>
      <c r="B3804" t="s">
        <v>2360</v>
      </c>
      <c r="C3804" s="9">
        <v>45021</v>
      </c>
      <c r="D3804" t="s">
        <v>946</v>
      </c>
      <c r="E3804" s="13">
        <v>18975000</v>
      </c>
      <c r="F3804" s="13">
        <v>5550</v>
      </c>
      <c r="G3804" s="9">
        <v>45030</v>
      </c>
      <c r="H3804" t="s">
        <v>1111</v>
      </c>
      <c r="I3804" t="s">
        <v>2382</v>
      </c>
      <c r="J3804" s="13">
        <v>947801</v>
      </c>
      <c r="K3804">
        <v>1</v>
      </c>
      <c r="L3804" t="s">
        <v>1064</v>
      </c>
      <c r="M3804" t="s">
        <v>2383</v>
      </c>
      <c r="N3804" s="15" t="s">
        <v>6878</v>
      </c>
    </row>
    <row r="3805" spans="1:14" x14ac:dyDescent="0.2">
      <c r="A3805" t="s">
        <v>4934</v>
      </c>
      <c r="B3805" t="s">
        <v>2360</v>
      </c>
      <c r="C3805" s="9">
        <v>45021</v>
      </c>
      <c r="D3805" t="s">
        <v>946</v>
      </c>
      <c r="E3805" s="13">
        <v>14950000</v>
      </c>
      <c r="F3805" s="13">
        <v>5550</v>
      </c>
      <c r="G3805" s="9">
        <v>45030</v>
      </c>
      <c r="H3805" t="s">
        <v>1111</v>
      </c>
      <c r="I3805" t="s">
        <v>2382</v>
      </c>
      <c r="J3805" s="13">
        <v>746752</v>
      </c>
      <c r="K3805">
        <v>1</v>
      </c>
      <c r="L3805" t="s">
        <v>1064</v>
      </c>
      <c r="M3805" t="s">
        <v>2383</v>
      </c>
      <c r="N3805" s="15" t="s">
        <v>6878</v>
      </c>
    </row>
    <row r="3806" spans="1:14" x14ac:dyDescent="0.2">
      <c r="A3806" t="s">
        <v>4935</v>
      </c>
      <c r="B3806" t="s">
        <v>2360</v>
      </c>
      <c r="C3806" s="9">
        <v>45021</v>
      </c>
      <c r="D3806" t="s">
        <v>946</v>
      </c>
      <c r="E3806" s="13">
        <v>19550000</v>
      </c>
      <c r="F3806" s="13">
        <v>5550</v>
      </c>
      <c r="G3806" s="9">
        <v>45030</v>
      </c>
      <c r="H3806" t="s">
        <v>1111</v>
      </c>
      <c r="I3806" t="s">
        <v>2382</v>
      </c>
      <c r="J3806" s="13">
        <v>976522</v>
      </c>
      <c r="K3806">
        <v>1</v>
      </c>
      <c r="L3806" t="s">
        <v>1064</v>
      </c>
      <c r="M3806" t="s">
        <v>2383</v>
      </c>
      <c r="N3806" s="15" t="s">
        <v>6878</v>
      </c>
    </row>
    <row r="3807" spans="1:14" x14ac:dyDescent="0.2">
      <c r="A3807" t="s">
        <v>4936</v>
      </c>
      <c r="B3807" t="s">
        <v>2360</v>
      </c>
      <c r="C3807" s="9">
        <v>45021</v>
      </c>
      <c r="D3807" t="s">
        <v>946</v>
      </c>
      <c r="E3807" s="13">
        <v>14950000</v>
      </c>
      <c r="F3807" s="13">
        <v>5550</v>
      </c>
      <c r="G3807" s="9">
        <v>45030</v>
      </c>
      <c r="H3807" t="s">
        <v>1111</v>
      </c>
      <c r="I3807" t="s">
        <v>2382</v>
      </c>
      <c r="J3807" s="13">
        <v>746752</v>
      </c>
      <c r="K3807">
        <v>1</v>
      </c>
      <c r="L3807" t="s">
        <v>1064</v>
      </c>
      <c r="M3807" t="s">
        <v>2383</v>
      </c>
      <c r="N3807" s="15" t="s">
        <v>6878</v>
      </c>
    </row>
    <row r="3808" spans="1:14" x14ac:dyDescent="0.2">
      <c r="A3808" t="s">
        <v>4937</v>
      </c>
      <c r="B3808" t="s">
        <v>2360</v>
      </c>
      <c r="C3808" s="9">
        <v>45021</v>
      </c>
      <c r="D3808" t="s">
        <v>946</v>
      </c>
      <c r="E3808" s="13">
        <v>19550000</v>
      </c>
      <c r="F3808" s="13">
        <v>5550</v>
      </c>
      <c r="G3808" s="9">
        <v>45030</v>
      </c>
      <c r="H3808" t="s">
        <v>1111</v>
      </c>
      <c r="I3808" t="s">
        <v>2382</v>
      </c>
      <c r="J3808" s="13">
        <v>976522</v>
      </c>
      <c r="K3808">
        <v>1</v>
      </c>
      <c r="L3808" t="s">
        <v>1064</v>
      </c>
      <c r="M3808" t="s">
        <v>2383</v>
      </c>
      <c r="N3808" s="15" t="s">
        <v>6878</v>
      </c>
    </row>
    <row r="3809" spans="1:14" x14ac:dyDescent="0.2">
      <c r="A3809" t="s">
        <v>4938</v>
      </c>
      <c r="B3809" t="s">
        <v>2360</v>
      </c>
      <c r="C3809" s="9">
        <v>45021</v>
      </c>
      <c r="D3809" t="s">
        <v>946</v>
      </c>
      <c r="E3809" s="13">
        <v>15677064</v>
      </c>
      <c r="F3809" s="13">
        <v>5550</v>
      </c>
      <c r="G3809" s="9">
        <v>45023</v>
      </c>
      <c r="H3809" t="s">
        <v>1111</v>
      </c>
      <c r="I3809" t="s">
        <v>2382</v>
      </c>
      <c r="J3809" s="13">
        <v>261022</v>
      </c>
      <c r="K3809">
        <v>1</v>
      </c>
      <c r="L3809" t="s">
        <v>1064</v>
      </c>
      <c r="M3809" t="s">
        <v>2383</v>
      </c>
      <c r="N3809" s="15" t="s">
        <v>6878</v>
      </c>
    </row>
    <row r="3810" spans="1:14" x14ac:dyDescent="0.2">
      <c r="A3810" t="s">
        <v>4939</v>
      </c>
      <c r="B3810" t="s">
        <v>2360</v>
      </c>
      <c r="C3810" s="9">
        <v>45021</v>
      </c>
      <c r="D3810" t="s">
        <v>946</v>
      </c>
      <c r="E3810" s="13">
        <v>25952528</v>
      </c>
      <c r="F3810" s="13">
        <v>5550</v>
      </c>
      <c r="G3810" s="9">
        <v>45023</v>
      </c>
      <c r="H3810" t="s">
        <v>1111</v>
      </c>
      <c r="I3810" t="s">
        <v>2382</v>
      </c>
      <c r="J3810" s="13">
        <v>432108</v>
      </c>
      <c r="K3810">
        <v>1</v>
      </c>
      <c r="L3810" t="s">
        <v>1064</v>
      </c>
      <c r="M3810" t="s">
        <v>2383</v>
      </c>
      <c r="N3810" s="15" t="s">
        <v>6878</v>
      </c>
    </row>
    <row r="3811" spans="1:14" x14ac:dyDescent="0.2">
      <c r="A3811" t="s">
        <v>4940</v>
      </c>
      <c r="B3811" t="s">
        <v>2360</v>
      </c>
      <c r="C3811" s="9">
        <v>45021</v>
      </c>
      <c r="D3811" t="s">
        <v>946</v>
      </c>
      <c r="E3811" s="13">
        <v>16868712</v>
      </c>
      <c r="F3811" s="13">
        <v>5550</v>
      </c>
      <c r="G3811" s="9">
        <v>45023</v>
      </c>
      <c r="H3811" t="s">
        <v>1111</v>
      </c>
      <c r="I3811" t="s">
        <v>2382</v>
      </c>
      <c r="J3811" s="13">
        <v>280863</v>
      </c>
      <c r="K3811">
        <v>1</v>
      </c>
      <c r="L3811" t="s">
        <v>1064</v>
      </c>
      <c r="M3811" t="s">
        <v>2383</v>
      </c>
      <c r="N3811" s="15" t="s">
        <v>6878</v>
      </c>
    </row>
    <row r="3812" spans="1:14" x14ac:dyDescent="0.2">
      <c r="A3812" t="s">
        <v>4941</v>
      </c>
      <c r="B3812" t="s">
        <v>2360</v>
      </c>
      <c r="C3812" s="9">
        <v>45021</v>
      </c>
      <c r="D3812" t="s">
        <v>946</v>
      </c>
      <c r="E3812" s="13">
        <v>19520713</v>
      </c>
      <c r="F3812" s="13">
        <v>5550</v>
      </c>
      <c r="G3812" s="9">
        <v>45023</v>
      </c>
      <c r="H3812" t="s">
        <v>1111</v>
      </c>
      <c r="I3812" t="s">
        <v>2382</v>
      </c>
      <c r="J3812" s="13">
        <v>325019</v>
      </c>
      <c r="K3812">
        <v>1</v>
      </c>
      <c r="L3812" t="s">
        <v>1064</v>
      </c>
      <c r="M3812" t="s">
        <v>2383</v>
      </c>
      <c r="N3812" s="15" t="s">
        <v>6878</v>
      </c>
    </row>
    <row r="3813" spans="1:14" x14ac:dyDescent="0.2">
      <c r="A3813" t="s">
        <v>4942</v>
      </c>
      <c r="B3813" t="s">
        <v>2360</v>
      </c>
      <c r="C3813" s="9">
        <v>45021</v>
      </c>
      <c r="D3813" t="s">
        <v>946</v>
      </c>
      <c r="E3813" s="13">
        <v>20359539</v>
      </c>
      <c r="F3813" s="13">
        <v>5550</v>
      </c>
      <c r="G3813" s="9">
        <v>45023</v>
      </c>
      <c r="H3813" t="s">
        <v>1111</v>
      </c>
      <c r="I3813" t="s">
        <v>2382</v>
      </c>
      <c r="J3813" s="13">
        <v>338986</v>
      </c>
      <c r="K3813">
        <v>1</v>
      </c>
      <c r="L3813" t="s">
        <v>1064</v>
      </c>
      <c r="M3813" t="s">
        <v>2383</v>
      </c>
      <c r="N3813" s="15" t="s">
        <v>6878</v>
      </c>
    </row>
    <row r="3814" spans="1:14" x14ac:dyDescent="0.2">
      <c r="A3814" t="s">
        <v>4943</v>
      </c>
      <c r="B3814" t="s">
        <v>2360</v>
      </c>
      <c r="C3814" s="9">
        <v>45021</v>
      </c>
      <c r="D3814" t="s">
        <v>946</v>
      </c>
      <c r="E3814" s="13">
        <v>22725958</v>
      </c>
      <c r="F3814" s="13">
        <v>5550</v>
      </c>
      <c r="G3814" s="9">
        <v>45023</v>
      </c>
      <c r="H3814" t="s">
        <v>1111</v>
      </c>
      <c r="I3814" t="s">
        <v>2382</v>
      </c>
      <c r="J3814" s="13">
        <v>378386</v>
      </c>
      <c r="K3814">
        <v>1</v>
      </c>
      <c r="L3814" t="s">
        <v>1064</v>
      </c>
      <c r="M3814" t="s">
        <v>2383</v>
      </c>
      <c r="N3814" s="15" t="s">
        <v>6878</v>
      </c>
    </row>
    <row r="3815" spans="1:14" x14ac:dyDescent="0.2">
      <c r="A3815" t="s">
        <v>4944</v>
      </c>
      <c r="B3815" t="s">
        <v>2360</v>
      </c>
      <c r="C3815" s="9">
        <v>45021</v>
      </c>
      <c r="D3815" t="s">
        <v>946</v>
      </c>
      <c r="E3815" s="13">
        <v>18904373</v>
      </c>
      <c r="F3815" s="13">
        <v>5550</v>
      </c>
      <c r="G3815" s="9">
        <v>45023</v>
      </c>
      <c r="H3815" t="s">
        <v>1111</v>
      </c>
      <c r="I3815" t="s">
        <v>2382</v>
      </c>
      <c r="J3815" s="13">
        <v>314757</v>
      </c>
      <c r="K3815">
        <v>1</v>
      </c>
      <c r="L3815" t="s">
        <v>1064</v>
      </c>
      <c r="M3815" t="s">
        <v>2383</v>
      </c>
      <c r="N3815" s="15" t="s">
        <v>6878</v>
      </c>
    </row>
    <row r="3816" spans="1:14" x14ac:dyDescent="0.2">
      <c r="A3816" t="s">
        <v>4945</v>
      </c>
      <c r="B3816" t="s">
        <v>2360</v>
      </c>
      <c r="C3816" s="9">
        <v>45021</v>
      </c>
      <c r="D3816" t="s">
        <v>946</v>
      </c>
      <c r="E3816" s="13">
        <v>31080125</v>
      </c>
      <c r="F3816" s="13">
        <v>5550</v>
      </c>
      <c r="G3816" s="9">
        <v>45023</v>
      </c>
      <c r="H3816" t="s">
        <v>1111</v>
      </c>
      <c r="I3816" t="s">
        <v>2382</v>
      </c>
      <c r="J3816" s="13">
        <v>517483</v>
      </c>
      <c r="K3816">
        <v>1</v>
      </c>
      <c r="L3816" t="s">
        <v>1064</v>
      </c>
      <c r="M3816" t="s">
        <v>2383</v>
      </c>
      <c r="N3816" s="15" t="s">
        <v>6878</v>
      </c>
    </row>
    <row r="3817" spans="1:14" x14ac:dyDescent="0.2">
      <c r="A3817" t="s">
        <v>4946</v>
      </c>
      <c r="B3817" t="s">
        <v>2360</v>
      </c>
      <c r="C3817" s="9">
        <v>45021</v>
      </c>
      <c r="D3817" t="s">
        <v>946</v>
      </c>
      <c r="E3817" s="13">
        <v>25200000</v>
      </c>
      <c r="F3817" s="13">
        <v>5550</v>
      </c>
      <c r="G3817" s="9">
        <v>45023</v>
      </c>
      <c r="H3817" t="s">
        <v>1111</v>
      </c>
      <c r="I3817" t="s">
        <v>2382</v>
      </c>
      <c r="J3817" s="13">
        <v>419580</v>
      </c>
      <c r="K3817">
        <v>1</v>
      </c>
      <c r="L3817" t="s">
        <v>1064</v>
      </c>
      <c r="M3817" t="s">
        <v>2383</v>
      </c>
      <c r="N3817" s="15" t="s">
        <v>6878</v>
      </c>
    </row>
    <row r="3818" spans="1:14" x14ac:dyDescent="0.2">
      <c r="A3818" t="s">
        <v>4947</v>
      </c>
      <c r="B3818" t="s">
        <v>2360</v>
      </c>
      <c r="C3818" s="9">
        <v>45021</v>
      </c>
      <c r="D3818" t="s">
        <v>946</v>
      </c>
      <c r="E3818" s="13">
        <v>18631803</v>
      </c>
      <c r="F3818" s="13">
        <v>5550</v>
      </c>
      <c r="G3818" s="9">
        <v>45023</v>
      </c>
      <c r="H3818" t="s">
        <v>1111</v>
      </c>
      <c r="I3818" t="s">
        <v>2382</v>
      </c>
      <c r="J3818" s="13">
        <v>310219</v>
      </c>
      <c r="K3818">
        <v>1</v>
      </c>
      <c r="L3818" t="s">
        <v>1064</v>
      </c>
      <c r="M3818" t="s">
        <v>2383</v>
      </c>
      <c r="N3818" s="15" t="s">
        <v>6878</v>
      </c>
    </row>
    <row r="3819" spans="1:14" x14ac:dyDescent="0.2">
      <c r="A3819" t="s">
        <v>4948</v>
      </c>
      <c r="B3819" t="s">
        <v>2360</v>
      </c>
      <c r="C3819" s="9">
        <v>45021</v>
      </c>
      <c r="D3819" t="s">
        <v>946</v>
      </c>
      <c r="E3819" s="13">
        <v>25200000</v>
      </c>
      <c r="F3819" s="13">
        <v>5550</v>
      </c>
      <c r="G3819" s="9">
        <v>45023</v>
      </c>
      <c r="H3819" t="s">
        <v>1111</v>
      </c>
      <c r="I3819" t="s">
        <v>2382</v>
      </c>
      <c r="J3819" s="13">
        <v>419580</v>
      </c>
      <c r="K3819">
        <v>1</v>
      </c>
      <c r="L3819" t="s">
        <v>1064</v>
      </c>
      <c r="M3819" t="s">
        <v>2383</v>
      </c>
      <c r="N3819" s="15" t="s">
        <v>6878</v>
      </c>
    </row>
    <row r="3820" spans="1:14" x14ac:dyDescent="0.2">
      <c r="A3820" t="s">
        <v>4949</v>
      </c>
      <c r="B3820" t="s">
        <v>2360</v>
      </c>
      <c r="C3820" s="9">
        <v>45021</v>
      </c>
      <c r="D3820" t="s">
        <v>946</v>
      </c>
      <c r="E3820" s="13">
        <v>21613704</v>
      </c>
      <c r="F3820" s="13">
        <v>5550</v>
      </c>
      <c r="G3820" s="9">
        <v>45023</v>
      </c>
      <c r="H3820" t="s">
        <v>1111</v>
      </c>
      <c r="I3820" t="s">
        <v>2382</v>
      </c>
      <c r="J3820" s="13">
        <v>359867</v>
      </c>
      <c r="K3820">
        <v>1</v>
      </c>
      <c r="L3820" t="s">
        <v>1064</v>
      </c>
      <c r="M3820" t="s">
        <v>2383</v>
      </c>
      <c r="N3820" s="15" t="s">
        <v>6878</v>
      </c>
    </row>
    <row r="3821" spans="1:14" x14ac:dyDescent="0.2">
      <c r="A3821" t="s">
        <v>4950</v>
      </c>
      <c r="B3821" t="s">
        <v>2360</v>
      </c>
      <c r="C3821" s="9">
        <v>45021</v>
      </c>
      <c r="D3821" t="s">
        <v>946</v>
      </c>
      <c r="E3821" s="13">
        <v>17349236</v>
      </c>
      <c r="F3821" s="13">
        <v>5550</v>
      </c>
      <c r="G3821" s="9">
        <v>45023</v>
      </c>
      <c r="H3821" t="s">
        <v>1111</v>
      </c>
      <c r="I3821" t="s">
        <v>2382</v>
      </c>
      <c r="J3821" s="13">
        <v>288864</v>
      </c>
      <c r="K3821">
        <v>1</v>
      </c>
      <c r="L3821" t="s">
        <v>1064</v>
      </c>
      <c r="M3821" t="s">
        <v>2383</v>
      </c>
      <c r="N3821" s="15" t="s">
        <v>6878</v>
      </c>
    </row>
    <row r="3822" spans="1:14" x14ac:dyDescent="0.2">
      <c r="A3822" t="s">
        <v>4951</v>
      </c>
      <c r="B3822" t="s">
        <v>2360</v>
      </c>
      <c r="C3822" s="9">
        <v>45021</v>
      </c>
      <c r="D3822" t="s">
        <v>946</v>
      </c>
      <c r="E3822" s="13">
        <v>25200000</v>
      </c>
      <c r="F3822" s="13">
        <v>5550</v>
      </c>
      <c r="G3822" s="9">
        <v>45023</v>
      </c>
      <c r="H3822" t="s">
        <v>1111</v>
      </c>
      <c r="I3822" t="s">
        <v>2382</v>
      </c>
      <c r="J3822" s="13">
        <v>419580</v>
      </c>
      <c r="K3822">
        <v>1</v>
      </c>
      <c r="L3822" t="s">
        <v>1064</v>
      </c>
      <c r="M3822" t="s">
        <v>2383</v>
      </c>
      <c r="N3822" s="15" t="s">
        <v>6878</v>
      </c>
    </row>
    <row r="3823" spans="1:14" x14ac:dyDescent="0.2">
      <c r="A3823" t="s">
        <v>4952</v>
      </c>
      <c r="B3823" t="s">
        <v>2360</v>
      </c>
      <c r="C3823" s="9">
        <v>45021</v>
      </c>
      <c r="D3823" t="s">
        <v>946</v>
      </c>
      <c r="E3823" s="13">
        <v>22059408</v>
      </c>
      <c r="F3823" s="13">
        <v>5550</v>
      </c>
      <c r="G3823" s="9">
        <v>45023</v>
      </c>
      <c r="H3823" t="s">
        <v>1111</v>
      </c>
      <c r="I3823" t="s">
        <v>2382</v>
      </c>
      <c r="J3823" s="13">
        <v>367289</v>
      </c>
      <c r="K3823">
        <v>1</v>
      </c>
      <c r="L3823" t="s">
        <v>1064</v>
      </c>
      <c r="M3823" t="s">
        <v>2383</v>
      </c>
      <c r="N3823" s="15" t="s">
        <v>6878</v>
      </c>
    </row>
    <row r="3824" spans="1:14" x14ac:dyDescent="0.2">
      <c r="A3824" t="s">
        <v>4953</v>
      </c>
      <c r="B3824" t="s">
        <v>2360</v>
      </c>
      <c r="C3824" s="9">
        <v>45021</v>
      </c>
      <c r="D3824" t="s">
        <v>946</v>
      </c>
      <c r="E3824" s="13">
        <v>19838367</v>
      </c>
      <c r="F3824" s="13">
        <v>5550</v>
      </c>
      <c r="G3824" s="9">
        <v>45023</v>
      </c>
      <c r="H3824" t="s">
        <v>1111</v>
      </c>
      <c r="I3824" t="s">
        <v>2382</v>
      </c>
      <c r="J3824" s="13">
        <v>330308</v>
      </c>
      <c r="K3824">
        <v>1</v>
      </c>
      <c r="L3824" t="s">
        <v>1064</v>
      </c>
      <c r="M3824" t="s">
        <v>2383</v>
      </c>
      <c r="N3824" s="15" t="s">
        <v>6878</v>
      </c>
    </row>
    <row r="3825" spans="1:14" x14ac:dyDescent="0.2">
      <c r="A3825" t="s">
        <v>4954</v>
      </c>
      <c r="B3825" t="s">
        <v>2360</v>
      </c>
      <c r="C3825" s="9">
        <v>45021</v>
      </c>
      <c r="D3825" t="s">
        <v>946</v>
      </c>
      <c r="E3825" s="13">
        <v>27398686</v>
      </c>
      <c r="F3825" s="13">
        <v>5550</v>
      </c>
      <c r="G3825" s="9">
        <v>45023</v>
      </c>
      <c r="H3825" t="s">
        <v>1111</v>
      </c>
      <c r="I3825" t="s">
        <v>2382</v>
      </c>
      <c r="J3825" s="13">
        <v>456187</v>
      </c>
      <c r="K3825">
        <v>1</v>
      </c>
      <c r="L3825" t="s">
        <v>1064</v>
      </c>
      <c r="M3825" t="s">
        <v>2383</v>
      </c>
      <c r="N3825" s="15" t="s">
        <v>6878</v>
      </c>
    </row>
    <row r="3826" spans="1:14" x14ac:dyDescent="0.2">
      <c r="A3826" t="s">
        <v>4955</v>
      </c>
      <c r="B3826" t="s">
        <v>2360</v>
      </c>
      <c r="C3826" s="9">
        <v>45021</v>
      </c>
      <c r="D3826" t="s">
        <v>946</v>
      </c>
      <c r="E3826" s="13">
        <v>1031384</v>
      </c>
      <c r="F3826" s="13">
        <v>5550</v>
      </c>
      <c r="G3826" s="9">
        <v>45023</v>
      </c>
      <c r="H3826" t="s">
        <v>1111</v>
      </c>
      <c r="I3826" t="s">
        <v>2382</v>
      </c>
      <c r="J3826" s="13">
        <v>17171</v>
      </c>
      <c r="K3826">
        <v>1</v>
      </c>
      <c r="L3826" t="s">
        <v>1064</v>
      </c>
      <c r="M3826" t="s">
        <v>2383</v>
      </c>
      <c r="N3826" s="15" t="s">
        <v>6878</v>
      </c>
    </row>
    <row r="3827" spans="1:14" x14ac:dyDescent="0.2">
      <c r="A3827" t="s">
        <v>4956</v>
      </c>
      <c r="B3827" t="s">
        <v>2360</v>
      </c>
      <c r="C3827" s="9">
        <v>45021</v>
      </c>
      <c r="D3827" t="s">
        <v>946</v>
      </c>
      <c r="E3827" s="13">
        <v>1093073</v>
      </c>
      <c r="F3827" s="13">
        <v>5550</v>
      </c>
      <c r="G3827" s="9">
        <v>45023</v>
      </c>
      <c r="H3827" t="s">
        <v>1111</v>
      </c>
      <c r="I3827" t="s">
        <v>2382</v>
      </c>
      <c r="J3827" s="13">
        <v>18199</v>
      </c>
      <c r="K3827">
        <v>1</v>
      </c>
      <c r="L3827" t="s">
        <v>1064</v>
      </c>
      <c r="M3827" t="s">
        <v>2383</v>
      </c>
      <c r="N3827" s="15" t="s">
        <v>6878</v>
      </c>
    </row>
    <row r="3828" spans="1:14" x14ac:dyDescent="0.2">
      <c r="A3828" t="s">
        <v>4957</v>
      </c>
      <c r="B3828" t="s">
        <v>2360</v>
      </c>
      <c r="C3828" s="9">
        <v>45021</v>
      </c>
      <c r="D3828" t="s">
        <v>946</v>
      </c>
      <c r="E3828" s="13">
        <v>28953120</v>
      </c>
      <c r="F3828" s="13">
        <v>5550</v>
      </c>
      <c r="G3828" s="9">
        <v>45023</v>
      </c>
      <c r="H3828" t="s">
        <v>1111</v>
      </c>
      <c r="I3828" t="s">
        <v>2382</v>
      </c>
      <c r="J3828" s="13">
        <v>482068</v>
      </c>
      <c r="K3828">
        <v>1</v>
      </c>
      <c r="L3828" t="s">
        <v>1064</v>
      </c>
      <c r="M3828" t="s">
        <v>2383</v>
      </c>
      <c r="N3828" s="15" t="s">
        <v>6878</v>
      </c>
    </row>
    <row r="3829" spans="1:14" x14ac:dyDescent="0.2">
      <c r="A3829" t="s">
        <v>4958</v>
      </c>
      <c r="B3829" t="s">
        <v>2360</v>
      </c>
      <c r="C3829" s="9">
        <v>45021</v>
      </c>
      <c r="D3829" t="s">
        <v>946</v>
      </c>
      <c r="E3829" s="13">
        <v>19558562</v>
      </c>
      <c r="F3829" s="13">
        <v>5550</v>
      </c>
      <c r="G3829" s="9">
        <v>45023</v>
      </c>
      <c r="H3829" t="s">
        <v>1111</v>
      </c>
      <c r="I3829" t="s">
        <v>2382</v>
      </c>
      <c r="J3829" s="13">
        <v>325649</v>
      </c>
      <c r="K3829">
        <v>1</v>
      </c>
      <c r="L3829" t="s">
        <v>1064</v>
      </c>
      <c r="M3829" t="s">
        <v>2383</v>
      </c>
      <c r="N3829" s="15" t="s">
        <v>6878</v>
      </c>
    </row>
    <row r="3830" spans="1:14" x14ac:dyDescent="0.2">
      <c r="A3830" t="s">
        <v>4959</v>
      </c>
      <c r="B3830" t="s">
        <v>2360</v>
      </c>
      <c r="C3830" s="9">
        <v>45021</v>
      </c>
      <c r="D3830" t="s">
        <v>946</v>
      </c>
      <c r="E3830" s="13">
        <v>25879081</v>
      </c>
      <c r="F3830" s="13">
        <v>5550</v>
      </c>
      <c r="G3830" s="9">
        <v>45023</v>
      </c>
      <c r="H3830" t="s">
        <v>1111</v>
      </c>
      <c r="I3830" t="s">
        <v>2382</v>
      </c>
      <c r="J3830" s="13">
        <v>430886</v>
      </c>
      <c r="K3830">
        <v>1</v>
      </c>
      <c r="L3830" t="s">
        <v>1064</v>
      </c>
      <c r="M3830" t="s">
        <v>2383</v>
      </c>
      <c r="N3830" s="15" t="s">
        <v>6878</v>
      </c>
    </row>
    <row r="3831" spans="1:14" x14ac:dyDescent="0.2">
      <c r="A3831" t="s">
        <v>4960</v>
      </c>
      <c r="B3831" t="s">
        <v>2360</v>
      </c>
      <c r="C3831" s="9">
        <v>45021</v>
      </c>
      <c r="D3831" t="s">
        <v>946</v>
      </c>
      <c r="E3831" s="13">
        <v>19554108</v>
      </c>
      <c r="F3831" s="13">
        <v>5550</v>
      </c>
      <c r="G3831" s="9">
        <v>45023</v>
      </c>
      <c r="H3831" t="s">
        <v>1111</v>
      </c>
      <c r="I3831" t="s">
        <v>2382</v>
      </c>
      <c r="J3831" s="13">
        <v>325575</v>
      </c>
      <c r="K3831">
        <v>1</v>
      </c>
      <c r="L3831" t="s">
        <v>1064</v>
      </c>
      <c r="M3831" t="s">
        <v>2383</v>
      </c>
      <c r="N3831" s="15" t="s">
        <v>6878</v>
      </c>
    </row>
    <row r="3832" spans="1:14" x14ac:dyDescent="0.2">
      <c r="A3832" t="s">
        <v>4961</v>
      </c>
      <c r="B3832" t="s">
        <v>2360</v>
      </c>
      <c r="C3832" s="9">
        <v>45021</v>
      </c>
      <c r="D3832" t="s">
        <v>946</v>
      </c>
      <c r="E3832" s="13">
        <v>18912081</v>
      </c>
      <c r="F3832" s="13">
        <v>5550</v>
      </c>
      <c r="G3832" s="9">
        <v>45023</v>
      </c>
      <c r="H3832" t="s">
        <v>1111</v>
      </c>
      <c r="I3832" t="s">
        <v>2382</v>
      </c>
      <c r="J3832" s="13">
        <v>314885</v>
      </c>
      <c r="K3832">
        <v>1</v>
      </c>
      <c r="L3832" t="s">
        <v>1064</v>
      </c>
      <c r="M3832" t="s">
        <v>2383</v>
      </c>
      <c r="N3832" s="15" t="s">
        <v>6878</v>
      </c>
    </row>
    <row r="3833" spans="1:14" x14ac:dyDescent="0.2">
      <c r="A3833" t="s">
        <v>4962</v>
      </c>
      <c r="B3833" t="s">
        <v>2360</v>
      </c>
      <c r="C3833" s="9">
        <v>45021</v>
      </c>
      <c r="D3833" t="s">
        <v>946</v>
      </c>
      <c r="E3833" s="13">
        <v>25340593</v>
      </c>
      <c r="F3833" s="13">
        <v>5550</v>
      </c>
      <c r="G3833" s="9">
        <v>45023</v>
      </c>
      <c r="H3833" t="s">
        <v>1111</v>
      </c>
      <c r="I3833" t="s">
        <v>2382</v>
      </c>
      <c r="J3833" s="13">
        <v>421919</v>
      </c>
      <c r="K3833">
        <v>1</v>
      </c>
      <c r="L3833" t="s">
        <v>1064</v>
      </c>
      <c r="M3833" t="s">
        <v>2383</v>
      </c>
      <c r="N3833" s="15" t="s">
        <v>6878</v>
      </c>
    </row>
    <row r="3834" spans="1:14" x14ac:dyDescent="0.2">
      <c r="A3834" t="s">
        <v>4963</v>
      </c>
      <c r="B3834" t="s">
        <v>2360</v>
      </c>
      <c r="C3834" s="9">
        <v>45021</v>
      </c>
      <c r="D3834" t="s">
        <v>946</v>
      </c>
      <c r="E3834" s="13">
        <v>9738383</v>
      </c>
      <c r="F3834" s="13">
        <v>5550</v>
      </c>
      <c r="G3834" s="9">
        <v>45023</v>
      </c>
      <c r="H3834" t="s">
        <v>1111</v>
      </c>
      <c r="I3834" t="s">
        <v>2382</v>
      </c>
      <c r="J3834" s="13">
        <v>162143</v>
      </c>
      <c r="K3834">
        <v>1</v>
      </c>
      <c r="L3834" t="s">
        <v>1064</v>
      </c>
      <c r="M3834" t="s">
        <v>2383</v>
      </c>
      <c r="N3834" s="15" t="s">
        <v>6878</v>
      </c>
    </row>
    <row r="3835" spans="1:14" x14ac:dyDescent="0.2">
      <c r="A3835" t="s">
        <v>4964</v>
      </c>
      <c r="B3835" t="s">
        <v>2360</v>
      </c>
      <c r="C3835" s="9">
        <v>45021</v>
      </c>
      <c r="D3835" t="s">
        <v>946</v>
      </c>
      <c r="E3835" s="13">
        <v>8333586</v>
      </c>
      <c r="F3835" s="13">
        <v>5550</v>
      </c>
      <c r="G3835" s="9">
        <v>45023</v>
      </c>
      <c r="H3835" t="s">
        <v>1111</v>
      </c>
      <c r="I3835" t="s">
        <v>2382</v>
      </c>
      <c r="J3835" s="13">
        <v>138753</v>
      </c>
      <c r="K3835">
        <v>1</v>
      </c>
      <c r="L3835" t="s">
        <v>1064</v>
      </c>
      <c r="M3835" t="s">
        <v>2383</v>
      </c>
      <c r="N3835" s="15" t="s">
        <v>6878</v>
      </c>
    </row>
    <row r="3836" spans="1:14" x14ac:dyDescent="0.2">
      <c r="A3836" t="s">
        <v>4965</v>
      </c>
      <c r="B3836" t="s">
        <v>2360</v>
      </c>
      <c r="C3836" s="9">
        <v>45021</v>
      </c>
      <c r="D3836" t="s">
        <v>946</v>
      </c>
      <c r="E3836" s="13">
        <v>6828615</v>
      </c>
      <c r="F3836" s="13">
        <v>5550</v>
      </c>
      <c r="G3836" s="9">
        <v>45023</v>
      </c>
      <c r="H3836" t="s">
        <v>1111</v>
      </c>
      <c r="I3836" t="s">
        <v>2382</v>
      </c>
      <c r="J3836" s="13">
        <v>113696</v>
      </c>
      <c r="K3836">
        <v>1</v>
      </c>
      <c r="L3836" t="s">
        <v>1064</v>
      </c>
      <c r="M3836" t="s">
        <v>2383</v>
      </c>
      <c r="N3836" s="15" t="s">
        <v>6878</v>
      </c>
    </row>
    <row r="3837" spans="1:14" x14ac:dyDescent="0.2">
      <c r="A3837" t="s">
        <v>4966</v>
      </c>
      <c r="B3837" t="s">
        <v>2360</v>
      </c>
      <c r="C3837" s="9">
        <v>45021</v>
      </c>
      <c r="D3837" t="s">
        <v>946</v>
      </c>
      <c r="E3837" s="13">
        <v>25200000</v>
      </c>
      <c r="F3837" s="13">
        <v>5550</v>
      </c>
      <c r="G3837" s="9">
        <v>45023</v>
      </c>
      <c r="H3837" t="s">
        <v>1111</v>
      </c>
      <c r="I3837" t="s">
        <v>2382</v>
      </c>
      <c r="J3837" s="13">
        <v>419580</v>
      </c>
      <c r="K3837">
        <v>1</v>
      </c>
      <c r="L3837" t="s">
        <v>1064</v>
      </c>
      <c r="M3837" t="s">
        <v>2383</v>
      </c>
      <c r="N3837" s="15" t="s">
        <v>6878</v>
      </c>
    </row>
    <row r="3838" spans="1:14" x14ac:dyDescent="0.2">
      <c r="A3838" t="s">
        <v>4967</v>
      </c>
      <c r="B3838" t="s">
        <v>2360</v>
      </c>
      <c r="C3838" s="9">
        <v>45021</v>
      </c>
      <c r="D3838" t="s">
        <v>946</v>
      </c>
      <c r="E3838" s="13">
        <v>25088347</v>
      </c>
      <c r="F3838" s="13">
        <v>5550</v>
      </c>
      <c r="G3838" s="9">
        <v>45023</v>
      </c>
      <c r="H3838" t="s">
        <v>1111</v>
      </c>
      <c r="I3838" t="s">
        <v>2382</v>
      </c>
      <c r="J3838" s="13">
        <v>417720</v>
      </c>
      <c r="K3838">
        <v>1</v>
      </c>
      <c r="L3838" t="s">
        <v>1064</v>
      </c>
      <c r="M3838" t="s">
        <v>2383</v>
      </c>
      <c r="N3838" s="15" t="s">
        <v>6878</v>
      </c>
    </row>
    <row r="3839" spans="1:14" x14ac:dyDescent="0.2">
      <c r="A3839" t="s">
        <v>4968</v>
      </c>
      <c r="B3839" t="s">
        <v>2360</v>
      </c>
      <c r="C3839" s="9">
        <v>45021</v>
      </c>
      <c r="D3839" t="s">
        <v>946</v>
      </c>
      <c r="E3839" s="13">
        <v>17346459</v>
      </c>
      <c r="F3839" s="13">
        <v>5550</v>
      </c>
      <c r="G3839" s="9">
        <v>45023</v>
      </c>
      <c r="H3839" t="s">
        <v>1111</v>
      </c>
      <c r="I3839" t="s">
        <v>2382</v>
      </c>
      <c r="J3839" s="13">
        <v>288817</v>
      </c>
      <c r="K3839">
        <v>1</v>
      </c>
      <c r="L3839" t="s">
        <v>1064</v>
      </c>
      <c r="M3839" t="s">
        <v>2383</v>
      </c>
      <c r="N3839" s="15" t="s">
        <v>6878</v>
      </c>
    </row>
    <row r="3840" spans="1:14" x14ac:dyDescent="0.2">
      <c r="A3840" t="s">
        <v>4969</v>
      </c>
      <c r="B3840" t="s">
        <v>2360</v>
      </c>
      <c r="C3840" s="9">
        <v>45021</v>
      </c>
      <c r="D3840" t="s">
        <v>946</v>
      </c>
      <c r="E3840" s="13">
        <v>17344376</v>
      </c>
      <c r="F3840" s="13">
        <v>5550</v>
      </c>
      <c r="G3840" s="9">
        <v>45023</v>
      </c>
      <c r="H3840" t="s">
        <v>1111</v>
      </c>
      <c r="I3840" t="s">
        <v>2382</v>
      </c>
      <c r="J3840" s="13">
        <v>288783</v>
      </c>
      <c r="K3840">
        <v>1</v>
      </c>
      <c r="L3840" t="s">
        <v>1064</v>
      </c>
      <c r="M3840" t="s">
        <v>2383</v>
      </c>
      <c r="N3840" s="15" t="s">
        <v>6878</v>
      </c>
    </row>
    <row r="3841" spans="1:14" x14ac:dyDescent="0.2">
      <c r="A3841" t="s">
        <v>4970</v>
      </c>
      <c r="B3841" t="s">
        <v>2360</v>
      </c>
      <c r="C3841" s="9">
        <v>45021</v>
      </c>
      <c r="D3841" t="s">
        <v>946</v>
      </c>
      <c r="E3841" s="13">
        <v>17353056</v>
      </c>
      <c r="F3841" s="13">
        <v>5550</v>
      </c>
      <c r="G3841" s="9">
        <v>45023</v>
      </c>
      <c r="H3841" t="s">
        <v>1111</v>
      </c>
      <c r="I3841" t="s">
        <v>2382</v>
      </c>
      <c r="J3841" s="13">
        <v>288927</v>
      </c>
      <c r="K3841">
        <v>1</v>
      </c>
      <c r="L3841" t="s">
        <v>1064</v>
      </c>
      <c r="M3841" t="s">
        <v>2383</v>
      </c>
      <c r="N3841" s="15" t="s">
        <v>6878</v>
      </c>
    </row>
    <row r="3842" spans="1:14" x14ac:dyDescent="0.2">
      <c r="A3842" t="s">
        <v>4971</v>
      </c>
      <c r="B3842" t="s">
        <v>2360</v>
      </c>
      <c r="C3842" s="9">
        <v>45021</v>
      </c>
      <c r="D3842" t="s">
        <v>946</v>
      </c>
      <c r="E3842" s="13">
        <v>16910723</v>
      </c>
      <c r="F3842" s="13">
        <v>5550</v>
      </c>
      <c r="G3842" s="9">
        <v>45023</v>
      </c>
      <c r="H3842" t="s">
        <v>1111</v>
      </c>
      <c r="I3842" t="s">
        <v>2382</v>
      </c>
      <c r="J3842" s="13">
        <v>281562</v>
      </c>
      <c r="K3842">
        <v>1</v>
      </c>
      <c r="L3842" t="s">
        <v>1064</v>
      </c>
      <c r="M3842" t="s">
        <v>2383</v>
      </c>
      <c r="N3842" s="15" t="s">
        <v>6878</v>
      </c>
    </row>
    <row r="3843" spans="1:14" x14ac:dyDescent="0.2">
      <c r="A3843" t="s">
        <v>4972</v>
      </c>
      <c r="B3843" t="s">
        <v>2360</v>
      </c>
      <c r="C3843" s="9">
        <v>45021</v>
      </c>
      <c r="D3843" t="s">
        <v>946</v>
      </c>
      <c r="E3843" s="13">
        <v>22184269</v>
      </c>
      <c r="F3843" s="13">
        <v>5550</v>
      </c>
      <c r="G3843" s="9">
        <v>45023</v>
      </c>
      <c r="H3843" t="s">
        <v>1111</v>
      </c>
      <c r="I3843" t="s">
        <v>2382</v>
      </c>
      <c r="J3843" s="13">
        <v>369368</v>
      </c>
      <c r="K3843">
        <v>1</v>
      </c>
      <c r="L3843" t="s">
        <v>1064</v>
      </c>
      <c r="M3843" t="s">
        <v>2383</v>
      </c>
      <c r="N3843" s="15" t="s">
        <v>6878</v>
      </c>
    </row>
    <row r="3844" spans="1:14" x14ac:dyDescent="0.2">
      <c r="A3844" t="s">
        <v>4973</v>
      </c>
      <c r="B3844" t="s">
        <v>2360</v>
      </c>
      <c r="C3844" s="9">
        <v>45021</v>
      </c>
      <c r="D3844" t="s">
        <v>946</v>
      </c>
      <c r="E3844" s="13">
        <v>14605821</v>
      </c>
      <c r="F3844" s="13">
        <v>5550</v>
      </c>
      <c r="G3844" s="9">
        <v>45023</v>
      </c>
      <c r="H3844" t="s">
        <v>1111</v>
      </c>
      <c r="I3844" t="s">
        <v>2382</v>
      </c>
      <c r="J3844" s="13">
        <v>243186</v>
      </c>
      <c r="K3844">
        <v>1</v>
      </c>
      <c r="L3844" t="s">
        <v>1064</v>
      </c>
      <c r="M3844" t="s">
        <v>2383</v>
      </c>
      <c r="N3844" s="15" t="s">
        <v>6878</v>
      </c>
    </row>
    <row r="3845" spans="1:14" x14ac:dyDescent="0.2">
      <c r="A3845" t="s">
        <v>4974</v>
      </c>
      <c r="B3845" t="s">
        <v>2360</v>
      </c>
      <c r="C3845" s="9">
        <v>45021</v>
      </c>
      <c r="D3845" t="s">
        <v>946</v>
      </c>
      <c r="E3845" s="13">
        <v>12540660</v>
      </c>
      <c r="F3845" s="13">
        <v>5550</v>
      </c>
      <c r="G3845" s="9">
        <v>45023</v>
      </c>
      <c r="H3845" t="s">
        <v>1111</v>
      </c>
      <c r="I3845" t="s">
        <v>2382</v>
      </c>
      <c r="J3845" s="13">
        <v>208800</v>
      </c>
      <c r="K3845">
        <v>1</v>
      </c>
      <c r="L3845" t="s">
        <v>1064</v>
      </c>
      <c r="M3845" t="s">
        <v>2383</v>
      </c>
      <c r="N3845" s="15" t="s">
        <v>6878</v>
      </c>
    </row>
    <row r="3846" spans="1:14" x14ac:dyDescent="0.2">
      <c r="A3846" t="s">
        <v>4975</v>
      </c>
      <c r="B3846" t="s">
        <v>2360</v>
      </c>
      <c r="C3846" s="9">
        <v>45021</v>
      </c>
      <c r="D3846" t="s">
        <v>946</v>
      </c>
      <c r="E3846" s="13">
        <v>12198268</v>
      </c>
      <c r="F3846" s="13">
        <v>5550</v>
      </c>
      <c r="G3846" s="9">
        <v>45023</v>
      </c>
      <c r="H3846" t="s">
        <v>1111</v>
      </c>
      <c r="I3846" t="s">
        <v>2382</v>
      </c>
      <c r="J3846" s="13">
        <v>203101</v>
      </c>
      <c r="K3846">
        <v>1</v>
      </c>
      <c r="L3846" t="s">
        <v>1064</v>
      </c>
      <c r="M3846" t="s">
        <v>2383</v>
      </c>
      <c r="N3846" s="15" t="s">
        <v>6878</v>
      </c>
    </row>
    <row r="3847" spans="1:14" x14ac:dyDescent="0.2">
      <c r="A3847" t="s">
        <v>4976</v>
      </c>
      <c r="B3847" t="s">
        <v>2360</v>
      </c>
      <c r="C3847" s="9">
        <v>45021</v>
      </c>
      <c r="D3847" t="s">
        <v>946</v>
      </c>
      <c r="E3847" s="13">
        <v>23341125</v>
      </c>
      <c r="F3847" s="13">
        <v>5550</v>
      </c>
      <c r="G3847" s="9">
        <v>45023</v>
      </c>
      <c r="H3847" t="s">
        <v>1111</v>
      </c>
      <c r="I3847" t="s">
        <v>2382</v>
      </c>
      <c r="J3847" s="13">
        <v>388628</v>
      </c>
      <c r="K3847">
        <v>1</v>
      </c>
      <c r="L3847" t="s">
        <v>1064</v>
      </c>
      <c r="M3847" t="s">
        <v>2383</v>
      </c>
      <c r="N3847" s="15" t="s">
        <v>6878</v>
      </c>
    </row>
    <row r="3848" spans="1:14" x14ac:dyDescent="0.2">
      <c r="A3848" t="s">
        <v>4977</v>
      </c>
      <c r="B3848" t="s">
        <v>2360</v>
      </c>
      <c r="C3848" s="9">
        <v>45021</v>
      </c>
      <c r="D3848" t="s">
        <v>946</v>
      </c>
      <c r="E3848" s="13">
        <v>15260552</v>
      </c>
      <c r="F3848" s="13">
        <v>5550</v>
      </c>
      <c r="G3848" s="9">
        <v>45023</v>
      </c>
      <c r="H3848" t="s">
        <v>1111</v>
      </c>
      <c r="I3848" t="s">
        <v>2382</v>
      </c>
      <c r="J3848" s="13">
        <v>254087</v>
      </c>
      <c r="K3848">
        <v>1</v>
      </c>
      <c r="L3848" t="s">
        <v>1064</v>
      </c>
      <c r="M3848" t="s">
        <v>2383</v>
      </c>
      <c r="N3848" s="15" t="s">
        <v>6878</v>
      </c>
    </row>
    <row r="3849" spans="1:14" x14ac:dyDescent="0.2">
      <c r="A3849" t="s">
        <v>4978</v>
      </c>
      <c r="B3849" t="s">
        <v>2360</v>
      </c>
      <c r="C3849" s="9">
        <v>45021</v>
      </c>
      <c r="D3849" t="s">
        <v>946</v>
      </c>
      <c r="E3849" s="13">
        <v>950000</v>
      </c>
      <c r="F3849" s="13">
        <v>5550</v>
      </c>
      <c r="G3849" s="9">
        <v>45023</v>
      </c>
      <c r="H3849" t="s">
        <v>1111</v>
      </c>
      <c r="I3849" t="s">
        <v>2382</v>
      </c>
      <c r="J3849" s="13">
        <v>15817</v>
      </c>
      <c r="K3849">
        <v>1</v>
      </c>
      <c r="L3849" t="s">
        <v>1064</v>
      </c>
      <c r="M3849" t="s">
        <v>2383</v>
      </c>
      <c r="N3849" s="15" t="s">
        <v>6878</v>
      </c>
    </row>
    <row r="3850" spans="1:14" x14ac:dyDescent="0.2">
      <c r="A3850" t="s">
        <v>4979</v>
      </c>
      <c r="B3850" t="s">
        <v>2360</v>
      </c>
      <c r="C3850" s="9">
        <v>45021</v>
      </c>
      <c r="D3850" t="s">
        <v>946</v>
      </c>
      <c r="E3850" s="13">
        <v>950000</v>
      </c>
      <c r="F3850" s="13">
        <v>5550</v>
      </c>
      <c r="G3850" s="9">
        <v>45023</v>
      </c>
      <c r="H3850" t="s">
        <v>1111</v>
      </c>
      <c r="I3850" t="s">
        <v>2382</v>
      </c>
      <c r="J3850" s="13">
        <v>15817</v>
      </c>
      <c r="K3850">
        <v>1</v>
      </c>
      <c r="L3850" t="s">
        <v>1064</v>
      </c>
      <c r="M3850" t="s">
        <v>2383</v>
      </c>
      <c r="N3850" s="15" t="s">
        <v>6878</v>
      </c>
    </row>
    <row r="3851" spans="1:14" x14ac:dyDescent="0.2">
      <c r="A3851" t="s">
        <v>4980</v>
      </c>
      <c r="B3851" t="s">
        <v>2360</v>
      </c>
      <c r="C3851" s="9">
        <v>45021</v>
      </c>
      <c r="D3851" t="s">
        <v>946</v>
      </c>
      <c r="E3851" s="13">
        <v>950000</v>
      </c>
      <c r="F3851" s="13">
        <v>5550</v>
      </c>
      <c r="G3851" s="9">
        <v>45023</v>
      </c>
      <c r="H3851" t="s">
        <v>1111</v>
      </c>
      <c r="I3851" t="s">
        <v>2382</v>
      </c>
      <c r="J3851" s="13">
        <v>15817</v>
      </c>
      <c r="K3851">
        <v>1</v>
      </c>
      <c r="L3851" t="s">
        <v>1064</v>
      </c>
      <c r="M3851" t="s">
        <v>2383</v>
      </c>
      <c r="N3851" s="15" t="s">
        <v>6878</v>
      </c>
    </row>
    <row r="3852" spans="1:14" x14ac:dyDescent="0.2">
      <c r="A3852" t="s">
        <v>4981</v>
      </c>
      <c r="B3852" t="s">
        <v>2360</v>
      </c>
      <c r="C3852" s="9">
        <v>45021</v>
      </c>
      <c r="D3852" t="s">
        <v>946</v>
      </c>
      <c r="E3852" s="13">
        <v>950000</v>
      </c>
      <c r="F3852" s="13">
        <v>5550</v>
      </c>
      <c r="G3852" s="9">
        <v>45023</v>
      </c>
      <c r="H3852" t="s">
        <v>1111</v>
      </c>
      <c r="I3852" t="s">
        <v>2382</v>
      </c>
      <c r="J3852" s="13">
        <v>15817</v>
      </c>
      <c r="K3852">
        <v>1</v>
      </c>
      <c r="L3852" t="s">
        <v>1064</v>
      </c>
      <c r="M3852" t="s">
        <v>2383</v>
      </c>
      <c r="N3852" s="15" t="s">
        <v>6878</v>
      </c>
    </row>
    <row r="3853" spans="1:14" x14ac:dyDescent="0.2">
      <c r="A3853" t="s">
        <v>4982</v>
      </c>
      <c r="B3853" t="s">
        <v>2360</v>
      </c>
      <c r="C3853" s="9">
        <v>45022</v>
      </c>
      <c r="D3853" t="s">
        <v>946</v>
      </c>
      <c r="E3853" s="13">
        <v>950000</v>
      </c>
      <c r="F3853" s="13">
        <v>5550</v>
      </c>
      <c r="G3853" s="9">
        <v>45023</v>
      </c>
      <c r="H3853" t="s">
        <v>1111</v>
      </c>
      <c r="I3853" t="s">
        <v>2382</v>
      </c>
      <c r="J3853" s="13">
        <v>15817</v>
      </c>
      <c r="K3853">
        <v>1</v>
      </c>
      <c r="L3853" t="s">
        <v>1064</v>
      </c>
      <c r="M3853" t="s">
        <v>2383</v>
      </c>
      <c r="N3853" s="15" t="s">
        <v>6878</v>
      </c>
    </row>
    <row r="3854" spans="1:14" x14ac:dyDescent="0.2">
      <c r="A3854" t="s">
        <v>4983</v>
      </c>
      <c r="B3854" t="s">
        <v>2360</v>
      </c>
      <c r="C3854" s="9">
        <v>45022</v>
      </c>
      <c r="D3854" t="s">
        <v>946</v>
      </c>
      <c r="E3854" s="13">
        <v>950000</v>
      </c>
      <c r="F3854" s="13">
        <v>5550</v>
      </c>
      <c r="G3854" s="9">
        <v>45023</v>
      </c>
      <c r="H3854" t="s">
        <v>1111</v>
      </c>
      <c r="I3854" t="s">
        <v>2382</v>
      </c>
      <c r="J3854" s="13">
        <v>15817</v>
      </c>
      <c r="K3854">
        <v>1</v>
      </c>
      <c r="L3854" t="s">
        <v>1064</v>
      </c>
      <c r="M3854" t="s">
        <v>2383</v>
      </c>
      <c r="N3854" s="15" t="s">
        <v>6878</v>
      </c>
    </row>
    <row r="3855" spans="1:14" x14ac:dyDescent="0.2">
      <c r="A3855" t="s">
        <v>4984</v>
      </c>
      <c r="B3855" t="s">
        <v>2360</v>
      </c>
      <c r="C3855" s="9">
        <v>45022</v>
      </c>
      <c r="D3855" t="s">
        <v>946</v>
      </c>
      <c r="E3855" s="13">
        <v>950000</v>
      </c>
      <c r="F3855" s="13">
        <v>5550</v>
      </c>
      <c r="G3855" s="9">
        <v>45023</v>
      </c>
      <c r="H3855" t="s">
        <v>1111</v>
      </c>
      <c r="I3855" t="s">
        <v>2382</v>
      </c>
      <c r="J3855" s="13">
        <v>15817</v>
      </c>
      <c r="K3855">
        <v>1</v>
      </c>
      <c r="L3855" t="s">
        <v>1064</v>
      </c>
      <c r="M3855" t="s">
        <v>2383</v>
      </c>
      <c r="N3855" s="15" t="s">
        <v>6878</v>
      </c>
    </row>
    <row r="3856" spans="1:14" x14ac:dyDescent="0.2">
      <c r="A3856" t="s">
        <v>4985</v>
      </c>
      <c r="B3856" t="s">
        <v>2360</v>
      </c>
      <c r="C3856" s="9">
        <v>45022</v>
      </c>
      <c r="D3856" t="s">
        <v>946</v>
      </c>
      <c r="E3856" s="13">
        <v>950000</v>
      </c>
      <c r="F3856" s="13">
        <v>5550</v>
      </c>
      <c r="G3856" s="9">
        <v>45023</v>
      </c>
      <c r="H3856" t="s">
        <v>1111</v>
      </c>
      <c r="I3856" t="s">
        <v>2382</v>
      </c>
      <c r="J3856" s="13">
        <v>15817</v>
      </c>
      <c r="K3856">
        <v>1</v>
      </c>
      <c r="L3856" t="s">
        <v>1064</v>
      </c>
      <c r="M3856" t="s">
        <v>2383</v>
      </c>
      <c r="N3856" s="15" t="s">
        <v>6878</v>
      </c>
    </row>
    <row r="3857" spans="1:14" x14ac:dyDescent="0.2">
      <c r="A3857" t="s">
        <v>4986</v>
      </c>
      <c r="B3857" t="s">
        <v>2360</v>
      </c>
      <c r="C3857" s="9">
        <v>45022</v>
      </c>
      <c r="D3857" t="s">
        <v>946</v>
      </c>
      <c r="E3857" s="13">
        <v>3452000</v>
      </c>
      <c r="F3857" s="13">
        <v>5550</v>
      </c>
      <c r="G3857" s="9">
        <v>45023</v>
      </c>
      <c r="H3857" t="s">
        <v>1111</v>
      </c>
      <c r="I3857" t="s">
        <v>2382</v>
      </c>
      <c r="J3857" s="13">
        <v>57475</v>
      </c>
      <c r="K3857">
        <v>1</v>
      </c>
      <c r="L3857" t="s">
        <v>1064</v>
      </c>
      <c r="M3857" t="s">
        <v>2383</v>
      </c>
      <c r="N3857" s="15" t="s">
        <v>6878</v>
      </c>
    </row>
    <row r="3858" spans="1:14" x14ac:dyDescent="0.2">
      <c r="A3858" t="s">
        <v>4987</v>
      </c>
      <c r="B3858" t="s">
        <v>2360</v>
      </c>
      <c r="C3858" s="9">
        <v>45022</v>
      </c>
      <c r="D3858" t="s">
        <v>946</v>
      </c>
      <c r="E3858" s="13">
        <v>14870776</v>
      </c>
      <c r="F3858" s="13">
        <v>5550</v>
      </c>
      <c r="G3858" s="9">
        <v>45023</v>
      </c>
      <c r="H3858" t="s">
        <v>1111</v>
      </c>
      <c r="I3858" t="s">
        <v>2382</v>
      </c>
      <c r="J3858" s="13">
        <v>247597</v>
      </c>
      <c r="K3858">
        <v>1</v>
      </c>
      <c r="L3858" t="s">
        <v>1064</v>
      </c>
      <c r="M3858" t="s">
        <v>2383</v>
      </c>
      <c r="N3858" s="15" t="s">
        <v>6878</v>
      </c>
    </row>
    <row r="3859" spans="1:14" x14ac:dyDescent="0.2">
      <c r="A3859" t="s">
        <v>4988</v>
      </c>
      <c r="B3859" t="s">
        <v>2360</v>
      </c>
      <c r="C3859" s="9">
        <v>45022</v>
      </c>
      <c r="D3859" t="s">
        <v>946</v>
      </c>
      <c r="E3859" s="13">
        <v>20600000</v>
      </c>
      <c r="F3859" s="13">
        <v>5550</v>
      </c>
      <c r="G3859" s="9">
        <v>45023</v>
      </c>
      <c r="H3859" t="s">
        <v>1111</v>
      </c>
      <c r="I3859" t="s">
        <v>2382</v>
      </c>
      <c r="J3859" s="13">
        <v>342990</v>
      </c>
      <c r="K3859">
        <v>1</v>
      </c>
      <c r="L3859" t="s">
        <v>1064</v>
      </c>
      <c r="M3859" t="s">
        <v>2383</v>
      </c>
      <c r="N3859" s="15" t="s">
        <v>6878</v>
      </c>
    </row>
    <row r="3860" spans="1:14" x14ac:dyDescent="0.2">
      <c r="A3860" t="s">
        <v>4989</v>
      </c>
      <c r="B3860" t="s">
        <v>2360</v>
      </c>
      <c r="C3860" s="9">
        <v>45022</v>
      </c>
      <c r="D3860" t="s">
        <v>946</v>
      </c>
      <c r="E3860" s="13">
        <v>12327633</v>
      </c>
      <c r="F3860" s="13">
        <v>5550</v>
      </c>
      <c r="G3860" s="9">
        <v>45023</v>
      </c>
      <c r="H3860" t="s">
        <v>1111</v>
      </c>
      <c r="I3860" t="s">
        <v>2382</v>
      </c>
      <c r="J3860" s="13">
        <v>205254</v>
      </c>
      <c r="K3860">
        <v>1</v>
      </c>
      <c r="L3860" t="s">
        <v>1064</v>
      </c>
      <c r="M3860" t="s">
        <v>2383</v>
      </c>
      <c r="N3860" s="15" t="s">
        <v>6878</v>
      </c>
    </row>
    <row r="3861" spans="1:14" x14ac:dyDescent="0.2">
      <c r="A3861" t="s">
        <v>4990</v>
      </c>
      <c r="B3861" t="s">
        <v>2360</v>
      </c>
      <c r="C3861" s="9">
        <v>45022</v>
      </c>
      <c r="D3861" t="s">
        <v>946</v>
      </c>
      <c r="E3861" s="13">
        <v>16981150</v>
      </c>
      <c r="F3861" s="13">
        <v>5550</v>
      </c>
      <c r="G3861" s="9">
        <v>45023</v>
      </c>
      <c r="H3861" t="s">
        <v>1111</v>
      </c>
      <c r="I3861" t="s">
        <v>2382</v>
      </c>
      <c r="J3861" s="13">
        <v>282735</v>
      </c>
      <c r="K3861">
        <v>1</v>
      </c>
      <c r="L3861" t="s">
        <v>1064</v>
      </c>
      <c r="M3861" t="s">
        <v>2383</v>
      </c>
      <c r="N3861" s="15" t="s">
        <v>6878</v>
      </c>
    </row>
    <row r="3862" spans="1:14" x14ac:dyDescent="0.2">
      <c r="A3862" t="s">
        <v>4991</v>
      </c>
      <c r="B3862" t="s">
        <v>2360</v>
      </c>
      <c r="C3862" s="9">
        <v>45022</v>
      </c>
      <c r="D3862" t="s">
        <v>946</v>
      </c>
      <c r="E3862" s="13">
        <v>7666576</v>
      </c>
      <c r="F3862" s="13">
        <v>5550</v>
      </c>
      <c r="G3862" s="9">
        <v>45023</v>
      </c>
      <c r="H3862" t="s">
        <v>1111</v>
      </c>
      <c r="I3862" t="s">
        <v>2382</v>
      </c>
      <c r="J3862" s="13">
        <v>127647</v>
      </c>
      <c r="K3862">
        <v>1</v>
      </c>
      <c r="L3862" t="s">
        <v>1064</v>
      </c>
      <c r="M3862" t="s">
        <v>2383</v>
      </c>
      <c r="N3862" s="15" t="s">
        <v>6878</v>
      </c>
    </row>
    <row r="3863" spans="1:14" x14ac:dyDescent="0.2">
      <c r="A3863" t="s">
        <v>4992</v>
      </c>
      <c r="B3863" t="s">
        <v>2360</v>
      </c>
      <c r="C3863" s="9">
        <v>45022</v>
      </c>
      <c r="D3863" t="s">
        <v>946</v>
      </c>
      <c r="E3863" s="13">
        <v>17395545</v>
      </c>
      <c r="F3863" s="13">
        <v>5550</v>
      </c>
      <c r="G3863" s="9">
        <v>45023</v>
      </c>
      <c r="H3863" t="s">
        <v>1111</v>
      </c>
      <c r="I3863" t="s">
        <v>2382</v>
      </c>
      <c r="J3863" s="13">
        <v>289635</v>
      </c>
      <c r="K3863">
        <v>1</v>
      </c>
      <c r="L3863" t="s">
        <v>1064</v>
      </c>
      <c r="M3863" t="s">
        <v>2383</v>
      </c>
      <c r="N3863" s="15" t="s">
        <v>6878</v>
      </c>
    </row>
    <row r="3864" spans="1:14" x14ac:dyDescent="0.2">
      <c r="A3864" t="s">
        <v>4993</v>
      </c>
      <c r="B3864" t="s">
        <v>2360</v>
      </c>
      <c r="C3864" s="9">
        <v>45022</v>
      </c>
      <c r="D3864" t="s">
        <v>946</v>
      </c>
      <c r="E3864" s="13">
        <v>24007500</v>
      </c>
      <c r="F3864" s="13">
        <v>5550</v>
      </c>
      <c r="G3864" s="9">
        <v>45023</v>
      </c>
      <c r="H3864" t="s">
        <v>1111</v>
      </c>
      <c r="I3864" t="s">
        <v>2382</v>
      </c>
      <c r="J3864" s="13">
        <v>399724</v>
      </c>
      <c r="K3864">
        <v>1</v>
      </c>
      <c r="L3864" t="s">
        <v>1064</v>
      </c>
      <c r="M3864" t="s">
        <v>2383</v>
      </c>
      <c r="N3864" s="15" t="s">
        <v>6878</v>
      </c>
    </row>
    <row r="3865" spans="1:14" x14ac:dyDescent="0.2">
      <c r="A3865" t="s">
        <v>4994</v>
      </c>
      <c r="B3865" t="s">
        <v>2360</v>
      </c>
      <c r="C3865" s="9">
        <v>45022</v>
      </c>
      <c r="D3865" t="s">
        <v>946</v>
      </c>
      <c r="E3865" s="13">
        <v>19873440</v>
      </c>
      <c r="F3865" s="13">
        <v>5550</v>
      </c>
      <c r="G3865" s="9">
        <v>45023</v>
      </c>
      <c r="H3865" t="s">
        <v>1111</v>
      </c>
      <c r="I3865" t="s">
        <v>2382</v>
      </c>
      <c r="J3865" s="13">
        <v>330892</v>
      </c>
      <c r="K3865">
        <v>1</v>
      </c>
      <c r="L3865" t="s">
        <v>1064</v>
      </c>
      <c r="M3865" t="s">
        <v>2383</v>
      </c>
      <c r="N3865" s="15" t="s">
        <v>6878</v>
      </c>
    </row>
    <row r="3866" spans="1:14" x14ac:dyDescent="0.2">
      <c r="A3866" t="s">
        <v>4995</v>
      </c>
      <c r="B3866" t="s">
        <v>2360</v>
      </c>
      <c r="C3866" s="9">
        <v>45022</v>
      </c>
      <c r="D3866" t="s">
        <v>946</v>
      </c>
      <c r="E3866" s="13">
        <v>18803880</v>
      </c>
      <c r="F3866" s="13">
        <v>5550</v>
      </c>
      <c r="G3866" s="9">
        <v>45023</v>
      </c>
      <c r="H3866" t="s">
        <v>1111</v>
      </c>
      <c r="I3866" t="s">
        <v>2382</v>
      </c>
      <c r="J3866" s="13">
        <v>313084</v>
      </c>
      <c r="K3866">
        <v>1</v>
      </c>
      <c r="L3866" t="s">
        <v>1064</v>
      </c>
      <c r="M3866" t="s">
        <v>2383</v>
      </c>
      <c r="N3866" s="15" t="s">
        <v>6878</v>
      </c>
    </row>
    <row r="3867" spans="1:14" x14ac:dyDescent="0.2">
      <c r="A3867" t="s">
        <v>4996</v>
      </c>
      <c r="B3867" t="s">
        <v>2360</v>
      </c>
      <c r="C3867" s="9">
        <v>45022</v>
      </c>
      <c r="D3867" t="s">
        <v>946</v>
      </c>
      <c r="E3867" s="13">
        <v>19361880</v>
      </c>
      <c r="F3867" s="13">
        <v>5550</v>
      </c>
      <c r="G3867" s="9">
        <v>45023</v>
      </c>
      <c r="H3867" t="s">
        <v>1111</v>
      </c>
      <c r="I3867" t="s">
        <v>2382</v>
      </c>
      <c r="J3867" s="13">
        <v>322375</v>
      </c>
      <c r="K3867">
        <v>1</v>
      </c>
      <c r="L3867" t="s">
        <v>1064</v>
      </c>
      <c r="M3867" t="s">
        <v>2383</v>
      </c>
      <c r="N3867" s="15" t="s">
        <v>6878</v>
      </c>
    </row>
    <row r="3868" spans="1:14" x14ac:dyDescent="0.2">
      <c r="A3868" t="s">
        <v>4997</v>
      </c>
      <c r="B3868" t="s">
        <v>2360</v>
      </c>
      <c r="C3868" s="9">
        <v>45022</v>
      </c>
      <c r="D3868" t="s">
        <v>946</v>
      </c>
      <c r="E3868" s="13">
        <v>16723440</v>
      </c>
      <c r="F3868" s="13">
        <v>5550</v>
      </c>
      <c r="G3868" s="9">
        <v>45023</v>
      </c>
      <c r="H3868" t="s">
        <v>1111</v>
      </c>
      <c r="I3868" t="s">
        <v>2382</v>
      </c>
      <c r="J3868" s="13">
        <v>278444</v>
      </c>
      <c r="K3868">
        <v>1</v>
      </c>
      <c r="L3868" t="s">
        <v>1064</v>
      </c>
      <c r="M3868" t="s">
        <v>2383</v>
      </c>
      <c r="N3868" s="15" t="s">
        <v>6878</v>
      </c>
    </row>
    <row r="3869" spans="1:14" x14ac:dyDescent="0.2">
      <c r="A3869" t="s">
        <v>4998</v>
      </c>
      <c r="B3869" t="s">
        <v>2360</v>
      </c>
      <c r="C3869" s="9">
        <v>45022</v>
      </c>
      <c r="D3869" t="s">
        <v>946</v>
      </c>
      <c r="E3869" s="13">
        <v>17834481</v>
      </c>
      <c r="F3869" s="13">
        <v>5550</v>
      </c>
      <c r="G3869" s="9">
        <v>45023</v>
      </c>
      <c r="H3869" t="s">
        <v>1111</v>
      </c>
      <c r="I3869" t="s">
        <v>2382</v>
      </c>
      <c r="J3869" s="13">
        <v>296943</v>
      </c>
      <c r="K3869">
        <v>1</v>
      </c>
      <c r="L3869" t="s">
        <v>1064</v>
      </c>
      <c r="M3869" t="s">
        <v>2383</v>
      </c>
      <c r="N3869" s="15" t="s">
        <v>6878</v>
      </c>
    </row>
    <row r="3870" spans="1:14" x14ac:dyDescent="0.2">
      <c r="A3870" t="s">
        <v>4999</v>
      </c>
      <c r="B3870" t="s">
        <v>2360</v>
      </c>
      <c r="C3870" s="9">
        <v>45022</v>
      </c>
      <c r="D3870" t="s">
        <v>946</v>
      </c>
      <c r="E3870" s="13">
        <v>12150000</v>
      </c>
      <c r="F3870" s="13">
        <v>5550</v>
      </c>
      <c r="G3870" s="9">
        <v>45023</v>
      </c>
      <c r="H3870" t="s">
        <v>1111</v>
      </c>
      <c r="I3870" t="s">
        <v>2382</v>
      </c>
      <c r="J3870" s="13">
        <v>202297</v>
      </c>
      <c r="K3870">
        <v>1</v>
      </c>
      <c r="L3870" t="s">
        <v>1064</v>
      </c>
      <c r="M3870" t="s">
        <v>2383</v>
      </c>
      <c r="N3870" s="15" t="s">
        <v>6878</v>
      </c>
    </row>
    <row r="3871" spans="1:14" x14ac:dyDescent="0.2">
      <c r="A3871" t="s">
        <v>5000</v>
      </c>
      <c r="B3871" t="s">
        <v>2360</v>
      </c>
      <c r="C3871" s="9">
        <v>45022</v>
      </c>
      <c r="D3871" t="s">
        <v>946</v>
      </c>
      <c r="E3871" s="13">
        <v>16710606</v>
      </c>
      <c r="F3871" s="13">
        <v>5550</v>
      </c>
      <c r="G3871" s="9">
        <v>45023</v>
      </c>
      <c r="H3871" t="s">
        <v>1111</v>
      </c>
      <c r="I3871" t="s">
        <v>2382</v>
      </c>
      <c r="J3871" s="13">
        <v>278231</v>
      </c>
      <c r="K3871">
        <v>1</v>
      </c>
      <c r="L3871" t="s">
        <v>1064</v>
      </c>
      <c r="M3871" t="s">
        <v>2383</v>
      </c>
      <c r="N3871" s="15" t="s">
        <v>6878</v>
      </c>
    </row>
    <row r="3872" spans="1:14" x14ac:dyDescent="0.2">
      <c r="A3872" t="s">
        <v>5001</v>
      </c>
      <c r="B3872" t="s">
        <v>2360</v>
      </c>
      <c r="C3872" s="9">
        <v>45022</v>
      </c>
      <c r="D3872" t="s">
        <v>946</v>
      </c>
      <c r="E3872" s="13">
        <v>16850129</v>
      </c>
      <c r="F3872" s="13">
        <v>5550</v>
      </c>
      <c r="G3872" s="9">
        <v>45023</v>
      </c>
      <c r="H3872" t="s">
        <v>1111</v>
      </c>
      <c r="I3872" t="s">
        <v>2382</v>
      </c>
      <c r="J3872" s="13">
        <v>280553</v>
      </c>
      <c r="K3872">
        <v>1</v>
      </c>
      <c r="L3872" t="s">
        <v>1064</v>
      </c>
      <c r="M3872" t="s">
        <v>2383</v>
      </c>
      <c r="N3872" s="15" t="s">
        <v>6878</v>
      </c>
    </row>
    <row r="3873" spans="1:14" x14ac:dyDescent="0.2">
      <c r="A3873" t="s">
        <v>5002</v>
      </c>
      <c r="B3873" t="s">
        <v>2360</v>
      </c>
      <c r="C3873" s="9">
        <v>45022</v>
      </c>
      <c r="D3873" t="s">
        <v>946</v>
      </c>
      <c r="E3873" s="13">
        <v>3200000</v>
      </c>
      <c r="F3873" s="13">
        <v>5550</v>
      </c>
      <c r="G3873" s="9">
        <v>45023</v>
      </c>
      <c r="H3873" t="s">
        <v>1111</v>
      </c>
      <c r="I3873" t="s">
        <v>2382</v>
      </c>
      <c r="J3873" s="13">
        <v>53280</v>
      </c>
      <c r="K3873">
        <v>1</v>
      </c>
      <c r="L3873" t="s">
        <v>1064</v>
      </c>
      <c r="M3873" t="s">
        <v>2383</v>
      </c>
      <c r="N3873" s="15" t="s">
        <v>6878</v>
      </c>
    </row>
    <row r="3874" spans="1:14" x14ac:dyDescent="0.2">
      <c r="A3874" t="s">
        <v>5003</v>
      </c>
      <c r="B3874" t="s">
        <v>2360</v>
      </c>
      <c r="C3874" s="9">
        <v>45022</v>
      </c>
      <c r="D3874" t="s">
        <v>946</v>
      </c>
      <c r="E3874" s="13">
        <v>950000</v>
      </c>
      <c r="F3874" s="13">
        <v>5550</v>
      </c>
      <c r="G3874" s="9">
        <v>45023</v>
      </c>
      <c r="H3874" t="s">
        <v>1111</v>
      </c>
      <c r="I3874" t="s">
        <v>2382</v>
      </c>
      <c r="J3874" s="13">
        <v>15817</v>
      </c>
      <c r="K3874">
        <v>1</v>
      </c>
      <c r="L3874" t="s">
        <v>1064</v>
      </c>
      <c r="M3874" t="s">
        <v>2383</v>
      </c>
      <c r="N3874" s="15" t="s">
        <v>6878</v>
      </c>
    </row>
    <row r="3875" spans="1:14" x14ac:dyDescent="0.2">
      <c r="A3875" t="s">
        <v>5004</v>
      </c>
      <c r="B3875" t="s">
        <v>2360</v>
      </c>
      <c r="C3875" s="9">
        <v>45022</v>
      </c>
      <c r="D3875" t="s">
        <v>32</v>
      </c>
      <c r="E3875" s="13">
        <v>3700000</v>
      </c>
      <c r="F3875" s="13">
        <v>27750</v>
      </c>
      <c r="G3875" s="9">
        <v>45022</v>
      </c>
      <c r="H3875" t="s">
        <v>1063</v>
      </c>
      <c r="I3875" t="s">
        <v>520</v>
      </c>
      <c r="J3875" s="13">
        <v>102675</v>
      </c>
      <c r="K3875">
        <v>1</v>
      </c>
      <c r="L3875" t="s">
        <v>1064</v>
      </c>
      <c r="M3875" t="s">
        <v>5005</v>
      </c>
      <c r="N3875" s="15" t="s">
        <v>6878</v>
      </c>
    </row>
    <row r="3876" spans="1:14" x14ac:dyDescent="0.2">
      <c r="A3876" t="s">
        <v>5006</v>
      </c>
      <c r="B3876" t="s">
        <v>2360</v>
      </c>
      <c r="C3876" s="9">
        <v>45022</v>
      </c>
      <c r="D3876" t="s">
        <v>949</v>
      </c>
      <c r="E3876" s="13">
        <v>45000000</v>
      </c>
      <c r="F3876" s="13">
        <v>22200</v>
      </c>
      <c r="G3876" s="9">
        <v>45022</v>
      </c>
      <c r="H3876" t="s">
        <v>1111</v>
      </c>
      <c r="I3876" t="s">
        <v>1746</v>
      </c>
      <c r="J3876" s="13">
        <v>1248750</v>
      </c>
      <c r="K3876">
        <v>1</v>
      </c>
      <c r="L3876" t="s">
        <v>1064</v>
      </c>
      <c r="M3876" t="s">
        <v>1747</v>
      </c>
      <c r="N3876" s="15" t="s">
        <v>6878</v>
      </c>
    </row>
    <row r="3877" spans="1:14" x14ac:dyDescent="0.2">
      <c r="A3877" t="s">
        <v>5007</v>
      </c>
      <c r="B3877" t="s">
        <v>2360</v>
      </c>
      <c r="C3877" s="9">
        <v>45022</v>
      </c>
      <c r="D3877" t="s">
        <v>949</v>
      </c>
      <c r="E3877" s="13">
        <v>45000000</v>
      </c>
      <c r="F3877" s="13">
        <v>22200</v>
      </c>
      <c r="G3877" s="9">
        <v>45022</v>
      </c>
      <c r="H3877" t="s">
        <v>1111</v>
      </c>
      <c r="I3877" t="s">
        <v>1746</v>
      </c>
      <c r="J3877" s="13">
        <v>1248750</v>
      </c>
      <c r="K3877">
        <v>1</v>
      </c>
      <c r="L3877" t="s">
        <v>1064</v>
      </c>
      <c r="M3877" t="s">
        <v>1747</v>
      </c>
      <c r="N3877" s="15" t="s">
        <v>6878</v>
      </c>
    </row>
    <row r="3878" spans="1:14" x14ac:dyDescent="0.2">
      <c r="A3878" t="s">
        <v>5008</v>
      </c>
      <c r="B3878" t="s">
        <v>2360</v>
      </c>
      <c r="C3878" s="9">
        <v>45022</v>
      </c>
      <c r="D3878" t="s">
        <v>949</v>
      </c>
      <c r="E3878" s="13">
        <v>59860000</v>
      </c>
      <c r="F3878" s="13">
        <v>22200</v>
      </c>
      <c r="G3878" s="9">
        <v>45022</v>
      </c>
      <c r="H3878" t="s">
        <v>1111</v>
      </c>
      <c r="I3878" t="s">
        <v>1746</v>
      </c>
      <c r="J3878" s="13">
        <v>1661115</v>
      </c>
      <c r="K3878">
        <v>1</v>
      </c>
      <c r="L3878" t="s">
        <v>1064</v>
      </c>
      <c r="M3878" t="s">
        <v>1747</v>
      </c>
      <c r="N3878" s="15" t="s">
        <v>6878</v>
      </c>
    </row>
    <row r="3879" spans="1:14" x14ac:dyDescent="0.2">
      <c r="A3879" t="s">
        <v>5009</v>
      </c>
      <c r="B3879" t="s">
        <v>2360</v>
      </c>
      <c r="C3879" s="9">
        <v>45022</v>
      </c>
      <c r="D3879" t="s">
        <v>9</v>
      </c>
      <c r="E3879" s="13">
        <v>340060</v>
      </c>
      <c r="F3879" s="13">
        <v>24975</v>
      </c>
      <c r="G3879" s="9">
        <v>45043</v>
      </c>
      <c r="H3879" t="s">
        <v>1111</v>
      </c>
      <c r="I3879" t="s">
        <v>436</v>
      </c>
      <c r="J3879" s="13">
        <v>11323</v>
      </c>
      <c r="K3879">
        <v>1</v>
      </c>
      <c r="L3879" t="s">
        <v>1064</v>
      </c>
      <c r="M3879" t="s">
        <v>2364</v>
      </c>
      <c r="N3879" s="15" t="s">
        <v>6878</v>
      </c>
    </row>
    <row r="3880" spans="1:14" x14ac:dyDescent="0.2">
      <c r="A3880" t="s">
        <v>5010</v>
      </c>
      <c r="B3880" t="s">
        <v>2360</v>
      </c>
      <c r="C3880" s="9">
        <v>45022</v>
      </c>
      <c r="D3880" t="s">
        <v>9</v>
      </c>
      <c r="E3880" s="13">
        <v>7056000</v>
      </c>
      <c r="F3880" s="13">
        <v>49950</v>
      </c>
      <c r="G3880" s="9">
        <v>45043</v>
      </c>
      <c r="H3880" t="s">
        <v>1111</v>
      </c>
      <c r="I3880" t="s">
        <v>2361</v>
      </c>
      <c r="J3880" s="13">
        <v>234964</v>
      </c>
      <c r="K3880">
        <v>2</v>
      </c>
      <c r="L3880" t="s">
        <v>1064</v>
      </c>
      <c r="M3880" t="s">
        <v>2362</v>
      </c>
      <c r="N3880" s="15" t="s">
        <v>6878</v>
      </c>
    </row>
    <row r="3881" spans="1:14" x14ac:dyDescent="0.2">
      <c r="A3881" t="s">
        <v>5011</v>
      </c>
      <c r="B3881" t="s">
        <v>2360</v>
      </c>
      <c r="C3881" s="9">
        <v>45022</v>
      </c>
      <c r="D3881" t="s">
        <v>949</v>
      </c>
      <c r="E3881" s="13">
        <v>14750000</v>
      </c>
      <c r="F3881" s="13">
        <v>22200</v>
      </c>
      <c r="G3881" s="9">
        <v>45022</v>
      </c>
      <c r="H3881" t="s">
        <v>1111</v>
      </c>
      <c r="I3881" t="s">
        <v>1746</v>
      </c>
      <c r="J3881" s="13">
        <v>409312</v>
      </c>
      <c r="K3881">
        <v>1</v>
      </c>
      <c r="L3881" t="s">
        <v>1064</v>
      </c>
      <c r="M3881" t="s">
        <v>1747</v>
      </c>
      <c r="N3881" s="15" t="s">
        <v>6878</v>
      </c>
    </row>
    <row r="3882" spans="1:14" x14ac:dyDescent="0.2">
      <c r="A3882" t="s">
        <v>5012</v>
      </c>
      <c r="B3882" t="s">
        <v>2360</v>
      </c>
      <c r="C3882" s="9">
        <v>45022</v>
      </c>
      <c r="D3882" t="s">
        <v>949</v>
      </c>
      <c r="E3882" s="13">
        <v>14750000</v>
      </c>
      <c r="F3882" s="13">
        <v>22200</v>
      </c>
      <c r="G3882" s="9">
        <v>45022</v>
      </c>
      <c r="H3882" t="s">
        <v>1111</v>
      </c>
      <c r="I3882" t="s">
        <v>1746</v>
      </c>
      <c r="J3882" s="13">
        <v>409312</v>
      </c>
      <c r="K3882">
        <v>1</v>
      </c>
      <c r="L3882" t="s">
        <v>1064</v>
      </c>
      <c r="M3882" t="s">
        <v>1747</v>
      </c>
      <c r="N3882" s="15" t="s">
        <v>6878</v>
      </c>
    </row>
    <row r="3883" spans="1:14" x14ac:dyDescent="0.2">
      <c r="A3883" t="s">
        <v>5013</v>
      </c>
      <c r="B3883" t="s">
        <v>2360</v>
      </c>
      <c r="C3883" s="9">
        <v>45022</v>
      </c>
      <c r="D3883" t="s">
        <v>949</v>
      </c>
      <c r="E3883" s="13">
        <v>14750000</v>
      </c>
      <c r="F3883" s="13">
        <v>22200</v>
      </c>
      <c r="G3883" s="9">
        <v>45022</v>
      </c>
      <c r="H3883" t="s">
        <v>1111</v>
      </c>
      <c r="I3883" t="s">
        <v>1746</v>
      </c>
      <c r="J3883" s="13">
        <v>409312</v>
      </c>
      <c r="K3883">
        <v>1</v>
      </c>
      <c r="L3883" t="s">
        <v>1064</v>
      </c>
      <c r="M3883" t="s">
        <v>1747</v>
      </c>
      <c r="N3883" s="15" t="s">
        <v>6878</v>
      </c>
    </row>
    <row r="3884" spans="1:14" x14ac:dyDescent="0.2">
      <c r="A3884" t="s">
        <v>5014</v>
      </c>
      <c r="B3884" t="s">
        <v>2360</v>
      </c>
      <c r="C3884" s="9">
        <v>45022</v>
      </c>
      <c r="D3884" t="s">
        <v>949</v>
      </c>
      <c r="E3884" s="13">
        <v>14750000</v>
      </c>
      <c r="F3884" s="13">
        <v>22200</v>
      </c>
      <c r="G3884" s="9">
        <v>45022</v>
      </c>
      <c r="H3884" t="s">
        <v>1111</v>
      </c>
      <c r="I3884" t="s">
        <v>1746</v>
      </c>
      <c r="J3884" s="13">
        <v>409312</v>
      </c>
      <c r="K3884">
        <v>1</v>
      </c>
      <c r="L3884" t="s">
        <v>1064</v>
      </c>
      <c r="M3884" t="s">
        <v>1747</v>
      </c>
      <c r="N3884" s="15" t="s">
        <v>6878</v>
      </c>
    </row>
    <row r="3885" spans="1:14" x14ac:dyDescent="0.2">
      <c r="A3885" t="s">
        <v>5015</v>
      </c>
      <c r="B3885" t="s">
        <v>2360</v>
      </c>
      <c r="C3885" s="9">
        <v>45022</v>
      </c>
      <c r="D3885" t="s">
        <v>949</v>
      </c>
      <c r="E3885" s="13">
        <v>14750000</v>
      </c>
      <c r="F3885" s="13">
        <v>22200</v>
      </c>
      <c r="G3885" s="9">
        <v>45022</v>
      </c>
      <c r="H3885" t="s">
        <v>1111</v>
      </c>
      <c r="I3885" t="s">
        <v>1746</v>
      </c>
      <c r="J3885" s="13">
        <v>409312</v>
      </c>
      <c r="K3885">
        <v>1</v>
      </c>
      <c r="L3885" t="s">
        <v>1064</v>
      </c>
      <c r="M3885" t="s">
        <v>1747</v>
      </c>
      <c r="N3885" s="15" t="s">
        <v>6878</v>
      </c>
    </row>
    <row r="3886" spans="1:14" x14ac:dyDescent="0.2">
      <c r="A3886" t="s">
        <v>5016</v>
      </c>
      <c r="B3886" t="s">
        <v>2360</v>
      </c>
      <c r="C3886" s="9">
        <v>45022</v>
      </c>
      <c r="D3886" t="s">
        <v>949</v>
      </c>
      <c r="E3886" s="13">
        <v>24495000</v>
      </c>
      <c r="F3886" s="13">
        <v>22200</v>
      </c>
      <c r="G3886" s="9">
        <v>45022</v>
      </c>
      <c r="H3886" t="s">
        <v>1111</v>
      </c>
      <c r="I3886" t="s">
        <v>1746</v>
      </c>
      <c r="J3886" s="13">
        <v>679736</v>
      </c>
      <c r="K3886">
        <v>1</v>
      </c>
      <c r="L3886" t="s">
        <v>1064</v>
      </c>
      <c r="M3886" t="s">
        <v>1747</v>
      </c>
      <c r="N3886" s="15" t="s">
        <v>6878</v>
      </c>
    </row>
    <row r="3887" spans="1:14" x14ac:dyDescent="0.2">
      <c r="A3887" t="s">
        <v>5017</v>
      </c>
      <c r="B3887" t="s">
        <v>2360</v>
      </c>
      <c r="C3887" s="9">
        <v>45022</v>
      </c>
      <c r="D3887" t="s">
        <v>949</v>
      </c>
      <c r="E3887" s="13">
        <v>45000000</v>
      </c>
      <c r="F3887" s="13">
        <v>22200</v>
      </c>
      <c r="G3887" s="9">
        <v>45022</v>
      </c>
      <c r="H3887" t="s">
        <v>1111</v>
      </c>
      <c r="I3887" t="s">
        <v>1746</v>
      </c>
      <c r="J3887" s="13">
        <v>1248750</v>
      </c>
      <c r="K3887">
        <v>1</v>
      </c>
      <c r="L3887" t="s">
        <v>1064</v>
      </c>
      <c r="M3887" t="s">
        <v>1747</v>
      </c>
      <c r="N3887" s="15" t="s">
        <v>6878</v>
      </c>
    </row>
    <row r="3888" spans="1:14" x14ac:dyDescent="0.2">
      <c r="A3888" t="s">
        <v>5018</v>
      </c>
      <c r="B3888" t="s">
        <v>2360</v>
      </c>
      <c r="C3888" s="9">
        <v>45022</v>
      </c>
      <c r="D3888" t="s">
        <v>949</v>
      </c>
      <c r="E3888" s="13">
        <v>45000000</v>
      </c>
      <c r="F3888" s="13">
        <v>22200</v>
      </c>
      <c r="G3888" s="9">
        <v>45022</v>
      </c>
      <c r="H3888" t="s">
        <v>1111</v>
      </c>
      <c r="I3888" t="s">
        <v>1746</v>
      </c>
      <c r="J3888" s="13">
        <v>1248750</v>
      </c>
      <c r="K3888">
        <v>1</v>
      </c>
      <c r="L3888" t="s">
        <v>1064</v>
      </c>
      <c r="M3888" t="s">
        <v>1747</v>
      </c>
      <c r="N3888" s="15" t="s">
        <v>6878</v>
      </c>
    </row>
    <row r="3889" spans="1:14" x14ac:dyDescent="0.2">
      <c r="A3889" t="s">
        <v>5019</v>
      </c>
      <c r="B3889" t="s">
        <v>2360</v>
      </c>
      <c r="C3889" s="9">
        <v>45022</v>
      </c>
      <c r="D3889" t="s">
        <v>949</v>
      </c>
      <c r="E3889" s="13">
        <v>59860000</v>
      </c>
      <c r="F3889" s="13">
        <v>22200</v>
      </c>
      <c r="G3889" s="9">
        <v>45022</v>
      </c>
      <c r="H3889" t="s">
        <v>1111</v>
      </c>
      <c r="I3889" t="s">
        <v>1746</v>
      </c>
      <c r="J3889" s="13">
        <v>1661115</v>
      </c>
      <c r="K3889">
        <v>1</v>
      </c>
      <c r="L3889" t="s">
        <v>1064</v>
      </c>
      <c r="M3889" t="s">
        <v>1747</v>
      </c>
      <c r="N3889" s="15" t="s">
        <v>6878</v>
      </c>
    </row>
    <row r="3890" spans="1:14" x14ac:dyDescent="0.2">
      <c r="A3890" t="s">
        <v>5020</v>
      </c>
      <c r="B3890" t="s">
        <v>2360</v>
      </c>
      <c r="C3890" s="9">
        <v>45022</v>
      </c>
      <c r="D3890" t="s">
        <v>949</v>
      </c>
      <c r="E3890" s="13">
        <v>45000000</v>
      </c>
      <c r="F3890" s="13">
        <v>22200</v>
      </c>
      <c r="G3890" s="9">
        <v>45022</v>
      </c>
      <c r="H3890" t="s">
        <v>1111</v>
      </c>
      <c r="I3890" t="s">
        <v>1746</v>
      </c>
      <c r="J3890" s="13">
        <v>1248750</v>
      </c>
      <c r="K3890">
        <v>1</v>
      </c>
      <c r="L3890" t="s">
        <v>1064</v>
      </c>
      <c r="M3890" t="s">
        <v>1747</v>
      </c>
      <c r="N3890" s="15" t="s">
        <v>6878</v>
      </c>
    </row>
    <row r="3891" spans="1:14" x14ac:dyDescent="0.2">
      <c r="A3891" t="s">
        <v>5021</v>
      </c>
      <c r="B3891" t="s">
        <v>2360</v>
      </c>
      <c r="C3891" s="9">
        <v>45022</v>
      </c>
      <c r="D3891" t="s">
        <v>949</v>
      </c>
      <c r="E3891" s="13">
        <v>45000000</v>
      </c>
      <c r="F3891" s="13">
        <v>22200</v>
      </c>
      <c r="G3891" s="9">
        <v>45022</v>
      </c>
      <c r="H3891" t="s">
        <v>1111</v>
      </c>
      <c r="I3891" t="s">
        <v>1746</v>
      </c>
      <c r="J3891" s="13">
        <v>1248750</v>
      </c>
      <c r="K3891">
        <v>1</v>
      </c>
      <c r="L3891" t="s">
        <v>1064</v>
      </c>
      <c r="M3891" t="s">
        <v>1747</v>
      </c>
      <c r="N3891" s="15" t="s">
        <v>6878</v>
      </c>
    </row>
    <row r="3892" spans="1:14" x14ac:dyDescent="0.2">
      <c r="A3892" t="s">
        <v>5022</v>
      </c>
      <c r="B3892" t="s">
        <v>2360</v>
      </c>
      <c r="C3892" s="9">
        <v>45022</v>
      </c>
      <c r="D3892" t="s">
        <v>949</v>
      </c>
      <c r="E3892" s="13">
        <v>45000000</v>
      </c>
      <c r="F3892" s="13">
        <v>22200</v>
      </c>
      <c r="G3892" s="9">
        <v>45022</v>
      </c>
      <c r="H3892" t="s">
        <v>1111</v>
      </c>
      <c r="I3892" t="s">
        <v>1746</v>
      </c>
      <c r="J3892" s="13">
        <v>1248750</v>
      </c>
      <c r="K3892">
        <v>1</v>
      </c>
      <c r="L3892" t="s">
        <v>1064</v>
      </c>
      <c r="M3892" t="s">
        <v>1747</v>
      </c>
      <c r="N3892" s="15" t="s">
        <v>6878</v>
      </c>
    </row>
    <row r="3893" spans="1:14" x14ac:dyDescent="0.2">
      <c r="A3893" t="s">
        <v>5023</v>
      </c>
      <c r="B3893" t="s">
        <v>2360</v>
      </c>
      <c r="C3893" s="9">
        <v>45022</v>
      </c>
      <c r="D3893" t="s">
        <v>949</v>
      </c>
      <c r="E3893" s="13">
        <v>64810000</v>
      </c>
      <c r="F3893" s="13">
        <v>22200</v>
      </c>
      <c r="G3893" s="9">
        <v>45022</v>
      </c>
      <c r="H3893" t="s">
        <v>1111</v>
      </c>
      <c r="I3893" t="s">
        <v>1746</v>
      </c>
      <c r="J3893" s="13">
        <v>1798477</v>
      </c>
      <c r="K3893">
        <v>1</v>
      </c>
      <c r="L3893" t="s">
        <v>1064</v>
      </c>
      <c r="M3893" t="s">
        <v>1747</v>
      </c>
      <c r="N3893" s="15" t="s">
        <v>6878</v>
      </c>
    </row>
    <row r="3894" spans="1:14" x14ac:dyDescent="0.2">
      <c r="A3894" t="s">
        <v>5024</v>
      </c>
      <c r="B3894" t="s">
        <v>2360</v>
      </c>
      <c r="C3894" s="9">
        <v>45022</v>
      </c>
      <c r="D3894" t="s">
        <v>949</v>
      </c>
      <c r="E3894" s="13">
        <v>45000000</v>
      </c>
      <c r="F3894" s="13">
        <v>22200</v>
      </c>
      <c r="G3894" s="9">
        <v>45022</v>
      </c>
      <c r="H3894" t="s">
        <v>1111</v>
      </c>
      <c r="I3894" t="s">
        <v>1746</v>
      </c>
      <c r="J3894" s="13">
        <v>1248750</v>
      </c>
      <c r="K3894">
        <v>1</v>
      </c>
      <c r="L3894" t="s">
        <v>1064</v>
      </c>
      <c r="M3894" t="s">
        <v>1747</v>
      </c>
      <c r="N3894" s="15" t="s">
        <v>6878</v>
      </c>
    </row>
    <row r="3895" spans="1:14" x14ac:dyDescent="0.2">
      <c r="A3895" t="s">
        <v>5025</v>
      </c>
      <c r="B3895" t="s">
        <v>2360</v>
      </c>
      <c r="C3895" s="9">
        <v>45022</v>
      </c>
      <c r="D3895" t="s">
        <v>949</v>
      </c>
      <c r="E3895" s="13">
        <v>45000000</v>
      </c>
      <c r="F3895" s="13">
        <v>22200</v>
      </c>
      <c r="G3895" s="9">
        <v>45022</v>
      </c>
      <c r="H3895" t="s">
        <v>1111</v>
      </c>
      <c r="I3895" t="s">
        <v>1746</v>
      </c>
      <c r="J3895" s="13">
        <v>1248750</v>
      </c>
      <c r="K3895">
        <v>1</v>
      </c>
      <c r="L3895" t="s">
        <v>1064</v>
      </c>
      <c r="M3895" t="s">
        <v>1747</v>
      </c>
      <c r="N3895" s="15" t="s">
        <v>6878</v>
      </c>
    </row>
    <row r="3896" spans="1:14" x14ac:dyDescent="0.2">
      <c r="A3896" t="s">
        <v>5026</v>
      </c>
      <c r="B3896" t="s">
        <v>2360</v>
      </c>
      <c r="C3896" s="9">
        <v>45022</v>
      </c>
      <c r="D3896" t="s">
        <v>949</v>
      </c>
      <c r="E3896" s="13">
        <v>45000000</v>
      </c>
      <c r="F3896" s="13">
        <v>22200</v>
      </c>
      <c r="G3896" s="9">
        <v>45022</v>
      </c>
      <c r="H3896" t="s">
        <v>1111</v>
      </c>
      <c r="I3896" t="s">
        <v>1746</v>
      </c>
      <c r="J3896" s="13">
        <v>1248750</v>
      </c>
      <c r="K3896">
        <v>1</v>
      </c>
      <c r="L3896" t="s">
        <v>1064</v>
      </c>
      <c r="M3896" t="s">
        <v>1747</v>
      </c>
      <c r="N3896" s="15" t="s">
        <v>6878</v>
      </c>
    </row>
    <row r="3897" spans="1:14" x14ac:dyDescent="0.2">
      <c r="A3897" t="s">
        <v>5027</v>
      </c>
      <c r="B3897" t="s">
        <v>2360</v>
      </c>
      <c r="C3897" s="9">
        <v>45022</v>
      </c>
      <c r="D3897" t="s">
        <v>949</v>
      </c>
      <c r="E3897" s="13">
        <v>64810000</v>
      </c>
      <c r="F3897" s="13">
        <v>22200</v>
      </c>
      <c r="G3897" s="9">
        <v>45022</v>
      </c>
      <c r="H3897" t="s">
        <v>1111</v>
      </c>
      <c r="I3897" t="s">
        <v>1746</v>
      </c>
      <c r="J3897" s="13">
        <v>1798477</v>
      </c>
      <c r="K3897">
        <v>1</v>
      </c>
      <c r="L3897" t="s">
        <v>1064</v>
      </c>
      <c r="M3897" t="s">
        <v>1747</v>
      </c>
      <c r="N3897" s="15" t="s">
        <v>6878</v>
      </c>
    </row>
    <row r="3898" spans="1:14" x14ac:dyDescent="0.2">
      <c r="A3898" t="s">
        <v>5028</v>
      </c>
      <c r="B3898" t="s">
        <v>2360</v>
      </c>
      <c r="C3898" s="9">
        <v>45022</v>
      </c>
      <c r="D3898" t="s">
        <v>949</v>
      </c>
      <c r="E3898" s="13">
        <v>45000000</v>
      </c>
      <c r="F3898" s="13">
        <v>22200</v>
      </c>
      <c r="G3898" s="9">
        <v>45023</v>
      </c>
      <c r="H3898" t="s">
        <v>1111</v>
      </c>
      <c r="I3898" t="s">
        <v>1746</v>
      </c>
      <c r="J3898" s="13">
        <v>1248750</v>
      </c>
      <c r="K3898">
        <v>1</v>
      </c>
      <c r="L3898" t="s">
        <v>1064</v>
      </c>
      <c r="M3898" t="s">
        <v>1747</v>
      </c>
      <c r="N3898" s="15" t="s">
        <v>6878</v>
      </c>
    </row>
    <row r="3899" spans="1:14" x14ac:dyDescent="0.2">
      <c r="A3899" t="s">
        <v>5029</v>
      </c>
      <c r="B3899" t="s">
        <v>2360</v>
      </c>
      <c r="C3899" s="9">
        <v>45022</v>
      </c>
      <c r="D3899" t="s">
        <v>949</v>
      </c>
      <c r="E3899" s="13">
        <v>45000000</v>
      </c>
      <c r="F3899" s="13">
        <v>22200</v>
      </c>
      <c r="G3899" s="9">
        <v>45023</v>
      </c>
      <c r="H3899" t="s">
        <v>1111</v>
      </c>
      <c r="I3899" t="s">
        <v>1746</v>
      </c>
      <c r="J3899" s="13">
        <v>1248750</v>
      </c>
      <c r="K3899">
        <v>1</v>
      </c>
      <c r="L3899" t="s">
        <v>1064</v>
      </c>
      <c r="M3899" t="s">
        <v>1747</v>
      </c>
      <c r="N3899" s="15" t="s">
        <v>6878</v>
      </c>
    </row>
    <row r="3900" spans="1:14" x14ac:dyDescent="0.2">
      <c r="A3900" t="s">
        <v>5030</v>
      </c>
      <c r="B3900" t="s">
        <v>2360</v>
      </c>
      <c r="C3900" s="9">
        <v>45022</v>
      </c>
      <c r="D3900" t="s">
        <v>949</v>
      </c>
      <c r="E3900" s="13">
        <v>59860000</v>
      </c>
      <c r="F3900" s="13">
        <v>22200</v>
      </c>
      <c r="G3900" s="9">
        <v>45023</v>
      </c>
      <c r="H3900" t="s">
        <v>1111</v>
      </c>
      <c r="I3900" t="s">
        <v>1746</v>
      </c>
      <c r="J3900" s="13">
        <v>1661115</v>
      </c>
      <c r="K3900">
        <v>1</v>
      </c>
      <c r="L3900" t="s">
        <v>1064</v>
      </c>
      <c r="M3900" t="s">
        <v>1747</v>
      </c>
      <c r="N3900" s="15" t="s">
        <v>6878</v>
      </c>
    </row>
    <row r="3901" spans="1:14" x14ac:dyDescent="0.2">
      <c r="A3901" t="s">
        <v>5031</v>
      </c>
      <c r="B3901" t="s">
        <v>2360</v>
      </c>
      <c r="C3901" s="9">
        <v>45022</v>
      </c>
      <c r="D3901" t="s">
        <v>946</v>
      </c>
      <c r="E3901" s="13">
        <v>1031384</v>
      </c>
      <c r="F3901" s="13">
        <v>5550</v>
      </c>
      <c r="G3901" s="9">
        <v>45023</v>
      </c>
      <c r="H3901" t="s">
        <v>1111</v>
      </c>
      <c r="I3901" t="s">
        <v>2382</v>
      </c>
      <c r="J3901" s="13">
        <v>17171</v>
      </c>
      <c r="K3901">
        <v>1</v>
      </c>
      <c r="L3901" t="s">
        <v>1064</v>
      </c>
      <c r="M3901" t="s">
        <v>2383</v>
      </c>
      <c r="N3901" s="15" t="s">
        <v>6878</v>
      </c>
    </row>
    <row r="3902" spans="1:14" x14ac:dyDescent="0.2">
      <c r="A3902" t="s">
        <v>5032</v>
      </c>
      <c r="B3902" t="s">
        <v>2360</v>
      </c>
      <c r="C3902" s="9">
        <v>45022</v>
      </c>
      <c r="D3902" t="s">
        <v>946</v>
      </c>
      <c r="E3902" s="13">
        <v>15381317</v>
      </c>
      <c r="F3902" s="13">
        <v>5550</v>
      </c>
      <c r="G3902" s="9">
        <v>45023</v>
      </c>
      <c r="H3902" t="s">
        <v>1111</v>
      </c>
      <c r="I3902" t="s">
        <v>2382</v>
      </c>
      <c r="J3902" s="13">
        <v>256098</v>
      </c>
      <c r="K3902">
        <v>1</v>
      </c>
      <c r="L3902" t="s">
        <v>1064</v>
      </c>
      <c r="M3902" t="s">
        <v>2383</v>
      </c>
      <c r="N3902" s="15" t="s">
        <v>6878</v>
      </c>
    </row>
    <row r="3903" spans="1:14" x14ac:dyDescent="0.2">
      <c r="A3903" t="s">
        <v>5033</v>
      </c>
      <c r="B3903" t="s">
        <v>2360</v>
      </c>
      <c r="C3903" s="9">
        <v>45022</v>
      </c>
      <c r="D3903" t="s">
        <v>946</v>
      </c>
      <c r="E3903" s="13">
        <v>15898295</v>
      </c>
      <c r="F3903" s="13">
        <v>5550</v>
      </c>
      <c r="G3903" s="9">
        <v>45023</v>
      </c>
      <c r="H3903" t="s">
        <v>1111</v>
      </c>
      <c r="I3903" t="s">
        <v>2382</v>
      </c>
      <c r="J3903" s="13">
        <v>264706</v>
      </c>
      <c r="K3903">
        <v>1</v>
      </c>
      <c r="L3903" t="s">
        <v>1064</v>
      </c>
      <c r="M3903" t="s">
        <v>2383</v>
      </c>
      <c r="N3903" s="15" t="s">
        <v>6878</v>
      </c>
    </row>
    <row r="3904" spans="1:14" x14ac:dyDescent="0.2">
      <c r="A3904" t="s">
        <v>5034</v>
      </c>
      <c r="B3904" t="s">
        <v>2360</v>
      </c>
      <c r="C3904" s="9">
        <v>45023</v>
      </c>
      <c r="D3904" t="s">
        <v>992</v>
      </c>
      <c r="E3904" s="13">
        <v>3512517</v>
      </c>
      <c r="F3904" s="13">
        <v>22200</v>
      </c>
      <c r="G3904" s="9">
        <v>45058</v>
      </c>
      <c r="H3904" t="s">
        <v>1111</v>
      </c>
      <c r="I3904" t="s">
        <v>2370</v>
      </c>
      <c r="J3904" s="13">
        <v>155955</v>
      </c>
      <c r="K3904">
        <v>1</v>
      </c>
      <c r="L3904" t="s">
        <v>1064</v>
      </c>
      <c r="M3904" t="s">
        <v>2371</v>
      </c>
      <c r="N3904" s="15" t="s">
        <v>6878</v>
      </c>
    </row>
    <row r="3905" spans="1:14" x14ac:dyDescent="0.2">
      <c r="A3905" t="s">
        <v>5035</v>
      </c>
      <c r="B3905" t="s">
        <v>2360</v>
      </c>
      <c r="C3905" s="9">
        <v>45023</v>
      </c>
      <c r="D3905" t="s">
        <v>992</v>
      </c>
      <c r="E3905" s="13">
        <v>1902702</v>
      </c>
      <c r="F3905" s="13">
        <v>22200</v>
      </c>
      <c r="G3905" s="9">
        <v>45058</v>
      </c>
      <c r="H3905" t="s">
        <v>1111</v>
      </c>
      <c r="I3905" t="s">
        <v>2370</v>
      </c>
      <c r="J3905" s="13">
        <v>84479</v>
      </c>
      <c r="K3905">
        <v>1</v>
      </c>
      <c r="L3905" t="s">
        <v>1064</v>
      </c>
      <c r="M3905" t="s">
        <v>2371</v>
      </c>
      <c r="N3905" s="15" t="s">
        <v>6878</v>
      </c>
    </row>
    <row r="3906" spans="1:14" x14ac:dyDescent="0.2">
      <c r="A3906" t="s">
        <v>5036</v>
      </c>
      <c r="B3906" t="s">
        <v>2360</v>
      </c>
      <c r="C3906" s="9">
        <v>45023</v>
      </c>
      <c r="D3906" t="s">
        <v>992</v>
      </c>
      <c r="E3906" s="13">
        <v>1969428</v>
      </c>
      <c r="F3906" s="13">
        <v>22200</v>
      </c>
      <c r="G3906" s="9">
        <v>45058</v>
      </c>
      <c r="H3906" t="s">
        <v>1111</v>
      </c>
      <c r="I3906" t="s">
        <v>2370</v>
      </c>
      <c r="J3906" s="13">
        <v>87442</v>
      </c>
      <c r="K3906">
        <v>1</v>
      </c>
      <c r="L3906" t="s">
        <v>1064</v>
      </c>
      <c r="M3906" t="s">
        <v>2371</v>
      </c>
      <c r="N3906" s="15" t="s">
        <v>6878</v>
      </c>
    </row>
    <row r="3907" spans="1:14" x14ac:dyDescent="0.2">
      <c r="A3907" t="s">
        <v>5037</v>
      </c>
      <c r="B3907" t="s">
        <v>2360</v>
      </c>
      <c r="C3907" s="9">
        <v>45023</v>
      </c>
      <c r="D3907" t="s">
        <v>992</v>
      </c>
      <c r="E3907" s="13">
        <v>5197450</v>
      </c>
      <c r="F3907" s="13">
        <v>22200</v>
      </c>
      <c r="G3907" s="9">
        <v>45058</v>
      </c>
      <c r="H3907" t="s">
        <v>1111</v>
      </c>
      <c r="I3907" t="s">
        <v>2370</v>
      </c>
      <c r="J3907" s="13">
        <v>230766</v>
      </c>
      <c r="K3907">
        <v>1</v>
      </c>
      <c r="L3907" t="s">
        <v>1064</v>
      </c>
      <c r="M3907" t="s">
        <v>2371</v>
      </c>
      <c r="N3907" s="15" t="s">
        <v>6878</v>
      </c>
    </row>
    <row r="3908" spans="1:14" x14ac:dyDescent="0.2">
      <c r="A3908" t="s">
        <v>5038</v>
      </c>
      <c r="B3908" t="s">
        <v>2360</v>
      </c>
      <c r="C3908" s="9">
        <v>45023</v>
      </c>
      <c r="D3908" t="s">
        <v>992</v>
      </c>
      <c r="E3908" s="13">
        <v>2102704</v>
      </c>
      <c r="F3908" s="13">
        <v>22200</v>
      </c>
      <c r="G3908" s="9">
        <v>45058</v>
      </c>
      <c r="H3908" t="s">
        <v>1111</v>
      </c>
      <c r="I3908" t="s">
        <v>2370</v>
      </c>
      <c r="J3908" s="13">
        <v>93359</v>
      </c>
      <c r="K3908">
        <v>1</v>
      </c>
      <c r="L3908" t="s">
        <v>1064</v>
      </c>
      <c r="M3908" t="s">
        <v>2371</v>
      </c>
      <c r="N3908" s="15" t="s">
        <v>6878</v>
      </c>
    </row>
    <row r="3909" spans="1:14" x14ac:dyDescent="0.2">
      <c r="A3909" t="s">
        <v>5039</v>
      </c>
      <c r="B3909" t="s">
        <v>2360</v>
      </c>
      <c r="C3909" s="9">
        <v>45024</v>
      </c>
      <c r="D3909" t="s">
        <v>992</v>
      </c>
      <c r="E3909" s="13">
        <v>14918400</v>
      </c>
      <c r="F3909" s="13">
        <v>22200</v>
      </c>
      <c r="G3909" s="9">
        <v>45024</v>
      </c>
      <c r="H3909" t="s">
        <v>1111</v>
      </c>
      <c r="I3909" t="s">
        <v>2370</v>
      </c>
      <c r="J3909" s="13">
        <v>662376</v>
      </c>
      <c r="K3909">
        <v>1</v>
      </c>
      <c r="L3909" t="s">
        <v>1064</v>
      </c>
      <c r="M3909" t="s">
        <v>2371</v>
      </c>
      <c r="N3909" s="15" t="s">
        <v>6878</v>
      </c>
    </row>
    <row r="3910" spans="1:14" x14ac:dyDescent="0.2">
      <c r="A3910" t="s">
        <v>5040</v>
      </c>
      <c r="B3910" t="s">
        <v>2360</v>
      </c>
      <c r="C3910" s="9">
        <v>45024</v>
      </c>
      <c r="D3910" t="s">
        <v>979</v>
      </c>
      <c r="E3910" s="13">
        <v>23865000</v>
      </c>
      <c r="F3910" s="13">
        <v>27750</v>
      </c>
      <c r="G3910" s="9">
        <v>45024</v>
      </c>
      <c r="H3910" t="s">
        <v>1111</v>
      </c>
      <c r="I3910" t="s">
        <v>4368</v>
      </c>
      <c r="J3910" s="13">
        <v>1059606</v>
      </c>
      <c r="K3910">
        <v>1</v>
      </c>
      <c r="L3910" t="s">
        <v>1064</v>
      </c>
      <c r="M3910" t="s">
        <v>4369</v>
      </c>
      <c r="N3910" s="15" t="s">
        <v>6878</v>
      </c>
    </row>
    <row r="3911" spans="1:14" x14ac:dyDescent="0.2">
      <c r="A3911" t="s">
        <v>5041</v>
      </c>
      <c r="B3911" t="s">
        <v>2360</v>
      </c>
      <c r="C3911" s="9">
        <v>45024</v>
      </c>
      <c r="D3911" t="s">
        <v>972</v>
      </c>
      <c r="E3911" s="13">
        <v>4997000</v>
      </c>
      <c r="F3911" s="13">
        <v>22200</v>
      </c>
      <c r="G3911" s="9">
        <v>45024</v>
      </c>
      <c r="H3911" t="s">
        <v>1063</v>
      </c>
      <c r="I3911" t="s">
        <v>4620</v>
      </c>
      <c r="J3911" s="13">
        <v>149760</v>
      </c>
      <c r="K3911">
        <v>1</v>
      </c>
      <c r="L3911" t="s">
        <v>1064</v>
      </c>
      <c r="M3911" t="s">
        <v>4621</v>
      </c>
      <c r="N3911" s="15" t="s">
        <v>6878</v>
      </c>
    </row>
    <row r="3912" spans="1:14" x14ac:dyDescent="0.2">
      <c r="A3912" t="s">
        <v>5042</v>
      </c>
      <c r="B3912" t="s">
        <v>2360</v>
      </c>
      <c r="C3912" s="9">
        <v>45024</v>
      </c>
      <c r="D3912" t="s">
        <v>972</v>
      </c>
      <c r="E3912" s="13">
        <v>3849000</v>
      </c>
      <c r="F3912" s="13">
        <v>22200</v>
      </c>
      <c r="G3912" s="9">
        <v>45024</v>
      </c>
      <c r="H3912" t="s">
        <v>1063</v>
      </c>
      <c r="I3912" t="s">
        <v>4620</v>
      </c>
      <c r="J3912" s="13">
        <v>115354</v>
      </c>
      <c r="K3912">
        <v>1</v>
      </c>
      <c r="L3912" t="s">
        <v>1064</v>
      </c>
      <c r="M3912" t="s">
        <v>4621</v>
      </c>
      <c r="N3912" s="15" t="s">
        <v>6878</v>
      </c>
    </row>
    <row r="3913" spans="1:14" x14ac:dyDescent="0.2">
      <c r="A3913" t="s">
        <v>5043</v>
      </c>
      <c r="B3913" t="s">
        <v>2360</v>
      </c>
      <c r="C3913" s="9">
        <v>45024</v>
      </c>
      <c r="D3913" t="s">
        <v>972</v>
      </c>
      <c r="E3913" s="13">
        <v>4997000</v>
      </c>
      <c r="F3913" s="13">
        <v>22200</v>
      </c>
      <c r="G3913" s="9">
        <v>45024</v>
      </c>
      <c r="H3913" t="s">
        <v>1063</v>
      </c>
      <c r="I3913" t="s">
        <v>4620</v>
      </c>
      <c r="J3913" s="13">
        <v>149760</v>
      </c>
      <c r="K3913">
        <v>1</v>
      </c>
      <c r="L3913" t="s">
        <v>1064</v>
      </c>
      <c r="M3913" t="s">
        <v>4621</v>
      </c>
      <c r="N3913" s="15" t="s">
        <v>6878</v>
      </c>
    </row>
    <row r="3914" spans="1:14" x14ac:dyDescent="0.2">
      <c r="A3914" t="s">
        <v>5044</v>
      </c>
      <c r="B3914" t="s">
        <v>2360</v>
      </c>
      <c r="C3914" s="9">
        <v>45024</v>
      </c>
      <c r="D3914" t="s">
        <v>972</v>
      </c>
      <c r="E3914" s="13">
        <v>4997000</v>
      </c>
      <c r="F3914" s="13">
        <v>22200</v>
      </c>
      <c r="G3914" s="9">
        <v>45024</v>
      </c>
      <c r="H3914" t="s">
        <v>1063</v>
      </c>
      <c r="I3914" t="s">
        <v>4620</v>
      </c>
      <c r="J3914" s="13">
        <v>149760</v>
      </c>
      <c r="K3914">
        <v>1</v>
      </c>
      <c r="L3914" t="s">
        <v>1064</v>
      </c>
      <c r="M3914" t="s">
        <v>4621</v>
      </c>
      <c r="N3914" s="15" t="s">
        <v>6878</v>
      </c>
    </row>
    <row r="3915" spans="1:14" x14ac:dyDescent="0.2">
      <c r="A3915" t="s">
        <v>5045</v>
      </c>
      <c r="B3915" t="s">
        <v>2360</v>
      </c>
      <c r="C3915" s="9">
        <v>45024</v>
      </c>
      <c r="D3915" t="s">
        <v>972</v>
      </c>
      <c r="E3915" s="13">
        <v>7615000</v>
      </c>
      <c r="F3915" s="13">
        <v>22200</v>
      </c>
      <c r="G3915" s="9">
        <v>45024</v>
      </c>
      <c r="H3915" t="s">
        <v>1063</v>
      </c>
      <c r="I3915" t="s">
        <v>4620</v>
      </c>
      <c r="J3915" s="13">
        <v>228221</v>
      </c>
      <c r="K3915">
        <v>1</v>
      </c>
      <c r="L3915" t="s">
        <v>1064</v>
      </c>
      <c r="M3915" t="s">
        <v>4621</v>
      </c>
      <c r="N3915" s="15" t="s">
        <v>6878</v>
      </c>
    </row>
    <row r="3916" spans="1:14" x14ac:dyDescent="0.2">
      <c r="A3916" t="s">
        <v>5046</v>
      </c>
      <c r="B3916" t="s">
        <v>2360</v>
      </c>
      <c r="C3916" s="9">
        <v>45024</v>
      </c>
      <c r="D3916" t="s">
        <v>972</v>
      </c>
      <c r="E3916" s="13">
        <v>7615000</v>
      </c>
      <c r="F3916" s="13">
        <v>22200</v>
      </c>
      <c r="G3916" s="9">
        <v>45024</v>
      </c>
      <c r="H3916" t="s">
        <v>1063</v>
      </c>
      <c r="I3916" t="s">
        <v>4620</v>
      </c>
      <c r="J3916" s="13">
        <v>228221</v>
      </c>
      <c r="K3916">
        <v>1</v>
      </c>
      <c r="L3916" t="s">
        <v>1064</v>
      </c>
      <c r="M3916" t="s">
        <v>4621</v>
      </c>
      <c r="N3916" s="15" t="s">
        <v>6878</v>
      </c>
    </row>
    <row r="3917" spans="1:14" x14ac:dyDescent="0.2">
      <c r="A3917" t="s">
        <v>5047</v>
      </c>
      <c r="B3917" t="s">
        <v>2360</v>
      </c>
      <c r="C3917" s="9">
        <v>45024</v>
      </c>
      <c r="D3917" t="s">
        <v>972</v>
      </c>
      <c r="E3917" s="13">
        <v>7615000</v>
      </c>
      <c r="F3917" s="13">
        <v>22200</v>
      </c>
      <c r="G3917" s="9">
        <v>45024</v>
      </c>
      <c r="H3917" t="s">
        <v>1063</v>
      </c>
      <c r="I3917" t="s">
        <v>4620</v>
      </c>
      <c r="J3917" s="13">
        <v>228221</v>
      </c>
      <c r="K3917">
        <v>1</v>
      </c>
      <c r="L3917" t="s">
        <v>1064</v>
      </c>
      <c r="M3917" t="s">
        <v>4621</v>
      </c>
      <c r="N3917" s="15" t="s">
        <v>6878</v>
      </c>
    </row>
    <row r="3918" spans="1:14" x14ac:dyDescent="0.2">
      <c r="A3918" t="s">
        <v>5048</v>
      </c>
      <c r="B3918" t="s">
        <v>2360</v>
      </c>
      <c r="C3918" s="9">
        <v>45024</v>
      </c>
      <c r="D3918" t="s">
        <v>972</v>
      </c>
      <c r="E3918" s="13">
        <v>7615000</v>
      </c>
      <c r="F3918" s="13">
        <v>22200</v>
      </c>
      <c r="G3918" s="9">
        <v>45024</v>
      </c>
      <c r="H3918" t="s">
        <v>1063</v>
      </c>
      <c r="I3918" t="s">
        <v>4620</v>
      </c>
      <c r="J3918" s="13">
        <v>228221</v>
      </c>
      <c r="K3918">
        <v>1</v>
      </c>
      <c r="L3918" t="s">
        <v>1064</v>
      </c>
      <c r="M3918" t="s">
        <v>4621</v>
      </c>
      <c r="N3918" s="15" t="s">
        <v>6878</v>
      </c>
    </row>
    <row r="3919" spans="1:14" x14ac:dyDescent="0.2">
      <c r="A3919" t="s">
        <v>5049</v>
      </c>
      <c r="B3919" t="s">
        <v>2360</v>
      </c>
      <c r="C3919" s="9">
        <v>45024</v>
      </c>
      <c r="D3919" t="s">
        <v>972</v>
      </c>
      <c r="E3919" s="13">
        <v>7615000</v>
      </c>
      <c r="F3919" s="13">
        <v>22200</v>
      </c>
      <c r="G3919" s="9">
        <v>45024</v>
      </c>
      <c r="H3919" t="s">
        <v>1063</v>
      </c>
      <c r="I3919" t="s">
        <v>4620</v>
      </c>
      <c r="J3919" s="13">
        <v>228221</v>
      </c>
      <c r="K3919">
        <v>1</v>
      </c>
      <c r="L3919" t="s">
        <v>1064</v>
      </c>
      <c r="M3919" t="s">
        <v>4621</v>
      </c>
      <c r="N3919" s="15" t="s">
        <v>6878</v>
      </c>
    </row>
    <row r="3920" spans="1:14" x14ac:dyDescent="0.2">
      <c r="A3920" t="s">
        <v>5050</v>
      </c>
      <c r="B3920" t="s">
        <v>2360</v>
      </c>
      <c r="C3920" s="9">
        <v>45024</v>
      </c>
      <c r="D3920" t="s">
        <v>972</v>
      </c>
      <c r="E3920" s="13">
        <v>7615000</v>
      </c>
      <c r="F3920" s="13">
        <v>22200</v>
      </c>
      <c r="G3920" s="9">
        <v>45024</v>
      </c>
      <c r="H3920" t="s">
        <v>1063</v>
      </c>
      <c r="I3920" t="s">
        <v>4620</v>
      </c>
      <c r="J3920" s="13">
        <v>228221</v>
      </c>
      <c r="K3920">
        <v>1</v>
      </c>
      <c r="L3920" t="s">
        <v>1064</v>
      </c>
      <c r="M3920" t="s">
        <v>4621</v>
      </c>
      <c r="N3920" s="15" t="s">
        <v>6878</v>
      </c>
    </row>
    <row r="3921" spans="1:14" x14ac:dyDescent="0.2">
      <c r="A3921" t="s">
        <v>5051</v>
      </c>
      <c r="B3921" t="s">
        <v>2360</v>
      </c>
      <c r="C3921" s="9">
        <v>45024</v>
      </c>
      <c r="D3921" t="s">
        <v>972</v>
      </c>
      <c r="E3921" s="13">
        <v>7615000</v>
      </c>
      <c r="F3921" s="13">
        <v>22200</v>
      </c>
      <c r="G3921" s="9">
        <v>45024</v>
      </c>
      <c r="H3921" t="s">
        <v>1063</v>
      </c>
      <c r="I3921" t="s">
        <v>4620</v>
      </c>
      <c r="J3921" s="13">
        <v>228221</v>
      </c>
      <c r="K3921">
        <v>1</v>
      </c>
      <c r="L3921" t="s">
        <v>1064</v>
      </c>
      <c r="M3921" t="s">
        <v>4621</v>
      </c>
      <c r="N3921" s="15" t="s">
        <v>6878</v>
      </c>
    </row>
    <row r="3922" spans="1:14" x14ac:dyDescent="0.2">
      <c r="A3922" t="s">
        <v>5052</v>
      </c>
      <c r="B3922" t="s">
        <v>2360</v>
      </c>
      <c r="C3922" s="9">
        <v>45024</v>
      </c>
      <c r="D3922" t="s">
        <v>972</v>
      </c>
      <c r="E3922" s="13">
        <v>7615000</v>
      </c>
      <c r="F3922" s="13">
        <v>22200</v>
      </c>
      <c r="G3922" s="9">
        <v>45024</v>
      </c>
      <c r="H3922" t="s">
        <v>1063</v>
      </c>
      <c r="I3922" t="s">
        <v>4620</v>
      </c>
      <c r="J3922" s="13">
        <v>228221</v>
      </c>
      <c r="K3922">
        <v>1</v>
      </c>
      <c r="L3922" t="s">
        <v>1064</v>
      </c>
      <c r="M3922" t="s">
        <v>4621</v>
      </c>
      <c r="N3922" s="15" t="s">
        <v>6878</v>
      </c>
    </row>
    <row r="3923" spans="1:14" x14ac:dyDescent="0.2">
      <c r="A3923" t="s">
        <v>5053</v>
      </c>
      <c r="B3923" t="s">
        <v>2360</v>
      </c>
      <c r="C3923" s="9">
        <v>45024</v>
      </c>
      <c r="D3923" t="s">
        <v>972</v>
      </c>
      <c r="E3923" s="13">
        <v>7615000</v>
      </c>
      <c r="F3923" s="13">
        <v>22200</v>
      </c>
      <c r="G3923" s="9">
        <v>45024</v>
      </c>
      <c r="H3923" t="s">
        <v>1063</v>
      </c>
      <c r="I3923" t="s">
        <v>4620</v>
      </c>
      <c r="J3923" s="13">
        <v>228221</v>
      </c>
      <c r="K3923">
        <v>1</v>
      </c>
      <c r="L3923" t="s">
        <v>1064</v>
      </c>
      <c r="M3923" t="s">
        <v>4621</v>
      </c>
      <c r="N3923" s="15" t="s">
        <v>6878</v>
      </c>
    </row>
    <row r="3924" spans="1:14" x14ac:dyDescent="0.2">
      <c r="A3924" t="s">
        <v>5054</v>
      </c>
      <c r="B3924" t="s">
        <v>2360</v>
      </c>
      <c r="C3924" s="9">
        <v>45024</v>
      </c>
      <c r="D3924" t="s">
        <v>972</v>
      </c>
      <c r="E3924" s="13">
        <v>7615000</v>
      </c>
      <c r="F3924" s="13">
        <v>22200</v>
      </c>
      <c r="G3924" s="9">
        <v>45024</v>
      </c>
      <c r="H3924" t="s">
        <v>1063</v>
      </c>
      <c r="I3924" t="s">
        <v>4620</v>
      </c>
      <c r="J3924" s="13">
        <v>228221</v>
      </c>
      <c r="K3924">
        <v>1</v>
      </c>
      <c r="L3924" t="s">
        <v>1064</v>
      </c>
      <c r="M3924" t="s">
        <v>4621</v>
      </c>
      <c r="N3924" s="15" t="s">
        <v>6878</v>
      </c>
    </row>
    <row r="3925" spans="1:14" x14ac:dyDescent="0.2">
      <c r="A3925" t="s">
        <v>5055</v>
      </c>
      <c r="B3925" t="s">
        <v>2360</v>
      </c>
      <c r="C3925" s="9">
        <v>45024</v>
      </c>
      <c r="D3925" t="s">
        <v>972</v>
      </c>
      <c r="E3925" s="13">
        <v>7615000</v>
      </c>
      <c r="F3925" s="13">
        <v>22200</v>
      </c>
      <c r="G3925" s="9">
        <v>45024</v>
      </c>
      <c r="H3925" t="s">
        <v>1063</v>
      </c>
      <c r="I3925" t="s">
        <v>4620</v>
      </c>
      <c r="J3925" s="13">
        <v>228221</v>
      </c>
      <c r="K3925">
        <v>1</v>
      </c>
      <c r="L3925" t="s">
        <v>1064</v>
      </c>
      <c r="M3925" t="s">
        <v>4621</v>
      </c>
      <c r="N3925" s="15" t="s">
        <v>6878</v>
      </c>
    </row>
    <row r="3926" spans="1:14" x14ac:dyDescent="0.2">
      <c r="A3926" t="s">
        <v>5056</v>
      </c>
      <c r="B3926" t="s">
        <v>2360</v>
      </c>
      <c r="C3926" s="9">
        <v>45024</v>
      </c>
      <c r="D3926" t="s">
        <v>972</v>
      </c>
      <c r="E3926" s="13">
        <v>7615000</v>
      </c>
      <c r="F3926" s="13">
        <v>22200</v>
      </c>
      <c r="G3926" s="9">
        <v>45024</v>
      </c>
      <c r="H3926" t="s">
        <v>1063</v>
      </c>
      <c r="I3926" t="s">
        <v>4620</v>
      </c>
      <c r="J3926" s="13">
        <v>228221</v>
      </c>
      <c r="K3926">
        <v>1</v>
      </c>
      <c r="L3926" t="s">
        <v>1064</v>
      </c>
      <c r="M3926" t="s">
        <v>4621</v>
      </c>
      <c r="N3926" s="15" t="s">
        <v>6878</v>
      </c>
    </row>
    <row r="3927" spans="1:14" x14ac:dyDescent="0.2">
      <c r="A3927" t="s">
        <v>5057</v>
      </c>
      <c r="B3927" t="s">
        <v>2360</v>
      </c>
      <c r="C3927" s="9">
        <v>45024</v>
      </c>
      <c r="D3927" t="s">
        <v>972</v>
      </c>
      <c r="E3927" s="13">
        <v>7615000</v>
      </c>
      <c r="F3927" s="13">
        <v>22200</v>
      </c>
      <c r="G3927" s="9">
        <v>45024</v>
      </c>
      <c r="H3927" t="s">
        <v>1063</v>
      </c>
      <c r="I3927" t="s">
        <v>4620</v>
      </c>
      <c r="J3927" s="13">
        <v>228221</v>
      </c>
      <c r="K3927">
        <v>1</v>
      </c>
      <c r="L3927" t="s">
        <v>1064</v>
      </c>
      <c r="M3927" t="s">
        <v>4621</v>
      </c>
      <c r="N3927" s="15" t="s">
        <v>6878</v>
      </c>
    </row>
    <row r="3928" spans="1:14" x14ac:dyDescent="0.2">
      <c r="A3928" t="s">
        <v>5058</v>
      </c>
      <c r="B3928" t="s">
        <v>2360</v>
      </c>
      <c r="C3928" s="9">
        <v>45024</v>
      </c>
      <c r="D3928" t="s">
        <v>972</v>
      </c>
      <c r="E3928" s="13">
        <v>7615000</v>
      </c>
      <c r="F3928" s="13">
        <v>22200</v>
      </c>
      <c r="G3928" s="9">
        <v>45024</v>
      </c>
      <c r="H3928" t="s">
        <v>1063</v>
      </c>
      <c r="I3928" t="s">
        <v>4620</v>
      </c>
      <c r="J3928" s="13">
        <v>228221</v>
      </c>
      <c r="K3928">
        <v>1</v>
      </c>
      <c r="L3928" t="s">
        <v>1064</v>
      </c>
      <c r="M3928" t="s">
        <v>4621</v>
      </c>
      <c r="N3928" s="15" t="s">
        <v>6878</v>
      </c>
    </row>
    <row r="3929" spans="1:14" x14ac:dyDescent="0.2">
      <c r="A3929" t="s">
        <v>5059</v>
      </c>
      <c r="B3929" t="s">
        <v>2360</v>
      </c>
      <c r="C3929" s="9">
        <v>45024</v>
      </c>
      <c r="D3929" t="s">
        <v>972</v>
      </c>
      <c r="E3929" s="13">
        <v>7615000</v>
      </c>
      <c r="F3929" s="13">
        <v>22200</v>
      </c>
      <c r="G3929" s="9">
        <v>45024</v>
      </c>
      <c r="H3929" t="s">
        <v>1063</v>
      </c>
      <c r="I3929" t="s">
        <v>4620</v>
      </c>
      <c r="J3929" s="13">
        <v>228221</v>
      </c>
      <c r="K3929">
        <v>1</v>
      </c>
      <c r="L3929" t="s">
        <v>1064</v>
      </c>
      <c r="M3929" t="s">
        <v>4621</v>
      </c>
      <c r="N3929" s="15" t="s">
        <v>6878</v>
      </c>
    </row>
    <row r="3930" spans="1:14" x14ac:dyDescent="0.2">
      <c r="A3930" t="s">
        <v>5060</v>
      </c>
      <c r="B3930" t="s">
        <v>2360</v>
      </c>
      <c r="C3930" s="9">
        <v>45024</v>
      </c>
      <c r="D3930" t="s">
        <v>972</v>
      </c>
      <c r="E3930" s="13">
        <v>7615000</v>
      </c>
      <c r="F3930" s="13">
        <v>22200</v>
      </c>
      <c r="G3930" s="9">
        <v>45024</v>
      </c>
      <c r="H3930" t="s">
        <v>1063</v>
      </c>
      <c r="I3930" t="s">
        <v>4620</v>
      </c>
      <c r="J3930" s="13">
        <v>228221</v>
      </c>
      <c r="K3930">
        <v>1</v>
      </c>
      <c r="L3930" t="s">
        <v>1064</v>
      </c>
      <c r="M3930" t="s">
        <v>4621</v>
      </c>
      <c r="N3930" s="15" t="s">
        <v>6878</v>
      </c>
    </row>
    <row r="3931" spans="1:14" x14ac:dyDescent="0.2">
      <c r="A3931" t="s">
        <v>5061</v>
      </c>
      <c r="B3931" t="s">
        <v>2360</v>
      </c>
      <c r="C3931" s="9">
        <v>45024</v>
      </c>
      <c r="D3931" t="s">
        <v>972</v>
      </c>
      <c r="E3931" s="13">
        <v>7615000</v>
      </c>
      <c r="F3931" s="13">
        <v>22200</v>
      </c>
      <c r="G3931" s="9">
        <v>45024</v>
      </c>
      <c r="H3931" t="s">
        <v>1063</v>
      </c>
      <c r="I3931" t="s">
        <v>4620</v>
      </c>
      <c r="J3931" s="13">
        <v>228221</v>
      </c>
      <c r="K3931">
        <v>1</v>
      </c>
      <c r="L3931" t="s">
        <v>1064</v>
      </c>
      <c r="M3931" t="s">
        <v>4621</v>
      </c>
      <c r="N3931" s="15" t="s">
        <v>6878</v>
      </c>
    </row>
    <row r="3932" spans="1:14" x14ac:dyDescent="0.2">
      <c r="A3932" t="s">
        <v>5062</v>
      </c>
      <c r="B3932" t="s">
        <v>2360</v>
      </c>
      <c r="C3932" s="9">
        <v>45024</v>
      </c>
      <c r="D3932" t="s">
        <v>972</v>
      </c>
      <c r="E3932" s="13">
        <v>7615000</v>
      </c>
      <c r="F3932" s="13">
        <v>22200</v>
      </c>
      <c r="G3932" s="9">
        <v>45024</v>
      </c>
      <c r="H3932" t="s">
        <v>1063</v>
      </c>
      <c r="I3932" t="s">
        <v>4620</v>
      </c>
      <c r="J3932" s="13">
        <v>228221</v>
      </c>
      <c r="K3932">
        <v>1</v>
      </c>
      <c r="L3932" t="s">
        <v>1064</v>
      </c>
      <c r="M3932" t="s">
        <v>4621</v>
      </c>
      <c r="N3932" s="15" t="s">
        <v>6878</v>
      </c>
    </row>
    <row r="3933" spans="1:14" x14ac:dyDescent="0.2">
      <c r="A3933" t="s">
        <v>5063</v>
      </c>
      <c r="B3933" t="s">
        <v>2360</v>
      </c>
      <c r="C3933" s="9">
        <v>45024</v>
      </c>
      <c r="D3933" t="s">
        <v>972</v>
      </c>
      <c r="E3933" s="13">
        <v>7615000</v>
      </c>
      <c r="F3933" s="13">
        <v>22200</v>
      </c>
      <c r="G3933" s="9">
        <v>45024</v>
      </c>
      <c r="H3933" t="s">
        <v>1063</v>
      </c>
      <c r="I3933" t="s">
        <v>4620</v>
      </c>
      <c r="J3933" s="13">
        <v>228221</v>
      </c>
      <c r="K3933">
        <v>1</v>
      </c>
      <c r="L3933" t="s">
        <v>1064</v>
      </c>
      <c r="M3933" t="s">
        <v>4621</v>
      </c>
      <c r="N3933" s="15" t="s">
        <v>6878</v>
      </c>
    </row>
    <row r="3934" spans="1:14" x14ac:dyDescent="0.2">
      <c r="A3934" t="s">
        <v>5064</v>
      </c>
      <c r="B3934" t="s">
        <v>2360</v>
      </c>
      <c r="C3934" s="9">
        <v>45024</v>
      </c>
      <c r="D3934" t="s">
        <v>972</v>
      </c>
      <c r="E3934" s="13">
        <v>7615000</v>
      </c>
      <c r="F3934" s="13">
        <v>22200</v>
      </c>
      <c r="G3934" s="9">
        <v>45024</v>
      </c>
      <c r="H3934" t="s">
        <v>1063</v>
      </c>
      <c r="I3934" t="s">
        <v>4620</v>
      </c>
      <c r="J3934" s="13">
        <v>228221</v>
      </c>
      <c r="K3934">
        <v>1</v>
      </c>
      <c r="L3934" t="s">
        <v>1064</v>
      </c>
      <c r="M3934" t="s">
        <v>4621</v>
      </c>
      <c r="N3934" s="15" t="s">
        <v>6878</v>
      </c>
    </row>
    <row r="3935" spans="1:14" x14ac:dyDescent="0.2">
      <c r="A3935" t="s">
        <v>5065</v>
      </c>
      <c r="B3935" t="s">
        <v>2360</v>
      </c>
      <c r="C3935" s="9">
        <v>45024</v>
      </c>
      <c r="D3935" t="s">
        <v>32</v>
      </c>
      <c r="E3935" s="13">
        <v>3500000</v>
      </c>
      <c r="F3935" s="13">
        <v>27750</v>
      </c>
      <c r="G3935" s="9">
        <v>45025</v>
      </c>
      <c r="H3935" t="s">
        <v>1063</v>
      </c>
      <c r="I3935" t="s">
        <v>520</v>
      </c>
      <c r="J3935" s="13">
        <v>97125</v>
      </c>
      <c r="K3935">
        <v>1</v>
      </c>
      <c r="L3935" t="s">
        <v>1064</v>
      </c>
      <c r="M3935" t="s">
        <v>5005</v>
      </c>
      <c r="N3935" s="15" t="s">
        <v>6878</v>
      </c>
    </row>
    <row r="3936" spans="1:14" x14ac:dyDescent="0.2">
      <c r="A3936" t="s">
        <v>5066</v>
      </c>
      <c r="B3936" t="s">
        <v>2360</v>
      </c>
      <c r="C3936" s="9">
        <v>45024</v>
      </c>
      <c r="D3936" t="s">
        <v>972</v>
      </c>
      <c r="E3936" s="13">
        <v>7615000</v>
      </c>
      <c r="F3936" s="13">
        <v>22200</v>
      </c>
      <c r="G3936" s="9">
        <v>45024</v>
      </c>
      <c r="H3936" t="s">
        <v>1063</v>
      </c>
      <c r="I3936" t="s">
        <v>4620</v>
      </c>
      <c r="J3936" s="13">
        <v>228221</v>
      </c>
      <c r="K3936">
        <v>1</v>
      </c>
      <c r="L3936" t="s">
        <v>1064</v>
      </c>
      <c r="M3936" t="s">
        <v>4621</v>
      </c>
      <c r="N3936" s="15" t="s">
        <v>6878</v>
      </c>
    </row>
    <row r="3937" spans="1:14" x14ac:dyDescent="0.2">
      <c r="A3937" t="s">
        <v>5067</v>
      </c>
      <c r="B3937" t="s">
        <v>2360</v>
      </c>
      <c r="C3937" s="9">
        <v>45024</v>
      </c>
      <c r="D3937" t="s">
        <v>972</v>
      </c>
      <c r="E3937" s="13">
        <v>7615000</v>
      </c>
      <c r="F3937" s="13">
        <v>22200</v>
      </c>
      <c r="G3937" s="9">
        <v>45024</v>
      </c>
      <c r="H3937" t="s">
        <v>1063</v>
      </c>
      <c r="I3937" t="s">
        <v>4620</v>
      </c>
      <c r="J3937" s="13">
        <v>228221</v>
      </c>
      <c r="K3937">
        <v>1</v>
      </c>
      <c r="L3937" t="s">
        <v>1064</v>
      </c>
      <c r="M3937" t="s">
        <v>4621</v>
      </c>
      <c r="N3937" s="15" t="s">
        <v>6878</v>
      </c>
    </row>
    <row r="3938" spans="1:14" x14ac:dyDescent="0.2">
      <c r="A3938" t="s">
        <v>5068</v>
      </c>
      <c r="B3938" t="s">
        <v>2360</v>
      </c>
      <c r="C3938" s="9">
        <v>45024</v>
      </c>
      <c r="D3938" t="s">
        <v>972</v>
      </c>
      <c r="E3938" s="13">
        <v>7615000</v>
      </c>
      <c r="F3938" s="13">
        <v>22200</v>
      </c>
      <c r="G3938" s="9">
        <v>45024</v>
      </c>
      <c r="H3938" t="s">
        <v>1063</v>
      </c>
      <c r="I3938" t="s">
        <v>4620</v>
      </c>
      <c r="J3938" s="13">
        <v>228221</v>
      </c>
      <c r="K3938">
        <v>1</v>
      </c>
      <c r="L3938" t="s">
        <v>1064</v>
      </c>
      <c r="M3938" t="s">
        <v>4621</v>
      </c>
      <c r="N3938" s="15" t="s">
        <v>6878</v>
      </c>
    </row>
    <row r="3939" spans="1:14" x14ac:dyDescent="0.2">
      <c r="A3939" t="s">
        <v>5069</v>
      </c>
      <c r="B3939" t="s">
        <v>2360</v>
      </c>
      <c r="C3939" s="9">
        <v>45024</v>
      </c>
      <c r="D3939" t="s">
        <v>972</v>
      </c>
      <c r="E3939" s="13">
        <v>7615000</v>
      </c>
      <c r="F3939" s="13">
        <v>22200</v>
      </c>
      <c r="G3939" s="9">
        <v>45024</v>
      </c>
      <c r="H3939" t="s">
        <v>1063</v>
      </c>
      <c r="I3939" t="s">
        <v>4620</v>
      </c>
      <c r="J3939" s="13">
        <v>228221</v>
      </c>
      <c r="K3939">
        <v>1</v>
      </c>
      <c r="L3939" t="s">
        <v>1064</v>
      </c>
      <c r="M3939" t="s">
        <v>4621</v>
      </c>
      <c r="N3939" s="15" t="s">
        <v>6878</v>
      </c>
    </row>
    <row r="3940" spans="1:14" x14ac:dyDescent="0.2">
      <c r="A3940" t="s">
        <v>5070</v>
      </c>
      <c r="B3940" t="s">
        <v>2360</v>
      </c>
      <c r="C3940" s="9">
        <v>45024</v>
      </c>
      <c r="D3940" t="s">
        <v>960</v>
      </c>
      <c r="E3940" s="13">
        <v>3500000</v>
      </c>
      <c r="F3940" s="13">
        <v>27750</v>
      </c>
      <c r="G3940" s="9">
        <v>45024</v>
      </c>
      <c r="H3940" t="s">
        <v>1111</v>
      </c>
      <c r="I3940" t="s">
        <v>3814</v>
      </c>
      <c r="J3940" s="13">
        <v>213675</v>
      </c>
      <c r="K3940">
        <v>1</v>
      </c>
      <c r="L3940" t="s">
        <v>1064</v>
      </c>
      <c r="M3940" t="s">
        <v>3815</v>
      </c>
      <c r="N3940" s="15" t="s">
        <v>6878</v>
      </c>
    </row>
    <row r="3941" spans="1:14" x14ac:dyDescent="0.2">
      <c r="A3941" t="s">
        <v>5071</v>
      </c>
      <c r="B3941" t="s">
        <v>2360</v>
      </c>
      <c r="C3941" s="9">
        <v>45024</v>
      </c>
      <c r="D3941" t="s">
        <v>960</v>
      </c>
      <c r="E3941" s="13">
        <v>3500000</v>
      </c>
      <c r="F3941" s="13">
        <v>27750</v>
      </c>
      <c r="G3941" s="9">
        <v>45024</v>
      </c>
      <c r="H3941" t="s">
        <v>1111</v>
      </c>
      <c r="I3941" t="s">
        <v>3814</v>
      </c>
      <c r="J3941" s="13">
        <v>213675</v>
      </c>
      <c r="K3941">
        <v>1</v>
      </c>
      <c r="L3941" t="s">
        <v>1064</v>
      </c>
      <c r="M3941" t="s">
        <v>3815</v>
      </c>
      <c r="N3941" s="15" t="s">
        <v>6878</v>
      </c>
    </row>
    <row r="3942" spans="1:14" x14ac:dyDescent="0.2">
      <c r="A3942" t="s">
        <v>5072</v>
      </c>
      <c r="B3942" t="s">
        <v>2360</v>
      </c>
      <c r="C3942" s="9">
        <v>45024</v>
      </c>
      <c r="D3942" t="s">
        <v>960</v>
      </c>
      <c r="E3942" s="13">
        <v>3500000</v>
      </c>
      <c r="F3942" s="13">
        <v>27750</v>
      </c>
      <c r="G3942" s="9">
        <v>45024</v>
      </c>
      <c r="H3942" t="s">
        <v>1111</v>
      </c>
      <c r="I3942" t="s">
        <v>3814</v>
      </c>
      <c r="J3942" s="13">
        <v>213675</v>
      </c>
      <c r="K3942">
        <v>1</v>
      </c>
      <c r="L3942" t="s">
        <v>1064</v>
      </c>
      <c r="M3942" t="s">
        <v>3815</v>
      </c>
      <c r="N3942" s="15" t="s">
        <v>6878</v>
      </c>
    </row>
    <row r="3943" spans="1:14" x14ac:dyDescent="0.2">
      <c r="A3943" t="s">
        <v>5073</v>
      </c>
      <c r="B3943" t="s">
        <v>2360</v>
      </c>
      <c r="C3943" s="9">
        <v>45024</v>
      </c>
      <c r="D3943" t="s">
        <v>960</v>
      </c>
      <c r="E3943" s="13">
        <v>3500000</v>
      </c>
      <c r="F3943" s="13">
        <v>27750</v>
      </c>
      <c r="G3943" s="9">
        <v>45024</v>
      </c>
      <c r="H3943" t="s">
        <v>1111</v>
      </c>
      <c r="I3943" t="s">
        <v>3814</v>
      </c>
      <c r="J3943" s="13">
        <v>213675</v>
      </c>
      <c r="K3943">
        <v>1</v>
      </c>
      <c r="L3943" t="s">
        <v>1064</v>
      </c>
      <c r="M3943" t="s">
        <v>3815</v>
      </c>
      <c r="N3943" s="15" t="s">
        <v>6878</v>
      </c>
    </row>
    <row r="3944" spans="1:14" x14ac:dyDescent="0.2">
      <c r="A3944" t="s">
        <v>5074</v>
      </c>
      <c r="B3944" t="s">
        <v>2360</v>
      </c>
      <c r="C3944" s="9">
        <v>45024</v>
      </c>
      <c r="D3944" t="s">
        <v>960</v>
      </c>
      <c r="E3944" s="13">
        <v>3500000</v>
      </c>
      <c r="F3944" s="13">
        <v>27750</v>
      </c>
      <c r="G3944" s="9">
        <v>45024</v>
      </c>
      <c r="H3944" t="s">
        <v>1111</v>
      </c>
      <c r="I3944" t="s">
        <v>3814</v>
      </c>
      <c r="J3944" s="13">
        <v>213675</v>
      </c>
      <c r="K3944">
        <v>1</v>
      </c>
      <c r="L3944" t="s">
        <v>1064</v>
      </c>
      <c r="M3944" t="s">
        <v>3815</v>
      </c>
      <c r="N3944" s="15" t="s">
        <v>6878</v>
      </c>
    </row>
    <row r="3945" spans="1:14" x14ac:dyDescent="0.2">
      <c r="A3945" t="s">
        <v>5075</v>
      </c>
      <c r="B3945" t="s">
        <v>2360</v>
      </c>
      <c r="C3945" s="9">
        <v>45024</v>
      </c>
      <c r="D3945" t="s">
        <v>960</v>
      </c>
      <c r="E3945" s="13">
        <v>3500000</v>
      </c>
      <c r="F3945" s="13">
        <v>27750</v>
      </c>
      <c r="G3945" s="9">
        <v>45024</v>
      </c>
      <c r="H3945" t="s">
        <v>1111</v>
      </c>
      <c r="I3945" t="s">
        <v>3814</v>
      </c>
      <c r="J3945" s="13">
        <v>213675</v>
      </c>
      <c r="K3945">
        <v>1</v>
      </c>
      <c r="L3945" t="s">
        <v>1064</v>
      </c>
      <c r="M3945" t="s">
        <v>3815</v>
      </c>
      <c r="N3945" s="15" t="s">
        <v>6878</v>
      </c>
    </row>
    <row r="3946" spans="1:14" x14ac:dyDescent="0.2">
      <c r="A3946" t="s">
        <v>5076</v>
      </c>
      <c r="B3946" t="s">
        <v>2360</v>
      </c>
      <c r="C3946" s="9">
        <v>45024</v>
      </c>
      <c r="D3946" t="s">
        <v>960</v>
      </c>
      <c r="E3946" s="13">
        <v>3500000</v>
      </c>
      <c r="F3946" s="13">
        <v>27750</v>
      </c>
      <c r="G3946" s="9">
        <v>45024</v>
      </c>
      <c r="H3946" t="s">
        <v>1111</v>
      </c>
      <c r="I3946" t="s">
        <v>3814</v>
      </c>
      <c r="J3946" s="13">
        <v>213675</v>
      </c>
      <c r="K3946">
        <v>1</v>
      </c>
      <c r="L3946" t="s">
        <v>1064</v>
      </c>
      <c r="M3946" t="s">
        <v>3815</v>
      </c>
      <c r="N3946" s="15" t="s">
        <v>6878</v>
      </c>
    </row>
    <row r="3947" spans="1:14" x14ac:dyDescent="0.2">
      <c r="A3947" t="s">
        <v>5077</v>
      </c>
      <c r="B3947" t="s">
        <v>2360</v>
      </c>
      <c r="C3947" s="9">
        <v>45024</v>
      </c>
      <c r="D3947" t="s">
        <v>960</v>
      </c>
      <c r="E3947" s="13">
        <v>3500000</v>
      </c>
      <c r="F3947" s="13">
        <v>27750</v>
      </c>
      <c r="G3947" s="9">
        <v>45024</v>
      </c>
      <c r="H3947" t="s">
        <v>1111</v>
      </c>
      <c r="I3947" t="s">
        <v>3814</v>
      </c>
      <c r="J3947" s="13">
        <v>213675</v>
      </c>
      <c r="K3947">
        <v>1</v>
      </c>
      <c r="L3947" t="s">
        <v>1064</v>
      </c>
      <c r="M3947" t="s">
        <v>3815</v>
      </c>
      <c r="N3947" s="15" t="s">
        <v>6878</v>
      </c>
    </row>
    <row r="3948" spans="1:14" x14ac:dyDescent="0.2">
      <c r="A3948" t="s">
        <v>5078</v>
      </c>
      <c r="B3948" t="s">
        <v>2360</v>
      </c>
      <c r="C3948" s="9">
        <v>45024</v>
      </c>
      <c r="D3948" t="s">
        <v>960</v>
      </c>
      <c r="E3948" s="13">
        <v>3500000</v>
      </c>
      <c r="F3948" s="13">
        <v>27750</v>
      </c>
      <c r="G3948" s="9">
        <v>45024</v>
      </c>
      <c r="H3948" t="s">
        <v>1111</v>
      </c>
      <c r="I3948" t="s">
        <v>3814</v>
      </c>
      <c r="J3948" s="13">
        <v>213675</v>
      </c>
      <c r="K3948">
        <v>1</v>
      </c>
      <c r="L3948" t="s">
        <v>1064</v>
      </c>
      <c r="M3948" t="s">
        <v>3815</v>
      </c>
      <c r="N3948" s="15" t="s">
        <v>6878</v>
      </c>
    </row>
    <row r="3949" spans="1:14" x14ac:dyDescent="0.2">
      <c r="A3949" t="s">
        <v>5079</v>
      </c>
      <c r="B3949" t="s">
        <v>2360</v>
      </c>
      <c r="C3949" s="9">
        <v>45024</v>
      </c>
      <c r="D3949" t="s">
        <v>960</v>
      </c>
      <c r="E3949" s="13">
        <v>3500000</v>
      </c>
      <c r="F3949" s="13">
        <v>27750</v>
      </c>
      <c r="G3949" s="9">
        <v>45024</v>
      </c>
      <c r="H3949" t="s">
        <v>1111</v>
      </c>
      <c r="I3949" t="s">
        <v>3814</v>
      </c>
      <c r="J3949" s="13">
        <v>213675</v>
      </c>
      <c r="K3949">
        <v>1</v>
      </c>
      <c r="L3949" t="s">
        <v>1064</v>
      </c>
      <c r="M3949" t="s">
        <v>3815</v>
      </c>
      <c r="N3949" s="15" t="s">
        <v>6878</v>
      </c>
    </row>
    <row r="3950" spans="1:14" x14ac:dyDescent="0.2">
      <c r="A3950" t="s">
        <v>5080</v>
      </c>
      <c r="B3950" t="s">
        <v>2360</v>
      </c>
      <c r="C3950" s="9">
        <v>45024</v>
      </c>
      <c r="D3950" t="s">
        <v>960</v>
      </c>
      <c r="E3950" s="13">
        <v>3500000</v>
      </c>
      <c r="F3950" s="13">
        <v>27750</v>
      </c>
      <c r="G3950" s="9">
        <v>45024</v>
      </c>
      <c r="H3950" t="s">
        <v>1111</v>
      </c>
      <c r="I3950" t="s">
        <v>3814</v>
      </c>
      <c r="J3950" s="13">
        <v>213675</v>
      </c>
      <c r="K3950">
        <v>1</v>
      </c>
      <c r="L3950" t="s">
        <v>1064</v>
      </c>
      <c r="M3950" t="s">
        <v>3815</v>
      </c>
      <c r="N3950" s="15" t="s">
        <v>6878</v>
      </c>
    </row>
    <row r="3951" spans="1:14" x14ac:dyDescent="0.2">
      <c r="A3951" t="s">
        <v>5081</v>
      </c>
      <c r="B3951" t="s">
        <v>2360</v>
      </c>
      <c r="C3951" s="9">
        <v>45024</v>
      </c>
      <c r="D3951" t="s">
        <v>960</v>
      </c>
      <c r="E3951" s="13">
        <v>3500000</v>
      </c>
      <c r="F3951" s="13">
        <v>27750</v>
      </c>
      <c r="G3951" s="9">
        <v>45024</v>
      </c>
      <c r="H3951" t="s">
        <v>1111</v>
      </c>
      <c r="I3951" t="s">
        <v>3814</v>
      </c>
      <c r="J3951" s="13">
        <v>213675</v>
      </c>
      <c r="K3951">
        <v>1</v>
      </c>
      <c r="L3951" t="s">
        <v>1064</v>
      </c>
      <c r="M3951" t="s">
        <v>3815</v>
      </c>
      <c r="N3951" s="15" t="s">
        <v>6878</v>
      </c>
    </row>
    <row r="3952" spans="1:14" x14ac:dyDescent="0.2">
      <c r="A3952" t="s">
        <v>5082</v>
      </c>
      <c r="B3952" t="s">
        <v>2360</v>
      </c>
      <c r="C3952" s="9">
        <v>45024</v>
      </c>
      <c r="D3952" t="s">
        <v>960</v>
      </c>
      <c r="E3952" s="13">
        <v>3500000</v>
      </c>
      <c r="F3952" s="13">
        <v>27750</v>
      </c>
      <c r="G3952" s="9">
        <v>45024</v>
      </c>
      <c r="H3952" t="s">
        <v>1111</v>
      </c>
      <c r="I3952" t="s">
        <v>3814</v>
      </c>
      <c r="J3952" s="13">
        <v>213675</v>
      </c>
      <c r="K3952">
        <v>1</v>
      </c>
      <c r="L3952" t="s">
        <v>1064</v>
      </c>
      <c r="M3952" t="s">
        <v>3815</v>
      </c>
      <c r="N3952" s="15" t="s">
        <v>6878</v>
      </c>
    </row>
    <row r="3953" spans="1:14" x14ac:dyDescent="0.2">
      <c r="A3953" t="s">
        <v>5083</v>
      </c>
      <c r="B3953" t="s">
        <v>2360</v>
      </c>
      <c r="C3953" s="9">
        <v>45024</v>
      </c>
      <c r="D3953" t="s">
        <v>960</v>
      </c>
      <c r="E3953" s="13">
        <v>3500000</v>
      </c>
      <c r="F3953" s="13">
        <v>27750</v>
      </c>
      <c r="G3953" s="9">
        <v>45024</v>
      </c>
      <c r="H3953" t="s">
        <v>1111</v>
      </c>
      <c r="I3953" t="s">
        <v>3814</v>
      </c>
      <c r="J3953" s="13">
        <v>213675</v>
      </c>
      <c r="K3953">
        <v>1</v>
      </c>
      <c r="L3953" t="s">
        <v>1064</v>
      </c>
      <c r="M3953" t="s">
        <v>3815</v>
      </c>
      <c r="N3953" s="15" t="s">
        <v>6878</v>
      </c>
    </row>
    <row r="3954" spans="1:14" x14ac:dyDescent="0.2">
      <c r="A3954" t="s">
        <v>5084</v>
      </c>
      <c r="B3954" t="s">
        <v>2360</v>
      </c>
      <c r="C3954" s="9">
        <v>45024</v>
      </c>
      <c r="D3954" t="s">
        <v>960</v>
      </c>
      <c r="E3954" s="13">
        <v>3500000</v>
      </c>
      <c r="F3954" s="13">
        <v>27750</v>
      </c>
      <c r="G3954" s="9">
        <v>45024</v>
      </c>
      <c r="H3954" t="s">
        <v>1111</v>
      </c>
      <c r="I3954" t="s">
        <v>3814</v>
      </c>
      <c r="J3954" s="13">
        <v>213675</v>
      </c>
      <c r="K3954">
        <v>1</v>
      </c>
      <c r="L3954" t="s">
        <v>1064</v>
      </c>
      <c r="M3954" t="s">
        <v>3815</v>
      </c>
      <c r="N3954" s="15" t="s">
        <v>6878</v>
      </c>
    </row>
    <row r="3955" spans="1:14" x14ac:dyDescent="0.2">
      <c r="A3955" t="s">
        <v>5085</v>
      </c>
      <c r="B3955" t="s">
        <v>2360</v>
      </c>
      <c r="C3955" s="9">
        <v>45024</v>
      </c>
      <c r="D3955" t="s">
        <v>960</v>
      </c>
      <c r="E3955" s="13">
        <v>3500000</v>
      </c>
      <c r="F3955" s="13">
        <v>27750</v>
      </c>
      <c r="G3955" s="9">
        <v>45024</v>
      </c>
      <c r="H3955" t="s">
        <v>1111</v>
      </c>
      <c r="I3955" t="s">
        <v>3814</v>
      </c>
      <c r="J3955" s="13">
        <v>213675</v>
      </c>
      <c r="K3955">
        <v>1</v>
      </c>
      <c r="L3955" t="s">
        <v>1064</v>
      </c>
      <c r="M3955" t="s">
        <v>3815</v>
      </c>
      <c r="N3955" s="15" t="s">
        <v>6878</v>
      </c>
    </row>
    <row r="3956" spans="1:14" x14ac:dyDescent="0.2">
      <c r="A3956" t="s">
        <v>5086</v>
      </c>
      <c r="B3956" t="s">
        <v>2360</v>
      </c>
      <c r="C3956" s="9">
        <v>45024</v>
      </c>
      <c r="D3956" t="s">
        <v>960</v>
      </c>
      <c r="E3956" s="13">
        <v>3500000</v>
      </c>
      <c r="F3956" s="13">
        <v>27750</v>
      </c>
      <c r="G3956" s="9">
        <v>45024</v>
      </c>
      <c r="H3956" t="s">
        <v>1111</v>
      </c>
      <c r="I3956" t="s">
        <v>3814</v>
      </c>
      <c r="J3956" s="13">
        <v>213675</v>
      </c>
      <c r="K3956">
        <v>1</v>
      </c>
      <c r="L3956" t="s">
        <v>1064</v>
      </c>
      <c r="M3956" t="s">
        <v>3815</v>
      </c>
      <c r="N3956" s="15" t="s">
        <v>6878</v>
      </c>
    </row>
    <row r="3957" spans="1:14" x14ac:dyDescent="0.2">
      <c r="A3957" t="s">
        <v>5087</v>
      </c>
      <c r="B3957" t="s">
        <v>2360</v>
      </c>
      <c r="C3957" s="9">
        <v>45024</v>
      </c>
      <c r="D3957" t="s">
        <v>960</v>
      </c>
      <c r="E3957" s="13">
        <v>3500000</v>
      </c>
      <c r="F3957" s="13">
        <v>27750</v>
      </c>
      <c r="G3957" s="9">
        <v>45024</v>
      </c>
      <c r="H3957" t="s">
        <v>1111</v>
      </c>
      <c r="I3957" t="s">
        <v>3814</v>
      </c>
      <c r="J3957" s="13">
        <v>213675</v>
      </c>
      <c r="K3957">
        <v>1</v>
      </c>
      <c r="L3957" t="s">
        <v>1064</v>
      </c>
      <c r="M3957" t="s">
        <v>3815</v>
      </c>
      <c r="N3957" s="15" t="s">
        <v>6878</v>
      </c>
    </row>
    <row r="3958" spans="1:14" x14ac:dyDescent="0.2">
      <c r="A3958" t="s">
        <v>5088</v>
      </c>
      <c r="B3958" t="s">
        <v>2360</v>
      </c>
      <c r="C3958" s="9">
        <v>45024</v>
      </c>
      <c r="D3958" t="s">
        <v>960</v>
      </c>
      <c r="E3958" s="13">
        <v>3500000</v>
      </c>
      <c r="F3958" s="13">
        <v>27750</v>
      </c>
      <c r="G3958" s="9">
        <v>45024</v>
      </c>
      <c r="H3958" t="s">
        <v>1111</v>
      </c>
      <c r="I3958" t="s">
        <v>3814</v>
      </c>
      <c r="J3958" s="13">
        <v>213675</v>
      </c>
      <c r="K3958">
        <v>1</v>
      </c>
      <c r="L3958" t="s">
        <v>1064</v>
      </c>
      <c r="M3958" t="s">
        <v>3815</v>
      </c>
      <c r="N3958" s="15" t="s">
        <v>6878</v>
      </c>
    </row>
    <row r="3959" spans="1:14" x14ac:dyDescent="0.2">
      <c r="A3959" t="s">
        <v>5089</v>
      </c>
      <c r="B3959" t="s">
        <v>2360</v>
      </c>
      <c r="C3959" s="9">
        <v>45024</v>
      </c>
      <c r="D3959" t="s">
        <v>979</v>
      </c>
      <c r="E3959" s="13">
        <v>19800000</v>
      </c>
      <c r="F3959" s="13">
        <v>27750</v>
      </c>
      <c r="G3959" s="9">
        <v>45025</v>
      </c>
      <c r="H3959" t="s">
        <v>1111</v>
      </c>
      <c r="I3959" t="s">
        <v>4368</v>
      </c>
      <c r="J3959" s="13">
        <v>879120</v>
      </c>
      <c r="K3959">
        <v>1</v>
      </c>
      <c r="L3959" t="s">
        <v>1064</v>
      </c>
      <c r="M3959" t="s">
        <v>4369</v>
      </c>
      <c r="N3959" s="15" t="s">
        <v>6878</v>
      </c>
    </row>
    <row r="3960" spans="1:14" x14ac:dyDescent="0.2">
      <c r="A3960" t="s">
        <v>5090</v>
      </c>
      <c r="B3960" t="s">
        <v>2360</v>
      </c>
      <c r="C3960" s="9">
        <v>45025</v>
      </c>
      <c r="D3960" t="s">
        <v>992</v>
      </c>
      <c r="E3960" s="13">
        <v>7459200</v>
      </c>
      <c r="F3960" s="13">
        <v>22200</v>
      </c>
      <c r="G3960" s="9">
        <v>45058</v>
      </c>
      <c r="H3960" t="s">
        <v>1111</v>
      </c>
      <c r="I3960" t="s">
        <v>2370</v>
      </c>
      <c r="J3960" s="13">
        <v>331188</v>
      </c>
      <c r="K3960">
        <v>1</v>
      </c>
      <c r="L3960" t="s">
        <v>1064</v>
      </c>
      <c r="M3960" t="s">
        <v>2371</v>
      </c>
      <c r="N3960" s="15" t="s">
        <v>6878</v>
      </c>
    </row>
    <row r="3961" spans="1:14" x14ac:dyDescent="0.2">
      <c r="A3961" t="s">
        <v>5091</v>
      </c>
      <c r="B3961" t="s">
        <v>2360</v>
      </c>
      <c r="C3961" s="9">
        <v>45025</v>
      </c>
      <c r="D3961" t="s">
        <v>32</v>
      </c>
      <c r="E3961" s="13">
        <v>3700000</v>
      </c>
      <c r="F3961" s="13">
        <v>27750</v>
      </c>
      <c r="G3961" s="9">
        <v>45025</v>
      </c>
      <c r="H3961" t="s">
        <v>1063</v>
      </c>
      <c r="I3961" t="s">
        <v>520</v>
      </c>
      <c r="J3961" s="13">
        <v>102675</v>
      </c>
      <c r="K3961">
        <v>1</v>
      </c>
      <c r="L3961" t="s">
        <v>1064</v>
      </c>
      <c r="M3961" t="s">
        <v>5005</v>
      </c>
      <c r="N3961" s="15" t="s">
        <v>6878</v>
      </c>
    </row>
    <row r="3962" spans="1:14" x14ac:dyDescent="0.2">
      <c r="A3962" t="s">
        <v>5092</v>
      </c>
      <c r="B3962" t="s">
        <v>2360</v>
      </c>
      <c r="C3962" s="9">
        <v>45025</v>
      </c>
      <c r="D3962" t="s">
        <v>32</v>
      </c>
      <c r="E3962" s="13">
        <v>3500000</v>
      </c>
      <c r="F3962" s="13">
        <v>27750</v>
      </c>
      <c r="G3962" s="9">
        <v>45025</v>
      </c>
      <c r="H3962" t="s">
        <v>1063</v>
      </c>
      <c r="I3962" t="s">
        <v>520</v>
      </c>
      <c r="J3962" s="13">
        <v>97125</v>
      </c>
      <c r="K3962">
        <v>1</v>
      </c>
      <c r="L3962" t="s">
        <v>1064</v>
      </c>
      <c r="M3962" t="s">
        <v>5005</v>
      </c>
      <c r="N3962" s="15" t="s">
        <v>6878</v>
      </c>
    </row>
    <row r="3963" spans="1:14" x14ac:dyDescent="0.2">
      <c r="A3963" t="s">
        <v>5093</v>
      </c>
      <c r="B3963" t="s">
        <v>2360</v>
      </c>
      <c r="C3963" s="9">
        <v>45025</v>
      </c>
      <c r="D3963" t="s">
        <v>9</v>
      </c>
      <c r="E3963" s="13">
        <v>3606400</v>
      </c>
      <c r="F3963" s="13">
        <v>24975</v>
      </c>
      <c r="G3963" s="9">
        <v>45043</v>
      </c>
      <c r="H3963" t="s">
        <v>1111</v>
      </c>
      <c r="I3963" t="s">
        <v>2361</v>
      </c>
      <c r="J3963" s="13">
        <v>120093</v>
      </c>
      <c r="K3963">
        <v>1</v>
      </c>
      <c r="L3963" t="s">
        <v>1064</v>
      </c>
      <c r="M3963" t="s">
        <v>2362</v>
      </c>
      <c r="N3963" s="15" t="s">
        <v>6878</v>
      </c>
    </row>
    <row r="3964" spans="1:14" x14ac:dyDescent="0.2">
      <c r="A3964" t="s">
        <v>5094</v>
      </c>
      <c r="B3964" t="s">
        <v>2360</v>
      </c>
      <c r="C3964" s="9">
        <v>45025</v>
      </c>
      <c r="D3964" t="s">
        <v>9</v>
      </c>
      <c r="E3964" s="13">
        <v>983225</v>
      </c>
      <c r="F3964" s="13">
        <v>22500</v>
      </c>
      <c r="H3964" t="s">
        <v>1659</v>
      </c>
      <c r="I3964" t="s">
        <v>4659</v>
      </c>
      <c r="J3964" s="13">
        <v>0</v>
      </c>
      <c r="K3964">
        <v>1</v>
      </c>
      <c r="L3964" t="s">
        <v>1064</v>
      </c>
      <c r="M3964" t="s">
        <v>4660</v>
      </c>
      <c r="N3964" s="14" t="s">
        <v>6877</v>
      </c>
    </row>
    <row r="3965" spans="1:14" x14ac:dyDescent="0.2">
      <c r="A3965" t="s">
        <v>1045</v>
      </c>
      <c r="B3965" t="s">
        <v>2360</v>
      </c>
      <c r="C3965" s="9">
        <v>45025</v>
      </c>
      <c r="D3965" t="s">
        <v>1044</v>
      </c>
      <c r="E3965" s="13">
        <v>4400000</v>
      </c>
      <c r="F3965" s="13">
        <v>27750</v>
      </c>
      <c r="G3965" s="9">
        <v>45026</v>
      </c>
      <c r="H3965" t="s">
        <v>1063</v>
      </c>
      <c r="I3965" t="s">
        <v>5095</v>
      </c>
      <c r="J3965" s="13">
        <v>183150</v>
      </c>
      <c r="K3965">
        <v>1</v>
      </c>
      <c r="L3965" t="s">
        <v>1064</v>
      </c>
      <c r="M3965" t="s">
        <v>5096</v>
      </c>
      <c r="N3965" s="15" t="s">
        <v>6878</v>
      </c>
    </row>
    <row r="3966" spans="1:14" x14ac:dyDescent="0.2">
      <c r="A3966" t="s">
        <v>5097</v>
      </c>
      <c r="B3966" t="s">
        <v>2360</v>
      </c>
      <c r="C3966" s="9">
        <v>45025</v>
      </c>
      <c r="D3966" t="s">
        <v>4247</v>
      </c>
      <c r="E3966" s="13">
        <v>12000000</v>
      </c>
      <c r="F3966" s="13">
        <v>420000</v>
      </c>
      <c r="H3966" t="s">
        <v>1659</v>
      </c>
      <c r="I3966" t="s">
        <v>4248</v>
      </c>
      <c r="J3966" s="13">
        <v>0</v>
      </c>
      <c r="K3966">
        <v>1</v>
      </c>
      <c r="L3966" t="s">
        <v>1064</v>
      </c>
      <c r="M3966" t="s">
        <v>4249</v>
      </c>
      <c r="N3966" s="14" t="s">
        <v>6877</v>
      </c>
    </row>
    <row r="3967" spans="1:14" x14ac:dyDescent="0.2">
      <c r="A3967" t="s">
        <v>5098</v>
      </c>
      <c r="B3967" t="s">
        <v>2360</v>
      </c>
      <c r="C3967" s="9">
        <v>45025</v>
      </c>
      <c r="D3967" t="s">
        <v>4247</v>
      </c>
      <c r="E3967" s="13">
        <v>12000000</v>
      </c>
      <c r="F3967" s="13">
        <v>420000</v>
      </c>
      <c r="H3967" t="s">
        <v>1659</v>
      </c>
      <c r="I3967" t="s">
        <v>4248</v>
      </c>
      <c r="J3967" s="13">
        <v>0</v>
      </c>
      <c r="K3967">
        <v>1</v>
      </c>
      <c r="L3967" t="s">
        <v>1064</v>
      </c>
      <c r="M3967" t="s">
        <v>4249</v>
      </c>
      <c r="N3967" s="14" t="s">
        <v>6877</v>
      </c>
    </row>
    <row r="3968" spans="1:14" x14ac:dyDescent="0.2">
      <c r="A3968" t="s">
        <v>5099</v>
      </c>
      <c r="B3968" t="s">
        <v>2360</v>
      </c>
      <c r="C3968" s="9">
        <v>45025</v>
      </c>
      <c r="D3968" t="s">
        <v>4247</v>
      </c>
      <c r="E3968" s="13">
        <v>12000000</v>
      </c>
      <c r="F3968" s="13">
        <v>420000</v>
      </c>
      <c r="H3968" t="s">
        <v>1659</v>
      </c>
      <c r="I3968" t="s">
        <v>4248</v>
      </c>
      <c r="J3968" s="13">
        <v>0</v>
      </c>
      <c r="K3968">
        <v>1</v>
      </c>
      <c r="L3968" t="s">
        <v>1064</v>
      </c>
      <c r="M3968" t="s">
        <v>4249</v>
      </c>
      <c r="N3968" s="14" t="s">
        <v>6877</v>
      </c>
    </row>
    <row r="3969" spans="1:14" x14ac:dyDescent="0.2">
      <c r="A3969" t="s">
        <v>5100</v>
      </c>
      <c r="B3969" t="s">
        <v>2360</v>
      </c>
      <c r="C3969" s="9">
        <v>45025</v>
      </c>
      <c r="D3969" t="s">
        <v>4247</v>
      </c>
      <c r="E3969" s="13">
        <v>12000000</v>
      </c>
      <c r="F3969" s="13">
        <v>420000</v>
      </c>
      <c r="H3969" t="s">
        <v>1659</v>
      </c>
      <c r="I3969" t="s">
        <v>4248</v>
      </c>
      <c r="J3969" s="13">
        <v>0</v>
      </c>
      <c r="K3969">
        <v>1</v>
      </c>
      <c r="L3969" t="s">
        <v>1064</v>
      </c>
      <c r="M3969" t="s">
        <v>4249</v>
      </c>
      <c r="N3969" s="14" t="s">
        <v>6877</v>
      </c>
    </row>
    <row r="3970" spans="1:14" x14ac:dyDescent="0.2">
      <c r="A3970" t="s">
        <v>5101</v>
      </c>
      <c r="B3970" t="s">
        <v>2360</v>
      </c>
      <c r="C3970" s="9">
        <v>45025</v>
      </c>
      <c r="D3970" t="s">
        <v>4247</v>
      </c>
      <c r="E3970" s="13">
        <v>12000000</v>
      </c>
      <c r="F3970" s="13">
        <v>420000</v>
      </c>
      <c r="H3970" t="s">
        <v>1659</v>
      </c>
      <c r="I3970" t="s">
        <v>4248</v>
      </c>
      <c r="J3970" s="13">
        <v>0</v>
      </c>
      <c r="K3970">
        <v>1</v>
      </c>
      <c r="L3970" t="s">
        <v>1064</v>
      </c>
      <c r="M3970" t="s">
        <v>4249</v>
      </c>
      <c r="N3970" s="14" t="s">
        <v>6877</v>
      </c>
    </row>
    <row r="3971" spans="1:14" x14ac:dyDescent="0.2">
      <c r="A3971" t="s">
        <v>5102</v>
      </c>
      <c r="B3971" t="s">
        <v>2360</v>
      </c>
      <c r="C3971" s="9">
        <v>45025</v>
      </c>
      <c r="D3971" t="s">
        <v>4247</v>
      </c>
      <c r="E3971" s="13">
        <v>12000000</v>
      </c>
      <c r="F3971" s="13">
        <v>420000</v>
      </c>
      <c r="H3971" t="s">
        <v>1659</v>
      </c>
      <c r="I3971" t="s">
        <v>4248</v>
      </c>
      <c r="J3971" s="13">
        <v>0</v>
      </c>
      <c r="K3971">
        <v>1</v>
      </c>
      <c r="L3971" t="s">
        <v>1064</v>
      </c>
      <c r="M3971" t="s">
        <v>4249</v>
      </c>
      <c r="N3971" s="14" t="s">
        <v>6877</v>
      </c>
    </row>
    <row r="3972" spans="1:14" x14ac:dyDescent="0.2">
      <c r="A3972" t="s">
        <v>5103</v>
      </c>
      <c r="B3972" t="s">
        <v>2360</v>
      </c>
      <c r="C3972" s="9">
        <v>45025</v>
      </c>
      <c r="D3972" t="s">
        <v>4247</v>
      </c>
      <c r="E3972" s="13">
        <v>12000000</v>
      </c>
      <c r="F3972" s="13">
        <v>420000</v>
      </c>
      <c r="H3972" t="s">
        <v>1659</v>
      </c>
      <c r="I3972" t="s">
        <v>4248</v>
      </c>
      <c r="J3972" s="13">
        <v>0</v>
      </c>
      <c r="K3972">
        <v>1</v>
      </c>
      <c r="L3972" t="s">
        <v>1064</v>
      </c>
      <c r="M3972" t="s">
        <v>4249</v>
      </c>
      <c r="N3972" s="14" t="s">
        <v>6877</v>
      </c>
    </row>
    <row r="3973" spans="1:14" x14ac:dyDescent="0.2">
      <c r="A3973" t="s">
        <v>5104</v>
      </c>
      <c r="B3973" t="s">
        <v>2360</v>
      </c>
      <c r="C3973" s="9">
        <v>45025</v>
      </c>
      <c r="D3973" t="s">
        <v>4247</v>
      </c>
      <c r="E3973" s="13">
        <v>12000000</v>
      </c>
      <c r="F3973" s="13">
        <v>466200</v>
      </c>
      <c r="G3973" s="9">
        <v>45029</v>
      </c>
      <c r="H3973" t="s">
        <v>1063</v>
      </c>
      <c r="I3973" t="s">
        <v>4248</v>
      </c>
      <c r="J3973" s="13">
        <v>27750</v>
      </c>
      <c r="K3973">
        <v>1</v>
      </c>
      <c r="L3973" t="s">
        <v>1064</v>
      </c>
      <c r="M3973" t="s">
        <v>4249</v>
      </c>
      <c r="N3973" s="15" t="s">
        <v>6878</v>
      </c>
    </row>
    <row r="3974" spans="1:14" x14ac:dyDescent="0.2">
      <c r="A3974" t="s">
        <v>5105</v>
      </c>
      <c r="B3974" t="s">
        <v>2360</v>
      </c>
      <c r="C3974" s="9">
        <v>45025</v>
      </c>
      <c r="D3974" t="s">
        <v>4247</v>
      </c>
      <c r="E3974" s="13">
        <v>12000000</v>
      </c>
      <c r="F3974" s="13">
        <v>466200</v>
      </c>
      <c r="G3974" s="9">
        <v>45029</v>
      </c>
      <c r="H3974" t="s">
        <v>1111</v>
      </c>
      <c r="I3974" t="s">
        <v>4248</v>
      </c>
      <c r="J3974" s="13">
        <v>27750</v>
      </c>
      <c r="K3974">
        <v>1</v>
      </c>
      <c r="L3974" t="s">
        <v>1064</v>
      </c>
      <c r="M3974" t="s">
        <v>4249</v>
      </c>
      <c r="N3974" s="15" t="s">
        <v>6878</v>
      </c>
    </row>
    <row r="3975" spans="1:14" x14ac:dyDescent="0.2">
      <c r="A3975" t="s">
        <v>5106</v>
      </c>
      <c r="B3975" t="s">
        <v>2360</v>
      </c>
      <c r="C3975" s="9">
        <v>45025</v>
      </c>
      <c r="D3975" t="s">
        <v>4247</v>
      </c>
      <c r="E3975" s="13">
        <v>12000000</v>
      </c>
      <c r="F3975" s="13">
        <v>466200</v>
      </c>
      <c r="G3975" s="9">
        <v>45029</v>
      </c>
      <c r="H3975" t="s">
        <v>1111</v>
      </c>
      <c r="I3975" t="s">
        <v>4248</v>
      </c>
      <c r="J3975" s="13">
        <v>27750</v>
      </c>
      <c r="K3975">
        <v>1</v>
      </c>
      <c r="L3975" t="s">
        <v>1064</v>
      </c>
      <c r="M3975" t="s">
        <v>4249</v>
      </c>
      <c r="N3975" s="15" t="s">
        <v>6878</v>
      </c>
    </row>
    <row r="3976" spans="1:14" x14ac:dyDescent="0.2">
      <c r="A3976" t="s">
        <v>5107</v>
      </c>
      <c r="B3976" t="s">
        <v>2360</v>
      </c>
      <c r="C3976" s="9">
        <v>45025</v>
      </c>
      <c r="D3976" t="s">
        <v>4247</v>
      </c>
      <c r="E3976" s="13">
        <v>12000000</v>
      </c>
      <c r="F3976" s="13">
        <v>466200</v>
      </c>
      <c r="G3976" s="9">
        <v>45029</v>
      </c>
      <c r="H3976" t="s">
        <v>1111</v>
      </c>
      <c r="I3976" t="s">
        <v>4248</v>
      </c>
      <c r="J3976" s="13">
        <v>27750</v>
      </c>
      <c r="K3976">
        <v>1</v>
      </c>
      <c r="L3976" t="s">
        <v>1064</v>
      </c>
      <c r="M3976" t="s">
        <v>4249</v>
      </c>
      <c r="N3976" s="15" t="s">
        <v>6878</v>
      </c>
    </row>
    <row r="3977" spans="1:14" x14ac:dyDescent="0.2">
      <c r="A3977" t="s">
        <v>5108</v>
      </c>
      <c r="B3977" t="s">
        <v>2360</v>
      </c>
      <c r="C3977" s="9">
        <v>45025</v>
      </c>
      <c r="D3977" t="s">
        <v>4247</v>
      </c>
      <c r="E3977" s="13">
        <v>12000000</v>
      </c>
      <c r="F3977" s="13">
        <v>466200</v>
      </c>
      <c r="G3977" s="9">
        <v>45029</v>
      </c>
      <c r="H3977" t="s">
        <v>1111</v>
      </c>
      <c r="I3977" t="s">
        <v>4248</v>
      </c>
      <c r="J3977" s="13">
        <v>27750</v>
      </c>
      <c r="K3977">
        <v>1</v>
      </c>
      <c r="L3977" t="s">
        <v>1064</v>
      </c>
      <c r="M3977" t="s">
        <v>4249</v>
      </c>
      <c r="N3977" s="15" t="s">
        <v>6878</v>
      </c>
    </row>
    <row r="3978" spans="1:14" x14ac:dyDescent="0.2">
      <c r="A3978" t="s">
        <v>5109</v>
      </c>
      <c r="B3978" t="s">
        <v>2360</v>
      </c>
      <c r="C3978" s="9">
        <v>45025</v>
      </c>
      <c r="D3978" t="s">
        <v>4247</v>
      </c>
      <c r="E3978" s="13">
        <v>12000000</v>
      </c>
      <c r="F3978" s="13">
        <v>466200</v>
      </c>
      <c r="G3978" s="9">
        <v>45029</v>
      </c>
      <c r="H3978" t="s">
        <v>1111</v>
      </c>
      <c r="I3978" t="s">
        <v>4248</v>
      </c>
      <c r="J3978" s="13">
        <v>27750</v>
      </c>
      <c r="K3978">
        <v>1</v>
      </c>
      <c r="L3978" t="s">
        <v>1064</v>
      </c>
      <c r="M3978" t="s">
        <v>4249</v>
      </c>
      <c r="N3978" s="15" t="s">
        <v>6878</v>
      </c>
    </row>
    <row r="3979" spans="1:14" x14ac:dyDescent="0.2">
      <c r="A3979" t="s">
        <v>5110</v>
      </c>
      <c r="B3979" t="s">
        <v>2360</v>
      </c>
      <c r="C3979" s="9">
        <v>45025</v>
      </c>
      <c r="D3979" t="s">
        <v>4247</v>
      </c>
      <c r="E3979" s="13">
        <v>12500000</v>
      </c>
      <c r="F3979" s="13">
        <v>485625</v>
      </c>
      <c r="G3979" s="9">
        <v>45029</v>
      </c>
      <c r="H3979" t="s">
        <v>1111</v>
      </c>
      <c r="I3979" t="s">
        <v>4248</v>
      </c>
      <c r="J3979" s="13">
        <v>27750</v>
      </c>
      <c r="K3979">
        <v>1</v>
      </c>
      <c r="L3979" t="s">
        <v>1064</v>
      </c>
      <c r="M3979" t="s">
        <v>4249</v>
      </c>
      <c r="N3979" s="15" t="s">
        <v>6878</v>
      </c>
    </row>
    <row r="3980" spans="1:14" x14ac:dyDescent="0.2">
      <c r="A3980" t="s">
        <v>5111</v>
      </c>
      <c r="B3980" t="s">
        <v>2360</v>
      </c>
      <c r="C3980" s="9">
        <v>45025</v>
      </c>
      <c r="D3980" t="s">
        <v>4247</v>
      </c>
      <c r="E3980" s="13">
        <v>12500000</v>
      </c>
      <c r="F3980" s="13">
        <v>485625</v>
      </c>
      <c r="G3980" s="9">
        <v>45029</v>
      </c>
      <c r="H3980" t="s">
        <v>1111</v>
      </c>
      <c r="I3980" t="s">
        <v>4248</v>
      </c>
      <c r="J3980" s="13">
        <v>27750</v>
      </c>
      <c r="K3980">
        <v>1</v>
      </c>
      <c r="L3980" t="s">
        <v>1064</v>
      </c>
      <c r="M3980" t="s">
        <v>4249</v>
      </c>
      <c r="N3980" s="15" t="s">
        <v>6878</v>
      </c>
    </row>
    <row r="3981" spans="1:14" x14ac:dyDescent="0.2">
      <c r="A3981" t="s">
        <v>5112</v>
      </c>
      <c r="B3981" t="s">
        <v>2360</v>
      </c>
      <c r="C3981" s="9">
        <v>45025</v>
      </c>
      <c r="D3981" t="s">
        <v>4247</v>
      </c>
      <c r="E3981" s="13">
        <v>12500000</v>
      </c>
      <c r="F3981" s="13">
        <v>485625</v>
      </c>
      <c r="G3981" s="9">
        <v>45029</v>
      </c>
      <c r="H3981" t="s">
        <v>1111</v>
      </c>
      <c r="I3981" t="s">
        <v>4248</v>
      </c>
      <c r="J3981" s="13">
        <v>27750</v>
      </c>
      <c r="K3981">
        <v>1</v>
      </c>
      <c r="L3981" t="s">
        <v>1064</v>
      </c>
      <c r="M3981" t="s">
        <v>4249</v>
      </c>
      <c r="N3981" s="15" t="s">
        <v>6878</v>
      </c>
    </row>
    <row r="3982" spans="1:14" x14ac:dyDescent="0.2">
      <c r="A3982" t="s">
        <v>5113</v>
      </c>
      <c r="B3982" t="s">
        <v>2360</v>
      </c>
      <c r="C3982" s="9">
        <v>45025</v>
      </c>
      <c r="D3982" t="s">
        <v>4247</v>
      </c>
      <c r="E3982" s="13">
        <v>12500000</v>
      </c>
      <c r="F3982" s="13">
        <v>485625</v>
      </c>
      <c r="G3982" s="9">
        <v>45029</v>
      </c>
      <c r="H3982" t="s">
        <v>1111</v>
      </c>
      <c r="I3982" t="s">
        <v>4248</v>
      </c>
      <c r="J3982" s="13">
        <v>27750</v>
      </c>
      <c r="K3982">
        <v>1</v>
      </c>
      <c r="L3982" t="s">
        <v>1064</v>
      </c>
      <c r="M3982" t="s">
        <v>4249</v>
      </c>
      <c r="N3982" s="15" t="s">
        <v>6878</v>
      </c>
    </row>
    <row r="3983" spans="1:14" x14ac:dyDescent="0.2">
      <c r="A3983" t="s">
        <v>5114</v>
      </c>
      <c r="B3983" t="s">
        <v>2360</v>
      </c>
      <c r="C3983" s="9">
        <v>45025</v>
      </c>
      <c r="D3983" t="s">
        <v>4247</v>
      </c>
      <c r="E3983" s="13">
        <v>12500000</v>
      </c>
      <c r="F3983" s="13">
        <v>485625</v>
      </c>
      <c r="G3983" s="9">
        <v>45029</v>
      </c>
      <c r="H3983" t="s">
        <v>1111</v>
      </c>
      <c r="I3983" t="s">
        <v>4248</v>
      </c>
      <c r="J3983" s="13">
        <v>27750</v>
      </c>
      <c r="K3983">
        <v>1</v>
      </c>
      <c r="L3983" t="s">
        <v>1064</v>
      </c>
      <c r="M3983" t="s">
        <v>4249</v>
      </c>
      <c r="N3983" s="15" t="s">
        <v>6878</v>
      </c>
    </row>
    <row r="3984" spans="1:14" x14ac:dyDescent="0.2">
      <c r="A3984" t="s">
        <v>5115</v>
      </c>
      <c r="B3984" t="s">
        <v>2360</v>
      </c>
      <c r="C3984" s="9">
        <v>45025</v>
      </c>
      <c r="D3984" t="s">
        <v>4247</v>
      </c>
      <c r="E3984" s="13">
        <v>4450000</v>
      </c>
      <c r="F3984" s="13">
        <v>172882</v>
      </c>
      <c r="G3984" s="9">
        <v>45028</v>
      </c>
      <c r="H3984" t="s">
        <v>1111</v>
      </c>
      <c r="I3984" t="s">
        <v>4248</v>
      </c>
      <c r="J3984" s="13">
        <v>27750</v>
      </c>
      <c r="K3984">
        <v>1</v>
      </c>
      <c r="L3984" t="s">
        <v>1064</v>
      </c>
      <c r="M3984" t="s">
        <v>4249</v>
      </c>
      <c r="N3984" s="15" t="s">
        <v>6878</v>
      </c>
    </row>
    <row r="3985" spans="1:14" x14ac:dyDescent="0.2">
      <c r="A3985" t="s">
        <v>5116</v>
      </c>
      <c r="B3985" t="s">
        <v>2360</v>
      </c>
      <c r="C3985" s="9">
        <v>45025</v>
      </c>
      <c r="D3985" t="s">
        <v>4247</v>
      </c>
      <c r="E3985" s="13">
        <v>4450000</v>
      </c>
      <c r="F3985" s="13">
        <v>172882</v>
      </c>
      <c r="G3985" s="9">
        <v>45028</v>
      </c>
      <c r="H3985" t="s">
        <v>1111</v>
      </c>
      <c r="I3985" t="s">
        <v>4248</v>
      </c>
      <c r="J3985" s="13">
        <v>27750</v>
      </c>
      <c r="K3985">
        <v>1</v>
      </c>
      <c r="L3985" t="s">
        <v>1064</v>
      </c>
      <c r="M3985" t="s">
        <v>4249</v>
      </c>
      <c r="N3985" s="15" t="s">
        <v>6878</v>
      </c>
    </row>
    <row r="3986" spans="1:14" x14ac:dyDescent="0.2">
      <c r="A3986" t="s">
        <v>5117</v>
      </c>
      <c r="B3986" t="s">
        <v>2360</v>
      </c>
      <c r="C3986" s="9">
        <v>45025</v>
      </c>
      <c r="D3986" t="s">
        <v>4247</v>
      </c>
      <c r="E3986" s="13">
        <v>4450000</v>
      </c>
      <c r="F3986" s="13">
        <v>172882</v>
      </c>
      <c r="G3986" s="9">
        <v>45028</v>
      </c>
      <c r="H3986" t="s">
        <v>1111</v>
      </c>
      <c r="I3986" t="s">
        <v>4248</v>
      </c>
      <c r="J3986" s="13">
        <v>27750</v>
      </c>
      <c r="K3986">
        <v>1</v>
      </c>
      <c r="L3986" t="s">
        <v>1064</v>
      </c>
      <c r="M3986" t="s">
        <v>4249</v>
      </c>
      <c r="N3986" s="15" t="s">
        <v>6878</v>
      </c>
    </row>
    <row r="3987" spans="1:14" x14ac:dyDescent="0.2">
      <c r="A3987" t="s">
        <v>5118</v>
      </c>
      <c r="B3987" t="s">
        <v>2360</v>
      </c>
      <c r="C3987" s="9">
        <v>45025</v>
      </c>
      <c r="D3987" t="s">
        <v>4247</v>
      </c>
      <c r="E3987" s="13">
        <v>4450000</v>
      </c>
      <c r="F3987" s="13">
        <v>172882</v>
      </c>
      <c r="G3987" s="9">
        <v>45028</v>
      </c>
      <c r="H3987" t="s">
        <v>1111</v>
      </c>
      <c r="I3987" t="s">
        <v>4248</v>
      </c>
      <c r="J3987" s="13">
        <v>27750</v>
      </c>
      <c r="K3987">
        <v>1</v>
      </c>
      <c r="L3987" t="s">
        <v>1064</v>
      </c>
      <c r="M3987" t="s">
        <v>4249</v>
      </c>
      <c r="N3987" s="15" t="s">
        <v>6878</v>
      </c>
    </row>
    <row r="3988" spans="1:14" x14ac:dyDescent="0.2">
      <c r="A3988" t="s">
        <v>5119</v>
      </c>
      <c r="B3988" t="s">
        <v>2360</v>
      </c>
      <c r="C3988" s="9">
        <v>45025</v>
      </c>
      <c r="D3988" t="s">
        <v>4247</v>
      </c>
      <c r="E3988" s="13">
        <v>4450000</v>
      </c>
      <c r="F3988" s="13">
        <v>172882</v>
      </c>
      <c r="G3988" s="9">
        <v>45028</v>
      </c>
      <c r="H3988" t="s">
        <v>1111</v>
      </c>
      <c r="I3988" t="s">
        <v>4248</v>
      </c>
      <c r="J3988" s="13">
        <v>27750</v>
      </c>
      <c r="K3988">
        <v>1</v>
      </c>
      <c r="L3988" t="s">
        <v>1064</v>
      </c>
      <c r="M3988" t="s">
        <v>4249</v>
      </c>
      <c r="N3988" s="15" t="s">
        <v>6878</v>
      </c>
    </row>
    <row r="3989" spans="1:14" x14ac:dyDescent="0.2">
      <c r="A3989" t="s">
        <v>5120</v>
      </c>
      <c r="B3989" t="s">
        <v>2360</v>
      </c>
      <c r="C3989" s="9">
        <v>45025</v>
      </c>
      <c r="D3989" t="s">
        <v>4247</v>
      </c>
      <c r="E3989" s="13">
        <v>8000000</v>
      </c>
      <c r="F3989" s="13">
        <v>310800</v>
      </c>
      <c r="G3989" s="9">
        <v>45028</v>
      </c>
      <c r="H3989" t="s">
        <v>1111</v>
      </c>
      <c r="I3989" t="s">
        <v>4248</v>
      </c>
      <c r="J3989" s="13">
        <v>27750</v>
      </c>
      <c r="K3989">
        <v>1</v>
      </c>
      <c r="L3989" t="s">
        <v>1064</v>
      </c>
      <c r="M3989" t="s">
        <v>4249</v>
      </c>
      <c r="N3989" s="15" t="s">
        <v>6878</v>
      </c>
    </row>
    <row r="3990" spans="1:14" x14ac:dyDescent="0.2">
      <c r="A3990" t="s">
        <v>5121</v>
      </c>
      <c r="B3990" t="s">
        <v>2360</v>
      </c>
      <c r="C3990" s="9">
        <v>45025</v>
      </c>
      <c r="D3990" t="s">
        <v>4247</v>
      </c>
      <c r="E3990" s="13">
        <v>8000000</v>
      </c>
      <c r="F3990" s="13">
        <v>310800</v>
      </c>
      <c r="G3990" s="9">
        <v>45028</v>
      </c>
      <c r="H3990" t="s">
        <v>1111</v>
      </c>
      <c r="I3990" t="s">
        <v>4248</v>
      </c>
      <c r="J3990" s="13">
        <v>27750</v>
      </c>
      <c r="K3990">
        <v>1</v>
      </c>
      <c r="L3990" t="s">
        <v>1064</v>
      </c>
      <c r="M3990" t="s">
        <v>4249</v>
      </c>
      <c r="N3990" s="15" t="s">
        <v>6878</v>
      </c>
    </row>
    <row r="3991" spans="1:14" x14ac:dyDescent="0.2">
      <c r="A3991" t="s">
        <v>963</v>
      </c>
      <c r="B3991" t="s">
        <v>2360</v>
      </c>
      <c r="C3991" s="9">
        <v>45025</v>
      </c>
      <c r="D3991" t="s">
        <v>4247</v>
      </c>
      <c r="E3991" s="13">
        <v>8000000</v>
      </c>
      <c r="F3991" s="13">
        <v>310800</v>
      </c>
      <c r="G3991" s="9">
        <v>45028</v>
      </c>
      <c r="H3991" t="s">
        <v>1111</v>
      </c>
      <c r="I3991" t="s">
        <v>4248</v>
      </c>
      <c r="J3991" s="13">
        <v>27750</v>
      </c>
      <c r="K3991">
        <v>1</v>
      </c>
      <c r="L3991" t="s">
        <v>1064</v>
      </c>
      <c r="M3991" t="s">
        <v>4249</v>
      </c>
      <c r="N3991" s="15" t="s">
        <v>6878</v>
      </c>
    </row>
    <row r="3992" spans="1:14" x14ac:dyDescent="0.2">
      <c r="A3992" t="s">
        <v>5122</v>
      </c>
      <c r="B3992" t="s">
        <v>2360</v>
      </c>
      <c r="C3992" s="9">
        <v>45025</v>
      </c>
      <c r="D3992" t="s">
        <v>9</v>
      </c>
      <c r="E3992" s="13">
        <v>1184820</v>
      </c>
      <c r="F3992" s="13">
        <v>74925</v>
      </c>
      <c r="G3992" s="9">
        <v>45043</v>
      </c>
      <c r="H3992" t="s">
        <v>1111</v>
      </c>
      <c r="I3992" t="s">
        <v>436</v>
      </c>
      <c r="J3992" s="13">
        <v>39453</v>
      </c>
      <c r="K3992">
        <v>3</v>
      </c>
      <c r="L3992" t="s">
        <v>1064</v>
      </c>
      <c r="M3992" t="s">
        <v>2364</v>
      </c>
      <c r="N3992" s="15" t="s">
        <v>6878</v>
      </c>
    </row>
    <row r="3993" spans="1:14" x14ac:dyDescent="0.2">
      <c r="A3993" t="s">
        <v>5123</v>
      </c>
      <c r="B3993" t="s">
        <v>2360</v>
      </c>
      <c r="C3993" s="9">
        <v>45025</v>
      </c>
      <c r="D3993" t="s">
        <v>9</v>
      </c>
      <c r="E3993" s="13">
        <v>274890</v>
      </c>
      <c r="F3993" s="13">
        <v>24975</v>
      </c>
      <c r="G3993" s="9">
        <v>45043</v>
      </c>
      <c r="H3993" t="s">
        <v>1111</v>
      </c>
      <c r="I3993" t="s">
        <v>436</v>
      </c>
      <c r="J3993" s="13">
        <v>9153</v>
      </c>
      <c r="K3993">
        <v>1</v>
      </c>
      <c r="L3993" t="s">
        <v>1064</v>
      </c>
      <c r="M3993" t="s">
        <v>2364</v>
      </c>
      <c r="N3993" s="15" t="s">
        <v>6878</v>
      </c>
    </row>
    <row r="3994" spans="1:14" x14ac:dyDescent="0.2">
      <c r="A3994" t="s">
        <v>5124</v>
      </c>
      <c r="B3994" t="s">
        <v>2360</v>
      </c>
      <c r="C3994" s="9">
        <v>45025</v>
      </c>
      <c r="D3994" t="s">
        <v>9</v>
      </c>
      <c r="E3994" s="13">
        <v>448350</v>
      </c>
      <c r="F3994" s="13">
        <v>24975</v>
      </c>
      <c r="G3994" s="9">
        <v>45043</v>
      </c>
      <c r="H3994" t="s">
        <v>1111</v>
      </c>
      <c r="I3994" t="s">
        <v>436</v>
      </c>
      <c r="J3994" s="13">
        <v>14929</v>
      </c>
      <c r="K3994">
        <v>1</v>
      </c>
      <c r="L3994" t="s">
        <v>1064</v>
      </c>
      <c r="M3994" t="s">
        <v>2364</v>
      </c>
      <c r="N3994" s="15" t="s">
        <v>6878</v>
      </c>
    </row>
    <row r="3995" spans="1:14" x14ac:dyDescent="0.2">
      <c r="A3995" t="s">
        <v>5125</v>
      </c>
      <c r="B3995" t="s">
        <v>2360</v>
      </c>
      <c r="C3995" s="9">
        <v>45026</v>
      </c>
      <c r="D3995" t="s">
        <v>131</v>
      </c>
      <c r="E3995" s="13">
        <v>7500000</v>
      </c>
      <c r="F3995" s="13">
        <v>27750</v>
      </c>
      <c r="G3995" s="9">
        <v>45026</v>
      </c>
      <c r="H3995" t="s">
        <v>1111</v>
      </c>
      <c r="I3995" t="s">
        <v>3814</v>
      </c>
      <c r="J3995" s="13">
        <v>208125</v>
      </c>
      <c r="K3995">
        <v>1</v>
      </c>
      <c r="L3995" t="s">
        <v>1064</v>
      </c>
      <c r="M3995" t="s">
        <v>5126</v>
      </c>
      <c r="N3995" s="15" t="s">
        <v>6878</v>
      </c>
    </row>
    <row r="3996" spans="1:14" x14ac:dyDescent="0.2">
      <c r="A3996" t="s">
        <v>5127</v>
      </c>
      <c r="B3996" t="s">
        <v>2360</v>
      </c>
      <c r="C3996" s="9">
        <v>45026</v>
      </c>
      <c r="D3996" t="s">
        <v>952</v>
      </c>
      <c r="E3996" s="13">
        <v>290875000</v>
      </c>
      <c r="F3996" s="13">
        <v>27750</v>
      </c>
      <c r="G3996" s="9">
        <v>45026</v>
      </c>
      <c r="H3996" t="s">
        <v>1063</v>
      </c>
      <c r="I3996" t="s">
        <v>4626</v>
      </c>
      <c r="J3996" s="13">
        <v>12914850</v>
      </c>
      <c r="K3996">
        <v>1</v>
      </c>
      <c r="L3996" t="s">
        <v>1064</v>
      </c>
      <c r="M3996" t="s">
        <v>4627</v>
      </c>
      <c r="N3996" s="15" t="s">
        <v>6878</v>
      </c>
    </row>
    <row r="3997" spans="1:14" x14ac:dyDescent="0.2">
      <c r="A3997" t="s">
        <v>5128</v>
      </c>
      <c r="B3997" t="s">
        <v>2360</v>
      </c>
      <c r="C3997" s="9">
        <v>45026</v>
      </c>
      <c r="D3997" t="s">
        <v>131</v>
      </c>
      <c r="E3997" s="13">
        <v>7500000</v>
      </c>
      <c r="F3997" s="13">
        <v>27750</v>
      </c>
      <c r="G3997" s="9">
        <v>45026</v>
      </c>
      <c r="H3997" t="s">
        <v>1111</v>
      </c>
      <c r="I3997" t="s">
        <v>3814</v>
      </c>
      <c r="J3997" s="13">
        <v>208125</v>
      </c>
      <c r="K3997">
        <v>1</v>
      </c>
      <c r="L3997" t="s">
        <v>1064</v>
      </c>
      <c r="M3997" t="s">
        <v>5126</v>
      </c>
      <c r="N3997" s="15" t="s">
        <v>6878</v>
      </c>
    </row>
    <row r="3998" spans="1:14" x14ac:dyDescent="0.2">
      <c r="A3998" t="s">
        <v>5129</v>
      </c>
      <c r="B3998" t="s">
        <v>2360</v>
      </c>
      <c r="C3998" s="9">
        <v>45026</v>
      </c>
      <c r="D3998" t="s">
        <v>131</v>
      </c>
      <c r="E3998" s="13">
        <v>7500000</v>
      </c>
      <c r="F3998" s="13">
        <v>27750</v>
      </c>
      <c r="G3998" s="9">
        <v>45026</v>
      </c>
      <c r="H3998" t="s">
        <v>1111</v>
      </c>
      <c r="I3998" t="s">
        <v>3814</v>
      </c>
      <c r="J3998" s="13">
        <v>208125</v>
      </c>
      <c r="K3998">
        <v>1</v>
      </c>
      <c r="L3998" t="s">
        <v>1064</v>
      </c>
      <c r="M3998" t="s">
        <v>5126</v>
      </c>
      <c r="N3998" s="15" t="s">
        <v>6878</v>
      </c>
    </row>
    <row r="3999" spans="1:14" x14ac:dyDescent="0.2">
      <c r="A3999" t="s">
        <v>5130</v>
      </c>
      <c r="B3999" t="s">
        <v>2360</v>
      </c>
      <c r="C3999" s="9">
        <v>45026</v>
      </c>
      <c r="D3999" t="s">
        <v>131</v>
      </c>
      <c r="E3999" s="13">
        <v>7500000</v>
      </c>
      <c r="F3999" s="13">
        <v>27750</v>
      </c>
      <c r="G3999" s="9">
        <v>45026</v>
      </c>
      <c r="H3999" t="s">
        <v>1111</v>
      </c>
      <c r="I3999" t="s">
        <v>3814</v>
      </c>
      <c r="J3999" s="13">
        <v>208125</v>
      </c>
      <c r="K3999">
        <v>1</v>
      </c>
      <c r="L3999" t="s">
        <v>1064</v>
      </c>
      <c r="M3999" t="s">
        <v>5126</v>
      </c>
      <c r="N3999" s="15" t="s">
        <v>6878</v>
      </c>
    </row>
    <row r="4000" spans="1:14" x14ac:dyDescent="0.2">
      <c r="A4000" t="s">
        <v>5131</v>
      </c>
      <c r="B4000" t="s">
        <v>2360</v>
      </c>
      <c r="C4000" s="9">
        <v>45026</v>
      </c>
      <c r="D4000" t="s">
        <v>9</v>
      </c>
      <c r="E4000" s="13">
        <v>340060</v>
      </c>
      <c r="F4000" s="13">
        <v>24975</v>
      </c>
      <c r="G4000" s="9">
        <v>45043</v>
      </c>
      <c r="H4000" t="s">
        <v>1111</v>
      </c>
      <c r="I4000" t="s">
        <v>436</v>
      </c>
      <c r="J4000" s="13">
        <v>11323</v>
      </c>
      <c r="K4000">
        <v>1</v>
      </c>
      <c r="L4000" t="s">
        <v>1064</v>
      </c>
      <c r="M4000" t="s">
        <v>2364</v>
      </c>
      <c r="N4000" s="15" t="s">
        <v>6878</v>
      </c>
    </row>
    <row r="4001" spans="1:14" x14ac:dyDescent="0.2">
      <c r="A4001" t="s">
        <v>5132</v>
      </c>
      <c r="B4001" t="s">
        <v>2360</v>
      </c>
      <c r="C4001" s="9">
        <v>45026</v>
      </c>
      <c r="D4001" t="s">
        <v>131</v>
      </c>
      <c r="E4001" s="13">
        <v>7500000</v>
      </c>
      <c r="F4001" s="13">
        <v>27750</v>
      </c>
      <c r="G4001" s="9">
        <v>45026</v>
      </c>
      <c r="H4001" t="s">
        <v>1111</v>
      </c>
      <c r="I4001" t="s">
        <v>3814</v>
      </c>
      <c r="J4001" s="13">
        <v>208125</v>
      </c>
      <c r="K4001">
        <v>1</v>
      </c>
      <c r="L4001" t="s">
        <v>1064</v>
      </c>
      <c r="M4001" t="s">
        <v>5126</v>
      </c>
      <c r="N4001" s="15" t="s">
        <v>6878</v>
      </c>
    </row>
    <row r="4002" spans="1:14" x14ac:dyDescent="0.2">
      <c r="A4002" t="s">
        <v>5133</v>
      </c>
      <c r="B4002" t="s">
        <v>2360</v>
      </c>
      <c r="C4002" s="9">
        <v>45026</v>
      </c>
      <c r="D4002" t="s">
        <v>131</v>
      </c>
      <c r="E4002" s="13">
        <v>7500000</v>
      </c>
      <c r="F4002" s="13">
        <v>27750</v>
      </c>
      <c r="G4002" s="9">
        <v>45026</v>
      </c>
      <c r="H4002" t="s">
        <v>1111</v>
      </c>
      <c r="I4002" t="s">
        <v>3814</v>
      </c>
      <c r="J4002" s="13">
        <v>208125</v>
      </c>
      <c r="K4002">
        <v>1</v>
      </c>
      <c r="L4002" t="s">
        <v>1064</v>
      </c>
      <c r="M4002" t="s">
        <v>5126</v>
      </c>
      <c r="N4002" s="15" t="s">
        <v>6878</v>
      </c>
    </row>
    <row r="4003" spans="1:14" x14ac:dyDescent="0.2">
      <c r="A4003" t="s">
        <v>5134</v>
      </c>
      <c r="B4003" t="s">
        <v>2360</v>
      </c>
      <c r="C4003" s="9">
        <v>45026</v>
      </c>
      <c r="D4003" t="s">
        <v>131</v>
      </c>
      <c r="E4003" s="13">
        <v>7500000</v>
      </c>
      <c r="F4003" s="13">
        <v>27750</v>
      </c>
      <c r="G4003" s="9">
        <v>45026</v>
      </c>
      <c r="H4003" t="s">
        <v>1111</v>
      </c>
      <c r="I4003" t="s">
        <v>3814</v>
      </c>
      <c r="J4003" s="13">
        <v>208125</v>
      </c>
      <c r="K4003">
        <v>1</v>
      </c>
      <c r="L4003" t="s">
        <v>1064</v>
      </c>
      <c r="M4003" t="s">
        <v>5126</v>
      </c>
      <c r="N4003" s="15" t="s">
        <v>6878</v>
      </c>
    </row>
    <row r="4004" spans="1:14" x14ac:dyDescent="0.2">
      <c r="A4004" t="s">
        <v>5135</v>
      </c>
      <c r="B4004" t="s">
        <v>2360</v>
      </c>
      <c r="C4004" s="9">
        <v>45026</v>
      </c>
      <c r="D4004" t="s">
        <v>131</v>
      </c>
      <c r="E4004" s="13">
        <v>7500000</v>
      </c>
      <c r="F4004" s="13">
        <v>27750</v>
      </c>
      <c r="G4004" s="9">
        <v>45026</v>
      </c>
      <c r="H4004" t="s">
        <v>1111</v>
      </c>
      <c r="I4004" t="s">
        <v>3814</v>
      </c>
      <c r="J4004" s="13">
        <v>208125</v>
      </c>
      <c r="K4004">
        <v>1</v>
      </c>
      <c r="L4004" t="s">
        <v>1064</v>
      </c>
      <c r="M4004" t="s">
        <v>5126</v>
      </c>
      <c r="N4004" s="15" t="s">
        <v>6878</v>
      </c>
    </row>
    <row r="4005" spans="1:14" x14ac:dyDescent="0.2">
      <c r="A4005" t="s">
        <v>5136</v>
      </c>
      <c r="B4005" t="s">
        <v>2360</v>
      </c>
      <c r="C4005" s="9">
        <v>45026</v>
      </c>
      <c r="D4005" t="s">
        <v>131</v>
      </c>
      <c r="E4005" s="13">
        <v>7500000</v>
      </c>
      <c r="F4005" s="13">
        <v>27750</v>
      </c>
      <c r="G4005" s="9">
        <v>45026</v>
      </c>
      <c r="H4005" t="s">
        <v>1111</v>
      </c>
      <c r="I4005" t="s">
        <v>3814</v>
      </c>
      <c r="J4005" s="13">
        <v>208125</v>
      </c>
      <c r="K4005">
        <v>1</v>
      </c>
      <c r="L4005" t="s">
        <v>1064</v>
      </c>
      <c r="M4005" t="s">
        <v>5126</v>
      </c>
      <c r="N4005" s="15" t="s">
        <v>6878</v>
      </c>
    </row>
    <row r="4006" spans="1:14" x14ac:dyDescent="0.2">
      <c r="A4006" t="s">
        <v>5137</v>
      </c>
      <c r="B4006" t="s">
        <v>2360</v>
      </c>
      <c r="C4006" s="9">
        <v>45026</v>
      </c>
      <c r="D4006" t="s">
        <v>131</v>
      </c>
      <c r="E4006" s="13">
        <v>7500000</v>
      </c>
      <c r="F4006" s="13">
        <v>27750</v>
      </c>
      <c r="G4006" s="9">
        <v>45026</v>
      </c>
      <c r="H4006" t="s">
        <v>1111</v>
      </c>
      <c r="I4006" t="s">
        <v>3814</v>
      </c>
      <c r="J4006" s="13">
        <v>208125</v>
      </c>
      <c r="K4006">
        <v>1</v>
      </c>
      <c r="L4006" t="s">
        <v>1064</v>
      </c>
      <c r="M4006" t="s">
        <v>5126</v>
      </c>
      <c r="N4006" s="15" t="s">
        <v>6878</v>
      </c>
    </row>
    <row r="4007" spans="1:14" x14ac:dyDescent="0.2">
      <c r="A4007" t="s">
        <v>5138</v>
      </c>
      <c r="B4007" t="s">
        <v>2360</v>
      </c>
      <c r="C4007" s="9">
        <v>45026</v>
      </c>
      <c r="D4007" t="s">
        <v>131</v>
      </c>
      <c r="E4007" s="13">
        <v>7500000</v>
      </c>
      <c r="F4007" s="13">
        <v>27750</v>
      </c>
      <c r="G4007" s="9">
        <v>45026</v>
      </c>
      <c r="H4007" t="s">
        <v>1111</v>
      </c>
      <c r="I4007" t="s">
        <v>3814</v>
      </c>
      <c r="J4007" s="13">
        <v>208125</v>
      </c>
      <c r="K4007">
        <v>1</v>
      </c>
      <c r="L4007" t="s">
        <v>1064</v>
      </c>
      <c r="M4007" t="s">
        <v>5126</v>
      </c>
      <c r="N4007" s="15" t="s">
        <v>6878</v>
      </c>
    </row>
    <row r="4008" spans="1:14" x14ac:dyDescent="0.2">
      <c r="A4008" t="s">
        <v>5139</v>
      </c>
      <c r="B4008" t="s">
        <v>2360</v>
      </c>
      <c r="C4008" s="9">
        <v>45026</v>
      </c>
      <c r="D4008" t="s">
        <v>131</v>
      </c>
      <c r="E4008" s="13">
        <v>7500000</v>
      </c>
      <c r="F4008" s="13">
        <v>27750</v>
      </c>
      <c r="G4008" s="9">
        <v>45026</v>
      </c>
      <c r="H4008" t="s">
        <v>1111</v>
      </c>
      <c r="I4008" t="s">
        <v>3814</v>
      </c>
      <c r="J4008" s="13">
        <v>208125</v>
      </c>
      <c r="K4008">
        <v>1</v>
      </c>
      <c r="L4008" t="s">
        <v>1064</v>
      </c>
      <c r="M4008" t="s">
        <v>5126</v>
      </c>
      <c r="N4008" s="15" t="s">
        <v>6878</v>
      </c>
    </row>
    <row r="4009" spans="1:14" x14ac:dyDescent="0.2">
      <c r="A4009" t="s">
        <v>5140</v>
      </c>
      <c r="B4009" t="s">
        <v>2360</v>
      </c>
      <c r="C4009" s="9">
        <v>45026</v>
      </c>
      <c r="D4009" t="s">
        <v>131</v>
      </c>
      <c r="E4009" s="13">
        <v>7500000</v>
      </c>
      <c r="F4009" s="13">
        <v>27750</v>
      </c>
      <c r="G4009" s="9">
        <v>45026</v>
      </c>
      <c r="H4009" t="s">
        <v>1111</v>
      </c>
      <c r="I4009" t="s">
        <v>3814</v>
      </c>
      <c r="J4009" s="13">
        <v>208125</v>
      </c>
      <c r="K4009">
        <v>1</v>
      </c>
      <c r="L4009" t="s">
        <v>1064</v>
      </c>
      <c r="M4009" t="s">
        <v>5126</v>
      </c>
      <c r="N4009" s="15" t="s">
        <v>6878</v>
      </c>
    </row>
    <row r="4010" spans="1:14" x14ac:dyDescent="0.2">
      <c r="A4010" t="s">
        <v>5141</v>
      </c>
      <c r="B4010" t="s">
        <v>2360</v>
      </c>
      <c r="C4010" s="9">
        <v>45026</v>
      </c>
      <c r="D4010" t="s">
        <v>131</v>
      </c>
      <c r="E4010" s="13">
        <v>7500000</v>
      </c>
      <c r="F4010" s="13">
        <v>27750</v>
      </c>
      <c r="G4010" s="9">
        <v>45026</v>
      </c>
      <c r="H4010" t="s">
        <v>1111</v>
      </c>
      <c r="I4010" t="s">
        <v>3814</v>
      </c>
      <c r="J4010" s="13">
        <v>208125</v>
      </c>
      <c r="K4010">
        <v>1</v>
      </c>
      <c r="L4010" t="s">
        <v>1064</v>
      </c>
      <c r="M4010" t="s">
        <v>5126</v>
      </c>
      <c r="N4010" s="15" t="s">
        <v>6878</v>
      </c>
    </row>
    <row r="4011" spans="1:14" x14ac:dyDescent="0.2">
      <c r="A4011" t="s">
        <v>5142</v>
      </c>
      <c r="B4011" t="s">
        <v>2360</v>
      </c>
      <c r="C4011" s="9">
        <v>45026</v>
      </c>
      <c r="D4011" t="s">
        <v>131</v>
      </c>
      <c r="E4011" s="13">
        <v>7500000</v>
      </c>
      <c r="F4011" s="13">
        <v>25000</v>
      </c>
      <c r="H4011" t="s">
        <v>1659</v>
      </c>
      <c r="I4011" t="s">
        <v>3814</v>
      </c>
      <c r="J4011" s="13">
        <v>0</v>
      </c>
      <c r="K4011">
        <v>1</v>
      </c>
      <c r="L4011" t="s">
        <v>1064</v>
      </c>
      <c r="M4011" t="s">
        <v>5126</v>
      </c>
      <c r="N4011" s="14" t="s">
        <v>6877</v>
      </c>
    </row>
    <row r="4012" spans="1:14" x14ac:dyDescent="0.2">
      <c r="A4012" t="s">
        <v>5143</v>
      </c>
      <c r="B4012" t="s">
        <v>2360</v>
      </c>
      <c r="C4012" s="9">
        <v>45026</v>
      </c>
      <c r="D4012" t="s">
        <v>131</v>
      </c>
      <c r="E4012" s="13">
        <v>7500000</v>
      </c>
      <c r="F4012" s="13">
        <v>27750</v>
      </c>
      <c r="G4012" s="9">
        <v>45026</v>
      </c>
      <c r="H4012" t="s">
        <v>1111</v>
      </c>
      <c r="I4012" t="s">
        <v>3814</v>
      </c>
      <c r="J4012" s="13">
        <v>208125</v>
      </c>
      <c r="K4012">
        <v>1</v>
      </c>
      <c r="L4012" t="s">
        <v>1064</v>
      </c>
      <c r="M4012" t="s">
        <v>5126</v>
      </c>
      <c r="N4012" s="15" t="s">
        <v>6878</v>
      </c>
    </row>
    <row r="4013" spans="1:14" x14ac:dyDescent="0.2">
      <c r="A4013" t="s">
        <v>5144</v>
      </c>
      <c r="B4013" t="s">
        <v>2360</v>
      </c>
      <c r="C4013" s="9">
        <v>45026</v>
      </c>
      <c r="D4013" t="s">
        <v>131</v>
      </c>
      <c r="E4013" s="13">
        <v>7500000</v>
      </c>
      <c r="F4013" s="13">
        <v>27750</v>
      </c>
      <c r="G4013" s="9">
        <v>45026</v>
      </c>
      <c r="H4013" t="s">
        <v>1111</v>
      </c>
      <c r="I4013" t="s">
        <v>3814</v>
      </c>
      <c r="J4013" s="13">
        <v>208125</v>
      </c>
      <c r="K4013">
        <v>1</v>
      </c>
      <c r="L4013" t="s">
        <v>1064</v>
      </c>
      <c r="M4013" t="s">
        <v>5126</v>
      </c>
      <c r="N4013" s="15" t="s">
        <v>6878</v>
      </c>
    </row>
    <row r="4014" spans="1:14" x14ac:dyDescent="0.2">
      <c r="A4014" t="s">
        <v>5145</v>
      </c>
      <c r="B4014" t="s">
        <v>2360</v>
      </c>
      <c r="C4014" s="9">
        <v>45026</v>
      </c>
      <c r="D4014" t="s">
        <v>131</v>
      </c>
      <c r="E4014" s="13">
        <v>7500000</v>
      </c>
      <c r="F4014" s="13">
        <v>27750</v>
      </c>
      <c r="G4014" s="9">
        <v>45026</v>
      </c>
      <c r="H4014" t="s">
        <v>1111</v>
      </c>
      <c r="I4014" t="s">
        <v>3814</v>
      </c>
      <c r="J4014" s="13">
        <v>208125</v>
      </c>
      <c r="K4014">
        <v>1</v>
      </c>
      <c r="L4014" t="s">
        <v>1064</v>
      </c>
      <c r="M4014" t="s">
        <v>5126</v>
      </c>
      <c r="N4014" s="15" t="s">
        <v>6878</v>
      </c>
    </row>
    <row r="4015" spans="1:14" x14ac:dyDescent="0.2">
      <c r="A4015" t="s">
        <v>5146</v>
      </c>
      <c r="B4015" t="s">
        <v>2360</v>
      </c>
      <c r="C4015" s="9">
        <v>45026</v>
      </c>
      <c r="D4015" t="s">
        <v>131</v>
      </c>
      <c r="E4015" s="13">
        <v>7500000</v>
      </c>
      <c r="F4015" s="13">
        <v>27750</v>
      </c>
      <c r="G4015" s="9">
        <v>45026</v>
      </c>
      <c r="H4015" t="s">
        <v>1111</v>
      </c>
      <c r="I4015" t="s">
        <v>3814</v>
      </c>
      <c r="J4015" s="13">
        <v>208125</v>
      </c>
      <c r="K4015">
        <v>1</v>
      </c>
      <c r="L4015" t="s">
        <v>1064</v>
      </c>
      <c r="M4015" t="s">
        <v>5126</v>
      </c>
      <c r="N4015" s="15" t="s">
        <v>6878</v>
      </c>
    </row>
    <row r="4016" spans="1:14" x14ac:dyDescent="0.2">
      <c r="A4016" t="s">
        <v>5147</v>
      </c>
      <c r="B4016" t="s">
        <v>2360</v>
      </c>
      <c r="C4016" s="9">
        <v>45026</v>
      </c>
      <c r="D4016" t="s">
        <v>131</v>
      </c>
      <c r="E4016" s="13">
        <v>7500000</v>
      </c>
      <c r="F4016" s="13">
        <v>27750</v>
      </c>
      <c r="G4016" s="9">
        <v>45026</v>
      </c>
      <c r="H4016" t="s">
        <v>1111</v>
      </c>
      <c r="I4016" t="s">
        <v>3814</v>
      </c>
      <c r="J4016" s="13">
        <v>208125</v>
      </c>
      <c r="K4016">
        <v>1</v>
      </c>
      <c r="L4016" t="s">
        <v>1064</v>
      </c>
      <c r="M4016" t="s">
        <v>5126</v>
      </c>
      <c r="N4016" s="15" t="s">
        <v>6878</v>
      </c>
    </row>
    <row r="4017" spans="1:14" x14ac:dyDescent="0.2">
      <c r="A4017" t="s">
        <v>1016</v>
      </c>
      <c r="B4017" t="s">
        <v>2360</v>
      </c>
      <c r="C4017" s="9">
        <v>45026</v>
      </c>
      <c r="D4017" t="s">
        <v>131</v>
      </c>
      <c r="E4017" s="13">
        <v>7500000</v>
      </c>
      <c r="F4017" s="13">
        <v>25000</v>
      </c>
      <c r="H4017" t="s">
        <v>2184</v>
      </c>
      <c r="I4017" t="s">
        <v>3814</v>
      </c>
      <c r="J4017" s="13">
        <v>0</v>
      </c>
      <c r="K4017">
        <v>1</v>
      </c>
      <c r="L4017" t="s">
        <v>1064</v>
      </c>
      <c r="M4017" t="s">
        <v>5126</v>
      </c>
      <c r="N4017" s="14" t="s">
        <v>6877</v>
      </c>
    </row>
    <row r="4018" spans="1:14" x14ac:dyDescent="0.2">
      <c r="A4018" t="s">
        <v>5148</v>
      </c>
      <c r="B4018" t="s">
        <v>2360</v>
      </c>
      <c r="C4018" s="9">
        <v>45026</v>
      </c>
      <c r="D4018" t="s">
        <v>985</v>
      </c>
      <c r="E4018" s="13">
        <v>1400000</v>
      </c>
      <c r="F4018" s="13">
        <v>13875</v>
      </c>
      <c r="G4018" s="9">
        <v>45028</v>
      </c>
      <c r="H4018" t="s">
        <v>1063</v>
      </c>
      <c r="I4018" t="s">
        <v>3063</v>
      </c>
      <c r="J4018" s="13">
        <v>38850</v>
      </c>
      <c r="K4018">
        <v>1</v>
      </c>
      <c r="L4018" t="s">
        <v>1064</v>
      </c>
      <c r="M4018" t="s">
        <v>3064</v>
      </c>
      <c r="N4018" s="15" t="s">
        <v>6878</v>
      </c>
    </row>
    <row r="4019" spans="1:14" x14ac:dyDescent="0.2">
      <c r="A4019" t="s">
        <v>5149</v>
      </c>
      <c r="B4019" t="s">
        <v>2360</v>
      </c>
      <c r="C4019" s="9">
        <v>45026</v>
      </c>
      <c r="D4019" t="s">
        <v>985</v>
      </c>
      <c r="E4019" s="13">
        <v>1400000</v>
      </c>
      <c r="F4019" s="13">
        <v>13875</v>
      </c>
      <c r="G4019" s="9">
        <v>45046</v>
      </c>
      <c r="H4019" t="s">
        <v>1111</v>
      </c>
      <c r="I4019" t="s">
        <v>3063</v>
      </c>
      <c r="J4019" s="13">
        <v>38850</v>
      </c>
      <c r="K4019">
        <v>1</v>
      </c>
      <c r="L4019" t="s">
        <v>1064</v>
      </c>
      <c r="M4019" t="s">
        <v>3064</v>
      </c>
      <c r="N4019" s="15" t="s">
        <v>6878</v>
      </c>
    </row>
    <row r="4020" spans="1:14" x14ac:dyDescent="0.2">
      <c r="A4020" t="s">
        <v>5150</v>
      </c>
      <c r="B4020" t="s">
        <v>2360</v>
      </c>
      <c r="C4020" s="9">
        <v>45026</v>
      </c>
      <c r="D4020" t="s">
        <v>985</v>
      </c>
      <c r="E4020" s="13">
        <v>2856000</v>
      </c>
      <c r="F4020" s="13">
        <v>13875</v>
      </c>
      <c r="G4020" s="9">
        <v>45028</v>
      </c>
      <c r="H4020" t="s">
        <v>1063</v>
      </c>
      <c r="I4020" t="s">
        <v>3063</v>
      </c>
      <c r="J4020" s="13">
        <v>79254</v>
      </c>
      <c r="K4020">
        <v>1</v>
      </c>
      <c r="L4020" t="s">
        <v>1064</v>
      </c>
      <c r="M4020" t="s">
        <v>3064</v>
      </c>
      <c r="N4020" s="15" t="s">
        <v>6878</v>
      </c>
    </row>
    <row r="4021" spans="1:14" x14ac:dyDescent="0.2">
      <c r="A4021" t="s">
        <v>5151</v>
      </c>
      <c r="B4021" t="s">
        <v>2360</v>
      </c>
      <c r="C4021" s="9">
        <v>45026</v>
      </c>
      <c r="D4021" t="s">
        <v>985</v>
      </c>
      <c r="E4021" s="13">
        <v>1400000</v>
      </c>
      <c r="F4021" s="13">
        <v>13875</v>
      </c>
      <c r="G4021" s="9">
        <v>45046</v>
      </c>
      <c r="H4021" t="s">
        <v>1111</v>
      </c>
      <c r="I4021" t="s">
        <v>3063</v>
      </c>
      <c r="J4021" s="13">
        <v>38850</v>
      </c>
      <c r="K4021">
        <v>1</v>
      </c>
      <c r="L4021" t="s">
        <v>1064</v>
      </c>
      <c r="M4021" t="s">
        <v>3064</v>
      </c>
      <c r="N4021" s="15" t="s">
        <v>6878</v>
      </c>
    </row>
    <row r="4022" spans="1:14" x14ac:dyDescent="0.2">
      <c r="A4022" t="s">
        <v>5152</v>
      </c>
      <c r="B4022" t="s">
        <v>2360</v>
      </c>
      <c r="C4022" s="9">
        <v>45026</v>
      </c>
      <c r="D4022" t="s">
        <v>985</v>
      </c>
      <c r="E4022" s="13">
        <v>2856000</v>
      </c>
      <c r="F4022" s="13">
        <v>13875</v>
      </c>
      <c r="G4022" s="9">
        <v>45046</v>
      </c>
      <c r="H4022" t="s">
        <v>1111</v>
      </c>
      <c r="I4022" t="s">
        <v>3063</v>
      </c>
      <c r="J4022" s="13">
        <v>79254</v>
      </c>
      <c r="K4022">
        <v>1</v>
      </c>
      <c r="L4022" t="s">
        <v>1064</v>
      </c>
      <c r="M4022" t="s">
        <v>3064</v>
      </c>
      <c r="N4022" s="15" t="s">
        <v>6878</v>
      </c>
    </row>
    <row r="4023" spans="1:14" x14ac:dyDescent="0.2">
      <c r="A4023" t="s">
        <v>5153</v>
      </c>
      <c r="B4023" t="s">
        <v>2360</v>
      </c>
      <c r="C4023" s="9">
        <v>45026</v>
      </c>
      <c r="D4023" t="s">
        <v>985</v>
      </c>
      <c r="E4023" s="13">
        <v>1400000</v>
      </c>
      <c r="F4023" s="13">
        <v>13875</v>
      </c>
      <c r="G4023" s="9">
        <v>45046</v>
      </c>
      <c r="H4023" t="s">
        <v>1111</v>
      </c>
      <c r="I4023" t="s">
        <v>3063</v>
      </c>
      <c r="J4023" s="13">
        <v>38850</v>
      </c>
      <c r="K4023">
        <v>1</v>
      </c>
      <c r="L4023" t="s">
        <v>1064</v>
      </c>
      <c r="M4023" t="s">
        <v>3064</v>
      </c>
      <c r="N4023" s="15" t="s">
        <v>6878</v>
      </c>
    </row>
    <row r="4024" spans="1:14" x14ac:dyDescent="0.2">
      <c r="A4024" t="s">
        <v>5154</v>
      </c>
      <c r="B4024" t="s">
        <v>2360</v>
      </c>
      <c r="C4024" s="9">
        <v>45026</v>
      </c>
      <c r="D4024" t="s">
        <v>985</v>
      </c>
      <c r="E4024" s="13">
        <v>2856000</v>
      </c>
      <c r="F4024" s="13">
        <v>13875</v>
      </c>
      <c r="G4024" s="9">
        <v>45046</v>
      </c>
      <c r="H4024" t="s">
        <v>1111</v>
      </c>
      <c r="I4024" t="s">
        <v>3063</v>
      </c>
      <c r="J4024" s="13">
        <v>79254</v>
      </c>
      <c r="K4024">
        <v>1</v>
      </c>
      <c r="L4024" t="s">
        <v>1064</v>
      </c>
      <c r="M4024" t="s">
        <v>3064</v>
      </c>
      <c r="N4024" s="15" t="s">
        <v>6878</v>
      </c>
    </row>
    <row r="4025" spans="1:14" x14ac:dyDescent="0.2">
      <c r="A4025" t="s">
        <v>5155</v>
      </c>
      <c r="B4025" t="s">
        <v>2360</v>
      </c>
      <c r="C4025" s="9">
        <v>45026</v>
      </c>
      <c r="D4025" t="s">
        <v>985</v>
      </c>
      <c r="E4025" s="13">
        <v>1400000</v>
      </c>
      <c r="F4025" s="13">
        <v>13875</v>
      </c>
      <c r="G4025" s="9">
        <v>45046</v>
      </c>
      <c r="H4025" t="s">
        <v>1111</v>
      </c>
      <c r="I4025" t="s">
        <v>3063</v>
      </c>
      <c r="J4025" s="13">
        <v>38850</v>
      </c>
      <c r="K4025">
        <v>1</v>
      </c>
      <c r="L4025" t="s">
        <v>1064</v>
      </c>
      <c r="M4025" t="s">
        <v>3064</v>
      </c>
      <c r="N4025" s="15" t="s">
        <v>6878</v>
      </c>
    </row>
    <row r="4026" spans="1:14" x14ac:dyDescent="0.2">
      <c r="A4026" t="s">
        <v>5156</v>
      </c>
      <c r="B4026" t="s">
        <v>2360</v>
      </c>
      <c r="C4026" s="9">
        <v>45026</v>
      </c>
      <c r="D4026" t="s">
        <v>985</v>
      </c>
      <c r="E4026" s="13">
        <v>2856000</v>
      </c>
      <c r="F4026" s="13">
        <v>13875</v>
      </c>
      <c r="G4026" s="9">
        <v>45046</v>
      </c>
      <c r="H4026" t="s">
        <v>1111</v>
      </c>
      <c r="I4026" t="s">
        <v>3063</v>
      </c>
      <c r="J4026" s="13">
        <v>79254</v>
      </c>
      <c r="K4026">
        <v>1</v>
      </c>
      <c r="L4026" t="s">
        <v>1064</v>
      </c>
      <c r="M4026" t="s">
        <v>3064</v>
      </c>
      <c r="N4026" s="15" t="s">
        <v>6878</v>
      </c>
    </row>
    <row r="4027" spans="1:14" x14ac:dyDescent="0.2">
      <c r="A4027" t="s">
        <v>5157</v>
      </c>
      <c r="B4027" t="s">
        <v>2360</v>
      </c>
      <c r="C4027" s="9">
        <v>45026</v>
      </c>
      <c r="D4027" t="s">
        <v>985</v>
      </c>
      <c r="E4027" s="13">
        <v>1400000</v>
      </c>
      <c r="F4027" s="13">
        <v>13875</v>
      </c>
      <c r="G4027" s="9">
        <v>45046</v>
      </c>
      <c r="H4027" t="s">
        <v>1111</v>
      </c>
      <c r="I4027" t="s">
        <v>3063</v>
      </c>
      <c r="J4027" s="13">
        <v>38850</v>
      </c>
      <c r="K4027">
        <v>1</v>
      </c>
      <c r="L4027" t="s">
        <v>1064</v>
      </c>
      <c r="M4027" t="s">
        <v>3064</v>
      </c>
      <c r="N4027" s="15" t="s">
        <v>6878</v>
      </c>
    </row>
    <row r="4028" spans="1:14" x14ac:dyDescent="0.2">
      <c r="A4028" t="s">
        <v>5158</v>
      </c>
      <c r="B4028" t="s">
        <v>2360</v>
      </c>
      <c r="C4028" s="9">
        <v>45026</v>
      </c>
      <c r="D4028" t="s">
        <v>985</v>
      </c>
      <c r="E4028" s="13">
        <v>2856000</v>
      </c>
      <c r="F4028" s="13">
        <v>13875</v>
      </c>
      <c r="G4028" s="9">
        <v>45046</v>
      </c>
      <c r="H4028" t="s">
        <v>1111</v>
      </c>
      <c r="I4028" t="s">
        <v>3063</v>
      </c>
      <c r="J4028" s="13">
        <v>79254</v>
      </c>
      <c r="K4028">
        <v>1</v>
      </c>
      <c r="L4028" t="s">
        <v>1064</v>
      </c>
      <c r="M4028" t="s">
        <v>3064</v>
      </c>
      <c r="N4028" s="15" t="s">
        <v>6878</v>
      </c>
    </row>
    <row r="4029" spans="1:14" x14ac:dyDescent="0.2">
      <c r="A4029" t="s">
        <v>5159</v>
      </c>
      <c r="B4029" t="s">
        <v>2360</v>
      </c>
      <c r="C4029" s="9">
        <v>45026</v>
      </c>
      <c r="D4029" t="s">
        <v>985</v>
      </c>
      <c r="E4029" s="13">
        <v>1400000</v>
      </c>
      <c r="F4029" s="13">
        <v>13875</v>
      </c>
      <c r="G4029" s="9">
        <v>45046</v>
      </c>
      <c r="H4029" t="s">
        <v>1111</v>
      </c>
      <c r="I4029" t="s">
        <v>3063</v>
      </c>
      <c r="J4029" s="13">
        <v>38850</v>
      </c>
      <c r="K4029">
        <v>1</v>
      </c>
      <c r="L4029" t="s">
        <v>1064</v>
      </c>
      <c r="M4029" t="s">
        <v>3064</v>
      </c>
      <c r="N4029" s="15" t="s">
        <v>6878</v>
      </c>
    </row>
    <row r="4030" spans="1:14" x14ac:dyDescent="0.2">
      <c r="A4030" t="s">
        <v>5160</v>
      </c>
      <c r="B4030" t="s">
        <v>2360</v>
      </c>
      <c r="C4030" s="9">
        <v>45026</v>
      </c>
      <c r="D4030" t="s">
        <v>985</v>
      </c>
      <c r="E4030" s="13">
        <v>2856000</v>
      </c>
      <c r="F4030" s="13">
        <v>13875</v>
      </c>
      <c r="G4030" s="9">
        <v>45046</v>
      </c>
      <c r="H4030" t="s">
        <v>1111</v>
      </c>
      <c r="I4030" t="s">
        <v>3063</v>
      </c>
      <c r="J4030" s="13">
        <v>79254</v>
      </c>
      <c r="K4030">
        <v>1</v>
      </c>
      <c r="L4030" t="s">
        <v>1064</v>
      </c>
      <c r="M4030" t="s">
        <v>3064</v>
      </c>
      <c r="N4030" s="15" t="s">
        <v>6878</v>
      </c>
    </row>
    <row r="4031" spans="1:14" x14ac:dyDescent="0.2">
      <c r="A4031" t="s">
        <v>5161</v>
      </c>
      <c r="B4031" t="s">
        <v>2360</v>
      </c>
      <c r="C4031" s="9">
        <v>45026</v>
      </c>
      <c r="D4031" t="s">
        <v>985</v>
      </c>
      <c r="E4031" s="13">
        <v>1400000</v>
      </c>
      <c r="F4031" s="13">
        <v>13875</v>
      </c>
      <c r="G4031" s="9">
        <v>45046</v>
      </c>
      <c r="H4031" t="s">
        <v>1111</v>
      </c>
      <c r="I4031" t="s">
        <v>3063</v>
      </c>
      <c r="J4031" s="13">
        <v>38850</v>
      </c>
      <c r="K4031">
        <v>1</v>
      </c>
      <c r="L4031" t="s">
        <v>1064</v>
      </c>
      <c r="M4031" t="s">
        <v>3064</v>
      </c>
      <c r="N4031" s="15" t="s">
        <v>6878</v>
      </c>
    </row>
    <row r="4032" spans="1:14" x14ac:dyDescent="0.2">
      <c r="A4032" t="s">
        <v>5162</v>
      </c>
      <c r="B4032" t="s">
        <v>2360</v>
      </c>
      <c r="C4032" s="9">
        <v>45026</v>
      </c>
      <c r="D4032" t="s">
        <v>985</v>
      </c>
      <c r="E4032" s="13">
        <v>2856000</v>
      </c>
      <c r="F4032" s="13">
        <v>13875</v>
      </c>
      <c r="G4032" s="9">
        <v>45046</v>
      </c>
      <c r="H4032" t="s">
        <v>1111</v>
      </c>
      <c r="I4032" t="s">
        <v>3063</v>
      </c>
      <c r="J4032" s="13">
        <v>79254</v>
      </c>
      <c r="K4032">
        <v>1</v>
      </c>
      <c r="L4032" t="s">
        <v>1064</v>
      </c>
      <c r="M4032" t="s">
        <v>3064</v>
      </c>
      <c r="N4032" s="15" t="s">
        <v>6878</v>
      </c>
    </row>
    <row r="4033" spans="1:14" x14ac:dyDescent="0.2">
      <c r="A4033" t="s">
        <v>5163</v>
      </c>
      <c r="B4033" t="s">
        <v>2360</v>
      </c>
      <c r="C4033" s="9">
        <v>45026</v>
      </c>
      <c r="D4033" t="s">
        <v>985</v>
      </c>
      <c r="E4033" s="13">
        <v>1400000</v>
      </c>
      <c r="F4033" s="13">
        <v>13875</v>
      </c>
      <c r="G4033" s="9">
        <v>45046</v>
      </c>
      <c r="H4033" t="s">
        <v>1111</v>
      </c>
      <c r="I4033" t="s">
        <v>3063</v>
      </c>
      <c r="J4033" s="13">
        <v>38850</v>
      </c>
      <c r="K4033">
        <v>1</v>
      </c>
      <c r="L4033" t="s">
        <v>1064</v>
      </c>
      <c r="M4033" t="s">
        <v>3064</v>
      </c>
      <c r="N4033" s="15" t="s">
        <v>6878</v>
      </c>
    </row>
    <row r="4034" spans="1:14" x14ac:dyDescent="0.2">
      <c r="A4034" t="s">
        <v>5164</v>
      </c>
      <c r="B4034" t="s">
        <v>2360</v>
      </c>
      <c r="C4034" s="9">
        <v>45026</v>
      </c>
      <c r="D4034" t="s">
        <v>985</v>
      </c>
      <c r="E4034" s="13">
        <v>2856000</v>
      </c>
      <c r="F4034" s="13">
        <v>13875</v>
      </c>
      <c r="G4034" s="9">
        <v>45046</v>
      </c>
      <c r="H4034" t="s">
        <v>1111</v>
      </c>
      <c r="I4034" t="s">
        <v>3063</v>
      </c>
      <c r="J4034" s="13">
        <v>79254</v>
      </c>
      <c r="K4034">
        <v>1</v>
      </c>
      <c r="L4034" t="s">
        <v>1064</v>
      </c>
      <c r="M4034" t="s">
        <v>3064</v>
      </c>
      <c r="N4034" s="15" t="s">
        <v>6878</v>
      </c>
    </row>
    <row r="4035" spans="1:14" x14ac:dyDescent="0.2">
      <c r="A4035" t="s">
        <v>5165</v>
      </c>
      <c r="B4035" t="s">
        <v>2360</v>
      </c>
      <c r="C4035" s="9">
        <v>45026</v>
      </c>
      <c r="D4035" t="s">
        <v>985</v>
      </c>
      <c r="E4035" s="13">
        <v>1400000</v>
      </c>
      <c r="F4035" s="13">
        <v>13875</v>
      </c>
      <c r="G4035" s="9">
        <v>45046</v>
      </c>
      <c r="H4035" t="s">
        <v>1111</v>
      </c>
      <c r="I4035" t="s">
        <v>3063</v>
      </c>
      <c r="J4035" s="13">
        <v>38850</v>
      </c>
      <c r="K4035">
        <v>1</v>
      </c>
      <c r="L4035" t="s">
        <v>1064</v>
      </c>
      <c r="M4035" t="s">
        <v>3064</v>
      </c>
      <c r="N4035" s="15" t="s">
        <v>6878</v>
      </c>
    </row>
    <row r="4036" spans="1:14" x14ac:dyDescent="0.2">
      <c r="A4036" t="s">
        <v>5166</v>
      </c>
      <c r="B4036" t="s">
        <v>2360</v>
      </c>
      <c r="C4036" s="9">
        <v>45026</v>
      </c>
      <c r="D4036" t="s">
        <v>985</v>
      </c>
      <c r="E4036" s="13">
        <v>4097000</v>
      </c>
      <c r="F4036" s="13">
        <v>13875</v>
      </c>
      <c r="G4036" s="9">
        <v>45052</v>
      </c>
      <c r="H4036" t="s">
        <v>1111</v>
      </c>
      <c r="I4036" t="s">
        <v>3063</v>
      </c>
      <c r="J4036" s="13">
        <v>113691</v>
      </c>
      <c r="K4036">
        <v>1</v>
      </c>
      <c r="L4036" t="s">
        <v>1064</v>
      </c>
      <c r="M4036" t="s">
        <v>3064</v>
      </c>
      <c r="N4036" s="15" t="s">
        <v>6878</v>
      </c>
    </row>
    <row r="4037" spans="1:14" x14ac:dyDescent="0.2">
      <c r="A4037" t="s">
        <v>5167</v>
      </c>
      <c r="B4037" t="s">
        <v>2360</v>
      </c>
      <c r="C4037" s="9">
        <v>45026</v>
      </c>
      <c r="D4037" t="s">
        <v>985</v>
      </c>
      <c r="E4037" s="13">
        <v>4097000</v>
      </c>
      <c r="F4037" s="13">
        <v>13875</v>
      </c>
      <c r="G4037" s="9">
        <v>45052</v>
      </c>
      <c r="H4037" t="s">
        <v>1111</v>
      </c>
      <c r="I4037" t="s">
        <v>3063</v>
      </c>
      <c r="J4037" s="13">
        <v>113691</v>
      </c>
      <c r="K4037">
        <v>1</v>
      </c>
      <c r="L4037" t="s">
        <v>1064</v>
      </c>
      <c r="M4037" t="s">
        <v>3064</v>
      </c>
      <c r="N4037" s="15" t="s">
        <v>6878</v>
      </c>
    </row>
    <row r="4038" spans="1:14" x14ac:dyDescent="0.2">
      <c r="A4038" t="s">
        <v>5168</v>
      </c>
      <c r="B4038" t="s">
        <v>2360</v>
      </c>
      <c r="C4038" s="9">
        <v>45026</v>
      </c>
      <c r="D4038" t="s">
        <v>985</v>
      </c>
      <c r="E4038" s="13">
        <v>2750000</v>
      </c>
      <c r="F4038" s="13">
        <v>13875</v>
      </c>
      <c r="G4038" s="9">
        <v>45052</v>
      </c>
      <c r="H4038" t="s">
        <v>1111</v>
      </c>
      <c r="I4038" t="s">
        <v>3063</v>
      </c>
      <c r="J4038" s="13">
        <v>76312</v>
      </c>
      <c r="K4038">
        <v>1</v>
      </c>
      <c r="L4038" t="s">
        <v>1064</v>
      </c>
      <c r="M4038" t="s">
        <v>3064</v>
      </c>
      <c r="N4038" s="15" t="s">
        <v>6878</v>
      </c>
    </row>
    <row r="4039" spans="1:14" x14ac:dyDescent="0.2">
      <c r="A4039" t="s">
        <v>5169</v>
      </c>
      <c r="B4039" t="s">
        <v>2360</v>
      </c>
      <c r="C4039" s="9">
        <v>45026</v>
      </c>
      <c r="D4039" t="s">
        <v>985</v>
      </c>
      <c r="E4039" s="13">
        <v>4097000</v>
      </c>
      <c r="F4039" s="13">
        <v>13875</v>
      </c>
      <c r="G4039" s="9">
        <v>45052</v>
      </c>
      <c r="H4039" t="s">
        <v>1111</v>
      </c>
      <c r="I4039" t="s">
        <v>3063</v>
      </c>
      <c r="J4039" s="13">
        <v>113691</v>
      </c>
      <c r="K4039">
        <v>1</v>
      </c>
      <c r="L4039" t="s">
        <v>1064</v>
      </c>
      <c r="M4039" t="s">
        <v>3064</v>
      </c>
      <c r="N4039" s="15" t="s">
        <v>6878</v>
      </c>
    </row>
    <row r="4040" spans="1:14" x14ac:dyDescent="0.2">
      <c r="A4040" t="s">
        <v>5170</v>
      </c>
      <c r="B4040" t="s">
        <v>2360</v>
      </c>
      <c r="C4040" s="9">
        <v>45026</v>
      </c>
      <c r="D4040" t="s">
        <v>985</v>
      </c>
      <c r="E4040" s="13">
        <v>2750000</v>
      </c>
      <c r="F4040" s="13">
        <v>13875</v>
      </c>
      <c r="G4040" s="9">
        <v>45052</v>
      </c>
      <c r="H4040" t="s">
        <v>1111</v>
      </c>
      <c r="I4040" t="s">
        <v>3063</v>
      </c>
      <c r="J4040" s="13">
        <v>76312</v>
      </c>
      <c r="K4040">
        <v>1</v>
      </c>
      <c r="L4040" t="s">
        <v>1064</v>
      </c>
      <c r="M4040" t="s">
        <v>3064</v>
      </c>
      <c r="N4040" s="15" t="s">
        <v>6878</v>
      </c>
    </row>
    <row r="4041" spans="1:14" x14ac:dyDescent="0.2">
      <c r="A4041" t="s">
        <v>5171</v>
      </c>
      <c r="B4041" t="s">
        <v>2360</v>
      </c>
      <c r="C4041" s="9">
        <v>45026</v>
      </c>
      <c r="D4041" t="s">
        <v>985</v>
      </c>
      <c r="E4041" s="13">
        <v>2545500</v>
      </c>
      <c r="F4041" s="13">
        <v>13875</v>
      </c>
      <c r="G4041" s="9">
        <v>45052</v>
      </c>
      <c r="H4041" t="s">
        <v>1111</v>
      </c>
      <c r="I4041" t="s">
        <v>3063</v>
      </c>
      <c r="J4041" s="13">
        <v>70637</v>
      </c>
      <c r="K4041">
        <v>1</v>
      </c>
      <c r="L4041" t="s">
        <v>1064</v>
      </c>
      <c r="M4041" t="s">
        <v>3064</v>
      </c>
      <c r="N4041" s="15" t="s">
        <v>6878</v>
      </c>
    </row>
    <row r="4042" spans="1:14" x14ac:dyDescent="0.2">
      <c r="A4042" t="s">
        <v>5172</v>
      </c>
      <c r="B4042" t="s">
        <v>2360</v>
      </c>
      <c r="C4042" s="9">
        <v>45026</v>
      </c>
      <c r="D4042" t="s">
        <v>977</v>
      </c>
      <c r="E4042" s="13">
        <v>370000000</v>
      </c>
      <c r="F4042" s="13">
        <v>15401250</v>
      </c>
      <c r="G4042" s="9">
        <v>45027</v>
      </c>
      <c r="H4042" t="s">
        <v>1111</v>
      </c>
      <c r="I4042" t="s">
        <v>3147</v>
      </c>
      <c r="J4042" s="13">
        <v>27750</v>
      </c>
      <c r="K4042">
        <v>1</v>
      </c>
      <c r="L4042" t="s">
        <v>1064</v>
      </c>
      <c r="M4042" t="s">
        <v>3148</v>
      </c>
      <c r="N4042" s="15" t="s">
        <v>6878</v>
      </c>
    </row>
    <row r="4043" spans="1:14" x14ac:dyDescent="0.2">
      <c r="A4043" t="s">
        <v>5173</v>
      </c>
      <c r="B4043" t="s">
        <v>2360</v>
      </c>
      <c r="C4043" s="9">
        <v>45026</v>
      </c>
      <c r="D4043" t="s">
        <v>985</v>
      </c>
      <c r="E4043" s="13">
        <v>1331000</v>
      </c>
      <c r="F4043" s="13">
        <v>13875</v>
      </c>
      <c r="G4043" s="9">
        <v>45052</v>
      </c>
      <c r="H4043" t="s">
        <v>1111</v>
      </c>
      <c r="I4043" t="s">
        <v>3063</v>
      </c>
      <c r="J4043" s="13">
        <v>36935</v>
      </c>
      <c r="K4043">
        <v>1</v>
      </c>
      <c r="L4043" t="s">
        <v>1064</v>
      </c>
      <c r="M4043" t="s">
        <v>3064</v>
      </c>
      <c r="N4043" s="15" t="s">
        <v>6878</v>
      </c>
    </row>
    <row r="4044" spans="1:14" x14ac:dyDescent="0.2">
      <c r="A4044" t="s">
        <v>5174</v>
      </c>
      <c r="B4044" t="s">
        <v>2360</v>
      </c>
      <c r="C4044" s="9">
        <v>45027</v>
      </c>
      <c r="D4044" t="s">
        <v>985</v>
      </c>
      <c r="E4044" s="13">
        <v>2598500</v>
      </c>
      <c r="F4044" s="13">
        <v>13875</v>
      </c>
      <c r="G4044" s="9">
        <v>45052</v>
      </c>
      <c r="H4044" t="s">
        <v>1111</v>
      </c>
      <c r="I4044" t="s">
        <v>3063</v>
      </c>
      <c r="J4044" s="13">
        <v>72107</v>
      </c>
      <c r="K4044">
        <v>1</v>
      </c>
      <c r="L4044" t="s">
        <v>1064</v>
      </c>
      <c r="M4044" t="s">
        <v>3064</v>
      </c>
      <c r="N4044" s="15" t="s">
        <v>6878</v>
      </c>
    </row>
    <row r="4045" spans="1:14" x14ac:dyDescent="0.2">
      <c r="A4045" t="s">
        <v>5175</v>
      </c>
      <c r="B4045" t="s">
        <v>2360</v>
      </c>
      <c r="C4045" s="9">
        <v>45027</v>
      </c>
      <c r="D4045" t="s">
        <v>985</v>
      </c>
      <c r="E4045" s="13">
        <v>1331000</v>
      </c>
      <c r="F4045" s="13">
        <v>13875</v>
      </c>
      <c r="G4045" s="9">
        <v>45046</v>
      </c>
      <c r="H4045" t="s">
        <v>1111</v>
      </c>
      <c r="I4045" t="s">
        <v>3063</v>
      </c>
      <c r="J4045" s="13">
        <v>36935</v>
      </c>
      <c r="K4045">
        <v>1</v>
      </c>
      <c r="L4045" t="s">
        <v>1064</v>
      </c>
      <c r="M4045" t="s">
        <v>3064</v>
      </c>
      <c r="N4045" s="15" t="s">
        <v>6878</v>
      </c>
    </row>
    <row r="4046" spans="1:14" x14ac:dyDescent="0.2">
      <c r="A4046" t="s">
        <v>5176</v>
      </c>
      <c r="B4046" t="s">
        <v>2360</v>
      </c>
      <c r="C4046" s="9">
        <v>45027</v>
      </c>
      <c r="D4046" t="s">
        <v>985</v>
      </c>
      <c r="E4046" s="13">
        <v>2598500</v>
      </c>
      <c r="F4046" s="13">
        <v>13875</v>
      </c>
      <c r="G4046" s="9">
        <v>45052</v>
      </c>
      <c r="H4046" t="s">
        <v>1111</v>
      </c>
      <c r="I4046" t="s">
        <v>3063</v>
      </c>
      <c r="J4046" s="13">
        <v>72107</v>
      </c>
      <c r="K4046">
        <v>1</v>
      </c>
      <c r="L4046" t="s">
        <v>1064</v>
      </c>
      <c r="M4046" t="s">
        <v>3064</v>
      </c>
      <c r="N4046" s="15" t="s">
        <v>6878</v>
      </c>
    </row>
    <row r="4047" spans="1:14" x14ac:dyDescent="0.2">
      <c r="A4047" t="s">
        <v>5177</v>
      </c>
      <c r="B4047" t="s">
        <v>2360</v>
      </c>
      <c r="C4047" s="9">
        <v>45027</v>
      </c>
      <c r="D4047" t="s">
        <v>985</v>
      </c>
      <c r="E4047" s="13">
        <v>1331000</v>
      </c>
      <c r="F4047" s="13">
        <v>13875</v>
      </c>
      <c r="G4047" s="9">
        <v>45052</v>
      </c>
      <c r="H4047" t="s">
        <v>1111</v>
      </c>
      <c r="I4047" t="s">
        <v>3063</v>
      </c>
      <c r="J4047" s="13">
        <v>36935</v>
      </c>
      <c r="K4047">
        <v>1</v>
      </c>
      <c r="L4047" t="s">
        <v>1064</v>
      </c>
      <c r="M4047" t="s">
        <v>3064</v>
      </c>
      <c r="N4047" s="15" t="s">
        <v>6878</v>
      </c>
    </row>
    <row r="4048" spans="1:14" x14ac:dyDescent="0.2">
      <c r="A4048" t="s">
        <v>5178</v>
      </c>
      <c r="B4048" t="s">
        <v>2360</v>
      </c>
      <c r="C4048" s="9">
        <v>45027</v>
      </c>
      <c r="D4048" t="s">
        <v>985</v>
      </c>
      <c r="E4048" s="13">
        <v>4097000</v>
      </c>
      <c r="F4048" s="13">
        <v>13875</v>
      </c>
      <c r="G4048" s="9">
        <v>45052</v>
      </c>
      <c r="H4048" t="s">
        <v>1111</v>
      </c>
      <c r="I4048" t="s">
        <v>3063</v>
      </c>
      <c r="J4048" s="13">
        <v>113691</v>
      </c>
      <c r="K4048">
        <v>1</v>
      </c>
      <c r="L4048" t="s">
        <v>1064</v>
      </c>
      <c r="M4048" t="s">
        <v>3064</v>
      </c>
      <c r="N4048" s="15" t="s">
        <v>6878</v>
      </c>
    </row>
    <row r="4049" spans="1:14" x14ac:dyDescent="0.2">
      <c r="A4049" t="s">
        <v>5179</v>
      </c>
      <c r="B4049" t="s">
        <v>2360</v>
      </c>
      <c r="C4049" s="9">
        <v>45027</v>
      </c>
      <c r="D4049" t="s">
        <v>985</v>
      </c>
      <c r="E4049" s="13">
        <v>2750000</v>
      </c>
      <c r="F4049" s="13">
        <v>13875</v>
      </c>
      <c r="G4049" s="9">
        <v>45052</v>
      </c>
      <c r="H4049" t="s">
        <v>1111</v>
      </c>
      <c r="I4049" t="s">
        <v>3063</v>
      </c>
      <c r="J4049" s="13">
        <v>76312</v>
      </c>
      <c r="K4049">
        <v>1</v>
      </c>
      <c r="L4049" t="s">
        <v>1064</v>
      </c>
      <c r="M4049" t="s">
        <v>3064</v>
      </c>
      <c r="N4049" s="15" t="s">
        <v>6878</v>
      </c>
    </row>
    <row r="4050" spans="1:14" x14ac:dyDescent="0.2">
      <c r="A4050" t="s">
        <v>5180</v>
      </c>
      <c r="B4050" t="s">
        <v>2360</v>
      </c>
      <c r="C4050" s="9">
        <v>45027</v>
      </c>
      <c r="D4050" t="s">
        <v>985</v>
      </c>
      <c r="E4050" s="13">
        <v>4097000</v>
      </c>
      <c r="F4050" s="13">
        <v>13875</v>
      </c>
      <c r="G4050" s="9">
        <v>45046</v>
      </c>
      <c r="H4050" t="s">
        <v>1111</v>
      </c>
      <c r="I4050" t="s">
        <v>3063</v>
      </c>
      <c r="J4050" s="13">
        <v>113691</v>
      </c>
      <c r="K4050">
        <v>1</v>
      </c>
      <c r="L4050" t="s">
        <v>1064</v>
      </c>
      <c r="M4050" t="s">
        <v>3064</v>
      </c>
      <c r="N4050" s="15" t="s">
        <v>6878</v>
      </c>
    </row>
    <row r="4051" spans="1:14" x14ac:dyDescent="0.2">
      <c r="A4051" t="s">
        <v>5181</v>
      </c>
      <c r="B4051" t="s">
        <v>2360</v>
      </c>
      <c r="C4051" s="9">
        <v>45027</v>
      </c>
      <c r="D4051" t="s">
        <v>985</v>
      </c>
      <c r="E4051" s="13">
        <v>2750000</v>
      </c>
      <c r="F4051" s="13">
        <v>13875</v>
      </c>
      <c r="G4051" s="9">
        <v>45046</v>
      </c>
      <c r="H4051" t="s">
        <v>1111</v>
      </c>
      <c r="I4051" t="s">
        <v>3063</v>
      </c>
      <c r="J4051" s="13">
        <v>76312</v>
      </c>
      <c r="K4051">
        <v>1</v>
      </c>
      <c r="L4051" t="s">
        <v>1064</v>
      </c>
      <c r="M4051" t="s">
        <v>3064</v>
      </c>
      <c r="N4051" s="15" t="s">
        <v>6878</v>
      </c>
    </row>
    <row r="4052" spans="1:14" x14ac:dyDescent="0.2">
      <c r="A4052" t="s">
        <v>5182</v>
      </c>
      <c r="B4052" t="s">
        <v>2360</v>
      </c>
      <c r="C4052" s="9">
        <v>45027</v>
      </c>
      <c r="D4052" t="s">
        <v>985</v>
      </c>
      <c r="E4052" s="13">
        <v>4097000</v>
      </c>
      <c r="F4052" s="13">
        <v>13875</v>
      </c>
      <c r="G4052" s="9">
        <v>45046</v>
      </c>
      <c r="H4052" t="s">
        <v>1111</v>
      </c>
      <c r="I4052" t="s">
        <v>3063</v>
      </c>
      <c r="J4052" s="13">
        <v>113691</v>
      </c>
      <c r="K4052">
        <v>1</v>
      </c>
      <c r="L4052" t="s">
        <v>1064</v>
      </c>
      <c r="M4052" t="s">
        <v>3064</v>
      </c>
      <c r="N4052" s="15" t="s">
        <v>6878</v>
      </c>
    </row>
    <row r="4053" spans="1:14" x14ac:dyDescent="0.2">
      <c r="A4053" t="s">
        <v>5183</v>
      </c>
      <c r="B4053" t="s">
        <v>2360</v>
      </c>
      <c r="C4053" s="9">
        <v>45027</v>
      </c>
      <c r="D4053" t="s">
        <v>983</v>
      </c>
      <c r="E4053" s="13">
        <v>7000000</v>
      </c>
      <c r="F4053" s="13">
        <v>11100</v>
      </c>
      <c r="G4053" s="9">
        <v>45030</v>
      </c>
      <c r="H4053" t="s">
        <v>1111</v>
      </c>
      <c r="I4053" t="s">
        <v>2896</v>
      </c>
      <c r="J4053" s="13">
        <v>194250</v>
      </c>
      <c r="K4053">
        <v>1</v>
      </c>
      <c r="L4053" t="s">
        <v>1064</v>
      </c>
      <c r="M4053" t="s">
        <v>2897</v>
      </c>
      <c r="N4053" s="15" t="s">
        <v>6878</v>
      </c>
    </row>
    <row r="4054" spans="1:14" x14ac:dyDescent="0.2">
      <c r="A4054" t="s">
        <v>5184</v>
      </c>
      <c r="B4054" t="s">
        <v>2360</v>
      </c>
      <c r="C4054" s="9">
        <v>45027</v>
      </c>
      <c r="D4054" t="s">
        <v>983</v>
      </c>
      <c r="E4054" s="13">
        <v>7000000</v>
      </c>
      <c r="F4054" s="13">
        <v>11100</v>
      </c>
      <c r="G4054" s="9">
        <v>45030</v>
      </c>
      <c r="H4054" t="s">
        <v>1111</v>
      </c>
      <c r="I4054" t="s">
        <v>2896</v>
      </c>
      <c r="J4054" s="13">
        <v>194250</v>
      </c>
      <c r="K4054">
        <v>1</v>
      </c>
      <c r="L4054" t="s">
        <v>1064</v>
      </c>
      <c r="M4054" t="s">
        <v>2897</v>
      </c>
      <c r="N4054" s="15" t="s">
        <v>6878</v>
      </c>
    </row>
    <row r="4055" spans="1:14" x14ac:dyDescent="0.2">
      <c r="A4055" t="s">
        <v>5185</v>
      </c>
      <c r="B4055" t="s">
        <v>2360</v>
      </c>
      <c r="C4055" s="9">
        <v>45027</v>
      </c>
      <c r="D4055" t="s">
        <v>983</v>
      </c>
      <c r="E4055" s="13">
        <v>7000000</v>
      </c>
      <c r="F4055" s="13">
        <v>11100</v>
      </c>
      <c r="G4055" s="9">
        <v>45030</v>
      </c>
      <c r="H4055" t="s">
        <v>1111</v>
      </c>
      <c r="I4055" t="s">
        <v>2896</v>
      </c>
      <c r="J4055" s="13">
        <v>194250</v>
      </c>
      <c r="K4055">
        <v>1</v>
      </c>
      <c r="L4055" t="s">
        <v>1064</v>
      </c>
      <c r="M4055" t="s">
        <v>2897</v>
      </c>
      <c r="N4055" s="15" t="s">
        <v>6878</v>
      </c>
    </row>
    <row r="4056" spans="1:14" x14ac:dyDescent="0.2">
      <c r="A4056" t="s">
        <v>5186</v>
      </c>
      <c r="B4056" t="s">
        <v>2360</v>
      </c>
      <c r="C4056" s="9">
        <v>45027</v>
      </c>
      <c r="D4056" t="s">
        <v>983</v>
      </c>
      <c r="E4056" s="13">
        <v>7000000</v>
      </c>
      <c r="F4056" s="13">
        <v>11100</v>
      </c>
      <c r="G4056" s="9">
        <v>45030</v>
      </c>
      <c r="H4056" t="s">
        <v>1111</v>
      </c>
      <c r="I4056" t="s">
        <v>2896</v>
      </c>
      <c r="J4056" s="13">
        <v>194250</v>
      </c>
      <c r="K4056">
        <v>1</v>
      </c>
      <c r="L4056" t="s">
        <v>1064</v>
      </c>
      <c r="M4056" t="s">
        <v>2897</v>
      </c>
      <c r="N4056" s="15" t="s">
        <v>6878</v>
      </c>
    </row>
    <row r="4057" spans="1:14" x14ac:dyDescent="0.2">
      <c r="A4057" t="s">
        <v>5187</v>
      </c>
      <c r="B4057" t="s">
        <v>2360</v>
      </c>
      <c r="C4057" s="9">
        <v>45027</v>
      </c>
      <c r="D4057" t="s">
        <v>983</v>
      </c>
      <c r="E4057" s="13">
        <v>7000000</v>
      </c>
      <c r="F4057" s="13">
        <v>11100</v>
      </c>
      <c r="G4057" s="9">
        <v>45030</v>
      </c>
      <c r="H4057" t="s">
        <v>1111</v>
      </c>
      <c r="I4057" t="s">
        <v>2896</v>
      </c>
      <c r="J4057" s="13">
        <v>194250</v>
      </c>
      <c r="K4057">
        <v>1</v>
      </c>
      <c r="L4057" t="s">
        <v>1064</v>
      </c>
      <c r="M4057" t="s">
        <v>2897</v>
      </c>
      <c r="N4057" s="15" t="s">
        <v>6878</v>
      </c>
    </row>
    <row r="4058" spans="1:14" x14ac:dyDescent="0.2">
      <c r="A4058" t="s">
        <v>5188</v>
      </c>
      <c r="B4058" t="s">
        <v>2360</v>
      </c>
      <c r="C4058" s="9">
        <v>45027</v>
      </c>
      <c r="D4058" t="s">
        <v>983</v>
      </c>
      <c r="E4058" s="13">
        <v>6300000</v>
      </c>
      <c r="F4058" s="13">
        <v>11100</v>
      </c>
      <c r="G4058" s="9">
        <v>45030</v>
      </c>
      <c r="H4058" t="s">
        <v>1111</v>
      </c>
      <c r="I4058" t="s">
        <v>2896</v>
      </c>
      <c r="J4058" s="13">
        <v>174825</v>
      </c>
      <c r="K4058">
        <v>1</v>
      </c>
      <c r="L4058" t="s">
        <v>1064</v>
      </c>
      <c r="M4058" t="s">
        <v>2897</v>
      </c>
      <c r="N4058" s="15" t="s">
        <v>6878</v>
      </c>
    </row>
    <row r="4059" spans="1:14" x14ac:dyDescent="0.2">
      <c r="A4059" t="s">
        <v>5189</v>
      </c>
      <c r="B4059" t="s">
        <v>2360</v>
      </c>
      <c r="C4059" s="9">
        <v>45027</v>
      </c>
      <c r="D4059" t="s">
        <v>985</v>
      </c>
      <c r="E4059" s="13">
        <v>4097000</v>
      </c>
      <c r="F4059" s="13">
        <v>13875</v>
      </c>
      <c r="G4059" s="9">
        <v>45046</v>
      </c>
      <c r="H4059" t="s">
        <v>1111</v>
      </c>
      <c r="I4059" t="s">
        <v>3063</v>
      </c>
      <c r="J4059" s="13">
        <v>113691</v>
      </c>
      <c r="K4059">
        <v>1</v>
      </c>
      <c r="L4059" t="s">
        <v>1064</v>
      </c>
      <c r="M4059" t="s">
        <v>3064</v>
      </c>
      <c r="N4059" s="15" t="s">
        <v>6878</v>
      </c>
    </row>
    <row r="4060" spans="1:14" x14ac:dyDescent="0.2">
      <c r="A4060" t="s">
        <v>5190</v>
      </c>
      <c r="B4060" t="s">
        <v>2360</v>
      </c>
      <c r="C4060" s="9">
        <v>45027</v>
      </c>
      <c r="D4060" t="s">
        <v>985</v>
      </c>
      <c r="E4060" s="13">
        <v>2750000</v>
      </c>
      <c r="F4060" s="13">
        <v>13875</v>
      </c>
      <c r="G4060" s="9">
        <v>45046</v>
      </c>
      <c r="H4060" t="s">
        <v>1111</v>
      </c>
      <c r="I4060" t="s">
        <v>3063</v>
      </c>
      <c r="J4060" s="13">
        <v>76312</v>
      </c>
      <c r="K4060">
        <v>1</v>
      </c>
      <c r="L4060" t="s">
        <v>1064</v>
      </c>
      <c r="M4060" t="s">
        <v>3064</v>
      </c>
      <c r="N4060" s="15" t="s">
        <v>6878</v>
      </c>
    </row>
    <row r="4061" spans="1:14" x14ac:dyDescent="0.2">
      <c r="A4061" t="s">
        <v>5191</v>
      </c>
      <c r="B4061" t="s">
        <v>2360</v>
      </c>
      <c r="C4061" s="9">
        <v>45027</v>
      </c>
      <c r="D4061" t="s">
        <v>9</v>
      </c>
      <c r="E4061" s="13">
        <v>496775</v>
      </c>
      <c r="F4061" s="13">
        <v>22500</v>
      </c>
      <c r="H4061" t="s">
        <v>1659</v>
      </c>
      <c r="I4061" t="s">
        <v>4659</v>
      </c>
      <c r="J4061" s="13">
        <v>0</v>
      </c>
      <c r="K4061">
        <v>2</v>
      </c>
      <c r="L4061" t="s">
        <v>1064</v>
      </c>
      <c r="M4061" t="s">
        <v>4660</v>
      </c>
      <c r="N4061" s="14" t="s">
        <v>6877</v>
      </c>
    </row>
    <row r="4062" spans="1:14" x14ac:dyDescent="0.2">
      <c r="A4062" t="s">
        <v>5192</v>
      </c>
      <c r="B4062" t="s">
        <v>2360</v>
      </c>
      <c r="C4062" s="9">
        <v>45027</v>
      </c>
      <c r="D4062" t="s">
        <v>9</v>
      </c>
      <c r="E4062" s="13">
        <v>399350</v>
      </c>
      <c r="F4062" s="13">
        <v>24975</v>
      </c>
      <c r="G4062" s="9">
        <v>45043</v>
      </c>
      <c r="H4062" t="s">
        <v>1111</v>
      </c>
      <c r="I4062" t="s">
        <v>436</v>
      </c>
      <c r="J4062" s="13">
        <v>13297</v>
      </c>
      <c r="K4062">
        <v>1</v>
      </c>
      <c r="L4062" t="s">
        <v>1064</v>
      </c>
      <c r="M4062" t="s">
        <v>2364</v>
      </c>
      <c r="N4062" s="15" t="s">
        <v>6878</v>
      </c>
    </row>
    <row r="4063" spans="1:14" x14ac:dyDescent="0.2">
      <c r="A4063" t="s">
        <v>5193</v>
      </c>
      <c r="B4063" t="s">
        <v>2360</v>
      </c>
      <c r="C4063" s="9">
        <v>45027</v>
      </c>
      <c r="D4063" t="s">
        <v>32</v>
      </c>
      <c r="E4063" s="13">
        <v>3600000</v>
      </c>
      <c r="F4063" s="13">
        <v>27750</v>
      </c>
      <c r="G4063" s="9">
        <v>45032</v>
      </c>
      <c r="H4063" t="s">
        <v>1063</v>
      </c>
      <c r="I4063" t="s">
        <v>520</v>
      </c>
      <c r="J4063" s="13">
        <v>99900</v>
      </c>
      <c r="K4063">
        <v>1</v>
      </c>
      <c r="L4063" t="s">
        <v>1064</v>
      </c>
      <c r="M4063" t="s">
        <v>5005</v>
      </c>
      <c r="N4063" s="15" t="s">
        <v>6878</v>
      </c>
    </row>
    <row r="4064" spans="1:14" x14ac:dyDescent="0.2">
      <c r="A4064" t="s">
        <v>5194</v>
      </c>
      <c r="B4064" t="s">
        <v>2360</v>
      </c>
      <c r="C4064" s="9">
        <v>45027</v>
      </c>
      <c r="D4064" t="s">
        <v>32</v>
      </c>
      <c r="E4064" s="13">
        <v>3500000</v>
      </c>
      <c r="F4064" s="13">
        <v>27750</v>
      </c>
      <c r="G4064" s="9">
        <v>45032</v>
      </c>
      <c r="H4064" t="s">
        <v>1063</v>
      </c>
      <c r="I4064" t="s">
        <v>520</v>
      </c>
      <c r="J4064" s="13">
        <v>97125</v>
      </c>
      <c r="K4064">
        <v>1</v>
      </c>
      <c r="L4064" t="s">
        <v>1064</v>
      </c>
      <c r="M4064" t="s">
        <v>5005</v>
      </c>
      <c r="N4064" s="15" t="s">
        <v>6878</v>
      </c>
    </row>
    <row r="4065" spans="1:14" x14ac:dyDescent="0.2">
      <c r="A4065" t="s">
        <v>5195</v>
      </c>
      <c r="B4065" t="s">
        <v>2360</v>
      </c>
      <c r="C4065" s="9">
        <v>45027</v>
      </c>
      <c r="D4065" t="s">
        <v>32</v>
      </c>
      <c r="E4065" s="13">
        <v>3500000</v>
      </c>
      <c r="F4065" s="13">
        <v>27750</v>
      </c>
      <c r="G4065" s="9">
        <v>45032</v>
      </c>
      <c r="H4065" t="s">
        <v>1063</v>
      </c>
      <c r="I4065" t="s">
        <v>520</v>
      </c>
      <c r="J4065" s="13">
        <v>97125</v>
      </c>
      <c r="K4065">
        <v>1</v>
      </c>
      <c r="L4065" t="s">
        <v>1064</v>
      </c>
      <c r="M4065" t="s">
        <v>5005</v>
      </c>
      <c r="N4065" s="15" t="s">
        <v>6878</v>
      </c>
    </row>
    <row r="4066" spans="1:14" x14ac:dyDescent="0.2">
      <c r="A4066" t="s">
        <v>5196</v>
      </c>
      <c r="B4066" t="s">
        <v>2360</v>
      </c>
      <c r="C4066" s="9">
        <v>45027</v>
      </c>
      <c r="D4066" t="s">
        <v>949</v>
      </c>
      <c r="E4066" s="13">
        <v>45000000</v>
      </c>
      <c r="F4066" s="13">
        <v>22200</v>
      </c>
      <c r="G4066" s="9">
        <v>45027</v>
      </c>
      <c r="H4066" t="s">
        <v>1111</v>
      </c>
      <c r="I4066" t="s">
        <v>1746</v>
      </c>
      <c r="J4066" s="13">
        <v>1248750</v>
      </c>
      <c r="K4066">
        <v>1</v>
      </c>
      <c r="L4066" t="s">
        <v>1064</v>
      </c>
      <c r="M4066" t="s">
        <v>1747</v>
      </c>
      <c r="N4066" s="15" t="s">
        <v>6878</v>
      </c>
    </row>
    <row r="4067" spans="1:14" x14ac:dyDescent="0.2">
      <c r="A4067" t="s">
        <v>5197</v>
      </c>
      <c r="B4067" t="s">
        <v>2360</v>
      </c>
      <c r="C4067" s="9">
        <v>45027</v>
      </c>
      <c r="D4067" t="s">
        <v>949</v>
      </c>
      <c r="E4067" s="13">
        <v>45000000</v>
      </c>
      <c r="F4067" s="13">
        <v>22200</v>
      </c>
      <c r="G4067" s="9">
        <v>45027</v>
      </c>
      <c r="H4067" t="s">
        <v>1111</v>
      </c>
      <c r="I4067" t="s">
        <v>1746</v>
      </c>
      <c r="J4067" s="13">
        <v>1248750</v>
      </c>
      <c r="K4067">
        <v>1</v>
      </c>
      <c r="L4067" t="s">
        <v>1064</v>
      </c>
      <c r="M4067" t="s">
        <v>1747</v>
      </c>
      <c r="N4067" s="15" t="s">
        <v>6878</v>
      </c>
    </row>
    <row r="4068" spans="1:14" x14ac:dyDescent="0.2">
      <c r="A4068" t="s">
        <v>5198</v>
      </c>
      <c r="B4068" t="s">
        <v>2360</v>
      </c>
      <c r="C4068" s="9">
        <v>45027</v>
      </c>
      <c r="D4068" t="s">
        <v>949</v>
      </c>
      <c r="E4068" s="13">
        <v>59860000</v>
      </c>
      <c r="F4068" s="13">
        <v>22200</v>
      </c>
      <c r="G4068" s="9">
        <v>45027</v>
      </c>
      <c r="H4068" t="s">
        <v>1111</v>
      </c>
      <c r="I4068" t="s">
        <v>1746</v>
      </c>
      <c r="J4068" s="13">
        <v>1661115</v>
      </c>
      <c r="K4068">
        <v>1</v>
      </c>
      <c r="L4068" t="s">
        <v>1064</v>
      </c>
      <c r="M4068" t="s">
        <v>1747</v>
      </c>
      <c r="N4068" s="15" t="s">
        <v>6878</v>
      </c>
    </row>
    <row r="4069" spans="1:14" x14ac:dyDescent="0.2">
      <c r="A4069" t="s">
        <v>5199</v>
      </c>
      <c r="B4069" t="s">
        <v>2360</v>
      </c>
      <c r="C4069" s="9">
        <v>45027</v>
      </c>
      <c r="D4069" t="s">
        <v>949</v>
      </c>
      <c r="E4069" s="13">
        <v>45000000</v>
      </c>
      <c r="F4069" s="13">
        <v>22200</v>
      </c>
      <c r="G4069" s="9">
        <v>45027</v>
      </c>
      <c r="H4069" t="s">
        <v>1111</v>
      </c>
      <c r="I4069" t="s">
        <v>1746</v>
      </c>
      <c r="J4069" s="13">
        <v>1248750</v>
      </c>
      <c r="K4069">
        <v>1</v>
      </c>
      <c r="L4069" t="s">
        <v>1064</v>
      </c>
      <c r="M4069" t="s">
        <v>1747</v>
      </c>
      <c r="N4069" s="15" t="s">
        <v>6878</v>
      </c>
    </row>
    <row r="4070" spans="1:14" x14ac:dyDescent="0.2">
      <c r="A4070" t="s">
        <v>5200</v>
      </c>
      <c r="B4070" t="s">
        <v>2360</v>
      </c>
      <c r="C4070" s="9">
        <v>45027</v>
      </c>
      <c r="D4070" t="s">
        <v>949</v>
      </c>
      <c r="E4070" s="13">
        <v>45000000</v>
      </c>
      <c r="F4070" s="13">
        <v>22200</v>
      </c>
      <c r="G4070" s="9">
        <v>45027</v>
      </c>
      <c r="H4070" t="s">
        <v>1111</v>
      </c>
      <c r="I4070" t="s">
        <v>1746</v>
      </c>
      <c r="J4070" s="13">
        <v>1248750</v>
      </c>
      <c r="K4070">
        <v>1</v>
      </c>
      <c r="L4070" t="s">
        <v>1064</v>
      </c>
      <c r="M4070" t="s">
        <v>1747</v>
      </c>
      <c r="N4070" s="15" t="s">
        <v>6878</v>
      </c>
    </row>
    <row r="4071" spans="1:14" x14ac:dyDescent="0.2">
      <c r="A4071" t="s">
        <v>5201</v>
      </c>
      <c r="B4071" t="s">
        <v>2360</v>
      </c>
      <c r="C4071" s="9">
        <v>45027</v>
      </c>
      <c r="D4071" t="s">
        <v>949</v>
      </c>
      <c r="E4071" s="13">
        <v>59860000</v>
      </c>
      <c r="F4071" s="13">
        <v>22200</v>
      </c>
      <c r="G4071" s="9">
        <v>45027</v>
      </c>
      <c r="H4071" t="s">
        <v>1111</v>
      </c>
      <c r="I4071" t="s">
        <v>1746</v>
      </c>
      <c r="J4071" s="13">
        <v>1661115</v>
      </c>
      <c r="K4071">
        <v>1</v>
      </c>
      <c r="L4071" t="s">
        <v>1064</v>
      </c>
      <c r="M4071" t="s">
        <v>1747</v>
      </c>
      <c r="N4071" s="15" t="s">
        <v>6878</v>
      </c>
    </row>
    <row r="4072" spans="1:14" x14ac:dyDescent="0.2">
      <c r="A4072" t="s">
        <v>5202</v>
      </c>
      <c r="B4072" t="s">
        <v>2360</v>
      </c>
      <c r="C4072" s="9">
        <v>45027</v>
      </c>
      <c r="D4072" t="s">
        <v>32</v>
      </c>
      <c r="E4072" s="13">
        <v>3150000</v>
      </c>
      <c r="F4072" s="13">
        <v>27750</v>
      </c>
      <c r="G4072" s="9">
        <v>45032</v>
      </c>
      <c r="H4072" t="s">
        <v>1063</v>
      </c>
      <c r="I4072" t="s">
        <v>520</v>
      </c>
      <c r="J4072" s="13">
        <v>87412</v>
      </c>
      <c r="K4072">
        <v>1</v>
      </c>
      <c r="L4072" t="s">
        <v>1064</v>
      </c>
      <c r="M4072" t="s">
        <v>5005</v>
      </c>
      <c r="N4072" s="15" t="s">
        <v>6878</v>
      </c>
    </row>
    <row r="4073" spans="1:14" x14ac:dyDescent="0.2">
      <c r="A4073" t="s">
        <v>5203</v>
      </c>
      <c r="B4073" t="s">
        <v>2360</v>
      </c>
      <c r="C4073" s="9">
        <v>45027</v>
      </c>
      <c r="D4073" t="s">
        <v>32</v>
      </c>
      <c r="E4073" s="13">
        <v>2850000</v>
      </c>
      <c r="F4073" s="13">
        <v>27750</v>
      </c>
      <c r="G4073" s="9">
        <v>45032</v>
      </c>
      <c r="H4073" t="s">
        <v>1063</v>
      </c>
      <c r="I4073" t="s">
        <v>520</v>
      </c>
      <c r="J4073" s="13">
        <v>79087</v>
      </c>
      <c r="K4073">
        <v>1</v>
      </c>
      <c r="L4073" t="s">
        <v>1064</v>
      </c>
      <c r="M4073" t="s">
        <v>5005</v>
      </c>
      <c r="N4073" s="15" t="s">
        <v>6878</v>
      </c>
    </row>
    <row r="4074" spans="1:14" x14ac:dyDescent="0.2">
      <c r="A4074" t="s">
        <v>5204</v>
      </c>
      <c r="B4074" t="s">
        <v>2360</v>
      </c>
      <c r="C4074" s="9">
        <v>45027</v>
      </c>
      <c r="D4074" t="s">
        <v>9</v>
      </c>
      <c r="E4074" s="13">
        <v>508200</v>
      </c>
      <c r="F4074" s="13">
        <v>22500</v>
      </c>
      <c r="H4074" t="s">
        <v>1659</v>
      </c>
      <c r="I4074" t="s">
        <v>4659</v>
      </c>
      <c r="J4074" s="13">
        <v>0</v>
      </c>
      <c r="K4074">
        <v>1</v>
      </c>
      <c r="L4074" t="s">
        <v>1064</v>
      </c>
      <c r="M4074" t="s">
        <v>4660</v>
      </c>
      <c r="N4074" s="14" t="s">
        <v>6877</v>
      </c>
    </row>
    <row r="4075" spans="1:14" x14ac:dyDescent="0.2">
      <c r="A4075" t="s">
        <v>5205</v>
      </c>
      <c r="B4075" t="s">
        <v>2360</v>
      </c>
      <c r="C4075" s="9">
        <v>45027</v>
      </c>
      <c r="D4075" t="s">
        <v>946</v>
      </c>
      <c r="E4075" s="13">
        <v>11607948</v>
      </c>
      <c r="F4075" s="13">
        <v>5550</v>
      </c>
      <c r="G4075" s="9">
        <v>45030</v>
      </c>
      <c r="H4075" t="s">
        <v>1111</v>
      </c>
      <c r="I4075" t="s">
        <v>2382</v>
      </c>
      <c r="J4075" s="13">
        <v>579816</v>
      </c>
      <c r="K4075">
        <v>1</v>
      </c>
      <c r="L4075" t="s">
        <v>1064</v>
      </c>
      <c r="M4075" t="s">
        <v>2383</v>
      </c>
      <c r="N4075" s="15" t="s">
        <v>6878</v>
      </c>
    </row>
    <row r="4076" spans="1:14" x14ac:dyDescent="0.2">
      <c r="A4076" t="s">
        <v>5206</v>
      </c>
      <c r="B4076" t="s">
        <v>2360</v>
      </c>
      <c r="C4076" s="9">
        <v>45027</v>
      </c>
      <c r="D4076" t="s">
        <v>946</v>
      </c>
      <c r="E4076" s="13">
        <v>16912888</v>
      </c>
      <c r="F4076" s="13">
        <v>5550</v>
      </c>
      <c r="G4076" s="9">
        <v>45030</v>
      </c>
      <c r="H4076" t="s">
        <v>1111</v>
      </c>
      <c r="I4076" t="s">
        <v>2382</v>
      </c>
      <c r="J4076" s="13">
        <v>844797</v>
      </c>
      <c r="K4076">
        <v>1</v>
      </c>
      <c r="L4076" t="s">
        <v>1064</v>
      </c>
      <c r="M4076" t="s">
        <v>2383</v>
      </c>
      <c r="N4076" s="15" t="s">
        <v>6878</v>
      </c>
    </row>
    <row r="4077" spans="1:14" x14ac:dyDescent="0.2">
      <c r="A4077" t="s">
        <v>5207</v>
      </c>
      <c r="B4077" t="s">
        <v>2360</v>
      </c>
      <c r="C4077" s="9">
        <v>45027</v>
      </c>
      <c r="D4077" t="s">
        <v>946</v>
      </c>
      <c r="E4077" s="13">
        <v>5293450</v>
      </c>
      <c r="F4077" s="13">
        <v>5550</v>
      </c>
      <c r="G4077" s="9">
        <v>45030</v>
      </c>
      <c r="H4077" t="s">
        <v>1111</v>
      </c>
      <c r="I4077" t="s">
        <v>2382</v>
      </c>
      <c r="J4077" s="13">
        <v>264407</v>
      </c>
      <c r="K4077">
        <v>1</v>
      </c>
      <c r="L4077" t="s">
        <v>1064</v>
      </c>
      <c r="M4077" t="s">
        <v>2383</v>
      </c>
      <c r="N4077" s="15" t="s">
        <v>6878</v>
      </c>
    </row>
    <row r="4078" spans="1:14" x14ac:dyDescent="0.2">
      <c r="A4078" t="s">
        <v>5208</v>
      </c>
      <c r="B4078" t="s">
        <v>2360</v>
      </c>
      <c r="C4078" s="9">
        <v>45027</v>
      </c>
      <c r="D4078" t="s">
        <v>946</v>
      </c>
      <c r="E4078" s="13">
        <v>5293450</v>
      </c>
      <c r="F4078" s="13">
        <v>5550</v>
      </c>
      <c r="G4078" s="9">
        <v>45030</v>
      </c>
      <c r="H4078" t="s">
        <v>1111</v>
      </c>
      <c r="I4078" t="s">
        <v>2382</v>
      </c>
      <c r="J4078" s="13">
        <v>264407</v>
      </c>
      <c r="K4078">
        <v>1</v>
      </c>
      <c r="L4078" t="s">
        <v>1064</v>
      </c>
      <c r="M4078" t="s">
        <v>2383</v>
      </c>
      <c r="N4078" s="15" t="s">
        <v>6878</v>
      </c>
    </row>
    <row r="4079" spans="1:14" x14ac:dyDescent="0.2">
      <c r="A4079" t="s">
        <v>5209</v>
      </c>
      <c r="B4079" t="s">
        <v>2360</v>
      </c>
      <c r="C4079" s="9">
        <v>45027</v>
      </c>
      <c r="D4079" t="s">
        <v>946</v>
      </c>
      <c r="E4079" s="13">
        <v>5253660</v>
      </c>
      <c r="F4079" s="13">
        <v>5550</v>
      </c>
      <c r="G4079" s="9">
        <v>45030</v>
      </c>
      <c r="H4079" t="s">
        <v>1111</v>
      </c>
      <c r="I4079" t="s">
        <v>2382</v>
      </c>
      <c r="J4079" s="13">
        <v>262419</v>
      </c>
      <c r="K4079">
        <v>1</v>
      </c>
      <c r="L4079" t="s">
        <v>1064</v>
      </c>
      <c r="M4079" t="s">
        <v>2383</v>
      </c>
      <c r="N4079" s="15" t="s">
        <v>6878</v>
      </c>
    </row>
    <row r="4080" spans="1:14" x14ac:dyDescent="0.2">
      <c r="A4080" t="s">
        <v>5210</v>
      </c>
      <c r="B4080" t="s">
        <v>2360</v>
      </c>
      <c r="C4080" s="9">
        <v>45027</v>
      </c>
      <c r="D4080" t="s">
        <v>32</v>
      </c>
      <c r="E4080" s="13">
        <v>3500000</v>
      </c>
      <c r="F4080" s="13">
        <v>27750</v>
      </c>
      <c r="G4080" s="9">
        <v>45032</v>
      </c>
      <c r="H4080" t="s">
        <v>1063</v>
      </c>
      <c r="I4080" t="s">
        <v>520</v>
      </c>
      <c r="J4080" s="13">
        <v>97125</v>
      </c>
      <c r="K4080">
        <v>1</v>
      </c>
      <c r="L4080" t="s">
        <v>1064</v>
      </c>
      <c r="M4080" t="s">
        <v>5005</v>
      </c>
      <c r="N4080" s="15" t="s">
        <v>6878</v>
      </c>
    </row>
    <row r="4081" spans="1:14" x14ac:dyDescent="0.2">
      <c r="A4081" t="s">
        <v>5211</v>
      </c>
      <c r="B4081" t="s">
        <v>2360</v>
      </c>
      <c r="C4081" s="9">
        <v>45027</v>
      </c>
      <c r="D4081" t="s">
        <v>946</v>
      </c>
      <c r="E4081" s="13">
        <v>5293450</v>
      </c>
      <c r="F4081" s="13">
        <v>5550</v>
      </c>
      <c r="G4081" s="9">
        <v>45030</v>
      </c>
      <c r="H4081" t="s">
        <v>1111</v>
      </c>
      <c r="I4081" t="s">
        <v>2382</v>
      </c>
      <c r="J4081" s="13">
        <v>264407</v>
      </c>
      <c r="K4081">
        <v>1</v>
      </c>
      <c r="L4081" t="s">
        <v>1064</v>
      </c>
      <c r="M4081" t="s">
        <v>2383</v>
      </c>
      <c r="N4081" s="15" t="s">
        <v>6878</v>
      </c>
    </row>
    <row r="4082" spans="1:14" x14ac:dyDescent="0.2">
      <c r="A4082" t="s">
        <v>5212</v>
      </c>
      <c r="B4082" t="s">
        <v>2360</v>
      </c>
      <c r="C4082" s="9">
        <v>45027</v>
      </c>
      <c r="D4082" t="s">
        <v>946</v>
      </c>
      <c r="E4082" s="13">
        <v>5511950</v>
      </c>
      <c r="F4082" s="13">
        <v>5550</v>
      </c>
      <c r="G4082" s="9">
        <v>45030</v>
      </c>
      <c r="H4082" t="s">
        <v>1111</v>
      </c>
      <c r="I4082" t="s">
        <v>2382</v>
      </c>
      <c r="J4082" s="13">
        <v>275321</v>
      </c>
      <c r="K4082">
        <v>1</v>
      </c>
      <c r="L4082" t="s">
        <v>1064</v>
      </c>
      <c r="M4082" t="s">
        <v>2383</v>
      </c>
      <c r="N4082" s="15" t="s">
        <v>6878</v>
      </c>
    </row>
    <row r="4083" spans="1:14" x14ac:dyDescent="0.2">
      <c r="A4083" t="s">
        <v>5213</v>
      </c>
      <c r="B4083" t="s">
        <v>2360</v>
      </c>
      <c r="C4083" s="9">
        <v>45027</v>
      </c>
      <c r="D4083" t="s">
        <v>946</v>
      </c>
      <c r="E4083" s="13">
        <v>5511950</v>
      </c>
      <c r="F4083" s="13">
        <v>5550</v>
      </c>
      <c r="G4083" s="9">
        <v>45030</v>
      </c>
      <c r="H4083" t="s">
        <v>1111</v>
      </c>
      <c r="I4083" t="s">
        <v>2382</v>
      </c>
      <c r="J4083" s="13">
        <v>275321</v>
      </c>
      <c r="K4083">
        <v>1</v>
      </c>
      <c r="L4083" t="s">
        <v>1064</v>
      </c>
      <c r="M4083" t="s">
        <v>2383</v>
      </c>
      <c r="N4083" s="15" t="s">
        <v>6878</v>
      </c>
    </row>
    <row r="4084" spans="1:14" x14ac:dyDescent="0.2">
      <c r="A4084" t="s">
        <v>5214</v>
      </c>
      <c r="B4084" t="s">
        <v>2360</v>
      </c>
      <c r="C4084" s="9">
        <v>45027</v>
      </c>
      <c r="D4084" t="s">
        <v>946</v>
      </c>
      <c r="E4084" s="13">
        <v>5511950</v>
      </c>
      <c r="F4084" s="13">
        <v>5550</v>
      </c>
      <c r="G4084" s="9">
        <v>45030</v>
      </c>
      <c r="H4084" t="s">
        <v>1111</v>
      </c>
      <c r="I4084" t="s">
        <v>2382</v>
      </c>
      <c r="J4084" s="13">
        <v>275321</v>
      </c>
      <c r="K4084">
        <v>1</v>
      </c>
      <c r="L4084" t="s">
        <v>1064</v>
      </c>
      <c r="M4084" t="s">
        <v>2383</v>
      </c>
      <c r="N4084" s="15" t="s">
        <v>6878</v>
      </c>
    </row>
    <row r="4085" spans="1:14" x14ac:dyDescent="0.2">
      <c r="A4085" t="s">
        <v>5215</v>
      </c>
      <c r="B4085" t="s">
        <v>2360</v>
      </c>
      <c r="C4085" s="9">
        <v>45027</v>
      </c>
      <c r="D4085" t="s">
        <v>946</v>
      </c>
      <c r="E4085" s="13">
        <v>5511950</v>
      </c>
      <c r="F4085" s="13">
        <v>5550</v>
      </c>
      <c r="G4085" s="9">
        <v>45030</v>
      </c>
      <c r="H4085" t="s">
        <v>1111</v>
      </c>
      <c r="I4085" t="s">
        <v>2382</v>
      </c>
      <c r="J4085" s="13">
        <v>275321</v>
      </c>
      <c r="K4085">
        <v>1</v>
      </c>
      <c r="L4085" t="s">
        <v>1064</v>
      </c>
      <c r="M4085" t="s">
        <v>2383</v>
      </c>
      <c r="N4085" s="15" t="s">
        <v>6878</v>
      </c>
    </row>
    <row r="4086" spans="1:14" x14ac:dyDescent="0.2">
      <c r="A4086" t="s">
        <v>5216</v>
      </c>
      <c r="B4086" t="s">
        <v>2360</v>
      </c>
      <c r="C4086" s="9">
        <v>45027</v>
      </c>
      <c r="D4086" t="s">
        <v>946</v>
      </c>
      <c r="E4086" s="13">
        <v>6549825</v>
      </c>
      <c r="F4086" s="13">
        <v>5550</v>
      </c>
      <c r="G4086" s="9">
        <v>45030</v>
      </c>
      <c r="H4086" t="s">
        <v>1111</v>
      </c>
      <c r="I4086" t="s">
        <v>2382</v>
      </c>
      <c r="J4086" s="13">
        <v>327163</v>
      </c>
      <c r="K4086">
        <v>1</v>
      </c>
      <c r="L4086" t="s">
        <v>1064</v>
      </c>
      <c r="M4086" t="s">
        <v>2383</v>
      </c>
      <c r="N4086" s="15" t="s">
        <v>6878</v>
      </c>
    </row>
    <row r="4087" spans="1:14" x14ac:dyDescent="0.2">
      <c r="A4087" t="s">
        <v>5217</v>
      </c>
      <c r="B4087" t="s">
        <v>2360</v>
      </c>
      <c r="C4087" s="9">
        <v>45027</v>
      </c>
      <c r="D4087" t="s">
        <v>946</v>
      </c>
      <c r="E4087" s="13">
        <v>5511950</v>
      </c>
      <c r="F4087" s="13">
        <v>5550</v>
      </c>
      <c r="G4087" s="9">
        <v>45030</v>
      </c>
      <c r="H4087" t="s">
        <v>1111</v>
      </c>
      <c r="I4087" t="s">
        <v>2382</v>
      </c>
      <c r="J4087" s="13">
        <v>275321</v>
      </c>
      <c r="K4087">
        <v>1</v>
      </c>
      <c r="L4087" t="s">
        <v>1064</v>
      </c>
      <c r="M4087" t="s">
        <v>2383</v>
      </c>
      <c r="N4087" s="15" t="s">
        <v>6878</v>
      </c>
    </row>
    <row r="4088" spans="1:14" x14ac:dyDescent="0.2">
      <c r="A4088" t="s">
        <v>5218</v>
      </c>
      <c r="B4088" t="s">
        <v>2360</v>
      </c>
      <c r="C4088" s="9">
        <v>45027</v>
      </c>
      <c r="D4088" t="s">
        <v>946</v>
      </c>
      <c r="E4088" s="13">
        <v>5511950</v>
      </c>
      <c r="F4088" s="13">
        <v>5550</v>
      </c>
      <c r="G4088" s="9">
        <v>45030</v>
      </c>
      <c r="H4088" t="s">
        <v>1111</v>
      </c>
      <c r="I4088" t="s">
        <v>2382</v>
      </c>
      <c r="J4088" s="13">
        <v>275321</v>
      </c>
      <c r="K4088">
        <v>1</v>
      </c>
      <c r="L4088" t="s">
        <v>1064</v>
      </c>
      <c r="M4088" t="s">
        <v>2383</v>
      </c>
      <c r="N4088" s="15" t="s">
        <v>6878</v>
      </c>
    </row>
    <row r="4089" spans="1:14" x14ac:dyDescent="0.2">
      <c r="A4089" t="s">
        <v>5219</v>
      </c>
      <c r="B4089" t="s">
        <v>2360</v>
      </c>
      <c r="C4089" s="9">
        <v>45027</v>
      </c>
      <c r="D4089" t="s">
        <v>946</v>
      </c>
      <c r="E4089" s="13">
        <v>5370300</v>
      </c>
      <c r="F4089" s="13">
        <v>5550</v>
      </c>
      <c r="G4089" s="9">
        <v>45030</v>
      </c>
      <c r="H4089" t="s">
        <v>1111</v>
      </c>
      <c r="I4089" t="s">
        <v>2382</v>
      </c>
      <c r="J4089" s="13">
        <v>268245</v>
      </c>
      <c r="K4089">
        <v>1</v>
      </c>
      <c r="L4089" t="s">
        <v>1064</v>
      </c>
      <c r="M4089" t="s">
        <v>2383</v>
      </c>
      <c r="N4089" s="15" t="s">
        <v>6878</v>
      </c>
    </row>
    <row r="4090" spans="1:14" x14ac:dyDescent="0.2">
      <c r="A4090" t="s">
        <v>5220</v>
      </c>
      <c r="B4090" t="s">
        <v>2360</v>
      </c>
      <c r="C4090" s="9">
        <v>45027</v>
      </c>
      <c r="D4090" t="s">
        <v>946</v>
      </c>
      <c r="E4090" s="13">
        <v>5226750</v>
      </c>
      <c r="F4090" s="13">
        <v>5550</v>
      </c>
      <c r="G4090" s="9">
        <v>45063</v>
      </c>
      <c r="H4090" t="s">
        <v>1111</v>
      </c>
      <c r="I4090" t="s">
        <v>2382</v>
      </c>
      <c r="J4090" s="13">
        <v>261075</v>
      </c>
      <c r="K4090">
        <v>1</v>
      </c>
      <c r="L4090" t="s">
        <v>1064</v>
      </c>
      <c r="M4090" t="s">
        <v>2383</v>
      </c>
      <c r="N4090" s="15" t="s">
        <v>6878</v>
      </c>
    </row>
    <row r="4091" spans="1:14" x14ac:dyDescent="0.2">
      <c r="A4091" t="s">
        <v>5221</v>
      </c>
      <c r="B4091" t="s">
        <v>2360</v>
      </c>
      <c r="C4091" s="9">
        <v>45027</v>
      </c>
      <c r="D4091" t="s">
        <v>946</v>
      </c>
      <c r="E4091" s="13">
        <v>6547410</v>
      </c>
      <c r="F4091" s="13">
        <v>5550</v>
      </c>
      <c r="G4091" s="9">
        <v>45063</v>
      </c>
      <c r="H4091" t="s">
        <v>1111</v>
      </c>
      <c r="I4091" t="s">
        <v>2382</v>
      </c>
      <c r="J4091" s="13">
        <v>327042</v>
      </c>
      <c r="K4091">
        <v>1</v>
      </c>
      <c r="L4091" t="s">
        <v>1064</v>
      </c>
      <c r="M4091" t="s">
        <v>2383</v>
      </c>
      <c r="N4091" s="15" t="s">
        <v>6878</v>
      </c>
    </row>
    <row r="4092" spans="1:14" x14ac:dyDescent="0.2">
      <c r="A4092" t="s">
        <v>5222</v>
      </c>
      <c r="B4092" t="s">
        <v>2360</v>
      </c>
      <c r="C4092" s="9">
        <v>45027</v>
      </c>
      <c r="D4092" t="s">
        <v>946</v>
      </c>
      <c r="E4092" s="13">
        <v>13541825</v>
      </c>
      <c r="F4092" s="13">
        <v>5550</v>
      </c>
      <c r="G4092" s="9">
        <v>45030</v>
      </c>
      <c r="H4092" t="s">
        <v>1111</v>
      </c>
      <c r="I4092" t="s">
        <v>2382</v>
      </c>
      <c r="J4092" s="13">
        <v>676414</v>
      </c>
      <c r="K4092">
        <v>1</v>
      </c>
      <c r="L4092" t="s">
        <v>1064</v>
      </c>
      <c r="M4092" t="s">
        <v>2383</v>
      </c>
      <c r="N4092" s="15" t="s">
        <v>6878</v>
      </c>
    </row>
    <row r="4093" spans="1:14" x14ac:dyDescent="0.2">
      <c r="A4093" t="s">
        <v>5223</v>
      </c>
      <c r="B4093" t="s">
        <v>2360</v>
      </c>
      <c r="C4093" s="9">
        <v>45027</v>
      </c>
      <c r="D4093" t="s">
        <v>946</v>
      </c>
      <c r="E4093" s="13">
        <v>13541825</v>
      </c>
      <c r="F4093" s="13">
        <v>5550</v>
      </c>
      <c r="G4093" s="9">
        <v>45030</v>
      </c>
      <c r="H4093" t="s">
        <v>1111</v>
      </c>
      <c r="I4093" t="s">
        <v>2382</v>
      </c>
      <c r="J4093" s="13">
        <v>676414</v>
      </c>
      <c r="K4093">
        <v>1</v>
      </c>
      <c r="L4093" t="s">
        <v>1064</v>
      </c>
      <c r="M4093" t="s">
        <v>2383</v>
      </c>
      <c r="N4093" s="15" t="s">
        <v>6878</v>
      </c>
    </row>
    <row r="4094" spans="1:14" x14ac:dyDescent="0.2">
      <c r="A4094" t="s">
        <v>5224</v>
      </c>
      <c r="B4094" t="s">
        <v>2360</v>
      </c>
      <c r="C4094" s="9">
        <v>45027</v>
      </c>
      <c r="D4094" t="s">
        <v>946</v>
      </c>
      <c r="E4094" s="13">
        <v>13800000</v>
      </c>
      <c r="F4094" s="13">
        <v>5550</v>
      </c>
      <c r="G4094" s="9">
        <v>45030</v>
      </c>
      <c r="H4094" t="s">
        <v>1111</v>
      </c>
      <c r="I4094" t="s">
        <v>2382</v>
      </c>
      <c r="J4094" s="13">
        <v>689310</v>
      </c>
      <c r="K4094">
        <v>1</v>
      </c>
      <c r="L4094" t="s">
        <v>1064</v>
      </c>
      <c r="M4094" t="s">
        <v>2383</v>
      </c>
      <c r="N4094" s="15" t="s">
        <v>6878</v>
      </c>
    </row>
    <row r="4095" spans="1:14" x14ac:dyDescent="0.2">
      <c r="A4095" t="s">
        <v>5225</v>
      </c>
      <c r="B4095" t="s">
        <v>2360</v>
      </c>
      <c r="C4095" s="9">
        <v>45027</v>
      </c>
      <c r="D4095" t="s">
        <v>946</v>
      </c>
      <c r="E4095" s="13">
        <v>18400000</v>
      </c>
      <c r="F4095" s="13">
        <v>5550</v>
      </c>
      <c r="G4095" s="9">
        <v>45030</v>
      </c>
      <c r="H4095" t="s">
        <v>1111</v>
      </c>
      <c r="I4095" t="s">
        <v>2382</v>
      </c>
      <c r="J4095" s="13">
        <v>919080</v>
      </c>
      <c r="K4095">
        <v>1</v>
      </c>
      <c r="L4095" t="s">
        <v>1064</v>
      </c>
      <c r="M4095" t="s">
        <v>2383</v>
      </c>
      <c r="N4095" s="15" t="s">
        <v>6878</v>
      </c>
    </row>
    <row r="4096" spans="1:14" x14ac:dyDescent="0.2">
      <c r="A4096" t="s">
        <v>5226</v>
      </c>
      <c r="B4096" t="s">
        <v>2360</v>
      </c>
      <c r="C4096" s="9">
        <v>45027</v>
      </c>
      <c r="D4096" t="s">
        <v>946</v>
      </c>
      <c r="E4096" s="13">
        <v>12420000</v>
      </c>
      <c r="F4096" s="13">
        <v>5550</v>
      </c>
      <c r="G4096" s="9">
        <v>45030</v>
      </c>
      <c r="H4096" t="s">
        <v>1111</v>
      </c>
      <c r="I4096" t="s">
        <v>2382</v>
      </c>
      <c r="J4096" s="13">
        <v>620379</v>
      </c>
      <c r="K4096">
        <v>1</v>
      </c>
      <c r="L4096" t="s">
        <v>1064</v>
      </c>
      <c r="M4096" t="s">
        <v>2383</v>
      </c>
      <c r="N4096" s="15" t="s">
        <v>6878</v>
      </c>
    </row>
    <row r="4097" spans="1:14" x14ac:dyDescent="0.2">
      <c r="A4097" t="s">
        <v>5227</v>
      </c>
      <c r="B4097" t="s">
        <v>2360</v>
      </c>
      <c r="C4097" s="9">
        <v>45027</v>
      </c>
      <c r="D4097" t="s">
        <v>946</v>
      </c>
      <c r="E4097" s="13">
        <v>14950000</v>
      </c>
      <c r="F4097" s="13">
        <v>5550</v>
      </c>
      <c r="G4097" s="9">
        <v>45030</v>
      </c>
      <c r="H4097" t="s">
        <v>1111</v>
      </c>
      <c r="I4097" t="s">
        <v>2382</v>
      </c>
      <c r="J4097" s="13">
        <v>746752</v>
      </c>
      <c r="K4097">
        <v>1</v>
      </c>
      <c r="L4097" t="s">
        <v>1064</v>
      </c>
      <c r="M4097" t="s">
        <v>2383</v>
      </c>
      <c r="N4097" s="15" t="s">
        <v>6878</v>
      </c>
    </row>
    <row r="4098" spans="1:14" x14ac:dyDescent="0.2">
      <c r="A4098" t="s">
        <v>5228</v>
      </c>
      <c r="B4098" t="s">
        <v>2360</v>
      </c>
      <c r="C4098" s="9">
        <v>45027</v>
      </c>
      <c r="D4098" t="s">
        <v>946</v>
      </c>
      <c r="E4098" s="13">
        <v>15525000</v>
      </c>
      <c r="F4098" s="13">
        <v>5550</v>
      </c>
      <c r="G4098" s="9">
        <v>45030</v>
      </c>
      <c r="H4098" t="s">
        <v>1111</v>
      </c>
      <c r="I4098" t="s">
        <v>2382</v>
      </c>
      <c r="J4098" s="13">
        <v>775473</v>
      </c>
      <c r="K4098">
        <v>1</v>
      </c>
      <c r="L4098" t="s">
        <v>1064</v>
      </c>
      <c r="M4098" t="s">
        <v>2383</v>
      </c>
      <c r="N4098" s="15" t="s">
        <v>6878</v>
      </c>
    </row>
    <row r="4099" spans="1:14" x14ac:dyDescent="0.2">
      <c r="A4099" t="s">
        <v>5229</v>
      </c>
      <c r="B4099" t="s">
        <v>2360</v>
      </c>
      <c r="C4099" s="9">
        <v>45027</v>
      </c>
      <c r="D4099" t="s">
        <v>946</v>
      </c>
      <c r="E4099" s="13">
        <v>22425000</v>
      </c>
      <c r="F4099" s="13">
        <v>5550</v>
      </c>
      <c r="G4099" s="9">
        <v>45030</v>
      </c>
      <c r="H4099" t="s">
        <v>1111</v>
      </c>
      <c r="I4099" t="s">
        <v>2382</v>
      </c>
      <c r="J4099" s="13">
        <v>1120128</v>
      </c>
      <c r="K4099">
        <v>1</v>
      </c>
      <c r="L4099" t="s">
        <v>1064</v>
      </c>
      <c r="M4099" t="s">
        <v>2383</v>
      </c>
      <c r="N4099" s="15" t="s">
        <v>6878</v>
      </c>
    </row>
    <row r="4100" spans="1:14" x14ac:dyDescent="0.2">
      <c r="A4100" t="s">
        <v>5230</v>
      </c>
      <c r="B4100" t="s">
        <v>2360</v>
      </c>
      <c r="C4100" s="9">
        <v>45027</v>
      </c>
      <c r="D4100" t="s">
        <v>946</v>
      </c>
      <c r="E4100" s="13">
        <v>12075000</v>
      </c>
      <c r="F4100" s="13">
        <v>5550</v>
      </c>
      <c r="G4100" s="9">
        <v>45030</v>
      </c>
      <c r="H4100" t="s">
        <v>1111</v>
      </c>
      <c r="I4100" t="s">
        <v>2382</v>
      </c>
      <c r="J4100" s="13">
        <v>603146</v>
      </c>
      <c r="K4100">
        <v>1</v>
      </c>
      <c r="L4100" t="s">
        <v>1064</v>
      </c>
      <c r="M4100" t="s">
        <v>2383</v>
      </c>
      <c r="N4100" s="15" t="s">
        <v>6878</v>
      </c>
    </row>
    <row r="4101" spans="1:14" x14ac:dyDescent="0.2">
      <c r="A4101" t="s">
        <v>5231</v>
      </c>
      <c r="B4101" t="s">
        <v>2360</v>
      </c>
      <c r="C4101" s="9">
        <v>45027</v>
      </c>
      <c r="D4101" t="s">
        <v>946</v>
      </c>
      <c r="E4101" s="13">
        <v>16675000</v>
      </c>
      <c r="F4101" s="13">
        <v>5550</v>
      </c>
      <c r="G4101" s="9">
        <v>45030</v>
      </c>
      <c r="H4101" t="s">
        <v>1111</v>
      </c>
      <c r="I4101" t="s">
        <v>2382</v>
      </c>
      <c r="J4101" s="13">
        <v>832916</v>
      </c>
      <c r="K4101">
        <v>1</v>
      </c>
      <c r="L4101" t="s">
        <v>1064</v>
      </c>
      <c r="M4101" t="s">
        <v>2383</v>
      </c>
      <c r="N4101" s="15" t="s">
        <v>6878</v>
      </c>
    </row>
    <row r="4102" spans="1:14" x14ac:dyDescent="0.2">
      <c r="A4102" t="s">
        <v>5232</v>
      </c>
      <c r="B4102" t="s">
        <v>2360</v>
      </c>
      <c r="C4102" s="9">
        <v>45027</v>
      </c>
      <c r="D4102" t="s">
        <v>946</v>
      </c>
      <c r="E4102" s="13">
        <v>14950000</v>
      </c>
      <c r="F4102" s="13">
        <v>5550</v>
      </c>
      <c r="G4102" s="9">
        <v>45030</v>
      </c>
      <c r="H4102" t="s">
        <v>1111</v>
      </c>
      <c r="I4102" t="s">
        <v>2382</v>
      </c>
      <c r="J4102" s="13">
        <v>746752</v>
      </c>
      <c r="K4102">
        <v>1</v>
      </c>
      <c r="L4102" t="s">
        <v>1064</v>
      </c>
      <c r="M4102" t="s">
        <v>2383</v>
      </c>
      <c r="N4102" s="15" t="s">
        <v>6878</v>
      </c>
    </row>
    <row r="4103" spans="1:14" x14ac:dyDescent="0.2">
      <c r="A4103" t="s">
        <v>5233</v>
      </c>
      <c r="B4103" t="s">
        <v>2360</v>
      </c>
      <c r="C4103" s="9">
        <v>45027</v>
      </c>
      <c r="D4103" t="s">
        <v>946</v>
      </c>
      <c r="E4103" s="13">
        <v>18975000</v>
      </c>
      <c r="F4103" s="13">
        <v>5550</v>
      </c>
      <c r="G4103" s="9">
        <v>45030</v>
      </c>
      <c r="H4103" t="s">
        <v>1111</v>
      </c>
      <c r="I4103" t="s">
        <v>2382</v>
      </c>
      <c r="J4103" s="13">
        <v>947801</v>
      </c>
      <c r="K4103">
        <v>1</v>
      </c>
      <c r="L4103" t="s">
        <v>1064</v>
      </c>
      <c r="M4103" t="s">
        <v>2383</v>
      </c>
      <c r="N4103" s="15" t="s">
        <v>6878</v>
      </c>
    </row>
    <row r="4104" spans="1:14" x14ac:dyDescent="0.2">
      <c r="A4104" t="s">
        <v>5234</v>
      </c>
      <c r="B4104" t="s">
        <v>2360</v>
      </c>
      <c r="C4104" s="9">
        <v>45027</v>
      </c>
      <c r="D4104" t="s">
        <v>946</v>
      </c>
      <c r="E4104" s="13">
        <v>5750000</v>
      </c>
      <c r="F4104" s="13">
        <v>5550</v>
      </c>
      <c r="G4104" s="9">
        <v>45030</v>
      </c>
      <c r="H4104" t="s">
        <v>1111</v>
      </c>
      <c r="I4104" t="s">
        <v>2382</v>
      </c>
      <c r="J4104" s="13">
        <v>287212</v>
      </c>
      <c r="K4104">
        <v>1</v>
      </c>
      <c r="L4104" t="s">
        <v>1064</v>
      </c>
      <c r="M4104" t="s">
        <v>2383</v>
      </c>
      <c r="N4104" s="15" t="s">
        <v>6878</v>
      </c>
    </row>
    <row r="4105" spans="1:14" x14ac:dyDescent="0.2">
      <c r="A4105" t="s">
        <v>5235</v>
      </c>
      <c r="B4105" t="s">
        <v>2360</v>
      </c>
      <c r="C4105" s="9">
        <v>45027</v>
      </c>
      <c r="D4105" t="s">
        <v>946</v>
      </c>
      <c r="E4105" s="13">
        <v>2200000</v>
      </c>
      <c r="F4105" s="13">
        <v>5550</v>
      </c>
      <c r="G4105" s="9">
        <v>45030</v>
      </c>
      <c r="H4105" t="s">
        <v>1111</v>
      </c>
      <c r="I4105" t="s">
        <v>2382</v>
      </c>
      <c r="J4105" s="13">
        <v>109890</v>
      </c>
      <c r="K4105">
        <v>1</v>
      </c>
      <c r="L4105" t="s">
        <v>1064</v>
      </c>
      <c r="M4105" t="s">
        <v>2383</v>
      </c>
      <c r="N4105" s="15" t="s">
        <v>6878</v>
      </c>
    </row>
    <row r="4106" spans="1:14" x14ac:dyDescent="0.2">
      <c r="A4106" t="s">
        <v>5236</v>
      </c>
      <c r="B4106" t="s">
        <v>2360</v>
      </c>
      <c r="C4106" s="9">
        <v>45027</v>
      </c>
      <c r="D4106" t="s">
        <v>946</v>
      </c>
      <c r="E4106" s="13">
        <v>18975000</v>
      </c>
      <c r="F4106" s="13">
        <v>5550</v>
      </c>
      <c r="G4106" s="9">
        <v>45030</v>
      </c>
      <c r="H4106" t="s">
        <v>1111</v>
      </c>
      <c r="I4106" t="s">
        <v>2382</v>
      </c>
      <c r="J4106" s="13">
        <v>947801</v>
      </c>
      <c r="K4106">
        <v>1</v>
      </c>
      <c r="L4106" t="s">
        <v>1064</v>
      </c>
      <c r="M4106" t="s">
        <v>2383</v>
      </c>
      <c r="N4106" s="15" t="s">
        <v>6878</v>
      </c>
    </row>
    <row r="4107" spans="1:14" x14ac:dyDescent="0.2">
      <c r="A4107" t="s">
        <v>5237</v>
      </c>
      <c r="B4107" t="s">
        <v>2360</v>
      </c>
      <c r="C4107" s="9">
        <v>45027</v>
      </c>
      <c r="D4107" t="s">
        <v>946</v>
      </c>
      <c r="E4107" s="13">
        <v>18975000</v>
      </c>
      <c r="F4107" s="13">
        <v>5550</v>
      </c>
      <c r="G4107" s="9">
        <v>45030</v>
      </c>
      <c r="H4107" t="s">
        <v>1111</v>
      </c>
      <c r="I4107" t="s">
        <v>2382</v>
      </c>
      <c r="J4107" s="13">
        <v>947801</v>
      </c>
      <c r="K4107">
        <v>1</v>
      </c>
      <c r="L4107" t="s">
        <v>1064</v>
      </c>
      <c r="M4107" t="s">
        <v>2383</v>
      </c>
      <c r="N4107" s="15" t="s">
        <v>6878</v>
      </c>
    </row>
    <row r="4108" spans="1:14" x14ac:dyDescent="0.2">
      <c r="A4108" t="s">
        <v>5238</v>
      </c>
      <c r="B4108" t="s">
        <v>2360</v>
      </c>
      <c r="C4108" s="9">
        <v>45027</v>
      </c>
      <c r="D4108" t="s">
        <v>946</v>
      </c>
      <c r="E4108" s="13">
        <v>19550000</v>
      </c>
      <c r="F4108" s="13">
        <v>5550</v>
      </c>
      <c r="G4108" s="9">
        <v>45030</v>
      </c>
      <c r="H4108" t="s">
        <v>1111</v>
      </c>
      <c r="I4108" t="s">
        <v>2382</v>
      </c>
      <c r="J4108" s="13">
        <v>976522</v>
      </c>
      <c r="K4108">
        <v>1</v>
      </c>
      <c r="L4108" t="s">
        <v>1064</v>
      </c>
      <c r="M4108" t="s">
        <v>2383</v>
      </c>
      <c r="N4108" s="15" t="s">
        <v>6878</v>
      </c>
    </row>
    <row r="4109" spans="1:14" x14ac:dyDescent="0.2">
      <c r="A4109" t="s">
        <v>5239</v>
      </c>
      <c r="B4109" t="s">
        <v>2360</v>
      </c>
      <c r="C4109" s="9">
        <v>45027</v>
      </c>
      <c r="D4109" t="s">
        <v>946</v>
      </c>
      <c r="E4109" s="13">
        <v>19550000</v>
      </c>
      <c r="F4109" s="13">
        <v>5550</v>
      </c>
      <c r="G4109" s="9">
        <v>45030</v>
      </c>
      <c r="H4109" t="s">
        <v>1111</v>
      </c>
      <c r="I4109" t="s">
        <v>2382</v>
      </c>
      <c r="J4109" s="13">
        <v>976522</v>
      </c>
      <c r="K4109">
        <v>1</v>
      </c>
      <c r="L4109" t="s">
        <v>1064</v>
      </c>
      <c r="M4109" t="s">
        <v>2383</v>
      </c>
      <c r="N4109" s="15" t="s">
        <v>6878</v>
      </c>
    </row>
    <row r="4110" spans="1:14" x14ac:dyDescent="0.2">
      <c r="A4110" t="s">
        <v>5240</v>
      </c>
      <c r="B4110" t="s">
        <v>2360</v>
      </c>
      <c r="C4110" s="9">
        <v>45027</v>
      </c>
      <c r="D4110" t="s">
        <v>946</v>
      </c>
      <c r="E4110" s="13">
        <v>13225000</v>
      </c>
      <c r="F4110" s="13">
        <v>5550</v>
      </c>
      <c r="G4110" s="9">
        <v>45030</v>
      </c>
      <c r="H4110" t="s">
        <v>1111</v>
      </c>
      <c r="I4110" t="s">
        <v>2382</v>
      </c>
      <c r="J4110" s="13">
        <v>660588</v>
      </c>
      <c r="K4110">
        <v>1</v>
      </c>
      <c r="L4110" t="s">
        <v>1064</v>
      </c>
      <c r="M4110" t="s">
        <v>2383</v>
      </c>
      <c r="N4110" s="15" t="s">
        <v>6878</v>
      </c>
    </row>
    <row r="4111" spans="1:14" x14ac:dyDescent="0.2">
      <c r="A4111" t="s">
        <v>5241</v>
      </c>
      <c r="B4111" t="s">
        <v>2360</v>
      </c>
      <c r="C4111" s="9">
        <v>45027</v>
      </c>
      <c r="D4111" t="s">
        <v>946</v>
      </c>
      <c r="E4111" s="13">
        <v>19550000</v>
      </c>
      <c r="F4111" s="13">
        <v>5550</v>
      </c>
      <c r="G4111" s="9">
        <v>45030</v>
      </c>
      <c r="H4111" t="s">
        <v>1111</v>
      </c>
      <c r="I4111" t="s">
        <v>2382</v>
      </c>
      <c r="J4111" s="13">
        <v>976522</v>
      </c>
      <c r="K4111">
        <v>1</v>
      </c>
      <c r="L4111" t="s">
        <v>1064</v>
      </c>
      <c r="M4111" t="s">
        <v>2383</v>
      </c>
      <c r="N4111" s="15" t="s">
        <v>6878</v>
      </c>
    </row>
    <row r="4112" spans="1:14" x14ac:dyDescent="0.2">
      <c r="A4112" t="s">
        <v>5242</v>
      </c>
      <c r="B4112" t="s">
        <v>2360</v>
      </c>
      <c r="C4112" s="9">
        <v>45027</v>
      </c>
      <c r="D4112" t="s">
        <v>946</v>
      </c>
      <c r="E4112" s="13">
        <v>13110000</v>
      </c>
      <c r="F4112" s="13">
        <v>5550</v>
      </c>
      <c r="G4112" s="9">
        <v>45030</v>
      </c>
      <c r="H4112" t="s">
        <v>1111</v>
      </c>
      <c r="I4112" t="s">
        <v>2382</v>
      </c>
      <c r="J4112" s="13">
        <v>654844</v>
      </c>
      <c r="K4112">
        <v>1</v>
      </c>
      <c r="L4112" t="s">
        <v>1064</v>
      </c>
      <c r="M4112" t="s">
        <v>2383</v>
      </c>
      <c r="N4112" s="15" t="s">
        <v>6878</v>
      </c>
    </row>
    <row r="4113" spans="1:14" x14ac:dyDescent="0.2">
      <c r="A4113" t="s">
        <v>5243</v>
      </c>
      <c r="B4113" t="s">
        <v>2360</v>
      </c>
      <c r="C4113" s="9">
        <v>45027</v>
      </c>
      <c r="D4113" t="s">
        <v>946</v>
      </c>
      <c r="E4113" s="13">
        <v>20930000</v>
      </c>
      <c r="F4113" s="13">
        <v>5550</v>
      </c>
      <c r="G4113" s="9">
        <v>45030</v>
      </c>
      <c r="H4113" t="s">
        <v>1111</v>
      </c>
      <c r="I4113" t="s">
        <v>2382</v>
      </c>
      <c r="J4113" s="13">
        <v>1045453</v>
      </c>
      <c r="K4113">
        <v>1</v>
      </c>
      <c r="L4113" t="s">
        <v>1064</v>
      </c>
      <c r="M4113" t="s">
        <v>2383</v>
      </c>
      <c r="N4113" s="15" t="s">
        <v>6878</v>
      </c>
    </row>
    <row r="4114" spans="1:14" x14ac:dyDescent="0.2">
      <c r="A4114" t="s">
        <v>5244</v>
      </c>
      <c r="B4114" t="s">
        <v>2360</v>
      </c>
      <c r="C4114" s="9">
        <v>45027</v>
      </c>
      <c r="D4114" t="s">
        <v>946</v>
      </c>
      <c r="E4114" s="13">
        <v>12535000</v>
      </c>
      <c r="F4114" s="13">
        <v>5550</v>
      </c>
      <c r="G4114" s="9">
        <v>45030</v>
      </c>
      <c r="H4114" t="s">
        <v>1111</v>
      </c>
      <c r="I4114" t="s">
        <v>2382</v>
      </c>
      <c r="J4114" s="13">
        <v>626123</v>
      </c>
      <c r="K4114">
        <v>1</v>
      </c>
      <c r="L4114" t="s">
        <v>1064</v>
      </c>
      <c r="M4114" t="s">
        <v>2383</v>
      </c>
      <c r="N4114" s="15" t="s">
        <v>6878</v>
      </c>
    </row>
    <row r="4115" spans="1:14" x14ac:dyDescent="0.2">
      <c r="A4115" t="s">
        <v>5245</v>
      </c>
      <c r="B4115" t="s">
        <v>2360</v>
      </c>
      <c r="C4115" s="9">
        <v>45027</v>
      </c>
      <c r="D4115" t="s">
        <v>9</v>
      </c>
      <c r="E4115" s="13">
        <v>294000</v>
      </c>
      <c r="F4115" s="13">
        <v>24975</v>
      </c>
      <c r="G4115" s="9">
        <v>45043</v>
      </c>
      <c r="H4115" t="s">
        <v>1111</v>
      </c>
      <c r="I4115" t="s">
        <v>436</v>
      </c>
      <c r="J4115" s="13">
        <v>9790</v>
      </c>
      <c r="K4115">
        <v>1</v>
      </c>
      <c r="L4115" t="s">
        <v>1064</v>
      </c>
      <c r="M4115" t="s">
        <v>2364</v>
      </c>
      <c r="N4115" s="15" t="s">
        <v>6878</v>
      </c>
    </row>
    <row r="4116" spans="1:14" x14ac:dyDescent="0.2">
      <c r="A4116" t="s">
        <v>5246</v>
      </c>
      <c r="B4116" t="s">
        <v>2360</v>
      </c>
      <c r="C4116" s="9">
        <v>45027</v>
      </c>
      <c r="D4116" t="s">
        <v>946</v>
      </c>
      <c r="E4116" s="13">
        <v>18400000</v>
      </c>
      <c r="F4116" s="13">
        <v>5550</v>
      </c>
      <c r="G4116" s="9">
        <v>45030</v>
      </c>
      <c r="H4116" t="s">
        <v>1111</v>
      </c>
      <c r="I4116" t="s">
        <v>2382</v>
      </c>
      <c r="J4116" s="13">
        <v>919080</v>
      </c>
      <c r="K4116">
        <v>1</v>
      </c>
      <c r="L4116" t="s">
        <v>1064</v>
      </c>
      <c r="M4116" t="s">
        <v>2383</v>
      </c>
      <c r="N4116" s="15" t="s">
        <v>6878</v>
      </c>
    </row>
    <row r="4117" spans="1:14" x14ac:dyDescent="0.2">
      <c r="A4117" t="s">
        <v>5247</v>
      </c>
      <c r="B4117" t="s">
        <v>2360</v>
      </c>
      <c r="C4117" s="9">
        <v>45027</v>
      </c>
      <c r="D4117" t="s">
        <v>946</v>
      </c>
      <c r="E4117" s="13">
        <v>19550000</v>
      </c>
      <c r="F4117" s="13">
        <v>5550</v>
      </c>
      <c r="G4117" s="9">
        <v>45030</v>
      </c>
      <c r="H4117" t="s">
        <v>1111</v>
      </c>
      <c r="I4117" t="s">
        <v>2382</v>
      </c>
      <c r="J4117" s="13">
        <v>976522</v>
      </c>
      <c r="K4117">
        <v>1</v>
      </c>
      <c r="L4117" t="s">
        <v>1064</v>
      </c>
      <c r="M4117" t="s">
        <v>2383</v>
      </c>
      <c r="N4117" s="15" t="s">
        <v>6878</v>
      </c>
    </row>
    <row r="4118" spans="1:14" x14ac:dyDescent="0.2">
      <c r="A4118" t="s">
        <v>5248</v>
      </c>
      <c r="B4118" t="s">
        <v>2360</v>
      </c>
      <c r="C4118" s="9">
        <v>45027</v>
      </c>
      <c r="D4118" t="s">
        <v>946</v>
      </c>
      <c r="E4118" s="13">
        <v>9200000</v>
      </c>
      <c r="F4118" s="13">
        <v>5550</v>
      </c>
      <c r="G4118" s="9">
        <v>45030</v>
      </c>
      <c r="H4118" t="s">
        <v>1111</v>
      </c>
      <c r="I4118" t="s">
        <v>2382</v>
      </c>
      <c r="J4118" s="13">
        <v>459540</v>
      </c>
      <c r="K4118">
        <v>1</v>
      </c>
      <c r="L4118" t="s">
        <v>1064</v>
      </c>
      <c r="M4118" t="s">
        <v>2383</v>
      </c>
      <c r="N4118" s="15" t="s">
        <v>6878</v>
      </c>
    </row>
    <row r="4119" spans="1:14" x14ac:dyDescent="0.2">
      <c r="A4119" t="s">
        <v>5249</v>
      </c>
      <c r="B4119" t="s">
        <v>2360</v>
      </c>
      <c r="C4119" s="9">
        <v>45027</v>
      </c>
      <c r="D4119" t="s">
        <v>9</v>
      </c>
      <c r="E4119" s="13">
        <v>938225</v>
      </c>
      <c r="F4119" s="13">
        <v>22500</v>
      </c>
      <c r="H4119" t="s">
        <v>1659</v>
      </c>
      <c r="I4119" t="s">
        <v>4659</v>
      </c>
      <c r="J4119" s="13">
        <v>0</v>
      </c>
      <c r="K4119">
        <v>1</v>
      </c>
      <c r="L4119" t="s">
        <v>1064</v>
      </c>
      <c r="M4119" t="s">
        <v>4660</v>
      </c>
      <c r="N4119" s="14" t="s">
        <v>6877</v>
      </c>
    </row>
    <row r="4120" spans="1:14" x14ac:dyDescent="0.2">
      <c r="A4120" t="s">
        <v>5250</v>
      </c>
      <c r="B4120" t="s">
        <v>2360</v>
      </c>
      <c r="C4120" s="9">
        <v>45027</v>
      </c>
      <c r="D4120" t="s">
        <v>946</v>
      </c>
      <c r="E4120" s="13">
        <v>21275000</v>
      </c>
      <c r="F4120" s="13">
        <v>5550</v>
      </c>
      <c r="G4120" s="9">
        <v>45030</v>
      </c>
      <c r="H4120" t="s">
        <v>1111</v>
      </c>
      <c r="I4120" t="s">
        <v>2382</v>
      </c>
      <c r="J4120" s="13">
        <v>1062686</v>
      </c>
      <c r="K4120">
        <v>1</v>
      </c>
      <c r="L4120" t="s">
        <v>1064</v>
      </c>
      <c r="M4120" t="s">
        <v>2383</v>
      </c>
      <c r="N4120" s="15" t="s">
        <v>6878</v>
      </c>
    </row>
    <row r="4121" spans="1:14" x14ac:dyDescent="0.2">
      <c r="A4121" t="s">
        <v>5251</v>
      </c>
      <c r="B4121" t="s">
        <v>2360</v>
      </c>
      <c r="C4121" s="9">
        <v>45027</v>
      </c>
      <c r="D4121" t="s">
        <v>946</v>
      </c>
      <c r="E4121" s="13">
        <v>12420000</v>
      </c>
      <c r="F4121" s="13">
        <v>5550</v>
      </c>
      <c r="G4121" s="9">
        <v>45030</v>
      </c>
      <c r="H4121" t="s">
        <v>1111</v>
      </c>
      <c r="I4121" t="s">
        <v>2382</v>
      </c>
      <c r="J4121" s="13">
        <v>620379</v>
      </c>
      <c r="K4121">
        <v>1</v>
      </c>
      <c r="L4121" t="s">
        <v>1064</v>
      </c>
      <c r="M4121" t="s">
        <v>2383</v>
      </c>
      <c r="N4121" s="15" t="s">
        <v>6878</v>
      </c>
    </row>
    <row r="4122" spans="1:14" x14ac:dyDescent="0.2">
      <c r="A4122" t="s">
        <v>5252</v>
      </c>
      <c r="B4122" t="s">
        <v>2360</v>
      </c>
      <c r="C4122" s="9">
        <v>45027</v>
      </c>
      <c r="D4122" t="s">
        <v>946</v>
      </c>
      <c r="E4122" s="13">
        <v>30590000</v>
      </c>
      <c r="F4122" s="13">
        <v>5550</v>
      </c>
      <c r="G4122" s="9">
        <v>45030</v>
      </c>
      <c r="H4122" t="s">
        <v>1111</v>
      </c>
      <c r="I4122" t="s">
        <v>2382</v>
      </c>
      <c r="J4122" s="13">
        <v>1527970</v>
      </c>
      <c r="K4122">
        <v>1</v>
      </c>
      <c r="L4122" t="s">
        <v>1064</v>
      </c>
      <c r="M4122" t="s">
        <v>2383</v>
      </c>
      <c r="N4122" s="15" t="s">
        <v>6878</v>
      </c>
    </row>
    <row r="4123" spans="1:14" x14ac:dyDescent="0.2">
      <c r="A4123" t="s">
        <v>5253</v>
      </c>
      <c r="B4123" t="s">
        <v>2360</v>
      </c>
      <c r="C4123" s="9">
        <v>45027</v>
      </c>
      <c r="D4123" t="s">
        <v>946</v>
      </c>
      <c r="E4123" s="13">
        <v>12650000</v>
      </c>
      <c r="F4123" s="13">
        <v>5550</v>
      </c>
      <c r="G4123" s="9">
        <v>45030</v>
      </c>
      <c r="H4123" t="s">
        <v>1111</v>
      </c>
      <c r="I4123" t="s">
        <v>2382</v>
      </c>
      <c r="J4123" s="13">
        <v>631867</v>
      </c>
      <c r="K4123">
        <v>1</v>
      </c>
      <c r="L4123" t="s">
        <v>1064</v>
      </c>
      <c r="M4123" t="s">
        <v>2383</v>
      </c>
      <c r="N4123" s="15" t="s">
        <v>6878</v>
      </c>
    </row>
    <row r="4124" spans="1:14" x14ac:dyDescent="0.2">
      <c r="A4124" t="s">
        <v>5254</v>
      </c>
      <c r="B4124" t="s">
        <v>2360</v>
      </c>
      <c r="C4124" s="9">
        <v>45027</v>
      </c>
      <c r="D4124" t="s">
        <v>946</v>
      </c>
      <c r="E4124" s="13">
        <v>11500000</v>
      </c>
      <c r="F4124" s="13">
        <v>5550</v>
      </c>
      <c r="G4124" s="9">
        <v>45030</v>
      </c>
      <c r="H4124" t="s">
        <v>1111</v>
      </c>
      <c r="I4124" t="s">
        <v>2382</v>
      </c>
      <c r="J4124" s="13">
        <v>574425</v>
      </c>
      <c r="K4124">
        <v>1</v>
      </c>
      <c r="L4124" t="s">
        <v>1064</v>
      </c>
      <c r="M4124" t="s">
        <v>2383</v>
      </c>
      <c r="N4124" s="15" t="s">
        <v>6878</v>
      </c>
    </row>
    <row r="4125" spans="1:14" x14ac:dyDescent="0.2">
      <c r="A4125" t="s">
        <v>5255</v>
      </c>
      <c r="B4125" t="s">
        <v>2360</v>
      </c>
      <c r="C4125" s="9">
        <v>45027</v>
      </c>
      <c r="D4125" t="s">
        <v>946</v>
      </c>
      <c r="E4125" s="13">
        <v>23000000</v>
      </c>
      <c r="F4125" s="13">
        <v>5550</v>
      </c>
      <c r="G4125" s="9">
        <v>45030</v>
      </c>
      <c r="H4125" t="s">
        <v>1111</v>
      </c>
      <c r="I4125" t="s">
        <v>2382</v>
      </c>
      <c r="J4125" s="13">
        <v>1148850</v>
      </c>
      <c r="K4125">
        <v>1</v>
      </c>
      <c r="L4125" t="s">
        <v>1064</v>
      </c>
      <c r="M4125" t="s">
        <v>2383</v>
      </c>
      <c r="N4125" s="15" t="s">
        <v>6878</v>
      </c>
    </row>
    <row r="4126" spans="1:14" x14ac:dyDescent="0.2">
      <c r="A4126" t="s">
        <v>5256</v>
      </c>
      <c r="B4126" t="s">
        <v>2360</v>
      </c>
      <c r="C4126" s="9">
        <v>45027</v>
      </c>
      <c r="D4126" t="s">
        <v>9</v>
      </c>
      <c r="E4126" s="13">
        <v>294490</v>
      </c>
      <c r="F4126" s="13">
        <v>24975</v>
      </c>
      <c r="G4126" s="9">
        <v>45043</v>
      </c>
      <c r="H4126" t="s">
        <v>1111</v>
      </c>
      <c r="I4126" t="s">
        <v>436</v>
      </c>
      <c r="J4126" s="13">
        <v>9805</v>
      </c>
      <c r="K4126">
        <v>1</v>
      </c>
      <c r="L4126" t="s">
        <v>1064</v>
      </c>
      <c r="M4126" t="s">
        <v>2364</v>
      </c>
      <c r="N4126" s="15" t="s">
        <v>6878</v>
      </c>
    </row>
    <row r="4127" spans="1:14" x14ac:dyDescent="0.2">
      <c r="A4127" t="s">
        <v>5257</v>
      </c>
      <c r="B4127" t="s">
        <v>2360</v>
      </c>
      <c r="C4127" s="9">
        <v>45027</v>
      </c>
      <c r="D4127" t="s">
        <v>946</v>
      </c>
      <c r="E4127" s="13">
        <v>6210000</v>
      </c>
      <c r="F4127" s="13">
        <v>5550</v>
      </c>
      <c r="G4127" s="9">
        <v>45030</v>
      </c>
      <c r="H4127" t="s">
        <v>1111</v>
      </c>
      <c r="I4127" t="s">
        <v>2382</v>
      </c>
      <c r="J4127" s="13">
        <v>310189</v>
      </c>
      <c r="K4127">
        <v>1</v>
      </c>
      <c r="L4127" t="s">
        <v>1064</v>
      </c>
      <c r="M4127" t="s">
        <v>2383</v>
      </c>
      <c r="N4127" s="15" t="s">
        <v>6878</v>
      </c>
    </row>
    <row r="4128" spans="1:14" x14ac:dyDescent="0.2">
      <c r="A4128" t="s">
        <v>5258</v>
      </c>
      <c r="B4128" t="s">
        <v>2360</v>
      </c>
      <c r="C4128" s="9">
        <v>45027</v>
      </c>
      <c r="D4128" t="s">
        <v>946</v>
      </c>
      <c r="E4128" s="13">
        <v>9200000</v>
      </c>
      <c r="F4128" s="13">
        <v>5550</v>
      </c>
      <c r="G4128" s="9">
        <v>45030</v>
      </c>
      <c r="H4128" t="s">
        <v>1111</v>
      </c>
      <c r="I4128" t="s">
        <v>2382</v>
      </c>
      <c r="J4128" s="13">
        <v>459540</v>
      </c>
      <c r="K4128">
        <v>1</v>
      </c>
      <c r="L4128" t="s">
        <v>1064</v>
      </c>
      <c r="M4128" t="s">
        <v>2383</v>
      </c>
      <c r="N4128" s="15" t="s">
        <v>6878</v>
      </c>
    </row>
    <row r="4129" spans="1:14" x14ac:dyDescent="0.2">
      <c r="A4129" t="s">
        <v>5259</v>
      </c>
      <c r="B4129" t="s">
        <v>2360</v>
      </c>
      <c r="C4129" s="9">
        <v>45027</v>
      </c>
      <c r="D4129" t="s">
        <v>946</v>
      </c>
      <c r="E4129" s="13">
        <v>19550000</v>
      </c>
      <c r="F4129" s="13">
        <v>5550</v>
      </c>
      <c r="G4129" s="9">
        <v>45030</v>
      </c>
      <c r="H4129" t="s">
        <v>1111</v>
      </c>
      <c r="I4129" t="s">
        <v>2382</v>
      </c>
      <c r="J4129" s="13">
        <v>976522</v>
      </c>
      <c r="K4129">
        <v>1</v>
      </c>
      <c r="L4129" t="s">
        <v>1064</v>
      </c>
      <c r="M4129" t="s">
        <v>2383</v>
      </c>
      <c r="N4129" s="15" t="s">
        <v>6878</v>
      </c>
    </row>
    <row r="4130" spans="1:14" x14ac:dyDescent="0.2">
      <c r="A4130" t="s">
        <v>5260</v>
      </c>
      <c r="B4130" t="s">
        <v>2360</v>
      </c>
      <c r="C4130" s="9">
        <v>45027</v>
      </c>
      <c r="D4130" t="s">
        <v>946</v>
      </c>
      <c r="E4130" s="13">
        <v>19550000</v>
      </c>
      <c r="F4130" s="13">
        <v>5550</v>
      </c>
      <c r="G4130" s="9">
        <v>45030</v>
      </c>
      <c r="H4130" t="s">
        <v>1111</v>
      </c>
      <c r="I4130" t="s">
        <v>2382</v>
      </c>
      <c r="J4130" s="13">
        <v>976522</v>
      </c>
      <c r="K4130">
        <v>1</v>
      </c>
      <c r="L4130" t="s">
        <v>1064</v>
      </c>
      <c r="M4130" t="s">
        <v>2383</v>
      </c>
      <c r="N4130" s="15" t="s">
        <v>6878</v>
      </c>
    </row>
    <row r="4131" spans="1:14" x14ac:dyDescent="0.2">
      <c r="A4131" t="s">
        <v>5261</v>
      </c>
      <c r="B4131" t="s">
        <v>2360</v>
      </c>
      <c r="C4131" s="9">
        <v>45027</v>
      </c>
      <c r="D4131" t="s">
        <v>946</v>
      </c>
      <c r="E4131" s="13">
        <v>13110000</v>
      </c>
      <c r="F4131" s="13">
        <v>5550</v>
      </c>
      <c r="G4131" s="9">
        <v>45030</v>
      </c>
      <c r="H4131" t="s">
        <v>1111</v>
      </c>
      <c r="I4131" t="s">
        <v>2382</v>
      </c>
      <c r="J4131" s="13">
        <v>654844</v>
      </c>
      <c r="K4131">
        <v>1</v>
      </c>
      <c r="L4131" t="s">
        <v>1064</v>
      </c>
      <c r="M4131" t="s">
        <v>2383</v>
      </c>
      <c r="N4131" s="15" t="s">
        <v>6878</v>
      </c>
    </row>
    <row r="4132" spans="1:14" x14ac:dyDescent="0.2">
      <c r="A4132" t="s">
        <v>5262</v>
      </c>
      <c r="B4132" t="s">
        <v>2360</v>
      </c>
      <c r="C4132" s="9">
        <v>45027</v>
      </c>
      <c r="D4132" t="s">
        <v>946</v>
      </c>
      <c r="E4132" s="13">
        <v>12420000</v>
      </c>
      <c r="F4132" s="13">
        <v>5550</v>
      </c>
      <c r="G4132" s="9">
        <v>45030</v>
      </c>
      <c r="H4132" t="s">
        <v>1111</v>
      </c>
      <c r="I4132" t="s">
        <v>2382</v>
      </c>
      <c r="J4132" s="13">
        <v>620379</v>
      </c>
      <c r="K4132">
        <v>1</v>
      </c>
      <c r="L4132" t="s">
        <v>1064</v>
      </c>
      <c r="M4132" t="s">
        <v>2383</v>
      </c>
      <c r="N4132" s="15" t="s">
        <v>6878</v>
      </c>
    </row>
    <row r="4133" spans="1:14" x14ac:dyDescent="0.2">
      <c r="A4133" t="s">
        <v>5263</v>
      </c>
      <c r="B4133" t="s">
        <v>2360</v>
      </c>
      <c r="C4133" s="9">
        <v>45027</v>
      </c>
      <c r="D4133" t="s">
        <v>946</v>
      </c>
      <c r="E4133" s="13">
        <v>19550000</v>
      </c>
      <c r="F4133" s="13">
        <v>5550</v>
      </c>
      <c r="G4133" s="9">
        <v>45030</v>
      </c>
      <c r="H4133" t="s">
        <v>1111</v>
      </c>
      <c r="I4133" t="s">
        <v>2382</v>
      </c>
      <c r="J4133" s="13">
        <v>976522</v>
      </c>
      <c r="K4133">
        <v>1</v>
      </c>
      <c r="L4133" t="s">
        <v>1064</v>
      </c>
      <c r="M4133" t="s">
        <v>2383</v>
      </c>
      <c r="N4133" s="15" t="s">
        <v>6878</v>
      </c>
    </row>
    <row r="4134" spans="1:14" x14ac:dyDescent="0.2">
      <c r="A4134" t="s">
        <v>5264</v>
      </c>
      <c r="B4134" t="s">
        <v>2360</v>
      </c>
      <c r="C4134" s="9">
        <v>45027</v>
      </c>
      <c r="D4134" t="s">
        <v>946</v>
      </c>
      <c r="E4134" s="13">
        <v>19550000</v>
      </c>
      <c r="F4134" s="13">
        <v>5550</v>
      </c>
      <c r="G4134" s="9">
        <v>45030</v>
      </c>
      <c r="H4134" t="s">
        <v>1111</v>
      </c>
      <c r="I4134" t="s">
        <v>2382</v>
      </c>
      <c r="J4134" s="13">
        <v>976522</v>
      </c>
      <c r="K4134">
        <v>1</v>
      </c>
      <c r="L4134" t="s">
        <v>1064</v>
      </c>
      <c r="M4134" t="s">
        <v>2383</v>
      </c>
      <c r="N4134" s="15" t="s">
        <v>6878</v>
      </c>
    </row>
    <row r="4135" spans="1:14" x14ac:dyDescent="0.2">
      <c r="A4135" t="s">
        <v>5265</v>
      </c>
      <c r="B4135" t="s">
        <v>2360</v>
      </c>
      <c r="C4135" s="9">
        <v>45027</v>
      </c>
      <c r="D4135" t="s">
        <v>946</v>
      </c>
      <c r="E4135" s="13">
        <v>19550000</v>
      </c>
      <c r="F4135" s="13">
        <v>5550</v>
      </c>
      <c r="G4135" s="9">
        <v>45030</v>
      </c>
      <c r="H4135" t="s">
        <v>1111</v>
      </c>
      <c r="I4135" t="s">
        <v>2382</v>
      </c>
      <c r="J4135" s="13">
        <v>976522</v>
      </c>
      <c r="K4135">
        <v>1</v>
      </c>
      <c r="L4135" t="s">
        <v>1064</v>
      </c>
      <c r="M4135" t="s">
        <v>2383</v>
      </c>
      <c r="N4135" s="15" t="s">
        <v>6878</v>
      </c>
    </row>
    <row r="4136" spans="1:14" x14ac:dyDescent="0.2">
      <c r="A4136" t="s">
        <v>5266</v>
      </c>
      <c r="B4136" t="s">
        <v>2360</v>
      </c>
      <c r="C4136" s="9">
        <v>45027</v>
      </c>
      <c r="D4136" t="s">
        <v>946</v>
      </c>
      <c r="E4136" s="13">
        <v>1210000</v>
      </c>
      <c r="F4136" s="13">
        <v>5550</v>
      </c>
      <c r="G4136" s="9">
        <v>45030</v>
      </c>
      <c r="H4136" t="s">
        <v>1111</v>
      </c>
      <c r="I4136" t="s">
        <v>2382</v>
      </c>
      <c r="J4136" s="13">
        <v>60439</v>
      </c>
      <c r="K4136">
        <v>1</v>
      </c>
      <c r="L4136" t="s">
        <v>1064</v>
      </c>
      <c r="M4136" t="s">
        <v>2383</v>
      </c>
      <c r="N4136" s="15" t="s">
        <v>6878</v>
      </c>
    </row>
    <row r="4137" spans="1:14" x14ac:dyDescent="0.2">
      <c r="A4137" t="s">
        <v>5267</v>
      </c>
      <c r="B4137" t="s">
        <v>2360</v>
      </c>
      <c r="C4137" s="9">
        <v>45027</v>
      </c>
      <c r="D4137" t="s">
        <v>946</v>
      </c>
      <c r="E4137" s="13">
        <v>2640000</v>
      </c>
      <c r="F4137" s="13">
        <v>5550</v>
      </c>
      <c r="G4137" s="9">
        <v>45030</v>
      </c>
      <c r="H4137" t="s">
        <v>1111</v>
      </c>
      <c r="I4137" t="s">
        <v>2382</v>
      </c>
      <c r="J4137" s="13">
        <v>131868</v>
      </c>
      <c r="K4137">
        <v>1</v>
      </c>
      <c r="L4137" t="s">
        <v>1064</v>
      </c>
      <c r="M4137" t="s">
        <v>2383</v>
      </c>
      <c r="N4137" s="15" t="s">
        <v>6878</v>
      </c>
    </row>
    <row r="4138" spans="1:14" x14ac:dyDescent="0.2">
      <c r="A4138" t="s">
        <v>5268</v>
      </c>
      <c r="B4138" t="s">
        <v>2360</v>
      </c>
      <c r="C4138" s="9">
        <v>45027</v>
      </c>
      <c r="D4138" t="s">
        <v>946</v>
      </c>
      <c r="E4138" s="13">
        <v>1210000</v>
      </c>
      <c r="F4138" s="13">
        <v>5550</v>
      </c>
      <c r="G4138" s="9">
        <v>45030</v>
      </c>
      <c r="H4138" t="s">
        <v>1111</v>
      </c>
      <c r="I4138" t="s">
        <v>2382</v>
      </c>
      <c r="J4138" s="13">
        <v>60439</v>
      </c>
      <c r="K4138">
        <v>1</v>
      </c>
      <c r="L4138" t="s">
        <v>1064</v>
      </c>
      <c r="M4138" t="s">
        <v>2383</v>
      </c>
      <c r="N4138" s="15" t="s">
        <v>6878</v>
      </c>
    </row>
    <row r="4139" spans="1:14" x14ac:dyDescent="0.2">
      <c r="A4139" t="s">
        <v>5269</v>
      </c>
      <c r="B4139" t="s">
        <v>2360</v>
      </c>
      <c r="C4139" s="9">
        <v>45027</v>
      </c>
      <c r="D4139" t="s">
        <v>946</v>
      </c>
      <c r="E4139" s="13">
        <v>1980000</v>
      </c>
      <c r="F4139" s="13">
        <v>5550</v>
      </c>
      <c r="G4139" s="9">
        <v>45030</v>
      </c>
      <c r="H4139" t="s">
        <v>1111</v>
      </c>
      <c r="I4139" t="s">
        <v>2382</v>
      </c>
      <c r="J4139" s="13">
        <v>98901</v>
      </c>
      <c r="K4139">
        <v>1</v>
      </c>
      <c r="L4139" t="s">
        <v>1064</v>
      </c>
      <c r="M4139" t="s">
        <v>2383</v>
      </c>
      <c r="N4139" s="15" t="s">
        <v>6878</v>
      </c>
    </row>
    <row r="4140" spans="1:14" x14ac:dyDescent="0.2">
      <c r="A4140" t="s">
        <v>5270</v>
      </c>
      <c r="B4140" t="s">
        <v>2360</v>
      </c>
      <c r="C4140" s="9">
        <v>45027</v>
      </c>
      <c r="D4140" t="s">
        <v>946</v>
      </c>
      <c r="E4140" s="13">
        <v>3080000</v>
      </c>
      <c r="F4140" s="13">
        <v>5550</v>
      </c>
      <c r="G4140" s="9">
        <v>45030</v>
      </c>
      <c r="H4140" t="s">
        <v>1111</v>
      </c>
      <c r="I4140" t="s">
        <v>2382</v>
      </c>
      <c r="J4140" s="13">
        <v>153846</v>
      </c>
      <c r="K4140">
        <v>1</v>
      </c>
      <c r="L4140" t="s">
        <v>1064</v>
      </c>
      <c r="M4140" t="s">
        <v>2383</v>
      </c>
      <c r="N4140" s="15" t="s">
        <v>6878</v>
      </c>
    </row>
    <row r="4141" spans="1:14" x14ac:dyDescent="0.2">
      <c r="A4141" t="s">
        <v>5271</v>
      </c>
      <c r="B4141" t="s">
        <v>2360</v>
      </c>
      <c r="C4141" s="9">
        <v>45027</v>
      </c>
      <c r="D4141" t="s">
        <v>946</v>
      </c>
      <c r="E4141" s="13">
        <v>770000</v>
      </c>
      <c r="F4141" s="13">
        <v>5550</v>
      </c>
      <c r="G4141" s="9">
        <v>45030</v>
      </c>
      <c r="H4141" t="s">
        <v>1111</v>
      </c>
      <c r="I4141" t="s">
        <v>2382</v>
      </c>
      <c r="J4141" s="13">
        <v>38461</v>
      </c>
      <c r="K4141">
        <v>1</v>
      </c>
      <c r="L4141" t="s">
        <v>1064</v>
      </c>
      <c r="M4141" t="s">
        <v>2383</v>
      </c>
      <c r="N4141" s="15" t="s">
        <v>6878</v>
      </c>
    </row>
    <row r="4142" spans="1:14" x14ac:dyDescent="0.2">
      <c r="A4142" t="s">
        <v>5272</v>
      </c>
      <c r="B4142" t="s">
        <v>2360</v>
      </c>
      <c r="C4142" s="9">
        <v>45027</v>
      </c>
      <c r="D4142" t="s">
        <v>946</v>
      </c>
      <c r="E4142" s="13">
        <v>2640000</v>
      </c>
      <c r="F4142" s="13">
        <v>5550</v>
      </c>
      <c r="G4142" s="9">
        <v>45030</v>
      </c>
      <c r="H4142" t="s">
        <v>1111</v>
      </c>
      <c r="I4142" t="s">
        <v>2382</v>
      </c>
      <c r="J4142" s="13">
        <v>131868</v>
      </c>
      <c r="K4142">
        <v>1</v>
      </c>
      <c r="L4142" t="s">
        <v>1064</v>
      </c>
      <c r="M4142" t="s">
        <v>2383</v>
      </c>
      <c r="N4142" s="15" t="s">
        <v>6878</v>
      </c>
    </row>
    <row r="4143" spans="1:14" x14ac:dyDescent="0.2">
      <c r="A4143" t="s">
        <v>5273</v>
      </c>
      <c r="B4143" t="s">
        <v>2360</v>
      </c>
      <c r="C4143" s="9">
        <v>45027</v>
      </c>
      <c r="D4143" t="s">
        <v>946</v>
      </c>
      <c r="E4143" s="13">
        <v>29440000</v>
      </c>
      <c r="F4143" s="13">
        <v>5550</v>
      </c>
      <c r="G4143" s="9">
        <v>45030</v>
      </c>
      <c r="H4143" t="s">
        <v>1111</v>
      </c>
      <c r="I4143" t="s">
        <v>2382</v>
      </c>
      <c r="J4143" s="13">
        <v>1470528</v>
      </c>
      <c r="K4143">
        <v>1</v>
      </c>
      <c r="L4143" t="s">
        <v>1064</v>
      </c>
      <c r="M4143" t="s">
        <v>2383</v>
      </c>
      <c r="N4143" s="15" t="s">
        <v>6878</v>
      </c>
    </row>
    <row r="4144" spans="1:14" x14ac:dyDescent="0.2">
      <c r="A4144" t="s">
        <v>5274</v>
      </c>
      <c r="B4144" t="s">
        <v>2360</v>
      </c>
      <c r="C4144" s="9">
        <v>45027</v>
      </c>
      <c r="D4144" t="s">
        <v>946</v>
      </c>
      <c r="E4144" s="13">
        <v>3080000</v>
      </c>
      <c r="F4144" s="13">
        <v>5550</v>
      </c>
      <c r="G4144" s="9">
        <v>45030</v>
      </c>
      <c r="H4144" t="s">
        <v>1111</v>
      </c>
      <c r="I4144" t="s">
        <v>2382</v>
      </c>
      <c r="J4144" s="13">
        <v>153846</v>
      </c>
      <c r="K4144">
        <v>1</v>
      </c>
      <c r="L4144" t="s">
        <v>1064</v>
      </c>
      <c r="M4144" t="s">
        <v>2383</v>
      </c>
      <c r="N4144" s="15" t="s">
        <v>6878</v>
      </c>
    </row>
    <row r="4145" spans="1:14" x14ac:dyDescent="0.2">
      <c r="A4145" t="s">
        <v>5275</v>
      </c>
      <c r="B4145" t="s">
        <v>2360</v>
      </c>
      <c r="C4145" s="9">
        <v>45027</v>
      </c>
      <c r="D4145" t="s">
        <v>946</v>
      </c>
      <c r="E4145" s="13">
        <v>1100000</v>
      </c>
      <c r="F4145" s="13">
        <v>5550</v>
      </c>
      <c r="G4145" s="9">
        <v>45030</v>
      </c>
      <c r="H4145" t="s">
        <v>1111</v>
      </c>
      <c r="I4145" t="s">
        <v>2382</v>
      </c>
      <c r="J4145" s="13">
        <v>54945</v>
      </c>
      <c r="K4145">
        <v>1</v>
      </c>
      <c r="L4145" t="s">
        <v>1064</v>
      </c>
      <c r="M4145" t="s">
        <v>2383</v>
      </c>
      <c r="N4145" s="15" t="s">
        <v>6878</v>
      </c>
    </row>
    <row r="4146" spans="1:14" x14ac:dyDescent="0.2">
      <c r="A4146" t="s">
        <v>5276</v>
      </c>
      <c r="B4146" t="s">
        <v>2360</v>
      </c>
      <c r="C4146" s="9">
        <v>45027</v>
      </c>
      <c r="D4146" t="s">
        <v>946</v>
      </c>
      <c r="E4146" s="13">
        <v>17250000</v>
      </c>
      <c r="F4146" s="13">
        <v>5550</v>
      </c>
      <c r="G4146" s="9">
        <v>45030</v>
      </c>
      <c r="H4146" t="s">
        <v>1111</v>
      </c>
      <c r="I4146" t="s">
        <v>2382</v>
      </c>
      <c r="J4146" s="13">
        <v>861637</v>
      </c>
      <c r="K4146">
        <v>1</v>
      </c>
      <c r="L4146" t="s">
        <v>1064</v>
      </c>
      <c r="M4146" t="s">
        <v>2383</v>
      </c>
      <c r="N4146" s="15" t="s">
        <v>6878</v>
      </c>
    </row>
    <row r="4147" spans="1:14" x14ac:dyDescent="0.2">
      <c r="A4147" t="s">
        <v>5277</v>
      </c>
      <c r="B4147" t="s">
        <v>2360</v>
      </c>
      <c r="C4147" s="9">
        <v>45027</v>
      </c>
      <c r="D4147" t="s">
        <v>946</v>
      </c>
      <c r="E4147" s="13">
        <v>2970000</v>
      </c>
      <c r="F4147" s="13">
        <v>5550</v>
      </c>
      <c r="G4147" s="9">
        <v>45030</v>
      </c>
      <c r="H4147" t="s">
        <v>1111</v>
      </c>
      <c r="I4147" t="s">
        <v>2382</v>
      </c>
      <c r="J4147" s="13">
        <v>148351</v>
      </c>
      <c r="K4147">
        <v>1</v>
      </c>
      <c r="L4147" t="s">
        <v>1064</v>
      </c>
      <c r="M4147" t="s">
        <v>2383</v>
      </c>
      <c r="N4147" s="15" t="s">
        <v>6878</v>
      </c>
    </row>
    <row r="4148" spans="1:14" x14ac:dyDescent="0.2">
      <c r="A4148" t="s">
        <v>5278</v>
      </c>
      <c r="B4148" t="s">
        <v>2360</v>
      </c>
      <c r="C4148" s="9">
        <v>45027</v>
      </c>
      <c r="D4148" t="s">
        <v>946</v>
      </c>
      <c r="E4148" s="13">
        <v>2200000</v>
      </c>
      <c r="F4148" s="13">
        <v>5550</v>
      </c>
      <c r="G4148" s="9">
        <v>45030</v>
      </c>
      <c r="H4148" t="s">
        <v>1111</v>
      </c>
      <c r="I4148" t="s">
        <v>2382</v>
      </c>
      <c r="J4148" s="13">
        <v>109890</v>
      </c>
      <c r="K4148">
        <v>1</v>
      </c>
      <c r="L4148" t="s">
        <v>1064</v>
      </c>
      <c r="M4148" t="s">
        <v>2383</v>
      </c>
      <c r="N4148" s="15" t="s">
        <v>6878</v>
      </c>
    </row>
    <row r="4149" spans="1:14" x14ac:dyDescent="0.2">
      <c r="A4149" t="s">
        <v>5279</v>
      </c>
      <c r="B4149" t="s">
        <v>2360</v>
      </c>
      <c r="C4149" s="9">
        <v>45027</v>
      </c>
      <c r="D4149" t="s">
        <v>946</v>
      </c>
      <c r="E4149" s="13">
        <v>2970000</v>
      </c>
      <c r="F4149" s="13">
        <v>5550</v>
      </c>
      <c r="G4149" s="9">
        <v>45030</v>
      </c>
      <c r="H4149" t="s">
        <v>1111</v>
      </c>
      <c r="I4149" t="s">
        <v>2382</v>
      </c>
      <c r="J4149" s="13">
        <v>148351</v>
      </c>
      <c r="K4149">
        <v>1</v>
      </c>
      <c r="L4149" t="s">
        <v>1064</v>
      </c>
      <c r="M4149" t="s">
        <v>2383</v>
      </c>
      <c r="N4149" s="15" t="s">
        <v>6878</v>
      </c>
    </row>
    <row r="4150" spans="1:14" x14ac:dyDescent="0.2">
      <c r="A4150" t="s">
        <v>5280</v>
      </c>
      <c r="B4150" t="s">
        <v>2360</v>
      </c>
      <c r="C4150" s="9">
        <v>45027</v>
      </c>
      <c r="D4150" t="s">
        <v>946</v>
      </c>
      <c r="E4150" s="13">
        <v>1694000</v>
      </c>
      <c r="F4150" s="13">
        <v>5550</v>
      </c>
      <c r="G4150" s="9">
        <v>45030</v>
      </c>
      <c r="H4150" t="s">
        <v>1111</v>
      </c>
      <c r="I4150" t="s">
        <v>2382</v>
      </c>
      <c r="J4150" s="13">
        <v>84615</v>
      </c>
      <c r="K4150">
        <v>1</v>
      </c>
      <c r="L4150" t="s">
        <v>1064</v>
      </c>
      <c r="M4150" t="s">
        <v>2383</v>
      </c>
      <c r="N4150" s="15" t="s">
        <v>6878</v>
      </c>
    </row>
    <row r="4151" spans="1:14" x14ac:dyDescent="0.2">
      <c r="A4151" t="s">
        <v>5281</v>
      </c>
      <c r="B4151" t="s">
        <v>2360</v>
      </c>
      <c r="C4151" s="9">
        <v>45027</v>
      </c>
      <c r="D4151" t="s">
        <v>946</v>
      </c>
      <c r="E4151" s="13">
        <v>1760000</v>
      </c>
      <c r="F4151" s="13">
        <v>5550</v>
      </c>
      <c r="G4151" s="9">
        <v>45030</v>
      </c>
      <c r="H4151" t="s">
        <v>1111</v>
      </c>
      <c r="I4151" t="s">
        <v>2382</v>
      </c>
      <c r="J4151" s="13">
        <v>87912</v>
      </c>
      <c r="K4151">
        <v>1</v>
      </c>
      <c r="L4151" t="s">
        <v>1064</v>
      </c>
      <c r="M4151" t="s">
        <v>2383</v>
      </c>
      <c r="N4151" s="15" t="s">
        <v>6878</v>
      </c>
    </row>
    <row r="4152" spans="1:14" x14ac:dyDescent="0.2">
      <c r="A4152" t="s">
        <v>5282</v>
      </c>
      <c r="B4152" t="s">
        <v>2360</v>
      </c>
      <c r="C4152" s="9">
        <v>45027</v>
      </c>
      <c r="D4152" t="s">
        <v>946</v>
      </c>
      <c r="E4152" s="13">
        <v>4900000</v>
      </c>
      <c r="F4152" s="13">
        <v>5550</v>
      </c>
      <c r="G4152" s="9">
        <v>45030</v>
      </c>
      <c r="H4152" t="s">
        <v>1111</v>
      </c>
      <c r="I4152" t="s">
        <v>2382</v>
      </c>
      <c r="J4152" s="13">
        <v>244755</v>
      </c>
      <c r="K4152">
        <v>1</v>
      </c>
      <c r="L4152" t="s">
        <v>1064</v>
      </c>
      <c r="M4152" t="s">
        <v>2383</v>
      </c>
      <c r="N4152" s="15" t="s">
        <v>6878</v>
      </c>
    </row>
    <row r="4153" spans="1:14" x14ac:dyDescent="0.2">
      <c r="A4153" t="s">
        <v>5283</v>
      </c>
      <c r="B4153" t="s">
        <v>2360</v>
      </c>
      <c r="C4153" s="9">
        <v>45027</v>
      </c>
      <c r="D4153" t="s">
        <v>946</v>
      </c>
      <c r="E4153" s="13">
        <v>4700000</v>
      </c>
      <c r="F4153" s="13">
        <v>5550</v>
      </c>
      <c r="G4153" s="9">
        <v>45030</v>
      </c>
      <c r="H4153" t="s">
        <v>1111</v>
      </c>
      <c r="I4153" t="s">
        <v>2382</v>
      </c>
      <c r="J4153" s="13">
        <v>234765</v>
      </c>
      <c r="K4153">
        <v>1</v>
      </c>
      <c r="L4153" t="s">
        <v>1064</v>
      </c>
      <c r="M4153" t="s">
        <v>2383</v>
      </c>
      <c r="N4153" s="15" t="s">
        <v>6878</v>
      </c>
    </row>
    <row r="4154" spans="1:14" x14ac:dyDescent="0.2">
      <c r="A4154" t="s">
        <v>5284</v>
      </c>
      <c r="B4154" t="s">
        <v>2360</v>
      </c>
      <c r="C4154" s="9">
        <v>45027</v>
      </c>
      <c r="D4154" t="s">
        <v>946</v>
      </c>
      <c r="E4154" s="13">
        <v>4900000</v>
      </c>
      <c r="F4154" s="13">
        <v>5550</v>
      </c>
      <c r="G4154" s="9">
        <v>45030</v>
      </c>
      <c r="H4154" t="s">
        <v>1111</v>
      </c>
      <c r="I4154" t="s">
        <v>2382</v>
      </c>
      <c r="J4154" s="13">
        <v>244755</v>
      </c>
      <c r="K4154">
        <v>1</v>
      </c>
      <c r="L4154" t="s">
        <v>1064</v>
      </c>
      <c r="M4154" t="s">
        <v>2383</v>
      </c>
      <c r="N4154" s="15" t="s">
        <v>6878</v>
      </c>
    </row>
    <row r="4155" spans="1:14" x14ac:dyDescent="0.2">
      <c r="A4155" t="s">
        <v>5285</v>
      </c>
      <c r="B4155" t="s">
        <v>2360</v>
      </c>
      <c r="C4155" s="9">
        <v>45027</v>
      </c>
      <c r="D4155" t="s">
        <v>946</v>
      </c>
      <c r="E4155" s="13">
        <v>4500000</v>
      </c>
      <c r="F4155" s="13">
        <v>5550</v>
      </c>
      <c r="G4155" s="9">
        <v>45030</v>
      </c>
      <c r="H4155" t="s">
        <v>1111</v>
      </c>
      <c r="I4155" t="s">
        <v>2382</v>
      </c>
      <c r="J4155" s="13">
        <v>224775</v>
      </c>
      <c r="K4155">
        <v>1</v>
      </c>
      <c r="L4155" t="s">
        <v>1064</v>
      </c>
      <c r="M4155" t="s">
        <v>2383</v>
      </c>
      <c r="N4155" s="15" t="s">
        <v>6878</v>
      </c>
    </row>
    <row r="4156" spans="1:14" x14ac:dyDescent="0.2">
      <c r="A4156" t="s">
        <v>5286</v>
      </c>
      <c r="B4156" t="s">
        <v>2360</v>
      </c>
      <c r="C4156" s="9">
        <v>45027</v>
      </c>
      <c r="D4156" t="s">
        <v>946</v>
      </c>
      <c r="E4156" s="13">
        <v>4900000</v>
      </c>
      <c r="F4156" s="13">
        <v>5550</v>
      </c>
      <c r="G4156" s="9">
        <v>45030</v>
      </c>
      <c r="H4156" t="s">
        <v>1111</v>
      </c>
      <c r="I4156" t="s">
        <v>2382</v>
      </c>
      <c r="J4156" s="13">
        <v>244755</v>
      </c>
      <c r="K4156">
        <v>1</v>
      </c>
      <c r="L4156" t="s">
        <v>1064</v>
      </c>
      <c r="M4156" t="s">
        <v>2383</v>
      </c>
      <c r="N4156" s="15" t="s">
        <v>6878</v>
      </c>
    </row>
    <row r="4157" spans="1:14" x14ac:dyDescent="0.2">
      <c r="A4157" t="s">
        <v>5287</v>
      </c>
      <c r="B4157" t="s">
        <v>2360</v>
      </c>
      <c r="C4157" s="9">
        <v>45027</v>
      </c>
      <c r="D4157" t="s">
        <v>946</v>
      </c>
      <c r="E4157" s="13">
        <v>4700000</v>
      </c>
      <c r="F4157" s="13">
        <v>5550</v>
      </c>
      <c r="G4157" s="9">
        <v>45030</v>
      </c>
      <c r="H4157" t="s">
        <v>1111</v>
      </c>
      <c r="I4157" t="s">
        <v>2382</v>
      </c>
      <c r="J4157" s="13">
        <v>234765</v>
      </c>
      <c r="K4157">
        <v>1</v>
      </c>
      <c r="L4157" t="s">
        <v>1064</v>
      </c>
      <c r="M4157" t="s">
        <v>2383</v>
      </c>
      <c r="N4157" s="15" t="s">
        <v>6878</v>
      </c>
    </row>
    <row r="4158" spans="1:14" x14ac:dyDescent="0.2">
      <c r="A4158" t="s">
        <v>5288</v>
      </c>
      <c r="B4158" t="s">
        <v>2360</v>
      </c>
      <c r="C4158" s="9">
        <v>45027</v>
      </c>
      <c r="D4158" t="s">
        <v>946</v>
      </c>
      <c r="E4158" s="13">
        <v>4700000</v>
      </c>
      <c r="F4158" s="13">
        <v>5550</v>
      </c>
      <c r="G4158" s="9">
        <v>45030</v>
      </c>
      <c r="H4158" t="s">
        <v>1111</v>
      </c>
      <c r="I4158" t="s">
        <v>2382</v>
      </c>
      <c r="J4158" s="13">
        <v>234765</v>
      </c>
      <c r="K4158">
        <v>1</v>
      </c>
      <c r="L4158" t="s">
        <v>1064</v>
      </c>
      <c r="M4158" t="s">
        <v>2383</v>
      </c>
      <c r="N4158" s="15" t="s">
        <v>6878</v>
      </c>
    </row>
    <row r="4159" spans="1:14" x14ac:dyDescent="0.2">
      <c r="A4159" t="s">
        <v>5289</v>
      </c>
      <c r="B4159" t="s">
        <v>2360</v>
      </c>
      <c r="C4159" s="9">
        <v>45027</v>
      </c>
      <c r="D4159" t="s">
        <v>946</v>
      </c>
      <c r="E4159" s="13">
        <v>4700000</v>
      </c>
      <c r="F4159" s="13">
        <v>5550</v>
      </c>
      <c r="G4159" s="9">
        <v>45030</v>
      </c>
      <c r="H4159" t="s">
        <v>1111</v>
      </c>
      <c r="I4159" t="s">
        <v>2382</v>
      </c>
      <c r="J4159" s="13">
        <v>234765</v>
      </c>
      <c r="K4159">
        <v>1</v>
      </c>
      <c r="L4159" t="s">
        <v>1064</v>
      </c>
      <c r="M4159" t="s">
        <v>2383</v>
      </c>
      <c r="N4159" s="15" t="s">
        <v>6878</v>
      </c>
    </row>
    <row r="4160" spans="1:14" x14ac:dyDescent="0.2">
      <c r="A4160" t="s">
        <v>5290</v>
      </c>
      <c r="B4160" t="s">
        <v>2360</v>
      </c>
      <c r="C4160" s="9">
        <v>45027</v>
      </c>
      <c r="D4160" t="s">
        <v>946</v>
      </c>
      <c r="E4160" s="13">
        <v>17454438</v>
      </c>
      <c r="F4160" s="13">
        <v>5550</v>
      </c>
      <c r="G4160" s="9">
        <v>45030</v>
      </c>
      <c r="H4160" t="s">
        <v>1111</v>
      </c>
      <c r="I4160" t="s">
        <v>2382</v>
      </c>
      <c r="J4160" s="13">
        <v>871848</v>
      </c>
      <c r="K4160">
        <v>1</v>
      </c>
      <c r="L4160" t="s">
        <v>1064</v>
      </c>
      <c r="M4160" t="s">
        <v>2383</v>
      </c>
      <c r="N4160" s="15" t="s">
        <v>6878</v>
      </c>
    </row>
    <row r="4161" spans="1:14" x14ac:dyDescent="0.2">
      <c r="A4161" t="s">
        <v>5291</v>
      </c>
      <c r="B4161" t="s">
        <v>2360</v>
      </c>
      <c r="C4161" s="9">
        <v>45027</v>
      </c>
      <c r="D4161" t="s">
        <v>946</v>
      </c>
      <c r="E4161" s="13">
        <v>17345070</v>
      </c>
      <c r="F4161" s="13">
        <v>5550</v>
      </c>
      <c r="G4161" s="9">
        <v>45030</v>
      </c>
      <c r="H4161" t="s">
        <v>1111</v>
      </c>
      <c r="I4161" t="s">
        <v>2382</v>
      </c>
      <c r="J4161" s="13">
        <v>866386</v>
      </c>
      <c r="K4161">
        <v>1</v>
      </c>
      <c r="L4161" t="s">
        <v>1064</v>
      </c>
      <c r="M4161" t="s">
        <v>2383</v>
      </c>
      <c r="N4161" s="15" t="s">
        <v>6878</v>
      </c>
    </row>
    <row r="4162" spans="1:14" x14ac:dyDescent="0.2">
      <c r="A4162" t="s">
        <v>5292</v>
      </c>
      <c r="B4162" t="s">
        <v>2360</v>
      </c>
      <c r="C4162" s="9">
        <v>45027</v>
      </c>
      <c r="D4162" t="s">
        <v>946</v>
      </c>
      <c r="E4162" s="13">
        <v>17346459</v>
      </c>
      <c r="F4162" s="13">
        <v>5550</v>
      </c>
      <c r="G4162" s="9">
        <v>45030</v>
      </c>
      <c r="H4162" t="s">
        <v>1111</v>
      </c>
      <c r="I4162" t="s">
        <v>2382</v>
      </c>
      <c r="J4162" s="13">
        <v>866454</v>
      </c>
      <c r="K4162">
        <v>1</v>
      </c>
      <c r="L4162" t="s">
        <v>1064</v>
      </c>
      <c r="M4162" t="s">
        <v>2383</v>
      </c>
      <c r="N4162" s="15" t="s">
        <v>6878</v>
      </c>
    </row>
    <row r="4163" spans="1:14" x14ac:dyDescent="0.2">
      <c r="A4163" t="s">
        <v>5293</v>
      </c>
      <c r="B4163" t="s">
        <v>2360</v>
      </c>
      <c r="C4163" s="9">
        <v>45027</v>
      </c>
      <c r="D4163" t="s">
        <v>946</v>
      </c>
      <c r="E4163" s="13">
        <v>17454438</v>
      </c>
      <c r="F4163" s="13">
        <v>5550</v>
      </c>
      <c r="G4163" s="9">
        <v>45030</v>
      </c>
      <c r="H4163" t="s">
        <v>1111</v>
      </c>
      <c r="I4163" t="s">
        <v>2382</v>
      </c>
      <c r="J4163" s="13">
        <v>871848</v>
      </c>
      <c r="K4163">
        <v>1</v>
      </c>
      <c r="L4163" t="s">
        <v>1064</v>
      </c>
      <c r="M4163" t="s">
        <v>2383</v>
      </c>
      <c r="N4163" s="15" t="s">
        <v>6878</v>
      </c>
    </row>
    <row r="4164" spans="1:14" x14ac:dyDescent="0.2">
      <c r="A4164" t="s">
        <v>5294</v>
      </c>
      <c r="B4164" t="s">
        <v>2360</v>
      </c>
      <c r="C4164" s="9">
        <v>45027</v>
      </c>
      <c r="D4164" t="s">
        <v>946</v>
      </c>
      <c r="E4164" s="13">
        <v>18909278</v>
      </c>
      <c r="F4164" s="13">
        <v>5550</v>
      </c>
      <c r="G4164" s="9">
        <v>45030</v>
      </c>
      <c r="H4164" t="s">
        <v>1111</v>
      </c>
      <c r="I4164" t="s">
        <v>2382</v>
      </c>
      <c r="J4164" s="13">
        <v>944517</v>
      </c>
      <c r="K4164">
        <v>1</v>
      </c>
      <c r="L4164" t="s">
        <v>1064</v>
      </c>
      <c r="M4164" t="s">
        <v>2383</v>
      </c>
      <c r="N4164" s="15" t="s">
        <v>6878</v>
      </c>
    </row>
    <row r="4165" spans="1:14" x14ac:dyDescent="0.2">
      <c r="A4165" t="s">
        <v>5295</v>
      </c>
      <c r="B4165" t="s">
        <v>2360</v>
      </c>
      <c r="C4165" s="9">
        <v>45027</v>
      </c>
      <c r="D4165" t="s">
        <v>946</v>
      </c>
      <c r="E4165" s="13">
        <v>19807568</v>
      </c>
      <c r="F4165" s="13">
        <v>5550</v>
      </c>
      <c r="G4165" s="9">
        <v>45030</v>
      </c>
      <c r="H4165" t="s">
        <v>1111</v>
      </c>
      <c r="I4165" t="s">
        <v>2382</v>
      </c>
      <c r="J4165" s="13">
        <v>989387</v>
      </c>
      <c r="K4165">
        <v>1</v>
      </c>
      <c r="L4165" t="s">
        <v>1064</v>
      </c>
      <c r="M4165" t="s">
        <v>2383</v>
      </c>
      <c r="N4165" s="15" t="s">
        <v>6878</v>
      </c>
    </row>
    <row r="4166" spans="1:14" x14ac:dyDescent="0.2">
      <c r="A4166" t="s">
        <v>5296</v>
      </c>
      <c r="B4166" t="s">
        <v>2360</v>
      </c>
      <c r="C4166" s="9">
        <v>45027</v>
      </c>
      <c r="D4166" t="s">
        <v>946</v>
      </c>
      <c r="E4166" s="13">
        <v>17345070</v>
      </c>
      <c r="F4166" s="13">
        <v>5550</v>
      </c>
      <c r="G4166" s="9">
        <v>45030</v>
      </c>
      <c r="H4166" t="s">
        <v>1111</v>
      </c>
      <c r="I4166" t="s">
        <v>2382</v>
      </c>
      <c r="J4166" s="13">
        <v>866386</v>
      </c>
      <c r="K4166">
        <v>1</v>
      </c>
      <c r="L4166" t="s">
        <v>1064</v>
      </c>
      <c r="M4166" t="s">
        <v>2383</v>
      </c>
      <c r="N4166" s="15" t="s">
        <v>6878</v>
      </c>
    </row>
    <row r="4167" spans="1:14" x14ac:dyDescent="0.2">
      <c r="A4167" t="s">
        <v>5297</v>
      </c>
      <c r="B4167" t="s">
        <v>2360</v>
      </c>
      <c r="C4167" s="9">
        <v>45027</v>
      </c>
      <c r="D4167" t="s">
        <v>946</v>
      </c>
      <c r="E4167" s="13">
        <v>31141157</v>
      </c>
      <c r="F4167" s="13">
        <v>5550</v>
      </c>
      <c r="G4167" s="9">
        <v>45030</v>
      </c>
      <c r="H4167" t="s">
        <v>1111</v>
      </c>
      <c r="I4167" t="s">
        <v>2382</v>
      </c>
      <c r="J4167" s="13">
        <v>1555500</v>
      </c>
      <c r="K4167">
        <v>1</v>
      </c>
      <c r="L4167" t="s">
        <v>1064</v>
      </c>
      <c r="M4167" t="s">
        <v>2383</v>
      </c>
      <c r="N4167" s="15" t="s">
        <v>6878</v>
      </c>
    </row>
    <row r="4168" spans="1:14" x14ac:dyDescent="0.2">
      <c r="A4168" t="s">
        <v>5298</v>
      </c>
      <c r="B4168" t="s">
        <v>2360</v>
      </c>
      <c r="C4168" s="9">
        <v>45027</v>
      </c>
      <c r="D4168" t="s">
        <v>946</v>
      </c>
      <c r="E4168" s="13">
        <v>17291601</v>
      </c>
      <c r="F4168" s="13">
        <v>5550</v>
      </c>
      <c r="G4168" s="9">
        <v>45030</v>
      </c>
      <c r="H4168" t="s">
        <v>1111</v>
      </c>
      <c r="I4168" t="s">
        <v>2382</v>
      </c>
      <c r="J4168" s="13">
        <v>863715</v>
      </c>
      <c r="K4168">
        <v>1</v>
      </c>
      <c r="L4168" t="s">
        <v>1064</v>
      </c>
      <c r="M4168" t="s">
        <v>2383</v>
      </c>
      <c r="N4168" s="15" t="s">
        <v>6878</v>
      </c>
    </row>
    <row r="4169" spans="1:14" x14ac:dyDescent="0.2">
      <c r="A4169" t="s">
        <v>5299</v>
      </c>
      <c r="B4169" t="s">
        <v>2360</v>
      </c>
      <c r="C4169" s="9">
        <v>45027</v>
      </c>
      <c r="D4169" t="s">
        <v>946</v>
      </c>
      <c r="E4169" s="13">
        <v>17657897</v>
      </c>
      <c r="F4169" s="13">
        <v>5550</v>
      </c>
      <c r="G4169" s="9">
        <v>45030</v>
      </c>
      <c r="H4169" t="s">
        <v>1111</v>
      </c>
      <c r="I4169" t="s">
        <v>2382</v>
      </c>
      <c r="J4169" s="13">
        <v>882011</v>
      </c>
      <c r="K4169">
        <v>1</v>
      </c>
      <c r="L4169" t="s">
        <v>1064</v>
      </c>
      <c r="M4169" t="s">
        <v>2383</v>
      </c>
      <c r="N4169" s="15" t="s">
        <v>6878</v>
      </c>
    </row>
    <row r="4170" spans="1:14" x14ac:dyDescent="0.2">
      <c r="A4170" t="s">
        <v>5300</v>
      </c>
      <c r="B4170" t="s">
        <v>2360</v>
      </c>
      <c r="C4170" s="9">
        <v>45027</v>
      </c>
      <c r="D4170" t="s">
        <v>946</v>
      </c>
      <c r="E4170" s="13">
        <v>27832000</v>
      </c>
      <c r="F4170" s="13">
        <v>5550</v>
      </c>
      <c r="G4170" s="9">
        <v>45030</v>
      </c>
      <c r="H4170" t="s">
        <v>1111</v>
      </c>
      <c r="I4170" t="s">
        <v>2382</v>
      </c>
      <c r="J4170" s="13">
        <v>1390208</v>
      </c>
      <c r="K4170">
        <v>1</v>
      </c>
      <c r="L4170" t="s">
        <v>1064</v>
      </c>
      <c r="M4170" t="s">
        <v>2383</v>
      </c>
      <c r="N4170" s="15" t="s">
        <v>6878</v>
      </c>
    </row>
    <row r="4171" spans="1:14" x14ac:dyDescent="0.2">
      <c r="A4171" t="s">
        <v>5301</v>
      </c>
      <c r="B4171" t="s">
        <v>2360</v>
      </c>
      <c r="C4171" s="9">
        <v>45027</v>
      </c>
      <c r="D4171" t="s">
        <v>946</v>
      </c>
      <c r="E4171" s="13">
        <v>19091724</v>
      </c>
      <c r="F4171" s="13">
        <v>5550</v>
      </c>
      <c r="G4171" s="9">
        <v>45030</v>
      </c>
      <c r="H4171" t="s">
        <v>1111</v>
      </c>
      <c r="I4171" t="s">
        <v>2382</v>
      </c>
      <c r="J4171" s="13">
        <v>953630</v>
      </c>
      <c r="K4171">
        <v>1</v>
      </c>
      <c r="L4171" t="s">
        <v>1064</v>
      </c>
      <c r="M4171" t="s">
        <v>2383</v>
      </c>
      <c r="N4171" s="15" t="s">
        <v>6878</v>
      </c>
    </row>
    <row r="4172" spans="1:14" x14ac:dyDescent="0.2">
      <c r="A4172" t="s">
        <v>5302</v>
      </c>
      <c r="B4172" t="s">
        <v>2360</v>
      </c>
      <c r="C4172" s="9">
        <v>45027</v>
      </c>
      <c r="D4172" t="s">
        <v>946</v>
      </c>
      <c r="E4172" s="13">
        <v>20390585</v>
      </c>
      <c r="F4172" s="13">
        <v>5550</v>
      </c>
      <c r="G4172" s="9">
        <v>45030</v>
      </c>
      <c r="H4172" t="s">
        <v>1111</v>
      </c>
      <c r="I4172" t="s">
        <v>2382</v>
      </c>
      <c r="J4172" s="13">
        <v>1018509</v>
      </c>
      <c r="K4172">
        <v>1</v>
      </c>
      <c r="L4172" t="s">
        <v>1064</v>
      </c>
      <c r="M4172" t="s">
        <v>2383</v>
      </c>
      <c r="N4172" s="15" t="s">
        <v>6878</v>
      </c>
    </row>
    <row r="4173" spans="1:14" x14ac:dyDescent="0.2">
      <c r="A4173" t="s">
        <v>5303</v>
      </c>
      <c r="B4173" t="s">
        <v>2360</v>
      </c>
      <c r="C4173" s="9">
        <v>45027</v>
      </c>
      <c r="D4173" t="s">
        <v>946</v>
      </c>
      <c r="E4173" s="13">
        <v>20016864</v>
      </c>
      <c r="F4173" s="13">
        <v>5550</v>
      </c>
      <c r="G4173" s="9">
        <v>45030</v>
      </c>
      <c r="H4173" t="s">
        <v>1111</v>
      </c>
      <c r="I4173" t="s">
        <v>2382</v>
      </c>
      <c r="J4173" s="13">
        <v>999841</v>
      </c>
      <c r="K4173">
        <v>1</v>
      </c>
      <c r="L4173" t="s">
        <v>1064</v>
      </c>
      <c r="M4173" t="s">
        <v>2383</v>
      </c>
      <c r="N4173" s="15" t="s">
        <v>6878</v>
      </c>
    </row>
    <row r="4174" spans="1:14" x14ac:dyDescent="0.2">
      <c r="A4174" t="s">
        <v>5304</v>
      </c>
      <c r="B4174" t="s">
        <v>2360</v>
      </c>
      <c r="C4174" s="9">
        <v>45027</v>
      </c>
      <c r="D4174" t="s">
        <v>946</v>
      </c>
      <c r="E4174" s="13">
        <v>1093073</v>
      </c>
      <c r="F4174" s="13">
        <v>5550</v>
      </c>
      <c r="G4174" s="9">
        <v>45030</v>
      </c>
      <c r="H4174" t="s">
        <v>1111</v>
      </c>
      <c r="I4174" t="s">
        <v>2382</v>
      </c>
      <c r="J4174" s="13">
        <v>54598</v>
      </c>
      <c r="K4174">
        <v>1</v>
      </c>
      <c r="L4174" t="s">
        <v>1064</v>
      </c>
      <c r="M4174" t="s">
        <v>2383</v>
      </c>
      <c r="N4174" s="15" t="s">
        <v>6878</v>
      </c>
    </row>
    <row r="4175" spans="1:14" x14ac:dyDescent="0.2">
      <c r="A4175" t="s">
        <v>5305</v>
      </c>
      <c r="B4175" t="s">
        <v>2360</v>
      </c>
      <c r="C4175" s="9">
        <v>45027</v>
      </c>
      <c r="D4175" t="s">
        <v>946</v>
      </c>
      <c r="E4175" s="13">
        <v>1031384</v>
      </c>
      <c r="F4175" s="13">
        <v>5550</v>
      </c>
      <c r="G4175" s="9">
        <v>45030</v>
      </c>
      <c r="H4175" t="s">
        <v>1111</v>
      </c>
      <c r="I4175" t="s">
        <v>2382</v>
      </c>
      <c r="J4175" s="13">
        <v>51517</v>
      </c>
      <c r="K4175">
        <v>1</v>
      </c>
      <c r="L4175" t="s">
        <v>1064</v>
      </c>
      <c r="M4175" t="s">
        <v>2383</v>
      </c>
      <c r="N4175" s="15" t="s">
        <v>6878</v>
      </c>
    </row>
    <row r="4176" spans="1:14" x14ac:dyDescent="0.2">
      <c r="A4176" t="s">
        <v>5306</v>
      </c>
      <c r="B4176" t="s">
        <v>2360</v>
      </c>
      <c r="C4176" s="9">
        <v>45027</v>
      </c>
      <c r="D4176" t="s">
        <v>946</v>
      </c>
      <c r="E4176" s="13">
        <v>1031384</v>
      </c>
      <c r="F4176" s="13">
        <v>5550</v>
      </c>
      <c r="G4176" s="9">
        <v>45030</v>
      </c>
      <c r="H4176" t="s">
        <v>1111</v>
      </c>
      <c r="I4176" t="s">
        <v>2382</v>
      </c>
      <c r="J4176" s="13">
        <v>51517</v>
      </c>
      <c r="K4176">
        <v>1</v>
      </c>
      <c r="L4176" t="s">
        <v>1064</v>
      </c>
      <c r="M4176" t="s">
        <v>2383</v>
      </c>
      <c r="N4176" s="15" t="s">
        <v>6878</v>
      </c>
    </row>
    <row r="4177" spans="1:14" x14ac:dyDescent="0.2">
      <c r="A4177" t="s">
        <v>5307</v>
      </c>
      <c r="B4177" t="s">
        <v>2360</v>
      </c>
      <c r="C4177" s="9">
        <v>45027</v>
      </c>
      <c r="D4177" t="s">
        <v>946</v>
      </c>
      <c r="E4177" s="13">
        <v>979436</v>
      </c>
      <c r="F4177" s="13">
        <v>5550</v>
      </c>
      <c r="G4177" s="9">
        <v>45030</v>
      </c>
      <c r="H4177" t="s">
        <v>1111</v>
      </c>
      <c r="I4177" t="s">
        <v>2382</v>
      </c>
      <c r="J4177" s="13">
        <v>48922</v>
      </c>
      <c r="K4177">
        <v>1</v>
      </c>
      <c r="L4177" t="s">
        <v>1064</v>
      </c>
      <c r="M4177" t="s">
        <v>2383</v>
      </c>
      <c r="N4177" s="15" t="s">
        <v>6878</v>
      </c>
    </row>
    <row r="4178" spans="1:14" x14ac:dyDescent="0.2">
      <c r="A4178" t="s">
        <v>5308</v>
      </c>
      <c r="B4178" t="s">
        <v>2360</v>
      </c>
      <c r="C4178" s="9">
        <v>45027</v>
      </c>
      <c r="D4178" t="s">
        <v>946</v>
      </c>
      <c r="E4178" s="13">
        <v>2220000</v>
      </c>
      <c r="F4178" s="13">
        <v>5550</v>
      </c>
      <c r="G4178" s="9">
        <v>45030</v>
      </c>
      <c r="H4178" t="s">
        <v>1111</v>
      </c>
      <c r="I4178" t="s">
        <v>2382</v>
      </c>
      <c r="J4178" s="13">
        <v>110889</v>
      </c>
      <c r="K4178">
        <v>1</v>
      </c>
      <c r="L4178" t="s">
        <v>1064</v>
      </c>
      <c r="M4178" t="s">
        <v>2383</v>
      </c>
      <c r="N4178" s="15" t="s">
        <v>6878</v>
      </c>
    </row>
    <row r="4179" spans="1:14" x14ac:dyDescent="0.2">
      <c r="A4179" t="s">
        <v>5309</v>
      </c>
      <c r="B4179" t="s">
        <v>2360</v>
      </c>
      <c r="C4179" s="9">
        <v>45027</v>
      </c>
      <c r="D4179" t="s">
        <v>946</v>
      </c>
      <c r="E4179" s="13">
        <v>21775208</v>
      </c>
      <c r="F4179" s="13">
        <v>5550</v>
      </c>
      <c r="G4179" s="9">
        <v>45030</v>
      </c>
      <c r="H4179" t="s">
        <v>1111</v>
      </c>
      <c r="I4179" t="s">
        <v>2382</v>
      </c>
      <c r="J4179" s="13">
        <v>1087671</v>
      </c>
      <c r="K4179">
        <v>1</v>
      </c>
      <c r="L4179" t="s">
        <v>1064</v>
      </c>
      <c r="M4179" t="s">
        <v>2383</v>
      </c>
      <c r="N4179" s="15" t="s">
        <v>6878</v>
      </c>
    </row>
    <row r="4180" spans="1:14" x14ac:dyDescent="0.2">
      <c r="A4180" t="s">
        <v>5310</v>
      </c>
      <c r="B4180" t="s">
        <v>2360</v>
      </c>
      <c r="C4180" s="9">
        <v>45027</v>
      </c>
      <c r="D4180" t="s">
        <v>946</v>
      </c>
      <c r="E4180" s="13">
        <v>2013524</v>
      </c>
      <c r="F4180" s="13">
        <v>5550</v>
      </c>
      <c r="G4180" s="9">
        <v>45030</v>
      </c>
      <c r="H4180" t="s">
        <v>1111</v>
      </c>
      <c r="I4180" t="s">
        <v>2382</v>
      </c>
      <c r="J4180" s="13">
        <v>100574</v>
      </c>
      <c r="K4180">
        <v>1</v>
      </c>
      <c r="L4180" t="s">
        <v>1064</v>
      </c>
      <c r="M4180" t="s">
        <v>2383</v>
      </c>
      <c r="N4180" s="15" t="s">
        <v>6878</v>
      </c>
    </row>
    <row r="4181" spans="1:14" x14ac:dyDescent="0.2">
      <c r="A4181" t="s">
        <v>5311</v>
      </c>
      <c r="B4181" t="s">
        <v>2360</v>
      </c>
      <c r="C4181" s="9">
        <v>45027</v>
      </c>
      <c r="D4181" t="s">
        <v>946</v>
      </c>
      <c r="E4181" s="13">
        <v>25622996</v>
      </c>
      <c r="F4181" s="13">
        <v>5550</v>
      </c>
      <c r="G4181" s="9">
        <v>45030</v>
      </c>
      <c r="H4181" t="s">
        <v>1111</v>
      </c>
      <c r="I4181" t="s">
        <v>2382</v>
      </c>
      <c r="J4181" s="13">
        <v>1279867</v>
      </c>
      <c r="K4181">
        <v>1</v>
      </c>
      <c r="L4181" t="s">
        <v>1064</v>
      </c>
      <c r="M4181" t="s">
        <v>2383</v>
      </c>
      <c r="N4181" s="15" t="s">
        <v>6878</v>
      </c>
    </row>
    <row r="4182" spans="1:14" x14ac:dyDescent="0.2">
      <c r="A4182" t="s">
        <v>5312</v>
      </c>
      <c r="B4182" t="s">
        <v>2360</v>
      </c>
      <c r="C4182" s="9">
        <v>45027</v>
      </c>
      <c r="D4182" t="s">
        <v>946</v>
      </c>
      <c r="E4182" s="13">
        <v>19010083</v>
      </c>
      <c r="F4182" s="13">
        <v>5550</v>
      </c>
      <c r="G4182" s="9">
        <v>45030</v>
      </c>
      <c r="H4182" t="s">
        <v>1111</v>
      </c>
      <c r="I4182" t="s">
        <v>2382</v>
      </c>
      <c r="J4182" s="13">
        <v>949552</v>
      </c>
      <c r="K4182">
        <v>1</v>
      </c>
      <c r="L4182" t="s">
        <v>1064</v>
      </c>
      <c r="M4182" t="s">
        <v>2383</v>
      </c>
      <c r="N4182" s="15" t="s">
        <v>6878</v>
      </c>
    </row>
    <row r="4183" spans="1:14" x14ac:dyDescent="0.2">
      <c r="A4183" t="s">
        <v>5313</v>
      </c>
      <c r="B4183" t="s">
        <v>2360</v>
      </c>
      <c r="C4183" s="9">
        <v>45027</v>
      </c>
      <c r="D4183" t="s">
        <v>946</v>
      </c>
      <c r="E4183" s="13">
        <v>25899402</v>
      </c>
      <c r="F4183" s="13">
        <v>5550</v>
      </c>
      <c r="G4183" s="9">
        <v>45030</v>
      </c>
      <c r="H4183" t="s">
        <v>1111</v>
      </c>
      <c r="I4183" t="s">
        <v>2382</v>
      </c>
      <c r="J4183" s="13">
        <v>1293675</v>
      </c>
      <c r="K4183">
        <v>1</v>
      </c>
      <c r="L4183" t="s">
        <v>1064</v>
      </c>
      <c r="M4183" t="s">
        <v>2383</v>
      </c>
      <c r="N4183" s="15" t="s">
        <v>6878</v>
      </c>
    </row>
    <row r="4184" spans="1:14" x14ac:dyDescent="0.2">
      <c r="A4184" t="s">
        <v>5314</v>
      </c>
      <c r="B4184" t="s">
        <v>2360</v>
      </c>
      <c r="C4184" s="9">
        <v>45027</v>
      </c>
      <c r="D4184" t="s">
        <v>946</v>
      </c>
      <c r="E4184" s="13">
        <v>19454898</v>
      </c>
      <c r="F4184" s="13">
        <v>5550</v>
      </c>
      <c r="G4184" s="9">
        <v>45030</v>
      </c>
      <c r="H4184" t="s">
        <v>1111</v>
      </c>
      <c r="I4184" t="s">
        <v>2382</v>
      </c>
      <c r="J4184" s="13">
        <v>971771</v>
      </c>
      <c r="K4184">
        <v>1</v>
      </c>
      <c r="L4184" t="s">
        <v>1064</v>
      </c>
      <c r="M4184" t="s">
        <v>2383</v>
      </c>
      <c r="N4184" s="15" t="s">
        <v>6878</v>
      </c>
    </row>
    <row r="4185" spans="1:14" x14ac:dyDescent="0.2">
      <c r="A4185" t="s">
        <v>5315</v>
      </c>
      <c r="B4185" t="s">
        <v>2360</v>
      </c>
      <c r="C4185" s="9">
        <v>45027</v>
      </c>
      <c r="D4185" t="s">
        <v>946</v>
      </c>
      <c r="E4185" s="13">
        <v>19205321</v>
      </c>
      <c r="F4185" s="13">
        <v>5550</v>
      </c>
      <c r="G4185" s="9">
        <v>45030</v>
      </c>
      <c r="H4185" t="s">
        <v>1111</v>
      </c>
      <c r="I4185" t="s">
        <v>2382</v>
      </c>
      <c r="J4185" s="13">
        <v>959305</v>
      </c>
      <c r="K4185">
        <v>1</v>
      </c>
      <c r="L4185" t="s">
        <v>1064</v>
      </c>
      <c r="M4185" t="s">
        <v>2383</v>
      </c>
      <c r="N4185" s="15" t="s">
        <v>6878</v>
      </c>
    </row>
    <row r="4186" spans="1:14" x14ac:dyDescent="0.2">
      <c r="A4186" t="s">
        <v>5316</v>
      </c>
      <c r="B4186" t="s">
        <v>2360</v>
      </c>
      <c r="C4186" s="9">
        <v>45027</v>
      </c>
      <c r="D4186" t="s">
        <v>946</v>
      </c>
      <c r="E4186" s="13">
        <v>1093073</v>
      </c>
      <c r="F4186" s="13">
        <v>5550</v>
      </c>
      <c r="G4186" s="9">
        <v>45030</v>
      </c>
      <c r="H4186" t="s">
        <v>1111</v>
      </c>
      <c r="I4186" t="s">
        <v>2382</v>
      </c>
      <c r="J4186" s="13">
        <v>54598</v>
      </c>
      <c r="K4186">
        <v>1</v>
      </c>
      <c r="L4186" t="s">
        <v>1064</v>
      </c>
      <c r="M4186" t="s">
        <v>2383</v>
      </c>
      <c r="N4186" s="15" t="s">
        <v>6878</v>
      </c>
    </row>
    <row r="4187" spans="1:14" x14ac:dyDescent="0.2">
      <c r="A4187" t="s">
        <v>5317</v>
      </c>
      <c r="B4187" t="s">
        <v>2360</v>
      </c>
      <c r="C4187" s="9">
        <v>45027</v>
      </c>
      <c r="D4187" t="s">
        <v>946</v>
      </c>
      <c r="E4187" s="13">
        <v>1031384</v>
      </c>
      <c r="F4187" s="13">
        <v>5550</v>
      </c>
      <c r="G4187" s="9">
        <v>45030</v>
      </c>
      <c r="H4187" t="s">
        <v>1111</v>
      </c>
      <c r="I4187" t="s">
        <v>2382</v>
      </c>
      <c r="J4187" s="13">
        <v>51517</v>
      </c>
      <c r="K4187">
        <v>1</v>
      </c>
      <c r="L4187" t="s">
        <v>1064</v>
      </c>
      <c r="M4187" t="s">
        <v>2383</v>
      </c>
      <c r="N4187" s="15" t="s">
        <v>6878</v>
      </c>
    </row>
    <row r="4188" spans="1:14" x14ac:dyDescent="0.2">
      <c r="A4188" t="s">
        <v>5318</v>
      </c>
      <c r="B4188" t="s">
        <v>2360</v>
      </c>
      <c r="C4188" s="9">
        <v>45027</v>
      </c>
      <c r="D4188" t="s">
        <v>946</v>
      </c>
      <c r="E4188" s="13">
        <v>2220000</v>
      </c>
      <c r="F4188" s="13">
        <v>5550</v>
      </c>
      <c r="G4188" s="9">
        <v>45030</v>
      </c>
      <c r="H4188" t="s">
        <v>1111</v>
      </c>
      <c r="I4188" t="s">
        <v>2382</v>
      </c>
      <c r="J4188" s="13">
        <v>110889</v>
      </c>
      <c r="K4188">
        <v>1</v>
      </c>
      <c r="L4188" t="s">
        <v>1064</v>
      </c>
      <c r="M4188" t="s">
        <v>2383</v>
      </c>
      <c r="N4188" s="15" t="s">
        <v>6878</v>
      </c>
    </row>
    <row r="4189" spans="1:14" x14ac:dyDescent="0.2">
      <c r="A4189" t="s">
        <v>5319</v>
      </c>
      <c r="B4189" t="s">
        <v>2360</v>
      </c>
      <c r="C4189" s="9">
        <v>45027</v>
      </c>
      <c r="D4189" t="s">
        <v>946</v>
      </c>
      <c r="E4189" s="13">
        <v>1031384</v>
      </c>
      <c r="F4189" s="13">
        <v>5550</v>
      </c>
      <c r="G4189" s="9">
        <v>45030</v>
      </c>
      <c r="H4189" t="s">
        <v>1111</v>
      </c>
      <c r="I4189" t="s">
        <v>2382</v>
      </c>
      <c r="J4189" s="13">
        <v>51517</v>
      </c>
      <c r="K4189">
        <v>1</v>
      </c>
      <c r="L4189" t="s">
        <v>1064</v>
      </c>
      <c r="M4189" t="s">
        <v>2383</v>
      </c>
      <c r="N4189" s="15" t="s">
        <v>6878</v>
      </c>
    </row>
    <row r="4190" spans="1:14" x14ac:dyDescent="0.2">
      <c r="A4190" t="s">
        <v>5320</v>
      </c>
      <c r="B4190" t="s">
        <v>2360</v>
      </c>
      <c r="C4190" s="9">
        <v>45027</v>
      </c>
      <c r="D4190" t="s">
        <v>946</v>
      </c>
      <c r="E4190" s="13">
        <v>979436</v>
      </c>
      <c r="F4190" s="13">
        <v>5550</v>
      </c>
      <c r="G4190" s="9">
        <v>45030</v>
      </c>
      <c r="H4190" t="s">
        <v>1111</v>
      </c>
      <c r="I4190" t="s">
        <v>2382</v>
      </c>
      <c r="J4190" s="13">
        <v>48922</v>
      </c>
      <c r="K4190">
        <v>1</v>
      </c>
      <c r="L4190" t="s">
        <v>1064</v>
      </c>
      <c r="M4190" t="s">
        <v>2383</v>
      </c>
      <c r="N4190" s="15" t="s">
        <v>6878</v>
      </c>
    </row>
    <row r="4191" spans="1:14" x14ac:dyDescent="0.2">
      <c r="A4191" t="s">
        <v>5321</v>
      </c>
      <c r="B4191" t="s">
        <v>2360</v>
      </c>
      <c r="C4191" s="9">
        <v>45027</v>
      </c>
      <c r="D4191" t="s">
        <v>946</v>
      </c>
      <c r="E4191" s="13">
        <v>25971083</v>
      </c>
      <c r="F4191" s="13">
        <v>5550</v>
      </c>
      <c r="G4191" s="9">
        <v>45030</v>
      </c>
      <c r="H4191" t="s">
        <v>1111</v>
      </c>
      <c r="I4191" t="s">
        <v>2382</v>
      </c>
      <c r="J4191" s="13">
        <v>1297254</v>
      </c>
      <c r="K4191">
        <v>1</v>
      </c>
      <c r="L4191" t="s">
        <v>1064</v>
      </c>
      <c r="M4191" t="s">
        <v>2383</v>
      </c>
      <c r="N4191" s="15" t="s">
        <v>6878</v>
      </c>
    </row>
    <row r="4192" spans="1:14" x14ac:dyDescent="0.2">
      <c r="A4192" t="s">
        <v>5322</v>
      </c>
      <c r="B4192" t="s">
        <v>2360</v>
      </c>
      <c r="C4192" s="9">
        <v>45027</v>
      </c>
      <c r="D4192" t="s">
        <v>946</v>
      </c>
      <c r="E4192" s="13">
        <v>19601214</v>
      </c>
      <c r="F4192" s="13">
        <v>5550</v>
      </c>
      <c r="G4192" s="9">
        <v>45030</v>
      </c>
      <c r="H4192" t="s">
        <v>1111</v>
      </c>
      <c r="I4192" t="s">
        <v>2382</v>
      </c>
      <c r="J4192" s="13">
        <v>979079</v>
      </c>
      <c r="K4192">
        <v>1</v>
      </c>
      <c r="L4192" t="s">
        <v>1064</v>
      </c>
      <c r="M4192" t="s">
        <v>2383</v>
      </c>
      <c r="N4192" s="15" t="s">
        <v>6878</v>
      </c>
    </row>
    <row r="4193" spans="1:14" x14ac:dyDescent="0.2">
      <c r="A4193" t="s">
        <v>5323</v>
      </c>
      <c r="B4193" t="s">
        <v>2360</v>
      </c>
      <c r="C4193" s="9">
        <v>45027</v>
      </c>
      <c r="D4193" t="s">
        <v>946</v>
      </c>
      <c r="E4193" s="13">
        <v>30303634</v>
      </c>
      <c r="F4193" s="13">
        <v>5550</v>
      </c>
      <c r="G4193" s="9">
        <v>45030</v>
      </c>
      <c r="H4193" t="s">
        <v>1111</v>
      </c>
      <c r="I4193" t="s">
        <v>2382</v>
      </c>
      <c r="J4193" s="13">
        <v>1513665</v>
      </c>
      <c r="K4193">
        <v>1</v>
      </c>
      <c r="L4193" t="s">
        <v>1064</v>
      </c>
      <c r="M4193" t="s">
        <v>2383</v>
      </c>
      <c r="N4193" s="15" t="s">
        <v>6878</v>
      </c>
    </row>
    <row r="4194" spans="1:14" x14ac:dyDescent="0.2">
      <c r="A4194" t="s">
        <v>5324</v>
      </c>
      <c r="B4194" t="s">
        <v>2360</v>
      </c>
      <c r="C4194" s="9">
        <v>45027</v>
      </c>
      <c r="D4194" t="s">
        <v>946</v>
      </c>
      <c r="E4194" s="13">
        <v>15585862</v>
      </c>
      <c r="F4194" s="13">
        <v>5550</v>
      </c>
      <c r="G4194" s="9">
        <v>45030</v>
      </c>
      <c r="H4194" t="s">
        <v>1111</v>
      </c>
      <c r="I4194" t="s">
        <v>2382</v>
      </c>
      <c r="J4194" s="13">
        <v>778512</v>
      </c>
      <c r="K4194">
        <v>1</v>
      </c>
      <c r="L4194" t="s">
        <v>1064</v>
      </c>
      <c r="M4194" t="s">
        <v>2383</v>
      </c>
      <c r="N4194" s="15" t="s">
        <v>6878</v>
      </c>
    </row>
    <row r="4195" spans="1:14" x14ac:dyDescent="0.2">
      <c r="A4195" t="s">
        <v>5325</v>
      </c>
      <c r="B4195" t="s">
        <v>2360</v>
      </c>
      <c r="C4195" s="9">
        <v>45027</v>
      </c>
      <c r="D4195" t="s">
        <v>946</v>
      </c>
      <c r="E4195" s="13">
        <v>19116333</v>
      </c>
      <c r="F4195" s="13">
        <v>5550</v>
      </c>
      <c r="G4195" s="9">
        <v>45030</v>
      </c>
      <c r="H4195" t="s">
        <v>1111</v>
      </c>
      <c r="I4195" t="s">
        <v>2382</v>
      </c>
      <c r="J4195" s="13">
        <v>954859</v>
      </c>
      <c r="K4195">
        <v>1</v>
      </c>
      <c r="L4195" t="s">
        <v>1064</v>
      </c>
      <c r="M4195" t="s">
        <v>2383</v>
      </c>
      <c r="N4195" s="15" t="s">
        <v>6878</v>
      </c>
    </row>
    <row r="4196" spans="1:14" x14ac:dyDescent="0.2">
      <c r="A4196" t="s">
        <v>5326</v>
      </c>
      <c r="B4196" t="s">
        <v>2360</v>
      </c>
      <c r="C4196" s="9">
        <v>45027</v>
      </c>
      <c r="D4196" t="s">
        <v>946</v>
      </c>
      <c r="E4196" s="13">
        <v>20041356</v>
      </c>
      <c r="F4196" s="13">
        <v>5550</v>
      </c>
      <c r="G4196" s="9">
        <v>45030</v>
      </c>
      <c r="H4196" t="s">
        <v>1111</v>
      </c>
      <c r="I4196" t="s">
        <v>2382</v>
      </c>
      <c r="J4196" s="13">
        <v>1001065</v>
      </c>
      <c r="K4196">
        <v>1</v>
      </c>
      <c r="L4196" t="s">
        <v>1064</v>
      </c>
      <c r="M4196" t="s">
        <v>2383</v>
      </c>
      <c r="N4196" s="15" t="s">
        <v>6878</v>
      </c>
    </row>
    <row r="4197" spans="1:14" x14ac:dyDescent="0.2">
      <c r="A4197" t="s">
        <v>5327</v>
      </c>
      <c r="B4197" t="s">
        <v>2360</v>
      </c>
      <c r="C4197" s="9">
        <v>45027</v>
      </c>
      <c r="D4197" t="s">
        <v>946</v>
      </c>
      <c r="E4197" s="13">
        <v>23157540</v>
      </c>
      <c r="F4197" s="13">
        <v>5550</v>
      </c>
      <c r="G4197" s="9">
        <v>45030</v>
      </c>
      <c r="H4197" t="s">
        <v>1111</v>
      </c>
      <c r="I4197" t="s">
        <v>2382</v>
      </c>
      <c r="J4197" s="13">
        <v>1156718</v>
      </c>
      <c r="K4197">
        <v>1</v>
      </c>
      <c r="L4197" t="s">
        <v>1064</v>
      </c>
      <c r="M4197" t="s">
        <v>2383</v>
      </c>
      <c r="N4197" s="15" t="s">
        <v>6878</v>
      </c>
    </row>
    <row r="4198" spans="1:14" x14ac:dyDescent="0.2">
      <c r="A4198" t="s">
        <v>5328</v>
      </c>
      <c r="B4198" t="s">
        <v>2360</v>
      </c>
      <c r="C4198" s="9">
        <v>45027</v>
      </c>
      <c r="D4198" t="s">
        <v>946</v>
      </c>
      <c r="E4198" s="13">
        <v>23157540</v>
      </c>
      <c r="F4198" s="13">
        <v>5550</v>
      </c>
      <c r="G4198" s="9">
        <v>45030</v>
      </c>
      <c r="H4198" t="s">
        <v>1111</v>
      </c>
      <c r="I4198" t="s">
        <v>2382</v>
      </c>
      <c r="J4198" s="13">
        <v>1156718</v>
      </c>
      <c r="K4198">
        <v>1</v>
      </c>
      <c r="L4198" t="s">
        <v>1064</v>
      </c>
      <c r="M4198" t="s">
        <v>2383</v>
      </c>
      <c r="N4198" s="15" t="s">
        <v>6878</v>
      </c>
    </row>
    <row r="4199" spans="1:14" x14ac:dyDescent="0.2">
      <c r="A4199" t="s">
        <v>5329</v>
      </c>
      <c r="B4199" t="s">
        <v>2360</v>
      </c>
      <c r="C4199" s="9">
        <v>45027</v>
      </c>
      <c r="D4199" t="s">
        <v>946</v>
      </c>
      <c r="E4199" s="13">
        <v>22705424</v>
      </c>
      <c r="F4199" s="13">
        <v>5550</v>
      </c>
      <c r="G4199" s="9">
        <v>45030</v>
      </c>
      <c r="H4199" t="s">
        <v>1111</v>
      </c>
      <c r="I4199" t="s">
        <v>2382</v>
      </c>
      <c r="J4199" s="13">
        <v>1134135</v>
      </c>
      <c r="K4199">
        <v>1</v>
      </c>
      <c r="L4199" t="s">
        <v>1064</v>
      </c>
      <c r="M4199" t="s">
        <v>2383</v>
      </c>
      <c r="N4199" s="15" t="s">
        <v>6878</v>
      </c>
    </row>
    <row r="4200" spans="1:14" x14ac:dyDescent="0.2">
      <c r="A4200" t="s">
        <v>5330</v>
      </c>
      <c r="B4200" t="s">
        <v>2360</v>
      </c>
      <c r="C4200" s="9">
        <v>45027</v>
      </c>
      <c r="D4200" t="s">
        <v>946</v>
      </c>
      <c r="E4200" s="13">
        <v>22855140</v>
      </c>
      <c r="F4200" s="13">
        <v>5550</v>
      </c>
      <c r="G4200" s="9">
        <v>45030</v>
      </c>
      <c r="H4200" t="s">
        <v>1111</v>
      </c>
      <c r="I4200" t="s">
        <v>2382</v>
      </c>
      <c r="J4200" s="13">
        <v>1141613</v>
      </c>
      <c r="K4200">
        <v>1</v>
      </c>
      <c r="L4200" t="s">
        <v>1064</v>
      </c>
      <c r="M4200" t="s">
        <v>2383</v>
      </c>
      <c r="N4200" s="15" t="s">
        <v>6878</v>
      </c>
    </row>
    <row r="4201" spans="1:14" x14ac:dyDescent="0.2">
      <c r="A4201" t="s">
        <v>5331</v>
      </c>
      <c r="B4201" t="s">
        <v>2360</v>
      </c>
      <c r="C4201" s="9">
        <v>45027</v>
      </c>
      <c r="D4201" t="s">
        <v>946</v>
      </c>
      <c r="E4201" s="13">
        <v>24934546</v>
      </c>
      <c r="F4201" s="13">
        <v>5550</v>
      </c>
      <c r="G4201" s="9">
        <v>45030</v>
      </c>
      <c r="H4201" t="s">
        <v>1111</v>
      </c>
      <c r="I4201" t="s">
        <v>2382</v>
      </c>
      <c r="J4201" s="13">
        <v>1245479</v>
      </c>
      <c r="K4201">
        <v>1</v>
      </c>
      <c r="L4201" t="s">
        <v>1064</v>
      </c>
      <c r="M4201" t="s">
        <v>2383</v>
      </c>
      <c r="N4201" s="15" t="s">
        <v>6878</v>
      </c>
    </row>
    <row r="4202" spans="1:14" x14ac:dyDescent="0.2">
      <c r="A4202" t="s">
        <v>5332</v>
      </c>
      <c r="B4202" t="s">
        <v>2360</v>
      </c>
      <c r="C4202" s="9">
        <v>45027</v>
      </c>
      <c r="D4202" t="s">
        <v>946</v>
      </c>
      <c r="E4202" s="13">
        <v>3452000</v>
      </c>
      <c r="F4202" s="13">
        <v>5550</v>
      </c>
      <c r="G4202" s="9">
        <v>45030</v>
      </c>
      <c r="H4202" t="s">
        <v>1111</v>
      </c>
      <c r="I4202" t="s">
        <v>2382</v>
      </c>
      <c r="J4202" s="13">
        <v>172427</v>
      </c>
      <c r="K4202">
        <v>1</v>
      </c>
      <c r="L4202" t="s">
        <v>1064</v>
      </c>
      <c r="M4202" t="s">
        <v>2383</v>
      </c>
      <c r="N4202" s="15" t="s">
        <v>6878</v>
      </c>
    </row>
    <row r="4203" spans="1:14" x14ac:dyDescent="0.2">
      <c r="A4203" t="s">
        <v>5333</v>
      </c>
      <c r="B4203" t="s">
        <v>2360</v>
      </c>
      <c r="C4203" s="9">
        <v>45027</v>
      </c>
      <c r="D4203" t="s">
        <v>946</v>
      </c>
      <c r="E4203" s="13">
        <v>16548665</v>
      </c>
      <c r="F4203" s="13">
        <v>5550</v>
      </c>
      <c r="G4203" s="9">
        <v>45030</v>
      </c>
      <c r="H4203" t="s">
        <v>1111</v>
      </c>
      <c r="I4203" t="s">
        <v>2382</v>
      </c>
      <c r="J4203" s="13">
        <v>826604</v>
      </c>
      <c r="K4203">
        <v>1</v>
      </c>
      <c r="L4203" t="s">
        <v>1064</v>
      </c>
      <c r="M4203" t="s">
        <v>2383</v>
      </c>
      <c r="N4203" s="15" t="s">
        <v>6878</v>
      </c>
    </row>
    <row r="4204" spans="1:14" x14ac:dyDescent="0.2">
      <c r="A4204" t="s">
        <v>5334</v>
      </c>
      <c r="B4204" t="s">
        <v>2360</v>
      </c>
      <c r="C4204" s="9">
        <v>45027</v>
      </c>
      <c r="D4204" t="s">
        <v>946</v>
      </c>
      <c r="E4204" s="13">
        <v>7600000</v>
      </c>
      <c r="F4204" s="13">
        <v>5550</v>
      </c>
      <c r="G4204" s="9">
        <v>45030</v>
      </c>
      <c r="H4204" t="s">
        <v>1111</v>
      </c>
      <c r="I4204" t="s">
        <v>2382</v>
      </c>
      <c r="J4204" s="13">
        <v>379620</v>
      </c>
      <c r="K4204">
        <v>1</v>
      </c>
      <c r="L4204" t="s">
        <v>1064</v>
      </c>
      <c r="M4204" t="s">
        <v>2383</v>
      </c>
      <c r="N4204" s="15" t="s">
        <v>6878</v>
      </c>
    </row>
    <row r="4205" spans="1:14" x14ac:dyDescent="0.2">
      <c r="A4205" t="s">
        <v>5335</v>
      </c>
      <c r="B4205" t="s">
        <v>2360</v>
      </c>
      <c r="C4205" s="9">
        <v>45027</v>
      </c>
      <c r="D4205" t="s">
        <v>946</v>
      </c>
      <c r="E4205" s="13">
        <v>10905400</v>
      </c>
      <c r="F4205" s="13">
        <v>5550</v>
      </c>
      <c r="G4205" s="9">
        <v>45030</v>
      </c>
      <c r="H4205" t="s">
        <v>1111</v>
      </c>
      <c r="I4205" t="s">
        <v>2382</v>
      </c>
      <c r="J4205" s="13">
        <v>544724</v>
      </c>
      <c r="K4205">
        <v>1</v>
      </c>
      <c r="L4205" t="s">
        <v>1064</v>
      </c>
      <c r="M4205" t="s">
        <v>2383</v>
      </c>
      <c r="N4205" s="15" t="s">
        <v>6878</v>
      </c>
    </row>
    <row r="4206" spans="1:14" x14ac:dyDescent="0.2">
      <c r="A4206" t="s">
        <v>5336</v>
      </c>
      <c r="B4206" t="s">
        <v>2360</v>
      </c>
      <c r="C4206" s="9">
        <v>45027</v>
      </c>
      <c r="D4206" t="s">
        <v>946</v>
      </c>
      <c r="E4206" s="13">
        <v>2640000</v>
      </c>
      <c r="F4206" s="13">
        <v>5550</v>
      </c>
      <c r="G4206" s="9">
        <v>45030</v>
      </c>
      <c r="H4206" t="s">
        <v>1111</v>
      </c>
      <c r="I4206" t="s">
        <v>2382</v>
      </c>
      <c r="J4206" s="13">
        <v>131868</v>
      </c>
      <c r="K4206">
        <v>1</v>
      </c>
      <c r="L4206" t="s">
        <v>1064</v>
      </c>
      <c r="M4206" t="s">
        <v>2383</v>
      </c>
      <c r="N4206" s="15" t="s">
        <v>6878</v>
      </c>
    </row>
    <row r="4207" spans="1:14" x14ac:dyDescent="0.2">
      <c r="A4207" t="s">
        <v>5337</v>
      </c>
      <c r="B4207" t="s">
        <v>2360</v>
      </c>
      <c r="C4207" s="9">
        <v>45027</v>
      </c>
      <c r="D4207" t="s">
        <v>946</v>
      </c>
      <c r="E4207" s="13">
        <v>22781126</v>
      </c>
      <c r="F4207" s="13">
        <v>5550</v>
      </c>
      <c r="G4207" s="9">
        <v>45030</v>
      </c>
      <c r="H4207" t="s">
        <v>1111</v>
      </c>
      <c r="I4207" t="s">
        <v>2382</v>
      </c>
      <c r="J4207" s="13">
        <v>1137916</v>
      </c>
      <c r="K4207">
        <v>1</v>
      </c>
      <c r="L4207" t="s">
        <v>1064</v>
      </c>
      <c r="M4207" t="s">
        <v>2383</v>
      </c>
      <c r="N4207" s="15" t="s">
        <v>6878</v>
      </c>
    </row>
    <row r="4208" spans="1:14" x14ac:dyDescent="0.2">
      <c r="A4208" t="s">
        <v>5338</v>
      </c>
      <c r="B4208" t="s">
        <v>2360</v>
      </c>
      <c r="C4208" s="9">
        <v>45027</v>
      </c>
      <c r="D4208" t="s">
        <v>946</v>
      </c>
      <c r="E4208" s="13">
        <v>23705281</v>
      </c>
      <c r="F4208" s="13">
        <v>5550</v>
      </c>
      <c r="G4208" s="9">
        <v>45030</v>
      </c>
      <c r="H4208" t="s">
        <v>1111</v>
      </c>
      <c r="I4208" t="s">
        <v>2382</v>
      </c>
      <c r="J4208" s="13">
        <v>1184078</v>
      </c>
      <c r="K4208">
        <v>1</v>
      </c>
      <c r="L4208" t="s">
        <v>1064</v>
      </c>
      <c r="M4208" t="s">
        <v>2383</v>
      </c>
      <c r="N4208" s="15" t="s">
        <v>6878</v>
      </c>
    </row>
    <row r="4209" spans="1:14" x14ac:dyDescent="0.2">
      <c r="A4209" t="s">
        <v>5339</v>
      </c>
      <c r="B4209" t="s">
        <v>2360</v>
      </c>
      <c r="C4209" s="9">
        <v>45027</v>
      </c>
      <c r="D4209" t="s">
        <v>946</v>
      </c>
      <c r="E4209" s="13">
        <v>8046000</v>
      </c>
      <c r="F4209" s="13">
        <v>5550</v>
      </c>
      <c r="G4209" s="9">
        <v>45030</v>
      </c>
      <c r="H4209" t="s">
        <v>1111</v>
      </c>
      <c r="I4209" t="s">
        <v>2382</v>
      </c>
      <c r="J4209" s="13">
        <v>401897</v>
      </c>
      <c r="K4209">
        <v>1</v>
      </c>
      <c r="L4209" t="s">
        <v>1064</v>
      </c>
      <c r="M4209" t="s">
        <v>2383</v>
      </c>
      <c r="N4209" s="15" t="s">
        <v>6878</v>
      </c>
    </row>
    <row r="4210" spans="1:14" x14ac:dyDescent="0.2">
      <c r="A4210" t="s">
        <v>5340</v>
      </c>
      <c r="B4210" t="s">
        <v>2360</v>
      </c>
      <c r="C4210" s="9">
        <v>45027</v>
      </c>
      <c r="D4210" t="s">
        <v>946</v>
      </c>
      <c r="E4210" s="13">
        <v>25452000</v>
      </c>
      <c r="F4210" s="13">
        <v>5550</v>
      </c>
      <c r="G4210" s="9">
        <v>45030</v>
      </c>
      <c r="H4210" t="s">
        <v>1111</v>
      </c>
      <c r="I4210" t="s">
        <v>2382</v>
      </c>
      <c r="J4210" s="13">
        <v>1271327</v>
      </c>
      <c r="K4210">
        <v>1</v>
      </c>
      <c r="L4210" t="s">
        <v>1064</v>
      </c>
      <c r="M4210" t="s">
        <v>2383</v>
      </c>
      <c r="N4210" s="15" t="s">
        <v>6878</v>
      </c>
    </row>
    <row r="4211" spans="1:14" x14ac:dyDescent="0.2">
      <c r="A4211" t="s">
        <v>5341</v>
      </c>
      <c r="B4211" t="s">
        <v>2360</v>
      </c>
      <c r="C4211" s="9">
        <v>45027</v>
      </c>
      <c r="D4211" t="s">
        <v>946</v>
      </c>
      <c r="E4211" s="13">
        <v>15354699</v>
      </c>
      <c r="F4211" s="13">
        <v>5550</v>
      </c>
      <c r="G4211" s="9">
        <v>45030</v>
      </c>
      <c r="H4211" t="s">
        <v>1111</v>
      </c>
      <c r="I4211" t="s">
        <v>2382</v>
      </c>
      <c r="J4211" s="13">
        <v>766966</v>
      </c>
      <c r="K4211">
        <v>1</v>
      </c>
      <c r="L4211" t="s">
        <v>1064</v>
      </c>
      <c r="M4211" t="s">
        <v>2383</v>
      </c>
      <c r="N4211" s="15" t="s">
        <v>6878</v>
      </c>
    </row>
    <row r="4212" spans="1:14" x14ac:dyDescent="0.2">
      <c r="A4212" t="s">
        <v>5342</v>
      </c>
      <c r="B4212" t="s">
        <v>2360</v>
      </c>
      <c r="C4212" s="9">
        <v>45028</v>
      </c>
      <c r="D4212" t="s">
        <v>32</v>
      </c>
      <c r="E4212" s="13">
        <v>3700000</v>
      </c>
      <c r="F4212" s="13">
        <v>27750</v>
      </c>
      <c r="G4212" s="9">
        <v>45032</v>
      </c>
      <c r="H4212" t="s">
        <v>1063</v>
      </c>
      <c r="I4212" t="s">
        <v>520</v>
      </c>
      <c r="J4212" s="13">
        <v>102675</v>
      </c>
      <c r="K4212">
        <v>1</v>
      </c>
      <c r="L4212" t="s">
        <v>1064</v>
      </c>
      <c r="M4212" t="s">
        <v>5005</v>
      </c>
      <c r="N4212" s="15" t="s">
        <v>6878</v>
      </c>
    </row>
    <row r="4213" spans="1:14" x14ac:dyDescent="0.2">
      <c r="A4213" t="s">
        <v>5343</v>
      </c>
      <c r="B4213" t="s">
        <v>2360</v>
      </c>
      <c r="C4213" s="9">
        <v>45028</v>
      </c>
      <c r="D4213" t="s">
        <v>998</v>
      </c>
      <c r="E4213" s="13">
        <v>45000000</v>
      </c>
      <c r="F4213" s="13">
        <v>27750</v>
      </c>
      <c r="G4213" s="9">
        <v>45029</v>
      </c>
      <c r="H4213" t="s">
        <v>1063</v>
      </c>
      <c r="I4213" t="s">
        <v>2902</v>
      </c>
      <c r="J4213" s="13">
        <v>1998000</v>
      </c>
      <c r="K4213">
        <v>1</v>
      </c>
      <c r="L4213" t="s">
        <v>1064</v>
      </c>
      <c r="M4213" t="s">
        <v>2903</v>
      </c>
      <c r="N4213" s="15" t="s">
        <v>6878</v>
      </c>
    </row>
    <row r="4214" spans="1:14" x14ac:dyDescent="0.2">
      <c r="A4214" t="s">
        <v>5344</v>
      </c>
      <c r="B4214" t="s">
        <v>2360</v>
      </c>
      <c r="C4214" s="9">
        <v>45028</v>
      </c>
      <c r="D4214" t="s">
        <v>9</v>
      </c>
      <c r="E4214" s="13">
        <v>340060</v>
      </c>
      <c r="F4214" s="13">
        <v>24975</v>
      </c>
      <c r="G4214" s="9">
        <v>45043</v>
      </c>
      <c r="H4214" t="s">
        <v>1111</v>
      </c>
      <c r="I4214" t="s">
        <v>436</v>
      </c>
      <c r="J4214" s="13">
        <v>11323</v>
      </c>
      <c r="K4214">
        <v>1</v>
      </c>
      <c r="L4214" t="s">
        <v>1064</v>
      </c>
      <c r="M4214" t="s">
        <v>2364</v>
      </c>
      <c r="N4214" s="15" t="s">
        <v>6878</v>
      </c>
    </row>
    <row r="4215" spans="1:14" x14ac:dyDescent="0.2">
      <c r="A4215" t="s">
        <v>5345</v>
      </c>
      <c r="B4215" t="s">
        <v>2360</v>
      </c>
      <c r="C4215" s="9">
        <v>45028</v>
      </c>
      <c r="D4215" t="s">
        <v>9</v>
      </c>
      <c r="E4215" s="13">
        <v>504250</v>
      </c>
      <c r="F4215" s="13">
        <v>22500</v>
      </c>
      <c r="H4215" t="s">
        <v>1659</v>
      </c>
      <c r="I4215" t="s">
        <v>4659</v>
      </c>
      <c r="J4215" s="13">
        <v>0</v>
      </c>
      <c r="K4215">
        <v>1</v>
      </c>
      <c r="L4215" t="s">
        <v>1064</v>
      </c>
      <c r="M4215" t="s">
        <v>4660</v>
      </c>
      <c r="N4215" s="14" t="s">
        <v>6877</v>
      </c>
    </row>
    <row r="4216" spans="1:14" x14ac:dyDescent="0.2">
      <c r="A4216" t="s">
        <v>5346</v>
      </c>
      <c r="B4216" t="s">
        <v>2360</v>
      </c>
      <c r="C4216" s="9">
        <v>45028</v>
      </c>
      <c r="D4216" t="s">
        <v>9</v>
      </c>
      <c r="E4216" s="13">
        <v>1464000</v>
      </c>
      <c r="F4216" s="13">
        <v>22500</v>
      </c>
      <c r="H4216" t="s">
        <v>1659</v>
      </c>
      <c r="I4216" t="s">
        <v>4659</v>
      </c>
      <c r="J4216" s="13">
        <v>0</v>
      </c>
      <c r="K4216">
        <v>1</v>
      </c>
      <c r="L4216" t="s">
        <v>1064</v>
      </c>
      <c r="M4216" t="s">
        <v>4660</v>
      </c>
      <c r="N4216" s="14" t="s">
        <v>6877</v>
      </c>
    </row>
    <row r="4217" spans="1:14" x14ac:dyDescent="0.2">
      <c r="A4217" t="s">
        <v>5347</v>
      </c>
      <c r="B4217" t="s">
        <v>2360</v>
      </c>
      <c r="C4217" s="9">
        <v>45028</v>
      </c>
      <c r="D4217" t="s">
        <v>9</v>
      </c>
      <c r="E4217" s="13">
        <v>274890</v>
      </c>
      <c r="F4217" s="13">
        <v>24975</v>
      </c>
      <c r="G4217" s="9">
        <v>45043</v>
      </c>
      <c r="H4217" t="s">
        <v>1111</v>
      </c>
      <c r="I4217" t="s">
        <v>436</v>
      </c>
      <c r="J4217" s="13">
        <v>9153</v>
      </c>
      <c r="K4217">
        <v>1</v>
      </c>
      <c r="L4217" t="s">
        <v>1064</v>
      </c>
      <c r="M4217" t="s">
        <v>2364</v>
      </c>
      <c r="N4217" s="15" t="s">
        <v>6878</v>
      </c>
    </row>
    <row r="4218" spans="1:14" x14ac:dyDescent="0.2">
      <c r="A4218" t="s">
        <v>5348</v>
      </c>
      <c r="B4218" t="s">
        <v>2360</v>
      </c>
      <c r="C4218" s="9">
        <v>45028</v>
      </c>
      <c r="D4218" t="s">
        <v>9</v>
      </c>
      <c r="E4218" s="13">
        <v>399350</v>
      </c>
      <c r="F4218" s="13">
        <v>24975</v>
      </c>
      <c r="G4218" s="9">
        <v>45043</v>
      </c>
      <c r="H4218" t="s">
        <v>1111</v>
      </c>
      <c r="I4218" t="s">
        <v>436</v>
      </c>
      <c r="J4218" s="13">
        <v>13297</v>
      </c>
      <c r="K4218">
        <v>1</v>
      </c>
      <c r="L4218" t="s">
        <v>1064</v>
      </c>
      <c r="M4218" t="s">
        <v>2364</v>
      </c>
      <c r="N4218" s="15" t="s">
        <v>6878</v>
      </c>
    </row>
    <row r="4219" spans="1:14" x14ac:dyDescent="0.2">
      <c r="A4219" t="s">
        <v>5349</v>
      </c>
      <c r="B4219" t="s">
        <v>2360</v>
      </c>
      <c r="C4219" s="9">
        <v>45028</v>
      </c>
      <c r="D4219" t="s">
        <v>9</v>
      </c>
      <c r="E4219" s="13">
        <v>347850</v>
      </c>
      <c r="F4219" s="13">
        <v>22500</v>
      </c>
      <c r="H4219" t="s">
        <v>1659</v>
      </c>
      <c r="I4219" t="s">
        <v>4659</v>
      </c>
      <c r="J4219" s="13">
        <v>0</v>
      </c>
      <c r="K4219">
        <v>1</v>
      </c>
      <c r="L4219" t="s">
        <v>1064</v>
      </c>
      <c r="M4219" t="s">
        <v>4660</v>
      </c>
      <c r="N4219" s="14" t="s">
        <v>6877</v>
      </c>
    </row>
    <row r="4220" spans="1:14" x14ac:dyDescent="0.2">
      <c r="A4220" t="s">
        <v>5350</v>
      </c>
      <c r="B4220" t="s">
        <v>2360</v>
      </c>
      <c r="C4220" s="9">
        <v>45029</v>
      </c>
      <c r="D4220" t="s">
        <v>9</v>
      </c>
      <c r="E4220" s="13">
        <v>938225</v>
      </c>
      <c r="F4220" s="13">
        <v>22500</v>
      </c>
      <c r="H4220" t="s">
        <v>1659</v>
      </c>
      <c r="I4220" t="s">
        <v>4659</v>
      </c>
      <c r="J4220" s="13">
        <v>0</v>
      </c>
      <c r="K4220">
        <v>1</v>
      </c>
      <c r="L4220" t="s">
        <v>1064</v>
      </c>
      <c r="M4220" t="s">
        <v>4660</v>
      </c>
      <c r="N4220" s="14" t="s">
        <v>6877</v>
      </c>
    </row>
    <row r="4221" spans="1:14" x14ac:dyDescent="0.2">
      <c r="A4221" t="s">
        <v>5351</v>
      </c>
      <c r="B4221" t="s">
        <v>2360</v>
      </c>
      <c r="C4221" s="9">
        <v>45029</v>
      </c>
      <c r="D4221" t="s">
        <v>988</v>
      </c>
      <c r="E4221" s="13">
        <v>9530000</v>
      </c>
      <c r="F4221" s="13">
        <v>264457</v>
      </c>
      <c r="G4221" s="9">
        <v>45030</v>
      </c>
      <c r="H4221" t="s">
        <v>1063</v>
      </c>
      <c r="I4221" t="s">
        <v>2610</v>
      </c>
      <c r="J4221" s="13">
        <v>27750</v>
      </c>
      <c r="K4221">
        <v>1</v>
      </c>
      <c r="L4221" t="s">
        <v>1064</v>
      </c>
      <c r="M4221" t="s">
        <v>2611</v>
      </c>
      <c r="N4221" s="15" t="s">
        <v>6878</v>
      </c>
    </row>
    <row r="4222" spans="1:14" x14ac:dyDescent="0.2">
      <c r="A4222" t="s">
        <v>5352</v>
      </c>
      <c r="B4222" t="s">
        <v>2360</v>
      </c>
      <c r="C4222" s="9">
        <v>45029</v>
      </c>
      <c r="D4222" t="s">
        <v>9</v>
      </c>
      <c r="E4222" s="13">
        <v>1811800</v>
      </c>
      <c r="F4222" s="13">
        <v>22500</v>
      </c>
      <c r="H4222" t="s">
        <v>1659</v>
      </c>
      <c r="I4222" t="s">
        <v>4659</v>
      </c>
      <c r="J4222" s="13">
        <v>0</v>
      </c>
      <c r="K4222">
        <v>1</v>
      </c>
      <c r="L4222" t="s">
        <v>1064</v>
      </c>
      <c r="M4222" t="s">
        <v>4660</v>
      </c>
      <c r="N4222" s="14" t="s">
        <v>6877</v>
      </c>
    </row>
    <row r="4223" spans="1:14" x14ac:dyDescent="0.2">
      <c r="A4223" t="s">
        <v>5353</v>
      </c>
      <c r="B4223" t="s">
        <v>2360</v>
      </c>
      <c r="C4223" s="9">
        <v>45029</v>
      </c>
      <c r="D4223" t="s">
        <v>9</v>
      </c>
      <c r="E4223" s="13">
        <v>768750</v>
      </c>
      <c r="F4223" s="13">
        <v>22500</v>
      </c>
      <c r="H4223" t="s">
        <v>2272</v>
      </c>
      <c r="I4223" t="s">
        <v>4659</v>
      </c>
      <c r="J4223" s="13">
        <v>0</v>
      </c>
      <c r="K4223">
        <v>1</v>
      </c>
      <c r="L4223" t="s">
        <v>1064</v>
      </c>
      <c r="M4223" t="s">
        <v>4660</v>
      </c>
      <c r="N4223" s="14" t="s">
        <v>6877</v>
      </c>
    </row>
    <row r="4224" spans="1:14" x14ac:dyDescent="0.2">
      <c r="A4224" t="s">
        <v>5354</v>
      </c>
      <c r="B4224" t="s">
        <v>2360</v>
      </c>
      <c r="C4224" s="9">
        <v>45029</v>
      </c>
      <c r="D4224" t="s">
        <v>9</v>
      </c>
      <c r="E4224" s="13">
        <v>458150</v>
      </c>
      <c r="F4224" s="13">
        <v>24975</v>
      </c>
      <c r="G4224" s="9">
        <v>45043</v>
      </c>
      <c r="H4224" t="s">
        <v>1111</v>
      </c>
      <c r="I4224" t="s">
        <v>436</v>
      </c>
      <c r="J4224" s="13">
        <v>15255</v>
      </c>
      <c r="K4224">
        <v>1</v>
      </c>
      <c r="L4224" t="s">
        <v>1064</v>
      </c>
      <c r="M4224" t="s">
        <v>2364</v>
      </c>
      <c r="N4224" s="15" t="s">
        <v>6878</v>
      </c>
    </row>
    <row r="4225" spans="1:14" x14ac:dyDescent="0.2">
      <c r="A4225" t="s">
        <v>5355</v>
      </c>
      <c r="B4225" t="s">
        <v>2360</v>
      </c>
      <c r="C4225" s="9">
        <v>45029</v>
      </c>
      <c r="D4225" t="s">
        <v>9</v>
      </c>
      <c r="E4225" s="13">
        <v>294490</v>
      </c>
      <c r="F4225" s="13">
        <v>24975</v>
      </c>
      <c r="G4225" s="9">
        <v>45043</v>
      </c>
      <c r="H4225" t="s">
        <v>1111</v>
      </c>
      <c r="I4225" t="s">
        <v>436</v>
      </c>
      <c r="J4225" s="13">
        <v>9805</v>
      </c>
      <c r="K4225">
        <v>1</v>
      </c>
      <c r="L4225" t="s">
        <v>1064</v>
      </c>
      <c r="M4225" t="s">
        <v>2364</v>
      </c>
      <c r="N4225" s="15" t="s">
        <v>6878</v>
      </c>
    </row>
    <row r="4226" spans="1:14" x14ac:dyDescent="0.2">
      <c r="A4226" t="s">
        <v>5356</v>
      </c>
      <c r="B4226" t="s">
        <v>2360</v>
      </c>
      <c r="C4226" s="9">
        <v>45029</v>
      </c>
      <c r="D4226" t="s">
        <v>988</v>
      </c>
      <c r="E4226" s="13">
        <v>4590000</v>
      </c>
      <c r="F4226" s="13">
        <v>127372</v>
      </c>
      <c r="G4226" s="9">
        <v>45030</v>
      </c>
      <c r="H4226" t="s">
        <v>1063</v>
      </c>
      <c r="I4226" t="s">
        <v>2610</v>
      </c>
      <c r="J4226" s="13">
        <v>27750</v>
      </c>
      <c r="K4226">
        <v>1</v>
      </c>
      <c r="L4226" t="s">
        <v>1064</v>
      </c>
      <c r="M4226" t="s">
        <v>2611</v>
      </c>
      <c r="N4226" s="15" t="s">
        <v>6878</v>
      </c>
    </row>
    <row r="4227" spans="1:14" x14ac:dyDescent="0.2">
      <c r="A4227" t="s">
        <v>5357</v>
      </c>
      <c r="B4227" t="s">
        <v>2360</v>
      </c>
      <c r="C4227" s="9">
        <v>45029</v>
      </c>
      <c r="D4227" t="s">
        <v>988</v>
      </c>
      <c r="E4227" s="13">
        <v>9530000</v>
      </c>
      <c r="F4227" s="13">
        <v>264457</v>
      </c>
      <c r="G4227" s="9">
        <v>45030</v>
      </c>
      <c r="H4227" t="s">
        <v>1063</v>
      </c>
      <c r="I4227" t="s">
        <v>2610</v>
      </c>
      <c r="J4227" s="13">
        <v>27750</v>
      </c>
      <c r="K4227">
        <v>1</v>
      </c>
      <c r="L4227" t="s">
        <v>1064</v>
      </c>
      <c r="M4227" t="s">
        <v>2611</v>
      </c>
      <c r="N4227" s="15" t="s">
        <v>6878</v>
      </c>
    </row>
    <row r="4228" spans="1:14" x14ac:dyDescent="0.2">
      <c r="A4228" t="s">
        <v>989</v>
      </c>
      <c r="B4228" t="s">
        <v>2360</v>
      </c>
      <c r="C4228" s="9">
        <v>45029</v>
      </c>
      <c r="D4228" t="s">
        <v>988</v>
      </c>
      <c r="E4228" s="13">
        <v>6540000</v>
      </c>
      <c r="F4228" s="13">
        <v>181485</v>
      </c>
      <c r="G4228" s="9">
        <v>45030</v>
      </c>
      <c r="H4228" t="s">
        <v>1063</v>
      </c>
      <c r="I4228" t="s">
        <v>2610</v>
      </c>
      <c r="J4228" s="13">
        <v>27750</v>
      </c>
      <c r="K4228">
        <v>1</v>
      </c>
      <c r="L4228" t="s">
        <v>1064</v>
      </c>
      <c r="M4228" t="s">
        <v>2611</v>
      </c>
      <c r="N4228" s="15" t="s">
        <v>6878</v>
      </c>
    </row>
    <row r="4229" spans="1:14" x14ac:dyDescent="0.2">
      <c r="A4229" t="s">
        <v>5358</v>
      </c>
      <c r="B4229" t="s">
        <v>2360</v>
      </c>
      <c r="C4229" s="9">
        <v>45029</v>
      </c>
      <c r="D4229" t="s">
        <v>983</v>
      </c>
      <c r="E4229" s="13">
        <v>6300000</v>
      </c>
      <c r="F4229" s="13">
        <v>11100</v>
      </c>
      <c r="G4229" s="9">
        <v>45030</v>
      </c>
      <c r="H4229" t="s">
        <v>1111</v>
      </c>
      <c r="I4229" t="s">
        <v>2896</v>
      </c>
      <c r="J4229" s="13">
        <v>174825</v>
      </c>
      <c r="K4229">
        <v>1</v>
      </c>
      <c r="L4229" t="s">
        <v>1064</v>
      </c>
      <c r="M4229" t="s">
        <v>2897</v>
      </c>
      <c r="N4229" s="15" t="s">
        <v>6878</v>
      </c>
    </row>
    <row r="4230" spans="1:14" x14ac:dyDescent="0.2">
      <c r="A4230" t="s">
        <v>5359</v>
      </c>
      <c r="B4230" t="s">
        <v>2360</v>
      </c>
      <c r="C4230" s="9">
        <v>45029</v>
      </c>
      <c r="D4230" t="s">
        <v>983</v>
      </c>
      <c r="E4230" s="13">
        <v>6300000</v>
      </c>
      <c r="F4230" s="13">
        <v>11100</v>
      </c>
      <c r="G4230" s="9">
        <v>45030</v>
      </c>
      <c r="H4230" t="s">
        <v>1111</v>
      </c>
      <c r="I4230" t="s">
        <v>2896</v>
      </c>
      <c r="J4230" s="13">
        <v>174825</v>
      </c>
      <c r="K4230">
        <v>1</v>
      </c>
      <c r="L4230" t="s">
        <v>1064</v>
      </c>
      <c r="M4230" t="s">
        <v>2897</v>
      </c>
      <c r="N4230" s="15" t="s">
        <v>6878</v>
      </c>
    </row>
    <row r="4231" spans="1:14" x14ac:dyDescent="0.2">
      <c r="A4231" t="s">
        <v>5360</v>
      </c>
      <c r="B4231" t="s">
        <v>2360</v>
      </c>
      <c r="C4231" s="9">
        <v>45029</v>
      </c>
      <c r="D4231" t="s">
        <v>983</v>
      </c>
      <c r="E4231" s="13">
        <v>6300000</v>
      </c>
      <c r="F4231" s="13">
        <v>11100</v>
      </c>
      <c r="G4231" s="9">
        <v>45030</v>
      </c>
      <c r="H4231" t="s">
        <v>1111</v>
      </c>
      <c r="I4231" t="s">
        <v>2896</v>
      </c>
      <c r="J4231" s="13">
        <v>174825</v>
      </c>
      <c r="K4231">
        <v>1</v>
      </c>
      <c r="L4231" t="s">
        <v>1064</v>
      </c>
      <c r="M4231" t="s">
        <v>2897</v>
      </c>
      <c r="N4231" s="15" t="s">
        <v>6878</v>
      </c>
    </row>
    <row r="4232" spans="1:14" x14ac:dyDescent="0.2">
      <c r="A4232" t="s">
        <v>5361</v>
      </c>
      <c r="B4232" t="s">
        <v>2360</v>
      </c>
      <c r="C4232" s="9">
        <v>45029</v>
      </c>
      <c r="D4232" t="s">
        <v>983</v>
      </c>
      <c r="E4232" s="13">
        <v>6300000</v>
      </c>
      <c r="F4232" s="13">
        <v>11100</v>
      </c>
      <c r="G4232" s="9">
        <v>45030</v>
      </c>
      <c r="H4232" t="s">
        <v>1111</v>
      </c>
      <c r="I4232" t="s">
        <v>2896</v>
      </c>
      <c r="J4232" s="13">
        <v>174825</v>
      </c>
      <c r="K4232">
        <v>1</v>
      </c>
      <c r="L4232" t="s">
        <v>1064</v>
      </c>
      <c r="M4232" t="s">
        <v>2897</v>
      </c>
      <c r="N4232" s="15" t="s">
        <v>6878</v>
      </c>
    </row>
    <row r="4233" spans="1:14" x14ac:dyDescent="0.2">
      <c r="A4233" t="s">
        <v>5362</v>
      </c>
      <c r="B4233" t="s">
        <v>2360</v>
      </c>
      <c r="C4233" s="9">
        <v>45029</v>
      </c>
      <c r="D4233" t="s">
        <v>979</v>
      </c>
      <c r="E4233" s="13">
        <v>9000000</v>
      </c>
      <c r="F4233" s="13">
        <v>27750</v>
      </c>
      <c r="G4233" s="9">
        <v>45030</v>
      </c>
      <c r="H4233" t="s">
        <v>1111</v>
      </c>
      <c r="I4233" t="s">
        <v>4368</v>
      </c>
      <c r="J4233" s="13">
        <v>399600</v>
      </c>
      <c r="K4233">
        <v>1</v>
      </c>
      <c r="L4233" t="s">
        <v>1064</v>
      </c>
      <c r="M4233" t="s">
        <v>4369</v>
      </c>
      <c r="N4233" s="15" t="s">
        <v>6878</v>
      </c>
    </row>
    <row r="4234" spans="1:14" x14ac:dyDescent="0.2">
      <c r="A4234" t="s">
        <v>5363</v>
      </c>
      <c r="B4234" t="s">
        <v>2360</v>
      </c>
      <c r="C4234" s="9">
        <v>45030</v>
      </c>
      <c r="D4234" t="s">
        <v>979</v>
      </c>
      <c r="E4234" s="13">
        <v>39000000</v>
      </c>
      <c r="F4234" s="13">
        <v>27750</v>
      </c>
      <c r="G4234" s="9">
        <v>45030</v>
      </c>
      <c r="H4234" t="s">
        <v>1111</v>
      </c>
      <c r="I4234" t="s">
        <v>4368</v>
      </c>
      <c r="J4234" s="13">
        <v>1731600</v>
      </c>
      <c r="K4234">
        <v>1</v>
      </c>
      <c r="L4234" t="s">
        <v>1064</v>
      </c>
      <c r="M4234" t="s">
        <v>4369</v>
      </c>
      <c r="N4234" s="15" t="s">
        <v>6878</v>
      </c>
    </row>
    <row r="4235" spans="1:14" x14ac:dyDescent="0.2">
      <c r="A4235" t="s">
        <v>5364</v>
      </c>
      <c r="B4235" t="s">
        <v>2360</v>
      </c>
      <c r="C4235" s="9">
        <v>45030</v>
      </c>
      <c r="D4235" t="s">
        <v>996</v>
      </c>
      <c r="E4235" s="13">
        <v>18000000</v>
      </c>
      <c r="F4235" s="13">
        <v>27750</v>
      </c>
      <c r="G4235" s="9">
        <v>45030</v>
      </c>
      <c r="H4235" t="s">
        <v>1063</v>
      </c>
      <c r="I4235" t="s">
        <v>3191</v>
      </c>
      <c r="J4235" s="13">
        <v>699300</v>
      </c>
      <c r="K4235">
        <v>1</v>
      </c>
      <c r="L4235" t="s">
        <v>1064</v>
      </c>
      <c r="M4235" t="s">
        <v>3192</v>
      </c>
      <c r="N4235" s="15" t="s">
        <v>6878</v>
      </c>
    </row>
    <row r="4236" spans="1:14" x14ac:dyDescent="0.2">
      <c r="A4236" t="s">
        <v>5365</v>
      </c>
      <c r="B4236" t="s">
        <v>2360</v>
      </c>
      <c r="C4236" s="9">
        <v>45030</v>
      </c>
      <c r="D4236" t="s">
        <v>996</v>
      </c>
      <c r="E4236" s="13">
        <v>15000000</v>
      </c>
      <c r="F4236" s="13">
        <v>27750</v>
      </c>
      <c r="G4236" s="9">
        <v>45030</v>
      </c>
      <c r="H4236" t="s">
        <v>1063</v>
      </c>
      <c r="I4236" t="s">
        <v>3191</v>
      </c>
      <c r="J4236" s="13">
        <v>582750</v>
      </c>
      <c r="K4236">
        <v>1</v>
      </c>
      <c r="L4236" t="s">
        <v>1064</v>
      </c>
      <c r="M4236" t="s">
        <v>3192</v>
      </c>
      <c r="N4236" s="15" t="s">
        <v>6878</v>
      </c>
    </row>
    <row r="4237" spans="1:14" x14ac:dyDescent="0.2">
      <c r="A4237" t="s">
        <v>5366</v>
      </c>
      <c r="B4237" t="s">
        <v>2360</v>
      </c>
      <c r="C4237" s="9">
        <v>45030</v>
      </c>
      <c r="D4237" t="s">
        <v>979</v>
      </c>
      <c r="E4237" s="13">
        <v>24000000</v>
      </c>
      <c r="F4237" s="13">
        <v>27750</v>
      </c>
      <c r="G4237" s="9">
        <v>45030</v>
      </c>
      <c r="H4237" t="s">
        <v>1111</v>
      </c>
      <c r="I4237" t="s">
        <v>4368</v>
      </c>
      <c r="J4237" s="13">
        <v>1065600</v>
      </c>
      <c r="K4237">
        <v>1</v>
      </c>
      <c r="L4237" t="s">
        <v>1064</v>
      </c>
      <c r="M4237" t="s">
        <v>4369</v>
      </c>
      <c r="N4237" s="15" t="s">
        <v>6878</v>
      </c>
    </row>
    <row r="4238" spans="1:14" x14ac:dyDescent="0.2">
      <c r="A4238" t="s">
        <v>5367</v>
      </c>
      <c r="B4238" t="s">
        <v>2360</v>
      </c>
      <c r="C4238" s="9">
        <v>45030</v>
      </c>
      <c r="D4238" t="s">
        <v>979</v>
      </c>
      <c r="E4238" s="13">
        <v>30000000</v>
      </c>
      <c r="F4238" s="13">
        <v>27750</v>
      </c>
      <c r="G4238" s="9">
        <v>45030</v>
      </c>
      <c r="H4238" t="s">
        <v>1111</v>
      </c>
      <c r="I4238" t="s">
        <v>4368</v>
      </c>
      <c r="J4238" s="13">
        <v>1332000</v>
      </c>
      <c r="K4238">
        <v>1</v>
      </c>
      <c r="L4238" t="s">
        <v>1064</v>
      </c>
      <c r="M4238" t="s">
        <v>4369</v>
      </c>
      <c r="N4238" s="15" t="s">
        <v>6878</v>
      </c>
    </row>
    <row r="4239" spans="1:14" x14ac:dyDescent="0.2">
      <c r="A4239" t="s">
        <v>5368</v>
      </c>
      <c r="B4239" t="s">
        <v>2360</v>
      </c>
      <c r="C4239" s="9">
        <v>45030</v>
      </c>
      <c r="D4239" t="s">
        <v>979</v>
      </c>
      <c r="E4239" s="13">
        <v>4700000</v>
      </c>
      <c r="F4239" s="13">
        <v>27750</v>
      </c>
      <c r="G4239" s="9">
        <v>45030</v>
      </c>
      <c r="H4239" t="s">
        <v>1111</v>
      </c>
      <c r="I4239" t="s">
        <v>4368</v>
      </c>
      <c r="J4239" s="13">
        <v>208680</v>
      </c>
      <c r="K4239">
        <v>1</v>
      </c>
      <c r="L4239" t="s">
        <v>1064</v>
      </c>
      <c r="M4239" t="s">
        <v>4369</v>
      </c>
      <c r="N4239" s="15" t="s">
        <v>6878</v>
      </c>
    </row>
    <row r="4240" spans="1:14" x14ac:dyDescent="0.2">
      <c r="A4240" t="s">
        <v>5369</v>
      </c>
      <c r="B4240" t="s">
        <v>2360</v>
      </c>
      <c r="C4240" s="9">
        <v>45030</v>
      </c>
      <c r="D4240" t="s">
        <v>9</v>
      </c>
      <c r="E4240" s="13">
        <v>347850</v>
      </c>
      <c r="F4240" s="13">
        <v>22500</v>
      </c>
      <c r="H4240" t="s">
        <v>1659</v>
      </c>
      <c r="I4240" t="s">
        <v>4659</v>
      </c>
      <c r="J4240" s="13">
        <v>0</v>
      </c>
      <c r="K4240">
        <v>1</v>
      </c>
      <c r="L4240" t="s">
        <v>1064</v>
      </c>
      <c r="M4240" t="s">
        <v>4660</v>
      </c>
      <c r="N4240" s="14" t="s">
        <v>6877</v>
      </c>
    </row>
    <row r="4241" spans="1:14" x14ac:dyDescent="0.2">
      <c r="A4241" t="s">
        <v>5370</v>
      </c>
      <c r="B4241" t="s">
        <v>2360</v>
      </c>
      <c r="C4241" s="9">
        <v>45030</v>
      </c>
      <c r="D4241" t="s">
        <v>9</v>
      </c>
      <c r="E4241" s="13">
        <v>286015</v>
      </c>
      <c r="F4241" s="13">
        <v>22500</v>
      </c>
      <c r="H4241" t="s">
        <v>1659</v>
      </c>
      <c r="I4241" t="s">
        <v>4659</v>
      </c>
      <c r="J4241" s="13">
        <v>0</v>
      </c>
      <c r="K4241">
        <v>1</v>
      </c>
      <c r="L4241" t="s">
        <v>1064</v>
      </c>
      <c r="M4241" t="s">
        <v>4660</v>
      </c>
      <c r="N4241" s="14" t="s">
        <v>6877</v>
      </c>
    </row>
    <row r="4242" spans="1:14" x14ac:dyDescent="0.2">
      <c r="A4242" t="s">
        <v>5371</v>
      </c>
      <c r="B4242" t="s">
        <v>2360</v>
      </c>
      <c r="C4242" s="9">
        <v>45030</v>
      </c>
      <c r="D4242" t="s">
        <v>9</v>
      </c>
      <c r="E4242" s="13">
        <v>190000</v>
      </c>
      <c r="F4242" s="13">
        <v>22500</v>
      </c>
      <c r="H4242" t="s">
        <v>2184</v>
      </c>
      <c r="I4242" t="s">
        <v>4659</v>
      </c>
      <c r="J4242" s="13">
        <v>0</v>
      </c>
      <c r="K4242">
        <v>1</v>
      </c>
      <c r="L4242" t="s">
        <v>1064</v>
      </c>
      <c r="M4242" t="s">
        <v>4660</v>
      </c>
      <c r="N4242" s="14" t="s">
        <v>6877</v>
      </c>
    </row>
    <row r="4243" spans="1:14" x14ac:dyDescent="0.2">
      <c r="A4243" t="s">
        <v>5372</v>
      </c>
      <c r="B4243" t="s">
        <v>2360</v>
      </c>
      <c r="C4243" s="9">
        <v>45030</v>
      </c>
      <c r="D4243" t="s">
        <v>952</v>
      </c>
      <c r="E4243" s="13">
        <v>313815000</v>
      </c>
      <c r="F4243" s="13">
        <v>27750</v>
      </c>
      <c r="G4243" s="9">
        <v>45030</v>
      </c>
      <c r="H4243" t="s">
        <v>1063</v>
      </c>
      <c r="I4243" t="s">
        <v>4626</v>
      </c>
      <c r="J4243" s="13">
        <v>13933386</v>
      </c>
      <c r="K4243">
        <v>1</v>
      </c>
      <c r="L4243" t="s">
        <v>1064</v>
      </c>
      <c r="M4243" t="s">
        <v>4627</v>
      </c>
      <c r="N4243" s="15" t="s">
        <v>6878</v>
      </c>
    </row>
    <row r="4244" spans="1:14" x14ac:dyDescent="0.2">
      <c r="A4244" t="s">
        <v>5373</v>
      </c>
      <c r="B4244" t="s">
        <v>2360</v>
      </c>
      <c r="C4244" s="9">
        <v>45030</v>
      </c>
      <c r="D4244" t="s">
        <v>949</v>
      </c>
      <c r="E4244" s="13">
        <v>45000000</v>
      </c>
      <c r="F4244" s="13">
        <v>22200</v>
      </c>
      <c r="G4244" s="9">
        <v>45030</v>
      </c>
      <c r="H4244" t="s">
        <v>1111</v>
      </c>
      <c r="I4244" t="s">
        <v>1746</v>
      </c>
      <c r="J4244" s="13">
        <v>1248750</v>
      </c>
      <c r="K4244">
        <v>1</v>
      </c>
      <c r="L4244" t="s">
        <v>1064</v>
      </c>
      <c r="M4244" t="s">
        <v>1747</v>
      </c>
      <c r="N4244" s="15" t="s">
        <v>6878</v>
      </c>
    </row>
    <row r="4245" spans="1:14" x14ac:dyDescent="0.2">
      <c r="A4245" t="s">
        <v>5374</v>
      </c>
      <c r="B4245" t="s">
        <v>2360</v>
      </c>
      <c r="C4245" s="9">
        <v>45030</v>
      </c>
      <c r="D4245" t="s">
        <v>949</v>
      </c>
      <c r="E4245" s="13">
        <v>45000000</v>
      </c>
      <c r="F4245" s="13">
        <v>22200</v>
      </c>
      <c r="G4245" s="9">
        <v>45030</v>
      </c>
      <c r="H4245" t="s">
        <v>1111</v>
      </c>
      <c r="I4245" t="s">
        <v>1746</v>
      </c>
      <c r="J4245" s="13">
        <v>1248750</v>
      </c>
      <c r="K4245">
        <v>1</v>
      </c>
      <c r="L4245" t="s">
        <v>1064</v>
      </c>
      <c r="M4245" t="s">
        <v>1747</v>
      </c>
      <c r="N4245" s="15" t="s">
        <v>6878</v>
      </c>
    </row>
    <row r="4246" spans="1:14" x14ac:dyDescent="0.2">
      <c r="A4246" t="s">
        <v>5375</v>
      </c>
      <c r="B4246" t="s">
        <v>2360</v>
      </c>
      <c r="C4246" s="9">
        <v>45030</v>
      </c>
      <c r="D4246" t="s">
        <v>949</v>
      </c>
      <c r="E4246" s="13">
        <v>45000000</v>
      </c>
      <c r="F4246" s="13">
        <v>22200</v>
      </c>
      <c r="G4246" s="9">
        <v>45030</v>
      </c>
      <c r="H4246" t="s">
        <v>1111</v>
      </c>
      <c r="I4246" t="s">
        <v>1746</v>
      </c>
      <c r="J4246" s="13">
        <v>1248750</v>
      </c>
      <c r="K4246">
        <v>1</v>
      </c>
      <c r="L4246" t="s">
        <v>1064</v>
      </c>
      <c r="M4246" t="s">
        <v>1747</v>
      </c>
      <c r="N4246" s="15" t="s">
        <v>6878</v>
      </c>
    </row>
    <row r="4247" spans="1:14" x14ac:dyDescent="0.2">
      <c r="A4247" t="s">
        <v>5376</v>
      </c>
      <c r="B4247" t="s">
        <v>2360</v>
      </c>
      <c r="C4247" s="9">
        <v>45030</v>
      </c>
      <c r="D4247" t="s">
        <v>949</v>
      </c>
      <c r="E4247" s="13">
        <v>64810000</v>
      </c>
      <c r="F4247" s="13">
        <v>22200</v>
      </c>
      <c r="G4247" s="9">
        <v>45030</v>
      </c>
      <c r="H4247" t="s">
        <v>1111</v>
      </c>
      <c r="I4247" t="s">
        <v>1746</v>
      </c>
      <c r="J4247" s="13">
        <v>1798477</v>
      </c>
      <c r="K4247">
        <v>1</v>
      </c>
      <c r="L4247" t="s">
        <v>1064</v>
      </c>
      <c r="M4247" t="s">
        <v>1747</v>
      </c>
      <c r="N4247" s="15" t="s">
        <v>6878</v>
      </c>
    </row>
    <row r="4248" spans="1:14" x14ac:dyDescent="0.2">
      <c r="A4248" t="s">
        <v>5377</v>
      </c>
      <c r="B4248" t="s">
        <v>2360</v>
      </c>
      <c r="C4248" s="9">
        <v>45031</v>
      </c>
      <c r="D4248" t="s">
        <v>981</v>
      </c>
      <c r="E4248" s="13">
        <v>8125000</v>
      </c>
      <c r="F4248" s="13">
        <v>27750</v>
      </c>
      <c r="G4248" s="9">
        <v>45032</v>
      </c>
      <c r="H4248" t="s">
        <v>1111</v>
      </c>
      <c r="I4248" t="s">
        <v>4222</v>
      </c>
      <c r="J4248" s="13">
        <v>360750</v>
      </c>
      <c r="K4248">
        <v>1</v>
      </c>
      <c r="L4248" t="s">
        <v>1064</v>
      </c>
      <c r="M4248" t="s">
        <v>4223</v>
      </c>
      <c r="N4248" s="15" t="s">
        <v>6878</v>
      </c>
    </row>
    <row r="4249" spans="1:14" x14ac:dyDescent="0.2">
      <c r="A4249" t="s">
        <v>5378</v>
      </c>
      <c r="B4249" t="s">
        <v>2360</v>
      </c>
      <c r="C4249" s="9">
        <v>45031</v>
      </c>
      <c r="D4249" t="s">
        <v>981</v>
      </c>
      <c r="E4249" s="13">
        <v>8125000</v>
      </c>
      <c r="F4249" s="13">
        <v>27750</v>
      </c>
      <c r="G4249" s="9">
        <v>45032</v>
      </c>
      <c r="H4249" t="s">
        <v>1111</v>
      </c>
      <c r="I4249" t="s">
        <v>4222</v>
      </c>
      <c r="J4249" s="13">
        <v>360750</v>
      </c>
      <c r="K4249">
        <v>1</v>
      </c>
      <c r="L4249" t="s">
        <v>1064</v>
      </c>
      <c r="M4249" t="s">
        <v>4223</v>
      </c>
      <c r="N4249" s="15" t="s">
        <v>6878</v>
      </c>
    </row>
    <row r="4250" spans="1:14" x14ac:dyDescent="0.2">
      <c r="A4250" t="s">
        <v>5379</v>
      </c>
      <c r="B4250" t="s">
        <v>2360</v>
      </c>
      <c r="C4250" s="9">
        <v>45031</v>
      </c>
      <c r="D4250" t="s">
        <v>981</v>
      </c>
      <c r="E4250" s="13">
        <v>1950000</v>
      </c>
      <c r="F4250" s="13">
        <v>27750</v>
      </c>
      <c r="G4250" s="9">
        <v>45032</v>
      </c>
      <c r="H4250" t="s">
        <v>1111</v>
      </c>
      <c r="I4250" t="s">
        <v>4222</v>
      </c>
      <c r="J4250" s="13">
        <v>86580</v>
      </c>
      <c r="K4250">
        <v>1</v>
      </c>
      <c r="L4250" t="s">
        <v>1064</v>
      </c>
      <c r="M4250" t="s">
        <v>4223</v>
      </c>
      <c r="N4250" s="15" t="s">
        <v>6878</v>
      </c>
    </row>
    <row r="4251" spans="1:14" x14ac:dyDescent="0.2">
      <c r="A4251" t="s">
        <v>5380</v>
      </c>
      <c r="B4251" t="s">
        <v>2360</v>
      </c>
      <c r="C4251" s="9">
        <v>45031</v>
      </c>
      <c r="D4251" t="s">
        <v>981</v>
      </c>
      <c r="E4251" s="13">
        <v>1680000</v>
      </c>
      <c r="F4251" s="13">
        <v>27750</v>
      </c>
      <c r="G4251" s="9">
        <v>45032</v>
      </c>
      <c r="H4251" t="s">
        <v>1111</v>
      </c>
      <c r="I4251" t="s">
        <v>4222</v>
      </c>
      <c r="J4251" s="13">
        <v>74592</v>
      </c>
      <c r="K4251">
        <v>1</v>
      </c>
      <c r="L4251" t="s">
        <v>1064</v>
      </c>
      <c r="M4251" t="s">
        <v>4223</v>
      </c>
      <c r="N4251" s="15" t="s">
        <v>6878</v>
      </c>
    </row>
    <row r="4252" spans="1:14" x14ac:dyDescent="0.2">
      <c r="A4252" t="s">
        <v>5381</v>
      </c>
      <c r="B4252" t="s">
        <v>2360</v>
      </c>
      <c r="C4252" s="9">
        <v>45031</v>
      </c>
      <c r="D4252" t="s">
        <v>981</v>
      </c>
      <c r="E4252" s="13">
        <v>3275000</v>
      </c>
      <c r="F4252" s="13">
        <v>27750</v>
      </c>
      <c r="G4252" s="9">
        <v>45032</v>
      </c>
      <c r="H4252" t="s">
        <v>1111</v>
      </c>
      <c r="I4252" t="s">
        <v>4222</v>
      </c>
      <c r="J4252" s="13">
        <v>145410</v>
      </c>
      <c r="K4252">
        <v>1</v>
      </c>
      <c r="L4252" t="s">
        <v>1064</v>
      </c>
      <c r="M4252" t="s">
        <v>4223</v>
      </c>
      <c r="N4252" s="15" t="s">
        <v>6878</v>
      </c>
    </row>
    <row r="4253" spans="1:14" x14ac:dyDescent="0.2">
      <c r="A4253" t="s">
        <v>5382</v>
      </c>
      <c r="B4253" t="s">
        <v>2360</v>
      </c>
      <c r="C4253" s="9">
        <v>45031</v>
      </c>
      <c r="D4253" t="s">
        <v>981</v>
      </c>
      <c r="E4253" s="13">
        <v>3275000</v>
      </c>
      <c r="F4253" s="13">
        <v>27750</v>
      </c>
      <c r="G4253" s="9">
        <v>45032</v>
      </c>
      <c r="H4253" t="s">
        <v>1111</v>
      </c>
      <c r="I4253" t="s">
        <v>4222</v>
      </c>
      <c r="J4253" s="13">
        <v>145410</v>
      </c>
      <c r="K4253">
        <v>1</v>
      </c>
      <c r="L4253" t="s">
        <v>1064</v>
      </c>
      <c r="M4253" t="s">
        <v>4223</v>
      </c>
      <c r="N4253" s="15" t="s">
        <v>6878</v>
      </c>
    </row>
    <row r="4254" spans="1:14" x14ac:dyDescent="0.2">
      <c r="A4254" t="s">
        <v>5383</v>
      </c>
      <c r="B4254" t="s">
        <v>2360</v>
      </c>
      <c r="C4254" s="9">
        <v>45031</v>
      </c>
      <c r="D4254" t="s">
        <v>981</v>
      </c>
      <c r="E4254" s="13">
        <v>3275000</v>
      </c>
      <c r="F4254" s="13">
        <v>27750</v>
      </c>
      <c r="G4254" s="9">
        <v>45032</v>
      </c>
      <c r="H4254" t="s">
        <v>1111</v>
      </c>
      <c r="I4254" t="s">
        <v>4222</v>
      </c>
      <c r="J4254" s="13">
        <v>145410</v>
      </c>
      <c r="K4254">
        <v>1</v>
      </c>
      <c r="L4254" t="s">
        <v>1064</v>
      </c>
      <c r="M4254" t="s">
        <v>4223</v>
      </c>
      <c r="N4254" s="15" t="s">
        <v>6878</v>
      </c>
    </row>
    <row r="4255" spans="1:14" x14ac:dyDescent="0.2">
      <c r="A4255" t="s">
        <v>5384</v>
      </c>
      <c r="B4255" t="s">
        <v>2360</v>
      </c>
      <c r="C4255" s="9">
        <v>45031</v>
      </c>
      <c r="D4255" t="s">
        <v>981</v>
      </c>
      <c r="E4255" s="13">
        <v>1905000</v>
      </c>
      <c r="F4255" s="13">
        <v>27750</v>
      </c>
      <c r="G4255" s="9">
        <v>45032</v>
      </c>
      <c r="H4255" t="s">
        <v>1111</v>
      </c>
      <c r="I4255" t="s">
        <v>4222</v>
      </c>
      <c r="J4255" s="13">
        <v>84582</v>
      </c>
      <c r="K4255">
        <v>1</v>
      </c>
      <c r="L4255" t="s">
        <v>1064</v>
      </c>
      <c r="M4255" t="s">
        <v>4223</v>
      </c>
      <c r="N4255" s="15" t="s">
        <v>6878</v>
      </c>
    </row>
    <row r="4256" spans="1:14" x14ac:dyDescent="0.2">
      <c r="A4256" t="s">
        <v>5385</v>
      </c>
      <c r="B4256" t="s">
        <v>2360</v>
      </c>
      <c r="C4256" s="9">
        <v>45031</v>
      </c>
      <c r="D4256" t="s">
        <v>981</v>
      </c>
      <c r="E4256" s="13">
        <v>1905000</v>
      </c>
      <c r="F4256" s="13">
        <v>27750</v>
      </c>
      <c r="G4256" s="9">
        <v>45032</v>
      </c>
      <c r="H4256" t="s">
        <v>1111</v>
      </c>
      <c r="I4256" t="s">
        <v>4222</v>
      </c>
      <c r="J4256" s="13">
        <v>84582</v>
      </c>
      <c r="K4256">
        <v>1</v>
      </c>
      <c r="L4256" t="s">
        <v>1064</v>
      </c>
      <c r="M4256" t="s">
        <v>4223</v>
      </c>
      <c r="N4256" s="15" t="s">
        <v>6878</v>
      </c>
    </row>
    <row r="4257" spans="1:14" x14ac:dyDescent="0.2">
      <c r="A4257" t="s">
        <v>5386</v>
      </c>
      <c r="B4257" t="s">
        <v>2360</v>
      </c>
      <c r="C4257" s="9">
        <v>45031</v>
      </c>
      <c r="D4257" t="s">
        <v>981</v>
      </c>
      <c r="E4257" s="13">
        <v>1950000</v>
      </c>
      <c r="F4257" s="13">
        <v>27750</v>
      </c>
      <c r="G4257" s="9">
        <v>45032</v>
      </c>
      <c r="H4257" t="s">
        <v>1111</v>
      </c>
      <c r="I4257" t="s">
        <v>4222</v>
      </c>
      <c r="J4257" s="13">
        <v>86580</v>
      </c>
      <c r="K4257">
        <v>1</v>
      </c>
      <c r="L4257" t="s">
        <v>1064</v>
      </c>
      <c r="M4257" t="s">
        <v>4223</v>
      </c>
      <c r="N4257" s="15" t="s">
        <v>6878</v>
      </c>
    </row>
    <row r="4258" spans="1:14" x14ac:dyDescent="0.2">
      <c r="A4258" t="s">
        <v>5387</v>
      </c>
      <c r="B4258" t="s">
        <v>2360</v>
      </c>
      <c r="C4258" s="9">
        <v>45031</v>
      </c>
      <c r="D4258" t="s">
        <v>981</v>
      </c>
      <c r="E4258" s="13">
        <v>1905000</v>
      </c>
      <c r="F4258" s="13">
        <v>27750</v>
      </c>
      <c r="G4258" s="9">
        <v>45032</v>
      </c>
      <c r="H4258" t="s">
        <v>1111</v>
      </c>
      <c r="I4258" t="s">
        <v>4222</v>
      </c>
      <c r="J4258" s="13">
        <v>84582</v>
      </c>
      <c r="K4258">
        <v>1</v>
      </c>
      <c r="L4258" t="s">
        <v>1064</v>
      </c>
      <c r="M4258" t="s">
        <v>4223</v>
      </c>
      <c r="N4258" s="15" t="s">
        <v>6878</v>
      </c>
    </row>
    <row r="4259" spans="1:14" x14ac:dyDescent="0.2">
      <c r="A4259" t="s">
        <v>5388</v>
      </c>
      <c r="B4259" t="s">
        <v>2360</v>
      </c>
      <c r="C4259" s="9">
        <v>45031</v>
      </c>
      <c r="D4259" t="s">
        <v>981</v>
      </c>
      <c r="E4259" s="13">
        <v>3275000</v>
      </c>
      <c r="F4259" s="13">
        <v>27750</v>
      </c>
      <c r="G4259" s="9">
        <v>45032</v>
      </c>
      <c r="H4259" t="s">
        <v>1111</v>
      </c>
      <c r="I4259" t="s">
        <v>4222</v>
      </c>
      <c r="J4259" s="13">
        <v>145410</v>
      </c>
      <c r="K4259">
        <v>1</v>
      </c>
      <c r="L4259" t="s">
        <v>1064</v>
      </c>
      <c r="M4259" t="s">
        <v>4223</v>
      </c>
      <c r="N4259" s="15" t="s">
        <v>6878</v>
      </c>
    </row>
    <row r="4260" spans="1:14" x14ac:dyDescent="0.2">
      <c r="A4260" t="s">
        <v>5389</v>
      </c>
      <c r="B4260" t="s">
        <v>2360</v>
      </c>
      <c r="C4260" s="9">
        <v>45031</v>
      </c>
      <c r="D4260" t="s">
        <v>981</v>
      </c>
      <c r="E4260" s="13">
        <v>1905000</v>
      </c>
      <c r="F4260" s="13">
        <v>27750</v>
      </c>
      <c r="G4260" s="9">
        <v>45032</v>
      </c>
      <c r="H4260" t="s">
        <v>1111</v>
      </c>
      <c r="I4260" t="s">
        <v>4222</v>
      </c>
      <c r="J4260" s="13">
        <v>84582</v>
      </c>
      <c r="K4260">
        <v>1</v>
      </c>
      <c r="L4260" t="s">
        <v>1064</v>
      </c>
      <c r="M4260" t="s">
        <v>4223</v>
      </c>
      <c r="N4260" s="15" t="s">
        <v>6878</v>
      </c>
    </row>
    <row r="4261" spans="1:14" x14ac:dyDescent="0.2">
      <c r="A4261" t="s">
        <v>5390</v>
      </c>
      <c r="B4261" t="s">
        <v>2360</v>
      </c>
      <c r="C4261" s="9">
        <v>45031</v>
      </c>
      <c r="D4261" t="s">
        <v>981</v>
      </c>
      <c r="E4261" s="13">
        <v>2195000</v>
      </c>
      <c r="F4261" s="13">
        <v>27750</v>
      </c>
      <c r="G4261" s="9">
        <v>45032</v>
      </c>
      <c r="H4261" t="s">
        <v>1111</v>
      </c>
      <c r="I4261" t="s">
        <v>4222</v>
      </c>
      <c r="J4261" s="13">
        <v>97458</v>
      </c>
      <c r="K4261">
        <v>1</v>
      </c>
      <c r="L4261" t="s">
        <v>1064</v>
      </c>
      <c r="M4261" t="s">
        <v>4223</v>
      </c>
      <c r="N4261" s="15" t="s">
        <v>6878</v>
      </c>
    </row>
    <row r="4262" spans="1:14" x14ac:dyDescent="0.2">
      <c r="A4262" t="s">
        <v>5391</v>
      </c>
      <c r="B4262" t="s">
        <v>2360</v>
      </c>
      <c r="C4262" s="9">
        <v>45031</v>
      </c>
      <c r="D4262" t="s">
        <v>981</v>
      </c>
      <c r="E4262" s="13">
        <v>2195000</v>
      </c>
      <c r="F4262" s="13">
        <v>27750</v>
      </c>
      <c r="G4262" s="9">
        <v>45032</v>
      </c>
      <c r="H4262" t="s">
        <v>1111</v>
      </c>
      <c r="I4262" t="s">
        <v>4222</v>
      </c>
      <c r="J4262" s="13">
        <v>97458</v>
      </c>
      <c r="K4262">
        <v>1</v>
      </c>
      <c r="L4262" t="s">
        <v>1064</v>
      </c>
      <c r="M4262" t="s">
        <v>4223</v>
      </c>
      <c r="N4262" s="15" t="s">
        <v>6878</v>
      </c>
    </row>
    <row r="4263" spans="1:14" x14ac:dyDescent="0.2">
      <c r="A4263" t="s">
        <v>5392</v>
      </c>
      <c r="B4263" t="s">
        <v>2360</v>
      </c>
      <c r="C4263" s="9">
        <v>45031</v>
      </c>
      <c r="D4263" t="s">
        <v>981</v>
      </c>
      <c r="E4263" s="13">
        <v>2195000</v>
      </c>
      <c r="F4263" s="13">
        <v>27750</v>
      </c>
      <c r="G4263" s="9">
        <v>45032</v>
      </c>
      <c r="H4263" t="s">
        <v>1111</v>
      </c>
      <c r="I4263" t="s">
        <v>4222</v>
      </c>
      <c r="J4263" s="13">
        <v>97458</v>
      </c>
      <c r="K4263">
        <v>1</v>
      </c>
      <c r="L4263" t="s">
        <v>1064</v>
      </c>
      <c r="M4263" t="s">
        <v>4223</v>
      </c>
      <c r="N4263" s="15" t="s">
        <v>6878</v>
      </c>
    </row>
    <row r="4264" spans="1:14" x14ac:dyDescent="0.2">
      <c r="A4264" t="s">
        <v>5393</v>
      </c>
      <c r="B4264" t="s">
        <v>2360</v>
      </c>
      <c r="C4264" s="9">
        <v>45031</v>
      </c>
      <c r="D4264" t="s">
        <v>981</v>
      </c>
      <c r="E4264" s="13">
        <v>2510000</v>
      </c>
      <c r="F4264" s="13">
        <v>27750</v>
      </c>
      <c r="G4264" s="9">
        <v>45032</v>
      </c>
      <c r="H4264" t="s">
        <v>1111</v>
      </c>
      <c r="I4264" t="s">
        <v>4222</v>
      </c>
      <c r="J4264" s="13">
        <v>111444</v>
      </c>
      <c r="K4264">
        <v>1</v>
      </c>
      <c r="L4264" t="s">
        <v>1064</v>
      </c>
      <c r="M4264" t="s">
        <v>4223</v>
      </c>
      <c r="N4264" s="15" t="s">
        <v>6878</v>
      </c>
    </row>
    <row r="4265" spans="1:14" x14ac:dyDescent="0.2">
      <c r="A4265" t="s">
        <v>5394</v>
      </c>
      <c r="B4265" t="s">
        <v>2360</v>
      </c>
      <c r="C4265" s="9">
        <v>45031</v>
      </c>
      <c r="D4265" t="s">
        <v>981</v>
      </c>
      <c r="E4265" s="13">
        <v>1950000</v>
      </c>
      <c r="F4265" s="13">
        <v>27750</v>
      </c>
      <c r="G4265" s="9">
        <v>45032</v>
      </c>
      <c r="H4265" t="s">
        <v>1111</v>
      </c>
      <c r="I4265" t="s">
        <v>4222</v>
      </c>
      <c r="J4265" s="13">
        <v>86580</v>
      </c>
      <c r="K4265">
        <v>1</v>
      </c>
      <c r="L4265" t="s">
        <v>1064</v>
      </c>
      <c r="M4265" t="s">
        <v>4223</v>
      </c>
      <c r="N4265" s="15" t="s">
        <v>6878</v>
      </c>
    </row>
    <row r="4266" spans="1:14" x14ac:dyDescent="0.2">
      <c r="A4266" t="s">
        <v>5395</v>
      </c>
      <c r="B4266" t="s">
        <v>2360</v>
      </c>
      <c r="C4266" s="9">
        <v>45031</v>
      </c>
      <c r="D4266" t="s">
        <v>981</v>
      </c>
      <c r="E4266" s="13">
        <v>1950000</v>
      </c>
      <c r="F4266" s="13">
        <v>27750</v>
      </c>
      <c r="G4266" s="9">
        <v>45032</v>
      </c>
      <c r="H4266" t="s">
        <v>1111</v>
      </c>
      <c r="I4266" t="s">
        <v>4222</v>
      </c>
      <c r="J4266" s="13">
        <v>86580</v>
      </c>
      <c r="K4266">
        <v>1</v>
      </c>
      <c r="L4266" t="s">
        <v>1064</v>
      </c>
      <c r="M4266" t="s">
        <v>4223</v>
      </c>
      <c r="N4266" s="15" t="s">
        <v>6878</v>
      </c>
    </row>
    <row r="4267" spans="1:14" x14ac:dyDescent="0.2">
      <c r="A4267" t="s">
        <v>5396</v>
      </c>
      <c r="B4267" t="s">
        <v>2360</v>
      </c>
      <c r="C4267" s="9">
        <v>45031</v>
      </c>
      <c r="D4267" t="s">
        <v>981</v>
      </c>
      <c r="E4267" s="13">
        <v>1655000</v>
      </c>
      <c r="F4267" s="13">
        <v>27750</v>
      </c>
      <c r="G4267" s="9">
        <v>45032</v>
      </c>
      <c r="H4267" t="s">
        <v>1111</v>
      </c>
      <c r="I4267" t="s">
        <v>4222</v>
      </c>
      <c r="J4267" s="13">
        <v>73482</v>
      </c>
      <c r="K4267">
        <v>1</v>
      </c>
      <c r="L4267" t="s">
        <v>1064</v>
      </c>
      <c r="M4267" t="s">
        <v>4223</v>
      </c>
      <c r="N4267" s="15" t="s">
        <v>6878</v>
      </c>
    </row>
    <row r="4268" spans="1:14" x14ac:dyDescent="0.2">
      <c r="A4268" t="s">
        <v>5397</v>
      </c>
      <c r="B4268" t="s">
        <v>2360</v>
      </c>
      <c r="C4268" s="9">
        <v>45031</v>
      </c>
      <c r="D4268" t="s">
        <v>981</v>
      </c>
      <c r="E4268" s="13">
        <v>1815000</v>
      </c>
      <c r="F4268" s="13">
        <v>27750</v>
      </c>
      <c r="G4268" s="9">
        <v>45032</v>
      </c>
      <c r="H4268" t="s">
        <v>1111</v>
      </c>
      <c r="I4268" t="s">
        <v>4222</v>
      </c>
      <c r="J4268" s="13">
        <v>80586</v>
      </c>
      <c r="K4268">
        <v>1</v>
      </c>
      <c r="L4268" t="s">
        <v>1064</v>
      </c>
      <c r="M4268" t="s">
        <v>4223</v>
      </c>
      <c r="N4268" s="15" t="s">
        <v>6878</v>
      </c>
    </row>
    <row r="4269" spans="1:14" x14ac:dyDescent="0.2">
      <c r="A4269" t="s">
        <v>5398</v>
      </c>
      <c r="B4269" t="s">
        <v>2360</v>
      </c>
      <c r="C4269" s="9">
        <v>45031</v>
      </c>
      <c r="D4269" t="s">
        <v>981</v>
      </c>
      <c r="E4269" s="13">
        <v>1655000</v>
      </c>
      <c r="F4269" s="13">
        <v>27750</v>
      </c>
      <c r="G4269" s="9">
        <v>45032</v>
      </c>
      <c r="H4269" t="s">
        <v>1111</v>
      </c>
      <c r="I4269" t="s">
        <v>4222</v>
      </c>
      <c r="J4269" s="13">
        <v>73482</v>
      </c>
      <c r="K4269">
        <v>1</v>
      </c>
      <c r="L4269" t="s">
        <v>1064</v>
      </c>
      <c r="M4269" t="s">
        <v>4223</v>
      </c>
      <c r="N4269" s="15" t="s">
        <v>6878</v>
      </c>
    </row>
    <row r="4270" spans="1:14" x14ac:dyDescent="0.2">
      <c r="A4270" t="s">
        <v>5399</v>
      </c>
      <c r="B4270" t="s">
        <v>2360</v>
      </c>
      <c r="C4270" s="9">
        <v>45031</v>
      </c>
      <c r="D4270" t="s">
        <v>981</v>
      </c>
      <c r="E4270" s="13">
        <v>1655000</v>
      </c>
      <c r="F4270" s="13">
        <v>27750</v>
      </c>
      <c r="G4270" s="9">
        <v>45032</v>
      </c>
      <c r="H4270" t="s">
        <v>1111</v>
      </c>
      <c r="I4270" t="s">
        <v>4222</v>
      </c>
      <c r="J4270" s="13">
        <v>73482</v>
      </c>
      <c r="K4270">
        <v>1</v>
      </c>
      <c r="L4270" t="s">
        <v>1064</v>
      </c>
      <c r="M4270" t="s">
        <v>4223</v>
      </c>
      <c r="N4270" s="15" t="s">
        <v>6878</v>
      </c>
    </row>
    <row r="4271" spans="1:14" x14ac:dyDescent="0.2">
      <c r="A4271" t="s">
        <v>5400</v>
      </c>
      <c r="B4271" t="s">
        <v>2360</v>
      </c>
      <c r="C4271" s="9">
        <v>45031</v>
      </c>
      <c r="D4271" t="s">
        <v>981</v>
      </c>
      <c r="E4271" s="13">
        <v>1655000</v>
      </c>
      <c r="F4271" s="13">
        <v>27750</v>
      </c>
      <c r="G4271" s="9">
        <v>45032</v>
      </c>
      <c r="H4271" t="s">
        <v>1111</v>
      </c>
      <c r="I4271" t="s">
        <v>4222</v>
      </c>
      <c r="J4271" s="13">
        <v>73482</v>
      </c>
      <c r="K4271">
        <v>1</v>
      </c>
      <c r="L4271" t="s">
        <v>1064</v>
      </c>
      <c r="M4271" t="s">
        <v>4223</v>
      </c>
      <c r="N4271" s="15" t="s">
        <v>6878</v>
      </c>
    </row>
    <row r="4272" spans="1:14" x14ac:dyDescent="0.2">
      <c r="A4272" t="s">
        <v>5401</v>
      </c>
      <c r="B4272" t="s">
        <v>2360</v>
      </c>
      <c r="C4272" s="9">
        <v>45031</v>
      </c>
      <c r="D4272" t="s">
        <v>981</v>
      </c>
      <c r="E4272" s="13">
        <v>1242000</v>
      </c>
      <c r="F4272" s="13">
        <v>27750</v>
      </c>
      <c r="G4272" s="9">
        <v>45032</v>
      </c>
      <c r="H4272" t="s">
        <v>1111</v>
      </c>
      <c r="I4272" t="s">
        <v>4222</v>
      </c>
      <c r="J4272" s="13">
        <v>55144</v>
      </c>
      <c r="K4272">
        <v>1</v>
      </c>
      <c r="L4272" t="s">
        <v>1064</v>
      </c>
      <c r="M4272" t="s">
        <v>4223</v>
      </c>
      <c r="N4272" s="15" t="s">
        <v>6878</v>
      </c>
    </row>
    <row r="4273" spans="1:14" x14ac:dyDescent="0.2">
      <c r="A4273" t="s">
        <v>5402</v>
      </c>
      <c r="B4273" t="s">
        <v>2360</v>
      </c>
      <c r="C4273" s="9">
        <v>45031</v>
      </c>
      <c r="D4273" t="s">
        <v>981</v>
      </c>
      <c r="E4273" s="13">
        <v>3400000</v>
      </c>
      <c r="F4273" s="13">
        <v>27750</v>
      </c>
      <c r="G4273" s="9">
        <v>45032</v>
      </c>
      <c r="H4273" t="s">
        <v>1111</v>
      </c>
      <c r="I4273" t="s">
        <v>4222</v>
      </c>
      <c r="J4273" s="13">
        <v>150960</v>
      </c>
      <c r="K4273">
        <v>1</v>
      </c>
      <c r="L4273" t="s">
        <v>1064</v>
      </c>
      <c r="M4273" t="s">
        <v>4223</v>
      </c>
      <c r="N4273" s="15" t="s">
        <v>6878</v>
      </c>
    </row>
    <row r="4274" spans="1:14" x14ac:dyDescent="0.2">
      <c r="A4274" t="s">
        <v>5403</v>
      </c>
      <c r="B4274" t="s">
        <v>2360</v>
      </c>
      <c r="C4274" s="9">
        <v>45031</v>
      </c>
      <c r="D4274" t="s">
        <v>981</v>
      </c>
      <c r="E4274" s="13">
        <v>1815000</v>
      </c>
      <c r="F4274" s="13">
        <v>27750</v>
      </c>
      <c r="G4274" s="9">
        <v>45032</v>
      </c>
      <c r="H4274" t="s">
        <v>1111</v>
      </c>
      <c r="I4274" t="s">
        <v>4222</v>
      </c>
      <c r="J4274" s="13">
        <v>80586</v>
      </c>
      <c r="K4274">
        <v>1</v>
      </c>
      <c r="L4274" t="s">
        <v>1064</v>
      </c>
      <c r="M4274" t="s">
        <v>4223</v>
      </c>
      <c r="N4274" s="15" t="s">
        <v>6878</v>
      </c>
    </row>
    <row r="4275" spans="1:14" x14ac:dyDescent="0.2">
      <c r="A4275" t="s">
        <v>5404</v>
      </c>
      <c r="B4275" t="s">
        <v>2360</v>
      </c>
      <c r="C4275" s="9">
        <v>45031</v>
      </c>
      <c r="D4275" t="s">
        <v>981</v>
      </c>
      <c r="E4275" s="13">
        <v>1150000</v>
      </c>
      <c r="F4275" s="13">
        <v>27750</v>
      </c>
      <c r="G4275" s="9">
        <v>45032</v>
      </c>
      <c r="H4275" t="s">
        <v>1111</v>
      </c>
      <c r="I4275" t="s">
        <v>4222</v>
      </c>
      <c r="J4275" s="13">
        <v>51060</v>
      </c>
      <c r="K4275">
        <v>1</v>
      </c>
      <c r="L4275" t="s">
        <v>1064</v>
      </c>
      <c r="M4275" t="s">
        <v>4223</v>
      </c>
      <c r="N4275" s="15" t="s">
        <v>6878</v>
      </c>
    </row>
    <row r="4276" spans="1:14" x14ac:dyDescent="0.2">
      <c r="A4276" t="s">
        <v>5405</v>
      </c>
      <c r="B4276" t="s">
        <v>2360</v>
      </c>
      <c r="C4276" s="9">
        <v>45031</v>
      </c>
      <c r="D4276" t="s">
        <v>981</v>
      </c>
      <c r="E4276" s="13">
        <v>1655000</v>
      </c>
      <c r="F4276" s="13">
        <v>27750</v>
      </c>
      <c r="G4276" s="9">
        <v>45032</v>
      </c>
      <c r="H4276" t="s">
        <v>1111</v>
      </c>
      <c r="I4276" t="s">
        <v>4222</v>
      </c>
      <c r="J4276" s="13">
        <v>73482</v>
      </c>
      <c r="K4276">
        <v>1</v>
      </c>
      <c r="L4276" t="s">
        <v>1064</v>
      </c>
      <c r="M4276" t="s">
        <v>4223</v>
      </c>
      <c r="N4276" s="15" t="s">
        <v>6878</v>
      </c>
    </row>
    <row r="4277" spans="1:14" x14ac:dyDescent="0.2">
      <c r="A4277" t="s">
        <v>5406</v>
      </c>
      <c r="B4277" t="s">
        <v>2360</v>
      </c>
      <c r="C4277" s="9">
        <v>45031</v>
      </c>
      <c r="D4277" t="s">
        <v>981</v>
      </c>
      <c r="E4277" s="13">
        <v>1880000</v>
      </c>
      <c r="F4277" s="13">
        <v>27750</v>
      </c>
      <c r="G4277" s="9">
        <v>45032</v>
      </c>
      <c r="H4277" t="s">
        <v>1111</v>
      </c>
      <c r="I4277" t="s">
        <v>4222</v>
      </c>
      <c r="J4277" s="13">
        <v>83472</v>
      </c>
      <c r="K4277">
        <v>1</v>
      </c>
      <c r="L4277" t="s">
        <v>1064</v>
      </c>
      <c r="M4277" t="s">
        <v>4223</v>
      </c>
      <c r="N4277" s="15" t="s">
        <v>6878</v>
      </c>
    </row>
    <row r="4278" spans="1:14" x14ac:dyDescent="0.2">
      <c r="A4278" t="s">
        <v>5407</v>
      </c>
      <c r="B4278" t="s">
        <v>2360</v>
      </c>
      <c r="C4278" s="9">
        <v>45031</v>
      </c>
      <c r="D4278" t="s">
        <v>981</v>
      </c>
      <c r="E4278" s="13">
        <v>1150000</v>
      </c>
      <c r="F4278" s="13">
        <v>27750</v>
      </c>
      <c r="G4278" s="9">
        <v>45032</v>
      </c>
      <c r="H4278" t="s">
        <v>1111</v>
      </c>
      <c r="I4278" t="s">
        <v>4222</v>
      </c>
      <c r="J4278" s="13">
        <v>51060</v>
      </c>
      <c r="K4278">
        <v>1</v>
      </c>
      <c r="L4278" t="s">
        <v>1064</v>
      </c>
      <c r="M4278" t="s">
        <v>4223</v>
      </c>
      <c r="N4278" s="15" t="s">
        <v>6878</v>
      </c>
    </row>
    <row r="4279" spans="1:14" x14ac:dyDescent="0.2">
      <c r="A4279" t="s">
        <v>5408</v>
      </c>
      <c r="B4279" t="s">
        <v>2360</v>
      </c>
      <c r="C4279" s="9">
        <v>45031</v>
      </c>
      <c r="D4279" t="s">
        <v>981</v>
      </c>
      <c r="E4279" s="13">
        <v>2485000</v>
      </c>
      <c r="F4279" s="13">
        <v>27750</v>
      </c>
      <c r="G4279" s="9">
        <v>45032</v>
      </c>
      <c r="H4279" t="s">
        <v>1111</v>
      </c>
      <c r="I4279" t="s">
        <v>4222</v>
      </c>
      <c r="J4279" s="13">
        <v>110334</v>
      </c>
      <c r="K4279">
        <v>1</v>
      </c>
      <c r="L4279" t="s">
        <v>1064</v>
      </c>
      <c r="M4279" t="s">
        <v>4223</v>
      </c>
      <c r="N4279" s="15" t="s">
        <v>6878</v>
      </c>
    </row>
    <row r="4280" spans="1:14" x14ac:dyDescent="0.2">
      <c r="A4280" t="s">
        <v>5409</v>
      </c>
      <c r="B4280" t="s">
        <v>2360</v>
      </c>
      <c r="C4280" s="9">
        <v>45031</v>
      </c>
      <c r="D4280" t="s">
        <v>981</v>
      </c>
      <c r="E4280" s="13">
        <v>1925000</v>
      </c>
      <c r="F4280" s="13">
        <v>27750</v>
      </c>
      <c r="G4280" s="9">
        <v>45032</v>
      </c>
      <c r="H4280" t="s">
        <v>1111</v>
      </c>
      <c r="I4280" t="s">
        <v>4222</v>
      </c>
      <c r="J4280" s="13">
        <v>85470</v>
      </c>
      <c r="K4280">
        <v>1</v>
      </c>
      <c r="L4280" t="s">
        <v>1064</v>
      </c>
      <c r="M4280" t="s">
        <v>4223</v>
      </c>
      <c r="N4280" s="15" t="s">
        <v>6878</v>
      </c>
    </row>
    <row r="4281" spans="1:14" x14ac:dyDescent="0.2">
      <c r="A4281" t="s">
        <v>5410</v>
      </c>
      <c r="B4281" t="s">
        <v>2360</v>
      </c>
      <c r="C4281" s="9">
        <v>45031</v>
      </c>
      <c r="D4281" t="s">
        <v>981</v>
      </c>
      <c r="E4281" s="13">
        <v>1150000</v>
      </c>
      <c r="F4281" s="13">
        <v>27750</v>
      </c>
      <c r="G4281" s="9">
        <v>45032</v>
      </c>
      <c r="H4281" t="s">
        <v>1111</v>
      </c>
      <c r="I4281" t="s">
        <v>4222</v>
      </c>
      <c r="J4281" s="13">
        <v>51060</v>
      </c>
      <c r="K4281">
        <v>1</v>
      </c>
      <c r="L4281" t="s">
        <v>1064</v>
      </c>
      <c r="M4281" t="s">
        <v>4223</v>
      </c>
      <c r="N4281" s="15" t="s">
        <v>6878</v>
      </c>
    </row>
    <row r="4282" spans="1:14" x14ac:dyDescent="0.2">
      <c r="A4282" t="s">
        <v>5411</v>
      </c>
      <c r="B4282" t="s">
        <v>2360</v>
      </c>
      <c r="C4282" s="9">
        <v>45031</v>
      </c>
      <c r="D4282" t="s">
        <v>981</v>
      </c>
      <c r="E4282" s="13">
        <v>1815000</v>
      </c>
      <c r="F4282" s="13">
        <v>27750</v>
      </c>
      <c r="G4282" s="9">
        <v>45032</v>
      </c>
      <c r="H4282" t="s">
        <v>1111</v>
      </c>
      <c r="I4282" t="s">
        <v>4222</v>
      </c>
      <c r="J4282" s="13">
        <v>80586</v>
      </c>
      <c r="K4282">
        <v>1</v>
      </c>
      <c r="L4282" t="s">
        <v>1064</v>
      </c>
      <c r="M4282" t="s">
        <v>4223</v>
      </c>
      <c r="N4282" s="15" t="s">
        <v>6878</v>
      </c>
    </row>
    <row r="4283" spans="1:14" x14ac:dyDescent="0.2">
      <c r="A4283" t="s">
        <v>5412</v>
      </c>
      <c r="B4283" t="s">
        <v>2360</v>
      </c>
      <c r="C4283" s="9">
        <v>45031</v>
      </c>
      <c r="D4283" t="s">
        <v>981</v>
      </c>
      <c r="E4283" s="13">
        <v>1880000</v>
      </c>
      <c r="F4283" s="13">
        <v>27750</v>
      </c>
      <c r="G4283" s="9">
        <v>45032</v>
      </c>
      <c r="H4283" t="s">
        <v>1111</v>
      </c>
      <c r="I4283" t="s">
        <v>4222</v>
      </c>
      <c r="J4283" s="13">
        <v>83472</v>
      </c>
      <c r="K4283">
        <v>1</v>
      </c>
      <c r="L4283" t="s">
        <v>1064</v>
      </c>
      <c r="M4283" t="s">
        <v>4223</v>
      </c>
      <c r="N4283" s="15" t="s">
        <v>6878</v>
      </c>
    </row>
    <row r="4284" spans="1:14" x14ac:dyDescent="0.2">
      <c r="A4284" t="s">
        <v>5413</v>
      </c>
      <c r="B4284" t="s">
        <v>2360</v>
      </c>
      <c r="C4284" s="9">
        <v>45031</v>
      </c>
      <c r="D4284" t="s">
        <v>981</v>
      </c>
      <c r="E4284" s="13">
        <v>2485000</v>
      </c>
      <c r="F4284" s="13">
        <v>27750</v>
      </c>
      <c r="G4284" s="9">
        <v>45032</v>
      </c>
      <c r="H4284" t="s">
        <v>1111</v>
      </c>
      <c r="I4284" t="s">
        <v>4222</v>
      </c>
      <c r="J4284" s="13">
        <v>110334</v>
      </c>
      <c r="K4284">
        <v>1</v>
      </c>
      <c r="L4284" t="s">
        <v>1064</v>
      </c>
      <c r="M4284" t="s">
        <v>4223</v>
      </c>
      <c r="N4284" s="15" t="s">
        <v>6878</v>
      </c>
    </row>
    <row r="4285" spans="1:14" x14ac:dyDescent="0.2">
      <c r="A4285" t="s">
        <v>5414</v>
      </c>
      <c r="B4285" t="s">
        <v>2360</v>
      </c>
      <c r="C4285" s="9">
        <v>45031</v>
      </c>
      <c r="D4285" t="s">
        <v>981</v>
      </c>
      <c r="E4285" s="13">
        <v>1880000</v>
      </c>
      <c r="F4285" s="13">
        <v>27750</v>
      </c>
      <c r="G4285" s="9">
        <v>45032</v>
      </c>
      <c r="H4285" t="s">
        <v>1111</v>
      </c>
      <c r="I4285" t="s">
        <v>4222</v>
      </c>
      <c r="J4285" s="13">
        <v>83472</v>
      </c>
      <c r="K4285">
        <v>1</v>
      </c>
      <c r="L4285" t="s">
        <v>1064</v>
      </c>
      <c r="M4285" t="s">
        <v>4223</v>
      </c>
      <c r="N4285" s="15" t="s">
        <v>6878</v>
      </c>
    </row>
    <row r="4286" spans="1:14" x14ac:dyDescent="0.2">
      <c r="A4286" t="s">
        <v>5415</v>
      </c>
      <c r="B4286" t="s">
        <v>2360</v>
      </c>
      <c r="C4286" s="9">
        <v>45031</v>
      </c>
      <c r="D4286" t="s">
        <v>981</v>
      </c>
      <c r="E4286" s="13">
        <v>1905000</v>
      </c>
      <c r="F4286" s="13">
        <v>27750</v>
      </c>
      <c r="G4286" s="9">
        <v>45032</v>
      </c>
      <c r="H4286" t="s">
        <v>1111</v>
      </c>
      <c r="I4286" t="s">
        <v>4222</v>
      </c>
      <c r="J4286" s="13">
        <v>84582</v>
      </c>
      <c r="K4286">
        <v>1</v>
      </c>
      <c r="L4286" t="s">
        <v>1064</v>
      </c>
      <c r="M4286" t="s">
        <v>4223</v>
      </c>
      <c r="N4286" s="15" t="s">
        <v>6878</v>
      </c>
    </row>
    <row r="4287" spans="1:14" x14ac:dyDescent="0.2">
      <c r="A4287" t="s">
        <v>5416</v>
      </c>
      <c r="B4287" t="s">
        <v>2360</v>
      </c>
      <c r="C4287" s="9">
        <v>45031</v>
      </c>
      <c r="D4287" t="s">
        <v>981</v>
      </c>
      <c r="E4287" s="13">
        <v>1025000</v>
      </c>
      <c r="F4287" s="13">
        <v>27750</v>
      </c>
      <c r="G4287" s="9">
        <v>45032</v>
      </c>
      <c r="H4287" t="s">
        <v>1111</v>
      </c>
      <c r="I4287" t="s">
        <v>4222</v>
      </c>
      <c r="J4287" s="13">
        <v>45510</v>
      </c>
      <c r="K4287">
        <v>1</v>
      </c>
      <c r="L4287" t="s">
        <v>1064</v>
      </c>
      <c r="M4287" t="s">
        <v>4223</v>
      </c>
      <c r="N4287" s="15" t="s">
        <v>6878</v>
      </c>
    </row>
    <row r="4288" spans="1:14" x14ac:dyDescent="0.2">
      <c r="A4288" t="s">
        <v>5417</v>
      </c>
      <c r="B4288" t="s">
        <v>2360</v>
      </c>
      <c r="C4288" s="9">
        <v>45031</v>
      </c>
      <c r="D4288" t="s">
        <v>981</v>
      </c>
      <c r="E4288" s="13">
        <v>1175000</v>
      </c>
      <c r="F4288" s="13">
        <v>27750</v>
      </c>
      <c r="G4288" s="9">
        <v>45032</v>
      </c>
      <c r="H4288" t="s">
        <v>1111</v>
      </c>
      <c r="I4288" t="s">
        <v>4222</v>
      </c>
      <c r="J4288" s="13">
        <v>52170</v>
      </c>
      <c r="K4288">
        <v>1</v>
      </c>
      <c r="L4288" t="s">
        <v>1064</v>
      </c>
      <c r="M4288" t="s">
        <v>4223</v>
      </c>
      <c r="N4288" s="15" t="s">
        <v>6878</v>
      </c>
    </row>
    <row r="4289" spans="1:14" x14ac:dyDescent="0.2">
      <c r="A4289" t="s">
        <v>5418</v>
      </c>
      <c r="B4289" t="s">
        <v>2360</v>
      </c>
      <c r="C4289" s="9">
        <v>45031</v>
      </c>
      <c r="D4289" t="s">
        <v>981</v>
      </c>
      <c r="E4289" s="13">
        <v>1175000</v>
      </c>
      <c r="F4289" s="13">
        <v>27750</v>
      </c>
      <c r="G4289" s="9">
        <v>45032</v>
      </c>
      <c r="H4289" t="s">
        <v>1111</v>
      </c>
      <c r="I4289" t="s">
        <v>4222</v>
      </c>
      <c r="J4289" s="13">
        <v>52170</v>
      </c>
      <c r="K4289">
        <v>1</v>
      </c>
      <c r="L4289" t="s">
        <v>1064</v>
      </c>
      <c r="M4289" t="s">
        <v>4223</v>
      </c>
      <c r="N4289" s="15" t="s">
        <v>6878</v>
      </c>
    </row>
    <row r="4290" spans="1:14" x14ac:dyDescent="0.2">
      <c r="A4290" t="s">
        <v>5419</v>
      </c>
      <c r="B4290" t="s">
        <v>2360</v>
      </c>
      <c r="C4290" s="9">
        <v>45031</v>
      </c>
      <c r="D4290" t="s">
        <v>981</v>
      </c>
      <c r="E4290" s="13">
        <v>1905000</v>
      </c>
      <c r="F4290" s="13">
        <v>27750</v>
      </c>
      <c r="G4290" s="9">
        <v>45032</v>
      </c>
      <c r="H4290" t="s">
        <v>1111</v>
      </c>
      <c r="I4290" t="s">
        <v>4222</v>
      </c>
      <c r="J4290" s="13">
        <v>84582</v>
      </c>
      <c r="K4290">
        <v>1</v>
      </c>
      <c r="L4290" t="s">
        <v>1064</v>
      </c>
      <c r="M4290" t="s">
        <v>4223</v>
      </c>
      <c r="N4290" s="15" t="s">
        <v>6878</v>
      </c>
    </row>
    <row r="4291" spans="1:14" x14ac:dyDescent="0.2">
      <c r="A4291" t="s">
        <v>5420</v>
      </c>
      <c r="B4291" t="s">
        <v>2360</v>
      </c>
      <c r="C4291" s="9">
        <v>45031</v>
      </c>
      <c r="D4291" t="s">
        <v>981</v>
      </c>
      <c r="E4291" s="13">
        <v>2510000</v>
      </c>
      <c r="F4291" s="13">
        <v>27750</v>
      </c>
      <c r="G4291" s="9">
        <v>45032</v>
      </c>
      <c r="H4291" t="s">
        <v>1111</v>
      </c>
      <c r="I4291" t="s">
        <v>4222</v>
      </c>
      <c r="J4291" s="13">
        <v>111444</v>
      </c>
      <c r="K4291">
        <v>1</v>
      </c>
      <c r="L4291" t="s">
        <v>1064</v>
      </c>
      <c r="M4291" t="s">
        <v>4223</v>
      </c>
      <c r="N4291" s="15" t="s">
        <v>6878</v>
      </c>
    </row>
    <row r="4292" spans="1:14" x14ac:dyDescent="0.2">
      <c r="A4292" t="s">
        <v>5421</v>
      </c>
      <c r="B4292" t="s">
        <v>2360</v>
      </c>
      <c r="C4292" s="9">
        <v>45031</v>
      </c>
      <c r="D4292" t="s">
        <v>981</v>
      </c>
      <c r="E4292" s="13">
        <v>1905000</v>
      </c>
      <c r="F4292" s="13">
        <v>27750</v>
      </c>
      <c r="G4292" s="9">
        <v>45032</v>
      </c>
      <c r="H4292" t="s">
        <v>1111</v>
      </c>
      <c r="I4292" t="s">
        <v>4222</v>
      </c>
      <c r="J4292" s="13">
        <v>84582</v>
      </c>
      <c r="K4292">
        <v>1</v>
      </c>
      <c r="L4292" t="s">
        <v>1064</v>
      </c>
      <c r="M4292" t="s">
        <v>4223</v>
      </c>
      <c r="N4292" s="15" t="s">
        <v>6878</v>
      </c>
    </row>
    <row r="4293" spans="1:14" x14ac:dyDescent="0.2">
      <c r="A4293" t="s">
        <v>5422</v>
      </c>
      <c r="B4293" t="s">
        <v>2360</v>
      </c>
      <c r="C4293" s="9">
        <v>45031</v>
      </c>
      <c r="D4293" t="s">
        <v>981</v>
      </c>
      <c r="E4293" s="13">
        <v>1175000</v>
      </c>
      <c r="F4293" s="13">
        <v>27750</v>
      </c>
      <c r="G4293" s="9">
        <v>45032</v>
      </c>
      <c r="H4293" t="s">
        <v>1111</v>
      </c>
      <c r="I4293" t="s">
        <v>4222</v>
      </c>
      <c r="J4293" s="13">
        <v>52170</v>
      </c>
      <c r="K4293">
        <v>1</v>
      </c>
      <c r="L4293" t="s">
        <v>1064</v>
      </c>
      <c r="M4293" t="s">
        <v>4223</v>
      </c>
      <c r="N4293" s="15" t="s">
        <v>6878</v>
      </c>
    </row>
    <row r="4294" spans="1:14" x14ac:dyDescent="0.2">
      <c r="A4294" t="s">
        <v>5423</v>
      </c>
      <c r="B4294" t="s">
        <v>2360</v>
      </c>
      <c r="C4294" s="9">
        <v>45031</v>
      </c>
      <c r="D4294" t="s">
        <v>981</v>
      </c>
      <c r="E4294" s="13">
        <v>1905000</v>
      </c>
      <c r="F4294" s="13">
        <v>27750</v>
      </c>
      <c r="G4294" s="9">
        <v>45032</v>
      </c>
      <c r="H4294" t="s">
        <v>1111</v>
      </c>
      <c r="I4294" t="s">
        <v>4222</v>
      </c>
      <c r="J4294" s="13">
        <v>84582</v>
      </c>
      <c r="K4294">
        <v>1</v>
      </c>
      <c r="L4294" t="s">
        <v>1064</v>
      </c>
      <c r="M4294" t="s">
        <v>4223</v>
      </c>
      <c r="N4294" s="15" t="s">
        <v>6878</v>
      </c>
    </row>
    <row r="4295" spans="1:14" x14ac:dyDescent="0.2">
      <c r="A4295" t="s">
        <v>5424</v>
      </c>
      <c r="B4295" t="s">
        <v>2360</v>
      </c>
      <c r="C4295" s="9">
        <v>45032</v>
      </c>
      <c r="D4295" t="s">
        <v>9</v>
      </c>
      <c r="E4295" s="13">
        <v>315560</v>
      </c>
      <c r="F4295" s="13">
        <v>24975</v>
      </c>
      <c r="G4295" s="9">
        <v>45043</v>
      </c>
      <c r="H4295" t="s">
        <v>1111</v>
      </c>
      <c r="I4295" t="s">
        <v>436</v>
      </c>
      <c r="J4295" s="13">
        <v>10507</v>
      </c>
      <c r="K4295">
        <v>1</v>
      </c>
      <c r="L4295" t="s">
        <v>1064</v>
      </c>
      <c r="M4295" t="s">
        <v>2364</v>
      </c>
      <c r="N4295" s="15" t="s">
        <v>6878</v>
      </c>
    </row>
    <row r="4296" spans="1:14" x14ac:dyDescent="0.2">
      <c r="A4296" t="s">
        <v>5425</v>
      </c>
      <c r="B4296" t="s">
        <v>2360</v>
      </c>
      <c r="C4296" s="9">
        <v>45032</v>
      </c>
      <c r="D4296" t="s">
        <v>9</v>
      </c>
      <c r="E4296" s="13">
        <v>294000</v>
      </c>
      <c r="F4296" s="13">
        <v>24975</v>
      </c>
      <c r="G4296" s="9">
        <v>45054</v>
      </c>
      <c r="H4296" t="s">
        <v>1111</v>
      </c>
      <c r="I4296" t="s">
        <v>436</v>
      </c>
      <c r="J4296" s="13">
        <v>9790</v>
      </c>
      <c r="K4296">
        <v>1</v>
      </c>
      <c r="L4296" t="s">
        <v>1064</v>
      </c>
      <c r="M4296" t="s">
        <v>2364</v>
      </c>
      <c r="N4296" s="15" t="s">
        <v>6878</v>
      </c>
    </row>
    <row r="4297" spans="1:14" x14ac:dyDescent="0.2">
      <c r="A4297" t="s">
        <v>5426</v>
      </c>
      <c r="B4297" t="s">
        <v>2360</v>
      </c>
      <c r="C4297" s="9">
        <v>45033</v>
      </c>
      <c r="D4297" t="s">
        <v>9</v>
      </c>
      <c r="E4297" s="13">
        <v>274890</v>
      </c>
      <c r="F4297" s="13">
        <v>24975</v>
      </c>
      <c r="G4297" s="9">
        <v>45054</v>
      </c>
      <c r="H4297" t="s">
        <v>1111</v>
      </c>
      <c r="I4297" t="s">
        <v>436</v>
      </c>
      <c r="J4297" s="13">
        <v>9153</v>
      </c>
      <c r="K4297">
        <v>1</v>
      </c>
      <c r="L4297" t="s">
        <v>1064</v>
      </c>
      <c r="M4297" t="s">
        <v>2364</v>
      </c>
      <c r="N4297" s="15" t="s">
        <v>6878</v>
      </c>
    </row>
    <row r="4298" spans="1:14" x14ac:dyDescent="0.2">
      <c r="A4298" t="s">
        <v>5427</v>
      </c>
      <c r="B4298" t="s">
        <v>2360</v>
      </c>
      <c r="C4298" s="9">
        <v>45033</v>
      </c>
      <c r="D4298" t="s">
        <v>9</v>
      </c>
      <c r="E4298" s="13">
        <v>274890</v>
      </c>
      <c r="F4298" s="13">
        <v>24975</v>
      </c>
      <c r="G4298" s="9">
        <v>45043</v>
      </c>
      <c r="H4298" t="s">
        <v>1111</v>
      </c>
      <c r="I4298" t="s">
        <v>436</v>
      </c>
      <c r="J4298" s="13">
        <v>9153</v>
      </c>
      <c r="K4298">
        <v>1</v>
      </c>
      <c r="L4298" t="s">
        <v>1064</v>
      </c>
      <c r="M4298" t="s">
        <v>2364</v>
      </c>
      <c r="N4298" s="15" t="s">
        <v>6878</v>
      </c>
    </row>
    <row r="4299" spans="1:14" x14ac:dyDescent="0.2">
      <c r="A4299" t="s">
        <v>5428</v>
      </c>
      <c r="B4299" t="s">
        <v>2360</v>
      </c>
      <c r="C4299" s="9">
        <v>45034</v>
      </c>
      <c r="D4299" t="s">
        <v>9</v>
      </c>
      <c r="E4299" s="13">
        <v>340060</v>
      </c>
      <c r="F4299" s="13">
        <v>24975</v>
      </c>
      <c r="G4299" s="9">
        <v>45054</v>
      </c>
      <c r="H4299" t="s">
        <v>1111</v>
      </c>
      <c r="I4299" t="s">
        <v>436</v>
      </c>
      <c r="J4299" s="13">
        <v>11323</v>
      </c>
      <c r="K4299">
        <v>1</v>
      </c>
      <c r="L4299" t="s">
        <v>1064</v>
      </c>
      <c r="M4299" t="s">
        <v>2364</v>
      </c>
      <c r="N4299" s="15" t="s">
        <v>6878</v>
      </c>
    </row>
    <row r="4300" spans="1:14" x14ac:dyDescent="0.2">
      <c r="A4300" t="s">
        <v>5429</v>
      </c>
      <c r="B4300" t="s">
        <v>2360</v>
      </c>
      <c r="C4300" s="9">
        <v>45034</v>
      </c>
      <c r="D4300" t="s">
        <v>9</v>
      </c>
      <c r="E4300" s="13">
        <v>265090</v>
      </c>
      <c r="F4300" s="13">
        <v>24975</v>
      </c>
      <c r="G4300" s="9">
        <v>45062</v>
      </c>
      <c r="H4300" t="s">
        <v>1111</v>
      </c>
      <c r="I4300" t="s">
        <v>436</v>
      </c>
      <c r="J4300" s="13">
        <v>8826</v>
      </c>
      <c r="K4300">
        <v>1</v>
      </c>
      <c r="L4300" t="s">
        <v>1064</v>
      </c>
      <c r="M4300" t="s">
        <v>2364</v>
      </c>
      <c r="N4300" s="15" t="s">
        <v>6878</v>
      </c>
    </row>
    <row r="4301" spans="1:14" x14ac:dyDescent="0.2">
      <c r="A4301" t="s">
        <v>5430</v>
      </c>
      <c r="B4301" t="s">
        <v>2360</v>
      </c>
      <c r="C4301" s="9">
        <v>45034</v>
      </c>
      <c r="D4301" t="s">
        <v>9</v>
      </c>
      <c r="E4301" s="13">
        <v>7938000</v>
      </c>
      <c r="F4301" s="13">
        <v>24975</v>
      </c>
      <c r="G4301" s="9">
        <v>45054</v>
      </c>
      <c r="H4301" t="s">
        <v>1111</v>
      </c>
      <c r="I4301" t="s">
        <v>2361</v>
      </c>
      <c r="J4301" s="13">
        <v>264335</v>
      </c>
      <c r="K4301">
        <v>1</v>
      </c>
      <c r="L4301" t="s">
        <v>1064</v>
      </c>
      <c r="M4301" t="s">
        <v>2362</v>
      </c>
      <c r="N4301" s="15" t="s">
        <v>6878</v>
      </c>
    </row>
    <row r="4302" spans="1:14" x14ac:dyDescent="0.2">
      <c r="A4302" t="s">
        <v>5431</v>
      </c>
      <c r="B4302" t="s">
        <v>2360</v>
      </c>
      <c r="C4302" s="9">
        <v>45034</v>
      </c>
      <c r="D4302" t="s">
        <v>9</v>
      </c>
      <c r="E4302" s="13">
        <v>7350000</v>
      </c>
      <c r="F4302" s="13">
        <v>24975</v>
      </c>
      <c r="G4302" s="9">
        <v>45054</v>
      </c>
      <c r="H4302" t="s">
        <v>1111</v>
      </c>
      <c r="I4302" t="s">
        <v>2361</v>
      </c>
      <c r="J4302" s="13">
        <v>244755</v>
      </c>
      <c r="K4302">
        <v>1</v>
      </c>
      <c r="L4302" t="s">
        <v>1064</v>
      </c>
      <c r="M4302" t="s">
        <v>2362</v>
      </c>
      <c r="N4302" s="15" t="s">
        <v>6878</v>
      </c>
    </row>
    <row r="4303" spans="1:14" x14ac:dyDescent="0.2">
      <c r="A4303" t="s">
        <v>5432</v>
      </c>
      <c r="B4303" t="s">
        <v>2360</v>
      </c>
      <c r="C4303" s="9">
        <v>45034</v>
      </c>
      <c r="D4303" t="s">
        <v>9</v>
      </c>
      <c r="E4303" s="13">
        <v>340060</v>
      </c>
      <c r="F4303" s="13">
        <v>24975</v>
      </c>
      <c r="G4303" s="9">
        <v>45054</v>
      </c>
      <c r="H4303" t="s">
        <v>1111</v>
      </c>
      <c r="I4303" t="s">
        <v>436</v>
      </c>
      <c r="J4303" s="13">
        <v>11323</v>
      </c>
      <c r="K4303">
        <v>1</v>
      </c>
      <c r="L4303" t="s">
        <v>1064</v>
      </c>
      <c r="M4303" t="s">
        <v>2364</v>
      </c>
      <c r="N4303" s="15" t="s">
        <v>6878</v>
      </c>
    </row>
    <row r="4304" spans="1:14" x14ac:dyDescent="0.2">
      <c r="A4304" t="s">
        <v>5433</v>
      </c>
      <c r="B4304" t="s">
        <v>2360</v>
      </c>
      <c r="C4304" s="9">
        <v>45041</v>
      </c>
      <c r="D4304" t="s">
        <v>946</v>
      </c>
      <c r="E4304" s="13">
        <v>5376480</v>
      </c>
      <c r="F4304" s="13">
        <v>5550</v>
      </c>
      <c r="G4304" s="9">
        <v>45063</v>
      </c>
      <c r="H4304" t="s">
        <v>1111</v>
      </c>
      <c r="I4304" t="s">
        <v>2382</v>
      </c>
      <c r="J4304" s="13">
        <v>268554</v>
      </c>
      <c r="K4304">
        <v>1</v>
      </c>
      <c r="L4304" t="s">
        <v>1064</v>
      </c>
      <c r="M4304" t="s">
        <v>2383</v>
      </c>
      <c r="N4304" s="15" t="s">
        <v>6878</v>
      </c>
    </row>
    <row r="4305" spans="1:14" x14ac:dyDescent="0.2">
      <c r="A4305" t="s">
        <v>5434</v>
      </c>
      <c r="B4305" t="s">
        <v>2360</v>
      </c>
      <c r="C4305" s="9">
        <v>45041</v>
      </c>
      <c r="D4305" t="s">
        <v>946</v>
      </c>
      <c r="E4305" s="13">
        <v>5176725</v>
      </c>
      <c r="F4305" s="13">
        <v>5550</v>
      </c>
      <c r="G4305" s="9">
        <v>45063</v>
      </c>
      <c r="H4305" t="s">
        <v>1111</v>
      </c>
      <c r="I4305" t="s">
        <v>2382</v>
      </c>
      <c r="J4305" s="13">
        <v>258576</v>
      </c>
      <c r="K4305">
        <v>1</v>
      </c>
      <c r="L4305" t="s">
        <v>1064</v>
      </c>
      <c r="M4305" t="s">
        <v>2383</v>
      </c>
      <c r="N4305" s="15" t="s">
        <v>6878</v>
      </c>
    </row>
    <row r="4306" spans="1:14" x14ac:dyDescent="0.2">
      <c r="A4306" t="s">
        <v>5435</v>
      </c>
      <c r="B4306" t="s">
        <v>2360</v>
      </c>
      <c r="C4306" s="9">
        <v>45041</v>
      </c>
      <c r="D4306" t="s">
        <v>946</v>
      </c>
      <c r="E4306" s="13">
        <v>5206050</v>
      </c>
      <c r="F4306" s="13">
        <v>5550</v>
      </c>
      <c r="G4306" s="9">
        <v>45063</v>
      </c>
      <c r="H4306" t="s">
        <v>1111</v>
      </c>
      <c r="I4306" t="s">
        <v>2382</v>
      </c>
      <c r="J4306" s="13">
        <v>260041</v>
      </c>
      <c r="K4306">
        <v>1</v>
      </c>
      <c r="L4306" t="s">
        <v>1064</v>
      </c>
      <c r="M4306" t="s">
        <v>2383</v>
      </c>
      <c r="N4306" s="15" t="s">
        <v>6878</v>
      </c>
    </row>
    <row r="4307" spans="1:14" x14ac:dyDescent="0.2">
      <c r="A4307" t="s">
        <v>5436</v>
      </c>
      <c r="B4307" t="s">
        <v>2360</v>
      </c>
      <c r="C4307" s="9">
        <v>45041</v>
      </c>
      <c r="D4307" t="s">
        <v>946</v>
      </c>
      <c r="E4307" s="13">
        <v>5814400</v>
      </c>
      <c r="F4307" s="13">
        <v>5550</v>
      </c>
      <c r="G4307" s="9">
        <v>45063</v>
      </c>
      <c r="H4307" t="s">
        <v>1111</v>
      </c>
      <c r="I4307" t="s">
        <v>2382</v>
      </c>
      <c r="J4307" s="13">
        <v>290429</v>
      </c>
      <c r="K4307">
        <v>1</v>
      </c>
      <c r="L4307" t="s">
        <v>1064</v>
      </c>
      <c r="M4307" t="s">
        <v>2383</v>
      </c>
      <c r="N4307" s="15" t="s">
        <v>6878</v>
      </c>
    </row>
    <row r="4308" spans="1:14" x14ac:dyDescent="0.2">
      <c r="A4308" t="s">
        <v>5437</v>
      </c>
      <c r="B4308" t="s">
        <v>2360</v>
      </c>
      <c r="C4308" s="9">
        <v>45041</v>
      </c>
      <c r="D4308" t="s">
        <v>946</v>
      </c>
      <c r="E4308" s="13">
        <v>5569680</v>
      </c>
      <c r="F4308" s="13">
        <v>5550</v>
      </c>
      <c r="G4308" s="9">
        <v>45063</v>
      </c>
      <c r="H4308" t="s">
        <v>1111</v>
      </c>
      <c r="I4308" t="s">
        <v>2382</v>
      </c>
      <c r="J4308" s="13">
        <v>278204</v>
      </c>
      <c r="K4308">
        <v>1</v>
      </c>
      <c r="L4308" t="s">
        <v>1064</v>
      </c>
      <c r="M4308" t="s">
        <v>2383</v>
      </c>
      <c r="N4308" s="15" t="s">
        <v>6878</v>
      </c>
    </row>
    <row r="4309" spans="1:14" x14ac:dyDescent="0.2">
      <c r="A4309" t="s">
        <v>5438</v>
      </c>
      <c r="B4309" t="s">
        <v>2360</v>
      </c>
      <c r="C4309" s="9">
        <v>45041</v>
      </c>
      <c r="D4309" t="s">
        <v>946</v>
      </c>
      <c r="E4309" s="13">
        <v>4924875</v>
      </c>
      <c r="F4309" s="13">
        <v>5550</v>
      </c>
      <c r="G4309" s="9">
        <v>45063</v>
      </c>
      <c r="H4309" t="s">
        <v>1111</v>
      </c>
      <c r="I4309" t="s">
        <v>2382</v>
      </c>
      <c r="J4309" s="13">
        <v>245997</v>
      </c>
      <c r="K4309">
        <v>1</v>
      </c>
      <c r="L4309" t="s">
        <v>1064</v>
      </c>
      <c r="M4309" t="s">
        <v>2383</v>
      </c>
      <c r="N4309" s="15" t="s">
        <v>6878</v>
      </c>
    </row>
    <row r="4310" spans="1:14" x14ac:dyDescent="0.2">
      <c r="A4310" t="s">
        <v>5439</v>
      </c>
      <c r="B4310" t="s">
        <v>2360</v>
      </c>
      <c r="C4310" s="9">
        <v>45042</v>
      </c>
      <c r="D4310" t="s">
        <v>946</v>
      </c>
      <c r="E4310" s="13">
        <v>5464800</v>
      </c>
      <c r="F4310" s="13">
        <v>5550</v>
      </c>
      <c r="G4310" s="9">
        <v>45063</v>
      </c>
      <c r="H4310" t="s">
        <v>1111</v>
      </c>
      <c r="I4310" t="s">
        <v>2382</v>
      </c>
      <c r="J4310" s="13">
        <v>272966</v>
      </c>
      <c r="K4310">
        <v>1</v>
      </c>
      <c r="L4310" t="s">
        <v>1064</v>
      </c>
      <c r="M4310" t="s">
        <v>2383</v>
      </c>
      <c r="N4310" s="15" t="s">
        <v>6878</v>
      </c>
    </row>
    <row r="4311" spans="1:14" x14ac:dyDescent="0.2">
      <c r="A4311" t="s">
        <v>5440</v>
      </c>
      <c r="B4311" t="s">
        <v>2360</v>
      </c>
      <c r="C4311" s="9">
        <v>45042</v>
      </c>
      <c r="D4311" t="s">
        <v>946</v>
      </c>
      <c r="E4311" s="13">
        <v>14688950</v>
      </c>
      <c r="F4311" s="13">
        <v>5550</v>
      </c>
      <c r="G4311" s="9">
        <v>45063</v>
      </c>
      <c r="H4311" t="s">
        <v>1111</v>
      </c>
      <c r="I4311" t="s">
        <v>2382</v>
      </c>
      <c r="J4311" s="13">
        <v>733712</v>
      </c>
      <c r="K4311">
        <v>1</v>
      </c>
      <c r="L4311" t="s">
        <v>1064</v>
      </c>
      <c r="M4311" t="s">
        <v>2383</v>
      </c>
      <c r="N4311" s="15" t="s">
        <v>6878</v>
      </c>
    </row>
    <row r="4312" spans="1:14" x14ac:dyDescent="0.2">
      <c r="A4312" t="s">
        <v>5441</v>
      </c>
      <c r="B4312" t="s">
        <v>2360</v>
      </c>
      <c r="C4312" s="9">
        <v>45042</v>
      </c>
      <c r="D4312" t="s">
        <v>946</v>
      </c>
      <c r="E4312" s="13">
        <v>5293450</v>
      </c>
      <c r="F4312" s="13">
        <v>5550</v>
      </c>
      <c r="G4312" s="9">
        <v>45063</v>
      </c>
      <c r="H4312" t="s">
        <v>1111</v>
      </c>
      <c r="I4312" t="s">
        <v>2382</v>
      </c>
      <c r="J4312" s="13">
        <v>264407</v>
      </c>
      <c r="K4312">
        <v>1</v>
      </c>
      <c r="L4312" t="s">
        <v>1064</v>
      </c>
      <c r="M4312" t="s">
        <v>2383</v>
      </c>
      <c r="N4312" s="15" t="s">
        <v>6878</v>
      </c>
    </row>
    <row r="4313" spans="1:14" x14ac:dyDescent="0.2">
      <c r="A4313" t="s">
        <v>5442</v>
      </c>
      <c r="B4313" t="s">
        <v>2360</v>
      </c>
      <c r="C4313" s="9">
        <v>45042</v>
      </c>
      <c r="D4313" t="s">
        <v>946</v>
      </c>
      <c r="E4313" s="13">
        <v>5293450</v>
      </c>
      <c r="F4313" s="13">
        <v>5550</v>
      </c>
      <c r="G4313" s="9">
        <v>45063</v>
      </c>
      <c r="H4313" t="s">
        <v>1111</v>
      </c>
      <c r="I4313" t="s">
        <v>2382</v>
      </c>
      <c r="J4313" s="13">
        <v>264407</v>
      </c>
      <c r="K4313">
        <v>1</v>
      </c>
      <c r="L4313" t="s">
        <v>1064</v>
      </c>
      <c r="M4313" t="s">
        <v>2383</v>
      </c>
      <c r="N4313" s="15" t="s">
        <v>6878</v>
      </c>
    </row>
    <row r="4314" spans="1:14" x14ac:dyDescent="0.2">
      <c r="A4314" t="s">
        <v>5443</v>
      </c>
      <c r="B4314" t="s">
        <v>2360</v>
      </c>
      <c r="C4314" s="9">
        <v>45042</v>
      </c>
      <c r="D4314" t="s">
        <v>946</v>
      </c>
      <c r="E4314" s="13">
        <v>13541825</v>
      </c>
      <c r="F4314" s="13">
        <v>5550</v>
      </c>
      <c r="G4314" s="9">
        <v>45063</v>
      </c>
      <c r="H4314" t="s">
        <v>1111</v>
      </c>
      <c r="I4314" t="s">
        <v>2382</v>
      </c>
      <c r="J4314" s="13">
        <v>676414</v>
      </c>
      <c r="K4314">
        <v>1</v>
      </c>
      <c r="L4314" t="s">
        <v>1064</v>
      </c>
      <c r="M4314" t="s">
        <v>2383</v>
      </c>
      <c r="N4314" s="15" t="s">
        <v>6878</v>
      </c>
    </row>
    <row r="4315" spans="1:14" x14ac:dyDescent="0.2">
      <c r="A4315" t="s">
        <v>5444</v>
      </c>
      <c r="B4315" t="s">
        <v>2360</v>
      </c>
      <c r="C4315" s="9">
        <v>45042</v>
      </c>
      <c r="D4315" t="s">
        <v>946</v>
      </c>
      <c r="E4315" s="13">
        <v>13541825</v>
      </c>
      <c r="F4315" s="13">
        <v>5550</v>
      </c>
      <c r="G4315" s="9">
        <v>45063</v>
      </c>
      <c r="H4315" t="s">
        <v>1111</v>
      </c>
      <c r="I4315" t="s">
        <v>2382</v>
      </c>
      <c r="J4315" s="13">
        <v>676414</v>
      </c>
      <c r="K4315">
        <v>1</v>
      </c>
      <c r="L4315" t="s">
        <v>1064</v>
      </c>
      <c r="M4315" t="s">
        <v>2383</v>
      </c>
      <c r="N4315" s="15" t="s">
        <v>6878</v>
      </c>
    </row>
    <row r="4316" spans="1:14" x14ac:dyDescent="0.2">
      <c r="A4316" t="s">
        <v>5445</v>
      </c>
      <c r="B4316" t="s">
        <v>2360</v>
      </c>
      <c r="C4316" s="9">
        <v>45042</v>
      </c>
      <c r="D4316" t="s">
        <v>946</v>
      </c>
      <c r="E4316" s="13">
        <v>13541825</v>
      </c>
      <c r="F4316" s="13">
        <v>5550</v>
      </c>
      <c r="G4316" s="9">
        <v>45063</v>
      </c>
      <c r="H4316" t="s">
        <v>1111</v>
      </c>
      <c r="I4316" t="s">
        <v>2382</v>
      </c>
      <c r="J4316" s="13">
        <v>676414</v>
      </c>
      <c r="K4316">
        <v>1</v>
      </c>
      <c r="L4316" t="s">
        <v>1064</v>
      </c>
      <c r="M4316" t="s">
        <v>2383</v>
      </c>
      <c r="N4316" s="15" t="s">
        <v>6878</v>
      </c>
    </row>
    <row r="4317" spans="1:14" x14ac:dyDescent="0.2">
      <c r="A4317" t="s">
        <v>5446</v>
      </c>
      <c r="B4317" t="s">
        <v>2360</v>
      </c>
      <c r="C4317" s="9">
        <v>45042</v>
      </c>
      <c r="D4317" t="s">
        <v>946</v>
      </c>
      <c r="E4317" s="13">
        <v>13541825</v>
      </c>
      <c r="F4317" s="13">
        <v>5550</v>
      </c>
      <c r="G4317" s="9">
        <v>45063</v>
      </c>
      <c r="H4317" t="s">
        <v>1111</v>
      </c>
      <c r="I4317" t="s">
        <v>2382</v>
      </c>
      <c r="J4317" s="13">
        <v>676414</v>
      </c>
      <c r="K4317">
        <v>1</v>
      </c>
      <c r="L4317" t="s">
        <v>1064</v>
      </c>
      <c r="M4317" t="s">
        <v>2383</v>
      </c>
      <c r="N4317" s="15" t="s">
        <v>6878</v>
      </c>
    </row>
    <row r="4318" spans="1:14" x14ac:dyDescent="0.2">
      <c r="A4318" t="s">
        <v>5447</v>
      </c>
      <c r="B4318" t="s">
        <v>2360</v>
      </c>
      <c r="C4318" s="9">
        <v>45042</v>
      </c>
      <c r="D4318" t="s">
        <v>946</v>
      </c>
      <c r="E4318" s="13">
        <v>13541825</v>
      </c>
      <c r="F4318" s="13">
        <v>5550</v>
      </c>
      <c r="G4318" s="9">
        <v>45063</v>
      </c>
      <c r="H4318" t="s">
        <v>1111</v>
      </c>
      <c r="I4318" t="s">
        <v>2382</v>
      </c>
      <c r="J4318" s="13">
        <v>676414</v>
      </c>
      <c r="K4318">
        <v>1</v>
      </c>
      <c r="L4318" t="s">
        <v>1064</v>
      </c>
      <c r="M4318" t="s">
        <v>2383</v>
      </c>
      <c r="N4318" s="15" t="s">
        <v>6878</v>
      </c>
    </row>
    <row r="4319" spans="1:14" x14ac:dyDescent="0.2">
      <c r="A4319" t="s">
        <v>5448</v>
      </c>
      <c r="B4319" t="s">
        <v>2360</v>
      </c>
      <c r="C4319" s="9">
        <v>45042</v>
      </c>
      <c r="D4319" t="s">
        <v>946</v>
      </c>
      <c r="E4319" s="13">
        <v>13541825</v>
      </c>
      <c r="F4319" s="13">
        <v>5550</v>
      </c>
      <c r="G4319" s="9">
        <v>45063</v>
      </c>
      <c r="H4319" t="s">
        <v>1111</v>
      </c>
      <c r="I4319" t="s">
        <v>2382</v>
      </c>
      <c r="J4319" s="13">
        <v>676414</v>
      </c>
      <c r="K4319">
        <v>1</v>
      </c>
      <c r="L4319" t="s">
        <v>1064</v>
      </c>
      <c r="M4319" t="s">
        <v>2383</v>
      </c>
      <c r="N4319" s="15" t="s">
        <v>6878</v>
      </c>
    </row>
    <row r="4320" spans="1:14" x14ac:dyDescent="0.2">
      <c r="A4320" t="s">
        <v>5449</v>
      </c>
      <c r="B4320" t="s">
        <v>2360</v>
      </c>
      <c r="C4320" s="9">
        <v>45042</v>
      </c>
      <c r="D4320" t="s">
        <v>946</v>
      </c>
      <c r="E4320" s="13">
        <v>5510800</v>
      </c>
      <c r="F4320" s="13">
        <v>5550</v>
      </c>
      <c r="G4320" s="9">
        <v>45063</v>
      </c>
      <c r="H4320" t="s">
        <v>1111</v>
      </c>
      <c r="I4320" t="s">
        <v>2382</v>
      </c>
      <c r="J4320" s="13">
        <v>275264</v>
      </c>
      <c r="K4320">
        <v>1</v>
      </c>
      <c r="L4320" t="s">
        <v>1064</v>
      </c>
      <c r="M4320" t="s">
        <v>2383</v>
      </c>
      <c r="N4320" s="15" t="s">
        <v>6878</v>
      </c>
    </row>
    <row r="4321" spans="1:14" x14ac:dyDescent="0.2">
      <c r="A4321" t="s">
        <v>5450</v>
      </c>
      <c r="B4321" t="s">
        <v>2360</v>
      </c>
      <c r="C4321" s="9">
        <v>45042</v>
      </c>
      <c r="D4321" t="s">
        <v>946</v>
      </c>
      <c r="E4321" s="13">
        <v>5779440</v>
      </c>
      <c r="F4321" s="13">
        <v>5550</v>
      </c>
      <c r="G4321" s="9">
        <v>45063</v>
      </c>
      <c r="H4321" t="s">
        <v>1111</v>
      </c>
      <c r="I4321" t="s">
        <v>2382</v>
      </c>
      <c r="J4321" s="13">
        <v>288682</v>
      </c>
      <c r="K4321">
        <v>1</v>
      </c>
      <c r="L4321" t="s">
        <v>1064</v>
      </c>
      <c r="M4321" t="s">
        <v>2383</v>
      </c>
      <c r="N4321" s="15" t="s">
        <v>6878</v>
      </c>
    </row>
    <row r="4322" spans="1:14" x14ac:dyDescent="0.2">
      <c r="A4322" t="s">
        <v>5451</v>
      </c>
      <c r="B4322" t="s">
        <v>2360</v>
      </c>
      <c r="C4322" s="9">
        <v>45042</v>
      </c>
      <c r="D4322" t="s">
        <v>946</v>
      </c>
      <c r="E4322" s="13">
        <v>6566500</v>
      </c>
      <c r="F4322" s="13">
        <v>5550</v>
      </c>
      <c r="G4322" s="9">
        <v>45063</v>
      </c>
      <c r="H4322" t="s">
        <v>1111</v>
      </c>
      <c r="I4322" t="s">
        <v>2382</v>
      </c>
      <c r="J4322" s="13">
        <v>327996</v>
      </c>
      <c r="K4322">
        <v>1</v>
      </c>
      <c r="L4322" t="s">
        <v>1064</v>
      </c>
      <c r="M4322" t="s">
        <v>2383</v>
      </c>
      <c r="N4322" s="15" t="s">
        <v>6878</v>
      </c>
    </row>
    <row r="4323" spans="1:14" x14ac:dyDescent="0.2">
      <c r="A4323" t="s">
        <v>5452</v>
      </c>
      <c r="B4323" t="s">
        <v>2360</v>
      </c>
      <c r="C4323" s="9">
        <v>45042</v>
      </c>
      <c r="D4323" t="s">
        <v>946</v>
      </c>
      <c r="E4323" s="13">
        <v>5356125</v>
      </c>
      <c r="F4323" s="13">
        <v>5550</v>
      </c>
      <c r="G4323" s="9">
        <v>45063</v>
      </c>
      <c r="H4323" t="s">
        <v>1111</v>
      </c>
      <c r="I4323" t="s">
        <v>2382</v>
      </c>
      <c r="J4323" s="13">
        <v>267537</v>
      </c>
      <c r="K4323">
        <v>1</v>
      </c>
      <c r="L4323" t="s">
        <v>1064</v>
      </c>
      <c r="M4323" t="s">
        <v>2383</v>
      </c>
      <c r="N4323" s="15" t="s">
        <v>6878</v>
      </c>
    </row>
    <row r="4324" spans="1:14" x14ac:dyDescent="0.2">
      <c r="A4324" t="s">
        <v>5453</v>
      </c>
      <c r="B4324" t="s">
        <v>2360</v>
      </c>
      <c r="C4324" s="9">
        <v>45042</v>
      </c>
      <c r="D4324" t="s">
        <v>946</v>
      </c>
      <c r="E4324" s="13">
        <v>4657500</v>
      </c>
      <c r="F4324" s="13">
        <v>5550</v>
      </c>
      <c r="G4324" s="9">
        <v>45063</v>
      </c>
      <c r="H4324" t="s">
        <v>1111</v>
      </c>
      <c r="I4324" t="s">
        <v>2382</v>
      </c>
      <c r="J4324" s="13">
        <v>232641</v>
      </c>
      <c r="K4324">
        <v>1</v>
      </c>
      <c r="L4324" t="s">
        <v>1064</v>
      </c>
      <c r="M4324" t="s">
        <v>2383</v>
      </c>
      <c r="N4324" s="15" t="s">
        <v>6878</v>
      </c>
    </row>
    <row r="4325" spans="1:14" x14ac:dyDescent="0.2">
      <c r="A4325" t="s">
        <v>5454</v>
      </c>
      <c r="B4325" t="s">
        <v>2360</v>
      </c>
      <c r="C4325" s="9">
        <v>45042</v>
      </c>
      <c r="D4325" t="s">
        <v>946</v>
      </c>
      <c r="E4325" s="13">
        <v>6501525</v>
      </c>
      <c r="F4325" s="13">
        <v>5550</v>
      </c>
      <c r="G4325" s="9">
        <v>45063</v>
      </c>
      <c r="H4325" t="s">
        <v>1111</v>
      </c>
      <c r="I4325" t="s">
        <v>2382</v>
      </c>
      <c r="J4325" s="13">
        <v>324750</v>
      </c>
      <c r="K4325">
        <v>1</v>
      </c>
      <c r="L4325" t="s">
        <v>1064</v>
      </c>
      <c r="M4325" t="s">
        <v>2383</v>
      </c>
      <c r="N4325" s="15" t="s">
        <v>6878</v>
      </c>
    </row>
    <row r="4326" spans="1:14" x14ac:dyDescent="0.2">
      <c r="A4326" t="s">
        <v>5455</v>
      </c>
      <c r="B4326" t="s">
        <v>2360</v>
      </c>
      <c r="C4326" s="9">
        <v>45042</v>
      </c>
      <c r="D4326" t="s">
        <v>946</v>
      </c>
      <c r="E4326" s="13">
        <v>5293450</v>
      </c>
      <c r="F4326" s="13">
        <v>5550</v>
      </c>
      <c r="G4326" s="9">
        <v>45063</v>
      </c>
      <c r="H4326" t="s">
        <v>1111</v>
      </c>
      <c r="I4326" t="s">
        <v>2382</v>
      </c>
      <c r="J4326" s="13">
        <v>264407</v>
      </c>
      <c r="K4326">
        <v>1</v>
      </c>
      <c r="L4326" t="s">
        <v>1064</v>
      </c>
      <c r="M4326" t="s">
        <v>2383</v>
      </c>
      <c r="N4326" s="15" t="s">
        <v>6878</v>
      </c>
    </row>
    <row r="4327" spans="1:14" x14ac:dyDescent="0.2">
      <c r="A4327" t="s">
        <v>5456</v>
      </c>
      <c r="B4327" t="s">
        <v>2360</v>
      </c>
      <c r="C4327" s="9">
        <v>45042</v>
      </c>
      <c r="D4327" t="s">
        <v>946</v>
      </c>
      <c r="E4327" s="13">
        <v>5293450</v>
      </c>
      <c r="F4327" s="13">
        <v>5550</v>
      </c>
      <c r="G4327" s="9">
        <v>45063</v>
      </c>
      <c r="H4327" t="s">
        <v>1111</v>
      </c>
      <c r="I4327" t="s">
        <v>2382</v>
      </c>
      <c r="J4327" s="13">
        <v>264407</v>
      </c>
      <c r="K4327">
        <v>1</v>
      </c>
      <c r="L4327" t="s">
        <v>1064</v>
      </c>
      <c r="M4327" t="s">
        <v>2383</v>
      </c>
      <c r="N4327" s="15" t="s">
        <v>6878</v>
      </c>
    </row>
    <row r="4328" spans="1:14" x14ac:dyDescent="0.2">
      <c r="A4328" t="s">
        <v>5457</v>
      </c>
      <c r="B4328" t="s">
        <v>2360</v>
      </c>
      <c r="C4328" s="9">
        <v>45042</v>
      </c>
      <c r="D4328" t="s">
        <v>946</v>
      </c>
      <c r="E4328" s="13">
        <v>5293450</v>
      </c>
      <c r="F4328" s="13">
        <v>5550</v>
      </c>
      <c r="G4328" s="9">
        <v>45063</v>
      </c>
      <c r="H4328" t="s">
        <v>1111</v>
      </c>
      <c r="I4328" t="s">
        <v>2382</v>
      </c>
      <c r="J4328" s="13">
        <v>264407</v>
      </c>
      <c r="K4328">
        <v>1</v>
      </c>
      <c r="L4328" t="s">
        <v>1064</v>
      </c>
      <c r="M4328" t="s">
        <v>2383</v>
      </c>
      <c r="N4328" s="15" t="s">
        <v>6878</v>
      </c>
    </row>
    <row r="4329" spans="1:14" x14ac:dyDescent="0.2">
      <c r="A4329" t="s">
        <v>5458</v>
      </c>
      <c r="B4329" t="s">
        <v>2360</v>
      </c>
      <c r="C4329" s="9">
        <v>45042</v>
      </c>
      <c r="D4329" t="s">
        <v>946</v>
      </c>
      <c r="E4329" s="13">
        <v>5293450</v>
      </c>
      <c r="F4329" s="13">
        <v>5550</v>
      </c>
      <c r="G4329" s="9">
        <v>45063</v>
      </c>
      <c r="H4329" t="s">
        <v>1111</v>
      </c>
      <c r="I4329" t="s">
        <v>2382</v>
      </c>
      <c r="J4329" s="13">
        <v>264407</v>
      </c>
      <c r="K4329">
        <v>1</v>
      </c>
      <c r="L4329" t="s">
        <v>1064</v>
      </c>
      <c r="M4329" t="s">
        <v>2383</v>
      </c>
      <c r="N4329" s="15" t="s">
        <v>6878</v>
      </c>
    </row>
    <row r="4330" spans="1:14" x14ac:dyDescent="0.2">
      <c r="A4330" t="s">
        <v>5459</v>
      </c>
      <c r="B4330" t="s">
        <v>2360</v>
      </c>
      <c r="C4330" s="9">
        <v>45042</v>
      </c>
      <c r="D4330" t="s">
        <v>946</v>
      </c>
      <c r="E4330" s="13">
        <v>5293450</v>
      </c>
      <c r="F4330" s="13">
        <v>5550</v>
      </c>
      <c r="G4330" s="9">
        <v>45063</v>
      </c>
      <c r="H4330" t="s">
        <v>1111</v>
      </c>
      <c r="I4330" t="s">
        <v>2382</v>
      </c>
      <c r="J4330" s="13">
        <v>264407</v>
      </c>
      <c r="K4330">
        <v>1</v>
      </c>
      <c r="L4330" t="s">
        <v>1064</v>
      </c>
      <c r="M4330" t="s">
        <v>2383</v>
      </c>
      <c r="N4330" s="15" t="s">
        <v>6878</v>
      </c>
    </row>
    <row r="4331" spans="1:14" x14ac:dyDescent="0.2">
      <c r="A4331" t="s">
        <v>5460</v>
      </c>
      <c r="B4331" t="s">
        <v>2360</v>
      </c>
      <c r="C4331" s="9">
        <v>45042</v>
      </c>
      <c r="D4331" t="s">
        <v>946</v>
      </c>
      <c r="E4331" s="13">
        <v>5293450</v>
      </c>
      <c r="F4331" s="13">
        <v>5550</v>
      </c>
      <c r="G4331" s="9">
        <v>45063</v>
      </c>
      <c r="H4331" t="s">
        <v>1111</v>
      </c>
      <c r="I4331" t="s">
        <v>2382</v>
      </c>
      <c r="J4331" s="13">
        <v>264407</v>
      </c>
      <c r="K4331">
        <v>1</v>
      </c>
      <c r="L4331" t="s">
        <v>1064</v>
      </c>
      <c r="M4331" t="s">
        <v>2383</v>
      </c>
      <c r="N4331" s="15" t="s">
        <v>6878</v>
      </c>
    </row>
    <row r="4332" spans="1:14" x14ac:dyDescent="0.2">
      <c r="A4332" t="s">
        <v>5461</v>
      </c>
      <c r="B4332" t="s">
        <v>2360</v>
      </c>
      <c r="C4332" s="9">
        <v>45042</v>
      </c>
      <c r="D4332" t="s">
        <v>946</v>
      </c>
      <c r="E4332" s="13">
        <v>5967000</v>
      </c>
      <c r="F4332" s="13">
        <v>5550</v>
      </c>
      <c r="G4332" s="9">
        <v>45063</v>
      </c>
      <c r="H4332" t="s">
        <v>1111</v>
      </c>
      <c r="I4332" t="s">
        <v>2382</v>
      </c>
      <c r="J4332" s="13">
        <v>298051</v>
      </c>
      <c r="K4332">
        <v>1</v>
      </c>
      <c r="L4332" t="s">
        <v>1064</v>
      </c>
      <c r="M4332" t="s">
        <v>2383</v>
      </c>
      <c r="N4332" s="15" t="s">
        <v>6878</v>
      </c>
    </row>
    <row r="4333" spans="1:14" x14ac:dyDescent="0.2">
      <c r="A4333" t="s">
        <v>5462</v>
      </c>
      <c r="B4333" t="s">
        <v>2360</v>
      </c>
      <c r="C4333" s="9">
        <v>45042</v>
      </c>
      <c r="D4333" t="s">
        <v>946</v>
      </c>
      <c r="E4333" s="13">
        <v>17897914</v>
      </c>
      <c r="F4333" s="13">
        <v>5550</v>
      </c>
      <c r="G4333" s="9">
        <v>45063</v>
      </c>
      <c r="H4333" t="s">
        <v>1111</v>
      </c>
      <c r="I4333" t="s">
        <v>2382</v>
      </c>
      <c r="J4333" s="13">
        <v>894000</v>
      </c>
      <c r="K4333">
        <v>1</v>
      </c>
      <c r="L4333" t="s">
        <v>1064</v>
      </c>
      <c r="M4333" t="s">
        <v>2383</v>
      </c>
      <c r="N4333" s="15" t="s">
        <v>6878</v>
      </c>
    </row>
    <row r="4334" spans="1:14" x14ac:dyDescent="0.2">
      <c r="A4334" t="s">
        <v>5463</v>
      </c>
      <c r="B4334" t="s">
        <v>2360</v>
      </c>
      <c r="C4334" s="9">
        <v>45042</v>
      </c>
      <c r="D4334" t="s">
        <v>946</v>
      </c>
      <c r="E4334" s="13">
        <v>17067448</v>
      </c>
      <c r="F4334" s="13">
        <v>5550</v>
      </c>
      <c r="G4334" s="9">
        <v>45063</v>
      </c>
      <c r="H4334" t="s">
        <v>1111</v>
      </c>
      <c r="I4334" t="s">
        <v>2382</v>
      </c>
      <c r="J4334" s="13">
        <v>852518</v>
      </c>
      <c r="K4334">
        <v>1</v>
      </c>
      <c r="L4334" t="s">
        <v>1064</v>
      </c>
      <c r="M4334" t="s">
        <v>2383</v>
      </c>
      <c r="N4334" s="15" t="s">
        <v>6878</v>
      </c>
    </row>
    <row r="4335" spans="1:14" x14ac:dyDescent="0.2">
      <c r="A4335" t="s">
        <v>5464</v>
      </c>
      <c r="B4335" t="s">
        <v>2360</v>
      </c>
      <c r="C4335" s="9">
        <v>45042</v>
      </c>
      <c r="D4335" t="s">
        <v>946</v>
      </c>
      <c r="E4335" s="13">
        <v>11197485</v>
      </c>
      <c r="F4335" s="13">
        <v>5550</v>
      </c>
      <c r="G4335" s="9">
        <v>45063</v>
      </c>
      <c r="H4335" t="s">
        <v>1111</v>
      </c>
      <c r="I4335" t="s">
        <v>2382</v>
      </c>
      <c r="J4335" s="13">
        <v>559313</v>
      </c>
      <c r="K4335">
        <v>1</v>
      </c>
      <c r="L4335" t="s">
        <v>1064</v>
      </c>
      <c r="M4335" t="s">
        <v>2383</v>
      </c>
      <c r="N4335" s="15" t="s">
        <v>6878</v>
      </c>
    </row>
    <row r="4336" spans="1:14" x14ac:dyDescent="0.2">
      <c r="A4336" t="s">
        <v>5465</v>
      </c>
      <c r="B4336" t="s">
        <v>2360</v>
      </c>
      <c r="C4336" s="9">
        <v>45042</v>
      </c>
      <c r="D4336" t="s">
        <v>946</v>
      </c>
      <c r="E4336" s="13">
        <v>15326600</v>
      </c>
      <c r="F4336" s="13">
        <v>5550</v>
      </c>
      <c r="G4336" s="9">
        <v>45063</v>
      </c>
      <c r="H4336" t="s">
        <v>1111</v>
      </c>
      <c r="I4336" t="s">
        <v>2382</v>
      </c>
      <c r="J4336" s="13">
        <v>765563</v>
      </c>
      <c r="K4336">
        <v>1</v>
      </c>
      <c r="L4336" t="s">
        <v>1064</v>
      </c>
      <c r="M4336" t="s">
        <v>2383</v>
      </c>
      <c r="N4336" s="15" t="s">
        <v>6878</v>
      </c>
    </row>
    <row r="4337" spans="1:14" x14ac:dyDescent="0.2">
      <c r="A4337" t="s">
        <v>5466</v>
      </c>
      <c r="B4337" t="s">
        <v>2360</v>
      </c>
      <c r="C4337" s="9">
        <v>45042</v>
      </c>
      <c r="D4337" t="s">
        <v>946</v>
      </c>
      <c r="E4337" s="13">
        <v>18776047</v>
      </c>
      <c r="F4337" s="13">
        <v>5550</v>
      </c>
      <c r="G4337" s="9">
        <v>45063</v>
      </c>
      <c r="H4337" t="s">
        <v>1111</v>
      </c>
      <c r="I4337" t="s">
        <v>2382</v>
      </c>
      <c r="J4337" s="13">
        <v>937863</v>
      </c>
      <c r="K4337">
        <v>1</v>
      </c>
      <c r="L4337" t="s">
        <v>1064</v>
      </c>
      <c r="M4337" t="s">
        <v>2383</v>
      </c>
      <c r="N4337" s="15" t="s">
        <v>6878</v>
      </c>
    </row>
    <row r="4338" spans="1:14" x14ac:dyDescent="0.2">
      <c r="A4338" t="s">
        <v>5467</v>
      </c>
      <c r="B4338" t="s">
        <v>2360</v>
      </c>
      <c r="C4338" s="9">
        <v>45042</v>
      </c>
      <c r="D4338" t="s">
        <v>946</v>
      </c>
      <c r="E4338" s="13">
        <v>16759798</v>
      </c>
      <c r="F4338" s="13">
        <v>5550</v>
      </c>
      <c r="G4338" s="9">
        <v>45063</v>
      </c>
      <c r="H4338" t="s">
        <v>1111</v>
      </c>
      <c r="I4338" t="s">
        <v>2382</v>
      </c>
      <c r="J4338" s="13">
        <v>837150</v>
      </c>
      <c r="K4338">
        <v>1</v>
      </c>
      <c r="L4338" t="s">
        <v>1064</v>
      </c>
      <c r="M4338" t="s">
        <v>2383</v>
      </c>
      <c r="N4338" s="15" t="s">
        <v>6878</v>
      </c>
    </row>
    <row r="4339" spans="1:14" x14ac:dyDescent="0.2">
      <c r="A4339" t="s">
        <v>5468</v>
      </c>
      <c r="B4339" t="s">
        <v>2360</v>
      </c>
      <c r="C4339" s="9">
        <v>45042</v>
      </c>
      <c r="D4339" t="s">
        <v>946</v>
      </c>
      <c r="E4339" s="13">
        <v>5511950</v>
      </c>
      <c r="F4339" s="13">
        <v>5550</v>
      </c>
      <c r="G4339" s="9">
        <v>45063</v>
      </c>
      <c r="H4339" t="s">
        <v>1111</v>
      </c>
      <c r="I4339" t="s">
        <v>2382</v>
      </c>
      <c r="J4339" s="13">
        <v>275321</v>
      </c>
      <c r="K4339">
        <v>1</v>
      </c>
      <c r="L4339" t="s">
        <v>1064</v>
      </c>
      <c r="M4339" t="s">
        <v>2383</v>
      </c>
      <c r="N4339" s="15" t="s">
        <v>6878</v>
      </c>
    </row>
    <row r="4340" spans="1:14" x14ac:dyDescent="0.2">
      <c r="A4340" t="s">
        <v>5469</v>
      </c>
      <c r="B4340" t="s">
        <v>2360</v>
      </c>
      <c r="C4340" s="9">
        <v>45042</v>
      </c>
      <c r="D4340" t="s">
        <v>946</v>
      </c>
      <c r="E4340" s="13">
        <v>5511950</v>
      </c>
      <c r="F4340" s="13">
        <v>5550</v>
      </c>
      <c r="G4340" s="9">
        <v>45063</v>
      </c>
      <c r="H4340" t="s">
        <v>1111</v>
      </c>
      <c r="I4340" t="s">
        <v>2382</v>
      </c>
      <c r="J4340" s="13">
        <v>275321</v>
      </c>
      <c r="K4340">
        <v>1</v>
      </c>
      <c r="L4340" t="s">
        <v>1064</v>
      </c>
      <c r="M4340" t="s">
        <v>2383</v>
      </c>
      <c r="N4340" s="15" t="s">
        <v>6878</v>
      </c>
    </row>
    <row r="4341" spans="1:14" x14ac:dyDescent="0.2">
      <c r="A4341" t="s">
        <v>5470</v>
      </c>
      <c r="B4341" t="s">
        <v>2360</v>
      </c>
      <c r="C4341" s="9">
        <v>45042</v>
      </c>
      <c r="D4341" t="s">
        <v>946</v>
      </c>
      <c r="E4341" s="13">
        <v>5511950</v>
      </c>
      <c r="F4341" s="13">
        <v>5550</v>
      </c>
      <c r="G4341" s="9">
        <v>45063</v>
      </c>
      <c r="H4341" t="s">
        <v>1111</v>
      </c>
      <c r="I4341" t="s">
        <v>2382</v>
      </c>
      <c r="J4341" s="13">
        <v>275321</v>
      </c>
      <c r="K4341">
        <v>1</v>
      </c>
      <c r="L4341" t="s">
        <v>1064</v>
      </c>
      <c r="M4341" t="s">
        <v>2383</v>
      </c>
      <c r="N4341" s="15" t="s">
        <v>6878</v>
      </c>
    </row>
    <row r="4342" spans="1:14" x14ac:dyDescent="0.2">
      <c r="A4342" t="s">
        <v>5471</v>
      </c>
      <c r="B4342" t="s">
        <v>2360</v>
      </c>
      <c r="C4342" s="9">
        <v>45042</v>
      </c>
      <c r="D4342" t="s">
        <v>946</v>
      </c>
      <c r="E4342" s="13">
        <v>5511950</v>
      </c>
      <c r="F4342" s="13">
        <v>5550</v>
      </c>
      <c r="G4342" s="9">
        <v>45063</v>
      </c>
      <c r="H4342" t="s">
        <v>1111</v>
      </c>
      <c r="I4342" t="s">
        <v>2382</v>
      </c>
      <c r="J4342" s="13">
        <v>275321</v>
      </c>
      <c r="K4342">
        <v>1</v>
      </c>
      <c r="L4342" t="s">
        <v>1064</v>
      </c>
      <c r="M4342" t="s">
        <v>2383</v>
      </c>
      <c r="N4342" s="15" t="s">
        <v>6878</v>
      </c>
    </row>
    <row r="4343" spans="1:14" x14ac:dyDescent="0.2">
      <c r="A4343" t="s">
        <v>5472</v>
      </c>
      <c r="B4343" t="s">
        <v>2360</v>
      </c>
      <c r="C4343" s="9">
        <v>45042</v>
      </c>
      <c r="D4343" t="s">
        <v>946</v>
      </c>
      <c r="E4343" s="13">
        <v>6549825</v>
      </c>
      <c r="F4343" s="13">
        <v>5550</v>
      </c>
      <c r="G4343" s="9">
        <v>45063</v>
      </c>
      <c r="H4343" t="s">
        <v>1111</v>
      </c>
      <c r="I4343" t="s">
        <v>2382</v>
      </c>
      <c r="J4343" s="13">
        <v>327163</v>
      </c>
      <c r="K4343">
        <v>1</v>
      </c>
      <c r="L4343" t="s">
        <v>1064</v>
      </c>
      <c r="M4343" t="s">
        <v>2383</v>
      </c>
      <c r="N4343" s="15" t="s">
        <v>6878</v>
      </c>
    </row>
    <row r="4344" spans="1:14" x14ac:dyDescent="0.2">
      <c r="A4344" t="s">
        <v>5473</v>
      </c>
      <c r="B4344" t="s">
        <v>2360</v>
      </c>
      <c r="C4344" s="9">
        <v>45042</v>
      </c>
      <c r="D4344" t="s">
        <v>946</v>
      </c>
      <c r="E4344" s="13">
        <v>6549825</v>
      </c>
      <c r="F4344" s="13">
        <v>5550</v>
      </c>
      <c r="G4344" s="9">
        <v>45063</v>
      </c>
      <c r="H4344" t="s">
        <v>1111</v>
      </c>
      <c r="I4344" t="s">
        <v>2382</v>
      </c>
      <c r="J4344" s="13">
        <v>327163</v>
      </c>
      <c r="K4344">
        <v>1</v>
      </c>
      <c r="L4344" t="s">
        <v>1064</v>
      </c>
      <c r="M4344" t="s">
        <v>2383</v>
      </c>
      <c r="N4344" s="15" t="s">
        <v>6878</v>
      </c>
    </row>
    <row r="4345" spans="1:14" x14ac:dyDescent="0.2">
      <c r="A4345" t="s">
        <v>5474</v>
      </c>
      <c r="B4345" t="s">
        <v>2360</v>
      </c>
      <c r="C4345" s="9">
        <v>45042</v>
      </c>
      <c r="D4345" t="s">
        <v>946</v>
      </c>
      <c r="E4345" s="13">
        <v>5511950</v>
      </c>
      <c r="F4345" s="13">
        <v>5550</v>
      </c>
      <c r="G4345" s="9">
        <v>45063</v>
      </c>
      <c r="H4345" t="s">
        <v>1111</v>
      </c>
      <c r="I4345" t="s">
        <v>2382</v>
      </c>
      <c r="J4345" s="13">
        <v>275321</v>
      </c>
      <c r="K4345">
        <v>1</v>
      </c>
      <c r="L4345" t="s">
        <v>1064</v>
      </c>
      <c r="M4345" t="s">
        <v>2383</v>
      </c>
      <c r="N4345" s="15" t="s">
        <v>6878</v>
      </c>
    </row>
    <row r="4346" spans="1:14" x14ac:dyDescent="0.2">
      <c r="A4346" t="s">
        <v>5475</v>
      </c>
      <c r="B4346" t="s">
        <v>2360</v>
      </c>
      <c r="C4346" s="9">
        <v>45042</v>
      </c>
      <c r="D4346" t="s">
        <v>946</v>
      </c>
      <c r="E4346" s="13">
        <v>6549825</v>
      </c>
      <c r="F4346" s="13">
        <v>5550</v>
      </c>
      <c r="G4346" s="9">
        <v>45063</v>
      </c>
      <c r="H4346" t="s">
        <v>1111</v>
      </c>
      <c r="I4346" t="s">
        <v>2382</v>
      </c>
      <c r="J4346" s="13">
        <v>327163</v>
      </c>
      <c r="K4346">
        <v>1</v>
      </c>
      <c r="L4346" t="s">
        <v>1064</v>
      </c>
      <c r="M4346" t="s">
        <v>2383</v>
      </c>
      <c r="N4346" s="15" t="s">
        <v>6878</v>
      </c>
    </row>
    <row r="4347" spans="1:14" x14ac:dyDescent="0.2">
      <c r="A4347" t="s">
        <v>5476</v>
      </c>
      <c r="B4347" t="s">
        <v>2360</v>
      </c>
      <c r="C4347" s="9">
        <v>45042</v>
      </c>
      <c r="D4347" t="s">
        <v>946</v>
      </c>
      <c r="E4347" s="13">
        <v>5511950</v>
      </c>
      <c r="F4347" s="13">
        <v>5550</v>
      </c>
      <c r="G4347" s="9">
        <v>45063</v>
      </c>
      <c r="H4347" t="s">
        <v>1111</v>
      </c>
      <c r="I4347" t="s">
        <v>2382</v>
      </c>
      <c r="J4347" s="13">
        <v>275321</v>
      </c>
      <c r="K4347">
        <v>1</v>
      </c>
      <c r="L4347" t="s">
        <v>1064</v>
      </c>
      <c r="M4347" t="s">
        <v>2383</v>
      </c>
      <c r="N4347" s="15" t="s">
        <v>6878</v>
      </c>
    </row>
    <row r="4348" spans="1:14" x14ac:dyDescent="0.2">
      <c r="A4348" t="s">
        <v>5477</v>
      </c>
      <c r="B4348" t="s">
        <v>2360</v>
      </c>
      <c r="C4348" s="9">
        <v>45042</v>
      </c>
      <c r="D4348" t="s">
        <v>946</v>
      </c>
      <c r="E4348" s="13">
        <v>5511950</v>
      </c>
      <c r="F4348" s="13">
        <v>5550</v>
      </c>
      <c r="G4348" s="9">
        <v>45063</v>
      </c>
      <c r="H4348" t="s">
        <v>1111</v>
      </c>
      <c r="I4348" t="s">
        <v>2382</v>
      </c>
      <c r="J4348" s="13">
        <v>275321</v>
      </c>
      <c r="K4348">
        <v>1</v>
      </c>
      <c r="L4348" t="s">
        <v>1064</v>
      </c>
      <c r="M4348" t="s">
        <v>2383</v>
      </c>
      <c r="N4348" s="15" t="s">
        <v>6878</v>
      </c>
    </row>
    <row r="4349" spans="1:14" x14ac:dyDescent="0.2">
      <c r="A4349" t="s">
        <v>5478</v>
      </c>
      <c r="B4349" t="s">
        <v>2360</v>
      </c>
      <c r="C4349" s="9">
        <v>45042</v>
      </c>
      <c r="D4349" t="s">
        <v>946</v>
      </c>
      <c r="E4349" s="13">
        <v>5511950</v>
      </c>
      <c r="F4349" s="13">
        <v>5550</v>
      </c>
      <c r="G4349" s="9">
        <v>45063</v>
      </c>
      <c r="H4349" t="s">
        <v>1111</v>
      </c>
      <c r="I4349" t="s">
        <v>2382</v>
      </c>
      <c r="J4349" s="13">
        <v>275321</v>
      </c>
      <c r="K4349">
        <v>1</v>
      </c>
      <c r="L4349" t="s">
        <v>1064</v>
      </c>
      <c r="M4349" t="s">
        <v>2383</v>
      </c>
      <c r="N4349" s="15" t="s">
        <v>6878</v>
      </c>
    </row>
    <row r="4350" spans="1:14" x14ac:dyDescent="0.2">
      <c r="A4350" t="s">
        <v>5479</v>
      </c>
      <c r="B4350" t="s">
        <v>2360</v>
      </c>
      <c r="C4350" s="9">
        <v>45042</v>
      </c>
      <c r="D4350" t="s">
        <v>946</v>
      </c>
      <c r="E4350" s="13">
        <v>5511950</v>
      </c>
      <c r="F4350" s="13">
        <v>5550</v>
      </c>
      <c r="G4350" s="9">
        <v>45063</v>
      </c>
      <c r="H4350" t="s">
        <v>1111</v>
      </c>
      <c r="I4350" t="s">
        <v>2382</v>
      </c>
      <c r="J4350" s="13">
        <v>275321</v>
      </c>
      <c r="K4350">
        <v>1</v>
      </c>
      <c r="L4350" t="s">
        <v>1064</v>
      </c>
      <c r="M4350" t="s">
        <v>2383</v>
      </c>
      <c r="N4350" s="15" t="s">
        <v>6878</v>
      </c>
    </row>
    <row r="4351" spans="1:14" x14ac:dyDescent="0.2">
      <c r="A4351" t="s">
        <v>5480</v>
      </c>
      <c r="B4351" t="s">
        <v>2360</v>
      </c>
      <c r="C4351" s="9">
        <v>45042</v>
      </c>
      <c r="D4351" t="s">
        <v>946</v>
      </c>
      <c r="E4351" s="13">
        <v>6549825</v>
      </c>
      <c r="F4351" s="13">
        <v>5550</v>
      </c>
      <c r="G4351" s="9">
        <v>45063</v>
      </c>
      <c r="H4351" t="s">
        <v>1111</v>
      </c>
      <c r="I4351" t="s">
        <v>2382</v>
      </c>
      <c r="J4351" s="13">
        <v>327163</v>
      </c>
      <c r="K4351">
        <v>1</v>
      </c>
      <c r="L4351" t="s">
        <v>1064</v>
      </c>
      <c r="M4351" t="s">
        <v>2383</v>
      </c>
      <c r="N4351" s="15" t="s">
        <v>6878</v>
      </c>
    </row>
    <row r="4352" spans="1:14" x14ac:dyDescent="0.2">
      <c r="A4352" t="s">
        <v>5481</v>
      </c>
      <c r="B4352" t="s">
        <v>2360</v>
      </c>
      <c r="C4352" s="9">
        <v>45042</v>
      </c>
      <c r="D4352" t="s">
        <v>946</v>
      </c>
      <c r="E4352" s="13">
        <v>6549825</v>
      </c>
      <c r="F4352" s="13">
        <v>5550</v>
      </c>
      <c r="G4352" s="9">
        <v>45063</v>
      </c>
      <c r="H4352" t="s">
        <v>1111</v>
      </c>
      <c r="I4352" t="s">
        <v>2382</v>
      </c>
      <c r="J4352" s="13">
        <v>327163</v>
      </c>
      <c r="K4352">
        <v>1</v>
      </c>
      <c r="L4352" t="s">
        <v>1064</v>
      </c>
      <c r="M4352" t="s">
        <v>2383</v>
      </c>
      <c r="N4352" s="15" t="s">
        <v>6878</v>
      </c>
    </row>
    <row r="4353" spans="1:14" x14ac:dyDescent="0.2">
      <c r="A4353" t="s">
        <v>5482</v>
      </c>
      <c r="B4353" t="s">
        <v>2360</v>
      </c>
      <c r="C4353" s="9">
        <v>45042</v>
      </c>
      <c r="D4353" t="s">
        <v>946</v>
      </c>
      <c r="E4353" s="13">
        <v>2685150</v>
      </c>
      <c r="F4353" s="13">
        <v>5550</v>
      </c>
      <c r="G4353" s="9">
        <v>45063</v>
      </c>
      <c r="H4353" t="s">
        <v>1111</v>
      </c>
      <c r="I4353" t="s">
        <v>2382</v>
      </c>
      <c r="J4353" s="13">
        <v>134122</v>
      </c>
      <c r="K4353">
        <v>1</v>
      </c>
      <c r="L4353" t="s">
        <v>1064</v>
      </c>
      <c r="M4353" t="s">
        <v>2383</v>
      </c>
      <c r="N4353" s="15" t="s">
        <v>6878</v>
      </c>
    </row>
    <row r="4354" spans="1:14" x14ac:dyDescent="0.2">
      <c r="A4354" t="s">
        <v>5483</v>
      </c>
      <c r="B4354" t="s">
        <v>2360</v>
      </c>
      <c r="C4354" s="9">
        <v>45042</v>
      </c>
      <c r="D4354" t="s">
        <v>946</v>
      </c>
      <c r="E4354" s="13">
        <v>13377950</v>
      </c>
      <c r="F4354" s="13">
        <v>5550</v>
      </c>
      <c r="G4354" s="9">
        <v>45063</v>
      </c>
      <c r="H4354" t="s">
        <v>1111</v>
      </c>
      <c r="I4354" t="s">
        <v>2382</v>
      </c>
      <c r="J4354" s="13">
        <v>668227</v>
      </c>
      <c r="K4354">
        <v>1</v>
      </c>
      <c r="L4354" t="s">
        <v>1064</v>
      </c>
      <c r="M4354" t="s">
        <v>2383</v>
      </c>
      <c r="N4354" s="15" t="s">
        <v>6878</v>
      </c>
    </row>
    <row r="4355" spans="1:14" x14ac:dyDescent="0.2">
      <c r="A4355" t="s">
        <v>5484</v>
      </c>
      <c r="B4355" t="s">
        <v>2360</v>
      </c>
      <c r="C4355" s="9">
        <v>45042</v>
      </c>
      <c r="D4355" t="s">
        <v>946</v>
      </c>
      <c r="E4355" s="13">
        <v>5511950</v>
      </c>
      <c r="F4355" s="13">
        <v>5550</v>
      </c>
      <c r="G4355" s="9">
        <v>45063</v>
      </c>
      <c r="H4355" t="s">
        <v>1111</v>
      </c>
      <c r="I4355" t="s">
        <v>2382</v>
      </c>
      <c r="J4355" s="13">
        <v>275321</v>
      </c>
      <c r="K4355">
        <v>1</v>
      </c>
      <c r="L4355" t="s">
        <v>1064</v>
      </c>
      <c r="M4355" t="s">
        <v>2383</v>
      </c>
      <c r="N4355" s="15" t="s">
        <v>6878</v>
      </c>
    </row>
    <row r="4356" spans="1:14" x14ac:dyDescent="0.2">
      <c r="A4356" t="s">
        <v>5485</v>
      </c>
      <c r="B4356" t="s">
        <v>2360</v>
      </c>
      <c r="C4356" s="9">
        <v>45042</v>
      </c>
      <c r="D4356" t="s">
        <v>946</v>
      </c>
      <c r="E4356" s="13">
        <v>6549825</v>
      </c>
      <c r="F4356" s="13">
        <v>5550</v>
      </c>
      <c r="G4356" s="9">
        <v>45063</v>
      </c>
      <c r="H4356" t="s">
        <v>1111</v>
      </c>
      <c r="I4356" t="s">
        <v>2382</v>
      </c>
      <c r="J4356" s="13">
        <v>327163</v>
      </c>
      <c r="K4356">
        <v>1</v>
      </c>
      <c r="L4356" t="s">
        <v>1064</v>
      </c>
      <c r="M4356" t="s">
        <v>2383</v>
      </c>
      <c r="N4356" s="15" t="s">
        <v>6878</v>
      </c>
    </row>
    <row r="4357" spans="1:14" x14ac:dyDescent="0.2">
      <c r="A4357" t="s">
        <v>5486</v>
      </c>
      <c r="B4357" t="s">
        <v>2360</v>
      </c>
      <c r="C4357" s="9">
        <v>45042</v>
      </c>
      <c r="D4357" t="s">
        <v>946</v>
      </c>
      <c r="E4357" s="13">
        <v>6549825</v>
      </c>
      <c r="F4357" s="13">
        <v>5550</v>
      </c>
      <c r="G4357" s="9">
        <v>45063</v>
      </c>
      <c r="H4357" t="s">
        <v>1111</v>
      </c>
      <c r="I4357" t="s">
        <v>2382</v>
      </c>
      <c r="J4357" s="13">
        <v>327163</v>
      </c>
      <c r="K4357">
        <v>1</v>
      </c>
      <c r="L4357" t="s">
        <v>1064</v>
      </c>
      <c r="M4357" t="s">
        <v>2383</v>
      </c>
      <c r="N4357" s="15" t="s">
        <v>6878</v>
      </c>
    </row>
    <row r="4358" spans="1:14" x14ac:dyDescent="0.2">
      <c r="A4358" t="s">
        <v>5487</v>
      </c>
      <c r="B4358" t="s">
        <v>2360</v>
      </c>
      <c r="C4358" s="9">
        <v>45042</v>
      </c>
      <c r="D4358" t="s">
        <v>946</v>
      </c>
      <c r="E4358" s="13">
        <v>9991200</v>
      </c>
      <c r="F4358" s="13">
        <v>5550</v>
      </c>
      <c r="G4358" s="9">
        <v>45063</v>
      </c>
      <c r="H4358" t="s">
        <v>1111</v>
      </c>
      <c r="I4358" t="s">
        <v>2382</v>
      </c>
      <c r="J4358" s="13">
        <v>499060</v>
      </c>
      <c r="K4358">
        <v>1</v>
      </c>
      <c r="L4358" t="s">
        <v>1064</v>
      </c>
      <c r="M4358" t="s">
        <v>2383</v>
      </c>
      <c r="N4358" s="15" t="s">
        <v>6878</v>
      </c>
    </row>
    <row r="4359" spans="1:14" x14ac:dyDescent="0.2">
      <c r="A4359" t="s">
        <v>5488</v>
      </c>
      <c r="B4359" t="s">
        <v>2360</v>
      </c>
      <c r="C4359" s="9">
        <v>45042</v>
      </c>
      <c r="D4359" t="s">
        <v>946</v>
      </c>
      <c r="E4359" s="13">
        <v>4905900</v>
      </c>
      <c r="F4359" s="13">
        <v>5550</v>
      </c>
      <c r="G4359" s="9">
        <v>45063</v>
      </c>
      <c r="H4359" t="s">
        <v>1111</v>
      </c>
      <c r="I4359" t="s">
        <v>2382</v>
      </c>
      <c r="J4359" s="13">
        <v>245049</v>
      </c>
      <c r="K4359">
        <v>1</v>
      </c>
      <c r="L4359" t="s">
        <v>1064</v>
      </c>
      <c r="M4359" t="s">
        <v>2383</v>
      </c>
      <c r="N4359" s="15" t="s">
        <v>6878</v>
      </c>
    </row>
    <row r="4360" spans="1:14" x14ac:dyDescent="0.2">
      <c r="A4360" t="s">
        <v>5489</v>
      </c>
      <c r="B4360" t="s">
        <v>2360</v>
      </c>
      <c r="C4360" s="9">
        <v>45042</v>
      </c>
      <c r="D4360" t="s">
        <v>946</v>
      </c>
      <c r="E4360" s="13">
        <v>6303150</v>
      </c>
      <c r="F4360" s="13">
        <v>5550</v>
      </c>
      <c r="G4360" s="9">
        <v>45063</v>
      </c>
      <c r="H4360" t="s">
        <v>1111</v>
      </c>
      <c r="I4360" t="s">
        <v>2382</v>
      </c>
      <c r="J4360" s="13">
        <v>314841</v>
      </c>
      <c r="K4360">
        <v>1</v>
      </c>
      <c r="L4360" t="s">
        <v>1064</v>
      </c>
      <c r="M4360" t="s">
        <v>2383</v>
      </c>
      <c r="N4360" s="15" t="s">
        <v>6878</v>
      </c>
    </row>
    <row r="4361" spans="1:14" x14ac:dyDescent="0.2">
      <c r="A4361" t="s">
        <v>5490</v>
      </c>
      <c r="B4361" t="s">
        <v>2360</v>
      </c>
      <c r="C4361" s="9">
        <v>45042</v>
      </c>
      <c r="D4361" t="s">
        <v>946</v>
      </c>
      <c r="E4361" s="13">
        <v>7948800</v>
      </c>
      <c r="F4361" s="13">
        <v>5550</v>
      </c>
      <c r="G4361" s="9">
        <v>45063</v>
      </c>
      <c r="H4361" t="s">
        <v>1111</v>
      </c>
      <c r="I4361" t="s">
        <v>2382</v>
      </c>
      <c r="J4361" s="13">
        <v>397042</v>
      </c>
      <c r="K4361">
        <v>1</v>
      </c>
      <c r="L4361" t="s">
        <v>1064</v>
      </c>
      <c r="M4361" t="s">
        <v>2383</v>
      </c>
      <c r="N4361" s="15" t="s">
        <v>6878</v>
      </c>
    </row>
    <row r="4362" spans="1:14" x14ac:dyDescent="0.2">
      <c r="A4362" t="s">
        <v>5491</v>
      </c>
      <c r="B4362" t="s">
        <v>2360</v>
      </c>
      <c r="C4362" s="9">
        <v>45042</v>
      </c>
      <c r="D4362" t="s">
        <v>946</v>
      </c>
      <c r="E4362" s="13">
        <v>13450000</v>
      </c>
      <c r="F4362" s="13">
        <v>5550</v>
      </c>
      <c r="G4362" s="9">
        <v>45063</v>
      </c>
      <c r="H4362" t="s">
        <v>1111</v>
      </c>
      <c r="I4362" t="s">
        <v>2382</v>
      </c>
      <c r="J4362" s="13">
        <v>671827</v>
      </c>
      <c r="K4362">
        <v>1</v>
      </c>
      <c r="L4362" t="s">
        <v>1064</v>
      </c>
      <c r="M4362" t="s">
        <v>2383</v>
      </c>
      <c r="N4362" s="15" t="s">
        <v>6878</v>
      </c>
    </row>
    <row r="4363" spans="1:14" x14ac:dyDescent="0.2">
      <c r="A4363" t="s">
        <v>5492</v>
      </c>
      <c r="B4363" t="s">
        <v>2360</v>
      </c>
      <c r="C4363" s="9">
        <v>45042</v>
      </c>
      <c r="D4363" t="s">
        <v>946</v>
      </c>
      <c r="E4363" s="13">
        <v>4576425</v>
      </c>
      <c r="F4363" s="13">
        <v>5550</v>
      </c>
      <c r="G4363" s="9">
        <v>45063</v>
      </c>
      <c r="H4363" t="s">
        <v>1111</v>
      </c>
      <c r="I4363" t="s">
        <v>2382</v>
      </c>
      <c r="J4363" s="13">
        <v>228592</v>
      </c>
      <c r="K4363">
        <v>1</v>
      </c>
      <c r="L4363" t="s">
        <v>1064</v>
      </c>
      <c r="M4363" t="s">
        <v>2383</v>
      </c>
      <c r="N4363" s="15" t="s">
        <v>6878</v>
      </c>
    </row>
    <row r="4364" spans="1:14" x14ac:dyDescent="0.2">
      <c r="A4364" t="s">
        <v>5493</v>
      </c>
      <c r="B4364" t="s">
        <v>2360</v>
      </c>
      <c r="C4364" s="9">
        <v>45042</v>
      </c>
      <c r="D4364" t="s">
        <v>946</v>
      </c>
      <c r="E4364" s="13">
        <v>6385950</v>
      </c>
      <c r="F4364" s="13">
        <v>5550</v>
      </c>
      <c r="G4364" s="9">
        <v>45063</v>
      </c>
      <c r="H4364" t="s">
        <v>1111</v>
      </c>
      <c r="I4364" t="s">
        <v>2382</v>
      </c>
      <c r="J4364" s="13">
        <v>318977</v>
      </c>
      <c r="K4364">
        <v>1</v>
      </c>
      <c r="L4364" t="s">
        <v>1064</v>
      </c>
      <c r="M4364" t="s">
        <v>2383</v>
      </c>
      <c r="N4364" s="15" t="s">
        <v>6878</v>
      </c>
    </row>
    <row r="4365" spans="1:14" x14ac:dyDescent="0.2">
      <c r="A4365" t="s">
        <v>5494</v>
      </c>
      <c r="B4365" t="s">
        <v>2360</v>
      </c>
      <c r="C4365" s="9">
        <v>45042</v>
      </c>
      <c r="D4365" t="s">
        <v>946</v>
      </c>
      <c r="E4365" s="13">
        <v>4476375</v>
      </c>
      <c r="F4365" s="13">
        <v>5550</v>
      </c>
      <c r="G4365" s="9">
        <v>45063</v>
      </c>
      <c r="H4365" t="s">
        <v>1111</v>
      </c>
      <c r="I4365" t="s">
        <v>2382</v>
      </c>
      <c r="J4365" s="13">
        <v>223593</v>
      </c>
      <c r="K4365">
        <v>1</v>
      </c>
      <c r="L4365" t="s">
        <v>1064</v>
      </c>
      <c r="M4365" t="s">
        <v>2383</v>
      </c>
      <c r="N4365" s="15" t="s">
        <v>6878</v>
      </c>
    </row>
    <row r="4366" spans="1:14" x14ac:dyDescent="0.2">
      <c r="A4366" t="s">
        <v>5495</v>
      </c>
      <c r="B4366" t="s">
        <v>2360</v>
      </c>
      <c r="C4366" s="9">
        <v>45042</v>
      </c>
      <c r="D4366" t="s">
        <v>946</v>
      </c>
      <c r="E4366" s="13">
        <v>10113700</v>
      </c>
      <c r="F4366" s="13">
        <v>5550</v>
      </c>
      <c r="G4366" s="9">
        <v>45063</v>
      </c>
      <c r="H4366" t="s">
        <v>1111</v>
      </c>
      <c r="I4366" t="s">
        <v>2382</v>
      </c>
      <c r="J4366" s="13">
        <v>505178</v>
      </c>
      <c r="K4366">
        <v>1</v>
      </c>
      <c r="L4366" t="s">
        <v>1064</v>
      </c>
      <c r="M4366" t="s">
        <v>2383</v>
      </c>
      <c r="N4366" s="15" t="s">
        <v>6878</v>
      </c>
    </row>
    <row r="4367" spans="1:14" x14ac:dyDescent="0.2">
      <c r="A4367" t="s">
        <v>5496</v>
      </c>
      <c r="B4367" t="s">
        <v>2360</v>
      </c>
      <c r="C4367" s="9">
        <v>45042</v>
      </c>
      <c r="D4367" t="s">
        <v>946</v>
      </c>
      <c r="E4367" s="13">
        <v>10458930</v>
      </c>
      <c r="F4367" s="13">
        <v>5550</v>
      </c>
      <c r="G4367" s="9">
        <v>45063</v>
      </c>
      <c r="H4367" t="s">
        <v>1111</v>
      </c>
      <c r="I4367" t="s">
        <v>2382</v>
      </c>
      <c r="J4367" s="13">
        <v>522422</v>
      </c>
      <c r="K4367">
        <v>1</v>
      </c>
      <c r="L4367" t="s">
        <v>1064</v>
      </c>
      <c r="M4367" t="s">
        <v>2383</v>
      </c>
      <c r="N4367" s="15" t="s">
        <v>6878</v>
      </c>
    </row>
    <row r="4368" spans="1:14" x14ac:dyDescent="0.2">
      <c r="A4368" t="s">
        <v>5497</v>
      </c>
      <c r="B4368" t="s">
        <v>2360</v>
      </c>
      <c r="C4368" s="9">
        <v>45042</v>
      </c>
      <c r="D4368" t="s">
        <v>946</v>
      </c>
      <c r="E4368" s="13">
        <v>11404602</v>
      </c>
      <c r="F4368" s="13">
        <v>5550</v>
      </c>
      <c r="G4368" s="9">
        <v>45063</v>
      </c>
      <c r="H4368" t="s">
        <v>1111</v>
      </c>
      <c r="I4368" t="s">
        <v>2382</v>
      </c>
      <c r="J4368" s="13">
        <v>569659</v>
      </c>
      <c r="K4368">
        <v>1</v>
      </c>
      <c r="L4368" t="s">
        <v>1064</v>
      </c>
      <c r="M4368" t="s">
        <v>2383</v>
      </c>
      <c r="N4368" s="15" t="s">
        <v>6878</v>
      </c>
    </row>
    <row r="4369" spans="1:14" x14ac:dyDescent="0.2">
      <c r="A4369" t="s">
        <v>5498</v>
      </c>
      <c r="B4369" t="s">
        <v>2360</v>
      </c>
      <c r="C4369" s="9">
        <v>45042</v>
      </c>
      <c r="D4369" t="s">
        <v>946</v>
      </c>
      <c r="E4369" s="13">
        <v>10976490</v>
      </c>
      <c r="F4369" s="13">
        <v>5550</v>
      </c>
      <c r="G4369" s="9">
        <v>45063</v>
      </c>
      <c r="H4369" t="s">
        <v>1111</v>
      </c>
      <c r="I4369" t="s">
        <v>2382</v>
      </c>
      <c r="J4369" s="13">
        <v>548275</v>
      </c>
      <c r="K4369">
        <v>1</v>
      </c>
      <c r="L4369" t="s">
        <v>1064</v>
      </c>
      <c r="M4369" t="s">
        <v>2383</v>
      </c>
      <c r="N4369" s="15" t="s">
        <v>6878</v>
      </c>
    </row>
    <row r="4370" spans="1:14" x14ac:dyDescent="0.2">
      <c r="A4370" t="s">
        <v>5499</v>
      </c>
      <c r="B4370" t="s">
        <v>2360</v>
      </c>
      <c r="C4370" s="9">
        <v>45042</v>
      </c>
      <c r="D4370" t="s">
        <v>946</v>
      </c>
      <c r="E4370" s="13">
        <v>5293450</v>
      </c>
      <c r="F4370" s="13">
        <v>5550</v>
      </c>
      <c r="G4370" s="9">
        <v>45063</v>
      </c>
      <c r="H4370" t="s">
        <v>1111</v>
      </c>
      <c r="I4370" t="s">
        <v>2382</v>
      </c>
      <c r="J4370" s="13">
        <v>264407</v>
      </c>
      <c r="K4370">
        <v>1</v>
      </c>
      <c r="L4370" t="s">
        <v>1064</v>
      </c>
      <c r="M4370" t="s">
        <v>2383</v>
      </c>
      <c r="N4370" s="15" t="s">
        <v>6878</v>
      </c>
    </row>
    <row r="4371" spans="1:14" x14ac:dyDescent="0.2">
      <c r="A4371" t="s">
        <v>5500</v>
      </c>
      <c r="B4371" t="s">
        <v>2360</v>
      </c>
      <c r="C4371" s="9">
        <v>45042</v>
      </c>
      <c r="D4371" t="s">
        <v>946</v>
      </c>
      <c r="E4371" s="13">
        <v>5293450</v>
      </c>
      <c r="F4371" s="13">
        <v>5550</v>
      </c>
      <c r="G4371" s="9">
        <v>45063</v>
      </c>
      <c r="H4371" t="s">
        <v>1111</v>
      </c>
      <c r="I4371" t="s">
        <v>2382</v>
      </c>
      <c r="J4371" s="13">
        <v>264407</v>
      </c>
      <c r="K4371">
        <v>1</v>
      </c>
      <c r="L4371" t="s">
        <v>1064</v>
      </c>
      <c r="M4371" t="s">
        <v>2383</v>
      </c>
      <c r="N4371" s="15" t="s">
        <v>6878</v>
      </c>
    </row>
    <row r="4372" spans="1:14" x14ac:dyDescent="0.2">
      <c r="A4372" t="s">
        <v>5501</v>
      </c>
      <c r="B4372" t="s">
        <v>2360</v>
      </c>
      <c r="C4372" s="9">
        <v>45042</v>
      </c>
      <c r="D4372" t="s">
        <v>946</v>
      </c>
      <c r="E4372" s="13">
        <v>5293450</v>
      </c>
      <c r="F4372" s="13">
        <v>5550</v>
      </c>
      <c r="G4372" s="9">
        <v>45063</v>
      </c>
      <c r="H4372" t="s">
        <v>1111</v>
      </c>
      <c r="I4372" t="s">
        <v>2382</v>
      </c>
      <c r="J4372" s="13">
        <v>264407</v>
      </c>
      <c r="K4372">
        <v>1</v>
      </c>
      <c r="L4372" t="s">
        <v>1064</v>
      </c>
      <c r="M4372" t="s">
        <v>2383</v>
      </c>
      <c r="N4372" s="15" t="s">
        <v>6878</v>
      </c>
    </row>
    <row r="4373" spans="1:14" x14ac:dyDescent="0.2">
      <c r="A4373" t="s">
        <v>5502</v>
      </c>
      <c r="B4373" t="s">
        <v>2360</v>
      </c>
      <c r="C4373" s="9">
        <v>45042</v>
      </c>
      <c r="D4373" t="s">
        <v>946</v>
      </c>
      <c r="E4373" s="13">
        <v>5293450</v>
      </c>
      <c r="F4373" s="13">
        <v>5550</v>
      </c>
      <c r="G4373" s="9">
        <v>45063</v>
      </c>
      <c r="H4373" t="s">
        <v>1111</v>
      </c>
      <c r="I4373" t="s">
        <v>2382</v>
      </c>
      <c r="J4373" s="13"/>
      <c r="K4373">
        <v>1</v>
      </c>
      <c r="L4373" t="s">
        <v>1064</v>
      </c>
      <c r="M4373" t="s">
        <v>2383</v>
      </c>
      <c r="N4373" s="15" t="s">
        <v>6878</v>
      </c>
    </row>
    <row r="4374" spans="1:14" x14ac:dyDescent="0.2">
      <c r="A4374" t="s">
        <v>5503</v>
      </c>
      <c r="B4374" t="s">
        <v>2360</v>
      </c>
      <c r="C4374" s="9">
        <v>45042</v>
      </c>
      <c r="D4374" t="s">
        <v>946</v>
      </c>
      <c r="E4374" s="13">
        <v>5293450</v>
      </c>
      <c r="F4374" s="13">
        <v>5550</v>
      </c>
      <c r="G4374" s="9">
        <v>45063</v>
      </c>
      <c r="H4374" t="s">
        <v>1111</v>
      </c>
      <c r="I4374" t="s">
        <v>2382</v>
      </c>
      <c r="J4374" s="13">
        <v>264407</v>
      </c>
      <c r="K4374">
        <v>1</v>
      </c>
      <c r="L4374" t="s">
        <v>1064</v>
      </c>
      <c r="M4374" t="s">
        <v>2383</v>
      </c>
      <c r="N4374" s="15" t="s">
        <v>6878</v>
      </c>
    </row>
    <row r="4375" spans="1:14" x14ac:dyDescent="0.2">
      <c r="A4375" t="s">
        <v>5504</v>
      </c>
      <c r="B4375" t="s">
        <v>2360</v>
      </c>
      <c r="C4375" s="9">
        <v>45042</v>
      </c>
      <c r="D4375" t="s">
        <v>946</v>
      </c>
      <c r="E4375" s="13">
        <v>12420000</v>
      </c>
      <c r="F4375" s="13">
        <v>5550</v>
      </c>
      <c r="G4375" s="9">
        <v>45063</v>
      </c>
      <c r="H4375" t="s">
        <v>1111</v>
      </c>
      <c r="I4375" t="s">
        <v>2382</v>
      </c>
      <c r="J4375" s="13">
        <v>620379</v>
      </c>
      <c r="K4375">
        <v>1</v>
      </c>
      <c r="L4375" t="s">
        <v>1064</v>
      </c>
      <c r="M4375" t="s">
        <v>2383</v>
      </c>
      <c r="N4375" s="15" t="s">
        <v>6878</v>
      </c>
    </row>
    <row r="4376" spans="1:14" x14ac:dyDescent="0.2">
      <c r="A4376" t="s">
        <v>5505</v>
      </c>
      <c r="B4376" t="s">
        <v>2360</v>
      </c>
      <c r="C4376" s="9">
        <v>45042</v>
      </c>
      <c r="D4376" t="s">
        <v>946</v>
      </c>
      <c r="E4376" s="13">
        <v>5750000</v>
      </c>
      <c r="F4376" s="13">
        <v>5550</v>
      </c>
      <c r="G4376" s="9">
        <v>45063</v>
      </c>
      <c r="H4376" t="s">
        <v>1111</v>
      </c>
      <c r="I4376" t="s">
        <v>2382</v>
      </c>
      <c r="J4376" s="13">
        <v>287212</v>
      </c>
      <c r="K4376">
        <v>1</v>
      </c>
      <c r="L4376" t="s">
        <v>1064</v>
      </c>
      <c r="M4376" t="s">
        <v>2383</v>
      </c>
      <c r="N4376" s="15" t="s">
        <v>6878</v>
      </c>
    </row>
    <row r="4377" spans="1:14" x14ac:dyDescent="0.2">
      <c r="A4377" t="s">
        <v>5506</v>
      </c>
      <c r="B4377" t="s">
        <v>2360</v>
      </c>
      <c r="C4377" s="9">
        <v>45042</v>
      </c>
      <c r="D4377" t="s">
        <v>946</v>
      </c>
      <c r="E4377" s="13">
        <v>12420000</v>
      </c>
      <c r="F4377" s="13">
        <v>5550</v>
      </c>
      <c r="G4377" s="9">
        <v>45063</v>
      </c>
      <c r="H4377" t="s">
        <v>1111</v>
      </c>
      <c r="I4377" t="s">
        <v>2382</v>
      </c>
      <c r="J4377" s="13">
        <v>620379</v>
      </c>
      <c r="K4377">
        <v>1</v>
      </c>
      <c r="L4377" t="s">
        <v>1064</v>
      </c>
      <c r="M4377" t="s">
        <v>2383</v>
      </c>
      <c r="N4377" s="15" t="s">
        <v>6878</v>
      </c>
    </row>
    <row r="4378" spans="1:14" x14ac:dyDescent="0.2">
      <c r="A4378" t="s">
        <v>5507</v>
      </c>
      <c r="B4378" t="s">
        <v>2360</v>
      </c>
      <c r="C4378" s="9">
        <v>45042</v>
      </c>
      <c r="D4378" t="s">
        <v>946</v>
      </c>
      <c r="E4378" s="13">
        <v>11500000</v>
      </c>
      <c r="F4378" s="13">
        <v>5550</v>
      </c>
      <c r="G4378" s="9">
        <v>45063</v>
      </c>
      <c r="H4378" t="s">
        <v>1111</v>
      </c>
      <c r="I4378" t="s">
        <v>2382</v>
      </c>
      <c r="J4378" s="13">
        <v>574425</v>
      </c>
      <c r="K4378">
        <v>1</v>
      </c>
      <c r="L4378" t="s">
        <v>1064</v>
      </c>
      <c r="M4378" t="s">
        <v>2383</v>
      </c>
      <c r="N4378" s="15" t="s">
        <v>6878</v>
      </c>
    </row>
    <row r="4379" spans="1:14" x14ac:dyDescent="0.2">
      <c r="A4379" t="s">
        <v>5508</v>
      </c>
      <c r="B4379" t="s">
        <v>2360</v>
      </c>
      <c r="C4379" s="9">
        <v>45042</v>
      </c>
      <c r="D4379" t="s">
        <v>946</v>
      </c>
      <c r="E4379" s="13">
        <v>14950000</v>
      </c>
      <c r="F4379" s="13">
        <v>5550</v>
      </c>
      <c r="G4379" s="9">
        <v>45063</v>
      </c>
      <c r="H4379" t="s">
        <v>1111</v>
      </c>
      <c r="I4379" t="s">
        <v>2382</v>
      </c>
      <c r="J4379" s="13">
        <v>746752</v>
      </c>
      <c r="K4379">
        <v>1</v>
      </c>
      <c r="L4379" t="s">
        <v>1064</v>
      </c>
      <c r="M4379" t="s">
        <v>2383</v>
      </c>
      <c r="N4379" s="15" t="s">
        <v>6878</v>
      </c>
    </row>
    <row r="4380" spans="1:14" x14ac:dyDescent="0.2">
      <c r="A4380" t="s">
        <v>5509</v>
      </c>
      <c r="B4380" t="s">
        <v>2360</v>
      </c>
      <c r="C4380" s="9">
        <v>45042</v>
      </c>
      <c r="D4380" t="s">
        <v>946</v>
      </c>
      <c r="E4380" s="13">
        <v>2750000</v>
      </c>
      <c r="F4380" s="13">
        <v>5550</v>
      </c>
      <c r="G4380" s="9">
        <v>45063</v>
      </c>
      <c r="H4380" t="s">
        <v>1111</v>
      </c>
      <c r="I4380" t="s">
        <v>2382</v>
      </c>
      <c r="J4380" s="13">
        <v>137362</v>
      </c>
      <c r="K4380">
        <v>1</v>
      </c>
      <c r="L4380" t="s">
        <v>1064</v>
      </c>
      <c r="M4380" t="s">
        <v>2383</v>
      </c>
      <c r="N4380" s="15" t="s">
        <v>6878</v>
      </c>
    </row>
    <row r="4381" spans="1:14" x14ac:dyDescent="0.2">
      <c r="A4381" t="s">
        <v>5510</v>
      </c>
      <c r="B4381" t="s">
        <v>2360</v>
      </c>
      <c r="C4381" s="9">
        <v>45042</v>
      </c>
      <c r="D4381" t="s">
        <v>946</v>
      </c>
      <c r="E4381" s="13">
        <v>880000</v>
      </c>
      <c r="F4381" s="13">
        <v>5550</v>
      </c>
      <c r="G4381" s="9">
        <v>45063</v>
      </c>
      <c r="H4381" t="s">
        <v>1111</v>
      </c>
      <c r="I4381" t="s">
        <v>2382</v>
      </c>
      <c r="J4381" s="13">
        <v>43956</v>
      </c>
      <c r="K4381">
        <v>1</v>
      </c>
      <c r="L4381" t="s">
        <v>1064</v>
      </c>
      <c r="M4381" t="s">
        <v>2383</v>
      </c>
      <c r="N4381" s="15" t="s">
        <v>6878</v>
      </c>
    </row>
    <row r="4382" spans="1:14" x14ac:dyDescent="0.2">
      <c r="A4382" t="s">
        <v>5511</v>
      </c>
      <c r="B4382" t="s">
        <v>2360</v>
      </c>
      <c r="C4382" s="9">
        <v>45042</v>
      </c>
      <c r="D4382" t="s">
        <v>946</v>
      </c>
      <c r="E4382" s="13">
        <v>1210000</v>
      </c>
      <c r="F4382" s="13">
        <v>5550</v>
      </c>
      <c r="G4382" s="9">
        <v>45063</v>
      </c>
      <c r="H4382" t="s">
        <v>1111</v>
      </c>
      <c r="I4382" t="s">
        <v>2382</v>
      </c>
      <c r="J4382" s="13">
        <v>60439</v>
      </c>
      <c r="K4382">
        <v>1</v>
      </c>
      <c r="L4382" t="s">
        <v>1064</v>
      </c>
      <c r="M4382" t="s">
        <v>2383</v>
      </c>
      <c r="N4382" s="15" t="s">
        <v>6878</v>
      </c>
    </row>
    <row r="4383" spans="1:14" x14ac:dyDescent="0.2">
      <c r="A4383" t="s">
        <v>5512</v>
      </c>
      <c r="B4383" t="s">
        <v>2360</v>
      </c>
      <c r="C4383" s="9">
        <v>45042</v>
      </c>
      <c r="D4383" t="s">
        <v>946</v>
      </c>
      <c r="E4383" s="13">
        <v>1980000</v>
      </c>
      <c r="F4383" s="13">
        <v>5550</v>
      </c>
      <c r="G4383" s="9">
        <v>45063</v>
      </c>
      <c r="H4383" t="s">
        <v>1111</v>
      </c>
      <c r="I4383" t="s">
        <v>2382</v>
      </c>
      <c r="J4383" s="13">
        <v>98901</v>
      </c>
      <c r="K4383">
        <v>1</v>
      </c>
      <c r="L4383" t="s">
        <v>1064</v>
      </c>
      <c r="M4383" t="s">
        <v>2383</v>
      </c>
      <c r="N4383" s="15" t="s">
        <v>6878</v>
      </c>
    </row>
    <row r="4384" spans="1:14" x14ac:dyDescent="0.2">
      <c r="A4384" t="s">
        <v>5513</v>
      </c>
      <c r="B4384" t="s">
        <v>2360</v>
      </c>
      <c r="C4384" s="9">
        <v>45042</v>
      </c>
      <c r="D4384" t="s">
        <v>946</v>
      </c>
      <c r="E4384" s="13">
        <v>1100000</v>
      </c>
      <c r="F4384" s="13">
        <v>5550</v>
      </c>
      <c r="G4384" s="9">
        <v>45063</v>
      </c>
      <c r="H4384" t="s">
        <v>1111</v>
      </c>
      <c r="I4384" t="s">
        <v>2382</v>
      </c>
      <c r="J4384" s="13">
        <v>54945</v>
      </c>
      <c r="K4384">
        <v>1</v>
      </c>
      <c r="L4384" t="s">
        <v>1064</v>
      </c>
      <c r="M4384" t="s">
        <v>2383</v>
      </c>
      <c r="N4384" s="15" t="s">
        <v>6878</v>
      </c>
    </row>
    <row r="4385" spans="1:14" x14ac:dyDescent="0.2">
      <c r="A4385" t="s">
        <v>5514</v>
      </c>
      <c r="B4385" t="s">
        <v>2360</v>
      </c>
      <c r="C4385" s="9">
        <v>45042</v>
      </c>
      <c r="D4385" t="s">
        <v>946</v>
      </c>
      <c r="E4385" s="13">
        <v>19550000</v>
      </c>
      <c r="F4385" s="13">
        <v>5550</v>
      </c>
      <c r="G4385" s="9">
        <v>45063</v>
      </c>
      <c r="H4385" t="s">
        <v>1111</v>
      </c>
      <c r="I4385" t="s">
        <v>2382</v>
      </c>
      <c r="J4385" s="13">
        <v>976522</v>
      </c>
      <c r="K4385">
        <v>1</v>
      </c>
      <c r="L4385" t="s">
        <v>1064</v>
      </c>
      <c r="M4385" t="s">
        <v>2383</v>
      </c>
      <c r="N4385" s="15" t="s">
        <v>6878</v>
      </c>
    </row>
    <row r="4386" spans="1:14" x14ac:dyDescent="0.2">
      <c r="A4386" t="s">
        <v>5515</v>
      </c>
      <c r="B4386" t="s">
        <v>2360</v>
      </c>
      <c r="C4386" s="9">
        <v>45042</v>
      </c>
      <c r="D4386" t="s">
        <v>946</v>
      </c>
      <c r="E4386" s="13">
        <v>14375000</v>
      </c>
      <c r="F4386" s="13">
        <v>5550</v>
      </c>
      <c r="G4386" s="9">
        <v>45063</v>
      </c>
      <c r="H4386" t="s">
        <v>1111</v>
      </c>
      <c r="I4386" t="s">
        <v>2382</v>
      </c>
      <c r="J4386" s="13">
        <v>718031</v>
      </c>
      <c r="K4386">
        <v>1</v>
      </c>
      <c r="L4386" t="s">
        <v>1064</v>
      </c>
      <c r="M4386" t="s">
        <v>2383</v>
      </c>
      <c r="N4386" s="15" t="s">
        <v>6878</v>
      </c>
    </row>
    <row r="4387" spans="1:14" x14ac:dyDescent="0.2">
      <c r="A4387" t="s">
        <v>5516</v>
      </c>
      <c r="B4387" t="s">
        <v>2360</v>
      </c>
      <c r="C4387" s="9">
        <v>45042</v>
      </c>
      <c r="D4387" t="s">
        <v>946</v>
      </c>
      <c r="E4387" s="13">
        <v>20700000</v>
      </c>
      <c r="F4387" s="13">
        <v>5550</v>
      </c>
      <c r="G4387" s="9">
        <v>45063</v>
      </c>
      <c r="H4387" t="s">
        <v>1111</v>
      </c>
      <c r="I4387" t="s">
        <v>2382</v>
      </c>
      <c r="J4387" s="13">
        <v>1033965</v>
      </c>
      <c r="K4387">
        <v>1</v>
      </c>
      <c r="L4387" t="s">
        <v>1064</v>
      </c>
      <c r="M4387" t="s">
        <v>2383</v>
      </c>
      <c r="N4387" s="15" t="s">
        <v>6878</v>
      </c>
    </row>
    <row r="4388" spans="1:14" x14ac:dyDescent="0.2">
      <c r="A4388" t="s">
        <v>5517</v>
      </c>
      <c r="B4388" t="s">
        <v>2360</v>
      </c>
      <c r="C4388" s="9">
        <v>45042</v>
      </c>
      <c r="D4388" t="s">
        <v>946</v>
      </c>
      <c r="E4388" s="13">
        <v>3300000</v>
      </c>
      <c r="F4388" s="13">
        <v>5550</v>
      </c>
      <c r="G4388" s="9">
        <v>45063</v>
      </c>
      <c r="H4388" t="s">
        <v>1111</v>
      </c>
      <c r="I4388" t="s">
        <v>2382</v>
      </c>
      <c r="J4388" s="13">
        <v>164835</v>
      </c>
      <c r="K4388">
        <v>1</v>
      </c>
      <c r="L4388" t="s">
        <v>1064</v>
      </c>
      <c r="M4388" t="s">
        <v>2383</v>
      </c>
      <c r="N4388" s="15" t="s">
        <v>6878</v>
      </c>
    </row>
    <row r="4389" spans="1:14" x14ac:dyDescent="0.2">
      <c r="A4389" t="s">
        <v>5518</v>
      </c>
      <c r="B4389" t="s">
        <v>2360</v>
      </c>
      <c r="C4389" s="9">
        <v>45042</v>
      </c>
      <c r="D4389" t="s">
        <v>946</v>
      </c>
      <c r="E4389" s="13">
        <v>3080000</v>
      </c>
      <c r="F4389" s="13">
        <v>5550</v>
      </c>
      <c r="G4389" s="9">
        <v>45063</v>
      </c>
      <c r="H4389" t="s">
        <v>1111</v>
      </c>
      <c r="I4389" t="s">
        <v>2382</v>
      </c>
      <c r="J4389" s="13">
        <v>153846</v>
      </c>
      <c r="K4389">
        <v>1</v>
      </c>
      <c r="L4389" t="s">
        <v>1064</v>
      </c>
      <c r="M4389" t="s">
        <v>2383</v>
      </c>
      <c r="N4389" s="15" t="s">
        <v>6878</v>
      </c>
    </row>
    <row r="4390" spans="1:14" x14ac:dyDescent="0.2">
      <c r="A4390" t="s">
        <v>5519</v>
      </c>
      <c r="B4390" t="s">
        <v>2360</v>
      </c>
      <c r="C4390" s="9">
        <v>45042</v>
      </c>
      <c r="D4390" t="s">
        <v>946</v>
      </c>
      <c r="E4390" s="13">
        <v>1980000</v>
      </c>
      <c r="F4390" s="13">
        <v>5550</v>
      </c>
      <c r="G4390" s="9">
        <v>45063</v>
      </c>
      <c r="H4390" t="s">
        <v>1111</v>
      </c>
      <c r="I4390" t="s">
        <v>2382</v>
      </c>
      <c r="J4390" s="13">
        <v>98901</v>
      </c>
      <c r="K4390">
        <v>1</v>
      </c>
      <c r="L4390" t="s">
        <v>1064</v>
      </c>
      <c r="M4390" t="s">
        <v>2383</v>
      </c>
      <c r="N4390" s="15" t="s">
        <v>6878</v>
      </c>
    </row>
    <row r="4391" spans="1:14" x14ac:dyDescent="0.2">
      <c r="A4391" t="s">
        <v>5520</v>
      </c>
      <c r="B4391" t="s">
        <v>2360</v>
      </c>
      <c r="C4391" s="9">
        <v>45042</v>
      </c>
      <c r="D4391" t="s">
        <v>946</v>
      </c>
      <c r="E4391" s="13">
        <v>19550000</v>
      </c>
      <c r="F4391" s="13">
        <v>5550</v>
      </c>
      <c r="G4391" s="9">
        <v>45063</v>
      </c>
      <c r="H4391" t="s">
        <v>1111</v>
      </c>
      <c r="I4391" t="s">
        <v>2382</v>
      </c>
      <c r="J4391" s="13">
        <v>976522</v>
      </c>
      <c r="K4391">
        <v>1</v>
      </c>
      <c r="L4391" t="s">
        <v>1064</v>
      </c>
      <c r="M4391" t="s">
        <v>2383</v>
      </c>
      <c r="N4391" s="15" t="s">
        <v>6878</v>
      </c>
    </row>
    <row r="4392" spans="1:14" x14ac:dyDescent="0.2">
      <c r="A4392" t="s">
        <v>5521</v>
      </c>
      <c r="B4392" t="s">
        <v>2360</v>
      </c>
      <c r="C4392" s="9">
        <v>45042</v>
      </c>
      <c r="D4392" t="s">
        <v>946</v>
      </c>
      <c r="E4392" s="13">
        <v>660000</v>
      </c>
      <c r="F4392" s="13">
        <v>5550</v>
      </c>
      <c r="G4392" s="9">
        <v>45063</v>
      </c>
      <c r="H4392" t="s">
        <v>1111</v>
      </c>
      <c r="I4392" t="s">
        <v>2382</v>
      </c>
      <c r="J4392" s="13">
        <v>32967</v>
      </c>
      <c r="K4392">
        <v>1</v>
      </c>
      <c r="L4392" t="s">
        <v>1064</v>
      </c>
      <c r="M4392" t="s">
        <v>2383</v>
      </c>
      <c r="N4392" s="15" t="s">
        <v>6878</v>
      </c>
    </row>
    <row r="4393" spans="1:14" x14ac:dyDescent="0.2">
      <c r="A4393" t="s">
        <v>5522</v>
      </c>
      <c r="B4393" t="s">
        <v>2360</v>
      </c>
      <c r="C4393" s="9">
        <v>45042</v>
      </c>
      <c r="D4393" t="s">
        <v>946</v>
      </c>
      <c r="E4393" s="13">
        <v>1100000</v>
      </c>
      <c r="F4393" s="13">
        <v>5550</v>
      </c>
      <c r="G4393" s="9">
        <v>45063</v>
      </c>
      <c r="H4393" t="s">
        <v>1111</v>
      </c>
      <c r="I4393" t="s">
        <v>2382</v>
      </c>
      <c r="J4393" s="13">
        <v>54945</v>
      </c>
      <c r="K4393">
        <v>1</v>
      </c>
      <c r="L4393" t="s">
        <v>1064</v>
      </c>
      <c r="M4393" t="s">
        <v>2383</v>
      </c>
      <c r="N4393" s="15" t="s">
        <v>6878</v>
      </c>
    </row>
    <row r="4394" spans="1:14" x14ac:dyDescent="0.2">
      <c r="A4394" t="s">
        <v>5523</v>
      </c>
      <c r="B4394" t="s">
        <v>2360</v>
      </c>
      <c r="C4394" s="9">
        <v>45042</v>
      </c>
      <c r="D4394" t="s">
        <v>946</v>
      </c>
      <c r="E4394" s="13">
        <v>1210000</v>
      </c>
      <c r="F4394" s="13">
        <v>5550</v>
      </c>
      <c r="G4394" s="9">
        <v>45063</v>
      </c>
      <c r="H4394" t="s">
        <v>1111</v>
      </c>
      <c r="I4394" t="s">
        <v>2382</v>
      </c>
      <c r="J4394" s="13">
        <v>60439</v>
      </c>
      <c r="K4394">
        <v>1</v>
      </c>
      <c r="L4394" t="s">
        <v>1064</v>
      </c>
      <c r="M4394" t="s">
        <v>2383</v>
      </c>
      <c r="N4394" s="15" t="s">
        <v>6878</v>
      </c>
    </row>
    <row r="4395" spans="1:14" x14ac:dyDescent="0.2">
      <c r="A4395" t="s">
        <v>5524</v>
      </c>
      <c r="B4395" t="s">
        <v>2360</v>
      </c>
      <c r="C4395" s="9">
        <v>45042</v>
      </c>
      <c r="D4395" t="s">
        <v>946</v>
      </c>
      <c r="E4395" s="13">
        <v>1694000</v>
      </c>
      <c r="F4395" s="13">
        <v>5550</v>
      </c>
      <c r="G4395" s="9">
        <v>45063</v>
      </c>
      <c r="H4395" t="s">
        <v>1111</v>
      </c>
      <c r="I4395" t="s">
        <v>2382</v>
      </c>
      <c r="J4395" s="13">
        <v>84615</v>
      </c>
      <c r="K4395">
        <v>1</v>
      </c>
      <c r="L4395" t="s">
        <v>1064</v>
      </c>
      <c r="M4395" t="s">
        <v>2383</v>
      </c>
      <c r="N4395" s="15" t="s">
        <v>6878</v>
      </c>
    </row>
    <row r="4396" spans="1:14" x14ac:dyDescent="0.2">
      <c r="A4396" t="s">
        <v>5525</v>
      </c>
      <c r="B4396" t="s">
        <v>2360</v>
      </c>
      <c r="C4396" s="9">
        <v>45042</v>
      </c>
      <c r="D4396" t="s">
        <v>946</v>
      </c>
      <c r="E4396" s="13">
        <v>4785550</v>
      </c>
      <c r="F4396" s="13">
        <v>5550</v>
      </c>
      <c r="G4396" s="9">
        <v>45063</v>
      </c>
      <c r="H4396" t="s">
        <v>1111</v>
      </c>
      <c r="I4396" t="s">
        <v>2382</v>
      </c>
      <c r="J4396" s="13">
        <v>239037</v>
      </c>
      <c r="K4396">
        <v>1</v>
      </c>
      <c r="L4396" t="s">
        <v>1064</v>
      </c>
      <c r="M4396" t="s">
        <v>2383</v>
      </c>
      <c r="N4396" s="15" t="s">
        <v>6878</v>
      </c>
    </row>
    <row r="4397" spans="1:14" x14ac:dyDescent="0.2">
      <c r="A4397" t="s">
        <v>5526</v>
      </c>
      <c r="B4397" t="s">
        <v>2360</v>
      </c>
      <c r="C4397" s="9">
        <v>45042</v>
      </c>
      <c r="D4397" t="s">
        <v>946</v>
      </c>
      <c r="E4397" s="13">
        <v>38605550</v>
      </c>
      <c r="F4397" s="13">
        <v>5550</v>
      </c>
      <c r="G4397" s="9">
        <v>45063</v>
      </c>
      <c r="H4397" t="s">
        <v>1111</v>
      </c>
      <c r="I4397" t="s">
        <v>2382</v>
      </c>
      <c r="J4397" s="13">
        <v>1928346</v>
      </c>
      <c r="K4397">
        <v>1</v>
      </c>
      <c r="L4397" t="s">
        <v>1064</v>
      </c>
      <c r="M4397" t="s">
        <v>2383</v>
      </c>
      <c r="N4397" s="15" t="s">
        <v>6878</v>
      </c>
    </row>
    <row r="4398" spans="1:14" x14ac:dyDescent="0.2">
      <c r="A4398" t="s">
        <v>5527</v>
      </c>
      <c r="B4398" t="s">
        <v>2360</v>
      </c>
      <c r="C4398" s="9">
        <v>45042</v>
      </c>
      <c r="D4398" t="s">
        <v>946</v>
      </c>
      <c r="E4398" s="13">
        <v>825550</v>
      </c>
      <c r="F4398" s="13">
        <v>5550</v>
      </c>
      <c r="G4398" s="9">
        <v>45063</v>
      </c>
      <c r="H4398" t="s">
        <v>1111</v>
      </c>
      <c r="I4398" t="s">
        <v>2382</v>
      </c>
      <c r="J4398" s="13">
        <v>41235</v>
      </c>
      <c r="K4398">
        <v>1</v>
      </c>
      <c r="L4398" t="s">
        <v>1064</v>
      </c>
      <c r="M4398" t="s">
        <v>2383</v>
      </c>
      <c r="N4398" s="15" t="s">
        <v>6878</v>
      </c>
    </row>
    <row r="4399" spans="1:14" x14ac:dyDescent="0.2">
      <c r="A4399" t="s">
        <v>5528</v>
      </c>
      <c r="B4399" t="s">
        <v>2360</v>
      </c>
      <c r="C4399" s="9">
        <v>45042</v>
      </c>
      <c r="D4399" t="s">
        <v>946</v>
      </c>
      <c r="E4399" s="13">
        <v>47633050</v>
      </c>
      <c r="F4399" s="13">
        <v>5550</v>
      </c>
      <c r="G4399" s="9">
        <v>45063</v>
      </c>
      <c r="H4399" t="s">
        <v>1111</v>
      </c>
      <c r="I4399" t="s">
        <v>2382</v>
      </c>
      <c r="J4399" s="13">
        <v>2379270</v>
      </c>
      <c r="K4399">
        <v>1</v>
      </c>
      <c r="L4399" t="s">
        <v>1064</v>
      </c>
      <c r="M4399" t="s">
        <v>2383</v>
      </c>
      <c r="N4399" s="15" t="s">
        <v>6878</v>
      </c>
    </row>
    <row r="4400" spans="1:14" x14ac:dyDescent="0.2">
      <c r="A4400" t="s">
        <v>5529</v>
      </c>
      <c r="B4400" t="s">
        <v>2360</v>
      </c>
      <c r="C4400" s="9">
        <v>45042</v>
      </c>
      <c r="D4400" t="s">
        <v>946</v>
      </c>
      <c r="E4400" s="13">
        <v>24805550</v>
      </c>
      <c r="F4400" s="13">
        <v>5550</v>
      </c>
      <c r="G4400" s="9">
        <v>45063</v>
      </c>
      <c r="H4400" t="s">
        <v>1111</v>
      </c>
      <c r="I4400" t="s">
        <v>2382</v>
      </c>
      <c r="J4400" s="13">
        <v>1239036</v>
      </c>
      <c r="K4400">
        <v>1</v>
      </c>
      <c r="L4400" t="s">
        <v>1064</v>
      </c>
      <c r="M4400" t="s">
        <v>2383</v>
      </c>
      <c r="N4400" s="15" t="s">
        <v>6878</v>
      </c>
    </row>
    <row r="4401" spans="1:14" x14ac:dyDescent="0.2">
      <c r="A4401" t="s">
        <v>5530</v>
      </c>
      <c r="B4401" t="s">
        <v>2360</v>
      </c>
      <c r="C4401" s="9">
        <v>45042</v>
      </c>
      <c r="D4401" t="s">
        <v>946</v>
      </c>
      <c r="E4401" s="13">
        <v>13800000</v>
      </c>
      <c r="F4401" s="13">
        <v>5550</v>
      </c>
      <c r="G4401" s="9">
        <v>45044</v>
      </c>
      <c r="H4401" t="s">
        <v>1111</v>
      </c>
      <c r="I4401" t="s">
        <v>2382</v>
      </c>
      <c r="J4401" s="13">
        <v>689310</v>
      </c>
      <c r="K4401">
        <v>1</v>
      </c>
      <c r="L4401" t="s">
        <v>1064</v>
      </c>
      <c r="M4401" t="s">
        <v>2383</v>
      </c>
      <c r="N4401" s="15" t="s">
        <v>6878</v>
      </c>
    </row>
    <row r="4402" spans="1:14" x14ac:dyDescent="0.2">
      <c r="A4402" t="s">
        <v>5531</v>
      </c>
      <c r="B4402" t="s">
        <v>2360</v>
      </c>
      <c r="C4402" s="9">
        <v>45042</v>
      </c>
      <c r="D4402" t="s">
        <v>946</v>
      </c>
      <c r="E4402" s="13">
        <v>12535000</v>
      </c>
      <c r="F4402" s="13">
        <v>5550</v>
      </c>
      <c r="G4402" s="9">
        <v>45044</v>
      </c>
      <c r="H4402" t="s">
        <v>1111</v>
      </c>
      <c r="I4402" t="s">
        <v>2382</v>
      </c>
      <c r="J4402" s="13">
        <v>626123</v>
      </c>
      <c r="K4402">
        <v>1</v>
      </c>
      <c r="L4402" t="s">
        <v>1064</v>
      </c>
      <c r="M4402" t="s">
        <v>2383</v>
      </c>
      <c r="N4402" s="15" t="s">
        <v>6878</v>
      </c>
    </row>
    <row r="4403" spans="1:14" x14ac:dyDescent="0.2">
      <c r="A4403" t="s">
        <v>5532</v>
      </c>
      <c r="B4403" t="s">
        <v>2360</v>
      </c>
      <c r="C4403" s="9">
        <v>45042</v>
      </c>
      <c r="D4403" t="s">
        <v>946</v>
      </c>
      <c r="E4403" s="13">
        <v>19550000</v>
      </c>
      <c r="F4403" s="13">
        <v>5550</v>
      </c>
      <c r="G4403" s="9">
        <v>45044</v>
      </c>
      <c r="H4403" t="s">
        <v>1111</v>
      </c>
      <c r="I4403" t="s">
        <v>2382</v>
      </c>
      <c r="J4403" s="13">
        <v>976522</v>
      </c>
      <c r="K4403">
        <v>1</v>
      </c>
      <c r="L4403" t="s">
        <v>1064</v>
      </c>
      <c r="M4403" t="s">
        <v>2383</v>
      </c>
      <c r="N4403" s="15" t="s">
        <v>6878</v>
      </c>
    </row>
    <row r="4404" spans="1:14" x14ac:dyDescent="0.2">
      <c r="A4404" t="s">
        <v>5533</v>
      </c>
      <c r="B4404" t="s">
        <v>2360</v>
      </c>
      <c r="C4404" s="9">
        <v>45042</v>
      </c>
      <c r="D4404" t="s">
        <v>946</v>
      </c>
      <c r="E4404" s="13">
        <v>11155000</v>
      </c>
      <c r="F4404" s="13">
        <v>5550</v>
      </c>
      <c r="G4404" s="9">
        <v>45044</v>
      </c>
      <c r="H4404" t="s">
        <v>1111</v>
      </c>
      <c r="I4404" t="s">
        <v>2382</v>
      </c>
      <c r="J4404" s="13">
        <v>557192</v>
      </c>
      <c r="K4404">
        <v>1</v>
      </c>
      <c r="L4404" t="s">
        <v>1064</v>
      </c>
      <c r="M4404" t="s">
        <v>2383</v>
      </c>
      <c r="N4404" s="15" t="s">
        <v>6878</v>
      </c>
    </row>
    <row r="4405" spans="1:14" x14ac:dyDescent="0.2">
      <c r="A4405" t="s">
        <v>5534</v>
      </c>
      <c r="B4405" t="s">
        <v>2360</v>
      </c>
      <c r="C4405" s="9">
        <v>45042</v>
      </c>
      <c r="D4405" t="s">
        <v>946</v>
      </c>
      <c r="E4405" s="13">
        <v>3960000</v>
      </c>
      <c r="F4405" s="13">
        <v>5550</v>
      </c>
      <c r="G4405" s="9">
        <v>45044</v>
      </c>
      <c r="H4405" t="s">
        <v>1111</v>
      </c>
      <c r="I4405" t="s">
        <v>2382</v>
      </c>
      <c r="J4405" s="13">
        <v>197802</v>
      </c>
      <c r="K4405">
        <v>1</v>
      </c>
      <c r="L4405" t="s">
        <v>1064</v>
      </c>
      <c r="M4405" t="s">
        <v>2383</v>
      </c>
      <c r="N4405" s="15" t="s">
        <v>6878</v>
      </c>
    </row>
    <row r="4406" spans="1:14" x14ac:dyDescent="0.2">
      <c r="A4406" t="s">
        <v>5535</v>
      </c>
      <c r="B4406" t="s">
        <v>2360</v>
      </c>
      <c r="C4406" s="9">
        <v>45042</v>
      </c>
      <c r="D4406" t="s">
        <v>946</v>
      </c>
      <c r="E4406" s="13">
        <v>1155000</v>
      </c>
      <c r="F4406" s="13">
        <v>5550</v>
      </c>
      <c r="G4406" s="9">
        <v>45044</v>
      </c>
      <c r="H4406" t="s">
        <v>1111</v>
      </c>
      <c r="I4406" t="s">
        <v>2382</v>
      </c>
      <c r="J4406" s="13">
        <v>57692</v>
      </c>
      <c r="K4406">
        <v>1</v>
      </c>
      <c r="L4406" t="s">
        <v>1064</v>
      </c>
      <c r="M4406" t="s">
        <v>2383</v>
      </c>
      <c r="N4406" s="15" t="s">
        <v>6878</v>
      </c>
    </row>
    <row r="4407" spans="1:14" x14ac:dyDescent="0.2">
      <c r="A4407" t="s">
        <v>5536</v>
      </c>
      <c r="B4407" t="s">
        <v>2360</v>
      </c>
      <c r="C4407" s="9">
        <v>45042</v>
      </c>
      <c r="D4407" t="s">
        <v>946</v>
      </c>
      <c r="E4407" s="13">
        <v>17825000</v>
      </c>
      <c r="F4407" s="13">
        <v>5550</v>
      </c>
      <c r="G4407" s="9">
        <v>45044</v>
      </c>
      <c r="H4407" t="s">
        <v>1111</v>
      </c>
      <c r="I4407" t="s">
        <v>2382</v>
      </c>
      <c r="J4407" s="13">
        <v>890358</v>
      </c>
      <c r="K4407">
        <v>1</v>
      </c>
      <c r="L4407" t="s">
        <v>1064</v>
      </c>
      <c r="M4407" t="s">
        <v>2383</v>
      </c>
      <c r="N4407" s="15" t="s">
        <v>6878</v>
      </c>
    </row>
    <row r="4408" spans="1:14" x14ac:dyDescent="0.2">
      <c r="A4408" t="s">
        <v>5537</v>
      </c>
      <c r="B4408" t="s">
        <v>2360</v>
      </c>
      <c r="C4408" s="9">
        <v>45042</v>
      </c>
      <c r="D4408" t="s">
        <v>946</v>
      </c>
      <c r="E4408" s="13">
        <v>1650000</v>
      </c>
      <c r="F4408" s="13">
        <v>5550</v>
      </c>
      <c r="G4408" s="9">
        <v>45044</v>
      </c>
      <c r="H4408" t="s">
        <v>1111</v>
      </c>
      <c r="I4408" t="s">
        <v>2382</v>
      </c>
      <c r="J4408" s="13">
        <v>82417</v>
      </c>
      <c r="K4408">
        <v>1</v>
      </c>
      <c r="L4408" t="s">
        <v>1064</v>
      </c>
      <c r="M4408" t="s">
        <v>2383</v>
      </c>
      <c r="N4408" s="15" t="s">
        <v>6878</v>
      </c>
    </row>
    <row r="4409" spans="1:14" x14ac:dyDescent="0.2">
      <c r="A4409" t="s">
        <v>5538</v>
      </c>
      <c r="B4409" t="s">
        <v>2360</v>
      </c>
      <c r="C4409" s="9">
        <v>45042</v>
      </c>
      <c r="D4409" t="s">
        <v>946</v>
      </c>
      <c r="E4409" s="13">
        <v>4600000</v>
      </c>
      <c r="F4409" s="13">
        <v>5550</v>
      </c>
      <c r="G4409" s="9">
        <v>45044</v>
      </c>
      <c r="H4409" t="s">
        <v>1111</v>
      </c>
      <c r="I4409" t="s">
        <v>2382</v>
      </c>
      <c r="J4409" s="13">
        <v>229770</v>
      </c>
      <c r="K4409">
        <v>1</v>
      </c>
      <c r="L4409" t="s">
        <v>1064</v>
      </c>
      <c r="M4409" t="s">
        <v>2383</v>
      </c>
      <c r="N4409" s="15" t="s">
        <v>6878</v>
      </c>
    </row>
    <row r="4410" spans="1:14" x14ac:dyDescent="0.2">
      <c r="A4410" t="s">
        <v>5539</v>
      </c>
      <c r="B4410" t="s">
        <v>2360</v>
      </c>
      <c r="C4410" s="9">
        <v>45042</v>
      </c>
      <c r="D4410" t="s">
        <v>946</v>
      </c>
      <c r="E4410" s="13">
        <v>4900000</v>
      </c>
      <c r="F4410" s="13">
        <v>5550</v>
      </c>
      <c r="G4410" s="9">
        <v>45044</v>
      </c>
      <c r="H4410" t="s">
        <v>1111</v>
      </c>
      <c r="I4410" t="s">
        <v>2382</v>
      </c>
      <c r="J4410" s="13">
        <v>244755</v>
      </c>
      <c r="K4410">
        <v>1</v>
      </c>
      <c r="L4410" t="s">
        <v>1064</v>
      </c>
      <c r="M4410" t="s">
        <v>2383</v>
      </c>
      <c r="N4410" s="15" t="s">
        <v>6878</v>
      </c>
    </row>
    <row r="4411" spans="1:14" x14ac:dyDescent="0.2">
      <c r="A4411" t="s">
        <v>5540</v>
      </c>
      <c r="B4411" t="s">
        <v>2360</v>
      </c>
      <c r="C4411" s="9">
        <v>45042</v>
      </c>
      <c r="D4411" t="s">
        <v>946</v>
      </c>
      <c r="E4411" s="13">
        <v>4900000</v>
      </c>
      <c r="F4411" s="13">
        <v>5550</v>
      </c>
      <c r="G4411" s="9">
        <v>45044</v>
      </c>
      <c r="H4411" t="s">
        <v>1111</v>
      </c>
      <c r="I4411" t="s">
        <v>2382</v>
      </c>
      <c r="J4411" s="13">
        <v>244755</v>
      </c>
      <c r="K4411">
        <v>1</v>
      </c>
      <c r="L4411" t="s">
        <v>1064</v>
      </c>
      <c r="M4411" t="s">
        <v>2383</v>
      </c>
      <c r="N4411" s="15" t="s">
        <v>6878</v>
      </c>
    </row>
    <row r="4412" spans="1:14" x14ac:dyDescent="0.2">
      <c r="A4412" t="s">
        <v>5541</v>
      </c>
      <c r="B4412" t="s">
        <v>2360</v>
      </c>
      <c r="C4412" s="9">
        <v>45042</v>
      </c>
      <c r="D4412" t="s">
        <v>946</v>
      </c>
      <c r="E4412" s="13">
        <v>4900000</v>
      </c>
      <c r="F4412" s="13">
        <v>5550</v>
      </c>
      <c r="G4412" s="9">
        <v>45044</v>
      </c>
      <c r="H4412" t="s">
        <v>1111</v>
      </c>
      <c r="I4412" t="s">
        <v>2382</v>
      </c>
      <c r="J4412" s="13">
        <v>244755</v>
      </c>
      <c r="K4412">
        <v>1</v>
      </c>
      <c r="L4412" t="s">
        <v>1064</v>
      </c>
      <c r="M4412" t="s">
        <v>2383</v>
      </c>
      <c r="N4412" s="15" t="s">
        <v>6878</v>
      </c>
    </row>
    <row r="4413" spans="1:14" x14ac:dyDescent="0.2">
      <c r="A4413" t="s">
        <v>5542</v>
      </c>
      <c r="B4413" t="s">
        <v>2360</v>
      </c>
      <c r="C4413" s="9">
        <v>45042</v>
      </c>
      <c r="D4413" t="s">
        <v>946</v>
      </c>
      <c r="E4413" s="13">
        <v>4200000</v>
      </c>
      <c r="F4413" s="13">
        <v>5550</v>
      </c>
      <c r="G4413" s="9">
        <v>45044</v>
      </c>
      <c r="H4413" t="s">
        <v>1111</v>
      </c>
      <c r="I4413" t="s">
        <v>2382</v>
      </c>
      <c r="J4413" s="13">
        <v>209790</v>
      </c>
      <c r="K4413">
        <v>1</v>
      </c>
      <c r="L4413" t="s">
        <v>1064</v>
      </c>
      <c r="M4413" t="s">
        <v>2383</v>
      </c>
      <c r="N4413" s="15" t="s">
        <v>6878</v>
      </c>
    </row>
    <row r="4414" spans="1:14" x14ac:dyDescent="0.2">
      <c r="A4414" t="s">
        <v>5543</v>
      </c>
      <c r="B4414" t="s">
        <v>2360</v>
      </c>
      <c r="C4414" s="9">
        <v>45042</v>
      </c>
      <c r="D4414" t="s">
        <v>946</v>
      </c>
      <c r="E4414" s="13">
        <v>4700000</v>
      </c>
      <c r="F4414" s="13">
        <v>5550</v>
      </c>
      <c r="G4414" s="9">
        <v>45044</v>
      </c>
      <c r="H4414" t="s">
        <v>1111</v>
      </c>
      <c r="I4414" t="s">
        <v>2382</v>
      </c>
      <c r="J4414" s="13">
        <v>234765</v>
      </c>
      <c r="K4414">
        <v>1</v>
      </c>
      <c r="L4414" t="s">
        <v>1064</v>
      </c>
      <c r="M4414" t="s">
        <v>2383</v>
      </c>
      <c r="N4414" s="15" t="s">
        <v>6878</v>
      </c>
    </row>
    <row r="4415" spans="1:14" x14ac:dyDescent="0.2">
      <c r="A4415" t="s">
        <v>5544</v>
      </c>
      <c r="B4415" t="s">
        <v>2360</v>
      </c>
      <c r="C4415" s="9">
        <v>45042</v>
      </c>
      <c r="D4415" t="s">
        <v>946</v>
      </c>
      <c r="E4415" s="13">
        <v>4700000</v>
      </c>
      <c r="F4415" s="13">
        <v>5550</v>
      </c>
      <c r="G4415" s="9">
        <v>45044</v>
      </c>
      <c r="H4415" t="s">
        <v>1111</v>
      </c>
      <c r="I4415" t="s">
        <v>2382</v>
      </c>
      <c r="J4415" s="13">
        <v>234765</v>
      </c>
      <c r="K4415">
        <v>1</v>
      </c>
      <c r="L4415" t="s">
        <v>1064</v>
      </c>
      <c r="M4415" t="s">
        <v>2383</v>
      </c>
      <c r="N4415" s="15" t="s">
        <v>6878</v>
      </c>
    </row>
    <row r="4416" spans="1:14" x14ac:dyDescent="0.2">
      <c r="A4416" t="s">
        <v>5545</v>
      </c>
      <c r="B4416" t="s">
        <v>2360</v>
      </c>
      <c r="C4416" s="9">
        <v>45042</v>
      </c>
      <c r="D4416" t="s">
        <v>946</v>
      </c>
      <c r="E4416" s="13">
        <v>4700000</v>
      </c>
      <c r="F4416" s="13">
        <v>5550</v>
      </c>
      <c r="G4416" s="9">
        <v>45044</v>
      </c>
      <c r="H4416" t="s">
        <v>1111</v>
      </c>
      <c r="I4416" t="s">
        <v>2382</v>
      </c>
      <c r="J4416" s="13">
        <v>234765</v>
      </c>
      <c r="K4416">
        <v>1</v>
      </c>
      <c r="L4416" t="s">
        <v>1064</v>
      </c>
      <c r="M4416" t="s">
        <v>2383</v>
      </c>
      <c r="N4416" s="15" t="s">
        <v>6878</v>
      </c>
    </row>
    <row r="4417" spans="1:14" x14ac:dyDescent="0.2">
      <c r="A4417" t="s">
        <v>5546</v>
      </c>
      <c r="B4417" t="s">
        <v>2360</v>
      </c>
      <c r="C4417" s="9">
        <v>45042</v>
      </c>
      <c r="D4417" t="s">
        <v>946</v>
      </c>
      <c r="E4417" s="13">
        <v>4900000</v>
      </c>
      <c r="F4417" s="13">
        <v>5550</v>
      </c>
      <c r="G4417" s="9">
        <v>45044</v>
      </c>
      <c r="H4417" t="s">
        <v>1111</v>
      </c>
      <c r="I4417" t="s">
        <v>2382</v>
      </c>
      <c r="J4417" s="13">
        <v>244755</v>
      </c>
      <c r="K4417">
        <v>1</v>
      </c>
      <c r="L4417" t="s">
        <v>1064</v>
      </c>
      <c r="M4417" t="s">
        <v>2383</v>
      </c>
      <c r="N4417" s="15" t="s">
        <v>6878</v>
      </c>
    </row>
    <row r="4418" spans="1:14" x14ac:dyDescent="0.2">
      <c r="A4418" t="s">
        <v>5547</v>
      </c>
      <c r="B4418" t="s">
        <v>2360</v>
      </c>
      <c r="C4418" s="9">
        <v>45042</v>
      </c>
      <c r="D4418" t="s">
        <v>946</v>
      </c>
      <c r="E4418" s="13">
        <v>4900000</v>
      </c>
      <c r="F4418" s="13">
        <v>5550</v>
      </c>
      <c r="G4418" s="9">
        <v>45044</v>
      </c>
      <c r="H4418" t="s">
        <v>1111</v>
      </c>
      <c r="I4418" t="s">
        <v>2382</v>
      </c>
      <c r="J4418" s="13">
        <v>244755</v>
      </c>
      <c r="K4418">
        <v>1</v>
      </c>
      <c r="L4418" t="s">
        <v>1064</v>
      </c>
      <c r="M4418" t="s">
        <v>2383</v>
      </c>
      <c r="N4418" s="15" t="s">
        <v>6878</v>
      </c>
    </row>
    <row r="4419" spans="1:14" x14ac:dyDescent="0.2">
      <c r="A4419" t="s">
        <v>5548</v>
      </c>
      <c r="B4419" t="s">
        <v>2360</v>
      </c>
      <c r="C4419" s="9">
        <v>45042</v>
      </c>
      <c r="D4419" t="s">
        <v>946</v>
      </c>
      <c r="E4419" s="13">
        <v>4900000</v>
      </c>
      <c r="F4419" s="13">
        <v>5550</v>
      </c>
      <c r="G4419" s="9">
        <v>45044</v>
      </c>
      <c r="H4419" t="s">
        <v>1111</v>
      </c>
      <c r="I4419" t="s">
        <v>2382</v>
      </c>
      <c r="J4419" s="13">
        <v>244755</v>
      </c>
      <c r="K4419">
        <v>1</v>
      </c>
      <c r="L4419" t="s">
        <v>1064</v>
      </c>
      <c r="M4419" t="s">
        <v>2383</v>
      </c>
      <c r="N4419" s="15" t="s">
        <v>6878</v>
      </c>
    </row>
    <row r="4420" spans="1:14" x14ac:dyDescent="0.2">
      <c r="A4420" t="s">
        <v>5549</v>
      </c>
      <c r="B4420" t="s">
        <v>2360</v>
      </c>
      <c r="C4420" s="9">
        <v>45042</v>
      </c>
      <c r="D4420" t="s">
        <v>946</v>
      </c>
      <c r="E4420" s="13">
        <v>4900000</v>
      </c>
      <c r="F4420" s="13">
        <v>5550</v>
      </c>
      <c r="G4420" s="9">
        <v>45044</v>
      </c>
      <c r="H4420" t="s">
        <v>1111</v>
      </c>
      <c r="I4420" t="s">
        <v>2382</v>
      </c>
      <c r="J4420" s="13">
        <v>244755</v>
      </c>
      <c r="K4420">
        <v>1</v>
      </c>
      <c r="L4420" t="s">
        <v>1064</v>
      </c>
      <c r="M4420" t="s">
        <v>2383</v>
      </c>
      <c r="N4420" s="15" t="s">
        <v>6878</v>
      </c>
    </row>
    <row r="4421" spans="1:14" x14ac:dyDescent="0.2">
      <c r="A4421" t="s">
        <v>5550</v>
      </c>
      <c r="B4421" t="s">
        <v>2360</v>
      </c>
      <c r="C4421" s="9">
        <v>45042</v>
      </c>
      <c r="D4421" t="s">
        <v>946</v>
      </c>
      <c r="E4421" s="13">
        <v>4900000</v>
      </c>
      <c r="F4421" s="13">
        <v>5550</v>
      </c>
      <c r="G4421" s="9">
        <v>45044</v>
      </c>
      <c r="H4421" t="s">
        <v>1111</v>
      </c>
      <c r="I4421" t="s">
        <v>2382</v>
      </c>
      <c r="J4421" s="13">
        <v>244755</v>
      </c>
      <c r="K4421">
        <v>1</v>
      </c>
      <c r="L4421" t="s">
        <v>1064</v>
      </c>
      <c r="M4421" t="s">
        <v>2383</v>
      </c>
      <c r="N4421" s="15" t="s">
        <v>6878</v>
      </c>
    </row>
    <row r="4422" spans="1:14" x14ac:dyDescent="0.2">
      <c r="A4422" t="s">
        <v>5551</v>
      </c>
      <c r="B4422" t="s">
        <v>2360</v>
      </c>
      <c r="C4422" s="9">
        <v>45042</v>
      </c>
      <c r="D4422" t="s">
        <v>946</v>
      </c>
      <c r="E4422" s="13">
        <v>4900000</v>
      </c>
      <c r="F4422" s="13">
        <v>5550</v>
      </c>
      <c r="G4422" s="9">
        <v>45044</v>
      </c>
      <c r="H4422" t="s">
        <v>1111</v>
      </c>
      <c r="I4422" t="s">
        <v>2382</v>
      </c>
      <c r="J4422" s="13">
        <v>244755</v>
      </c>
      <c r="K4422">
        <v>1</v>
      </c>
      <c r="L4422" t="s">
        <v>1064</v>
      </c>
      <c r="M4422" t="s">
        <v>2383</v>
      </c>
      <c r="N4422" s="15" t="s">
        <v>6878</v>
      </c>
    </row>
    <row r="4423" spans="1:14" x14ac:dyDescent="0.2">
      <c r="A4423" t="s">
        <v>5552</v>
      </c>
      <c r="B4423" t="s">
        <v>2360</v>
      </c>
      <c r="C4423" s="9">
        <v>45042</v>
      </c>
      <c r="D4423" t="s">
        <v>946</v>
      </c>
      <c r="E4423" s="13">
        <v>4900000</v>
      </c>
      <c r="F4423" s="13">
        <v>5550</v>
      </c>
      <c r="G4423" s="9">
        <v>45044</v>
      </c>
      <c r="H4423" t="s">
        <v>1111</v>
      </c>
      <c r="I4423" t="s">
        <v>2382</v>
      </c>
      <c r="J4423" s="13">
        <v>244755</v>
      </c>
      <c r="K4423">
        <v>1</v>
      </c>
      <c r="L4423" t="s">
        <v>1064</v>
      </c>
      <c r="M4423" t="s">
        <v>2383</v>
      </c>
      <c r="N4423" s="15" t="s">
        <v>6878</v>
      </c>
    </row>
    <row r="4424" spans="1:14" x14ac:dyDescent="0.2">
      <c r="A4424" t="s">
        <v>5553</v>
      </c>
      <c r="B4424" t="s">
        <v>2360</v>
      </c>
      <c r="C4424" s="9">
        <v>45042</v>
      </c>
      <c r="D4424" t="s">
        <v>946</v>
      </c>
      <c r="E4424" s="13">
        <v>4700000</v>
      </c>
      <c r="F4424" s="13">
        <v>5550</v>
      </c>
      <c r="G4424" s="9">
        <v>45044</v>
      </c>
      <c r="H4424" t="s">
        <v>1111</v>
      </c>
      <c r="I4424" t="s">
        <v>2382</v>
      </c>
      <c r="J4424" s="13">
        <v>234765</v>
      </c>
      <c r="K4424">
        <v>1</v>
      </c>
      <c r="L4424" t="s">
        <v>1064</v>
      </c>
      <c r="M4424" t="s">
        <v>2383</v>
      </c>
      <c r="N4424" s="15" t="s">
        <v>6878</v>
      </c>
    </row>
    <row r="4425" spans="1:14" x14ac:dyDescent="0.2">
      <c r="A4425" t="s">
        <v>5554</v>
      </c>
      <c r="B4425" t="s">
        <v>2360</v>
      </c>
      <c r="C4425" s="9">
        <v>45042</v>
      </c>
      <c r="D4425" t="s">
        <v>946</v>
      </c>
      <c r="E4425" s="13">
        <v>4700000</v>
      </c>
      <c r="F4425" s="13">
        <v>5550</v>
      </c>
      <c r="G4425" s="9">
        <v>45044</v>
      </c>
      <c r="H4425" t="s">
        <v>1111</v>
      </c>
      <c r="I4425" t="s">
        <v>2382</v>
      </c>
      <c r="J4425" s="13">
        <v>234765</v>
      </c>
      <c r="K4425">
        <v>1</v>
      </c>
      <c r="L4425" t="s">
        <v>1064</v>
      </c>
      <c r="M4425" t="s">
        <v>2383</v>
      </c>
      <c r="N4425" s="15" t="s">
        <v>6878</v>
      </c>
    </row>
    <row r="4426" spans="1:14" x14ac:dyDescent="0.2">
      <c r="A4426" t="s">
        <v>5555</v>
      </c>
      <c r="B4426" t="s">
        <v>2360</v>
      </c>
      <c r="C4426" s="9">
        <v>45042</v>
      </c>
      <c r="D4426" t="s">
        <v>946</v>
      </c>
      <c r="E4426" s="13">
        <v>4900000</v>
      </c>
      <c r="F4426" s="13">
        <v>5550</v>
      </c>
      <c r="G4426" s="9">
        <v>45044</v>
      </c>
      <c r="H4426" t="s">
        <v>1111</v>
      </c>
      <c r="I4426" t="s">
        <v>2382</v>
      </c>
      <c r="J4426" s="13">
        <v>244755</v>
      </c>
      <c r="K4426">
        <v>1</v>
      </c>
      <c r="L4426" t="s">
        <v>1064</v>
      </c>
      <c r="M4426" t="s">
        <v>2383</v>
      </c>
      <c r="N4426" s="15" t="s">
        <v>6878</v>
      </c>
    </row>
    <row r="4427" spans="1:14" x14ac:dyDescent="0.2">
      <c r="A4427" t="s">
        <v>5556</v>
      </c>
      <c r="B4427" t="s">
        <v>2360</v>
      </c>
      <c r="C4427" s="9">
        <v>45042</v>
      </c>
      <c r="D4427" t="s">
        <v>946</v>
      </c>
      <c r="E4427" s="13">
        <v>4700000</v>
      </c>
      <c r="F4427" s="13">
        <v>5550</v>
      </c>
      <c r="G4427" s="9">
        <v>45044</v>
      </c>
      <c r="H4427" t="s">
        <v>1111</v>
      </c>
      <c r="I4427" t="s">
        <v>2382</v>
      </c>
      <c r="J4427" s="13">
        <v>234765</v>
      </c>
      <c r="K4427">
        <v>1</v>
      </c>
      <c r="L4427" t="s">
        <v>1064</v>
      </c>
      <c r="M4427" t="s">
        <v>2383</v>
      </c>
      <c r="N4427" s="15" t="s">
        <v>6878</v>
      </c>
    </row>
    <row r="4428" spans="1:14" x14ac:dyDescent="0.2">
      <c r="A4428" t="s">
        <v>5557</v>
      </c>
      <c r="B4428" t="s">
        <v>2360</v>
      </c>
      <c r="C4428" s="9">
        <v>45042</v>
      </c>
      <c r="D4428" t="s">
        <v>946</v>
      </c>
      <c r="E4428" s="13">
        <v>2100000</v>
      </c>
      <c r="F4428" s="13">
        <v>5550</v>
      </c>
      <c r="G4428" s="9">
        <v>45044</v>
      </c>
      <c r="H4428" t="s">
        <v>1111</v>
      </c>
      <c r="I4428" t="s">
        <v>2382</v>
      </c>
      <c r="J4428" s="13">
        <v>104895</v>
      </c>
      <c r="K4428">
        <v>1</v>
      </c>
      <c r="L4428" t="s">
        <v>1064</v>
      </c>
      <c r="M4428" t="s">
        <v>2383</v>
      </c>
      <c r="N4428" s="15" t="s">
        <v>6878</v>
      </c>
    </row>
    <row r="4429" spans="1:14" x14ac:dyDescent="0.2">
      <c r="A4429" t="s">
        <v>5558</v>
      </c>
      <c r="B4429" t="s">
        <v>2360</v>
      </c>
      <c r="C4429" s="9">
        <v>45042</v>
      </c>
      <c r="D4429" t="s">
        <v>946</v>
      </c>
      <c r="E4429" s="13">
        <v>4200000</v>
      </c>
      <c r="F4429" s="13">
        <v>5550</v>
      </c>
      <c r="G4429" s="9">
        <v>45044</v>
      </c>
      <c r="H4429" t="s">
        <v>1111</v>
      </c>
      <c r="I4429" t="s">
        <v>2382</v>
      </c>
      <c r="J4429" s="13">
        <v>209790</v>
      </c>
      <c r="K4429">
        <v>1</v>
      </c>
      <c r="L4429" t="s">
        <v>1064</v>
      </c>
      <c r="M4429" t="s">
        <v>2383</v>
      </c>
      <c r="N4429" s="15" t="s">
        <v>6878</v>
      </c>
    </row>
    <row r="4430" spans="1:14" x14ac:dyDescent="0.2">
      <c r="A4430" t="s">
        <v>5559</v>
      </c>
      <c r="B4430" t="s">
        <v>2360</v>
      </c>
      <c r="C4430" s="9">
        <v>45042</v>
      </c>
      <c r="D4430" t="s">
        <v>946</v>
      </c>
      <c r="E4430" s="13">
        <v>1650000</v>
      </c>
      <c r="F4430" s="13">
        <v>5550</v>
      </c>
      <c r="G4430" s="9">
        <v>45044</v>
      </c>
      <c r="H4430" t="s">
        <v>1111</v>
      </c>
      <c r="I4430" t="s">
        <v>2382</v>
      </c>
      <c r="J4430" s="13">
        <v>82417</v>
      </c>
      <c r="K4430">
        <v>1</v>
      </c>
      <c r="L4430" t="s">
        <v>1064</v>
      </c>
      <c r="M4430" t="s">
        <v>2383</v>
      </c>
      <c r="N4430" s="15" t="s">
        <v>6878</v>
      </c>
    </row>
    <row r="4431" spans="1:14" x14ac:dyDescent="0.2">
      <c r="A4431" t="s">
        <v>5560</v>
      </c>
      <c r="B4431" t="s">
        <v>2360</v>
      </c>
      <c r="C4431" s="9">
        <v>45042</v>
      </c>
      <c r="D4431" t="s">
        <v>946</v>
      </c>
      <c r="E4431" s="13">
        <v>22761480</v>
      </c>
      <c r="F4431" s="13">
        <v>5550</v>
      </c>
      <c r="G4431" s="9">
        <v>45044</v>
      </c>
      <c r="H4431" t="s">
        <v>1111</v>
      </c>
      <c r="I4431" t="s">
        <v>2382</v>
      </c>
      <c r="J4431" s="13">
        <v>1136935</v>
      </c>
      <c r="K4431">
        <v>1</v>
      </c>
      <c r="L4431" t="s">
        <v>1064</v>
      </c>
      <c r="M4431" t="s">
        <v>2383</v>
      </c>
      <c r="N4431" s="15" t="s">
        <v>6878</v>
      </c>
    </row>
    <row r="4432" spans="1:14" x14ac:dyDescent="0.2">
      <c r="A4432" t="s">
        <v>5561</v>
      </c>
      <c r="B4432" t="s">
        <v>2360</v>
      </c>
      <c r="C4432" s="9">
        <v>45042</v>
      </c>
      <c r="D4432" t="s">
        <v>946</v>
      </c>
      <c r="E4432" s="13">
        <v>23023560</v>
      </c>
      <c r="F4432" s="13">
        <v>5550</v>
      </c>
      <c r="G4432" s="9">
        <v>45044</v>
      </c>
      <c r="H4432" t="s">
        <v>1111</v>
      </c>
      <c r="I4432" t="s">
        <v>2382</v>
      </c>
      <c r="J4432" s="13">
        <v>1150026</v>
      </c>
      <c r="K4432">
        <v>1</v>
      </c>
      <c r="L4432" t="s">
        <v>1064</v>
      </c>
      <c r="M4432" t="s">
        <v>2383</v>
      </c>
      <c r="N4432" s="15" t="s">
        <v>6878</v>
      </c>
    </row>
    <row r="4433" spans="1:14" x14ac:dyDescent="0.2">
      <c r="A4433" t="s">
        <v>5562</v>
      </c>
      <c r="B4433" t="s">
        <v>2360</v>
      </c>
      <c r="C4433" s="9">
        <v>45042</v>
      </c>
      <c r="D4433" t="s">
        <v>946</v>
      </c>
      <c r="E4433" s="13">
        <v>22093680</v>
      </c>
      <c r="F4433" s="13">
        <v>5550</v>
      </c>
      <c r="G4433" s="9">
        <v>45044</v>
      </c>
      <c r="H4433" t="s">
        <v>1111</v>
      </c>
      <c r="I4433" t="s">
        <v>2382</v>
      </c>
      <c r="J4433" s="13">
        <v>1103578</v>
      </c>
      <c r="K4433">
        <v>1</v>
      </c>
      <c r="L4433" t="s">
        <v>1064</v>
      </c>
      <c r="M4433" t="s">
        <v>2383</v>
      </c>
      <c r="N4433" s="15" t="s">
        <v>6878</v>
      </c>
    </row>
    <row r="4434" spans="1:14" x14ac:dyDescent="0.2">
      <c r="A4434" t="s">
        <v>5563</v>
      </c>
      <c r="B4434" t="s">
        <v>2360</v>
      </c>
      <c r="C4434" s="9">
        <v>45042</v>
      </c>
      <c r="D4434" t="s">
        <v>946</v>
      </c>
      <c r="E4434" s="13">
        <v>27464369</v>
      </c>
      <c r="F4434" s="13">
        <v>5550</v>
      </c>
      <c r="G4434" s="9">
        <v>45044</v>
      </c>
      <c r="H4434" t="s">
        <v>1111</v>
      </c>
      <c r="I4434" t="s">
        <v>2382</v>
      </c>
      <c r="J4434" s="13">
        <v>1371844</v>
      </c>
      <c r="K4434">
        <v>1</v>
      </c>
      <c r="L4434" t="s">
        <v>1064</v>
      </c>
      <c r="M4434" t="s">
        <v>2383</v>
      </c>
      <c r="N4434" s="15" t="s">
        <v>6878</v>
      </c>
    </row>
    <row r="4435" spans="1:14" x14ac:dyDescent="0.2">
      <c r="A4435" t="s">
        <v>5564</v>
      </c>
      <c r="B4435" t="s">
        <v>2360</v>
      </c>
      <c r="C4435" s="9">
        <v>45042</v>
      </c>
      <c r="D4435" t="s">
        <v>946</v>
      </c>
      <c r="E4435" s="13">
        <v>18887080</v>
      </c>
      <c r="F4435" s="13">
        <v>5550</v>
      </c>
      <c r="G4435" s="9">
        <v>45044</v>
      </c>
      <c r="H4435" t="s">
        <v>1111</v>
      </c>
      <c r="I4435" t="s">
        <v>2382</v>
      </c>
      <c r="J4435" s="13">
        <v>943408</v>
      </c>
      <c r="K4435">
        <v>1</v>
      </c>
      <c r="L4435" t="s">
        <v>1064</v>
      </c>
      <c r="M4435" t="s">
        <v>2383</v>
      </c>
      <c r="N4435" s="15" t="s">
        <v>6878</v>
      </c>
    </row>
    <row r="4436" spans="1:14" x14ac:dyDescent="0.2">
      <c r="A4436" t="s">
        <v>5565</v>
      </c>
      <c r="B4436" t="s">
        <v>2360</v>
      </c>
      <c r="C4436" s="9">
        <v>45042</v>
      </c>
      <c r="D4436" t="s">
        <v>946</v>
      </c>
      <c r="E4436" s="13">
        <v>25795952</v>
      </c>
      <c r="F4436" s="13">
        <v>5550</v>
      </c>
      <c r="G4436" s="9">
        <v>45044</v>
      </c>
      <c r="H4436" t="s">
        <v>1111</v>
      </c>
      <c r="I4436" t="s">
        <v>2382</v>
      </c>
      <c r="J4436" s="13">
        <v>1288506</v>
      </c>
      <c r="K4436">
        <v>1</v>
      </c>
      <c r="L4436" t="s">
        <v>1064</v>
      </c>
      <c r="M4436" t="s">
        <v>2383</v>
      </c>
      <c r="N4436" s="15" t="s">
        <v>6878</v>
      </c>
    </row>
    <row r="4437" spans="1:14" x14ac:dyDescent="0.2">
      <c r="A4437" t="s">
        <v>5566</v>
      </c>
      <c r="B4437" t="s">
        <v>2360</v>
      </c>
      <c r="C4437" s="9">
        <v>45042</v>
      </c>
      <c r="D4437" t="s">
        <v>946</v>
      </c>
      <c r="E4437" s="13">
        <v>19292558</v>
      </c>
      <c r="F4437" s="13">
        <v>5550</v>
      </c>
      <c r="G4437" s="9">
        <v>45044</v>
      </c>
      <c r="H4437" t="s">
        <v>1111</v>
      </c>
      <c r="I4437" t="s">
        <v>2382</v>
      </c>
      <c r="J4437" s="13">
        <v>963663</v>
      </c>
      <c r="K4437">
        <v>1</v>
      </c>
      <c r="L4437" t="s">
        <v>1064</v>
      </c>
      <c r="M4437" t="s">
        <v>2383</v>
      </c>
      <c r="N4437" s="15" t="s">
        <v>6878</v>
      </c>
    </row>
    <row r="4438" spans="1:14" x14ac:dyDescent="0.2">
      <c r="A4438" t="s">
        <v>5567</v>
      </c>
      <c r="B4438" t="s">
        <v>2360</v>
      </c>
      <c r="C4438" s="9">
        <v>45042</v>
      </c>
      <c r="D4438" t="s">
        <v>946</v>
      </c>
      <c r="E4438" s="13">
        <v>21944160</v>
      </c>
      <c r="F4438" s="13">
        <v>5550</v>
      </c>
      <c r="G4438" s="9">
        <v>45044</v>
      </c>
      <c r="H4438" t="s">
        <v>1111</v>
      </c>
      <c r="I4438" t="s">
        <v>2382</v>
      </c>
      <c r="J4438" s="13">
        <v>1096110</v>
      </c>
      <c r="K4438">
        <v>1</v>
      </c>
      <c r="L4438" t="s">
        <v>1064</v>
      </c>
      <c r="M4438" t="s">
        <v>2383</v>
      </c>
      <c r="N4438" s="15" t="s">
        <v>6878</v>
      </c>
    </row>
    <row r="4439" spans="1:14" x14ac:dyDescent="0.2">
      <c r="A4439" t="s">
        <v>5568</v>
      </c>
      <c r="B4439" t="s">
        <v>2360</v>
      </c>
      <c r="C4439" s="9">
        <v>45042</v>
      </c>
      <c r="D4439" t="s">
        <v>946</v>
      </c>
      <c r="E4439" s="13">
        <v>15743207</v>
      </c>
      <c r="F4439" s="13">
        <v>5550</v>
      </c>
      <c r="G4439" s="9">
        <v>45044</v>
      </c>
      <c r="H4439" t="s">
        <v>1111</v>
      </c>
      <c r="I4439" t="s">
        <v>2382</v>
      </c>
      <c r="J4439" s="13">
        <v>786372</v>
      </c>
      <c r="K4439">
        <v>1</v>
      </c>
      <c r="L4439" t="s">
        <v>1064</v>
      </c>
      <c r="M4439" t="s">
        <v>2383</v>
      </c>
      <c r="N4439" s="15" t="s">
        <v>6878</v>
      </c>
    </row>
    <row r="4440" spans="1:14" x14ac:dyDescent="0.2">
      <c r="A4440" t="s">
        <v>5569</v>
      </c>
      <c r="B4440" t="s">
        <v>2360</v>
      </c>
      <c r="C4440" s="9">
        <v>45042</v>
      </c>
      <c r="D4440" t="s">
        <v>946</v>
      </c>
      <c r="E4440" s="13">
        <v>28119336</v>
      </c>
      <c r="F4440" s="13">
        <v>5550</v>
      </c>
      <c r="G4440" s="9">
        <v>45044</v>
      </c>
      <c r="H4440" t="s">
        <v>1111</v>
      </c>
      <c r="I4440" t="s">
        <v>2382</v>
      </c>
      <c r="J4440" s="13">
        <v>1404560</v>
      </c>
      <c r="K4440">
        <v>1</v>
      </c>
      <c r="L4440" t="s">
        <v>1064</v>
      </c>
      <c r="M4440" t="s">
        <v>2383</v>
      </c>
      <c r="N4440" s="15" t="s">
        <v>6878</v>
      </c>
    </row>
    <row r="4441" spans="1:14" x14ac:dyDescent="0.2">
      <c r="A4441" t="s">
        <v>5570</v>
      </c>
      <c r="B4441" t="s">
        <v>2360</v>
      </c>
      <c r="C4441" s="9">
        <v>45042</v>
      </c>
      <c r="D4441" t="s">
        <v>946</v>
      </c>
      <c r="E4441" s="13">
        <v>25200000</v>
      </c>
      <c r="F4441" s="13">
        <v>5550</v>
      </c>
      <c r="G4441" s="9">
        <v>45044</v>
      </c>
      <c r="H4441" t="s">
        <v>1111</v>
      </c>
      <c r="I4441" t="s">
        <v>2382</v>
      </c>
      <c r="J4441" s="13">
        <v>1258740</v>
      </c>
      <c r="K4441">
        <v>1</v>
      </c>
      <c r="L4441" t="s">
        <v>1064</v>
      </c>
      <c r="M4441" t="s">
        <v>2383</v>
      </c>
      <c r="N4441" s="15" t="s">
        <v>6878</v>
      </c>
    </row>
    <row r="4442" spans="1:14" x14ac:dyDescent="0.2">
      <c r="A4442" t="s">
        <v>5571</v>
      </c>
      <c r="B4442" t="s">
        <v>2360</v>
      </c>
      <c r="C4442" s="9">
        <v>45042</v>
      </c>
      <c r="D4442" t="s">
        <v>946</v>
      </c>
      <c r="E4442" s="13">
        <v>25278991</v>
      </c>
      <c r="F4442" s="13">
        <v>5550</v>
      </c>
      <c r="G4442" s="9">
        <v>45044</v>
      </c>
      <c r="H4442" t="s">
        <v>1111</v>
      </c>
      <c r="I4442" t="s">
        <v>2382</v>
      </c>
      <c r="J4442" s="13">
        <v>1262684</v>
      </c>
      <c r="K4442">
        <v>1</v>
      </c>
      <c r="L4442" t="s">
        <v>1064</v>
      </c>
      <c r="M4442" t="s">
        <v>2383</v>
      </c>
      <c r="N4442" s="15" t="s">
        <v>6878</v>
      </c>
    </row>
    <row r="4443" spans="1:14" x14ac:dyDescent="0.2">
      <c r="A4443" t="s">
        <v>5572</v>
      </c>
      <c r="B4443" t="s">
        <v>2360</v>
      </c>
      <c r="C4443" s="9">
        <v>45042</v>
      </c>
      <c r="D4443" t="s">
        <v>946</v>
      </c>
      <c r="E4443" s="13">
        <v>31105072</v>
      </c>
      <c r="F4443" s="13">
        <v>5550</v>
      </c>
      <c r="G4443" s="9">
        <v>45044</v>
      </c>
      <c r="H4443" t="s">
        <v>1111</v>
      </c>
      <c r="I4443" t="s">
        <v>2382</v>
      </c>
      <c r="J4443" s="13">
        <v>1553698</v>
      </c>
      <c r="K4443">
        <v>1</v>
      </c>
      <c r="L4443" t="s">
        <v>1064</v>
      </c>
      <c r="M4443" t="s">
        <v>2383</v>
      </c>
      <c r="N4443" s="15" t="s">
        <v>6878</v>
      </c>
    </row>
    <row r="4444" spans="1:14" x14ac:dyDescent="0.2">
      <c r="A4444" t="s">
        <v>5573</v>
      </c>
      <c r="B4444" t="s">
        <v>2360</v>
      </c>
      <c r="C4444" s="9">
        <v>45042</v>
      </c>
      <c r="D4444" t="s">
        <v>946</v>
      </c>
      <c r="E4444" s="13">
        <v>18128705</v>
      </c>
      <c r="F4444" s="13">
        <v>5550</v>
      </c>
      <c r="G4444" s="9">
        <v>45044</v>
      </c>
      <c r="H4444" t="s">
        <v>1111</v>
      </c>
      <c r="I4444" t="s">
        <v>2382</v>
      </c>
      <c r="J4444" s="13">
        <v>905528</v>
      </c>
      <c r="K4444">
        <v>1</v>
      </c>
      <c r="L4444" t="s">
        <v>1064</v>
      </c>
      <c r="M4444" t="s">
        <v>2383</v>
      </c>
      <c r="N4444" s="15" t="s">
        <v>6878</v>
      </c>
    </row>
    <row r="4445" spans="1:14" x14ac:dyDescent="0.2">
      <c r="A4445" t="s">
        <v>5574</v>
      </c>
      <c r="B4445" t="s">
        <v>2360</v>
      </c>
      <c r="C4445" s="9">
        <v>45042</v>
      </c>
      <c r="D4445" t="s">
        <v>946</v>
      </c>
      <c r="E4445" s="13">
        <v>22398034</v>
      </c>
      <c r="F4445" s="13">
        <v>5550</v>
      </c>
      <c r="G4445" s="9">
        <v>45044</v>
      </c>
      <c r="H4445" t="s">
        <v>1111</v>
      </c>
      <c r="I4445" t="s">
        <v>2382</v>
      </c>
      <c r="J4445" s="13">
        <v>1118781</v>
      </c>
      <c r="K4445">
        <v>1</v>
      </c>
      <c r="L4445" t="s">
        <v>1064</v>
      </c>
      <c r="M4445" t="s">
        <v>2383</v>
      </c>
      <c r="N4445" s="15" t="s">
        <v>6878</v>
      </c>
    </row>
    <row r="4446" spans="1:14" x14ac:dyDescent="0.2">
      <c r="A4446" t="s">
        <v>5575</v>
      </c>
      <c r="B4446" t="s">
        <v>2360</v>
      </c>
      <c r="C4446" s="9">
        <v>45042</v>
      </c>
      <c r="D4446" t="s">
        <v>946</v>
      </c>
      <c r="E4446" s="13">
        <v>28636384</v>
      </c>
      <c r="F4446" s="13">
        <v>5550</v>
      </c>
      <c r="G4446" s="9">
        <v>45044</v>
      </c>
      <c r="H4446" t="s">
        <v>1111</v>
      </c>
      <c r="I4446" t="s">
        <v>2382</v>
      </c>
      <c r="J4446" s="13">
        <v>1430387</v>
      </c>
      <c r="K4446">
        <v>1</v>
      </c>
      <c r="L4446" t="s">
        <v>1064</v>
      </c>
      <c r="M4446" t="s">
        <v>2383</v>
      </c>
      <c r="N4446" s="15" t="s">
        <v>6878</v>
      </c>
    </row>
    <row r="4447" spans="1:14" x14ac:dyDescent="0.2">
      <c r="A4447" t="s">
        <v>5576</v>
      </c>
      <c r="B4447" t="s">
        <v>2360</v>
      </c>
      <c r="C4447" s="9">
        <v>45042</v>
      </c>
      <c r="D4447" t="s">
        <v>946</v>
      </c>
      <c r="E4447" s="13">
        <v>20529236</v>
      </c>
      <c r="F4447" s="13">
        <v>5550</v>
      </c>
      <c r="G4447" s="9">
        <v>45044</v>
      </c>
      <c r="H4447" t="s">
        <v>1111</v>
      </c>
      <c r="I4447" t="s">
        <v>2382</v>
      </c>
      <c r="J4447" s="13">
        <v>1025434</v>
      </c>
      <c r="K4447">
        <v>1</v>
      </c>
      <c r="L4447" t="s">
        <v>1064</v>
      </c>
      <c r="M4447" t="s">
        <v>2383</v>
      </c>
      <c r="N4447" s="15" t="s">
        <v>6878</v>
      </c>
    </row>
    <row r="4448" spans="1:14" x14ac:dyDescent="0.2">
      <c r="A4448" t="s">
        <v>5577</v>
      </c>
      <c r="B4448" t="s">
        <v>2360</v>
      </c>
      <c r="C4448" s="9">
        <v>45042</v>
      </c>
      <c r="D4448" t="s">
        <v>946</v>
      </c>
      <c r="E4448" s="13">
        <v>18228025</v>
      </c>
      <c r="F4448" s="13">
        <v>5550</v>
      </c>
      <c r="G4448" s="9">
        <v>45044</v>
      </c>
      <c r="H4448" t="s">
        <v>1111</v>
      </c>
      <c r="I4448" t="s">
        <v>2382</v>
      </c>
      <c r="J4448" s="13">
        <v>910489</v>
      </c>
      <c r="K4448">
        <v>1</v>
      </c>
      <c r="L4448" t="s">
        <v>1064</v>
      </c>
      <c r="M4448" t="s">
        <v>2383</v>
      </c>
      <c r="N4448" s="15" t="s">
        <v>6878</v>
      </c>
    </row>
    <row r="4449" spans="1:14" x14ac:dyDescent="0.2">
      <c r="A4449" t="s">
        <v>5578</v>
      </c>
      <c r="B4449" t="s">
        <v>2360</v>
      </c>
      <c r="C4449" s="9">
        <v>45042</v>
      </c>
      <c r="D4449" t="s">
        <v>946</v>
      </c>
      <c r="E4449" s="13">
        <v>18523824</v>
      </c>
      <c r="F4449" s="13">
        <v>5550</v>
      </c>
      <c r="G4449" s="9">
        <v>45044</v>
      </c>
      <c r="H4449" t="s">
        <v>1111</v>
      </c>
      <c r="I4449" t="s">
        <v>2382</v>
      </c>
      <c r="J4449" s="13">
        <v>925264</v>
      </c>
      <c r="K4449">
        <v>1</v>
      </c>
      <c r="L4449" t="s">
        <v>1064</v>
      </c>
      <c r="M4449" t="s">
        <v>2383</v>
      </c>
      <c r="N4449" s="15" t="s">
        <v>6878</v>
      </c>
    </row>
    <row r="4450" spans="1:14" x14ac:dyDescent="0.2">
      <c r="A4450" t="s">
        <v>5579</v>
      </c>
      <c r="B4450" t="s">
        <v>2360</v>
      </c>
      <c r="C4450" s="9">
        <v>45042</v>
      </c>
      <c r="D4450" t="s">
        <v>946</v>
      </c>
      <c r="E4450" s="13">
        <v>14766789</v>
      </c>
      <c r="F4450" s="13">
        <v>5550</v>
      </c>
      <c r="G4450" s="9">
        <v>45044</v>
      </c>
      <c r="H4450" t="s">
        <v>1111</v>
      </c>
      <c r="I4450" t="s">
        <v>2382</v>
      </c>
      <c r="J4450" s="13">
        <v>737600</v>
      </c>
      <c r="K4450">
        <v>1</v>
      </c>
      <c r="L4450" t="s">
        <v>1064</v>
      </c>
      <c r="M4450" t="s">
        <v>2383</v>
      </c>
      <c r="N4450" s="15" t="s">
        <v>6878</v>
      </c>
    </row>
    <row r="4451" spans="1:14" x14ac:dyDescent="0.2">
      <c r="A4451" t="s">
        <v>5580</v>
      </c>
      <c r="B4451" t="s">
        <v>2360</v>
      </c>
      <c r="C4451" s="9">
        <v>45042</v>
      </c>
      <c r="D4451" t="s">
        <v>946</v>
      </c>
      <c r="E4451" s="13">
        <v>11927739</v>
      </c>
      <c r="F4451" s="13">
        <v>5550</v>
      </c>
      <c r="G4451" s="9">
        <v>45044</v>
      </c>
      <c r="H4451" t="s">
        <v>1111</v>
      </c>
      <c r="I4451" t="s">
        <v>2382</v>
      </c>
      <c r="J4451" s="13">
        <v>595790</v>
      </c>
      <c r="K4451">
        <v>1</v>
      </c>
      <c r="L4451" t="s">
        <v>1064</v>
      </c>
      <c r="M4451" t="s">
        <v>2383</v>
      </c>
      <c r="N4451" s="15" t="s">
        <v>6878</v>
      </c>
    </row>
    <row r="4452" spans="1:14" x14ac:dyDescent="0.2">
      <c r="A4452" t="s">
        <v>5581</v>
      </c>
      <c r="B4452" t="s">
        <v>2360</v>
      </c>
      <c r="C4452" s="9">
        <v>45042</v>
      </c>
      <c r="D4452" t="s">
        <v>946</v>
      </c>
      <c r="E4452" s="13">
        <v>1732500</v>
      </c>
      <c r="F4452" s="13">
        <v>5550</v>
      </c>
      <c r="G4452" s="9">
        <v>45044</v>
      </c>
      <c r="H4452" t="s">
        <v>1111</v>
      </c>
      <c r="I4452" t="s">
        <v>2382</v>
      </c>
      <c r="J4452" s="13">
        <v>86537</v>
      </c>
      <c r="K4452">
        <v>1</v>
      </c>
      <c r="L4452" t="s">
        <v>1064</v>
      </c>
      <c r="M4452" t="s">
        <v>2383</v>
      </c>
      <c r="N4452" s="15" t="s">
        <v>6878</v>
      </c>
    </row>
    <row r="4453" spans="1:14" x14ac:dyDescent="0.2">
      <c r="A4453" t="s">
        <v>5582</v>
      </c>
      <c r="B4453" t="s">
        <v>2360</v>
      </c>
      <c r="C4453" s="9">
        <v>45042</v>
      </c>
      <c r="D4453" t="s">
        <v>983</v>
      </c>
      <c r="E4453" s="13">
        <v>6300000</v>
      </c>
      <c r="F4453" s="13">
        <v>11100</v>
      </c>
      <c r="G4453" s="9">
        <v>45045</v>
      </c>
      <c r="H4453" t="s">
        <v>1111</v>
      </c>
      <c r="I4453" t="s">
        <v>2896</v>
      </c>
      <c r="J4453" s="13">
        <v>174825</v>
      </c>
      <c r="K4453">
        <v>1</v>
      </c>
      <c r="L4453" t="s">
        <v>1064</v>
      </c>
      <c r="M4453" t="s">
        <v>2897</v>
      </c>
      <c r="N4453" s="15" t="s">
        <v>6878</v>
      </c>
    </row>
    <row r="4454" spans="1:14" x14ac:dyDescent="0.2">
      <c r="A4454" t="s">
        <v>5583</v>
      </c>
      <c r="B4454" t="s">
        <v>2360</v>
      </c>
      <c r="C4454" s="9">
        <v>45042</v>
      </c>
      <c r="D4454" t="s">
        <v>983</v>
      </c>
      <c r="E4454" s="13">
        <v>5600000</v>
      </c>
      <c r="F4454" s="13">
        <v>11100</v>
      </c>
      <c r="G4454" s="9">
        <v>45045</v>
      </c>
      <c r="H4454" t="s">
        <v>1111</v>
      </c>
      <c r="I4454" t="s">
        <v>2896</v>
      </c>
      <c r="J4454" s="13">
        <v>155400</v>
      </c>
      <c r="K4454">
        <v>1</v>
      </c>
      <c r="L4454" t="s">
        <v>1064</v>
      </c>
      <c r="M4454" t="s">
        <v>2897</v>
      </c>
      <c r="N4454" s="15" t="s">
        <v>6878</v>
      </c>
    </row>
    <row r="4455" spans="1:14" x14ac:dyDescent="0.2">
      <c r="A4455" t="s">
        <v>5584</v>
      </c>
      <c r="B4455" t="s">
        <v>2360</v>
      </c>
      <c r="C4455" s="9">
        <v>45042</v>
      </c>
      <c r="D4455" t="s">
        <v>983</v>
      </c>
      <c r="E4455" s="13">
        <v>6300000</v>
      </c>
      <c r="F4455" s="13">
        <v>11100</v>
      </c>
      <c r="G4455" s="9">
        <v>45045</v>
      </c>
      <c r="H4455" t="s">
        <v>1111</v>
      </c>
      <c r="I4455" t="s">
        <v>2896</v>
      </c>
      <c r="J4455" s="13">
        <v>174825</v>
      </c>
      <c r="K4455">
        <v>1</v>
      </c>
      <c r="L4455" t="s">
        <v>1064</v>
      </c>
      <c r="M4455" t="s">
        <v>2897</v>
      </c>
      <c r="N4455" s="15" t="s">
        <v>6878</v>
      </c>
    </row>
    <row r="4456" spans="1:14" x14ac:dyDescent="0.2">
      <c r="A4456" t="s">
        <v>5585</v>
      </c>
      <c r="B4456" t="s">
        <v>2360</v>
      </c>
      <c r="C4456" s="9">
        <v>45042</v>
      </c>
      <c r="D4456" t="s">
        <v>983</v>
      </c>
      <c r="E4456" s="13">
        <v>5600000</v>
      </c>
      <c r="F4456" s="13">
        <v>11100</v>
      </c>
      <c r="G4456" s="9">
        <v>45045</v>
      </c>
      <c r="H4456" t="s">
        <v>1111</v>
      </c>
      <c r="I4456" t="s">
        <v>2896</v>
      </c>
      <c r="J4456" s="13">
        <v>155400</v>
      </c>
      <c r="K4456">
        <v>1</v>
      </c>
      <c r="L4456" t="s">
        <v>1064</v>
      </c>
      <c r="M4456" t="s">
        <v>2897</v>
      </c>
      <c r="N4456" s="15" t="s">
        <v>6878</v>
      </c>
    </row>
    <row r="4457" spans="1:14" x14ac:dyDescent="0.2">
      <c r="A4457" t="s">
        <v>5586</v>
      </c>
      <c r="B4457" t="s">
        <v>2360</v>
      </c>
      <c r="C4457" s="9">
        <v>45042</v>
      </c>
      <c r="D4457" t="s">
        <v>983</v>
      </c>
      <c r="E4457" s="13">
        <v>6300000</v>
      </c>
      <c r="F4457" s="13">
        <v>11100</v>
      </c>
      <c r="G4457" s="9">
        <v>45045</v>
      </c>
      <c r="H4457" t="s">
        <v>1111</v>
      </c>
      <c r="I4457" t="s">
        <v>2896</v>
      </c>
      <c r="J4457" s="13">
        <v>174825</v>
      </c>
      <c r="K4457">
        <v>1</v>
      </c>
      <c r="L4457" t="s">
        <v>1064</v>
      </c>
      <c r="M4457" t="s">
        <v>2897</v>
      </c>
      <c r="N4457" s="15" t="s">
        <v>6878</v>
      </c>
    </row>
    <row r="4458" spans="1:14" x14ac:dyDescent="0.2">
      <c r="A4458" t="s">
        <v>5587</v>
      </c>
      <c r="B4458" t="s">
        <v>2360</v>
      </c>
      <c r="C4458" s="9">
        <v>45042</v>
      </c>
      <c r="D4458" t="s">
        <v>983</v>
      </c>
      <c r="E4458" s="13">
        <v>6300000</v>
      </c>
      <c r="F4458" s="13">
        <v>11100</v>
      </c>
      <c r="G4458" s="9">
        <v>45045</v>
      </c>
      <c r="H4458" t="s">
        <v>1111</v>
      </c>
      <c r="I4458" t="s">
        <v>2896</v>
      </c>
      <c r="J4458" s="13">
        <v>174825</v>
      </c>
      <c r="K4458">
        <v>1</v>
      </c>
      <c r="L4458" t="s">
        <v>1064</v>
      </c>
      <c r="M4458" t="s">
        <v>2897</v>
      </c>
      <c r="N4458" s="15" t="s">
        <v>6878</v>
      </c>
    </row>
    <row r="4459" spans="1:14" x14ac:dyDescent="0.2">
      <c r="A4459" t="s">
        <v>5588</v>
      </c>
      <c r="B4459" t="s">
        <v>2360</v>
      </c>
      <c r="C4459" s="9">
        <v>45042</v>
      </c>
      <c r="D4459" t="s">
        <v>983</v>
      </c>
      <c r="E4459" s="13">
        <v>6300000</v>
      </c>
      <c r="F4459" s="13">
        <v>11100</v>
      </c>
      <c r="G4459" s="9">
        <v>45045</v>
      </c>
      <c r="H4459" t="s">
        <v>1111</v>
      </c>
      <c r="I4459" t="s">
        <v>2896</v>
      </c>
      <c r="J4459" s="13">
        <v>174825</v>
      </c>
      <c r="K4459">
        <v>1</v>
      </c>
      <c r="L4459" t="s">
        <v>1064</v>
      </c>
      <c r="M4459" t="s">
        <v>2897</v>
      </c>
      <c r="N4459" s="15" t="s">
        <v>6878</v>
      </c>
    </row>
    <row r="4460" spans="1:14" x14ac:dyDescent="0.2">
      <c r="A4460" t="s">
        <v>984</v>
      </c>
      <c r="B4460" t="s">
        <v>2360</v>
      </c>
      <c r="C4460" s="9">
        <v>45042</v>
      </c>
      <c r="D4460" t="s">
        <v>983</v>
      </c>
      <c r="E4460" s="13">
        <v>6300000</v>
      </c>
      <c r="F4460" s="13">
        <v>11100</v>
      </c>
      <c r="G4460" s="9">
        <v>45045</v>
      </c>
      <c r="H4460" t="s">
        <v>1111</v>
      </c>
      <c r="I4460" t="s">
        <v>2896</v>
      </c>
      <c r="J4460" s="13">
        <v>174825</v>
      </c>
      <c r="K4460">
        <v>1</v>
      </c>
      <c r="L4460" t="s">
        <v>1064</v>
      </c>
      <c r="M4460" t="s">
        <v>2897</v>
      </c>
      <c r="N4460" s="15" t="s">
        <v>6878</v>
      </c>
    </row>
    <row r="4461" spans="1:14" x14ac:dyDescent="0.2">
      <c r="A4461" t="s">
        <v>5589</v>
      </c>
      <c r="B4461" t="s">
        <v>2360</v>
      </c>
      <c r="C4461" s="9">
        <v>45042</v>
      </c>
      <c r="D4461" t="s">
        <v>9</v>
      </c>
      <c r="E4461" s="13">
        <v>2917166</v>
      </c>
      <c r="F4461" s="13">
        <v>24975</v>
      </c>
      <c r="G4461" s="9">
        <v>45054</v>
      </c>
      <c r="H4461" t="s">
        <v>1111</v>
      </c>
      <c r="I4461" t="s">
        <v>2361</v>
      </c>
      <c r="J4461" s="13">
        <v>97140</v>
      </c>
      <c r="K4461">
        <v>1</v>
      </c>
      <c r="L4461" t="s">
        <v>1064</v>
      </c>
      <c r="M4461" t="s">
        <v>2362</v>
      </c>
      <c r="N4461" s="15" t="s">
        <v>6878</v>
      </c>
    </row>
    <row r="4462" spans="1:14" x14ac:dyDescent="0.2">
      <c r="A4462" t="s">
        <v>5590</v>
      </c>
      <c r="B4462" t="s">
        <v>2360</v>
      </c>
      <c r="C4462" s="9">
        <v>45042</v>
      </c>
      <c r="D4462" t="s">
        <v>9</v>
      </c>
      <c r="E4462" s="13">
        <v>5450760</v>
      </c>
      <c r="F4462" s="13">
        <v>24975</v>
      </c>
      <c r="G4462" s="9">
        <v>45054</v>
      </c>
      <c r="H4462" t="s">
        <v>1111</v>
      </c>
      <c r="I4462" t="s">
        <v>2361</v>
      </c>
      <c r="J4462" s="13">
        <v>181509</v>
      </c>
      <c r="K4462">
        <v>1</v>
      </c>
      <c r="L4462" t="s">
        <v>1064</v>
      </c>
      <c r="M4462" t="s">
        <v>2362</v>
      </c>
      <c r="N4462" s="15" t="s">
        <v>6878</v>
      </c>
    </row>
    <row r="4463" spans="1:14" x14ac:dyDescent="0.2">
      <c r="A4463" t="s">
        <v>5591</v>
      </c>
      <c r="B4463" t="s">
        <v>2360</v>
      </c>
      <c r="C4463" s="9">
        <v>45043</v>
      </c>
      <c r="D4463" t="s">
        <v>9</v>
      </c>
      <c r="E4463" s="13">
        <v>5254760</v>
      </c>
      <c r="F4463" s="13">
        <v>24975</v>
      </c>
      <c r="G4463" s="9">
        <v>45054</v>
      </c>
      <c r="H4463" t="s">
        <v>1111</v>
      </c>
      <c r="I4463" t="s">
        <v>2361</v>
      </c>
      <c r="J4463" s="13">
        <v>174982</v>
      </c>
      <c r="K4463">
        <v>1</v>
      </c>
      <c r="L4463" t="s">
        <v>1064</v>
      </c>
      <c r="M4463" t="s">
        <v>2362</v>
      </c>
      <c r="N4463" s="15" t="s">
        <v>6878</v>
      </c>
    </row>
    <row r="4464" spans="1:14" x14ac:dyDescent="0.2">
      <c r="A4464" t="s">
        <v>5592</v>
      </c>
      <c r="B4464" t="s">
        <v>2360</v>
      </c>
      <c r="C4464" s="9">
        <v>45043</v>
      </c>
      <c r="D4464" t="s">
        <v>32</v>
      </c>
      <c r="E4464" s="13">
        <v>3500000</v>
      </c>
      <c r="F4464" s="13">
        <v>27750</v>
      </c>
      <c r="G4464" s="9">
        <v>45046</v>
      </c>
      <c r="H4464" t="s">
        <v>1063</v>
      </c>
      <c r="I4464" t="s">
        <v>520</v>
      </c>
      <c r="J4464" s="13">
        <v>97125</v>
      </c>
      <c r="K4464">
        <v>1</v>
      </c>
      <c r="L4464" t="s">
        <v>1064</v>
      </c>
      <c r="M4464" t="s">
        <v>5005</v>
      </c>
      <c r="N4464" s="15" t="s">
        <v>6878</v>
      </c>
    </row>
    <row r="4465" spans="1:14" x14ac:dyDescent="0.2">
      <c r="A4465" t="s">
        <v>5593</v>
      </c>
      <c r="B4465" t="s">
        <v>2360</v>
      </c>
      <c r="C4465" s="9">
        <v>45043</v>
      </c>
      <c r="D4465" t="s">
        <v>32</v>
      </c>
      <c r="E4465" s="13">
        <v>3500000</v>
      </c>
      <c r="F4465" s="13">
        <v>27750</v>
      </c>
      <c r="G4465" s="9">
        <v>45046</v>
      </c>
      <c r="H4465" t="s">
        <v>1063</v>
      </c>
      <c r="I4465" t="s">
        <v>520</v>
      </c>
      <c r="J4465" s="13">
        <v>97125</v>
      </c>
      <c r="K4465">
        <v>1</v>
      </c>
      <c r="L4465" t="s">
        <v>1064</v>
      </c>
      <c r="M4465" t="s">
        <v>5005</v>
      </c>
      <c r="N4465" s="15" t="s">
        <v>6878</v>
      </c>
    </row>
    <row r="4466" spans="1:14" x14ac:dyDescent="0.2">
      <c r="A4466" t="s">
        <v>5594</v>
      </c>
      <c r="B4466" t="s">
        <v>2360</v>
      </c>
      <c r="C4466" s="9">
        <v>45043</v>
      </c>
      <c r="D4466" t="s">
        <v>32</v>
      </c>
      <c r="E4466" s="13">
        <v>3500000</v>
      </c>
      <c r="F4466" s="13">
        <v>27750</v>
      </c>
      <c r="G4466" s="9">
        <v>45046</v>
      </c>
      <c r="H4466" t="s">
        <v>1063</v>
      </c>
      <c r="I4466" t="s">
        <v>520</v>
      </c>
      <c r="J4466" s="13">
        <v>97125</v>
      </c>
      <c r="K4466">
        <v>1</v>
      </c>
      <c r="L4466" t="s">
        <v>1064</v>
      </c>
      <c r="M4466" t="s">
        <v>5005</v>
      </c>
      <c r="N4466" s="15" t="s">
        <v>6878</v>
      </c>
    </row>
    <row r="4467" spans="1:14" x14ac:dyDescent="0.2">
      <c r="A4467" t="s">
        <v>5595</v>
      </c>
      <c r="B4467" t="s">
        <v>2360</v>
      </c>
      <c r="C4467" s="9">
        <v>45043</v>
      </c>
      <c r="D4467" t="s">
        <v>946</v>
      </c>
      <c r="E4467" s="13">
        <v>4657500</v>
      </c>
      <c r="F4467" s="13">
        <v>5550</v>
      </c>
      <c r="G4467" s="9">
        <v>45044</v>
      </c>
      <c r="H4467" t="s">
        <v>1111</v>
      </c>
      <c r="I4467" t="s">
        <v>2382</v>
      </c>
      <c r="J4467" s="13">
        <v>232641</v>
      </c>
      <c r="K4467">
        <v>1</v>
      </c>
      <c r="L4467" t="s">
        <v>1064</v>
      </c>
      <c r="M4467" t="s">
        <v>2383</v>
      </c>
      <c r="N4467" s="15" t="s">
        <v>6878</v>
      </c>
    </row>
    <row r="4468" spans="1:14" x14ac:dyDescent="0.2">
      <c r="A4468" t="s">
        <v>5596</v>
      </c>
      <c r="B4468" t="s">
        <v>2360</v>
      </c>
      <c r="C4468" s="9">
        <v>45043</v>
      </c>
      <c r="D4468" t="s">
        <v>946</v>
      </c>
      <c r="E4468" s="13">
        <v>16782680</v>
      </c>
      <c r="F4468" s="13">
        <v>5550</v>
      </c>
      <c r="G4468" s="9">
        <v>45044</v>
      </c>
      <c r="H4468" t="s">
        <v>1111</v>
      </c>
      <c r="I4468" t="s">
        <v>2382</v>
      </c>
      <c r="J4468" s="13">
        <v>838294</v>
      </c>
      <c r="K4468">
        <v>1</v>
      </c>
      <c r="L4468" t="s">
        <v>1064</v>
      </c>
      <c r="M4468" t="s">
        <v>2383</v>
      </c>
      <c r="N4468" s="15" t="s">
        <v>6878</v>
      </c>
    </row>
    <row r="4469" spans="1:14" x14ac:dyDescent="0.2">
      <c r="A4469" t="s">
        <v>5597</v>
      </c>
      <c r="B4469" t="s">
        <v>2360</v>
      </c>
      <c r="C4469" s="9">
        <v>45043</v>
      </c>
      <c r="D4469" t="s">
        <v>946</v>
      </c>
      <c r="E4469" s="13">
        <v>19411077</v>
      </c>
      <c r="F4469" s="13">
        <v>5550</v>
      </c>
      <c r="G4469" s="9">
        <v>45044</v>
      </c>
      <c r="H4469" t="s">
        <v>1111</v>
      </c>
      <c r="I4469" t="s">
        <v>2382</v>
      </c>
      <c r="J4469" s="13">
        <v>969582</v>
      </c>
      <c r="K4469">
        <v>1</v>
      </c>
      <c r="L4469" t="s">
        <v>1064</v>
      </c>
      <c r="M4469" t="s">
        <v>2383</v>
      </c>
      <c r="N4469" s="15" t="s">
        <v>6878</v>
      </c>
    </row>
    <row r="4470" spans="1:14" x14ac:dyDescent="0.2">
      <c r="A4470" t="s">
        <v>5598</v>
      </c>
      <c r="B4470" t="s">
        <v>2360</v>
      </c>
      <c r="C4470" s="9">
        <v>45043</v>
      </c>
      <c r="D4470" t="s">
        <v>946</v>
      </c>
      <c r="E4470" s="13">
        <v>19532911</v>
      </c>
      <c r="F4470" s="13">
        <v>5550</v>
      </c>
      <c r="G4470" s="9">
        <v>45044</v>
      </c>
      <c r="H4470" t="s">
        <v>1111</v>
      </c>
      <c r="I4470" t="s">
        <v>2382</v>
      </c>
      <c r="J4470" s="13">
        <v>975667</v>
      </c>
      <c r="K4470">
        <v>1</v>
      </c>
      <c r="L4470" t="s">
        <v>1064</v>
      </c>
      <c r="M4470" t="s">
        <v>2383</v>
      </c>
      <c r="N4470" s="15" t="s">
        <v>6878</v>
      </c>
    </row>
    <row r="4471" spans="1:14" x14ac:dyDescent="0.2">
      <c r="A4471" t="s">
        <v>5599</v>
      </c>
      <c r="B4471" t="s">
        <v>2360</v>
      </c>
      <c r="C4471" s="9">
        <v>45043</v>
      </c>
      <c r="D4471" t="s">
        <v>946</v>
      </c>
      <c r="E4471" s="13">
        <v>19364664</v>
      </c>
      <c r="F4471" s="13">
        <v>5550</v>
      </c>
      <c r="G4471" s="9">
        <v>45044</v>
      </c>
      <c r="H4471" t="s">
        <v>1111</v>
      </c>
      <c r="I4471" t="s">
        <v>2382</v>
      </c>
      <c r="J4471" s="13">
        <v>967263</v>
      </c>
      <c r="K4471">
        <v>1</v>
      </c>
      <c r="L4471" t="s">
        <v>1064</v>
      </c>
      <c r="M4471" t="s">
        <v>2383</v>
      </c>
      <c r="N4471" s="15" t="s">
        <v>6878</v>
      </c>
    </row>
    <row r="4472" spans="1:14" x14ac:dyDescent="0.2">
      <c r="A4472" t="s">
        <v>5600</v>
      </c>
      <c r="B4472" t="s">
        <v>2360</v>
      </c>
      <c r="C4472" s="9">
        <v>45043</v>
      </c>
      <c r="D4472" t="s">
        <v>9</v>
      </c>
      <c r="E4472" s="13">
        <v>4243890</v>
      </c>
      <c r="F4472" s="13">
        <v>24975</v>
      </c>
      <c r="G4472" s="9">
        <v>45058</v>
      </c>
      <c r="H4472" t="s">
        <v>1111</v>
      </c>
      <c r="I4472" t="s">
        <v>2361</v>
      </c>
      <c r="J4472" s="13">
        <v>141320</v>
      </c>
      <c r="K4472">
        <v>1</v>
      </c>
      <c r="L4472" t="s">
        <v>1064</v>
      </c>
      <c r="M4472" t="s">
        <v>2362</v>
      </c>
      <c r="N4472" s="15" t="s">
        <v>6878</v>
      </c>
    </row>
    <row r="4473" spans="1:14" x14ac:dyDescent="0.2">
      <c r="A4473" t="s">
        <v>5601</v>
      </c>
      <c r="B4473" t="s">
        <v>2360</v>
      </c>
      <c r="C4473" s="9">
        <v>45044</v>
      </c>
      <c r="D4473" t="s">
        <v>949</v>
      </c>
      <c r="E4473" s="13">
        <v>45000000</v>
      </c>
      <c r="F4473" s="13">
        <v>22200</v>
      </c>
      <c r="G4473" s="9">
        <v>45044</v>
      </c>
      <c r="H4473" t="s">
        <v>1111</v>
      </c>
      <c r="I4473" t="s">
        <v>1746</v>
      </c>
      <c r="J4473" s="13">
        <v>1248750</v>
      </c>
      <c r="K4473">
        <v>1</v>
      </c>
      <c r="L4473" t="s">
        <v>1064</v>
      </c>
      <c r="M4473" t="s">
        <v>1747</v>
      </c>
      <c r="N4473" s="15" t="s">
        <v>6878</v>
      </c>
    </row>
    <row r="4474" spans="1:14" x14ac:dyDescent="0.2">
      <c r="A4474" t="s">
        <v>5602</v>
      </c>
      <c r="B4474" t="s">
        <v>2360</v>
      </c>
      <c r="C4474" s="9">
        <v>45044</v>
      </c>
      <c r="D4474" t="s">
        <v>949</v>
      </c>
      <c r="E4474" s="13">
        <v>45000000</v>
      </c>
      <c r="F4474" s="13">
        <v>22200</v>
      </c>
      <c r="G4474" s="9">
        <v>45044</v>
      </c>
      <c r="H4474" t="s">
        <v>1111</v>
      </c>
      <c r="I4474" t="s">
        <v>1746</v>
      </c>
      <c r="J4474" s="13">
        <v>1248750</v>
      </c>
      <c r="K4474">
        <v>1</v>
      </c>
      <c r="L4474" t="s">
        <v>1064</v>
      </c>
      <c r="M4474" t="s">
        <v>1747</v>
      </c>
      <c r="N4474" s="15" t="s">
        <v>6878</v>
      </c>
    </row>
    <row r="4475" spans="1:14" x14ac:dyDescent="0.2">
      <c r="A4475" t="s">
        <v>5603</v>
      </c>
      <c r="B4475" t="s">
        <v>2360</v>
      </c>
      <c r="C4475" s="9">
        <v>45044</v>
      </c>
      <c r="D4475" t="s">
        <v>949</v>
      </c>
      <c r="E4475" s="13">
        <v>45000000</v>
      </c>
      <c r="F4475" s="13">
        <v>22200</v>
      </c>
      <c r="G4475" s="9">
        <v>45044</v>
      </c>
      <c r="H4475" t="s">
        <v>1111</v>
      </c>
      <c r="I4475" t="s">
        <v>1746</v>
      </c>
      <c r="J4475" s="13">
        <v>1248750</v>
      </c>
      <c r="K4475">
        <v>1</v>
      </c>
      <c r="L4475" t="s">
        <v>1064</v>
      </c>
      <c r="M4475" t="s">
        <v>1747</v>
      </c>
      <c r="N4475" s="15" t="s">
        <v>6878</v>
      </c>
    </row>
    <row r="4476" spans="1:14" x14ac:dyDescent="0.2">
      <c r="A4476" t="s">
        <v>5604</v>
      </c>
      <c r="B4476" t="s">
        <v>2360</v>
      </c>
      <c r="C4476" s="9">
        <v>45044</v>
      </c>
      <c r="D4476" t="s">
        <v>949</v>
      </c>
      <c r="E4476" s="13">
        <v>64810000</v>
      </c>
      <c r="F4476" s="13">
        <v>22200</v>
      </c>
      <c r="G4476" s="9">
        <v>45044</v>
      </c>
      <c r="H4476" t="s">
        <v>1111</v>
      </c>
      <c r="I4476" t="s">
        <v>1746</v>
      </c>
      <c r="J4476" s="13">
        <v>1798477</v>
      </c>
      <c r="K4476">
        <v>1</v>
      </c>
      <c r="L4476" t="s">
        <v>1064</v>
      </c>
      <c r="M4476" t="s">
        <v>1747</v>
      </c>
      <c r="N4476" s="15" t="s">
        <v>6878</v>
      </c>
    </row>
    <row r="4477" spans="1:14" x14ac:dyDescent="0.2">
      <c r="A4477" t="s">
        <v>5605</v>
      </c>
      <c r="B4477" t="s">
        <v>2360</v>
      </c>
      <c r="C4477" s="9">
        <v>45044</v>
      </c>
      <c r="D4477" t="s">
        <v>949</v>
      </c>
      <c r="E4477" s="13">
        <v>45000000</v>
      </c>
      <c r="F4477" s="13">
        <v>22200</v>
      </c>
      <c r="G4477" s="9">
        <v>45044</v>
      </c>
      <c r="H4477" t="s">
        <v>1111</v>
      </c>
      <c r="I4477" t="s">
        <v>1746</v>
      </c>
      <c r="J4477" s="13">
        <v>1248750</v>
      </c>
      <c r="K4477">
        <v>1</v>
      </c>
      <c r="L4477" t="s">
        <v>1064</v>
      </c>
      <c r="M4477" t="s">
        <v>1747</v>
      </c>
      <c r="N4477" s="15" t="s">
        <v>6878</v>
      </c>
    </row>
    <row r="4478" spans="1:14" x14ac:dyDescent="0.2">
      <c r="A4478" t="s">
        <v>5606</v>
      </c>
      <c r="B4478" t="s">
        <v>2360</v>
      </c>
      <c r="C4478" s="9">
        <v>45044</v>
      </c>
      <c r="D4478" t="s">
        <v>949</v>
      </c>
      <c r="E4478" s="13">
        <v>45000000</v>
      </c>
      <c r="F4478" s="13">
        <v>22200</v>
      </c>
      <c r="G4478" s="9">
        <v>45044</v>
      </c>
      <c r="H4478" t="s">
        <v>1111</v>
      </c>
      <c r="I4478" t="s">
        <v>1746</v>
      </c>
      <c r="J4478" s="13">
        <v>1248750</v>
      </c>
      <c r="K4478">
        <v>1</v>
      </c>
      <c r="L4478" t="s">
        <v>1064</v>
      </c>
      <c r="M4478" t="s">
        <v>1747</v>
      </c>
      <c r="N4478" s="15" t="s">
        <v>6878</v>
      </c>
    </row>
    <row r="4479" spans="1:14" x14ac:dyDescent="0.2">
      <c r="A4479" t="s">
        <v>5607</v>
      </c>
      <c r="B4479" t="s">
        <v>2360</v>
      </c>
      <c r="C4479" s="9">
        <v>45044</v>
      </c>
      <c r="D4479" t="s">
        <v>949</v>
      </c>
      <c r="E4479" s="13">
        <v>45000000</v>
      </c>
      <c r="F4479" s="13">
        <v>22200</v>
      </c>
      <c r="G4479" s="9">
        <v>45044</v>
      </c>
      <c r="H4479" t="s">
        <v>1111</v>
      </c>
      <c r="I4479" t="s">
        <v>1746</v>
      </c>
      <c r="J4479" s="13">
        <v>1248750</v>
      </c>
      <c r="K4479">
        <v>1</v>
      </c>
      <c r="L4479" t="s">
        <v>1064</v>
      </c>
      <c r="M4479" t="s">
        <v>1747</v>
      </c>
      <c r="N4479" s="15" t="s">
        <v>6878</v>
      </c>
    </row>
    <row r="4480" spans="1:14" x14ac:dyDescent="0.2">
      <c r="A4480" t="s">
        <v>5608</v>
      </c>
      <c r="B4480" t="s">
        <v>2360</v>
      </c>
      <c r="C4480" s="9">
        <v>45044</v>
      </c>
      <c r="D4480" t="s">
        <v>949</v>
      </c>
      <c r="E4480" s="13">
        <v>64810000</v>
      </c>
      <c r="F4480" s="13">
        <v>22200</v>
      </c>
      <c r="G4480" s="9">
        <v>45044</v>
      </c>
      <c r="H4480" t="s">
        <v>1111</v>
      </c>
      <c r="I4480" t="s">
        <v>1746</v>
      </c>
      <c r="J4480" s="13">
        <v>1798477</v>
      </c>
      <c r="K4480">
        <v>1</v>
      </c>
      <c r="L4480" t="s">
        <v>1064</v>
      </c>
      <c r="M4480" t="s">
        <v>1747</v>
      </c>
      <c r="N4480" s="15" t="s">
        <v>6878</v>
      </c>
    </row>
    <row r="4481" spans="1:14" x14ac:dyDescent="0.2">
      <c r="A4481" t="s">
        <v>5609</v>
      </c>
      <c r="B4481" t="s">
        <v>2360</v>
      </c>
      <c r="C4481" s="9">
        <v>45044</v>
      </c>
      <c r="D4481" t="s">
        <v>966</v>
      </c>
      <c r="E4481" s="13">
        <v>12500000</v>
      </c>
      <c r="F4481" s="13">
        <v>27750</v>
      </c>
      <c r="G4481" s="9">
        <v>45046</v>
      </c>
      <c r="H4481" t="s">
        <v>1063</v>
      </c>
      <c r="I4481" t="s">
        <v>1515</v>
      </c>
      <c r="J4481" s="13">
        <v>555000</v>
      </c>
      <c r="K4481">
        <v>1</v>
      </c>
      <c r="L4481" t="s">
        <v>1064</v>
      </c>
      <c r="M4481" t="s">
        <v>1516</v>
      </c>
      <c r="N4481" s="15" t="s">
        <v>6878</v>
      </c>
    </row>
    <row r="4482" spans="1:14" x14ac:dyDescent="0.2">
      <c r="A4482" t="s">
        <v>5610</v>
      </c>
      <c r="B4482" t="s">
        <v>2360</v>
      </c>
      <c r="C4482" s="9">
        <v>45044</v>
      </c>
      <c r="D4482" t="s">
        <v>966</v>
      </c>
      <c r="E4482" s="13">
        <v>12500000</v>
      </c>
      <c r="F4482" s="13">
        <v>27750</v>
      </c>
      <c r="G4482" s="9">
        <v>45046</v>
      </c>
      <c r="H4482" t="s">
        <v>1063</v>
      </c>
      <c r="I4482" t="s">
        <v>1515</v>
      </c>
      <c r="J4482" s="13">
        <v>555000</v>
      </c>
      <c r="K4482">
        <v>1</v>
      </c>
      <c r="L4482" t="s">
        <v>1064</v>
      </c>
      <c r="M4482" t="s">
        <v>1516</v>
      </c>
      <c r="N4482" s="15" t="s">
        <v>6878</v>
      </c>
    </row>
    <row r="4483" spans="1:14" x14ac:dyDescent="0.2">
      <c r="A4483" t="s">
        <v>5611</v>
      </c>
      <c r="B4483" t="s">
        <v>2360</v>
      </c>
      <c r="C4483" s="9">
        <v>45044</v>
      </c>
      <c r="D4483" t="s">
        <v>966</v>
      </c>
      <c r="E4483" s="13">
        <v>12500000</v>
      </c>
      <c r="F4483" s="13">
        <v>27750</v>
      </c>
      <c r="G4483" s="9">
        <v>45046</v>
      </c>
      <c r="H4483" t="s">
        <v>1063</v>
      </c>
      <c r="I4483" t="s">
        <v>1515</v>
      </c>
      <c r="J4483" s="13">
        <v>555000</v>
      </c>
      <c r="K4483">
        <v>1</v>
      </c>
      <c r="L4483" t="s">
        <v>1064</v>
      </c>
      <c r="M4483" t="s">
        <v>1516</v>
      </c>
      <c r="N4483" s="15" t="s">
        <v>6878</v>
      </c>
    </row>
    <row r="4484" spans="1:14" x14ac:dyDescent="0.2">
      <c r="A4484" t="s">
        <v>5612</v>
      </c>
      <c r="B4484" t="s">
        <v>2360</v>
      </c>
      <c r="C4484" s="9">
        <v>45044</v>
      </c>
      <c r="D4484" t="s">
        <v>966</v>
      </c>
      <c r="E4484" s="13">
        <v>12500000</v>
      </c>
      <c r="F4484" s="13">
        <v>27750</v>
      </c>
      <c r="G4484" s="9">
        <v>45046</v>
      </c>
      <c r="H4484" t="s">
        <v>1063</v>
      </c>
      <c r="I4484" t="s">
        <v>1515</v>
      </c>
      <c r="J4484" s="13">
        <v>555000</v>
      </c>
      <c r="K4484">
        <v>1</v>
      </c>
      <c r="L4484" t="s">
        <v>1064</v>
      </c>
      <c r="M4484" t="s">
        <v>1516</v>
      </c>
      <c r="N4484" s="15" t="s">
        <v>6878</v>
      </c>
    </row>
    <row r="4485" spans="1:14" x14ac:dyDescent="0.2">
      <c r="A4485" t="s">
        <v>5613</v>
      </c>
      <c r="B4485" t="s">
        <v>2360</v>
      </c>
      <c r="C4485" s="9">
        <v>45044</v>
      </c>
      <c r="D4485" t="s">
        <v>966</v>
      </c>
      <c r="E4485" s="13">
        <v>12500000</v>
      </c>
      <c r="F4485" s="13">
        <v>27750</v>
      </c>
      <c r="G4485" s="9">
        <v>45046</v>
      </c>
      <c r="H4485" t="s">
        <v>1063</v>
      </c>
      <c r="I4485" t="s">
        <v>1515</v>
      </c>
      <c r="J4485" s="13">
        <v>555000</v>
      </c>
      <c r="K4485">
        <v>1</v>
      </c>
      <c r="L4485" t="s">
        <v>1064</v>
      </c>
      <c r="M4485" t="s">
        <v>1516</v>
      </c>
      <c r="N4485" s="15" t="s">
        <v>6878</v>
      </c>
    </row>
    <row r="4486" spans="1:14" x14ac:dyDescent="0.2">
      <c r="A4486" t="s">
        <v>5614</v>
      </c>
      <c r="B4486" t="s">
        <v>2360</v>
      </c>
      <c r="C4486" s="9">
        <v>45044</v>
      </c>
      <c r="D4486" t="s">
        <v>966</v>
      </c>
      <c r="E4486" s="13">
        <v>12500000</v>
      </c>
      <c r="F4486" s="13">
        <v>27750</v>
      </c>
      <c r="G4486" s="9">
        <v>45046</v>
      </c>
      <c r="H4486" t="s">
        <v>1063</v>
      </c>
      <c r="I4486" t="s">
        <v>1515</v>
      </c>
      <c r="J4486" s="13">
        <v>555000</v>
      </c>
      <c r="K4486">
        <v>1</v>
      </c>
      <c r="L4486" t="s">
        <v>1064</v>
      </c>
      <c r="M4486" t="s">
        <v>1516</v>
      </c>
      <c r="N4486" s="15" t="s">
        <v>6878</v>
      </c>
    </row>
    <row r="4487" spans="1:14" x14ac:dyDescent="0.2">
      <c r="A4487" t="s">
        <v>5615</v>
      </c>
      <c r="B4487" t="s">
        <v>2360</v>
      </c>
      <c r="C4487" s="9">
        <v>45044</v>
      </c>
      <c r="D4487" t="s">
        <v>966</v>
      </c>
      <c r="E4487" s="13">
        <v>12500000</v>
      </c>
      <c r="F4487" s="13">
        <v>27750</v>
      </c>
      <c r="G4487" s="9">
        <v>45046</v>
      </c>
      <c r="H4487" t="s">
        <v>1063</v>
      </c>
      <c r="I4487" t="s">
        <v>1515</v>
      </c>
      <c r="J4487" s="13">
        <v>555000</v>
      </c>
      <c r="K4487">
        <v>1</v>
      </c>
      <c r="L4487" t="s">
        <v>1064</v>
      </c>
      <c r="M4487" t="s">
        <v>1516</v>
      </c>
      <c r="N4487" s="15" t="s">
        <v>6878</v>
      </c>
    </row>
    <row r="4488" spans="1:14" x14ac:dyDescent="0.2">
      <c r="A4488" t="s">
        <v>5616</v>
      </c>
      <c r="B4488" t="s">
        <v>2360</v>
      </c>
      <c r="C4488" s="9">
        <v>45044</v>
      </c>
      <c r="D4488" t="s">
        <v>966</v>
      </c>
      <c r="E4488" s="13">
        <v>12500000</v>
      </c>
      <c r="F4488" s="13">
        <v>27750</v>
      </c>
      <c r="G4488" s="9">
        <v>45046</v>
      </c>
      <c r="H4488" t="s">
        <v>1063</v>
      </c>
      <c r="I4488" t="s">
        <v>1515</v>
      </c>
      <c r="J4488" s="13">
        <v>555000</v>
      </c>
      <c r="K4488">
        <v>1</v>
      </c>
      <c r="L4488" t="s">
        <v>1064</v>
      </c>
      <c r="M4488" t="s">
        <v>1516</v>
      </c>
      <c r="N4488" s="15" t="s">
        <v>6878</v>
      </c>
    </row>
    <row r="4489" spans="1:14" x14ac:dyDescent="0.2">
      <c r="A4489" t="s">
        <v>5617</v>
      </c>
      <c r="B4489" t="s">
        <v>2360</v>
      </c>
      <c r="C4489" s="9">
        <v>45044</v>
      </c>
      <c r="D4489" t="s">
        <v>966</v>
      </c>
      <c r="E4489" s="13">
        <v>12500000</v>
      </c>
      <c r="F4489" s="13">
        <v>27750</v>
      </c>
      <c r="G4489" s="9">
        <v>45046</v>
      </c>
      <c r="H4489" t="s">
        <v>1063</v>
      </c>
      <c r="I4489" t="s">
        <v>1515</v>
      </c>
      <c r="J4489" s="13">
        <v>555000</v>
      </c>
      <c r="K4489">
        <v>1</v>
      </c>
      <c r="L4489" t="s">
        <v>1064</v>
      </c>
      <c r="M4489" t="s">
        <v>1516</v>
      </c>
      <c r="N4489" s="15" t="s">
        <v>6878</v>
      </c>
    </row>
    <row r="4490" spans="1:14" x14ac:dyDescent="0.2">
      <c r="A4490" t="s">
        <v>5618</v>
      </c>
      <c r="B4490" t="s">
        <v>2360</v>
      </c>
      <c r="C4490" s="9">
        <v>45044</v>
      </c>
      <c r="D4490" t="s">
        <v>966</v>
      </c>
      <c r="E4490" s="13">
        <v>12500000</v>
      </c>
      <c r="F4490" s="13">
        <v>27750</v>
      </c>
      <c r="G4490" s="9">
        <v>45046</v>
      </c>
      <c r="H4490" t="s">
        <v>1063</v>
      </c>
      <c r="I4490" t="s">
        <v>1515</v>
      </c>
      <c r="J4490" s="13">
        <v>555000</v>
      </c>
      <c r="K4490">
        <v>1</v>
      </c>
      <c r="L4490" t="s">
        <v>1064</v>
      </c>
      <c r="M4490" t="s">
        <v>1516</v>
      </c>
      <c r="N4490" s="15" t="s">
        <v>6878</v>
      </c>
    </row>
    <row r="4491" spans="1:14" x14ac:dyDescent="0.2">
      <c r="A4491" t="s">
        <v>999</v>
      </c>
      <c r="B4491" t="s">
        <v>2360</v>
      </c>
      <c r="C4491" s="9">
        <v>45047</v>
      </c>
      <c r="D4491" t="s">
        <v>998</v>
      </c>
      <c r="E4491" s="13">
        <v>185000000</v>
      </c>
      <c r="F4491" s="13">
        <v>25000</v>
      </c>
      <c r="H4491" t="s">
        <v>2184</v>
      </c>
      <c r="I4491" t="s">
        <v>2902</v>
      </c>
      <c r="J4491" s="13">
        <v>0</v>
      </c>
      <c r="K4491">
        <v>1</v>
      </c>
      <c r="L4491" t="s">
        <v>1064</v>
      </c>
      <c r="M4491" t="s">
        <v>2903</v>
      </c>
      <c r="N4491" s="14" t="s">
        <v>6877</v>
      </c>
    </row>
    <row r="4492" spans="1:14" x14ac:dyDescent="0.2">
      <c r="A4492" t="s">
        <v>5619</v>
      </c>
      <c r="B4492" t="s">
        <v>2360</v>
      </c>
      <c r="C4492" s="9">
        <v>45048</v>
      </c>
      <c r="D4492" t="s">
        <v>996</v>
      </c>
      <c r="E4492" s="13">
        <v>54000000</v>
      </c>
      <c r="F4492" s="13">
        <v>27750</v>
      </c>
      <c r="G4492" s="9">
        <v>45048</v>
      </c>
      <c r="H4492" t="s">
        <v>1111</v>
      </c>
      <c r="I4492" t="s">
        <v>3191</v>
      </c>
      <c r="J4492" s="13">
        <v>2097900</v>
      </c>
      <c r="K4492">
        <v>1</v>
      </c>
      <c r="L4492" t="s">
        <v>1064</v>
      </c>
      <c r="M4492" t="s">
        <v>3192</v>
      </c>
      <c r="N4492" s="15" t="s">
        <v>6878</v>
      </c>
    </row>
    <row r="4493" spans="1:14" x14ac:dyDescent="0.2">
      <c r="A4493" t="s">
        <v>5620</v>
      </c>
      <c r="B4493" t="s">
        <v>2360</v>
      </c>
      <c r="C4493" s="9">
        <v>45048</v>
      </c>
      <c r="D4493" t="s">
        <v>9</v>
      </c>
      <c r="E4493" s="13">
        <v>653750</v>
      </c>
      <c r="F4493" s="13">
        <v>22500</v>
      </c>
      <c r="H4493" t="s">
        <v>2272</v>
      </c>
      <c r="I4493" t="s">
        <v>4659</v>
      </c>
      <c r="J4493" s="13">
        <v>0</v>
      </c>
      <c r="K4493">
        <v>1</v>
      </c>
      <c r="L4493" t="s">
        <v>1064</v>
      </c>
      <c r="M4493" t="s">
        <v>4660</v>
      </c>
      <c r="N4493" s="14" t="s">
        <v>6877</v>
      </c>
    </row>
    <row r="4494" spans="1:14" x14ac:dyDescent="0.2">
      <c r="A4494" t="s">
        <v>5621</v>
      </c>
      <c r="B4494" t="s">
        <v>2360</v>
      </c>
      <c r="C4494" s="9">
        <v>45049</v>
      </c>
      <c r="D4494" t="s">
        <v>9</v>
      </c>
      <c r="E4494" s="13">
        <v>1464500</v>
      </c>
      <c r="F4494" s="13">
        <v>22500</v>
      </c>
      <c r="H4494" t="s">
        <v>1659</v>
      </c>
      <c r="I4494" t="s">
        <v>4659</v>
      </c>
      <c r="J4494" s="13">
        <v>0</v>
      </c>
      <c r="K4494">
        <v>1</v>
      </c>
      <c r="L4494" t="s">
        <v>1064</v>
      </c>
      <c r="M4494" t="s">
        <v>4660</v>
      </c>
      <c r="N4494" s="14" t="s">
        <v>6877</v>
      </c>
    </row>
    <row r="4495" spans="1:14" x14ac:dyDescent="0.2">
      <c r="A4495" t="s">
        <v>5622</v>
      </c>
      <c r="B4495" t="s">
        <v>2360</v>
      </c>
      <c r="C4495" s="9">
        <v>45049</v>
      </c>
      <c r="D4495" t="s">
        <v>9</v>
      </c>
      <c r="E4495" s="13">
        <v>448350</v>
      </c>
      <c r="F4495" s="13">
        <v>24975</v>
      </c>
      <c r="G4495" s="9">
        <v>45062</v>
      </c>
      <c r="H4495" t="s">
        <v>1111</v>
      </c>
      <c r="I4495" t="s">
        <v>436</v>
      </c>
      <c r="J4495" s="13">
        <v>14929</v>
      </c>
      <c r="K4495">
        <v>1</v>
      </c>
      <c r="L4495" t="s">
        <v>1064</v>
      </c>
      <c r="M4495" t="s">
        <v>2364</v>
      </c>
      <c r="N4495" s="15" t="s">
        <v>6878</v>
      </c>
    </row>
    <row r="4496" spans="1:14" x14ac:dyDescent="0.2">
      <c r="A4496" t="s">
        <v>5623</v>
      </c>
      <c r="B4496" t="s">
        <v>2360</v>
      </c>
      <c r="C4496" s="9">
        <v>45049</v>
      </c>
      <c r="D4496" t="s">
        <v>9</v>
      </c>
      <c r="E4496" s="13">
        <v>2592100</v>
      </c>
      <c r="F4496" s="13">
        <v>24975</v>
      </c>
      <c r="G4496" s="9">
        <v>45058</v>
      </c>
      <c r="H4496" t="s">
        <v>1111</v>
      </c>
      <c r="I4496" t="s">
        <v>2361</v>
      </c>
      <c r="J4496" s="13">
        <v>86316</v>
      </c>
      <c r="K4496">
        <v>1</v>
      </c>
      <c r="L4496" t="s">
        <v>1064</v>
      </c>
      <c r="M4496" t="s">
        <v>2362</v>
      </c>
      <c r="N4496" s="15" t="s">
        <v>6878</v>
      </c>
    </row>
    <row r="4497" spans="1:14" x14ac:dyDescent="0.2">
      <c r="A4497" t="s">
        <v>5624</v>
      </c>
      <c r="B4497" t="s">
        <v>2360</v>
      </c>
      <c r="C4497" s="9">
        <v>45049</v>
      </c>
      <c r="D4497" t="s">
        <v>32</v>
      </c>
      <c r="E4497" s="13">
        <v>7200000</v>
      </c>
      <c r="F4497" s="13">
        <v>55500</v>
      </c>
      <c r="G4497" s="9">
        <v>45067</v>
      </c>
      <c r="H4497" t="s">
        <v>1111</v>
      </c>
      <c r="I4497" t="s">
        <v>520</v>
      </c>
      <c r="J4497" s="13">
        <v>199800</v>
      </c>
      <c r="K4497">
        <v>2</v>
      </c>
      <c r="L4497" t="s">
        <v>1064</v>
      </c>
      <c r="M4497" t="s">
        <v>5005</v>
      </c>
      <c r="N4497" s="15" t="s">
        <v>6878</v>
      </c>
    </row>
    <row r="4498" spans="1:14" x14ac:dyDescent="0.2">
      <c r="A4498" t="s">
        <v>5625</v>
      </c>
      <c r="B4498" t="s">
        <v>2360</v>
      </c>
      <c r="C4498" s="9">
        <v>45049</v>
      </c>
      <c r="D4498" t="s">
        <v>32</v>
      </c>
      <c r="E4498" s="13">
        <v>3600000</v>
      </c>
      <c r="F4498" s="13">
        <v>27750</v>
      </c>
      <c r="G4498" s="9">
        <v>45053</v>
      </c>
      <c r="H4498" t="s">
        <v>1111</v>
      </c>
      <c r="I4498" t="s">
        <v>520</v>
      </c>
      <c r="J4498" s="13">
        <v>99900</v>
      </c>
      <c r="K4498">
        <v>1</v>
      </c>
      <c r="L4498" t="s">
        <v>1064</v>
      </c>
      <c r="M4498" t="s">
        <v>5005</v>
      </c>
      <c r="N4498" s="15" t="s">
        <v>6878</v>
      </c>
    </row>
    <row r="4499" spans="1:14" x14ac:dyDescent="0.2">
      <c r="A4499" t="s">
        <v>5626</v>
      </c>
      <c r="B4499" t="s">
        <v>2360</v>
      </c>
      <c r="C4499" s="9">
        <v>45049</v>
      </c>
      <c r="D4499" t="s">
        <v>9</v>
      </c>
      <c r="E4499" s="13">
        <v>730000</v>
      </c>
      <c r="F4499" s="13">
        <v>22500</v>
      </c>
      <c r="H4499" t="s">
        <v>2272</v>
      </c>
      <c r="I4499" t="s">
        <v>4659</v>
      </c>
      <c r="J4499" s="13">
        <v>0</v>
      </c>
      <c r="K4499">
        <v>1</v>
      </c>
      <c r="L4499" t="s">
        <v>1064</v>
      </c>
      <c r="M4499" t="s">
        <v>4660</v>
      </c>
      <c r="N4499" s="14" t="s">
        <v>6877</v>
      </c>
    </row>
    <row r="4500" spans="1:14" x14ac:dyDescent="0.2">
      <c r="A4500" t="s">
        <v>5627</v>
      </c>
      <c r="B4500" t="s">
        <v>2360</v>
      </c>
      <c r="C4500" s="9">
        <v>45049</v>
      </c>
      <c r="D4500" t="s">
        <v>9</v>
      </c>
      <c r="E4500" s="13">
        <v>372400</v>
      </c>
      <c r="F4500" s="13">
        <v>24975</v>
      </c>
      <c r="G4500" s="9">
        <v>45062</v>
      </c>
      <c r="H4500" t="s">
        <v>1111</v>
      </c>
      <c r="I4500" t="s">
        <v>436</v>
      </c>
      <c r="J4500" s="13">
        <v>12400</v>
      </c>
      <c r="K4500">
        <v>1</v>
      </c>
      <c r="L4500" t="s">
        <v>1064</v>
      </c>
      <c r="M4500" t="s">
        <v>2364</v>
      </c>
      <c r="N4500" s="15" t="s">
        <v>6878</v>
      </c>
    </row>
    <row r="4501" spans="1:14" x14ac:dyDescent="0.2">
      <c r="A4501" t="s">
        <v>5628</v>
      </c>
      <c r="B4501" t="s">
        <v>2360</v>
      </c>
      <c r="C4501" s="9">
        <v>45049</v>
      </c>
      <c r="D4501" t="s">
        <v>9</v>
      </c>
      <c r="E4501" s="13">
        <v>245490</v>
      </c>
      <c r="F4501" s="13">
        <v>24975</v>
      </c>
      <c r="G4501" s="9">
        <v>45062</v>
      </c>
      <c r="H4501" t="s">
        <v>1111</v>
      </c>
      <c r="I4501" t="s">
        <v>436</v>
      </c>
      <c r="J4501" s="13">
        <v>8174</v>
      </c>
      <c r="K4501">
        <v>1</v>
      </c>
      <c r="L4501" t="s">
        <v>1064</v>
      </c>
      <c r="M4501" t="s">
        <v>2364</v>
      </c>
      <c r="N4501" s="15" t="s">
        <v>6878</v>
      </c>
    </row>
    <row r="4502" spans="1:14" x14ac:dyDescent="0.2">
      <c r="A4502" t="s">
        <v>5629</v>
      </c>
      <c r="B4502" t="s">
        <v>2360</v>
      </c>
      <c r="C4502" s="9">
        <v>45049</v>
      </c>
      <c r="D4502" t="s">
        <v>9</v>
      </c>
      <c r="E4502" s="13">
        <v>604660</v>
      </c>
      <c r="F4502" s="13">
        <v>24975</v>
      </c>
      <c r="G4502" s="9">
        <v>45062</v>
      </c>
      <c r="H4502" t="s">
        <v>1111</v>
      </c>
      <c r="I4502" t="s">
        <v>436</v>
      </c>
      <c r="J4502" s="13">
        <v>20134</v>
      </c>
      <c r="K4502">
        <v>1</v>
      </c>
      <c r="L4502" t="s">
        <v>1064</v>
      </c>
      <c r="M4502" t="s">
        <v>2364</v>
      </c>
      <c r="N4502" s="15" t="s">
        <v>6878</v>
      </c>
    </row>
    <row r="4503" spans="1:14" x14ac:dyDescent="0.2">
      <c r="A4503" t="s">
        <v>5630</v>
      </c>
      <c r="B4503" t="s">
        <v>2360</v>
      </c>
      <c r="C4503" s="9">
        <v>45049</v>
      </c>
      <c r="D4503" t="s">
        <v>9</v>
      </c>
      <c r="E4503" s="13">
        <v>274890</v>
      </c>
      <c r="F4503" s="13">
        <v>24975</v>
      </c>
      <c r="G4503" s="9">
        <v>45062</v>
      </c>
      <c r="H4503" t="s">
        <v>1111</v>
      </c>
      <c r="I4503" t="s">
        <v>436</v>
      </c>
      <c r="J4503" s="13">
        <v>9153</v>
      </c>
      <c r="K4503">
        <v>1</v>
      </c>
      <c r="L4503" t="s">
        <v>1064</v>
      </c>
      <c r="M4503" t="s">
        <v>2364</v>
      </c>
      <c r="N4503" s="15" t="s">
        <v>6878</v>
      </c>
    </row>
    <row r="4504" spans="1:14" x14ac:dyDescent="0.2">
      <c r="A4504" t="s">
        <v>5631</v>
      </c>
      <c r="B4504" t="s">
        <v>2360</v>
      </c>
      <c r="C4504" s="9">
        <v>45049</v>
      </c>
      <c r="D4504" t="s">
        <v>32</v>
      </c>
      <c r="E4504" s="13">
        <v>3600000</v>
      </c>
      <c r="F4504" s="13">
        <v>27750</v>
      </c>
      <c r="G4504" s="9">
        <v>45053</v>
      </c>
      <c r="H4504" t="s">
        <v>1111</v>
      </c>
      <c r="I4504" t="s">
        <v>520</v>
      </c>
      <c r="J4504" s="13">
        <v>99900</v>
      </c>
      <c r="K4504">
        <v>1</v>
      </c>
      <c r="L4504" t="s">
        <v>1064</v>
      </c>
      <c r="M4504" t="s">
        <v>5005</v>
      </c>
      <c r="N4504" s="15" t="s">
        <v>6878</v>
      </c>
    </row>
    <row r="4505" spans="1:14" x14ac:dyDescent="0.2">
      <c r="A4505" t="s">
        <v>5632</v>
      </c>
      <c r="B4505" t="s">
        <v>2360</v>
      </c>
      <c r="C4505" s="9">
        <v>45049</v>
      </c>
      <c r="D4505" t="s">
        <v>32</v>
      </c>
      <c r="E4505" s="13">
        <v>3700000</v>
      </c>
      <c r="F4505" s="13">
        <v>27750</v>
      </c>
      <c r="G4505" s="9">
        <v>45053</v>
      </c>
      <c r="H4505" t="s">
        <v>1111</v>
      </c>
      <c r="I4505" t="s">
        <v>520</v>
      </c>
      <c r="J4505" s="13">
        <v>102675</v>
      </c>
      <c r="K4505">
        <v>1</v>
      </c>
      <c r="L4505" t="s">
        <v>1064</v>
      </c>
      <c r="M4505" t="s">
        <v>5005</v>
      </c>
      <c r="N4505" s="15" t="s">
        <v>6878</v>
      </c>
    </row>
    <row r="4506" spans="1:14" x14ac:dyDescent="0.2">
      <c r="A4506" t="s">
        <v>5633</v>
      </c>
      <c r="B4506" t="s">
        <v>2360</v>
      </c>
      <c r="C4506" s="9">
        <v>45049</v>
      </c>
      <c r="D4506" t="s">
        <v>32</v>
      </c>
      <c r="E4506" s="13">
        <v>3700000</v>
      </c>
      <c r="F4506" s="13">
        <v>27750</v>
      </c>
      <c r="G4506" s="9">
        <v>45053</v>
      </c>
      <c r="H4506" t="s">
        <v>1111</v>
      </c>
      <c r="I4506" t="s">
        <v>520</v>
      </c>
      <c r="J4506" s="13">
        <v>102675</v>
      </c>
      <c r="K4506">
        <v>1</v>
      </c>
      <c r="L4506" t="s">
        <v>1064</v>
      </c>
      <c r="M4506" t="s">
        <v>5005</v>
      </c>
      <c r="N4506" s="15" t="s">
        <v>6878</v>
      </c>
    </row>
    <row r="4507" spans="1:14" x14ac:dyDescent="0.2">
      <c r="A4507" t="s">
        <v>5634</v>
      </c>
      <c r="B4507" t="s">
        <v>2360</v>
      </c>
      <c r="C4507" s="9">
        <v>45049</v>
      </c>
      <c r="D4507" t="s">
        <v>32</v>
      </c>
      <c r="E4507" s="13">
        <v>3700000</v>
      </c>
      <c r="F4507" s="13">
        <v>27750</v>
      </c>
      <c r="G4507" s="9">
        <v>45053</v>
      </c>
      <c r="H4507" t="s">
        <v>1111</v>
      </c>
      <c r="I4507" t="s">
        <v>520</v>
      </c>
      <c r="J4507" s="13">
        <v>102675</v>
      </c>
      <c r="K4507">
        <v>1</v>
      </c>
      <c r="L4507" t="s">
        <v>1064</v>
      </c>
      <c r="M4507" t="s">
        <v>5005</v>
      </c>
      <c r="N4507" s="15" t="s">
        <v>6878</v>
      </c>
    </row>
    <row r="4508" spans="1:14" x14ac:dyDescent="0.2">
      <c r="A4508" t="s">
        <v>5635</v>
      </c>
      <c r="B4508" t="s">
        <v>2360</v>
      </c>
      <c r="C4508" s="9">
        <v>45049</v>
      </c>
      <c r="D4508" t="s">
        <v>9</v>
      </c>
      <c r="E4508" s="13">
        <v>340060</v>
      </c>
      <c r="F4508" s="13">
        <v>24975</v>
      </c>
      <c r="G4508" s="9">
        <v>45062</v>
      </c>
      <c r="H4508" t="s">
        <v>1111</v>
      </c>
      <c r="I4508" t="s">
        <v>436</v>
      </c>
      <c r="J4508" s="13">
        <v>11323</v>
      </c>
      <c r="K4508">
        <v>1</v>
      </c>
      <c r="L4508" t="s">
        <v>1064</v>
      </c>
      <c r="M4508" t="s">
        <v>2364</v>
      </c>
      <c r="N4508" s="15" t="s">
        <v>6878</v>
      </c>
    </row>
    <row r="4509" spans="1:14" x14ac:dyDescent="0.2">
      <c r="A4509" t="s">
        <v>5636</v>
      </c>
      <c r="B4509" t="s">
        <v>2360</v>
      </c>
      <c r="C4509" s="9">
        <v>45049</v>
      </c>
      <c r="D4509" t="s">
        <v>9</v>
      </c>
      <c r="E4509" s="13">
        <v>340060</v>
      </c>
      <c r="F4509" s="13">
        <v>24975</v>
      </c>
      <c r="G4509" s="9">
        <v>45062</v>
      </c>
      <c r="H4509" t="s">
        <v>1111</v>
      </c>
      <c r="I4509" t="s">
        <v>436</v>
      </c>
      <c r="J4509" s="13">
        <v>11323</v>
      </c>
      <c r="K4509">
        <v>1</v>
      </c>
      <c r="L4509" t="s">
        <v>1064</v>
      </c>
      <c r="M4509" t="s">
        <v>2364</v>
      </c>
      <c r="N4509" s="15" t="s">
        <v>6878</v>
      </c>
    </row>
    <row r="4510" spans="1:14" x14ac:dyDescent="0.2">
      <c r="A4510" t="s">
        <v>5637</v>
      </c>
      <c r="B4510" t="s">
        <v>2360</v>
      </c>
      <c r="C4510" s="9">
        <v>45050</v>
      </c>
      <c r="D4510" t="s">
        <v>9</v>
      </c>
      <c r="E4510" s="13">
        <v>328300</v>
      </c>
      <c r="F4510" s="13">
        <v>22500</v>
      </c>
      <c r="H4510" t="s">
        <v>1659</v>
      </c>
      <c r="I4510" t="s">
        <v>4659</v>
      </c>
      <c r="J4510" s="13">
        <v>0</v>
      </c>
      <c r="K4510">
        <v>1</v>
      </c>
      <c r="L4510" t="s">
        <v>1064</v>
      </c>
      <c r="M4510" t="s">
        <v>4660</v>
      </c>
      <c r="N4510" s="14" t="s">
        <v>6877</v>
      </c>
    </row>
    <row r="4511" spans="1:14" x14ac:dyDescent="0.2">
      <c r="A4511" t="s">
        <v>5638</v>
      </c>
      <c r="B4511" t="s">
        <v>2360</v>
      </c>
      <c r="C4511" s="9">
        <v>45050</v>
      </c>
      <c r="D4511" t="s">
        <v>9</v>
      </c>
      <c r="E4511" s="13">
        <v>340060</v>
      </c>
      <c r="F4511" s="13">
        <v>24975</v>
      </c>
      <c r="G4511" s="9">
        <v>45062</v>
      </c>
      <c r="H4511" t="s">
        <v>1111</v>
      </c>
      <c r="I4511" t="s">
        <v>436</v>
      </c>
      <c r="J4511" s="13">
        <v>11323</v>
      </c>
      <c r="K4511">
        <v>1</v>
      </c>
      <c r="L4511" t="s">
        <v>1064</v>
      </c>
      <c r="M4511" t="s">
        <v>2364</v>
      </c>
      <c r="N4511" s="15" t="s">
        <v>6878</v>
      </c>
    </row>
    <row r="4512" spans="1:14" x14ac:dyDescent="0.2">
      <c r="A4512" t="s">
        <v>5639</v>
      </c>
      <c r="B4512" t="s">
        <v>2360</v>
      </c>
      <c r="C4512" s="9">
        <v>45050</v>
      </c>
      <c r="D4512" t="s">
        <v>9</v>
      </c>
      <c r="E4512" s="13">
        <v>265090</v>
      </c>
      <c r="F4512" s="13">
        <v>24975</v>
      </c>
      <c r="G4512" s="9">
        <v>45062</v>
      </c>
      <c r="H4512" t="s">
        <v>1111</v>
      </c>
      <c r="I4512" t="s">
        <v>436</v>
      </c>
      <c r="J4512" s="13">
        <v>8826</v>
      </c>
      <c r="K4512">
        <v>1</v>
      </c>
      <c r="L4512" t="s">
        <v>1064</v>
      </c>
      <c r="M4512" t="s">
        <v>2364</v>
      </c>
      <c r="N4512" s="15" t="s">
        <v>6878</v>
      </c>
    </row>
    <row r="4513" spans="1:14" x14ac:dyDescent="0.2">
      <c r="A4513" t="s">
        <v>5640</v>
      </c>
      <c r="B4513" t="s">
        <v>2360</v>
      </c>
      <c r="C4513" s="9">
        <v>45050</v>
      </c>
      <c r="D4513" t="s">
        <v>32</v>
      </c>
      <c r="E4513" s="13">
        <v>3700000</v>
      </c>
      <c r="F4513" s="13">
        <v>27750</v>
      </c>
      <c r="G4513" s="9">
        <v>45053</v>
      </c>
      <c r="H4513" t="s">
        <v>1111</v>
      </c>
      <c r="I4513" t="s">
        <v>520</v>
      </c>
      <c r="J4513" s="13">
        <v>102675</v>
      </c>
      <c r="K4513">
        <v>1</v>
      </c>
      <c r="L4513" t="s">
        <v>1064</v>
      </c>
      <c r="M4513" t="s">
        <v>5005</v>
      </c>
      <c r="N4513" s="15" t="s">
        <v>6878</v>
      </c>
    </row>
    <row r="4514" spans="1:14" x14ac:dyDescent="0.2">
      <c r="A4514" t="s">
        <v>5641</v>
      </c>
      <c r="B4514" t="s">
        <v>2360</v>
      </c>
      <c r="C4514" s="9">
        <v>45050</v>
      </c>
      <c r="D4514" t="s">
        <v>32</v>
      </c>
      <c r="E4514" s="13">
        <v>3700000</v>
      </c>
      <c r="F4514" s="13">
        <v>27750</v>
      </c>
      <c r="G4514" s="9">
        <v>45053</v>
      </c>
      <c r="H4514" t="s">
        <v>1111</v>
      </c>
      <c r="I4514" t="s">
        <v>520</v>
      </c>
      <c r="J4514" s="13">
        <v>102675</v>
      </c>
      <c r="K4514">
        <v>1</v>
      </c>
      <c r="L4514" t="s">
        <v>1064</v>
      </c>
      <c r="M4514" t="s">
        <v>5005</v>
      </c>
      <c r="N4514" s="15" t="s">
        <v>6878</v>
      </c>
    </row>
    <row r="4515" spans="1:14" x14ac:dyDescent="0.2">
      <c r="A4515" t="s">
        <v>5642</v>
      </c>
      <c r="B4515" t="s">
        <v>2360</v>
      </c>
      <c r="C4515" s="9">
        <v>45050</v>
      </c>
      <c r="D4515" t="s">
        <v>32</v>
      </c>
      <c r="E4515" s="13">
        <v>3700000</v>
      </c>
      <c r="F4515" s="13">
        <v>27750</v>
      </c>
      <c r="G4515" s="9">
        <v>45053</v>
      </c>
      <c r="H4515" t="s">
        <v>1111</v>
      </c>
      <c r="I4515" t="s">
        <v>520</v>
      </c>
      <c r="J4515" s="13">
        <v>102675</v>
      </c>
      <c r="K4515">
        <v>1</v>
      </c>
      <c r="L4515" t="s">
        <v>1064</v>
      </c>
      <c r="M4515" t="s">
        <v>5005</v>
      </c>
      <c r="N4515" s="15" t="s">
        <v>6878</v>
      </c>
    </row>
    <row r="4516" spans="1:14" x14ac:dyDescent="0.2">
      <c r="A4516" t="s">
        <v>5643</v>
      </c>
      <c r="B4516" t="s">
        <v>2360</v>
      </c>
      <c r="C4516" s="9">
        <v>45050</v>
      </c>
      <c r="D4516" t="s">
        <v>32</v>
      </c>
      <c r="E4516" s="13">
        <v>3500000</v>
      </c>
      <c r="F4516" s="13">
        <v>27750</v>
      </c>
      <c r="G4516" s="9">
        <v>45053</v>
      </c>
      <c r="H4516" t="s">
        <v>1111</v>
      </c>
      <c r="I4516" t="s">
        <v>520</v>
      </c>
      <c r="J4516" s="13">
        <v>97125</v>
      </c>
      <c r="K4516">
        <v>1</v>
      </c>
      <c r="L4516" t="s">
        <v>1064</v>
      </c>
      <c r="M4516" t="s">
        <v>5005</v>
      </c>
      <c r="N4516" s="15" t="s">
        <v>6878</v>
      </c>
    </row>
    <row r="4517" spans="1:14" x14ac:dyDescent="0.2">
      <c r="A4517" t="s">
        <v>5644</v>
      </c>
      <c r="B4517" t="s">
        <v>2360</v>
      </c>
      <c r="C4517" s="9">
        <v>45050</v>
      </c>
      <c r="D4517" t="s">
        <v>32</v>
      </c>
      <c r="E4517" s="13">
        <v>3500000</v>
      </c>
      <c r="F4517" s="13">
        <v>27750</v>
      </c>
      <c r="G4517" s="9">
        <v>45053</v>
      </c>
      <c r="H4517" t="s">
        <v>1111</v>
      </c>
      <c r="I4517" t="s">
        <v>520</v>
      </c>
      <c r="J4517" s="13">
        <v>97125</v>
      </c>
      <c r="K4517">
        <v>1</v>
      </c>
      <c r="L4517" t="s">
        <v>1064</v>
      </c>
      <c r="M4517" t="s">
        <v>5005</v>
      </c>
      <c r="N4517" s="15" t="s">
        <v>6878</v>
      </c>
    </row>
    <row r="4518" spans="1:14" x14ac:dyDescent="0.2">
      <c r="A4518" t="s">
        <v>5645</v>
      </c>
      <c r="B4518" t="s">
        <v>2360</v>
      </c>
      <c r="C4518" s="9">
        <v>45051</v>
      </c>
      <c r="D4518" t="s">
        <v>9</v>
      </c>
      <c r="E4518" s="13">
        <v>274890</v>
      </c>
      <c r="F4518" s="13">
        <v>24975</v>
      </c>
      <c r="G4518" s="9">
        <v>45062</v>
      </c>
      <c r="H4518" t="s">
        <v>1111</v>
      </c>
      <c r="I4518" t="s">
        <v>436</v>
      </c>
      <c r="J4518" s="13">
        <v>9153</v>
      </c>
      <c r="K4518">
        <v>1</v>
      </c>
      <c r="L4518" t="s">
        <v>1064</v>
      </c>
      <c r="M4518" t="s">
        <v>2364</v>
      </c>
      <c r="N4518" s="15" t="s">
        <v>6878</v>
      </c>
    </row>
    <row r="4519" spans="1:14" x14ac:dyDescent="0.2">
      <c r="A4519" t="s">
        <v>5646</v>
      </c>
      <c r="B4519" t="s">
        <v>2360</v>
      </c>
      <c r="C4519" s="9">
        <v>45051</v>
      </c>
      <c r="D4519" t="s">
        <v>9</v>
      </c>
      <c r="E4519" s="13">
        <v>413000</v>
      </c>
      <c r="F4519" s="13">
        <v>22500</v>
      </c>
      <c r="H4519" t="s">
        <v>2184</v>
      </c>
      <c r="I4519" t="s">
        <v>4659</v>
      </c>
      <c r="J4519" s="13">
        <v>0</v>
      </c>
      <c r="K4519">
        <v>1</v>
      </c>
      <c r="L4519" t="s">
        <v>1064</v>
      </c>
      <c r="M4519" t="s">
        <v>4660</v>
      </c>
      <c r="N4519" s="14" t="s">
        <v>6877</v>
      </c>
    </row>
    <row r="4520" spans="1:14" x14ac:dyDescent="0.2">
      <c r="A4520" t="s">
        <v>5647</v>
      </c>
      <c r="B4520" t="s">
        <v>2360</v>
      </c>
      <c r="C4520" s="9">
        <v>45051</v>
      </c>
      <c r="D4520" t="s">
        <v>9</v>
      </c>
      <c r="E4520" s="13">
        <v>504250</v>
      </c>
      <c r="F4520" s="13">
        <v>22500</v>
      </c>
      <c r="H4520" t="s">
        <v>1659</v>
      </c>
      <c r="I4520" t="s">
        <v>4659</v>
      </c>
      <c r="J4520" s="13">
        <v>0</v>
      </c>
      <c r="K4520">
        <v>1</v>
      </c>
      <c r="L4520" t="s">
        <v>1064</v>
      </c>
      <c r="M4520" t="s">
        <v>4660</v>
      </c>
      <c r="N4520" s="14" t="s">
        <v>6877</v>
      </c>
    </row>
    <row r="4521" spans="1:14" x14ac:dyDescent="0.2">
      <c r="A4521" t="s">
        <v>5648</v>
      </c>
      <c r="B4521" t="s">
        <v>2360</v>
      </c>
      <c r="C4521" s="9">
        <v>45051</v>
      </c>
      <c r="D4521" t="s">
        <v>9</v>
      </c>
      <c r="E4521" s="13">
        <v>347850</v>
      </c>
      <c r="F4521" s="13">
        <v>22500</v>
      </c>
      <c r="H4521" t="s">
        <v>1659</v>
      </c>
      <c r="I4521" t="s">
        <v>4659</v>
      </c>
      <c r="J4521" s="13">
        <v>0</v>
      </c>
      <c r="K4521">
        <v>1</v>
      </c>
      <c r="L4521" t="s">
        <v>1064</v>
      </c>
      <c r="M4521" t="s">
        <v>4660</v>
      </c>
      <c r="N4521" s="14" t="s">
        <v>6877</v>
      </c>
    </row>
    <row r="4522" spans="1:14" x14ac:dyDescent="0.2">
      <c r="A4522" t="s">
        <v>5649</v>
      </c>
      <c r="B4522" t="s">
        <v>2360</v>
      </c>
      <c r="C4522" s="9">
        <v>45051</v>
      </c>
      <c r="D4522" t="s">
        <v>9</v>
      </c>
      <c r="E4522" s="13">
        <v>340060</v>
      </c>
      <c r="F4522" s="13">
        <v>24975</v>
      </c>
      <c r="G4522" s="9">
        <v>45062</v>
      </c>
      <c r="H4522" t="s">
        <v>1111</v>
      </c>
      <c r="I4522" t="s">
        <v>436</v>
      </c>
      <c r="J4522" s="13">
        <v>11323</v>
      </c>
      <c r="K4522">
        <v>1</v>
      </c>
      <c r="L4522" t="s">
        <v>1064</v>
      </c>
      <c r="M4522" t="s">
        <v>2364</v>
      </c>
      <c r="N4522" s="15" t="s">
        <v>6878</v>
      </c>
    </row>
    <row r="4523" spans="1:14" x14ac:dyDescent="0.2">
      <c r="A4523" t="s">
        <v>5650</v>
      </c>
      <c r="B4523" t="s">
        <v>2360</v>
      </c>
      <c r="C4523" s="9">
        <v>45051</v>
      </c>
      <c r="D4523" t="s">
        <v>32</v>
      </c>
      <c r="E4523" s="13">
        <v>3700000</v>
      </c>
      <c r="F4523" s="13">
        <v>27750</v>
      </c>
      <c r="G4523" s="9">
        <v>45053</v>
      </c>
      <c r="H4523" t="s">
        <v>1111</v>
      </c>
      <c r="I4523" t="s">
        <v>520</v>
      </c>
      <c r="J4523" s="13">
        <v>102675</v>
      </c>
      <c r="K4523">
        <v>1</v>
      </c>
      <c r="L4523" t="s">
        <v>1064</v>
      </c>
      <c r="M4523" t="s">
        <v>5005</v>
      </c>
      <c r="N4523" s="15" t="s">
        <v>6878</v>
      </c>
    </row>
    <row r="4524" spans="1:14" x14ac:dyDescent="0.2">
      <c r="A4524" t="s">
        <v>5651</v>
      </c>
      <c r="B4524" t="s">
        <v>2360</v>
      </c>
      <c r="C4524" s="9">
        <v>45051</v>
      </c>
      <c r="D4524" t="s">
        <v>32</v>
      </c>
      <c r="E4524" s="13">
        <v>3700000</v>
      </c>
      <c r="F4524" s="13">
        <v>27750</v>
      </c>
      <c r="G4524" s="9">
        <v>45053</v>
      </c>
      <c r="H4524" t="s">
        <v>1111</v>
      </c>
      <c r="I4524" t="s">
        <v>520</v>
      </c>
      <c r="J4524" s="13">
        <v>102675</v>
      </c>
      <c r="K4524">
        <v>1</v>
      </c>
      <c r="L4524" t="s">
        <v>1064</v>
      </c>
      <c r="M4524" t="s">
        <v>5005</v>
      </c>
      <c r="N4524" s="15" t="s">
        <v>6878</v>
      </c>
    </row>
    <row r="4525" spans="1:14" x14ac:dyDescent="0.2">
      <c r="A4525" t="s">
        <v>5652</v>
      </c>
      <c r="B4525" t="s">
        <v>2360</v>
      </c>
      <c r="C4525" s="9">
        <v>45051</v>
      </c>
      <c r="D4525" t="s">
        <v>32</v>
      </c>
      <c r="E4525" s="13">
        <v>3700000</v>
      </c>
      <c r="F4525" s="13">
        <v>27750</v>
      </c>
      <c r="G4525" s="9">
        <v>45053</v>
      </c>
      <c r="H4525" t="s">
        <v>1111</v>
      </c>
      <c r="I4525" t="s">
        <v>520</v>
      </c>
      <c r="J4525" s="13">
        <v>102675</v>
      </c>
      <c r="K4525">
        <v>1</v>
      </c>
      <c r="L4525" t="s">
        <v>1064</v>
      </c>
      <c r="M4525" t="s">
        <v>5005</v>
      </c>
      <c r="N4525" s="15" t="s">
        <v>6878</v>
      </c>
    </row>
    <row r="4526" spans="1:14" x14ac:dyDescent="0.2">
      <c r="A4526" t="s">
        <v>5653</v>
      </c>
      <c r="B4526" t="s">
        <v>2360</v>
      </c>
      <c r="C4526" s="9">
        <v>45051</v>
      </c>
      <c r="D4526" t="s">
        <v>32</v>
      </c>
      <c r="E4526" s="13">
        <v>3600000</v>
      </c>
      <c r="F4526" s="13">
        <v>27750</v>
      </c>
      <c r="G4526" s="9">
        <v>45053</v>
      </c>
      <c r="H4526" t="s">
        <v>1111</v>
      </c>
      <c r="I4526" t="s">
        <v>520</v>
      </c>
      <c r="J4526" s="13">
        <v>99900</v>
      </c>
      <c r="K4526">
        <v>1</v>
      </c>
      <c r="L4526" t="s">
        <v>1064</v>
      </c>
      <c r="M4526" t="s">
        <v>5005</v>
      </c>
      <c r="N4526" s="15" t="s">
        <v>6878</v>
      </c>
    </row>
    <row r="4527" spans="1:14" x14ac:dyDescent="0.2">
      <c r="A4527" t="s">
        <v>5654</v>
      </c>
      <c r="B4527" t="s">
        <v>2360</v>
      </c>
      <c r="C4527" s="9">
        <v>45051</v>
      </c>
      <c r="D4527" t="s">
        <v>32</v>
      </c>
      <c r="E4527" s="13">
        <v>3700000</v>
      </c>
      <c r="F4527" s="13">
        <v>27750</v>
      </c>
      <c r="G4527" s="9">
        <v>45053</v>
      </c>
      <c r="H4527" t="s">
        <v>1111</v>
      </c>
      <c r="I4527" t="s">
        <v>520</v>
      </c>
      <c r="J4527" s="13">
        <v>102675</v>
      </c>
      <c r="K4527">
        <v>1</v>
      </c>
      <c r="L4527" t="s">
        <v>1064</v>
      </c>
      <c r="M4527" t="s">
        <v>5005</v>
      </c>
      <c r="N4527" s="15" t="s">
        <v>6878</v>
      </c>
    </row>
    <row r="4528" spans="1:14" x14ac:dyDescent="0.2">
      <c r="A4528" t="s">
        <v>5655</v>
      </c>
      <c r="B4528" t="s">
        <v>2360</v>
      </c>
      <c r="C4528" s="9">
        <v>45052</v>
      </c>
      <c r="D4528" t="s">
        <v>985</v>
      </c>
      <c r="E4528" s="13">
        <v>2545500</v>
      </c>
      <c r="F4528" s="13">
        <v>13875</v>
      </c>
      <c r="G4528" s="9">
        <v>45053</v>
      </c>
      <c r="H4528" t="s">
        <v>1111</v>
      </c>
      <c r="I4528" t="s">
        <v>3063</v>
      </c>
      <c r="J4528" s="13">
        <v>70637</v>
      </c>
      <c r="K4528">
        <v>1</v>
      </c>
      <c r="L4528" t="s">
        <v>1064</v>
      </c>
      <c r="M4528" t="s">
        <v>3064</v>
      </c>
      <c r="N4528" s="15" t="s">
        <v>6878</v>
      </c>
    </row>
    <row r="4529" spans="1:14" x14ac:dyDescent="0.2">
      <c r="A4529" t="s">
        <v>5656</v>
      </c>
      <c r="B4529" t="s">
        <v>2360</v>
      </c>
      <c r="C4529" s="9">
        <v>45052</v>
      </c>
      <c r="D4529" t="s">
        <v>985</v>
      </c>
      <c r="E4529" s="13">
        <v>1331000</v>
      </c>
      <c r="F4529" s="13">
        <v>13875</v>
      </c>
      <c r="G4529" s="9">
        <v>45053</v>
      </c>
      <c r="H4529" t="s">
        <v>1111</v>
      </c>
      <c r="I4529" t="s">
        <v>3063</v>
      </c>
      <c r="J4529" s="13">
        <v>36935</v>
      </c>
      <c r="K4529">
        <v>1</v>
      </c>
      <c r="L4529" t="s">
        <v>1064</v>
      </c>
      <c r="M4529" t="s">
        <v>3064</v>
      </c>
      <c r="N4529" s="15" t="s">
        <v>6878</v>
      </c>
    </row>
    <row r="4530" spans="1:14" x14ac:dyDescent="0.2">
      <c r="A4530" t="s">
        <v>5657</v>
      </c>
      <c r="B4530" t="s">
        <v>2360</v>
      </c>
      <c r="C4530" s="9">
        <v>45052</v>
      </c>
      <c r="D4530" t="s">
        <v>985</v>
      </c>
      <c r="E4530" s="13">
        <v>1400000</v>
      </c>
      <c r="F4530" s="13">
        <v>13875</v>
      </c>
      <c r="G4530" s="9">
        <v>45053</v>
      </c>
      <c r="H4530" t="s">
        <v>1111</v>
      </c>
      <c r="I4530" t="s">
        <v>3063</v>
      </c>
      <c r="J4530" s="13">
        <v>38850</v>
      </c>
      <c r="K4530">
        <v>1</v>
      </c>
      <c r="L4530" t="s">
        <v>1064</v>
      </c>
      <c r="M4530" t="s">
        <v>3064</v>
      </c>
      <c r="N4530" s="15" t="s">
        <v>6878</v>
      </c>
    </row>
    <row r="4531" spans="1:14" x14ac:dyDescent="0.2">
      <c r="A4531" t="s">
        <v>5658</v>
      </c>
      <c r="B4531" t="s">
        <v>2360</v>
      </c>
      <c r="C4531" s="9">
        <v>45052</v>
      </c>
      <c r="D4531" t="s">
        <v>985</v>
      </c>
      <c r="E4531" s="13">
        <v>2856000</v>
      </c>
      <c r="F4531" s="13">
        <v>13875</v>
      </c>
      <c r="G4531" s="9">
        <v>45080</v>
      </c>
      <c r="H4531" t="s">
        <v>1111</v>
      </c>
      <c r="I4531" t="s">
        <v>3063</v>
      </c>
      <c r="J4531" s="13">
        <v>79254</v>
      </c>
      <c r="K4531">
        <v>1</v>
      </c>
      <c r="L4531" t="s">
        <v>1064</v>
      </c>
      <c r="M4531" t="s">
        <v>3064</v>
      </c>
      <c r="N4531" s="15" t="s">
        <v>6878</v>
      </c>
    </row>
    <row r="4532" spans="1:14" x14ac:dyDescent="0.2">
      <c r="A4532" t="s">
        <v>5659</v>
      </c>
      <c r="B4532" t="s">
        <v>2360</v>
      </c>
      <c r="C4532" s="9">
        <v>45052</v>
      </c>
      <c r="D4532" t="s">
        <v>985</v>
      </c>
      <c r="E4532" s="13">
        <v>1400000</v>
      </c>
      <c r="F4532" s="13">
        <v>13875</v>
      </c>
      <c r="G4532" s="9">
        <v>45080</v>
      </c>
      <c r="H4532" t="s">
        <v>1111</v>
      </c>
      <c r="I4532" t="s">
        <v>3063</v>
      </c>
      <c r="J4532" s="13">
        <v>38850</v>
      </c>
      <c r="K4532">
        <v>1</v>
      </c>
      <c r="L4532" t="s">
        <v>1064</v>
      </c>
      <c r="M4532" t="s">
        <v>3064</v>
      </c>
      <c r="N4532" s="15" t="s">
        <v>6878</v>
      </c>
    </row>
    <row r="4533" spans="1:14" x14ac:dyDescent="0.2">
      <c r="A4533" t="s">
        <v>5660</v>
      </c>
      <c r="B4533" t="s">
        <v>2360</v>
      </c>
      <c r="C4533" s="9">
        <v>45052</v>
      </c>
      <c r="D4533" t="s">
        <v>985</v>
      </c>
      <c r="E4533" s="13">
        <v>2856000</v>
      </c>
      <c r="F4533" s="13">
        <v>13875</v>
      </c>
      <c r="G4533" s="9">
        <v>45080</v>
      </c>
      <c r="H4533" t="s">
        <v>1111</v>
      </c>
      <c r="I4533" t="s">
        <v>3063</v>
      </c>
      <c r="J4533" s="13">
        <v>79254</v>
      </c>
      <c r="K4533">
        <v>1</v>
      </c>
      <c r="L4533" t="s">
        <v>1064</v>
      </c>
      <c r="M4533" t="s">
        <v>3064</v>
      </c>
      <c r="N4533" s="15" t="s">
        <v>6878</v>
      </c>
    </row>
    <row r="4534" spans="1:14" x14ac:dyDescent="0.2">
      <c r="A4534" t="s">
        <v>5661</v>
      </c>
      <c r="B4534" t="s">
        <v>2360</v>
      </c>
      <c r="C4534" s="9">
        <v>45052</v>
      </c>
      <c r="D4534" t="s">
        <v>985</v>
      </c>
      <c r="E4534" s="13">
        <v>1400000</v>
      </c>
      <c r="F4534" s="13">
        <v>13875</v>
      </c>
      <c r="G4534" s="9">
        <v>45080</v>
      </c>
      <c r="H4534" t="s">
        <v>1111</v>
      </c>
      <c r="I4534" t="s">
        <v>3063</v>
      </c>
      <c r="J4534" s="13">
        <v>38850</v>
      </c>
      <c r="K4534">
        <v>1</v>
      </c>
      <c r="L4534" t="s">
        <v>1064</v>
      </c>
      <c r="M4534" t="s">
        <v>3064</v>
      </c>
      <c r="N4534" s="15" t="s">
        <v>6878</v>
      </c>
    </row>
    <row r="4535" spans="1:14" x14ac:dyDescent="0.2">
      <c r="A4535" t="s">
        <v>5662</v>
      </c>
      <c r="B4535" t="s">
        <v>2360</v>
      </c>
      <c r="C4535" s="9">
        <v>45052</v>
      </c>
      <c r="D4535" t="s">
        <v>985</v>
      </c>
      <c r="E4535" s="13">
        <v>2856000</v>
      </c>
      <c r="F4535" s="13">
        <v>13875</v>
      </c>
      <c r="G4535" s="9">
        <v>45080</v>
      </c>
      <c r="H4535" t="s">
        <v>1111</v>
      </c>
      <c r="I4535" t="s">
        <v>3063</v>
      </c>
      <c r="J4535" s="13">
        <v>79254</v>
      </c>
      <c r="K4535">
        <v>1</v>
      </c>
      <c r="L4535" t="s">
        <v>1064</v>
      </c>
      <c r="M4535" t="s">
        <v>3064</v>
      </c>
      <c r="N4535" s="15" t="s">
        <v>6878</v>
      </c>
    </row>
    <row r="4536" spans="1:14" x14ac:dyDescent="0.2">
      <c r="A4536" t="s">
        <v>5663</v>
      </c>
      <c r="B4536" t="s">
        <v>2360</v>
      </c>
      <c r="C4536" s="9">
        <v>45052</v>
      </c>
      <c r="D4536" t="s">
        <v>985</v>
      </c>
      <c r="E4536" s="13">
        <v>1400000</v>
      </c>
      <c r="F4536" s="13">
        <v>13875</v>
      </c>
      <c r="G4536" s="9">
        <v>45057</v>
      </c>
      <c r="H4536" t="s">
        <v>1111</v>
      </c>
      <c r="I4536" t="s">
        <v>3063</v>
      </c>
      <c r="J4536" s="13">
        <v>38850</v>
      </c>
      <c r="K4536">
        <v>1</v>
      </c>
      <c r="L4536" t="s">
        <v>1064</v>
      </c>
      <c r="M4536" t="s">
        <v>3064</v>
      </c>
      <c r="N4536" s="15" t="s">
        <v>6878</v>
      </c>
    </row>
    <row r="4537" spans="1:14" x14ac:dyDescent="0.2">
      <c r="A4537" t="s">
        <v>5664</v>
      </c>
      <c r="B4537" t="s">
        <v>2360</v>
      </c>
      <c r="C4537" s="9">
        <v>45052</v>
      </c>
      <c r="D4537" t="s">
        <v>985</v>
      </c>
      <c r="E4537" s="13">
        <v>2856000</v>
      </c>
      <c r="F4537" s="13">
        <v>13875</v>
      </c>
      <c r="G4537" s="9">
        <v>45080</v>
      </c>
      <c r="H4537" t="s">
        <v>1111</v>
      </c>
      <c r="I4537" t="s">
        <v>3063</v>
      </c>
      <c r="J4537" s="13">
        <v>79254</v>
      </c>
      <c r="K4537">
        <v>1</v>
      </c>
      <c r="L4537" t="s">
        <v>1064</v>
      </c>
      <c r="M4537" t="s">
        <v>3064</v>
      </c>
      <c r="N4537" s="15" t="s">
        <v>6878</v>
      </c>
    </row>
    <row r="4538" spans="1:14" x14ac:dyDescent="0.2">
      <c r="A4538" t="s">
        <v>5665</v>
      </c>
      <c r="B4538" t="s">
        <v>2360</v>
      </c>
      <c r="C4538" s="9">
        <v>45052</v>
      </c>
      <c r="D4538" t="s">
        <v>985</v>
      </c>
      <c r="E4538" s="13">
        <v>2856000</v>
      </c>
      <c r="F4538" s="13">
        <v>13875</v>
      </c>
      <c r="G4538" s="9">
        <v>45057</v>
      </c>
      <c r="H4538" t="s">
        <v>1111</v>
      </c>
      <c r="I4538" t="s">
        <v>3063</v>
      </c>
      <c r="J4538" s="13">
        <v>79254</v>
      </c>
      <c r="K4538">
        <v>1</v>
      </c>
      <c r="L4538" t="s">
        <v>1064</v>
      </c>
      <c r="M4538" t="s">
        <v>3064</v>
      </c>
      <c r="N4538" s="15" t="s">
        <v>6878</v>
      </c>
    </row>
    <row r="4539" spans="1:14" x14ac:dyDescent="0.2">
      <c r="A4539" t="s">
        <v>5666</v>
      </c>
      <c r="B4539" t="s">
        <v>2360</v>
      </c>
      <c r="C4539" s="9">
        <v>45052</v>
      </c>
      <c r="D4539" t="s">
        <v>985</v>
      </c>
      <c r="E4539" s="13">
        <v>1400000</v>
      </c>
      <c r="F4539" s="13">
        <v>13875</v>
      </c>
      <c r="G4539" s="9">
        <v>45057</v>
      </c>
      <c r="H4539" t="s">
        <v>1111</v>
      </c>
      <c r="I4539" t="s">
        <v>3063</v>
      </c>
      <c r="J4539" s="13">
        <v>38850</v>
      </c>
      <c r="K4539">
        <v>1</v>
      </c>
      <c r="L4539" t="s">
        <v>1064</v>
      </c>
      <c r="M4539" t="s">
        <v>3064</v>
      </c>
      <c r="N4539" s="15" t="s">
        <v>6878</v>
      </c>
    </row>
    <row r="4540" spans="1:14" x14ac:dyDescent="0.2">
      <c r="A4540" t="s">
        <v>5667</v>
      </c>
      <c r="B4540" t="s">
        <v>2360</v>
      </c>
      <c r="C4540" s="9">
        <v>45052</v>
      </c>
      <c r="D4540" t="s">
        <v>985</v>
      </c>
      <c r="E4540" s="13">
        <v>2856000</v>
      </c>
      <c r="F4540" s="13">
        <v>13875</v>
      </c>
      <c r="G4540" s="9">
        <v>45057</v>
      </c>
      <c r="H4540" t="s">
        <v>1111</v>
      </c>
      <c r="I4540" t="s">
        <v>3063</v>
      </c>
      <c r="J4540" s="13">
        <v>79254</v>
      </c>
      <c r="K4540">
        <v>1</v>
      </c>
      <c r="L4540" t="s">
        <v>1064</v>
      </c>
      <c r="M4540" t="s">
        <v>3064</v>
      </c>
      <c r="N4540" s="15" t="s">
        <v>6878</v>
      </c>
    </row>
    <row r="4541" spans="1:14" x14ac:dyDescent="0.2">
      <c r="A4541" t="s">
        <v>5668</v>
      </c>
      <c r="B4541" t="s">
        <v>2360</v>
      </c>
      <c r="C4541" s="9">
        <v>45052</v>
      </c>
      <c r="D4541" t="s">
        <v>985</v>
      </c>
      <c r="E4541" s="13">
        <v>1400000</v>
      </c>
      <c r="F4541" s="13">
        <v>13875</v>
      </c>
      <c r="G4541" s="9">
        <v>45057</v>
      </c>
      <c r="H4541" t="s">
        <v>1111</v>
      </c>
      <c r="I4541" t="s">
        <v>3063</v>
      </c>
      <c r="J4541" s="13">
        <v>38850</v>
      </c>
      <c r="K4541">
        <v>1</v>
      </c>
      <c r="L4541" t="s">
        <v>1064</v>
      </c>
      <c r="M4541" t="s">
        <v>3064</v>
      </c>
      <c r="N4541" s="15" t="s">
        <v>6878</v>
      </c>
    </row>
    <row r="4542" spans="1:14" x14ac:dyDescent="0.2">
      <c r="A4542" t="s">
        <v>5669</v>
      </c>
      <c r="B4542" t="s">
        <v>2360</v>
      </c>
      <c r="C4542" s="9">
        <v>45052</v>
      </c>
      <c r="D4542" t="s">
        <v>985</v>
      </c>
      <c r="E4542" s="13">
        <v>2856000</v>
      </c>
      <c r="F4542" s="13">
        <v>13875</v>
      </c>
      <c r="G4542" s="9">
        <v>45057</v>
      </c>
      <c r="H4542" t="s">
        <v>1111</v>
      </c>
      <c r="I4542" t="s">
        <v>3063</v>
      </c>
      <c r="J4542" s="13">
        <v>79254</v>
      </c>
      <c r="K4542">
        <v>1</v>
      </c>
      <c r="L4542" t="s">
        <v>1064</v>
      </c>
      <c r="M4542" t="s">
        <v>3064</v>
      </c>
      <c r="N4542" s="15" t="s">
        <v>6878</v>
      </c>
    </row>
    <row r="4543" spans="1:14" x14ac:dyDescent="0.2">
      <c r="A4543" t="s">
        <v>5670</v>
      </c>
      <c r="B4543" t="s">
        <v>2360</v>
      </c>
      <c r="C4543" s="9">
        <v>45052</v>
      </c>
      <c r="D4543" t="s">
        <v>985</v>
      </c>
      <c r="E4543" s="13">
        <v>1400000</v>
      </c>
      <c r="F4543" s="13">
        <v>13875</v>
      </c>
      <c r="G4543" s="9">
        <v>45057</v>
      </c>
      <c r="H4543" t="s">
        <v>1111</v>
      </c>
      <c r="I4543" t="s">
        <v>3063</v>
      </c>
      <c r="J4543" s="13">
        <v>38850</v>
      </c>
      <c r="K4543">
        <v>1</v>
      </c>
      <c r="L4543" t="s">
        <v>1064</v>
      </c>
      <c r="M4543" t="s">
        <v>3064</v>
      </c>
      <c r="N4543" s="15" t="s">
        <v>6878</v>
      </c>
    </row>
    <row r="4544" spans="1:14" x14ac:dyDescent="0.2">
      <c r="A4544" t="s">
        <v>5671</v>
      </c>
      <c r="B4544" t="s">
        <v>2360</v>
      </c>
      <c r="C4544" s="9">
        <v>45052</v>
      </c>
      <c r="D4544" t="s">
        <v>985</v>
      </c>
      <c r="E4544" s="13">
        <v>2856000</v>
      </c>
      <c r="F4544" s="13">
        <v>13875</v>
      </c>
      <c r="G4544" s="9">
        <v>45057</v>
      </c>
      <c r="H4544" t="s">
        <v>1111</v>
      </c>
      <c r="I4544" t="s">
        <v>3063</v>
      </c>
      <c r="J4544" s="13">
        <v>79254</v>
      </c>
      <c r="K4544">
        <v>1</v>
      </c>
      <c r="L4544" t="s">
        <v>1064</v>
      </c>
      <c r="M4544" t="s">
        <v>3064</v>
      </c>
      <c r="N4544" s="15" t="s">
        <v>6878</v>
      </c>
    </row>
    <row r="4545" spans="1:14" x14ac:dyDescent="0.2">
      <c r="A4545" t="s">
        <v>5672</v>
      </c>
      <c r="B4545" t="s">
        <v>2360</v>
      </c>
      <c r="C4545" s="9">
        <v>45052</v>
      </c>
      <c r="D4545" t="s">
        <v>985</v>
      </c>
      <c r="E4545" s="13">
        <v>1400000</v>
      </c>
      <c r="F4545" s="13">
        <v>13875</v>
      </c>
      <c r="G4545" s="9">
        <v>45057</v>
      </c>
      <c r="H4545" t="s">
        <v>1111</v>
      </c>
      <c r="I4545" t="s">
        <v>3063</v>
      </c>
      <c r="J4545" s="13">
        <v>38850</v>
      </c>
      <c r="K4545">
        <v>1</v>
      </c>
      <c r="L4545" t="s">
        <v>1064</v>
      </c>
      <c r="M4545" t="s">
        <v>3064</v>
      </c>
      <c r="N4545" s="15" t="s">
        <v>6878</v>
      </c>
    </row>
    <row r="4546" spans="1:14" x14ac:dyDescent="0.2">
      <c r="A4546" t="s">
        <v>5673</v>
      </c>
      <c r="B4546" t="s">
        <v>2360</v>
      </c>
      <c r="C4546" s="9">
        <v>45052</v>
      </c>
      <c r="D4546" t="s">
        <v>985</v>
      </c>
      <c r="E4546" s="13">
        <v>2856000</v>
      </c>
      <c r="F4546" s="13">
        <v>13875</v>
      </c>
      <c r="G4546" s="9">
        <v>45057</v>
      </c>
      <c r="H4546" t="s">
        <v>1111</v>
      </c>
      <c r="I4546" t="s">
        <v>3063</v>
      </c>
      <c r="J4546" s="13">
        <v>79254</v>
      </c>
      <c r="K4546">
        <v>1</v>
      </c>
      <c r="L4546" t="s">
        <v>1064</v>
      </c>
      <c r="M4546" t="s">
        <v>3064</v>
      </c>
      <c r="N4546" s="15" t="s">
        <v>6878</v>
      </c>
    </row>
    <row r="4547" spans="1:14" x14ac:dyDescent="0.2">
      <c r="A4547" t="s">
        <v>5674</v>
      </c>
      <c r="B4547" t="s">
        <v>2360</v>
      </c>
      <c r="C4547" s="9">
        <v>45052</v>
      </c>
      <c r="D4547" t="s">
        <v>985</v>
      </c>
      <c r="E4547" s="13">
        <v>1400000</v>
      </c>
      <c r="F4547" s="13">
        <v>13875</v>
      </c>
      <c r="G4547" s="9">
        <v>45057</v>
      </c>
      <c r="H4547" t="s">
        <v>1111</v>
      </c>
      <c r="I4547" t="s">
        <v>3063</v>
      </c>
      <c r="J4547" s="13">
        <v>38850</v>
      </c>
      <c r="K4547">
        <v>1</v>
      </c>
      <c r="L4547" t="s">
        <v>1064</v>
      </c>
      <c r="M4547" t="s">
        <v>3064</v>
      </c>
      <c r="N4547" s="15" t="s">
        <v>6878</v>
      </c>
    </row>
    <row r="4548" spans="1:14" x14ac:dyDescent="0.2">
      <c r="A4548" t="s">
        <v>5675</v>
      </c>
      <c r="B4548" t="s">
        <v>2360</v>
      </c>
      <c r="C4548" s="9">
        <v>45052</v>
      </c>
      <c r="D4548" t="s">
        <v>985</v>
      </c>
      <c r="E4548" s="13">
        <v>4097000</v>
      </c>
      <c r="F4548" s="13">
        <v>13875</v>
      </c>
      <c r="G4548" s="9">
        <v>45053</v>
      </c>
      <c r="H4548" t="s">
        <v>1111</v>
      </c>
      <c r="I4548" t="s">
        <v>3063</v>
      </c>
      <c r="J4548" s="13">
        <v>113691</v>
      </c>
      <c r="K4548">
        <v>1</v>
      </c>
      <c r="L4548" t="s">
        <v>1064</v>
      </c>
      <c r="M4548" t="s">
        <v>3064</v>
      </c>
      <c r="N4548" s="15" t="s">
        <v>6878</v>
      </c>
    </row>
    <row r="4549" spans="1:14" x14ac:dyDescent="0.2">
      <c r="A4549" t="s">
        <v>5676</v>
      </c>
      <c r="B4549" t="s">
        <v>2360</v>
      </c>
      <c r="C4549" s="9">
        <v>45052</v>
      </c>
      <c r="D4549" t="s">
        <v>985</v>
      </c>
      <c r="E4549" s="13">
        <v>4097000</v>
      </c>
      <c r="F4549" s="13">
        <v>13875</v>
      </c>
      <c r="G4549" s="9">
        <v>45053</v>
      </c>
      <c r="H4549" t="s">
        <v>1111</v>
      </c>
      <c r="I4549" t="s">
        <v>3063</v>
      </c>
      <c r="J4549" s="13">
        <v>113691</v>
      </c>
      <c r="K4549">
        <v>1</v>
      </c>
      <c r="L4549" t="s">
        <v>1064</v>
      </c>
      <c r="M4549" t="s">
        <v>3064</v>
      </c>
      <c r="N4549" s="15" t="s">
        <v>6878</v>
      </c>
    </row>
    <row r="4550" spans="1:14" x14ac:dyDescent="0.2">
      <c r="A4550" t="s">
        <v>5677</v>
      </c>
      <c r="B4550" t="s">
        <v>2360</v>
      </c>
      <c r="C4550" s="9">
        <v>45052</v>
      </c>
      <c r="D4550" t="s">
        <v>985</v>
      </c>
      <c r="E4550" s="13">
        <v>2545500</v>
      </c>
      <c r="F4550" s="13">
        <v>13875</v>
      </c>
      <c r="G4550" s="9">
        <v>45057</v>
      </c>
      <c r="H4550" t="s">
        <v>1111</v>
      </c>
      <c r="I4550" t="s">
        <v>3063</v>
      </c>
      <c r="J4550" s="13">
        <v>70637</v>
      </c>
      <c r="K4550">
        <v>1</v>
      </c>
      <c r="L4550" t="s">
        <v>1064</v>
      </c>
      <c r="M4550" t="s">
        <v>3064</v>
      </c>
      <c r="N4550" s="15" t="s">
        <v>6878</v>
      </c>
    </row>
    <row r="4551" spans="1:14" x14ac:dyDescent="0.2">
      <c r="A4551" t="s">
        <v>5678</v>
      </c>
      <c r="B4551" t="s">
        <v>2360</v>
      </c>
      <c r="C4551" s="9">
        <v>45052</v>
      </c>
      <c r="D4551" t="s">
        <v>972</v>
      </c>
      <c r="E4551" s="13">
        <v>7615000</v>
      </c>
      <c r="F4551" s="13">
        <v>22200</v>
      </c>
      <c r="G4551" s="9">
        <v>45053</v>
      </c>
      <c r="H4551" t="s">
        <v>1111</v>
      </c>
      <c r="I4551" t="s">
        <v>4620</v>
      </c>
      <c r="J4551" s="13">
        <v>228221</v>
      </c>
      <c r="K4551">
        <v>1</v>
      </c>
      <c r="L4551" t="s">
        <v>1064</v>
      </c>
      <c r="M4551" t="s">
        <v>4621</v>
      </c>
      <c r="N4551" s="15" t="s">
        <v>6878</v>
      </c>
    </row>
    <row r="4552" spans="1:14" x14ac:dyDescent="0.2">
      <c r="A4552" t="s">
        <v>5679</v>
      </c>
      <c r="B4552" t="s">
        <v>2360</v>
      </c>
      <c r="C4552" s="9">
        <v>45052</v>
      </c>
      <c r="D4552" t="s">
        <v>972</v>
      </c>
      <c r="E4552" s="13">
        <v>7615000</v>
      </c>
      <c r="F4552" s="13">
        <v>22200</v>
      </c>
      <c r="G4552" s="9">
        <v>45053</v>
      </c>
      <c r="H4552" t="s">
        <v>1111</v>
      </c>
      <c r="I4552" t="s">
        <v>4620</v>
      </c>
      <c r="J4552" s="13">
        <v>228221</v>
      </c>
      <c r="K4552">
        <v>1</v>
      </c>
      <c r="L4552" t="s">
        <v>1064</v>
      </c>
      <c r="M4552" t="s">
        <v>4621</v>
      </c>
      <c r="N4552" s="15" t="s">
        <v>6878</v>
      </c>
    </row>
    <row r="4553" spans="1:14" x14ac:dyDescent="0.2">
      <c r="A4553" t="s">
        <v>5680</v>
      </c>
      <c r="B4553" t="s">
        <v>2360</v>
      </c>
      <c r="C4553" s="9">
        <v>45052</v>
      </c>
      <c r="D4553" t="s">
        <v>972</v>
      </c>
      <c r="E4553" s="13">
        <v>7615000</v>
      </c>
      <c r="F4553" s="13">
        <v>22200</v>
      </c>
      <c r="G4553" s="9">
        <v>45053</v>
      </c>
      <c r="H4553" t="s">
        <v>1111</v>
      </c>
      <c r="I4553" t="s">
        <v>4620</v>
      </c>
      <c r="J4553" s="13">
        <v>228221</v>
      </c>
      <c r="K4553">
        <v>1</v>
      </c>
      <c r="L4553" t="s">
        <v>1064</v>
      </c>
      <c r="M4553" t="s">
        <v>4621</v>
      </c>
      <c r="N4553" s="15" t="s">
        <v>6878</v>
      </c>
    </row>
    <row r="4554" spans="1:14" x14ac:dyDescent="0.2">
      <c r="A4554" t="s">
        <v>5681</v>
      </c>
      <c r="B4554" t="s">
        <v>2360</v>
      </c>
      <c r="C4554" s="9">
        <v>45052</v>
      </c>
      <c r="D4554" t="s">
        <v>972</v>
      </c>
      <c r="E4554" s="13">
        <v>7615000</v>
      </c>
      <c r="F4554" s="13">
        <v>22200</v>
      </c>
      <c r="G4554" s="9">
        <v>45053</v>
      </c>
      <c r="H4554" t="s">
        <v>1111</v>
      </c>
      <c r="I4554" t="s">
        <v>4620</v>
      </c>
      <c r="J4554" s="13">
        <v>228221</v>
      </c>
      <c r="K4554">
        <v>1</v>
      </c>
      <c r="L4554" t="s">
        <v>1064</v>
      </c>
      <c r="M4554" t="s">
        <v>4621</v>
      </c>
      <c r="N4554" s="15" t="s">
        <v>6878</v>
      </c>
    </row>
    <row r="4555" spans="1:14" x14ac:dyDescent="0.2">
      <c r="A4555" t="s">
        <v>5682</v>
      </c>
      <c r="B4555" t="s">
        <v>2360</v>
      </c>
      <c r="C4555" s="9">
        <v>45052</v>
      </c>
      <c r="D4555" t="s">
        <v>972</v>
      </c>
      <c r="E4555" s="13">
        <v>7615000</v>
      </c>
      <c r="F4555" s="13">
        <v>22200</v>
      </c>
      <c r="G4555" s="9">
        <v>45053</v>
      </c>
      <c r="H4555" t="s">
        <v>1111</v>
      </c>
      <c r="I4555" t="s">
        <v>4620</v>
      </c>
      <c r="J4555" s="13">
        <v>228221</v>
      </c>
      <c r="K4555">
        <v>1</v>
      </c>
      <c r="L4555" t="s">
        <v>1064</v>
      </c>
      <c r="M4555" t="s">
        <v>4621</v>
      </c>
      <c r="N4555" s="15" t="s">
        <v>6878</v>
      </c>
    </row>
    <row r="4556" spans="1:14" x14ac:dyDescent="0.2">
      <c r="A4556" t="s">
        <v>5683</v>
      </c>
      <c r="B4556" t="s">
        <v>2360</v>
      </c>
      <c r="C4556" s="9">
        <v>45052</v>
      </c>
      <c r="D4556" t="s">
        <v>972</v>
      </c>
      <c r="E4556" s="13">
        <v>7615000</v>
      </c>
      <c r="F4556" s="13">
        <v>22200</v>
      </c>
      <c r="G4556" s="9">
        <v>45053</v>
      </c>
      <c r="H4556" t="s">
        <v>1111</v>
      </c>
      <c r="I4556" t="s">
        <v>4620</v>
      </c>
      <c r="J4556" s="13">
        <v>228221</v>
      </c>
      <c r="K4556">
        <v>1</v>
      </c>
      <c r="L4556" t="s">
        <v>1064</v>
      </c>
      <c r="M4556" t="s">
        <v>4621</v>
      </c>
      <c r="N4556" s="15" t="s">
        <v>6878</v>
      </c>
    </row>
    <row r="4557" spans="1:14" x14ac:dyDescent="0.2">
      <c r="A4557" t="s">
        <v>5684</v>
      </c>
      <c r="B4557" t="s">
        <v>2360</v>
      </c>
      <c r="C4557" s="9">
        <v>45052</v>
      </c>
      <c r="D4557" t="s">
        <v>972</v>
      </c>
      <c r="E4557" s="13">
        <v>7615000</v>
      </c>
      <c r="F4557" s="13">
        <v>22200</v>
      </c>
      <c r="G4557" s="9">
        <v>45053</v>
      </c>
      <c r="H4557" t="s">
        <v>1111</v>
      </c>
      <c r="I4557" t="s">
        <v>4620</v>
      </c>
      <c r="J4557" s="13">
        <v>228221</v>
      </c>
      <c r="K4557">
        <v>1</v>
      </c>
      <c r="L4557" t="s">
        <v>1064</v>
      </c>
      <c r="M4557" t="s">
        <v>4621</v>
      </c>
      <c r="N4557" s="15" t="s">
        <v>6878</v>
      </c>
    </row>
    <row r="4558" spans="1:14" x14ac:dyDescent="0.2">
      <c r="A4558" t="s">
        <v>5685</v>
      </c>
      <c r="B4558" t="s">
        <v>2360</v>
      </c>
      <c r="C4558" s="9">
        <v>45052</v>
      </c>
      <c r="D4558" t="s">
        <v>972</v>
      </c>
      <c r="E4558" s="13">
        <v>7615000</v>
      </c>
      <c r="F4558" s="13">
        <v>22200</v>
      </c>
      <c r="G4558" s="9">
        <v>45053</v>
      </c>
      <c r="H4558" t="s">
        <v>1111</v>
      </c>
      <c r="I4558" t="s">
        <v>4620</v>
      </c>
      <c r="J4558" s="13">
        <v>228221</v>
      </c>
      <c r="K4558">
        <v>1</v>
      </c>
      <c r="L4558" t="s">
        <v>1064</v>
      </c>
      <c r="M4558" t="s">
        <v>4621</v>
      </c>
      <c r="N4558" s="15" t="s">
        <v>6878</v>
      </c>
    </row>
    <row r="4559" spans="1:14" x14ac:dyDescent="0.2">
      <c r="A4559" t="s">
        <v>5686</v>
      </c>
      <c r="B4559" t="s">
        <v>2360</v>
      </c>
      <c r="C4559" s="9">
        <v>45052</v>
      </c>
      <c r="D4559" t="s">
        <v>972</v>
      </c>
      <c r="E4559" s="13">
        <v>1</v>
      </c>
      <c r="F4559" s="13">
        <v>20000</v>
      </c>
      <c r="H4559" t="s">
        <v>2184</v>
      </c>
      <c r="I4559" t="s">
        <v>4620</v>
      </c>
      <c r="J4559" s="13">
        <v>0</v>
      </c>
      <c r="K4559">
        <v>1</v>
      </c>
      <c r="L4559" t="s">
        <v>1064</v>
      </c>
      <c r="M4559" t="s">
        <v>4621</v>
      </c>
      <c r="N4559" s="14" t="s">
        <v>6877</v>
      </c>
    </row>
    <row r="4560" spans="1:14" x14ac:dyDescent="0.2">
      <c r="A4560" t="s">
        <v>5687</v>
      </c>
      <c r="B4560" t="s">
        <v>2360</v>
      </c>
      <c r="C4560" s="9">
        <v>45052</v>
      </c>
      <c r="D4560" t="s">
        <v>972</v>
      </c>
      <c r="E4560" s="13">
        <v>7615000</v>
      </c>
      <c r="F4560" s="13">
        <v>22200</v>
      </c>
      <c r="G4560" s="9">
        <v>45053</v>
      </c>
      <c r="H4560" t="s">
        <v>1111</v>
      </c>
      <c r="I4560" t="s">
        <v>4620</v>
      </c>
      <c r="J4560" s="13">
        <v>228221</v>
      </c>
      <c r="K4560">
        <v>1</v>
      </c>
      <c r="L4560" t="s">
        <v>1064</v>
      </c>
      <c r="M4560" t="s">
        <v>4621</v>
      </c>
      <c r="N4560" s="15" t="s">
        <v>6878</v>
      </c>
    </row>
    <row r="4561" spans="1:14" x14ac:dyDescent="0.2">
      <c r="A4561" t="s">
        <v>5688</v>
      </c>
      <c r="B4561" t="s">
        <v>2360</v>
      </c>
      <c r="C4561" s="9">
        <v>45052</v>
      </c>
      <c r="D4561" t="s">
        <v>972</v>
      </c>
      <c r="E4561" s="13">
        <v>7615000</v>
      </c>
      <c r="F4561" s="13">
        <v>22200</v>
      </c>
      <c r="G4561" s="9">
        <v>45053</v>
      </c>
      <c r="H4561" t="s">
        <v>1111</v>
      </c>
      <c r="I4561" t="s">
        <v>4620</v>
      </c>
      <c r="J4561" s="13">
        <v>228221</v>
      </c>
      <c r="K4561">
        <v>1</v>
      </c>
      <c r="L4561" t="s">
        <v>1064</v>
      </c>
      <c r="M4561" t="s">
        <v>4621</v>
      </c>
      <c r="N4561" s="15" t="s">
        <v>6878</v>
      </c>
    </row>
    <row r="4562" spans="1:14" x14ac:dyDescent="0.2">
      <c r="A4562" t="s">
        <v>5689</v>
      </c>
      <c r="B4562" t="s">
        <v>2360</v>
      </c>
      <c r="C4562" s="9">
        <v>45052</v>
      </c>
      <c r="D4562" t="s">
        <v>972</v>
      </c>
      <c r="E4562" s="13">
        <v>7615000</v>
      </c>
      <c r="F4562" s="13">
        <v>22200</v>
      </c>
      <c r="G4562" s="9">
        <v>45053</v>
      </c>
      <c r="H4562" t="s">
        <v>1111</v>
      </c>
      <c r="I4562" t="s">
        <v>4620</v>
      </c>
      <c r="J4562" s="13">
        <v>228221</v>
      </c>
      <c r="K4562">
        <v>1</v>
      </c>
      <c r="L4562" t="s">
        <v>1064</v>
      </c>
      <c r="M4562" t="s">
        <v>4621</v>
      </c>
      <c r="N4562" s="15" t="s">
        <v>6878</v>
      </c>
    </row>
    <row r="4563" spans="1:14" x14ac:dyDescent="0.2">
      <c r="A4563" t="s">
        <v>5690</v>
      </c>
      <c r="B4563" t="s">
        <v>2360</v>
      </c>
      <c r="C4563" s="9">
        <v>45052</v>
      </c>
      <c r="D4563" t="s">
        <v>972</v>
      </c>
      <c r="E4563" s="13">
        <v>7615000</v>
      </c>
      <c r="F4563" s="13">
        <v>22200</v>
      </c>
      <c r="G4563" s="9">
        <v>45053</v>
      </c>
      <c r="H4563" t="s">
        <v>1111</v>
      </c>
      <c r="I4563" t="s">
        <v>4620</v>
      </c>
      <c r="J4563" s="13">
        <v>228221</v>
      </c>
      <c r="K4563">
        <v>1</v>
      </c>
      <c r="L4563" t="s">
        <v>1064</v>
      </c>
      <c r="M4563" t="s">
        <v>4621</v>
      </c>
      <c r="N4563" s="15" t="s">
        <v>6878</v>
      </c>
    </row>
    <row r="4564" spans="1:14" x14ac:dyDescent="0.2">
      <c r="A4564" t="s">
        <v>5691</v>
      </c>
      <c r="B4564" t="s">
        <v>2360</v>
      </c>
      <c r="C4564" s="9">
        <v>45052</v>
      </c>
      <c r="D4564" t="s">
        <v>972</v>
      </c>
      <c r="E4564" s="13">
        <v>7615000</v>
      </c>
      <c r="F4564" s="13">
        <v>22200</v>
      </c>
      <c r="G4564" s="9">
        <v>45053</v>
      </c>
      <c r="H4564" t="s">
        <v>1111</v>
      </c>
      <c r="I4564" t="s">
        <v>4620</v>
      </c>
      <c r="J4564" s="13">
        <v>228221</v>
      </c>
      <c r="K4564">
        <v>1</v>
      </c>
      <c r="L4564" t="s">
        <v>1064</v>
      </c>
      <c r="M4564" t="s">
        <v>4621</v>
      </c>
      <c r="N4564" s="15" t="s">
        <v>6878</v>
      </c>
    </row>
    <row r="4565" spans="1:14" x14ac:dyDescent="0.2">
      <c r="A4565" t="s">
        <v>5692</v>
      </c>
      <c r="B4565" t="s">
        <v>2360</v>
      </c>
      <c r="C4565" s="9">
        <v>45052</v>
      </c>
      <c r="D4565" t="s">
        <v>972</v>
      </c>
      <c r="E4565" s="13">
        <v>7615000</v>
      </c>
      <c r="F4565" s="13">
        <v>22200</v>
      </c>
      <c r="G4565" s="9">
        <v>45053</v>
      </c>
      <c r="H4565" t="s">
        <v>1111</v>
      </c>
      <c r="I4565" t="s">
        <v>4620</v>
      </c>
      <c r="J4565" s="13">
        <v>228221</v>
      </c>
      <c r="K4565">
        <v>1</v>
      </c>
      <c r="L4565" t="s">
        <v>1064</v>
      </c>
      <c r="M4565" t="s">
        <v>4621</v>
      </c>
      <c r="N4565" s="15" t="s">
        <v>6878</v>
      </c>
    </row>
    <row r="4566" spans="1:14" x14ac:dyDescent="0.2">
      <c r="A4566" t="s">
        <v>5693</v>
      </c>
      <c r="B4566" t="s">
        <v>2360</v>
      </c>
      <c r="C4566" s="9">
        <v>45052</v>
      </c>
      <c r="D4566" t="s">
        <v>979</v>
      </c>
      <c r="E4566" s="13">
        <v>37185000</v>
      </c>
      <c r="F4566" s="13">
        <v>27750</v>
      </c>
      <c r="G4566" s="9">
        <v>45053</v>
      </c>
      <c r="H4566" t="s">
        <v>1111</v>
      </c>
      <c r="I4566" t="s">
        <v>4368</v>
      </c>
      <c r="J4566" s="13">
        <v>1651014</v>
      </c>
      <c r="K4566">
        <v>1</v>
      </c>
      <c r="L4566" t="s">
        <v>1064</v>
      </c>
      <c r="M4566" t="s">
        <v>4369</v>
      </c>
      <c r="N4566" s="15" t="s">
        <v>6878</v>
      </c>
    </row>
    <row r="4567" spans="1:14" x14ac:dyDescent="0.2">
      <c r="A4567" t="s">
        <v>5694</v>
      </c>
      <c r="B4567" t="s">
        <v>2360</v>
      </c>
      <c r="C4567" s="9">
        <v>45052</v>
      </c>
      <c r="D4567" t="s">
        <v>979</v>
      </c>
      <c r="E4567" s="13">
        <v>37185000</v>
      </c>
      <c r="F4567" s="13">
        <v>27750</v>
      </c>
      <c r="G4567" s="9">
        <v>45053</v>
      </c>
      <c r="H4567" t="s">
        <v>1111</v>
      </c>
      <c r="I4567" t="s">
        <v>4368</v>
      </c>
      <c r="J4567" s="13">
        <v>1651014</v>
      </c>
      <c r="K4567">
        <v>1</v>
      </c>
      <c r="L4567" t="s">
        <v>1064</v>
      </c>
      <c r="M4567" t="s">
        <v>4369</v>
      </c>
      <c r="N4567" s="15" t="s">
        <v>6878</v>
      </c>
    </row>
    <row r="4568" spans="1:14" x14ac:dyDescent="0.2">
      <c r="A4568" t="s">
        <v>5695</v>
      </c>
      <c r="B4568" t="s">
        <v>2360</v>
      </c>
      <c r="C4568" s="9">
        <v>45052</v>
      </c>
      <c r="D4568" t="s">
        <v>979</v>
      </c>
      <c r="E4568" s="13">
        <v>41070000</v>
      </c>
      <c r="F4568" s="13">
        <v>27750</v>
      </c>
      <c r="G4568" s="9">
        <v>45053</v>
      </c>
      <c r="H4568" t="s">
        <v>1111</v>
      </c>
      <c r="I4568" t="s">
        <v>4368</v>
      </c>
      <c r="J4568" s="13">
        <v>1823508</v>
      </c>
      <c r="K4568">
        <v>1</v>
      </c>
      <c r="L4568" t="s">
        <v>1064</v>
      </c>
      <c r="M4568" t="s">
        <v>4369</v>
      </c>
      <c r="N4568" s="15" t="s">
        <v>6878</v>
      </c>
    </row>
    <row r="4569" spans="1:14" x14ac:dyDescent="0.2">
      <c r="A4569" t="s">
        <v>5696</v>
      </c>
      <c r="B4569" t="s">
        <v>2360</v>
      </c>
      <c r="C4569" s="9">
        <v>45052</v>
      </c>
      <c r="D4569" t="s">
        <v>979</v>
      </c>
      <c r="E4569" s="13">
        <v>41070000</v>
      </c>
      <c r="F4569" s="13">
        <v>27750</v>
      </c>
      <c r="G4569" s="9">
        <v>45053</v>
      </c>
      <c r="H4569" t="s">
        <v>1111</v>
      </c>
      <c r="I4569" t="s">
        <v>4368</v>
      </c>
      <c r="J4569" s="13">
        <v>1823508</v>
      </c>
      <c r="K4569">
        <v>1</v>
      </c>
      <c r="L4569" t="s">
        <v>1064</v>
      </c>
      <c r="M4569" t="s">
        <v>4369</v>
      </c>
      <c r="N4569" s="15" t="s">
        <v>6878</v>
      </c>
    </row>
    <row r="4570" spans="1:14" x14ac:dyDescent="0.2">
      <c r="A4570" t="s">
        <v>5697</v>
      </c>
      <c r="B4570" t="s">
        <v>2360</v>
      </c>
      <c r="C4570" s="9">
        <v>45052</v>
      </c>
      <c r="D4570" t="s">
        <v>979</v>
      </c>
      <c r="E4570" s="13">
        <v>37185000</v>
      </c>
      <c r="F4570" s="13">
        <v>27750</v>
      </c>
      <c r="G4570" s="9">
        <v>45053</v>
      </c>
      <c r="H4570" t="s">
        <v>1111</v>
      </c>
      <c r="I4570" t="s">
        <v>4368</v>
      </c>
      <c r="J4570" s="13">
        <v>1651014</v>
      </c>
      <c r="K4570">
        <v>1</v>
      </c>
      <c r="L4570" t="s">
        <v>1064</v>
      </c>
      <c r="M4570" t="s">
        <v>4369</v>
      </c>
      <c r="N4570" s="15" t="s">
        <v>6878</v>
      </c>
    </row>
    <row r="4571" spans="1:14" x14ac:dyDescent="0.2">
      <c r="A4571" t="s">
        <v>5698</v>
      </c>
      <c r="B4571" t="s">
        <v>2360</v>
      </c>
      <c r="C4571" s="9">
        <v>45052</v>
      </c>
      <c r="D4571" t="s">
        <v>979</v>
      </c>
      <c r="E4571" s="13">
        <v>37185000</v>
      </c>
      <c r="F4571" s="13">
        <v>27750</v>
      </c>
      <c r="G4571" s="9">
        <v>45053</v>
      </c>
      <c r="H4571" t="s">
        <v>1111</v>
      </c>
      <c r="I4571" t="s">
        <v>4368</v>
      </c>
      <c r="J4571" s="13">
        <v>1651014</v>
      </c>
      <c r="K4571">
        <v>1</v>
      </c>
      <c r="L4571" t="s">
        <v>1064</v>
      </c>
      <c r="M4571" t="s">
        <v>4369</v>
      </c>
      <c r="N4571" s="15" t="s">
        <v>6878</v>
      </c>
    </row>
    <row r="4572" spans="1:14" x14ac:dyDescent="0.2">
      <c r="A4572" t="s">
        <v>5699</v>
      </c>
      <c r="B4572" t="s">
        <v>2360</v>
      </c>
      <c r="C4572" s="9">
        <v>45052</v>
      </c>
      <c r="D4572" t="s">
        <v>985</v>
      </c>
      <c r="E4572" s="13">
        <v>2545500</v>
      </c>
      <c r="F4572" s="13">
        <v>13875</v>
      </c>
      <c r="G4572" s="9">
        <v>45053</v>
      </c>
      <c r="H4572" t="s">
        <v>1111</v>
      </c>
      <c r="I4572" t="s">
        <v>3063</v>
      </c>
      <c r="J4572" s="13">
        <v>70637</v>
      </c>
      <c r="K4572">
        <v>1</v>
      </c>
      <c r="L4572" t="s">
        <v>1064</v>
      </c>
      <c r="M4572" t="s">
        <v>3064</v>
      </c>
      <c r="N4572" s="15" t="s">
        <v>6878</v>
      </c>
    </row>
    <row r="4573" spans="1:14" x14ac:dyDescent="0.2">
      <c r="A4573" t="s">
        <v>5700</v>
      </c>
      <c r="B4573" t="s">
        <v>2360</v>
      </c>
      <c r="C4573" s="9">
        <v>45052</v>
      </c>
      <c r="D4573" t="s">
        <v>979</v>
      </c>
      <c r="E4573" s="13">
        <v>41070000</v>
      </c>
      <c r="F4573" s="13">
        <v>27750</v>
      </c>
      <c r="G4573" s="9">
        <v>45053</v>
      </c>
      <c r="H4573" t="s">
        <v>1111</v>
      </c>
      <c r="I4573" t="s">
        <v>4368</v>
      </c>
      <c r="J4573" s="13">
        <v>1823508</v>
      </c>
      <c r="K4573">
        <v>1</v>
      </c>
      <c r="L4573" t="s">
        <v>1064</v>
      </c>
      <c r="M4573" t="s">
        <v>4369</v>
      </c>
      <c r="N4573" s="15" t="s">
        <v>6878</v>
      </c>
    </row>
    <row r="4574" spans="1:14" x14ac:dyDescent="0.2">
      <c r="A4574" t="s">
        <v>5701</v>
      </c>
      <c r="B4574" t="s">
        <v>2360</v>
      </c>
      <c r="C4574" s="9">
        <v>45052</v>
      </c>
      <c r="D4574" t="s">
        <v>985</v>
      </c>
      <c r="E4574" s="13">
        <v>2045000</v>
      </c>
      <c r="F4574" s="13">
        <v>13875</v>
      </c>
      <c r="G4574" s="9">
        <v>45053</v>
      </c>
      <c r="H4574" t="s">
        <v>1111</v>
      </c>
      <c r="I4574" t="s">
        <v>3063</v>
      </c>
      <c r="J4574" s="13">
        <v>56748</v>
      </c>
      <c r="K4574">
        <v>1</v>
      </c>
      <c r="L4574" t="s">
        <v>1064</v>
      </c>
      <c r="M4574" t="s">
        <v>3064</v>
      </c>
      <c r="N4574" s="15" t="s">
        <v>6878</v>
      </c>
    </row>
    <row r="4575" spans="1:14" x14ac:dyDescent="0.2">
      <c r="A4575" t="s">
        <v>980</v>
      </c>
      <c r="B4575" t="s">
        <v>2360</v>
      </c>
      <c r="C4575" s="9">
        <v>45052</v>
      </c>
      <c r="D4575" t="s">
        <v>979</v>
      </c>
      <c r="E4575" s="13">
        <v>41070000</v>
      </c>
      <c r="F4575" s="13">
        <v>27750</v>
      </c>
      <c r="G4575" s="9">
        <v>45053</v>
      </c>
      <c r="H4575" t="s">
        <v>1111</v>
      </c>
      <c r="I4575" t="s">
        <v>4368</v>
      </c>
      <c r="J4575" s="13">
        <v>1823508</v>
      </c>
      <c r="K4575">
        <v>1</v>
      </c>
      <c r="L4575" t="s">
        <v>1064</v>
      </c>
      <c r="M4575" t="s">
        <v>4369</v>
      </c>
      <c r="N4575" s="15" t="s">
        <v>6878</v>
      </c>
    </row>
    <row r="4576" spans="1:14" x14ac:dyDescent="0.2">
      <c r="A4576" t="s">
        <v>5702</v>
      </c>
      <c r="B4576" t="s">
        <v>2360</v>
      </c>
      <c r="C4576" s="9">
        <v>45053</v>
      </c>
      <c r="D4576" t="s">
        <v>952</v>
      </c>
      <c r="E4576" s="13">
        <v>1</v>
      </c>
      <c r="F4576" s="13">
        <v>25000</v>
      </c>
      <c r="H4576" t="s">
        <v>1185</v>
      </c>
      <c r="I4576" t="s">
        <v>4626</v>
      </c>
      <c r="J4576" s="13">
        <v>0</v>
      </c>
      <c r="K4576">
        <v>1</v>
      </c>
      <c r="L4576" t="s">
        <v>1064</v>
      </c>
      <c r="M4576" t="s">
        <v>4627</v>
      </c>
      <c r="N4576" s="14" t="s">
        <v>6877</v>
      </c>
    </row>
    <row r="4577" spans="1:14" x14ac:dyDescent="0.2">
      <c r="A4577" t="s">
        <v>5703</v>
      </c>
      <c r="B4577" t="s">
        <v>2360</v>
      </c>
      <c r="C4577" s="9">
        <v>45053</v>
      </c>
      <c r="D4577" t="s">
        <v>952</v>
      </c>
      <c r="E4577" s="13">
        <v>290875000</v>
      </c>
      <c r="F4577" s="13">
        <v>25000</v>
      </c>
      <c r="H4577" t="s">
        <v>1185</v>
      </c>
      <c r="I4577" t="s">
        <v>4626</v>
      </c>
      <c r="J4577" s="13">
        <v>0</v>
      </c>
      <c r="K4577">
        <v>1</v>
      </c>
      <c r="L4577" t="s">
        <v>1064</v>
      </c>
      <c r="M4577" t="s">
        <v>4627</v>
      </c>
      <c r="N4577" s="14" t="s">
        <v>6877</v>
      </c>
    </row>
    <row r="4578" spans="1:14" x14ac:dyDescent="0.2">
      <c r="A4578" t="s">
        <v>5704</v>
      </c>
      <c r="B4578" t="s">
        <v>2360</v>
      </c>
      <c r="C4578" s="9">
        <v>45053</v>
      </c>
      <c r="D4578" t="s">
        <v>952</v>
      </c>
      <c r="E4578" s="13">
        <v>290875000</v>
      </c>
      <c r="F4578" s="13">
        <v>25000</v>
      </c>
      <c r="H4578" t="s">
        <v>2184</v>
      </c>
      <c r="I4578" t="s">
        <v>4626</v>
      </c>
      <c r="J4578" s="13">
        <v>0</v>
      </c>
      <c r="K4578">
        <v>1</v>
      </c>
      <c r="L4578" t="s">
        <v>1064</v>
      </c>
      <c r="M4578" t="s">
        <v>4627</v>
      </c>
      <c r="N4578" s="14" t="s">
        <v>6877</v>
      </c>
    </row>
    <row r="4579" spans="1:14" x14ac:dyDescent="0.2">
      <c r="A4579" t="s">
        <v>5705</v>
      </c>
      <c r="B4579" t="s">
        <v>2360</v>
      </c>
      <c r="C4579" s="9">
        <v>45053</v>
      </c>
      <c r="D4579" t="s">
        <v>952</v>
      </c>
      <c r="E4579" s="13">
        <v>251818000</v>
      </c>
      <c r="F4579" s="13">
        <v>27750</v>
      </c>
      <c r="G4579" s="9">
        <v>45053</v>
      </c>
      <c r="H4579" t="s">
        <v>1063</v>
      </c>
      <c r="I4579" t="s">
        <v>4626</v>
      </c>
      <c r="J4579" s="13">
        <v>11180719</v>
      </c>
      <c r="K4579">
        <v>1</v>
      </c>
      <c r="L4579" t="s">
        <v>1064</v>
      </c>
      <c r="M4579" t="s">
        <v>4627</v>
      </c>
      <c r="N4579" s="15" t="s">
        <v>6878</v>
      </c>
    </row>
    <row r="4580" spans="1:14" x14ac:dyDescent="0.2">
      <c r="A4580" t="s">
        <v>5706</v>
      </c>
      <c r="B4580" t="s">
        <v>2360</v>
      </c>
      <c r="C4580" s="9">
        <v>45053</v>
      </c>
      <c r="D4580" t="s">
        <v>981</v>
      </c>
      <c r="E4580" s="13">
        <v>1655000</v>
      </c>
      <c r="F4580" s="13">
        <v>27750</v>
      </c>
      <c r="G4580" s="9">
        <v>45053</v>
      </c>
      <c r="H4580" t="s">
        <v>1111</v>
      </c>
      <c r="I4580" t="s">
        <v>4222</v>
      </c>
      <c r="J4580" s="13">
        <v>73482</v>
      </c>
      <c r="K4580">
        <v>1</v>
      </c>
      <c r="L4580" t="s">
        <v>1064</v>
      </c>
      <c r="M4580" t="s">
        <v>4223</v>
      </c>
      <c r="N4580" s="15" t="s">
        <v>6878</v>
      </c>
    </row>
    <row r="4581" spans="1:14" x14ac:dyDescent="0.2">
      <c r="A4581" t="s">
        <v>5707</v>
      </c>
      <c r="B4581" t="s">
        <v>2360</v>
      </c>
      <c r="C4581" s="9">
        <v>45053</v>
      </c>
      <c r="D4581" t="s">
        <v>952</v>
      </c>
      <c r="E4581" s="13">
        <v>251818000</v>
      </c>
      <c r="F4581" s="13">
        <v>27750</v>
      </c>
      <c r="G4581" s="9">
        <v>45053</v>
      </c>
      <c r="H4581" t="s">
        <v>1111</v>
      </c>
      <c r="I4581" t="s">
        <v>4626</v>
      </c>
      <c r="J4581" s="13">
        <v>11180719</v>
      </c>
      <c r="K4581">
        <v>1</v>
      </c>
      <c r="L4581" t="s">
        <v>1064</v>
      </c>
      <c r="M4581" t="s">
        <v>4627</v>
      </c>
      <c r="N4581" s="15" t="s">
        <v>6878</v>
      </c>
    </row>
    <row r="4582" spans="1:14" x14ac:dyDescent="0.2">
      <c r="A4582" t="s">
        <v>5708</v>
      </c>
      <c r="B4582" t="s">
        <v>2360</v>
      </c>
      <c r="C4582" s="9">
        <v>45053</v>
      </c>
      <c r="D4582" t="s">
        <v>981</v>
      </c>
      <c r="E4582" s="13">
        <v>1655000</v>
      </c>
      <c r="F4582" s="13">
        <v>27750</v>
      </c>
      <c r="G4582" s="9">
        <v>45053</v>
      </c>
      <c r="H4582" t="s">
        <v>1111</v>
      </c>
      <c r="I4582" t="s">
        <v>4222</v>
      </c>
      <c r="J4582" s="13">
        <v>73482</v>
      </c>
      <c r="K4582">
        <v>1</v>
      </c>
      <c r="L4582" t="s">
        <v>1064</v>
      </c>
      <c r="M4582" t="s">
        <v>4223</v>
      </c>
      <c r="N4582" s="15" t="s">
        <v>6878</v>
      </c>
    </row>
    <row r="4583" spans="1:14" x14ac:dyDescent="0.2">
      <c r="A4583" t="s">
        <v>5709</v>
      </c>
      <c r="B4583" t="s">
        <v>2360</v>
      </c>
      <c r="C4583" s="9">
        <v>45053</v>
      </c>
      <c r="D4583" t="s">
        <v>981</v>
      </c>
      <c r="E4583" s="13">
        <v>1880000</v>
      </c>
      <c r="F4583" s="13">
        <v>27750</v>
      </c>
      <c r="G4583" s="9">
        <v>45053</v>
      </c>
      <c r="H4583" t="s">
        <v>1111</v>
      </c>
      <c r="I4583" t="s">
        <v>4222</v>
      </c>
      <c r="J4583" s="13">
        <v>83472</v>
      </c>
      <c r="K4583">
        <v>1</v>
      </c>
      <c r="L4583" t="s">
        <v>1064</v>
      </c>
      <c r="M4583" t="s">
        <v>4223</v>
      </c>
      <c r="N4583" s="15" t="s">
        <v>6878</v>
      </c>
    </row>
    <row r="4584" spans="1:14" x14ac:dyDescent="0.2">
      <c r="A4584" t="s">
        <v>5710</v>
      </c>
      <c r="B4584" t="s">
        <v>2360</v>
      </c>
      <c r="C4584" s="9">
        <v>45053</v>
      </c>
      <c r="D4584" t="s">
        <v>981</v>
      </c>
      <c r="E4584" s="13">
        <v>8100000</v>
      </c>
      <c r="F4584" s="13">
        <v>27750</v>
      </c>
      <c r="G4584" s="9">
        <v>45053</v>
      </c>
      <c r="H4584" t="s">
        <v>1111</v>
      </c>
      <c r="I4584" t="s">
        <v>4222</v>
      </c>
      <c r="J4584" s="13">
        <v>359640</v>
      </c>
      <c r="K4584">
        <v>1</v>
      </c>
      <c r="L4584" t="s">
        <v>1064</v>
      </c>
      <c r="M4584" t="s">
        <v>4223</v>
      </c>
      <c r="N4584" s="15" t="s">
        <v>6878</v>
      </c>
    </row>
    <row r="4585" spans="1:14" x14ac:dyDescent="0.2">
      <c r="A4585" t="s">
        <v>5711</v>
      </c>
      <c r="B4585" t="s">
        <v>2360</v>
      </c>
      <c r="C4585" s="9">
        <v>45053</v>
      </c>
      <c r="D4585" t="s">
        <v>981</v>
      </c>
      <c r="E4585" s="13">
        <v>2485000</v>
      </c>
      <c r="F4585" s="13">
        <v>27750</v>
      </c>
      <c r="G4585" s="9">
        <v>45053</v>
      </c>
      <c r="H4585" t="s">
        <v>1111</v>
      </c>
      <c r="I4585" t="s">
        <v>4222</v>
      </c>
      <c r="J4585" s="13">
        <v>110334</v>
      </c>
      <c r="K4585">
        <v>1</v>
      </c>
      <c r="L4585" t="s">
        <v>1064</v>
      </c>
      <c r="M4585" t="s">
        <v>4223</v>
      </c>
      <c r="N4585" s="15" t="s">
        <v>6878</v>
      </c>
    </row>
    <row r="4586" spans="1:14" x14ac:dyDescent="0.2">
      <c r="A4586" t="s">
        <v>5712</v>
      </c>
      <c r="B4586" t="s">
        <v>2360</v>
      </c>
      <c r="C4586" s="9">
        <v>45053</v>
      </c>
      <c r="D4586" t="s">
        <v>981</v>
      </c>
      <c r="E4586" s="13">
        <v>2485000</v>
      </c>
      <c r="F4586" s="13">
        <v>27750</v>
      </c>
      <c r="G4586" s="9">
        <v>45053</v>
      </c>
      <c r="H4586" t="s">
        <v>1111</v>
      </c>
      <c r="I4586" t="s">
        <v>4222</v>
      </c>
      <c r="J4586" s="13">
        <v>110334</v>
      </c>
      <c r="K4586">
        <v>1</v>
      </c>
      <c r="L4586" t="s">
        <v>1064</v>
      </c>
      <c r="M4586" t="s">
        <v>4223</v>
      </c>
      <c r="N4586" s="15" t="s">
        <v>6878</v>
      </c>
    </row>
    <row r="4587" spans="1:14" x14ac:dyDescent="0.2">
      <c r="A4587" t="s">
        <v>5713</v>
      </c>
      <c r="B4587" t="s">
        <v>2360</v>
      </c>
      <c r="C4587" s="9">
        <v>45053</v>
      </c>
      <c r="D4587" t="s">
        <v>981</v>
      </c>
      <c r="E4587" s="13">
        <v>2485000</v>
      </c>
      <c r="F4587" s="13">
        <v>27750</v>
      </c>
      <c r="G4587" s="9">
        <v>45053</v>
      </c>
      <c r="H4587" t="s">
        <v>1111</v>
      </c>
      <c r="I4587" t="s">
        <v>4222</v>
      </c>
      <c r="J4587" s="13">
        <v>110334</v>
      </c>
      <c r="K4587">
        <v>1</v>
      </c>
      <c r="L4587" t="s">
        <v>1064</v>
      </c>
      <c r="M4587" t="s">
        <v>4223</v>
      </c>
      <c r="N4587" s="15" t="s">
        <v>6878</v>
      </c>
    </row>
    <row r="4588" spans="1:14" x14ac:dyDescent="0.2">
      <c r="A4588" t="s">
        <v>5714</v>
      </c>
      <c r="B4588" t="s">
        <v>2360</v>
      </c>
      <c r="C4588" s="9">
        <v>45053</v>
      </c>
      <c r="D4588" t="s">
        <v>981</v>
      </c>
      <c r="E4588" s="13">
        <v>1880000</v>
      </c>
      <c r="F4588" s="13">
        <v>27750</v>
      </c>
      <c r="G4588" s="9">
        <v>45053</v>
      </c>
      <c r="H4588" t="s">
        <v>1111</v>
      </c>
      <c r="I4588" t="s">
        <v>4222</v>
      </c>
      <c r="J4588" s="13">
        <v>83472</v>
      </c>
      <c r="K4588">
        <v>1</v>
      </c>
      <c r="L4588" t="s">
        <v>1064</v>
      </c>
      <c r="M4588" t="s">
        <v>4223</v>
      </c>
      <c r="N4588" s="15" t="s">
        <v>6878</v>
      </c>
    </row>
    <row r="4589" spans="1:14" x14ac:dyDescent="0.2">
      <c r="A4589" t="s">
        <v>5715</v>
      </c>
      <c r="B4589" t="s">
        <v>2360</v>
      </c>
      <c r="C4589" s="9">
        <v>45053</v>
      </c>
      <c r="D4589" t="s">
        <v>981</v>
      </c>
      <c r="E4589" s="13">
        <v>1880000</v>
      </c>
      <c r="F4589" s="13">
        <v>27750</v>
      </c>
      <c r="G4589" s="9">
        <v>45053</v>
      </c>
      <c r="H4589" t="s">
        <v>1111</v>
      </c>
      <c r="I4589" t="s">
        <v>4222</v>
      </c>
      <c r="J4589" s="13">
        <v>83472</v>
      </c>
      <c r="K4589">
        <v>1</v>
      </c>
      <c r="L4589" t="s">
        <v>1064</v>
      </c>
      <c r="M4589" t="s">
        <v>4223</v>
      </c>
      <c r="N4589" s="15" t="s">
        <v>6878</v>
      </c>
    </row>
    <row r="4590" spans="1:14" x14ac:dyDescent="0.2">
      <c r="A4590" t="s">
        <v>5716</v>
      </c>
      <c r="B4590" t="s">
        <v>2360</v>
      </c>
      <c r="C4590" s="9">
        <v>45053</v>
      </c>
      <c r="D4590" t="s">
        <v>981</v>
      </c>
      <c r="E4590" s="13">
        <v>1925000</v>
      </c>
      <c r="F4590" s="13">
        <v>27750</v>
      </c>
      <c r="G4590" s="9">
        <v>45053</v>
      </c>
      <c r="H4590" t="s">
        <v>1111</v>
      </c>
      <c r="I4590" t="s">
        <v>4222</v>
      </c>
      <c r="J4590" s="13">
        <v>85470</v>
      </c>
      <c r="K4590">
        <v>1</v>
      </c>
      <c r="L4590" t="s">
        <v>1064</v>
      </c>
      <c r="M4590" t="s">
        <v>4223</v>
      </c>
      <c r="N4590" s="15" t="s">
        <v>6878</v>
      </c>
    </row>
    <row r="4591" spans="1:14" x14ac:dyDescent="0.2">
      <c r="A4591" t="s">
        <v>5717</v>
      </c>
      <c r="B4591" t="s">
        <v>2360</v>
      </c>
      <c r="C4591" s="9">
        <v>45053</v>
      </c>
      <c r="D4591" t="s">
        <v>981</v>
      </c>
      <c r="E4591" s="13">
        <v>3250000</v>
      </c>
      <c r="F4591" s="13">
        <v>27750</v>
      </c>
      <c r="G4591" s="9">
        <v>45053</v>
      </c>
      <c r="H4591" t="s">
        <v>1111</v>
      </c>
      <c r="I4591" t="s">
        <v>4222</v>
      </c>
      <c r="J4591" s="13">
        <v>144300</v>
      </c>
      <c r="K4591">
        <v>1</v>
      </c>
      <c r="L4591" t="s">
        <v>1064</v>
      </c>
      <c r="M4591" t="s">
        <v>4223</v>
      </c>
      <c r="N4591" s="15" t="s">
        <v>6878</v>
      </c>
    </row>
    <row r="4592" spans="1:14" x14ac:dyDescent="0.2">
      <c r="A4592" t="s">
        <v>5718</v>
      </c>
      <c r="B4592" t="s">
        <v>2360</v>
      </c>
      <c r="C4592" s="9">
        <v>45053</v>
      </c>
      <c r="D4592" t="s">
        <v>981</v>
      </c>
      <c r="E4592" s="13">
        <v>3250000</v>
      </c>
      <c r="F4592" s="13">
        <v>27750</v>
      </c>
      <c r="G4592" s="9">
        <v>45053</v>
      </c>
      <c r="H4592" t="s">
        <v>1111</v>
      </c>
      <c r="I4592" t="s">
        <v>4222</v>
      </c>
      <c r="J4592" s="13">
        <v>144300</v>
      </c>
      <c r="K4592">
        <v>1</v>
      </c>
      <c r="L4592" t="s">
        <v>1064</v>
      </c>
      <c r="M4592" t="s">
        <v>4223</v>
      </c>
      <c r="N4592" s="15" t="s">
        <v>6878</v>
      </c>
    </row>
    <row r="4593" spans="1:14" x14ac:dyDescent="0.2">
      <c r="A4593" t="s">
        <v>5719</v>
      </c>
      <c r="B4593" t="s">
        <v>2360</v>
      </c>
      <c r="C4593" s="9">
        <v>45053</v>
      </c>
      <c r="D4593" t="s">
        <v>981</v>
      </c>
      <c r="E4593" s="13">
        <v>1000000</v>
      </c>
      <c r="F4593" s="13">
        <v>27750</v>
      </c>
      <c r="G4593" s="9">
        <v>45053</v>
      </c>
      <c r="H4593" t="s">
        <v>1111</v>
      </c>
      <c r="I4593" t="s">
        <v>4222</v>
      </c>
      <c r="J4593" s="13">
        <v>44400</v>
      </c>
      <c r="K4593">
        <v>1</v>
      </c>
      <c r="L4593" t="s">
        <v>1064</v>
      </c>
      <c r="M4593" t="s">
        <v>4223</v>
      </c>
      <c r="N4593" s="15" t="s">
        <v>6878</v>
      </c>
    </row>
    <row r="4594" spans="1:14" x14ac:dyDescent="0.2">
      <c r="A4594" t="s">
        <v>5720</v>
      </c>
      <c r="B4594" t="s">
        <v>2360</v>
      </c>
      <c r="C4594" s="9">
        <v>45053</v>
      </c>
      <c r="D4594" t="s">
        <v>981</v>
      </c>
      <c r="E4594" s="13">
        <v>1000000</v>
      </c>
      <c r="F4594" s="13">
        <v>27750</v>
      </c>
      <c r="G4594" s="9">
        <v>45053</v>
      </c>
      <c r="H4594" t="s">
        <v>1111</v>
      </c>
      <c r="I4594" t="s">
        <v>4222</v>
      </c>
      <c r="J4594" s="13">
        <v>44400</v>
      </c>
      <c r="K4594">
        <v>1</v>
      </c>
      <c r="L4594" t="s">
        <v>1064</v>
      </c>
      <c r="M4594" t="s">
        <v>4223</v>
      </c>
      <c r="N4594" s="15" t="s">
        <v>6878</v>
      </c>
    </row>
    <row r="4595" spans="1:14" x14ac:dyDescent="0.2">
      <c r="A4595" t="s">
        <v>5721</v>
      </c>
      <c r="B4595" t="s">
        <v>2360</v>
      </c>
      <c r="C4595" s="9">
        <v>45053</v>
      </c>
      <c r="D4595" t="s">
        <v>981</v>
      </c>
      <c r="E4595" s="13">
        <v>1880000</v>
      </c>
      <c r="F4595" s="13">
        <v>27750</v>
      </c>
      <c r="G4595" s="9">
        <v>45053</v>
      </c>
      <c r="H4595" t="s">
        <v>1111</v>
      </c>
      <c r="I4595" t="s">
        <v>4222</v>
      </c>
      <c r="J4595" s="13">
        <v>83472</v>
      </c>
      <c r="K4595">
        <v>1</v>
      </c>
      <c r="L4595" t="s">
        <v>1064</v>
      </c>
      <c r="M4595" t="s">
        <v>4223</v>
      </c>
      <c r="N4595" s="15" t="s">
        <v>6878</v>
      </c>
    </row>
    <row r="4596" spans="1:14" x14ac:dyDescent="0.2">
      <c r="A4596" t="s">
        <v>5722</v>
      </c>
      <c r="B4596" t="s">
        <v>2360</v>
      </c>
      <c r="C4596" s="9">
        <v>45053</v>
      </c>
      <c r="D4596" t="s">
        <v>981</v>
      </c>
      <c r="E4596" s="13">
        <v>1815000</v>
      </c>
      <c r="F4596" s="13">
        <v>27750</v>
      </c>
      <c r="G4596" s="9">
        <v>45053</v>
      </c>
      <c r="H4596" t="s">
        <v>1111</v>
      </c>
      <c r="I4596" t="s">
        <v>4222</v>
      </c>
      <c r="J4596" s="13">
        <v>80586</v>
      </c>
      <c r="K4596">
        <v>1</v>
      </c>
      <c r="L4596" t="s">
        <v>1064</v>
      </c>
      <c r="M4596" t="s">
        <v>4223</v>
      </c>
      <c r="N4596" s="15" t="s">
        <v>6878</v>
      </c>
    </row>
    <row r="4597" spans="1:14" x14ac:dyDescent="0.2">
      <c r="A4597" t="s">
        <v>5723</v>
      </c>
      <c r="B4597" t="s">
        <v>2360</v>
      </c>
      <c r="C4597" s="9">
        <v>45053</v>
      </c>
      <c r="D4597" t="s">
        <v>981</v>
      </c>
      <c r="E4597" s="13">
        <v>1815000</v>
      </c>
      <c r="F4597" s="13">
        <v>27750</v>
      </c>
      <c r="G4597" s="9">
        <v>45053</v>
      </c>
      <c r="H4597" t="s">
        <v>1111</v>
      </c>
      <c r="I4597" t="s">
        <v>4222</v>
      </c>
      <c r="J4597" s="13">
        <v>80586</v>
      </c>
      <c r="K4597">
        <v>1</v>
      </c>
      <c r="L4597" t="s">
        <v>1064</v>
      </c>
      <c r="M4597" t="s">
        <v>4223</v>
      </c>
      <c r="N4597" s="15" t="s">
        <v>6878</v>
      </c>
    </row>
    <row r="4598" spans="1:14" x14ac:dyDescent="0.2">
      <c r="A4598" t="s">
        <v>5724</v>
      </c>
      <c r="B4598" t="s">
        <v>2360</v>
      </c>
      <c r="C4598" s="9">
        <v>45053</v>
      </c>
      <c r="D4598" t="s">
        <v>981</v>
      </c>
      <c r="E4598" s="13">
        <v>1565000</v>
      </c>
      <c r="F4598" s="13">
        <v>27750</v>
      </c>
      <c r="G4598" s="9">
        <v>45053</v>
      </c>
      <c r="H4598" t="s">
        <v>1111</v>
      </c>
      <c r="I4598" t="s">
        <v>4222</v>
      </c>
      <c r="J4598" s="13">
        <v>69486</v>
      </c>
      <c r="K4598">
        <v>1</v>
      </c>
      <c r="L4598" t="s">
        <v>1064</v>
      </c>
      <c r="M4598" t="s">
        <v>4223</v>
      </c>
      <c r="N4598" s="15" t="s">
        <v>6878</v>
      </c>
    </row>
    <row r="4599" spans="1:14" x14ac:dyDescent="0.2">
      <c r="A4599" t="s">
        <v>5725</v>
      </c>
      <c r="B4599" t="s">
        <v>2360</v>
      </c>
      <c r="C4599" s="9">
        <v>45053</v>
      </c>
      <c r="D4599" t="s">
        <v>981</v>
      </c>
      <c r="E4599" s="13">
        <v>1655000</v>
      </c>
      <c r="F4599" s="13">
        <v>27750</v>
      </c>
      <c r="G4599" s="9">
        <v>45053</v>
      </c>
      <c r="H4599" t="s">
        <v>1111</v>
      </c>
      <c r="I4599" t="s">
        <v>4222</v>
      </c>
      <c r="J4599" s="13">
        <v>73482</v>
      </c>
      <c r="K4599">
        <v>1</v>
      </c>
      <c r="L4599" t="s">
        <v>1064</v>
      </c>
      <c r="M4599" t="s">
        <v>4223</v>
      </c>
      <c r="N4599" s="15" t="s">
        <v>6878</v>
      </c>
    </row>
    <row r="4600" spans="1:14" x14ac:dyDescent="0.2">
      <c r="A4600" t="s">
        <v>5726</v>
      </c>
      <c r="B4600" t="s">
        <v>2360</v>
      </c>
      <c r="C4600" s="9">
        <v>45053</v>
      </c>
      <c r="D4600" t="s">
        <v>981</v>
      </c>
      <c r="E4600" s="13">
        <v>1655000</v>
      </c>
      <c r="F4600" s="13">
        <v>27750</v>
      </c>
      <c r="G4600" s="9">
        <v>45053</v>
      </c>
      <c r="H4600" t="s">
        <v>1111</v>
      </c>
      <c r="I4600" t="s">
        <v>4222</v>
      </c>
      <c r="J4600" s="13">
        <v>73482</v>
      </c>
      <c r="K4600">
        <v>1</v>
      </c>
      <c r="L4600" t="s">
        <v>1064</v>
      </c>
      <c r="M4600" t="s">
        <v>4223</v>
      </c>
      <c r="N4600" s="15" t="s">
        <v>6878</v>
      </c>
    </row>
    <row r="4601" spans="1:14" x14ac:dyDescent="0.2">
      <c r="A4601" t="s">
        <v>5727</v>
      </c>
      <c r="B4601" t="s">
        <v>2360</v>
      </c>
      <c r="C4601" s="9">
        <v>45053</v>
      </c>
      <c r="D4601" t="s">
        <v>981</v>
      </c>
      <c r="E4601" s="13">
        <v>1880000</v>
      </c>
      <c r="F4601" s="13">
        <v>27750</v>
      </c>
      <c r="G4601" s="9">
        <v>45053</v>
      </c>
      <c r="H4601" t="s">
        <v>1111</v>
      </c>
      <c r="I4601" t="s">
        <v>4222</v>
      </c>
      <c r="J4601" s="13">
        <v>83472</v>
      </c>
      <c r="K4601">
        <v>1</v>
      </c>
      <c r="L4601" t="s">
        <v>1064</v>
      </c>
      <c r="M4601" t="s">
        <v>4223</v>
      </c>
      <c r="N4601" s="15" t="s">
        <v>6878</v>
      </c>
    </row>
    <row r="4602" spans="1:14" x14ac:dyDescent="0.2">
      <c r="A4602" t="s">
        <v>5728</v>
      </c>
      <c r="B4602" t="s">
        <v>2360</v>
      </c>
      <c r="C4602" s="9">
        <v>45053</v>
      </c>
      <c r="D4602" t="s">
        <v>981</v>
      </c>
      <c r="E4602" s="13">
        <v>1880000</v>
      </c>
      <c r="F4602" s="13">
        <v>27750</v>
      </c>
      <c r="G4602" s="9">
        <v>45053</v>
      </c>
      <c r="H4602" t="s">
        <v>1111</v>
      </c>
      <c r="I4602" t="s">
        <v>4222</v>
      </c>
      <c r="J4602" s="13">
        <v>83472</v>
      </c>
      <c r="K4602">
        <v>1</v>
      </c>
      <c r="L4602" t="s">
        <v>1064</v>
      </c>
      <c r="M4602" t="s">
        <v>4223</v>
      </c>
      <c r="N4602" s="15" t="s">
        <v>6878</v>
      </c>
    </row>
    <row r="4603" spans="1:14" x14ac:dyDescent="0.2">
      <c r="A4603" t="s">
        <v>5729</v>
      </c>
      <c r="B4603" t="s">
        <v>2360</v>
      </c>
      <c r="C4603" s="9">
        <v>45053</v>
      </c>
      <c r="D4603" t="s">
        <v>981</v>
      </c>
      <c r="E4603" s="13">
        <v>1185000</v>
      </c>
      <c r="F4603" s="13">
        <v>27750</v>
      </c>
      <c r="G4603" s="9">
        <v>45053</v>
      </c>
      <c r="H4603" t="s">
        <v>1111</v>
      </c>
      <c r="I4603" t="s">
        <v>4222</v>
      </c>
      <c r="J4603" s="13">
        <v>52614</v>
      </c>
      <c r="K4603">
        <v>1</v>
      </c>
      <c r="L4603" t="s">
        <v>1064</v>
      </c>
      <c r="M4603" t="s">
        <v>4223</v>
      </c>
      <c r="N4603" s="15" t="s">
        <v>6878</v>
      </c>
    </row>
    <row r="4604" spans="1:14" x14ac:dyDescent="0.2">
      <c r="A4604" t="s">
        <v>5730</v>
      </c>
      <c r="B4604" t="s">
        <v>2360</v>
      </c>
      <c r="C4604" s="9">
        <v>45053</v>
      </c>
      <c r="D4604" t="s">
        <v>981</v>
      </c>
      <c r="E4604" s="13">
        <v>3250000</v>
      </c>
      <c r="F4604" s="13">
        <v>27750</v>
      </c>
      <c r="G4604" s="9">
        <v>45053</v>
      </c>
      <c r="H4604" t="s">
        <v>1111</v>
      </c>
      <c r="I4604" t="s">
        <v>4222</v>
      </c>
      <c r="J4604" s="13">
        <v>144300</v>
      </c>
      <c r="K4604">
        <v>1</v>
      </c>
      <c r="L4604" t="s">
        <v>1064</v>
      </c>
      <c r="M4604" t="s">
        <v>4223</v>
      </c>
      <c r="N4604" s="15" t="s">
        <v>6878</v>
      </c>
    </row>
    <row r="4605" spans="1:14" x14ac:dyDescent="0.2">
      <c r="A4605" t="s">
        <v>5731</v>
      </c>
      <c r="B4605" t="s">
        <v>2360</v>
      </c>
      <c r="C4605" s="9">
        <v>45053</v>
      </c>
      <c r="D4605" t="s">
        <v>981</v>
      </c>
      <c r="E4605" s="13">
        <v>1880000</v>
      </c>
      <c r="F4605" s="13">
        <v>27750</v>
      </c>
      <c r="G4605" s="9">
        <v>45053</v>
      </c>
      <c r="H4605" t="s">
        <v>1111</v>
      </c>
      <c r="I4605" t="s">
        <v>4222</v>
      </c>
      <c r="J4605" s="13">
        <v>83472</v>
      </c>
      <c r="K4605">
        <v>1</v>
      </c>
      <c r="L4605" t="s">
        <v>1064</v>
      </c>
      <c r="M4605" t="s">
        <v>4223</v>
      </c>
      <c r="N4605" s="15" t="s">
        <v>6878</v>
      </c>
    </row>
    <row r="4606" spans="1:14" x14ac:dyDescent="0.2">
      <c r="A4606" t="s">
        <v>5732</v>
      </c>
      <c r="B4606" t="s">
        <v>2360</v>
      </c>
      <c r="C4606" s="9">
        <v>45053</v>
      </c>
      <c r="D4606" t="s">
        <v>981</v>
      </c>
      <c r="E4606" s="13">
        <v>1620000</v>
      </c>
      <c r="F4606" s="13">
        <v>27750</v>
      </c>
      <c r="G4606" s="9">
        <v>45053</v>
      </c>
      <c r="H4606" t="s">
        <v>1111</v>
      </c>
      <c r="I4606" t="s">
        <v>4222</v>
      </c>
      <c r="J4606" s="13">
        <v>71928</v>
      </c>
      <c r="K4606">
        <v>1</v>
      </c>
      <c r="L4606" t="s">
        <v>1064</v>
      </c>
      <c r="M4606" t="s">
        <v>4223</v>
      </c>
      <c r="N4606" s="15" t="s">
        <v>6878</v>
      </c>
    </row>
    <row r="4607" spans="1:14" x14ac:dyDescent="0.2">
      <c r="A4607" t="s">
        <v>5733</v>
      </c>
      <c r="B4607" t="s">
        <v>2360</v>
      </c>
      <c r="C4607" s="9">
        <v>45053</v>
      </c>
      <c r="D4607" t="s">
        <v>981</v>
      </c>
      <c r="E4607" s="13">
        <v>1770000</v>
      </c>
      <c r="F4607" s="13">
        <v>27750</v>
      </c>
      <c r="G4607" s="9">
        <v>45053</v>
      </c>
      <c r="H4607" t="s">
        <v>1111</v>
      </c>
      <c r="I4607" t="s">
        <v>4222</v>
      </c>
      <c r="J4607" s="13">
        <v>78588</v>
      </c>
      <c r="K4607">
        <v>1</v>
      </c>
      <c r="L4607" t="s">
        <v>1064</v>
      </c>
      <c r="M4607" t="s">
        <v>4223</v>
      </c>
      <c r="N4607" s="15" t="s">
        <v>6878</v>
      </c>
    </row>
    <row r="4608" spans="1:14" x14ac:dyDescent="0.2">
      <c r="A4608" t="s">
        <v>5734</v>
      </c>
      <c r="B4608" t="s">
        <v>2360</v>
      </c>
      <c r="C4608" s="9">
        <v>45053</v>
      </c>
      <c r="D4608" t="s">
        <v>981</v>
      </c>
      <c r="E4608" s="13">
        <v>1880000</v>
      </c>
      <c r="F4608" s="13">
        <v>27750</v>
      </c>
      <c r="G4608" s="9">
        <v>45053</v>
      </c>
      <c r="H4608" t="s">
        <v>1111</v>
      </c>
      <c r="I4608" t="s">
        <v>4222</v>
      </c>
      <c r="J4608" s="13">
        <v>83472</v>
      </c>
      <c r="K4608">
        <v>1</v>
      </c>
      <c r="L4608" t="s">
        <v>1064</v>
      </c>
      <c r="M4608" t="s">
        <v>4223</v>
      </c>
      <c r="N4608" s="15" t="s">
        <v>6878</v>
      </c>
    </row>
    <row r="4609" spans="1:14" x14ac:dyDescent="0.2">
      <c r="A4609" t="s">
        <v>5735</v>
      </c>
      <c r="B4609" t="s">
        <v>2360</v>
      </c>
      <c r="C4609" s="9">
        <v>45053</v>
      </c>
      <c r="D4609" t="s">
        <v>981</v>
      </c>
      <c r="E4609" s="13">
        <v>1880000</v>
      </c>
      <c r="F4609" s="13">
        <v>27750</v>
      </c>
      <c r="G4609" s="9">
        <v>45053</v>
      </c>
      <c r="H4609" t="s">
        <v>1111</v>
      </c>
      <c r="I4609" t="s">
        <v>4222</v>
      </c>
      <c r="J4609" s="13">
        <v>83472</v>
      </c>
      <c r="K4609">
        <v>1</v>
      </c>
      <c r="L4609" t="s">
        <v>1064</v>
      </c>
      <c r="M4609" t="s">
        <v>4223</v>
      </c>
      <c r="N4609" s="15" t="s">
        <v>6878</v>
      </c>
    </row>
    <row r="4610" spans="1:14" x14ac:dyDescent="0.2">
      <c r="A4610" t="s">
        <v>5736</v>
      </c>
      <c r="B4610" t="s">
        <v>2360</v>
      </c>
      <c r="C4610" s="9">
        <v>45053</v>
      </c>
      <c r="D4610" t="s">
        <v>981</v>
      </c>
      <c r="E4610" s="13">
        <v>1880000</v>
      </c>
      <c r="F4610" s="13">
        <v>27750</v>
      </c>
      <c r="G4610" s="9">
        <v>45053</v>
      </c>
      <c r="H4610" t="s">
        <v>1111</v>
      </c>
      <c r="I4610" t="s">
        <v>4222</v>
      </c>
      <c r="J4610" s="13">
        <v>83472</v>
      </c>
      <c r="K4610">
        <v>1</v>
      </c>
      <c r="L4610" t="s">
        <v>1064</v>
      </c>
      <c r="M4610" t="s">
        <v>4223</v>
      </c>
      <c r="N4610" s="15" t="s">
        <v>6878</v>
      </c>
    </row>
    <row r="4611" spans="1:14" x14ac:dyDescent="0.2">
      <c r="A4611" t="s">
        <v>5737</v>
      </c>
      <c r="B4611" t="s">
        <v>2360</v>
      </c>
      <c r="C4611" s="9">
        <v>45053</v>
      </c>
      <c r="D4611" t="s">
        <v>981</v>
      </c>
      <c r="E4611" s="13">
        <v>1880000</v>
      </c>
      <c r="F4611" s="13">
        <v>27750</v>
      </c>
      <c r="G4611" s="9">
        <v>45053</v>
      </c>
      <c r="H4611" t="s">
        <v>1111</v>
      </c>
      <c r="I4611" t="s">
        <v>4222</v>
      </c>
      <c r="J4611" s="13">
        <v>83472</v>
      </c>
      <c r="K4611">
        <v>1</v>
      </c>
      <c r="L4611" t="s">
        <v>1064</v>
      </c>
      <c r="M4611" t="s">
        <v>4223</v>
      </c>
      <c r="N4611" s="15" t="s">
        <v>6878</v>
      </c>
    </row>
    <row r="4612" spans="1:14" x14ac:dyDescent="0.2">
      <c r="A4612" t="s">
        <v>5738</v>
      </c>
      <c r="B4612" t="s">
        <v>2360</v>
      </c>
      <c r="C4612" s="9">
        <v>45053</v>
      </c>
      <c r="D4612" t="s">
        <v>981</v>
      </c>
      <c r="E4612" s="13">
        <v>1000000</v>
      </c>
      <c r="F4612" s="13">
        <v>27750</v>
      </c>
      <c r="G4612" s="9">
        <v>45053</v>
      </c>
      <c r="H4612" t="s">
        <v>1111</v>
      </c>
      <c r="I4612" t="s">
        <v>4222</v>
      </c>
      <c r="J4612" s="13">
        <v>44400</v>
      </c>
      <c r="K4612">
        <v>1</v>
      </c>
      <c r="L4612" t="s">
        <v>1064</v>
      </c>
      <c r="M4612" t="s">
        <v>4223</v>
      </c>
      <c r="N4612" s="15" t="s">
        <v>6878</v>
      </c>
    </row>
    <row r="4613" spans="1:14" x14ac:dyDescent="0.2">
      <c r="A4613" t="s">
        <v>5739</v>
      </c>
      <c r="B4613" t="s">
        <v>2360</v>
      </c>
      <c r="C4613" s="9">
        <v>45053</v>
      </c>
      <c r="D4613" t="s">
        <v>981</v>
      </c>
      <c r="E4613" s="13">
        <v>1815000</v>
      </c>
      <c r="F4613" s="13">
        <v>27750</v>
      </c>
      <c r="G4613" s="9">
        <v>45053</v>
      </c>
      <c r="H4613" t="s">
        <v>1111</v>
      </c>
      <c r="I4613" t="s">
        <v>4222</v>
      </c>
      <c r="J4613" s="13">
        <v>80586</v>
      </c>
      <c r="K4613">
        <v>1</v>
      </c>
      <c r="L4613" t="s">
        <v>1064</v>
      </c>
      <c r="M4613" t="s">
        <v>4223</v>
      </c>
      <c r="N4613" s="15" t="s">
        <v>6878</v>
      </c>
    </row>
    <row r="4614" spans="1:14" x14ac:dyDescent="0.2">
      <c r="A4614" t="s">
        <v>5740</v>
      </c>
      <c r="B4614" t="s">
        <v>2360</v>
      </c>
      <c r="C4614" s="9">
        <v>45053</v>
      </c>
      <c r="D4614" t="s">
        <v>981</v>
      </c>
      <c r="E4614" s="13">
        <v>3400000</v>
      </c>
      <c r="F4614" s="13">
        <v>27750</v>
      </c>
      <c r="G4614" s="9">
        <v>45053</v>
      </c>
      <c r="H4614" t="s">
        <v>1111</v>
      </c>
      <c r="I4614" t="s">
        <v>4222</v>
      </c>
      <c r="J4614" s="13">
        <v>150960</v>
      </c>
      <c r="K4614">
        <v>1</v>
      </c>
      <c r="L4614" t="s">
        <v>1064</v>
      </c>
      <c r="M4614" t="s">
        <v>4223</v>
      </c>
      <c r="N4614" s="15" t="s">
        <v>6878</v>
      </c>
    </row>
    <row r="4615" spans="1:14" x14ac:dyDescent="0.2">
      <c r="A4615" t="s">
        <v>5741</v>
      </c>
      <c r="B4615" t="s">
        <v>2360</v>
      </c>
      <c r="C4615" s="9">
        <v>45053</v>
      </c>
      <c r="D4615" t="s">
        <v>981</v>
      </c>
      <c r="E4615" s="13">
        <v>3400000</v>
      </c>
      <c r="F4615" s="13">
        <v>27750</v>
      </c>
      <c r="G4615" s="9">
        <v>45053</v>
      </c>
      <c r="H4615" t="s">
        <v>1111</v>
      </c>
      <c r="I4615" t="s">
        <v>4222</v>
      </c>
      <c r="J4615" s="13">
        <v>150960</v>
      </c>
      <c r="K4615">
        <v>1</v>
      </c>
      <c r="L4615" t="s">
        <v>1064</v>
      </c>
      <c r="M4615" t="s">
        <v>4223</v>
      </c>
      <c r="N4615" s="15" t="s">
        <v>6878</v>
      </c>
    </row>
    <row r="4616" spans="1:14" x14ac:dyDescent="0.2">
      <c r="A4616" t="s">
        <v>5742</v>
      </c>
      <c r="B4616" t="s">
        <v>2360</v>
      </c>
      <c r="C4616" s="9">
        <v>45053</v>
      </c>
      <c r="D4616" t="s">
        <v>981</v>
      </c>
      <c r="E4616" s="13">
        <v>3250000</v>
      </c>
      <c r="F4616" s="13">
        <v>27750</v>
      </c>
      <c r="G4616" s="9">
        <v>45053</v>
      </c>
      <c r="H4616" t="s">
        <v>1111</v>
      </c>
      <c r="I4616" t="s">
        <v>4222</v>
      </c>
      <c r="J4616" s="13">
        <v>144300</v>
      </c>
      <c r="K4616">
        <v>1</v>
      </c>
      <c r="L4616" t="s">
        <v>1064</v>
      </c>
      <c r="M4616" t="s">
        <v>4223</v>
      </c>
      <c r="N4616" s="15" t="s">
        <v>6878</v>
      </c>
    </row>
    <row r="4617" spans="1:14" x14ac:dyDescent="0.2">
      <c r="A4617" t="s">
        <v>5743</v>
      </c>
      <c r="B4617" t="s">
        <v>2360</v>
      </c>
      <c r="C4617" s="9">
        <v>45053</v>
      </c>
      <c r="D4617" t="s">
        <v>981</v>
      </c>
      <c r="E4617" s="13">
        <v>1880000</v>
      </c>
      <c r="F4617" s="13">
        <v>27750</v>
      </c>
      <c r="G4617" s="9">
        <v>45053</v>
      </c>
      <c r="H4617" t="s">
        <v>1111</v>
      </c>
      <c r="I4617" t="s">
        <v>4222</v>
      </c>
      <c r="J4617" s="13">
        <v>83472</v>
      </c>
      <c r="K4617">
        <v>1</v>
      </c>
      <c r="L4617" t="s">
        <v>1064</v>
      </c>
      <c r="M4617" t="s">
        <v>4223</v>
      </c>
      <c r="N4617" s="15" t="s">
        <v>6878</v>
      </c>
    </row>
    <row r="4618" spans="1:14" x14ac:dyDescent="0.2">
      <c r="A4618" t="s">
        <v>5744</v>
      </c>
      <c r="B4618" t="s">
        <v>2360</v>
      </c>
      <c r="C4618" s="9">
        <v>45053</v>
      </c>
      <c r="D4618" t="s">
        <v>981</v>
      </c>
      <c r="E4618" s="13">
        <v>864000</v>
      </c>
      <c r="F4618" s="13">
        <v>27750</v>
      </c>
      <c r="G4618" s="9">
        <v>45053</v>
      </c>
      <c r="H4618" t="s">
        <v>1111</v>
      </c>
      <c r="I4618" t="s">
        <v>4222</v>
      </c>
      <c r="J4618" s="13">
        <v>38361</v>
      </c>
      <c r="K4618">
        <v>1</v>
      </c>
      <c r="L4618" t="s">
        <v>1064</v>
      </c>
      <c r="M4618" t="s">
        <v>4223</v>
      </c>
      <c r="N4618" s="15" t="s">
        <v>6878</v>
      </c>
    </row>
    <row r="4619" spans="1:14" x14ac:dyDescent="0.2">
      <c r="A4619" t="s">
        <v>5745</v>
      </c>
      <c r="B4619" t="s">
        <v>2360</v>
      </c>
      <c r="C4619" s="9">
        <v>45053</v>
      </c>
      <c r="D4619" t="s">
        <v>981</v>
      </c>
      <c r="E4619" s="13">
        <v>3250000</v>
      </c>
      <c r="F4619" s="13">
        <v>27750</v>
      </c>
      <c r="G4619" s="9">
        <v>45053</v>
      </c>
      <c r="H4619" t="s">
        <v>1111</v>
      </c>
      <c r="I4619" t="s">
        <v>4222</v>
      </c>
      <c r="J4619" s="13">
        <v>144300</v>
      </c>
      <c r="K4619">
        <v>1</v>
      </c>
      <c r="L4619" t="s">
        <v>1064</v>
      </c>
      <c r="M4619" t="s">
        <v>4223</v>
      </c>
      <c r="N4619" s="15" t="s">
        <v>6878</v>
      </c>
    </row>
    <row r="4620" spans="1:14" x14ac:dyDescent="0.2">
      <c r="A4620" t="s">
        <v>5746</v>
      </c>
      <c r="B4620" t="s">
        <v>2360</v>
      </c>
      <c r="C4620" s="9">
        <v>45053</v>
      </c>
      <c r="D4620" t="s">
        <v>981</v>
      </c>
      <c r="E4620" s="13">
        <v>3250000</v>
      </c>
      <c r="F4620" s="13">
        <v>27750</v>
      </c>
      <c r="G4620" s="9">
        <v>45053</v>
      </c>
      <c r="H4620" t="s">
        <v>1111</v>
      </c>
      <c r="I4620" t="s">
        <v>4222</v>
      </c>
      <c r="J4620" s="13">
        <v>144300</v>
      </c>
      <c r="K4620">
        <v>1</v>
      </c>
      <c r="L4620" t="s">
        <v>1064</v>
      </c>
      <c r="M4620" t="s">
        <v>4223</v>
      </c>
      <c r="N4620" s="15" t="s">
        <v>6878</v>
      </c>
    </row>
    <row r="4621" spans="1:14" x14ac:dyDescent="0.2">
      <c r="A4621" t="s">
        <v>5747</v>
      </c>
      <c r="B4621" t="s">
        <v>2360</v>
      </c>
      <c r="C4621" s="9">
        <v>45053</v>
      </c>
      <c r="D4621" t="s">
        <v>981</v>
      </c>
      <c r="E4621" s="13">
        <v>1815000</v>
      </c>
      <c r="F4621" s="13">
        <v>27750</v>
      </c>
      <c r="G4621" s="9">
        <v>45053</v>
      </c>
      <c r="H4621" t="s">
        <v>1111</v>
      </c>
      <c r="I4621" t="s">
        <v>4222</v>
      </c>
      <c r="J4621" s="13">
        <v>80586</v>
      </c>
      <c r="K4621">
        <v>1</v>
      </c>
      <c r="L4621" t="s">
        <v>1064</v>
      </c>
      <c r="M4621" t="s">
        <v>4223</v>
      </c>
      <c r="N4621" s="15" t="s">
        <v>6878</v>
      </c>
    </row>
    <row r="4622" spans="1:14" x14ac:dyDescent="0.2">
      <c r="A4622" t="s">
        <v>5748</v>
      </c>
      <c r="B4622" t="s">
        <v>2360</v>
      </c>
      <c r="C4622" s="9">
        <v>45053</v>
      </c>
      <c r="D4622" t="s">
        <v>981</v>
      </c>
      <c r="E4622" s="13">
        <v>2485000</v>
      </c>
      <c r="F4622" s="13">
        <v>27750</v>
      </c>
      <c r="G4622" s="9">
        <v>45053</v>
      </c>
      <c r="H4622" t="s">
        <v>1111</v>
      </c>
      <c r="I4622" t="s">
        <v>4222</v>
      </c>
      <c r="J4622" s="13">
        <v>110334</v>
      </c>
      <c r="K4622">
        <v>1</v>
      </c>
      <c r="L4622" t="s">
        <v>1064</v>
      </c>
      <c r="M4622" t="s">
        <v>4223</v>
      </c>
      <c r="N4622" s="15" t="s">
        <v>6878</v>
      </c>
    </row>
    <row r="4623" spans="1:14" x14ac:dyDescent="0.2">
      <c r="A4623" t="s">
        <v>5749</v>
      </c>
      <c r="B4623" t="s">
        <v>2360</v>
      </c>
      <c r="C4623" s="9">
        <v>45053</v>
      </c>
      <c r="D4623" t="s">
        <v>981</v>
      </c>
      <c r="E4623" s="13">
        <v>1</v>
      </c>
      <c r="F4623" s="13">
        <v>25000</v>
      </c>
      <c r="H4623" t="s">
        <v>2184</v>
      </c>
      <c r="I4623" t="s">
        <v>4222</v>
      </c>
      <c r="J4623" s="13">
        <v>0</v>
      </c>
      <c r="K4623">
        <v>1</v>
      </c>
      <c r="L4623" t="s">
        <v>1064</v>
      </c>
      <c r="M4623" t="s">
        <v>4223</v>
      </c>
      <c r="N4623" s="14" t="s">
        <v>6877</v>
      </c>
    </row>
    <row r="4624" spans="1:14" x14ac:dyDescent="0.2">
      <c r="A4624" t="s">
        <v>5750</v>
      </c>
      <c r="B4624" t="s">
        <v>2360</v>
      </c>
      <c r="C4624" s="9">
        <v>45053</v>
      </c>
      <c r="D4624" t="s">
        <v>981</v>
      </c>
      <c r="E4624" s="13">
        <v>1655000</v>
      </c>
      <c r="F4624" s="13">
        <v>27750</v>
      </c>
      <c r="G4624" s="9">
        <v>45053</v>
      </c>
      <c r="H4624" t="s">
        <v>1111</v>
      </c>
      <c r="I4624" t="s">
        <v>4222</v>
      </c>
      <c r="J4624" s="13">
        <v>73482</v>
      </c>
      <c r="K4624">
        <v>1</v>
      </c>
      <c r="L4624" t="s">
        <v>1064</v>
      </c>
      <c r="M4624" t="s">
        <v>4223</v>
      </c>
      <c r="N4624" s="15" t="s">
        <v>6878</v>
      </c>
    </row>
    <row r="4625" spans="1:14" x14ac:dyDescent="0.2">
      <c r="A4625" t="s">
        <v>5751</v>
      </c>
      <c r="B4625" t="s">
        <v>2360</v>
      </c>
      <c r="C4625" s="9">
        <v>45053</v>
      </c>
      <c r="D4625" t="s">
        <v>981</v>
      </c>
      <c r="E4625" s="13">
        <v>1880000</v>
      </c>
      <c r="F4625" s="13">
        <v>27750</v>
      </c>
      <c r="G4625" s="9">
        <v>45053</v>
      </c>
      <c r="H4625" t="s">
        <v>1111</v>
      </c>
      <c r="I4625" t="s">
        <v>4222</v>
      </c>
      <c r="J4625" s="13">
        <v>83472</v>
      </c>
      <c r="K4625">
        <v>1</v>
      </c>
      <c r="L4625" t="s">
        <v>1064</v>
      </c>
      <c r="M4625" t="s">
        <v>4223</v>
      </c>
      <c r="N4625" s="15" t="s">
        <v>6878</v>
      </c>
    </row>
    <row r="4626" spans="1:14" x14ac:dyDescent="0.2">
      <c r="A4626" t="s">
        <v>5752</v>
      </c>
      <c r="B4626" t="s">
        <v>2360</v>
      </c>
      <c r="C4626" s="9">
        <v>45053</v>
      </c>
      <c r="D4626" t="s">
        <v>981</v>
      </c>
      <c r="E4626" s="13">
        <v>1815000</v>
      </c>
      <c r="F4626" s="13">
        <v>27750</v>
      </c>
      <c r="G4626" s="9">
        <v>45053</v>
      </c>
      <c r="H4626" t="s">
        <v>1111</v>
      </c>
      <c r="I4626" t="s">
        <v>4222</v>
      </c>
      <c r="J4626" s="13">
        <v>80586</v>
      </c>
      <c r="K4626">
        <v>1</v>
      </c>
      <c r="L4626" t="s">
        <v>1064</v>
      </c>
      <c r="M4626" t="s">
        <v>4223</v>
      </c>
      <c r="N4626" s="15" t="s">
        <v>6878</v>
      </c>
    </row>
    <row r="4627" spans="1:14" x14ac:dyDescent="0.2">
      <c r="A4627" t="s">
        <v>5753</v>
      </c>
      <c r="B4627" t="s">
        <v>2360</v>
      </c>
      <c r="C4627" s="9">
        <v>45053</v>
      </c>
      <c r="D4627" t="s">
        <v>9</v>
      </c>
      <c r="E4627" s="13">
        <v>585900</v>
      </c>
      <c r="F4627" s="13">
        <v>22500</v>
      </c>
      <c r="H4627" t="s">
        <v>1659</v>
      </c>
      <c r="I4627" t="s">
        <v>4659</v>
      </c>
      <c r="J4627" s="13">
        <v>0</v>
      </c>
      <c r="K4627">
        <v>2</v>
      </c>
      <c r="L4627" t="s">
        <v>1064</v>
      </c>
      <c r="M4627" t="s">
        <v>4660</v>
      </c>
      <c r="N4627" s="14" t="s">
        <v>6877</v>
      </c>
    </row>
    <row r="4628" spans="1:14" x14ac:dyDescent="0.2">
      <c r="A4628" t="s">
        <v>5754</v>
      </c>
      <c r="B4628" t="s">
        <v>2360</v>
      </c>
      <c r="C4628" s="9">
        <v>45053</v>
      </c>
      <c r="D4628" t="s">
        <v>9</v>
      </c>
      <c r="E4628" s="13">
        <v>313600</v>
      </c>
      <c r="F4628" s="13">
        <v>24975</v>
      </c>
      <c r="G4628" s="9">
        <v>45063</v>
      </c>
      <c r="H4628" t="s">
        <v>1111</v>
      </c>
      <c r="I4628" t="s">
        <v>436</v>
      </c>
      <c r="J4628" s="13">
        <v>10442</v>
      </c>
      <c r="K4628">
        <v>1</v>
      </c>
      <c r="L4628" t="s">
        <v>1064</v>
      </c>
      <c r="M4628" t="s">
        <v>2364</v>
      </c>
      <c r="N4628" s="15" t="s">
        <v>6878</v>
      </c>
    </row>
    <row r="4629" spans="1:14" x14ac:dyDescent="0.2">
      <c r="A4629" t="s">
        <v>5755</v>
      </c>
      <c r="B4629" t="s">
        <v>2360</v>
      </c>
      <c r="C4629" s="9">
        <v>45053</v>
      </c>
      <c r="D4629" t="s">
        <v>9</v>
      </c>
      <c r="E4629" s="13">
        <v>274890</v>
      </c>
      <c r="F4629" s="13">
        <v>24975</v>
      </c>
      <c r="G4629" s="9">
        <v>45063</v>
      </c>
      <c r="H4629" t="s">
        <v>1111</v>
      </c>
      <c r="I4629" t="s">
        <v>436</v>
      </c>
      <c r="J4629" s="13">
        <v>9153</v>
      </c>
      <c r="K4629">
        <v>1</v>
      </c>
      <c r="L4629" t="s">
        <v>1064</v>
      </c>
      <c r="M4629" t="s">
        <v>2364</v>
      </c>
      <c r="N4629" s="15" t="s">
        <v>6878</v>
      </c>
    </row>
    <row r="4630" spans="1:14" x14ac:dyDescent="0.2">
      <c r="A4630" t="s">
        <v>5756</v>
      </c>
      <c r="B4630" t="s">
        <v>2360</v>
      </c>
      <c r="C4630" s="9">
        <v>45053</v>
      </c>
      <c r="D4630" t="s">
        <v>9</v>
      </c>
      <c r="E4630" s="13">
        <v>1464500</v>
      </c>
      <c r="F4630" s="13">
        <v>22500</v>
      </c>
      <c r="H4630" t="s">
        <v>1659</v>
      </c>
      <c r="I4630" t="s">
        <v>4659</v>
      </c>
      <c r="J4630" s="13">
        <v>0</v>
      </c>
      <c r="K4630">
        <v>1</v>
      </c>
      <c r="L4630" t="s">
        <v>1064</v>
      </c>
      <c r="M4630" t="s">
        <v>4660</v>
      </c>
      <c r="N4630" s="14" t="s">
        <v>6877</v>
      </c>
    </row>
    <row r="4631" spans="1:14" x14ac:dyDescent="0.2">
      <c r="A4631" t="s">
        <v>5757</v>
      </c>
      <c r="B4631" t="s">
        <v>2360</v>
      </c>
      <c r="C4631" s="9">
        <v>45053</v>
      </c>
      <c r="D4631" t="s">
        <v>9</v>
      </c>
      <c r="E4631" s="13">
        <v>504250</v>
      </c>
      <c r="F4631" s="13">
        <v>22500</v>
      </c>
      <c r="H4631" t="s">
        <v>1659</v>
      </c>
      <c r="I4631" t="s">
        <v>4659</v>
      </c>
      <c r="J4631" s="13">
        <v>0</v>
      </c>
      <c r="K4631">
        <v>1</v>
      </c>
      <c r="L4631" t="s">
        <v>1064</v>
      </c>
      <c r="M4631" t="s">
        <v>4660</v>
      </c>
      <c r="N4631" s="14" t="s">
        <v>6877</v>
      </c>
    </row>
    <row r="4632" spans="1:14" x14ac:dyDescent="0.2">
      <c r="A4632" t="s">
        <v>5758</v>
      </c>
      <c r="B4632" t="s">
        <v>2360</v>
      </c>
      <c r="C4632" s="9">
        <v>45054</v>
      </c>
      <c r="D4632" t="s">
        <v>9</v>
      </c>
      <c r="E4632" s="13">
        <v>522030</v>
      </c>
      <c r="F4632" s="13">
        <v>22500</v>
      </c>
      <c r="H4632" t="s">
        <v>1659</v>
      </c>
      <c r="I4632" t="s">
        <v>4659</v>
      </c>
      <c r="J4632" s="13">
        <v>0</v>
      </c>
      <c r="K4632">
        <v>2</v>
      </c>
      <c r="L4632" t="s">
        <v>1064</v>
      </c>
      <c r="M4632" t="s">
        <v>4660</v>
      </c>
      <c r="N4632" s="14" t="s">
        <v>6877</v>
      </c>
    </row>
    <row r="4633" spans="1:14" x14ac:dyDescent="0.2">
      <c r="A4633" t="s">
        <v>5759</v>
      </c>
      <c r="B4633" t="s">
        <v>2360</v>
      </c>
      <c r="C4633" s="9">
        <v>45054</v>
      </c>
      <c r="D4633" t="s">
        <v>9</v>
      </c>
      <c r="E4633" s="13">
        <v>2500000</v>
      </c>
      <c r="F4633" s="13">
        <v>22500</v>
      </c>
      <c r="H4633" t="s">
        <v>1659</v>
      </c>
      <c r="I4633" t="s">
        <v>4659</v>
      </c>
      <c r="J4633" s="13">
        <v>0</v>
      </c>
      <c r="K4633">
        <v>1</v>
      </c>
      <c r="L4633" t="s">
        <v>1064</v>
      </c>
      <c r="M4633" t="s">
        <v>4660</v>
      </c>
      <c r="N4633" s="14" t="s">
        <v>6877</v>
      </c>
    </row>
    <row r="4634" spans="1:14" x14ac:dyDescent="0.2">
      <c r="A4634" t="s">
        <v>5760</v>
      </c>
      <c r="B4634" t="s">
        <v>2360</v>
      </c>
      <c r="C4634" s="9">
        <v>45054</v>
      </c>
      <c r="D4634" t="s">
        <v>9</v>
      </c>
      <c r="E4634" s="13">
        <v>274890</v>
      </c>
      <c r="F4634" s="13">
        <v>24975</v>
      </c>
      <c r="G4634" s="9">
        <v>45063</v>
      </c>
      <c r="H4634" t="s">
        <v>1111</v>
      </c>
      <c r="I4634" t="s">
        <v>436</v>
      </c>
      <c r="J4634" s="13">
        <v>9153</v>
      </c>
      <c r="K4634">
        <v>1</v>
      </c>
      <c r="L4634" t="s">
        <v>1064</v>
      </c>
      <c r="M4634" t="s">
        <v>2364</v>
      </c>
      <c r="N4634" s="15" t="s">
        <v>6878</v>
      </c>
    </row>
    <row r="4635" spans="1:14" x14ac:dyDescent="0.2">
      <c r="A4635" t="s">
        <v>5761</v>
      </c>
      <c r="B4635" t="s">
        <v>2360</v>
      </c>
      <c r="C4635" s="9">
        <v>45054</v>
      </c>
      <c r="D4635" t="s">
        <v>9</v>
      </c>
      <c r="E4635" s="13">
        <v>340060</v>
      </c>
      <c r="F4635" s="13">
        <v>24975</v>
      </c>
      <c r="G4635" s="9">
        <v>45065</v>
      </c>
      <c r="H4635" t="s">
        <v>1111</v>
      </c>
      <c r="I4635" t="s">
        <v>436</v>
      </c>
      <c r="J4635" s="13">
        <v>11323</v>
      </c>
      <c r="K4635">
        <v>1</v>
      </c>
      <c r="L4635" t="s">
        <v>1064</v>
      </c>
      <c r="M4635" t="s">
        <v>2364</v>
      </c>
      <c r="N4635" s="15" t="s">
        <v>6878</v>
      </c>
    </row>
    <row r="4636" spans="1:14" x14ac:dyDescent="0.2">
      <c r="A4636" t="s">
        <v>5762</v>
      </c>
      <c r="B4636" t="s">
        <v>2360</v>
      </c>
      <c r="C4636" s="9">
        <v>45054</v>
      </c>
      <c r="D4636" t="s">
        <v>9</v>
      </c>
      <c r="E4636" s="13">
        <v>340060</v>
      </c>
      <c r="F4636" s="13">
        <v>24975</v>
      </c>
      <c r="G4636" s="9">
        <v>45065</v>
      </c>
      <c r="H4636" t="s">
        <v>1111</v>
      </c>
      <c r="I4636" t="s">
        <v>436</v>
      </c>
      <c r="J4636" s="13">
        <v>11323</v>
      </c>
      <c r="K4636">
        <v>1</v>
      </c>
      <c r="L4636" t="s">
        <v>1064</v>
      </c>
      <c r="M4636" t="s">
        <v>2364</v>
      </c>
      <c r="N4636" s="15" t="s">
        <v>6878</v>
      </c>
    </row>
    <row r="4637" spans="1:14" x14ac:dyDescent="0.2">
      <c r="A4637" t="s">
        <v>5763</v>
      </c>
      <c r="B4637" t="s">
        <v>2360</v>
      </c>
      <c r="C4637" s="9">
        <v>45054</v>
      </c>
      <c r="D4637" t="s">
        <v>9</v>
      </c>
      <c r="E4637" s="13">
        <v>245490</v>
      </c>
      <c r="F4637" s="13">
        <v>24975</v>
      </c>
      <c r="G4637" s="9">
        <v>45063</v>
      </c>
      <c r="H4637" t="s">
        <v>1111</v>
      </c>
      <c r="I4637" t="s">
        <v>436</v>
      </c>
      <c r="J4637" s="13">
        <v>8174</v>
      </c>
      <c r="K4637">
        <v>1</v>
      </c>
      <c r="L4637" t="s">
        <v>1064</v>
      </c>
      <c r="M4637" t="s">
        <v>2364</v>
      </c>
      <c r="N4637" s="15" t="s">
        <v>6878</v>
      </c>
    </row>
    <row r="4638" spans="1:14" x14ac:dyDescent="0.2">
      <c r="A4638" t="s">
        <v>5764</v>
      </c>
      <c r="B4638" t="s">
        <v>2360</v>
      </c>
      <c r="C4638" s="9">
        <v>45056</v>
      </c>
      <c r="D4638" t="s">
        <v>9</v>
      </c>
      <c r="E4638" s="13">
        <v>245490</v>
      </c>
      <c r="F4638" s="13">
        <v>24975</v>
      </c>
      <c r="G4638" s="9">
        <v>45063</v>
      </c>
      <c r="H4638" t="s">
        <v>1111</v>
      </c>
      <c r="I4638" t="s">
        <v>436</v>
      </c>
      <c r="J4638" s="13">
        <v>8174</v>
      </c>
      <c r="K4638">
        <v>1</v>
      </c>
      <c r="L4638" t="s">
        <v>1064</v>
      </c>
      <c r="M4638" t="s">
        <v>2364</v>
      </c>
      <c r="N4638" s="15" t="s">
        <v>6878</v>
      </c>
    </row>
    <row r="4639" spans="1:14" x14ac:dyDescent="0.2">
      <c r="A4639" t="s">
        <v>5765</v>
      </c>
      <c r="B4639" t="s">
        <v>2360</v>
      </c>
      <c r="C4639" s="9">
        <v>45056</v>
      </c>
      <c r="D4639" t="s">
        <v>9</v>
      </c>
      <c r="E4639" s="13">
        <v>399350</v>
      </c>
      <c r="F4639" s="13">
        <v>24975</v>
      </c>
      <c r="G4639" s="9">
        <v>45063</v>
      </c>
      <c r="H4639" t="s">
        <v>1111</v>
      </c>
      <c r="I4639" t="s">
        <v>436</v>
      </c>
      <c r="J4639" s="13">
        <v>13297</v>
      </c>
      <c r="K4639">
        <v>1</v>
      </c>
      <c r="L4639" t="s">
        <v>1064</v>
      </c>
      <c r="M4639" t="s">
        <v>2364</v>
      </c>
      <c r="N4639" s="15" t="s">
        <v>6878</v>
      </c>
    </row>
    <row r="4640" spans="1:14" x14ac:dyDescent="0.2">
      <c r="A4640" t="s">
        <v>5766</v>
      </c>
      <c r="B4640" t="s">
        <v>2360</v>
      </c>
      <c r="C4640" s="9">
        <v>45056</v>
      </c>
      <c r="D4640" t="s">
        <v>9</v>
      </c>
      <c r="E4640" s="13">
        <v>274890</v>
      </c>
      <c r="F4640" s="13">
        <v>24975</v>
      </c>
      <c r="G4640" s="9">
        <v>45063</v>
      </c>
      <c r="H4640" t="s">
        <v>1111</v>
      </c>
      <c r="I4640" t="s">
        <v>436</v>
      </c>
      <c r="J4640" s="13">
        <v>9153</v>
      </c>
      <c r="K4640">
        <v>1</v>
      </c>
      <c r="L4640" t="s">
        <v>1064</v>
      </c>
      <c r="M4640" t="s">
        <v>2364</v>
      </c>
      <c r="N4640" s="15" t="s">
        <v>6878</v>
      </c>
    </row>
    <row r="4641" spans="1:14" x14ac:dyDescent="0.2">
      <c r="A4641" t="s">
        <v>5767</v>
      </c>
      <c r="B4641" t="s">
        <v>2360</v>
      </c>
      <c r="C4641" s="9">
        <v>45056</v>
      </c>
      <c r="D4641" t="s">
        <v>9</v>
      </c>
      <c r="E4641" s="13">
        <v>347850</v>
      </c>
      <c r="F4641" s="13">
        <v>22500</v>
      </c>
      <c r="H4641" t="s">
        <v>1659</v>
      </c>
      <c r="I4641" t="s">
        <v>4659</v>
      </c>
      <c r="J4641" s="13">
        <v>0</v>
      </c>
      <c r="K4641">
        <v>1</v>
      </c>
      <c r="L4641" t="s">
        <v>1064</v>
      </c>
      <c r="M4641" t="s">
        <v>4660</v>
      </c>
      <c r="N4641" s="14" t="s">
        <v>6877</v>
      </c>
    </row>
    <row r="4642" spans="1:14" x14ac:dyDescent="0.2">
      <c r="A4642" t="s">
        <v>5768</v>
      </c>
      <c r="B4642" t="s">
        <v>2360</v>
      </c>
      <c r="C4642" s="9">
        <v>45056</v>
      </c>
      <c r="D4642" t="s">
        <v>9</v>
      </c>
      <c r="E4642" s="13">
        <v>395000</v>
      </c>
      <c r="F4642" s="13">
        <v>22500</v>
      </c>
      <c r="H4642" t="s">
        <v>2184</v>
      </c>
      <c r="I4642" t="s">
        <v>4659</v>
      </c>
      <c r="J4642" s="13">
        <v>0</v>
      </c>
      <c r="K4642">
        <v>1</v>
      </c>
      <c r="L4642" t="s">
        <v>1064</v>
      </c>
      <c r="M4642" t="s">
        <v>4660</v>
      </c>
      <c r="N4642" s="14" t="s">
        <v>6877</v>
      </c>
    </row>
    <row r="4643" spans="1:14" x14ac:dyDescent="0.2">
      <c r="A4643" t="s">
        <v>5769</v>
      </c>
      <c r="B4643" t="s">
        <v>2360</v>
      </c>
      <c r="C4643" s="9">
        <v>45056</v>
      </c>
      <c r="D4643" t="s">
        <v>9</v>
      </c>
      <c r="E4643" s="13">
        <v>352000</v>
      </c>
      <c r="F4643" s="13">
        <v>22500</v>
      </c>
      <c r="H4643" t="s">
        <v>2184</v>
      </c>
      <c r="I4643" t="s">
        <v>4659</v>
      </c>
      <c r="J4643" s="13">
        <v>0</v>
      </c>
      <c r="K4643">
        <v>1</v>
      </c>
      <c r="L4643" t="s">
        <v>1064</v>
      </c>
      <c r="M4643" t="s">
        <v>4660</v>
      </c>
      <c r="N4643" s="14" t="s">
        <v>6877</v>
      </c>
    </row>
    <row r="4644" spans="1:14" x14ac:dyDescent="0.2">
      <c r="A4644" t="s">
        <v>5770</v>
      </c>
      <c r="B4644" t="s">
        <v>2360</v>
      </c>
      <c r="C4644" s="9">
        <v>45056</v>
      </c>
      <c r="D4644" t="s">
        <v>9</v>
      </c>
      <c r="E4644" s="13">
        <v>4057200</v>
      </c>
      <c r="F4644" s="13">
        <v>24975</v>
      </c>
      <c r="G4644" s="9">
        <v>45063</v>
      </c>
      <c r="H4644" t="s">
        <v>1111</v>
      </c>
      <c r="I4644" t="s">
        <v>2361</v>
      </c>
      <c r="J4644" s="13">
        <v>135104</v>
      </c>
      <c r="K4644">
        <v>1</v>
      </c>
      <c r="L4644" t="s">
        <v>1064</v>
      </c>
      <c r="M4644" t="s">
        <v>2362</v>
      </c>
      <c r="N4644" s="15" t="s">
        <v>6878</v>
      </c>
    </row>
    <row r="4645" spans="1:14" x14ac:dyDescent="0.2">
      <c r="A4645" t="s">
        <v>5771</v>
      </c>
      <c r="B4645" t="s">
        <v>2360</v>
      </c>
      <c r="C4645" s="9">
        <v>45057</v>
      </c>
      <c r="D4645" t="s">
        <v>9</v>
      </c>
      <c r="E4645" s="13">
        <v>274890</v>
      </c>
      <c r="F4645" s="13">
        <v>24975</v>
      </c>
      <c r="G4645" s="9">
        <v>45063</v>
      </c>
      <c r="H4645" t="s">
        <v>1111</v>
      </c>
      <c r="I4645" t="s">
        <v>436</v>
      </c>
      <c r="J4645" s="13">
        <v>9153</v>
      </c>
      <c r="K4645">
        <v>1</v>
      </c>
      <c r="L4645" t="s">
        <v>1064</v>
      </c>
      <c r="M4645" t="s">
        <v>2364</v>
      </c>
      <c r="N4645" s="15" t="s">
        <v>6878</v>
      </c>
    </row>
    <row r="4646" spans="1:14" x14ac:dyDescent="0.2">
      <c r="A4646" t="s">
        <v>5772</v>
      </c>
      <c r="B4646" t="s">
        <v>2360</v>
      </c>
      <c r="C4646" s="9">
        <v>45057</v>
      </c>
      <c r="D4646" t="s">
        <v>9</v>
      </c>
      <c r="E4646" s="13">
        <v>190000</v>
      </c>
      <c r="F4646" s="13">
        <v>22500</v>
      </c>
      <c r="H4646" t="s">
        <v>2184</v>
      </c>
      <c r="I4646" t="s">
        <v>4659</v>
      </c>
      <c r="J4646" s="13">
        <v>0</v>
      </c>
      <c r="K4646">
        <v>1</v>
      </c>
      <c r="L4646" t="s">
        <v>1064</v>
      </c>
      <c r="M4646" t="s">
        <v>4660</v>
      </c>
      <c r="N4646" s="14" t="s">
        <v>6877</v>
      </c>
    </row>
    <row r="4647" spans="1:14" x14ac:dyDescent="0.2">
      <c r="A4647" t="s">
        <v>5773</v>
      </c>
      <c r="B4647" t="s">
        <v>2360</v>
      </c>
      <c r="C4647" s="9">
        <v>45057</v>
      </c>
      <c r="D4647" t="s">
        <v>9</v>
      </c>
      <c r="E4647" s="13">
        <v>395000</v>
      </c>
      <c r="F4647" s="13">
        <v>22500</v>
      </c>
      <c r="H4647" t="s">
        <v>2184</v>
      </c>
      <c r="I4647" t="s">
        <v>4659</v>
      </c>
      <c r="J4647" s="13">
        <v>0</v>
      </c>
      <c r="K4647">
        <v>1</v>
      </c>
      <c r="L4647" t="s">
        <v>1064</v>
      </c>
      <c r="M4647" t="s">
        <v>4660</v>
      </c>
      <c r="N4647" s="14" t="s">
        <v>6877</v>
      </c>
    </row>
    <row r="4648" spans="1:14" x14ac:dyDescent="0.2">
      <c r="A4648" t="s">
        <v>5774</v>
      </c>
      <c r="B4648" t="s">
        <v>2360</v>
      </c>
      <c r="C4648" s="9">
        <v>45057</v>
      </c>
      <c r="D4648" t="s">
        <v>9</v>
      </c>
      <c r="E4648" s="13">
        <v>372400</v>
      </c>
      <c r="F4648" s="13">
        <v>24975</v>
      </c>
      <c r="G4648" s="9">
        <v>45063</v>
      </c>
      <c r="H4648" t="s">
        <v>1111</v>
      </c>
      <c r="I4648" t="s">
        <v>436</v>
      </c>
      <c r="J4648" s="13">
        <v>12400</v>
      </c>
      <c r="K4648">
        <v>1</v>
      </c>
      <c r="L4648" t="s">
        <v>1064</v>
      </c>
      <c r="M4648" t="s">
        <v>2364</v>
      </c>
      <c r="N4648" s="15" t="s">
        <v>6878</v>
      </c>
    </row>
    <row r="4649" spans="1:14" x14ac:dyDescent="0.2">
      <c r="A4649" t="s">
        <v>5775</v>
      </c>
      <c r="B4649" t="s">
        <v>2360</v>
      </c>
      <c r="C4649" s="9">
        <v>45057</v>
      </c>
      <c r="D4649" t="s">
        <v>9</v>
      </c>
      <c r="E4649" s="13">
        <v>399350</v>
      </c>
      <c r="F4649" s="13">
        <v>24975</v>
      </c>
      <c r="G4649" s="9">
        <v>45063</v>
      </c>
      <c r="H4649" t="s">
        <v>1111</v>
      </c>
      <c r="I4649" t="s">
        <v>436</v>
      </c>
      <c r="J4649" s="13">
        <v>13297</v>
      </c>
      <c r="K4649">
        <v>1</v>
      </c>
      <c r="L4649" t="s">
        <v>1064</v>
      </c>
      <c r="M4649" t="s">
        <v>2364</v>
      </c>
      <c r="N4649" s="15" t="s">
        <v>6878</v>
      </c>
    </row>
    <row r="4650" spans="1:14" x14ac:dyDescent="0.2">
      <c r="A4650" t="s">
        <v>5776</v>
      </c>
      <c r="B4650" t="s">
        <v>2360</v>
      </c>
      <c r="C4650" s="9">
        <v>45057</v>
      </c>
      <c r="D4650" t="s">
        <v>1017</v>
      </c>
      <c r="E4650" s="13">
        <v>75000000</v>
      </c>
      <c r="F4650" s="13">
        <v>2913750</v>
      </c>
      <c r="G4650" s="9">
        <v>45057</v>
      </c>
      <c r="H4650" t="s">
        <v>1111</v>
      </c>
      <c r="I4650" t="s">
        <v>5777</v>
      </c>
      <c r="J4650" s="13">
        <v>27750</v>
      </c>
      <c r="K4650">
        <v>1</v>
      </c>
      <c r="L4650" t="s">
        <v>1064</v>
      </c>
      <c r="M4650" t="s">
        <v>5778</v>
      </c>
      <c r="N4650" s="15" t="s">
        <v>6878</v>
      </c>
    </row>
    <row r="4651" spans="1:14" x14ac:dyDescent="0.2">
      <c r="A4651" t="s">
        <v>5779</v>
      </c>
      <c r="B4651" t="s">
        <v>2360</v>
      </c>
      <c r="C4651" s="9">
        <v>45057</v>
      </c>
      <c r="D4651" t="s">
        <v>970</v>
      </c>
      <c r="E4651" s="13">
        <v>7500000</v>
      </c>
      <c r="F4651" s="13">
        <v>416250</v>
      </c>
      <c r="G4651" s="9">
        <v>45057</v>
      </c>
      <c r="H4651" t="s">
        <v>1111</v>
      </c>
      <c r="I4651" t="s">
        <v>5780</v>
      </c>
      <c r="J4651" s="13">
        <v>27750</v>
      </c>
      <c r="K4651">
        <v>1</v>
      </c>
      <c r="L4651" t="s">
        <v>1064</v>
      </c>
      <c r="M4651" t="s">
        <v>5781</v>
      </c>
      <c r="N4651" s="15" t="s">
        <v>6878</v>
      </c>
    </row>
    <row r="4652" spans="1:14" x14ac:dyDescent="0.2">
      <c r="A4652" t="s">
        <v>5782</v>
      </c>
      <c r="B4652" t="s">
        <v>2360</v>
      </c>
      <c r="C4652" s="9">
        <v>45057</v>
      </c>
      <c r="D4652" t="s">
        <v>1017</v>
      </c>
      <c r="E4652" s="13">
        <v>75000000</v>
      </c>
      <c r="F4652" s="13"/>
      <c r="H4652" t="s">
        <v>2184</v>
      </c>
      <c r="I4652" t="s">
        <v>5777</v>
      </c>
      <c r="J4652" s="13">
        <v>0</v>
      </c>
      <c r="K4652">
        <v>1</v>
      </c>
      <c r="L4652" t="s">
        <v>1064</v>
      </c>
      <c r="M4652" t="s">
        <v>5778</v>
      </c>
      <c r="N4652" s="14" t="s">
        <v>6877</v>
      </c>
    </row>
    <row r="4653" spans="1:14" x14ac:dyDescent="0.2">
      <c r="A4653" t="s">
        <v>5783</v>
      </c>
      <c r="B4653" t="s">
        <v>2360</v>
      </c>
      <c r="C4653" s="9">
        <v>45057</v>
      </c>
      <c r="D4653" t="s">
        <v>9</v>
      </c>
      <c r="E4653" s="13">
        <v>340060</v>
      </c>
      <c r="F4653" s="13">
        <v>24975</v>
      </c>
      <c r="G4653" s="9">
        <v>45065</v>
      </c>
      <c r="H4653" t="s">
        <v>1111</v>
      </c>
      <c r="I4653" t="s">
        <v>436</v>
      </c>
      <c r="J4653" s="13">
        <v>11323</v>
      </c>
      <c r="K4653">
        <v>1</v>
      </c>
      <c r="L4653" t="s">
        <v>1064</v>
      </c>
      <c r="M4653" t="s">
        <v>2364</v>
      </c>
      <c r="N4653" s="15" t="s">
        <v>6878</v>
      </c>
    </row>
    <row r="4654" spans="1:14" x14ac:dyDescent="0.2">
      <c r="A4654" t="s">
        <v>5784</v>
      </c>
      <c r="B4654" t="s">
        <v>2360</v>
      </c>
      <c r="C4654" s="9">
        <v>45057</v>
      </c>
      <c r="D4654" t="s">
        <v>9</v>
      </c>
      <c r="E4654" s="13">
        <v>315560</v>
      </c>
      <c r="F4654" s="13">
        <v>24975</v>
      </c>
      <c r="G4654" s="9">
        <v>45065</v>
      </c>
      <c r="H4654" t="s">
        <v>1111</v>
      </c>
      <c r="I4654" t="s">
        <v>436</v>
      </c>
      <c r="J4654" s="13">
        <v>10507</v>
      </c>
      <c r="K4654">
        <v>1</v>
      </c>
      <c r="L4654" t="s">
        <v>1064</v>
      </c>
      <c r="M4654" t="s">
        <v>2364</v>
      </c>
      <c r="N4654" s="15" t="s">
        <v>6878</v>
      </c>
    </row>
    <row r="4655" spans="1:14" x14ac:dyDescent="0.2">
      <c r="A4655" t="s">
        <v>1018</v>
      </c>
      <c r="B4655" t="s">
        <v>2360</v>
      </c>
      <c r="C4655" s="9">
        <v>45057</v>
      </c>
      <c r="D4655" t="s">
        <v>1017</v>
      </c>
      <c r="E4655" s="13">
        <v>65000000</v>
      </c>
      <c r="F4655" s="13">
        <v>2525250</v>
      </c>
      <c r="G4655" s="9">
        <v>45058</v>
      </c>
      <c r="H4655" t="s">
        <v>1111</v>
      </c>
      <c r="I4655" t="s">
        <v>5777</v>
      </c>
      <c r="J4655" s="13">
        <v>27750</v>
      </c>
      <c r="K4655">
        <v>1</v>
      </c>
      <c r="L4655" t="s">
        <v>1064</v>
      </c>
      <c r="M4655" t="s">
        <v>5778</v>
      </c>
      <c r="N4655" s="15" t="s">
        <v>6878</v>
      </c>
    </row>
    <row r="4656" spans="1:14" x14ac:dyDescent="0.2">
      <c r="A4656" t="s">
        <v>5785</v>
      </c>
      <c r="B4656" t="s">
        <v>2360</v>
      </c>
      <c r="C4656" s="9">
        <v>45057</v>
      </c>
      <c r="D4656" t="s">
        <v>970</v>
      </c>
      <c r="E4656" s="13">
        <v>7500000</v>
      </c>
      <c r="F4656" s="13">
        <v>416250</v>
      </c>
      <c r="G4656" s="9">
        <v>45058</v>
      </c>
      <c r="H4656" t="s">
        <v>1111</v>
      </c>
      <c r="I4656" t="s">
        <v>5780</v>
      </c>
      <c r="J4656" s="13">
        <v>27750</v>
      </c>
      <c r="K4656">
        <v>1</v>
      </c>
      <c r="L4656" t="s">
        <v>1064</v>
      </c>
      <c r="M4656" t="s">
        <v>5781</v>
      </c>
      <c r="N4656" s="15" t="s">
        <v>6878</v>
      </c>
    </row>
    <row r="4657" spans="1:14" x14ac:dyDescent="0.2">
      <c r="A4657" t="s">
        <v>5786</v>
      </c>
      <c r="B4657" t="s">
        <v>2360</v>
      </c>
      <c r="C4657" s="9">
        <v>45057</v>
      </c>
      <c r="D4657" t="s">
        <v>970</v>
      </c>
      <c r="E4657" s="13">
        <v>7500000</v>
      </c>
      <c r="F4657" s="13">
        <v>416250</v>
      </c>
      <c r="G4657" s="9">
        <v>45058</v>
      </c>
      <c r="H4657" t="s">
        <v>1111</v>
      </c>
      <c r="I4657" t="s">
        <v>5780</v>
      </c>
      <c r="J4657" s="13">
        <v>27750</v>
      </c>
      <c r="K4657">
        <v>1</v>
      </c>
      <c r="L4657" t="s">
        <v>1064</v>
      </c>
      <c r="M4657" t="s">
        <v>5781</v>
      </c>
      <c r="N4657" s="15" t="s">
        <v>6878</v>
      </c>
    </row>
    <row r="4658" spans="1:14" x14ac:dyDescent="0.2">
      <c r="A4658" t="s">
        <v>5787</v>
      </c>
      <c r="B4658" t="s">
        <v>2360</v>
      </c>
      <c r="C4658" s="9">
        <v>45057</v>
      </c>
      <c r="D4658" t="s">
        <v>970</v>
      </c>
      <c r="E4658" s="13">
        <v>7500000</v>
      </c>
      <c r="F4658" s="13">
        <v>416250</v>
      </c>
      <c r="G4658" s="9">
        <v>45058</v>
      </c>
      <c r="H4658" t="s">
        <v>1111</v>
      </c>
      <c r="I4658" t="s">
        <v>5780</v>
      </c>
      <c r="J4658" s="13">
        <v>27750</v>
      </c>
      <c r="K4658">
        <v>1</v>
      </c>
      <c r="L4658" t="s">
        <v>1064</v>
      </c>
      <c r="M4658" t="s">
        <v>5781</v>
      </c>
      <c r="N4658" s="15" t="s">
        <v>6878</v>
      </c>
    </row>
    <row r="4659" spans="1:14" x14ac:dyDescent="0.2">
      <c r="A4659" t="s">
        <v>5788</v>
      </c>
      <c r="B4659" t="s">
        <v>2360</v>
      </c>
      <c r="C4659" s="9">
        <v>45057</v>
      </c>
      <c r="D4659" t="s">
        <v>970</v>
      </c>
      <c r="E4659" s="13">
        <v>7500000</v>
      </c>
      <c r="F4659" s="13">
        <v>416250</v>
      </c>
      <c r="G4659" s="9">
        <v>45058</v>
      </c>
      <c r="H4659" t="s">
        <v>1111</v>
      </c>
      <c r="I4659" t="s">
        <v>5780</v>
      </c>
      <c r="J4659" s="13">
        <v>27750</v>
      </c>
      <c r="K4659">
        <v>1</v>
      </c>
      <c r="L4659" t="s">
        <v>1064</v>
      </c>
      <c r="M4659" t="s">
        <v>5781</v>
      </c>
      <c r="N4659" s="15" t="s">
        <v>6878</v>
      </c>
    </row>
    <row r="4660" spans="1:14" x14ac:dyDescent="0.2">
      <c r="A4660" t="s">
        <v>5789</v>
      </c>
      <c r="B4660" t="s">
        <v>2360</v>
      </c>
      <c r="C4660" s="9">
        <v>45057</v>
      </c>
      <c r="D4660" t="s">
        <v>970</v>
      </c>
      <c r="E4660" s="13">
        <v>7500000</v>
      </c>
      <c r="F4660" s="13">
        <v>416250</v>
      </c>
      <c r="G4660" s="9">
        <v>45058</v>
      </c>
      <c r="H4660" t="s">
        <v>1111</v>
      </c>
      <c r="I4660" t="s">
        <v>5780</v>
      </c>
      <c r="J4660" s="13">
        <v>27750</v>
      </c>
      <c r="K4660">
        <v>1</v>
      </c>
      <c r="L4660" t="s">
        <v>1064</v>
      </c>
      <c r="M4660" t="s">
        <v>5781</v>
      </c>
      <c r="N4660" s="15" t="s">
        <v>6878</v>
      </c>
    </row>
    <row r="4661" spans="1:14" x14ac:dyDescent="0.2">
      <c r="A4661" t="s">
        <v>5790</v>
      </c>
      <c r="B4661" t="s">
        <v>2360</v>
      </c>
      <c r="C4661" s="9">
        <v>45057</v>
      </c>
      <c r="D4661" t="s">
        <v>970</v>
      </c>
      <c r="E4661" s="13">
        <v>7500000</v>
      </c>
      <c r="F4661" s="13">
        <v>416250</v>
      </c>
      <c r="G4661" s="9">
        <v>45058</v>
      </c>
      <c r="H4661" t="s">
        <v>1111</v>
      </c>
      <c r="I4661" t="s">
        <v>5780</v>
      </c>
      <c r="J4661" s="13">
        <v>27750</v>
      </c>
      <c r="K4661">
        <v>1</v>
      </c>
      <c r="L4661" t="s">
        <v>1064</v>
      </c>
      <c r="M4661" t="s">
        <v>5781</v>
      </c>
      <c r="N4661" s="15" t="s">
        <v>6878</v>
      </c>
    </row>
    <row r="4662" spans="1:14" x14ac:dyDescent="0.2">
      <c r="A4662" t="s">
        <v>5791</v>
      </c>
      <c r="B4662" t="s">
        <v>2360</v>
      </c>
      <c r="C4662" s="9">
        <v>45057</v>
      </c>
      <c r="D4662" t="s">
        <v>970</v>
      </c>
      <c r="E4662" s="13">
        <v>7500000</v>
      </c>
      <c r="F4662" s="13">
        <v>416250</v>
      </c>
      <c r="G4662" s="9">
        <v>45058</v>
      </c>
      <c r="H4662" t="s">
        <v>1111</v>
      </c>
      <c r="I4662" t="s">
        <v>5780</v>
      </c>
      <c r="J4662" s="13">
        <v>27750</v>
      </c>
      <c r="K4662">
        <v>1</v>
      </c>
      <c r="L4662" t="s">
        <v>1064</v>
      </c>
      <c r="M4662" t="s">
        <v>5781</v>
      </c>
      <c r="N4662" s="15" t="s">
        <v>6878</v>
      </c>
    </row>
    <row r="4663" spans="1:14" x14ac:dyDescent="0.2">
      <c r="A4663" t="s">
        <v>5792</v>
      </c>
      <c r="B4663" t="s">
        <v>2360</v>
      </c>
      <c r="C4663" s="9">
        <v>45057</v>
      </c>
      <c r="D4663" t="s">
        <v>970</v>
      </c>
      <c r="E4663" s="13">
        <v>7500000</v>
      </c>
      <c r="F4663" s="13">
        <v>416250</v>
      </c>
      <c r="G4663" s="9">
        <v>45058</v>
      </c>
      <c r="H4663" t="s">
        <v>1111</v>
      </c>
      <c r="I4663" t="s">
        <v>5780</v>
      </c>
      <c r="J4663" s="13">
        <v>27750</v>
      </c>
      <c r="K4663">
        <v>1</v>
      </c>
      <c r="L4663" t="s">
        <v>1064</v>
      </c>
      <c r="M4663" t="s">
        <v>5781</v>
      </c>
      <c r="N4663" s="15" t="s">
        <v>6878</v>
      </c>
    </row>
    <row r="4664" spans="1:14" x14ac:dyDescent="0.2">
      <c r="A4664" t="s">
        <v>5793</v>
      </c>
      <c r="B4664" t="s">
        <v>2360</v>
      </c>
      <c r="C4664" s="9">
        <v>45057</v>
      </c>
      <c r="D4664" t="s">
        <v>970</v>
      </c>
      <c r="E4664" s="13">
        <v>7500000</v>
      </c>
      <c r="F4664" s="13">
        <v>416250</v>
      </c>
      <c r="G4664" s="9">
        <v>45058</v>
      </c>
      <c r="H4664" t="s">
        <v>1111</v>
      </c>
      <c r="I4664" t="s">
        <v>5780</v>
      </c>
      <c r="J4664" s="13">
        <v>27750</v>
      </c>
      <c r="K4664">
        <v>1</v>
      </c>
      <c r="L4664" t="s">
        <v>1064</v>
      </c>
      <c r="M4664" t="s">
        <v>5781</v>
      </c>
      <c r="N4664" s="15" t="s">
        <v>6878</v>
      </c>
    </row>
    <row r="4665" spans="1:14" x14ac:dyDescent="0.2">
      <c r="A4665" t="s">
        <v>5794</v>
      </c>
      <c r="B4665" t="s">
        <v>2360</v>
      </c>
      <c r="C4665" s="9">
        <v>45057</v>
      </c>
      <c r="D4665" t="s">
        <v>970</v>
      </c>
      <c r="E4665" s="13">
        <v>7500000</v>
      </c>
      <c r="F4665" s="13">
        <v>416250</v>
      </c>
      <c r="G4665" s="9">
        <v>45058</v>
      </c>
      <c r="H4665" t="s">
        <v>1111</v>
      </c>
      <c r="I4665" t="s">
        <v>5780</v>
      </c>
      <c r="J4665" s="13">
        <v>27750</v>
      </c>
      <c r="K4665">
        <v>1</v>
      </c>
      <c r="L4665" t="s">
        <v>1064</v>
      </c>
      <c r="M4665" t="s">
        <v>5781</v>
      </c>
      <c r="N4665" s="15" t="s">
        <v>6878</v>
      </c>
    </row>
    <row r="4666" spans="1:14" x14ac:dyDescent="0.2">
      <c r="A4666" t="s">
        <v>5795</v>
      </c>
      <c r="B4666" t="s">
        <v>2360</v>
      </c>
      <c r="C4666" s="9">
        <v>45057</v>
      </c>
      <c r="D4666" t="s">
        <v>970</v>
      </c>
      <c r="E4666" s="13">
        <v>7500000</v>
      </c>
      <c r="F4666" s="13">
        <v>416250</v>
      </c>
      <c r="G4666" s="9">
        <v>45058</v>
      </c>
      <c r="H4666" t="s">
        <v>1111</v>
      </c>
      <c r="I4666" t="s">
        <v>5780</v>
      </c>
      <c r="J4666" s="13">
        <v>27750</v>
      </c>
      <c r="K4666">
        <v>1</v>
      </c>
      <c r="L4666" t="s">
        <v>1064</v>
      </c>
      <c r="M4666" t="s">
        <v>5781</v>
      </c>
      <c r="N4666" s="15" t="s">
        <v>6878</v>
      </c>
    </row>
    <row r="4667" spans="1:14" x14ac:dyDescent="0.2">
      <c r="A4667" t="s">
        <v>5796</v>
      </c>
      <c r="B4667" t="s">
        <v>2360</v>
      </c>
      <c r="C4667" s="9">
        <v>45057</v>
      </c>
      <c r="D4667" t="s">
        <v>970</v>
      </c>
      <c r="E4667" s="13">
        <v>7500000</v>
      </c>
      <c r="F4667" s="13">
        <v>416250</v>
      </c>
      <c r="G4667" s="9">
        <v>45058</v>
      </c>
      <c r="H4667" t="s">
        <v>1111</v>
      </c>
      <c r="I4667" t="s">
        <v>5780</v>
      </c>
      <c r="J4667" s="13">
        <v>27750</v>
      </c>
      <c r="K4667">
        <v>1</v>
      </c>
      <c r="L4667" t="s">
        <v>1064</v>
      </c>
      <c r="M4667" t="s">
        <v>5781</v>
      </c>
      <c r="N4667" s="15" t="s">
        <v>6878</v>
      </c>
    </row>
    <row r="4668" spans="1:14" x14ac:dyDescent="0.2">
      <c r="A4668" t="s">
        <v>5797</v>
      </c>
      <c r="B4668" t="s">
        <v>2360</v>
      </c>
      <c r="C4668" s="9">
        <v>45057</v>
      </c>
      <c r="D4668" t="s">
        <v>970</v>
      </c>
      <c r="E4668" s="13">
        <v>7500000</v>
      </c>
      <c r="F4668" s="13">
        <v>416250</v>
      </c>
      <c r="G4668" s="9">
        <v>45058</v>
      </c>
      <c r="H4668" t="s">
        <v>1111</v>
      </c>
      <c r="I4668" t="s">
        <v>5780</v>
      </c>
      <c r="J4668" s="13">
        <v>27750</v>
      </c>
      <c r="K4668">
        <v>1</v>
      </c>
      <c r="L4668" t="s">
        <v>1064</v>
      </c>
      <c r="M4668" t="s">
        <v>5781</v>
      </c>
      <c r="N4668" s="15" t="s">
        <v>6878</v>
      </c>
    </row>
    <row r="4669" spans="1:14" x14ac:dyDescent="0.2">
      <c r="A4669" t="s">
        <v>5798</v>
      </c>
      <c r="B4669" t="s">
        <v>2360</v>
      </c>
      <c r="C4669" s="9">
        <v>45057</v>
      </c>
      <c r="D4669" t="s">
        <v>970</v>
      </c>
      <c r="E4669" s="13">
        <v>7500000</v>
      </c>
      <c r="F4669" s="13">
        <v>416250</v>
      </c>
      <c r="G4669" s="9">
        <v>45058</v>
      </c>
      <c r="H4669" t="s">
        <v>1111</v>
      </c>
      <c r="I4669" t="s">
        <v>5780</v>
      </c>
      <c r="J4669" s="13">
        <v>27750</v>
      </c>
      <c r="K4669">
        <v>1</v>
      </c>
      <c r="L4669" t="s">
        <v>1064</v>
      </c>
      <c r="M4669" t="s">
        <v>5781</v>
      </c>
      <c r="N4669" s="15" t="s">
        <v>6878</v>
      </c>
    </row>
    <row r="4670" spans="1:14" x14ac:dyDescent="0.2">
      <c r="A4670" t="s">
        <v>5799</v>
      </c>
      <c r="B4670" t="s">
        <v>2360</v>
      </c>
      <c r="C4670" s="9">
        <v>45057</v>
      </c>
      <c r="D4670" t="s">
        <v>970</v>
      </c>
      <c r="E4670" s="13">
        <v>7500000</v>
      </c>
      <c r="F4670" s="13">
        <v>416250</v>
      </c>
      <c r="G4670" s="9">
        <v>45058</v>
      </c>
      <c r="H4670" t="s">
        <v>1111</v>
      </c>
      <c r="I4670" t="s">
        <v>5780</v>
      </c>
      <c r="J4670" s="13">
        <v>27750</v>
      </c>
      <c r="K4670">
        <v>1</v>
      </c>
      <c r="L4670" t="s">
        <v>1064</v>
      </c>
      <c r="M4670" t="s">
        <v>5781</v>
      </c>
      <c r="N4670" s="15" t="s">
        <v>6878</v>
      </c>
    </row>
    <row r="4671" spans="1:14" x14ac:dyDescent="0.2">
      <c r="A4671" t="s">
        <v>5800</v>
      </c>
      <c r="B4671" t="s">
        <v>2360</v>
      </c>
      <c r="C4671" s="9">
        <v>45057</v>
      </c>
      <c r="D4671" t="s">
        <v>970</v>
      </c>
      <c r="E4671" s="13">
        <v>7500000</v>
      </c>
      <c r="F4671" s="13">
        <v>416250</v>
      </c>
      <c r="G4671" s="9">
        <v>45058</v>
      </c>
      <c r="H4671" t="s">
        <v>1111</v>
      </c>
      <c r="I4671" t="s">
        <v>5780</v>
      </c>
      <c r="J4671" s="13">
        <v>27750</v>
      </c>
      <c r="K4671">
        <v>1</v>
      </c>
      <c r="L4671" t="s">
        <v>1064</v>
      </c>
      <c r="M4671" t="s">
        <v>5781</v>
      </c>
      <c r="N4671" s="15" t="s">
        <v>6878</v>
      </c>
    </row>
    <row r="4672" spans="1:14" x14ac:dyDescent="0.2">
      <c r="A4672" t="s">
        <v>5801</v>
      </c>
      <c r="B4672" t="s">
        <v>2360</v>
      </c>
      <c r="C4672" s="9">
        <v>45057</v>
      </c>
      <c r="D4672" t="s">
        <v>970</v>
      </c>
      <c r="E4672" s="13">
        <v>7500000</v>
      </c>
      <c r="F4672" s="13">
        <v>416250</v>
      </c>
      <c r="G4672" s="9">
        <v>45058</v>
      </c>
      <c r="H4672" t="s">
        <v>1111</v>
      </c>
      <c r="I4672" t="s">
        <v>5780</v>
      </c>
      <c r="J4672" s="13">
        <v>27750</v>
      </c>
      <c r="K4672">
        <v>1</v>
      </c>
      <c r="L4672" t="s">
        <v>1064</v>
      </c>
      <c r="M4672" t="s">
        <v>5781</v>
      </c>
      <c r="N4672" s="15" t="s">
        <v>6878</v>
      </c>
    </row>
    <row r="4673" spans="1:14" x14ac:dyDescent="0.2">
      <c r="A4673" t="s">
        <v>5802</v>
      </c>
      <c r="B4673" t="s">
        <v>2360</v>
      </c>
      <c r="C4673" s="9">
        <v>45057</v>
      </c>
      <c r="D4673" t="s">
        <v>970</v>
      </c>
      <c r="E4673" s="13">
        <v>7500000</v>
      </c>
      <c r="F4673" s="13">
        <v>416250</v>
      </c>
      <c r="G4673" s="9">
        <v>45058</v>
      </c>
      <c r="H4673" t="s">
        <v>1111</v>
      </c>
      <c r="I4673" t="s">
        <v>5780</v>
      </c>
      <c r="J4673" s="13">
        <v>27750</v>
      </c>
      <c r="K4673">
        <v>1</v>
      </c>
      <c r="L4673" t="s">
        <v>1064</v>
      </c>
      <c r="M4673" t="s">
        <v>5781</v>
      </c>
      <c r="N4673" s="15" t="s">
        <v>6878</v>
      </c>
    </row>
    <row r="4674" spans="1:14" x14ac:dyDescent="0.2">
      <c r="A4674" t="s">
        <v>5803</v>
      </c>
      <c r="B4674" t="s">
        <v>2360</v>
      </c>
      <c r="C4674" s="9">
        <v>45057</v>
      </c>
      <c r="D4674" t="s">
        <v>970</v>
      </c>
      <c r="E4674" s="13">
        <v>7500000</v>
      </c>
      <c r="F4674" s="13">
        <v>416250</v>
      </c>
      <c r="G4674" s="9">
        <v>45058</v>
      </c>
      <c r="H4674" t="s">
        <v>1111</v>
      </c>
      <c r="I4674" t="s">
        <v>5780</v>
      </c>
      <c r="J4674" s="13">
        <v>27750</v>
      </c>
      <c r="K4674">
        <v>1</v>
      </c>
      <c r="L4674" t="s">
        <v>1064</v>
      </c>
      <c r="M4674" t="s">
        <v>5781</v>
      </c>
      <c r="N4674" s="15" t="s">
        <v>6878</v>
      </c>
    </row>
    <row r="4675" spans="1:14" x14ac:dyDescent="0.2">
      <c r="A4675" t="s">
        <v>5804</v>
      </c>
      <c r="B4675" t="s">
        <v>2360</v>
      </c>
      <c r="C4675" s="9">
        <v>45057</v>
      </c>
      <c r="D4675" t="s">
        <v>992</v>
      </c>
      <c r="E4675" s="13">
        <v>1541775</v>
      </c>
      <c r="F4675" s="13">
        <v>22200</v>
      </c>
      <c r="G4675" s="9">
        <v>45058</v>
      </c>
      <c r="H4675" t="s">
        <v>1111</v>
      </c>
      <c r="I4675" t="s">
        <v>2370</v>
      </c>
      <c r="J4675" s="13">
        <v>68454</v>
      </c>
      <c r="K4675">
        <v>1</v>
      </c>
      <c r="L4675" t="s">
        <v>1064</v>
      </c>
      <c r="M4675" t="s">
        <v>2371</v>
      </c>
      <c r="N4675" s="15" t="s">
        <v>6878</v>
      </c>
    </row>
    <row r="4676" spans="1:14" x14ac:dyDescent="0.2">
      <c r="A4676" t="s">
        <v>5805</v>
      </c>
      <c r="B4676" t="s">
        <v>2360</v>
      </c>
      <c r="C4676" s="9">
        <v>45057</v>
      </c>
      <c r="D4676" t="s">
        <v>992</v>
      </c>
      <c r="E4676" s="13">
        <v>2865376</v>
      </c>
      <c r="F4676" s="13">
        <v>22200</v>
      </c>
      <c r="G4676" s="9">
        <v>45058</v>
      </c>
      <c r="H4676" t="s">
        <v>1111</v>
      </c>
      <c r="I4676" t="s">
        <v>2370</v>
      </c>
      <c r="J4676" s="13">
        <v>127222</v>
      </c>
      <c r="K4676">
        <v>1</v>
      </c>
      <c r="L4676" t="s">
        <v>1064</v>
      </c>
      <c r="M4676" t="s">
        <v>2371</v>
      </c>
      <c r="N4676" s="15" t="s">
        <v>6878</v>
      </c>
    </row>
    <row r="4677" spans="1:14" x14ac:dyDescent="0.2">
      <c r="A4677" t="s">
        <v>5806</v>
      </c>
      <c r="B4677" t="s">
        <v>2360</v>
      </c>
      <c r="C4677" s="9">
        <v>45057</v>
      </c>
      <c r="D4677" t="s">
        <v>992</v>
      </c>
      <c r="E4677" s="13">
        <v>2889438</v>
      </c>
      <c r="F4677" s="13">
        <v>22200</v>
      </c>
      <c r="G4677" s="9">
        <v>45058</v>
      </c>
      <c r="H4677" t="s">
        <v>1111</v>
      </c>
      <c r="I4677" t="s">
        <v>2370</v>
      </c>
      <c r="J4677" s="13">
        <v>128290</v>
      </c>
      <c r="K4677">
        <v>1</v>
      </c>
      <c r="L4677" t="s">
        <v>1064</v>
      </c>
      <c r="M4677" t="s">
        <v>2371</v>
      </c>
      <c r="N4677" s="15" t="s">
        <v>6878</v>
      </c>
    </row>
    <row r="4678" spans="1:14" x14ac:dyDescent="0.2">
      <c r="A4678" t="s">
        <v>5807</v>
      </c>
      <c r="B4678" t="s">
        <v>2360</v>
      </c>
      <c r="C4678" s="9">
        <v>45058</v>
      </c>
      <c r="D4678" t="s">
        <v>9</v>
      </c>
      <c r="E4678" s="13">
        <v>6423900</v>
      </c>
      <c r="F4678" s="13">
        <v>24975</v>
      </c>
      <c r="G4678" s="9">
        <v>45070</v>
      </c>
      <c r="H4678" t="s">
        <v>1111</v>
      </c>
      <c r="I4678" t="s">
        <v>2361</v>
      </c>
      <c r="J4678" s="13">
        <v>213915</v>
      </c>
      <c r="K4678">
        <v>1</v>
      </c>
      <c r="L4678" t="s">
        <v>1064</v>
      </c>
      <c r="M4678" t="s">
        <v>2362</v>
      </c>
      <c r="N4678" s="15" t="s">
        <v>6878</v>
      </c>
    </row>
    <row r="4679" spans="1:14" x14ac:dyDescent="0.2">
      <c r="A4679" t="s">
        <v>5808</v>
      </c>
      <c r="B4679" t="s">
        <v>2360</v>
      </c>
      <c r="C4679" s="9">
        <v>45058</v>
      </c>
      <c r="D4679" t="s">
        <v>651</v>
      </c>
      <c r="E4679" s="13">
        <v>1600000</v>
      </c>
      <c r="F4679" s="13">
        <v>71040</v>
      </c>
      <c r="G4679" s="9">
        <v>45060</v>
      </c>
      <c r="H4679" t="s">
        <v>1111</v>
      </c>
      <c r="I4679" t="s">
        <v>5809</v>
      </c>
      <c r="J4679" s="13">
        <v>27750</v>
      </c>
      <c r="K4679">
        <v>1</v>
      </c>
      <c r="L4679" t="s">
        <v>1064</v>
      </c>
      <c r="M4679" t="s">
        <v>5810</v>
      </c>
      <c r="N4679" s="15" t="s">
        <v>6878</v>
      </c>
    </row>
    <row r="4680" spans="1:14" x14ac:dyDescent="0.2">
      <c r="A4680" t="s">
        <v>5811</v>
      </c>
      <c r="B4680" t="s">
        <v>2360</v>
      </c>
      <c r="C4680" s="9">
        <v>45058</v>
      </c>
      <c r="D4680" t="s">
        <v>992</v>
      </c>
      <c r="E4680" s="13">
        <v>928856</v>
      </c>
      <c r="F4680" s="13">
        <v>22200</v>
      </c>
      <c r="G4680" s="9">
        <v>45059</v>
      </c>
      <c r="H4680" t="s">
        <v>1111</v>
      </c>
      <c r="I4680" t="s">
        <v>2370</v>
      </c>
      <c r="J4680" s="13">
        <v>41240</v>
      </c>
      <c r="K4680">
        <v>1</v>
      </c>
      <c r="L4680" t="s">
        <v>1064</v>
      </c>
      <c r="M4680" t="s">
        <v>2371</v>
      </c>
      <c r="N4680" s="15" t="s">
        <v>6878</v>
      </c>
    </row>
    <row r="4681" spans="1:14" x14ac:dyDescent="0.2">
      <c r="A4681" t="s">
        <v>5812</v>
      </c>
      <c r="B4681" t="s">
        <v>2360</v>
      </c>
      <c r="C4681" s="9">
        <v>45058</v>
      </c>
      <c r="D4681" t="s">
        <v>992</v>
      </c>
      <c r="E4681" s="13">
        <v>1407312</v>
      </c>
      <c r="F4681" s="13">
        <v>22200</v>
      </c>
      <c r="G4681" s="9">
        <v>45059</v>
      </c>
      <c r="H4681" t="s">
        <v>1111</v>
      </c>
      <c r="I4681" t="s">
        <v>2370</v>
      </c>
      <c r="J4681" s="13">
        <v>62484</v>
      </c>
      <c r="K4681">
        <v>1</v>
      </c>
      <c r="L4681" t="s">
        <v>1064</v>
      </c>
      <c r="M4681" t="s">
        <v>2371</v>
      </c>
      <c r="N4681" s="15" t="s">
        <v>6878</v>
      </c>
    </row>
    <row r="4682" spans="1:14" x14ac:dyDescent="0.2">
      <c r="A4682" t="s">
        <v>5813</v>
      </c>
      <c r="B4682" t="s">
        <v>2360</v>
      </c>
      <c r="C4682" s="9">
        <v>45058</v>
      </c>
      <c r="D4682" t="s">
        <v>1024</v>
      </c>
      <c r="E4682" s="13">
        <v>4238227</v>
      </c>
      <c r="F4682" s="13">
        <v>27750</v>
      </c>
      <c r="G4682" s="9">
        <v>45059</v>
      </c>
      <c r="H4682" t="s">
        <v>1111</v>
      </c>
      <c r="I4682" t="s">
        <v>5814</v>
      </c>
      <c r="J4682" s="13">
        <v>164654</v>
      </c>
      <c r="K4682">
        <v>1</v>
      </c>
      <c r="L4682" t="s">
        <v>1064</v>
      </c>
      <c r="M4682" t="s">
        <v>5815</v>
      </c>
      <c r="N4682" s="15" t="s">
        <v>6878</v>
      </c>
    </row>
    <row r="4683" spans="1:14" x14ac:dyDescent="0.2">
      <c r="A4683" t="s">
        <v>5816</v>
      </c>
      <c r="B4683" t="s">
        <v>2360</v>
      </c>
      <c r="C4683" s="9">
        <v>45058</v>
      </c>
      <c r="D4683" t="s">
        <v>1024</v>
      </c>
      <c r="E4683" s="13">
        <v>4364133</v>
      </c>
      <c r="F4683" s="13">
        <v>27750</v>
      </c>
      <c r="G4683" s="9">
        <v>45059</v>
      </c>
      <c r="H4683" t="s">
        <v>1111</v>
      </c>
      <c r="I4683" t="s">
        <v>5814</v>
      </c>
      <c r="J4683" s="13">
        <v>169545</v>
      </c>
      <c r="K4683">
        <v>1</v>
      </c>
      <c r="L4683" t="s">
        <v>1064</v>
      </c>
      <c r="M4683" t="s">
        <v>5815</v>
      </c>
      <c r="N4683" s="15" t="s">
        <v>6878</v>
      </c>
    </row>
    <row r="4684" spans="1:14" x14ac:dyDescent="0.2">
      <c r="A4684" t="s">
        <v>5817</v>
      </c>
      <c r="B4684" t="s">
        <v>2360</v>
      </c>
      <c r="C4684" s="9">
        <v>45058</v>
      </c>
      <c r="D4684" t="s">
        <v>1024</v>
      </c>
      <c r="E4684" s="13">
        <v>4040137</v>
      </c>
      <c r="F4684" s="13">
        <v>27750</v>
      </c>
      <c r="G4684" s="9">
        <v>45059</v>
      </c>
      <c r="H4684" t="s">
        <v>1111</v>
      </c>
      <c r="I4684" t="s">
        <v>5814</v>
      </c>
      <c r="J4684" s="13">
        <v>156958</v>
      </c>
      <c r="K4684">
        <v>1</v>
      </c>
      <c r="L4684" t="s">
        <v>1064</v>
      </c>
      <c r="M4684" t="s">
        <v>5815</v>
      </c>
      <c r="N4684" s="15" t="s">
        <v>6878</v>
      </c>
    </row>
    <row r="4685" spans="1:14" x14ac:dyDescent="0.2">
      <c r="A4685" t="s">
        <v>5818</v>
      </c>
      <c r="B4685" t="s">
        <v>2360</v>
      </c>
      <c r="C4685" s="9">
        <v>45058</v>
      </c>
      <c r="D4685" t="s">
        <v>1024</v>
      </c>
      <c r="E4685" s="13">
        <v>4364133</v>
      </c>
      <c r="F4685" s="13">
        <v>27750</v>
      </c>
      <c r="G4685" s="9">
        <v>45059</v>
      </c>
      <c r="H4685" t="s">
        <v>1111</v>
      </c>
      <c r="I4685" t="s">
        <v>5814</v>
      </c>
      <c r="J4685" s="13">
        <v>169545</v>
      </c>
      <c r="K4685">
        <v>1</v>
      </c>
      <c r="L4685" t="s">
        <v>1064</v>
      </c>
      <c r="M4685" t="s">
        <v>5815</v>
      </c>
      <c r="N4685" s="15" t="s">
        <v>6878</v>
      </c>
    </row>
    <row r="4686" spans="1:14" x14ac:dyDescent="0.2">
      <c r="A4686" t="s">
        <v>5819</v>
      </c>
      <c r="B4686" t="s">
        <v>2360</v>
      </c>
      <c r="C4686" s="9">
        <v>45058</v>
      </c>
      <c r="D4686" t="s">
        <v>1024</v>
      </c>
      <c r="E4686" s="13">
        <v>4083920</v>
      </c>
      <c r="F4686" s="13">
        <v>27750</v>
      </c>
      <c r="G4686" s="9">
        <v>45059</v>
      </c>
      <c r="H4686" t="s">
        <v>1111</v>
      </c>
      <c r="I4686" t="s">
        <v>5814</v>
      </c>
      <c r="J4686" s="13">
        <v>158660</v>
      </c>
      <c r="K4686">
        <v>1</v>
      </c>
      <c r="L4686" t="s">
        <v>1064</v>
      </c>
      <c r="M4686" t="s">
        <v>5815</v>
      </c>
      <c r="N4686" s="15" t="s">
        <v>6878</v>
      </c>
    </row>
    <row r="4687" spans="1:14" x14ac:dyDescent="0.2">
      <c r="A4687" t="s">
        <v>5820</v>
      </c>
      <c r="B4687" t="s">
        <v>2360</v>
      </c>
      <c r="C4687" s="9">
        <v>45058</v>
      </c>
      <c r="D4687" t="s">
        <v>1024</v>
      </c>
      <c r="E4687" s="13">
        <v>4238227</v>
      </c>
      <c r="F4687" s="13">
        <v>27750</v>
      </c>
      <c r="G4687" s="9">
        <v>45059</v>
      </c>
      <c r="H4687" t="s">
        <v>1111</v>
      </c>
      <c r="I4687" t="s">
        <v>5814</v>
      </c>
      <c r="J4687" s="13">
        <v>164654</v>
      </c>
      <c r="K4687">
        <v>1</v>
      </c>
      <c r="L4687" t="s">
        <v>1064</v>
      </c>
      <c r="M4687" t="s">
        <v>5815</v>
      </c>
      <c r="N4687" s="15" t="s">
        <v>6878</v>
      </c>
    </row>
    <row r="4688" spans="1:14" x14ac:dyDescent="0.2">
      <c r="A4688" t="s">
        <v>5821</v>
      </c>
      <c r="B4688" t="s">
        <v>2360</v>
      </c>
      <c r="C4688" s="9">
        <v>45058</v>
      </c>
      <c r="D4688" t="s">
        <v>1024</v>
      </c>
      <c r="E4688" s="13">
        <v>4238227</v>
      </c>
      <c r="F4688" s="13">
        <v>27750</v>
      </c>
      <c r="G4688" s="9">
        <v>45059</v>
      </c>
      <c r="H4688" t="s">
        <v>1111</v>
      </c>
      <c r="I4688" t="s">
        <v>5814</v>
      </c>
      <c r="J4688" s="13">
        <v>164654</v>
      </c>
      <c r="K4688">
        <v>1</v>
      </c>
      <c r="L4688" t="s">
        <v>1064</v>
      </c>
      <c r="M4688" t="s">
        <v>5815</v>
      </c>
      <c r="N4688" s="15" t="s">
        <v>6878</v>
      </c>
    </row>
    <row r="4689" spans="1:14" x14ac:dyDescent="0.2">
      <c r="A4689" t="s">
        <v>5822</v>
      </c>
      <c r="B4689" t="s">
        <v>2360</v>
      </c>
      <c r="C4689" s="9">
        <v>45058</v>
      </c>
      <c r="D4689" t="s">
        <v>1024</v>
      </c>
      <c r="E4689" s="13">
        <v>4238227</v>
      </c>
      <c r="F4689" s="13">
        <v>27750</v>
      </c>
      <c r="G4689" s="9">
        <v>45059</v>
      </c>
      <c r="H4689" t="s">
        <v>1111</v>
      </c>
      <c r="I4689" t="s">
        <v>5814</v>
      </c>
      <c r="J4689" s="13">
        <v>164654</v>
      </c>
      <c r="K4689">
        <v>1</v>
      </c>
      <c r="L4689" t="s">
        <v>1064</v>
      </c>
      <c r="M4689" t="s">
        <v>5815</v>
      </c>
      <c r="N4689" s="15" t="s">
        <v>6878</v>
      </c>
    </row>
    <row r="4690" spans="1:14" x14ac:dyDescent="0.2">
      <c r="A4690" t="s">
        <v>5823</v>
      </c>
      <c r="B4690" t="s">
        <v>2360</v>
      </c>
      <c r="C4690" s="9">
        <v>45058</v>
      </c>
      <c r="D4690" t="s">
        <v>1024</v>
      </c>
      <c r="E4690" s="13">
        <v>4320367</v>
      </c>
      <c r="F4690" s="13">
        <v>27750</v>
      </c>
      <c r="G4690" s="9">
        <v>45059</v>
      </c>
      <c r="H4690" t="s">
        <v>1111</v>
      </c>
      <c r="I4690" t="s">
        <v>5814</v>
      </c>
      <c r="J4690" s="13">
        <v>167845</v>
      </c>
      <c r="K4690">
        <v>1</v>
      </c>
      <c r="L4690" t="s">
        <v>1064</v>
      </c>
      <c r="M4690" t="s">
        <v>5815</v>
      </c>
      <c r="N4690" s="15" t="s">
        <v>6878</v>
      </c>
    </row>
    <row r="4691" spans="1:14" x14ac:dyDescent="0.2">
      <c r="A4691" t="s">
        <v>5824</v>
      </c>
      <c r="B4691" t="s">
        <v>2360</v>
      </c>
      <c r="C4691" s="9">
        <v>45058</v>
      </c>
      <c r="D4691" t="s">
        <v>1024</v>
      </c>
      <c r="E4691" s="13">
        <v>4238227</v>
      </c>
      <c r="F4691" s="13">
        <v>27750</v>
      </c>
      <c r="G4691" s="9">
        <v>45059</v>
      </c>
      <c r="H4691" t="s">
        <v>1111</v>
      </c>
      <c r="I4691" t="s">
        <v>5814</v>
      </c>
      <c r="J4691" s="13">
        <v>164654</v>
      </c>
      <c r="K4691">
        <v>1</v>
      </c>
      <c r="L4691" t="s">
        <v>1064</v>
      </c>
      <c r="M4691" t="s">
        <v>5815</v>
      </c>
      <c r="N4691" s="15" t="s">
        <v>6878</v>
      </c>
    </row>
    <row r="4692" spans="1:14" x14ac:dyDescent="0.2">
      <c r="A4692" t="s">
        <v>5825</v>
      </c>
      <c r="B4692" t="s">
        <v>2360</v>
      </c>
      <c r="C4692" s="9">
        <v>45058</v>
      </c>
      <c r="D4692" t="s">
        <v>1024</v>
      </c>
      <c r="E4692" s="13">
        <v>4238227</v>
      </c>
      <c r="F4692" s="13">
        <v>27750</v>
      </c>
      <c r="G4692" s="9">
        <v>45059</v>
      </c>
      <c r="H4692" t="s">
        <v>1111</v>
      </c>
      <c r="I4692" t="s">
        <v>5814</v>
      </c>
      <c r="J4692" s="13">
        <v>164654</v>
      </c>
      <c r="K4692">
        <v>1</v>
      </c>
      <c r="L4692" t="s">
        <v>1064</v>
      </c>
      <c r="M4692" t="s">
        <v>5815</v>
      </c>
      <c r="N4692" s="15" t="s">
        <v>6878</v>
      </c>
    </row>
    <row r="4693" spans="1:14" x14ac:dyDescent="0.2">
      <c r="A4693" t="s">
        <v>5826</v>
      </c>
      <c r="B4693" t="s">
        <v>2360</v>
      </c>
      <c r="C4693" s="9">
        <v>45058</v>
      </c>
      <c r="D4693" t="s">
        <v>1024</v>
      </c>
      <c r="E4693" s="13">
        <v>4000000</v>
      </c>
      <c r="F4693" s="13">
        <v>25000</v>
      </c>
      <c r="H4693" t="s">
        <v>2272</v>
      </c>
      <c r="I4693" t="s">
        <v>5814</v>
      </c>
      <c r="J4693" s="13">
        <v>0</v>
      </c>
      <c r="K4693">
        <v>1</v>
      </c>
      <c r="L4693" t="s">
        <v>1064</v>
      </c>
      <c r="M4693" t="s">
        <v>5815</v>
      </c>
      <c r="N4693" s="14" t="s">
        <v>6877</v>
      </c>
    </row>
    <row r="4694" spans="1:14" x14ac:dyDescent="0.2">
      <c r="A4694" t="s">
        <v>5827</v>
      </c>
      <c r="B4694" t="s">
        <v>2360</v>
      </c>
      <c r="C4694" s="9">
        <v>45058</v>
      </c>
      <c r="D4694" t="s">
        <v>1024</v>
      </c>
      <c r="E4694" s="13">
        <v>4238227</v>
      </c>
      <c r="F4694" s="13">
        <v>27750</v>
      </c>
      <c r="G4694" s="9">
        <v>45059</v>
      </c>
      <c r="H4694" t="s">
        <v>1111</v>
      </c>
      <c r="I4694" t="s">
        <v>5814</v>
      </c>
      <c r="J4694" s="13">
        <v>164654</v>
      </c>
      <c r="K4694">
        <v>1</v>
      </c>
      <c r="L4694" t="s">
        <v>1064</v>
      </c>
      <c r="M4694" t="s">
        <v>5815</v>
      </c>
      <c r="N4694" s="15" t="s">
        <v>6878</v>
      </c>
    </row>
    <row r="4695" spans="1:14" x14ac:dyDescent="0.2">
      <c r="A4695" t="s">
        <v>5828</v>
      </c>
      <c r="B4695" t="s">
        <v>2360</v>
      </c>
      <c r="C4695" s="9">
        <v>45058</v>
      </c>
      <c r="D4695" t="s">
        <v>1024</v>
      </c>
      <c r="E4695" s="13">
        <v>4083920</v>
      </c>
      <c r="F4695" s="13">
        <v>27750</v>
      </c>
      <c r="G4695" s="9">
        <v>45059</v>
      </c>
      <c r="H4695" t="s">
        <v>1111</v>
      </c>
      <c r="I4695" t="s">
        <v>5814</v>
      </c>
      <c r="J4695" s="13">
        <v>158660</v>
      </c>
      <c r="K4695">
        <v>1</v>
      </c>
      <c r="L4695" t="s">
        <v>1064</v>
      </c>
      <c r="M4695" t="s">
        <v>5815</v>
      </c>
      <c r="N4695" s="15" t="s">
        <v>6878</v>
      </c>
    </row>
    <row r="4696" spans="1:14" x14ac:dyDescent="0.2">
      <c r="A4696" t="s">
        <v>5829</v>
      </c>
      <c r="B4696" t="s">
        <v>2360</v>
      </c>
      <c r="C4696" s="9">
        <v>45058</v>
      </c>
      <c r="D4696" t="s">
        <v>1024</v>
      </c>
      <c r="E4696" s="13">
        <v>4238227</v>
      </c>
      <c r="F4696" s="13">
        <v>27750</v>
      </c>
      <c r="G4696" s="9">
        <v>45059</v>
      </c>
      <c r="H4696" t="s">
        <v>1111</v>
      </c>
      <c r="I4696" t="s">
        <v>5814</v>
      </c>
      <c r="J4696" s="13">
        <v>164654</v>
      </c>
      <c r="K4696">
        <v>1</v>
      </c>
      <c r="L4696" t="s">
        <v>1064</v>
      </c>
      <c r="M4696" t="s">
        <v>5815</v>
      </c>
      <c r="N4696" s="15" t="s">
        <v>6878</v>
      </c>
    </row>
    <row r="4697" spans="1:14" x14ac:dyDescent="0.2">
      <c r="A4697" t="s">
        <v>5830</v>
      </c>
      <c r="B4697" t="s">
        <v>2360</v>
      </c>
      <c r="C4697" s="9">
        <v>45058</v>
      </c>
      <c r="D4697" t="s">
        <v>1024</v>
      </c>
      <c r="E4697" s="13">
        <v>4364133</v>
      </c>
      <c r="F4697" s="13">
        <v>27750</v>
      </c>
      <c r="G4697" s="9">
        <v>45059</v>
      </c>
      <c r="H4697" t="s">
        <v>1111</v>
      </c>
      <c r="I4697" t="s">
        <v>5814</v>
      </c>
      <c r="J4697" s="13">
        <v>169545</v>
      </c>
      <c r="K4697">
        <v>1</v>
      </c>
      <c r="L4697" t="s">
        <v>1064</v>
      </c>
      <c r="M4697" t="s">
        <v>5815</v>
      </c>
      <c r="N4697" s="15" t="s">
        <v>6878</v>
      </c>
    </row>
    <row r="4698" spans="1:14" x14ac:dyDescent="0.2">
      <c r="A4698" t="s">
        <v>5831</v>
      </c>
      <c r="B4698" t="s">
        <v>2360</v>
      </c>
      <c r="C4698" s="9">
        <v>45058</v>
      </c>
      <c r="D4698" t="s">
        <v>1024</v>
      </c>
      <c r="E4698" s="13">
        <v>4040137</v>
      </c>
      <c r="F4698" s="13">
        <v>27750</v>
      </c>
      <c r="G4698" s="9">
        <v>45059</v>
      </c>
      <c r="H4698" t="s">
        <v>1111</v>
      </c>
      <c r="I4698" t="s">
        <v>5814</v>
      </c>
      <c r="J4698" s="13">
        <v>156958</v>
      </c>
      <c r="K4698">
        <v>1</v>
      </c>
      <c r="L4698" t="s">
        <v>1064</v>
      </c>
      <c r="M4698" t="s">
        <v>5815</v>
      </c>
      <c r="N4698" s="15" t="s">
        <v>6878</v>
      </c>
    </row>
    <row r="4699" spans="1:14" x14ac:dyDescent="0.2">
      <c r="A4699" t="s">
        <v>5832</v>
      </c>
      <c r="B4699" t="s">
        <v>2360</v>
      </c>
      <c r="C4699" s="9">
        <v>45058</v>
      </c>
      <c r="D4699" t="s">
        <v>1024</v>
      </c>
      <c r="E4699" s="13">
        <v>3562853</v>
      </c>
      <c r="F4699" s="13">
        <v>27750</v>
      </c>
      <c r="G4699" s="9">
        <v>45059</v>
      </c>
      <c r="H4699" t="s">
        <v>1111</v>
      </c>
      <c r="I4699" t="s">
        <v>5814</v>
      </c>
      <c r="J4699" s="13">
        <v>138415</v>
      </c>
      <c r="K4699">
        <v>1</v>
      </c>
      <c r="L4699" t="s">
        <v>1064</v>
      </c>
      <c r="M4699" t="s">
        <v>5815</v>
      </c>
      <c r="N4699" s="15" t="s">
        <v>6878</v>
      </c>
    </row>
    <row r="4700" spans="1:14" x14ac:dyDescent="0.2">
      <c r="A4700" t="s">
        <v>5833</v>
      </c>
      <c r="B4700" t="s">
        <v>2360</v>
      </c>
      <c r="C4700" s="9">
        <v>45058</v>
      </c>
      <c r="D4700" t="s">
        <v>1024</v>
      </c>
      <c r="E4700" s="13">
        <v>4000000</v>
      </c>
      <c r="F4700" s="13">
        <v>25000</v>
      </c>
      <c r="H4700" t="s">
        <v>2184</v>
      </c>
      <c r="I4700" t="s">
        <v>5814</v>
      </c>
      <c r="J4700" s="13">
        <v>0</v>
      </c>
      <c r="K4700">
        <v>1</v>
      </c>
      <c r="L4700" t="s">
        <v>1064</v>
      </c>
      <c r="M4700" t="s">
        <v>5815</v>
      </c>
      <c r="N4700" s="14" t="s">
        <v>6877</v>
      </c>
    </row>
    <row r="4701" spans="1:14" x14ac:dyDescent="0.2">
      <c r="A4701" t="s">
        <v>5834</v>
      </c>
      <c r="B4701" t="s">
        <v>2360</v>
      </c>
      <c r="C4701" s="9">
        <v>45058</v>
      </c>
      <c r="D4701" t="s">
        <v>1024</v>
      </c>
      <c r="E4701" s="13">
        <v>4040137</v>
      </c>
      <c r="F4701" s="13">
        <v>27750</v>
      </c>
      <c r="G4701" s="9">
        <v>45060</v>
      </c>
      <c r="H4701" t="s">
        <v>1111</v>
      </c>
      <c r="I4701" t="s">
        <v>5814</v>
      </c>
      <c r="J4701" s="13">
        <v>156958</v>
      </c>
      <c r="K4701">
        <v>1</v>
      </c>
      <c r="L4701" t="s">
        <v>1064</v>
      </c>
      <c r="M4701" t="s">
        <v>5815</v>
      </c>
      <c r="N4701" s="15" t="s">
        <v>6878</v>
      </c>
    </row>
    <row r="4702" spans="1:14" x14ac:dyDescent="0.2">
      <c r="A4702" t="s">
        <v>5835</v>
      </c>
      <c r="B4702" t="s">
        <v>2360</v>
      </c>
      <c r="C4702" s="9">
        <v>45058</v>
      </c>
      <c r="D4702" t="s">
        <v>1024</v>
      </c>
      <c r="E4702" s="13">
        <v>4359360</v>
      </c>
      <c r="F4702" s="13">
        <v>27750</v>
      </c>
      <c r="G4702" s="9">
        <v>45059</v>
      </c>
      <c r="H4702" t="s">
        <v>1111</v>
      </c>
      <c r="I4702" t="s">
        <v>5814</v>
      </c>
      <c r="J4702" s="13">
        <v>169360</v>
      </c>
      <c r="K4702">
        <v>1</v>
      </c>
      <c r="L4702" t="s">
        <v>1064</v>
      </c>
      <c r="M4702" t="s">
        <v>5815</v>
      </c>
      <c r="N4702" s="15" t="s">
        <v>6878</v>
      </c>
    </row>
    <row r="4703" spans="1:14" x14ac:dyDescent="0.2">
      <c r="A4703" t="s">
        <v>5836</v>
      </c>
      <c r="B4703" t="s">
        <v>2360</v>
      </c>
      <c r="C4703" s="9">
        <v>45058</v>
      </c>
      <c r="D4703" t="s">
        <v>1024</v>
      </c>
      <c r="E4703" s="13">
        <v>3681113</v>
      </c>
      <c r="F4703" s="13">
        <v>27750</v>
      </c>
      <c r="G4703" s="9">
        <v>45059</v>
      </c>
      <c r="H4703" t="s">
        <v>1111</v>
      </c>
      <c r="I4703" t="s">
        <v>5814</v>
      </c>
      <c r="J4703" s="13">
        <v>143010</v>
      </c>
      <c r="K4703">
        <v>1</v>
      </c>
      <c r="L4703" t="s">
        <v>1064</v>
      </c>
      <c r="M4703" t="s">
        <v>5815</v>
      </c>
      <c r="N4703" s="15" t="s">
        <v>6878</v>
      </c>
    </row>
    <row r="4704" spans="1:14" x14ac:dyDescent="0.2">
      <c r="A4704" t="s">
        <v>5837</v>
      </c>
      <c r="B4704" t="s">
        <v>2360</v>
      </c>
      <c r="C4704" s="9">
        <v>45058</v>
      </c>
      <c r="D4704" t="s">
        <v>1024</v>
      </c>
      <c r="E4704" s="13">
        <v>4238227</v>
      </c>
      <c r="F4704" s="13">
        <v>27750</v>
      </c>
      <c r="G4704" s="9">
        <v>45059</v>
      </c>
      <c r="H4704" t="s">
        <v>1111</v>
      </c>
      <c r="I4704" t="s">
        <v>5814</v>
      </c>
      <c r="J4704" s="13">
        <v>164654</v>
      </c>
      <c r="K4704">
        <v>1</v>
      </c>
      <c r="L4704" t="s">
        <v>1064</v>
      </c>
      <c r="M4704" t="s">
        <v>5815</v>
      </c>
      <c r="N4704" s="15" t="s">
        <v>6878</v>
      </c>
    </row>
    <row r="4705" spans="1:14" x14ac:dyDescent="0.2">
      <c r="A4705" t="s">
        <v>5838</v>
      </c>
      <c r="B4705" t="s">
        <v>2360</v>
      </c>
      <c r="C4705" s="9">
        <v>45058</v>
      </c>
      <c r="D4705" t="s">
        <v>1024</v>
      </c>
      <c r="E4705" s="13">
        <v>4238227</v>
      </c>
      <c r="F4705" s="13">
        <v>27750</v>
      </c>
      <c r="G4705" s="9">
        <v>45059</v>
      </c>
      <c r="H4705" t="s">
        <v>1111</v>
      </c>
      <c r="I4705" t="s">
        <v>5814</v>
      </c>
      <c r="J4705" s="13">
        <v>164654</v>
      </c>
      <c r="K4705">
        <v>1</v>
      </c>
      <c r="L4705" t="s">
        <v>1064</v>
      </c>
      <c r="M4705" t="s">
        <v>5815</v>
      </c>
      <c r="N4705" s="15" t="s">
        <v>6878</v>
      </c>
    </row>
    <row r="4706" spans="1:14" x14ac:dyDescent="0.2">
      <c r="A4706" t="s">
        <v>5839</v>
      </c>
      <c r="B4706" t="s">
        <v>2360</v>
      </c>
      <c r="C4706" s="9">
        <v>45058</v>
      </c>
      <c r="D4706" t="s">
        <v>1024</v>
      </c>
      <c r="E4706" s="13">
        <v>3400900</v>
      </c>
      <c r="F4706" s="13">
        <v>27750</v>
      </c>
      <c r="G4706" s="9">
        <v>45059</v>
      </c>
      <c r="H4706" t="s">
        <v>1111</v>
      </c>
      <c r="I4706" t="s">
        <v>5814</v>
      </c>
      <c r="J4706" s="13">
        <v>132124</v>
      </c>
      <c r="K4706">
        <v>1</v>
      </c>
      <c r="L4706" t="s">
        <v>1064</v>
      </c>
      <c r="M4706" t="s">
        <v>5815</v>
      </c>
      <c r="N4706" s="15" t="s">
        <v>6878</v>
      </c>
    </row>
    <row r="4707" spans="1:14" x14ac:dyDescent="0.2">
      <c r="A4707" t="s">
        <v>5840</v>
      </c>
      <c r="B4707" t="s">
        <v>2360</v>
      </c>
      <c r="C4707" s="9">
        <v>45058</v>
      </c>
      <c r="D4707" t="s">
        <v>1024</v>
      </c>
      <c r="E4707" s="13">
        <v>3562853</v>
      </c>
      <c r="F4707" s="13">
        <v>27750</v>
      </c>
      <c r="G4707" s="9">
        <v>45059</v>
      </c>
      <c r="H4707" t="s">
        <v>1111</v>
      </c>
      <c r="I4707" t="s">
        <v>5814</v>
      </c>
      <c r="J4707" s="13">
        <v>138415</v>
      </c>
      <c r="K4707">
        <v>1</v>
      </c>
      <c r="L4707" t="s">
        <v>1064</v>
      </c>
      <c r="M4707" t="s">
        <v>5815</v>
      </c>
      <c r="N4707" s="15" t="s">
        <v>6878</v>
      </c>
    </row>
    <row r="4708" spans="1:14" x14ac:dyDescent="0.2">
      <c r="A4708" t="s">
        <v>5841</v>
      </c>
      <c r="B4708" t="s">
        <v>2360</v>
      </c>
      <c r="C4708" s="9">
        <v>45059</v>
      </c>
      <c r="D4708" t="s">
        <v>32</v>
      </c>
      <c r="E4708" s="13">
        <v>3500000</v>
      </c>
      <c r="F4708" s="13">
        <v>27750</v>
      </c>
      <c r="G4708" s="9">
        <v>45060</v>
      </c>
      <c r="H4708" t="s">
        <v>1111</v>
      </c>
      <c r="I4708" t="s">
        <v>520</v>
      </c>
      <c r="J4708" s="13">
        <v>97125</v>
      </c>
      <c r="K4708">
        <v>1</v>
      </c>
      <c r="L4708" t="s">
        <v>1064</v>
      </c>
      <c r="M4708" t="s">
        <v>5005</v>
      </c>
      <c r="N4708" s="15" t="s">
        <v>6878</v>
      </c>
    </row>
    <row r="4709" spans="1:14" x14ac:dyDescent="0.2">
      <c r="A4709" t="s">
        <v>5842</v>
      </c>
      <c r="B4709" t="s">
        <v>2360</v>
      </c>
      <c r="C4709" s="9">
        <v>45059</v>
      </c>
      <c r="D4709" t="s">
        <v>32</v>
      </c>
      <c r="E4709" s="13">
        <v>3500000</v>
      </c>
      <c r="F4709" s="13">
        <v>27750</v>
      </c>
      <c r="G4709" s="9">
        <v>45060</v>
      </c>
      <c r="H4709" t="s">
        <v>1111</v>
      </c>
      <c r="I4709" t="s">
        <v>520</v>
      </c>
      <c r="J4709" s="13">
        <v>97125</v>
      </c>
      <c r="K4709">
        <v>1</v>
      </c>
      <c r="L4709" t="s">
        <v>1064</v>
      </c>
      <c r="M4709" t="s">
        <v>5005</v>
      </c>
      <c r="N4709" s="15" t="s">
        <v>6878</v>
      </c>
    </row>
    <row r="4710" spans="1:14" x14ac:dyDescent="0.2">
      <c r="A4710" t="s">
        <v>5843</v>
      </c>
      <c r="B4710" t="s">
        <v>2360</v>
      </c>
      <c r="C4710" s="9">
        <v>45059</v>
      </c>
      <c r="D4710" t="s">
        <v>32</v>
      </c>
      <c r="E4710" s="13">
        <v>3500000</v>
      </c>
      <c r="F4710" s="13">
        <v>27750</v>
      </c>
      <c r="G4710" s="9">
        <v>45060</v>
      </c>
      <c r="H4710" t="s">
        <v>1111</v>
      </c>
      <c r="I4710" t="s">
        <v>520</v>
      </c>
      <c r="J4710" s="13">
        <v>97125</v>
      </c>
      <c r="K4710">
        <v>1</v>
      </c>
      <c r="L4710" t="s">
        <v>1064</v>
      </c>
      <c r="M4710" t="s">
        <v>5005</v>
      </c>
      <c r="N4710" s="15" t="s">
        <v>6878</v>
      </c>
    </row>
    <row r="4711" spans="1:14" x14ac:dyDescent="0.2">
      <c r="A4711" t="s">
        <v>5844</v>
      </c>
      <c r="B4711" t="s">
        <v>2360</v>
      </c>
      <c r="C4711" s="9">
        <v>45059</v>
      </c>
      <c r="D4711" t="s">
        <v>32</v>
      </c>
      <c r="E4711" s="13">
        <v>3500000</v>
      </c>
      <c r="F4711" s="13">
        <v>27750</v>
      </c>
      <c r="G4711" s="9">
        <v>45060</v>
      </c>
      <c r="H4711" t="s">
        <v>1111</v>
      </c>
      <c r="I4711" t="s">
        <v>520</v>
      </c>
      <c r="J4711" s="13">
        <v>97125</v>
      </c>
      <c r="K4711">
        <v>1</v>
      </c>
      <c r="L4711" t="s">
        <v>1064</v>
      </c>
      <c r="M4711" t="s">
        <v>5005</v>
      </c>
      <c r="N4711" s="15" t="s">
        <v>6878</v>
      </c>
    </row>
    <row r="4712" spans="1:14" x14ac:dyDescent="0.2">
      <c r="A4712" t="s">
        <v>5845</v>
      </c>
      <c r="B4712" t="s">
        <v>2360</v>
      </c>
      <c r="C4712" s="9">
        <v>45059</v>
      </c>
      <c r="D4712" t="s">
        <v>32</v>
      </c>
      <c r="E4712" s="13">
        <v>3500000</v>
      </c>
      <c r="F4712" s="13">
        <v>27750</v>
      </c>
      <c r="G4712" s="9">
        <v>45060</v>
      </c>
      <c r="H4712" t="s">
        <v>1111</v>
      </c>
      <c r="I4712" t="s">
        <v>520</v>
      </c>
      <c r="J4712" s="13">
        <v>97125</v>
      </c>
      <c r="K4712">
        <v>1</v>
      </c>
      <c r="L4712" t="s">
        <v>1064</v>
      </c>
      <c r="M4712" t="s">
        <v>5005</v>
      </c>
      <c r="N4712" s="15" t="s">
        <v>6878</v>
      </c>
    </row>
    <row r="4713" spans="1:14" x14ac:dyDescent="0.2">
      <c r="A4713" t="s">
        <v>5846</v>
      </c>
      <c r="B4713" t="s">
        <v>2360</v>
      </c>
      <c r="C4713" s="9">
        <v>45059</v>
      </c>
      <c r="D4713" t="s">
        <v>1024</v>
      </c>
      <c r="E4713" s="13">
        <v>4238227</v>
      </c>
      <c r="F4713" s="13">
        <v>27750</v>
      </c>
      <c r="G4713" s="9">
        <v>45060</v>
      </c>
      <c r="H4713" t="s">
        <v>1111</v>
      </c>
      <c r="I4713" t="s">
        <v>5814</v>
      </c>
      <c r="J4713" s="13">
        <v>164654</v>
      </c>
      <c r="K4713">
        <v>1</v>
      </c>
      <c r="L4713" t="s">
        <v>1064</v>
      </c>
      <c r="M4713" t="s">
        <v>5815</v>
      </c>
      <c r="N4713" s="15" t="s">
        <v>6878</v>
      </c>
    </row>
    <row r="4714" spans="1:14" x14ac:dyDescent="0.2">
      <c r="A4714" t="s">
        <v>5847</v>
      </c>
      <c r="B4714" t="s">
        <v>2360</v>
      </c>
      <c r="C4714" s="9">
        <v>45059</v>
      </c>
      <c r="D4714" t="s">
        <v>1024</v>
      </c>
      <c r="E4714" s="13">
        <v>4000000</v>
      </c>
      <c r="F4714" s="13">
        <v>25000</v>
      </c>
      <c r="H4714" t="s">
        <v>2272</v>
      </c>
      <c r="I4714" t="s">
        <v>5814</v>
      </c>
      <c r="J4714" s="13">
        <v>0</v>
      </c>
      <c r="K4714">
        <v>1</v>
      </c>
      <c r="L4714" t="s">
        <v>1064</v>
      </c>
      <c r="M4714" t="s">
        <v>5815</v>
      </c>
      <c r="N4714" s="14" t="s">
        <v>6877</v>
      </c>
    </row>
    <row r="4715" spans="1:14" x14ac:dyDescent="0.2">
      <c r="A4715" t="s">
        <v>5848</v>
      </c>
      <c r="B4715" t="s">
        <v>2360</v>
      </c>
      <c r="C4715" s="9">
        <v>45059</v>
      </c>
      <c r="D4715" t="s">
        <v>1024</v>
      </c>
      <c r="E4715" s="13">
        <v>3562853</v>
      </c>
      <c r="F4715" s="13">
        <v>27750</v>
      </c>
      <c r="G4715" s="9">
        <v>45060</v>
      </c>
      <c r="H4715" t="s">
        <v>1111</v>
      </c>
      <c r="I4715" t="s">
        <v>5814</v>
      </c>
      <c r="J4715" s="13">
        <v>138415</v>
      </c>
      <c r="K4715">
        <v>1</v>
      </c>
      <c r="L4715" t="s">
        <v>1064</v>
      </c>
      <c r="M4715" t="s">
        <v>5815</v>
      </c>
      <c r="N4715" s="15" t="s">
        <v>6878</v>
      </c>
    </row>
    <row r="4716" spans="1:14" x14ac:dyDescent="0.2">
      <c r="A4716" t="s">
        <v>5849</v>
      </c>
      <c r="B4716" t="s">
        <v>2360</v>
      </c>
      <c r="C4716" s="9">
        <v>45059</v>
      </c>
      <c r="D4716" t="s">
        <v>1024</v>
      </c>
      <c r="E4716" s="13">
        <v>3681113</v>
      </c>
      <c r="F4716" s="13">
        <v>27750</v>
      </c>
      <c r="G4716" s="9">
        <v>45060</v>
      </c>
      <c r="H4716" t="s">
        <v>1111</v>
      </c>
      <c r="I4716" t="s">
        <v>5814</v>
      </c>
      <c r="J4716" s="13">
        <v>143010</v>
      </c>
      <c r="K4716">
        <v>1</v>
      </c>
      <c r="L4716" t="s">
        <v>1064</v>
      </c>
      <c r="M4716" t="s">
        <v>5815</v>
      </c>
      <c r="N4716" s="15" t="s">
        <v>6878</v>
      </c>
    </row>
    <row r="4717" spans="1:14" x14ac:dyDescent="0.2">
      <c r="A4717" t="s">
        <v>5850</v>
      </c>
      <c r="B4717" t="s">
        <v>2360</v>
      </c>
      <c r="C4717" s="9">
        <v>45059</v>
      </c>
      <c r="D4717" t="s">
        <v>1024</v>
      </c>
      <c r="E4717" s="13">
        <v>3562853</v>
      </c>
      <c r="F4717" s="13">
        <v>27750</v>
      </c>
      <c r="G4717" s="9">
        <v>45060</v>
      </c>
      <c r="H4717" t="s">
        <v>1111</v>
      </c>
      <c r="I4717" t="s">
        <v>5814</v>
      </c>
      <c r="J4717" s="13">
        <v>138415</v>
      </c>
      <c r="K4717">
        <v>1</v>
      </c>
      <c r="L4717" t="s">
        <v>1064</v>
      </c>
      <c r="M4717" t="s">
        <v>5815</v>
      </c>
      <c r="N4717" s="15" t="s">
        <v>6878</v>
      </c>
    </row>
    <row r="4718" spans="1:14" x14ac:dyDescent="0.2">
      <c r="A4718" t="s">
        <v>5851</v>
      </c>
      <c r="B4718" t="s">
        <v>2360</v>
      </c>
      <c r="C4718" s="9">
        <v>45059</v>
      </c>
      <c r="D4718" t="s">
        <v>1024</v>
      </c>
      <c r="E4718" s="13">
        <v>4359360</v>
      </c>
      <c r="F4718" s="13">
        <v>27750</v>
      </c>
      <c r="G4718" s="9">
        <v>45060</v>
      </c>
      <c r="H4718" t="s">
        <v>1111</v>
      </c>
      <c r="I4718" t="s">
        <v>5814</v>
      </c>
      <c r="J4718" s="13">
        <v>169360</v>
      </c>
      <c r="K4718">
        <v>1</v>
      </c>
      <c r="L4718" t="s">
        <v>1064</v>
      </c>
      <c r="M4718" t="s">
        <v>5815</v>
      </c>
      <c r="N4718" s="15" t="s">
        <v>6878</v>
      </c>
    </row>
    <row r="4719" spans="1:14" x14ac:dyDescent="0.2">
      <c r="A4719" t="s">
        <v>5852</v>
      </c>
      <c r="B4719" t="s">
        <v>2360</v>
      </c>
      <c r="C4719" s="9">
        <v>45059</v>
      </c>
      <c r="D4719" t="s">
        <v>1024</v>
      </c>
      <c r="E4719" s="13">
        <v>4238227</v>
      </c>
      <c r="F4719" s="13">
        <v>27750</v>
      </c>
      <c r="G4719" s="9">
        <v>45060</v>
      </c>
      <c r="H4719" t="s">
        <v>1111</v>
      </c>
      <c r="I4719" t="s">
        <v>5814</v>
      </c>
      <c r="J4719" s="13">
        <v>164654</v>
      </c>
      <c r="K4719">
        <v>1</v>
      </c>
      <c r="L4719" t="s">
        <v>1064</v>
      </c>
      <c r="M4719" t="s">
        <v>5815</v>
      </c>
      <c r="N4719" s="15" t="s">
        <v>6878</v>
      </c>
    </row>
    <row r="4720" spans="1:14" x14ac:dyDescent="0.2">
      <c r="A4720" t="s">
        <v>5853</v>
      </c>
      <c r="B4720" t="s">
        <v>2360</v>
      </c>
      <c r="C4720" s="9">
        <v>45059</v>
      </c>
      <c r="D4720" t="s">
        <v>1024</v>
      </c>
      <c r="E4720" s="13">
        <v>3562853</v>
      </c>
      <c r="F4720" s="13">
        <v>27750</v>
      </c>
      <c r="G4720" s="9">
        <v>45060</v>
      </c>
      <c r="H4720" t="s">
        <v>1111</v>
      </c>
      <c r="I4720" t="s">
        <v>5814</v>
      </c>
      <c r="J4720" s="13">
        <v>138415</v>
      </c>
      <c r="K4720">
        <v>1</v>
      </c>
      <c r="L4720" t="s">
        <v>1064</v>
      </c>
      <c r="M4720" t="s">
        <v>5815</v>
      </c>
      <c r="N4720" s="15" t="s">
        <v>6878</v>
      </c>
    </row>
    <row r="4721" spans="1:14" x14ac:dyDescent="0.2">
      <c r="A4721" t="s">
        <v>1025</v>
      </c>
      <c r="B4721" t="s">
        <v>2360</v>
      </c>
      <c r="C4721" s="9">
        <v>45059</v>
      </c>
      <c r="D4721" t="s">
        <v>1024</v>
      </c>
      <c r="E4721" s="13">
        <v>3400900</v>
      </c>
      <c r="F4721" s="13">
        <v>27750</v>
      </c>
      <c r="G4721" s="9">
        <v>45060</v>
      </c>
      <c r="H4721" t="s">
        <v>1111</v>
      </c>
      <c r="I4721" t="s">
        <v>5814</v>
      </c>
      <c r="J4721" s="13">
        <v>132124</v>
      </c>
      <c r="K4721">
        <v>1</v>
      </c>
      <c r="L4721" t="s">
        <v>1064</v>
      </c>
      <c r="M4721" t="s">
        <v>5815</v>
      </c>
      <c r="N4721" s="15" t="s">
        <v>6878</v>
      </c>
    </row>
    <row r="4722" spans="1:14" x14ac:dyDescent="0.2">
      <c r="A4722" t="s">
        <v>5854</v>
      </c>
      <c r="B4722" t="s">
        <v>2360</v>
      </c>
      <c r="C4722" s="9">
        <v>45060</v>
      </c>
      <c r="D4722" t="s">
        <v>952</v>
      </c>
      <c r="E4722" s="13">
        <v>251818000</v>
      </c>
      <c r="F4722" s="13">
        <v>27750</v>
      </c>
      <c r="G4722" s="9">
        <v>45060</v>
      </c>
      <c r="H4722" t="s">
        <v>1111</v>
      </c>
      <c r="I4722" t="s">
        <v>4626</v>
      </c>
      <c r="J4722" s="13">
        <v>11180719</v>
      </c>
      <c r="K4722">
        <v>1</v>
      </c>
      <c r="L4722" t="s">
        <v>1064</v>
      </c>
      <c r="M4722" t="s">
        <v>4627</v>
      </c>
      <c r="N4722" s="15" t="s">
        <v>6878</v>
      </c>
    </row>
    <row r="4723" spans="1:14" x14ac:dyDescent="0.2">
      <c r="A4723" t="s">
        <v>5855</v>
      </c>
      <c r="B4723" t="s">
        <v>2360</v>
      </c>
      <c r="C4723" s="9">
        <v>45060</v>
      </c>
      <c r="D4723" t="s">
        <v>651</v>
      </c>
      <c r="E4723" s="13">
        <v>1600000</v>
      </c>
      <c r="F4723" s="13"/>
      <c r="H4723" t="s">
        <v>2184</v>
      </c>
      <c r="I4723" t="s">
        <v>5809</v>
      </c>
      <c r="J4723" s="13">
        <v>0</v>
      </c>
      <c r="K4723">
        <v>1</v>
      </c>
      <c r="L4723" t="s">
        <v>1064</v>
      </c>
      <c r="M4723" t="s">
        <v>5810</v>
      </c>
      <c r="N4723" s="14" t="s">
        <v>6877</v>
      </c>
    </row>
    <row r="4724" spans="1:14" x14ac:dyDescent="0.2">
      <c r="A4724" t="s">
        <v>5856</v>
      </c>
      <c r="B4724" t="s">
        <v>2360</v>
      </c>
      <c r="C4724" s="9">
        <v>45060</v>
      </c>
      <c r="D4724" t="s">
        <v>651</v>
      </c>
      <c r="E4724" s="13">
        <v>1600000</v>
      </c>
      <c r="F4724" s="13"/>
      <c r="H4724" t="s">
        <v>2184</v>
      </c>
      <c r="I4724" t="s">
        <v>5809</v>
      </c>
      <c r="J4724" s="13">
        <v>0</v>
      </c>
      <c r="K4724">
        <v>1</v>
      </c>
      <c r="L4724" t="s">
        <v>1064</v>
      </c>
      <c r="M4724" t="s">
        <v>5810</v>
      </c>
      <c r="N4724" s="14" t="s">
        <v>6877</v>
      </c>
    </row>
    <row r="4725" spans="1:14" x14ac:dyDescent="0.2">
      <c r="A4725" t="s">
        <v>5857</v>
      </c>
      <c r="B4725" t="s">
        <v>2360</v>
      </c>
      <c r="C4725" s="9">
        <v>45060</v>
      </c>
      <c r="D4725" t="s">
        <v>651</v>
      </c>
      <c r="E4725" s="13">
        <v>1600000</v>
      </c>
      <c r="F4725" s="13"/>
      <c r="H4725" t="s">
        <v>2184</v>
      </c>
      <c r="I4725" t="s">
        <v>5809</v>
      </c>
      <c r="J4725" s="13">
        <v>0</v>
      </c>
      <c r="K4725">
        <v>1</v>
      </c>
      <c r="L4725" t="s">
        <v>1064</v>
      </c>
      <c r="M4725" t="s">
        <v>5810</v>
      </c>
      <c r="N4725" s="14" t="s">
        <v>6877</v>
      </c>
    </row>
    <row r="4726" spans="1:14" x14ac:dyDescent="0.2">
      <c r="A4726" t="s">
        <v>5858</v>
      </c>
      <c r="B4726" t="s">
        <v>2360</v>
      </c>
      <c r="C4726" s="9">
        <v>45060</v>
      </c>
      <c r="D4726" t="s">
        <v>651</v>
      </c>
      <c r="E4726" s="13">
        <v>1600000</v>
      </c>
      <c r="F4726" s="13"/>
      <c r="H4726" t="s">
        <v>2184</v>
      </c>
      <c r="I4726" t="s">
        <v>5809</v>
      </c>
      <c r="J4726" s="13">
        <v>0</v>
      </c>
      <c r="K4726">
        <v>1</v>
      </c>
      <c r="L4726" t="s">
        <v>1064</v>
      </c>
      <c r="M4726" t="s">
        <v>5810</v>
      </c>
      <c r="N4726" s="14" t="s">
        <v>6877</v>
      </c>
    </row>
    <row r="4727" spans="1:14" x14ac:dyDescent="0.2">
      <c r="A4727" t="s">
        <v>5859</v>
      </c>
      <c r="B4727" t="s">
        <v>2360</v>
      </c>
      <c r="C4727" s="9">
        <v>45060</v>
      </c>
      <c r="D4727" t="s">
        <v>651</v>
      </c>
      <c r="E4727" s="13">
        <v>1600000</v>
      </c>
      <c r="F4727" s="13"/>
      <c r="H4727" t="s">
        <v>2184</v>
      </c>
      <c r="I4727" t="s">
        <v>5809</v>
      </c>
      <c r="J4727" s="13">
        <v>0</v>
      </c>
      <c r="K4727">
        <v>1</v>
      </c>
      <c r="L4727" t="s">
        <v>1064</v>
      </c>
      <c r="M4727" t="s">
        <v>5810</v>
      </c>
      <c r="N4727" s="14" t="s">
        <v>6877</v>
      </c>
    </row>
    <row r="4728" spans="1:14" x14ac:dyDescent="0.2">
      <c r="A4728" t="s">
        <v>5860</v>
      </c>
      <c r="B4728" t="s">
        <v>2360</v>
      </c>
      <c r="C4728" s="9">
        <v>45060</v>
      </c>
      <c r="D4728" t="s">
        <v>651</v>
      </c>
      <c r="E4728" s="13">
        <v>1600000</v>
      </c>
      <c r="F4728" s="13"/>
      <c r="H4728" t="s">
        <v>2184</v>
      </c>
      <c r="I4728" t="s">
        <v>5809</v>
      </c>
      <c r="J4728" s="13">
        <v>0</v>
      </c>
      <c r="K4728">
        <v>1</v>
      </c>
      <c r="L4728" t="s">
        <v>1064</v>
      </c>
      <c r="M4728" t="s">
        <v>5810</v>
      </c>
      <c r="N4728" s="14" t="s">
        <v>6877</v>
      </c>
    </row>
    <row r="4729" spans="1:14" x14ac:dyDescent="0.2">
      <c r="A4729" t="s">
        <v>5861</v>
      </c>
      <c r="B4729" t="s">
        <v>2360</v>
      </c>
      <c r="C4729" s="9">
        <v>45060</v>
      </c>
      <c r="D4729" t="s">
        <v>651</v>
      </c>
      <c r="E4729" s="13">
        <v>1600000</v>
      </c>
      <c r="F4729" s="13"/>
      <c r="H4729" t="s">
        <v>2184</v>
      </c>
      <c r="I4729" t="s">
        <v>5809</v>
      </c>
      <c r="J4729" s="13">
        <v>0</v>
      </c>
      <c r="K4729">
        <v>1</v>
      </c>
      <c r="L4729" t="s">
        <v>1064</v>
      </c>
      <c r="M4729" t="s">
        <v>5810</v>
      </c>
      <c r="N4729" s="14" t="s">
        <v>6877</v>
      </c>
    </row>
    <row r="4730" spans="1:14" x14ac:dyDescent="0.2">
      <c r="A4730" t="s">
        <v>5862</v>
      </c>
      <c r="B4730" t="s">
        <v>2360</v>
      </c>
      <c r="C4730" s="9">
        <v>45060</v>
      </c>
      <c r="D4730" t="s">
        <v>651</v>
      </c>
      <c r="E4730" s="13">
        <v>1600000</v>
      </c>
      <c r="F4730" s="13"/>
      <c r="H4730" t="s">
        <v>2184</v>
      </c>
      <c r="I4730" t="s">
        <v>5809</v>
      </c>
      <c r="J4730" s="13">
        <v>0</v>
      </c>
      <c r="K4730">
        <v>1</v>
      </c>
      <c r="L4730" t="s">
        <v>1064</v>
      </c>
      <c r="M4730" t="s">
        <v>5810</v>
      </c>
      <c r="N4730" s="14" t="s">
        <v>6877</v>
      </c>
    </row>
    <row r="4731" spans="1:14" x14ac:dyDescent="0.2">
      <c r="A4731" t="s">
        <v>5863</v>
      </c>
      <c r="B4731" t="s">
        <v>2360</v>
      </c>
      <c r="C4731" s="9">
        <v>45060</v>
      </c>
      <c r="D4731" t="s">
        <v>651</v>
      </c>
      <c r="E4731" s="13">
        <v>1600000</v>
      </c>
      <c r="F4731" s="13"/>
      <c r="H4731" t="s">
        <v>2184</v>
      </c>
      <c r="I4731" t="s">
        <v>5809</v>
      </c>
      <c r="J4731" s="13">
        <v>0</v>
      </c>
      <c r="K4731">
        <v>1</v>
      </c>
      <c r="L4731" t="s">
        <v>1064</v>
      </c>
      <c r="M4731" t="s">
        <v>5810</v>
      </c>
      <c r="N4731" s="14" t="s">
        <v>6877</v>
      </c>
    </row>
    <row r="4732" spans="1:14" x14ac:dyDescent="0.2">
      <c r="A4732" t="s">
        <v>5864</v>
      </c>
      <c r="B4732" t="s">
        <v>2360</v>
      </c>
      <c r="C4732" s="9">
        <v>45060</v>
      </c>
      <c r="D4732" t="s">
        <v>651</v>
      </c>
      <c r="E4732" s="13">
        <v>1600000</v>
      </c>
      <c r="F4732" s="13"/>
      <c r="H4732" t="s">
        <v>2184</v>
      </c>
      <c r="I4732" t="s">
        <v>5809</v>
      </c>
      <c r="J4732" s="13">
        <v>0</v>
      </c>
      <c r="K4732">
        <v>1</v>
      </c>
      <c r="L4732" t="s">
        <v>1064</v>
      </c>
      <c r="M4732" t="s">
        <v>5810</v>
      </c>
      <c r="N4732" s="14" t="s">
        <v>6877</v>
      </c>
    </row>
    <row r="4733" spans="1:14" x14ac:dyDescent="0.2">
      <c r="A4733" t="s">
        <v>5865</v>
      </c>
      <c r="B4733" t="s">
        <v>2360</v>
      </c>
      <c r="C4733" s="9">
        <v>45060</v>
      </c>
      <c r="D4733" t="s">
        <v>651</v>
      </c>
      <c r="E4733" s="13">
        <v>1600000</v>
      </c>
      <c r="F4733" s="13"/>
      <c r="H4733" t="s">
        <v>2184</v>
      </c>
      <c r="I4733" t="s">
        <v>5809</v>
      </c>
      <c r="J4733" s="13">
        <v>0</v>
      </c>
      <c r="K4733">
        <v>1</v>
      </c>
      <c r="L4733" t="s">
        <v>1064</v>
      </c>
      <c r="M4733" t="s">
        <v>5810</v>
      </c>
      <c r="N4733" s="14" t="s">
        <v>6877</v>
      </c>
    </row>
    <row r="4734" spans="1:14" x14ac:dyDescent="0.2">
      <c r="A4734" t="s">
        <v>5866</v>
      </c>
      <c r="B4734" t="s">
        <v>2360</v>
      </c>
      <c r="C4734" s="9">
        <v>45060</v>
      </c>
      <c r="D4734" t="s">
        <v>651</v>
      </c>
      <c r="E4734" s="13">
        <v>1600000</v>
      </c>
      <c r="F4734" s="13"/>
      <c r="H4734" t="s">
        <v>2184</v>
      </c>
      <c r="I4734" t="s">
        <v>5809</v>
      </c>
      <c r="J4734" s="13">
        <v>0</v>
      </c>
      <c r="K4734">
        <v>1</v>
      </c>
      <c r="L4734" t="s">
        <v>1064</v>
      </c>
      <c r="M4734" t="s">
        <v>5810</v>
      </c>
      <c r="N4734" s="14" t="s">
        <v>6877</v>
      </c>
    </row>
    <row r="4735" spans="1:14" x14ac:dyDescent="0.2">
      <c r="A4735" t="s">
        <v>5867</v>
      </c>
      <c r="B4735" t="s">
        <v>2360</v>
      </c>
      <c r="C4735" s="9">
        <v>45060</v>
      </c>
      <c r="D4735" t="s">
        <v>651</v>
      </c>
      <c r="E4735" s="13">
        <v>1600000</v>
      </c>
      <c r="F4735" s="13"/>
      <c r="H4735" t="s">
        <v>2184</v>
      </c>
      <c r="I4735" t="s">
        <v>5809</v>
      </c>
      <c r="J4735" s="13">
        <v>0</v>
      </c>
      <c r="K4735">
        <v>1</v>
      </c>
      <c r="L4735" t="s">
        <v>1064</v>
      </c>
      <c r="M4735" t="s">
        <v>5810</v>
      </c>
      <c r="N4735" s="14" t="s">
        <v>6877</v>
      </c>
    </row>
    <row r="4736" spans="1:14" x14ac:dyDescent="0.2">
      <c r="A4736" t="s">
        <v>5868</v>
      </c>
      <c r="B4736" t="s">
        <v>2360</v>
      </c>
      <c r="C4736" s="9">
        <v>45060</v>
      </c>
      <c r="D4736" t="s">
        <v>651</v>
      </c>
      <c r="E4736" s="13">
        <v>1600000</v>
      </c>
      <c r="F4736" s="13"/>
      <c r="H4736" t="s">
        <v>2184</v>
      </c>
      <c r="I4736" t="s">
        <v>5809</v>
      </c>
      <c r="J4736" s="13">
        <v>0</v>
      </c>
      <c r="K4736">
        <v>1</v>
      </c>
      <c r="L4736" t="s">
        <v>1064</v>
      </c>
      <c r="M4736" t="s">
        <v>5810</v>
      </c>
      <c r="N4736" s="14" t="s">
        <v>6877</v>
      </c>
    </row>
    <row r="4737" spans="1:14" x14ac:dyDescent="0.2">
      <c r="A4737" t="s">
        <v>5869</v>
      </c>
      <c r="B4737" t="s">
        <v>2360</v>
      </c>
      <c r="C4737" s="9">
        <v>45060</v>
      </c>
      <c r="D4737" t="s">
        <v>651</v>
      </c>
      <c r="E4737" s="13">
        <v>1600000</v>
      </c>
      <c r="F4737" s="13"/>
      <c r="H4737" t="s">
        <v>2184</v>
      </c>
      <c r="I4737" t="s">
        <v>5809</v>
      </c>
      <c r="J4737" s="13">
        <v>0</v>
      </c>
      <c r="K4737">
        <v>1</v>
      </c>
      <c r="L4737" t="s">
        <v>1064</v>
      </c>
      <c r="M4737" t="s">
        <v>5810</v>
      </c>
      <c r="N4737" s="14" t="s">
        <v>6877</v>
      </c>
    </row>
    <row r="4738" spans="1:14" x14ac:dyDescent="0.2">
      <c r="A4738" t="s">
        <v>5870</v>
      </c>
      <c r="B4738" t="s">
        <v>2360</v>
      </c>
      <c r="C4738" s="9">
        <v>45060</v>
      </c>
      <c r="D4738" t="s">
        <v>651</v>
      </c>
      <c r="E4738" s="13">
        <v>1600000</v>
      </c>
      <c r="F4738" s="13"/>
      <c r="H4738" t="s">
        <v>2184</v>
      </c>
      <c r="I4738" t="s">
        <v>5809</v>
      </c>
      <c r="J4738" s="13">
        <v>0</v>
      </c>
      <c r="K4738">
        <v>1</v>
      </c>
      <c r="L4738" t="s">
        <v>1064</v>
      </c>
      <c r="M4738" t="s">
        <v>5810</v>
      </c>
      <c r="N4738" s="14" t="s">
        <v>6877</v>
      </c>
    </row>
    <row r="4739" spans="1:14" x14ac:dyDescent="0.2">
      <c r="A4739" t="s">
        <v>5871</v>
      </c>
      <c r="B4739" t="s">
        <v>2360</v>
      </c>
      <c r="C4739" s="9">
        <v>45060</v>
      </c>
      <c r="D4739" t="s">
        <v>651</v>
      </c>
      <c r="E4739" s="13">
        <v>1600000</v>
      </c>
      <c r="F4739" s="13"/>
      <c r="H4739" t="s">
        <v>2184</v>
      </c>
      <c r="I4739" t="s">
        <v>5809</v>
      </c>
      <c r="J4739" s="13">
        <v>0</v>
      </c>
      <c r="K4739">
        <v>1</v>
      </c>
      <c r="L4739" t="s">
        <v>1064</v>
      </c>
      <c r="M4739" t="s">
        <v>5810</v>
      </c>
      <c r="N4739" s="14" t="s">
        <v>6877</v>
      </c>
    </row>
    <row r="4740" spans="1:14" x14ac:dyDescent="0.2">
      <c r="A4740" t="s">
        <v>5872</v>
      </c>
      <c r="B4740" t="s">
        <v>2360</v>
      </c>
      <c r="C4740" s="9">
        <v>45060</v>
      </c>
      <c r="D4740" t="s">
        <v>651</v>
      </c>
      <c r="E4740" s="13">
        <v>1600000</v>
      </c>
      <c r="F4740" s="13"/>
      <c r="H4740" t="s">
        <v>2184</v>
      </c>
      <c r="I4740" t="s">
        <v>5809</v>
      </c>
      <c r="J4740" s="13">
        <v>0</v>
      </c>
      <c r="K4740">
        <v>1</v>
      </c>
      <c r="L4740" t="s">
        <v>1064</v>
      </c>
      <c r="M4740" t="s">
        <v>5810</v>
      </c>
      <c r="N4740" s="14" t="s">
        <v>6877</v>
      </c>
    </row>
    <row r="4741" spans="1:14" x14ac:dyDescent="0.2">
      <c r="A4741" t="s">
        <v>5873</v>
      </c>
      <c r="B4741" t="s">
        <v>2360</v>
      </c>
      <c r="C4741" s="9">
        <v>45060</v>
      </c>
      <c r="D4741" t="s">
        <v>651</v>
      </c>
      <c r="E4741" s="13">
        <v>1600000</v>
      </c>
      <c r="F4741" s="13"/>
      <c r="H4741" t="s">
        <v>2184</v>
      </c>
      <c r="I4741" t="s">
        <v>5809</v>
      </c>
      <c r="J4741" s="13">
        <v>0</v>
      </c>
      <c r="K4741">
        <v>1</v>
      </c>
      <c r="L4741" t="s">
        <v>1064</v>
      </c>
      <c r="M4741" t="s">
        <v>5810</v>
      </c>
      <c r="N4741" s="14" t="s">
        <v>6877</v>
      </c>
    </row>
    <row r="4742" spans="1:14" x14ac:dyDescent="0.2">
      <c r="A4742" t="s">
        <v>5874</v>
      </c>
      <c r="B4742" t="s">
        <v>2360</v>
      </c>
      <c r="C4742" s="9">
        <v>45060</v>
      </c>
      <c r="D4742" t="s">
        <v>651</v>
      </c>
      <c r="E4742" s="13">
        <v>1600000</v>
      </c>
      <c r="F4742" s="13"/>
      <c r="H4742" t="s">
        <v>2184</v>
      </c>
      <c r="I4742" t="s">
        <v>5809</v>
      </c>
      <c r="J4742" s="13">
        <v>0</v>
      </c>
      <c r="K4742">
        <v>1</v>
      </c>
      <c r="L4742" t="s">
        <v>1064</v>
      </c>
      <c r="M4742" t="s">
        <v>5810</v>
      </c>
      <c r="N4742" s="14" t="s">
        <v>6877</v>
      </c>
    </row>
    <row r="4743" spans="1:14" x14ac:dyDescent="0.2">
      <c r="A4743" t="s">
        <v>5875</v>
      </c>
      <c r="B4743" t="s">
        <v>2360</v>
      </c>
      <c r="C4743" s="9">
        <v>45060</v>
      </c>
      <c r="D4743" t="s">
        <v>651</v>
      </c>
      <c r="E4743" s="13">
        <v>1600000</v>
      </c>
      <c r="F4743" s="13"/>
      <c r="H4743" t="s">
        <v>2184</v>
      </c>
      <c r="I4743" t="s">
        <v>5809</v>
      </c>
      <c r="J4743" s="13">
        <v>0</v>
      </c>
      <c r="K4743">
        <v>1</v>
      </c>
      <c r="L4743" t="s">
        <v>1064</v>
      </c>
      <c r="M4743" t="s">
        <v>5810</v>
      </c>
      <c r="N4743" s="14" t="s">
        <v>6877</v>
      </c>
    </row>
    <row r="4744" spans="1:14" x14ac:dyDescent="0.2">
      <c r="A4744" t="s">
        <v>5876</v>
      </c>
      <c r="B4744" t="s">
        <v>2360</v>
      </c>
      <c r="C4744" s="9">
        <v>45060</v>
      </c>
      <c r="D4744" t="s">
        <v>651</v>
      </c>
      <c r="E4744" s="13">
        <v>1600000</v>
      </c>
      <c r="F4744" s="13"/>
      <c r="H4744" t="s">
        <v>2184</v>
      </c>
      <c r="I4744" t="s">
        <v>5809</v>
      </c>
      <c r="J4744" s="13">
        <v>0</v>
      </c>
      <c r="K4744">
        <v>1</v>
      </c>
      <c r="L4744" t="s">
        <v>1064</v>
      </c>
      <c r="M4744" t="s">
        <v>5810</v>
      </c>
      <c r="N4744" s="14" t="s">
        <v>6877</v>
      </c>
    </row>
    <row r="4745" spans="1:14" x14ac:dyDescent="0.2">
      <c r="A4745" t="s">
        <v>5877</v>
      </c>
      <c r="B4745" t="s">
        <v>2360</v>
      </c>
      <c r="C4745" s="9">
        <v>45060</v>
      </c>
      <c r="D4745" t="s">
        <v>651</v>
      </c>
      <c r="E4745" s="13">
        <v>1600000</v>
      </c>
      <c r="F4745" s="13"/>
      <c r="H4745" t="s">
        <v>2184</v>
      </c>
      <c r="I4745" t="s">
        <v>5809</v>
      </c>
      <c r="J4745" s="13">
        <v>0</v>
      </c>
      <c r="K4745">
        <v>1</v>
      </c>
      <c r="L4745" t="s">
        <v>1064</v>
      </c>
      <c r="M4745" t="s">
        <v>5810</v>
      </c>
      <c r="N4745" s="14" t="s">
        <v>6877</v>
      </c>
    </row>
    <row r="4746" spans="1:14" x14ac:dyDescent="0.2">
      <c r="A4746" t="s">
        <v>5878</v>
      </c>
      <c r="B4746" t="s">
        <v>2360</v>
      </c>
      <c r="C4746" s="9">
        <v>45060</v>
      </c>
      <c r="D4746" t="s">
        <v>651</v>
      </c>
      <c r="E4746" s="13">
        <v>1600000</v>
      </c>
      <c r="F4746" s="13"/>
      <c r="H4746" t="s">
        <v>2184</v>
      </c>
      <c r="I4746" t="s">
        <v>5809</v>
      </c>
      <c r="J4746" s="13">
        <v>0</v>
      </c>
      <c r="K4746">
        <v>1</v>
      </c>
      <c r="L4746" t="s">
        <v>1064</v>
      </c>
      <c r="M4746" t="s">
        <v>5810</v>
      </c>
      <c r="N4746" s="14" t="s">
        <v>6877</v>
      </c>
    </row>
    <row r="4747" spans="1:14" x14ac:dyDescent="0.2">
      <c r="A4747" t="s">
        <v>5879</v>
      </c>
      <c r="B4747" t="s">
        <v>2360</v>
      </c>
      <c r="C4747" s="9">
        <v>45060</v>
      </c>
      <c r="D4747" t="s">
        <v>651</v>
      </c>
      <c r="E4747" s="13">
        <v>1600000</v>
      </c>
      <c r="F4747" s="13"/>
      <c r="H4747" t="s">
        <v>2184</v>
      </c>
      <c r="I4747" t="s">
        <v>5809</v>
      </c>
      <c r="J4747" s="13">
        <v>0</v>
      </c>
      <c r="K4747">
        <v>1</v>
      </c>
      <c r="L4747" t="s">
        <v>1064</v>
      </c>
      <c r="M4747" t="s">
        <v>5810</v>
      </c>
      <c r="N4747" s="14" t="s">
        <v>6877</v>
      </c>
    </row>
    <row r="4748" spans="1:14" x14ac:dyDescent="0.2">
      <c r="A4748" t="s">
        <v>5880</v>
      </c>
      <c r="B4748" t="s">
        <v>2360</v>
      </c>
      <c r="C4748" s="9">
        <v>45060</v>
      </c>
      <c r="D4748" t="s">
        <v>651</v>
      </c>
      <c r="E4748" s="13">
        <v>1600000</v>
      </c>
      <c r="F4748" s="13"/>
      <c r="H4748" t="s">
        <v>2184</v>
      </c>
      <c r="I4748" t="s">
        <v>5809</v>
      </c>
      <c r="J4748" s="13">
        <v>0</v>
      </c>
      <c r="K4748">
        <v>1</v>
      </c>
      <c r="L4748" t="s">
        <v>1064</v>
      </c>
      <c r="M4748" t="s">
        <v>5810</v>
      </c>
      <c r="N4748" s="14" t="s">
        <v>6877</v>
      </c>
    </row>
    <row r="4749" spans="1:14" x14ac:dyDescent="0.2">
      <c r="A4749" t="s">
        <v>5881</v>
      </c>
      <c r="B4749" t="s">
        <v>2360</v>
      </c>
      <c r="C4749" s="9">
        <v>45060</v>
      </c>
      <c r="D4749" t="s">
        <v>651</v>
      </c>
      <c r="E4749" s="13">
        <v>1600000</v>
      </c>
      <c r="F4749" s="13"/>
      <c r="H4749" t="s">
        <v>2184</v>
      </c>
      <c r="I4749" t="s">
        <v>5809</v>
      </c>
      <c r="J4749" s="13">
        <v>0</v>
      </c>
      <c r="K4749">
        <v>1</v>
      </c>
      <c r="L4749" t="s">
        <v>1064</v>
      </c>
      <c r="M4749" t="s">
        <v>5810</v>
      </c>
      <c r="N4749" s="14" t="s">
        <v>6877</v>
      </c>
    </row>
    <row r="4750" spans="1:14" x14ac:dyDescent="0.2">
      <c r="A4750" t="s">
        <v>5882</v>
      </c>
      <c r="B4750" t="s">
        <v>2360</v>
      </c>
      <c r="C4750" s="9">
        <v>45060</v>
      </c>
      <c r="D4750" t="s">
        <v>651</v>
      </c>
      <c r="E4750" s="13">
        <v>1600000</v>
      </c>
      <c r="F4750" s="13"/>
      <c r="H4750" t="s">
        <v>2184</v>
      </c>
      <c r="I4750" t="s">
        <v>5809</v>
      </c>
      <c r="J4750" s="13">
        <v>0</v>
      </c>
      <c r="K4750">
        <v>1</v>
      </c>
      <c r="L4750" t="s">
        <v>1064</v>
      </c>
      <c r="M4750" t="s">
        <v>5810</v>
      </c>
      <c r="N4750" s="14" t="s">
        <v>6877</v>
      </c>
    </row>
    <row r="4751" spans="1:14" x14ac:dyDescent="0.2">
      <c r="A4751" t="s">
        <v>5883</v>
      </c>
      <c r="B4751" t="s">
        <v>2360</v>
      </c>
      <c r="C4751" s="9">
        <v>45060</v>
      </c>
      <c r="D4751" t="s">
        <v>651</v>
      </c>
      <c r="E4751" s="13">
        <v>1600000</v>
      </c>
      <c r="F4751" s="13"/>
      <c r="H4751" t="s">
        <v>2184</v>
      </c>
      <c r="I4751" t="s">
        <v>5809</v>
      </c>
      <c r="J4751" s="13">
        <v>0</v>
      </c>
      <c r="K4751">
        <v>1</v>
      </c>
      <c r="L4751" t="s">
        <v>1064</v>
      </c>
      <c r="M4751" t="s">
        <v>5810</v>
      </c>
      <c r="N4751" s="14" t="s">
        <v>6877</v>
      </c>
    </row>
    <row r="4752" spans="1:14" x14ac:dyDescent="0.2">
      <c r="A4752" t="s">
        <v>5884</v>
      </c>
      <c r="B4752" t="s">
        <v>2360</v>
      </c>
      <c r="C4752" s="9">
        <v>45060</v>
      </c>
      <c r="D4752" t="s">
        <v>651</v>
      </c>
      <c r="E4752" s="13">
        <v>1600000</v>
      </c>
      <c r="F4752" s="13"/>
      <c r="H4752" t="s">
        <v>2184</v>
      </c>
      <c r="I4752" t="s">
        <v>5809</v>
      </c>
      <c r="J4752" s="13">
        <v>0</v>
      </c>
      <c r="K4752">
        <v>1</v>
      </c>
      <c r="L4752" t="s">
        <v>1064</v>
      </c>
      <c r="M4752" t="s">
        <v>5810</v>
      </c>
      <c r="N4752" s="14" t="s">
        <v>6877</v>
      </c>
    </row>
    <row r="4753" spans="1:14" x14ac:dyDescent="0.2">
      <c r="A4753" t="s">
        <v>5885</v>
      </c>
      <c r="B4753" t="s">
        <v>2360</v>
      </c>
      <c r="C4753" s="9">
        <v>45060</v>
      </c>
      <c r="D4753" t="s">
        <v>651</v>
      </c>
      <c r="E4753" s="13">
        <v>1600000</v>
      </c>
      <c r="F4753" s="13"/>
      <c r="H4753" t="s">
        <v>2184</v>
      </c>
      <c r="I4753" t="s">
        <v>5809</v>
      </c>
      <c r="J4753" s="13">
        <v>0</v>
      </c>
      <c r="K4753">
        <v>1</v>
      </c>
      <c r="L4753" t="s">
        <v>1064</v>
      </c>
      <c r="M4753" t="s">
        <v>5810</v>
      </c>
      <c r="N4753" s="14" t="s">
        <v>6877</v>
      </c>
    </row>
    <row r="4754" spans="1:14" x14ac:dyDescent="0.2">
      <c r="A4754" t="s">
        <v>5886</v>
      </c>
      <c r="B4754" t="s">
        <v>2360</v>
      </c>
      <c r="C4754" s="9">
        <v>45060</v>
      </c>
      <c r="D4754" t="s">
        <v>651</v>
      </c>
      <c r="E4754" s="13">
        <v>1600000</v>
      </c>
      <c r="F4754" s="13"/>
      <c r="H4754" t="s">
        <v>2184</v>
      </c>
      <c r="I4754" t="s">
        <v>5809</v>
      </c>
      <c r="J4754" s="13">
        <v>0</v>
      </c>
      <c r="K4754">
        <v>1</v>
      </c>
      <c r="L4754" t="s">
        <v>1064</v>
      </c>
      <c r="M4754" t="s">
        <v>5810</v>
      </c>
      <c r="N4754" s="14" t="s">
        <v>6877</v>
      </c>
    </row>
    <row r="4755" spans="1:14" x14ac:dyDescent="0.2">
      <c r="A4755" t="s">
        <v>5887</v>
      </c>
      <c r="B4755" t="s">
        <v>2360</v>
      </c>
      <c r="C4755" s="9">
        <v>45060</v>
      </c>
      <c r="D4755" t="s">
        <v>651</v>
      </c>
      <c r="E4755" s="13">
        <v>1600000</v>
      </c>
      <c r="F4755" s="13"/>
      <c r="H4755" t="s">
        <v>2184</v>
      </c>
      <c r="I4755" t="s">
        <v>5809</v>
      </c>
      <c r="J4755" s="13">
        <v>0</v>
      </c>
      <c r="K4755">
        <v>1</v>
      </c>
      <c r="L4755" t="s">
        <v>1064</v>
      </c>
      <c r="M4755" t="s">
        <v>5810</v>
      </c>
      <c r="N4755" s="14" t="s">
        <v>6877</v>
      </c>
    </row>
    <row r="4756" spans="1:14" x14ac:dyDescent="0.2">
      <c r="A4756" t="s">
        <v>5888</v>
      </c>
      <c r="B4756" t="s">
        <v>2360</v>
      </c>
      <c r="C4756" s="9">
        <v>45060</v>
      </c>
      <c r="D4756" t="s">
        <v>651</v>
      </c>
      <c r="E4756" s="13">
        <v>1600000</v>
      </c>
      <c r="F4756" s="13"/>
      <c r="H4756" t="s">
        <v>2184</v>
      </c>
      <c r="I4756" t="s">
        <v>5809</v>
      </c>
      <c r="J4756" s="13">
        <v>0</v>
      </c>
      <c r="K4756">
        <v>1</v>
      </c>
      <c r="L4756" t="s">
        <v>1064</v>
      </c>
      <c r="M4756" t="s">
        <v>5810</v>
      </c>
      <c r="N4756" s="14" t="s">
        <v>6877</v>
      </c>
    </row>
    <row r="4757" spans="1:14" x14ac:dyDescent="0.2">
      <c r="A4757" t="s">
        <v>5889</v>
      </c>
      <c r="B4757" t="s">
        <v>2360</v>
      </c>
      <c r="C4757" s="9">
        <v>45060</v>
      </c>
      <c r="D4757" t="s">
        <v>651</v>
      </c>
      <c r="E4757" s="13">
        <v>1600000</v>
      </c>
      <c r="F4757" s="13"/>
      <c r="H4757" t="s">
        <v>2184</v>
      </c>
      <c r="I4757" t="s">
        <v>5809</v>
      </c>
      <c r="J4757" s="13">
        <v>0</v>
      </c>
      <c r="K4757">
        <v>1</v>
      </c>
      <c r="L4757" t="s">
        <v>1064</v>
      </c>
      <c r="M4757" t="s">
        <v>5810</v>
      </c>
      <c r="N4757" s="14" t="s">
        <v>6877</v>
      </c>
    </row>
    <row r="4758" spans="1:14" x14ac:dyDescent="0.2">
      <c r="A4758" t="s">
        <v>5890</v>
      </c>
      <c r="B4758" t="s">
        <v>2360</v>
      </c>
      <c r="C4758" s="9">
        <v>45060</v>
      </c>
      <c r="D4758" t="s">
        <v>651</v>
      </c>
      <c r="E4758" s="13">
        <v>1600000</v>
      </c>
      <c r="F4758" s="13"/>
      <c r="H4758" t="s">
        <v>2184</v>
      </c>
      <c r="I4758" t="s">
        <v>5809</v>
      </c>
      <c r="J4758" s="13">
        <v>0</v>
      </c>
      <c r="K4758">
        <v>1</v>
      </c>
      <c r="L4758" t="s">
        <v>1064</v>
      </c>
      <c r="M4758" t="s">
        <v>5810</v>
      </c>
      <c r="N4758" s="14" t="s">
        <v>6877</v>
      </c>
    </row>
    <row r="4759" spans="1:14" x14ac:dyDescent="0.2">
      <c r="A4759" t="s">
        <v>5891</v>
      </c>
      <c r="B4759" t="s">
        <v>2360</v>
      </c>
      <c r="C4759" s="9">
        <v>45060</v>
      </c>
      <c r="D4759" t="s">
        <v>651</v>
      </c>
      <c r="E4759" s="13">
        <v>1600000</v>
      </c>
      <c r="F4759" s="13"/>
      <c r="H4759" t="s">
        <v>2184</v>
      </c>
      <c r="I4759" t="s">
        <v>5809</v>
      </c>
      <c r="J4759" s="13">
        <v>0</v>
      </c>
      <c r="K4759">
        <v>1</v>
      </c>
      <c r="L4759" t="s">
        <v>1064</v>
      </c>
      <c r="M4759" t="s">
        <v>5810</v>
      </c>
      <c r="N4759" s="14" t="s">
        <v>6877</v>
      </c>
    </row>
    <row r="4760" spans="1:14" x14ac:dyDescent="0.2">
      <c r="A4760" t="s">
        <v>5892</v>
      </c>
      <c r="B4760" t="s">
        <v>2360</v>
      </c>
      <c r="C4760" s="9">
        <v>45060</v>
      </c>
      <c r="D4760" t="s">
        <v>651</v>
      </c>
      <c r="E4760" s="13">
        <v>1600000</v>
      </c>
      <c r="F4760" s="13"/>
      <c r="H4760" t="s">
        <v>2184</v>
      </c>
      <c r="I4760" t="s">
        <v>5809</v>
      </c>
      <c r="J4760" s="13">
        <v>0</v>
      </c>
      <c r="K4760">
        <v>1</v>
      </c>
      <c r="L4760" t="s">
        <v>1064</v>
      </c>
      <c r="M4760" t="s">
        <v>5810</v>
      </c>
      <c r="N4760" s="14" t="s">
        <v>6877</v>
      </c>
    </row>
    <row r="4761" spans="1:14" x14ac:dyDescent="0.2">
      <c r="A4761" t="s">
        <v>5893</v>
      </c>
      <c r="B4761" t="s">
        <v>2360</v>
      </c>
      <c r="C4761" s="9">
        <v>45060</v>
      </c>
      <c r="D4761" t="s">
        <v>651</v>
      </c>
      <c r="E4761" s="13">
        <v>1600000</v>
      </c>
      <c r="F4761" s="13"/>
      <c r="H4761" t="s">
        <v>2184</v>
      </c>
      <c r="I4761" t="s">
        <v>5809</v>
      </c>
      <c r="J4761" s="13">
        <v>0</v>
      </c>
      <c r="K4761">
        <v>1</v>
      </c>
      <c r="L4761" t="s">
        <v>1064</v>
      </c>
      <c r="M4761" t="s">
        <v>5810</v>
      </c>
      <c r="N4761" s="14" t="s">
        <v>6877</v>
      </c>
    </row>
    <row r="4762" spans="1:14" x14ac:dyDescent="0.2">
      <c r="A4762" t="s">
        <v>5894</v>
      </c>
      <c r="B4762" t="s">
        <v>2360</v>
      </c>
      <c r="C4762" s="9">
        <v>45060</v>
      </c>
      <c r="D4762" t="s">
        <v>651</v>
      </c>
      <c r="E4762" s="13">
        <v>1600000</v>
      </c>
      <c r="F4762" s="13"/>
      <c r="H4762" t="s">
        <v>2184</v>
      </c>
      <c r="I4762" t="s">
        <v>5809</v>
      </c>
      <c r="J4762" s="13">
        <v>0</v>
      </c>
      <c r="K4762">
        <v>1</v>
      </c>
      <c r="L4762" t="s">
        <v>1064</v>
      </c>
      <c r="M4762" t="s">
        <v>5810</v>
      </c>
      <c r="N4762" s="14" t="s">
        <v>6877</v>
      </c>
    </row>
    <row r="4763" spans="1:14" x14ac:dyDescent="0.2">
      <c r="A4763" t="s">
        <v>5895</v>
      </c>
      <c r="B4763" t="s">
        <v>2360</v>
      </c>
      <c r="C4763" s="9">
        <v>45060</v>
      </c>
      <c r="D4763" t="s">
        <v>651</v>
      </c>
      <c r="E4763" s="13">
        <v>1600000</v>
      </c>
      <c r="F4763" s="13"/>
      <c r="H4763" t="s">
        <v>2184</v>
      </c>
      <c r="I4763" t="s">
        <v>5809</v>
      </c>
      <c r="J4763" s="13">
        <v>0</v>
      </c>
      <c r="K4763">
        <v>1</v>
      </c>
      <c r="L4763" t="s">
        <v>1064</v>
      </c>
      <c r="M4763" t="s">
        <v>5810</v>
      </c>
      <c r="N4763" s="14" t="s">
        <v>6877</v>
      </c>
    </row>
    <row r="4764" spans="1:14" x14ac:dyDescent="0.2">
      <c r="A4764" t="s">
        <v>5896</v>
      </c>
      <c r="B4764" t="s">
        <v>2360</v>
      </c>
      <c r="C4764" s="9">
        <v>45060</v>
      </c>
      <c r="D4764" t="s">
        <v>651</v>
      </c>
      <c r="E4764" s="13">
        <v>1600000</v>
      </c>
      <c r="F4764" s="13"/>
      <c r="H4764" t="s">
        <v>2184</v>
      </c>
      <c r="I4764" t="s">
        <v>5809</v>
      </c>
      <c r="J4764" s="13">
        <v>0</v>
      </c>
      <c r="K4764">
        <v>1</v>
      </c>
      <c r="L4764" t="s">
        <v>1064</v>
      </c>
      <c r="M4764" t="s">
        <v>5810</v>
      </c>
      <c r="N4764" s="14" t="s">
        <v>6877</v>
      </c>
    </row>
    <row r="4765" spans="1:14" x14ac:dyDescent="0.2">
      <c r="A4765" t="s">
        <v>5897</v>
      </c>
      <c r="B4765" t="s">
        <v>2360</v>
      </c>
      <c r="C4765" s="9">
        <v>45060</v>
      </c>
      <c r="D4765" t="s">
        <v>651</v>
      </c>
      <c r="E4765" s="13">
        <v>1600000</v>
      </c>
      <c r="F4765" s="13"/>
      <c r="H4765" t="s">
        <v>2184</v>
      </c>
      <c r="I4765" t="s">
        <v>5809</v>
      </c>
      <c r="J4765" s="13">
        <v>0</v>
      </c>
      <c r="K4765">
        <v>1</v>
      </c>
      <c r="L4765" t="s">
        <v>1064</v>
      </c>
      <c r="M4765" t="s">
        <v>5810</v>
      </c>
      <c r="N4765" s="14" t="s">
        <v>6877</v>
      </c>
    </row>
    <row r="4766" spans="1:14" x14ac:dyDescent="0.2">
      <c r="A4766" t="s">
        <v>5898</v>
      </c>
      <c r="B4766" t="s">
        <v>2360</v>
      </c>
      <c r="C4766" s="9">
        <v>45060</v>
      </c>
      <c r="D4766" t="s">
        <v>651</v>
      </c>
      <c r="E4766" s="13">
        <v>1600000</v>
      </c>
      <c r="F4766" s="13">
        <v>71040</v>
      </c>
      <c r="G4766" s="9">
        <v>45060</v>
      </c>
      <c r="H4766" t="s">
        <v>1111</v>
      </c>
      <c r="I4766" t="s">
        <v>5809</v>
      </c>
      <c r="J4766" s="13">
        <v>27750</v>
      </c>
      <c r="K4766">
        <v>1</v>
      </c>
      <c r="L4766" t="s">
        <v>1064</v>
      </c>
      <c r="M4766" t="s">
        <v>5810</v>
      </c>
      <c r="N4766" s="15" t="s">
        <v>6878</v>
      </c>
    </row>
    <row r="4767" spans="1:14" x14ac:dyDescent="0.2">
      <c r="A4767" t="s">
        <v>5899</v>
      </c>
      <c r="B4767" t="s">
        <v>2360</v>
      </c>
      <c r="C4767" s="9">
        <v>45060</v>
      </c>
      <c r="D4767" t="s">
        <v>651</v>
      </c>
      <c r="E4767" s="13">
        <v>1600000</v>
      </c>
      <c r="F4767" s="13">
        <v>71040</v>
      </c>
      <c r="G4767" s="9">
        <v>45060</v>
      </c>
      <c r="H4767" t="s">
        <v>1111</v>
      </c>
      <c r="I4767" t="s">
        <v>5809</v>
      </c>
      <c r="J4767" s="13">
        <v>27750</v>
      </c>
      <c r="K4767">
        <v>1</v>
      </c>
      <c r="L4767" t="s">
        <v>1064</v>
      </c>
      <c r="M4767" t="s">
        <v>5810</v>
      </c>
      <c r="N4767" s="15" t="s">
        <v>6878</v>
      </c>
    </row>
    <row r="4768" spans="1:14" x14ac:dyDescent="0.2">
      <c r="A4768" t="s">
        <v>5900</v>
      </c>
      <c r="B4768" t="s">
        <v>2360</v>
      </c>
      <c r="C4768" s="9">
        <v>45060</v>
      </c>
      <c r="D4768" t="s">
        <v>651</v>
      </c>
      <c r="E4768" s="13">
        <v>1600000</v>
      </c>
      <c r="F4768" s="13">
        <v>71040</v>
      </c>
      <c r="G4768" s="9">
        <v>45060</v>
      </c>
      <c r="H4768" t="s">
        <v>1111</v>
      </c>
      <c r="I4768" t="s">
        <v>5809</v>
      </c>
      <c r="J4768" s="13">
        <v>27750</v>
      </c>
      <c r="K4768">
        <v>1</v>
      </c>
      <c r="L4768" t="s">
        <v>1064</v>
      </c>
      <c r="M4768" t="s">
        <v>5810</v>
      </c>
      <c r="N4768" s="15" t="s">
        <v>6878</v>
      </c>
    </row>
    <row r="4769" spans="1:14" x14ac:dyDescent="0.2">
      <c r="A4769" t="s">
        <v>5901</v>
      </c>
      <c r="B4769" t="s">
        <v>2360</v>
      </c>
      <c r="C4769" s="9">
        <v>45060</v>
      </c>
      <c r="D4769" t="s">
        <v>651</v>
      </c>
      <c r="E4769" s="13">
        <v>1600000</v>
      </c>
      <c r="F4769" s="13">
        <v>71040</v>
      </c>
      <c r="G4769" s="9">
        <v>45060</v>
      </c>
      <c r="H4769" t="s">
        <v>1111</v>
      </c>
      <c r="I4769" t="s">
        <v>5809</v>
      </c>
      <c r="J4769" s="13">
        <v>27750</v>
      </c>
      <c r="K4769">
        <v>1</v>
      </c>
      <c r="L4769" t="s">
        <v>1064</v>
      </c>
      <c r="M4769" t="s">
        <v>5810</v>
      </c>
      <c r="N4769" s="15" t="s">
        <v>6878</v>
      </c>
    </row>
    <row r="4770" spans="1:14" x14ac:dyDescent="0.2">
      <c r="A4770" t="s">
        <v>5902</v>
      </c>
      <c r="B4770" t="s">
        <v>2360</v>
      </c>
      <c r="C4770" s="9">
        <v>45060</v>
      </c>
      <c r="D4770" t="s">
        <v>651</v>
      </c>
      <c r="E4770" s="13">
        <v>1600000</v>
      </c>
      <c r="F4770" s="13">
        <v>71040</v>
      </c>
      <c r="G4770" s="9">
        <v>45060</v>
      </c>
      <c r="H4770" t="s">
        <v>1111</v>
      </c>
      <c r="I4770" t="s">
        <v>5809</v>
      </c>
      <c r="J4770" s="13">
        <v>27750</v>
      </c>
      <c r="K4770">
        <v>1</v>
      </c>
      <c r="L4770" t="s">
        <v>1064</v>
      </c>
      <c r="M4770" t="s">
        <v>5810</v>
      </c>
      <c r="N4770" s="15" t="s">
        <v>6878</v>
      </c>
    </row>
    <row r="4771" spans="1:14" x14ac:dyDescent="0.2">
      <c r="A4771" t="s">
        <v>5903</v>
      </c>
      <c r="B4771" t="s">
        <v>2360</v>
      </c>
      <c r="C4771" s="9">
        <v>45060</v>
      </c>
      <c r="D4771" t="s">
        <v>651</v>
      </c>
      <c r="E4771" s="13">
        <v>1600000</v>
      </c>
      <c r="F4771" s="13">
        <v>71040</v>
      </c>
      <c r="G4771" s="9">
        <v>45060</v>
      </c>
      <c r="H4771" t="s">
        <v>1111</v>
      </c>
      <c r="I4771" t="s">
        <v>5809</v>
      </c>
      <c r="J4771" s="13">
        <v>27750</v>
      </c>
      <c r="K4771">
        <v>1</v>
      </c>
      <c r="L4771" t="s">
        <v>1064</v>
      </c>
      <c r="M4771" t="s">
        <v>5810</v>
      </c>
      <c r="N4771" s="15" t="s">
        <v>6878</v>
      </c>
    </row>
    <row r="4772" spans="1:14" x14ac:dyDescent="0.2">
      <c r="A4772" t="s">
        <v>5904</v>
      </c>
      <c r="B4772" t="s">
        <v>2360</v>
      </c>
      <c r="C4772" s="9">
        <v>45060</v>
      </c>
      <c r="D4772" t="s">
        <v>651</v>
      </c>
      <c r="E4772" s="13">
        <v>1600000</v>
      </c>
      <c r="F4772" s="13">
        <v>71040</v>
      </c>
      <c r="G4772" s="9">
        <v>45060</v>
      </c>
      <c r="H4772" t="s">
        <v>1111</v>
      </c>
      <c r="I4772" t="s">
        <v>5809</v>
      </c>
      <c r="J4772" s="13">
        <v>27750</v>
      </c>
      <c r="K4772">
        <v>1</v>
      </c>
      <c r="L4772" t="s">
        <v>1064</v>
      </c>
      <c r="M4772" t="s">
        <v>5810</v>
      </c>
      <c r="N4772" s="15" t="s">
        <v>6878</v>
      </c>
    </row>
    <row r="4773" spans="1:14" x14ac:dyDescent="0.2">
      <c r="A4773" t="s">
        <v>5905</v>
      </c>
      <c r="B4773" t="s">
        <v>2360</v>
      </c>
      <c r="C4773" s="9">
        <v>45060</v>
      </c>
      <c r="D4773" t="s">
        <v>651</v>
      </c>
      <c r="E4773" s="13">
        <v>1600000</v>
      </c>
      <c r="F4773" s="13">
        <v>71040</v>
      </c>
      <c r="G4773" s="9">
        <v>45060</v>
      </c>
      <c r="H4773" t="s">
        <v>1111</v>
      </c>
      <c r="I4773" t="s">
        <v>5809</v>
      </c>
      <c r="J4773" s="13">
        <v>27750</v>
      </c>
      <c r="K4773">
        <v>1</v>
      </c>
      <c r="L4773" t="s">
        <v>1064</v>
      </c>
      <c r="M4773" t="s">
        <v>5810</v>
      </c>
      <c r="N4773" s="15" t="s">
        <v>6878</v>
      </c>
    </row>
    <row r="4774" spans="1:14" x14ac:dyDescent="0.2">
      <c r="A4774" t="s">
        <v>5906</v>
      </c>
      <c r="B4774" t="s">
        <v>2360</v>
      </c>
      <c r="C4774" s="9">
        <v>45060</v>
      </c>
      <c r="D4774" t="s">
        <v>651</v>
      </c>
      <c r="E4774" s="13">
        <v>1600000</v>
      </c>
      <c r="F4774" s="13">
        <v>71040</v>
      </c>
      <c r="G4774" s="9">
        <v>45060</v>
      </c>
      <c r="H4774" t="s">
        <v>1111</v>
      </c>
      <c r="I4774" t="s">
        <v>5809</v>
      </c>
      <c r="J4774" s="13">
        <v>27750</v>
      </c>
      <c r="K4774">
        <v>1</v>
      </c>
      <c r="L4774" t="s">
        <v>1064</v>
      </c>
      <c r="M4774" t="s">
        <v>5810</v>
      </c>
      <c r="N4774" s="15" t="s">
        <v>6878</v>
      </c>
    </row>
    <row r="4775" spans="1:14" x14ac:dyDescent="0.2">
      <c r="A4775" t="s">
        <v>5907</v>
      </c>
      <c r="B4775" t="s">
        <v>2360</v>
      </c>
      <c r="C4775" s="9">
        <v>45060</v>
      </c>
      <c r="D4775" t="s">
        <v>651</v>
      </c>
      <c r="E4775" s="13">
        <v>1600000</v>
      </c>
      <c r="F4775" s="13">
        <v>71040</v>
      </c>
      <c r="G4775" s="9">
        <v>45060</v>
      </c>
      <c r="H4775" t="s">
        <v>1111</v>
      </c>
      <c r="I4775" t="s">
        <v>5809</v>
      </c>
      <c r="J4775" s="13">
        <v>27750</v>
      </c>
      <c r="K4775">
        <v>1</v>
      </c>
      <c r="L4775" t="s">
        <v>1064</v>
      </c>
      <c r="M4775" t="s">
        <v>5810</v>
      </c>
      <c r="N4775" s="15" t="s">
        <v>6878</v>
      </c>
    </row>
    <row r="4776" spans="1:14" x14ac:dyDescent="0.2">
      <c r="A4776" t="s">
        <v>5908</v>
      </c>
      <c r="B4776" t="s">
        <v>2360</v>
      </c>
      <c r="C4776" s="9">
        <v>45060</v>
      </c>
      <c r="D4776" t="s">
        <v>651</v>
      </c>
      <c r="E4776" s="13">
        <v>1600000</v>
      </c>
      <c r="F4776" s="13">
        <v>71040</v>
      </c>
      <c r="G4776" s="9">
        <v>45060</v>
      </c>
      <c r="H4776" t="s">
        <v>1111</v>
      </c>
      <c r="I4776" t="s">
        <v>5809</v>
      </c>
      <c r="J4776" s="13">
        <v>27750</v>
      </c>
      <c r="K4776">
        <v>1</v>
      </c>
      <c r="L4776" t="s">
        <v>1064</v>
      </c>
      <c r="M4776" t="s">
        <v>5810</v>
      </c>
      <c r="N4776" s="15" t="s">
        <v>6878</v>
      </c>
    </row>
    <row r="4777" spans="1:14" x14ac:dyDescent="0.2">
      <c r="A4777" t="s">
        <v>5909</v>
      </c>
      <c r="B4777" t="s">
        <v>2360</v>
      </c>
      <c r="C4777" s="9">
        <v>45060</v>
      </c>
      <c r="D4777" t="s">
        <v>651</v>
      </c>
      <c r="E4777" s="13">
        <v>1600000</v>
      </c>
      <c r="F4777" s="13">
        <v>71040</v>
      </c>
      <c r="G4777" s="9">
        <v>45060</v>
      </c>
      <c r="H4777" t="s">
        <v>1111</v>
      </c>
      <c r="I4777" t="s">
        <v>5809</v>
      </c>
      <c r="J4777" s="13">
        <v>27750</v>
      </c>
      <c r="K4777">
        <v>1</v>
      </c>
      <c r="L4777" t="s">
        <v>1064</v>
      </c>
      <c r="M4777" t="s">
        <v>5810</v>
      </c>
      <c r="N4777" s="15" t="s">
        <v>6878</v>
      </c>
    </row>
    <row r="4778" spans="1:14" x14ac:dyDescent="0.2">
      <c r="A4778" t="s">
        <v>5910</v>
      </c>
      <c r="B4778" t="s">
        <v>2360</v>
      </c>
      <c r="C4778" s="9">
        <v>45060</v>
      </c>
      <c r="D4778" t="s">
        <v>651</v>
      </c>
      <c r="E4778" s="13">
        <v>1600000</v>
      </c>
      <c r="F4778" s="13">
        <v>71040</v>
      </c>
      <c r="G4778" s="9">
        <v>45060</v>
      </c>
      <c r="H4778" t="s">
        <v>1111</v>
      </c>
      <c r="I4778" t="s">
        <v>5809</v>
      </c>
      <c r="J4778" s="13">
        <v>27750</v>
      </c>
      <c r="K4778">
        <v>1</v>
      </c>
      <c r="L4778" t="s">
        <v>1064</v>
      </c>
      <c r="M4778" t="s">
        <v>5810</v>
      </c>
      <c r="N4778" s="15" t="s">
        <v>6878</v>
      </c>
    </row>
    <row r="4779" spans="1:14" x14ac:dyDescent="0.2">
      <c r="A4779" t="s">
        <v>5911</v>
      </c>
      <c r="B4779" t="s">
        <v>2360</v>
      </c>
      <c r="C4779" s="9">
        <v>45060</v>
      </c>
      <c r="D4779" t="s">
        <v>651</v>
      </c>
      <c r="E4779" s="13">
        <v>1600000</v>
      </c>
      <c r="F4779" s="13">
        <v>71040</v>
      </c>
      <c r="G4779" s="9">
        <v>45060</v>
      </c>
      <c r="H4779" t="s">
        <v>1111</v>
      </c>
      <c r="I4779" t="s">
        <v>5809</v>
      </c>
      <c r="J4779" s="13">
        <v>27750</v>
      </c>
      <c r="K4779">
        <v>1</v>
      </c>
      <c r="L4779" t="s">
        <v>1064</v>
      </c>
      <c r="M4779" t="s">
        <v>5810</v>
      </c>
      <c r="N4779" s="15" t="s">
        <v>6878</v>
      </c>
    </row>
    <row r="4780" spans="1:14" x14ac:dyDescent="0.2">
      <c r="A4780" t="s">
        <v>5912</v>
      </c>
      <c r="B4780" t="s">
        <v>2360</v>
      </c>
      <c r="C4780" s="9">
        <v>45060</v>
      </c>
      <c r="D4780" t="s">
        <v>651</v>
      </c>
      <c r="E4780" s="13">
        <v>1600000</v>
      </c>
      <c r="F4780" s="13">
        <v>71040</v>
      </c>
      <c r="G4780" s="9">
        <v>45060</v>
      </c>
      <c r="H4780" t="s">
        <v>1111</v>
      </c>
      <c r="I4780" t="s">
        <v>5809</v>
      </c>
      <c r="J4780" s="13">
        <v>27750</v>
      </c>
      <c r="K4780">
        <v>1</v>
      </c>
      <c r="L4780" t="s">
        <v>1064</v>
      </c>
      <c r="M4780" t="s">
        <v>5810</v>
      </c>
      <c r="N4780" s="15" t="s">
        <v>6878</v>
      </c>
    </row>
    <row r="4781" spans="1:14" x14ac:dyDescent="0.2">
      <c r="A4781" t="s">
        <v>5913</v>
      </c>
      <c r="B4781" t="s">
        <v>2360</v>
      </c>
      <c r="C4781" s="9">
        <v>45060</v>
      </c>
      <c r="D4781" t="s">
        <v>651</v>
      </c>
      <c r="E4781" s="13">
        <v>1600000</v>
      </c>
      <c r="F4781" s="13">
        <v>71040</v>
      </c>
      <c r="G4781" s="9">
        <v>45060</v>
      </c>
      <c r="H4781" t="s">
        <v>1111</v>
      </c>
      <c r="I4781" t="s">
        <v>5809</v>
      </c>
      <c r="J4781" s="13">
        <v>27750</v>
      </c>
      <c r="K4781">
        <v>1</v>
      </c>
      <c r="L4781" t="s">
        <v>1064</v>
      </c>
      <c r="M4781" t="s">
        <v>5810</v>
      </c>
      <c r="N4781" s="15" t="s">
        <v>6878</v>
      </c>
    </row>
    <row r="4782" spans="1:14" x14ac:dyDescent="0.2">
      <c r="A4782" t="s">
        <v>5914</v>
      </c>
      <c r="B4782" t="s">
        <v>2360</v>
      </c>
      <c r="C4782" s="9">
        <v>45060</v>
      </c>
      <c r="D4782" t="s">
        <v>651</v>
      </c>
      <c r="E4782" s="13">
        <v>1600000</v>
      </c>
      <c r="F4782" s="13">
        <v>71040</v>
      </c>
      <c r="G4782" s="9">
        <v>45060</v>
      </c>
      <c r="H4782" t="s">
        <v>1111</v>
      </c>
      <c r="I4782" t="s">
        <v>5809</v>
      </c>
      <c r="J4782" s="13">
        <v>27750</v>
      </c>
      <c r="K4782">
        <v>1</v>
      </c>
      <c r="L4782" t="s">
        <v>1064</v>
      </c>
      <c r="M4782" t="s">
        <v>5810</v>
      </c>
      <c r="N4782" s="15" t="s">
        <v>6878</v>
      </c>
    </row>
    <row r="4783" spans="1:14" x14ac:dyDescent="0.2">
      <c r="A4783" t="s">
        <v>5915</v>
      </c>
      <c r="B4783" t="s">
        <v>2360</v>
      </c>
      <c r="C4783" s="9">
        <v>45060</v>
      </c>
      <c r="D4783" t="s">
        <v>651</v>
      </c>
      <c r="E4783" s="13">
        <v>1600000</v>
      </c>
      <c r="F4783" s="13">
        <v>71040</v>
      </c>
      <c r="G4783" s="9">
        <v>45060</v>
      </c>
      <c r="H4783" t="s">
        <v>1111</v>
      </c>
      <c r="I4783" t="s">
        <v>5809</v>
      </c>
      <c r="J4783" s="13">
        <v>27750</v>
      </c>
      <c r="K4783">
        <v>1</v>
      </c>
      <c r="L4783" t="s">
        <v>1064</v>
      </c>
      <c r="M4783" t="s">
        <v>5810</v>
      </c>
      <c r="N4783" s="15" t="s">
        <v>6878</v>
      </c>
    </row>
    <row r="4784" spans="1:14" x14ac:dyDescent="0.2">
      <c r="A4784" t="s">
        <v>5916</v>
      </c>
      <c r="B4784" t="s">
        <v>2360</v>
      </c>
      <c r="C4784" s="9">
        <v>45060</v>
      </c>
      <c r="D4784" t="s">
        <v>651</v>
      </c>
      <c r="E4784" s="13">
        <v>1600000</v>
      </c>
      <c r="F4784" s="13">
        <v>71040</v>
      </c>
      <c r="G4784" s="9">
        <v>45060</v>
      </c>
      <c r="H4784" t="s">
        <v>1111</v>
      </c>
      <c r="I4784" t="s">
        <v>5809</v>
      </c>
      <c r="J4784" s="13">
        <v>27750</v>
      </c>
      <c r="K4784">
        <v>1</v>
      </c>
      <c r="L4784" t="s">
        <v>1064</v>
      </c>
      <c r="M4784" t="s">
        <v>5810</v>
      </c>
      <c r="N4784" s="15" t="s">
        <v>6878</v>
      </c>
    </row>
    <row r="4785" spans="1:14" x14ac:dyDescent="0.2">
      <c r="A4785" t="s">
        <v>5917</v>
      </c>
      <c r="B4785" t="s">
        <v>2360</v>
      </c>
      <c r="C4785" s="9">
        <v>45060</v>
      </c>
      <c r="D4785" t="s">
        <v>651</v>
      </c>
      <c r="E4785" s="13">
        <v>1600000</v>
      </c>
      <c r="F4785" s="13">
        <v>71040</v>
      </c>
      <c r="G4785" s="9">
        <v>45060</v>
      </c>
      <c r="H4785" t="s">
        <v>1111</v>
      </c>
      <c r="I4785" t="s">
        <v>5809</v>
      </c>
      <c r="J4785" s="13">
        <v>27750</v>
      </c>
      <c r="K4785">
        <v>1</v>
      </c>
      <c r="L4785" t="s">
        <v>1064</v>
      </c>
      <c r="M4785" t="s">
        <v>5810</v>
      </c>
      <c r="N4785" s="15" t="s">
        <v>6878</v>
      </c>
    </row>
    <row r="4786" spans="1:14" x14ac:dyDescent="0.2">
      <c r="A4786" t="s">
        <v>5918</v>
      </c>
      <c r="B4786" t="s">
        <v>2360</v>
      </c>
      <c r="C4786" s="9">
        <v>45060</v>
      </c>
      <c r="D4786" t="s">
        <v>651</v>
      </c>
      <c r="E4786" s="13">
        <v>1600000</v>
      </c>
      <c r="F4786" s="13">
        <v>71040</v>
      </c>
      <c r="G4786" s="9">
        <v>45060</v>
      </c>
      <c r="H4786" t="s">
        <v>1111</v>
      </c>
      <c r="I4786" t="s">
        <v>5809</v>
      </c>
      <c r="J4786" s="13">
        <v>27750</v>
      </c>
      <c r="K4786">
        <v>1</v>
      </c>
      <c r="L4786" t="s">
        <v>1064</v>
      </c>
      <c r="M4786" t="s">
        <v>5810</v>
      </c>
      <c r="N4786" s="15" t="s">
        <v>6878</v>
      </c>
    </row>
    <row r="4787" spans="1:14" x14ac:dyDescent="0.2">
      <c r="A4787" t="s">
        <v>5919</v>
      </c>
      <c r="B4787" t="s">
        <v>2360</v>
      </c>
      <c r="C4787" s="9">
        <v>45060</v>
      </c>
      <c r="D4787" t="s">
        <v>651</v>
      </c>
      <c r="E4787" s="13">
        <v>1600000</v>
      </c>
      <c r="F4787" s="13">
        <v>71040</v>
      </c>
      <c r="G4787" s="9">
        <v>45060</v>
      </c>
      <c r="H4787" t="s">
        <v>1111</v>
      </c>
      <c r="I4787" t="s">
        <v>5809</v>
      </c>
      <c r="J4787" s="13">
        <v>27750</v>
      </c>
      <c r="K4787">
        <v>1</v>
      </c>
      <c r="L4787" t="s">
        <v>1064</v>
      </c>
      <c r="M4787" t="s">
        <v>5810</v>
      </c>
      <c r="N4787" s="15" t="s">
        <v>6878</v>
      </c>
    </row>
    <row r="4788" spans="1:14" x14ac:dyDescent="0.2">
      <c r="A4788" t="s">
        <v>5920</v>
      </c>
      <c r="B4788" t="s">
        <v>2360</v>
      </c>
      <c r="C4788" s="9">
        <v>45060</v>
      </c>
      <c r="D4788" t="s">
        <v>651</v>
      </c>
      <c r="E4788" s="13">
        <v>1600000</v>
      </c>
      <c r="F4788" s="13">
        <v>71040</v>
      </c>
      <c r="G4788" s="9">
        <v>45060</v>
      </c>
      <c r="H4788" t="s">
        <v>1111</v>
      </c>
      <c r="I4788" t="s">
        <v>5809</v>
      </c>
      <c r="J4788" s="13">
        <v>27750</v>
      </c>
      <c r="K4788">
        <v>1</v>
      </c>
      <c r="L4788" t="s">
        <v>1064</v>
      </c>
      <c r="M4788" t="s">
        <v>5810</v>
      </c>
      <c r="N4788" s="15" t="s">
        <v>6878</v>
      </c>
    </row>
    <row r="4789" spans="1:14" x14ac:dyDescent="0.2">
      <c r="A4789" t="s">
        <v>5921</v>
      </c>
      <c r="B4789" t="s">
        <v>2360</v>
      </c>
      <c r="C4789" s="9">
        <v>45060</v>
      </c>
      <c r="D4789" t="s">
        <v>651</v>
      </c>
      <c r="E4789" s="13">
        <v>1600000</v>
      </c>
      <c r="F4789" s="13"/>
      <c r="H4789" t="s">
        <v>2184</v>
      </c>
      <c r="I4789" t="s">
        <v>5809</v>
      </c>
      <c r="J4789" s="13">
        <v>0</v>
      </c>
      <c r="K4789">
        <v>1</v>
      </c>
      <c r="L4789" t="s">
        <v>1064</v>
      </c>
      <c r="M4789" t="s">
        <v>5810</v>
      </c>
      <c r="N4789" s="14" t="s">
        <v>6877</v>
      </c>
    </row>
    <row r="4790" spans="1:14" x14ac:dyDescent="0.2">
      <c r="A4790" t="s">
        <v>5922</v>
      </c>
      <c r="B4790" t="s">
        <v>2360</v>
      </c>
      <c r="C4790" s="9">
        <v>45060</v>
      </c>
      <c r="D4790" t="s">
        <v>651</v>
      </c>
      <c r="E4790" s="13">
        <v>1600000</v>
      </c>
      <c r="F4790" s="13"/>
      <c r="H4790" t="s">
        <v>2184</v>
      </c>
      <c r="I4790" t="s">
        <v>5809</v>
      </c>
      <c r="J4790" s="13">
        <v>0</v>
      </c>
      <c r="K4790">
        <v>1</v>
      </c>
      <c r="L4790" t="s">
        <v>1064</v>
      </c>
      <c r="M4790" t="s">
        <v>5810</v>
      </c>
      <c r="N4790" s="14" t="s">
        <v>6877</v>
      </c>
    </row>
    <row r="4791" spans="1:14" x14ac:dyDescent="0.2">
      <c r="A4791" t="s">
        <v>5923</v>
      </c>
      <c r="B4791" t="s">
        <v>2360</v>
      </c>
      <c r="C4791" s="9">
        <v>45060</v>
      </c>
      <c r="D4791" t="s">
        <v>651</v>
      </c>
      <c r="E4791" s="13">
        <v>1600000</v>
      </c>
      <c r="F4791" s="13"/>
      <c r="H4791" t="s">
        <v>2184</v>
      </c>
      <c r="I4791" t="s">
        <v>5809</v>
      </c>
      <c r="J4791" s="13">
        <v>0</v>
      </c>
      <c r="K4791">
        <v>1</v>
      </c>
      <c r="L4791" t="s">
        <v>1064</v>
      </c>
      <c r="M4791" t="s">
        <v>5810</v>
      </c>
      <c r="N4791" s="14" t="s">
        <v>6877</v>
      </c>
    </row>
    <row r="4792" spans="1:14" x14ac:dyDescent="0.2">
      <c r="A4792" t="s">
        <v>5924</v>
      </c>
      <c r="B4792" t="s">
        <v>2360</v>
      </c>
      <c r="C4792" s="9">
        <v>45060</v>
      </c>
      <c r="D4792" t="s">
        <v>651</v>
      </c>
      <c r="E4792" s="13">
        <v>1600000</v>
      </c>
      <c r="F4792" s="13"/>
      <c r="H4792" t="s">
        <v>2184</v>
      </c>
      <c r="I4792" t="s">
        <v>5809</v>
      </c>
      <c r="J4792" s="13">
        <v>0</v>
      </c>
      <c r="K4792">
        <v>1</v>
      </c>
      <c r="L4792" t="s">
        <v>1064</v>
      </c>
      <c r="M4792" t="s">
        <v>5810</v>
      </c>
      <c r="N4792" s="14" t="s">
        <v>6877</v>
      </c>
    </row>
    <row r="4793" spans="1:14" x14ac:dyDescent="0.2">
      <c r="A4793" t="s">
        <v>5925</v>
      </c>
      <c r="B4793" t="s">
        <v>2360</v>
      </c>
      <c r="C4793" s="9">
        <v>45060</v>
      </c>
      <c r="D4793" t="s">
        <v>651</v>
      </c>
      <c r="E4793" s="13">
        <v>1600000</v>
      </c>
      <c r="F4793" s="13"/>
      <c r="H4793" t="s">
        <v>2184</v>
      </c>
      <c r="I4793" t="s">
        <v>5809</v>
      </c>
      <c r="J4793" s="13">
        <v>0</v>
      </c>
      <c r="K4793">
        <v>1</v>
      </c>
      <c r="L4793" t="s">
        <v>1064</v>
      </c>
      <c r="M4793" t="s">
        <v>5810</v>
      </c>
      <c r="N4793" s="14" t="s">
        <v>6877</v>
      </c>
    </row>
    <row r="4794" spans="1:14" x14ac:dyDescent="0.2">
      <c r="A4794" t="s">
        <v>5926</v>
      </c>
      <c r="B4794" t="s">
        <v>2360</v>
      </c>
      <c r="C4794" s="9">
        <v>45060</v>
      </c>
      <c r="D4794" t="s">
        <v>651</v>
      </c>
      <c r="E4794" s="13">
        <v>1600000</v>
      </c>
      <c r="F4794" s="13"/>
      <c r="H4794" t="s">
        <v>2184</v>
      </c>
      <c r="I4794" t="s">
        <v>5809</v>
      </c>
      <c r="J4794" s="13">
        <v>0</v>
      </c>
      <c r="K4794">
        <v>1</v>
      </c>
      <c r="L4794" t="s">
        <v>1064</v>
      </c>
      <c r="M4794" t="s">
        <v>5810</v>
      </c>
      <c r="N4794" s="14" t="s">
        <v>6877</v>
      </c>
    </row>
    <row r="4795" spans="1:14" x14ac:dyDescent="0.2">
      <c r="A4795" t="s">
        <v>5927</v>
      </c>
      <c r="B4795" t="s">
        <v>2360</v>
      </c>
      <c r="C4795" s="9">
        <v>45060</v>
      </c>
      <c r="D4795" t="s">
        <v>651</v>
      </c>
      <c r="E4795" s="13">
        <v>1600000</v>
      </c>
      <c r="F4795" s="13"/>
      <c r="H4795" t="s">
        <v>2272</v>
      </c>
      <c r="I4795" t="s">
        <v>5809</v>
      </c>
      <c r="J4795" s="13">
        <v>0</v>
      </c>
      <c r="K4795">
        <v>1</v>
      </c>
      <c r="L4795" t="s">
        <v>1064</v>
      </c>
      <c r="M4795" t="s">
        <v>5810</v>
      </c>
      <c r="N4795" s="14" t="s">
        <v>6877</v>
      </c>
    </row>
    <row r="4796" spans="1:14" x14ac:dyDescent="0.2">
      <c r="A4796" t="s">
        <v>5928</v>
      </c>
      <c r="B4796" t="s">
        <v>2360</v>
      </c>
      <c r="C4796" s="9">
        <v>45060</v>
      </c>
      <c r="D4796" t="s">
        <v>651</v>
      </c>
      <c r="E4796" s="13">
        <v>1600000</v>
      </c>
      <c r="F4796" s="13"/>
      <c r="H4796" t="s">
        <v>2184</v>
      </c>
      <c r="I4796" t="s">
        <v>5809</v>
      </c>
      <c r="J4796" s="13">
        <v>0</v>
      </c>
      <c r="K4796">
        <v>1</v>
      </c>
      <c r="L4796" t="s">
        <v>1064</v>
      </c>
      <c r="M4796" t="s">
        <v>5810</v>
      </c>
      <c r="N4796" s="14" t="s">
        <v>6877</v>
      </c>
    </row>
    <row r="4797" spans="1:14" x14ac:dyDescent="0.2">
      <c r="A4797" t="s">
        <v>5929</v>
      </c>
      <c r="B4797" t="s">
        <v>2360</v>
      </c>
      <c r="C4797" s="9">
        <v>45060</v>
      </c>
      <c r="D4797" t="s">
        <v>651</v>
      </c>
      <c r="E4797" s="13">
        <v>1600000</v>
      </c>
      <c r="F4797" s="13"/>
      <c r="H4797" t="s">
        <v>2184</v>
      </c>
      <c r="I4797" t="s">
        <v>5809</v>
      </c>
      <c r="J4797" s="13">
        <v>0</v>
      </c>
      <c r="K4797">
        <v>1</v>
      </c>
      <c r="L4797" t="s">
        <v>1064</v>
      </c>
      <c r="M4797" t="s">
        <v>5810</v>
      </c>
      <c r="N4797" s="14" t="s">
        <v>6877</v>
      </c>
    </row>
    <row r="4798" spans="1:14" x14ac:dyDescent="0.2">
      <c r="A4798" t="s">
        <v>5930</v>
      </c>
      <c r="B4798" t="s">
        <v>2360</v>
      </c>
      <c r="C4798" s="9">
        <v>45060</v>
      </c>
      <c r="D4798" t="s">
        <v>651</v>
      </c>
      <c r="E4798" s="13">
        <v>1600000</v>
      </c>
      <c r="F4798" s="13"/>
      <c r="H4798" t="s">
        <v>2184</v>
      </c>
      <c r="I4798" t="s">
        <v>5809</v>
      </c>
      <c r="J4798" s="13">
        <v>0</v>
      </c>
      <c r="K4798">
        <v>1</v>
      </c>
      <c r="L4798" t="s">
        <v>1064</v>
      </c>
      <c r="M4798" t="s">
        <v>5810</v>
      </c>
      <c r="N4798" s="14" t="s">
        <v>6877</v>
      </c>
    </row>
    <row r="4799" spans="1:14" x14ac:dyDescent="0.2">
      <c r="A4799" t="s">
        <v>5931</v>
      </c>
      <c r="B4799" t="s">
        <v>2360</v>
      </c>
      <c r="C4799" s="9">
        <v>45060</v>
      </c>
      <c r="D4799" t="s">
        <v>651</v>
      </c>
      <c r="E4799" s="13">
        <v>1600000</v>
      </c>
      <c r="F4799" s="13"/>
      <c r="H4799" t="s">
        <v>2184</v>
      </c>
      <c r="I4799" t="s">
        <v>5809</v>
      </c>
      <c r="J4799" s="13">
        <v>0</v>
      </c>
      <c r="K4799">
        <v>1</v>
      </c>
      <c r="L4799" t="s">
        <v>1064</v>
      </c>
      <c r="M4799" t="s">
        <v>5810</v>
      </c>
      <c r="N4799" s="14" t="s">
        <v>6877</v>
      </c>
    </row>
    <row r="4800" spans="1:14" x14ac:dyDescent="0.2">
      <c r="A4800" t="s">
        <v>5932</v>
      </c>
      <c r="B4800" t="s">
        <v>2360</v>
      </c>
      <c r="C4800" s="9">
        <v>45060</v>
      </c>
      <c r="D4800" t="s">
        <v>651</v>
      </c>
      <c r="E4800" s="13">
        <v>1600000</v>
      </c>
      <c r="F4800" s="13"/>
      <c r="H4800" t="s">
        <v>2184</v>
      </c>
      <c r="I4800" t="s">
        <v>5809</v>
      </c>
      <c r="J4800" s="13">
        <v>0</v>
      </c>
      <c r="K4800">
        <v>1</v>
      </c>
      <c r="L4800" t="s">
        <v>1064</v>
      </c>
      <c r="M4800" t="s">
        <v>5810</v>
      </c>
      <c r="N4800" s="14" t="s">
        <v>6877</v>
      </c>
    </row>
    <row r="4801" spans="1:14" x14ac:dyDescent="0.2">
      <c r="A4801" t="s">
        <v>5933</v>
      </c>
      <c r="B4801" t="s">
        <v>2360</v>
      </c>
      <c r="C4801" s="9">
        <v>45060</v>
      </c>
      <c r="D4801" t="s">
        <v>651</v>
      </c>
      <c r="E4801" s="13">
        <v>1600000</v>
      </c>
      <c r="F4801" s="13"/>
      <c r="H4801" t="s">
        <v>2184</v>
      </c>
      <c r="I4801" t="s">
        <v>5809</v>
      </c>
      <c r="J4801" s="13">
        <v>0</v>
      </c>
      <c r="K4801">
        <v>1</v>
      </c>
      <c r="L4801" t="s">
        <v>1064</v>
      </c>
      <c r="M4801" t="s">
        <v>5810</v>
      </c>
      <c r="N4801" s="14" t="s">
        <v>6877</v>
      </c>
    </row>
    <row r="4802" spans="1:14" x14ac:dyDescent="0.2">
      <c r="A4802" t="s">
        <v>5934</v>
      </c>
      <c r="B4802" t="s">
        <v>2360</v>
      </c>
      <c r="C4802" s="9">
        <v>45060</v>
      </c>
      <c r="D4802" t="s">
        <v>651</v>
      </c>
      <c r="E4802" s="13">
        <v>1600000</v>
      </c>
      <c r="F4802" s="13"/>
      <c r="H4802" t="s">
        <v>2184</v>
      </c>
      <c r="I4802" t="s">
        <v>5809</v>
      </c>
      <c r="J4802" s="13">
        <v>0</v>
      </c>
      <c r="K4802">
        <v>1</v>
      </c>
      <c r="L4802" t="s">
        <v>1064</v>
      </c>
      <c r="M4802" t="s">
        <v>5810</v>
      </c>
      <c r="N4802" s="14" t="s">
        <v>6877</v>
      </c>
    </row>
    <row r="4803" spans="1:14" x14ac:dyDescent="0.2">
      <c r="A4803" t="s">
        <v>5935</v>
      </c>
      <c r="B4803" t="s">
        <v>2360</v>
      </c>
      <c r="C4803" s="9">
        <v>45060</v>
      </c>
      <c r="D4803" t="s">
        <v>651</v>
      </c>
      <c r="E4803" s="13">
        <v>1600000</v>
      </c>
      <c r="F4803" s="13"/>
      <c r="H4803" t="s">
        <v>2184</v>
      </c>
      <c r="I4803" t="s">
        <v>5809</v>
      </c>
      <c r="J4803" s="13">
        <v>0</v>
      </c>
      <c r="K4803">
        <v>1</v>
      </c>
      <c r="L4803" t="s">
        <v>1064</v>
      </c>
      <c r="M4803" t="s">
        <v>5810</v>
      </c>
      <c r="N4803" s="14" t="s">
        <v>6877</v>
      </c>
    </row>
    <row r="4804" spans="1:14" x14ac:dyDescent="0.2">
      <c r="A4804" t="s">
        <v>5936</v>
      </c>
      <c r="B4804" t="s">
        <v>2360</v>
      </c>
      <c r="C4804" s="9">
        <v>45060</v>
      </c>
      <c r="D4804" t="s">
        <v>651</v>
      </c>
      <c r="E4804" s="13">
        <v>1600000</v>
      </c>
      <c r="F4804" s="13"/>
      <c r="H4804" t="s">
        <v>2184</v>
      </c>
      <c r="I4804" t="s">
        <v>5809</v>
      </c>
      <c r="J4804" s="13">
        <v>0</v>
      </c>
      <c r="K4804">
        <v>1</v>
      </c>
      <c r="L4804" t="s">
        <v>1064</v>
      </c>
      <c r="M4804" t="s">
        <v>5810</v>
      </c>
      <c r="N4804" s="14" t="s">
        <v>6877</v>
      </c>
    </row>
    <row r="4805" spans="1:14" x14ac:dyDescent="0.2">
      <c r="A4805" t="s">
        <v>5937</v>
      </c>
      <c r="B4805" t="s">
        <v>2360</v>
      </c>
      <c r="C4805" s="9">
        <v>45060</v>
      </c>
      <c r="D4805" t="s">
        <v>651</v>
      </c>
      <c r="E4805" s="13">
        <v>1600000</v>
      </c>
      <c r="F4805" s="13"/>
      <c r="H4805" t="s">
        <v>2184</v>
      </c>
      <c r="I4805" t="s">
        <v>5809</v>
      </c>
      <c r="J4805" s="13">
        <v>0</v>
      </c>
      <c r="K4805">
        <v>1</v>
      </c>
      <c r="L4805" t="s">
        <v>1064</v>
      </c>
      <c r="M4805" t="s">
        <v>5810</v>
      </c>
      <c r="N4805" s="14" t="s">
        <v>6877</v>
      </c>
    </row>
    <row r="4806" spans="1:14" x14ac:dyDescent="0.2">
      <c r="A4806" t="s">
        <v>5938</v>
      </c>
      <c r="B4806" t="s">
        <v>2360</v>
      </c>
      <c r="C4806" s="9">
        <v>45060</v>
      </c>
      <c r="D4806" t="s">
        <v>651</v>
      </c>
      <c r="E4806" s="13">
        <v>1600000</v>
      </c>
      <c r="F4806" s="13"/>
      <c r="H4806" t="s">
        <v>2184</v>
      </c>
      <c r="I4806" t="s">
        <v>5809</v>
      </c>
      <c r="J4806" s="13">
        <v>0</v>
      </c>
      <c r="K4806">
        <v>1</v>
      </c>
      <c r="L4806" t="s">
        <v>1064</v>
      </c>
      <c r="M4806" t="s">
        <v>5810</v>
      </c>
      <c r="N4806" s="14" t="s">
        <v>6877</v>
      </c>
    </row>
    <row r="4807" spans="1:14" x14ac:dyDescent="0.2">
      <c r="A4807" t="s">
        <v>5939</v>
      </c>
      <c r="B4807" t="s">
        <v>2360</v>
      </c>
      <c r="C4807" s="9">
        <v>45060</v>
      </c>
      <c r="D4807" t="s">
        <v>651</v>
      </c>
      <c r="E4807" s="13">
        <v>1600000</v>
      </c>
      <c r="F4807" s="13"/>
      <c r="H4807" t="s">
        <v>2184</v>
      </c>
      <c r="I4807" t="s">
        <v>5809</v>
      </c>
      <c r="J4807" s="13">
        <v>0</v>
      </c>
      <c r="K4807">
        <v>1</v>
      </c>
      <c r="L4807" t="s">
        <v>1064</v>
      </c>
      <c r="M4807" t="s">
        <v>5810</v>
      </c>
      <c r="N4807" s="14" t="s">
        <v>6877</v>
      </c>
    </row>
    <row r="4808" spans="1:14" x14ac:dyDescent="0.2">
      <c r="A4808" t="s">
        <v>5940</v>
      </c>
      <c r="B4808" t="s">
        <v>2360</v>
      </c>
      <c r="C4808" s="9">
        <v>45060</v>
      </c>
      <c r="D4808" t="s">
        <v>651</v>
      </c>
      <c r="E4808" s="13">
        <v>1600000</v>
      </c>
      <c r="F4808" s="13"/>
      <c r="H4808" t="s">
        <v>2184</v>
      </c>
      <c r="I4808" t="s">
        <v>5809</v>
      </c>
      <c r="J4808" s="13">
        <v>0</v>
      </c>
      <c r="K4808">
        <v>1</v>
      </c>
      <c r="L4808" t="s">
        <v>1064</v>
      </c>
      <c r="M4808" t="s">
        <v>5810</v>
      </c>
      <c r="N4808" s="14" t="s">
        <v>6877</v>
      </c>
    </row>
    <row r="4809" spans="1:14" x14ac:dyDescent="0.2">
      <c r="A4809" t="s">
        <v>5941</v>
      </c>
      <c r="B4809" t="s">
        <v>2360</v>
      </c>
      <c r="C4809" s="9">
        <v>45060</v>
      </c>
      <c r="D4809" t="s">
        <v>651</v>
      </c>
      <c r="E4809" s="13">
        <v>1600000</v>
      </c>
      <c r="F4809" s="13"/>
      <c r="H4809" t="s">
        <v>2184</v>
      </c>
      <c r="I4809" t="s">
        <v>5809</v>
      </c>
      <c r="J4809" s="13">
        <v>0</v>
      </c>
      <c r="K4809">
        <v>1</v>
      </c>
      <c r="L4809" t="s">
        <v>1064</v>
      </c>
      <c r="M4809" t="s">
        <v>5810</v>
      </c>
      <c r="N4809" s="14" t="s">
        <v>6877</v>
      </c>
    </row>
    <row r="4810" spans="1:14" x14ac:dyDescent="0.2">
      <c r="A4810" t="s">
        <v>5942</v>
      </c>
      <c r="B4810" t="s">
        <v>2360</v>
      </c>
      <c r="C4810" s="9">
        <v>45060</v>
      </c>
      <c r="D4810" t="s">
        <v>651</v>
      </c>
      <c r="E4810" s="13">
        <v>1600000</v>
      </c>
      <c r="F4810" s="13"/>
      <c r="H4810" t="s">
        <v>2184</v>
      </c>
      <c r="I4810" t="s">
        <v>5809</v>
      </c>
      <c r="J4810" s="13">
        <v>0</v>
      </c>
      <c r="K4810">
        <v>1</v>
      </c>
      <c r="L4810" t="s">
        <v>1064</v>
      </c>
      <c r="M4810" t="s">
        <v>5810</v>
      </c>
      <c r="N4810" s="14" t="s">
        <v>6877</v>
      </c>
    </row>
    <row r="4811" spans="1:14" x14ac:dyDescent="0.2">
      <c r="A4811" t="s">
        <v>5943</v>
      </c>
      <c r="B4811" t="s">
        <v>2360</v>
      </c>
      <c r="C4811" s="9">
        <v>45060</v>
      </c>
      <c r="D4811" t="s">
        <v>651</v>
      </c>
      <c r="E4811" s="13">
        <v>1600000</v>
      </c>
      <c r="F4811" s="13"/>
      <c r="H4811" t="s">
        <v>2184</v>
      </c>
      <c r="I4811" t="s">
        <v>5809</v>
      </c>
      <c r="J4811" s="13">
        <v>0</v>
      </c>
      <c r="K4811">
        <v>1</v>
      </c>
      <c r="L4811" t="s">
        <v>1064</v>
      </c>
      <c r="M4811" t="s">
        <v>5810</v>
      </c>
      <c r="N4811" s="14" t="s">
        <v>6877</v>
      </c>
    </row>
    <row r="4812" spans="1:14" x14ac:dyDescent="0.2">
      <c r="A4812" t="s">
        <v>5944</v>
      </c>
      <c r="B4812" t="s">
        <v>2360</v>
      </c>
      <c r="C4812" s="9">
        <v>45060</v>
      </c>
      <c r="D4812" t="s">
        <v>651</v>
      </c>
      <c r="E4812" s="13">
        <v>1600000</v>
      </c>
      <c r="F4812" s="13"/>
      <c r="H4812" t="s">
        <v>2184</v>
      </c>
      <c r="I4812" t="s">
        <v>5809</v>
      </c>
      <c r="J4812" s="13">
        <v>0</v>
      </c>
      <c r="K4812">
        <v>1</v>
      </c>
      <c r="L4812" t="s">
        <v>1064</v>
      </c>
      <c r="M4812" t="s">
        <v>5810</v>
      </c>
      <c r="N4812" s="14" t="s">
        <v>6877</v>
      </c>
    </row>
    <row r="4813" spans="1:14" x14ac:dyDescent="0.2">
      <c r="A4813" t="s">
        <v>5945</v>
      </c>
      <c r="B4813" t="s">
        <v>2360</v>
      </c>
      <c r="C4813" s="9">
        <v>45060</v>
      </c>
      <c r="D4813" t="s">
        <v>651</v>
      </c>
      <c r="E4813" s="13">
        <v>1600000</v>
      </c>
      <c r="F4813" s="13"/>
      <c r="H4813" t="s">
        <v>2184</v>
      </c>
      <c r="I4813" t="s">
        <v>5809</v>
      </c>
      <c r="J4813" s="13">
        <v>0</v>
      </c>
      <c r="K4813">
        <v>1</v>
      </c>
      <c r="L4813" t="s">
        <v>1064</v>
      </c>
      <c r="M4813" t="s">
        <v>5810</v>
      </c>
      <c r="N4813" s="14" t="s">
        <v>6877</v>
      </c>
    </row>
    <row r="4814" spans="1:14" x14ac:dyDescent="0.2">
      <c r="A4814" t="s">
        <v>5946</v>
      </c>
      <c r="B4814" t="s">
        <v>2360</v>
      </c>
      <c r="C4814" s="9">
        <v>45060</v>
      </c>
      <c r="D4814" t="s">
        <v>651</v>
      </c>
      <c r="E4814" s="13">
        <v>1600000</v>
      </c>
      <c r="F4814" s="13"/>
      <c r="H4814" t="s">
        <v>2184</v>
      </c>
      <c r="I4814" t="s">
        <v>5809</v>
      </c>
      <c r="J4814" s="13">
        <v>0</v>
      </c>
      <c r="K4814">
        <v>1</v>
      </c>
      <c r="L4814" t="s">
        <v>1064</v>
      </c>
      <c r="M4814" t="s">
        <v>5810</v>
      </c>
      <c r="N4814" s="14" t="s">
        <v>6877</v>
      </c>
    </row>
    <row r="4815" spans="1:14" x14ac:dyDescent="0.2">
      <c r="A4815" t="s">
        <v>5947</v>
      </c>
      <c r="B4815" t="s">
        <v>2360</v>
      </c>
      <c r="C4815" s="9">
        <v>45060</v>
      </c>
      <c r="D4815" t="s">
        <v>651</v>
      </c>
      <c r="E4815" s="13">
        <v>1600000</v>
      </c>
      <c r="F4815" s="13"/>
      <c r="H4815" t="s">
        <v>2184</v>
      </c>
      <c r="I4815" t="s">
        <v>5809</v>
      </c>
      <c r="J4815" s="13">
        <v>0</v>
      </c>
      <c r="K4815">
        <v>1</v>
      </c>
      <c r="L4815" t="s">
        <v>1064</v>
      </c>
      <c r="M4815" t="s">
        <v>5810</v>
      </c>
      <c r="N4815" s="14" t="s">
        <v>6877</v>
      </c>
    </row>
    <row r="4816" spans="1:14" x14ac:dyDescent="0.2">
      <c r="A4816" t="s">
        <v>5948</v>
      </c>
      <c r="B4816" t="s">
        <v>2360</v>
      </c>
      <c r="C4816" s="9">
        <v>45060</v>
      </c>
      <c r="D4816" t="s">
        <v>651</v>
      </c>
      <c r="E4816" s="13">
        <v>1600000</v>
      </c>
      <c r="F4816" s="13"/>
      <c r="H4816" t="s">
        <v>2184</v>
      </c>
      <c r="I4816" t="s">
        <v>5809</v>
      </c>
      <c r="J4816" s="13">
        <v>0</v>
      </c>
      <c r="K4816">
        <v>1</v>
      </c>
      <c r="L4816" t="s">
        <v>1064</v>
      </c>
      <c r="M4816" t="s">
        <v>5810</v>
      </c>
      <c r="N4816" s="14" t="s">
        <v>6877</v>
      </c>
    </row>
    <row r="4817" spans="1:14" x14ac:dyDescent="0.2">
      <c r="A4817" t="s">
        <v>5949</v>
      </c>
      <c r="B4817" t="s">
        <v>2360</v>
      </c>
      <c r="C4817" s="9">
        <v>45060</v>
      </c>
      <c r="D4817" t="s">
        <v>651</v>
      </c>
      <c r="E4817" s="13">
        <v>1600000</v>
      </c>
      <c r="F4817" s="13"/>
      <c r="H4817" t="s">
        <v>2184</v>
      </c>
      <c r="I4817" t="s">
        <v>5809</v>
      </c>
      <c r="J4817" s="13">
        <v>0</v>
      </c>
      <c r="K4817">
        <v>1</v>
      </c>
      <c r="L4817" t="s">
        <v>1064</v>
      </c>
      <c r="M4817" t="s">
        <v>5810</v>
      </c>
      <c r="N4817" s="14" t="s">
        <v>6877</v>
      </c>
    </row>
    <row r="4818" spans="1:14" x14ac:dyDescent="0.2">
      <c r="A4818" t="s">
        <v>5950</v>
      </c>
      <c r="B4818" t="s">
        <v>2360</v>
      </c>
      <c r="C4818" s="9">
        <v>45060</v>
      </c>
      <c r="D4818" t="s">
        <v>651</v>
      </c>
      <c r="E4818" s="13">
        <v>1600000</v>
      </c>
      <c r="F4818" s="13"/>
      <c r="H4818" t="s">
        <v>2184</v>
      </c>
      <c r="I4818" t="s">
        <v>5809</v>
      </c>
      <c r="J4818" s="13">
        <v>0</v>
      </c>
      <c r="K4818">
        <v>1</v>
      </c>
      <c r="L4818" t="s">
        <v>1064</v>
      </c>
      <c r="M4818" t="s">
        <v>5810</v>
      </c>
      <c r="N4818" s="14" t="s">
        <v>6877</v>
      </c>
    </row>
    <row r="4819" spans="1:14" x14ac:dyDescent="0.2">
      <c r="A4819" t="s">
        <v>5951</v>
      </c>
      <c r="B4819" t="s">
        <v>2360</v>
      </c>
      <c r="C4819" s="9">
        <v>45060</v>
      </c>
      <c r="D4819" t="s">
        <v>651</v>
      </c>
      <c r="E4819" s="13">
        <v>1600000</v>
      </c>
      <c r="F4819" s="13"/>
      <c r="H4819" t="s">
        <v>2184</v>
      </c>
      <c r="I4819" t="s">
        <v>5809</v>
      </c>
      <c r="J4819" s="13">
        <v>0</v>
      </c>
      <c r="K4819">
        <v>1</v>
      </c>
      <c r="L4819" t="s">
        <v>1064</v>
      </c>
      <c r="M4819" t="s">
        <v>5810</v>
      </c>
      <c r="N4819" s="14" t="s">
        <v>6877</v>
      </c>
    </row>
    <row r="4820" spans="1:14" x14ac:dyDescent="0.2">
      <c r="A4820" t="s">
        <v>5952</v>
      </c>
      <c r="B4820" t="s">
        <v>2360</v>
      </c>
      <c r="C4820" s="9">
        <v>45060</v>
      </c>
      <c r="D4820" t="s">
        <v>651</v>
      </c>
      <c r="E4820" s="13">
        <v>1600000</v>
      </c>
      <c r="F4820" s="13"/>
      <c r="H4820" t="s">
        <v>2184</v>
      </c>
      <c r="I4820" t="s">
        <v>5809</v>
      </c>
      <c r="J4820" s="13">
        <v>0</v>
      </c>
      <c r="K4820">
        <v>1</v>
      </c>
      <c r="L4820" t="s">
        <v>1064</v>
      </c>
      <c r="M4820" t="s">
        <v>5810</v>
      </c>
      <c r="N4820" s="14" t="s">
        <v>6877</v>
      </c>
    </row>
    <row r="4821" spans="1:14" x14ac:dyDescent="0.2">
      <c r="A4821" t="s">
        <v>5953</v>
      </c>
      <c r="B4821" t="s">
        <v>2360</v>
      </c>
      <c r="C4821" s="9">
        <v>45060</v>
      </c>
      <c r="D4821" t="s">
        <v>651</v>
      </c>
      <c r="E4821" s="13">
        <v>1600000</v>
      </c>
      <c r="F4821" s="13"/>
      <c r="H4821" t="s">
        <v>2184</v>
      </c>
      <c r="I4821" t="s">
        <v>5809</v>
      </c>
      <c r="J4821" s="13">
        <v>0</v>
      </c>
      <c r="K4821">
        <v>1</v>
      </c>
      <c r="L4821" t="s">
        <v>1064</v>
      </c>
      <c r="M4821" t="s">
        <v>5810</v>
      </c>
      <c r="N4821" s="14" t="s">
        <v>6877</v>
      </c>
    </row>
    <row r="4822" spans="1:14" x14ac:dyDescent="0.2">
      <c r="A4822" t="s">
        <v>5954</v>
      </c>
      <c r="B4822" t="s">
        <v>2360</v>
      </c>
      <c r="C4822" s="9">
        <v>45060</v>
      </c>
      <c r="D4822" t="s">
        <v>651</v>
      </c>
      <c r="E4822" s="13">
        <v>1600000</v>
      </c>
      <c r="F4822" s="13"/>
      <c r="H4822" t="s">
        <v>2184</v>
      </c>
      <c r="I4822" t="s">
        <v>5809</v>
      </c>
      <c r="J4822" s="13">
        <v>0</v>
      </c>
      <c r="K4822">
        <v>1</v>
      </c>
      <c r="L4822" t="s">
        <v>1064</v>
      </c>
      <c r="M4822" t="s">
        <v>5810</v>
      </c>
      <c r="N4822" s="14" t="s">
        <v>6877</v>
      </c>
    </row>
    <row r="4823" spans="1:14" x14ac:dyDescent="0.2">
      <c r="A4823" t="s">
        <v>5955</v>
      </c>
      <c r="B4823" t="s">
        <v>2360</v>
      </c>
      <c r="C4823" s="9">
        <v>45060</v>
      </c>
      <c r="D4823" t="s">
        <v>651</v>
      </c>
      <c r="E4823" s="13">
        <v>1600000</v>
      </c>
      <c r="F4823" s="13"/>
      <c r="H4823" t="s">
        <v>2184</v>
      </c>
      <c r="I4823" t="s">
        <v>5809</v>
      </c>
      <c r="J4823" s="13">
        <v>0</v>
      </c>
      <c r="K4823">
        <v>1</v>
      </c>
      <c r="L4823" t="s">
        <v>1064</v>
      </c>
      <c r="M4823" t="s">
        <v>5810</v>
      </c>
      <c r="N4823" s="14" t="s">
        <v>6877</v>
      </c>
    </row>
    <row r="4824" spans="1:14" x14ac:dyDescent="0.2">
      <c r="A4824" t="s">
        <v>5956</v>
      </c>
      <c r="B4824" t="s">
        <v>2360</v>
      </c>
      <c r="C4824" s="9">
        <v>45060</v>
      </c>
      <c r="D4824" t="s">
        <v>651</v>
      </c>
      <c r="E4824" s="13">
        <v>1600000</v>
      </c>
      <c r="F4824" s="13"/>
      <c r="H4824" t="s">
        <v>2184</v>
      </c>
      <c r="I4824" t="s">
        <v>5809</v>
      </c>
      <c r="J4824" s="13">
        <v>0</v>
      </c>
      <c r="K4824">
        <v>1</v>
      </c>
      <c r="L4824" t="s">
        <v>1064</v>
      </c>
      <c r="M4824" t="s">
        <v>5810</v>
      </c>
      <c r="N4824" s="14" t="s">
        <v>6877</v>
      </c>
    </row>
    <row r="4825" spans="1:14" x14ac:dyDescent="0.2">
      <c r="A4825" t="s">
        <v>5957</v>
      </c>
      <c r="B4825" t="s">
        <v>2360</v>
      </c>
      <c r="C4825" s="9">
        <v>45060</v>
      </c>
      <c r="D4825" t="s">
        <v>651</v>
      </c>
      <c r="E4825" s="13">
        <v>1600000</v>
      </c>
      <c r="F4825" s="13"/>
      <c r="H4825" t="s">
        <v>2184</v>
      </c>
      <c r="I4825" t="s">
        <v>5809</v>
      </c>
      <c r="J4825" s="13">
        <v>0</v>
      </c>
      <c r="K4825">
        <v>1</v>
      </c>
      <c r="L4825" t="s">
        <v>1064</v>
      </c>
      <c r="M4825" t="s">
        <v>5810</v>
      </c>
      <c r="N4825" s="14" t="s">
        <v>6877</v>
      </c>
    </row>
    <row r="4826" spans="1:14" x14ac:dyDescent="0.2">
      <c r="A4826" t="s">
        <v>5958</v>
      </c>
      <c r="B4826" t="s">
        <v>2360</v>
      </c>
      <c r="C4826" s="9">
        <v>45060</v>
      </c>
      <c r="D4826" t="s">
        <v>651</v>
      </c>
      <c r="E4826" s="13">
        <v>1600000</v>
      </c>
      <c r="F4826" s="13"/>
      <c r="H4826" t="s">
        <v>2184</v>
      </c>
      <c r="I4826" t="s">
        <v>5809</v>
      </c>
      <c r="J4826" s="13">
        <v>0</v>
      </c>
      <c r="K4826">
        <v>1</v>
      </c>
      <c r="L4826" t="s">
        <v>1064</v>
      </c>
      <c r="M4826" t="s">
        <v>5810</v>
      </c>
      <c r="N4826" s="14" t="s">
        <v>6877</v>
      </c>
    </row>
    <row r="4827" spans="1:14" x14ac:dyDescent="0.2">
      <c r="A4827" t="s">
        <v>5959</v>
      </c>
      <c r="B4827" t="s">
        <v>2360</v>
      </c>
      <c r="C4827" s="9">
        <v>45060</v>
      </c>
      <c r="D4827" t="s">
        <v>651</v>
      </c>
      <c r="E4827" s="13">
        <v>1600000</v>
      </c>
      <c r="F4827" s="13"/>
      <c r="H4827" t="s">
        <v>2184</v>
      </c>
      <c r="I4827" t="s">
        <v>5809</v>
      </c>
      <c r="J4827" s="13">
        <v>0</v>
      </c>
      <c r="K4827">
        <v>1</v>
      </c>
      <c r="L4827" t="s">
        <v>1064</v>
      </c>
      <c r="M4827" t="s">
        <v>5810</v>
      </c>
      <c r="N4827" s="14" t="s">
        <v>6877</v>
      </c>
    </row>
    <row r="4828" spans="1:14" x14ac:dyDescent="0.2">
      <c r="A4828" t="s">
        <v>5960</v>
      </c>
      <c r="B4828" t="s">
        <v>2360</v>
      </c>
      <c r="C4828" s="9">
        <v>45060</v>
      </c>
      <c r="D4828" t="s">
        <v>651</v>
      </c>
      <c r="E4828" s="13">
        <v>1600000</v>
      </c>
      <c r="F4828" s="13"/>
      <c r="H4828" t="s">
        <v>2184</v>
      </c>
      <c r="I4828" t="s">
        <v>5809</v>
      </c>
      <c r="J4828" s="13">
        <v>0</v>
      </c>
      <c r="K4828">
        <v>1</v>
      </c>
      <c r="L4828" t="s">
        <v>1064</v>
      </c>
      <c r="M4828" t="s">
        <v>5810</v>
      </c>
      <c r="N4828" s="14" t="s">
        <v>6877</v>
      </c>
    </row>
    <row r="4829" spans="1:14" x14ac:dyDescent="0.2">
      <c r="A4829" t="s">
        <v>5961</v>
      </c>
      <c r="B4829" t="s">
        <v>2360</v>
      </c>
      <c r="C4829" s="9">
        <v>45060</v>
      </c>
      <c r="D4829" t="s">
        <v>651</v>
      </c>
      <c r="E4829" s="13">
        <v>1600000</v>
      </c>
      <c r="F4829" s="13"/>
      <c r="H4829" t="s">
        <v>2184</v>
      </c>
      <c r="I4829" t="s">
        <v>5809</v>
      </c>
      <c r="J4829" s="13">
        <v>0</v>
      </c>
      <c r="K4829">
        <v>1</v>
      </c>
      <c r="L4829" t="s">
        <v>1064</v>
      </c>
      <c r="M4829" t="s">
        <v>5810</v>
      </c>
      <c r="N4829" s="14" t="s">
        <v>6877</v>
      </c>
    </row>
    <row r="4830" spans="1:14" x14ac:dyDescent="0.2">
      <c r="A4830" t="s">
        <v>5962</v>
      </c>
      <c r="B4830" t="s">
        <v>2360</v>
      </c>
      <c r="C4830" s="9">
        <v>45060</v>
      </c>
      <c r="D4830" t="s">
        <v>651</v>
      </c>
      <c r="E4830" s="13">
        <v>1600000</v>
      </c>
      <c r="F4830" s="13"/>
      <c r="H4830" t="s">
        <v>2184</v>
      </c>
      <c r="I4830" t="s">
        <v>5809</v>
      </c>
      <c r="J4830" s="13">
        <v>0</v>
      </c>
      <c r="K4830">
        <v>1</v>
      </c>
      <c r="L4830" t="s">
        <v>1064</v>
      </c>
      <c r="M4830" t="s">
        <v>5810</v>
      </c>
      <c r="N4830" s="14" t="s">
        <v>6877</v>
      </c>
    </row>
    <row r="4831" spans="1:14" x14ac:dyDescent="0.2">
      <c r="A4831" t="s">
        <v>5963</v>
      </c>
      <c r="B4831" t="s">
        <v>2360</v>
      </c>
      <c r="C4831" s="9">
        <v>45060</v>
      </c>
      <c r="D4831" t="s">
        <v>651</v>
      </c>
      <c r="E4831" s="13">
        <v>1600000</v>
      </c>
      <c r="F4831" s="13"/>
      <c r="H4831" t="s">
        <v>2184</v>
      </c>
      <c r="I4831" t="s">
        <v>5809</v>
      </c>
      <c r="J4831" s="13">
        <v>0</v>
      </c>
      <c r="K4831">
        <v>1</v>
      </c>
      <c r="L4831" t="s">
        <v>1064</v>
      </c>
      <c r="M4831" t="s">
        <v>5810</v>
      </c>
      <c r="N4831" s="14" t="s">
        <v>6877</v>
      </c>
    </row>
    <row r="4832" spans="1:14" x14ac:dyDescent="0.2">
      <c r="A4832" t="s">
        <v>5964</v>
      </c>
      <c r="B4832" t="s">
        <v>2360</v>
      </c>
      <c r="C4832" s="9">
        <v>45060</v>
      </c>
      <c r="D4832" t="s">
        <v>651</v>
      </c>
      <c r="E4832" s="13">
        <v>1600000</v>
      </c>
      <c r="F4832" s="13"/>
      <c r="H4832" t="s">
        <v>2184</v>
      </c>
      <c r="I4832" t="s">
        <v>5809</v>
      </c>
      <c r="J4832" s="13">
        <v>0</v>
      </c>
      <c r="K4832">
        <v>1</v>
      </c>
      <c r="L4832" t="s">
        <v>1064</v>
      </c>
      <c r="M4832" t="s">
        <v>5810</v>
      </c>
      <c r="N4832" s="14" t="s">
        <v>6877</v>
      </c>
    </row>
    <row r="4833" spans="1:14" x14ac:dyDescent="0.2">
      <c r="A4833" t="s">
        <v>5965</v>
      </c>
      <c r="B4833" t="s">
        <v>2360</v>
      </c>
      <c r="C4833" s="9">
        <v>45060</v>
      </c>
      <c r="D4833" t="s">
        <v>651</v>
      </c>
      <c r="E4833" s="13">
        <v>1600000</v>
      </c>
      <c r="F4833" s="13"/>
      <c r="H4833" t="s">
        <v>2184</v>
      </c>
      <c r="I4833" t="s">
        <v>5809</v>
      </c>
      <c r="J4833" s="13">
        <v>0</v>
      </c>
      <c r="K4833">
        <v>1</v>
      </c>
      <c r="L4833" t="s">
        <v>1064</v>
      </c>
      <c r="M4833" t="s">
        <v>5810</v>
      </c>
      <c r="N4833" s="14" t="s">
        <v>6877</v>
      </c>
    </row>
    <row r="4834" spans="1:14" x14ac:dyDescent="0.2">
      <c r="A4834" t="s">
        <v>5966</v>
      </c>
      <c r="B4834" t="s">
        <v>2360</v>
      </c>
      <c r="C4834" s="9">
        <v>45060</v>
      </c>
      <c r="D4834" t="s">
        <v>651</v>
      </c>
      <c r="E4834" s="13">
        <v>1600000</v>
      </c>
      <c r="F4834" s="13"/>
      <c r="H4834" t="s">
        <v>2184</v>
      </c>
      <c r="I4834" t="s">
        <v>5809</v>
      </c>
      <c r="J4834" s="13">
        <v>0</v>
      </c>
      <c r="K4834">
        <v>1</v>
      </c>
      <c r="L4834" t="s">
        <v>1064</v>
      </c>
      <c r="M4834" t="s">
        <v>5810</v>
      </c>
      <c r="N4834" s="14" t="s">
        <v>6877</v>
      </c>
    </row>
    <row r="4835" spans="1:14" x14ac:dyDescent="0.2">
      <c r="A4835" t="s">
        <v>5967</v>
      </c>
      <c r="B4835" t="s">
        <v>2360</v>
      </c>
      <c r="C4835" s="9">
        <v>45060</v>
      </c>
      <c r="D4835" t="s">
        <v>651</v>
      </c>
      <c r="E4835" s="13">
        <v>1600000</v>
      </c>
      <c r="F4835" s="13"/>
      <c r="H4835" t="s">
        <v>2184</v>
      </c>
      <c r="I4835" t="s">
        <v>5809</v>
      </c>
      <c r="J4835" s="13">
        <v>0</v>
      </c>
      <c r="K4835">
        <v>1</v>
      </c>
      <c r="L4835" t="s">
        <v>1064</v>
      </c>
      <c r="M4835" t="s">
        <v>5810</v>
      </c>
      <c r="N4835" s="14" t="s">
        <v>6877</v>
      </c>
    </row>
    <row r="4836" spans="1:14" x14ac:dyDescent="0.2">
      <c r="A4836" t="s">
        <v>5968</v>
      </c>
      <c r="B4836" t="s">
        <v>2360</v>
      </c>
      <c r="C4836" s="9">
        <v>45060</v>
      </c>
      <c r="D4836" t="s">
        <v>651</v>
      </c>
      <c r="E4836" s="13">
        <v>1600000</v>
      </c>
      <c r="F4836" s="13"/>
      <c r="H4836" t="s">
        <v>2184</v>
      </c>
      <c r="I4836" t="s">
        <v>5809</v>
      </c>
      <c r="J4836" s="13">
        <v>0</v>
      </c>
      <c r="K4836">
        <v>1</v>
      </c>
      <c r="L4836" t="s">
        <v>1064</v>
      </c>
      <c r="M4836" t="s">
        <v>5810</v>
      </c>
      <c r="N4836" s="14" t="s">
        <v>6877</v>
      </c>
    </row>
    <row r="4837" spans="1:14" x14ac:dyDescent="0.2">
      <c r="A4837" t="s">
        <v>5969</v>
      </c>
      <c r="B4837" t="s">
        <v>2360</v>
      </c>
      <c r="C4837" s="9">
        <v>45060</v>
      </c>
      <c r="D4837" t="s">
        <v>651</v>
      </c>
      <c r="E4837" s="13">
        <v>1600000</v>
      </c>
      <c r="F4837" s="13"/>
      <c r="H4837" t="s">
        <v>2184</v>
      </c>
      <c r="I4837" t="s">
        <v>5809</v>
      </c>
      <c r="J4837" s="13">
        <v>0</v>
      </c>
      <c r="K4837">
        <v>1</v>
      </c>
      <c r="L4837" t="s">
        <v>1064</v>
      </c>
      <c r="M4837" t="s">
        <v>5810</v>
      </c>
      <c r="N4837" s="14" t="s">
        <v>6877</v>
      </c>
    </row>
    <row r="4838" spans="1:14" x14ac:dyDescent="0.2">
      <c r="A4838" t="s">
        <v>5970</v>
      </c>
      <c r="B4838" t="s">
        <v>2360</v>
      </c>
      <c r="C4838" s="9">
        <v>45060</v>
      </c>
      <c r="D4838" t="s">
        <v>651</v>
      </c>
      <c r="E4838" s="13">
        <v>1600000</v>
      </c>
      <c r="F4838" s="13"/>
      <c r="H4838" t="s">
        <v>2184</v>
      </c>
      <c r="I4838" t="s">
        <v>5809</v>
      </c>
      <c r="J4838" s="13">
        <v>0</v>
      </c>
      <c r="K4838">
        <v>1</v>
      </c>
      <c r="L4838" t="s">
        <v>1064</v>
      </c>
      <c r="M4838" t="s">
        <v>5810</v>
      </c>
      <c r="N4838" s="14" t="s">
        <v>6877</v>
      </c>
    </row>
    <row r="4839" spans="1:14" x14ac:dyDescent="0.2">
      <c r="A4839" t="s">
        <v>5971</v>
      </c>
      <c r="B4839" t="s">
        <v>2360</v>
      </c>
      <c r="C4839" s="9">
        <v>45060</v>
      </c>
      <c r="D4839" t="s">
        <v>651</v>
      </c>
      <c r="E4839" s="13">
        <v>1600000</v>
      </c>
      <c r="F4839" s="13"/>
      <c r="H4839" t="s">
        <v>2184</v>
      </c>
      <c r="I4839" t="s">
        <v>5809</v>
      </c>
      <c r="J4839" s="13">
        <v>0</v>
      </c>
      <c r="K4839">
        <v>1</v>
      </c>
      <c r="L4839" t="s">
        <v>1064</v>
      </c>
      <c r="M4839" t="s">
        <v>5810</v>
      </c>
      <c r="N4839" s="14" t="s">
        <v>6877</v>
      </c>
    </row>
    <row r="4840" spans="1:14" x14ac:dyDescent="0.2">
      <c r="A4840" t="s">
        <v>5972</v>
      </c>
      <c r="B4840" t="s">
        <v>2360</v>
      </c>
      <c r="C4840" s="9">
        <v>45060</v>
      </c>
      <c r="D4840" t="s">
        <v>651</v>
      </c>
      <c r="E4840" s="13">
        <v>1600000</v>
      </c>
      <c r="F4840" s="13"/>
      <c r="H4840" t="s">
        <v>2184</v>
      </c>
      <c r="I4840" t="s">
        <v>5809</v>
      </c>
      <c r="J4840" s="13">
        <v>0</v>
      </c>
      <c r="K4840">
        <v>1</v>
      </c>
      <c r="L4840" t="s">
        <v>1064</v>
      </c>
      <c r="M4840" t="s">
        <v>5810</v>
      </c>
      <c r="N4840" s="14" t="s">
        <v>6877</v>
      </c>
    </row>
    <row r="4841" spans="1:14" x14ac:dyDescent="0.2">
      <c r="A4841" t="s">
        <v>5973</v>
      </c>
      <c r="B4841" t="s">
        <v>2360</v>
      </c>
      <c r="C4841" s="9">
        <v>45060</v>
      </c>
      <c r="D4841" t="s">
        <v>651</v>
      </c>
      <c r="E4841" s="13">
        <v>1600000</v>
      </c>
      <c r="F4841" s="13"/>
      <c r="H4841" t="s">
        <v>2184</v>
      </c>
      <c r="I4841" t="s">
        <v>5809</v>
      </c>
      <c r="J4841" s="13">
        <v>0</v>
      </c>
      <c r="K4841">
        <v>1</v>
      </c>
      <c r="L4841" t="s">
        <v>1064</v>
      </c>
      <c r="M4841" t="s">
        <v>5810</v>
      </c>
      <c r="N4841" s="14" t="s">
        <v>6877</v>
      </c>
    </row>
    <row r="4842" spans="1:14" x14ac:dyDescent="0.2">
      <c r="A4842" t="s">
        <v>5974</v>
      </c>
      <c r="B4842" t="s">
        <v>2360</v>
      </c>
      <c r="C4842" s="9">
        <v>45060</v>
      </c>
      <c r="D4842" t="s">
        <v>651</v>
      </c>
      <c r="E4842" s="13">
        <v>1600000</v>
      </c>
      <c r="F4842" s="13"/>
      <c r="H4842" t="s">
        <v>2184</v>
      </c>
      <c r="I4842" t="s">
        <v>5809</v>
      </c>
      <c r="J4842" s="13">
        <v>0</v>
      </c>
      <c r="K4842">
        <v>1</v>
      </c>
      <c r="L4842" t="s">
        <v>1064</v>
      </c>
      <c r="M4842" t="s">
        <v>5810</v>
      </c>
      <c r="N4842" s="14" t="s">
        <v>6877</v>
      </c>
    </row>
    <row r="4843" spans="1:14" x14ac:dyDescent="0.2">
      <c r="A4843" t="s">
        <v>5975</v>
      </c>
      <c r="B4843" t="s">
        <v>2360</v>
      </c>
      <c r="C4843" s="9">
        <v>45060</v>
      </c>
      <c r="D4843" t="s">
        <v>651</v>
      </c>
      <c r="E4843" s="13">
        <v>1600000</v>
      </c>
      <c r="F4843" s="13"/>
      <c r="H4843" t="s">
        <v>2184</v>
      </c>
      <c r="I4843" t="s">
        <v>5809</v>
      </c>
      <c r="J4843" s="13">
        <v>0</v>
      </c>
      <c r="K4843">
        <v>1</v>
      </c>
      <c r="L4843" t="s">
        <v>1064</v>
      </c>
      <c r="M4843" t="s">
        <v>5810</v>
      </c>
      <c r="N4843" s="14" t="s">
        <v>6877</v>
      </c>
    </row>
    <row r="4844" spans="1:14" x14ac:dyDescent="0.2">
      <c r="A4844" t="s">
        <v>5976</v>
      </c>
      <c r="B4844" t="s">
        <v>2360</v>
      </c>
      <c r="C4844" s="9">
        <v>45060</v>
      </c>
      <c r="D4844" t="s">
        <v>651</v>
      </c>
      <c r="E4844" s="13">
        <v>1600000</v>
      </c>
      <c r="F4844" s="13"/>
      <c r="H4844" t="s">
        <v>1659</v>
      </c>
      <c r="I4844" t="s">
        <v>5809</v>
      </c>
      <c r="J4844" s="13">
        <v>0</v>
      </c>
      <c r="K4844">
        <v>1</v>
      </c>
      <c r="L4844" t="s">
        <v>1064</v>
      </c>
      <c r="M4844" t="s">
        <v>5810</v>
      </c>
      <c r="N4844" s="14" t="s">
        <v>6877</v>
      </c>
    </row>
    <row r="4845" spans="1:14" x14ac:dyDescent="0.2">
      <c r="A4845" t="s">
        <v>5977</v>
      </c>
      <c r="B4845" t="s">
        <v>2360</v>
      </c>
      <c r="C4845" s="9">
        <v>45060</v>
      </c>
      <c r="D4845" t="s">
        <v>651</v>
      </c>
      <c r="E4845" s="13">
        <v>1600000</v>
      </c>
      <c r="F4845" s="13"/>
      <c r="H4845" t="s">
        <v>1659</v>
      </c>
      <c r="I4845" t="s">
        <v>5809</v>
      </c>
      <c r="J4845" s="13">
        <v>0</v>
      </c>
      <c r="K4845">
        <v>1</v>
      </c>
      <c r="L4845" t="s">
        <v>1064</v>
      </c>
      <c r="M4845" t="s">
        <v>5810</v>
      </c>
      <c r="N4845" s="14" t="s">
        <v>6877</v>
      </c>
    </row>
    <row r="4846" spans="1:14" x14ac:dyDescent="0.2">
      <c r="A4846" t="s">
        <v>5978</v>
      </c>
      <c r="B4846" t="s">
        <v>2360</v>
      </c>
      <c r="C4846" s="9">
        <v>45060</v>
      </c>
      <c r="D4846" t="s">
        <v>651</v>
      </c>
      <c r="E4846" s="13">
        <v>1600000</v>
      </c>
      <c r="F4846" s="13"/>
      <c r="H4846" t="s">
        <v>1659</v>
      </c>
      <c r="I4846" t="s">
        <v>5809</v>
      </c>
      <c r="J4846" s="13">
        <v>0</v>
      </c>
      <c r="K4846">
        <v>1</v>
      </c>
      <c r="L4846" t="s">
        <v>1064</v>
      </c>
      <c r="M4846" t="s">
        <v>5810</v>
      </c>
      <c r="N4846" s="14" t="s">
        <v>6877</v>
      </c>
    </row>
    <row r="4847" spans="1:14" x14ac:dyDescent="0.2">
      <c r="A4847" t="s">
        <v>5979</v>
      </c>
      <c r="B4847" t="s">
        <v>2360</v>
      </c>
      <c r="C4847" s="9">
        <v>45060</v>
      </c>
      <c r="D4847" t="s">
        <v>651</v>
      </c>
      <c r="E4847" s="13">
        <v>1600000</v>
      </c>
      <c r="F4847" s="13"/>
      <c r="H4847" t="s">
        <v>1659</v>
      </c>
      <c r="I4847" t="s">
        <v>5809</v>
      </c>
      <c r="J4847" s="13">
        <v>0</v>
      </c>
      <c r="K4847">
        <v>1</v>
      </c>
      <c r="L4847" t="s">
        <v>1064</v>
      </c>
      <c r="M4847" t="s">
        <v>5810</v>
      </c>
      <c r="N4847" s="14" t="s">
        <v>6877</v>
      </c>
    </row>
    <row r="4848" spans="1:14" x14ac:dyDescent="0.2">
      <c r="A4848" t="s">
        <v>5980</v>
      </c>
      <c r="B4848" t="s">
        <v>2360</v>
      </c>
      <c r="C4848" s="9">
        <v>45060</v>
      </c>
      <c r="D4848" t="s">
        <v>651</v>
      </c>
      <c r="E4848" s="13">
        <v>1600000</v>
      </c>
      <c r="F4848" s="13"/>
      <c r="H4848" t="s">
        <v>1659</v>
      </c>
      <c r="I4848" t="s">
        <v>5809</v>
      </c>
      <c r="J4848" s="13">
        <v>0</v>
      </c>
      <c r="K4848">
        <v>1</v>
      </c>
      <c r="L4848" t="s">
        <v>1064</v>
      </c>
      <c r="M4848" t="s">
        <v>5810</v>
      </c>
      <c r="N4848" s="14" t="s">
        <v>6877</v>
      </c>
    </row>
    <row r="4849" spans="1:14" x14ac:dyDescent="0.2">
      <c r="A4849" t="s">
        <v>5981</v>
      </c>
      <c r="B4849" t="s">
        <v>2360</v>
      </c>
      <c r="C4849" s="9">
        <v>45060</v>
      </c>
      <c r="D4849" t="s">
        <v>651</v>
      </c>
      <c r="E4849" s="13">
        <v>1600000</v>
      </c>
      <c r="F4849" s="13"/>
      <c r="H4849" t="s">
        <v>1659</v>
      </c>
      <c r="I4849" t="s">
        <v>5809</v>
      </c>
      <c r="J4849" s="13">
        <v>0</v>
      </c>
      <c r="K4849">
        <v>1</v>
      </c>
      <c r="L4849" t="s">
        <v>1064</v>
      </c>
      <c r="M4849" t="s">
        <v>5810</v>
      </c>
      <c r="N4849" s="14" t="s">
        <v>6877</v>
      </c>
    </row>
    <row r="4850" spans="1:14" x14ac:dyDescent="0.2">
      <c r="A4850" t="s">
        <v>5982</v>
      </c>
      <c r="B4850" t="s">
        <v>2360</v>
      </c>
      <c r="C4850" s="9">
        <v>45060</v>
      </c>
      <c r="D4850" t="s">
        <v>651</v>
      </c>
      <c r="E4850" s="13">
        <v>1600000</v>
      </c>
      <c r="F4850" s="13"/>
      <c r="H4850" t="s">
        <v>1659</v>
      </c>
      <c r="I4850" t="s">
        <v>5809</v>
      </c>
      <c r="J4850" s="13">
        <v>0</v>
      </c>
      <c r="K4850">
        <v>1</v>
      </c>
      <c r="L4850" t="s">
        <v>1064</v>
      </c>
      <c r="M4850" t="s">
        <v>5810</v>
      </c>
      <c r="N4850" s="14" t="s">
        <v>6877</v>
      </c>
    </row>
    <row r="4851" spans="1:14" x14ac:dyDescent="0.2">
      <c r="A4851" t="s">
        <v>5983</v>
      </c>
      <c r="B4851" t="s">
        <v>2360</v>
      </c>
      <c r="C4851" s="9">
        <v>45060</v>
      </c>
      <c r="D4851" t="s">
        <v>651</v>
      </c>
      <c r="E4851" s="13">
        <v>1600000</v>
      </c>
      <c r="F4851" s="13"/>
      <c r="H4851" t="s">
        <v>1659</v>
      </c>
      <c r="I4851" t="s">
        <v>5809</v>
      </c>
      <c r="J4851" s="13">
        <v>0</v>
      </c>
      <c r="K4851">
        <v>1</v>
      </c>
      <c r="L4851" t="s">
        <v>1064</v>
      </c>
      <c r="M4851" t="s">
        <v>5810</v>
      </c>
      <c r="N4851" s="14" t="s">
        <v>6877</v>
      </c>
    </row>
    <row r="4852" spans="1:14" x14ac:dyDescent="0.2">
      <c r="A4852" t="s">
        <v>5984</v>
      </c>
      <c r="B4852" t="s">
        <v>2360</v>
      </c>
      <c r="C4852" s="9">
        <v>45060</v>
      </c>
      <c r="D4852" t="s">
        <v>651</v>
      </c>
      <c r="E4852" s="13">
        <v>1600000</v>
      </c>
      <c r="F4852" s="13"/>
      <c r="H4852" t="s">
        <v>1659</v>
      </c>
      <c r="I4852" t="s">
        <v>5809</v>
      </c>
      <c r="J4852" s="13">
        <v>0</v>
      </c>
      <c r="K4852">
        <v>1</v>
      </c>
      <c r="L4852" t="s">
        <v>1064</v>
      </c>
      <c r="M4852" t="s">
        <v>5810</v>
      </c>
      <c r="N4852" s="14" t="s">
        <v>6877</v>
      </c>
    </row>
    <row r="4853" spans="1:14" x14ac:dyDescent="0.2">
      <c r="A4853" t="s">
        <v>5985</v>
      </c>
      <c r="B4853" t="s">
        <v>2360</v>
      </c>
      <c r="C4853" s="9">
        <v>45060</v>
      </c>
      <c r="D4853" t="s">
        <v>651</v>
      </c>
      <c r="E4853" s="13">
        <v>1600000</v>
      </c>
      <c r="F4853" s="13"/>
      <c r="H4853" t="s">
        <v>1659</v>
      </c>
      <c r="I4853" t="s">
        <v>5809</v>
      </c>
      <c r="J4853" s="13">
        <v>0</v>
      </c>
      <c r="K4853">
        <v>1</v>
      </c>
      <c r="L4853" t="s">
        <v>1064</v>
      </c>
      <c r="M4853" t="s">
        <v>5810</v>
      </c>
      <c r="N4853" s="14" t="s">
        <v>6877</v>
      </c>
    </row>
    <row r="4854" spans="1:14" x14ac:dyDescent="0.2">
      <c r="A4854" t="s">
        <v>5986</v>
      </c>
      <c r="B4854" t="s">
        <v>2360</v>
      </c>
      <c r="C4854" s="9">
        <v>45060</v>
      </c>
      <c r="D4854" t="s">
        <v>651</v>
      </c>
      <c r="E4854" s="13">
        <v>1600000</v>
      </c>
      <c r="F4854" s="13"/>
      <c r="H4854" t="s">
        <v>1659</v>
      </c>
      <c r="I4854" t="s">
        <v>5809</v>
      </c>
      <c r="J4854" s="13">
        <v>0</v>
      </c>
      <c r="K4854">
        <v>1</v>
      </c>
      <c r="L4854" t="s">
        <v>1064</v>
      </c>
      <c r="M4854" t="s">
        <v>5810</v>
      </c>
      <c r="N4854" s="14" t="s">
        <v>6877</v>
      </c>
    </row>
    <row r="4855" spans="1:14" x14ac:dyDescent="0.2">
      <c r="A4855" t="s">
        <v>5987</v>
      </c>
      <c r="B4855" t="s">
        <v>2360</v>
      </c>
      <c r="C4855" s="9">
        <v>45060</v>
      </c>
      <c r="D4855" t="s">
        <v>651</v>
      </c>
      <c r="E4855" s="13">
        <v>1600000</v>
      </c>
      <c r="F4855" s="13"/>
      <c r="H4855" t="s">
        <v>1659</v>
      </c>
      <c r="I4855" t="s">
        <v>5809</v>
      </c>
      <c r="J4855" s="13">
        <v>0</v>
      </c>
      <c r="K4855">
        <v>1</v>
      </c>
      <c r="L4855" t="s">
        <v>1064</v>
      </c>
      <c r="M4855" t="s">
        <v>5810</v>
      </c>
      <c r="N4855" s="14" t="s">
        <v>6877</v>
      </c>
    </row>
    <row r="4856" spans="1:14" x14ac:dyDescent="0.2">
      <c r="A4856" t="s">
        <v>5988</v>
      </c>
      <c r="B4856" t="s">
        <v>2360</v>
      </c>
      <c r="C4856" s="9">
        <v>45060</v>
      </c>
      <c r="D4856" t="s">
        <v>651</v>
      </c>
      <c r="E4856" s="13">
        <v>1600000</v>
      </c>
      <c r="F4856" s="13">
        <v>71040</v>
      </c>
      <c r="G4856" s="9">
        <v>45068</v>
      </c>
      <c r="H4856" t="s">
        <v>1111</v>
      </c>
      <c r="I4856" t="s">
        <v>5809</v>
      </c>
      <c r="J4856" s="13">
        <v>27750</v>
      </c>
      <c r="K4856">
        <v>1</v>
      </c>
      <c r="L4856" t="s">
        <v>1064</v>
      </c>
      <c r="M4856" t="s">
        <v>5810</v>
      </c>
      <c r="N4856" s="15" t="s">
        <v>6878</v>
      </c>
    </row>
    <row r="4857" spans="1:14" x14ac:dyDescent="0.2">
      <c r="A4857" t="s">
        <v>5989</v>
      </c>
      <c r="B4857" t="s">
        <v>2360</v>
      </c>
      <c r="C4857" s="9">
        <v>45060</v>
      </c>
      <c r="D4857" t="s">
        <v>651</v>
      </c>
      <c r="E4857" s="13">
        <v>1600000</v>
      </c>
      <c r="F4857" s="13">
        <v>71040</v>
      </c>
      <c r="G4857" s="9">
        <v>45068</v>
      </c>
      <c r="H4857" t="s">
        <v>1111</v>
      </c>
      <c r="I4857" t="s">
        <v>5809</v>
      </c>
      <c r="J4857" s="13">
        <v>27750</v>
      </c>
      <c r="K4857">
        <v>1</v>
      </c>
      <c r="L4857" t="s">
        <v>1064</v>
      </c>
      <c r="M4857" t="s">
        <v>5810</v>
      </c>
      <c r="N4857" s="15" t="s">
        <v>6878</v>
      </c>
    </row>
    <row r="4858" spans="1:14" x14ac:dyDescent="0.2">
      <c r="A4858" t="s">
        <v>5990</v>
      </c>
      <c r="B4858" t="s">
        <v>2360</v>
      </c>
      <c r="C4858" s="9">
        <v>45060</v>
      </c>
      <c r="D4858" t="s">
        <v>651</v>
      </c>
      <c r="E4858" s="13">
        <v>1600000</v>
      </c>
      <c r="F4858" s="13">
        <v>71040</v>
      </c>
      <c r="G4858" s="9">
        <v>45068</v>
      </c>
      <c r="H4858" t="s">
        <v>1111</v>
      </c>
      <c r="I4858" t="s">
        <v>5809</v>
      </c>
      <c r="J4858" s="13">
        <v>27750</v>
      </c>
      <c r="K4858">
        <v>1</v>
      </c>
      <c r="L4858" t="s">
        <v>1064</v>
      </c>
      <c r="M4858" t="s">
        <v>5810</v>
      </c>
      <c r="N4858" s="15" t="s">
        <v>6878</v>
      </c>
    </row>
    <row r="4859" spans="1:14" x14ac:dyDescent="0.2">
      <c r="A4859" t="s">
        <v>5991</v>
      </c>
      <c r="B4859" t="s">
        <v>2360</v>
      </c>
      <c r="C4859" s="9">
        <v>45060</v>
      </c>
      <c r="D4859" t="s">
        <v>651</v>
      </c>
      <c r="E4859" s="13">
        <v>1600000</v>
      </c>
      <c r="F4859" s="13">
        <v>71040</v>
      </c>
      <c r="G4859" s="9">
        <v>45068</v>
      </c>
      <c r="H4859" t="s">
        <v>1111</v>
      </c>
      <c r="I4859" t="s">
        <v>5809</v>
      </c>
      <c r="J4859" s="13">
        <v>27750</v>
      </c>
      <c r="K4859">
        <v>1</v>
      </c>
      <c r="L4859" t="s">
        <v>1064</v>
      </c>
      <c r="M4859" t="s">
        <v>5810</v>
      </c>
      <c r="N4859" s="15" t="s">
        <v>6878</v>
      </c>
    </row>
    <row r="4860" spans="1:14" x14ac:dyDescent="0.2">
      <c r="A4860" t="s">
        <v>5992</v>
      </c>
      <c r="B4860" t="s">
        <v>2360</v>
      </c>
      <c r="C4860" s="9">
        <v>45060</v>
      </c>
      <c r="D4860" t="s">
        <v>651</v>
      </c>
      <c r="E4860" s="13">
        <v>1600000</v>
      </c>
      <c r="F4860" s="13">
        <v>71040</v>
      </c>
      <c r="G4860" s="9">
        <v>45068</v>
      </c>
      <c r="H4860" t="s">
        <v>1111</v>
      </c>
      <c r="I4860" t="s">
        <v>5809</v>
      </c>
      <c r="J4860" s="13">
        <v>27750</v>
      </c>
      <c r="K4860">
        <v>1</v>
      </c>
      <c r="L4860" t="s">
        <v>1064</v>
      </c>
      <c r="M4860" t="s">
        <v>5810</v>
      </c>
      <c r="N4860" s="15" t="s">
        <v>6878</v>
      </c>
    </row>
    <row r="4861" spans="1:14" x14ac:dyDescent="0.2">
      <c r="A4861" t="s">
        <v>5993</v>
      </c>
      <c r="B4861" t="s">
        <v>2360</v>
      </c>
      <c r="C4861" s="9">
        <v>45060</v>
      </c>
      <c r="D4861" t="s">
        <v>651</v>
      </c>
      <c r="E4861" s="13">
        <v>1600000</v>
      </c>
      <c r="F4861" s="13">
        <v>71040</v>
      </c>
      <c r="G4861" s="9">
        <v>45068</v>
      </c>
      <c r="H4861" t="s">
        <v>1111</v>
      </c>
      <c r="I4861" t="s">
        <v>5809</v>
      </c>
      <c r="J4861" s="13">
        <v>27750</v>
      </c>
      <c r="K4861">
        <v>1</v>
      </c>
      <c r="L4861" t="s">
        <v>1064</v>
      </c>
      <c r="M4861" t="s">
        <v>5810</v>
      </c>
      <c r="N4861" s="15" t="s">
        <v>6878</v>
      </c>
    </row>
    <row r="4862" spans="1:14" x14ac:dyDescent="0.2">
      <c r="A4862" t="s">
        <v>5994</v>
      </c>
      <c r="B4862" t="s">
        <v>2360</v>
      </c>
      <c r="C4862" s="9">
        <v>45060</v>
      </c>
      <c r="D4862" t="s">
        <v>651</v>
      </c>
      <c r="E4862" s="13">
        <v>1600000</v>
      </c>
      <c r="F4862" s="13">
        <v>71040</v>
      </c>
      <c r="G4862" s="9">
        <v>45068</v>
      </c>
      <c r="H4862" t="s">
        <v>1111</v>
      </c>
      <c r="I4862" t="s">
        <v>5809</v>
      </c>
      <c r="J4862" s="13">
        <v>27750</v>
      </c>
      <c r="K4862">
        <v>1</v>
      </c>
      <c r="L4862" t="s">
        <v>1064</v>
      </c>
      <c r="M4862" t="s">
        <v>5810</v>
      </c>
      <c r="N4862" s="15" t="s">
        <v>6878</v>
      </c>
    </row>
    <row r="4863" spans="1:14" x14ac:dyDescent="0.2">
      <c r="A4863" t="s">
        <v>5995</v>
      </c>
      <c r="B4863" t="s">
        <v>2360</v>
      </c>
      <c r="C4863" s="9">
        <v>45060</v>
      </c>
      <c r="D4863" t="s">
        <v>651</v>
      </c>
      <c r="E4863" s="13">
        <v>1600000</v>
      </c>
      <c r="F4863" s="13">
        <v>71040</v>
      </c>
      <c r="G4863" s="9">
        <v>45068</v>
      </c>
      <c r="H4863" t="s">
        <v>1111</v>
      </c>
      <c r="I4863" t="s">
        <v>5809</v>
      </c>
      <c r="J4863" s="13">
        <v>27750</v>
      </c>
      <c r="K4863">
        <v>1</v>
      </c>
      <c r="L4863" t="s">
        <v>1064</v>
      </c>
      <c r="M4863" t="s">
        <v>5810</v>
      </c>
      <c r="N4863" s="15" t="s">
        <v>6878</v>
      </c>
    </row>
    <row r="4864" spans="1:14" x14ac:dyDescent="0.2">
      <c r="A4864" t="s">
        <v>5996</v>
      </c>
      <c r="B4864" t="s">
        <v>2360</v>
      </c>
      <c r="C4864" s="9">
        <v>45060</v>
      </c>
      <c r="D4864" t="s">
        <v>651</v>
      </c>
      <c r="E4864" s="13">
        <v>1600000</v>
      </c>
      <c r="F4864" s="13">
        <v>71040</v>
      </c>
      <c r="G4864" s="9">
        <v>45068</v>
      </c>
      <c r="H4864" t="s">
        <v>1111</v>
      </c>
      <c r="I4864" t="s">
        <v>5809</v>
      </c>
      <c r="J4864" s="13">
        <v>27750</v>
      </c>
      <c r="K4864">
        <v>1</v>
      </c>
      <c r="L4864" t="s">
        <v>1064</v>
      </c>
      <c r="M4864" t="s">
        <v>5810</v>
      </c>
      <c r="N4864" s="15" t="s">
        <v>6878</v>
      </c>
    </row>
    <row r="4865" spans="1:14" x14ac:dyDescent="0.2">
      <c r="A4865" t="s">
        <v>5997</v>
      </c>
      <c r="B4865" t="s">
        <v>2360</v>
      </c>
      <c r="C4865" s="9">
        <v>45060</v>
      </c>
      <c r="D4865" t="s">
        <v>651</v>
      </c>
      <c r="E4865" s="13">
        <v>1600000</v>
      </c>
      <c r="F4865" s="13">
        <v>71040</v>
      </c>
      <c r="G4865" s="9">
        <v>45068</v>
      </c>
      <c r="H4865" t="s">
        <v>1111</v>
      </c>
      <c r="I4865" t="s">
        <v>5809</v>
      </c>
      <c r="J4865" s="13">
        <v>27750</v>
      </c>
      <c r="K4865">
        <v>1</v>
      </c>
      <c r="L4865" t="s">
        <v>1064</v>
      </c>
      <c r="M4865" t="s">
        <v>5810</v>
      </c>
      <c r="N4865" s="15" t="s">
        <v>6878</v>
      </c>
    </row>
    <row r="4866" spans="1:14" x14ac:dyDescent="0.2">
      <c r="A4866" t="s">
        <v>5998</v>
      </c>
      <c r="B4866" t="s">
        <v>2360</v>
      </c>
      <c r="C4866" s="9">
        <v>45060</v>
      </c>
      <c r="D4866" t="s">
        <v>651</v>
      </c>
      <c r="E4866" s="13">
        <v>1600000</v>
      </c>
      <c r="F4866" s="13">
        <v>71040</v>
      </c>
      <c r="G4866" s="9">
        <v>45068</v>
      </c>
      <c r="H4866" t="s">
        <v>1111</v>
      </c>
      <c r="I4866" t="s">
        <v>5809</v>
      </c>
      <c r="J4866" s="13">
        <v>27750</v>
      </c>
      <c r="K4866">
        <v>1</v>
      </c>
      <c r="L4866" t="s">
        <v>1064</v>
      </c>
      <c r="M4866" t="s">
        <v>5810</v>
      </c>
      <c r="N4866" s="15" t="s">
        <v>6878</v>
      </c>
    </row>
    <row r="4867" spans="1:14" x14ac:dyDescent="0.2">
      <c r="A4867" t="s">
        <v>5999</v>
      </c>
      <c r="B4867" t="s">
        <v>2360</v>
      </c>
      <c r="C4867" s="9">
        <v>45060</v>
      </c>
      <c r="D4867" t="s">
        <v>651</v>
      </c>
      <c r="E4867" s="13">
        <v>1600000</v>
      </c>
      <c r="F4867" s="13">
        <v>71040</v>
      </c>
      <c r="G4867" s="9">
        <v>45068</v>
      </c>
      <c r="H4867" t="s">
        <v>1111</v>
      </c>
      <c r="I4867" t="s">
        <v>5809</v>
      </c>
      <c r="J4867" s="13">
        <v>27750</v>
      </c>
      <c r="K4867">
        <v>1</v>
      </c>
      <c r="L4867" t="s">
        <v>1064</v>
      </c>
      <c r="M4867" t="s">
        <v>5810</v>
      </c>
      <c r="N4867" s="15" t="s">
        <v>6878</v>
      </c>
    </row>
    <row r="4868" spans="1:14" x14ac:dyDescent="0.2">
      <c r="A4868" t="s">
        <v>6000</v>
      </c>
      <c r="B4868" t="s">
        <v>2360</v>
      </c>
      <c r="C4868" s="9">
        <v>45060</v>
      </c>
      <c r="D4868" t="s">
        <v>651</v>
      </c>
      <c r="E4868" s="13">
        <v>1600000</v>
      </c>
      <c r="F4868" s="13">
        <v>71040</v>
      </c>
      <c r="G4868" s="9">
        <v>45068</v>
      </c>
      <c r="H4868" t="s">
        <v>1111</v>
      </c>
      <c r="I4868" t="s">
        <v>5809</v>
      </c>
      <c r="J4868" s="13">
        <v>27750</v>
      </c>
      <c r="K4868">
        <v>1</v>
      </c>
      <c r="L4868" t="s">
        <v>1064</v>
      </c>
      <c r="M4868" t="s">
        <v>5810</v>
      </c>
      <c r="N4868" s="15" t="s">
        <v>6878</v>
      </c>
    </row>
    <row r="4869" spans="1:14" x14ac:dyDescent="0.2">
      <c r="A4869" t="s">
        <v>6001</v>
      </c>
      <c r="B4869" t="s">
        <v>2360</v>
      </c>
      <c r="C4869" s="9">
        <v>45060</v>
      </c>
      <c r="D4869" t="s">
        <v>651</v>
      </c>
      <c r="E4869" s="13">
        <v>1600000</v>
      </c>
      <c r="F4869" s="13">
        <v>71040</v>
      </c>
      <c r="G4869" s="9">
        <v>45068</v>
      </c>
      <c r="H4869" t="s">
        <v>1111</v>
      </c>
      <c r="I4869" t="s">
        <v>5809</v>
      </c>
      <c r="J4869" s="13">
        <v>27750</v>
      </c>
      <c r="K4869">
        <v>1</v>
      </c>
      <c r="L4869" t="s">
        <v>1064</v>
      </c>
      <c r="M4869" t="s">
        <v>5810</v>
      </c>
      <c r="N4869" s="15" t="s">
        <v>6878</v>
      </c>
    </row>
    <row r="4870" spans="1:14" x14ac:dyDescent="0.2">
      <c r="A4870" t="s">
        <v>6002</v>
      </c>
      <c r="B4870" t="s">
        <v>2360</v>
      </c>
      <c r="C4870" s="9">
        <v>45060</v>
      </c>
      <c r="D4870" t="s">
        <v>651</v>
      </c>
      <c r="E4870" s="13">
        <v>1600000</v>
      </c>
      <c r="F4870" s="13">
        <v>71040</v>
      </c>
      <c r="G4870" s="9">
        <v>45068</v>
      </c>
      <c r="H4870" t="s">
        <v>1111</v>
      </c>
      <c r="I4870" t="s">
        <v>5809</v>
      </c>
      <c r="J4870" s="13">
        <v>27750</v>
      </c>
      <c r="K4870">
        <v>1</v>
      </c>
      <c r="L4870" t="s">
        <v>1064</v>
      </c>
      <c r="M4870" t="s">
        <v>5810</v>
      </c>
      <c r="N4870" s="15" t="s">
        <v>6878</v>
      </c>
    </row>
    <row r="4871" spans="1:14" x14ac:dyDescent="0.2">
      <c r="A4871" t="s">
        <v>6003</v>
      </c>
      <c r="B4871" t="s">
        <v>2360</v>
      </c>
      <c r="C4871" s="9">
        <v>45060</v>
      </c>
      <c r="D4871" t="s">
        <v>651</v>
      </c>
      <c r="E4871" s="13">
        <v>1600000</v>
      </c>
      <c r="F4871" s="13">
        <v>71040</v>
      </c>
      <c r="G4871" s="9">
        <v>45068</v>
      </c>
      <c r="H4871" t="s">
        <v>1111</v>
      </c>
      <c r="I4871" t="s">
        <v>5809</v>
      </c>
      <c r="J4871" s="13">
        <v>27750</v>
      </c>
      <c r="K4871">
        <v>1</v>
      </c>
      <c r="L4871" t="s">
        <v>1064</v>
      </c>
      <c r="M4871" t="s">
        <v>5810</v>
      </c>
      <c r="N4871" s="15" t="s">
        <v>6878</v>
      </c>
    </row>
    <row r="4872" spans="1:14" x14ac:dyDescent="0.2">
      <c r="A4872" t="s">
        <v>6004</v>
      </c>
      <c r="B4872" t="s">
        <v>2360</v>
      </c>
      <c r="C4872" s="9">
        <v>45060</v>
      </c>
      <c r="D4872" t="s">
        <v>651</v>
      </c>
      <c r="E4872" s="13">
        <v>1600000</v>
      </c>
      <c r="F4872" s="13">
        <v>71040</v>
      </c>
      <c r="G4872" s="9">
        <v>45068</v>
      </c>
      <c r="H4872" t="s">
        <v>1111</v>
      </c>
      <c r="I4872" t="s">
        <v>5809</v>
      </c>
      <c r="J4872" s="13">
        <v>27750</v>
      </c>
      <c r="K4872">
        <v>1</v>
      </c>
      <c r="L4872" t="s">
        <v>1064</v>
      </c>
      <c r="M4872" t="s">
        <v>5810</v>
      </c>
      <c r="N4872" s="15" t="s">
        <v>6878</v>
      </c>
    </row>
    <row r="4873" spans="1:14" x14ac:dyDescent="0.2">
      <c r="A4873" t="s">
        <v>6005</v>
      </c>
      <c r="B4873" t="s">
        <v>2360</v>
      </c>
      <c r="C4873" s="9">
        <v>45060</v>
      </c>
      <c r="D4873" t="s">
        <v>651</v>
      </c>
      <c r="E4873" s="13">
        <v>1600000</v>
      </c>
      <c r="F4873" s="13">
        <v>71040</v>
      </c>
      <c r="G4873" s="9">
        <v>45068</v>
      </c>
      <c r="H4873" t="s">
        <v>1111</v>
      </c>
      <c r="I4873" t="s">
        <v>5809</v>
      </c>
      <c r="J4873" s="13">
        <v>27750</v>
      </c>
      <c r="K4873">
        <v>1</v>
      </c>
      <c r="L4873" t="s">
        <v>1064</v>
      </c>
      <c r="M4873" t="s">
        <v>5810</v>
      </c>
      <c r="N4873" s="15" t="s">
        <v>6878</v>
      </c>
    </row>
    <row r="4874" spans="1:14" x14ac:dyDescent="0.2">
      <c r="A4874" t="s">
        <v>6006</v>
      </c>
      <c r="B4874" t="s">
        <v>2360</v>
      </c>
      <c r="C4874" s="9">
        <v>45060</v>
      </c>
      <c r="D4874" t="s">
        <v>651</v>
      </c>
      <c r="E4874" s="13">
        <v>1600000</v>
      </c>
      <c r="F4874" s="13">
        <v>71040</v>
      </c>
      <c r="G4874" s="9">
        <v>45068</v>
      </c>
      <c r="H4874" t="s">
        <v>1111</v>
      </c>
      <c r="I4874" t="s">
        <v>5809</v>
      </c>
      <c r="J4874" s="13">
        <v>27750</v>
      </c>
      <c r="K4874">
        <v>1</v>
      </c>
      <c r="L4874" t="s">
        <v>1064</v>
      </c>
      <c r="M4874" t="s">
        <v>5810</v>
      </c>
      <c r="N4874" s="15" t="s">
        <v>6878</v>
      </c>
    </row>
    <row r="4875" spans="1:14" x14ac:dyDescent="0.2">
      <c r="A4875" t="s">
        <v>6007</v>
      </c>
      <c r="B4875" t="s">
        <v>2360</v>
      </c>
      <c r="C4875" s="9">
        <v>45060</v>
      </c>
      <c r="D4875" t="s">
        <v>651</v>
      </c>
      <c r="E4875" s="13">
        <v>1600000</v>
      </c>
      <c r="F4875" s="13">
        <v>71040</v>
      </c>
      <c r="G4875" s="9">
        <v>45068</v>
      </c>
      <c r="H4875" t="s">
        <v>1111</v>
      </c>
      <c r="I4875" t="s">
        <v>5809</v>
      </c>
      <c r="J4875" s="13">
        <v>27750</v>
      </c>
      <c r="K4875">
        <v>1</v>
      </c>
      <c r="L4875" t="s">
        <v>1064</v>
      </c>
      <c r="M4875" t="s">
        <v>5810</v>
      </c>
      <c r="N4875" s="15" t="s">
        <v>6878</v>
      </c>
    </row>
    <row r="4876" spans="1:14" x14ac:dyDescent="0.2">
      <c r="A4876" t="s">
        <v>6008</v>
      </c>
      <c r="B4876" t="s">
        <v>2360</v>
      </c>
      <c r="C4876" s="9">
        <v>45060</v>
      </c>
      <c r="D4876" t="s">
        <v>651</v>
      </c>
      <c r="E4876" s="13">
        <v>1600000</v>
      </c>
      <c r="F4876" s="13">
        <v>71040</v>
      </c>
      <c r="G4876" s="9">
        <v>45060</v>
      </c>
      <c r="H4876" t="s">
        <v>1111</v>
      </c>
      <c r="I4876" t="s">
        <v>5809</v>
      </c>
      <c r="J4876" s="13">
        <v>27750</v>
      </c>
      <c r="K4876">
        <v>1</v>
      </c>
      <c r="L4876" t="s">
        <v>1064</v>
      </c>
      <c r="M4876" t="s">
        <v>5810</v>
      </c>
      <c r="N4876" s="15" t="s">
        <v>6878</v>
      </c>
    </row>
    <row r="4877" spans="1:14" x14ac:dyDescent="0.2">
      <c r="A4877" t="s">
        <v>6009</v>
      </c>
      <c r="B4877" t="s">
        <v>2360</v>
      </c>
      <c r="C4877" s="9">
        <v>45060</v>
      </c>
      <c r="D4877" t="s">
        <v>651</v>
      </c>
      <c r="E4877" s="13">
        <v>1600000</v>
      </c>
      <c r="F4877" s="13">
        <v>71040</v>
      </c>
      <c r="G4877" s="9">
        <v>45068</v>
      </c>
      <c r="H4877" t="s">
        <v>1111</v>
      </c>
      <c r="I4877" t="s">
        <v>5809</v>
      </c>
      <c r="J4877" s="13">
        <v>27750</v>
      </c>
      <c r="K4877">
        <v>1</v>
      </c>
      <c r="L4877" t="s">
        <v>1064</v>
      </c>
      <c r="M4877" t="s">
        <v>5810</v>
      </c>
      <c r="N4877" s="15" t="s">
        <v>6878</v>
      </c>
    </row>
    <row r="4878" spans="1:14" x14ac:dyDescent="0.2">
      <c r="A4878" t="s">
        <v>6010</v>
      </c>
      <c r="B4878" t="s">
        <v>2360</v>
      </c>
      <c r="C4878" s="9">
        <v>45060</v>
      </c>
      <c r="D4878" t="s">
        <v>651</v>
      </c>
      <c r="E4878" s="13">
        <v>1600000</v>
      </c>
      <c r="F4878" s="13">
        <v>71040</v>
      </c>
      <c r="G4878" s="9">
        <v>45068</v>
      </c>
      <c r="H4878" t="s">
        <v>1111</v>
      </c>
      <c r="I4878" t="s">
        <v>5809</v>
      </c>
      <c r="J4878" s="13">
        <v>27750</v>
      </c>
      <c r="K4878">
        <v>1</v>
      </c>
      <c r="L4878" t="s">
        <v>1064</v>
      </c>
      <c r="M4878" t="s">
        <v>5810</v>
      </c>
      <c r="N4878" s="15" t="s">
        <v>6878</v>
      </c>
    </row>
    <row r="4879" spans="1:14" x14ac:dyDescent="0.2">
      <c r="A4879" t="s">
        <v>6011</v>
      </c>
      <c r="B4879" t="s">
        <v>2360</v>
      </c>
      <c r="C4879" s="9">
        <v>45060</v>
      </c>
      <c r="D4879" t="s">
        <v>651</v>
      </c>
      <c r="E4879" s="13">
        <v>1600000</v>
      </c>
      <c r="F4879" s="13">
        <v>71040</v>
      </c>
      <c r="G4879" s="9">
        <v>45068</v>
      </c>
      <c r="H4879" t="s">
        <v>1111</v>
      </c>
      <c r="I4879" t="s">
        <v>5809</v>
      </c>
      <c r="J4879" s="13">
        <v>27750</v>
      </c>
      <c r="K4879">
        <v>1</v>
      </c>
      <c r="L4879" t="s">
        <v>1064</v>
      </c>
      <c r="M4879" t="s">
        <v>5810</v>
      </c>
      <c r="N4879" s="15" t="s">
        <v>6878</v>
      </c>
    </row>
    <row r="4880" spans="1:14" x14ac:dyDescent="0.2">
      <c r="A4880" t="s">
        <v>6012</v>
      </c>
      <c r="B4880" t="s">
        <v>2360</v>
      </c>
      <c r="C4880" s="9">
        <v>45060</v>
      </c>
      <c r="D4880" t="s">
        <v>651</v>
      </c>
      <c r="E4880" s="13">
        <v>1600000</v>
      </c>
      <c r="F4880" s="13">
        <v>71040</v>
      </c>
      <c r="G4880" s="9">
        <v>45068</v>
      </c>
      <c r="H4880" t="s">
        <v>1111</v>
      </c>
      <c r="I4880" t="s">
        <v>5809</v>
      </c>
      <c r="J4880" s="13">
        <v>27750</v>
      </c>
      <c r="K4880">
        <v>1</v>
      </c>
      <c r="L4880" t="s">
        <v>1064</v>
      </c>
      <c r="M4880" t="s">
        <v>5810</v>
      </c>
      <c r="N4880" s="15" t="s">
        <v>6878</v>
      </c>
    </row>
    <row r="4881" spans="1:14" x14ac:dyDescent="0.2">
      <c r="A4881" t="s">
        <v>6013</v>
      </c>
      <c r="B4881" t="s">
        <v>2360</v>
      </c>
      <c r="C4881" s="9">
        <v>45060</v>
      </c>
      <c r="D4881" t="s">
        <v>651</v>
      </c>
      <c r="E4881" s="13">
        <v>1600000</v>
      </c>
      <c r="F4881" s="13">
        <v>71040</v>
      </c>
      <c r="G4881" s="9">
        <v>45068</v>
      </c>
      <c r="H4881" t="s">
        <v>1111</v>
      </c>
      <c r="I4881" t="s">
        <v>5809</v>
      </c>
      <c r="J4881" s="13">
        <v>27750</v>
      </c>
      <c r="K4881">
        <v>1</v>
      </c>
      <c r="L4881" t="s">
        <v>1064</v>
      </c>
      <c r="M4881" t="s">
        <v>5810</v>
      </c>
      <c r="N4881" s="15" t="s">
        <v>6878</v>
      </c>
    </row>
    <row r="4882" spans="1:14" x14ac:dyDescent="0.2">
      <c r="A4882" t="s">
        <v>6014</v>
      </c>
      <c r="B4882" t="s">
        <v>2360</v>
      </c>
      <c r="C4882" s="9">
        <v>45060</v>
      </c>
      <c r="D4882" t="s">
        <v>651</v>
      </c>
      <c r="E4882" s="13">
        <v>1600000</v>
      </c>
      <c r="F4882" s="13">
        <v>71040</v>
      </c>
      <c r="G4882" s="9">
        <v>45068</v>
      </c>
      <c r="H4882" t="s">
        <v>1111</v>
      </c>
      <c r="I4882" t="s">
        <v>5809</v>
      </c>
      <c r="J4882" s="13">
        <v>27750</v>
      </c>
      <c r="K4882">
        <v>1</v>
      </c>
      <c r="L4882" t="s">
        <v>1064</v>
      </c>
      <c r="M4882" t="s">
        <v>5810</v>
      </c>
      <c r="N4882" s="15" t="s">
        <v>6878</v>
      </c>
    </row>
    <row r="4883" spans="1:14" x14ac:dyDescent="0.2">
      <c r="A4883" t="s">
        <v>6015</v>
      </c>
      <c r="B4883" t="s">
        <v>2360</v>
      </c>
      <c r="C4883" s="9">
        <v>45060</v>
      </c>
      <c r="D4883" t="s">
        <v>651</v>
      </c>
      <c r="E4883" s="13">
        <v>1600000</v>
      </c>
      <c r="F4883" s="13">
        <v>71040</v>
      </c>
      <c r="G4883" s="9">
        <v>45068</v>
      </c>
      <c r="H4883" t="s">
        <v>1111</v>
      </c>
      <c r="I4883" t="s">
        <v>5809</v>
      </c>
      <c r="J4883" s="13">
        <v>27750</v>
      </c>
      <c r="K4883">
        <v>1</v>
      </c>
      <c r="L4883" t="s">
        <v>1064</v>
      </c>
      <c r="M4883" t="s">
        <v>5810</v>
      </c>
      <c r="N4883" s="15" t="s">
        <v>6878</v>
      </c>
    </row>
    <row r="4884" spans="1:14" x14ac:dyDescent="0.2">
      <c r="A4884" t="s">
        <v>6016</v>
      </c>
      <c r="B4884" t="s">
        <v>2360</v>
      </c>
      <c r="C4884" s="9">
        <v>45060</v>
      </c>
      <c r="D4884" t="s">
        <v>651</v>
      </c>
      <c r="E4884" s="13">
        <v>1600000</v>
      </c>
      <c r="F4884" s="13">
        <v>71040</v>
      </c>
      <c r="G4884" s="9">
        <v>45068</v>
      </c>
      <c r="H4884" t="s">
        <v>1111</v>
      </c>
      <c r="I4884" t="s">
        <v>5809</v>
      </c>
      <c r="J4884" s="13">
        <v>27750</v>
      </c>
      <c r="K4884">
        <v>1</v>
      </c>
      <c r="L4884" t="s">
        <v>1064</v>
      </c>
      <c r="M4884" t="s">
        <v>5810</v>
      </c>
      <c r="N4884" s="15" t="s">
        <v>6878</v>
      </c>
    </row>
    <row r="4885" spans="1:14" x14ac:dyDescent="0.2">
      <c r="A4885" t="s">
        <v>6017</v>
      </c>
      <c r="B4885" t="s">
        <v>2360</v>
      </c>
      <c r="C4885" s="9">
        <v>45060</v>
      </c>
      <c r="D4885" t="s">
        <v>651</v>
      </c>
      <c r="E4885" s="13">
        <v>1600000</v>
      </c>
      <c r="F4885" s="13">
        <v>71040</v>
      </c>
      <c r="G4885" s="9">
        <v>45068</v>
      </c>
      <c r="H4885" t="s">
        <v>1111</v>
      </c>
      <c r="I4885" t="s">
        <v>5809</v>
      </c>
      <c r="J4885" s="13">
        <v>27750</v>
      </c>
      <c r="K4885">
        <v>1</v>
      </c>
      <c r="L4885" t="s">
        <v>1064</v>
      </c>
      <c r="M4885" t="s">
        <v>5810</v>
      </c>
      <c r="N4885" s="15" t="s">
        <v>6878</v>
      </c>
    </row>
    <row r="4886" spans="1:14" x14ac:dyDescent="0.2">
      <c r="A4886" t="s">
        <v>6018</v>
      </c>
      <c r="B4886" t="s">
        <v>2360</v>
      </c>
      <c r="C4886" s="9">
        <v>45060</v>
      </c>
      <c r="D4886" t="s">
        <v>651</v>
      </c>
      <c r="E4886" s="13">
        <v>1600000</v>
      </c>
      <c r="F4886" s="13">
        <v>71040</v>
      </c>
      <c r="G4886" s="9">
        <v>45068</v>
      </c>
      <c r="H4886" t="s">
        <v>1111</v>
      </c>
      <c r="I4886" t="s">
        <v>5809</v>
      </c>
      <c r="J4886" s="13">
        <v>27750</v>
      </c>
      <c r="K4886">
        <v>1</v>
      </c>
      <c r="L4886" t="s">
        <v>1064</v>
      </c>
      <c r="M4886" t="s">
        <v>5810</v>
      </c>
      <c r="N4886" s="15" t="s">
        <v>6878</v>
      </c>
    </row>
    <row r="4887" spans="1:14" x14ac:dyDescent="0.2">
      <c r="A4887" t="s">
        <v>6019</v>
      </c>
      <c r="B4887" t="s">
        <v>2360</v>
      </c>
      <c r="C4887" s="9">
        <v>45060</v>
      </c>
      <c r="D4887" t="s">
        <v>651</v>
      </c>
      <c r="E4887" s="13">
        <v>1600000</v>
      </c>
      <c r="F4887" s="13">
        <v>71040</v>
      </c>
      <c r="G4887" s="9">
        <v>45068</v>
      </c>
      <c r="H4887" t="s">
        <v>1111</v>
      </c>
      <c r="I4887" t="s">
        <v>5809</v>
      </c>
      <c r="J4887" s="13">
        <v>27750</v>
      </c>
      <c r="K4887">
        <v>1</v>
      </c>
      <c r="L4887" t="s">
        <v>1064</v>
      </c>
      <c r="M4887" t="s">
        <v>5810</v>
      </c>
      <c r="N4887" s="15" t="s">
        <v>6878</v>
      </c>
    </row>
    <row r="4888" spans="1:14" x14ac:dyDescent="0.2">
      <c r="A4888" t="s">
        <v>6020</v>
      </c>
      <c r="B4888" t="s">
        <v>2360</v>
      </c>
      <c r="C4888" s="9">
        <v>45060</v>
      </c>
      <c r="D4888" t="s">
        <v>651</v>
      </c>
      <c r="E4888" s="13">
        <v>1600000</v>
      </c>
      <c r="F4888" s="13"/>
      <c r="H4888" t="s">
        <v>2272</v>
      </c>
      <c r="I4888" t="s">
        <v>5809</v>
      </c>
      <c r="J4888" s="13">
        <v>0</v>
      </c>
      <c r="K4888">
        <v>1</v>
      </c>
      <c r="L4888" t="s">
        <v>1064</v>
      </c>
      <c r="M4888" t="s">
        <v>5810</v>
      </c>
      <c r="N4888" s="14" t="s">
        <v>6877</v>
      </c>
    </row>
    <row r="4889" spans="1:14" x14ac:dyDescent="0.2">
      <c r="A4889" t="s">
        <v>6021</v>
      </c>
      <c r="B4889" t="s">
        <v>2360</v>
      </c>
      <c r="C4889" s="9">
        <v>45060</v>
      </c>
      <c r="D4889" t="s">
        <v>651</v>
      </c>
      <c r="E4889" s="13">
        <v>1600000</v>
      </c>
      <c r="F4889" s="13"/>
      <c r="H4889" t="s">
        <v>2272</v>
      </c>
      <c r="I4889" t="s">
        <v>5809</v>
      </c>
      <c r="J4889" s="13">
        <v>0</v>
      </c>
      <c r="K4889">
        <v>1</v>
      </c>
      <c r="L4889" t="s">
        <v>1064</v>
      </c>
      <c r="M4889" t="s">
        <v>5810</v>
      </c>
      <c r="N4889" s="14" t="s">
        <v>6877</v>
      </c>
    </row>
    <row r="4890" spans="1:14" x14ac:dyDescent="0.2">
      <c r="A4890" t="s">
        <v>6022</v>
      </c>
      <c r="B4890" t="s">
        <v>2360</v>
      </c>
      <c r="C4890" s="9">
        <v>45060</v>
      </c>
      <c r="D4890" t="s">
        <v>651</v>
      </c>
      <c r="E4890" s="13">
        <v>1600000</v>
      </c>
      <c r="F4890" s="13">
        <v>71040</v>
      </c>
      <c r="G4890" s="9">
        <v>45068</v>
      </c>
      <c r="H4890" t="s">
        <v>1111</v>
      </c>
      <c r="I4890" t="s">
        <v>5809</v>
      </c>
      <c r="J4890" s="13">
        <v>27750</v>
      </c>
      <c r="K4890">
        <v>1</v>
      </c>
      <c r="L4890" t="s">
        <v>1064</v>
      </c>
      <c r="M4890" t="s">
        <v>5810</v>
      </c>
      <c r="N4890" s="15" t="s">
        <v>6878</v>
      </c>
    </row>
    <row r="4891" spans="1:14" x14ac:dyDescent="0.2">
      <c r="A4891" t="s">
        <v>6023</v>
      </c>
      <c r="B4891" t="s">
        <v>2360</v>
      </c>
      <c r="C4891" s="9">
        <v>45060</v>
      </c>
      <c r="D4891" t="s">
        <v>651</v>
      </c>
      <c r="E4891" s="13">
        <v>1600000</v>
      </c>
      <c r="F4891" s="13"/>
      <c r="H4891" t="s">
        <v>2272</v>
      </c>
      <c r="I4891" t="s">
        <v>5809</v>
      </c>
      <c r="J4891" s="13">
        <v>0</v>
      </c>
      <c r="K4891">
        <v>1</v>
      </c>
      <c r="L4891" t="s">
        <v>1064</v>
      </c>
      <c r="M4891" t="s">
        <v>5810</v>
      </c>
      <c r="N4891" s="14" t="s">
        <v>6877</v>
      </c>
    </row>
    <row r="4892" spans="1:14" x14ac:dyDescent="0.2">
      <c r="A4892" t="s">
        <v>6024</v>
      </c>
      <c r="B4892" t="s">
        <v>2360</v>
      </c>
      <c r="C4892" s="9">
        <v>45060</v>
      </c>
      <c r="D4892" t="s">
        <v>651</v>
      </c>
      <c r="E4892" s="13">
        <v>1600000</v>
      </c>
      <c r="F4892" s="13"/>
      <c r="H4892" t="s">
        <v>2272</v>
      </c>
      <c r="I4892" t="s">
        <v>5809</v>
      </c>
      <c r="J4892" s="13">
        <v>0</v>
      </c>
      <c r="K4892">
        <v>1</v>
      </c>
      <c r="L4892" t="s">
        <v>1064</v>
      </c>
      <c r="M4892" t="s">
        <v>5810</v>
      </c>
      <c r="N4892" s="14" t="s">
        <v>6877</v>
      </c>
    </row>
    <row r="4893" spans="1:14" x14ac:dyDescent="0.2">
      <c r="A4893" t="s">
        <v>6025</v>
      </c>
      <c r="B4893" t="s">
        <v>2360</v>
      </c>
      <c r="C4893" s="9">
        <v>45060</v>
      </c>
      <c r="D4893" t="s">
        <v>651</v>
      </c>
      <c r="E4893" s="13">
        <v>1600000</v>
      </c>
      <c r="F4893" s="13"/>
      <c r="H4893" t="s">
        <v>2272</v>
      </c>
      <c r="I4893" t="s">
        <v>5809</v>
      </c>
      <c r="J4893" s="13">
        <v>0</v>
      </c>
      <c r="K4893">
        <v>1</v>
      </c>
      <c r="L4893" t="s">
        <v>1064</v>
      </c>
      <c r="M4893" t="s">
        <v>5810</v>
      </c>
      <c r="N4893" s="14" t="s">
        <v>6877</v>
      </c>
    </row>
    <row r="4894" spans="1:14" x14ac:dyDescent="0.2">
      <c r="A4894" t="s">
        <v>6026</v>
      </c>
      <c r="B4894" t="s">
        <v>2360</v>
      </c>
      <c r="C4894" s="9">
        <v>45060</v>
      </c>
      <c r="D4894" t="s">
        <v>651</v>
      </c>
      <c r="E4894" s="13">
        <v>1600000</v>
      </c>
      <c r="F4894" s="13"/>
      <c r="H4894" t="s">
        <v>2272</v>
      </c>
      <c r="I4894" t="s">
        <v>5809</v>
      </c>
      <c r="J4894" s="13">
        <v>0</v>
      </c>
      <c r="K4894">
        <v>1</v>
      </c>
      <c r="L4894" t="s">
        <v>1064</v>
      </c>
      <c r="M4894" t="s">
        <v>5810</v>
      </c>
      <c r="N4894" s="14" t="s">
        <v>6877</v>
      </c>
    </row>
    <row r="4895" spans="1:14" x14ac:dyDescent="0.2">
      <c r="A4895" t="s">
        <v>6027</v>
      </c>
      <c r="B4895" t="s">
        <v>2360</v>
      </c>
      <c r="C4895" s="9">
        <v>45060</v>
      </c>
      <c r="D4895" t="s">
        <v>651</v>
      </c>
      <c r="E4895" s="13">
        <v>1600000</v>
      </c>
      <c r="F4895" s="13"/>
      <c r="H4895" t="s">
        <v>2272</v>
      </c>
      <c r="I4895" t="s">
        <v>5809</v>
      </c>
      <c r="J4895" s="13">
        <v>0</v>
      </c>
      <c r="K4895">
        <v>1</v>
      </c>
      <c r="L4895" t="s">
        <v>1064</v>
      </c>
      <c r="M4895" t="s">
        <v>5810</v>
      </c>
      <c r="N4895" s="14" t="s">
        <v>6877</v>
      </c>
    </row>
    <row r="4896" spans="1:14" x14ac:dyDescent="0.2">
      <c r="A4896" t="s">
        <v>6028</v>
      </c>
      <c r="B4896" t="s">
        <v>2360</v>
      </c>
      <c r="C4896" s="9">
        <v>45060</v>
      </c>
      <c r="D4896" t="s">
        <v>651</v>
      </c>
      <c r="E4896" s="13">
        <v>1600000</v>
      </c>
      <c r="F4896" s="13"/>
      <c r="H4896" t="s">
        <v>2272</v>
      </c>
      <c r="I4896" t="s">
        <v>5809</v>
      </c>
      <c r="J4896" s="13">
        <v>0</v>
      </c>
      <c r="K4896">
        <v>1</v>
      </c>
      <c r="L4896" t="s">
        <v>1064</v>
      </c>
      <c r="M4896" t="s">
        <v>5810</v>
      </c>
      <c r="N4896" s="14" t="s">
        <v>6877</v>
      </c>
    </row>
    <row r="4897" spans="1:14" x14ac:dyDescent="0.2">
      <c r="A4897" t="s">
        <v>6029</v>
      </c>
      <c r="B4897" t="s">
        <v>2360</v>
      </c>
      <c r="C4897" s="9">
        <v>45060</v>
      </c>
      <c r="D4897" t="s">
        <v>651</v>
      </c>
      <c r="E4897" s="13">
        <v>1600000</v>
      </c>
      <c r="F4897" s="13"/>
      <c r="H4897" t="s">
        <v>2272</v>
      </c>
      <c r="I4897" t="s">
        <v>5809</v>
      </c>
      <c r="J4897" s="13">
        <v>0</v>
      </c>
      <c r="K4897">
        <v>1</v>
      </c>
      <c r="L4897" t="s">
        <v>1064</v>
      </c>
      <c r="M4897" t="s">
        <v>5810</v>
      </c>
      <c r="N4897" s="14" t="s">
        <v>6877</v>
      </c>
    </row>
    <row r="4898" spans="1:14" x14ac:dyDescent="0.2">
      <c r="A4898" t="s">
        <v>6030</v>
      </c>
      <c r="B4898" t="s">
        <v>2360</v>
      </c>
      <c r="C4898" s="9">
        <v>45060</v>
      </c>
      <c r="D4898" t="s">
        <v>651</v>
      </c>
      <c r="E4898" s="13">
        <v>1600000</v>
      </c>
      <c r="F4898" s="13"/>
      <c r="H4898" t="s">
        <v>2272</v>
      </c>
      <c r="I4898" t="s">
        <v>5809</v>
      </c>
      <c r="J4898" s="13">
        <v>0</v>
      </c>
      <c r="K4898">
        <v>1</v>
      </c>
      <c r="L4898" t="s">
        <v>1064</v>
      </c>
      <c r="M4898" t="s">
        <v>5810</v>
      </c>
      <c r="N4898" s="14" t="s">
        <v>6877</v>
      </c>
    </row>
    <row r="4899" spans="1:14" x14ac:dyDescent="0.2">
      <c r="A4899" t="s">
        <v>6031</v>
      </c>
      <c r="B4899" t="s">
        <v>2360</v>
      </c>
      <c r="C4899" s="9">
        <v>45060</v>
      </c>
      <c r="D4899" t="s">
        <v>651</v>
      </c>
      <c r="E4899" s="13">
        <v>1600000</v>
      </c>
      <c r="F4899" s="13"/>
      <c r="H4899" t="s">
        <v>2272</v>
      </c>
      <c r="I4899" t="s">
        <v>5809</v>
      </c>
      <c r="J4899" s="13">
        <v>0</v>
      </c>
      <c r="K4899">
        <v>1</v>
      </c>
      <c r="L4899" t="s">
        <v>1064</v>
      </c>
      <c r="M4899" t="s">
        <v>5810</v>
      </c>
      <c r="N4899" s="14" t="s">
        <v>6877</v>
      </c>
    </row>
    <row r="4900" spans="1:14" x14ac:dyDescent="0.2">
      <c r="A4900" t="s">
        <v>6032</v>
      </c>
      <c r="B4900" t="s">
        <v>2360</v>
      </c>
      <c r="C4900" s="9">
        <v>45060</v>
      </c>
      <c r="D4900" t="s">
        <v>651</v>
      </c>
      <c r="E4900" s="13">
        <v>1600000</v>
      </c>
      <c r="F4900" s="13"/>
      <c r="H4900" t="s">
        <v>2272</v>
      </c>
      <c r="I4900" t="s">
        <v>5809</v>
      </c>
      <c r="J4900" s="13">
        <v>0</v>
      </c>
      <c r="K4900">
        <v>1</v>
      </c>
      <c r="L4900" t="s">
        <v>1064</v>
      </c>
      <c r="M4900" t="s">
        <v>5810</v>
      </c>
      <c r="N4900" s="14" t="s">
        <v>6877</v>
      </c>
    </row>
    <row r="4901" spans="1:14" x14ac:dyDescent="0.2">
      <c r="A4901" t="s">
        <v>6033</v>
      </c>
      <c r="B4901" t="s">
        <v>2360</v>
      </c>
      <c r="C4901" s="9">
        <v>45060</v>
      </c>
      <c r="D4901" t="s">
        <v>651</v>
      </c>
      <c r="E4901" s="13">
        <v>1600000</v>
      </c>
      <c r="F4901" s="13"/>
      <c r="H4901" t="s">
        <v>2272</v>
      </c>
      <c r="I4901" t="s">
        <v>5809</v>
      </c>
      <c r="J4901" s="13">
        <v>0</v>
      </c>
      <c r="K4901">
        <v>1</v>
      </c>
      <c r="L4901" t="s">
        <v>1064</v>
      </c>
      <c r="M4901" t="s">
        <v>5810</v>
      </c>
      <c r="N4901" s="14" t="s">
        <v>6877</v>
      </c>
    </row>
    <row r="4902" spans="1:14" x14ac:dyDescent="0.2">
      <c r="A4902" t="s">
        <v>6034</v>
      </c>
      <c r="B4902" t="s">
        <v>2360</v>
      </c>
      <c r="C4902" s="9">
        <v>45060</v>
      </c>
      <c r="D4902" t="s">
        <v>651</v>
      </c>
      <c r="E4902" s="13">
        <v>1600000</v>
      </c>
      <c r="F4902" s="13"/>
      <c r="H4902" t="s">
        <v>2272</v>
      </c>
      <c r="I4902" t="s">
        <v>5809</v>
      </c>
      <c r="J4902" s="13">
        <v>0</v>
      </c>
      <c r="K4902">
        <v>1</v>
      </c>
      <c r="L4902" t="s">
        <v>1064</v>
      </c>
      <c r="M4902" t="s">
        <v>5810</v>
      </c>
      <c r="N4902" s="14" t="s">
        <v>6877</v>
      </c>
    </row>
    <row r="4903" spans="1:14" x14ac:dyDescent="0.2">
      <c r="A4903" t="s">
        <v>6035</v>
      </c>
      <c r="B4903" t="s">
        <v>2360</v>
      </c>
      <c r="C4903" s="9">
        <v>45060</v>
      </c>
      <c r="D4903" t="s">
        <v>651</v>
      </c>
      <c r="E4903" s="13">
        <v>1600000</v>
      </c>
      <c r="F4903" s="13"/>
      <c r="H4903" t="s">
        <v>2272</v>
      </c>
      <c r="I4903" t="s">
        <v>5809</v>
      </c>
      <c r="J4903" s="13">
        <v>0</v>
      </c>
      <c r="K4903">
        <v>1</v>
      </c>
      <c r="L4903" t="s">
        <v>1064</v>
      </c>
      <c r="M4903" t="s">
        <v>5810</v>
      </c>
      <c r="N4903" s="14" t="s">
        <v>6877</v>
      </c>
    </row>
    <row r="4904" spans="1:14" x14ac:dyDescent="0.2">
      <c r="A4904" t="s">
        <v>6036</v>
      </c>
      <c r="B4904" t="s">
        <v>2360</v>
      </c>
      <c r="C4904" s="9">
        <v>45060</v>
      </c>
      <c r="D4904" t="s">
        <v>651</v>
      </c>
      <c r="E4904" s="13">
        <v>1600000</v>
      </c>
      <c r="F4904" s="13"/>
      <c r="H4904" t="s">
        <v>2272</v>
      </c>
      <c r="I4904" t="s">
        <v>5809</v>
      </c>
      <c r="J4904" s="13">
        <v>0</v>
      </c>
      <c r="K4904">
        <v>1</v>
      </c>
      <c r="L4904" t="s">
        <v>1064</v>
      </c>
      <c r="M4904" t="s">
        <v>5810</v>
      </c>
      <c r="N4904" s="14" t="s">
        <v>6877</v>
      </c>
    </row>
    <row r="4905" spans="1:14" x14ac:dyDescent="0.2">
      <c r="A4905" t="s">
        <v>6037</v>
      </c>
      <c r="B4905" t="s">
        <v>2360</v>
      </c>
      <c r="C4905" s="9">
        <v>45060</v>
      </c>
      <c r="D4905" t="s">
        <v>651</v>
      </c>
      <c r="E4905" s="13">
        <v>1600000</v>
      </c>
      <c r="F4905" s="13"/>
      <c r="H4905" t="s">
        <v>2272</v>
      </c>
      <c r="I4905" t="s">
        <v>5809</v>
      </c>
      <c r="J4905" s="13">
        <v>0</v>
      </c>
      <c r="K4905">
        <v>1</v>
      </c>
      <c r="L4905" t="s">
        <v>1064</v>
      </c>
      <c r="M4905" t="s">
        <v>5810</v>
      </c>
      <c r="N4905" s="14" t="s">
        <v>6877</v>
      </c>
    </row>
    <row r="4906" spans="1:14" x14ac:dyDescent="0.2">
      <c r="A4906" t="s">
        <v>6038</v>
      </c>
      <c r="B4906" t="s">
        <v>2360</v>
      </c>
      <c r="C4906" s="9">
        <v>45060</v>
      </c>
      <c r="D4906" t="s">
        <v>651</v>
      </c>
      <c r="E4906" s="13">
        <v>1600000</v>
      </c>
      <c r="F4906" s="13"/>
      <c r="H4906" t="s">
        <v>2272</v>
      </c>
      <c r="I4906" t="s">
        <v>5809</v>
      </c>
      <c r="J4906" s="13">
        <v>0</v>
      </c>
      <c r="K4906">
        <v>1</v>
      </c>
      <c r="L4906" t="s">
        <v>1064</v>
      </c>
      <c r="M4906" t="s">
        <v>5810</v>
      </c>
      <c r="N4906" s="14" t="s">
        <v>6877</v>
      </c>
    </row>
    <row r="4907" spans="1:14" x14ac:dyDescent="0.2">
      <c r="A4907" t="s">
        <v>6039</v>
      </c>
      <c r="B4907" t="s">
        <v>2360</v>
      </c>
      <c r="C4907" s="9">
        <v>45060</v>
      </c>
      <c r="D4907" t="s">
        <v>651</v>
      </c>
      <c r="E4907" s="13">
        <v>1600000</v>
      </c>
      <c r="F4907" s="13"/>
      <c r="H4907" t="s">
        <v>2272</v>
      </c>
      <c r="I4907" t="s">
        <v>5809</v>
      </c>
      <c r="J4907" s="13">
        <v>0</v>
      </c>
      <c r="K4907">
        <v>1</v>
      </c>
      <c r="L4907" t="s">
        <v>1064</v>
      </c>
      <c r="M4907" t="s">
        <v>5810</v>
      </c>
      <c r="N4907" s="14" t="s">
        <v>6877</v>
      </c>
    </row>
    <row r="4908" spans="1:14" x14ac:dyDescent="0.2">
      <c r="A4908" t="s">
        <v>6040</v>
      </c>
      <c r="B4908" t="s">
        <v>2360</v>
      </c>
      <c r="C4908" s="9">
        <v>45060</v>
      </c>
      <c r="D4908" t="s">
        <v>651</v>
      </c>
      <c r="E4908" s="13">
        <v>1600000</v>
      </c>
      <c r="F4908" s="13"/>
      <c r="H4908" t="s">
        <v>2272</v>
      </c>
      <c r="I4908" t="s">
        <v>5809</v>
      </c>
      <c r="J4908" s="13">
        <v>0</v>
      </c>
      <c r="K4908">
        <v>1</v>
      </c>
      <c r="L4908" t="s">
        <v>1064</v>
      </c>
      <c r="M4908" t="s">
        <v>5810</v>
      </c>
      <c r="N4908" s="14" t="s">
        <v>6877</v>
      </c>
    </row>
    <row r="4909" spans="1:14" x14ac:dyDescent="0.2">
      <c r="A4909" t="s">
        <v>6041</v>
      </c>
      <c r="B4909" t="s">
        <v>2360</v>
      </c>
      <c r="C4909" s="9">
        <v>45060</v>
      </c>
      <c r="D4909" t="s">
        <v>651</v>
      </c>
      <c r="E4909" s="13">
        <v>1600000</v>
      </c>
      <c r="F4909" s="13"/>
      <c r="H4909" t="s">
        <v>2272</v>
      </c>
      <c r="I4909" t="s">
        <v>5809</v>
      </c>
      <c r="J4909" s="13">
        <v>0</v>
      </c>
      <c r="K4909">
        <v>1</v>
      </c>
      <c r="L4909" t="s">
        <v>1064</v>
      </c>
      <c r="M4909" t="s">
        <v>5810</v>
      </c>
      <c r="N4909" s="14" t="s">
        <v>6877</v>
      </c>
    </row>
    <row r="4910" spans="1:14" x14ac:dyDescent="0.2">
      <c r="A4910" t="s">
        <v>6042</v>
      </c>
      <c r="B4910" t="s">
        <v>2360</v>
      </c>
      <c r="C4910" s="9">
        <v>45060</v>
      </c>
      <c r="D4910" t="s">
        <v>651</v>
      </c>
      <c r="E4910" s="13">
        <v>1600000</v>
      </c>
      <c r="F4910" s="13"/>
      <c r="H4910" t="s">
        <v>2272</v>
      </c>
      <c r="I4910" t="s">
        <v>5809</v>
      </c>
      <c r="J4910" s="13">
        <v>0</v>
      </c>
      <c r="K4910">
        <v>1</v>
      </c>
      <c r="L4910" t="s">
        <v>1064</v>
      </c>
      <c r="M4910" t="s">
        <v>5810</v>
      </c>
      <c r="N4910" s="14" t="s">
        <v>6877</v>
      </c>
    </row>
    <row r="4911" spans="1:14" x14ac:dyDescent="0.2">
      <c r="A4911" t="s">
        <v>6043</v>
      </c>
      <c r="B4911" t="s">
        <v>2360</v>
      </c>
      <c r="C4911" s="9">
        <v>45060</v>
      </c>
      <c r="D4911" t="s">
        <v>651</v>
      </c>
      <c r="E4911" s="13">
        <v>1600000</v>
      </c>
      <c r="F4911" s="13"/>
      <c r="H4911" t="s">
        <v>2272</v>
      </c>
      <c r="I4911" t="s">
        <v>5809</v>
      </c>
      <c r="J4911" s="13">
        <v>0</v>
      </c>
      <c r="K4911">
        <v>1</v>
      </c>
      <c r="L4911" t="s">
        <v>1064</v>
      </c>
      <c r="M4911" t="s">
        <v>5810</v>
      </c>
      <c r="N4911" s="14" t="s">
        <v>6877</v>
      </c>
    </row>
    <row r="4912" spans="1:14" x14ac:dyDescent="0.2">
      <c r="A4912" t="s">
        <v>6044</v>
      </c>
      <c r="B4912" t="s">
        <v>2360</v>
      </c>
      <c r="C4912" s="9">
        <v>45060</v>
      </c>
      <c r="D4912" t="s">
        <v>651</v>
      </c>
      <c r="E4912" s="13">
        <v>1600000</v>
      </c>
      <c r="F4912" s="13"/>
      <c r="H4912" t="s">
        <v>2272</v>
      </c>
      <c r="I4912" t="s">
        <v>5809</v>
      </c>
      <c r="J4912" s="13">
        <v>0</v>
      </c>
      <c r="K4912">
        <v>1</v>
      </c>
      <c r="L4912" t="s">
        <v>1064</v>
      </c>
      <c r="M4912" t="s">
        <v>5810</v>
      </c>
      <c r="N4912" s="14" t="s">
        <v>6877</v>
      </c>
    </row>
    <row r="4913" spans="1:14" x14ac:dyDescent="0.2">
      <c r="A4913" t="s">
        <v>6045</v>
      </c>
      <c r="B4913" t="s">
        <v>2360</v>
      </c>
      <c r="C4913" s="9">
        <v>45060</v>
      </c>
      <c r="D4913" t="s">
        <v>651</v>
      </c>
      <c r="E4913" s="13">
        <v>1600000</v>
      </c>
      <c r="F4913" s="13"/>
      <c r="H4913" t="s">
        <v>2272</v>
      </c>
      <c r="I4913" t="s">
        <v>5809</v>
      </c>
      <c r="J4913" s="13">
        <v>0</v>
      </c>
      <c r="K4913">
        <v>1</v>
      </c>
      <c r="L4913" t="s">
        <v>1064</v>
      </c>
      <c r="M4913" t="s">
        <v>5810</v>
      </c>
      <c r="N4913" s="14" t="s">
        <v>6877</v>
      </c>
    </row>
    <row r="4914" spans="1:14" x14ac:dyDescent="0.2">
      <c r="A4914" t="s">
        <v>6046</v>
      </c>
      <c r="B4914" t="s">
        <v>2360</v>
      </c>
      <c r="C4914" s="9">
        <v>45060</v>
      </c>
      <c r="D4914" t="s">
        <v>651</v>
      </c>
      <c r="E4914" s="13">
        <v>1600000</v>
      </c>
      <c r="F4914" s="13"/>
      <c r="H4914" t="s">
        <v>2272</v>
      </c>
      <c r="I4914" t="s">
        <v>5809</v>
      </c>
      <c r="J4914" s="13">
        <v>0</v>
      </c>
      <c r="K4914">
        <v>1</v>
      </c>
      <c r="L4914" t="s">
        <v>1064</v>
      </c>
      <c r="M4914" t="s">
        <v>5810</v>
      </c>
      <c r="N4914" s="14" t="s">
        <v>6877</v>
      </c>
    </row>
    <row r="4915" spans="1:14" x14ac:dyDescent="0.2">
      <c r="A4915" t="s">
        <v>6047</v>
      </c>
      <c r="B4915" t="s">
        <v>2360</v>
      </c>
      <c r="C4915" s="9">
        <v>45060</v>
      </c>
      <c r="D4915" t="s">
        <v>651</v>
      </c>
      <c r="E4915" s="13">
        <v>1600000</v>
      </c>
      <c r="F4915" s="13"/>
      <c r="H4915" t="s">
        <v>2272</v>
      </c>
      <c r="I4915" t="s">
        <v>5809</v>
      </c>
      <c r="J4915" s="13">
        <v>0</v>
      </c>
      <c r="K4915">
        <v>1</v>
      </c>
      <c r="L4915" t="s">
        <v>1064</v>
      </c>
      <c r="M4915" t="s">
        <v>5810</v>
      </c>
      <c r="N4915" s="14" t="s">
        <v>6877</v>
      </c>
    </row>
    <row r="4916" spans="1:14" x14ac:dyDescent="0.2">
      <c r="A4916" t="s">
        <v>6048</v>
      </c>
      <c r="B4916" t="s">
        <v>2360</v>
      </c>
      <c r="C4916" s="9">
        <v>45060</v>
      </c>
      <c r="D4916" t="s">
        <v>651</v>
      </c>
      <c r="E4916" s="13">
        <v>1600000</v>
      </c>
      <c r="F4916" s="13"/>
      <c r="H4916" t="s">
        <v>2272</v>
      </c>
      <c r="I4916" t="s">
        <v>5809</v>
      </c>
      <c r="J4916" s="13">
        <v>0</v>
      </c>
      <c r="K4916">
        <v>1</v>
      </c>
      <c r="L4916" t="s">
        <v>1064</v>
      </c>
      <c r="M4916" t="s">
        <v>5810</v>
      </c>
      <c r="N4916" s="14" t="s">
        <v>6877</v>
      </c>
    </row>
    <row r="4917" spans="1:14" x14ac:dyDescent="0.2">
      <c r="A4917" t="s">
        <v>6049</v>
      </c>
      <c r="B4917" t="s">
        <v>2360</v>
      </c>
      <c r="C4917" s="9">
        <v>45060</v>
      </c>
      <c r="D4917" t="s">
        <v>651</v>
      </c>
      <c r="E4917" s="13">
        <v>1600000</v>
      </c>
      <c r="F4917" s="13"/>
      <c r="H4917" t="s">
        <v>2272</v>
      </c>
      <c r="I4917" t="s">
        <v>5809</v>
      </c>
      <c r="J4917" s="13">
        <v>0</v>
      </c>
      <c r="K4917">
        <v>1</v>
      </c>
      <c r="L4917" t="s">
        <v>1064</v>
      </c>
      <c r="M4917" t="s">
        <v>5810</v>
      </c>
      <c r="N4917" s="14" t="s">
        <v>6877</v>
      </c>
    </row>
    <row r="4918" spans="1:14" x14ac:dyDescent="0.2">
      <c r="A4918" t="s">
        <v>6050</v>
      </c>
      <c r="B4918" t="s">
        <v>2360</v>
      </c>
      <c r="C4918" s="9">
        <v>45060</v>
      </c>
      <c r="D4918" t="s">
        <v>651</v>
      </c>
      <c r="E4918" s="13">
        <v>1600000</v>
      </c>
      <c r="F4918" s="13"/>
      <c r="H4918" t="s">
        <v>2272</v>
      </c>
      <c r="I4918" t="s">
        <v>5809</v>
      </c>
      <c r="J4918" s="13">
        <v>0</v>
      </c>
      <c r="K4918">
        <v>1</v>
      </c>
      <c r="L4918" t="s">
        <v>1064</v>
      </c>
      <c r="M4918" t="s">
        <v>5810</v>
      </c>
      <c r="N4918" s="14" t="s">
        <v>6877</v>
      </c>
    </row>
    <row r="4919" spans="1:14" x14ac:dyDescent="0.2">
      <c r="A4919" t="s">
        <v>6051</v>
      </c>
      <c r="B4919" t="s">
        <v>2360</v>
      </c>
      <c r="C4919" s="9">
        <v>45060</v>
      </c>
      <c r="D4919" t="s">
        <v>651</v>
      </c>
      <c r="E4919" s="13">
        <v>1600000</v>
      </c>
      <c r="F4919" s="13"/>
      <c r="H4919" t="s">
        <v>2272</v>
      </c>
      <c r="I4919" t="s">
        <v>5809</v>
      </c>
      <c r="J4919" s="13">
        <v>0</v>
      </c>
      <c r="K4919">
        <v>1</v>
      </c>
      <c r="L4919" t="s">
        <v>1064</v>
      </c>
      <c r="M4919" t="s">
        <v>5810</v>
      </c>
      <c r="N4919" s="14" t="s">
        <v>6877</v>
      </c>
    </row>
    <row r="4920" spans="1:14" x14ac:dyDescent="0.2">
      <c r="A4920" t="s">
        <v>6052</v>
      </c>
      <c r="B4920" t="s">
        <v>2360</v>
      </c>
      <c r="C4920" s="9">
        <v>45060</v>
      </c>
      <c r="D4920" t="s">
        <v>651</v>
      </c>
      <c r="E4920" s="13">
        <v>1600000</v>
      </c>
      <c r="F4920" s="13"/>
      <c r="H4920" t="s">
        <v>2272</v>
      </c>
      <c r="I4920" t="s">
        <v>5809</v>
      </c>
      <c r="J4920" s="13">
        <v>0</v>
      </c>
      <c r="K4920">
        <v>1</v>
      </c>
      <c r="L4920" t="s">
        <v>1064</v>
      </c>
      <c r="M4920" t="s">
        <v>5810</v>
      </c>
      <c r="N4920" s="14" t="s">
        <v>6877</v>
      </c>
    </row>
    <row r="4921" spans="1:14" x14ac:dyDescent="0.2">
      <c r="A4921" t="s">
        <v>6053</v>
      </c>
      <c r="B4921" t="s">
        <v>2360</v>
      </c>
      <c r="C4921" s="9">
        <v>45060</v>
      </c>
      <c r="D4921" t="s">
        <v>651</v>
      </c>
      <c r="E4921" s="13">
        <v>1600000</v>
      </c>
      <c r="F4921" s="13"/>
      <c r="H4921" t="s">
        <v>2272</v>
      </c>
      <c r="I4921" t="s">
        <v>5809</v>
      </c>
      <c r="J4921" s="13">
        <v>0</v>
      </c>
      <c r="K4921">
        <v>1</v>
      </c>
      <c r="L4921" t="s">
        <v>1064</v>
      </c>
      <c r="M4921" t="s">
        <v>5810</v>
      </c>
      <c r="N4921" s="14" t="s">
        <v>6877</v>
      </c>
    </row>
    <row r="4922" spans="1:14" x14ac:dyDescent="0.2">
      <c r="A4922" t="s">
        <v>6054</v>
      </c>
      <c r="B4922" t="s">
        <v>2360</v>
      </c>
      <c r="C4922" s="9">
        <v>45060</v>
      </c>
      <c r="D4922" t="s">
        <v>651</v>
      </c>
      <c r="E4922" s="13">
        <v>1600000</v>
      </c>
      <c r="F4922" s="13"/>
      <c r="H4922" t="s">
        <v>2272</v>
      </c>
      <c r="I4922" t="s">
        <v>5809</v>
      </c>
      <c r="J4922" s="13">
        <v>0</v>
      </c>
      <c r="K4922">
        <v>1</v>
      </c>
      <c r="L4922" t="s">
        <v>1064</v>
      </c>
      <c r="M4922" t="s">
        <v>5810</v>
      </c>
      <c r="N4922" s="14" t="s">
        <v>6877</v>
      </c>
    </row>
    <row r="4923" spans="1:14" x14ac:dyDescent="0.2">
      <c r="A4923" t="s">
        <v>6055</v>
      </c>
      <c r="B4923" t="s">
        <v>2360</v>
      </c>
      <c r="C4923" s="9">
        <v>45060</v>
      </c>
      <c r="D4923" t="s">
        <v>651</v>
      </c>
      <c r="E4923" s="13">
        <v>1600000</v>
      </c>
      <c r="F4923" s="13"/>
      <c r="H4923" t="s">
        <v>2272</v>
      </c>
      <c r="I4923" t="s">
        <v>5809</v>
      </c>
      <c r="J4923" s="13">
        <v>0</v>
      </c>
      <c r="K4923">
        <v>1</v>
      </c>
      <c r="L4923" t="s">
        <v>1064</v>
      </c>
      <c r="M4923" t="s">
        <v>5810</v>
      </c>
      <c r="N4923" s="14" t="s">
        <v>6877</v>
      </c>
    </row>
    <row r="4924" spans="1:14" x14ac:dyDescent="0.2">
      <c r="A4924" t="s">
        <v>6056</v>
      </c>
      <c r="B4924" t="s">
        <v>2360</v>
      </c>
      <c r="C4924" s="9">
        <v>45060</v>
      </c>
      <c r="D4924" t="s">
        <v>651</v>
      </c>
      <c r="E4924" s="13">
        <v>1600000</v>
      </c>
      <c r="F4924" s="13"/>
      <c r="H4924" t="s">
        <v>2272</v>
      </c>
      <c r="I4924" t="s">
        <v>5809</v>
      </c>
      <c r="J4924" s="13">
        <v>0</v>
      </c>
      <c r="K4924">
        <v>1</v>
      </c>
      <c r="L4924" t="s">
        <v>1064</v>
      </c>
      <c r="M4924" t="s">
        <v>5810</v>
      </c>
      <c r="N4924" s="14" t="s">
        <v>6877</v>
      </c>
    </row>
    <row r="4925" spans="1:14" x14ac:dyDescent="0.2">
      <c r="A4925" t="s">
        <v>6057</v>
      </c>
      <c r="B4925" t="s">
        <v>2360</v>
      </c>
      <c r="C4925" s="9">
        <v>45060</v>
      </c>
      <c r="D4925" t="s">
        <v>651</v>
      </c>
      <c r="E4925" s="13">
        <v>1600000</v>
      </c>
      <c r="F4925" s="13"/>
      <c r="H4925" t="s">
        <v>2272</v>
      </c>
      <c r="I4925" t="s">
        <v>5809</v>
      </c>
      <c r="J4925" s="13">
        <v>0</v>
      </c>
      <c r="K4925">
        <v>1</v>
      </c>
      <c r="L4925" t="s">
        <v>1064</v>
      </c>
      <c r="M4925" t="s">
        <v>5810</v>
      </c>
      <c r="N4925" s="14" t="s">
        <v>6877</v>
      </c>
    </row>
    <row r="4926" spans="1:14" x14ac:dyDescent="0.2">
      <c r="A4926" t="s">
        <v>6058</v>
      </c>
      <c r="B4926" t="s">
        <v>2360</v>
      </c>
      <c r="C4926" s="9">
        <v>45060</v>
      </c>
      <c r="D4926" t="s">
        <v>651</v>
      </c>
      <c r="E4926" s="13">
        <v>1600000</v>
      </c>
      <c r="F4926" s="13"/>
      <c r="H4926" t="s">
        <v>2272</v>
      </c>
      <c r="I4926" t="s">
        <v>5809</v>
      </c>
      <c r="J4926" s="13">
        <v>0</v>
      </c>
      <c r="K4926">
        <v>1</v>
      </c>
      <c r="L4926" t="s">
        <v>1064</v>
      </c>
      <c r="M4926" t="s">
        <v>5810</v>
      </c>
      <c r="N4926" s="14" t="s">
        <v>6877</v>
      </c>
    </row>
    <row r="4927" spans="1:14" x14ac:dyDescent="0.2">
      <c r="A4927" t="s">
        <v>6059</v>
      </c>
      <c r="B4927" t="s">
        <v>2360</v>
      </c>
      <c r="C4927" s="9">
        <v>45060</v>
      </c>
      <c r="D4927" t="s">
        <v>651</v>
      </c>
      <c r="E4927" s="13">
        <v>1600000</v>
      </c>
      <c r="F4927" s="13"/>
      <c r="H4927" t="s">
        <v>2272</v>
      </c>
      <c r="I4927" t="s">
        <v>5809</v>
      </c>
      <c r="J4927" s="13">
        <v>0</v>
      </c>
      <c r="K4927">
        <v>1</v>
      </c>
      <c r="L4927" t="s">
        <v>1064</v>
      </c>
      <c r="M4927" t="s">
        <v>5810</v>
      </c>
      <c r="N4927" s="14" t="s">
        <v>6877</v>
      </c>
    </row>
    <row r="4928" spans="1:14" x14ac:dyDescent="0.2">
      <c r="A4928" t="s">
        <v>1029</v>
      </c>
      <c r="B4928" t="s">
        <v>2360</v>
      </c>
      <c r="C4928" s="9">
        <v>45060</v>
      </c>
      <c r="D4928" t="s">
        <v>651</v>
      </c>
      <c r="E4928" s="13">
        <v>1600000</v>
      </c>
      <c r="F4928" s="13">
        <v>71040</v>
      </c>
      <c r="G4928" s="9">
        <v>45068</v>
      </c>
      <c r="H4928" t="s">
        <v>1111</v>
      </c>
      <c r="I4928" t="s">
        <v>5809</v>
      </c>
      <c r="J4928" s="13">
        <v>27750</v>
      </c>
      <c r="K4928">
        <v>1</v>
      </c>
      <c r="L4928" t="s">
        <v>1064</v>
      </c>
      <c r="M4928" t="s">
        <v>5810</v>
      </c>
      <c r="N4928" s="15" t="s">
        <v>6878</v>
      </c>
    </row>
    <row r="4929" spans="1:14" x14ac:dyDescent="0.2">
      <c r="A4929" t="s">
        <v>6060</v>
      </c>
      <c r="B4929" t="s">
        <v>2360</v>
      </c>
      <c r="C4929" s="9">
        <v>45060</v>
      </c>
      <c r="D4929" t="s">
        <v>949</v>
      </c>
      <c r="E4929" s="13">
        <v>45000000</v>
      </c>
      <c r="F4929" s="13">
        <v>22200</v>
      </c>
      <c r="G4929" s="9">
        <v>45060</v>
      </c>
      <c r="H4929" t="s">
        <v>1111</v>
      </c>
      <c r="I4929" t="s">
        <v>1746</v>
      </c>
      <c r="J4929" s="13">
        <v>1248750</v>
      </c>
      <c r="K4929">
        <v>1</v>
      </c>
      <c r="L4929" t="s">
        <v>1064</v>
      </c>
      <c r="M4929" t="s">
        <v>1747</v>
      </c>
      <c r="N4929" s="15" t="s">
        <v>6878</v>
      </c>
    </row>
    <row r="4930" spans="1:14" x14ac:dyDescent="0.2">
      <c r="A4930" t="s">
        <v>6061</v>
      </c>
      <c r="B4930" t="s">
        <v>2360</v>
      </c>
      <c r="C4930" s="9">
        <v>45060</v>
      </c>
      <c r="D4930" t="s">
        <v>949</v>
      </c>
      <c r="E4930" s="13">
        <v>45000000</v>
      </c>
      <c r="F4930" s="13">
        <v>22200</v>
      </c>
      <c r="G4930" s="9">
        <v>45060</v>
      </c>
      <c r="H4930" t="s">
        <v>1111</v>
      </c>
      <c r="I4930" t="s">
        <v>1746</v>
      </c>
      <c r="J4930" s="13">
        <v>1248750</v>
      </c>
      <c r="K4930">
        <v>1</v>
      </c>
      <c r="L4930" t="s">
        <v>1064</v>
      </c>
      <c r="M4930" t="s">
        <v>1747</v>
      </c>
      <c r="N4930" s="15" t="s">
        <v>6878</v>
      </c>
    </row>
    <row r="4931" spans="1:14" x14ac:dyDescent="0.2">
      <c r="A4931" t="s">
        <v>6062</v>
      </c>
      <c r="B4931" t="s">
        <v>2360</v>
      </c>
      <c r="C4931" s="9">
        <v>45060</v>
      </c>
      <c r="D4931" t="s">
        <v>949</v>
      </c>
      <c r="E4931" s="13">
        <v>45000000</v>
      </c>
      <c r="F4931" s="13">
        <v>22200</v>
      </c>
      <c r="G4931" s="9">
        <v>45060</v>
      </c>
      <c r="H4931" t="s">
        <v>1111</v>
      </c>
      <c r="I4931" t="s">
        <v>1746</v>
      </c>
      <c r="J4931" s="13">
        <v>1248750</v>
      </c>
      <c r="K4931">
        <v>1</v>
      </c>
      <c r="L4931" t="s">
        <v>1064</v>
      </c>
      <c r="M4931" t="s">
        <v>1747</v>
      </c>
      <c r="N4931" s="15" t="s">
        <v>6878</v>
      </c>
    </row>
    <row r="4932" spans="1:14" x14ac:dyDescent="0.2">
      <c r="A4932" t="s">
        <v>6063</v>
      </c>
      <c r="B4932" t="s">
        <v>2360</v>
      </c>
      <c r="C4932" s="9">
        <v>45060</v>
      </c>
      <c r="D4932" t="s">
        <v>949</v>
      </c>
      <c r="E4932" s="13">
        <v>64810000</v>
      </c>
      <c r="F4932" s="13">
        <v>22200</v>
      </c>
      <c r="G4932" s="9">
        <v>45060</v>
      </c>
      <c r="H4932" t="s">
        <v>1111</v>
      </c>
      <c r="I4932" t="s">
        <v>1746</v>
      </c>
      <c r="J4932" s="13">
        <v>1798477</v>
      </c>
      <c r="K4932">
        <v>1</v>
      </c>
      <c r="L4932" t="s">
        <v>1064</v>
      </c>
      <c r="M4932" t="s">
        <v>1747</v>
      </c>
      <c r="N4932" s="15" t="s">
        <v>6878</v>
      </c>
    </row>
    <row r="4933" spans="1:14" x14ac:dyDescent="0.2">
      <c r="A4933" t="s">
        <v>6064</v>
      </c>
      <c r="B4933" t="s">
        <v>2360</v>
      </c>
      <c r="C4933" s="9">
        <v>45060</v>
      </c>
      <c r="D4933" t="s">
        <v>949</v>
      </c>
      <c r="E4933" s="13">
        <v>45000000</v>
      </c>
      <c r="F4933" s="13">
        <v>22200</v>
      </c>
      <c r="G4933" s="9">
        <v>45060</v>
      </c>
      <c r="H4933" t="s">
        <v>1111</v>
      </c>
      <c r="I4933" t="s">
        <v>1746</v>
      </c>
      <c r="J4933" s="13">
        <v>1248750</v>
      </c>
      <c r="K4933">
        <v>1</v>
      </c>
      <c r="L4933" t="s">
        <v>1064</v>
      </c>
      <c r="M4933" t="s">
        <v>1747</v>
      </c>
      <c r="N4933" s="15" t="s">
        <v>6878</v>
      </c>
    </row>
    <row r="4934" spans="1:14" x14ac:dyDescent="0.2">
      <c r="A4934" t="s">
        <v>6065</v>
      </c>
      <c r="B4934" t="s">
        <v>2360</v>
      </c>
      <c r="C4934" s="9">
        <v>45060</v>
      </c>
      <c r="D4934" t="s">
        <v>949</v>
      </c>
      <c r="E4934" s="13">
        <v>45000000</v>
      </c>
      <c r="F4934" s="13">
        <v>22200</v>
      </c>
      <c r="G4934" s="9">
        <v>45060</v>
      </c>
      <c r="H4934" t="s">
        <v>1111</v>
      </c>
      <c r="I4934" t="s">
        <v>1746</v>
      </c>
      <c r="J4934" s="13">
        <v>1248750</v>
      </c>
      <c r="K4934">
        <v>1</v>
      </c>
      <c r="L4934" t="s">
        <v>1064</v>
      </c>
      <c r="M4934" t="s">
        <v>1747</v>
      </c>
      <c r="N4934" s="15" t="s">
        <v>6878</v>
      </c>
    </row>
    <row r="4935" spans="1:14" x14ac:dyDescent="0.2">
      <c r="A4935" t="s">
        <v>6066</v>
      </c>
      <c r="B4935" t="s">
        <v>2360</v>
      </c>
      <c r="C4935" s="9">
        <v>45060</v>
      </c>
      <c r="D4935" t="s">
        <v>949</v>
      </c>
      <c r="E4935" s="13">
        <v>45000000</v>
      </c>
      <c r="F4935" s="13">
        <v>22200</v>
      </c>
      <c r="G4935" s="9">
        <v>45060</v>
      </c>
      <c r="H4935" t="s">
        <v>1111</v>
      </c>
      <c r="I4935" t="s">
        <v>1746</v>
      </c>
      <c r="J4935" s="13">
        <v>1248750</v>
      </c>
      <c r="K4935">
        <v>1</v>
      </c>
      <c r="L4935" t="s">
        <v>1064</v>
      </c>
      <c r="M4935" t="s">
        <v>1747</v>
      </c>
      <c r="N4935" s="15" t="s">
        <v>6878</v>
      </c>
    </row>
    <row r="4936" spans="1:14" x14ac:dyDescent="0.2">
      <c r="A4936" t="s">
        <v>6067</v>
      </c>
      <c r="B4936" t="s">
        <v>2360</v>
      </c>
      <c r="C4936" s="9">
        <v>45060</v>
      </c>
      <c r="D4936" t="s">
        <v>949</v>
      </c>
      <c r="E4936" s="13">
        <v>64810000</v>
      </c>
      <c r="F4936" s="13">
        <v>22200</v>
      </c>
      <c r="G4936" s="9">
        <v>45060</v>
      </c>
      <c r="H4936" t="s">
        <v>1111</v>
      </c>
      <c r="I4936" t="s">
        <v>1746</v>
      </c>
      <c r="J4936" s="13">
        <v>1798477</v>
      </c>
      <c r="K4936">
        <v>1</v>
      </c>
      <c r="L4936" t="s">
        <v>1064</v>
      </c>
      <c r="M4936" t="s">
        <v>1747</v>
      </c>
      <c r="N4936" s="15" t="s">
        <v>6878</v>
      </c>
    </row>
    <row r="4937" spans="1:14" x14ac:dyDescent="0.2">
      <c r="A4937" t="s">
        <v>951</v>
      </c>
      <c r="B4937" t="s">
        <v>2360</v>
      </c>
      <c r="C4937" s="9">
        <v>45060</v>
      </c>
      <c r="D4937" t="s">
        <v>949</v>
      </c>
      <c r="E4937" s="13">
        <v>49960000</v>
      </c>
      <c r="F4937" s="13">
        <v>22200</v>
      </c>
      <c r="G4937" s="9">
        <v>45060</v>
      </c>
      <c r="H4937" t="s">
        <v>1111</v>
      </c>
      <c r="I4937" t="s">
        <v>1746</v>
      </c>
      <c r="J4937" s="13">
        <v>1386390</v>
      </c>
      <c r="K4937">
        <v>1</v>
      </c>
      <c r="L4937" t="s">
        <v>1064</v>
      </c>
      <c r="M4937" t="s">
        <v>1747</v>
      </c>
      <c r="N4937" s="15" t="s">
        <v>6878</v>
      </c>
    </row>
    <row r="4938" spans="1:14" x14ac:dyDescent="0.2">
      <c r="A4938" t="s">
        <v>6068</v>
      </c>
      <c r="B4938" t="s">
        <v>2360</v>
      </c>
      <c r="C4938" s="9">
        <v>45060</v>
      </c>
      <c r="D4938" t="s">
        <v>960</v>
      </c>
      <c r="E4938" s="13">
        <v>3500000</v>
      </c>
      <c r="F4938" s="13">
        <v>25000</v>
      </c>
      <c r="H4938" t="s">
        <v>1185</v>
      </c>
      <c r="I4938" t="s">
        <v>3814</v>
      </c>
      <c r="J4938" s="13">
        <v>0</v>
      </c>
      <c r="K4938">
        <v>1</v>
      </c>
      <c r="L4938" t="s">
        <v>1064</v>
      </c>
      <c r="M4938" t="s">
        <v>3815</v>
      </c>
      <c r="N4938" s="14" t="s">
        <v>6877</v>
      </c>
    </row>
    <row r="4939" spans="1:14" x14ac:dyDescent="0.2">
      <c r="A4939" t="s">
        <v>6069</v>
      </c>
      <c r="B4939" t="s">
        <v>2360</v>
      </c>
      <c r="C4939" s="9">
        <v>45060</v>
      </c>
      <c r="D4939" t="s">
        <v>960</v>
      </c>
      <c r="E4939" s="13">
        <v>3500000</v>
      </c>
      <c r="F4939" s="13">
        <v>25000</v>
      </c>
      <c r="H4939" t="s">
        <v>1185</v>
      </c>
      <c r="I4939" t="s">
        <v>3814</v>
      </c>
      <c r="J4939" s="13">
        <v>0</v>
      </c>
      <c r="K4939">
        <v>1</v>
      </c>
      <c r="L4939" t="s">
        <v>1064</v>
      </c>
      <c r="M4939" t="s">
        <v>3815</v>
      </c>
      <c r="N4939" s="14" t="s">
        <v>6877</v>
      </c>
    </row>
    <row r="4940" spans="1:14" x14ac:dyDescent="0.2">
      <c r="A4940" t="s">
        <v>6070</v>
      </c>
      <c r="B4940" t="s">
        <v>2360</v>
      </c>
      <c r="C4940" s="9">
        <v>45060</v>
      </c>
      <c r="D4940" t="s">
        <v>960</v>
      </c>
      <c r="E4940" s="13">
        <v>3500000</v>
      </c>
      <c r="F4940" s="13">
        <v>25000</v>
      </c>
      <c r="H4940" t="s">
        <v>1185</v>
      </c>
      <c r="I4940" t="s">
        <v>3814</v>
      </c>
      <c r="J4940" s="13">
        <v>0</v>
      </c>
      <c r="K4940">
        <v>1</v>
      </c>
      <c r="L4940" t="s">
        <v>1064</v>
      </c>
      <c r="M4940" t="s">
        <v>3815</v>
      </c>
      <c r="N4940" s="14" t="s">
        <v>6877</v>
      </c>
    </row>
    <row r="4941" spans="1:14" x14ac:dyDescent="0.2">
      <c r="A4941" t="s">
        <v>6071</v>
      </c>
      <c r="B4941" t="s">
        <v>2360</v>
      </c>
      <c r="C4941" s="9">
        <v>45060</v>
      </c>
      <c r="D4941" t="s">
        <v>960</v>
      </c>
      <c r="E4941" s="13">
        <v>3500000</v>
      </c>
      <c r="F4941" s="13">
        <v>25000</v>
      </c>
      <c r="H4941" t="s">
        <v>1185</v>
      </c>
      <c r="I4941" t="s">
        <v>3814</v>
      </c>
      <c r="J4941" s="13">
        <v>0</v>
      </c>
      <c r="K4941">
        <v>1</v>
      </c>
      <c r="L4941" t="s">
        <v>1064</v>
      </c>
      <c r="M4941" t="s">
        <v>3815</v>
      </c>
      <c r="N4941" s="14" t="s">
        <v>6877</v>
      </c>
    </row>
    <row r="4942" spans="1:14" x14ac:dyDescent="0.2">
      <c r="A4942" t="s">
        <v>961</v>
      </c>
      <c r="B4942" t="s">
        <v>2360</v>
      </c>
      <c r="C4942" s="9">
        <v>45060</v>
      </c>
      <c r="D4942" t="s">
        <v>960</v>
      </c>
      <c r="E4942" s="13">
        <v>3500000</v>
      </c>
      <c r="F4942" s="13">
        <v>25000</v>
      </c>
      <c r="H4942" t="s">
        <v>1185</v>
      </c>
      <c r="I4942" t="s">
        <v>3814</v>
      </c>
      <c r="J4942" s="13">
        <v>0</v>
      </c>
      <c r="K4942">
        <v>1</v>
      </c>
      <c r="L4942" t="s">
        <v>1064</v>
      </c>
      <c r="M4942" t="s">
        <v>3815</v>
      </c>
      <c r="N4942" s="14" t="s">
        <v>6877</v>
      </c>
    </row>
    <row r="4943" spans="1:14" x14ac:dyDescent="0.2">
      <c r="A4943" t="s">
        <v>6072</v>
      </c>
      <c r="B4943" t="s">
        <v>2360</v>
      </c>
      <c r="C4943" s="9">
        <v>45060</v>
      </c>
      <c r="D4943" t="s">
        <v>952</v>
      </c>
      <c r="E4943" s="13">
        <v>132370000</v>
      </c>
      <c r="F4943" s="13">
        <v>27750</v>
      </c>
      <c r="G4943" s="9">
        <v>45060</v>
      </c>
      <c r="H4943" t="s">
        <v>1111</v>
      </c>
      <c r="I4943" t="s">
        <v>4626</v>
      </c>
      <c r="J4943" s="13">
        <v>5877228</v>
      </c>
      <c r="K4943">
        <v>1</v>
      </c>
      <c r="L4943" t="s">
        <v>1064</v>
      </c>
      <c r="M4943" t="s">
        <v>4627</v>
      </c>
      <c r="N4943" s="15" t="s">
        <v>6878</v>
      </c>
    </row>
    <row r="4944" spans="1:14" x14ac:dyDescent="0.2">
      <c r="A4944" t="s">
        <v>6073</v>
      </c>
      <c r="B4944" t="s">
        <v>2360</v>
      </c>
      <c r="C4944" s="9">
        <v>45060</v>
      </c>
      <c r="D4944" t="s">
        <v>981</v>
      </c>
      <c r="E4944" s="13">
        <v>8100000</v>
      </c>
      <c r="F4944" s="13">
        <v>27750</v>
      </c>
      <c r="G4944" s="9">
        <v>45060</v>
      </c>
      <c r="H4944" t="s">
        <v>1111</v>
      </c>
      <c r="I4944" t="s">
        <v>4222</v>
      </c>
      <c r="J4944" s="13">
        <v>359640</v>
      </c>
      <c r="K4944">
        <v>1</v>
      </c>
      <c r="L4944" t="s">
        <v>1064</v>
      </c>
      <c r="M4944" t="s">
        <v>4223</v>
      </c>
      <c r="N4944" s="15" t="s">
        <v>6878</v>
      </c>
    </row>
    <row r="4945" spans="1:14" x14ac:dyDescent="0.2">
      <c r="A4945" t="s">
        <v>6074</v>
      </c>
      <c r="B4945" t="s">
        <v>2360</v>
      </c>
      <c r="C4945" s="9">
        <v>45060</v>
      </c>
      <c r="D4945" t="s">
        <v>981</v>
      </c>
      <c r="E4945" s="13">
        <v>2485000</v>
      </c>
      <c r="F4945" s="13">
        <v>27750</v>
      </c>
      <c r="G4945" s="9">
        <v>45060</v>
      </c>
      <c r="H4945" t="s">
        <v>1111</v>
      </c>
      <c r="I4945" t="s">
        <v>4222</v>
      </c>
      <c r="J4945" s="13">
        <v>110334</v>
      </c>
      <c r="K4945">
        <v>1</v>
      </c>
      <c r="L4945" t="s">
        <v>1064</v>
      </c>
      <c r="M4945" t="s">
        <v>4223</v>
      </c>
      <c r="N4945" s="15" t="s">
        <v>6878</v>
      </c>
    </row>
    <row r="4946" spans="1:14" x14ac:dyDescent="0.2">
      <c r="A4946" t="s">
        <v>6075</v>
      </c>
      <c r="B4946" t="s">
        <v>2360</v>
      </c>
      <c r="C4946" s="9">
        <v>45060</v>
      </c>
      <c r="D4946" t="s">
        <v>981</v>
      </c>
      <c r="E4946" s="13">
        <v>8100000</v>
      </c>
      <c r="F4946" s="13">
        <v>27750</v>
      </c>
      <c r="G4946" s="9">
        <v>45060</v>
      </c>
      <c r="H4946" t="s">
        <v>1111</v>
      </c>
      <c r="I4946" t="s">
        <v>4222</v>
      </c>
      <c r="J4946" s="13">
        <v>359640</v>
      </c>
      <c r="K4946">
        <v>1</v>
      </c>
      <c r="L4946" t="s">
        <v>1064</v>
      </c>
      <c r="M4946" t="s">
        <v>4223</v>
      </c>
      <c r="N4946" s="15" t="s">
        <v>6878</v>
      </c>
    </row>
    <row r="4947" spans="1:14" x14ac:dyDescent="0.2">
      <c r="A4947" t="s">
        <v>6076</v>
      </c>
      <c r="B4947" t="s">
        <v>2360</v>
      </c>
      <c r="C4947" s="9">
        <v>45060</v>
      </c>
      <c r="D4947" t="s">
        <v>981</v>
      </c>
      <c r="E4947" s="13">
        <v>1655000</v>
      </c>
      <c r="F4947" s="13">
        <v>27750</v>
      </c>
      <c r="G4947" s="9">
        <v>45060</v>
      </c>
      <c r="H4947" t="s">
        <v>1111</v>
      </c>
      <c r="I4947" t="s">
        <v>4222</v>
      </c>
      <c r="J4947" s="13">
        <v>73482</v>
      </c>
      <c r="K4947">
        <v>1</v>
      </c>
      <c r="L4947" t="s">
        <v>1064</v>
      </c>
      <c r="M4947" t="s">
        <v>4223</v>
      </c>
      <c r="N4947" s="15" t="s">
        <v>6878</v>
      </c>
    </row>
    <row r="4948" spans="1:14" x14ac:dyDescent="0.2">
      <c r="A4948" t="s">
        <v>6077</v>
      </c>
      <c r="B4948" t="s">
        <v>2360</v>
      </c>
      <c r="C4948" s="9">
        <v>45060</v>
      </c>
      <c r="D4948" t="s">
        <v>981</v>
      </c>
      <c r="E4948" s="13">
        <v>2485000</v>
      </c>
      <c r="F4948" s="13">
        <v>27750</v>
      </c>
      <c r="G4948" s="9">
        <v>45060</v>
      </c>
      <c r="H4948" t="s">
        <v>1111</v>
      </c>
      <c r="I4948" t="s">
        <v>4222</v>
      </c>
      <c r="J4948" s="13">
        <v>110334</v>
      </c>
      <c r="K4948">
        <v>1</v>
      </c>
      <c r="L4948" t="s">
        <v>1064</v>
      </c>
      <c r="M4948" t="s">
        <v>4223</v>
      </c>
      <c r="N4948" s="15" t="s">
        <v>6878</v>
      </c>
    </row>
    <row r="4949" spans="1:14" x14ac:dyDescent="0.2">
      <c r="A4949" t="s">
        <v>6078</v>
      </c>
      <c r="B4949" t="s">
        <v>2360</v>
      </c>
      <c r="C4949" s="9">
        <v>45060</v>
      </c>
      <c r="D4949" t="s">
        <v>981</v>
      </c>
      <c r="E4949" s="13">
        <v>1880000</v>
      </c>
      <c r="F4949" s="13">
        <v>27750</v>
      </c>
      <c r="G4949" s="9">
        <v>45060</v>
      </c>
      <c r="H4949" t="s">
        <v>1111</v>
      </c>
      <c r="I4949" t="s">
        <v>4222</v>
      </c>
      <c r="J4949" s="13">
        <v>83472</v>
      </c>
      <c r="K4949">
        <v>1</v>
      </c>
      <c r="L4949" t="s">
        <v>1064</v>
      </c>
      <c r="M4949" t="s">
        <v>4223</v>
      </c>
      <c r="N4949" s="15" t="s">
        <v>6878</v>
      </c>
    </row>
    <row r="4950" spans="1:14" x14ac:dyDescent="0.2">
      <c r="A4950" t="s">
        <v>6079</v>
      </c>
      <c r="B4950" t="s">
        <v>2360</v>
      </c>
      <c r="C4950" s="9">
        <v>45060</v>
      </c>
      <c r="D4950" t="s">
        <v>981</v>
      </c>
      <c r="E4950" s="13">
        <v>3250000</v>
      </c>
      <c r="F4950" s="13">
        <v>27750</v>
      </c>
      <c r="G4950" s="9">
        <v>45060</v>
      </c>
      <c r="H4950" t="s">
        <v>1111</v>
      </c>
      <c r="I4950" t="s">
        <v>4222</v>
      </c>
      <c r="J4950" s="13">
        <v>144300</v>
      </c>
      <c r="K4950">
        <v>1</v>
      </c>
      <c r="L4950" t="s">
        <v>1064</v>
      </c>
      <c r="M4950" t="s">
        <v>4223</v>
      </c>
      <c r="N4950" s="15" t="s">
        <v>6878</v>
      </c>
    </row>
    <row r="4951" spans="1:14" x14ac:dyDescent="0.2">
      <c r="A4951" t="s">
        <v>6080</v>
      </c>
      <c r="B4951" t="s">
        <v>2360</v>
      </c>
      <c r="C4951" s="9">
        <v>45060</v>
      </c>
      <c r="D4951" t="s">
        <v>981</v>
      </c>
      <c r="E4951" s="13">
        <v>2485000</v>
      </c>
      <c r="F4951" s="13">
        <v>27750</v>
      </c>
      <c r="G4951" s="9">
        <v>45060</v>
      </c>
      <c r="H4951" t="s">
        <v>1111</v>
      </c>
      <c r="I4951" t="s">
        <v>4222</v>
      </c>
      <c r="J4951" s="13">
        <v>110334</v>
      </c>
      <c r="K4951">
        <v>1</v>
      </c>
      <c r="L4951" t="s">
        <v>1064</v>
      </c>
      <c r="M4951" t="s">
        <v>4223</v>
      </c>
      <c r="N4951" s="15" t="s">
        <v>6878</v>
      </c>
    </row>
    <row r="4952" spans="1:14" x14ac:dyDescent="0.2">
      <c r="A4952" t="s">
        <v>6081</v>
      </c>
      <c r="B4952" t="s">
        <v>2360</v>
      </c>
      <c r="C4952" s="9">
        <v>45060</v>
      </c>
      <c r="D4952" t="s">
        <v>981</v>
      </c>
      <c r="E4952" s="13">
        <v>1000000</v>
      </c>
      <c r="F4952" s="13">
        <v>27750</v>
      </c>
      <c r="G4952" s="9">
        <v>45060</v>
      </c>
      <c r="H4952" t="s">
        <v>1111</v>
      </c>
      <c r="I4952" t="s">
        <v>4222</v>
      </c>
      <c r="J4952" s="13">
        <v>44400</v>
      </c>
      <c r="K4952">
        <v>1</v>
      </c>
      <c r="L4952" t="s">
        <v>1064</v>
      </c>
      <c r="M4952" t="s">
        <v>4223</v>
      </c>
      <c r="N4952" s="15" t="s">
        <v>6878</v>
      </c>
    </row>
    <row r="4953" spans="1:14" x14ac:dyDescent="0.2">
      <c r="A4953" t="s">
        <v>6082</v>
      </c>
      <c r="B4953" t="s">
        <v>2360</v>
      </c>
      <c r="C4953" s="9">
        <v>45060</v>
      </c>
      <c r="D4953" t="s">
        <v>981</v>
      </c>
      <c r="E4953" s="13">
        <v>1655000</v>
      </c>
      <c r="F4953" s="13">
        <v>27750</v>
      </c>
      <c r="G4953" s="9">
        <v>45060</v>
      </c>
      <c r="H4953" t="s">
        <v>1111</v>
      </c>
      <c r="I4953" t="s">
        <v>4222</v>
      </c>
      <c r="J4953" s="13">
        <v>73482</v>
      </c>
      <c r="K4953">
        <v>1</v>
      </c>
      <c r="L4953" t="s">
        <v>1064</v>
      </c>
      <c r="M4953" t="s">
        <v>4223</v>
      </c>
      <c r="N4953" s="15" t="s">
        <v>6878</v>
      </c>
    </row>
    <row r="4954" spans="1:14" x14ac:dyDescent="0.2">
      <c r="A4954" t="s">
        <v>6083</v>
      </c>
      <c r="B4954" t="s">
        <v>2360</v>
      </c>
      <c r="C4954" s="9">
        <v>45060</v>
      </c>
      <c r="D4954" t="s">
        <v>981</v>
      </c>
      <c r="E4954" s="13">
        <v>1880000</v>
      </c>
      <c r="F4954" s="13">
        <v>27750</v>
      </c>
      <c r="G4954" s="9">
        <v>45060</v>
      </c>
      <c r="H4954" t="s">
        <v>1111</v>
      </c>
      <c r="I4954" t="s">
        <v>4222</v>
      </c>
      <c r="J4954" s="13">
        <v>83472</v>
      </c>
      <c r="K4954">
        <v>1</v>
      </c>
      <c r="L4954" t="s">
        <v>1064</v>
      </c>
      <c r="M4954" t="s">
        <v>4223</v>
      </c>
      <c r="N4954" s="15" t="s">
        <v>6878</v>
      </c>
    </row>
    <row r="4955" spans="1:14" x14ac:dyDescent="0.2">
      <c r="A4955" t="s">
        <v>6084</v>
      </c>
      <c r="B4955" t="s">
        <v>2360</v>
      </c>
      <c r="C4955" s="9">
        <v>45060</v>
      </c>
      <c r="D4955" t="s">
        <v>981</v>
      </c>
      <c r="E4955" s="13">
        <v>1880000</v>
      </c>
      <c r="F4955" s="13">
        <v>27750</v>
      </c>
      <c r="G4955" s="9">
        <v>45060</v>
      </c>
      <c r="H4955" t="s">
        <v>1111</v>
      </c>
      <c r="I4955" t="s">
        <v>4222</v>
      </c>
      <c r="J4955" s="13">
        <v>83472</v>
      </c>
      <c r="K4955">
        <v>1</v>
      </c>
      <c r="L4955" t="s">
        <v>1064</v>
      </c>
      <c r="M4955" t="s">
        <v>4223</v>
      </c>
      <c r="N4955" s="15" t="s">
        <v>6878</v>
      </c>
    </row>
    <row r="4956" spans="1:14" x14ac:dyDescent="0.2">
      <c r="A4956" t="s">
        <v>6085</v>
      </c>
      <c r="B4956" t="s">
        <v>2360</v>
      </c>
      <c r="C4956" s="9">
        <v>45060</v>
      </c>
      <c r="D4956" t="s">
        <v>981</v>
      </c>
      <c r="E4956" s="13">
        <v>2485000</v>
      </c>
      <c r="F4956" s="13">
        <v>27750</v>
      </c>
      <c r="G4956" s="9">
        <v>45060</v>
      </c>
      <c r="H4956" t="s">
        <v>1111</v>
      </c>
      <c r="I4956" t="s">
        <v>4222</v>
      </c>
      <c r="J4956" s="13">
        <v>110334</v>
      </c>
      <c r="K4956">
        <v>1</v>
      </c>
      <c r="L4956" t="s">
        <v>1064</v>
      </c>
      <c r="M4956" t="s">
        <v>4223</v>
      </c>
      <c r="N4956" s="15" t="s">
        <v>6878</v>
      </c>
    </row>
    <row r="4957" spans="1:14" x14ac:dyDescent="0.2">
      <c r="A4957" t="s">
        <v>6086</v>
      </c>
      <c r="B4957" t="s">
        <v>2360</v>
      </c>
      <c r="C4957" s="9">
        <v>45060</v>
      </c>
      <c r="D4957" t="s">
        <v>981</v>
      </c>
      <c r="E4957" s="13">
        <v>2170000</v>
      </c>
      <c r="F4957" s="13">
        <v>27750</v>
      </c>
      <c r="G4957" s="9">
        <v>45060</v>
      </c>
      <c r="H4957" t="s">
        <v>1111</v>
      </c>
      <c r="I4957" t="s">
        <v>4222</v>
      </c>
      <c r="J4957" s="13">
        <v>96348</v>
      </c>
      <c r="K4957">
        <v>1</v>
      </c>
      <c r="L4957" t="s">
        <v>1064</v>
      </c>
      <c r="M4957" t="s">
        <v>4223</v>
      </c>
      <c r="N4957" s="15" t="s">
        <v>6878</v>
      </c>
    </row>
    <row r="4958" spans="1:14" x14ac:dyDescent="0.2">
      <c r="A4958" t="s">
        <v>6087</v>
      </c>
      <c r="B4958" t="s">
        <v>2360</v>
      </c>
      <c r="C4958" s="9">
        <v>45060</v>
      </c>
      <c r="D4958" t="s">
        <v>981</v>
      </c>
      <c r="E4958" s="13">
        <v>1815000</v>
      </c>
      <c r="F4958" s="13">
        <v>27750</v>
      </c>
      <c r="G4958" s="9">
        <v>45060</v>
      </c>
      <c r="H4958" t="s">
        <v>1111</v>
      </c>
      <c r="I4958" t="s">
        <v>4222</v>
      </c>
      <c r="J4958" s="13">
        <v>80586</v>
      </c>
      <c r="K4958">
        <v>1</v>
      </c>
      <c r="L4958" t="s">
        <v>1064</v>
      </c>
      <c r="M4958" t="s">
        <v>4223</v>
      </c>
      <c r="N4958" s="15" t="s">
        <v>6878</v>
      </c>
    </row>
    <row r="4959" spans="1:14" x14ac:dyDescent="0.2">
      <c r="A4959" t="s">
        <v>6088</v>
      </c>
      <c r="B4959" t="s">
        <v>2360</v>
      </c>
      <c r="C4959" s="9">
        <v>45060</v>
      </c>
      <c r="D4959" t="s">
        <v>981</v>
      </c>
      <c r="E4959" s="13">
        <v>2170000</v>
      </c>
      <c r="F4959" s="13">
        <v>27750</v>
      </c>
      <c r="G4959" s="9">
        <v>45060</v>
      </c>
      <c r="H4959" t="s">
        <v>1111</v>
      </c>
      <c r="I4959" t="s">
        <v>4222</v>
      </c>
      <c r="J4959" s="13">
        <v>96348</v>
      </c>
      <c r="K4959">
        <v>1</v>
      </c>
      <c r="L4959" t="s">
        <v>1064</v>
      </c>
      <c r="M4959" t="s">
        <v>4223</v>
      </c>
      <c r="N4959" s="15" t="s">
        <v>6878</v>
      </c>
    </row>
    <row r="4960" spans="1:14" x14ac:dyDescent="0.2">
      <c r="A4960" t="s">
        <v>6089</v>
      </c>
      <c r="B4960" t="s">
        <v>2360</v>
      </c>
      <c r="C4960" s="9">
        <v>45060</v>
      </c>
      <c r="D4960" t="s">
        <v>981</v>
      </c>
      <c r="E4960" s="13">
        <v>1655000</v>
      </c>
      <c r="F4960" s="13">
        <v>27750</v>
      </c>
      <c r="G4960" s="9">
        <v>45060</v>
      </c>
      <c r="H4960" t="s">
        <v>1111</v>
      </c>
      <c r="I4960" t="s">
        <v>4222</v>
      </c>
      <c r="J4960" s="13">
        <v>73482</v>
      </c>
      <c r="K4960">
        <v>1</v>
      </c>
      <c r="L4960" t="s">
        <v>1064</v>
      </c>
      <c r="M4960" t="s">
        <v>4223</v>
      </c>
      <c r="N4960" s="15" t="s">
        <v>6878</v>
      </c>
    </row>
    <row r="4961" spans="1:14" x14ac:dyDescent="0.2">
      <c r="A4961" t="s">
        <v>6090</v>
      </c>
      <c r="B4961" t="s">
        <v>2360</v>
      </c>
      <c r="C4961" s="9">
        <v>45060</v>
      </c>
      <c r="D4961" t="s">
        <v>981</v>
      </c>
      <c r="E4961" s="13">
        <v>1080000</v>
      </c>
      <c r="F4961" s="13">
        <v>27750</v>
      </c>
      <c r="G4961" s="9">
        <v>45060</v>
      </c>
      <c r="H4961" t="s">
        <v>1111</v>
      </c>
      <c r="I4961" t="s">
        <v>4222</v>
      </c>
      <c r="J4961" s="13">
        <v>47952</v>
      </c>
      <c r="K4961">
        <v>1</v>
      </c>
      <c r="L4961" t="s">
        <v>1064</v>
      </c>
      <c r="M4961" t="s">
        <v>4223</v>
      </c>
      <c r="N4961" s="15" t="s">
        <v>6878</v>
      </c>
    </row>
    <row r="4962" spans="1:14" x14ac:dyDescent="0.2">
      <c r="A4962" t="s">
        <v>6091</v>
      </c>
      <c r="B4962" t="s">
        <v>2360</v>
      </c>
      <c r="C4962" s="9">
        <v>45060</v>
      </c>
      <c r="D4962" t="s">
        <v>981</v>
      </c>
      <c r="E4962" s="13">
        <v>3250000</v>
      </c>
      <c r="F4962" s="13">
        <v>27750</v>
      </c>
      <c r="G4962" s="9">
        <v>45060</v>
      </c>
      <c r="H4962" t="s">
        <v>1111</v>
      </c>
      <c r="I4962" t="s">
        <v>4222</v>
      </c>
      <c r="J4962" s="13">
        <v>144300</v>
      </c>
      <c r="K4962">
        <v>1</v>
      </c>
      <c r="L4962" t="s">
        <v>1064</v>
      </c>
      <c r="M4962" t="s">
        <v>4223</v>
      </c>
      <c r="N4962" s="15" t="s">
        <v>6878</v>
      </c>
    </row>
    <row r="4963" spans="1:14" x14ac:dyDescent="0.2">
      <c r="A4963" t="s">
        <v>6092</v>
      </c>
      <c r="B4963" t="s">
        <v>2360</v>
      </c>
      <c r="C4963" s="9">
        <v>45060</v>
      </c>
      <c r="D4963" t="s">
        <v>981</v>
      </c>
      <c r="E4963" s="13">
        <v>3250000</v>
      </c>
      <c r="F4963" s="13">
        <v>27750</v>
      </c>
      <c r="G4963" s="9">
        <v>45060</v>
      </c>
      <c r="H4963" t="s">
        <v>1111</v>
      </c>
      <c r="I4963" t="s">
        <v>4222</v>
      </c>
      <c r="J4963" s="13">
        <v>144300</v>
      </c>
      <c r="K4963">
        <v>1</v>
      </c>
      <c r="L4963" t="s">
        <v>1064</v>
      </c>
      <c r="M4963" t="s">
        <v>4223</v>
      </c>
      <c r="N4963" s="15" t="s">
        <v>6878</v>
      </c>
    </row>
    <row r="4964" spans="1:14" x14ac:dyDescent="0.2">
      <c r="A4964" t="s">
        <v>6093</v>
      </c>
      <c r="B4964" t="s">
        <v>2360</v>
      </c>
      <c r="C4964" s="9">
        <v>45060</v>
      </c>
      <c r="D4964" t="s">
        <v>981</v>
      </c>
      <c r="E4964" s="13">
        <v>2385000</v>
      </c>
      <c r="F4964" s="13">
        <v>27750</v>
      </c>
      <c r="G4964" s="9">
        <v>45060</v>
      </c>
      <c r="H4964" t="s">
        <v>1111</v>
      </c>
      <c r="I4964" t="s">
        <v>4222</v>
      </c>
      <c r="J4964" s="13">
        <v>105894</v>
      </c>
      <c r="K4964">
        <v>1</v>
      </c>
      <c r="L4964" t="s">
        <v>1064</v>
      </c>
      <c r="M4964" t="s">
        <v>4223</v>
      </c>
      <c r="N4964" s="15" t="s">
        <v>6878</v>
      </c>
    </row>
    <row r="4965" spans="1:14" x14ac:dyDescent="0.2">
      <c r="A4965" t="s">
        <v>6094</v>
      </c>
      <c r="B4965" t="s">
        <v>2360</v>
      </c>
      <c r="C4965" s="9">
        <v>45060</v>
      </c>
      <c r="D4965" t="s">
        <v>981</v>
      </c>
      <c r="E4965" s="13">
        <v>1880000</v>
      </c>
      <c r="F4965" s="13">
        <v>27750</v>
      </c>
      <c r="G4965" s="9">
        <v>45060</v>
      </c>
      <c r="H4965" t="s">
        <v>1111</v>
      </c>
      <c r="I4965" t="s">
        <v>4222</v>
      </c>
      <c r="J4965" s="13">
        <v>83472</v>
      </c>
      <c r="K4965">
        <v>1</v>
      </c>
      <c r="L4965" t="s">
        <v>1064</v>
      </c>
      <c r="M4965" t="s">
        <v>4223</v>
      </c>
      <c r="N4965" s="15" t="s">
        <v>6878</v>
      </c>
    </row>
    <row r="4966" spans="1:14" x14ac:dyDescent="0.2">
      <c r="A4966" t="s">
        <v>6095</v>
      </c>
      <c r="B4966" t="s">
        <v>2360</v>
      </c>
      <c r="C4966" s="9">
        <v>45060</v>
      </c>
      <c r="D4966" t="s">
        <v>9</v>
      </c>
      <c r="E4966" s="13">
        <v>274890</v>
      </c>
      <c r="F4966" s="13">
        <v>24975</v>
      </c>
      <c r="G4966" s="9">
        <v>45071</v>
      </c>
      <c r="H4966" t="s">
        <v>1111</v>
      </c>
      <c r="I4966" t="s">
        <v>436</v>
      </c>
      <c r="J4966" s="13">
        <v>9153</v>
      </c>
      <c r="K4966">
        <v>1</v>
      </c>
      <c r="L4966" t="s">
        <v>1064</v>
      </c>
      <c r="M4966" t="s">
        <v>2364</v>
      </c>
      <c r="N4966" s="15" t="s">
        <v>6878</v>
      </c>
    </row>
    <row r="4967" spans="1:14" x14ac:dyDescent="0.2">
      <c r="A4967" t="s">
        <v>6096</v>
      </c>
      <c r="B4967" t="s">
        <v>2360</v>
      </c>
      <c r="C4967" s="9">
        <v>45060</v>
      </c>
      <c r="D4967" t="s">
        <v>9</v>
      </c>
      <c r="E4967" s="13">
        <v>352800</v>
      </c>
      <c r="F4967" s="13">
        <v>49950</v>
      </c>
      <c r="G4967" s="9">
        <v>45071</v>
      </c>
      <c r="H4967" t="s">
        <v>1111</v>
      </c>
      <c r="I4967" t="s">
        <v>436</v>
      </c>
      <c r="J4967" s="13">
        <v>11748</v>
      </c>
      <c r="K4967">
        <v>2</v>
      </c>
      <c r="L4967" t="s">
        <v>1064</v>
      </c>
      <c r="M4967" t="s">
        <v>2364</v>
      </c>
      <c r="N4967" s="15" t="s">
        <v>6878</v>
      </c>
    </row>
    <row r="4968" spans="1:14" x14ac:dyDescent="0.2">
      <c r="A4968" t="s">
        <v>6097</v>
      </c>
      <c r="B4968" t="s">
        <v>2360</v>
      </c>
      <c r="C4968" s="9">
        <v>45060</v>
      </c>
      <c r="D4968" t="s">
        <v>9</v>
      </c>
      <c r="E4968" s="13">
        <v>0</v>
      </c>
      <c r="F4968" s="13">
        <v>22500</v>
      </c>
      <c r="H4968" t="s">
        <v>2184</v>
      </c>
      <c r="I4968" t="s">
        <v>4659</v>
      </c>
      <c r="J4968" s="13">
        <v>0</v>
      </c>
      <c r="K4968">
        <v>2</v>
      </c>
      <c r="L4968" t="s">
        <v>1064</v>
      </c>
      <c r="M4968" t="s">
        <v>4660</v>
      </c>
      <c r="N4968" s="14" t="s">
        <v>6877</v>
      </c>
    </row>
    <row r="4969" spans="1:14" x14ac:dyDescent="0.2">
      <c r="A4969" t="s">
        <v>6098</v>
      </c>
      <c r="B4969" t="s">
        <v>2360</v>
      </c>
      <c r="C4969" s="9">
        <v>45060</v>
      </c>
      <c r="D4969" t="s">
        <v>9</v>
      </c>
      <c r="E4969" s="13">
        <v>528710</v>
      </c>
      <c r="F4969" s="13">
        <v>24975</v>
      </c>
      <c r="G4969" s="9">
        <v>45071</v>
      </c>
      <c r="H4969" t="s">
        <v>1111</v>
      </c>
      <c r="I4969" t="s">
        <v>436</v>
      </c>
      <c r="J4969" s="13">
        <v>17605</v>
      </c>
      <c r="K4969">
        <v>1</v>
      </c>
      <c r="L4969" t="s">
        <v>1064</v>
      </c>
      <c r="M4969" t="s">
        <v>2364</v>
      </c>
      <c r="N4969" s="15" t="s">
        <v>6878</v>
      </c>
    </row>
    <row r="4970" spans="1:14" x14ac:dyDescent="0.2">
      <c r="A4970" t="s">
        <v>6099</v>
      </c>
      <c r="B4970" t="s">
        <v>2360</v>
      </c>
      <c r="C4970" s="9">
        <v>45060</v>
      </c>
      <c r="D4970" t="s">
        <v>9</v>
      </c>
      <c r="E4970" s="13">
        <v>458150</v>
      </c>
      <c r="F4970" s="13">
        <v>24975</v>
      </c>
      <c r="G4970" s="9">
        <v>45071</v>
      </c>
      <c r="H4970" t="s">
        <v>1111</v>
      </c>
      <c r="I4970" t="s">
        <v>436</v>
      </c>
      <c r="J4970" s="13">
        <v>15255</v>
      </c>
      <c r="K4970">
        <v>1</v>
      </c>
      <c r="L4970" t="s">
        <v>1064</v>
      </c>
      <c r="M4970" t="s">
        <v>2364</v>
      </c>
      <c r="N4970" s="15" t="s">
        <v>6878</v>
      </c>
    </row>
    <row r="4971" spans="1:14" x14ac:dyDescent="0.2">
      <c r="A4971" t="s">
        <v>6100</v>
      </c>
      <c r="B4971" t="s">
        <v>2360</v>
      </c>
      <c r="C4971" s="9">
        <v>45060</v>
      </c>
      <c r="D4971" t="s">
        <v>9</v>
      </c>
      <c r="E4971" s="13">
        <v>190000</v>
      </c>
      <c r="F4971" s="13">
        <v>22500</v>
      </c>
      <c r="H4971" t="s">
        <v>2184</v>
      </c>
      <c r="I4971" t="s">
        <v>4659</v>
      </c>
      <c r="J4971" s="13">
        <v>0</v>
      </c>
      <c r="K4971">
        <v>1</v>
      </c>
      <c r="L4971" t="s">
        <v>1064</v>
      </c>
      <c r="M4971" t="s">
        <v>4660</v>
      </c>
      <c r="N4971" s="14" t="s">
        <v>6877</v>
      </c>
    </row>
    <row r="4972" spans="1:14" x14ac:dyDescent="0.2">
      <c r="A4972" t="s">
        <v>6101</v>
      </c>
      <c r="B4972" t="s">
        <v>2360</v>
      </c>
      <c r="C4972" s="9">
        <v>45061</v>
      </c>
      <c r="D4972" t="s">
        <v>9</v>
      </c>
      <c r="E4972" s="13">
        <v>340060</v>
      </c>
      <c r="F4972" s="13">
        <v>24975</v>
      </c>
      <c r="G4972" s="9">
        <v>45071</v>
      </c>
      <c r="H4972" t="s">
        <v>1111</v>
      </c>
      <c r="I4972" t="s">
        <v>436</v>
      </c>
      <c r="J4972" s="13">
        <v>11323</v>
      </c>
      <c r="K4972">
        <v>1</v>
      </c>
      <c r="L4972" t="s">
        <v>1064</v>
      </c>
      <c r="M4972" t="s">
        <v>2364</v>
      </c>
      <c r="N4972" s="15" t="s">
        <v>6878</v>
      </c>
    </row>
    <row r="4973" spans="1:14" x14ac:dyDescent="0.2">
      <c r="A4973" t="s">
        <v>6102</v>
      </c>
      <c r="B4973" t="s">
        <v>2360</v>
      </c>
      <c r="C4973" s="9">
        <v>45061</v>
      </c>
      <c r="D4973" t="s">
        <v>946</v>
      </c>
      <c r="E4973" s="13">
        <v>5287125</v>
      </c>
      <c r="F4973" s="13">
        <v>5550</v>
      </c>
      <c r="G4973" s="9">
        <v>45072</v>
      </c>
      <c r="H4973" t="s">
        <v>1111</v>
      </c>
      <c r="I4973" t="s">
        <v>2382</v>
      </c>
      <c r="J4973" s="13">
        <v>264091</v>
      </c>
      <c r="K4973">
        <v>1</v>
      </c>
      <c r="L4973" t="s">
        <v>1064</v>
      </c>
      <c r="M4973" t="s">
        <v>2383</v>
      </c>
      <c r="N4973" s="15" t="s">
        <v>6878</v>
      </c>
    </row>
    <row r="4974" spans="1:14" x14ac:dyDescent="0.2">
      <c r="A4974" t="s">
        <v>6103</v>
      </c>
      <c r="B4974" t="s">
        <v>2360</v>
      </c>
      <c r="C4974" s="9">
        <v>45061</v>
      </c>
      <c r="D4974" t="s">
        <v>946</v>
      </c>
      <c r="E4974" s="13">
        <v>5293450</v>
      </c>
      <c r="F4974" s="13">
        <v>5550</v>
      </c>
      <c r="G4974" s="9">
        <v>45072</v>
      </c>
      <c r="H4974" t="s">
        <v>1111</v>
      </c>
      <c r="I4974" t="s">
        <v>2382</v>
      </c>
      <c r="J4974" s="13">
        <v>264407</v>
      </c>
      <c r="K4974">
        <v>1</v>
      </c>
      <c r="L4974" t="s">
        <v>1064</v>
      </c>
      <c r="M4974" t="s">
        <v>2383</v>
      </c>
      <c r="N4974" s="15" t="s">
        <v>6878</v>
      </c>
    </row>
    <row r="4975" spans="1:14" x14ac:dyDescent="0.2">
      <c r="A4975" t="s">
        <v>6104</v>
      </c>
      <c r="B4975" t="s">
        <v>2360</v>
      </c>
      <c r="C4975" s="9">
        <v>45061</v>
      </c>
      <c r="D4975" t="s">
        <v>946</v>
      </c>
      <c r="E4975" s="13">
        <v>4762725</v>
      </c>
      <c r="F4975" s="13">
        <v>5550</v>
      </c>
      <c r="G4975" s="9">
        <v>45072</v>
      </c>
      <c r="H4975" t="s">
        <v>1111</v>
      </c>
      <c r="I4975" t="s">
        <v>2382</v>
      </c>
      <c r="J4975" s="13">
        <v>237897</v>
      </c>
      <c r="K4975">
        <v>1</v>
      </c>
      <c r="L4975" t="s">
        <v>1064</v>
      </c>
      <c r="M4975" t="s">
        <v>2383</v>
      </c>
      <c r="N4975" s="15" t="s">
        <v>6878</v>
      </c>
    </row>
    <row r="4976" spans="1:14" x14ac:dyDescent="0.2">
      <c r="A4976" t="s">
        <v>6105</v>
      </c>
      <c r="B4976" t="s">
        <v>2360</v>
      </c>
      <c r="C4976" s="9">
        <v>45061</v>
      </c>
      <c r="D4976" t="s">
        <v>946</v>
      </c>
      <c r="E4976" s="13">
        <v>13541825</v>
      </c>
      <c r="F4976" s="13">
        <v>5550</v>
      </c>
      <c r="G4976" s="9">
        <v>45072</v>
      </c>
      <c r="H4976" t="s">
        <v>1111</v>
      </c>
      <c r="I4976" t="s">
        <v>2382</v>
      </c>
      <c r="J4976" s="13">
        <v>676414</v>
      </c>
      <c r="K4976">
        <v>1</v>
      </c>
      <c r="L4976" t="s">
        <v>1064</v>
      </c>
      <c r="M4976" t="s">
        <v>2383</v>
      </c>
      <c r="N4976" s="15" t="s">
        <v>6878</v>
      </c>
    </row>
    <row r="4977" spans="1:14" x14ac:dyDescent="0.2">
      <c r="A4977" t="s">
        <v>6106</v>
      </c>
      <c r="B4977" t="s">
        <v>2360</v>
      </c>
      <c r="C4977" s="9">
        <v>45061</v>
      </c>
      <c r="D4977" t="s">
        <v>946</v>
      </c>
      <c r="E4977" s="13">
        <v>11457570</v>
      </c>
      <c r="F4977" s="13">
        <v>5550</v>
      </c>
      <c r="G4977" s="9">
        <v>45072</v>
      </c>
      <c r="H4977" t="s">
        <v>1111</v>
      </c>
      <c r="I4977" t="s">
        <v>2382</v>
      </c>
      <c r="J4977" s="13">
        <v>572304</v>
      </c>
      <c r="K4977">
        <v>1</v>
      </c>
      <c r="L4977" t="s">
        <v>1064</v>
      </c>
      <c r="M4977" t="s">
        <v>2383</v>
      </c>
      <c r="N4977" s="15" t="s">
        <v>6878</v>
      </c>
    </row>
    <row r="4978" spans="1:14" x14ac:dyDescent="0.2">
      <c r="A4978" t="s">
        <v>6107</v>
      </c>
      <c r="B4978" t="s">
        <v>2360</v>
      </c>
      <c r="C4978" s="9">
        <v>45061</v>
      </c>
      <c r="D4978" t="s">
        <v>946</v>
      </c>
      <c r="E4978" s="13">
        <v>15116250</v>
      </c>
      <c r="F4978" s="13">
        <v>5550</v>
      </c>
      <c r="G4978" s="9">
        <v>45072</v>
      </c>
      <c r="H4978" t="s">
        <v>1111</v>
      </c>
      <c r="I4978" t="s">
        <v>2382</v>
      </c>
      <c r="J4978" s="13">
        <v>755056</v>
      </c>
      <c r="K4978">
        <v>1</v>
      </c>
      <c r="L4978" t="s">
        <v>1064</v>
      </c>
      <c r="M4978" t="s">
        <v>2383</v>
      </c>
      <c r="N4978" s="15" t="s">
        <v>6878</v>
      </c>
    </row>
    <row r="4979" spans="1:14" x14ac:dyDescent="0.2">
      <c r="A4979" t="s">
        <v>6108</v>
      </c>
      <c r="B4979" t="s">
        <v>2360</v>
      </c>
      <c r="C4979" s="9">
        <v>45061</v>
      </c>
      <c r="D4979" t="s">
        <v>946</v>
      </c>
      <c r="E4979" s="13">
        <v>5293450</v>
      </c>
      <c r="F4979" s="13">
        <v>5550</v>
      </c>
      <c r="G4979" s="9">
        <v>45072</v>
      </c>
      <c r="H4979" t="s">
        <v>1111</v>
      </c>
      <c r="I4979" t="s">
        <v>2382</v>
      </c>
      <c r="J4979" s="13">
        <v>264407</v>
      </c>
      <c r="K4979">
        <v>1</v>
      </c>
      <c r="L4979" t="s">
        <v>1064</v>
      </c>
      <c r="M4979" t="s">
        <v>2383</v>
      </c>
      <c r="N4979" s="15" t="s">
        <v>6878</v>
      </c>
    </row>
    <row r="4980" spans="1:14" x14ac:dyDescent="0.2">
      <c r="A4980" t="s">
        <v>6109</v>
      </c>
      <c r="B4980" t="s">
        <v>2360</v>
      </c>
      <c r="C4980" s="9">
        <v>45061</v>
      </c>
      <c r="D4980" t="s">
        <v>946</v>
      </c>
      <c r="E4980" s="13">
        <v>5293450</v>
      </c>
      <c r="F4980" s="13">
        <v>5550</v>
      </c>
      <c r="G4980" s="9">
        <v>45072</v>
      </c>
      <c r="H4980" t="s">
        <v>1111</v>
      </c>
      <c r="I4980" t="s">
        <v>2382</v>
      </c>
      <c r="J4980" s="13">
        <v>264407</v>
      </c>
      <c r="K4980">
        <v>1</v>
      </c>
      <c r="L4980" t="s">
        <v>1064</v>
      </c>
      <c r="M4980" t="s">
        <v>2383</v>
      </c>
      <c r="N4980" s="15" t="s">
        <v>6878</v>
      </c>
    </row>
    <row r="4981" spans="1:14" x14ac:dyDescent="0.2">
      <c r="A4981" t="s">
        <v>6110</v>
      </c>
      <c r="B4981" t="s">
        <v>2360</v>
      </c>
      <c r="C4981" s="9">
        <v>45061</v>
      </c>
      <c r="D4981" t="s">
        <v>946</v>
      </c>
      <c r="E4981" s="13">
        <v>5293450</v>
      </c>
      <c r="F4981" s="13">
        <v>5550</v>
      </c>
      <c r="G4981" s="9">
        <v>45072</v>
      </c>
      <c r="H4981" t="s">
        <v>1111</v>
      </c>
      <c r="I4981" t="s">
        <v>2382</v>
      </c>
      <c r="J4981" s="13">
        <v>264407</v>
      </c>
      <c r="K4981">
        <v>1</v>
      </c>
      <c r="L4981" t="s">
        <v>1064</v>
      </c>
      <c r="M4981" t="s">
        <v>2383</v>
      </c>
      <c r="N4981" s="15" t="s">
        <v>6878</v>
      </c>
    </row>
    <row r="4982" spans="1:14" x14ac:dyDescent="0.2">
      <c r="A4982" t="s">
        <v>6111</v>
      </c>
      <c r="B4982" t="s">
        <v>2360</v>
      </c>
      <c r="C4982" s="9">
        <v>45061</v>
      </c>
      <c r="D4982" t="s">
        <v>946</v>
      </c>
      <c r="E4982" s="13">
        <v>13541825</v>
      </c>
      <c r="F4982" s="13">
        <v>5550</v>
      </c>
      <c r="G4982" s="9">
        <v>45072</v>
      </c>
      <c r="H4982" t="s">
        <v>1111</v>
      </c>
      <c r="I4982" t="s">
        <v>2382</v>
      </c>
      <c r="J4982" s="13">
        <v>676414</v>
      </c>
      <c r="K4982">
        <v>1</v>
      </c>
      <c r="L4982" t="s">
        <v>1064</v>
      </c>
      <c r="M4982" t="s">
        <v>2383</v>
      </c>
      <c r="N4982" s="15" t="s">
        <v>6878</v>
      </c>
    </row>
    <row r="4983" spans="1:14" x14ac:dyDescent="0.2">
      <c r="A4983" t="s">
        <v>6112</v>
      </c>
      <c r="B4983" t="s">
        <v>2360</v>
      </c>
      <c r="C4983" s="9">
        <v>45061</v>
      </c>
      <c r="D4983" t="s">
        <v>946</v>
      </c>
      <c r="E4983" s="13">
        <v>5293450</v>
      </c>
      <c r="F4983" s="13">
        <v>5550</v>
      </c>
      <c r="G4983" s="9">
        <v>45072</v>
      </c>
      <c r="H4983" t="s">
        <v>1111</v>
      </c>
      <c r="I4983" t="s">
        <v>2382</v>
      </c>
      <c r="J4983" s="13">
        <v>264407</v>
      </c>
      <c r="K4983">
        <v>1</v>
      </c>
      <c r="L4983" t="s">
        <v>1064</v>
      </c>
      <c r="M4983" t="s">
        <v>2383</v>
      </c>
      <c r="N4983" s="15" t="s">
        <v>6878</v>
      </c>
    </row>
    <row r="4984" spans="1:14" x14ac:dyDescent="0.2">
      <c r="A4984" t="s">
        <v>6113</v>
      </c>
      <c r="B4984" t="s">
        <v>2360</v>
      </c>
      <c r="C4984" s="9">
        <v>45061</v>
      </c>
      <c r="D4984" t="s">
        <v>946</v>
      </c>
      <c r="E4984" s="13">
        <v>4916250</v>
      </c>
      <c r="F4984" s="13">
        <v>5550</v>
      </c>
      <c r="G4984" s="9">
        <v>45072</v>
      </c>
      <c r="H4984" t="s">
        <v>1111</v>
      </c>
      <c r="I4984" t="s">
        <v>2382</v>
      </c>
      <c r="J4984" s="13">
        <v>245566</v>
      </c>
      <c r="K4984">
        <v>1</v>
      </c>
      <c r="L4984" t="s">
        <v>1064</v>
      </c>
      <c r="M4984" t="s">
        <v>2383</v>
      </c>
      <c r="N4984" s="15" t="s">
        <v>6878</v>
      </c>
    </row>
    <row r="4985" spans="1:14" x14ac:dyDescent="0.2">
      <c r="A4985" t="s">
        <v>6114</v>
      </c>
      <c r="B4985" t="s">
        <v>2360</v>
      </c>
      <c r="C4985" s="9">
        <v>45061</v>
      </c>
      <c r="D4985" t="s">
        <v>946</v>
      </c>
      <c r="E4985" s="13">
        <v>5337150</v>
      </c>
      <c r="F4985" s="13">
        <v>5550</v>
      </c>
      <c r="G4985" s="9">
        <v>45072</v>
      </c>
      <c r="H4985" t="s">
        <v>1111</v>
      </c>
      <c r="I4985" t="s">
        <v>2382</v>
      </c>
      <c r="J4985" s="13">
        <v>266589</v>
      </c>
      <c r="K4985">
        <v>1</v>
      </c>
      <c r="L4985" t="s">
        <v>1064</v>
      </c>
      <c r="M4985" t="s">
        <v>2383</v>
      </c>
      <c r="N4985" s="15" t="s">
        <v>6878</v>
      </c>
    </row>
    <row r="4986" spans="1:14" x14ac:dyDescent="0.2">
      <c r="A4986" t="s">
        <v>6115</v>
      </c>
      <c r="B4986" t="s">
        <v>2360</v>
      </c>
      <c r="C4986" s="9">
        <v>45061</v>
      </c>
      <c r="D4986" t="s">
        <v>946</v>
      </c>
      <c r="E4986" s="13">
        <v>4341825</v>
      </c>
      <c r="F4986" s="13">
        <v>5550</v>
      </c>
      <c r="G4986" s="9">
        <v>45072</v>
      </c>
      <c r="H4986" t="s">
        <v>1111</v>
      </c>
      <c r="I4986" t="s">
        <v>2382</v>
      </c>
      <c r="J4986" s="13">
        <v>216874</v>
      </c>
      <c r="K4986">
        <v>1</v>
      </c>
      <c r="L4986" t="s">
        <v>1064</v>
      </c>
      <c r="M4986" t="s">
        <v>2383</v>
      </c>
      <c r="N4986" s="15" t="s">
        <v>6878</v>
      </c>
    </row>
    <row r="4987" spans="1:14" x14ac:dyDescent="0.2">
      <c r="A4987" t="s">
        <v>6116</v>
      </c>
      <c r="B4987" t="s">
        <v>2360</v>
      </c>
      <c r="C4987" s="9">
        <v>45061</v>
      </c>
      <c r="D4987" t="s">
        <v>946</v>
      </c>
      <c r="E4987" s="13">
        <v>4968000</v>
      </c>
      <c r="F4987" s="13">
        <v>5550</v>
      </c>
      <c r="G4987" s="9">
        <v>45072</v>
      </c>
      <c r="H4987" t="s">
        <v>1111</v>
      </c>
      <c r="I4987" t="s">
        <v>2382</v>
      </c>
      <c r="J4987" s="13">
        <v>248151</v>
      </c>
      <c r="K4987">
        <v>1</v>
      </c>
      <c r="L4987" t="s">
        <v>1064</v>
      </c>
      <c r="M4987" t="s">
        <v>2383</v>
      </c>
      <c r="N4987" s="15" t="s">
        <v>6878</v>
      </c>
    </row>
    <row r="4988" spans="1:14" x14ac:dyDescent="0.2">
      <c r="A4988" t="s">
        <v>6117</v>
      </c>
      <c r="B4988" t="s">
        <v>2360</v>
      </c>
      <c r="C4988" s="9">
        <v>45061</v>
      </c>
      <c r="D4988" t="s">
        <v>946</v>
      </c>
      <c r="E4988" s="13">
        <v>5261250</v>
      </c>
      <c r="F4988" s="13">
        <v>5550</v>
      </c>
      <c r="G4988" s="9">
        <v>45072</v>
      </c>
      <c r="H4988" t="s">
        <v>1111</v>
      </c>
      <c r="I4988" t="s">
        <v>2382</v>
      </c>
      <c r="J4988" s="13">
        <v>262799</v>
      </c>
      <c r="K4988">
        <v>1</v>
      </c>
      <c r="L4988" t="s">
        <v>1064</v>
      </c>
      <c r="M4988" t="s">
        <v>2383</v>
      </c>
      <c r="N4988" s="15" t="s">
        <v>6878</v>
      </c>
    </row>
    <row r="4989" spans="1:14" x14ac:dyDescent="0.2">
      <c r="A4989" t="s">
        <v>6118</v>
      </c>
      <c r="B4989" t="s">
        <v>2360</v>
      </c>
      <c r="C4989" s="9">
        <v>45061</v>
      </c>
      <c r="D4989" t="s">
        <v>946</v>
      </c>
      <c r="E4989" s="13">
        <v>15003722</v>
      </c>
      <c r="F4989" s="13">
        <v>5550</v>
      </c>
      <c r="G4989" s="9">
        <v>45072</v>
      </c>
      <c r="H4989" t="s">
        <v>1111</v>
      </c>
      <c r="I4989" t="s">
        <v>2382</v>
      </c>
      <c r="J4989" s="13">
        <v>749435</v>
      </c>
      <c r="K4989">
        <v>1</v>
      </c>
      <c r="L4989" t="s">
        <v>1064</v>
      </c>
      <c r="M4989" t="s">
        <v>2383</v>
      </c>
      <c r="N4989" s="15" t="s">
        <v>6878</v>
      </c>
    </row>
    <row r="4990" spans="1:14" x14ac:dyDescent="0.2">
      <c r="A4990" t="s">
        <v>6119</v>
      </c>
      <c r="B4990" t="s">
        <v>2360</v>
      </c>
      <c r="C4990" s="9">
        <v>45061</v>
      </c>
      <c r="D4990" t="s">
        <v>946</v>
      </c>
      <c r="E4990" s="13">
        <v>7160400</v>
      </c>
      <c r="F4990" s="13">
        <v>5550</v>
      </c>
      <c r="G4990" s="9">
        <v>45072</v>
      </c>
      <c r="H4990" t="s">
        <v>1111</v>
      </c>
      <c r="I4990" t="s">
        <v>2382</v>
      </c>
      <c r="J4990" s="13">
        <v>357661</v>
      </c>
      <c r="K4990">
        <v>1</v>
      </c>
      <c r="L4990" t="s">
        <v>1064</v>
      </c>
      <c r="M4990" t="s">
        <v>2383</v>
      </c>
      <c r="N4990" s="15" t="s">
        <v>6878</v>
      </c>
    </row>
    <row r="4991" spans="1:14" x14ac:dyDescent="0.2">
      <c r="A4991" t="s">
        <v>6120</v>
      </c>
      <c r="B4991" t="s">
        <v>2360</v>
      </c>
      <c r="C4991" s="9">
        <v>45061</v>
      </c>
      <c r="D4991" t="s">
        <v>946</v>
      </c>
      <c r="E4991" s="13">
        <v>10244880</v>
      </c>
      <c r="F4991" s="13">
        <v>5550</v>
      </c>
      <c r="G4991" s="9">
        <v>45072</v>
      </c>
      <c r="H4991" t="s">
        <v>1111</v>
      </c>
      <c r="I4991" t="s">
        <v>2382</v>
      </c>
      <c r="J4991" s="13">
        <v>511731</v>
      </c>
      <c r="K4991">
        <v>1</v>
      </c>
      <c r="L4991" t="s">
        <v>1064</v>
      </c>
      <c r="M4991" t="s">
        <v>2383</v>
      </c>
      <c r="N4991" s="15" t="s">
        <v>6878</v>
      </c>
    </row>
    <row r="4992" spans="1:14" x14ac:dyDescent="0.2">
      <c r="A4992" t="s">
        <v>6121</v>
      </c>
      <c r="B4992" t="s">
        <v>2360</v>
      </c>
      <c r="C4992" s="9">
        <v>45061</v>
      </c>
      <c r="D4992" t="s">
        <v>946</v>
      </c>
      <c r="E4992" s="13">
        <v>1982880</v>
      </c>
      <c r="F4992" s="13">
        <v>5550</v>
      </c>
      <c r="G4992" s="9">
        <v>45072</v>
      </c>
      <c r="H4992" t="s">
        <v>1111</v>
      </c>
      <c r="I4992" t="s">
        <v>2382</v>
      </c>
      <c r="J4992" s="13">
        <v>99044</v>
      </c>
      <c r="K4992">
        <v>1</v>
      </c>
      <c r="L4992" t="s">
        <v>1064</v>
      </c>
      <c r="M4992" t="s">
        <v>2383</v>
      </c>
      <c r="N4992" s="15" t="s">
        <v>6878</v>
      </c>
    </row>
    <row r="4993" spans="1:14" x14ac:dyDescent="0.2">
      <c r="A4993" t="s">
        <v>6122</v>
      </c>
      <c r="B4993" t="s">
        <v>2360</v>
      </c>
      <c r="C4993" s="9">
        <v>45061</v>
      </c>
      <c r="D4993" t="s">
        <v>946</v>
      </c>
      <c r="E4993" s="13">
        <v>895050</v>
      </c>
      <c r="F4993" s="13">
        <v>5550</v>
      </c>
      <c r="G4993" s="9">
        <v>45072</v>
      </c>
      <c r="H4993" t="s">
        <v>1111</v>
      </c>
      <c r="I4993" t="s">
        <v>2382</v>
      </c>
      <c r="J4993" s="13">
        <v>44707</v>
      </c>
      <c r="K4993">
        <v>1</v>
      </c>
      <c r="L4993" t="s">
        <v>1064</v>
      </c>
      <c r="M4993" t="s">
        <v>2383</v>
      </c>
      <c r="N4993" s="15" t="s">
        <v>6878</v>
      </c>
    </row>
    <row r="4994" spans="1:14" x14ac:dyDescent="0.2">
      <c r="A4994" t="s">
        <v>6123</v>
      </c>
      <c r="B4994" t="s">
        <v>2360</v>
      </c>
      <c r="C4994" s="9">
        <v>45061</v>
      </c>
      <c r="D4994" t="s">
        <v>946</v>
      </c>
      <c r="E4994" s="13">
        <v>2983500</v>
      </c>
      <c r="F4994" s="13">
        <v>5550</v>
      </c>
      <c r="G4994" s="9">
        <v>45072</v>
      </c>
      <c r="H4994" t="s">
        <v>1111</v>
      </c>
      <c r="I4994" t="s">
        <v>2382</v>
      </c>
      <c r="J4994" s="13">
        <v>149025</v>
      </c>
      <c r="K4994">
        <v>1</v>
      </c>
      <c r="L4994" t="s">
        <v>1064</v>
      </c>
      <c r="M4994" t="s">
        <v>2383</v>
      </c>
      <c r="N4994" s="15" t="s">
        <v>6878</v>
      </c>
    </row>
    <row r="4995" spans="1:14" x14ac:dyDescent="0.2">
      <c r="A4995" t="s">
        <v>6124</v>
      </c>
      <c r="B4995" t="s">
        <v>2360</v>
      </c>
      <c r="C4995" s="9">
        <v>45061</v>
      </c>
      <c r="D4995" t="s">
        <v>946</v>
      </c>
      <c r="E4995" s="13">
        <v>5511950</v>
      </c>
      <c r="F4995" s="13">
        <v>5550</v>
      </c>
      <c r="G4995" s="9">
        <v>45072</v>
      </c>
      <c r="H4995" t="s">
        <v>1111</v>
      </c>
      <c r="I4995" t="s">
        <v>2382</v>
      </c>
      <c r="J4995" s="13">
        <v>275321</v>
      </c>
      <c r="K4995">
        <v>1</v>
      </c>
      <c r="L4995" t="s">
        <v>1064</v>
      </c>
      <c r="M4995" t="s">
        <v>2383</v>
      </c>
      <c r="N4995" s="15" t="s">
        <v>6878</v>
      </c>
    </row>
    <row r="4996" spans="1:14" x14ac:dyDescent="0.2">
      <c r="A4996" t="s">
        <v>6125</v>
      </c>
      <c r="B4996" t="s">
        <v>2360</v>
      </c>
      <c r="C4996" s="9">
        <v>45061</v>
      </c>
      <c r="D4996" t="s">
        <v>946</v>
      </c>
      <c r="E4996" s="13">
        <v>5511950</v>
      </c>
      <c r="F4996" s="13">
        <v>5550</v>
      </c>
      <c r="G4996" s="9">
        <v>45072</v>
      </c>
      <c r="H4996" t="s">
        <v>1111</v>
      </c>
      <c r="I4996" t="s">
        <v>2382</v>
      </c>
      <c r="J4996" s="13">
        <v>275321</v>
      </c>
      <c r="K4996">
        <v>1</v>
      </c>
      <c r="L4996" t="s">
        <v>1064</v>
      </c>
      <c r="M4996" t="s">
        <v>2383</v>
      </c>
      <c r="N4996" s="15" t="s">
        <v>6878</v>
      </c>
    </row>
    <row r="4997" spans="1:14" x14ac:dyDescent="0.2">
      <c r="A4997" t="s">
        <v>6126</v>
      </c>
      <c r="B4997" t="s">
        <v>2360</v>
      </c>
      <c r="C4997" s="9">
        <v>45061</v>
      </c>
      <c r="D4997" t="s">
        <v>946</v>
      </c>
      <c r="E4997" s="13">
        <v>13541825</v>
      </c>
      <c r="F4997" s="13">
        <v>5550</v>
      </c>
      <c r="G4997" s="9">
        <v>45072</v>
      </c>
      <c r="H4997" t="s">
        <v>1111</v>
      </c>
      <c r="I4997" t="s">
        <v>2382</v>
      </c>
      <c r="J4997" s="13">
        <v>676414</v>
      </c>
      <c r="K4997">
        <v>1</v>
      </c>
      <c r="L4997" t="s">
        <v>1064</v>
      </c>
      <c r="M4997" t="s">
        <v>2383</v>
      </c>
      <c r="N4997" s="15" t="s">
        <v>6878</v>
      </c>
    </row>
    <row r="4998" spans="1:14" x14ac:dyDescent="0.2">
      <c r="A4998" t="s">
        <v>6127</v>
      </c>
      <c r="B4998" t="s">
        <v>2360</v>
      </c>
      <c r="C4998" s="9">
        <v>45061</v>
      </c>
      <c r="D4998" t="s">
        <v>946</v>
      </c>
      <c r="E4998" s="13">
        <v>6549825</v>
      </c>
      <c r="F4998" s="13">
        <v>5550</v>
      </c>
      <c r="G4998" s="9">
        <v>45072</v>
      </c>
      <c r="H4998" t="s">
        <v>1111</v>
      </c>
      <c r="I4998" t="s">
        <v>2382</v>
      </c>
      <c r="J4998" s="13">
        <v>327163</v>
      </c>
      <c r="K4998">
        <v>1</v>
      </c>
      <c r="L4998" t="s">
        <v>1064</v>
      </c>
      <c r="M4998" t="s">
        <v>2383</v>
      </c>
      <c r="N4998" s="15" t="s">
        <v>6878</v>
      </c>
    </row>
    <row r="4999" spans="1:14" x14ac:dyDescent="0.2">
      <c r="A4999" t="s">
        <v>6128</v>
      </c>
      <c r="B4999" t="s">
        <v>2360</v>
      </c>
      <c r="C4999" s="9">
        <v>45061</v>
      </c>
      <c r="D4999" t="s">
        <v>946</v>
      </c>
      <c r="E4999" s="13">
        <v>13541825</v>
      </c>
      <c r="F4999" s="13">
        <v>5550</v>
      </c>
      <c r="G4999" s="9">
        <v>45072</v>
      </c>
      <c r="H4999" t="s">
        <v>1111</v>
      </c>
      <c r="I4999" t="s">
        <v>2382</v>
      </c>
      <c r="J4999" s="13">
        <v>676414</v>
      </c>
      <c r="K4999">
        <v>1</v>
      </c>
      <c r="L4999" t="s">
        <v>1064</v>
      </c>
      <c r="M4999" t="s">
        <v>2383</v>
      </c>
      <c r="N4999" s="15" t="s">
        <v>6878</v>
      </c>
    </row>
    <row r="5000" spans="1:14" x14ac:dyDescent="0.2">
      <c r="A5000" t="s">
        <v>6129</v>
      </c>
      <c r="B5000" t="s">
        <v>2360</v>
      </c>
      <c r="C5000" s="9">
        <v>45061</v>
      </c>
      <c r="D5000" t="s">
        <v>946</v>
      </c>
      <c r="E5000" s="13">
        <v>6549825</v>
      </c>
      <c r="F5000" s="13">
        <v>5550</v>
      </c>
      <c r="G5000" s="9">
        <v>45072</v>
      </c>
      <c r="H5000" t="s">
        <v>1111</v>
      </c>
      <c r="I5000" t="s">
        <v>2382</v>
      </c>
      <c r="J5000" s="13">
        <v>327163</v>
      </c>
      <c r="K5000">
        <v>1</v>
      </c>
      <c r="L5000" t="s">
        <v>1064</v>
      </c>
      <c r="M5000" t="s">
        <v>2383</v>
      </c>
      <c r="N5000" s="15" t="s">
        <v>6878</v>
      </c>
    </row>
    <row r="5001" spans="1:14" x14ac:dyDescent="0.2">
      <c r="A5001" t="s">
        <v>6130</v>
      </c>
      <c r="B5001" t="s">
        <v>2360</v>
      </c>
      <c r="C5001" s="9">
        <v>45061</v>
      </c>
      <c r="D5001" t="s">
        <v>946</v>
      </c>
      <c r="E5001" s="13">
        <v>13541825</v>
      </c>
      <c r="F5001" s="13">
        <v>5550</v>
      </c>
      <c r="G5001" s="9">
        <v>45072</v>
      </c>
      <c r="H5001" t="s">
        <v>1111</v>
      </c>
      <c r="I5001" t="s">
        <v>2382</v>
      </c>
      <c r="J5001" s="13">
        <v>676414</v>
      </c>
      <c r="K5001">
        <v>1</v>
      </c>
      <c r="L5001" t="s">
        <v>1064</v>
      </c>
      <c r="M5001" t="s">
        <v>2383</v>
      </c>
      <c r="N5001" s="15" t="s">
        <v>6878</v>
      </c>
    </row>
    <row r="5002" spans="1:14" x14ac:dyDescent="0.2">
      <c r="A5002" t="s">
        <v>6131</v>
      </c>
      <c r="B5002" t="s">
        <v>2360</v>
      </c>
      <c r="C5002" s="9">
        <v>45061</v>
      </c>
      <c r="D5002" t="s">
        <v>946</v>
      </c>
      <c r="E5002" s="13">
        <v>13541825</v>
      </c>
      <c r="F5002" s="13">
        <v>5550</v>
      </c>
      <c r="G5002" s="9">
        <v>45072</v>
      </c>
      <c r="H5002" t="s">
        <v>1111</v>
      </c>
      <c r="I5002" t="s">
        <v>2382</v>
      </c>
      <c r="J5002" s="13">
        <v>676414</v>
      </c>
      <c r="K5002">
        <v>1</v>
      </c>
      <c r="L5002" t="s">
        <v>1064</v>
      </c>
      <c r="M5002" t="s">
        <v>2383</v>
      </c>
      <c r="N5002" s="15" t="s">
        <v>6878</v>
      </c>
    </row>
    <row r="5003" spans="1:14" x14ac:dyDescent="0.2">
      <c r="A5003" t="s">
        <v>6132</v>
      </c>
      <c r="B5003" t="s">
        <v>2360</v>
      </c>
      <c r="C5003" s="9">
        <v>45061</v>
      </c>
      <c r="D5003" t="s">
        <v>946</v>
      </c>
      <c r="E5003" s="13">
        <v>6549825</v>
      </c>
      <c r="F5003" s="13">
        <v>5550</v>
      </c>
      <c r="G5003" s="9">
        <v>45072</v>
      </c>
      <c r="H5003" t="s">
        <v>1111</v>
      </c>
      <c r="I5003" t="s">
        <v>2382</v>
      </c>
      <c r="J5003" s="13">
        <v>327163</v>
      </c>
      <c r="K5003">
        <v>1</v>
      </c>
      <c r="L5003" t="s">
        <v>1064</v>
      </c>
      <c r="M5003" t="s">
        <v>2383</v>
      </c>
      <c r="N5003" s="15" t="s">
        <v>6878</v>
      </c>
    </row>
    <row r="5004" spans="1:14" x14ac:dyDescent="0.2">
      <c r="A5004" t="s">
        <v>6133</v>
      </c>
      <c r="B5004" t="s">
        <v>2360</v>
      </c>
      <c r="C5004" s="9">
        <v>45061</v>
      </c>
      <c r="D5004" t="s">
        <v>946</v>
      </c>
      <c r="E5004" s="13">
        <v>5511950</v>
      </c>
      <c r="F5004" s="13">
        <v>5550</v>
      </c>
      <c r="G5004" s="9">
        <v>45072</v>
      </c>
      <c r="H5004" t="s">
        <v>1111</v>
      </c>
      <c r="I5004" t="s">
        <v>2382</v>
      </c>
      <c r="J5004" s="13">
        <v>275321</v>
      </c>
      <c r="K5004">
        <v>1</v>
      </c>
      <c r="L5004" t="s">
        <v>1064</v>
      </c>
      <c r="M5004" t="s">
        <v>2383</v>
      </c>
      <c r="N5004" s="15" t="s">
        <v>6878</v>
      </c>
    </row>
    <row r="5005" spans="1:14" x14ac:dyDescent="0.2">
      <c r="A5005" t="s">
        <v>6134</v>
      </c>
      <c r="B5005" t="s">
        <v>2360</v>
      </c>
      <c r="C5005" s="9">
        <v>45061</v>
      </c>
      <c r="D5005" t="s">
        <v>946</v>
      </c>
      <c r="E5005" s="13">
        <v>5511950</v>
      </c>
      <c r="F5005" s="13">
        <v>5550</v>
      </c>
      <c r="G5005" s="9">
        <v>45072</v>
      </c>
      <c r="H5005" t="s">
        <v>1111</v>
      </c>
      <c r="I5005" t="s">
        <v>2382</v>
      </c>
      <c r="J5005" s="13">
        <v>275321</v>
      </c>
      <c r="K5005">
        <v>1</v>
      </c>
      <c r="L5005" t="s">
        <v>1064</v>
      </c>
      <c r="M5005" t="s">
        <v>2383</v>
      </c>
      <c r="N5005" s="15" t="s">
        <v>6878</v>
      </c>
    </row>
    <row r="5006" spans="1:14" x14ac:dyDescent="0.2">
      <c r="A5006" t="s">
        <v>6135</v>
      </c>
      <c r="B5006" t="s">
        <v>2360</v>
      </c>
      <c r="C5006" s="9">
        <v>45061</v>
      </c>
      <c r="D5006" t="s">
        <v>946</v>
      </c>
      <c r="E5006" s="13">
        <v>6549825</v>
      </c>
      <c r="F5006" s="13">
        <v>5550</v>
      </c>
      <c r="G5006" s="9">
        <v>45072</v>
      </c>
      <c r="H5006" t="s">
        <v>1111</v>
      </c>
      <c r="I5006" t="s">
        <v>2382</v>
      </c>
      <c r="J5006" s="13">
        <v>327163</v>
      </c>
      <c r="K5006">
        <v>1</v>
      </c>
      <c r="L5006" t="s">
        <v>1064</v>
      </c>
      <c r="M5006" t="s">
        <v>2383</v>
      </c>
      <c r="N5006" s="15" t="s">
        <v>6878</v>
      </c>
    </row>
    <row r="5007" spans="1:14" x14ac:dyDescent="0.2">
      <c r="A5007" t="s">
        <v>6136</v>
      </c>
      <c r="B5007" t="s">
        <v>2360</v>
      </c>
      <c r="C5007" s="9">
        <v>45061</v>
      </c>
      <c r="D5007" t="s">
        <v>946</v>
      </c>
      <c r="E5007" s="13">
        <v>6549825</v>
      </c>
      <c r="F5007" s="13">
        <v>5550</v>
      </c>
      <c r="G5007" s="9">
        <v>45072</v>
      </c>
      <c r="H5007" t="s">
        <v>1111</v>
      </c>
      <c r="I5007" t="s">
        <v>2382</v>
      </c>
      <c r="J5007" s="13">
        <v>327163</v>
      </c>
      <c r="K5007">
        <v>1</v>
      </c>
      <c r="L5007" t="s">
        <v>1064</v>
      </c>
      <c r="M5007" t="s">
        <v>2383</v>
      </c>
      <c r="N5007" s="15" t="s">
        <v>6878</v>
      </c>
    </row>
    <row r="5008" spans="1:14" x14ac:dyDescent="0.2">
      <c r="A5008" t="s">
        <v>6137</v>
      </c>
      <c r="B5008" t="s">
        <v>2360</v>
      </c>
      <c r="C5008" s="9">
        <v>45061</v>
      </c>
      <c r="D5008" t="s">
        <v>946</v>
      </c>
      <c r="E5008" s="13">
        <v>6549825</v>
      </c>
      <c r="F5008" s="13">
        <v>5550</v>
      </c>
      <c r="G5008" s="9">
        <v>45072</v>
      </c>
      <c r="H5008" t="s">
        <v>1111</v>
      </c>
      <c r="I5008" t="s">
        <v>2382</v>
      </c>
      <c r="J5008" s="13">
        <v>327163</v>
      </c>
      <c r="K5008">
        <v>1</v>
      </c>
      <c r="L5008" t="s">
        <v>1064</v>
      </c>
      <c r="M5008" t="s">
        <v>2383</v>
      </c>
      <c r="N5008" s="15" t="s">
        <v>6878</v>
      </c>
    </row>
    <row r="5009" spans="1:14" x14ac:dyDescent="0.2">
      <c r="A5009" t="s">
        <v>6138</v>
      </c>
      <c r="B5009" t="s">
        <v>2360</v>
      </c>
      <c r="C5009" s="9">
        <v>45061</v>
      </c>
      <c r="D5009" t="s">
        <v>946</v>
      </c>
      <c r="E5009" s="13">
        <v>5511950</v>
      </c>
      <c r="F5009" s="13">
        <v>5550</v>
      </c>
      <c r="G5009" s="9">
        <v>45072</v>
      </c>
      <c r="H5009" t="s">
        <v>1111</v>
      </c>
      <c r="I5009" t="s">
        <v>2382</v>
      </c>
      <c r="J5009" s="13">
        <v>275321</v>
      </c>
      <c r="K5009">
        <v>1</v>
      </c>
      <c r="L5009" t="s">
        <v>1064</v>
      </c>
      <c r="M5009" t="s">
        <v>2383</v>
      </c>
      <c r="N5009" s="15" t="s">
        <v>6878</v>
      </c>
    </row>
    <row r="5010" spans="1:14" x14ac:dyDescent="0.2">
      <c r="A5010" t="s">
        <v>6139</v>
      </c>
      <c r="B5010" t="s">
        <v>2360</v>
      </c>
      <c r="C5010" s="9">
        <v>45061</v>
      </c>
      <c r="D5010" t="s">
        <v>946</v>
      </c>
      <c r="E5010" s="13">
        <v>6549825</v>
      </c>
      <c r="F5010" s="13">
        <v>5550</v>
      </c>
      <c r="G5010" s="9">
        <v>45072</v>
      </c>
      <c r="H5010" t="s">
        <v>1111</v>
      </c>
      <c r="I5010" t="s">
        <v>2382</v>
      </c>
      <c r="J5010" s="13">
        <v>327163</v>
      </c>
      <c r="K5010">
        <v>1</v>
      </c>
      <c r="L5010" t="s">
        <v>1064</v>
      </c>
      <c r="M5010" t="s">
        <v>2383</v>
      </c>
      <c r="N5010" s="15" t="s">
        <v>6878</v>
      </c>
    </row>
    <row r="5011" spans="1:14" x14ac:dyDescent="0.2">
      <c r="A5011" t="s">
        <v>6140</v>
      </c>
      <c r="B5011" t="s">
        <v>2360</v>
      </c>
      <c r="C5011" s="9">
        <v>45061</v>
      </c>
      <c r="D5011" t="s">
        <v>946</v>
      </c>
      <c r="E5011" s="13">
        <v>5511950</v>
      </c>
      <c r="F5011" s="13">
        <v>5550</v>
      </c>
      <c r="G5011" s="9">
        <v>45072</v>
      </c>
      <c r="H5011" t="s">
        <v>1111</v>
      </c>
      <c r="I5011" t="s">
        <v>2382</v>
      </c>
      <c r="J5011" s="13">
        <v>275321</v>
      </c>
      <c r="K5011">
        <v>1</v>
      </c>
      <c r="L5011" t="s">
        <v>1064</v>
      </c>
      <c r="M5011" t="s">
        <v>2383</v>
      </c>
      <c r="N5011" s="15" t="s">
        <v>6878</v>
      </c>
    </row>
    <row r="5012" spans="1:14" x14ac:dyDescent="0.2">
      <c r="A5012" t="s">
        <v>6141</v>
      </c>
      <c r="B5012" t="s">
        <v>2360</v>
      </c>
      <c r="C5012" s="9">
        <v>45061</v>
      </c>
      <c r="D5012" t="s">
        <v>946</v>
      </c>
      <c r="E5012" s="13">
        <v>14851625</v>
      </c>
      <c r="F5012" s="13">
        <v>5550</v>
      </c>
      <c r="G5012" s="9">
        <v>45072</v>
      </c>
      <c r="H5012" t="s">
        <v>1111</v>
      </c>
      <c r="I5012" t="s">
        <v>2382</v>
      </c>
      <c r="J5012" s="13">
        <v>741838</v>
      </c>
      <c r="K5012">
        <v>1</v>
      </c>
      <c r="L5012" t="s">
        <v>1064</v>
      </c>
      <c r="M5012" t="s">
        <v>2383</v>
      </c>
      <c r="N5012" s="15" t="s">
        <v>6878</v>
      </c>
    </row>
    <row r="5013" spans="1:14" x14ac:dyDescent="0.2">
      <c r="A5013" t="s">
        <v>6142</v>
      </c>
      <c r="B5013" t="s">
        <v>2360</v>
      </c>
      <c r="C5013" s="9">
        <v>45061</v>
      </c>
      <c r="D5013" t="s">
        <v>946</v>
      </c>
      <c r="E5013" s="13">
        <v>15845489</v>
      </c>
      <c r="F5013" s="13">
        <v>5550</v>
      </c>
      <c r="G5013" s="9">
        <v>45072</v>
      </c>
      <c r="H5013" t="s">
        <v>1111</v>
      </c>
      <c r="I5013" t="s">
        <v>2382</v>
      </c>
      <c r="J5013" s="13">
        <v>791482</v>
      </c>
      <c r="K5013">
        <v>1</v>
      </c>
      <c r="L5013" t="s">
        <v>1064</v>
      </c>
      <c r="M5013" t="s">
        <v>2383</v>
      </c>
      <c r="N5013" s="15" t="s">
        <v>6878</v>
      </c>
    </row>
    <row r="5014" spans="1:14" x14ac:dyDescent="0.2">
      <c r="A5014" t="s">
        <v>6143</v>
      </c>
      <c r="B5014" t="s">
        <v>2360</v>
      </c>
      <c r="C5014" s="9">
        <v>45061</v>
      </c>
      <c r="D5014" t="s">
        <v>946</v>
      </c>
      <c r="E5014" s="13">
        <v>6743600</v>
      </c>
      <c r="F5014" s="13">
        <v>5550</v>
      </c>
      <c r="G5014" s="9">
        <v>45072</v>
      </c>
      <c r="H5014" t="s">
        <v>1111</v>
      </c>
      <c r="I5014" t="s">
        <v>2382</v>
      </c>
      <c r="J5014" s="13">
        <v>336842</v>
      </c>
      <c r="K5014">
        <v>1</v>
      </c>
      <c r="L5014" t="s">
        <v>1064</v>
      </c>
      <c r="M5014" t="s">
        <v>2383</v>
      </c>
      <c r="N5014" s="15" t="s">
        <v>6878</v>
      </c>
    </row>
    <row r="5015" spans="1:14" x14ac:dyDescent="0.2">
      <c r="A5015" t="s">
        <v>6144</v>
      </c>
      <c r="B5015" t="s">
        <v>2360</v>
      </c>
      <c r="C5015" s="9">
        <v>45061</v>
      </c>
      <c r="D5015" t="s">
        <v>946</v>
      </c>
      <c r="E5015" s="13">
        <v>5000775</v>
      </c>
      <c r="F5015" s="13">
        <v>5550</v>
      </c>
      <c r="G5015" s="9">
        <v>45072</v>
      </c>
      <c r="H5015" t="s">
        <v>1111</v>
      </c>
      <c r="I5015" t="s">
        <v>2382</v>
      </c>
      <c r="J5015" s="13">
        <v>249787</v>
      </c>
      <c r="K5015">
        <v>1</v>
      </c>
      <c r="L5015" t="s">
        <v>1064</v>
      </c>
      <c r="M5015" t="s">
        <v>2383</v>
      </c>
      <c r="N5015" s="15" t="s">
        <v>6878</v>
      </c>
    </row>
    <row r="5016" spans="1:14" x14ac:dyDescent="0.2">
      <c r="A5016" t="s">
        <v>6145</v>
      </c>
      <c r="B5016" t="s">
        <v>2360</v>
      </c>
      <c r="C5016" s="9">
        <v>45061</v>
      </c>
      <c r="D5016" t="s">
        <v>946</v>
      </c>
      <c r="E5016" s="13">
        <v>5860400</v>
      </c>
      <c r="F5016" s="13">
        <v>5550</v>
      </c>
      <c r="G5016" s="9">
        <v>45072</v>
      </c>
      <c r="H5016" t="s">
        <v>1111</v>
      </c>
      <c r="I5016" t="s">
        <v>2382</v>
      </c>
      <c r="J5016" s="13">
        <v>292726</v>
      </c>
      <c r="K5016">
        <v>1</v>
      </c>
      <c r="L5016" t="s">
        <v>1064</v>
      </c>
      <c r="M5016" t="s">
        <v>2383</v>
      </c>
      <c r="N5016" s="15" t="s">
        <v>6878</v>
      </c>
    </row>
    <row r="5017" spans="1:14" x14ac:dyDescent="0.2">
      <c r="A5017" t="s">
        <v>6146</v>
      </c>
      <c r="B5017" t="s">
        <v>2360</v>
      </c>
      <c r="C5017" s="9">
        <v>45061</v>
      </c>
      <c r="D5017" t="s">
        <v>946</v>
      </c>
      <c r="E5017" s="13">
        <v>6676900</v>
      </c>
      <c r="F5017" s="13">
        <v>5550</v>
      </c>
      <c r="G5017" s="9">
        <v>45072</v>
      </c>
      <c r="H5017" t="s">
        <v>1111</v>
      </c>
      <c r="I5017" t="s">
        <v>2382</v>
      </c>
      <c r="J5017" s="13">
        <v>333510</v>
      </c>
      <c r="K5017">
        <v>1</v>
      </c>
      <c r="L5017" t="s">
        <v>1064</v>
      </c>
      <c r="M5017" t="s">
        <v>2383</v>
      </c>
      <c r="N5017" s="15" t="s">
        <v>6878</v>
      </c>
    </row>
    <row r="5018" spans="1:14" x14ac:dyDescent="0.2">
      <c r="A5018" t="s">
        <v>6147</v>
      </c>
      <c r="B5018" t="s">
        <v>2360</v>
      </c>
      <c r="C5018" s="9">
        <v>45061</v>
      </c>
      <c r="D5018" t="s">
        <v>946</v>
      </c>
      <c r="E5018" s="13">
        <v>5938600</v>
      </c>
      <c r="F5018" s="13">
        <v>5550</v>
      </c>
      <c r="G5018" s="9">
        <v>45072</v>
      </c>
      <c r="H5018" t="s">
        <v>1111</v>
      </c>
      <c r="I5018" t="s">
        <v>2382</v>
      </c>
      <c r="J5018" s="13">
        <v>296633</v>
      </c>
      <c r="K5018">
        <v>1</v>
      </c>
      <c r="L5018" t="s">
        <v>1064</v>
      </c>
      <c r="M5018" t="s">
        <v>2383</v>
      </c>
      <c r="N5018" s="15" t="s">
        <v>6878</v>
      </c>
    </row>
    <row r="5019" spans="1:14" x14ac:dyDescent="0.2">
      <c r="A5019" t="s">
        <v>6148</v>
      </c>
      <c r="B5019" t="s">
        <v>2360</v>
      </c>
      <c r="C5019" s="9">
        <v>45061</v>
      </c>
      <c r="D5019" t="s">
        <v>946</v>
      </c>
      <c r="E5019" s="13">
        <v>4938675</v>
      </c>
      <c r="F5019" s="13">
        <v>5550</v>
      </c>
      <c r="G5019" s="9">
        <v>45072</v>
      </c>
      <c r="H5019" t="s">
        <v>1111</v>
      </c>
      <c r="I5019" t="s">
        <v>2382</v>
      </c>
      <c r="J5019" s="13">
        <v>246686</v>
      </c>
      <c r="K5019">
        <v>1</v>
      </c>
      <c r="L5019" t="s">
        <v>1064</v>
      </c>
      <c r="M5019" t="s">
        <v>2383</v>
      </c>
      <c r="N5019" s="15" t="s">
        <v>6878</v>
      </c>
    </row>
    <row r="5020" spans="1:14" x14ac:dyDescent="0.2">
      <c r="A5020" t="s">
        <v>6149</v>
      </c>
      <c r="B5020" t="s">
        <v>2360</v>
      </c>
      <c r="C5020" s="9">
        <v>45061</v>
      </c>
      <c r="D5020" t="s">
        <v>946</v>
      </c>
      <c r="E5020" s="13">
        <v>6549825</v>
      </c>
      <c r="F5020" s="13">
        <v>5550</v>
      </c>
      <c r="G5020" s="9">
        <v>45072</v>
      </c>
      <c r="H5020" t="s">
        <v>1111</v>
      </c>
      <c r="I5020" t="s">
        <v>2382</v>
      </c>
      <c r="J5020" s="13">
        <v>327163</v>
      </c>
      <c r="K5020">
        <v>1</v>
      </c>
      <c r="L5020" t="s">
        <v>1064</v>
      </c>
      <c r="M5020" t="s">
        <v>2383</v>
      </c>
      <c r="N5020" s="15" t="s">
        <v>6878</v>
      </c>
    </row>
    <row r="5021" spans="1:14" x14ac:dyDescent="0.2">
      <c r="A5021" t="s">
        <v>6150</v>
      </c>
      <c r="B5021" t="s">
        <v>2360</v>
      </c>
      <c r="C5021" s="9">
        <v>45061</v>
      </c>
      <c r="D5021" t="s">
        <v>946</v>
      </c>
      <c r="E5021" s="13">
        <v>6549825</v>
      </c>
      <c r="F5021" s="13">
        <v>5550</v>
      </c>
      <c r="G5021" s="9">
        <v>45072</v>
      </c>
      <c r="H5021" t="s">
        <v>1111</v>
      </c>
      <c r="I5021" t="s">
        <v>2382</v>
      </c>
      <c r="J5021" s="13">
        <v>327163</v>
      </c>
      <c r="K5021">
        <v>1</v>
      </c>
      <c r="L5021" t="s">
        <v>1064</v>
      </c>
      <c r="M5021" t="s">
        <v>2383</v>
      </c>
      <c r="N5021" s="15" t="s">
        <v>6878</v>
      </c>
    </row>
    <row r="5022" spans="1:14" x14ac:dyDescent="0.2">
      <c r="A5022" t="s">
        <v>6151</v>
      </c>
      <c r="B5022" t="s">
        <v>2360</v>
      </c>
      <c r="C5022" s="9">
        <v>45061</v>
      </c>
      <c r="D5022" t="s">
        <v>946</v>
      </c>
      <c r="E5022" s="13">
        <v>5511950</v>
      </c>
      <c r="F5022" s="13">
        <v>5550</v>
      </c>
      <c r="G5022" s="9">
        <v>45072</v>
      </c>
      <c r="H5022" t="s">
        <v>1111</v>
      </c>
      <c r="I5022" t="s">
        <v>2382</v>
      </c>
      <c r="J5022" s="13">
        <v>275321</v>
      </c>
      <c r="K5022">
        <v>1</v>
      </c>
      <c r="L5022" t="s">
        <v>1064</v>
      </c>
      <c r="M5022" t="s">
        <v>2383</v>
      </c>
      <c r="N5022" s="15" t="s">
        <v>6878</v>
      </c>
    </row>
    <row r="5023" spans="1:14" x14ac:dyDescent="0.2">
      <c r="A5023" t="s">
        <v>6152</v>
      </c>
      <c r="B5023" t="s">
        <v>2360</v>
      </c>
      <c r="C5023" s="9">
        <v>45061</v>
      </c>
      <c r="D5023" t="s">
        <v>946</v>
      </c>
      <c r="E5023" s="13">
        <v>5511950</v>
      </c>
      <c r="F5023" s="13">
        <v>5550</v>
      </c>
      <c r="G5023" s="9">
        <v>45072</v>
      </c>
      <c r="H5023" t="s">
        <v>1111</v>
      </c>
      <c r="I5023" t="s">
        <v>2382</v>
      </c>
      <c r="J5023" s="13">
        <v>275321</v>
      </c>
      <c r="K5023">
        <v>1</v>
      </c>
      <c r="L5023" t="s">
        <v>1064</v>
      </c>
      <c r="M5023" t="s">
        <v>2383</v>
      </c>
      <c r="N5023" s="15" t="s">
        <v>6878</v>
      </c>
    </row>
    <row r="5024" spans="1:14" x14ac:dyDescent="0.2">
      <c r="A5024" t="s">
        <v>6153</v>
      </c>
      <c r="B5024" t="s">
        <v>2360</v>
      </c>
      <c r="C5024" s="9">
        <v>45061</v>
      </c>
      <c r="D5024" t="s">
        <v>946</v>
      </c>
      <c r="E5024" s="13">
        <v>3580200</v>
      </c>
      <c r="F5024" s="13">
        <v>5550</v>
      </c>
      <c r="G5024" s="9">
        <v>45072</v>
      </c>
      <c r="H5024" t="s">
        <v>1111</v>
      </c>
      <c r="I5024" t="s">
        <v>2382</v>
      </c>
      <c r="J5024" s="13">
        <v>178830</v>
      </c>
      <c r="K5024">
        <v>1</v>
      </c>
      <c r="L5024" t="s">
        <v>1064</v>
      </c>
      <c r="M5024" t="s">
        <v>2383</v>
      </c>
      <c r="N5024" s="15" t="s">
        <v>6878</v>
      </c>
    </row>
    <row r="5025" spans="1:14" x14ac:dyDescent="0.2">
      <c r="A5025" t="s">
        <v>6154</v>
      </c>
      <c r="B5025" t="s">
        <v>2360</v>
      </c>
      <c r="C5025" s="9">
        <v>45061</v>
      </c>
      <c r="D5025" t="s">
        <v>946</v>
      </c>
      <c r="E5025" s="13">
        <v>4788600</v>
      </c>
      <c r="F5025" s="13">
        <v>5550</v>
      </c>
      <c r="G5025" s="9">
        <v>45072</v>
      </c>
      <c r="H5025" t="s">
        <v>1111</v>
      </c>
      <c r="I5025" t="s">
        <v>2382</v>
      </c>
      <c r="J5025" s="13">
        <v>239190</v>
      </c>
      <c r="K5025">
        <v>1</v>
      </c>
      <c r="L5025" t="s">
        <v>1064</v>
      </c>
      <c r="M5025" t="s">
        <v>2383</v>
      </c>
      <c r="N5025" s="15" t="s">
        <v>6878</v>
      </c>
    </row>
    <row r="5026" spans="1:14" x14ac:dyDescent="0.2">
      <c r="A5026" t="s">
        <v>6155</v>
      </c>
      <c r="B5026" t="s">
        <v>2360</v>
      </c>
      <c r="C5026" s="9">
        <v>45061</v>
      </c>
      <c r="D5026" t="s">
        <v>946</v>
      </c>
      <c r="E5026" s="13">
        <v>1665000</v>
      </c>
      <c r="F5026" s="13">
        <v>5550</v>
      </c>
      <c r="G5026" s="9">
        <v>45072</v>
      </c>
      <c r="H5026" t="s">
        <v>1111</v>
      </c>
      <c r="I5026" t="s">
        <v>2382</v>
      </c>
      <c r="J5026" s="13">
        <v>83166</v>
      </c>
      <c r="K5026">
        <v>1</v>
      </c>
      <c r="L5026" t="s">
        <v>1064</v>
      </c>
      <c r="M5026" t="s">
        <v>2383</v>
      </c>
      <c r="N5026" s="15" t="s">
        <v>6878</v>
      </c>
    </row>
    <row r="5027" spans="1:14" x14ac:dyDescent="0.2">
      <c r="A5027" t="s">
        <v>6156</v>
      </c>
      <c r="B5027" t="s">
        <v>2360</v>
      </c>
      <c r="C5027" s="9">
        <v>45061</v>
      </c>
      <c r="D5027" t="s">
        <v>946</v>
      </c>
      <c r="E5027" s="13">
        <v>1800000</v>
      </c>
      <c r="F5027" s="13">
        <v>5550</v>
      </c>
      <c r="G5027" s="9">
        <v>45072</v>
      </c>
      <c r="H5027" t="s">
        <v>1111</v>
      </c>
      <c r="I5027" t="s">
        <v>2382</v>
      </c>
      <c r="J5027" s="13">
        <v>89910</v>
      </c>
      <c r="K5027">
        <v>1</v>
      </c>
      <c r="L5027" t="s">
        <v>1064</v>
      </c>
      <c r="M5027" t="s">
        <v>2383</v>
      </c>
      <c r="N5027" s="15" t="s">
        <v>6878</v>
      </c>
    </row>
    <row r="5028" spans="1:14" x14ac:dyDescent="0.2">
      <c r="A5028" t="s">
        <v>6157</v>
      </c>
      <c r="B5028" t="s">
        <v>2360</v>
      </c>
      <c r="C5028" s="9">
        <v>45061</v>
      </c>
      <c r="D5028" t="s">
        <v>946</v>
      </c>
      <c r="E5028" s="13">
        <v>1800000</v>
      </c>
      <c r="F5028" s="13">
        <v>5550</v>
      </c>
      <c r="G5028" s="9">
        <v>45072</v>
      </c>
      <c r="H5028" t="s">
        <v>1111</v>
      </c>
      <c r="I5028" t="s">
        <v>2382</v>
      </c>
      <c r="J5028" s="13">
        <v>89910</v>
      </c>
      <c r="K5028">
        <v>1</v>
      </c>
      <c r="L5028" t="s">
        <v>1064</v>
      </c>
      <c r="M5028" t="s">
        <v>2383</v>
      </c>
      <c r="N5028" s="15" t="s">
        <v>6878</v>
      </c>
    </row>
    <row r="5029" spans="1:14" x14ac:dyDescent="0.2">
      <c r="A5029" t="s">
        <v>6158</v>
      </c>
      <c r="B5029" t="s">
        <v>2360</v>
      </c>
      <c r="C5029" s="9">
        <v>45061</v>
      </c>
      <c r="D5029" t="s">
        <v>946</v>
      </c>
      <c r="E5029" s="13">
        <v>2790000</v>
      </c>
      <c r="F5029" s="13">
        <v>5550</v>
      </c>
      <c r="G5029" s="9">
        <v>45072</v>
      </c>
      <c r="H5029" t="s">
        <v>1111</v>
      </c>
      <c r="I5029" t="s">
        <v>2382</v>
      </c>
      <c r="J5029" s="13">
        <v>139360</v>
      </c>
      <c r="K5029">
        <v>1</v>
      </c>
      <c r="L5029" t="s">
        <v>1064</v>
      </c>
      <c r="M5029" t="s">
        <v>2383</v>
      </c>
      <c r="N5029" s="15" t="s">
        <v>6878</v>
      </c>
    </row>
    <row r="5030" spans="1:14" x14ac:dyDescent="0.2">
      <c r="A5030" t="s">
        <v>6159</v>
      </c>
      <c r="B5030" t="s">
        <v>2360</v>
      </c>
      <c r="C5030" s="9">
        <v>45061</v>
      </c>
      <c r="D5030" t="s">
        <v>946</v>
      </c>
      <c r="E5030" s="13">
        <v>1800000</v>
      </c>
      <c r="F5030" s="13">
        <v>5550</v>
      </c>
      <c r="G5030" s="9">
        <v>45072</v>
      </c>
      <c r="H5030" t="s">
        <v>1111</v>
      </c>
      <c r="I5030" t="s">
        <v>2382</v>
      </c>
      <c r="J5030" s="13">
        <v>89910</v>
      </c>
      <c r="K5030">
        <v>1</v>
      </c>
      <c r="L5030" t="s">
        <v>1064</v>
      </c>
      <c r="M5030" t="s">
        <v>2383</v>
      </c>
      <c r="N5030" s="15" t="s">
        <v>6878</v>
      </c>
    </row>
    <row r="5031" spans="1:14" x14ac:dyDescent="0.2">
      <c r="A5031" t="s">
        <v>6160</v>
      </c>
      <c r="B5031" t="s">
        <v>2360</v>
      </c>
      <c r="C5031" s="9">
        <v>45061</v>
      </c>
      <c r="D5031" t="s">
        <v>946</v>
      </c>
      <c r="E5031" s="13">
        <v>2790000</v>
      </c>
      <c r="F5031" s="13">
        <v>5550</v>
      </c>
      <c r="G5031" s="9">
        <v>45072</v>
      </c>
      <c r="H5031" t="s">
        <v>1111</v>
      </c>
      <c r="I5031" t="s">
        <v>2382</v>
      </c>
      <c r="J5031" s="13">
        <v>139360</v>
      </c>
      <c r="K5031">
        <v>1</v>
      </c>
      <c r="L5031" t="s">
        <v>1064</v>
      </c>
      <c r="M5031" t="s">
        <v>2383</v>
      </c>
      <c r="N5031" s="15" t="s">
        <v>6878</v>
      </c>
    </row>
    <row r="5032" spans="1:14" x14ac:dyDescent="0.2">
      <c r="A5032" t="s">
        <v>6161</v>
      </c>
      <c r="B5032" t="s">
        <v>2360</v>
      </c>
      <c r="C5032" s="9">
        <v>45061</v>
      </c>
      <c r="D5032" t="s">
        <v>946</v>
      </c>
      <c r="E5032" s="13">
        <v>11492337</v>
      </c>
      <c r="F5032" s="13">
        <v>5550</v>
      </c>
      <c r="G5032" s="9">
        <v>45072</v>
      </c>
      <c r="H5032" t="s">
        <v>1111</v>
      </c>
      <c r="I5032" t="s">
        <v>2382</v>
      </c>
      <c r="J5032" s="13">
        <v>574042</v>
      </c>
      <c r="K5032">
        <v>1</v>
      </c>
      <c r="L5032" t="s">
        <v>1064</v>
      </c>
      <c r="M5032" t="s">
        <v>2383</v>
      </c>
      <c r="N5032" s="15" t="s">
        <v>6878</v>
      </c>
    </row>
    <row r="5033" spans="1:14" x14ac:dyDescent="0.2">
      <c r="A5033" t="s">
        <v>6162</v>
      </c>
      <c r="B5033" t="s">
        <v>2360</v>
      </c>
      <c r="C5033" s="9">
        <v>45061</v>
      </c>
      <c r="D5033" t="s">
        <v>946</v>
      </c>
      <c r="E5033" s="13">
        <v>14851625</v>
      </c>
      <c r="F5033" s="13">
        <v>5550</v>
      </c>
      <c r="G5033" s="9">
        <v>45072</v>
      </c>
      <c r="H5033" t="s">
        <v>1111</v>
      </c>
      <c r="I5033" t="s">
        <v>2382</v>
      </c>
      <c r="J5033" s="13">
        <v>741838</v>
      </c>
      <c r="K5033">
        <v>1</v>
      </c>
      <c r="L5033" t="s">
        <v>1064</v>
      </c>
      <c r="M5033" t="s">
        <v>2383</v>
      </c>
      <c r="N5033" s="15" t="s">
        <v>6878</v>
      </c>
    </row>
    <row r="5034" spans="1:14" x14ac:dyDescent="0.2">
      <c r="A5034" t="s">
        <v>6163</v>
      </c>
      <c r="B5034" t="s">
        <v>2360</v>
      </c>
      <c r="C5034" s="9">
        <v>45061</v>
      </c>
      <c r="D5034" t="s">
        <v>946</v>
      </c>
      <c r="E5034" s="13">
        <v>10802805</v>
      </c>
      <c r="F5034" s="13">
        <v>5550</v>
      </c>
      <c r="G5034" s="9">
        <v>45072</v>
      </c>
      <c r="H5034" t="s">
        <v>1111</v>
      </c>
      <c r="I5034" t="s">
        <v>2382</v>
      </c>
      <c r="J5034" s="13">
        <v>539599</v>
      </c>
      <c r="K5034">
        <v>1</v>
      </c>
      <c r="L5034" t="s">
        <v>1064</v>
      </c>
      <c r="M5034" t="s">
        <v>2383</v>
      </c>
      <c r="N5034" s="15" t="s">
        <v>6878</v>
      </c>
    </row>
    <row r="5035" spans="1:14" x14ac:dyDescent="0.2">
      <c r="A5035" t="s">
        <v>6164</v>
      </c>
      <c r="B5035" t="s">
        <v>2360</v>
      </c>
      <c r="C5035" s="9">
        <v>45061</v>
      </c>
      <c r="D5035" t="s">
        <v>946</v>
      </c>
      <c r="E5035" s="13">
        <v>6549825</v>
      </c>
      <c r="F5035" s="13">
        <v>5550</v>
      </c>
      <c r="G5035" s="9">
        <v>45072</v>
      </c>
      <c r="H5035" t="s">
        <v>1111</v>
      </c>
      <c r="I5035" t="s">
        <v>2382</v>
      </c>
      <c r="J5035" s="13">
        <v>327163</v>
      </c>
      <c r="K5035">
        <v>1</v>
      </c>
      <c r="L5035" t="s">
        <v>1064</v>
      </c>
      <c r="M5035" t="s">
        <v>2383</v>
      </c>
      <c r="N5035" s="15" t="s">
        <v>6878</v>
      </c>
    </row>
    <row r="5036" spans="1:14" x14ac:dyDescent="0.2">
      <c r="A5036" t="s">
        <v>6165</v>
      </c>
      <c r="B5036" t="s">
        <v>2360</v>
      </c>
      <c r="C5036" s="9">
        <v>45061</v>
      </c>
      <c r="D5036" t="s">
        <v>946</v>
      </c>
      <c r="E5036" s="13">
        <v>10318950</v>
      </c>
      <c r="F5036" s="13">
        <v>5550</v>
      </c>
      <c r="G5036" s="9">
        <v>45072</v>
      </c>
      <c r="H5036" t="s">
        <v>1111</v>
      </c>
      <c r="I5036" t="s">
        <v>2382</v>
      </c>
      <c r="J5036" s="13">
        <v>515430</v>
      </c>
      <c r="K5036">
        <v>1</v>
      </c>
      <c r="L5036" t="s">
        <v>1064</v>
      </c>
      <c r="M5036" t="s">
        <v>2383</v>
      </c>
      <c r="N5036" s="15" t="s">
        <v>6878</v>
      </c>
    </row>
    <row r="5037" spans="1:14" x14ac:dyDescent="0.2">
      <c r="A5037" t="s">
        <v>6166</v>
      </c>
      <c r="B5037" t="s">
        <v>2360</v>
      </c>
      <c r="C5037" s="9">
        <v>45061</v>
      </c>
      <c r="D5037" t="s">
        <v>946</v>
      </c>
      <c r="E5037" s="13">
        <v>5557950</v>
      </c>
      <c r="F5037" s="13">
        <v>5550</v>
      </c>
      <c r="G5037" s="9">
        <v>45072</v>
      </c>
      <c r="H5037" t="s">
        <v>1111</v>
      </c>
      <c r="I5037" t="s">
        <v>2382</v>
      </c>
      <c r="J5037" s="13">
        <v>277618</v>
      </c>
      <c r="K5037">
        <v>1</v>
      </c>
      <c r="L5037" t="s">
        <v>1064</v>
      </c>
      <c r="M5037" t="s">
        <v>2383</v>
      </c>
      <c r="N5037" s="15" t="s">
        <v>6878</v>
      </c>
    </row>
    <row r="5038" spans="1:14" x14ac:dyDescent="0.2">
      <c r="A5038" t="s">
        <v>6167</v>
      </c>
      <c r="B5038" t="s">
        <v>2360</v>
      </c>
      <c r="C5038" s="9">
        <v>45061</v>
      </c>
      <c r="D5038" t="s">
        <v>946</v>
      </c>
      <c r="E5038" s="13">
        <v>6265200</v>
      </c>
      <c r="F5038" s="13">
        <v>5550</v>
      </c>
      <c r="G5038" s="9">
        <v>45072</v>
      </c>
      <c r="H5038" t="s">
        <v>1111</v>
      </c>
      <c r="I5038" t="s">
        <v>2382</v>
      </c>
      <c r="J5038" s="13">
        <v>312946</v>
      </c>
      <c r="K5038">
        <v>1</v>
      </c>
      <c r="L5038" t="s">
        <v>1064</v>
      </c>
      <c r="M5038" t="s">
        <v>2383</v>
      </c>
      <c r="N5038" s="15" t="s">
        <v>6878</v>
      </c>
    </row>
    <row r="5039" spans="1:14" x14ac:dyDescent="0.2">
      <c r="A5039" t="s">
        <v>6168</v>
      </c>
      <c r="B5039" t="s">
        <v>2360</v>
      </c>
      <c r="C5039" s="9">
        <v>45061</v>
      </c>
      <c r="D5039" t="s">
        <v>946</v>
      </c>
      <c r="E5039" s="13">
        <v>5293450</v>
      </c>
      <c r="F5039" s="13">
        <v>5550</v>
      </c>
      <c r="G5039" s="9">
        <v>45072</v>
      </c>
      <c r="H5039" t="s">
        <v>1111</v>
      </c>
      <c r="I5039" t="s">
        <v>2382</v>
      </c>
      <c r="J5039" s="13">
        <v>264407</v>
      </c>
      <c r="K5039">
        <v>1</v>
      </c>
      <c r="L5039" t="s">
        <v>1064</v>
      </c>
      <c r="M5039" t="s">
        <v>2383</v>
      </c>
      <c r="N5039" s="15" t="s">
        <v>6878</v>
      </c>
    </row>
    <row r="5040" spans="1:14" x14ac:dyDescent="0.2">
      <c r="A5040" t="s">
        <v>6169</v>
      </c>
      <c r="B5040" t="s">
        <v>2360</v>
      </c>
      <c r="C5040" s="9">
        <v>45061</v>
      </c>
      <c r="D5040" t="s">
        <v>946</v>
      </c>
      <c r="E5040" s="13">
        <v>5293450</v>
      </c>
      <c r="F5040" s="13">
        <v>5550</v>
      </c>
      <c r="G5040" s="9">
        <v>45072</v>
      </c>
      <c r="H5040" t="s">
        <v>1111</v>
      </c>
      <c r="I5040" t="s">
        <v>2382</v>
      </c>
      <c r="J5040" s="13">
        <v>264407</v>
      </c>
      <c r="K5040">
        <v>1</v>
      </c>
      <c r="L5040" t="s">
        <v>1064</v>
      </c>
      <c r="M5040" t="s">
        <v>2383</v>
      </c>
      <c r="N5040" s="15" t="s">
        <v>6878</v>
      </c>
    </row>
    <row r="5041" spans="1:14" x14ac:dyDescent="0.2">
      <c r="A5041" t="s">
        <v>6170</v>
      </c>
      <c r="B5041" t="s">
        <v>2360</v>
      </c>
      <c r="C5041" s="9">
        <v>45062</v>
      </c>
      <c r="D5041" t="s">
        <v>946</v>
      </c>
      <c r="E5041" s="13">
        <v>5293450</v>
      </c>
      <c r="F5041" s="13">
        <v>5550</v>
      </c>
      <c r="G5041" s="9">
        <v>45072</v>
      </c>
      <c r="H5041" t="s">
        <v>1111</v>
      </c>
      <c r="I5041" t="s">
        <v>2382</v>
      </c>
      <c r="J5041" s="13">
        <v>264407</v>
      </c>
      <c r="K5041">
        <v>1</v>
      </c>
      <c r="L5041" t="s">
        <v>1064</v>
      </c>
      <c r="M5041" t="s">
        <v>2383</v>
      </c>
      <c r="N5041" s="15" t="s">
        <v>6878</v>
      </c>
    </row>
    <row r="5042" spans="1:14" x14ac:dyDescent="0.2">
      <c r="A5042" t="s">
        <v>6171</v>
      </c>
      <c r="B5042" t="s">
        <v>2360</v>
      </c>
      <c r="C5042" s="9">
        <v>45062</v>
      </c>
      <c r="D5042" t="s">
        <v>946</v>
      </c>
      <c r="E5042" s="13">
        <v>5293450</v>
      </c>
      <c r="F5042" s="13">
        <v>5550</v>
      </c>
      <c r="G5042" s="9">
        <v>45072</v>
      </c>
      <c r="H5042" t="s">
        <v>1111</v>
      </c>
      <c r="I5042" t="s">
        <v>2382</v>
      </c>
      <c r="J5042" s="13">
        <v>264407</v>
      </c>
      <c r="K5042">
        <v>1</v>
      </c>
      <c r="L5042" t="s">
        <v>1064</v>
      </c>
      <c r="M5042" t="s">
        <v>2383</v>
      </c>
      <c r="N5042" s="15" t="s">
        <v>6878</v>
      </c>
    </row>
    <row r="5043" spans="1:14" x14ac:dyDescent="0.2">
      <c r="A5043" t="s">
        <v>6172</v>
      </c>
      <c r="B5043" t="s">
        <v>2360</v>
      </c>
      <c r="C5043" s="9">
        <v>45062</v>
      </c>
      <c r="D5043" t="s">
        <v>946</v>
      </c>
      <c r="E5043" s="13">
        <v>5293450</v>
      </c>
      <c r="F5043" s="13">
        <v>5550</v>
      </c>
      <c r="G5043" s="9">
        <v>45072</v>
      </c>
      <c r="H5043" t="s">
        <v>1111</v>
      </c>
      <c r="I5043" t="s">
        <v>2382</v>
      </c>
      <c r="J5043" s="13">
        <v>264407</v>
      </c>
      <c r="K5043">
        <v>1</v>
      </c>
      <c r="L5043" t="s">
        <v>1064</v>
      </c>
      <c r="M5043" t="s">
        <v>2383</v>
      </c>
      <c r="N5043" s="15" t="s">
        <v>6878</v>
      </c>
    </row>
    <row r="5044" spans="1:14" x14ac:dyDescent="0.2">
      <c r="A5044" t="s">
        <v>6173</v>
      </c>
      <c r="B5044" t="s">
        <v>2360</v>
      </c>
      <c r="C5044" s="9">
        <v>45062</v>
      </c>
      <c r="D5044" t="s">
        <v>946</v>
      </c>
      <c r="E5044" s="13">
        <v>5293450</v>
      </c>
      <c r="F5044" s="13">
        <v>5550</v>
      </c>
      <c r="G5044" s="9">
        <v>45072</v>
      </c>
      <c r="H5044" t="s">
        <v>1111</v>
      </c>
      <c r="I5044" t="s">
        <v>2382</v>
      </c>
      <c r="J5044" s="13">
        <v>264407</v>
      </c>
      <c r="K5044">
        <v>1</v>
      </c>
      <c r="L5044" t="s">
        <v>1064</v>
      </c>
      <c r="M5044" t="s">
        <v>2383</v>
      </c>
      <c r="N5044" s="15" t="s">
        <v>6878</v>
      </c>
    </row>
    <row r="5045" spans="1:14" x14ac:dyDescent="0.2">
      <c r="A5045" t="s">
        <v>6174</v>
      </c>
      <c r="B5045" t="s">
        <v>2360</v>
      </c>
      <c r="C5045" s="9">
        <v>45062</v>
      </c>
      <c r="D5045" t="s">
        <v>946</v>
      </c>
      <c r="E5045" s="13">
        <v>5293450</v>
      </c>
      <c r="F5045" s="13">
        <v>5550</v>
      </c>
      <c r="G5045" s="9">
        <v>45072</v>
      </c>
      <c r="H5045" t="s">
        <v>1111</v>
      </c>
      <c r="I5045" t="s">
        <v>2382</v>
      </c>
      <c r="J5045" s="13">
        <v>264407</v>
      </c>
      <c r="K5045">
        <v>1</v>
      </c>
      <c r="L5045" t="s">
        <v>1064</v>
      </c>
      <c r="M5045" t="s">
        <v>2383</v>
      </c>
      <c r="N5045" s="15" t="s">
        <v>6878</v>
      </c>
    </row>
    <row r="5046" spans="1:14" x14ac:dyDescent="0.2">
      <c r="A5046" t="s">
        <v>6175</v>
      </c>
      <c r="B5046" t="s">
        <v>2360</v>
      </c>
      <c r="C5046" s="9">
        <v>45062</v>
      </c>
      <c r="D5046" t="s">
        <v>946</v>
      </c>
      <c r="E5046" s="13">
        <v>5293450</v>
      </c>
      <c r="F5046" s="13">
        <v>5550</v>
      </c>
      <c r="G5046" s="9">
        <v>45072</v>
      </c>
      <c r="H5046" t="s">
        <v>1111</v>
      </c>
      <c r="I5046" t="s">
        <v>2382</v>
      </c>
      <c r="J5046" s="13">
        <v>264407</v>
      </c>
      <c r="K5046">
        <v>1</v>
      </c>
      <c r="L5046" t="s">
        <v>1064</v>
      </c>
      <c r="M5046" t="s">
        <v>2383</v>
      </c>
      <c r="N5046" s="15" t="s">
        <v>6878</v>
      </c>
    </row>
    <row r="5047" spans="1:14" x14ac:dyDescent="0.2">
      <c r="A5047" t="s">
        <v>6176</v>
      </c>
      <c r="B5047" t="s">
        <v>2360</v>
      </c>
      <c r="C5047" s="9">
        <v>45062</v>
      </c>
      <c r="D5047" t="s">
        <v>946</v>
      </c>
      <c r="E5047" s="13">
        <v>5293450</v>
      </c>
      <c r="F5047" s="13">
        <v>5550</v>
      </c>
      <c r="G5047" s="9">
        <v>45072</v>
      </c>
      <c r="H5047" t="s">
        <v>1111</v>
      </c>
      <c r="I5047" t="s">
        <v>2382</v>
      </c>
      <c r="J5047" s="13">
        <v>264407</v>
      </c>
      <c r="K5047">
        <v>1</v>
      </c>
      <c r="L5047" t="s">
        <v>1064</v>
      </c>
      <c r="M5047" t="s">
        <v>2383</v>
      </c>
      <c r="N5047" s="15" t="s">
        <v>6878</v>
      </c>
    </row>
    <row r="5048" spans="1:14" x14ac:dyDescent="0.2">
      <c r="A5048" t="s">
        <v>6177</v>
      </c>
      <c r="B5048" t="s">
        <v>2360</v>
      </c>
      <c r="C5048" s="9">
        <v>45062</v>
      </c>
      <c r="D5048" t="s">
        <v>946</v>
      </c>
      <c r="E5048" s="13">
        <v>14350000</v>
      </c>
      <c r="F5048" s="13">
        <v>5550</v>
      </c>
      <c r="G5048" s="9">
        <v>45072</v>
      </c>
      <c r="H5048" t="s">
        <v>1111</v>
      </c>
      <c r="I5048" t="s">
        <v>2382</v>
      </c>
      <c r="J5048" s="13">
        <v>716782</v>
      </c>
      <c r="K5048">
        <v>1</v>
      </c>
      <c r="L5048" t="s">
        <v>1064</v>
      </c>
      <c r="M5048" t="s">
        <v>2383</v>
      </c>
      <c r="N5048" s="15" t="s">
        <v>6878</v>
      </c>
    </row>
    <row r="5049" spans="1:14" x14ac:dyDescent="0.2">
      <c r="A5049" t="s">
        <v>6178</v>
      </c>
      <c r="B5049" t="s">
        <v>2360</v>
      </c>
      <c r="C5049" s="9">
        <v>45062</v>
      </c>
      <c r="D5049" t="s">
        <v>946</v>
      </c>
      <c r="E5049" s="13">
        <v>14851625</v>
      </c>
      <c r="F5049" s="13">
        <v>5550</v>
      </c>
      <c r="G5049" s="9">
        <v>45072</v>
      </c>
      <c r="H5049" t="s">
        <v>1111</v>
      </c>
      <c r="I5049" t="s">
        <v>2382</v>
      </c>
      <c r="J5049" s="13">
        <v>741838</v>
      </c>
      <c r="K5049">
        <v>1</v>
      </c>
      <c r="L5049" t="s">
        <v>1064</v>
      </c>
      <c r="M5049" t="s">
        <v>2383</v>
      </c>
      <c r="N5049" s="15" t="s">
        <v>6878</v>
      </c>
    </row>
    <row r="5050" spans="1:14" x14ac:dyDescent="0.2">
      <c r="A5050" t="s">
        <v>6179</v>
      </c>
      <c r="B5050" t="s">
        <v>2360</v>
      </c>
      <c r="C5050" s="9">
        <v>45062</v>
      </c>
      <c r="D5050" t="s">
        <v>946</v>
      </c>
      <c r="E5050" s="13">
        <v>14851625</v>
      </c>
      <c r="F5050" s="13">
        <v>5550</v>
      </c>
      <c r="G5050" s="9">
        <v>45072</v>
      </c>
      <c r="H5050" t="s">
        <v>1111</v>
      </c>
      <c r="I5050" t="s">
        <v>2382</v>
      </c>
      <c r="J5050" s="13">
        <v>741838</v>
      </c>
      <c r="K5050">
        <v>1</v>
      </c>
      <c r="L5050" t="s">
        <v>1064</v>
      </c>
      <c r="M5050" t="s">
        <v>2383</v>
      </c>
      <c r="N5050" s="15" t="s">
        <v>6878</v>
      </c>
    </row>
    <row r="5051" spans="1:14" x14ac:dyDescent="0.2">
      <c r="A5051" t="s">
        <v>6180</v>
      </c>
      <c r="B5051" t="s">
        <v>2360</v>
      </c>
      <c r="C5051" s="9">
        <v>45062</v>
      </c>
      <c r="D5051" t="s">
        <v>946</v>
      </c>
      <c r="E5051" s="13">
        <v>5511950</v>
      </c>
      <c r="F5051" s="13">
        <v>5550</v>
      </c>
      <c r="G5051" s="9">
        <v>45072</v>
      </c>
      <c r="H5051" t="s">
        <v>1111</v>
      </c>
      <c r="I5051" t="s">
        <v>2382</v>
      </c>
      <c r="J5051" s="13">
        <v>275321</v>
      </c>
      <c r="K5051">
        <v>1</v>
      </c>
      <c r="L5051" t="s">
        <v>1064</v>
      </c>
      <c r="M5051" t="s">
        <v>2383</v>
      </c>
      <c r="N5051" s="15" t="s">
        <v>6878</v>
      </c>
    </row>
    <row r="5052" spans="1:14" x14ac:dyDescent="0.2">
      <c r="A5052" t="s">
        <v>6181</v>
      </c>
      <c r="B5052" t="s">
        <v>2360</v>
      </c>
      <c r="C5052" s="9">
        <v>45062</v>
      </c>
      <c r="D5052" t="s">
        <v>946</v>
      </c>
      <c r="E5052" s="13">
        <v>13541825</v>
      </c>
      <c r="F5052" s="13">
        <v>5550</v>
      </c>
      <c r="G5052" s="9">
        <v>45072</v>
      </c>
      <c r="H5052" t="s">
        <v>1111</v>
      </c>
      <c r="I5052" t="s">
        <v>2382</v>
      </c>
      <c r="J5052" s="13">
        <v>676414</v>
      </c>
      <c r="K5052">
        <v>1</v>
      </c>
      <c r="L5052" t="s">
        <v>1064</v>
      </c>
      <c r="M5052" t="s">
        <v>2383</v>
      </c>
      <c r="N5052" s="15" t="s">
        <v>6878</v>
      </c>
    </row>
    <row r="5053" spans="1:14" x14ac:dyDescent="0.2">
      <c r="A5053" t="s">
        <v>6182</v>
      </c>
      <c r="B5053" t="s">
        <v>2360</v>
      </c>
      <c r="C5053" s="9">
        <v>45062</v>
      </c>
      <c r="D5053" t="s">
        <v>946</v>
      </c>
      <c r="E5053" s="13">
        <v>11348150</v>
      </c>
      <c r="F5053" s="13">
        <v>5550</v>
      </c>
      <c r="G5053" s="9">
        <v>45072</v>
      </c>
      <c r="H5053" t="s">
        <v>1111</v>
      </c>
      <c r="I5053" t="s">
        <v>2382</v>
      </c>
      <c r="J5053" s="13">
        <v>566839</v>
      </c>
      <c r="K5053">
        <v>1</v>
      </c>
      <c r="L5053" t="s">
        <v>1064</v>
      </c>
      <c r="M5053" t="s">
        <v>2383</v>
      </c>
      <c r="N5053" s="15" t="s">
        <v>6878</v>
      </c>
    </row>
    <row r="5054" spans="1:14" x14ac:dyDescent="0.2">
      <c r="A5054" t="s">
        <v>6183</v>
      </c>
      <c r="B5054" t="s">
        <v>2360</v>
      </c>
      <c r="C5054" s="9">
        <v>45062</v>
      </c>
      <c r="D5054" t="s">
        <v>946</v>
      </c>
      <c r="E5054" s="13">
        <v>14851625</v>
      </c>
      <c r="F5054" s="13">
        <v>5550</v>
      </c>
      <c r="G5054" s="9">
        <v>45072</v>
      </c>
      <c r="H5054" t="s">
        <v>1111</v>
      </c>
      <c r="I5054" t="s">
        <v>2382</v>
      </c>
      <c r="J5054" s="13">
        <v>741838</v>
      </c>
      <c r="K5054">
        <v>1</v>
      </c>
      <c r="L5054" t="s">
        <v>1064</v>
      </c>
      <c r="M5054" t="s">
        <v>2383</v>
      </c>
      <c r="N5054" s="15" t="s">
        <v>6878</v>
      </c>
    </row>
    <row r="5055" spans="1:14" x14ac:dyDescent="0.2">
      <c r="A5055" t="s">
        <v>6184</v>
      </c>
      <c r="B5055" t="s">
        <v>2360</v>
      </c>
      <c r="C5055" s="9">
        <v>45062</v>
      </c>
      <c r="D5055" t="s">
        <v>946</v>
      </c>
      <c r="E5055" s="13">
        <v>5511950</v>
      </c>
      <c r="F5055" s="13">
        <v>5550</v>
      </c>
      <c r="G5055" s="9">
        <v>45072</v>
      </c>
      <c r="H5055" t="s">
        <v>1111</v>
      </c>
      <c r="I5055" t="s">
        <v>2382</v>
      </c>
      <c r="J5055" s="13">
        <v>275321</v>
      </c>
      <c r="K5055">
        <v>1</v>
      </c>
      <c r="L5055" t="s">
        <v>1064</v>
      </c>
      <c r="M5055" t="s">
        <v>2383</v>
      </c>
      <c r="N5055" s="15" t="s">
        <v>6878</v>
      </c>
    </row>
    <row r="5056" spans="1:14" x14ac:dyDescent="0.2">
      <c r="A5056" t="s">
        <v>6185</v>
      </c>
      <c r="B5056" t="s">
        <v>2360</v>
      </c>
      <c r="C5056" s="9">
        <v>45062</v>
      </c>
      <c r="D5056" t="s">
        <v>946</v>
      </c>
      <c r="E5056" s="13">
        <v>6549825</v>
      </c>
      <c r="F5056" s="13">
        <v>5550</v>
      </c>
      <c r="G5056" s="9">
        <v>45072</v>
      </c>
      <c r="H5056" t="s">
        <v>1111</v>
      </c>
      <c r="I5056" t="s">
        <v>2382</v>
      </c>
      <c r="J5056" s="13">
        <v>327163</v>
      </c>
      <c r="K5056">
        <v>1</v>
      </c>
      <c r="L5056" t="s">
        <v>1064</v>
      </c>
      <c r="M5056" t="s">
        <v>2383</v>
      </c>
      <c r="N5056" s="15" t="s">
        <v>6878</v>
      </c>
    </row>
    <row r="5057" spans="1:14" x14ac:dyDescent="0.2">
      <c r="A5057" t="s">
        <v>6186</v>
      </c>
      <c r="B5057" t="s">
        <v>2360</v>
      </c>
      <c r="C5057" s="9">
        <v>45062</v>
      </c>
      <c r="D5057" t="s">
        <v>946</v>
      </c>
      <c r="E5057" s="13">
        <v>5511950</v>
      </c>
      <c r="F5057" s="13">
        <v>5550</v>
      </c>
      <c r="G5057" s="9">
        <v>45072</v>
      </c>
      <c r="H5057" t="s">
        <v>1111</v>
      </c>
      <c r="I5057" t="s">
        <v>2382</v>
      </c>
      <c r="J5057" s="13">
        <v>275321</v>
      </c>
      <c r="K5057">
        <v>1</v>
      </c>
      <c r="L5057" t="s">
        <v>1064</v>
      </c>
      <c r="M5057" t="s">
        <v>2383</v>
      </c>
      <c r="N5057" s="15" t="s">
        <v>6878</v>
      </c>
    </row>
    <row r="5058" spans="1:14" x14ac:dyDescent="0.2">
      <c r="A5058" t="s">
        <v>6187</v>
      </c>
      <c r="B5058" t="s">
        <v>2360</v>
      </c>
      <c r="C5058" s="9">
        <v>45062</v>
      </c>
      <c r="D5058" t="s">
        <v>946</v>
      </c>
      <c r="E5058" s="13">
        <v>5511950</v>
      </c>
      <c r="F5058" s="13">
        <v>5550</v>
      </c>
      <c r="G5058" s="9">
        <v>45072</v>
      </c>
      <c r="H5058" t="s">
        <v>1111</v>
      </c>
      <c r="I5058" t="s">
        <v>2382</v>
      </c>
      <c r="J5058" s="13">
        <v>275321</v>
      </c>
      <c r="K5058">
        <v>1</v>
      </c>
      <c r="L5058" t="s">
        <v>1064</v>
      </c>
      <c r="M5058" t="s">
        <v>2383</v>
      </c>
      <c r="N5058" s="15" t="s">
        <v>6878</v>
      </c>
    </row>
    <row r="5059" spans="1:14" x14ac:dyDescent="0.2">
      <c r="A5059" t="s">
        <v>6188</v>
      </c>
      <c r="B5059" t="s">
        <v>2360</v>
      </c>
      <c r="C5059" s="9">
        <v>45062</v>
      </c>
      <c r="D5059" t="s">
        <v>946</v>
      </c>
      <c r="E5059" s="13">
        <v>5511950</v>
      </c>
      <c r="F5059" s="13">
        <v>5550</v>
      </c>
      <c r="G5059" s="9">
        <v>45072</v>
      </c>
      <c r="H5059" t="s">
        <v>1111</v>
      </c>
      <c r="I5059" t="s">
        <v>2382</v>
      </c>
      <c r="J5059" s="13">
        <v>275321</v>
      </c>
      <c r="K5059">
        <v>1</v>
      </c>
      <c r="L5059" t="s">
        <v>1064</v>
      </c>
      <c r="M5059" t="s">
        <v>2383</v>
      </c>
      <c r="N5059" s="15" t="s">
        <v>6878</v>
      </c>
    </row>
    <row r="5060" spans="1:14" x14ac:dyDescent="0.2">
      <c r="A5060" t="s">
        <v>6189</v>
      </c>
      <c r="B5060" t="s">
        <v>2360</v>
      </c>
      <c r="C5060" s="9">
        <v>45062</v>
      </c>
      <c r="D5060" t="s">
        <v>946</v>
      </c>
      <c r="E5060" s="13">
        <v>6549825</v>
      </c>
      <c r="F5060" s="13">
        <v>5550</v>
      </c>
      <c r="G5060" s="9">
        <v>45072</v>
      </c>
      <c r="H5060" t="s">
        <v>1111</v>
      </c>
      <c r="I5060" t="s">
        <v>2382</v>
      </c>
      <c r="J5060" s="13">
        <v>327163</v>
      </c>
      <c r="K5060">
        <v>1</v>
      </c>
      <c r="L5060" t="s">
        <v>1064</v>
      </c>
      <c r="M5060" t="s">
        <v>2383</v>
      </c>
      <c r="N5060" s="15" t="s">
        <v>6878</v>
      </c>
    </row>
    <row r="5061" spans="1:14" x14ac:dyDescent="0.2">
      <c r="A5061" t="s">
        <v>6190</v>
      </c>
      <c r="B5061" t="s">
        <v>2360</v>
      </c>
      <c r="C5061" s="9">
        <v>45062</v>
      </c>
      <c r="D5061" t="s">
        <v>946</v>
      </c>
      <c r="E5061" s="13">
        <v>5511950</v>
      </c>
      <c r="F5061" s="13">
        <v>5550</v>
      </c>
      <c r="G5061" s="9">
        <v>45072</v>
      </c>
      <c r="H5061" t="s">
        <v>1111</v>
      </c>
      <c r="I5061" t="s">
        <v>2382</v>
      </c>
      <c r="J5061" s="13">
        <v>275321</v>
      </c>
      <c r="K5061">
        <v>1</v>
      </c>
      <c r="L5061" t="s">
        <v>1064</v>
      </c>
      <c r="M5061" t="s">
        <v>2383</v>
      </c>
      <c r="N5061" s="15" t="s">
        <v>6878</v>
      </c>
    </row>
    <row r="5062" spans="1:14" x14ac:dyDescent="0.2">
      <c r="A5062" t="s">
        <v>6191</v>
      </c>
      <c r="B5062" t="s">
        <v>2360</v>
      </c>
      <c r="C5062" s="9">
        <v>45062</v>
      </c>
      <c r="D5062" t="s">
        <v>946</v>
      </c>
      <c r="E5062" s="13">
        <v>6549825</v>
      </c>
      <c r="F5062" s="13">
        <v>5550</v>
      </c>
      <c r="G5062" s="9">
        <v>45072</v>
      </c>
      <c r="H5062" t="s">
        <v>1111</v>
      </c>
      <c r="I5062" t="s">
        <v>2382</v>
      </c>
      <c r="J5062" s="13">
        <v>327163</v>
      </c>
      <c r="K5062">
        <v>1</v>
      </c>
      <c r="L5062" t="s">
        <v>1064</v>
      </c>
      <c r="M5062" t="s">
        <v>2383</v>
      </c>
      <c r="N5062" s="15" t="s">
        <v>6878</v>
      </c>
    </row>
    <row r="5063" spans="1:14" x14ac:dyDescent="0.2">
      <c r="A5063" t="s">
        <v>6192</v>
      </c>
      <c r="B5063" t="s">
        <v>2360</v>
      </c>
      <c r="C5063" s="9">
        <v>45062</v>
      </c>
      <c r="D5063" t="s">
        <v>946</v>
      </c>
      <c r="E5063" s="13">
        <v>5511950</v>
      </c>
      <c r="F5063" s="13">
        <v>5550</v>
      </c>
      <c r="G5063" s="9">
        <v>45072</v>
      </c>
      <c r="H5063" t="s">
        <v>1111</v>
      </c>
      <c r="I5063" t="s">
        <v>2382</v>
      </c>
      <c r="J5063" s="13">
        <v>275321</v>
      </c>
      <c r="K5063">
        <v>1</v>
      </c>
      <c r="L5063" t="s">
        <v>1064</v>
      </c>
      <c r="M5063" t="s">
        <v>2383</v>
      </c>
      <c r="N5063" s="15" t="s">
        <v>6878</v>
      </c>
    </row>
    <row r="5064" spans="1:14" x14ac:dyDescent="0.2">
      <c r="A5064" t="s">
        <v>6193</v>
      </c>
      <c r="B5064" t="s">
        <v>2360</v>
      </c>
      <c r="C5064" s="9">
        <v>45062</v>
      </c>
      <c r="D5064" t="s">
        <v>946</v>
      </c>
      <c r="E5064" s="13">
        <v>5511950</v>
      </c>
      <c r="F5064" s="13">
        <v>5550</v>
      </c>
      <c r="G5064" s="9">
        <v>45072</v>
      </c>
      <c r="H5064" t="s">
        <v>1111</v>
      </c>
      <c r="I5064" t="s">
        <v>2382</v>
      </c>
      <c r="J5064" s="13">
        <v>275321</v>
      </c>
      <c r="K5064">
        <v>1</v>
      </c>
      <c r="L5064" t="s">
        <v>1064</v>
      </c>
      <c r="M5064" t="s">
        <v>2383</v>
      </c>
      <c r="N5064" s="15" t="s">
        <v>6878</v>
      </c>
    </row>
    <row r="5065" spans="1:14" x14ac:dyDescent="0.2">
      <c r="A5065" t="s">
        <v>6194</v>
      </c>
      <c r="B5065" t="s">
        <v>2360</v>
      </c>
      <c r="C5065" s="9">
        <v>45062</v>
      </c>
      <c r="D5065" t="s">
        <v>946</v>
      </c>
      <c r="E5065" s="13">
        <v>3543150</v>
      </c>
      <c r="F5065" s="13">
        <v>5550</v>
      </c>
      <c r="G5065" s="9">
        <v>45072</v>
      </c>
      <c r="H5065" t="s">
        <v>1111</v>
      </c>
      <c r="I5065" t="s">
        <v>2382</v>
      </c>
      <c r="J5065" s="13">
        <v>176979</v>
      </c>
      <c r="K5065">
        <v>1</v>
      </c>
      <c r="L5065" t="s">
        <v>1064</v>
      </c>
      <c r="M5065" t="s">
        <v>2383</v>
      </c>
      <c r="N5065" s="15" t="s">
        <v>6878</v>
      </c>
    </row>
    <row r="5066" spans="1:14" x14ac:dyDescent="0.2">
      <c r="A5066" t="s">
        <v>6195</v>
      </c>
      <c r="B5066" t="s">
        <v>2360</v>
      </c>
      <c r="C5066" s="9">
        <v>45062</v>
      </c>
      <c r="D5066" t="s">
        <v>946</v>
      </c>
      <c r="E5066" s="13">
        <v>2134350</v>
      </c>
      <c r="F5066" s="13">
        <v>5550</v>
      </c>
      <c r="G5066" s="9">
        <v>45072</v>
      </c>
      <c r="H5066" t="s">
        <v>1111</v>
      </c>
      <c r="I5066" t="s">
        <v>2382</v>
      </c>
      <c r="J5066" s="13">
        <v>106609</v>
      </c>
      <c r="K5066">
        <v>1</v>
      </c>
      <c r="L5066" t="s">
        <v>1064</v>
      </c>
      <c r="M5066" t="s">
        <v>2383</v>
      </c>
      <c r="N5066" s="15" t="s">
        <v>6878</v>
      </c>
    </row>
    <row r="5067" spans="1:14" x14ac:dyDescent="0.2">
      <c r="A5067" t="s">
        <v>6196</v>
      </c>
      <c r="B5067" t="s">
        <v>2360</v>
      </c>
      <c r="C5067" s="9">
        <v>45062</v>
      </c>
      <c r="D5067" t="s">
        <v>946</v>
      </c>
      <c r="E5067" s="13">
        <v>1542240</v>
      </c>
      <c r="F5067" s="13">
        <v>5550</v>
      </c>
      <c r="G5067" s="9">
        <v>45072</v>
      </c>
      <c r="H5067" t="s">
        <v>1111</v>
      </c>
      <c r="I5067" t="s">
        <v>2382</v>
      </c>
      <c r="J5067" s="13">
        <v>77034</v>
      </c>
      <c r="K5067">
        <v>1</v>
      </c>
      <c r="L5067" t="s">
        <v>1064</v>
      </c>
      <c r="M5067" t="s">
        <v>2383</v>
      </c>
      <c r="N5067" s="15" t="s">
        <v>6878</v>
      </c>
    </row>
    <row r="5068" spans="1:14" x14ac:dyDescent="0.2">
      <c r="A5068" t="s">
        <v>6197</v>
      </c>
      <c r="B5068" t="s">
        <v>2360</v>
      </c>
      <c r="C5068" s="9">
        <v>45062</v>
      </c>
      <c r="D5068" t="s">
        <v>946</v>
      </c>
      <c r="E5068" s="13">
        <v>5131620</v>
      </c>
      <c r="F5068" s="13">
        <v>5550</v>
      </c>
      <c r="G5068" s="9">
        <v>45072</v>
      </c>
      <c r="H5068" t="s">
        <v>1111</v>
      </c>
      <c r="I5068" t="s">
        <v>2382</v>
      </c>
      <c r="J5068" s="13">
        <v>256323</v>
      </c>
      <c r="K5068">
        <v>1</v>
      </c>
      <c r="L5068" t="s">
        <v>1064</v>
      </c>
      <c r="M5068" t="s">
        <v>2383</v>
      </c>
      <c r="N5068" s="15" t="s">
        <v>6878</v>
      </c>
    </row>
    <row r="5069" spans="1:14" x14ac:dyDescent="0.2">
      <c r="A5069" t="s">
        <v>6198</v>
      </c>
      <c r="B5069" t="s">
        <v>2360</v>
      </c>
      <c r="C5069" s="9">
        <v>45062</v>
      </c>
      <c r="D5069" t="s">
        <v>946</v>
      </c>
      <c r="E5069" s="13">
        <v>1800000</v>
      </c>
      <c r="F5069" s="13">
        <v>5550</v>
      </c>
      <c r="G5069" s="9">
        <v>45072</v>
      </c>
      <c r="H5069" t="s">
        <v>1111</v>
      </c>
      <c r="I5069" t="s">
        <v>2382</v>
      </c>
      <c r="J5069" s="13">
        <v>89910</v>
      </c>
      <c r="K5069">
        <v>1</v>
      </c>
      <c r="L5069" t="s">
        <v>1064</v>
      </c>
      <c r="M5069" t="s">
        <v>2383</v>
      </c>
      <c r="N5069" s="15" t="s">
        <v>6878</v>
      </c>
    </row>
    <row r="5070" spans="1:14" x14ac:dyDescent="0.2">
      <c r="A5070" t="s">
        <v>6199</v>
      </c>
      <c r="B5070" t="s">
        <v>2360</v>
      </c>
      <c r="C5070" s="9">
        <v>45062</v>
      </c>
      <c r="D5070" t="s">
        <v>946</v>
      </c>
      <c r="E5070" s="13">
        <v>3878550</v>
      </c>
      <c r="F5070" s="13">
        <v>5550</v>
      </c>
      <c r="G5070" s="9">
        <v>45072</v>
      </c>
      <c r="H5070" t="s">
        <v>1111</v>
      </c>
      <c r="I5070" t="s">
        <v>2382</v>
      </c>
      <c r="J5070" s="13">
        <v>193732</v>
      </c>
      <c r="K5070">
        <v>1</v>
      </c>
      <c r="L5070" t="s">
        <v>1064</v>
      </c>
      <c r="M5070" t="s">
        <v>2383</v>
      </c>
      <c r="N5070" s="15" t="s">
        <v>6878</v>
      </c>
    </row>
    <row r="5071" spans="1:14" x14ac:dyDescent="0.2">
      <c r="A5071" t="s">
        <v>6200</v>
      </c>
      <c r="B5071" t="s">
        <v>2360</v>
      </c>
      <c r="C5071" s="9">
        <v>45062</v>
      </c>
      <c r="D5071" t="s">
        <v>946</v>
      </c>
      <c r="E5071" s="13">
        <v>1542240</v>
      </c>
      <c r="F5071" s="13">
        <v>5550</v>
      </c>
      <c r="G5071" s="9">
        <v>45072</v>
      </c>
      <c r="H5071" t="s">
        <v>1111</v>
      </c>
      <c r="I5071" t="s">
        <v>2382</v>
      </c>
      <c r="J5071" s="13">
        <v>77034</v>
      </c>
      <c r="K5071">
        <v>1</v>
      </c>
      <c r="L5071" t="s">
        <v>1064</v>
      </c>
      <c r="M5071" t="s">
        <v>2383</v>
      </c>
      <c r="N5071" s="15" t="s">
        <v>6878</v>
      </c>
    </row>
    <row r="5072" spans="1:14" x14ac:dyDescent="0.2">
      <c r="A5072" t="s">
        <v>6201</v>
      </c>
      <c r="B5072" t="s">
        <v>2360</v>
      </c>
      <c r="C5072" s="9">
        <v>45062</v>
      </c>
      <c r="D5072" t="s">
        <v>946</v>
      </c>
      <c r="E5072" s="13">
        <v>3414960</v>
      </c>
      <c r="F5072" s="13">
        <v>5550</v>
      </c>
      <c r="G5072" s="9">
        <v>45072</v>
      </c>
      <c r="H5072" t="s">
        <v>1111</v>
      </c>
      <c r="I5072" t="s">
        <v>2382</v>
      </c>
      <c r="J5072" s="13">
        <v>170577</v>
      </c>
      <c r="K5072">
        <v>1</v>
      </c>
      <c r="L5072" t="s">
        <v>1064</v>
      </c>
      <c r="M5072" t="s">
        <v>2383</v>
      </c>
      <c r="N5072" s="15" t="s">
        <v>6878</v>
      </c>
    </row>
    <row r="5073" spans="1:14" x14ac:dyDescent="0.2">
      <c r="A5073" t="s">
        <v>6202</v>
      </c>
      <c r="B5073" t="s">
        <v>2360</v>
      </c>
      <c r="C5073" s="9">
        <v>45062</v>
      </c>
      <c r="D5073" t="s">
        <v>946</v>
      </c>
      <c r="E5073" s="13">
        <v>5511950</v>
      </c>
      <c r="F5073" s="13">
        <v>5550</v>
      </c>
      <c r="G5073" s="9">
        <v>45072</v>
      </c>
      <c r="H5073" t="s">
        <v>1111</v>
      </c>
      <c r="I5073" t="s">
        <v>2382</v>
      </c>
      <c r="J5073" s="13">
        <v>275321</v>
      </c>
      <c r="K5073">
        <v>1</v>
      </c>
      <c r="L5073" t="s">
        <v>1064</v>
      </c>
      <c r="M5073" t="s">
        <v>2383</v>
      </c>
      <c r="N5073" s="15" t="s">
        <v>6878</v>
      </c>
    </row>
    <row r="5074" spans="1:14" x14ac:dyDescent="0.2">
      <c r="A5074" t="s">
        <v>6203</v>
      </c>
      <c r="B5074" t="s">
        <v>2360</v>
      </c>
      <c r="C5074" s="9">
        <v>45062</v>
      </c>
      <c r="D5074" t="s">
        <v>946</v>
      </c>
      <c r="E5074" s="13">
        <v>5511950</v>
      </c>
      <c r="F5074" s="13">
        <v>5550</v>
      </c>
      <c r="G5074" s="9">
        <v>45072</v>
      </c>
      <c r="H5074" t="s">
        <v>1111</v>
      </c>
      <c r="I5074" t="s">
        <v>2382</v>
      </c>
      <c r="J5074" s="13">
        <v>275321</v>
      </c>
      <c r="K5074">
        <v>1</v>
      </c>
      <c r="L5074" t="s">
        <v>1064</v>
      </c>
      <c r="M5074" t="s">
        <v>2383</v>
      </c>
      <c r="N5074" s="15" t="s">
        <v>6878</v>
      </c>
    </row>
    <row r="5075" spans="1:14" x14ac:dyDescent="0.2">
      <c r="A5075" t="s">
        <v>6204</v>
      </c>
      <c r="B5075" t="s">
        <v>2360</v>
      </c>
      <c r="C5075" s="9">
        <v>45062</v>
      </c>
      <c r="D5075" t="s">
        <v>946</v>
      </c>
      <c r="E5075" s="13">
        <v>5511950</v>
      </c>
      <c r="F5075" s="13">
        <v>5550</v>
      </c>
      <c r="G5075" s="9">
        <v>45072</v>
      </c>
      <c r="H5075" t="s">
        <v>1111</v>
      </c>
      <c r="I5075" t="s">
        <v>2382</v>
      </c>
      <c r="J5075" s="13">
        <v>275321</v>
      </c>
      <c r="K5075">
        <v>1</v>
      </c>
      <c r="L5075" t="s">
        <v>1064</v>
      </c>
      <c r="M5075" t="s">
        <v>2383</v>
      </c>
      <c r="N5075" s="15" t="s">
        <v>6878</v>
      </c>
    </row>
    <row r="5076" spans="1:14" x14ac:dyDescent="0.2">
      <c r="A5076" t="s">
        <v>6205</v>
      </c>
      <c r="B5076" t="s">
        <v>2360</v>
      </c>
      <c r="C5076" s="9">
        <v>45062</v>
      </c>
      <c r="D5076" t="s">
        <v>9</v>
      </c>
      <c r="E5076" s="13">
        <v>340060</v>
      </c>
      <c r="F5076" s="13">
        <v>24975</v>
      </c>
      <c r="G5076" s="9">
        <v>45071</v>
      </c>
      <c r="H5076" t="s">
        <v>1111</v>
      </c>
      <c r="I5076" t="s">
        <v>436</v>
      </c>
      <c r="J5076" s="13">
        <v>11323</v>
      </c>
      <c r="K5076">
        <v>1</v>
      </c>
      <c r="L5076" t="s">
        <v>1064</v>
      </c>
      <c r="M5076" t="s">
        <v>2364</v>
      </c>
      <c r="N5076" s="15" t="s">
        <v>6878</v>
      </c>
    </row>
    <row r="5077" spans="1:14" x14ac:dyDescent="0.2">
      <c r="A5077" t="s">
        <v>6206</v>
      </c>
      <c r="B5077" t="s">
        <v>2360</v>
      </c>
      <c r="C5077" s="9">
        <v>45062</v>
      </c>
      <c r="D5077" t="s">
        <v>992</v>
      </c>
      <c r="E5077" s="13">
        <v>2204000</v>
      </c>
      <c r="F5077" s="13">
        <v>20000</v>
      </c>
      <c r="H5077" t="s">
        <v>2184</v>
      </c>
      <c r="I5077" t="s">
        <v>2370</v>
      </c>
      <c r="J5077" s="13">
        <v>0</v>
      </c>
      <c r="K5077">
        <v>1</v>
      </c>
      <c r="L5077" t="s">
        <v>1064</v>
      </c>
      <c r="M5077" t="s">
        <v>2371</v>
      </c>
      <c r="N5077" s="14" t="s">
        <v>6877</v>
      </c>
    </row>
    <row r="5078" spans="1:14" x14ac:dyDescent="0.2">
      <c r="A5078" t="s">
        <v>6207</v>
      </c>
      <c r="B5078" t="s">
        <v>2360</v>
      </c>
      <c r="C5078" s="9">
        <v>45062</v>
      </c>
      <c r="D5078" t="s">
        <v>992</v>
      </c>
      <c r="E5078" s="13">
        <v>1740000</v>
      </c>
      <c r="F5078" s="13">
        <v>20000</v>
      </c>
      <c r="H5078" t="s">
        <v>2184</v>
      </c>
      <c r="I5078" t="s">
        <v>2370</v>
      </c>
      <c r="J5078" s="13">
        <v>0</v>
      </c>
      <c r="K5078">
        <v>1</v>
      </c>
      <c r="L5078" t="s">
        <v>1064</v>
      </c>
      <c r="M5078" t="s">
        <v>2371</v>
      </c>
      <c r="N5078" s="14" t="s">
        <v>6877</v>
      </c>
    </row>
    <row r="5079" spans="1:14" x14ac:dyDescent="0.2">
      <c r="A5079" t="s">
        <v>6208</v>
      </c>
      <c r="B5079" t="s">
        <v>2360</v>
      </c>
      <c r="C5079" s="9">
        <v>45062</v>
      </c>
      <c r="D5079" t="s">
        <v>992</v>
      </c>
      <c r="E5079" s="13">
        <v>1969428</v>
      </c>
      <c r="F5079" s="13">
        <v>22200</v>
      </c>
      <c r="G5079" s="9">
        <v>45066</v>
      </c>
      <c r="H5079" t="s">
        <v>1111</v>
      </c>
      <c r="I5079" t="s">
        <v>2370</v>
      </c>
      <c r="J5079" s="13">
        <v>87442</v>
      </c>
      <c r="K5079">
        <v>1</v>
      </c>
      <c r="L5079" t="s">
        <v>1064</v>
      </c>
      <c r="M5079" t="s">
        <v>2371</v>
      </c>
      <c r="N5079" s="15" t="s">
        <v>6878</v>
      </c>
    </row>
    <row r="5080" spans="1:14" x14ac:dyDescent="0.2">
      <c r="A5080" t="s">
        <v>6209</v>
      </c>
      <c r="B5080" t="s">
        <v>2360</v>
      </c>
      <c r="C5080" s="9">
        <v>45062</v>
      </c>
      <c r="D5080" t="s">
        <v>992</v>
      </c>
      <c r="E5080" s="13">
        <v>4130946</v>
      </c>
      <c r="F5080" s="13">
        <v>22200</v>
      </c>
      <c r="G5080" s="9">
        <v>45066</v>
      </c>
      <c r="H5080" t="s">
        <v>1111</v>
      </c>
      <c r="I5080" t="s">
        <v>2370</v>
      </c>
      <c r="J5080" s="13">
        <v>183413</v>
      </c>
      <c r="K5080">
        <v>1</v>
      </c>
      <c r="L5080" t="s">
        <v>1064</v>
      </c>
      <c r="M5080" t="s">
        <v>2371</v>
      </c>
      <c r="N5080" s="15" t="s">
        <v>6878</v>
      </c>
    </row>
    <row r="5081" spans="1:14" x14ac:dyDescent="0.2">
      <c r="A5081" t="s">
        <v>6210</v>
      </c>
      <c r="B5081" t="s">
        <v>2360</v>
      </c>
      <c r="C5081" s="9">
        <v>45062</v>
      </c>
      <c r="D5081" t="s">
        <v>992</v>
      </c>
      <c r="E5081" s="13">
        <v>2731772</v>
      </c>
      <c r="F5081" s="13">
        <v>22200</v>
      </c>
      <c r="G5081" s="9">
        <v>45066</v>
      </c>
      <c r="H5081" t="s">
        <v>1111</v>
      </c>
      <c r="I5081" t="s">
        <v>2370</v>
      </c>
      <c r="J5081" s="13">
        <v>121289</v>
      </c>
      <c r="K5081">
        <v>1</v>
      </c>
      <c r="L5081" t="s">
        <v>1064</v>
      </c>
      <c r="M5081" t="s">
        <v>2371</v>
      </c>
      <c r="N5081" s="15" t="s">
        <v>6878</v>
      </c>
    </row>
    <row r="5082" spans="1:14" x14ac:dyDescent="0.2">
      <c r="A5082" t="s">
        <v>6211</v>
      </c>
      <c r="B5082" t="s">
        <v>2360</v>
      </c>
      <c r="C5082" s="9">
        <v>45062</v>
      </c>
      <c r="D5082" t="s">
        <v>9</v>
      </c>
      <c r="E5082" s="13">
        <v>340060</v>
      </c>
      <c r="F5082" s="13">
        <v>24975</v>
      </c>
      <c r="G5082" s="9">
        <v>45065</v>
      </c>
      <c r="H5082" t="s">
        <v>1111</v>
      </c>
      <c r="I5082" t="s">
        <v>436</v>
      </c>
      <c r="J5082" s="13">
        <v>11323</v>
      </c>
      <c r="K5082">
        <v>1</v>
      </c>
      <c r="L5082" t="s">
        <v>1064</v>
      </c>
      <c r="M5082" t="s">
        <v>2364</v>
      </c>
      <c r="N5082" s="15" t="s">
        <v>6878</v>
      </c>
    </row>
    <row r="5083" spans="1:14" x14ac:dyDescent="0.2">
      <c r="A5083" t="s">
        <v>6212</v>
      </c>
      <c r="B5083" t="s">
        <v>2360</v>
      </c>
      <c r="C5083" s="9">
        <v>45062</v>
      </c>
      <c r="D5083" t="s">
        <v>9</v>
      </c>
      <c r="E5083" s="13">
        <v>274890</v>
      </c>
      <c r="F5083" s="13">
        <v>24975</v>
      </c>
      <c r="G5083" s="9">
        <v>45071</v>
      </c>
      <c r="H5083" t="s">
        <v>1111</v>
      </c>
      <c r="I5083" t="s">
        <v>436</v>
      </c>
      <c r="J5083" s="13">
        <v>9153</v>
      </c>
      <c r="K5083">
        <v>1</v>
      </c>
      <c r="L5083" t="s">
        <v>1064</v>
      </c>
      <c r="M5083" t="s">
        <v>2364</v>
      </c>
      <c r="N5083" s="15" t="s">
        <v>6878</v>
      </c>
    </row>
    <row r="5084" spans="1:14" x14ac:dyDescent="0.2">
      <c r="A5084" t="s">
        <v>6213</v>
      </c>
      <c r="B5084" t="s">
        <v>2360</v>
      </c>
      <c r="C5084" s="9">
        <v>45062</v>
      </c>
      <c r="D5084" t="s">
        <v>9</v>
      </c>
      <c r="E5084" s="13">
        <v>516950</v>
      </c>
      <c r="F5084" s="13">
        <v>74925</v>
      </c>
      <c r="G5084" s="9">
        <v>45071</v>
      </c>
      <c r="H5084" t="s">
        <v>1111</v>
      </c>
      <c r="I5084" t="s">
        <v>436</v>
      </c>
      <c r="J5084" s="13">
        <v>17213</v>
      </c>
      <c r="K5084">
        <v>3</v>
      </c>
      <c r="L5084" t="s">
        <v>1064</v>
      </c>
      <c r="M5084" t="s">
        <v>2364</v>
      </c>
      <c r="N5084" s="15" t="s">
        <v>6878</v>
      </c>
    </row>
    <row r="5085" spans="1:14" x14ac:dyDescent="0.2">
      <c r="A5085" t="s">
        <v>6214</v>
      </c>
      <c r="B5085" t="s">
        <v>2360</v>
      </c>
      <c r="C5085" s="9">
        <v>45062</v>
      </c>
      <c r="D5085" t="s">
        <v>9</v>
      </c>
      <c r="E5085" s="13">
        <v>294490</v>
      </c>
      <c r="F5085" s="13">
        <v>24975</v>
      </c>
      <c r="G5085" s="9">
        <v>45071</v>
      </c>
      <c r="H5085" t="s">
        <v>1111</v>
      </c>
      <c r="I5085" t="s">
        <v>436</v>
      </c>
      <c r="J5085" s="13">
        <v>9805</v>
      </c>
      <c r="K5085">
        <v>1</v>
      </c>
      <c r="L5085" t="s">
        <v>1064</v>
      </c>
      <c r="M5085" t="s">
        <v>2364</v>
      </c>
      <c r="N5085" s="15" t="s">
        <v>6878</v>
      </c>
    </row>
    <row r="5086" spans="1:14" x14ac:dyDescent="0.2">
      <c r="A5086" t="s">
        <v>6215</v>
      </c>
      <c r="B5086" t="s">
        <v>2360</v>
      </c>
      <c r="C5086" s="9">
        <v>45062</v>
      </c>
      <c r="D5086" t="s">
        <v>1009</v>
      </c>
      <c r="E5086" s="13">
        <v>0</v>
      </c>
      <c r="F5086" s="13">
        <v>25000</v>
      </c>
      <c r="H5086" t="s">
        <v>1185</v>
      </c>
      <c r="I5086" t="s">
        <v>4562</v>
      </c>
      <c r="J5086" s="13">
        <v>0</v>
      </c>
      <c r="K5086">
        <v>3</v>
      </c>
      <c r="L5086" t="s">
        <v>1064</v>
      </c>
      <c r="M5086" t="s">
        <v>4563</v>
      </c>
      <c r="N5086" s="14" t="s">
        <v>6877</v>
      </c>
    </row>
    <row r="5087" spans="1:14" x14ac:dyDescent="0.2">
      <c r="A5087" t="s">
        <v>6216</v>
      </c>
      <c r="B5087" t="s">
        <v>2360</v>
      </c>
      <c r="C5087" s="9">
        <v>45062</v>
      </c>
      <c r="D5087" t="s">
        <v>9</v>
      </c>
      <c r="E5087" s="13">
        <v>245490</v>
      </c>
      <c r="F5087" s="13">
        <v>24975</v>
      </c>
      <c r="G5087" s="9">
        <v>45071</v>
      </c>
      <c r="H5087" t="s">
        <v>1111</v>
      </c>
      <c r="I5087" t="s">
        <v>436</v>
      </c>
      <c r="J5087" s="13">
        <v>8174</v>
      </c>
      <c r="K5087">
        <v>1</v>
      </c>
      <c r="L5087" t="s">
        <v>1064</v>
      </c>
      <c r="M5087" t="s">
        <v>2364</v>
      </c>
      <c r="N5087" s="15" t="s">
        <v>6878</v>
      </c>
    </row>
    <row r="5088" spans="1:14" x14ac:dyDescent="0.2">
      <c r="A5088" t="s">
        <v>6217</v>
      </c>
      <c r="B5088" t="s">
        <v>2360</v>
      </c>
      <c r="C5088" s="9">
        <v>45063</v>
      </c>
      <c r="D5088" t="s">
        <v>32</v>
      </c>
      <c r="E5088" s="13">
        <v>3700000</v>
      </c>
      <c r="F5088" s="13">
        <v>27750</v>
      </c>
      <c r="G5088" s="9">
        <v>45067</v>
      </c>
      <c r="H5088" t="s">
        <v>1111</v>
      </c>
      <c r="I5088" t="s">
        <v>520</v>
      </c>
      <c r="J5088" s="13">
        <v>102675</v>
      </c>
      <c r="K5088">
        <v>1</v>
      </c>
      <c r="L5088" t="s">
        <v>1064</v>
      </c>
      <c r="M5088" t="s">
        <v>5005</v>
      </c>
      <c r="N5088" s="15" t="s">
        <v>6878</v>
      </c>
    </row>
    <row r="5089" spans="1:14" x14ac:dyDescent="0.2">
      <c r="A5089" t="s">
        <v>6218</v>
      </c>
      <c r="B5089" t="s">
        <v>2360</v>
      </c>
      <c r="C5089" s="9">
        <v>45063</v>
      </c>
      <c r="D5089" t="s">
        <v>32</v>
      </c>
      <c r="E5089" s="13">
        <v>3700000</v>
      </c>
      <c r="F5089" s="13">
        <v>27750</v>
      </c>
      <c r="G5089" s="9">
        <v>45067</v>
      </c>
      <c r="H5089" t="s">
        <v>1111</v>
      </c>
      <c r="I5089" t="s">
        <v>520</v>
      </c>
      <c r="J5089" s="13">
        <v>102675</v>
      </c>
      <c r="K5089">
        <v>1</v>
      </c>
      <c r="L5089" t="s">
        <v>1064</v>
      </c>
      <c r="M5089" t="s">
        <v>5005</v>
      </c>
      <c r="N5089" s="15" t="s">
        <v>6878</v>
      </c>
    </row>
    <row r="5090" spans="1:14" x14ac:dyDescent="0.2">
      <c r="A5090" t="s">
        <v>6219</v>
      </c>
      <c r="B5090" t="s">
        <v>2360</v>
      </c>
      <c r="C5090" s="9">
        <v>45063</v>
      </c>
      <c r="D5090" t="s">
        <v>32</v>
      </c>
      <c r="E5090" s="13">
        <v>3700000</v>
      </c>
      <c r="F5090" s="13">
        <v>27750</v>
      </c>
      <c r="G5090" s="9">
        <v>45067</v>
      </c>
      <c r="H5090" t="s">
        <v>1111</v>
      </c>
      <c r="I5090" t="s">
        <v>520</v>
      </c>
      <c r="J5090" s="13">
        <v>102675</v>
      </c>
      <c r="K5090">
        <v>1</v>
      </c>
      <c r="L5090" t="s">
        <v>1064</v>
      </c>
      <c r="M5090" t="s">
        <v>5005</v>
      </c>
      <c r="N5090" s="15" t="s">
        <v>6878</v>
      </c>
    </row>
    <row r="5091" spans="1:14" x14ac:dyDescent="0.2">
      <c r="A5091" t="s">
        <v>6220</v>
      </c>
      <c r="B5091" t="s">
        <v>2360</v>
      </c>
      <c r="C5091" s="9">
        <v>45063</v>
      </c>
      <c r="D5091" t="s">
        <v>32</v>
      </c>
      <c r="E5091" s="13">
        <v>3700000</v>
      </c>
      <c r="F5091" s="13">
        <v>27750</v>
      </c>
      <c r="G5091" s="9">
        <v>45067</v>
      </c>
      <c r="H5091" t="s">
        <v>1111</v>
      </c>
      <c r="I5091" t="s">
        <v>520</v>
      </c>
      <c r="J5091" s="13">
        <v>102675</v>
      </c>
      <c r="K5091">
        <v>1</v>
      </c>
      <c r="L5091" t="s">
        <v>1064</v>
      </c>
      <c r="M5091" t="s">
        <v>5005</v>
      </c>
      <c r="N5091" s="15" t="s">
        <v>6878</v>
      </c>
    </row>
    <row r="5092" spans="1:14" x14ac:dyDescent="0.2">
      <c r="A5092" t="s">
        <v>6221</v>
      </c>
      <c r="B5092" t="s">
        <v>2360</v>
      </c>
      <c r="C5092" s="9">
        <v>45064</v>
      </c>
      <c r="D5092" t="s">
        <v>1009</v>
      </c>
      <c r="E5092" s="13">
        <v>80913000</v>
      </c>
      <c r="F5092" s="13">
        <v>83250</v>
      </c>
      <c r="G5092" s="9">
        <v>45065</v>
      </c>
      <c r="H5092" t="s">
        <v>1111</v>
      </c>
      <c r="I5092" t="s">
        <v>4562</v>
      </c>
      <c r="J5092" s="13">
        <v>2963843</v>
      </c>
      <c r="K5092">
        <v>3</v>
      </c>
      <c r="L5092" t="s">
        <v>1064</v>
      </c>
      <c r="M5092" t="s">
        <v>4563</v>
      </c>
      <c r="N5092" s="15" t="s">
        <v>6878</v>
      </c>
    </row>
    <row r="5093" spans="1:14" x14ac:dyDescent="0.2">
      <c r="A5093" t="s">
        <v>6222</v>
      </c>
      <c r="B5093" t="s">
        <v>2360</v>
      </c>
      <c r="C5093" s="9">
        <v>45065</v>
      </c>
      <c r="D5093" t="s">
        <v>9</v>
      </c>
      <c r="E5093" s="13">
        <v>340060</v>
      </c>
      <c r="F5093" s="13">
        <v>24975</v>
      </c>
      <c r="G5093" s="9">
        <v>45071</v>
      </c>
      <c r="H5093" t="s">
        <v>1111</v>
      </c>
      <c r="I5093" t="s">
        <v>436</v>
      </c>
      <c r="J5093" s="13">
        <v>11323</v>
      </c>
      <c r="K5093">
        <v>1</v>
      </c>
      <c r="L5093" t="s">
        <v>1064</v>
      </c>
      <c r="M5093" t="s">
        <v>2364</v>
      </c>
      <c r="N5093" s="15" t="s">
        <v>6878</v>
      </c>
    </row>
    <row r="5094" spans="1:14" x14ac:dyDescent="0.2">
      <c r="A5094" t="s">
        <v>6223</v>
      </c>
      <c r="B5094" t="s">
        <v>2360</v>
      </c>
      <c r="C5094" s="9">
        <v>45065</v>
      </c>
      <c r="D5094" t="s">
        <v>9</v>
      </c>
      <c r="E5094" s="13">
        <v>340060</v>
      </c>
      <c r="F5094" s="13">
        <v>24975</v>
      </c>
      <c r="G5094" s="9">
        <v>45071</v>
      </c>
      <c r="H5094" t="s">
        <v>1111</v>
      </c>
      <c r="I5094" t="s">
        <v>436</v>
      </c>
      <c r="J5094" s="13">
        <v>11323</v>
      </c>
      <c r="K5094">
        <v>1</v>
      </c>
      <c r="L5094" t="s">
        <v>1064</v>
      </c>
      <c r="M5094" t="s">
        <v>2364</v>
      </c>
      <c r="N5094" s="15" t="s">
        <v>6878</v>
      </c>
    </row>
    <row r="5095" spans="1:14" x14ac:dyDescent="0.2">
      <c r="A5095" t="s">
        <v>6224</v>
      </c>
      <c r="B5095" t="s">
        <v>2360</v>
      </c>
      <c r="C5095" s="9">
        <v>45065</v>
      </c>
      <c r="D5095" t="s">
        <v>1005</v>
      </c>
      <c r="E5095" s="13">
        <v>4300000</v>
      </c>
      <c r="F5095" s="13">
        <v>25000</v>
      </c>
      <c r="H5095" t="s">
        <v>1659</v>
      </c>
      <c r="I5095" t="s">
        <v>6225</v>
      </c>
      <c r="J5095" s="13">
        <v>0</v>
      </c>
      <c r="K5095">
        <v>1</v>
      </c>
      <c r="L5095" t="s">
        <v>1064</v>
      </c>
      <c r="M5095" t="s">
        <v>6226</v>
      </c>
      <c r="N5095" s="14" t="s">
        <v>6877</v>
      </c>
    </row>
    <row r="5096" spans="1:14" x14ac:dyDescent="0.2">
      <c r="A5096" t="s">
        <v>6227</v>
      </c>
      <c r="B5096" t="s">
        <v>2360</v>
      </c>
      <c r="C5096" s="9">
        <v>45065</v>
      </c>
      <c r="D5096" t="s">
        <v>1005</v>
      </c>
      <c r="E5096" s="13">
        <v>93977311</v>
      </c>
      <c r="F5096" s="13">
        <v>27750</v>
      </c>
      <c r="G5096" s="9">
        <v>45065</v>
      </c>
      <c r="H5096" t="s">
        <v>1111</v>
      </c>
      <c r="I5096" t="s">
        <v>6225</v>
      </c>
      <c r="J5096" s="13">
        <v>3129444</v>
      </c>
      <c r="K5096">
        <v>1</v>
      </c>
      <c r="L5096" t="s">
        <v>1064</v>
      </c>
      <c r="M5096" t="s">
        <v>6226</v>
      </c>
      <c r="N5096" s="15" t="s">
        <v>6878</v>
      </c>
    </row>
    <row r="5097" spans="1:14" x14ac:dyDescent="0.2">
      <c r="A5097" t="s">
        <v>6228</v>
      </c>
      <c r="B5097" t="s">
        <v>2360</v>
      </c>
      <c r="C5097" s="9">
        <v>45065</v>
      </c>
      <c r="D5097" t="s">
        <v>1005</v>
      </c>
      <c r="E5097" s="13">
        <v>4300000</v>
      </c>
      <c r="F5097" s="13">
        <v>25000</v>
      </c>
      <c r="H5097" t="s">
        <v>1659</v>
      </c>
      <c r="I5097" t="s">
        <v>6225</v>
      </c>
      <c r="J5097" s="13">
        <v>0</v>
      </c>
      <c r="K5097">
        <v>1</v>
      </c>
      <c r="L5097" t="s">
        <v>1064</v>
      </c>
      <c r="M5097" t="s">
        <v>6226</v>
      </c>
      <c r="N5097" s="14" t="s">
        <v>6877</v>
      </c>
    </row>
    <row r="5098" spans="1:14" x14ac:dyDescent="0.2">
      <c r="A5098" t="s">
        <v>6229</v>
      </c>
      <c r="B5098" t="s">
        <v>2360</v>
      </c>
      <c r="C5098" s="9">
        <v>45065</v>
      </c>
      <c r="D5098" t="s">
        <v>1005</v>
      </c>
      <c r="E5098" s="13">
        <v>4300000</v>
      </c>
      <c r="F5098" s="13">
        <v>25000</v>
      </c>
      <c r="H5098" t="s">
        <v>1659</v>
      </c>
      <c r="I5098" t="s">
        <v>6225</v>
      </c>
      <c r="J5098" s="13">
        <v>0</v>
      </c>
      <c r="K5098">
        <v>1</v>
      </c>
      <c r="L5098" t="s">
        <v>1064</v>
      </c>
      <c r="M5098" t="s">
        <v>6226</v>
      </c>
      <c r="N5098" s="14" t="s">
        <v>6877</v>
      </c>
    </row>
    <row r="5099" spans="1:14" x14ac:dyDescent="0.2">
      <c r="A5099" t="s">
        <v>6230</v>
      </c>
      <c r="B5099" t="s">
        <v>2360</v>
      </c>
      <c r="C5099" s="9">
        <v>45065</v>
      </c>
      <c r="D5099" t="s">
        <v>1005</v>
      </c>
      <c r="E5099" s="13">
        <v>4300000</v>
      </c>
      <c r="F5099" s="13">
        <v>25000</v>
      </c>
      <c r="H5099" t="s">
        <v>1659</v>
      </c>
      <c r="I5099" t="s">
        <v>6225</v>
      </c>
      <c r="J5099" s="13">
        <v>0</v>
      </c>
      <c r="K5099">
        <v>1</v>
      </c>
      <c r="L5099" t="s">
        <v>1064</v>
      </c>
      <c r="M5099" t="s">
        <v>6226</v>
      </c>
      <c r="N5099" s="14" t="s">
        <v>6877</v>
      </c>
    </row>
    <row r="5100" spans="1:14" x14ac:dyDescent="0.2">
      <c r="A5100" t="s">
        <v>6231</v>
      </c>
      <c r="B5100" t="s">
        <v>2360</v>
      </c>
      <c r="C5100" s="9">
        <v>45065</v>
      </c>
      <c r="D5100" t="s">
        <v>1005</v>
      </c>
      <c r="E5100" s="13">
        <v>4300000</v>
      </c>
      <c r="F5100" s="13">
        <v>25000</v>
      </c>
      <c r="H5100" t="s">
        <v>1659</v>
      </c>
      <c r="I5100" t="s">
        <v>6225</v>
      </c>
      <c r="J5100" s="13">
        <v>0</v>
      </c>
      <c r="K5100">
        <v>1</v>
      </c>
      <c r="L5100" t="s">
        <v>1064</v>
      </c>
      <c r="M5100" t="s">
        <v>6226</v>
      </c>
      <c r="N5100" s="14" t="s">
        <v>6877</v>
      </c>
    </row>
    <row r="5101" spans="1:14" x14ac:dyDescent="0.2">
      <c r="A5101" t="s">
        <v>6232</v>
      </c>
      <c r="B5101" t="s">
        <v>2360</v>
      </c>
      <c r="C5101" s="9">
        <v>45065</v>
      </c>
      <c r="D5101" t="s">
        <v>1005</v>
      </c>
      <c r="E5101" s="13">
        <v>4300000</v>
      </c>
      <c r="F5101" s="13">
        <v>25000</v>
      </c>
      <c r="H5101" t="s">
        <v>1659</v>
      </c>
      <c r="I5101" t="s">
        <v>6225</v>
      </c>
      <c r="J5101" s="13">
        <v>0</v>
      </c>
      <c r="K5101">
        <v>1</v>
      </c>
      <c r="L5101" t="s">
        <v>1064</v>
      </c>
      <c r="M5101" t="s">
        <v>6226</v>
      </c>
      <c r="N5101" s="14" t="s">
        <v>6877</v>
      </c>
    </row>
    <row r="5102" spans="1:14" x14ac:dyDescent="0.2">
      <c r="A5102" t="s">
        <v>6233</v>
      </c>
      <c r="B5102" t="s">
        <v>2360</v>
      </c>
      <c r="C5102" s="9">
        <v>45065</v>
      </c>
      <c r="D5102" t="s">
        <v>1005</v>
      </c>
      <c r="E5102" s="13">
        <v>4300000</v>
      </c>
      <c r="F5102" s="13">
        <v>25000</v>
      </c>
      <c r="H5102" t="s">
        <v>1659</v>
      </c>
      <c r="I5102" t="s">
        <v>6225</v>
      </c>
      <c r="J5102" s="13">
        <v>0</v>
      </c>
      <c r="K5102">
        <v>1</v>
      </c>
      <c r="L5102" t="s">
        <v>1064</v>
      </c>
      <c r="M5102" t="s">
        <v>6226</v>
      </c>
      <c r="N5102" s="14" t="s">
        <v>6877</v>
      </c>
    </row>
    <row r="5103" spans="1:14" x14ac:dyDescent="0.2">
      <c r="A5103" t="s">
        <v>6234</v>
      </c>
      <c r="B5103" t="s">
        <v>2360</v>
      </c>
      <c r="C5103" s="9">
        <v>45065</v>
      </c>
      <c r="D5103" t="s">
        <v>1005</v>
      </c>
      <c r="E5103" s="13">
        <v>4300000</v>
      </c>
      <c r="F5103" s="13">
        <v>27750</v>
      </c>
      <c r="G5103" s="9">
        <v>45065</v>
      </c>
      <c r="H5103" t="s">
        <v>1111</v>
      </c>
      <c r="I5103" t="s">
        <v>6225</v>
      </c>
      <c r="J5103" s="13">
        <v>143190</v>
      </c>
      <c r="K5103">
        <v>1</v>
      </c>
      <c r="L5103" t="s">
        <v>1064</v>
      </c>
      <c r="M5103" t="s">
        <v>6226</v>
      </c>
      <c r="N5103" s="15" t="s">
        <v>6878</v>
      </c>
    </row>
    <row r="5104" spans="1:14" x14ac:dyDescent="0.2">
      <c r="A5104" t="s">
        <v>6235</v>
      </c>
      <c r="B5104" t="s">
        <v>2360</v>
      </c>
      <c r="C5104" s="9">
        <v>45065</v>
      </c>
      <c r="D5104" t="s">
        <v>1005</v>
      </c>
      <c r="E5104" s="13">
        <v>4300000</v>
      </c>
      <c r="F5104" s="13">
        <v>27750</v>
      </c>
      <c r="G5104" s="9">
        <v>45065</v>
      </c>
      <c r="H5104" t="s">
        <v>1111</v>
      </c>
      <c r="I5104" t="s">
        <v>6225</v>
      </c>
      <c r="J5104" s="13">
        <v>143190</v>
      </c>
      <c r="K5104">
        <v>1</v>
      </c>
      <c r="L5104" t="s">
        <v>1064</v>
      </c>
      <c r="M5104" t="s">
        <v>6226</v>
      </c>
      <c r="N5104" s="15" t="s">
        <v>6878</v>
      </c>
    </row>
    <row r="5105" spans="1:14" x14ac:dyDescent="0.2">
      <c r="A5105" t="s">
        <v>6236</v>
      </c>
      <c r="B5105" t="s">
        <v>2360</v>
      </c>
      <c r="C5105" s="9">
        <v>45065</v>
      </c>
      <c r="D5105" t="s">
        <v>1005</v>
      </c>
      <c r="E5105" s="13">
        <v>4300000</v>
      </c>
      <c r="F5105" s="13">
        <v>27750</v>
      </c>
      <c r="G5105" s="9">
        <v>45065</v>
      </c>
      <c r="H5105" t="s">
        <v>1111</v>
      </c>
      <c r="I5105" t="s">
        <v>6225</v>
      </c>
      <c r="J5105" s="13">
        <v>143190</v>
      </c>
      <c r="K5105">
        <v>1</v>
      </c>
      <c r="L5105" t="s">
        <v>1064</v>
      </c>
      <c r="M5105" t="s">
        <v>6226</v>
      </c>
      <c r="N5105" s="15" t="s">
        <v>6878</v>
      </c>
    </row>
    <row r="5106" spans="1:14" x14ac:dyDescent="0.2">
      <c r="A5106" t="s">
        <v>6237</v>
      </c>
      <c r="B5106" t="s">
        <v>2360</v>
      </c>
      <c r="C5106" s="9">
        <v>45065</v>
      </c>
      <c r="D5106" t="s">
        <v>1005</v>
      </c>
      <c r="E5106" s="13">
        <v>4300000</v>
      </c>
      <c r="F5106" s="13">
        <v>27750</v>
      </c>
      <c r="G5106" s="9">
        <v>45065</v>
      </c>
      <c r="H5106" t="s">
        <v>1111</v>
      </c>
      <c r="I5106" t="s">
        <v>6225</v>
      </c>
      <c r="J5106" s="13">
        <v>143190</v>
      </c>
      <c r="K5106">
        <v>1</v>
      </c>
      <c r="L5106" t="s">
        <v>1064</v>
      </c>
      <c r="M5106" t="s">
        <v>6226</v>
      </c>
      <c r="N5106" s="15" t="s">
        <v>6878</v>
      </c>
    </row>
    <row r="5107" spans="1:14" x14ac:dyDescent="0.2">
      <c r="A5107" t="s">
        <v>6238</v>
      </c>
      <c r="B5107" t="s">
        <v>2360</v>
      </c>
      <c r="C5107" s="9">
        <v>45065</v>
      </c>
      <c r="D5107" t="s">
        <v>1005</v>
      </c>
      <c r="E5107" s="13">
        <v>4300000</v>
      </c>
      <c r="F5107" s="13">
        <v>27750</v>
      </c>
      <c r="G5107" s="9">
        <v>45065</v>
      </c>
      <c r="H5107" t="s">
        <v>1111</v>
      </c>
      <c r="I5107" t="s">
        <v>6225</v>
      </c>
      <c r="J5107" s="13">
        <v>143190</v>
      </c>
      <c r="K5107">
        <v>1</v>
      </c>
      <c r="L5107" t="s">
        <v>1064</v>
      </c>
      <c r="M5107" t="s">
        <v>6226</v>
      </c>
      <c r="N5107" s="15" t="s">
        <v>6878</v>
      </c>
    </row>
    <row r="5108" spans="1:14" x14ac:dyDescent="0.2">
      <c r="A5108" t="s">
        <v>6239</v>
      </c>
      <c r="B5108" t="s">
        <v>2360</v>
      </c>
      <c r="C5108" s="9">
        <v>45065</v>
      </c>
      <c r="D5108" t="s">
        <v>1005</v>
      </c>
      <c r="E5108" s="13">
        <v>4300000</v>
      </c>
      <c r="F5108" s="13">
        <v>27750</v>
      </c>
      <c r="G5108" s="9">
        <v>45065</v>
      </c>
      <c r="H5108" t="s">
        <v>1111</v>
      </c>
      <c r="I5108" t="s">
        <v>6225</v>
      </c>
      <c r="J5108" s="13">
        <v>143190</v>
      </c>
      <c r="K5108">
        <v>1</v>
      </c>
      <c r="L5108" t="s">
        <v>1064</v>
      </c>
      <c r="M5108" t="s">
        <v>6226</v>
      </c>
      <c r="N5108" s="15" t="s">
        <v>6878</v>
      </c>
    </row>
    <row r="5109" spans="1:14" x14ac:dyDescent="0.2">
      <c r="A5109" t="s">
        <v>6240</v>
      </c>
      <c r="B5109" t="s">
        <v>2360</v>
      </c>
      <c r="C5109" s="9">
        <v>45065</v>
      </c>
      <c r="D5109" t="s">
        <v>1005</v>
      </c>
      <c r="E5109" s="13">
        <v>4300000</v>
      </c>
      <c r="F5109" s="13">
        <v>27750</v>
      </c>
      <c r="G5109" s="9">
        <v>45065</v>
      </c>
      <c r="H5109" t="s">
        <v>1111</v>
      </c>
      <c r="I5109" t="s">
        <v>6225</v>
      </c>
      <c r="J5109" s="13">
        <v>143190</v>
      </c>
      <c r="K5109">
        <v>1</v>
      </c>
      <c r="L5109" t="s">
        <v>1064</v>
      </c>
      <c r="M5109" t="s">
        <v>6226</v>
      </c>
      <c r="N5109" s="15" t="s">
        <v>6878</v>
      </c>
    </row>
    <row r="5110" spans="1:14" x14ac:dyDescent="0.2">
      <c r="A5110" t="s">
        <v>6241</v>
      </c>
      <c r="B5110" t="s">
        <v>2360</v>
      </c>
      <c r="C5110" s="9">
        <v>45065</v>
      </c>
      <c r="D5110" t="s">
        <v>1005</v>
      </c>
      <c r="E5110" s="13">
        <v>4300000</v>
      </c>
      <c r="F5110" s="13">
        <v>27750</v>
      </c>
      <c r="G5110" s="9">
        <v>45065</v>
      </c>
      <c r="H5110" t="s">
        <v>1111</v>
      </c>
      <c r="I5110" t="s">
        <v>6225</v>
      </c>
      <c r="J5110" s="13">
        <v>143190</v>
      </c>
      <c r="K5110">
        <v>1</v>
      </c>
      <c r="L5110" t="s">
        <v>1064</v>
      </c>
      <c r="M5110" t="s">
        <v>6226</v>
      </c>
      <c r="N5110" s="15" t="s">
        <v>6878</v>
      </c>
    </row>
    <row r="5111" spans="1:14" x14ac:dyDescent="0.2">
      <c r="A5111" t="s">
        <v>6242</v>
      </c>
      <c r="B5111" t="s">
        <v>2360</v>
      </c>
      <c r="C5111" s="9">
        <v>45065</v>
      </c>
      <c r="D5111" t="s">
        <v>1005</v>
      </c>
      <c r="E5111" s="13">
        <v>4300000</v>
      </c>
      <c r="F5111" s="13">
        <v>27750</v>
      </c>
      <c r="G5111" s="9">
        <v>45065</v>
      </c>
      <c r="H5111" t="s">
        <v>1111</v>
      </c>
      <c r="I5111" t="s">
        <v>6225</v>
      </c>
      <c r="J5111" s="13">
        <v>143190</v>
      </c>
      <c r="K5111">
        <v>1</v>
      </c>
      <c r="L5111" t="s">
        <v>1064</v>
      </c>
      <c r="M5111" t="s">
        <v>6226</v>
      </c>
      <c r="N5111" s="15" t="s">
        <v>6878</v>
      </c>
    </row>
    <row r="5112" spans="1:14" x14ac:dyDescent="0.2">
      <c r="A5112" t="s">
        <v>6243</v>
      </c>
      <c r="B5112" t="s">
        <v>2360</v>
      </c>
      <c r="C5112" s="9">
        <v>45065</v>
      </c>
      <c r="D5112" t="s">
        <v>1005</v>
      </c>
      <c r="E5112" s="13">
        <v>4300000</v>
      </c>
      <c r="F5112" s="13">
        <v>27750</v>
      </c>
      <c r="G5112" s="9">
        <v>45065</v>
      </c>
      <c r="H5112" t="s">
        <v>1111</v>
      </c>
      <c r="I5112" t="s">
        <v>6225</v>
      </c>
      <c r="J5112" s="13">
        <v>143190</v>
      </c>
      <c r="K5112">
        <v>1</v>
      </c>
      <c r="L5112" t="s">
        <v>1064</v>
      </c>
      <c r="M5112" t="s">
        <v>6226</v>
      </c>
      <c r="N5112" s="15" t="s">
        <v>6878</v>
      </c>
    </row>
    <row r="5113" spans="1:14" x14ac:dyDescent="0.2">
      <c r="A5113" t="s">
        <v>6244</v>
      </c>
      <c r="B5113" t="s">
        <v>2360</v>
      </c>
      <c r="C5113" s="9">
        <v>45065</v>
      </c>
      <c r="D5113" t="s">
        <v>1005</v>
      </c>
      <c r="E5113" s="13">
        <v>4300000</v>
      </c>
      <c r="F5113" s="13">
        <v>27750</v>
      </c>
      <c r="G5113" s="9">
        <v>45065</v>
      </c>
      <c r="H5113" t="s">
        <v>1111</v>
      </c>
      <c r="I5113" t="s">
        <v>6225</v>
      </c>
      <c r="J5113" s="13">
        <v>143190</v>
      </c>
      <c r="K5113">
        <v>1</v>
      </c>
      <c r="L5113" t="s">
        <v>1064</v>
      </c>
      <c r="M5113" t="s">
        <v>6226</v>
      </c>
      <c r="N5113" s="15" t="s">
        <v>6878</v>
      </c>
    </row>
    <row r="5114" spans="1:14" x14ac:dyDescent="0.2">
      <c r="A5114" t="s">
        <v>6245</v>
      </c>
      <c r="B5114" t="s">
        <v>2360</v>
      </c>
      <c r="C5114" s="9">
        <v>45065</v>
      </c>
      <c r="D5114" t="s">
        <v>1005</v>
      </c>
      <c r="E5114" s="13">
        <v>4300000</v>
      </c>
      <c r="F5114" s="13">
        <v>27750</v>
      </c>
      <c r="G5114" s="9">
        <v>45065</v>
      </c>
      <c r="H5114" t="s">
        <v>1111</v>
      </c>
      <c r="I5114" t="s">
        <v>6225</v>
      </c>
      <c r="J5114" s="13">
        <v>143190</v>
      </c>
      <c r="K5114">
        <v>1</v>
      </c>
      <c r="L5114" t="s">
        <v>1064</v>
      </c>
      <c r="M5114" t="s">
        <v>6226</v>
      </c>
      <c r="N5114" s="15" t="s">
        <v>6878</v>
      </c>
    </row>
    <row r="5115" spans="1:14" x14ac:dyDescent="0.2">
      <c r="A5115" t="s">
        <v>1006</v>
      </c>
      <c r="B5115" t="s">
        <v>2360</v>
      </c>
      <c r="C5115" s="9">
        <v>45065</v>
      </c>
      <c r="D5115" t="s">
        <v>1005</v>
      </c>
      <c r="E5115" s="13">
        <v>4300000</v>
      </c>
      <c r="F5115" s="13">
        <v>27750</v>
      </c>
      <c r="G5115" s="9">
        <v>45065</v>
      </c>
      <c r="H5115" t="s">
        <v>1111</v>
      </c>
      <c r="I5115" t="s">
        <v>6225</v>
      </c>
      <c r="J5115" s="13">
        <v>143190</v>
      </c>
      <c r="K5115">
        <v>1</v>
      </c>
      <c r="L5115" t="s">
        <v>1064</v>
      </c>
      <c r="M5115" t="s">
        <v>6226</v>
      </c>
      <c r="N5115" s="15" t="s">
        <v>6878</v>
      </c>
    </row>
    <row r="5116" spans="1:14" x14ac:dyDescent="0.2">
      <c r="A5116" t="s">
        <v>6246</v>
      </c>
      <c r="B5116" t="s">
        <v>2360</v>
      </c>
      <c r="C5116" s="9">
        <v>45065</v>
      </c>
      <c r="D5116" t="s">
        <v>624</v>
      </c>
      <c r="E5116" s="13">
        <v>98000000</v>
      </c>
      <c r="F5116" s="13">
        <v>6526800</v>
      </c>
      <c r="G5116" s="9">
        <v>45066</v>
      </c>
      <c r="H5116" t="s">
        <v>1111</v>
      </c>
      <c r="I5116" t="s">
        <v>359</v>
      </c>
      <c r="J5116" s="13">
        <v>27750</v>
      </c>
      <c r="K5116">
        <v>1</v>
      </c>
      <c r="L5116" t="s">
        <v>1064</v>
      </c>
      <c r="M5116" t="s">
        <v>6247</v>
      </c>
      <c r="N5116" s="15" t="s">
        <v>6878</v>
      </c>
    </row>
    <row r="5117" spans="1:14" x14ac:dyDescent="0.2">
      <c r="A5117" t="s">
        <v>6248</v>
      </c>
      <c r="B5117" t="s">
        <v>2360</v>
      </c>
      <c r="C5117" s="9">
        <v>45065</v>
      </c>
      <c r="D5117" t="s">
        <v>996</v>
      </c>
      <c r="E5117" s="13">
        <v>10656000</v>
      </c>
      <c r="F5117" s="13">
        <v>27750</v>
      </c>
      <c r="G5117" s="9">
        <v>45071</v>
      </c>
      <c r="H5117" t="s">
        <v>1111</v>
      </c>
      <c r="I5117" t="s">
        <v>3191</v>
      </c>
      <c r="J5117" s="13">
        <v>413985</v>
      </c>
      <c r="K5117">
        <v>1</v>
      </c>
      <c r="L5117" t="s">
        <v>1064</v>
      </c>
      <c r="M5117" t="s">
        <v>3192</v>
      </c>
      <c r="N5117" s="15" t="s">
        <v>6878</v>
      </c>
    </row>
    <row r="5118" spans="1:14" x14ac:dyDescent="0.2">
      <c r="A5118" t="s">
        <v>6249</v>
      </c>
      <c r="B5118" t="s">
        <v>2360</v>
      </c>
      <c r="C5118" s="9">
        <v>45065</v>
      </c>
      <c r="D5118" t="s">
        <v>996</v>
      </c>
      <c r="E5118" s="13">
        <v>21238000</v>
      </c>
      <c r="F5118" s="13">
        <v>27750</v>
      </c>
      <c r="G5118" s="9">
        <v>45071</v>
      </c>
      <c r="H5118" t="s">
        <v>1111</v>
      </c>
      <c r="I5118" t="s">
        <v>3191</v>
      </c>
      <c r="J5118" s="13">
        <v>825096</v>
      </c>
      <c r="K5118">
        <v>1</v>
      </c>
      <c r="L5118" t="s">
        <v>1064</v>
      </c>
      <c r="M5118" t="s">
        <v>3192</v>
      </c>
      <c r="N5118" s="15" t="s">
        <v>6878</v>
      </c>
    </row>
    <row r="5119" spans="1:14" x14ac:dyDescent="0.2">
      <c r="A5119" t="s">
        <v>6250</v>
      </c>
      <c r="B5119" t="s">
        <v>2360</v>
      </c>
      <c r="C5119" s="9">
        <v>45065</v>
      </c>
      <c r="D5119" t="s">
        <v>996</v>
      </c>
      <c r="E5119" s="13">
        <v>16724000</v>
      </c>
      <c r="F5119" s="13">
        <v>27750</v>
      </c>
      <c r="G5119" s="9">
        <v>45067</v>
      </c>
      <c r="H5119" t="s">
        <v>1111</v>
      </c>
      <c r="I5119" t="s">
        <v>3191</v>
      </c>
      <c r="J5119" s="13">
        <v>649727</v>
      </c>
      <c r="K5119">
        <v>1</v>
      </c>
      <c r="L5119" t="s">
        <v>1064</v>
      </c>
      <c r="M5119" t="s">
        <v>3192</v>
      </c>
      <c r="N5119" s="15" t="s">
        <v>6878</v>
      </c>
    </row>
    <row r="5120" spans="1:14" x14ac:dyDescent="0.2">
      <c r="A5120" t="s">
        <v>6251</v>
      </c>
      <c r="B5120" t="s">
        <v>2360</v>
      </c>
      <c r="C5120" s="9">
        <v>45065</v>
      </c>
      <c r="D5120" t="s">
        <v>633</v>
      </c>
      <c r="E5120" s="13">
        <v>20300000</v>
      </c>
      <c r="F5120" s="13">
        <v>788655</v>
      </c>
      <c r="G5120" s="9">
        <v>45066</v>
      </c>
      <c r="H5120" t="s">
        <v>1111</v>
      </c>
      <c r="I5120" t="s">
        <v>116</v>
      </c>
      <c r="J5120" s="13">
        <v>27750</v>
      </c>
      <c r="K5120">
        <v>1</v>
      </c>
      <c r="L5120" t="s">
        <v>1064</v>
      </c>
      <c r="M5120" t="s">
        <v>6252</v>
      </c>
      <c r="N5120" s="15" t="s">
        <v>6878</v>
      </c>
    </row>
    <row r="5121" spans="1:14" x14ac:dyDescent="0.2">
      <c r="A5121" t="s">
        <v>6253</v>
      </c>
      <c r="B5121" t="s">
        <v>2360</v>
      </c>
      <c r="C5121" s="9">
        <v>45065</v>
      </c>
      <c r="D5121" t="s">
        <v>633</v>
      </c>
      <c r="E5121" s="13">
        <v>20300000</v>
      </c>
      <c r="F5121" s="13">
        <v>788655</v>
      </c>
      <c r="G5121" s="9">
        <v>45066</v>
      </c>
      <c r="H5121" t="s">
        <v>1111</v>
      </c>
      <c r="I5121" t="s">
        <v>116</v>
      </c>
      <c r="J5121" s="13">
        <v>27750</v>
      </c>
      <c r="K5121">
        <v>1</v>
      </c>
      <c r="L5121" t="s">
        <v>1064</v>
      </c>
      <c r="M5121" t="s">
        <v>6252</v>
      </c>
      <c r="N5121" s="15" t="s">
        <v>6878</v>
      </c>
    </row>
    <row r="5122" spans="1:14" x14ac:dyDescent="0.2">
      <c r="A5122" t="s">
        <v>6254</v>
      </c>
      <c r="B5122" t="s">
        <v>2360</v>
      </c>
      <c r="C5122" s="9">
        <v>45065</v>
      </c>
      <c r="D5122" t="s">
        <v>633</v>
      </c>
      <c r="E5122" s="13">
        <v>24600000</v>
      </c>
      <c r="F5122" s="13">
        <v>955710</v>
      </c>
      <c r="G5122" s="9">
        <v>45066</v>
      </c>
      <c r="H5122" t="s">
        <v>1111</v>
      </c>
      <c r="I5122" t="s">
        <v>116</v>
      </c>
      <c r="J5122" s="13">
        <v>27750</v>
      </c>
      <c r="K5122">
        <v>1</v>
      </c>
      <c r="L5122" t="s">
        <v>1064</v>
      </c>
      <c r="M5122" t="s">
        <v>6252</v>
      </c>
      <c r="N5122" s="15" t="s">
        <v>6878</v>
      </c>
    </row>
    <row r="5123" spans="1:14" x14ac:dyDescent="0.2">
      <c r="A5123" t="s">
        <v>6255</v>
      </c>
      <c r="B5123" t="s">
        <v>2360</v>
      </c>
      <c r="C5123" s="9">
        <v>45065</v>
      </c>
      <c r="D5123" t="s">
        <v>633</v>
      </c>
      <c r="E5123" s="13">
        <v>20300000</v>
      </c>
      <c r="F5123" s="13">
        <v>788655</v>
      </c>
      <c r="G5123" s="9">
        <v>45066</v>
      </c>
      <c r="H5123" t="s">
        <v>1111</v>
      </c>
      <c r="I5123" t="s">
        <v>116</v>
      </c>
      <c r="J5123" s="13">
        <v>27750</v>
      </c>
      <c r="K5123">
        <v>1</v>
      </c>
      <c r="L5123" t="s">
        <v>1064</v>
      </c>
      <c r="M5123" t="s">
        <v>6252</v>
      </c>
      <c r="N5123" s="15" t="s">
        <v>6878</v>
      </c>
    </row>
    <row r="5124" spans="1:14" x14ac:dyDescent="0.2">
      <c r="A5124" t="s">
        <v>6256</v>
      </c>
      <c r="B5124" t="s">
        <v>2360</v>
      </c>
      <c r="C5124" s="9">
        <v>45065</v>
      </c>
      <c r="D5124" t="s">
        <v>633</v>
      </c>
      <c r="E5124" s="13">
        <v>24600000</v>
      </c>
      <c r="F5124" s="13">
        <v>955710</v>
      </c>
      <c r="G5124" s="9">
        <v>45066</v>
      </c>
      <c r="H5124" t="s">
        <v>1111</v>
      </c>
      <c r="I5124" t="s">
        <v>116</v>
      </c>
      <c r="J5124" s="13">
        <v>27750</v>
      </c>
      <c r="K5124">
        <v>1</v>
      </c>
      <c r="L5124" t="s">
        <v>1064</v>
      </c>
      <c r="M5124" t="s">
        <v>6252</v>
      </c>
      <c r="N5124" s="15" t="s">
        <v>6878</v>
      </c>
    </row>
    <row r="5125" spans="1:14" x14ac:dyDescent="0.2">
      <c r="A5125" t="s">
        <v>6257</v>
      </c>
      <c r="B5125" t="s">
        <v>2360</v>
      </c>
      <c r="C5125" s="9">
        <v>45065</v>
      </c>
      <c r="D5125" t="s">
        <v>633</v>
      </c>
      <c r="E5125" s="13">
        <v>20300000</v>
      </c>
      <c r="F5125" s="13">
        <v>788655</v>
      </c>
      <c r="G5125" s="9">
        <v>45066</v>
      </c>
      <c r="H5125" t="s">
        <v>1111</v>
      </c>
      <c r="I5125" t="s">
        <v>116</v>
      </c>
      <c r="J5125" s="13">
        <v>27750</v>
      </c>
      <c r="K5125">
        <v>1</v>
      </c>
      <c r="L5125" t="s">
        <v>1064</v>
      </c>
      <c r="M5125" t="s">
        <v>6252</v>
      </c>
      <c r="N5125" s="15" t="s">
        <v>6878</v>
      </c>
    </row>
    <row r="5126" spans="1:14" x14ac:dyDescent="0.2">
      <c r="A5126" t="s">
        <v>6258</v>
      </c>
      <c r="B5126" t="s">
        <v>2360</v>
      </c>
      <c r="C5126" s="9">
        <v>45065</v>
      </c>
      <c r="D5126" t="s">
        <v>633</v>
      </c>
      <c r="E5126" s="13">
        <v>20300000</v>
      </c>
      <c r="F5126" s="13">
        <v>788655</v>
      </c>
      <c r="G5126" s="9">
        <v>45066</v>
      </c>
      <c r="H5126" t="s">
        <v>1111</v>
      </c>
      <c r="I5126" t="s">
        <v>116</v>
      </c>
      <c r="J5126" s="13">
        <v>27750</v>
      </c>
      <c r="K5126">
        <v>1</v>
      </c>
      <c r="L5126" t="s">
        <v>1064</v>
      </c>
      <c r="M5126" t="s">
        <v>6252</v>
      </c>
      <c r="N5126" s="15" t="s">
        <v>6878</v>
      </c>
    </row>
    <row r="5127" spans="1:14" x14ac:dyDescent="0.2">
      <c r="A5127" t="s">
        <v>6259</v>
      </c>
      <c r="B5127" t="s">
        <v>2360</v>
      </c>
      <c r="C5127" s="9">
        <v>45065</v>
      </c>
      <c r="D5127" t="s">
        <v>633</v>
      </c>
      <c r="E5127" s="13">
        <v>24600000</v>
      </c>
      <c r="F5127" s="13">
        <v>955710</v>
      </c>
      <c r="G5127" s="9">
        <v>45066</v>
      </c>
      <c r="H5127" t="s">
        <v>1111</v>
      </c>
      <c r="I5127" t="s">
        <v>116</v>
      </c>
      <c r="J5127" s="13">
        <v>27750</v>
      </c>
      <c r="K5127">
        <v>1</v>
      </c>
      <c r="L5127" t="s">
        <v>1064</v>
      </c>
      <c r="M5127" t="s">
        <v>6252</v>
      </c>
      <c r="N5127" s="15" t="s">
        <v>6878</v>
      </c>
    </row>
    <row r="5128" spans="1:14" x14ac:dyDescent="0.2">
      <c r="A5128" t="s">
        <v>6260</v>
      </c>
      <c r="B5128" t="s">
        <v>2360</v>
      </c>
      <c r="C5128" s="9">
        <v>45065</v>
      </c>
      <c r="D5128" t="s">
        <v>633</v>
      </c>
      <c r="E5128" s="13">
        <v>24600000</v>
      </c>
      <c r="F5128" s="13">
        <v>955710</v>
      </c>
      <c r="G5128" s="9">
        <v>45066</v>
      </c>
      <c r="H5128" t="s">
        <v>1111</v>
      </c>
      <c r="I5128" t="s">
        <v>116</v>
      </c>
      <c r="J5128" s="13">
        <v>27750</v>
      </c>
      <c r="K5128">
        <v>1</v>
      </c>
      <c r="L5128" t="s">
        <v>1064</v>
      </c>
      <c r="M5128" t="s">
        <v>6252</v>
      </c>
      <c r="N5128" s="15" t="s">
        <v>6878</v>
      </c>
    </row>
    <row r="5129" spans="1:14" x14ac:dyDescent="0.2">
      <c r="A5129" t="s">
        <v>6261</v>
      </c>
      <c r="B5129" t="s">
        <v>2360</v>
      </c>
      <c r="C5129" s="9">
        <v>45065</v>
      </c>
      <c r="D5129" t="s">
        <v>633</v>
      </c>
      <c r="E5129" s="13">
        <v>24600000</v>
      </c>
      <c r="F5129" s="13">
        <v>955710</v>
      </c>
      <c r="G5129" s="9">
        <v>45066</v>
      </c>
      <c r="H5129" t="s">
        <v>1111</v>
      </c>
      <c r="I5129" t="s">
        <v>116</v>
      </c>
      <c r="J5129" s="13">
        <v>27750</v>
      </c>
      <c r="K5129">
        <v>1</v>
      </c>
      <c r="L5129" t="s">
        <v>1064</v>
      </c>
      <c r="M5129" t="s">
        <v>6252</v>
      </c>
      <c r="N5129" s="15" t="s">
        <v>6878</v>
      </c>
    </row>
    <row r="5130" spans="1:14" x14ac:dyDescent="0.2">
      <c r="A5130" t="s">
        <v>6262</v>
      </c>
      <c r="B5130" t="s">
        <v>2360</v>
      </c>
      <c r="C5130" s="9">
        <v>45065</v>
      </c>
      <c r="D5130" t="s">
        <v>633</v>
      </c>
      <c r="E5130" s="13">
        <v>20300000</v>
      </c>
      <c r="F5130" s="13">
        <v>788655</v>
      </c>
      <c r="G5130" s="9">
        <v>45066</v>
      </c>
      <c r="H5130" t="s">
        <v>1111</v>
      </c>
      <c r="I5130" t="s">
        <v>116</v>
      </c>
      <c r="J5130" s="13">
        <v>27750</v>
      </c>
      <c r="K5130">
        <v>1</v>
      </c>
      <c r="L5130" t="s">
        <v>1064</v>
      </c>
      <c r="M5130" t="s">
        <v>6252</v>
      </c>
      <c r="N5130" s="15" t="s">
        <v>6878</v>
      </c>
    </row>
    <row r="5131" spans="1:14" x14ac:dyDescent="0.2">
      <c r="A5131" t="s">
        <v>6263</v>
      </c>
      <c r="B5131" t="s">
        <v>2360</v>
      </c>
      <c r="C5131" s="9">
        <v>45065</v>
      </c>
      <c r="D5131" t="s">
        <v>633</v>
      </c>
      <c r="E5131" s="13">
        <v>24600000</v>
      </c>
      <c r="F5131" s="13">
        <v>955710</v>
      </c>
      <c r="G5131" s="9">
        <v>45066</v>
      </c>
      <c r="H5131" t="s">
        <v>1111</v>
      </c>
      <c r="I5131" t="s">
        <v>116</v>
      </c>
      <c r="J5131" s="13">
        <v>27750</v>
      </c>
      <c r="K5131">
        <v>1</v>
      </c>
      <c r="L5131" t="s">
        <v>1064</v>
      </c>
      <c r="M5131" t="s">
        <v>6252</v>
      </c>
      <c r="N5131" s="15" t="s">
        <v>6878</v>
      </c>
    </row>
    <row r="5132" spans="1:14" x14ac:dyDescent="0.2">
      <c r="A5132" t="s">
        <v>6264</v>
      </c>
      <c r="B5132" t="s">
        <v>2360</v>
      </c>
      <c r="C5132" s="9">
        <v>45065</v>
      </c>
      <c r="D5132" t="s">
        <v>633</v>
      </c>
      <c r="E5132" s="13">
        <v>24600000</v>
      </c>
      <c r="F5132" s="13">
        <v>955710</v>
      </c>
      <c r="G5132" s="9">
        <v>45066</v>
      </c>
      <c r="H5132" t="s">
        <v>1111</v>
      </c>
      <c r="I5132" t="s">
        <v>116</v>
      </c>
      <c r="J5132" s="13">
        <v>27750</v>
      </c>
      <c r="K5132">
        <v>1</v>
      </c>
      <c r="L5132" t="s">
        <v>1064</v>
      </c>
      <c r="M5132" t="s">
        <v>6252</v>
      </c>
      <c r="N5132" s="15" t="s">
        <v>6878</v>
      </c>
    </row>
    <row r="5133" spans="1:14" x14ac:dyDescent="0.2">
      <c r="A5133" t="s">
        <v>6265</v>
      </c>
      <c r="B5133" t="s">
        <v>2360</v>
      </c>
      <c r="C5133" s="9">
        <v>45065</v>
      </c>
      <c r="D5133" t="s">
        <v>633</v>
      </c>
      <c r="E5133" s="13">
        <v>24600000</v>
      </c>
      <c r="F5133" s="13">
        <v>955710</v>
      </c>
      <c r="G5133" s="9">
        <v>45066</v>
      </c>
      <c r="H5133" t="s">
        <v>1111</v>
      </c>
      <c r="I5133" t="s">
        <v>116</v>
      </c>
      <c r="J5133" s="13">
        <v>27750</v>
      </c>
      <c r="K5133">
        <v>1</v>
      </c>
      <c r="L5133" t="s">
        <v>1064</v>
      </c>
      <c r="M5133" t="s">
        <v>6252</v>
      </c>
      <c r="N5133" s="15" t="s">
        <v>6878</v>
      </c>
    </row>
    <row r="5134" spans="1:14" x14ac:dyDescent="0.2">
      <c r="A5134" t="s">
        <v>6266</v>
      </c>
      <c r="B5134" t="s">
        <v>2360</v>
      </c>
      <c r="C5134" s="9">
        <v>45066</v>
      </c>
      <c r="D5134" t="s">
        <v>992</v>
      </c>
      <c r="E5134" s="13">
        <v>0</v>
      </c>
      <c r="F5134" s="13">
        <v>20000</v>
      </c>
      <c r="H5134" t="s">
        <v>2184</v>
      </c>
      <c r="I5134" t="s">
        <v>2370</v>
      </c>
      <c r="J5134" s="13">
        <v>0</v>
      </c>
      <c r="K5134">
        <v>1</v>
      </c>
      <c r="L5134" t="s">
        <v>1064</v>
      </c>
      <c r="M5134" t="s">
        <v>2371</v>
      </c>
      <c r="N5134" s="14" t="s">
        <v>6877</v>
      </c>
    </row>
    <row r="5135" spans="1:14" x14ac:dyDescent="0.2">
      <c r="A5135" t="s">
        <v>6267</v>
      </c>
      <c r="B5135" t="s">
        <v>2360</v>
      </c>
      <c r="C5135" s="9">
        <v>45066</v>
      </c>
      <c r="D5135" t="s">
        <v>992</v>
      </c>
      <c r="E5135" s="13">
        <v>1951230</v>
      </c>
      <c r="F5135" s="13">
        <v>22200</v>
      </c>
      <c r="G5135" s="9">
        <v>45066</v>
      </c>
      <c r="H5135" t="s">
        <v>1111</v>
      </c>
      <c r="I5135" t="s">
        <v>2370</v>
      </c>
      <c r="J5135" s="13">
        <v>86634</v>
      </c>
      <c r="K5135">
        <v>1</v>
      </c>
      <c r="L5135" t="s">
        <v>1064</v>
      </c>
      <c r="M5135" t="s">
        <v>2371</v>
      </c>
      <c r="N5135" s="15" t="s">
        <v>6878</v>
      </c>
    </row>
    <row r="5136" spans="1:14" x14ac:dyDescent="0.2">
      <c r="A5136" t="s">
        <v>6268</v>
      </c>
      <c r="B5136" t="s">
        <v>2360</v>
      </c>
      <c r="C5136" s="9">
        <v>45066</v>
      </c>
      <c r="D5136" t="s">
        <v>992</v>
      </c>
      <c r="E5136" s="13">
        <v>2697348</v>
      </c>
      <c r="F5136" s="13">
        <v>22200</v>
      </c>
      <c r="G5136" s="9">
        <v>45074</v>
      </c>
      <c r="H5136" t="s">
        <v>1111</v>
      </c>
      <c r="I5136" t="s">
        <v>2370</v>
      </c>
      <c r="J5136" s="13">
        <v>119761</v>
      </c>
      <c r="K5136">
        <v>1</v>
      </c>
      <c r="L5136" t="s">
        <v>1064</v>
      </c>
      <c r="M5136" t="s">
        <v>2371</v>
      </c>
      <c r="N5136" s="15" t="s">
        <v>6878</v>
      </c>
    </row>
    <row r="5137" spans="1:14" x14ac:dyDescent="0.2">
      <c r="A5137" t="s">
        <v>6269</v>
      </c>
      <c r="B5137" t="s">
        <v>2360</v>
      </c>
      <c r="C5137" s="9">
        <v>45066</v>
      </c>
      <c r="D5137" t="s">
        <v>992</v>
      </c>
      <c r="E5137" s="13">
        <v>1003000</v>
      </c>
      <c r="F5137" s="13">
        <v>20000</v>
      </c>
      <c r="H5137" t="s">
        <v>2184</v>
      </c>
      <c r="I5137" t="s">
        <v>2370</v>
      </c>
      <c r="J5137" s="13">
        <v>0</v>
      </c>
      <c r="K5137">
        <v>1</v>
      </c>
      <c r="L5137" t="s">
        <v>1064</v>
      </c>
      <c r="M5137" t="s">
        <v>2371</v>
      </c>
      <c r="N5137" s="14" t="s">
        <v>6877</v>
      </c>
    </row>
    <row r="5138" spans="1:14" x14ac:dyDescent="0.2">
      <c r="A5138" t="s">
        <v>6270</v>
      </c>
      <c r="B5138" t="s">
        <v>2360</v>
      </c>
      <c r="C5138" s="9">
        <v>45066</v>
      </c>
      <c r="D5138" t="s">
        <v>992</v>
      </c>
      <c r="E5138" s="13">
        <v>2726000</v>
      </c>
      <c r="F5138" s="13">
        <v>20000</v>
      </c>
      <c r="H5138" t="s">
        <v>2184</v>
      </c>
      <c r="I5138" t="s">
        <v>2370</v>
      </c>
      <c r="J5138" s="13">
        <v>0</v>
      </c>
      <c r="K5138">
        <v>1</v>
      </c>
      <c r="L5138" t="s">
        <v>1064</v>
      </c>
      <c r="M5138" t="s">
        <v>2371</v>
      </c>
      <c r="N5138" s="14" t="s">
        <v>6877</v>
      </c>
    </row>
    <row r="5139" spans="1:14" x14ac:dyDescent="0.2">
      <c r="A5139" t="s">
        <v>6271</v>
      </c>
      <c r="B5139" t="s">
        <v>2360</v>
      </c>
      <c r="C5139" s="9">
        <v>45066</v>
      </c>
      <c r="D5139" t="s">
        <v>992</v>
      </c>
      <c r="E5139" s="13">
        <v>2221167</v>
      </c>
      <c r="F5139" s="13">
        <v>22200</v>
      </c>
      <c r="G5139" s="9">
        <v>45074</v>
      </c>
      <c r="H5139" t="s">
        <v>1111</v>
      </c>
      <c r="I5139" t="s">
        <v>2370</v>
      </c>
      <c r="J5139" s="13">
        <v>98619</v>
      </c>
      <c r="K5139">
        <v>1</v>
      </c>
      <c r="L5139" t="s">
        <v>1064</v>
      </c>
      <c r="M5139" t="s">
        <v>2371</v>
      </c>
      <c r="N5139" s="15" t="s">
        <v>6878</v>
      </c>
    </row>
    <row r="5140" spans="1:14" x14ac:dyDescent="0.2">
      <c r="A5140" t="s">
        <v>6272</v>
      </c>
      <c r="B5140" t="s">
        <v>2360</v>
      </c>
      <c r="C5140" s="9">
        <v>45066</v>
      </c>
      <c r="D5140" t="s">
        <v>992</v>
      </c>
      <c r="E5140" s="13">
        <v>2860523</v>
      </c>
      <c r="F5140" s="13">
        <v>22200</v>
      </c>
      <c r="G5140" s="9">
        <v>45074</v>
      </c>
      <c r="H5140" t="s">
        <v>1111</v>
      </c>
      <c r="I5140" t="s">
        <v>2370</v>
      </c>
      <c r="J5140" s="13">
        <v>127006</v>
      </c>
      <c r="K5140">
        <v>1</v>
      </c>
      <c r="L5140" t="s">
        <v>1064</v>
      </c>
      <c r="M5140" t="s">
        <v>2371</v>
      </c>
      <c r="N5140" s="15" t="s">
        <v>6878</v>
      </c>
    </row>
    <row r="5141" spans="1:14" x14ac:dyDescent="0.2">
      <c r="A5141" t="s">
        <v>6273</v>
      </c>
      <c r="B5141" t="s">
        <v>2360</v>
      </c>
      <c r="C5141" s="9">
        <v>45066</v>
      </c>
      <c r="D5141" t="s">
        <v>992</v>
      </c>
      <c r="E5141" s="13">
        <v>0</v>
      </c>
      <c r="F5141" s="13">
        <v>20000</v>
      </c>
      <c r="H5141" t="s">
        <v>2184</v>
      </c>
      <c r="I5141" t="s">
        <v>2370</v>
      </c>
      <c r="J5141" s="13">
        <v>0</v>
      </c>
      <c r="K5141">
        <v>1</v>
      </c>
      <c r="L5141" t="s">
        <v>1064</v>
      </c>
      <c r="M5141" t="s">
        <v>2371</v>
      </c>
      <c r="N5141" s="14" t="s">
        <v>6877</v>
      </c>
    </row>
    <row r="5142" spans="1:14" x14ac:dyDescent="0.2">
      <c r="A5142" t="s">
        <v>6274</v>
      </c>
      <c r="B5142" t="s">
        <v>2360</v>
      </c>
      <c r="C5142" s="9">
        <v>45066</v>
      </c>
      <c r="D5142" t="s">
        <v>992</v>
      </c>
      <c r="E5142" s="13">
        <v>1927977</v>
      </c>
      <c r="F5142" s="13">
        <v>22200</v>
      </c>
      <c r="G5142" s="9">
        <v>45074</v>
      </c>
      <c r="H5142" t="s">
        <v>1111</v>
      </c>
      <c r="I5142" t="s">
        <v>2370</v>
      </c>
      <c r="J5142" s="13">
        <v>85602</v>
      </c>
      <c r="K5142">
        <v>1</v>
      </c>
      <c r="L5142" t="s">
        <v>1064</v>
      </c>
      <c r="M5142" t="s">
        <v>2371</v>
      </c>
      <c r="N5142" s="15" t="s">
        <v>6878</v>
      </c>
    </row>
    <row r="5143" spans="1:14" x14ac:dyDescent="0.2">
      <c r="A5143" t="s">
        <v>6275</v>
      </c>
      <c r="B5143" t="s">
        <v>2360</v>
      </c>
      <c r="C5143" s="9">
        <v>45066</v>
      </c>
      <c r="D5143" t="s">
        <v>992</v>
      </c>
      <c r="E5143" s="13">
        <v>3368652</v>
      </c>
      <c r="F5143" s="13">
        <v>22200</v>
      </c>
      <c r="G5143" s="9">
        <v>45074</v>
      </c>
      <c r="H5143" t="s">
        <v>1111</v>
      </c>
      <c r="I5143" t="s">
        <v>2370</v>
      </c>
      <c r="J5143" s="13">
        <v>149568</v>
      </c>
      <c r="K5143">
        <v>1</v>
      </c>
      <c r="L5143" t="s">
        <v>1064</v>
      </c>
      <c r="M5143" t="s">
        <v>2371</v>
      </c>
      <c r="N5143" s="15" t="s">
        <v>6878</v>
      </c>
    </row>
    <row r="5144" spans="1:14" x14ac:dyDescent="0.2">
      <c r="A5144" t="s">
        <v>6276</v>
      </c>
      <c r="B5144" t="s">
        <v>2360</v>
      </c>
      <c r="C5144" s="9">
        <v>45066</v>
      </c>
      <c r="D5144" t="s">
        <v>992</v>
      </c>
      <c r="E5144" s="13">
        <v>1407312</v>
      </c>
      <c r="F5144" s="13">
        <v>22200</v>
      </c>
      <c r="G5144" s="9">
        <v>45074</v>
      </c>
      <c r="H5144" t="s">
        <v>1111</v>
      </c>
      <c r="I5144" t="s">
        <v>2370</v>
      </c>
      <c r="J5144" s="13">
        <v>62484</v>
      </c>
      <c r="K5144">
        <v>1</v>
      </c>
      <c r="L5144" t="s">
        <v>1064</v>
      </c>
      <c r="M5144" t="s">
        <v>2371</v>
      </c>
      <c r="N5144" s="15" t="s">
        <v>6878</v>
      </c>
    </row>
    <row r="5145" spans="1:14" x14ac:dyDescent="0.2">
      <c r="A5145" t="s">
        <v>6277</v>
      </c>
      <c r="B5145" t="s">
        <v>2360</v>
      </c>
      <c r="C5145" s="9">
        <v>45066</v>
      </c>
      <c r="D5145" t="s">
        <v>992</v>
      </c>
      <c r="E5145" s="13">
        <v>2668000</v>
      </c>
      <c r="F5145" s="13">
        <v>20000</v>
      </c>
      <c r="H5145" t="s">
        <v>2184</v>
      </c>
      <c r="I5145" t="s">
        <v>2370</v>
      </c>
      <c r="J5145" s="13">
        <v>0</v>
      </c>
      <c r="K5145">
        <v>1</v>
      </c>
      <c r="L5145" t="s">
        <v>1064</v>
      </c>
      <c r="M5145" t="s">
        <v>2371</v>
      </c>
      <c r="N5145" s="14" t="s">
        <v>6877</v>
      </c>
    </row>
    <row r="5146" spans="1:14" x14ac:dyDescent="0.2">
      <c r="A5146" t="s">
        <v>6278</v>
      </c>
      <c r="B5146" t="s">
        <v>2360</v>
      </c>
      <c r="C5146" s="9">
        <v>45066</v>
      </c>
      <c r="D5146" t="s">
        <v>972</v>
      </c>
      <c r="E5146" s="13">
        <v>7615000</v>
      </c>
      <c r="F5146" s="13">
        <v>22200</v>
      </c>
      <c r="G5146" s="9">
        <v>45067</v>
      </c>
      <c r="H5146" t="s">
        <v>1111</v>
      </c>
      <c r="I5146" t="s">
        <v>4620</v>
      </c>
      <c r="J5146" s="13">
        <v>228221</v>
      </c>
      <c r="K5146">
        <v>1</v>
      </c>
      <c r="L5146" t="s">
        <v>1064</v>
      </c>
      <c r="M5146" t="s">
        <v>4621</v>
      </c>
      <c r="N5146" s="15" t="s">
        <v>6878</v>
      </c>
    </row>
    <row r="5147" spans="1:14" x14ac:dyDescent="0.2">
      <c r="A5147" t="s">
        <v>6279</v>
      </c>
      <c r="B5147" t="s">
        <v>2360</v>
      </c>
      <c r="C5147" s="9">
        <v>45066</v>
      </c>
      <c r="D5147" t="s">
        <v>972</v>
      </c>
      <c r="E5147" s="13">
        <v>7615000</v>
      </c>
      <c r="F5147" s="13">
        <v>22200</v>
      </c>
      <c r="G5147" s="9">
        <v>45067</v>
      </c>
      <c r="H5147" t="s">
        <v>1111</v>
      </c>
      <c r="I5147" t="s">
        <v>4620</v>
      </c>
      <c r="J5147" s="13">
        <v>228221</v>
      </c>
      <c r="K5147">
        <v>1</v>
      </c>
      <c r="L5147" t="s">
        <v>1064</v>
      </c>
      <c r="M5147" t="s">
        <v>4621</v>
      </c>
      <c r="N5147" s="15" t="s">
        <v>6878</v>
      </c>
    </row>
    <row r="5148" spans="1:14" x14ac:dyDescent="0.2">
      <c r="A5148" t="s">
        <v>6280</v>
      </c>
      <c r="B5148" t="s">
        <v>2360</v>
      </c>
      <c r="C5148" s="9">
        <v>45066</v>
      </c>
      <c r="D5148" t="s">
        <v>972</v>
      </c>
      <c r="E5148" s="13">
        <v>7615000</v>
      </c>
      <c r="F5148" s="13">
        <v>22200</v>
      </c>
      <c r="G5148" s="9">
        <v>45067</v>
      </c>
      <c r="H5148" t="s">
        <v>1111</v>
      </c>
      <c r="I5148" t="s">
        <v>4620</v>
      </c>
      <c r="J5148" s="13">
        <v>228221</v>
      </c>
      <c r="K5148">
        <v>1</v>
      </c>
      <c r="L5148" t="s">
        <v>1064</v>
      </c>
      <c r="M5148" t="s">
        <v>4621</v>
      </c>
      <c r="N5148" s="15" t="s">
        <v>6878</v>
      </c>
    </row>
    <row r="5149" spans="1:14" x14ac:dyDescent="0.2">
      <c r="A5149" t="s">
        <v>6281</v>
      </c>
      <c r="B5149" t="s">
        <v>2360</v>
      </c>
      <c r="C5149" s="9">
        <v>45066</v>
      </c>
      <c r="D5149" t="s">
        <v>972</v>
      </c>
      <c r="E5149" s="13">
        <v>7615000</v>
      </c>
      <c r="F5149" s="13">
        <v>22200</v>
      </c>
      <c r="G5149" s="9">
        <v>45067</v>
      </c>
      <c r="H5149" t="s">
        <v>1111</v>
      </c>
      <c r="I5149" t="s">
        <v>4620</v>
      </c>
      <c r="J5149" s="13">
        <v>228221</v>
      </c>
      <c r="K5149">
        <v>1</v>
      </c>
      <c r="L5149" t="s">
        <v>1064</v>
      </c>
      <c r="M5149" t="s">
        <v>4621</v>
      </c>
      <c r="N5149" s="15" t="s">
        <v>6878</v>
      </c>
    </row>
    <row r="5150" spans="1:14" x14ac:dyDescent="0.2">
      <c r="A5150" t="s">
        <v>6282</v>
      </c>
      <c r="B5150" t="s">
        <v>2360</v>
      </c>
      <c r="C5150" s="9">
        <v>45066</v>
      </c>
      <c r="D5150" t="s">
        <v>972</v>
      </c>
      <c r="E5150" s="13">
        <v>7615000</v>
      </c>
      <c r="F5150" s="13">
        <v>22200</v>
      </c>
      <c r="G5150" s="9">
        <v>45067</v>
      </c>
      <c r="H5150" t="s">
        <v>1111</v>
      </c>
      <c r="I5150" t="s">
        <v>4620</v>
      </c>
      <c r="J5150" s="13">
        <v>228221</v>
      </c>
      <c r="K5150">
        <v>1</v>
      </c>
      <c r="L5150" t="s">
        <v>1064</v>
      </c>
      <c r="M5150" t="s">
        <v>4621</v>
      </c>
      <c r="N5150" s="15" t="s">
        <v>6878</v>
      </c>
    </row>
    <row r="5151" spans="1:14" x14ac:dyDescent="0.2">
      <c r="A5151" t="s">
        <v>6283</v>
      </c>
      <c r="B5151" t="s">
        <v>2360</v>
      </c>
      <c r="C5151" s="9">
        <v>45066</v>
      </c>
      <c r="D5151" t="s">
        <v>972</v>
      </c>
      <c r="E5151" s="13">
        <v>7615000</v>
      </c>
      <c r="F5151" s="13">
        <v>22200</v>
      </c>
      <c r="G5151" s="9">
        <v>45067</v>
      </c>
      <c r="H5151" t="s">
        <v>1111</v>
      </c>
      <c r="I5151" t="s">
        <v>4620</v>
      </c>
      <c r="J5151" s="13">
        <v>228221</v>
      </c>
      <c r="K5151">
        <v>1</v>
      </c>
      <c r="L5151" t="s">
        <v>1064</v>
      </c>
      <c r="M5151" t="s">
        <v>4621</v>
      </c>
      <c r="N5151" s="15" t="s">
        <v>6878</v>
      </c>
    </row>
    <row r="5152" spans="1:14" x14ac:dyDescent="0.2">
      <c r="A5152" t="s">
        <v>6284</v>
      </c>
      <c r="B5152" t="s">
        <v>2360</v>
      </c>
      <c r="C5152" s="9">
        <v>45066</v>
      </c>
      <c r="D5152" t="s">
        <v>972</v>
      </c>
      <c r="E5152" s="13">
        <v>7615000</v>
      </c>
      <c r="F5152" s="13">
        <v>22200</v>
      </c>
      <c r="G5152" s="9">
        <v>45067</v>
      </c>
      <c r="H5152" t="s">
        <v>1111</v>
      </c>
      <c r="I5152" t="s">
        <v>4620</v>
      </c>
      <c r="J5152" s="13">
        <v>228221</v>
      </c>
      <c r="K5152">
        <v>1</v>
      </c>
      <c r="L5152" t="s">
        <v>1064</v>
      </c>
      <c r="M5152" t="s">
        <v>4621</v>
      </c>
      <c r="N5152" s="15" t="s">
        <v>6878</v>
      </c>
    </row>
    <row r="5153" spans="1:14" x14ac:dyDescent="0.2">
      <c r="A5153" t="s">
        <v>6285</v>
      </c>
      <c r="B5153" t="s">
        <v>2360</v>
      </c>
      <c r="C5153" s="9">
        <v>45066</v>
      </c>
      <c r="D5153" t="s">
        <v>972</v>
      </c>
      <c r="E5153" s="13">
        <v>7615000</v>
      </c>
      <c r="F5153" s="13">
        <v>22200</v>
      </c>
      <c r="G5153" s="9">
        <v>45067</v>
      </c>
      <c r="H5153" t="s">
        <v>1111</v>
      </c>
      <c r="I5153" t="s">
        <v>4620</v>
      </c>
      <c r="J5153" s="13">
        <v>228221</v>
      </c>
      <c r="K5153">
        <v>1</v>
      </c>
      <c r="L5153" t="s">
        <v>1064</v>
      </c>
      <c r="M5153" t="s">
        <v>4621</v>
      </c>
      <c r="N5153" s="15" t="s">
        <v>6878</v>
      </c>
    </row>
    <row r="5154" spans="1:14" x14ac:dyDescent="0.2">
      <c r="A5154" t="s">
        <v>6286</v>
      </c>
      <c r="B5154" t="s">
        <v>2360</v>
      </c>
      <c r="C5154" s="9">
        <v>45066</v>
      </c>
      <c r="D5154" t="s">
        <v>972</v>
      </c>
      <c r="E5154" s="13">
        <v>7615000</v>
      </c>
      <c r="F5154" s="13">
        <v>22200</v>
      </c>
      <c r="G5154" s="9">
        <v>45067</v>
      </c>
      <c r="H5154" t="s">
        <v>1111</v>
      </c>
      <c r="I5154" t="s">
        <v>4620</v>
      </c>
      <c r="J5154" s="13">
        <v>228221</v>
      </c>
      <c r="K5154">
        <v>1</v>
      </c>
      <c r="L5154" t="s">
        <v>1064</v>
      </c>
      <c r="M5154" t="s">
        <v>4621</v>
      </c>
      <c r="N5154" s="15" t="s">
        <v>6878</v>
      </c>
    </row>
    <row r="5155" spans="1:14" x14ac:dyDescent="0.2">
      <c r="A5155" t="s">
        <v>6287</v>
      </c>
      <c r="B5155" t="s">
        <v>2360</v>
      </c>
      <c r="C5155" s="9">
        <v>45066</v>
      </c>
      <c r="D5155" t="s">
        <v>996</v>
      </c>
      <c r="E5155" s="13">
        <v>19240000</v>
      </c>
      <c r="F5155" s="13">
        <v>27750</v>
      </c>
      <c r="G5155" s="9">
        <v>45067</v>
      </c>
      <c r="H5155" t="s">
        <v>1111</v>
      </c>
      <c r="I5155" t="s">
        <v>3191</v>
      </c>
      <c r="J5155" s="13">
        <v>747474</v>
      </c>
      <c r="K5155">
        <v>1</v>
      </c>
      <c r="L5155" t="s">
        <v>1064</v>
      </c>
      <c r="M5155" t="s">
        <v>3192</v>
      </c>
      <c r="N5155" s="15" t="s">
        <v>6878</v>
      </c>
    </row>
    <row r="5156" spans="1:14" x14ac:dyDescent="0.2">
      <c r="A5156" t="s">
        <v>6288</v>
      </c>
      <c r="B5156" t="s">
        <v>2360</v>
      </c>
      <c r="C5156" s="9">
        <v>45066</v>
      </c>
      <c r="D5156" t="s">
        <v>996</v>
      </c>
      <c r="E5156" s="13">
        <v>7770000</v>
      </c>
      <c r="F5156" s="13">
        <v>27750</v>
      </c>
      <c r="G5156" s="9">
        <v>45067</v>
      </c>
      <c r="H5156" t="s">
        <v>1111</v>
      </c>
      <c r="I5156" t="s">
        <v>3191</v>
      </c>
      <c r="J5156" s="13">
        <v>301864</v>
      </c>
      <c r="K5156">
        <v>1</v>
      </c>
      <c r="L5156" t="s">
        <v>1064</v>
      </c>
      <c r="M5156" t="s">
        <v>3192</v>
      </c>
      <c r="N5156" s="15" t="s">
        <v>6878</v>
      </c>
    </row>
    <row r="5157" spans="1:14" x14ac:dyDescent="0.2">
      <c r="A5157" t="s">
        <v>997</v>
      </c>
      <c r="B5157" t="s">
        <v>2360</v>
      </c>
      <c r="C5157" s="9">
        <v>45066</v>
      </c>
      <c r="D5157" t="s">
        <v>996</v>
      </c>
      <c r="E5157" s="13">
        <v>6068000</v>
      </c>
      <c r="F5157" s="13">
        <v>27750</v>
      </c>
      <c r="G5157" s="9">
        <v>45067</v>
      </c>
      <c r="H5157" t="s">
        <v>1111</v>
      </c>
      <c r="I5157" t="s">
        <v>3191</v>
      </c>
      <c r="J5157" s="13">
        <v>235741</v>
      </c>
      <c r="K5157">
        <v>1</v>
      </c>
      <c r="L5157" t="s">
        <v>1064</v>
      </c>
      <c r="M5157" t="s">
        <v>3192</v>
      </c>
      <c r="N5157" s="15" t="s">
        <v>6878</v>
      </c>
    </row>
    <row r="5158" spans="1:14" x14ac:dyDescent="0.2">
      <c r="A5158" t="s">
        <v>6289</v>
      </c>
      <c r="B5158" t="s">
        <v>2360</v>
      </c>
      <c r="C5158" s="9">
        <v>45066</v>
      </c>
      <c r="D5158" t="s">
        <v>972</v>
      </c>
      <c r="E5158" s="13">
        <v>7615000</v>
      </c>
      <c r="F5158" s="13">
        <v>22200</v>
      </c>
      <c r="G5158" s="9">
        <v>45067</v>
      </c>
      <c r="H5158" t="s">
        <v>1111</v>
      </c>
      <c r="I5158" t="s">
        <v>4620</v>
      </c>
      <c r="J5158" s="13">
        <v>228221</v>
      </c>
      <c r="K5158">
        <v>1</v>
      </c>
      <c r="L5158" t="s">
        <v>1064</v>
      </c>
      <c r="M5158" t="s">
        <v>4621</v>
      </c>
      <c r="N5158" s="15" t="s">
        <v>6878</v>
      </c>
    </row>
    <row r="5159" spans="1:14" x14ac:dyDescent="0.2">
      <c r="A5159" t="s">
        <v>6290</v>
      </c>
      <c r="B5159" t="s">
        <v>2360</v>
      </c>
      <c r="C5159" s="9">
        <v>45066</v>
      </c>
      <c r="D5159" t="s">
        <v>972</v>
      </c>
      <c r="E5159" s="13">
        <v>7615000</v>
      </c>
      <c r="F5159" s="13">
        <v>22200</v>
      </c>
      <c r="G5159" s="9">
        <v>45067</v>
      </c>
      <c r="H5159" t="s">
        <v>1111</v>
      </c>
      <c r="I5159" t="s">
        <v>4620</v>
      </c>
      <c r="J5159" s="13">
        <v>228221</v>
      </c>
      <c r="K5159">
        <v>1</v>
      </c>
      <c r="L5159" t="s">
        <v>1064</v>
      </c>
      <c r="M5159" t="s">
        <v>4621</v>
      </c>
      <c r="N5159" s="15" t="s">
        <v>6878</v>
      </c>
    </row>
    <row r="5160" spans="1:14" x14ac:dyDescent="0.2">
      <c r="A5160" t="s">
        <v>6291</v>
      </c>
      <c r="B5160" t="s">
        <v>2360</v>
      </c>
      <c r="C5160" s="9">
        <v>45066</v>
      </c>
      <c r="D5160" t="s">
        <v>972</v>
      </c>
      <c r="E5160" s="13">
        <v>7615000</v>
      </c>
      <c r="F5160" s="13">
        <v>22200</v>
      </c>
      <c r="G5160" s="9">
        <v>45067</v>
      </c>
      <c r="H5160" t="s">
        <v>1111</v>
      </c>
      <c r="I5160" t="s">
        <v>4620</v>
      </c>
      <c r="J5160" s="13">
        <v>228221</v>
      </c>
      <c r="K5160">
        <v>1</v>
      </c>
      <c r="L5160" t="s">
        <v>1064</v>
      </c>
      <c r="M5160" t="s">
        <v>4621</v>
      </c>
      <c r="N5160" s="15" t="s">
        <v>6878</v>
      </c>
    </row>
    <row r="5161" spans="1:14" x14ac:dyDescent="0.2">
      <c r="A5161" t="s">
        <v>6292</v>
      </c>
      <c r="B5161" t="s">
        <v>2360</v>
      </c>
      <c r="C5161" s="9">
        <v>45066</v>
      </c>
      <c r="D5161" t="s">
        <v>972</v>
      </c>
      <c r="E5161" s="13">
        <v>7615000</v>
      </c>
      <c r="F5161" s="13">
        <v>22200</v>
      </c>
      <c r="G5161" s="9">
        <v>45067</v>
      </c>
      <c r="H5161" t="s">
        <v>1111</v>
      </c>
      <c r="I5161" t="s">
        <v>4620</v>
      </c>
      <c r="J5161" s="13">
        <v>228221</v>
      </c>
      <c r="K5161">
        <v>1</v>
      </c>
      <c r="L5161" t="s">
        <v>1064</v>
      </c>
      <c r="M5161" t="s">
        <v>4621</v>
      </c>
      <c r="N5161" s="15" t="s">
        <v>6878</v>
      </c>
    </row>
    <row r="5162" spans="1:14" x14ac:dyDescent="0.2">
      <c r="A5162" t="s">
        <v>6293</v>
      </c>
      <c r="B5162" t="s">
        <v>2360</v>
      </c>
      <c r="C5162" s="9">
        <v>45066</v>
      </c>
      <c r="D5162" t="s">
        <v>972</v>
      </c>
      <c r="E5162" s="13">
        <v>7615000</v>
      </c>
      <c r="F5162" s="13">
        <v>22200</v>
      </c>
      <c r="G5162" s="9">
        <v>45067</v>
      </c>
      <c r="H5162" t="s">
        <v>1111</v>
      </c>
      <c r="I5162" t="s">
        <v>4620</v>
      </c>
      <c r="J5162" s="13">
        <v>228221</v>
      </c>
      <c r="K5162">
        <v>1</v>
      </c>
      <c r="L5162" t="s">
        <v>1064</v>
      </c>
      <c r="M5162" t="s">
        <v>4621</v>
      </c>
      <c r="N5162" s="15" t="s">
        <v>6878</v>
      </c>
    </row>
    <row r="5163" spans="1:14" x14ac:dyDescent="0.2">
      <c r="A5163" t="s">
        <v>6294</v>
      </c>
      <c r="B5163" t="s">
        <v>2360</v>
      </c>
      <c r="C5163" s="9">
        <v>45066</v>
      </c>
      <c r="D5163" t="s">
        <v>966</v>
      </c>
      <c r="E5163" s="13">
        <v>6300000</v>
      </c>
      <c r="F5163" s="13">
        <v>27750</v>
      </c>
      <c r="G5163" s="9">
        <v>45067</v>
      </c>
      <c r="H5163" t="s">
        <v>1111</v>
      </c>
      <c r="I5163" t="s">
        <v>1515</v>
      </c>
      <c r="J5163" s="13">
        <v>279720</v>
      </c>
      <c r="K5163">
        <v>1</v>
      </c>
      <c r="L5163" t="s">
        <v>1064</v>
      </c>
      <c r="M5163" t="s">
        <v>1516</v>
      </c>
      <c r="N5163" s="15" t="s">
        <v>6878</v>
      </c>
    </row>
    <row r="5164" spans="1:14" x14ac:dyDescent="0.2">
      <c r="A5164" t="s">
        <v>6295</v>
      </c>
      <c r="B5164" t="s">
        <v>2360</v>
      </c>
      <c r="C5164" s="9">
        <v>45066</v>
      </c>
      <c r="D5164" t="s">
        <v>966</v>
      </c>
      <c r="E5164" s="13">
        <v>5250000</v>
      </c>
      <c r="F5164" s="13">
        <v>27750</v>
      </c>
      <c r="G5164" s="9">
        <v>45067</v>
      </c>
      <c r="H5164" t="s">
        <v>1111</v>
      </c>
      <c r="I5164" t="s">
        <v>1515</v>
      </c>
      <c r="J5164" s="13">
        <v>233100</v>
      </c>
      <c r="K5164">
        <v>1</v>
      </c>
      <c r="L5164" t="s">
        <v>1064</v>
      </c>
      <c r="M5164" t="s">
        <v>1516</v>
      </c>
      <c r="N5164" s="15" t="s">
        <v>6878</v>
      </c>
    </row>
    <row r="5165" spans="1:14" x14ac:dyDescent="0.2">
      <c r="A5165" t="s">
        <v>6296</v>
      </c>
      <c r="B5165" t="s">
        <v>2360</v>
      </c>
      <c r="C5165" s="9">
        <v>45066</v>
      </c>
      <c r="D5165" t="s">
        <v>972</v>
      </c>
      <c r="E5165" s="13">
        <v>7615000</v>
      </c>
      <c r="F5165" s="13">
        <v>22200</v>
      </c>
      <c r="G5165" s="9">
        <v>45067</v>
      </c>
      <c r="H5165" t="s">
        <v>1111</v>
      </c>
      <c r="I5165" t="s">
        <v>4620</v>
      </c>
      <c r="J5165" s="13">
        <v>228221</v>
      </c>
      <c r="K5165">
        <v>1</v>
      </c>
      <c r="L5165" t="s">
        <v>1064</v>
      </c>
      <c r="M5165" t="s">
        <v>4621</v>
      </c>
      <c r="N5165" s="15" t="s">
        <v>6878</v>
      </c>
    </row>
    <row r="5166" spans="1:14" x14ac:dyDescent="0.2">
      <c r="A5166" t="s">
        <v>6297</v>
      </c>
      <c r="B5166" t="s">
        <v>2360</v>
      </c>
      <c r="C5166" s="9">
        <v>45066</v>
      </c>
      <c r="D5166" t="s">
        <v>966</v>
      </c>
      <c r="E5166" s="13">
        <v>5277750</v>
      </c>
      <c r="F5166" s="13">
        <v>27750</v>
      </c>
      <c r="G5166" s="9">
        <v>45067</v>
      </c>
      <c r="H5166" t="s">
        <v>1111</v>
      </c>
      <c r="I5166" t="s">
        <v>1515</v>
      </c>
      <c r="J5166" s="13">
        <v>234332</v>
      </c>
      <c r="K5166">
        <v>1</v>
      </c>
      <c r="L5166" t="s">
        <v>1064</v>
      </c>
      <c r="M5166" t="s">
        <v>1516</v>
      </c>
      <c r="N5166" s="15" t="s">
        <v>6878</v>
      </c>
    </row>
    <row r="5167" spans="1:14" x14ac:dyDescent="0.2">
      <c r="A5167" t="s">
        <v>6298</v>
      </c>
      <c r="B5167" t="s">
        <v>2360</v>
      </c>
      <c r="C5167" s="9">
        <v>45066</v>
      </c>
      <c r="D5167" t="s">
        <v>966</v>
      </c>
      <c r="E5167" s="13">
        <v>5250000</v>
      </c>
      <c r="F5167" s="13">
        <v>27750</v>
      </c>
      <c r="G5167" s="9">
        <v>45067</v>
      </c>
      <c r="H5167" t="s">
        <v>1111</v>
      </c>
      <c r="I5167" t="s">
        <v>1515</v>
      </c>
      <c r="J5167" s="13">
        <v>233100</v>
      </c>
      <c r="K5167">
        <v>1</v>
      </c>
      <c r="L5167" t="s">
        <v>1064</v>
      </c>
      <c r="M5167" t="s">
        <v>1516</v>
      </c>
      <c r="N5167" s="15" t="s">
        <v>6878</v>
      </c>
    </row>
    <row r="5168" spans="1:14" x14ac:dyDescent="0.2">
      <c r="A5168" t="s">
        <v>6299</v>
      </c>
      <c r="B5168" t="s">
        <v>2360</v>
      </c>
      <c r="C5168" s="9">
        <v>45066</v>
      </c>
      <c r="D5168" t="s">
        <v>966</v>
      </c>
      <c r="E5168" s="13">
        <v>5250000</v>
      </c>
      <c r="F5168" s="13">
        <v>27750</v>
      </c>
      <c r="G5168" s="9">
        <v>45067</v>
      </c>
      <c r="H5168" t="s">
        <v>1111</v>
      </c>
      <c r="I5168" t="s">
        <v>1515</v>
      </c>
      <c r="J5168" s="13">
        <v>233100</v>
      </c>
      <c r="K5168">
        <v>1</v>
      </c>
      <c r="L5168" t="s">
        <v>1064</v>
      </c>
      <c r="M5168" t="s">
        <v>1516</v>
      </c>
      <c r="N5168" s="15" t="s">
        <v>6878</v>
      </c>
    </row>
    <row r="5169" spans="1:14" x14ac:dyDescent="0.2">
      <c r="A5169" t="s">
        <v>6300</v>
      </c>
      <c r="B5169" t="s">
        <v>2360</v>
      </c>
      <c r="C5169" s="9">
        <v>45066</v>
      </c>
      <c r="D5169" t="s">
        <v>966</v>
      </c>
      <c r="E5169" s="13">
        <v>5277750</v>
      </c>
      <c r="F5169" s="13">
        <v>27750</v>
      </c>
      <c r="G5169" s="9">
        <v>45067</v>
      </c>
      <c r="H5169" t="s">
        <v>1111</v>
      </c>
      <c r="I5169" t="s">
        <v>1515</v>
      </c>
      <c r="J5169" s="13">
        <v>234332</v>
      </c>
      <c r="K5169">
        <v>1</v>
      </c>
      <c r="L5169" t="s">
        <v>1064</v>
      </c>
      <c r="M5169" t="s">
        <v>1516</v>
      </c>
      <c r="N5169" s="15" t="s">
        <v>6878</v>
      </c>
    </row>
    <row r="5170" spans="1:14" x14ac:dyDescent="0.2">
      <c r="A5170" t="s">
        <v>6301</v>
      </c>
      <c r="B5170" t="s">
        <v>2360</v>
      </c>
      <c r="C5170" s="9">
        <v>45066</v>
      </c>
      <c r="D5170" t="s">
        <v>972</v>
      </c>
      <c r="E5170" s="13">
        <v>7615000</v>
      </c>
      <c r="F5170" s="13">
        <v>22200</v>
      </c>
      <c r="G5170" s="9">
        <v>45067</v>
      </c>
      <c r="H5170" t="s">
        <v>1111</v>
      </c>
      <c r="I5170" t="s">
        <v>4620</v>
      </c>
      <c r="J5170" s="13">
        <v>228221</v>
      </c>
      <c r="K5170">
        <v>1</v>
      </c>
      <c r="L5170" t="s">
        <v>1064</v>
      </c>
      <c r="M5170" t="s">
        <v>4621</v>
      </c>
      <c r="N5170" s="15" t="s">
        <v>6878</v>
      </c>
    </row>
    <row r="5171" spans="1:14" x14ac:dyDescent="0.2">
      <c r="A5171" t="s">
        <v>6302</v>
      </c>
      <c r="B5171" t="s">
        <v>2360</v>
      </c>
      <c r="C5171" s="9">
        <v>45066</v>
      </c>
      <c r="D5171" t="s">
        <v>972</v>
      </c>
      <c r="E5171" s="13">
        <v>7615000</v>
      </c>
      <c r="F5171" s="13">
        <v>22200</v>
      </c>
      <c r="G5171" s="9">
        <v>45067</v>
      </c>
      <c r="H5171" t="s">
        <v>1111</v>
      </c>
      <c r="I5171" t="s">
        <v>4620</v>
      </c>
      <c r="J5171" s="13">
        <v>228221</v>
      </c>
      <c r="K5171">
        <v>1</v>
      </c>
      <c r="L5171" t="s">
        <v>1064</v>
      </c>
      <c r="M5171" t="s">
        <v>4621</v>
      </c>
      <c r="N5171" s="15" t="s">
        <v>6878</v>
      </c>
    </row>
    <row r="5172" spans="1:14" x14ac:dyDescent="0.2">
      <c r="A5172" t="s">
        <v>6303</v>
      </c>
      <c r="B5172" t="s">
        <v>2360</v>
      </c>
      <c r="C5172" s="9">
        <v>45066</v>
      </c>
      <c r="D5172" t="s">
        <v>972</v>
      </c>
      <c r="E5172" s="13">
        <v>7615000</v>
      </c>
      <c r="F5172" s="13">
        <v>22200</v>
      </c>
      <c r="G5172" s="9">
        <v>45067</v>
      </c>
      <c r="H5172" t="s">
        <v>1111</v>
      </c>
      <c r="I5172" t="s">
        <v>4620</v>
      </c>
      <c r="J5172" s="13">
        <v>228221</v>
      </c>
      <c r="K5172">
        <v>1</v>
      </c>
      <c r="L5172" t="s">
        <v>1064</v>
      </c>
      <c r="M5172" t="s">
        <v>4621</v>
      </c>
      <c r="N5172" s="15" t="s">
        <v>6878</v>
      </c>
    </row>
    <row r="5173" spans="1:14" x14ac:dyDescent="0.2">
      <c r="A5173" t="s">
        <v>6304</v>
      </c>
      <c r="B5173" t="s">
        <v>2360</v>
      </c>
      <c r="C5173" s="9">
        <v>45066</v>
      </c>
      <c r="D5173" t="s">
        <v>966</v>
      </c>
      <c r="E5173" s="13">
        <v>5250000</v>
      </c>
      <c r="F5173" s="13">
        <v>27750</v>
      </c>
      <c r="G5173" s="9">
        <v>45067</v>
      </c>
      <c r="H5173" t="s">
        <v>1111</v>
      </c>
      <c r="I5173" t="s">
        <v>1515</v>
      </c>
      <c r="J5173" s="13">
        <v>233100</v>
      </c>
      <c r="K5173">
        <v>1</v>
      </c>
      <c r="L5173" t="s">
        <v>1064</v>
      </c>
      <c r="M5173" t="s">
        <v>1516</v>
      </c>
      <c r="N5173" s="15" t="s">
        <v>6878</v>
      </c>
    </row>
    <row r="5174" spans="1:14" x14ac:dyDescent="0.2">
      <c r="A5174" t="s">
        <v>6305</v>
      </c>
      <c r="B5174" t="s">
        <v>2360</v>
      </c>
      <c r="C5174" s="9">
        <v>45066</v>
      </c>
      <c r="D5174" t="s">
        <v>966</v>
      </c>
      <c r="E5174" s="13">
        <v>6300000</v>
      </c>
      <c r="F5174" s="13">
        <v>27750</v>
      </c>
      <c r="G5174" s="9">
        <v>45067</v>
      </c>
      <c r="H5174" t="s">
        <v>1111</v>
      </c>
      <c r="I5174" t="s">
        <v>1515</v>
      </c>
      <c r="J5174" s="13">
        <v>279720</v>
      </c>
      <c r="K5174">
        <v>1</v>
      </c>
      <c r="L5174" t="s">
        <v>1064</v>
      </c>
      <c r="M5174" t="s">
        <v>1516</v>
      </c>
      <c r="N5174" s="15" t="s">
        <v>6878</v>
      </c>
    </row>
    <row r="5175" spans="1:14" x14ac:dyDescent="0.2">
      <c r="A5175" t="s">
        <v>6306</v>
      </c>
      <c r="B5175" t="s">
        <v>2360</v>
      </c>
      <c r="C5175" s="9">
        <v>45066</v>
      </c>
      <c r="D5175" t="s">
        <v>966</v>
      </c>
      <c r="E5175" s="13">
        <v>5250000</v>
      </c>
      <c r="F5175" s="13">
        <v>27750</v>
      </c>
      <c r="G5175" s="9">
        <v>45067</v>
      </c>
      <c r="H5175" t="s">
        <v>1111</v>
      </c>
      <c r="I5175" t="s">
        <v>1515</v>
      </c>
      <c r="J5175" s="13">
        <v>233100</v>
      </c>
      <c r="K5175">
        <v>1</v>
      </c>
      <c r="L5175" t="s">
        <v>1064</v>
      </c>
      <c r="M5175" t="s">
        <v>1516</v>
      </c>
      <c r="N5175" s="15" t="s">
        <v>6878</v>
      </c>
    </row>
    <row r="5176" spans="1:14" x14ac:dyDescent="0.2">
      <c r="A5176" t="s">
        <v>6307</v>
      </c>
      <c r="B5176" t="s">
        <v>2360</v>
      </c>
      <c r="C5176" s="9">
        <v>45066</v>
      </c>
      <c r="D5176" t="s">
        <v>966</v>
      </c>
      <c r="E5176" s="13">
        <v>6327750</v>
      </c>
      <c r="F5176" s="13">
        <v>27750</v>
      </c>
      <c r="G5176" s="9">
        <v>45067</v>
      </c>
      <c r="H5176" t="s">
        <v>1111</v>
      </c>
      <c r="I5176" t="s">
        <v>1515</v>
      </c>
      <c r="J5176" s="13">
        <v>280952</v>
      </c>
      <c r="K5176">
        <v>1</v>
      </c>
      <c r="L5176" t="s">
        <v>1064</v>
      </c>
      <c r="M5176" t="s">
        <v>1516</v>
      </c>
      <c r="N5176" s="15" t="s">
        <v>6878</v>
      </c>
    </row>
    <row r="5177" spans="1:14" x14ac:dyDescent="0.2">
      <c r="A5177" t="s">
        <v>6308</v>
      </c>
      <c r="B5177" t="s">
        <v>2360</v>
      </c>
      <c r="C5177" s="9">
        <v>45066</v>
      </c>
      <c r="D5177" t="s">
        <v>966</v>
      </c>
      <c r="E5177" s="13">
        <v>5250000</v>
      </c>
      <c r="F5177" s="13">
        <v>27750</v>
      </c>
      <c r="G5177" s="9">
        <v>45067</v>
      </c>
      <c r="H5177" t="s">
        <v>1111</v>
      </c>
      <c r="I5177" t="s">
        <v>1515</v>
      </c>
      <c r="J5177" s="13">
        <v>233100</v>
      </c>
      <c r="K5177">
        <v>1</v>
      </c>
      <c r="L5177" t="s">
        <v>1064</v>
      </c>
      <c r="M5177" t="s">
        <v>1516</v>
      </c>
      <c r="N5177" s="15" t="s">
        <v>6878</v>
      </c>
    </row>
    <row r="5178" spans="1:14" x14ac:dyDescent="0.2">
      <c r="A5178" t="s">
        <v>6309</v>
      </c>
      <c r="B5178" t="s">
        <v>2360</v>
      </c>
      <c r="C5178" s="9">
        <v>45066</v>
      </c>
      <c r="D5178" t="s">
        <v>966</v>
      </c>
      <c r="E5178" s="13">
        <v>5250000</v>
      </c>
      <c r="F5178" s="13">
        <v>27750</v>
      </c>
      <c r="G5178" s="9">
        <v>45067</v>
      </c>
      <c r="H5178" t="s">
        <v>1111</v>
      </c>
      <c r="I5178" t="s">
        <v>1515</v>
      </c>
      <c r="J5178" s="13">
        <v>233100</v>
      </c>
      <c r="K5178">
        <v>1</v>
      </c>
      <c r="L5178" t="s">
        <v>1064</v>
      </c>
      <c r="M5178" t="s">
        <v>1516</v>
      </c>
      <c r="N5178" s="15" t="s">
        <v>6878</v>
      </c>
    </row>
    <row r="5179" spans="1:14" x14ac:dyDescent="0.2">
      <c r="A5179" t="s">
        <v>6310</v>
      </c>
      <c r="B5179" t="s">
        <v>2360</v>
      </c>
      <c r="C5179" s="9">
        <v>45066</v>
      </c>
      <c r="D5179" t="s">
        <v>966</v>
      </c>
      <c r="E5179" s="13">
        <v>5277750</v>
      </c>
      <c r="F5179" s="13">
        <v>27750</v>
      </c>
      <c r="G5179" s="9">
        <v>45067</v>
      </c>
      <c r="H5179" t="s">
        <v>1111</v>
      </c>
      <c r="I5179" t="s">
        <v>1515</v>
      </c>
      <c r="J5179" s="13">
        <v>234332</v>
      </c>
      <c r="K5179">
        <v>1</v>
      </c>
      <c r="L5179" t="s">
        <v>1064</v>
      </c>
      <c r="M5179" t="s">
        <v>1516</v>
      </c>
      <c r="N5179" s="15" t="s">
        <v>6878</v>
      </c>
    </row>
    <row r="5180" spans="1:14" x14ac:dyDescent="0.2">
      <c r="A5180" t="s">
        <v>6311</v>
      </c>
      <c r="B5180" t="s">
        <v>2360</v>
      </c>
      <c r="C5180" s="9">
        <v>45066</v>
      </c>
      <c r="D5180" t="s">
        <v>966</v>
      </c>
      <c r="E5180" s="13">
        <v>5250000</v>
      </c>
      <c r="F5180" s="13">
        <v>27750</v>
      </c>
      <c r="G5180" s="9">
        <v>45067</v>
      </c>
      <c r="H5180" t="s">
        <v>1111</v>
      </c>
      <c r="I5180" t="s">
        <v>1515</v>
      </c>
      <c r="J5180" s="13">
        <v>233100</v>
      </c>
      <c r="K5180">
        <v>1</v>
      </c>
      <c r="L5180" t="s">
        <v>1064</v>
      </c>
      <c r="M5180" t="s">
        <v>1516</v>
      </c>
      <c r="N5180" s="15" t="s">
        <v>6878</v>
      </c>
    </row>
    <row r="5181" spans="1:14" x14ac:dyDescent="0.2">
      <c r="A5181" t="s">
        <v>6312</v>
      </c>
      <c r="B5181" t="s">
        <v>2360</v>
      </c>
      <c r="C5181" s="9">
        <v>45066</v>
      </c>
      <c r="D5181" t="s">
        <v>966</v>
      </c>
      <c r="E5181" s="13">
        <v>5250000</v>
      </c>
      <c r="F5181" s="13">
        <v>27750</v>
      </c>
      <c r="G5181" s="9">
        <v>45067</v>
      </c>
      <c r="H5181" t="s">
        <v>1111</v>
      </c>
      <c r="I5181" t="s">
        <v>1515</v>
      </c>
      <c r="J5181" s="13">
        <v>233100</v>
      </c>
      <c r="K5181">
        <v>1</v>
      </c>
      <c r="L5181" t="s">
        <v>1064</v>
      </c>
      <c r="M5181" t="s">
        <v>1516</v>
      </c>
      <c r="N5181" s="15" t="s">
        <v>6878</v>
      </c>
    </row>
    <row r="5182" spans="1:14" x14ac:dyDescent="0.2">
      <c r="A5182" t="s">
        <v>6313</v>
      </c>
      <c r="B5182" t="s">
        <v>2360</v>
      </c>
      <c r="C5182" s="9">
        <v>45066</v>
      </c>
      <c r="D5182" t="s">
        <v>972</v>
      </c>
      <c r="E5182" s="13">
        <v>7615000</v>
      </c>
      <c r="F5182" s="13">
        <v>22200</v>
      </c>
      <c r="G5182" s="9">
        <v>45067</v>
      </c>
      <c r="H5182" t="s">
        <v>1111</v>
      </c>
      <c r="I5182" t="s">
        <v>4620</v>
      </c>
      <c r="J5182" s="13">
        <v>228221</v>
      </c>
      <c r="K5182">
        <v>1</v>
      </c>
      <c r="L5182" t="s">
        <v>1064</v>
      </c>
      <c r="M5182" t="s">
        <v>4621</v>
      </c>
      <c r="N5182" s="15" t="s">
        <v>6878</v>
      </c>
    </row>
    <row r="5183" spans="1:14" x14ac:dyDescent="0.2">
      <c r="A5183" t="s">
        <v>6314</v>
      </c>
      <c r="B5183" t="s">
        <v>2360</v>
      </c>
      <c r="C5183" s="9">
        <v>45066</v>
      </c>
      <c r="D5183" t="s">
        <v>966</v>
      </c>
      <c r="E5183" s="13">
        <v>6327750</v>
      </c>
      <c r="F5183" s="13">
        <v>27750</v>
      </c>
      <c r="G5183" s="9">
        <v>45067</v>
      </c>
      <c r="H5183" t="s">
        <v>1111</v>
      </c>
      <c r="I5183" t="s">
        <v>1515</v>
      </c>
      <c r="J5183" s="13">
        <v>280952</v>
      </c>
      <c r="K5183">
        <v>1</v>
      </c>
      <c r="L5183" t="s">
        <v>1064</v>
      </c>
      <c r="M5183" t="s">
        <v>1516</v>
      </c>
      <c r="N5183" s="15" t="s">
        <v>6878</v>
      </c>
    </row>
    <row r="5184" spans="1:14" x14ac:dyDescent="0.2">
      <c r="A5184" t="s">
        <v>6315</v>
      </c>
      <c r="B5184" t="s">
        <v>2360</v>
      </c>
      <c r="C5184" s="9">
        <v>45066</v>
      </c>
      <c r="D5184" t="s">
        <v>966</v>
      </c>
      <c r="E5184" s="13">
        <v>5250000</v>
      </c>
      <c r="F5184" s="13">
        <v>27750</v>
      </c>
      <c r="G5184" s="9">
        <v>45067</v>
      </c>
      <c r="H5184" t="s">
        <v>1111</v>
      </c>
      <c r="I5184" t="s">
        <v>1515</v>
      </c>
      <c r="J5184" s="13">
        <v>233100</v>
      </c>
      <c r="K5184">
        <v>1</v>
      </c>
      <c r="L5184" t="s">
        <v>1064</v>
      </c>
      <c r="M5184" t="s">
        <v>1516</v>
      </c>
      <c r="N5184" s="15" t="s">
        <v>6878</v>
      </c>
    </row>
    <row r="5185" spans="1:14" x14ac:dyDescent="0.2">
      <c r="A5185" t="s">
        <v>6316</v>
      </c>
      <c r="B5185" t="s">
        <v>2360</v>
      </c>
      <c r="C5185" s="9">
        <v>45066</v>
      </c>
      <c r="D5185" t="s">
        <v>966</v>
      </c>
      <c r="E5185" s="13">
        <v>5250000</v>
      </c>
      <c r="F5185" s="13">
        <v>27750</v>
      </c>
      <c r="G5185" s="9">
        <v>45067</v>
      </c>
      <c r="H5185" t="s">
        <v>1111</v>
      </c>
      <c r="I5185" t="s">
        <v>1515</v>
      </c>
      <c r="J5185" s="13">
        <v>233100</v>
      </c>
      <c r="K5185">
        <v>1</v>
      </c>
      <c r="L5185" t="s">
        <v>1064</v>
      </c>
      <c r="M5185" t="s">
        <v>1516</v>
      </c>
      <c r="N5185" s="15" t="s">
        <v>6878</v>
      </c>
    </row>
    <row r="5186" spans="1:14" x14ac:dyDescent="0.2">
      <c r="A5186" t="s">
        <v>6317</v>
      </c>
      <c r="B5186" t="s">
        <v>2360</v>
      </c>
      <c r="C5186" s="9">
        <v>45066</v>
      </c>
      <c r="D5186" t="s">
        <v>966</v>
      </c>
      <c r="E5186" s="13">
        <v>5277750</v>
      </c>
      <c r="F5186" s="13">
        <v>27750</v>
      </c>
      <c r="G5186" s="9">
        <v>45067</v>
      </c>
      <c r="H5186" t="s">
        <v>1111</v>
      </c>
      <c r="I5186" t="s">
        <v>1515</v>
      </c>
      <c r="J5186" s="13">
        <v>234332</v>
      </c>
      <c r="K5186">
        <v>1</v>
      </c>
      <c r="L5186" t="s">
        <v>1064</v>
      </c>
      <c r="M5186" t="s">
        <v>1516</v>
      </c>
      <c r="N5186" s="15" t="s">
        <v>6878</v>
      </c>
    </row>
    <row r="5187" spans="1:14" x14ac:dyDescent="0.2">
      <c r="A5187" t="s">
        <v>6318</v>
      </c>
      <c r="B5187" t="s">
        <v>2360</v>
      </c>
      <c r="C5187" s="9">
        <v>45066</v>
      </c>
      <c r="D5187" t="s">
        <v>966</v>
      </c>
      <c r="E5187" s="13">
        <v>5250000</v>
      </c>
      <c r="F5187" s="13">
        <v>27750</v>
      </c>
      <c r="G5187" s="9">
        <v>45067</v>
      </c>
      <c r="H5187" t="s">
        <v>1111</v>
      </c>
      <c r="I5187" t="s">
        <v>1515</v>
      </c>
      <c r="J5187" s="13">
        <v>233100</v>
      </c>
      <c r="K5187">
        <v>1</v>
      </c>
      <c r="L5187" t="s">
        <v>1064</v>
      </c>
      <c r="M5187" t="s">
        <v>1516</v>
      </c>
      <c r="N5187" s="15" t="s">
        <v>6878</v>
      </c>
    </row>
    <row r="5188" spans="1:14" x14ac:dyDescent="0.2">
      <c r="A5188" t="s">
        <v>6319</v>
      </c>
      <c r="B5188" t="s">
        <v>2360</v>
      </c>
      <c r="C5188" s="9">
        <v>45066</v>
      </c>
      <c r="D5188" t="s">
        <v>966</v>
      </c>
      <c r="E5188" s="13">
        <v>5250000</v>
      </c>
      <c r="F5188" s="13">
        <v>27750</v>
      </c>
      <c r="G5188" s="9">
        <v>45067</v>
      </c>
      <c r="H5188" t="s">
        <v>1111</v>
      </c>
      <c r="I5188" t="s">
        <v>1515</v>
      </c>
      <c r="J5188" s="13">
        <v>233100</v>
      </c>
      <c r="K5188">
        <v>1</v>
      </c>
      <c r="L5188" t="s">
        <v>1064</v>
      </c>
      <c r="M5188" t="s">
        <v>1516</v>
      </c>
      <c r="N5188" s="15" t="s">
        <v>6878</v>
      </c>
    </row>
    <row r="5189" spans="1:14" x14ac:dyDescent="0.2">
      <c r="A5189" t="s">
        <v>6320</v>
      </c>
      <c r="B5189" t="s">
        <v>2360</v>
      </c>
      <c r="C5189" s="9">
        <v>45066</v>
      </c>
      <c r="D5189" t="s">
        <v>966</v>
      </c>
      <c r="E5189" s="13">
        <v>5250000</v>
      </c>
      <c r="F5189" s="13">
        <v>27750</v>
      </c>
      <c r="G5189" s="9">
        <v>45067</v>
      </c>
      <c r="H5189" t="s">
        <v>1111</v>
      </c>
      <c r="I5189" t="s">
        <v>1515</v>
      </c>
      <c r="J5189" s="13">
        <v>233100</v>
      </c>
      <c r="K5189">
        <v>1</v>
      </c>
      <c r="L5189" t="s">
        <v>1064</v>
      </c>
      <c r="M5189" t="s">
        <v>1516</v>
      </c>
      <c r="N5189" s="15" t="s">
        <v>6878</v>
      </c>
    </row>
    <row r="5190" spans="1:14" x14ac:dyDescent="0.2">
      <c r="A5190" t="s">
        <v>6321</v>
      </c>
      <c r="B5190" t="s">
        <v>2360</v>
      </c>
      <c r="C5190" s="9">
        <v>45066</v>
      </c>
      <c r="D5190" t="s">
        <v>966</v>
      </c>
      <c r="E5190" s="13">
        <v>5277750</v>
      </c>
      <c r="F5190" s="13">
        <v>27750</v>
      </c>
      <c r="G5190" s="9">
        <v>45067</v>
      </c>
      <c r="H5190" t="s">
        <v>1111</v>
      </c>
      <c r="I5190" t="s">
        <v>1515</v>
      </c>
      <c r="J5190" s="13">
        <v>234332</v>
      </c>
      <c r="K5190">
        <v>1</v>
      </c>
      <c r="L5190" t="s">
        <v>1064</v>
      </c>
      <c r="M5190" t="s">
        <v>1516</v>
      </c>
      <c r="N5190" s="15" t="s">
        <v>6878</v>
      </c>
    </row>
    <row r="5191" spans="1:14" x14ac:dyDescent="0.2">
      <c r="A5191" t="s">
        <v>6322</v>
      </c>
      <c r="B5191" t="s">
        <v>2360</v>
      </c>
      <c r="C5191" s="9">
        <v>45066</v>
      </c>
      <c r="D5191" t="s">
        <v>966</v>
      </c>
      <c r="E5191" s="13">
        <v>5250000</v>
      </c>
      <c r="F5191" s="13">
        <v>27750</v>
      </c>
      <c r="G5191" s="9">
        <v>45067</v>
      </c>
      <c r="H5191" t="s">
        <v>1111</v>
      </c>
      <c r="I5191" t="s">
        <v>1515</v>
      </c>
      <c r="J5191" s="13">
        <v>233100</v>
      </c>
      <c r="K5191">
        <v>1</v>
      </c>
      <c r="L5191" t="s">
        <v>1064</v>
      </c>
      <c r="M5191" t="s">
        <v>1516</v>
      </c>
      <c r="N5191" s="15" t="s">
        <v>6878</v>
      </c>
    </row>
    <row r="5192" spans="1:14" x14ac:dyDescent="0.2">
      <c r="A5192" t="s">
        <v>6323</v>
      </c>
      <c r="B5192" t="s">
        <v>2360</v>
      </c>
      <c r="C5192" s="9">
        <v>45066</v>
      </c>
      <c r="D5192" t="s">
        <v>966</v>
      </c>
      <c r="E5192" s="13">
        <v>5250000</v>
      </c>
      <c r="F5192" s="13">
        <v>27750</v>
      </c>
      <c r="G5192" s="9">
        <v>45067</v>
      </c>
      <c r="H5192" t="s">
        <v>1111</v>
      </c>
      <c r="I5192" t="s">
        <v>1515</v>
      </c>
      <c r="J5192" s="13">
        <v>233100</v>
      </c>
      <c r="K5192">
        <v>1</v>
      </c>
      <c r="L5192" t="s">
        <v>1064</v>
      </c>
      <c r="M5192" t="s">
        <v>1516</v>
      </c>
      <c r="N5192" s="15" t="s">
        <v>6878</v>
      </c>
    </row>
    <row r="5193" spans="1:14" x14ac:dyDescent="0.2">
      <c r="A5193" t="s">
        <v>6324</v>
      </c>
      <c r="B5193" t="s">
        <v>2360</v>
      </c>
      <c r="C5193" s="9">
        <v>45066</v>
      </c>
      <c r="D5193" t="s">
        <v>972</v>
      </c>
      <c r="E5193" s="13">
        <v>7615000</v>
      </c>
      <c r="F5193" s="13">
        <v>22200</v>
      </c>
      <c r="G5193" s="9">
        <v>45067</v>
      </c>
      <c r="H5193" t="s">
        <v>1111</v>
      </c>
      <c r="I5193" t="s">
        <v>4620</v>
      </c>
      <c r="J5193" s="13">
        <v>228221</v>
      </c>
      <c r="K5193">
        <v>1</v>
      </c>
      <c r="L5193" t="s">
        <v>1064</v>
      </c>
      <c r="M5193" t="s">
        <v>4621</v>
      </c>
      <c r="N5193" s="15" t="s">
        <v>6878</v>
      </c>
    </row>
    <row r="5194" spans="1:14" x14ac:dyDescent="0.2">
      <c r="A5194" t="s">
        <v>6325</v>
      </c>
      <c r="B5194" t="s">
        <v>2360</v>
      </c>
      <c r="C5194" s="9">
        <v>45066</v>
      </c>
      <c r="D5194" t="s">
        <v>966</v>
      </c>
      <c r="E5194" s="13">
        <v>5277750</v>
      </c>
      <c r="F5194" s="13">
        <v>27750</v>
      </c>
      <c r="G5194" s="9">
        <v>45067</v>
      </c>
      <c r="H5194" t="s">
        <v>1111</v>
      </c>
      <c r="I5194" t="s">
        <v>1515</v>
      </c>
      <c r="J5194" s="13">
        <v>234332</v>
      </c>
      <c r="K5194">
        <v>1</v>
      </c>
      <c r="L5194" t="s">
        <v>1064</v>
      </c>
      <c r="M5194" t="s">
        <v>1516</v>
      </c>
      <c r="N5194" s="15" t="s">
        <v>6878</v>
      </c>
    </row>
    <row r="5195" spans="1:14" x14ac:dyDescent="0.2">
      <c r="A5195" t="s">
        <v>6326</v>
      </c>
      <c r="B5195" t="s">
        <v>2360</v>
      </c>
      <c r="C5195" s="9">
        <v>45066</v>
      </c>
      <c r="D5195" t="s">
        <v>966</v>
      </c>
      <c r="E5195" s="13">
        <v>6300000</v>
      </c>
      <c r="F5195" s="13">
        <v>27750</v>
      </c>
      <c r="G5195" s="9">
        <v>45067</v>
      </c>
      <c r="H5195" t="s">
        <v>1111</v>
      </c>
      <c r="I5195" t="s">
        <v>1515</v>
      </c>
      <c r="J5195" s="13">
        <v>279720</v>
      </c>
      <c r="K5195">
        <v>1</v>
      </c>
      <c r="L5195" t="s">
        <v>1064</v>
      </c>
      <c r="M5195" t="s">
        <v>1516</v>
      </c>
      <c r="N5195" s="15" t="s">
        <v>6878</v>
      </c>
    </row>
    <row r="5196" spans="1:14" x14ac:dyDescent="0.2">
      <c r="A5196" t="s">
        <v>6327</v>
      </c>
      <c r="B5196" t="s">
        <v>2360</v>
      </c>
      <c r="C5196" s="9">
        <v>45066</v>
      </c>
      <c r="D5196" t="s">
        <v>966</v>
      </c>
      <c r="E5196" s="13">
        <v>6300000</v>
      </c>
      <c r="F5196" s="13">
        <v>27750</v>
      </c>
      <c r="G5196" s="9">
        <v>45067</v>
      </c>
      <c r="H5196" t="s">
        <v>1111</v>
      </c>
      <c r="I5196" t="s">
        <v>1515</v>
      </c>
      <c r="J5196" s="13">
        <v>279720</v>
      </c>
      <c r="K5196">
        <v>1</v>
      </c>
      <c r="L5196" t="s">
        <v>1064</v>
      </c>
      <c r="M5196" t="s">
        <v>1516</v>
      </c>
      <c r="N5196" s="15" t="s">
        <v>6878</v>
      </c>
    </row>
    <row r="5197" spans="1:14" x14ac:dyDescent="0.2">
      <c r="A5197" t="s">
        <v>6328</v>
      </c>
      <c r="B5197" t="s">
        <v>2360</v>
      </c>
      <c r="C5197" s="9">
        <v>45066</v>
      </c>
      <c r="D5197" t="s">
        <v>966</v>
      </c>
      <c r="E5197" s="13">
        <v>5277750</v>
      </c>
      <c r="F5197" s="13">
        <v>27750</v>
      </c>
      <c r="G5197" s="9">
        <v>45067</v>
      </c>
      <c r="H5197" t="s">
        <v>1111</v>
      </c>
      <c r="I5197" t="s">
        <v>1515</v>
      </c>
      <c r="J5197" s="13">
        <v>234332</v>
      </c>
      <c r="K5197">
        <v>1</v>
      </c>
      <c r="L5197" t="s">
        <v>1064</v>
      </c>
      <c r="M5197" t="s">
        <v>1516</v>
      </c>
      <c r="N5197" s="15" t="s">
        <v>6878</v>
      </c>
    </row>
    <row r="5198" spans="1:14" x14ac:dyDescent="0.2">
      <c r="A5198" t="s">
        <v>6329</v>
      </c>
      <c r="B5198" t="s">
        <v>2360</v>
      </c>
      <c r="C5198" s="9">
        <v>45066</v>
      </c>
      <c r="D5198" t="s">
        <v>966</v>
      </c>
      <c r="E5198" s="13">
        <v>5250000</v>
      </c>
      <c r="F5198" s="13">
        <v>27750</v>
      </c>
      <c r="G5198" s="9">
        <v>45067</v>
      </c>
      <c r="H5198" t="s">
        <v>1111</v>
      </c>
      <c r="I5198" t="s">
        <v>1515</v>
      </c>
      <c r="J5198" s="13">
        <v>233100</v>
      </c>
      <c r="K5198">
        <v>1</v>
      </c>
      <c r="L5198" t="s">
        <v>1064</v>
      </c>
      <c r="M5198" t="s">
        <v>1516</v>
      </c>
      <c r="N5198" s="15" t="s">
        <v>6878</v>
      </c>
    </row>
    <row r="5199" spans="1:14" x14ac:dyDescent="0.2">
      <c r="A5199" t="s">
        <v>6330</v>
      </c>
      <c r="B5199" t="s">
        <v>2360</v>
      </c>
      <c r="C5199" s="9">
        <v>45066</v>
      </c>
      <c r="D5199" t="s">
        <v>966</v>
      </c>
      <c r="E5199" s="13">
        <v>5277750</v>
      </c>
      <c r="F5199" s="13">
        <v>27750</v>
      </c>
      <c r="G5199" s="9">
        <v>45067</v>
      </c>
      <c r="H5199" t="s">
        <v>1111</v>
      </c>
      <c r="I5199" t="s">
        <v>1515</v>
      </c>
      <c r="J5199" s="13">
        <v>234332</v>
      </c>
      <c r="K5199">
        <v>1</v>
      </c>
      <c r="L5199" t="s">
        <v>1064</v>
      </c>
      <c r="M5199" t="s">
        <v>1516</v>
      </c>
      <c r="N5199" s="15" t="s">
        <v>6878</v>
      </c>
    </row>
    <row r="5200" spans="1:14" x14ac:dyDescent="0.2">
      <c r="A5200" t="s">
        <v>6331</v>
      </c>
      <c r="B5200" t="s">
        <v>2360</v>
      </c>
      <c r="C5200" s="9">
        <v>45066</v>
      </c>
      <c r="D5200" t="s">
        <v>966</v>
      </c>
      <c r="E5200" s="13">
        <v>5277750</v>
      </c>
      <c r="F5200" s="13">
        <v>27750</v>
      </c>
      <c r="G5200" s="9">
        <v>45067</v>
      </c>
      <c r="H5200" t="s">
        <v>1111</v>
      </c>
      <c r="I5200" t="s">
        <v>1515</v>
      </c>
      <c r="J5200" s="13">
        <v>234332</v>
      </c>
      <c r="K5200">
        <v>1</v>
      </c>
      <c r="L5200" t="s">
        <v>1064</v>
      </c>
      <c r="M5200" t="s">
        <v>1516</v>
      </c>
      <c r="N5200" s="15" t="s">
        <v>6878</v>
      </c>
    </row>
    <row r="5201" spans="1:14" x14ac:dyDescent="0.2">
      <c r="A5201" t="s">
        <v>6332</v>
      </c>
      <c r="B5201" t="s">
        <v>2360</v>
      </c>
      <c r="C5201" s="9">
        <v>45066</v>
      </c>
      <c r="D5201" t="s">
        <v>966</v>
      </c>
      <c r="E5201" s="13">
        <v>5277750</v>
      </c>
      <c r="F5201" s="13">
        <v>27750</v>
      </c>
      <c r="G5201" s="9">
        <v>45067</v>
      </c>
      <c r="H5201" t="s">
        <v>1111</v>
      </c>
      <c r="I5201" t="s">
        <v>1515</v>
      </c>
      <c r="J5201" s="13">
        <v>234332</v>
      </c>
      <c r="K5201">
        <v>1</v>
      </c>
      <c r="L5201" t="s">
        <v>1064</v>
      </c>
      <c r="M5201" t="s">
        <v>1516</v>
      </c>
      <c r="N5201" s="15" t="s">
        <v>6878</v>
      </c>
    </row>
    <row r="5202" spans="1:14" x14ac:dyDescent="0.2">
      <c r="A5202" t="s">
        <v>6333</v>
      </c>
      <c r="B5202" t="s">
        <v>2360</v>
      </c>
      <c r="C5202" s="9">
        <v>45066</v>
      </c>
      <c r="D5202" t="s">
        <v>966</v>
      </c>
      <c r="E5202" s="13">
        <v>5277750</v>
      </c>
      <c r="F5202" s="13">
        <v>27750</v>
      </c>
      <c r="G5202" s="9">
        <v>45067</v>
      </c>
      <c r="H5202" t="s">
        <v>1111</v>
      </c>
      <c r="I5202" t="s">
        <v>1515</v>
      </c>
      <c r="J5202" s="13">
        <v>234332</v>
      </c>
      <c r="K5202">
        <v>1</v>
      </c>
      <c r="L5202" t="s">
        <v>1064</v>
      </c>
      <c r="M5202" t="s">
        <v>1516</v>
      </c>
      <c r="N5202" s="15" t="s">
        <v>6878</v>
      </c>
    </row>
    <row r="5203" spans="1:14" x14ac:dyDescent="0.2">
      <c r="A5203" t="s">
        <v>6334</v>
      </c>
      <c r="B5203" t="s">
        <v>2360</v>
      </c>
      <c r="C5203" s="9">
        <v>45066</v>
      </c>
      <c r="D5203" t="s">
        <v>972</v>
      </c>
      <c r="E5203" s="13">
        <v>7615000</v>
      </c>
      <c r="F5203" s="13">
        <v>22200</v>
      </c>
      <c r="G5203" s="9">
        <v>45067</v>
      </c>
      <c r="H5203" t="s">
        <v>1111</v>
      </c>
      <c r="I5203" t="s">
        <v>4620</v>
      </c>
      <c r="J5203" s="13">
        <v>228221</v>
      </c>
      <c r="K5203">
        <v>1</v>
      </c>
      <c r="L5203" t="s">
        <v>1064</v>
      </c>
      <c r="M5203" t="s">
        <v>4621</v>
      </c>
      <c r="N5203" s="15" t="s">
        <v>6878</v>
      </c>
    </row>
    <row r="5204" spans="1:14" x14ac:dyDescent="0.2">
      <c r="A5204" t="s">
        <v>6335</v>
      </c>
      <c r="B5204" t="s">
        <v>2360</v>
      </c>
      <c r="C5204" s="9">
        <v>45066</v>
      </c>
      <c r="D5204" t="s">
        <v>966</v>
      </c>
      <c r="E5204" s="13">
        <v>5277750</v>
      </c>
      <c r="F5204" s="13">
        <v>27750</v>
      </c>
      <c r="G5204" s="9">
        <v>45067</v>
      </c>
      <c r="H5204" t="s">
        <v>1111</v>
      </c>
      <c r="I5204" t="s">
        <v>1515</v>
      </c>
      <c r="J5204" s="13">
        <v>234332</v>
      </c>
      <c r="K5204">
        <v>1</v>
      </c>
      <c r="L5204" t="s">
        <v>1064</v>
      </c>
      <c r="M5204" t="s">
        <v>1516</v>
      </c>
      <c r="N5204" s="15" t="s">
        <v>6878</v>
      </c>
    </row>
    <row r="5205" spans="1:14" x14ac:dyDescent="0.2">
      <c r="A5205" t="s">
        <v>6336</v>
      </c>
      <c r="B5205" t="s">
        <v>2360</v>
      </c>
      <c r="C5205" s="9">
        <v>45066</v>
      </c>
      <c r="D5205" t="s">
        <v>966</v>
      </c>
      <c r="E5205" s="13">
        <v>5277750</v>
      </c>
      <c r="F5205" s="13">
        <v>27750</v>
      </c>
      <c r="G5205" s="9">
        <v>45067</v>
      </c>
      <c r="H5205" t="s">
        <v>1111</v>
      </c>
      <c r="I5205" t="s">
        <v>1515</v>
      </c>
      <c r="J5205" s="13">
        <v>234332</v>
      </c>
      <c r="K5205">
        <v>1</v>
      </c>
      <c r="L5205" t="s">
        <v>1064</v>
      </c>
      <c r="M5205" t="s">
        <v>1516</v>
      </c>
      <c r="N5205" s="15" t="s">
        <v>6878</v>
      </c>
    </row>
    <row r="5206" spans="1:14" x14ac:dyDescent="0.2">
      <c r="A5206" t="s">
        <v>6337</v>
      </c>
      <c r="B5206" t="s">
        <v>2360</v>
      </c>
      <c r="C5206" s="9">
        <v>45066</v>
      </c>
      <c r="D5206" t="s">
        <v>972</v>
      </c>
      <c r="E5206" s="13">
        <v>7615000</v>
      </c>
      <c r="F5206" s="13">
        <v>22200</v>
      </c>
      <c r="G5206" s="9">
        <v>45067</v>
      </c>
      <c r="H5206" t="s">
        <v>1111</v>
      </c>
      <c r="I5206" t="s">
        <v>4620</v>
      </c>
      <c r="J5206" s="13">
        <v>228221</v>
      </c>
      <c r="K5206">
        <v>1</v>
      </c>
      <c r="L5206" t="s">
        <v>1064</v>
      </c>
      <c r="M5206" t="s">
        <v>4621</v>
      </c>
      <c r="N5206" s="15" t="s">
        <v>6878</v>
      </c>
    </row>
    <row r="5207" spans="1:14" x14ac:dyDescent="0.2">
      <c r="A5207" t="s">
        <v>6338</v>
      </c>
      <c r="B5207" t="s">
        <v>2360</v>
      </c>
      <c r="C5207" s="9">
        <v>45066</v>
      </c>
      <c r="D5207" t="s">
        <v>966</v>
      </c>
      <c r="E5207" s="13">
        <v>5277750</v>
      </c>
      <c r="F5207" s="13">
        <v>27750</v>
      </c>
      <c r="G5207" s="9">
        <v>45067</v>
      </c>
      <c r="H5207" t="s">
        <v>1111</v>
      </c>
      <c r="I5207" t="s">
        <v>1515</v>
      </c>
      <c r="J5207" s="13">
        <v>234332</v>
      </c>
      <c r="K5207">
        <v>1</v>
      </c>
      <c r="L5207" t="s">
        <v>1064</v>
      </c>
      <c r="M5207" t="s">
        <v>1516</v>
      </c>
      <c r="N5207" s="15" t="s">
        <v>6878</v>
      </c>
    </row>
    <row r="5208" spans="1:14" x14ac:dyDescent="0.2">
      <c r="A5208" t="s">
        <v>6339</v>
      </c>
      <c r="B5208" t="s">
        <v>2360</v>
      </c>
      <c r="C5208" s="9">
        <v>45066</v>
      </c>
      <c r="D5208" t="s">
        <v>966</v>
      </c>
      <c r="E5208" s="13">
        <v>5277750</v>
      </c>
      <c r="F5208" s="13">
        <v>27750</v>
      </c>
      <c r="G5208" s="9">
        <v>45067</v>
      </c>
      <c r="H5208" t="s">
        <v>1111</v>
      </c>
      <c r="I5208" t="s">
        <v>1515</v>
      </c>
      <c r="J5208" s="13">
        <v>234332</v>
      </c>
      <c r="K5208">
        <v>1</v>
      </c>
      <c r="L5208" t="s">
        <v>1064</v>
      </c>
      <c r="M5208" t="s">
        <v>1516</v>
      </c>
      <c r="N5208" s="15" t="s">
        <v>6878</v>
      </c>
    </row>
    <row r="5209" spans="1:14" x14ac:dyDescent="0.2">
      <c r="A5209" t="s">
        <v>6340</v>
      </c>
      <c r="B5209" t="s">
        <v>2360</v>
      </c>
      <c r="C5209" s="9">
        <v>45066</v>
      </c>
      <c r="D5209" t="s">
        <v>966</v>
      </c>
      <c r="E5209" s="13">
        <v>5277750</v>
      </c>
      <c r="F5209" s="13">
        <v>27750</v>
      </c>
      <c r="G5209" s="9">
        <v>45067</v>
      </c>
      <c r="H5209" t="s">
        <v>1111</v>
      </c>
      <c r="I5209" t="s">
        <v>1515</v>
      </c>
      <c r="J5209" s="13">
        <v>234332</v>
      </c>
      <c r="K5209">
        <v>1</v>
      </c>
      <c r="L5209" t="s">
        <v>1064</v>
      </c>
      <c r="M5209" t="s">
        <v>1516</v>
      </c>
      <c r="N5209" s="15" t="s">
        <v>6878</v>
      </c>
    </row>
    <row r="5210" spans="1:14" x14ac:dyDescent="0.2">
      <c r="A5210" t="s">
        <v>6341</v>
      </c>
      <c r="B5210" t="s">
        <v>2360</v>
      </c>
      <c r="C5210" s="9">
        <v>45066</v>
      </c>
      <c r="D5210" t="s">
        <v>966</v>
      </c>
      <c r="E5210" s="13">
        <v>5277750</v>
      </c>
      <c r="F5210" s="13">
        <v>27750</v>
      </c>
      <c r="G5210" s="9">
        <v>45067</v>
      </c>
      <c r="H5210" t="s">
        <v>1111</v>
      </c>
      <c r="I5210" t="s">
        <v>1515</v>
      </c>
      <c r="J5210" s="13">
        <v>234332</v>
      </c>
      <c r="K5210">
        <v>1</v>
      </c>
      <c r="L5210" t="s">
        <v>1064</v>
      </c>
      <c r="M5210" t="s">
        <v>1516</v>
      </c>
      <c r="N5210" s="15" t="s">
        <v>6878</v>
      </c>
    </row>
    <row r="5211" spans="1:14" x14ac:dyDescent="0.2">
      <c r="A5211" t="s">
        <v>6342</v>
      </c>
      <c r="B5211" t="s">
        <v>2360</v>
      </c>
      <c r="C5211" s="9">
        <v>45066</v>
      </c>
      <c r="D5211" t="s">
        <v>966</v>
      </c>
      <c r="E5211" s="13">
        <v>6327750</v>
      </c>
      <c r="F5211" s="13">
        <v>27750</v>
      </c>
      <c r="G5211" s="9">
        <v>45067</v>
      </c>
      <c r="H5211" t="s">
        <v>1111</v>
      </c>
      <c r="I5211" t="s">
        <v>1515</v>
      </c>
      <c r="J5211" s="13">
        <v>280952</v>
      </c>
      <c r="K5211">
        <v>1</v>
      </c>
      <c r="L5211" t="s">
        <v>1064</v>
      </c>
      <c r="M5211" t="s">
        <v>1516</v>
      </c>
      <c r="N5211" s="15" t="s">
        <v>6878</v>
      </c>
    </row>
    <row r="5212" spans="1:14" x14ac:dyDescent="0.2">
      <c r="A5212" t="s">
        <v>6343</v>
      </c>
      <c r="B5212" t="s">
        <v>2360</v>
      </c>
      <c r="C5212" s="9">
        <v>45066</v>
      </c>
      <c r="D5212" t="s">
        <v>966</v>
      </c>
      <c r="E5212" s="13">
        <v>6327750</v>
      </c>
      <c r="F5212" s="13">
        <v>27750</v>
      </c>
      <c r="G5212" s="9">
        <v>45067</v>
      </c>
      <c r="H5212" t="s">
        <v>1111</v>
      </c>
      <c r="I5212" t="s">
        <v>1515</v>
      </c>
      <c r="J5212" s="13">
        <v>280952</v>
      </c>
      <c r="K5212">
        <v>1</v>
      </c>
      <c r="L5212" t="s">
        <v>1064</v>
      </c>
      <c r="M5212" t="s">
        <v>1516</v>
      </c>
      <c r="N5212" s="15" t="s">
        <v>6878</v>
      </c>
    </row>
    <row r="5213" spans="1:14" x14ac:dyDescent="0.2">
      <c r="A5213" t="s">
        <v>6344</v>
      </c>
      <c r="B5213" t="s">
        <v>2360</v>
      </c>
      <c r="C5213" s="9">
        <v>45066</v>
      </c>
      <c r="D5213" t="s">
        <v>966</v>
      </c>
      <c r="E5213" s="13">
        <v>6327750</v>
      </c>
      <c r="F5213" s="13">
        <v>27750</v>
      </c>
      <c r="G5213" s="9">
        <v>45067</v>
      </c>
      <c r="H5213" t="s">
        <v>1111</v>
      </c>
      <c r="I5213" t="s">
        <v>1515</v>
      </c>
      <c r="J5213" s="13">
        <v>280952</v>
      </c>
      <c r="K5213">
        <v>1</v>
      </c>
      <c r="L5213" t="s">
        <v>1064</v>
      </c>
      <c r="M5213" t="s">
        <v>1516</v>
      </c>
      <c r="N5213" s="15" t="s">
        <v>6878</v>
      </c>
    </row>
    <row r="5214" spans="1:14" x14ac:dyDescent="0.2">
      <c r="A5214" t="s">
        <v>6345</v>
      </c>
      <c r="B5214" t="s">
        <v>2360</v>
      </c>
      <c r="C5214" s="9">
        <v>45066</v>
      </c>
      <c r="D5214" t="s">
        <v>966</v>
      </c>
      <c r="E5214" s="13">
        <v>5277750</v>
      </c>
      <c r="F5214" s="13">
        <v>27750</v>
      </c>
      <c r="G5214" s="9">
        <v>45067</v>
      </c>
      <c r="H5214" t="s">
        <v>1111</v>
      </c>
      <c r="I5214" t="s">
        <v>1515</v>
      </c>
      <c r="J5214" s="13">
        <v>234332</v>
      </c>
      <c r="K5214">
        <v>1</v>
      </c>
      <c r="L5214" t="s">
        <v>1064</v>
      </c>
      <c r="M5214" t="s">
        <v>1516</v>
      </c>
      <c r="N5214" s="15" t="s">
        <v>6878</v>
      </c>
    </row>
    <row r="5215" spans="1:14" x14ac:dyDescent="0.2">
      <c r="A5215" t="s">
        <v>6346</v>
      </c>
      <c r="B5215" t="s">
        <v>2360</v>
      </c>
      <c r="C5215" s="9">
        <v>45066</v>
      </c>
      <c r="D5215" t="s">
        <v>966</v>
      </c>
      <c r="E5215" s="13">
        <v>5277750</v>
      </c>
      <c r="F5215" s="13">
        <v>27750</v>
      </c>
      <c r="G5215" s="9">
        <v>45067</v>
      </c>
      <c r="H5215" t="s">
        <v>1111</v>
      </c>
      <c r="I5215" t="s">
        <v>1515</v>
      </c>
      <c r="J5215" s="13">
        <v>234332</v>
      </c>
      <c r="K5215">
        <v>1</v>
      </c>
      <c r="L5215" t="s">
        <v>1064</v>
      </c>
      <c r="M5215" t="s">
        <v>1516</v>
      </c>
      <c r="N5215" s="15" t="s">
        <v>6878</v>
      </c>
    </row>
    <row r="5216" spans="1:14" x14ac:dyDescent="0.2">
      <c r="A5216" t="s">
        <v>6347</v>
      </c>
      <c r="B5216" t="s">
        <v>2360</v>
      </c>
      <c r="C5216" s="9">
        <v>45066</v>
      </c>
      <c r="D5216" t="s">
        <v>966</v>
      </c>
      <c r="E5216" s="13">
        <v>6327750</v>
      </c>
      <c r="F5216" s="13">
        <v>27750</v>
      </c>
      <c r="G5216" s="9">
        <v>45067</v>
      </c>
      <c r="H5216" t="s">
        <v>1111</v>
      </c>
      <c r="I5216" t="s">
        <v>1515</v>
      </c>
      <c r="J5216" s="13">
        <v>280952</v>
      </c>
      <c r="K5216">
        <v>1</v>
      </c>
      <c r="L5216" t="s">
        <v>1064</v>
      </c>
      <c r="M5216" t="s">
        <v>1516</v>
      </c>
      <c r="N5216" s="15" t="s">
        <v>6878</v>
      </c>
    </row>
    <row r="5217" spans="1:14" x14ac:dyDescent="0.2">
      <c r="A5217" t="s">
        <v>6348</v>
      </c>
      <c r="B5217" t="s">
        <v>2360</v>
      </c>
      <c r="C5217" s="9">
        <v>45066</v>
      </c>
      <c r="D5217" t="s">
        <v>966</v>
      </c>
      <c r="E5217" s="13">
        <v>5277750</v>
      </c>
      <c r="F5217" s="13">
        <v>27750</v>
      </c>
      <c r="G5217" s="9">
        <v>45067</v>
      </c>
      <c r="H5217" t="s">
        <v>1111</v>
      </c>
      <c r="I5217" t="s">
        <v>1515</v>
      </c>
      <c r="J5217" s="13">
        <v>234332</v>
      </c>
      <c r="K5217">
        <v>1</v>
      </c>
      <c r="L5217" t="s">
        <v>1064</v>
      </c>
      <c r="M5217" t="s">
        <v>1516</v>
      </c>
      <c r="N5217" s="15" t="s">
        <v>6878</v>
      </c>
    </row>
    <row r="5218" spans="1:14" x14ac:dyDescent="0.2">
      <c r="A5218" t="s">
        <v>6349</v>
      </c>
      <c r="B5218" t="s">
        <v>2360</v>
      </c>
      <c r="C5218" s="9">
        <v>45066</v>
      </c>
      <c r="D5218" t="s">
        <v>966</v>
      </c>
      <c r="E5218" s="13">
        <v>6327750</v>
      </c>
      <c r="F5218" s="13">
        <v>27750</v>
      </c>
      <c r="G5218" s="9">
        <v>45067</v>
      </c>
      <c r="H5218" t="s">
        <v>1111</v>
      </c>
      <c r="I5218" t="s">
        <v>1515</v>
      </c>
      <c r="J5218" s="13">
        <v>280952</v>
      </c>
      <c r="K5218">
        <v>1</v>
      </c>
      <c r="L5218" t="s">
        <v>1064</v>
      </c>
      <c r="M5218" t="s">
        <v>1516</v>
      </c>
      <c r="N5218" s="15" t="s">
        <v>6878</v>
      </c>
    </row>
    <row r="5219" spans="1:14" x14ac:dyDescent="0.2">
      <c r="A5219" t="s">
        <v>6350</v>
      </c>
      <c r="B5219" t="s">
        <v>2360</v>
      </c>
      <c r="C5219" s="9">
        <v>45066</v>
      </c>
      <c r="D5219" t="s">
        <v>966</v>
      </c>
      <c r="E5219" s="13">
        <v>5277750</v>
      </c>
      <c r="F5219" s="13">
        <v>27750</v>
      </c>
      <c r="G5219" s="9">
        <v>45067</v>
      </c>
      <c r="H5219" t="s">
        <v>1111</v>
      </c>
      <c r="I5219" t="s">
        <v>1515</v>
      </c>
      <c r="J5219" s="13">
        <v>234332</v>
      </c>
      <c r="K5219">
        <v>1</v>
      </c>
      <c r="L5219" t="s">
        <v>1064</v>
      </c>
      <c r="M5219" t="s">
        <v>1516</v>
      </c>
      <c r="N5219" s="15" t="s">
        <v>6878</v>
      </c>
    </row>
    <row r="5220" spans="1:14" x14ac:dyDescent="0.2">
      <c r="A5220" t="s">
        <v>6351</v>
      </c>
      <c r="B5220" t="s">
        <v>2360</v>
      </c>
      <c r="C5220" s="9">
        <v>45066</v>
      </c>
      <c r="D5220" t="s">
        <v>966</v>
      </c>
      <c r="E5220" s="13">
        <v>6327750</v>
      </c>
      <c r="F5220" s="13">
        <v>27750</v>
      </c>
      <c r="G5220" s="9">
        <v>45067</v>
      </c>
      <c r="H5220" t="s">
        <v>1111</v>
      </c>
      <c r="I5220" t="s">
        <v>1515</v>
      </c>
      <c r="J5220" s="13">
        <v>280952</v>
      </c>
      <c r="K5220">
        <v>1</v>
      </c>
      <c r="L5220" t="s">
        <v>1064</v>
      </c>
      <c r="M5220" t="s">
        <v>1516</v>
      </c>
      <c r="N5220" s="15" t="s">
        <v>6878</v>
      </c>
    </row>
    <row r="5221" spans="1:14" x14ac:dyDescent="0.2">
      <c r="A5221" t="s">
        <v>6352</v>
      </c>
      <c r="B5221" t="s">
        <v>2360</v>
      </c>
      <c r="C5221" s="9">
        <v>45066</v>
      </c>
      <c r="D5221" t="s">
        <v>966</v>
      </c>
      <c r="E5221" s="13">
        <v>5277750</v>
      </c>
      <c r="F5221" s="13">
        <v>27750</v>
      </c>
      <c r="G5221" s="9">
        <v>45067</v>
      </c>
      <c r="H5221" t="s">
        <v>1111</v>
      </c>
      <c r="I5221" t="s">
        <v>1515</v>
      </c>
      <c r="J5221" s="13">
        <v>234332</v>
      </c>
      <c r="K5221">
        <v>1</v>
      </c>
      <c r="L5221" t="s">
        <v>1064</v>
      </c>
      <c r="M5221" t="s">
        <v>1516</v>
      </c>
      <c r="N5221" s="15" t="s">
        <v>6878</v>
      </c>
    </row>
    <row r="5222" spans="1:14" x14ac:dyDescent="0.2">
      <c r="A5222" t="s">
        <v>6353</v>
      </c>
      <c r="B5222" t="s">
        <v>2360</v>
      </c>
      <c r="C5222" s="9">
        <v>45066</v>
      </c>
      <c r="D5222" t="s">
        <v>966</v>
      </c>
      <c r="E5222" s="13">
        <v>5277750</v>
      </c>
      <c r="F5222" s="13">
        <v>27750</v>
      </c>
      <c r="G5222" s="9">
        <v>45067</v>
      </c>
      <c r="H5222" t="s">
        <v>1111</v>
      </c>
      <c r="I5222" t="s">
        <v>1515</v>
      </c>
      <c r="J5222" s="13">
        <v>234332</v>
      </c>
      <c r="K5222">
        <v>1</v>
      </c>
      <c r="L5222" t="s">
        <v>1064</v>
      </c>
      <c r="M5222" t="s">
        <v>1516</v>
      </c>
      <c r="N5222" s="15" t="s">
        <v>6878</v>
      </c>
    </row>
    <row r="5223" spans="1:14" x14ac:dyDescent="0.2">
      <c r="A5223" t="s">
        <v>6354</v>
      </c>
      <c r="B5223" t="s">
        <v>2360</v>
      </c>
      <c r="C5223" s="9">
        <v>45066</v>
      </c>
      <c r="D5223" t="s">
        <v>966</v>
      </c>
      <c r="E5223" s="13">
        <v>5277750</v>
      </c>
      <c r="F5223" s="13">
        <v>27750</v>
      </c>
      <c r="G5223" s="9">
        <v>45067</v>
      </c>
      <c r="H5223" t="s">
        <v>1111</v>
      </c>
      <c r="I5223" t="s">
        <v>1515</v>
      </c>
      <c r="J5223" s="13">
        <v>234332</v>
      </c>
      <c r="K5223">
        <v>1</v>
      </c>
      <c r="L5223" t="s">
        <v>1064</v>
      </c>
      <c r="M5223" t="s">
        <v>1516</v>
      </c>
      <c r="N5223" s="15" t="s">
        <v>6878</v>
      </c>
    </row>
    <row r="5224" spans="1:14" x14ac:dyDescent="0.2">
      <c r="A5224" t="s">
        <v>6355</v>
      </c>
      <c r="B5224" t="s">
        <v>2360</v>
      </c>
      <c r="C5224" s="9">
        <v>45066</v>
      </c>
      <c r="D5224" t="s">
        <v>966</v>
      </c>
      <c r="E5224" s="13">
        <v>5277750</v>
      </c>
      <c r="F5224" s="13">
        <v>27750</v>
      </c>
      <c r="G5224" s="9">
        <v>45067</v>
      </c>
      <c r="H5224" t="s">
        <v>1111</v>
      </c>
      <c r="I5224" t="s">
        <v>1515</v>
      </c>
      <c r="J5224" s="13">
        <v>234332</v>
      </c>
      <c r="K5224">
        <v>1</v>
      </c>
      <c r="L5224" t="s">
        <v>1064</v>
      </c>
      <c r="M5224" t="s">
        <v>1516</v>
      </c>
      <c r="N5224" s="15" t="s">
        <v>6878</v>
      </c>
    </row>
    <row r="5225" spans="1:14" x14ac:dyDescent="0.2">
      <c r="A5225" t="s">
        <v>6356</v>
      </c>
      <c r="B5225" t="s">
        <v>2360</v>
      </c>
      <c r="C5225" s="9">
        <v>45066</v>
      </c>
      <c r="D5225" t="s">
        <v>966</v>
      </c>
      <c r="E5225" s="13">
        <v>5277750</v>
      </c>
      <c r="F5225" s="13">
        <v>27750</v>
      </c>
      <c r="G5225" s="9">
        <v>45067</v>
      </c>
      <c r="H5225" t="s">
        <v>1111</v>
      </c>
      <c r="I5225" t="s">
        <v>1515</v>
      </c>
      <c r="J5225" s="13">
        <v>234332</v>
      </c>
      <c r="K5225">
        <v>1</v>
      </c>
      <c r="L5225" t="s">
        <v>1064</v>
      </c>
      <c r="M5225" t="s">
        <v>1516</v>
      </c>
      <c r="N5225" s="15" t="s">
        <v>6878</v>
      </c>
    </row>
    <row r="5226" spans="1:14" x14ac:dyDescent="0.2">
      <c r="A5226" t="s">
        <v>6357</v>
      </c>
      <c r="B5226" t="s">
        <v>2360</v>
      </c>
      <c r="C5226" s="9">
        <v>45066</v>
      </c>
      <c r="D5226" t="s">
        <v>966</v>
      </c>
      <c r="E5226" s="13">
        <v>5250000</v>
      </c>
      <c r="F5226" s="13">
        <v>27750</v>
      </c>
      <c r="G5226" s="9">
        <v>45067</v>
      </c>
      <c r="H5226" t="s">
        <v>1111</v>
      </c>
      <c r="I5226" t="s">
        <v>1515</v>
      </c>
      <c r="J5226" s="13">
        <v>233100</v>
      </c>
      <c r="K5226">
        <v>1</v>
      </c>
      <c r="L5226" t="s">
        <v>1064</v>
      </c>
      <c r="M5226" t="s">
        <v>1516</v>
      </c>
      <c r="N5226" s="15" t="s">
        <v>6878</v>
      </c>
    </row>
    <row r="5227" spans="1:14" x14ac:dyDescent="0.2">
      <c r="A5227" t="s">
        <v>6358</v>
      </c>
      <c r="B5227" t="s">
        <v>2360</v>
      </c>
      <c r="C5227" s="9">
        <v>45066</v>
      </c>
      <c r="D5227" t="s">
        <v>966</v>
      </c>
      <c r="E5227" s="13">
        <v>5250000</v>
      </c>
      <c r="F5227" s="13">
        <v>27750</v>
      </c>
      <c r="G5227" s="9">
        <v>45067</v>
      </c>
      <c r="H5227" t="s">
        <v>1111</v>
      </c>
      <c r="I5227" t="s">
        <v>1515</v>
      </c>
      <c r="J5227" s="13">
        <v>233100</v>
      </c>
      <c r="K5227">
        <v>1</v>
      </c>
      <c r="L5227" t="s">
        <v>1064</v>
      </c>
      <c r="M5227" t="s">
        <v>1516</v>
      </c>
      <c r="N5227" s="15" t="s">
        <v>6878</v>
      </c>
    </row>
    <row r="5228" spans="1:14" x14ac:dyDescent="0.2">
      <c r="A5228" t="s">
        <v>6359</v>
      </c>
      <c r="B5228" t="s">
        <v>2360</v>
      </c>
      <c r="C5228" s="9">
        <v>45066</v>
      </c>
      <c r="D5228" t="s">
        <v>966</v>
      </c>
      <c r="E5228" s="13">
        <v>5250000</v>
      </c>
      <c r="F5228" s="13">
        <v>27750</v>
      </c>
      <c r="G5228" s="9">
        <v>45067</v>
      </c>
      <c r="H5228" t="s">
        <v>1111</v>
      </c>
      <c r="I5228" t="s">
        <v>1515</v>
      </c>
      <c r="J5228" s="13">
        <v>233100</v>
      </c>
      <c r="K5228">
        <v>1</v>
      </c>
      <c r="L5228" t="s">
        <v>1064</v>
      </c>
      <c r="M5228" t="s">
        <v>1516</v>
      </c>
      <c r="N5228" s="15" t="s">
        <v>6878</v>
      </c>
    </row>
    <row r="5229" spans="1:14" x14ac:dyDescent="0.2">
      <c r="A5229" t="s">
        <v>6360</v>
      </c>
      <c r="B5229" t="s">
        <v>2360</v>
      </c>
      <c r="C5229" s="9">
        <v>45066</v>
      </c>
      <c r="D5229" t="s">
        <v>966</v>
      </c>
      <c r="E5229" s="13">
        <v>5250000</v>
      </c>
      <c r="F5229" s="13">
        <v>27750</v>
      </c>
      <c r="G5229" s="9">
        <v>45067</v>
      </c>
      <c r="H5229" t="s">
        <v>1111</v>
      </c>
      <c r="I5229" t="s">
        <v>1515</v>
      </c>
      <c r="J5229" s="13">
        <v>233100</v>
      </c>
      <c r="K5229">
        <v>1</v>
      </c>
      <c r="L5229" t="s">
        <v>1064</v>
      </c>
      <c r="M5229" t="s">
        <v>1516</v>
      </c>
      <c r="N5229" s="15" t="s">
        <v>6878</v>
      </c>
    </row>
    <row r="5230" spans="1:14" x14ac:dyDescent="0.2">
      <c r="A5230" t="s">
        <v>967</v>
      </c>
      <c r="B5230" t="s">
        <v>2360</v>
      </c>
      <c r="C5230" s="9">
        <v>45066</v>
      </c>
      <c r="D5230" t="s">
        <v>966</v>
      </c>
      <c r="E5230" s="13">
        <v>5250000</v>
      </c>
      <c r="F5230" s="13">
        <v>27750</v>
      </c>
      <c r="G5230" s="9">
        <v>45067</v>
      </c>
      <c r="H5230" t="s">
        <v>1111</v>
      </c>
      <c r="I5230" t="s">
        <v>1515</v>
      </c>
      <c r="J5230" s="13">
        <v>233100</v>
      </c>
      <c r="K5230">
        <v>1</v>
      </c>
      <c r="L5230" t="s">
        <v>1064</v>
      </c>
      <c r="M5230" t="s">
        <v>1516</v>
      </c>
      <c r="N5230" s="15" t="s">
        <v>6878</v>
      </c>
    </row>
    <row r="5231" spans="1:14" x14ac:dyDescent="0.2">
      <c r="A5231" t="s">
        <v>6361</v>
      </c>
      <c r="B5231" t="s">
        <v>2360</v>
      </c>
      <c r="C5231" s="9">
        <v>45066</v>
      </c>
      <c r="D5231" t="s">
        <v>972</v>
      </c>
      <c r="E5231" s="13">
        <v>7615000</v>
      </c>
      <c r="F5231" s="13">
        <v>22200</v>
      </c>
      <c r="G5231" s="9">
        <v>45067</v>
      </c>
      <c r="H5231" t="s">
        <v>1111</v>
      </c>
      <c r="I5231" t="s">
        <v>4620</v>
      </c>
      <c r="J5231" s="13">
        <v>228221</v>
      </c>
      <c r="K5231">
        <v>1</v>
      </c>
      <c r="L5231" t="s">
        <v>1064</v>
      </c>
      <c r="M5231" t="s">
        <v>4621</v>
      </c>
      <c r="N5231" s="15" t="s">
        <v>6878</v>
      </c>
    </row>
    <row r="5232" spans="1:14" x14ac:dyDescent="0.2">
      <c r="A5232" t="s">
        <v>6362</v>
      </c>
      <c r="B5232" t="s">
        <v>2360</v>
      </c>
      <c r="C5232" s="9">
        <v>45066</v>
      </c>
      <c r="D5232" t="s">
        <v>972</v>
      </c>
      <c r="E5232" s="13">
        <v>7615000</v>
      </c>
      <c r="F5232" s="13">
        <v>22200</v>
      </c>
      <c r="G5232" s="9">
        <v>45067</v>
      </c>
      <c r="H5232" t="s">
        <v>1111</v>
      </c>
      <c r="I5232" t="s">
        <v>4620</v>
      </c>
      <c r="J5232" s="13">
        <v>228221</v>
      </c>
      <c r="K5232">
        <v>1</v>
      </c>
      <c r="L5232" t="s">
        <v>1064</v>
      </c>
      <c r="M5232" t="s">
        <v>4621</v>
      </c>
      <c r="N5232" s="15" t="s">
        <v>6878</v>
      </c>
    </row>
    <row r="5233" spans="1:14" x14ac:dyDescent="0.2">
      <c r="A5233" t="s">
        <v>6363</v>
      </c>
      <c r="B5233" t="s">
        <v>2360</v>
      </c>
      <c r="C5233" s="9">
        <v>45066</v>
      </c>
      <c r="D5233" t="s">
        <v>972</v>
      </c>
      <c r="E5233" s="13">
        <v>7615000</v>
      </c>
      <c r="F5233" s="13">
        <v>22200</v>
      </c>
      <c r="G5233" s="9">
        <v>45067</v>
      </c>
      <c r="H5233" t="s">
        <v>1111</v>
      </c>
      <c r="I5233" t="s">
        <v>4620</v>
      </c>
      <c r="J5233" s="13">
        <v>228221</v>
      </c>
      <c r="K5233">
        <v>1</v>
      </c>
      <c r="L5233" t="s">
        <v>1064</v>
      </c>
      <c r="M5233" t="s">
        <v>4621</v>
      </c>
      <c r="N5233" s="15" t="s">
        <v>6878</v>
      </c>
    </row>
    <row r="5234" spans="1:14" x14ac:dyDescent="0.2">
      <c r="A5234" t="s">
        <v>6364</v>
      </c>
      <c r="B5234" t="s">
        <v>2360</v>
      </c>
      <c r="C5234" s="9">
        <v>45066</v>
      </c>
      <c r="D5234" t="s">
        <v>972</v>
      </c>
      <c r="E5234" s="13">
        <v>7615000</v>
      </c>
      <c r="F5234" s="13">
        <v>22200</v>
      </c>
      <c r="G5234" s="9">
        <v>45067</v>
      </c>
      <c r="H5234" t="s">
        <v>1111</v>
      </c>
      <c r="I5234" t="s">
        <v>4620</v>
      </c>
      <c r="J5234" s="13">
        <v>228221</v>
      </c>
      <c r="K5234">
        <v>1</v>
      </c>
      <c r="L5234" t="s">
        <v>1064</v>
      </c>
      <c r="M5234" t="s">
        <v>4621</v>
      </c>
      <c r="N5234" s="15" t="s">
        <v>6878</v>
      </c>
    </row>
    <row r="5235" spans="1:14" x14ac:dyDescent="0.2">
      <c r="A5235" t="s">
        <v>6365</v>
      </c>
      <c r="B5235" t="s">
        <v>2360</v>
      </c>
      <c r="C5235" s="9">
        <v>45066</v>
      </c>
      <c r="D5235" t="s">
        <v>972</v>
      </c>
      <c r="E5235" s="13">
        <v>7615000</v>
      </c>
      <c r="F5235" s="13">
        <v>22200</v>
      </c>
      <c r="G5235" s="9">
        <v>45067</v>
      </c>
      <c r="H5235" t="s">
        <v>1111</v>
      </c>
      <c r="I5235" t="s">
        <v>4620</v>
      </c>
      <c r="J5235" s="13">
        <v>228221</v>
      </c>
      <c r="K5235">
        <v>1</v>
      </c>
      <c r="L5235" t="s">
        <v>1064</v>
      </c>
      <c r="M5235" t="s">
        <v>4621</v>
      </c>
      <c r="N5235" s="15" t="s">
        <v>6878</v>
      </c>
    </row>
    <row r="5236" spans="1:14" x14ac:dyDescent="0.2">
      <c r="A5236" t="s">
        <v>6366</v>
      </c>
      <c r="B5236" t="s">
        <v>2360</v>
      </c>
      <c r="C5236" s="9">
        <v>45066</v>
      </c>
      <c r="D5236" t="s">
        <v>972</v>
      </c>
      <c r="E5236" s="13">
        <v>7615000</v>
      </c>
      <c r="F5236" s="13">
        <v>22200</v>
      </c>
      <c r="G5236" s="9">
        <v>45067</v>
      </c>
      <c r="H5236" t="s">
        <v>1111</v>
      </c>
      <c r="I5236" t="s">
        <v>4620</v>
      </c>
      <c r="J5236" s="13">
        <v>228221</v>
      </c>
      <c r="K5236">
        <v>1</v>
      </c>
      <c r="L5236" t="s">
        <v>1064</v>
      </c>
      <c r="M5236" t="s">
        <v>4621</v>
      </c>
      <c r="N5236" s="15" t="s">
        <v>6878</v>
      </c>
    </row>
    <row r="5237" spans="1:14" x14ac:dyDescent="0.2">
      <c r="A5237" t="s">
        <v>6367</v>
      </c>
      <c r="B5237" t="s">
        <v>2360</v>
      </c>
      <c r="C5237" s="9">
        <v>45066</v>
      </c>
      <c r="D5237" t="s">
        <v>972</v>
      </c>
      <c r="E5237" s="13">
        <v>7615000</v>
      </c>
      <c r="F5237" s="13">
        <v>22200</v>
      </c>
      <c r="G5237" s="9">
        <v>45067</v>
      </c>
      <c r="H5237" t="s">
        <v>1111</v>
      </c>
      <c r="I5237" t="s">
        <v>4620</v>
      </c>
      <c r="J5237" s="13">
        <v>228221</v>
      </c>
      <c r="K5237">
        <v>1</v>
      </c>
      <c r="L5237" t="s">
        <v>1064</v>
      </c>
      <c r="M5237" t="s">
        <v>4621</v>
      </c>
      <c r="N5237" s="15" t="s">
        <v>6878</v>
      </c>
    </row>
    <row r="5238" spans="1:14" x14ac:dyDescent="0.2">
      <c r="A5238" t="s">
        <v>6368</v>
      </c>
      <c r="B5238" t="s">
        <v>2360</v>
      </c>
      <c r="C5238" s="9">
        <v>45066</v>
      </c>
      <c r="D5238" t="s">
        <v>972</v>
      </c>
      <c r="E5238" s="13">
        <v>7615000</v>
      </c>
      <c r="F5238" s="13">
        <v>22200</v>
      </c>
      <c r="G5238" s="9">
        <v>45067</v>
      </c>
      <c r="H5238" t="s">
        <v>1111</v>
      </c>
      <c r="I5238" t="s">
        <v>4620</v>
      </c>
      <c r="J5238" s="13">
        <v>228221</v>
      </c>
      <c r="K5238">
        <v>1</v>
      </c>
      <c r="L5238" t="s">
        <v>1064</v>
      </c>
      <c r="M5238" t="s">
        <v>4621</v>
      </c>
      <c r="N5238" s="15" t="s">
        <v>6878</v>
      </c>
    </row>
    <row r="5239" spans="1:14" x14ac:dyDescent="0.2">
      <c r="A5239" t="s">
        <v>6369</v>
      </c>
      <c r="B5239" t="s">
        <v>2360</v>
      </c>
      <c r="C5239" s="9">
        <v>45066</v>
      </c>
      <c r="D5239" t="s">
        <v>972</v>
      </c>
      <c r="E5239" s="13">
        <v>7615000</v>
      </c>
      <c r="F5239" s="13">
        <v>22200</v>
      </c>
      <c r="G5239" s="9">
        <v>45067</v>
      </c>
      <c r="H5239" t="s">
        <v>1111</v>
      </c>
      <c r="I5239" t="s">
        <v>4620</v>
      </c>
      <c r="J5239" s="13">
        <v>228221</v>
      </c>
      <c r="K5239">
        <v>1</v>
      </c>
      <c r="L5239" t="s">
        <v>1064</v>
      </c>
      <c r="M5239" t="s">
        <v>4621</v>
      </c>
      <c r="N5239" s="15" t="s">
        <v>6878</v>
      </c>
    </row>
    <row r="5240" spans="1:14" x14ac:dyDescent="0.2">
      <c r="A5240" t="s">
        <v>6370</v>
      </c>
      <c r="B5240" t="s">
        <v>2360</v>
      </c>
      <c r="C5240" s="9">
        <v>45066</v>
      </c>
      <c r="D5240" t="s">
        <v>972</v>
      </c>
      <c r="E5240" s="13">
        <v>7615000</v>
      </c>
      <c r="F5240" s="13">
        <v>22200</v>
      </c>
      <c r="G5240" s="9">
        <v>45067</v>
      </c>
      <c r="H5240" t="s">
        <v>1111</v>
      </c>
      <c r="I5240" t="s">
        <v>4620</v>
      </c>
      <c r="J5240" s="13">
        <v>228221</v>
      </c>
      <c r="K5240">
        <v>1</v>
      </c>
      <c r="L5240" t="s">
        <v>1064</v>
      </c>
      <c r="M5240" t="s">
        <v>4621</v>
      </c>
      <c r="N5240" s="15" t="s">
        <v>6878</v>
      </c>
    </row>
    <row r="5241" spans="1:14" x14ac:dyDescent="0.2">
      <c r="A5241" t="s">
        <v>6371</v>
      </c>
      <c r="B5241" t="s">
        <v>2360</v>
      </c>
      <c r="C5241" s="9">
        <v>45066</v>
      </c>
      <c r="D5241" t="s">
        <v>972</v>
      </c>
      <c r="E5241" s="13">
        <v>7615000</v>
      </c>
      <c r="F5241" s="13">
        <v>22200</v>
      </c>
      <c r="G5241" s="9">
        <v>45067</v>
      </c>
      <c r="H5241" t="s">
        <v>1111</v>
      </c>
      <c r="I5241" t="s">
        <v>4620</v>
      </c>
      <c r="J5241" s="13">
        <v>228221</v>
      </c>
      <c r="K5241">
        <v>1</v>
      </c>
      <c r="L5241" t="s">
        <v>1064</v>
      </c>
      <c r="M5241" t="s">
        <v>4621</v>
      </c>
      <c r="N5241" s="15" t="s">
        <v>6878</v>
      </c>
    </row>
    <row r="5242" spans="1:14" x14ac:dyDescent="0.2">
      <c r="A5242" t="s">
        <v>6372</v>
      </c>
      <c r="B5242" t="s">
        <v>2360</v>
      </c>
      <c r="C5242" s="9">
        <v>45066</v>
      </c>
      <c r="D5242" t="s">
        <v>972</v>
      </c>
      <c r="E5242" s="13">
        <v>7615000</v>
      </c>
      <c r="F5242" s="13">
        <v>22200</v>
      </c>
      <c r="G5242" s="9">
        <v>45067</v>
      </c>
      <c r="H5242" t="s">
        <v>1111</v>
      </c>
      <c r="I5242" t="s">
        <v>4620</v>
      </c>
      <c r="J5242" s="13">
        <v>228221</v>
      </c>
      <c r="K5242">
        <v>1</v>
      </c>
      <c r="L5242" t="s">
        <v>1064</v>
      </c>
      <c r="M5242" t="s">
        <v>4621</v>
      </c>
      <c r="N5242" s="15" t="s">
        <v>6878</v>
      </c>
    </row>
    <row r="5243" spans="1:14" x14ac:dyDescent="0.2">
      <c r="A5243" t="s">
        <v>6373</v>
      </c>
      <c r="B5243" t="s">
        <v>2360</v>
      </c>
      <c r="C5243" s="9">
        <v>45066</v>
      </c>
      <c r="D5243" t="s">
        <v>972</v>
      </c>
      <c r="E5243" s="13">
        <v>7615000</v>
      </c>
      <c r="F5243" s="13">
        <v>22200</v>
      </c>
      <c r="G5243" s="9">
        <v>45067</v>
      </c>
      <c r="H5243" t="s">
        <v>1111</v>
      </c>
      <c r="I5243" t="s">
        <v>4620</v>
      </c>
      <c r="J5243" s="13">
        <v>228221</v>
      </c>
      <c r="K5243">
        <v>1</v>
      </c>
      <c r="L5243" t="s">
        <v>1064</v>
      </c>
      <c r="M5243" t="s">
        <v>4621</v>
      </c>
      <c r="N5243" s="15" t="s">
        <v>6878</v>
      </c>
    </row>
    <row r="5244" spans="1:14" x14ac:dyDescent="0.2">
      <c r="A5244" t="s">
        <v>6374</v>
      </c>
      <c r="B5244" t="s">
        <v>2360</v>
      </c>
      <c r="C5244" s="9">
        <v>45066</v>
      </c>
      <c r="D5244" t="s">
        <v>972</v>
      </c>
      <c r="E5244" s="13">
        <v>7615000</v>
      </c>
      <c r="F5244" s="13">
        <v>22200</v>
      </c>
      <c r="G5244" s="9">
        <v>45067</v>
      </c>
      <c r="H5244" t="s">
        <v>1111</v>
      </c>
      <c r="I5244" t="s">
        <v>4620</v>
      </c>
      <c r="J5244" s="13">
        <v>228221</v>
      </c>
      <c r="K5244">
        <v>1</v>
      </c>
      <c r="L5244" t="s">
        <v>1064</v>
      </c>
      <c r="M5244" t="s">
        <v>4621</v>
      </c>
      <c r="N5244" s="15" t="s">
        <v>6878</v>
      </c>
    </row>
    <row r="5245" spans="1:14" x14ac:dyDescent="0.2">
      <c r="A5245" t="s">
        <v>6375</v>
      </c>
      <c r="B5245" t="s">
        <v>2360</v>
      </c>
      <c r="C5245" s="9">
        <v>45066</v>
      </c>
      <c r="D5245" t="s">
        <v>972</v>
      </c>
      <c r="E5245" s="13">
        <v>7615000</v>
      </c>
      <c r="F5245" s="13">
        <v>22200</v>
      </c>
      <c r="G5245" s="9">
        <v>45067</v>
      </c>
      <c r="H5245" t="s">
        <v>1111</v>
      </c>
      <c r="I5245" t="s">
        <v>4620</v>
      </c>
      <c r="J5245" s="13">
        <v>228221</v>
      </c>
      <c r="K5245">
        <v>1</v>
      </c>
      <c r="L5245" t="s">
        <v>1064</v>
      </c>
      <c r="M5245" t="s">
        <v>4621</v>
      </c>
      <c r="N5245" s="15" t="s">
        <v>6878</v>
      </c>
    </row>
    <row r="5246" spans="1:14" x14ac:dyDescent="0.2">
      <c r="A5246" t="s">
        <v>6376</v>
      </c>
      <c r="B5246" t="s">
        <v>2360</v>
      </c>
      <c r="C5246" s="9">
        <v>45067</v>
      </c>
      <c r="D5246" t="s">
        <v>952</v>
      </c>
      <c r="E5246" s="13">
        <v>290875000</v>
      </c>
      <c r="F5246" s="13">
        <v>27750</v>
      </c>
      <c r="G5246" s="9">
        <v>45067</v>
      </c>
      <c r="H5246" t="s">
        <v>1111</v>
      </c>
      <c r="I5246" t="s">
        <v>4626</v>
      </c>
      <c r="J5246" s="13">
        <v>12914850</v>
      </c>
      <c r="K5246">
        <v>1</v>
      </c>
      <c r="L5246" t="s">
        <v>1064</v>
      </c>
      <c r="M5246" t="s">
        <v>4627</v>
      </c>
      <c r="N5246" s="15" t="s">
        <v>6878</v>
      </c>
    </row>
    <row r="5247" spans="1:14" x14ac:dyDescent="0.2">
      <c r="A5247" t="s">
        <v>6377</v>
      </c>
      <c r="B5247" t="s">
        <v>2360</v>
      </c>
      <c r="C5247" s="9">
        <v>45067</v>
      </c>
      <c r="D5247" t="s">
        <v>32</v>
      </c>
      <c r="E5247" s="13">
        <v>3500000</v>
      </c>
      <c r="F5247" s="13">
        <v>27750</v>
      </c>
      <c r="G5247" s="9">
        <v>45067</v>
      </c>
      <c r="H5247" t="s">
        <v>1111</v>
      </c>
      <c r="I5247" t="s">
        <v>520</v>
      </c>
      <c r="J5247" s="13">
        <v>97125</v>
      </c>
      <c r="K5247">
        <v>1</v>
      </c>
      <c r="L5247" t="s">
        <v>1064</v>
      </c>
      <c r="M5247" t="s">
        <v>5005</v>
      </c>
      <c r="N5247" s="15" t="s">
        <v>6878</v>
      </c>
    </row>
    <row r="5248" spans="1:14" x14ac:dyDescent="0.2">
      <c r="A5248" t="s">
        <v>6378</v>
      </c>
      <c r="B5248" t="s">
        <v>2360</v>
      </c>
      <c r="C5248" s="9">
        <v>45067</v>
      </c>
      <c r="D5248" t="s">
        <v>32</v>
      </c>
      <c r="E5248" s="13">
        <v>3500000</v>
      </c>
      <c r="F5248" s="13">
        <v>27750</v>
      </c>
      <c r="G5248" s="9">
        <v>45067</v>
      </c>
      <c r="H5248" t="s">
        <v>1111</v>
      </c>
      <c r="I5248" t="s">
        <v>520</v>
      </c>
      <c r="J5248" s="13">
        <v>97125</v>
      </c>
      <c r="K5248">
        <v>1</v>
      </c>
      <c r="L5248" t="s">
        <v>1064</v>
      </c>
      <c r="M5248" t="s">
        <v>5005</v>
      </c>
      <c r="N5248" s="15" t="s">
        <v>6878</v>
      </c>
    </row>
    <row r="5249" spans="1:14" x14ac:dyDescent="0.2">
      <c r="A5249" t="s">
        <v>6379</v>
      </c>
      <c r="B5249" t="s">
        <v>2360</v>
      </c>
      <c r="C5249" s="9">
        <v>45067</v>
      </c>
      <c r="D5249" t="s">
        <v>32</v>
      </c>
      <c r="E5249" s="13">
        <v>3500000</v>
      </c>
      <c r="F5249" s="13">
        <v>27750</v>
      </c>
      <c r="G5249" s="9">
        <v>45067</v>
      </c>
      <c r="H5249" t="s">
        <v>1111</v>
      </c>
      <c r="I5249" t="s">
        <v>520</v>
      </c>
      <c r="J5249" s="13">
        <v>97125</v>
      </c>
      <c r="K5249">
        <v>1</v>
      </c>
      <c r="L5249" t="s">
        <v>1064</v>
      </c>
      <c r="M5249" t="s">
        <v>5005</v>
      </c>
      <c r="N5249" s="15" t="s">
        <v>6878</v>
      </c>
    </row>
    <row r="5250" spans="1:14" x14ac:dyDescent="0.2">
      <c r="A5250" t="s">
        <v>6380</v>
      </c>
      <c r="B5250" t="s">
        <v>2360</v>
      </c>
      <c r="C5250" s="9">
        <v>45067</v>
      </c>
      <c r="D5250" t="s">
        <v>981</v>
      </c>
      <c r="E5250" s="13">
        <v>1655000</v>
      </c>
      <c r="F5250" s="13">
        <v>27750</v>
      </c>
      <c r="G5250" s="9">
        <v>45067</v>
      </c>
      <c r="H5250" t="s">
        <v>1111</v>
      </c>
      <c r="I5250" t="s">
        <v>4222</v>
      </c>
      <c r="J5250" s="13">
        <v>73482</v>
      </c>
      <c r="K5250">
        <v>1</v>
      </c>
      <c r="L5250" t="s">
        <v>1064</v>
      </c>
      <c r="M5250" t="s">
        <v>4223</v>
      </c>
      <c r="N5250" s="15" t="s">
        <v>6878</v>
      </c>
    </row>
    <row r="5251" spans="1:14" x14ac:dyDescent="0.2">
      <c r="A5251" t="s">
        <v>6381</v>
      </c>
      <c r="B5251" t="s">
        <v>2360</v>
      </c>
      <c r="C5251" s="9">
        <v>45067</v>
      </c>
      <c r="D5251" t="s">
        <v>981</v>
      </c>
      <c r="E5251" s="13">
        <v>1655000</v>
      </c>
      <c r="F5251" s="13">
        <v>27750</v>
      </c>
      <c r="G5251" s="9">
        <v>45067</v>
      </c>
      <c r="H5251" t="s">
        <v>1111</v>
      </c>
      <c r="I5251" t="s">
        <v>4222</v>
      </c>
      <c r="J5251" s="13">
        <v>73482</v>
      </c>
      <c r="K5251">
        <v>1</v>
      </c>
      <c r="L5251" t="s">
        <v>1064</v>
      </c>
      <c r="M5251" t="s">
        <v>4223</v>
      </c>
      <c r="N5251" s="15" t="s">
        <v>6878</v>
      </c>
    </row>
    <row r="5252" spans="1:14" x14ac:dyDescent="0.2">
      <c r="A5252" t="s">
        <v>6382</v>
      </c>
      <c r="B5252" t="s">
        <v>2360</v>
      </c>
      <c r="C5252" s="9">
        <v>45067</v>
      </c>
      <c r="D5252" t="s">
        <v>981</v>
      </c>
      <c r="E5252" s="13">
        <v>1655000</v>
      </c>
      <c r="F5252" s="13">
        <v>27750</v>
      </c>
      <c r="G5252" s="9">
        <v>45067</v>
      </c>
      <c r="H5252" t="s">
        <v>1111</v>
      </c>
      <c r="I5252" t="s">
        <v>4222</v>
      </c>
      <c r="J5252" s="13">
        <v>73482</v>
      </c>
      <c r="K5252">
        <v>1</v>
      </c>
      <c r="L5252" t="s">
        <v>1064</v>
      </c>
      <c r="M5252" t="s">
        <v>4223</v>
      </c>
      <c r="N5252" s="15" t="s">
        <v>6878</v>
      </c>
    </row>
    <row r="5253" spans="1:14" x14ac:dyDescent="0.2">
      <c r="A5253" t="s">
        <v>6383</v>
      </c>
      <c r="B5253" t="s">
        <v>2360</v>
      </c>
      <c r="C5253" s="9">
        <v>45067</v>
      </c>
      <c r="D5253" t="s">
        <v>981</v>
      </c>
      <c r="E5253" s="13">
        <v>2485000</v>
      </c>
      <c r="F5253" s="13">
        <v>27750</v>
      </c>
      <c r="G5253" s="9">
        <v>45067</v>
      </c>
      <c r="H5253" t="s">
        <v>1111</v>
      </c>
      <c r="I5253" t="s">
        <v>4222</v>
      </c>
      <c r="J5253" s="13">
        <v>110334</v>
      </c>
      <c r="K5253">
        <v>1</v>
      </c>
      <c r="L5253" t="s">
        <v>1064</v>
      </c>
      <c r="M5253" t="s">
        <v>4223</v>
      </c>
      <c r="N5253" s="15" t="s">
        <v>6878</v>
      </c>
    </row>
    <row r="5254" spans="1:14" x14ac:dyDescent="0.2">
      <c r="A5254" t="s">
        <v>6384</v>
      </c>
      <c r="B5254" t="s">
        <v>2360</v>
      </c>
      <c r="C5254" s="9">
        <v>45067</v>
      </c>
      <c r="D5254" t="s">
        <v>981</v>
      </c>
      <c r="E5254" s="13">
        <v>2485000</v>
      </c>
      <c r="F5254" s="13">
        <v>27750</v>
      </c>
      <c r="G5254" s="9">
        <v>45067</v>
      </c>
      <c r="H5254" t="s">
        <v>1111</v>
      </c>
      <c r="I5254" t="s">
        <v>4222</v>
      </c>
      <c r="J5254" s="13">
        <v>110334</v>
      </c>
      <c r="K5254">
        <v>1</v>
      </c>
      <c r="L5254" t="s">
        <v>1064</v>
      </c>
      <c r="M5254" t="s">
        <v>4223</v>
      </c>
      <c r="N5254" s="15" t="s">
        <v>6878</v>
      </c>
    </row>
    <row r="5255" spans="1:14" x14ac:dyDescent="0.2">
      <c r="A5255" t="s">
        <v>6385</v>
      </c>
      <c r="B5255" t="s">
        <v>2360</v>
      </c>
      <c r="C5255" s="9">
        <v>45067</v>
      </c>
      <c r="D5255" t="s">
        <v>981</v>
      </c>
      <c r="E5255" s="13">
        <v>1925000</v>
      </c>
      <c r="F5255" s="13">
        <v>27750</v>
      </c>
      <c r="G5255" s="9">
        <v>45067</v>
      </c>
      <c r="H5255" t="s">
        <v>1111</v>
      </c>
      <c r="I5255" t="s">
        <v>4222</v>
      </c>
      <c r="J5255" s="13">
        <v>85470</v>
      </c>
      <c r="K5255">
        <v>1</v>
      </c>
      <c r="L5255" t="s">
        <v>1064</v>
      </c>
      <c r="M5255" t="s">
        <v>4223</v>
      </c>
      <c r="N5255" s="15" t="s">
        <v>6878</v>
      </c>
    </row>
    <row r="5256" spans="1:14" x14ac:dyDescent="0.2">
      <c r="A5256" t="s">
        <v>6386</v>
      </c>
      <c r="B5256" t="s">
        <v>2360</v>
      </c>
      <c r="C5256" s="9">
        <v>45067</v>
      </c>
      <c r="D5256" t="s">
        <v>981</v>
      </c>
      <c r="E5256" s="13">
        <v>1655000</v>
      </c>
      <c r="F5256" s="13">
        <v>27750</v>
      </c>
      <c r="G5256" s="9">
        <v>45067</v>
      </c>
      <c r="H5256" t="s">
        <v>1111</v>
      </c>
      <c r="I5256" t="s">
        <v>4222</v>
      </c>
      <c r="J5256" s="13">
        <v>73482</v>
      </c>
      <c r="K5256">
        <v>1</v>
      </c>
      <c r="L5256" t="s">
        <v>1064</v>
      </c>
      <c r="M5256" t="s">
        <v>4223</v>
      </c>
      <c r="N5256" s="15" t="s">
        <v>6878</v>
      </c>
    </row>
    <row r="5257" spans="1:14" x14ac:dyDescent="0.2">
      <c r="A5257" t="s">
        <v>6387</v>
      </c>
      <c r="B5257" t="s">
        <v>2360</v>
      </c>
      <c r="C5257" s="9">
        <v>45067</v>
      </c>
      <c r="D5257" t="s">
        <v>981</v>
      </c>
      <c r="E5257" s="13">
        <v>2485000</v>
      </c>
      <c r="F5257" s="13">
        <v>27750</v>
      </c>
      <c r="G5257" s="9">
        <v>45067</v>
      </c>
      <c r="H5257" t="s">
        <v>1111</v>
      </c>
      <c r="I5257" t="s">
        <v>4222</v>
      </c>
      <c r="J5257" s="13">
        <v>110334</v>
      </c>
      <c r="K5257">
        <v>1</v>
      </c>
      <c r="L5257" t="s">
        <v>1064</v>
      </c>
      <c r="M5257" t="s">
        <v>4223</v>
      </c>
      <c r="N5257" s="15" t="s">
        <v>6878</v>
      </c>
    </row>
    <row r="5258" spans="1:14" x14ac:dyDescent="0.2">
      <c r="A5258" t="s">
        <v>6388</v>
      </c>
      <c r="B5258" t="s">
        <v>2360</v>
      </c>
      <c r="C5258" s="9">
        <v>45067</v>
      </c>
      <c r="D5258" t="s">
        <v>981</v>
      </c>
      <c r="E5258" s="13">
        <v>2485000</v>
      </c>
      <c r="F5258" s="13">
        <v>27750</v>
      </c>
      <c r="G5258" s="9">
        <v>45067</v>
      </c>
      <c r="H5258" t="s">
        <v>1111</v>
      </c>
      <c r="I5258" t="s">
        <v>4222</v>
      </c>
      <c r="J5258" s="13">
        <v>110334</v>
      </c>
      <c r="K5258">
        <v>1</v>
      </c>
      <c r="L5258" t="s">
        <v>1064</v>
      </c>
      <c r="M5258" t="s">
        <v>4223</v>
      </c>
      <c r="N5258" s="15" t="s">
        <v>6878</v>
      </c>
    </row>
    <row r="5259" spans="1:14" x14ac:dyDescent="0.2">
      <c r="A5259" t="s">
        <v>6389</v>
      </c>
      <c r="B5259" t="s">
        <v>2360</v>
      </c>
      <c r="C5259" s="9">
        <v>45067</v>
      </c>
      <c r="D5259" t="s">
        <v>981</v>
      </c>
      <c r="E5259" s="13">
        <v>1815000</v>
      </c>
      <c r="F5259" s="13">
        <v>27750</v>
      </c>
      <c r="G5259" s="9">
        <v>45067</v>
      </c>
      <c r="H5259" t="s">
        <v>1111</v>
      </c>
      <c r="I5259" t="s">
        <v>4222</v>
      </c>
      <c r="J5259" s="13">
        <v>80586</v>
      </c>
      <c r="K5259">
        <v>1</v>
      </c>
      <c r="L5259" t="s">
        <v>1064</v>
      </c>
      <c r="M5259" t="s">
        <v>4223</v>
      </c>
      <c r="N5259" s="15" t="s">
        <v>6878</v>
      </c>
    </row>
    <row r="5260" spans="1:14" x14ac:dyDescent="0.2">
      <c r="A5260" t="s">
        <v>6390</v>
      </c>
      <c r="B5260" t="s">
        <v>2360</v>
      </c>
      <c r="C5260" s="9">
        <v>45067</v>
      </c>
      <c r="D5260" t="s">
        <v>981</v>
      </c>
      <c r="E5260" s="13">
        <v>2485000</v>
      </c>
      <c r="F5260" s="13">
        <v>27750</v>
      </c>
      <c r="G5260" s="9">
        <v>45067</v>
      </c>
      <c r="H5260" t="s">
        <v>1111</v>
      </c>
      <c r="I5260" t="s">
        <v>4222</v>
      </c>
      <c r="J5260" s="13">
        <v>110334</v>
      </c>
      <c r="K5260">
        <v>1</v>
      </c>
      <c r="L5260" t="s">
        <v>1064</v>
      </c>
      <c r="M5260" t="s">
        <v>4223</v>
      </c>
      <c r="N5260" s="15" t="s">
        <v>6878</v>
      </c>
    </row>
    <row r="5261" spans="1:14" x14ac:dyDescent="0.2">
      <c r="A5261" t="s">
        <v>6391</v>
      </c>
      <c r="B5261" t="s">
        <v>2360</v>
      </c>
      <c r="C5261" s="9">
        <v>45067</v>
      </c>
      <c r="D5261" t="s">
        <v>981</v>
      </c>
      <c r="E5261" s="13">
        <v>1880000</v>
      </c>
      <c r="F5261" s="13">
        <v>27750</v>
      </c>
      <c r="G5261" s="9">
        <v>45067</v>
      </c>
      <c r="H5261" t="s">
        <v>1111</v>
      </c>
      <c r="I5261" t="s">
        <v>4222</v>
      </c>
      <c r="J5261" s="13">
        <v>83472</v>
      </c>
      <c r="K5261">
        <v>1</v>
      </c>
      <c r="L5261" t="s">
        <v>1064</v>
      </c>
      <c r="M5261" t="s">
        <v>4223</v>
      </c>
      <c r="N5261" s="15" t="s">
        <v>6878</v>
      </c>
    </row>
    <row r="5262" spans="1:14" x14ac:dyDescent="0.2">
      <c r="A5262" t="s">
        <v>6392</v>
      </c>
      <c r="B5262" t="s">
        <v>2360</v>
      </c>
      <c r="C5262" s="9">
        <v>45067</v>
      </c>
      <c r="D5262" t="s">
        <v>981</v>
      </c>
      <c r="E5262" s="13">
        <v>1880000</v>
      </c>
      <c r="F5262" s="13">
        <v>27750</v>
      </c>
      <c r="G5262" s="9">
        <v>45067</v>
      </c>
      <c r="H5262" t="s">
        <v>1111</v>
      </c>
      <c r="I5262" t="s">
        <v>4222</v>
      </c>
      <c r="J5262" s="13">
        <v>83472</v>
      </c>
      <c r="K5262">
        <v>1</v>
      </c>
      <c r="L5262" t="s">
        <v>1064</v>
      </c>
      <c r="M5262" t="s">
        <v>4223</v>
      </c>
      <c r="N5262" s="15" t="s">
        <v>6878</v>
      </c>
    </row>
    <row r="5263" spans="1:14" x14ac:dyDescent="0.2">
      <c r="A5263" t="s">
        <v>6393</v>
      </c>
      <c r="B5263" t="s">
        <v>2360</v>
      </c>
      <c r="C5263" s="9">
        <v>45067</v>
      </c>
      <c r="D5263" t="s">
        <v>981</v>
      </c>
      <c r="E5263" s="13">
        <v>1880000</v>
      </c>
      <c r="F5263" s="13">
        <v>27750</v>
      </c>
      <c r="G5263" s="9">
        <v>45067</v>
      </c>
      <c r="H5263" t="s">
        <v>1111</v>
      </c>
      <c r="I5263" t="s">
        <v>4222</v>
      </c>
      <c r="J5263" s="13">
        <v>83472</v>
      </c>
      <c r="K5263">
        <v>1</v>
      </c>
      <c r="L5263" t="s">
        <v>1064</v>
      </c>
      <c r="M5263" t="s">
        <v>4223</v>
      </c>
      <c r="N5263" s="15" t="s">
        <v>6878</v>
      </c>
    </row>
    <row r="5264" spans="1:14" x14ac:dyDescent="0.2">
      <c r="A5264" t="s">
        <v>6394</v>
      </c>
      <c r="B5264" t="s">
        <v>2360</v>
      </c>
      <c r="C5264" s="9">
        <v>45067</v>
      </c>
      <c r="D5264" t="s">
        <v>981</v>
      </c>
      <c r="E5264" s="13">
        <v>2485000</v>
      </c>
      <c r="F5264" s="13">
        <v>27750</v>
      </c>
      <c r="G5264" s="9">
        <v>45067</v>
      </c>
      <c r="H5264" t="s">
        <v>1111</v>
      </c>
      <c r="I5264" t="s">
        <v>4222</v>
      </c>
      <c r="J5264" s="13">
        <v>110334</v>
      </c>
      <c r="K5264">
        <v>1</v>
      </c>
      <c r="L5264" t="s">
        <v>1064</v>
      </c>
      <c r="M5264" t="s">
        <v>4223</v>
      </c>
      <c r="N5264" s="15" t="s">
        <v>6878</v>
      </c>
    </row>
    <row r="5265" spans="1:14" x14ac:dyDescent="0.2">
      <c r="A5265" t="s">
        <v>6395</v>
      </c>
      <c r="B5265" t="s">
        <v>2360</v>
      </c>
      <c r="C5265" s="9">
        <v>45067</v>
      </c>
      <c r="D5265" t="s">
        <v>981</v>
      </c>
      <c r="E5265" s="13">
        <v>1925000</v>
      </c>
      <c r="F5265" s="13">
        <v>27750</v>
      </c>
      <c r="G5265" s="9">
        <v>45067</v>
      </c>
      <c r="H5265" t="s">
        <v>1111</v>
      </c>
      <c r="I5265" t="s">
        <v>4222</v>
      </c>
      <c r="J5265" s="13">
        <v>85470</v>
      </c>
      <c r="K5265">
        <v>1</v>
      </c>
      <c r="L5265" t="s">
        <v>1064</v>
      </c>
      <c r="M5265" t="s">
        <v>4223</v>
      </c>
      <c r="N5265" s="15" t="s">
        <v>6878</v>
      </c>
    </row>
    <row r="5266" spans="1:14" x14ac:dyDescent="0.2">
      <c r="A5266" t="s">
        <v>6396</v>
      </c>
      <c r="B5266" t="s">
        <v>2360</v>
      </c>
      <c r="C5266" s="9">
        <v>45067</v>
      </c>
      <c r="D5266" t="s">
        <v>981</v>
      </c>
      <c r="E5266" s="13">
        <v>1925000</v>
      </c>
      <c r="F5266" s="13">
        <v>27750</v>
      </c>
      <c r="G5266" s="9">
        <v>45067</v>
      </c>
      <c r="H5266" t="s">
        <v>1111</v>
      </c>
      <c r="I5266" t="s">
        <v>4222</v>
      </c>
      <c r="J5266" s="13">
        <v>85470</v>
      </c>
      <c r="K5266">
        <v>1</v>
      </c>
      <c r="L5266" t="s">
        <v>1064</v>
      </c>
      <c r="M5266" t="s">
        <v>4223</v>
      </c>
      <c r="N5266" s="15" t="s">
        <v>6878</v>
      </c>
    </row>
    <row r="5267" spans="1:14" x14ac:dyDescent="0.2">
      <c r="A5267" t="s">
        <v>6397</v>
      </c>
      <c r="B5267" t="s">
        <v>2360</v>
      </c>
      <c r="C5267" s="9">
        <v>45067</v>
      </c>
      <c r="D5267" t="s">
        <v>981</v>
      </c>
      <c r="E5267" s="13">
        <v>1815000</v>
      </c>
      <c r="F5267" s="13">
        <v>27750</v>
      </c>
      <c r="G5267" s="9">
        <v>45067</v>
      </c>
      <c r="H5267" t="s">
        <v>1111</v>
      </c>
      <c r="I5267" t="s">
        <v>4222</v>
      </c>
      <c r="J5267" s="13">
        <v>80586</v>
      </c>
      <c r="K5267">
        <v>1</v>
      </c>
      <c r="L5267" t="s">
        <v>1064</v>
      </c>
      <c r="M5267" t="s">
        <v>4223</v>
      </c>
      <c r="N5267" s="15" t="s">
        <v>6878</v>
      </c>
    </row>
    <row r="5268" spans="1:14" x14ac:dyDescent="0.2">
      <c r="A5268" t="s">
        <v>6398</v>
      </c>
      <c r="B5268" t="s">
        <v>2360</v>
      </c>
      <c r="C5268" s="9">
        <v>45067</v>
      </c>
      <c r="D5268" t="s">
        <v>981</v>
      </c>
      <c r="E5268" s="13">
        <v>2485000</v>
      </c>
      <c r="F5268" s="13">
        <v>27750</v>
      </c>
      <c r="G5268" s="9">
        <v>45067</v>
      </c>
      <c r="H5268" t="s">
        <v>1111</v>
      </c>
      <c r="I5268" t="s">
        <v>4222</v>
      </c>
      <c r="J5268" s="13">
        <v>110334</v>
      </c>
      <c r="K5268">
        <v>1</v>
      </c>
      <c r="L5268" t="s">
        <v>1064</v>
      </c>
      <c r="M5268" t="s">
        <v>4223</v>
      </c>
      <c r="N5268" s="15" t="s">
        <v>6878</v>
      </c>
    </row>
    <row r="5269" spans="1:14" x14ac:dyDescent="0.2">
      <c r="A5269" t="s">
        <v>6399</v>
      </c>
      <c r="B5269" t="s">
        <v>2360</v>
      </c>
      <c r="C5269" s="9">
        <v>45067</v>
      </c>
      <c r="D5269" t="s">
        <v>981</v>
      </c>
      <c r="E5269" s="13">
        <v>1880000</v>
      </c>
      <c r="F5269" s="13">
        <v>27750</v>
      </c>
      <c r="G5269" s="9">
        <v>45067</v>
      </c>
      <c r="H5269" t="s">
        <v>1111</v>
      </c>
      <c r="I5269" t="s">
        <v>4222</v>
      </c>
      <c r="J5269" s="13">
        <v>83472</v>
      </c>
      <c r="K5269">
        <v>1</v>
      </c>
      <c r="L5269" t="s">
        <v>1064</v>
      </c>
      <c r="M5269" t="s">
        <v>4223</v>
      </c>
      <c r="N5269" s="15" t="s">
        <v>6878</v>
      </c>
    </row>
    <row r="5270" spans="1:14" x14ac:dyDescent="0.2">
      <c r="A5270" t="s">
        <v>6400</v>
      </c>
      <c r="B5270" t="s">
        <v>2360</v>
      </c>
      <c r="C5270" s="9">
        <v>45067</v>
      </c>
      <c r="D5270" t="s">
        <v>981</v>
      </c>
      <c r="E5270" s="13">
        <v>3400000</v>
      </c>
      <c r="F5270" s="13">
        <v>27750</v>
      </c>
      <c r="G5270" s="9">
        <v>45067</v>
      </c>
      <c r="H5270" t="s">
        <v>1111</v>
      </c>
      <c r="I5270" t="s">
        <v>4222</v>
      </c>
      <c r="J5270" s="13">
        <v>150960</v>
      </c>
      <c r="K5270">
        <v>1</v>
      </c>
      <c r="L5270" t="s">
        <v>1064</v>
      </c>
      <c r="M5270" t="s">
        <v>4223</v>
      </c>
      <c r="N5270" s="15" t="s">
        <v>6878</v>
      </c>
    </row>
    <row r="5271" spans="1:14" x14ac:dyDescent="0.2">
      <c r="A5271" t="s">
        <v>6401</v>
      </c>
      <c r="B5271" t="s">
        <v>2360</v>
      </c>
      <c r="C5271" s="9">
        <v>45067</v>
      </c>
      <c r="D5271" t="s">
        <v>981</v>
      </c>
      <c r="E5271" s="13">
        <v>3400000</v>
      </c>
      <c r="F5271" s="13">
        <v>27750</v>
      </c>
      <c r="G5271" s="9">
        <v>45067</v>
      </c>
      <c r="H5271" t="s">
        <v>1111</v>
      </c>
      <c r="I5271" t="s">
        <v>4222</v>
      </c>
      <c r="J5271" s="13">
        <v>150960</v>
      </c>
      <c r="K5271">
        <v>1</v>
      </c>
      <c r="L5271" t="s">
        <v>1064</v>
      </c>
      <c r="M5271" t="s">
        <v>4223</v>
      </c>
      <c r="N5271" s="15" t="s">
        <v>6878</v>
      </c>
    </row>
    <row r="5272" spans="1:14" x14ac:dyDescent="0.2">
      <c r="A5272" t="s">
        <v>6402</v>
      </c>
      <c r="B5272" t="s">
        <v>2360</v>
      </c>
      <c r="C5272" s="9">
        <v>45067</v>
      </c>
      <c r="D5272" t="s">
        <v>981</v>
      </c>
      <c r="E5272" s="13">
        <v>3250000</v>
      </c>
      <c r="F5272" s="13">
        <v>27750</v>
      </c>
      <c r="G5272" s="9">
        <v>45067</v>
      </c>
      <c r="H5272" t="s">
        <v>1111</v>
      </c>
      <c r="I5272" t="s">
        <v>4222</v>
      </c>
      <c r="J5272" s="13">
        <v>144300</v>
      </c>
      <c r="K5272">
        <v>1</v>
      </c>
      <c r="L5272" t="s">
        <v>1064</v>
      </c>
      <c r="M5272" t="s">
        <v>4223</v>
      </c>
      <c r="N5272" s="15" t="s">
        <v>6878</v>
      </c>
    </row>
    <row r="5273" spans="1:14" x14ac:dyDescent="0.2">
      <c r="A5273" t="s">
        <v>6403</v>
      </c>
      <c r="B5273" t="s">
        <v>2360</v>
      </c>
      <c r="C5273" s="9">
        <v>45067</v>
      </c>
      <c r="D5273" t="s">
        <v>981</v>
      </c>
      <c r="E5273" s="13">
        <v>3250000</v>
      </c>
      <c r="F5273" s="13">
        <v>27750</v>
      </c>
      <c r="G5273" s="9">
        <v>45067</v>
      </c>
      <c r="H5273" t="s">
        <v>1111</v>
      </c>
      <c r="I5273" t="s">
        <v>4222</v>
      </c>
      <c r="J5273" s="13">
        <v>144300</v>
      </c>
      <c r="K5273">
        <v>1</v>
      </c>
      <c r="L5273" t="s">
        <v>1064</v>
      </c>
      <c r="M5273" t="s">
        <v>4223</v>
      </c>
      <c r="N5273" s="15" t="s">
        <v>6878</v>
      </c>
    </row>
    <row r="5274" spans="1:14" x14ac:dyDescent="0.2">
      <c r="A5274" t="s">
        <v>6404</v>
      </c>
      <c r="B5274" t="s">
        <v>2360</v>
      </c>
      <c r="C5274" s="9">
        <v>45068</v>
      </c>
      <c r="D5274" t="s">
        <v>946</v>
      </c>
      <c r="E5274" s="13">
        <v>4900000</v>
      </c>
      <c r="F5274" s="13">
        <v>5550</v>
      </c>
      <c r="G5274" s="9">
        <v>45072</v>
      </c>
      <c r="H5274" t="s">
        <v>1111</v>
      </c>
      <c r="I5274" t="s">
        <v>2382</v>
      </c>
      <c r="J5274" s="13">
        <v>244755</v>
      </c>
      <c r="K5274">
        <v>1</v>
      </c>
      <c r="L5274" t="s">
        <v>1064</v>
      </c>
      <c r="M5274" t="s">
        <v>2383</v>
      </c>
      <c r="N5274" s="15" t="s">
        <v>6878</v>
      </c>
    </row>
    <row r="5275" spans="1:14" x14ac:dyDescent="0.2">
      <c r="A5275" t="s">
        <v>6405</v>
      </c>
      <c r="B5275" t="s">
        <v>2360</v>
      </c>
      <c r="C5275" s="9">
        <v>45068</v>
      </c>
      <c r="D5275" t="s">
        <v>946</v>
      </c>
      <c r="E5275" s="13">
        <v>4900000</v>
      </c>
      <c r="F5275" s="13">
        <v>5550</v>
      </c>
      <c r="G5275" s="9">
        <v>45072</v>
      </c>
      <c r="H5275" t="s">
        <v>1111</v>
      </c>
      <c r="I5275" t="s">
        <v>2382</v>
      </c>
      <c r="J5275" s="13">
        <v>244755</v>
      </c>
      <c r="K5275">
        <v>1</v>
      </c>
      <c r="L5275" t="s">
        <v>1064</v>
      </c>
      <c r="M5275" t="s">
        <v>2383</v>
      </c>
      <c r="N5275" s="15" t="s">
        <v>6878</v>
      </c>
    </row>
    <row r="5276" spans="1:14" x14ac:dyDescent="0.2">
      <c r="A5276" t="s">
        <v>6406</v>
      </c>
      <c r="B5276" t="s">
        <v>2360</v>
      </c>
      <c r="C5276" s="9">
        <v>45068</v>
      </c>
      <c r="D5276" t="s">
        <v>946</v>
      </c>
      <c r="E5276" s="13">
        <v>6125000</v>
      </c>
      <c r="F5276" s="13">
        <v>5550</v>
      </c>
      <c r="G5276" s="9">
        <v>45072</v>
      </c>
      <c r="H5276" t="s">
        <v>1111</v>
      </c>
      <c r="I5276" t="s">
        <v>2382</v>
      </c>
      <c r="J5276" s="13">
        <v>305943</v>
      </c>
      <c r="K5276">
        <v>1</v>
      </c>
      <c r="L5276" t="s">
        <v>1064</v>
      </c>
      <c r="M5276" t="s">
        <v>2383</v>
      </c>
      <c r="N5276" s="15" t="s">
        <v>6878</v>
      </c>
    </row>
    <row r="5277" spans="1:14" x14ac:dyDescent="0.2">
      <c r="A5277" t="s">
        <v>6407</v>
      </c>
      <c r="B5277" t="s">
        <v>2360</v>
      </c>
      <c r="C5277" s="9">
        <v>45068</v>
      </c>
      <c r="D5277" t="s">
        <v>946</v>
      </c>
      <c r="E5277" s="13">
        <v>4500000</v>
      </c>
      <c r="F5277" s="13">
        <v>5550</v>
      </c>
      <c r="G5277" s="9">
        <v>45072</v>
      </c>
      <c r="H5277" t="s">
        <v>1111</v>
      </c>
      <c r="I5277" t="s">
        <v>2382</v>
      </c>
      <c r="J5277" s="13">
        <v>224775</v>
      </c>
      <c r="K5277">
        <v>1</v>
      </c>
      <c r="L5277" t="s">
        <v>1064</v>
      </c>
      <c r="M5277" t="s">
        <v>2383</v>
      </c>
      <c r="N5277" s="15" t="s">
        <v>6878</v>
      </c>
    </row>
    <row r="5278" spans="1:14" x14ac:dyDescent="0.2">
      <c r="A5278" t="s">
        <v>6408</v>
      </c>
      <c r="B5278" t="s">
        <v>2360</v>
      </c>
      <c r="C5278" s="9">
        <v>45068</v>
      </c>
      <c r="D5278" t="s">
        <v>946</v>
      </c>
      <c r="E5278" s="13">
        <v>13800000</v>
      </c>
      <c r="F5278" s="13">
        <v>5550</v>
      </c>
      <c r="G5278" s="9">
        <v>45072</v>
      </c>
      <c r="H5278" t="s">
        <v>1111</v>
      </c>
      <c r="I5278" t="s">
        <v>2382</v>
      </c>
      <c r="J5278" s="13">
        <v>689310</v>
      </c>
      <c r="K5278">
        <v>1</v>
      </c>
      <c r="L5278" t="s">
        <v>1064</v>
      </c>
      <c r="M5278" t="s">
        <v>2383</v>
      </c>
      <c r="N5278" s="15" t="s">
        <v>6878</v>
      </c>
    </row>
    <row r="5279" spans="1:14" x14ac:dyDescent="0.2">
      <c r="A5279" t="s">
        <v>6409</v>
      </c>
      <c r="B5279" t="s">
        <v>2360</v>
      </c>
      <c r="C5279" s="9">
        <v>45068</v>
      </c>
      <c r="D5279" t="s">
        <v>946</v>
      </c>
      <c r="E5279" s="13">
        <v>300000</v>
      </c>
      <c r="F5279" s="13">
        <v>5550</v>
      </c>
      <c r="G5279" s="9">
        <v>45072</v>
      </c>
      <c r="H5279" t="s">
        <v>1111</v>
      </c>
      <c r="I5279" t="s">
        <v>2382</v>
      </c>
      <c r="J5279" s="13">
        <v>14985</v>
      </c>
      <c r="K5279">
        <v>1</v>
      </c>
      <c r="L5279" t="s">
        <v>1064</v>
      </c>
      <c r="M5279" t="s">
        <v>2383</v>
      </c>
      <c r="N5279" s="15" t="s">
        <v>6878</v>
      </c>
    </row>
    <row r="5280" spans="1:14" x14ac:dyDescent="0.2">
      <c r="A5280" t="s">
        <v>6410</v>
      </c>
      <c r="B5280" t="s">
        <v>2360</v>
      </c>
      <c r="C5280" s="9">
        <v>45068</v>
      </c>
      <c r="D5280" t="s">
        <v>946</v>
      </c>
      <c r="E5280" s="13">
        <v>1760000</v>
      </c>
      <c r="F5280" s="13">
        <v>5550</v>
      </c>
      <c r="G5280" s="9">
        <v>45072</v>
      </c>
      <c r="H5280" t="s">
        <v>1111</v>
      </c>
      <c r="I5280" t="s">
        <v>2382</v>
      </c>
      <c r="J5280" s="13">
        <v>87912</v>
      </c>
      <c r="K5280">
        <v>1</v>
      </c>
      <c r="L5280" t="s">
        <v>1064</v>
      </c>
      <c r="M5280" t="s">
        <v>2383</v>
      </c>
      <c r="N5280" s="15" t="s">
        <v>6878</v>
      </c>
    </row>
    <row r="5281" spans="1:14" x14ac:dyDescent="0.2">
      <c r="A5281" t="s">
        <v>6411</v>
      </c>
      <c r="B5281" t="s">
        <v>2360</v>
      </c>
      <c r="C5281" s="9">
        <v>45068</v>
      </c>
      <c r="D5281" t="s">
        <v>946</v>
      </c>
      <c r="E5281" s="13">
        <v>1870000</v>
      </c>
      <c r="F5281" s="13">
        <v>5550</v>
      </c>
      <c r="G5281" s="9">
        <v>45072</v>
      </c>
      <c r="H5281" t="s">
        <v>1111</v>
      </c>
      <c r="I5281" t="s">
        <v>2382</v>
      </c>
      <c r="J5281" s="13">
        <v>93406</v>
      </c>
      <c r="K5281">
        <v>1</v>
      </c>
      <c r="L5281" t="s">
        <v>1064</v>
      </c>
      <c r="M5281" t="s">
        <v>2383</v>
      </c>
      <c r="N5281" s="15" t="s">
        <v>6878</v>
      </c>
    </row>
    <row r="5282" spans="1:14" x14ac:dyDescent="0.2">
      <c r="A5282" t="s">
        <v>6412</v>
      </c>
      <c r="B5282" t="s">
        <v>2360</v>
      </c>
      <c r="C5282" s="9">
        <v>45068</v>
      </c>
      <c r="D5282" t="s">
        <v>946</v>
      </c>
      <c r="E5282" s="13">
        <v>1870000</v>
      </c>
      <c r="F5282" s="13">
        <v>5550</v>
      </c>
      <c r="G5282" s="9">
        <v>45072</v>
      </c>
      <c r="H5282" t="s">
        <v>1111</v>
      </c>
      <c r="I5282" t="s">
        <v>2382</v>
      </c>
      <c r="J5282" s="13">
        <v>93406</v>
      </c>
      <c r="K5282">
        <v>1</v>
      </c>
      <c r="L5282" t="s">
        <v>1064</v>
      </c>
      <c r="M5282" t="s">
        <v>2383</v>
      </c>
      <c r="N5282" s="15" t="s">
        <v>6878</v>
      </c>
    </row>
    <row r="5283" spans="1:14" x14ac:dyDescent="0.2">
      <c r="A5283" t="s">
        <v>6413</v>
      </c>
      <c r="B5283" t="s">
        <v>2360</v>
      </c>
      <c r="C5283" s="9">
        <v>45068</v>
      </c>
      <c r="D5283" t="s">
        <v>946</v>
      </c>
      <c r="E5283" s="13">
        <v>1210000</v>
      </c>
      <c r="F5283" s="13">
        <v>5550</v>
      </c>
      <c r="G5283" s="9">
        <v>45072</v>
      </c>
      <c r="H5283" t="s">
        <v>1111</v>
      </c>
      <c r="I5283" t="s">
        <v>2382</v>
      </c>
      <c r="J5283" s="13">
        <v>60439</v>
      </c>
      <c r="K5283">
        <v>1</v>
      </c>
      <c r="L5283" t="s">
        <v>1064</v>
      </c>
      <c r="M5283" t="s">
        <v>2383</v>
      </c>
      <c r="N5283" s="15" t="s">
        <v>6878</v>
      </c>
    </row>
    <row r="5284" spans="1:14" x14ac:dyDescent="0.2">
      <c r="A5284" t="s">
        <v>6414</v>
      </c>
      <c r="B5284" t="s">
        <v>2360</v>
      </c>
      <c r="C5284" s="9">
        <v>45068</v>
      </c>
      <c r="D5284" t="s">
        <v>946</v>
      </c>
      <c r="E5284" s="13">
        <v>11155000</v>
      </c>
      <c r="F5284" s="13">
        <v>5550</v>
      </c>
      <c r="G5284" s="9">
        <v>45072</v>
      </c>
      <c r="H5284" t="s">
        <v>1111</v>
      </c>
      <c r="I5284" t="s">
        <v>2382</v>
      </c>
      <c r="J5284" s="13">
        <v>557192</v>
      </c>
      <c r="K5284">
        <v>1</v>
      </c>
      <c r="L5284" t="s">
        <v>1064</v>
      </c>
      <c r="M5284" t="s">
        <v>2383</v>
      </c>
      <c r="N5284" s="15" t="s">
        <v>6878</v>
      </c>
    </row>
    <row r="5285" spans="1:14" x14ac:dyDescent="0.2">
      <c r="A5285" t="s">
        <v>6415</v>
      </c>
      <c r="B5285" t="s">
        <v>2360</v>
      </c>
      <c r="C5285" s="9">
        <v>45068</v>
      </c>
      <c r="D5285" t="s">
        <v>946</v>
      </c>
      <c r="E5285" s="13">
        <v>4180000</v>
      </c>
      <c r="F5285" s="13">
        <v>5550</v>
      </c>
      <c r="G5285" s="9">
        <v>45072</v>
      </c>
      <c r="H5285" t="s">
        <v>1111</v>
      </c>
      <c r="I5285" t="s">
        <v>2382</v>
      </c>
      <c r="J5285" s="13">
        <v>208791</v>
      </c>
      <c r="K5285">
        <v>1</v>
      </c>
      <c r="L5285" t="s">
        <v>1064</v>
      </c>
      <c r="M5285" t="s">
        <v>2383</v>
      </c>
      <c r="N5285" s="15" t="s">
        <v>6878</v>
      </c>
    </row>
    <row r="5286" spans="1:14" x14ac:dyDescent="0.2">
      <c r="A5286" t="s">
        <v>6416</v>
      </c>
      <c r="B5286" t="s">
        <v>2360</v>
      </c>
      <c r="C5286" s="9">
        <v>45068</v>
      </c>
      <c r="D5286" t="s">
        <v>946</v>
      </c>
      <c r="E5286" s="13">
        <v>20930000</v>
      </c>
      <c r="F5286" s="13">
        <v>5550</v>
      </c>
      <c r="G5286" s="9">
        <v>45072</v>
      </c>
      <c r="H5286" t="s">
        <v>1111</v>
      </c>
      <c r="I5286" t="s">
        <v>2382</v>
      </c>
      <c r="J5286" s="13">
        <v>1045453</v>
      </c>
      <c r="K5286">
        <v>1</v>
      </c>
      <c r="L5286" t="s">
        <v>1064</v>
      </c>
      <c r="M5286" t="s">
        <v>2383</v>
      </c>
      <c r="N5286" s="15" t="s">
        <v>6878</v>
      </c>
    </row>
    <row r="5287" spans="1:14" x14ac:dyDescent="0.2">
      <c r="A5287" t="s">
        <v>6417</v>
      </c>
      <c r="B5287" t="s">
        <v>2360</v>
      </c>
      <c r="C5287" s="9">
        <v>45068</v>
      </c>
      <c r="D5287" t="s">
        <v>946</v>
      </c>
      <c r="E5287" s="13">
        <v>16100000</v>
      </c>
      <c r="F5287" s="13">
        <v>5550</v>
      </c>
      <c r="G5287" s="9">
        <v>45072</v>
      </c>
      <c r="H5287" t="s">
        <v>1111</v>
      </c>
      <c r="I5287" t="s">
        <v>2382</v>
      </c>
      <c r="J5287" s="13">
        <v>804195</v>
      </c>
      <c r="K5287">
        <v>1</v>
      </c>
      <c r="L5287" t="s">
        <v>1064</v>
      </c>
      <c r="M5287" t="s">
        <v>2383</v>
      </c>
      <c r="N5287" s="15" t="s">
        <v>6878</v>
      </c>
    </row>
    <row r="5288" spans="1:14" x14ac:dyDescent="0.2">
      <c r="A5288" t="s">
        <v>6418</v>
      </c>
      <c r="B5288" t="s">
        <v>2360</v>
      </c>
      <c r="C5288" s="9">
        <v>45068</v>
      </c>
      <c r="D5288" t="s">
        <v>946</v>
      </c>
      <c r="E5288" s="13">
        <v>660000</v>
      </c>
      <c r="F5288" s="13">
        <v>5550</v>
      </c>
      <c r="G5288" s="9">
        <v>45072</v>
      </c>
      <c r="H5288" t="s">
        <v>1111</v>
      </c>
      <c r="I5288" t="s">
        <v>2382</v>
      </c>
      <c r="J5288" s="13">
        <v>32967</v>
      </c>
      <c r="K5288">
        <v>1</v>
      </c>
      <c r="L5288" t="s">
        <v>1064</v>
      </c>
      <c r="M5288" t="s">
        <v>2383</v>
      </c>
      <c r="N5288" s="15" t="s">
        <v>6878</v>
      </c>
    </row>
    <row r="5289" spans="1:14" x14ac:dyDescent="0.2">
      <c r="A5289" t="s">
        <v>6419</v>
      </c>
      <c r="B5289" t="s">
        <v>2360</v>
      </c>
      <c r="C5289" s="9">
        <v>45068</v>
      </c>
      <c r="D5289" t="s">
        <v>946</v>
      </c>
      <c r="E5289" s="13">
        <v>19550000</v>
      </c>
      <c r="F5289" s="13">
        <v>5550</v>
      </c>
      <c r="G5289" s="9">
        <v>45072</v>
      </c>
      <c r="H5289" t="s">
        <v>1111</v>
      </c>
      <c r="I5289" t="s">
        <v>2382</v>
      </c>
      <c r="J5289" s="13">
        <v>976522</v>
      </c>
      <c r="K5289">
        <v>1</v>
      </c>
      <c r="L5289" t="s">
        <v>1064</v>
      </c>
      <c r="M5289" t="s">
        <v>2383</v>
      </c>
      <c r="N5289" s="15" t="s">
        <v>6878</v>
      </c>
    </row>
    <row r="5290" spans="1:14" x14ac:dyDescent="0.2">
      <c r="A5290" t="s">
        <v>6420</v>
      </c>
      <c r="B5290" t="s">
        <v>2360</v>
      </c>
      <c r="C5290" s="9">
        <v>45068</v>
      </c>
      <c r="D5290" t="s">
        <v>946</v>
      </c>
      <c r="E5290" s="13">
        <v>12075000</v>
      </c>
      <c r="F5290" s="13">
        <v>5550</v>
      </c>
      <c r="G5290" s="9">
        <v>45072</v>
      </c>
      <c r="H5290" t="s">
        <v>1111</v>
      </c>
      <c r="I5290" t="s">
        <v>2382</v>
      </c>
      <c r="J5290" s="13">
        <v>603146</v>
      </c>
      <c r="K5290">
        <v>1</v>
      </c>
      <c r="L5290" t="s">
        <v>1064</v>
      </c>
      <c r="M5290" t="s">
        <v>2383</v>
      </c>
      <c r="N5290" s="15" t="s">
        <v>6878</v>
      </c>
    </row>
    <row r="5291" spans="1:14" x14ac:dyDescent="0.2">
      <c r="A5291" t="s">
        <v>6421</v>
      </c>
      <c r="B5291" t="s">
        <v>2360</v>
      </c>
      <c r="C5291" s="9">
        <v>45068</v>
      </c>
      <c r="D5291" t="s">
        <v>946</v>
      </c>
      <c r="E5291" s="13">
        <v>19550000</v>
      </c>
      <c r="F5291" s="13">
        <v>5550</v>
      </c>
      <c r="G5291" s="9">
        <v>45072</v>
      </c>
      <c r="H5291" t="s">
        <v>1111</v>
      </c>
      <c r="I5291" t="s">
        <v>2382</v>
      </c>
      <c r="J5291" s="13">
        <v>976522</v>
      </c>
      <c r="K5291">
        <v>1</v>
      </c>
      <c r="L5291" t="s">
        <v>1064</v>
      </c>
      <c r="M5291" t="s">
        <v>2383</v>
      </c>
      <c r="N5291" s="15" t="s">
        <v>6878</v>
      </c>
    </row>
    <row r="5292" spans="1:14" x14ac:dyDescent="0.2">
      <c r="A5292" t="s">
        <v>6422</v>
      </c>
      <c r="B5292" t="s">
        <v>2360</v>
      </c>
      <c r="C5292" s="9">
        <v>45068</v>
      </c>
      <c r="D5292" t="s">
        <v>946</v>
      </c>
      <c r="E5292" s="13">
        <v>32200000</v>
      </c>
      <c r="F5292" s="13">
        <v>5550</v>
      </c>
      <c r="G5292" s="9">
        <v>45072</v>
      </c>
      <c r="H5292" t="s">
        <v>1111</v>
      </c>
      <c r="I5292" t="s">
        <v>2382</v>
      </c>
      <c r="J5292" s="13">
        <v>1608390</v>
      </c>
      <c r="K5292">
        <v>1</v>
      </c>
      <c r="L5292" t="s">
        <v>1064</v>
      </c>
      <c r="M5292" t="s">
        <v>2383</v>
      </c>
      <c r="N5292" s="15" t="s">
        <v>6878</v>
      </c>
    </row>
    <row r="5293" spans="1:14" x14ac:dyDescent="0.2">
      <c r="A5293" t="s">
        <v>6423</v>
      </c>
      <c r="B5293" t="s">
        <v>2360</v>
      </c>
      <c r="C5293" s="9">
        <v>45068</v>
      </c>
      <c r="D5293" t="s">
        <v>946</v>
      </c>
      <c r="E5293" s="13">
        <v>32200000</v>
      </c>
      <c r="F5293" s="13">
        <v>5550</v>
      </c>
      <c r="G5293" s="9">
        <v>45072</v>
      </c>
      <c r="H5293" t="s">
        <v>1111</v>
      </c>
      <c r="I5293" t="s">
        <v>2382</v>
      </c>
      <c r="J5293" s="13">
        <v>1608390</v>
      </c>
      <c r="K5293">
        <v>1</v>
      </c>
      <c r="L5293" t="s">
        <v>1064</v>
      </c>
      <c r="M5293" t="s">
        <v>2383</v>
      </c>
      <c r="N5293" s="15" t="s">
        <v>6878</v>
      </c>
    </row>
    <row r="5294" spans="1:14" x14ac:dyDescent="0.2">
      <c r="A5294" t="s">
        <v>6424</v>
      </c>
      <c r="B5294" t="s">
        <v>2360</v>
      </c>
      <c r="C5294" s="9">
        <v>45068</v>
      </c>
      <c r="D5294" t="s">
        <v>946</v>
      </c>
      <c r="E5294" s="13">
        <v>12075000</v>
      </c>
      <c r="F5294" s="13">
        <v>5550</v>
      </c>
      <c r="G5294" s="9">
        <v>45072</v>
      </c>
      <c r="H5294" t="s">
        <v>1111</v>
      </c>
      <c r="I5294" t="s">
        <v>2382</v>
      </c>
      <c r="J5294" s="13">
        <v>603146</v>
      </c>
      <c r="K5294">
        <v>1</v>
      </c>
      <c r="L5294" t="s">
        <v>1064</v>
      </c>
      <c r="M5294" t="s">
        <v>2383</v>
      </c>
      <c r="N5294" s="15" t="s">
        <v>6878</v>
      </c>
    </row>
    <row r="5295" spans="1:14" x14ac:dyDescent="0.2">
      <c r="A5295" t="s">
        <v>6425</v>
      </c>
      <c r="B5295" t="s">
        <v>2360</v>
      </c>
      <c r="C5295" s="9">
        <v>45068</v>
      </c>
      <c r="D5295" t="s">
        <v>946</v>
      </c>
      <c r="E5295" s="13">
        <v>1650000</v>
      </c>
      <c r="F5295" s="13">
        <v>5550</v>
      </c>
      <c r="G5295" s="9">
        <v>45072</v>
      </c>
      <c r="H5295" t="s">
        <v>1111</v>
      </c>
      <c r="I5295" t="s">
        <v>2382</v>
      </c>
      <c r="J5295" s="13">
        <v>82417</v>
      </c>
      <c r="K5295">
        <v>1</v>
      </c>
      <c r="L5295" t="s">
        <v>1064</v>
      </c>
      <c r="M5295" t="s">
        <v>2383</v>
      </c>
      <c r="N5295" s="15" t="s">
        <v>6878</v>
      </c>
    </row>
    <row r="5296" spans="1:14" x14ac:dyDescent="0.2">
      <c r="A5296" t="s">
        <v>6426</v>
      </c>
      <c r="B5296" t="s">
        <v>2360</v>
      </c>
      <c r="C5296" s="9">
        <v>45068</v>
      </c>
      <c r="D5296" t="s">
        <v>946</v>
      </c>
      <c r="E5296" s="13">
        <v>1210000</v>
      </c>
      <c r="F5296" s="13">
        <v>5550</v>
      </c>
      <c r="G5296" s="9">
        <v>45072</v>
      </c>
      <c r="H5296" t="s">
        <v>1111</v>
      </c>
      <c r="I5296" t="s">
        <v>2382</v>
      </c>
      <c r="J5296" s="13">
        <v>60439</v>
      </c>
      <c r="K5296">
        <v>1</v>
      </c>
      <c r="L5296" t="s">
        <v>1064</v>
      </c>
      <c r="M5296" t="s">
        <v>2383</v>
      </c>
      <c r="N5296" s="15" t="s">
        <v>6878</v>
      </c>
    </row>
    <row r="5297" spans="1:14" x14ac:dyDescent="0.2">
      <c r="A5297" t="s">
        <v>6427</v>
      </c>
      <c r="B5297" t="s">
        <v>2360</v>
      </c>
      <c r="C5297" s="9">
        <v>45068</v>
      </c>
      <c r="D5297" t="s">
        <v>946</v>
      </c>
      <c r="E5297" s="13">
        <v>3300000</v>
      </c>
      <c r="F5297" s="13">
        <v>5550</v>
      </c>
      <c r="G5297" s="9">
        <v>45072</v>
      </c>
      <c r="H5297" t="s">
        <v>1111</v>
      </c>
      <c r="I5297" t="s">
        <v>2382</v>
      </c>
      <c r="J5297" s="13">
        <v>164835</v>
      </c>
      <c r="K5297">
        <v>1</v>
      </c>
      <c r="L5297" t="s">
        <v>1064</v>
      </c>
      <c r="M5297" t="s">
        <v>2383</v>
      </c>
      <c r="N5297" s="15" t="s">
        <v>6878</v>
      </c>
    </row>
    <row r="5298" spans="1:14" x14ac:dyDescent="0.2">
      <c r="A5298" t="s">
        <v>6428</v>
      </c>
      <c r="B5298" t="s">
        <v>2360</v>
      </c>
      <c r="C5298" s="9">
        <v>45068</v>
      </c>
      <c r="D5298" t="s">
        <v>946</v>
      </c>
      <c r="E5298" s="13">
        <v>1903000</v>
      </c>
      <c r="F5298" s="13">
        <v>5550</v>
      </c>
      <c r="G5298" s="9">
        <v>45072</v>
      </c>
      <c r="H5298" t="s">
        <v>1111</v>
      </c>
      <c r="I5298" t="s">
        <v>2382</v>
      </c>
      <c r="J5298" s="13">
        <v>95054</v>
      </c>
      <c r="K5298">
        <v>1</v>
      </c>
      <c r="L5298" t="s">
        <v>1064</v>
      </c>
      <c r="M5298" t="s">
        <v>2383</v>
      </c>
      <c r="N5298" s="15" t="s">
        <v>6878</v>
      </c>
    </row>
    <row r="5299" spans="1:14" x14ac:dyDescent="0.2">
      <c r="A5299" t="s">
        <v>6429</v>
      </c>
      <c r="B5299" t="s">
        <v>2360</v>
      </c>
      <c r="C5299" s="9">
        <v>45068</v>
      </c>
      <c r="D5299" t="s">
        <v>946</v>
      </c>
      <c r="E5299" s="13">
        <v>1540000</v>
      </c>
      <c r="F5299" s="13">
        <v>5550</v>
      </c>
      <c r="G5299" s="9">
        <v>45072</v>
      </c>
      <c r="H5299" t="s">
        <v>1111</v>
      </c>
      <c r="I5299" t="s">
        <v>2382</v>
      </c>
      <c r="J5299" s="13">
        <v>76923</v>
      </c>
      <c r="K5299">
        <v>1</v>
      </c>
      <c r="L5299" t="s">
        <v>1064</v>
      </c>
      <c r="M5299" t="s">
        <v>2383</v>
      </c>
      <c r="N5299" s="15" t="s">
        <v>6878</v>
      </c>
    </row>
    <row r="5300" spans="1:14" x14ac:dyDescent="0.2">
      <c r="A5300" t="s">
        <v>6430</v>
      </c>
      <c r="B5300" t="s">
        <v>2360</v>
      </c>
      <c r="C5300" s="9">
        <v>45068</v>
      </c>
      <c r="D5300" t="s">
        <v>946</v>
      </c>
      <c r="E5300" s="13">
        <v>2640000</v>
      </c>
      <c r="F5300" s="13">
        <v>5550</v>
      </c>
      <c r="G5300" s="9">
        <v>45072</v>
      </c>
      <c r="H5300" t="s">
        <v>1111</v>
      </c>
      <c r="I5300" t="s">
        <v>2382</v>
      </c>
      <c r="J5300" s="13">
        <v>131868</v>
      </c>
      <c r="K5300">
        <v>1</v>
      </c>
      <c r="L5300" t="s">
        <v>1064</v>
      </c>
      <c r="M5300" t="s">
        <v>2383</v>
      </c>
      <c r="N5300" s="15" t="s">
        <v>6878</v>
      </c>
    </row>
    <row r="5301" spans="1:14" x14ac:dyDescent="0.2">
      <c r="A5301" t="s">
        <v>6431</v>
      </c>
      <c r="B5301" t="s">
        <v>2360</v>
      </c>
      <c r="C5301" s="9">
        <v>45068</v>
      </c>
      <c r="D5301" t="s">
        <v>946</v>
      </c>
      <c r="E5301" s="13">
        <v>1540000</v>
      </c>
      <c r="F5301" s="13">
        <v>5550</v>
      </c>
      <c r="G5301" s="9">
        <v>45072</v>
      </c>
      <c r="H5301" t="s">
        <v>1111</v>
      </c>
      <c r="I5301" t="s">
        <v>2382</v>
      </c>
      <c r="J5301" s="13">
        <v>76923</v>
      </c>
      <c r="K5301">
        <v>1</v>
      </c>
      <c r="L5301" t="s">
        <v>1064</v>
      </c>
      <c r="M5301" t="s">
        <v>2383</v>
      </c>
      <c r="N5301" s="15" t="s">
        <v>6878</v>
      </c>
    </row>
    <row r="5302" spans="1:14" x14ac:dyDescent="0.2">
      <c r="A5302" t="s">
        <v>6432</v>
      </c>
      <c r="B5302" t="s">
        <v>2360</v>
      </c>
      <c r="C5302" s="9">
        <v>45068</v>
      </c>
      <c r="D5302" t="s">
        <v>946</v>
      </c>
      <c r="E5302" s="13">
        <v>979436</v>
      </c>
      <c r="F5302" s="13">
        <v>5550</v>
      </c>
      <c r="G5302" s="9">
        <v>45072</v>
      </c>
      <c r="H5302" t="s">
        <v>1111</v>
      </c>
      <c r="I5302" t="s">
        <v>2382</v>
      </c>
      <c r="J5302" s="13">
        <v>48922</v>
      </c>
      <c r="K5302">
        <v>1</v>
      </c>
      <c r="L5302" t="s">
        <v>1064</v>
      </c>
      <c r="M5302" t="s">
        <v>2383</v>
      </c>
      <c r="N5302" s="15" t="s">
        <v>6878</v>
      </c>
    </row>
    <row r="5303" spans="1:14" x14ac:dyDescent="0.2">
      <c r="A5303" t="s">
        <v>6433</v>
      </c>
      <c r="B5303" t="s">
        <v>2360</v>
      </c>
      <c r="C5303" s="9">
        <v>45068</v>
      </c>
      <c r="D5303" t="s">
        <v>946</v>
      </c>
      <c r="E5303" s="13">
        <v>979436</v>
      </c>
      <c r="F5303" s="13">
        <v>5550</v>
      </c>
      <c r="G5303" s="9">
        <v>45072</v>
      </c>
      <c r="H5303" t="s">
        <v>1111</v>
      </c>
      <c r="I5303" t="s">
        <v>2382</v>
      </c>
      <c r="J5303" s="13">
        <v>48922</v>
      </c>
      <c r="K5303">
        <v>1</v>
      </c>
      <c r="L5303" t="s">
        <v>1064</v>
      </c>
      <c r="M5303" t="s">
        <v>2383</v>
      </c>
      <c r="N5303" s="15" t="s">
        <v>6878</v>
      </c>
    </row>
    <row r="5304" spans="1:14" x14ac:dyDescent="0.2">
      <c r="A5304" t="s">
        <v>6434</v>
      </c>
      <c r="B5304" t="s">
        <v>2360</v>
      </c>
      <c r="C5304" s="9">
        <v>45068</v>
      </c>
      <c r="D5304" t="s">
        <v>946</v>
      </c>
      <c r="E5304" s="13">
        <v>2220000</v>
      </c>
      <c r="F5304" s="13">
        <v>5550</v>
      </c>
      <c r="G5304" s="9">
        <v>45072</v>
      </c>
      <c r="H5304" t="s">
        <v>1111</v>
      </c>
      <c r="I5304" t="s">
        <v>2382</v>
      </c>
      <c r="J5304" s="13">
        <v>110889</v>
      </c>
      <c r="K5304">
        <v>1</v>
      </c>
      <c r="L5304" t="s">
        <v>1064</v>
      </c>
      <c r="M5304" t="s">
        <v>2383</v>
      </c>
      <c r="N5304" s="15" t="s">
        <v>6878</v>
      </c>
    </row>
    <row r="5305" spans="1:14" x14ac:dyDescent="0.2">
      <c r="A5305" t="s">
        <v>6435</v>
      </c>
      <c r="B5305" t="s">
        <v>2360</v>
      </c>
      <c r="C5305" s="9">
        <v>45068</v>
      </c>
      <c r="D5305" t="s">
        <v>946</v>
      </c>
      <c r="E5305" s="13">
        <v>1031384</v>
      </c>
      <c r="F5305" s="13">
        <v>5550</v>
      </c>
      <c r="G5305" s="9">
        <v>45072</v>
      </c>
      <c r="H5305" t="s">
        <v>1111</v>
      </c>
      <c r="I5305" t="s">
        <v>2382</v>
      </c>
      <c r="J5305" s="13">
        <v>51517</v>
      </c>
      <c r="K5305">
        <v>1</v>
      </c>
      <c r="L5305" t="s">
        <v>1064</v>
      </c>
      <c r="M5305" t="s">
        <v>2383</v>
      </c>
      <c r="N5305" s="15" t="s">
        <v>6878</v>
      </c>
    </row>
    <row r="5306" spans="1:14" x14ac:dyDescent="0.2">
      <c r="A5306" t="s">
        <v>6436</v>
      </c>
      <c r="B5306" t="s">
        <v>2360</v>
      </c>
      <c r="C5306" s="9">
        <v>45068</v>
      </c>
      <c r="D5306" t="s">
        <v>946</v>
      </c>
      <c r="E5306" s="13">
        <v>867759</v>
      </c>
      <c r="F5306" s="13">
        <v>5550</v>
      </c>
      <c r="G5306" s="9">
        <v>45072</v>
      </c>
      <c r="H5306" t="s">
        <v>1111</v>
      </c>
      <c r="I5306" t="s">
        <v>2382</v>
      </c>
      <c r="J5306" s="13">
        <v>43344</v>
      </c>
      <c r="K5306">
        <v>1</v>
      </c>
      <c r="L5306" t="s">
        <v>1064</v>
      </c>
      <c r="M5306" t="s">
        <v>2383</v>
      </c>
      <c r="N5306" s="15" t="s">
        <v>6878</v>
      </c>
    </row>
    <row r="5307" spans="1:14" x14ac:dyDescent="0.2">
      <c r="A5307" t="s">
        <v>6437</v>
      </c>
      <c r="B5307" t="s">
        <v>2360</v>
      </c>
      <c r="C5307" s="9">
        <v>45068</v>
      </c>
      <c r="D5307" t="s">
        <v>946</v>
      </c>
      <c r="E5307" s="13">
        <v>1443722</v>
      </c>
      <c r="F5307" s="13">
        <v>5550</v>
      </c>
      <c r="G5307" s="9">
        <v>45072</v>
      </c>
      <c r="H5307" t="s">
        <v>1111</v>
      </c>
      <c r="I5307" t="s">
        <v>2382</v>
      </c>
      <c r="J5307" s="13">
        <v>72113</v>
      </c>
      <c r="K5307">
        <v>1</v>
      </c>
      <c r="L5307" t="s">
        <v>1064</v>
      </c>
      <c r="M5307" t="s">
        <v>2383</v>
      </c>
      <c r="N5307" s="15" t="s">
        <v>6878</v>
      </c>
    </row>
    <row r="5308" spans="1:14" x14ac:dyDescent="0.2">
      <c r="A5308" t="s">
        <v>6438</v>
      </c>
      <c r="B5308" t="s">
        <v>2360</v>
      </c>
      <c r="C5308" s="9">
        <v>45068</v>
      </c>
      <c r="D5308" t="s">
        <v>946</v>
      </c>
      <c r="E5308" s="13">
        <v>1134198</v>
      </c>
      <c r="F5308" s="13">
        <v>5550</v>
      </c>
      <c r="G5308" s="9">
        <v>45072</v>
      </c>
      <c r="H5308" t="s">
        <v>1111</v>
      </c>
      <c r="I5308" t="s">
        <v>2382</v>
      </c>
      <c r="J5308" s="13">
        <v>56652</v>
      </c>
      <c r="K5308">
        <v>1</v>
      </c>
      <c r="L5308" t="s">
        <v>1064</v>
      </c>
      <c r="M5308" t="s">
        <v>2383</v>
      </c>
      <c r="N5308" s="15" t="s">
        <v>6878</v>
      </c>
    </row>
    <row r="5309" spans="1:14" x14ac:dyDescent="0.2">
      <c r="A5309" t="s">
        <v>6439</v>
      </c>
      <c r="B5309" t="s">
        <v>2360</v>
      </c>
      <c r="C5309" s="9">
        <v>45068</v>
      </c>
      <c r="D5309" t="s">
        <v>946</v>
      </c>
      <c r="E5309" s="13">
        <v>27832000</v>
      </c>
      <c r="F5309" s="13">
        <v>5550</v>
      </c>
      <c r="G5309" s="9">
        <v>45072</v>
      </c>
      <c r="H5309" t="s">
        <v>1111</v>
      </c>
      <c r="I5309" t="s">
        <v>2382</v>
      </c>
      <c r="J5309" s="13">
        <v>1390208</v>
      </c>
      <c r="K5309">
        <v>1</v>
      </c>
      <c r="L5309" t="s">
        <v>1064</v>
      </c>
      <c r="M5309" t="s">
        <v>2383</v>
      </c>
      <c r="N5309" s="15" t="s">
        <v>6878</v>
      </c>
    </row>
    <row r="5310" spans="1:14" x14ac:dyDescent="0.2">
      <c r="A5310" t="s">
        <v>6440</v>
      </c>
      <c r="B5310" t="s">
        <v>2360</v>
      </c>
      <c r="C5310" s="9">
        <v>45068</v>
      </c>
      <c r="D5310" t="s">
        <v>946</v>
      </c>
      <c r="E5310" s="13">
        <v>1134198</v>
      </c>
      <c r="F5310" s="13">
        <v>5550</v>
      </c>
      <c r="G5310" s="9">
        <v>45072</v>
      </c>
      <c r="H5310" t="s">
        <v>1111</v>
      </c>
      <c r="I5310" t="s">
        <v>2382</v>
      </c>
      <c r="J5310" s="13">
        <v>56652</v>
      </c>
      <c r="K5310">
        <v>1</v>
      </c>
      <c r="L5310" t="s">
        <v>1064</v>
      </c>
      <c r="M5310" t="s">
        <v>2383</v>
      </c>
      <c r="N5310" s="15" t="s">
        <v>6878</v>
      </c>
    </row>
    <row r="5311" spans="1:14" x14ac:dyDescent="0.2">
      <c r="A5311" t="s">
        <v>6441</v>
      </c>
      <c r="B5311" t="s">
        <v>2360</v>
      </c>
      <c r="C5311" s="9">
        <v>45068</v>
      </c>
      <c r="D5311" t="s">
        <v>946</v>
      </c>
      <c r="E5311" s="13">
        <v>979436</v>
      </c>
      <c r="F5311" s="13">
        <v>5550</v>
      </c>
      <c r="G5311" s="9">
        <v>45072</v>
      </c>
      <c r="H5311" t="s">
        <v>1111</v>
      </c>
      <c r="I5311" t="s">
        <v>2382</v>
      </c>
      <c r="J5311" s="13">
        <v>48922</v>
      </c>
      <c r="K5311">
        <v>1</v>
      </c>
      <c r="L5311" t="s">
        <v>1064</v>
      </c>
      <c r="M5311" t="s">
        <v>2383</v>
      </c>
      <c r="N5311" s="15" t="s">
        <v>6878</v>
      </c>
    </row>
    <row r="5312" spans="1:14" x14ac:dyDescent="0.2">
      <c r="A5312" t="s">
        <v>6442</v>
      </c>
      <c r="B5312" t="s">
        <v>2360</v>
      </c>
      <c r="C5312" s="9">
        <v>45068</v>
      </c>
      <c r="D5312" t="s">
        <v>946</v>
      </c>
      <c r="E5312" s="13">
        <v>979436</v>
      </c>
      <c r="F5312" s="13">
        <v>5550</v>
      </c>
      <c r="G5312" s="9">
        <v>45072</v>
      </c>
      <c r="H5312" t="s">
        <v>1111</v>
      </c>
      <c r="I5312" t="s">
        <v>2382</v>
      </c>
      <c r="J5312" s="13">
        <v>48922</v>
      </c>
      <c r="K5312">
        <v>1</v>
      </c>
      <c r="L5312" t="s">
        <v>1064</v>
      </c>
      <c r="M5312" t="s">
        <v>2383</v>
      </c>
      <c r="N5312" s="15" t="s">
        <v>6878</v>
      </c>
    </row>
    <row r="5313" spans="1:14" x14ac:dyDescent="0.2">
      <c r="A5313" t="s">
        <v>6443</v>
      </c>
      <c r="B5313" t="s">
        <v>2360</v>
      </c>
      <c r="C5313" s="9">
        <v>45068</v>
      </c>
      <c r="D5313" t="s">
        <v>946</v>
      </c>
      <c r="E5313" s="13">
        <v>1186146</v>
      </c>
      <c r="F5313" s="13">
        <v>5550</v>
      </c>
      <c r="G5313" s="9">
        <v>45072</v>
      </c>
      <c r="H5313" t="s">
        <v>1111</v>
      </c>
      <c r="I5313" t="s">
        <v>2382</v>
      </c>
      <c r="J5313" s="13">
        <v>59247</v>
      </c>
      <c r="K5313">
        <v>1</v>
      </c>
      <c r="L5313" t="s">
        <v>1064</v>
      </c>
      <c r="M5313" t="s">
        <v>2383</v>
      </c>
      <c r="N5313" s="15" t="s">
        <v>6878</v>
      </c>
    </row>
    <row r="5314" spans="1:14" x14ac:dyDescent="0.2">
      <c r="A5314" t="s">
        <v>6444</v>
      </c>
      <c r="B5314" t="s">
        <v>2360</v>
      </c>
      <c r="C5314" s="9">
        <v>45068</v>
      </c>
      <c r="D5314" t="s">
        <v>946</v>
      </c>
      <c r="E5314" s="13">
        <v>1134198</v>
      </c>
      <c r="F5314" s="13">
        <v>5550</v>
      </c>
      <c r="G5314" s="9">
        <v>45072</v>
      </c>
      <c r="H5314" t="s">
        <v>1111</v>
      </c>
      <c r="I5314" t="s">
        <v>2382</v>
      </c>
      <c r="J5314" s="13">
        <v>56652</v>
      </c>
      <c r="K5314">
        <v>1</v>
      </c>
      <c r="L5314" t="s">
        <v>1064</v>
      </c>
      <c r="M5314" t="s">
        <v>2383</v>
      </c>
      <c r="N5314" s="15" t="s">
        <v>6878</v>
      </c>
    </row>
    <row r="5315" spans="1:14" x14ac:dyDescent="0.2">
      <c r="A5315" t="s">
        <v>6445</v>
      </c>
      <c r="B5315" t="s">
        <v>2360</v>
      </c>
      <c r="C5315" s="9">
        <v>45068</v>
      </c>
      <c r="D5315" t="s">
        <v>946</v>
      </c>
      <c r="E5315" s="13">
        <v>1093073</v>
      </c>
      <c r="F5315" s="13">
        <v>5550</v>
      </c>
      <c r="G5315" s="9">
        <v>45072</v>
      </c>
      <c r="H5315" t="s">
        <v>1111</v>
      </c>
      <c r="I5315" t="s">
        <v>2382</v>
      </c>
      <c r="J5315" s="13">
        <v>54598</v>
      </c>
      <c r="K5315">
        <v>1</v>
      </c>
      <c r="L5315" t="s">
        <v>1064</v>
      </c>
      <c r="M5315" t="s">
        <v>2383</v>
      </c>
      <c r="N5315" s="15" t="s">
        <v>6878</v>
      </c>
    </row>
    <row r="5316" spans="1:14" x14ac:dyDescent="0.2">
      <c r="A5316" t="s">
        <v>6446</v>
      </c>
      <c r="B5316" t="s">
        <v>2360</v>
      </c>
      <c r="C5316" s="9">
        <v>45068</v>
      </c>
      <c r="D5316" t="s">
        <v>946</v>
      </c>
      <c r="E5316" s="13">
        <v>1093073</v>
      </c>
      <c r="F5316" s="13">
        <v>5550</v>
      </c>
      <c r="G5316" s="9">
        <v>45072</v>
      </c>
      <c r="H5316" t="s">
        <v>1111</v>
      </c>
      <c r="I5316" t="s">
        <v>2382</v>
      </c>
      <c r="J5316" s="13">
        <v>54598</v>
      </c>
      <c r="K5316">
        <v>1</v>
      </c>
      <c r="L5316" t="s">
        <v>1064</v>
      </c>
      <c r="M5316" t="s">
        <v>2383</v>
      </c>
      <c r="N5316" s="15" t="s">
        <v>6878</v>
      </c>
    </row>
    <row r="5317" spans="1:14" x14ac:dyDescent="0.2">
      <c r="A5317" t="s">
        <v>6447</v>
      </c>
      <c r="B5317" t="s">
        <v>2360</v>
      </c>
      <c r="C5317" s="9">
        <v>45068</v>
      </c>
      <c r="D5317" t="s">
        <v>946</v>
      </c>
      <c r="E5317" s="13">
        <v>1134198</v>
      </c>
      <c r="F5317" s="13">
        <v>5550</v>
      </c>
      <c r="G5317" s="9">
        <v>45072</v>
      </c>
      <c r="H5317" t="s">
        <v>1111</v>
      </c>
      <c r="I5317" t="s">
        <v>2382</v>
      </c>
      <c r="J5317" s="13">
        <v>56652</v>
      </c>
      <c r="K5317">
        <v>1</v>
      </c>
      <c r="L5317" t="s">
        <v>1064</v>
      </c>
      <c r="M5317" t="s">
        <v>2383</v>
      </c>
      <c r="N5317" s="15" t="s">
        <v>6878</v>
      </c>
    </row>
    <row r="5318" spans="1:14" x14ac:dyDescent="0.2">
      <c r="A5318" t="s">
        <v>6448</v>
      </c>
      <c r="B5318" t="s">
        <v>2360</v>
      </c>
      <c r="C5318" s="9">
        <v>45068</v>
      </c>
      <c r="D5318" t="s">
        <v>946</v>
      </c>
      <c r="E5318" s="13">
        <v>979436</v>
      </c>
      <c r="F5318" s="13">
        <v>5550</v>
      </c>
      <c r="G5318" s="9">
        <v>45072</v>
      </c>
      <c r="H5318" t="s">
        <v>1111</v>
      </c>
      <c r="I5318" t="s">
        <v>2382</v>
      </c>
      <c r="J5318" s="13">
        <v>48922</v>
      </c>
      <c r="K5318">
        <v>1</v>
      </c>
      <c r="L5318" t="s">
        <v>1064</v>
      </c>
      <c r="M5318" t="s">
        <v>2383</v>
      </c>
      <c r="N5318" s="15" t="s">
        <v>6878</v>
      </c>
    </row>
    <row r="5319" spans="1:14" x14ac:dyDescent="0.2">
      <c r="A5319" t="s">
        <v>6449</v>
      </c>
      <c r="B5319" t="s">
        <v>2360</v>
      </c>
      <c r="C5319" s="9">
        <v>45068</v>
      </c>
      <c r="D5319" t="s">
        <v>946</v>
      </c>
      <c r="E5319" s="13">
        <v>1134198</v>
      </c>
      <c r="F5319" s="13">
        <v>5550</v>
      </c>
      <c r="G5319" s="9">
        <v>45072</v>
      </c>
      <c r="H5319" t="s">
        <v>1111</v>
      </c>
      <c r="I5319" t="s">
        <v>2382</v>
      </c>
      <c r="J5319" s="13">
        <v>56652</v>
      </c>
      <c r="K5319">
        <v>1</v>
      </c>
      <c r="L5319" t="s">
        <v>1064</v>
      </c>
      <c r="M5319" t="s">
        <v>2383</v>
      </c>
      <c r="N5319" s="15" t="s">
        <v>6878</v>
      </c>
    </row>
    <row r="5320" spans="1:14" x14ac:dyDescent="0.2">
      <c r="A5320" t="s">
        <v>6450</v>
      </c>
      <c r="B5320" t="s">
        <v>2360</v>
      </c>
      <c r="C5320" s="9">
        <v>45068</v>
      </c>
      <c r="D5320" t="s">
        <v>946</v>
      </c>
      <c r="E5320" s="13">
        <v>1134198</v>
      </c>
      <c r="F5320" s="13">
        <v>5550</v>
      </c>
      <c r="G5320" s="9">
        <v>45072</v>
      </c>
      <c r="H5320" t="s">
        <v>1111</v>
      </c>
      <c r="I5320" t="s">
        <v>2382</v>
      </c>
      <c r="J5320" s="13">
        <v>56652</v>
      </c>
      <c r="K5320">
        <v>1</v>
      </c>
      <c r="L5320" t="s">
        <v>1064</v>
      </c>
      <c r="M5320" t="s">
        <v>2383</v>
      </c>
      <c r="N5320" s="15" t="s">
        <v>6878</v>
      </c>
    </row>
    <row r="5321" spans="1:14" x14ac:dyDescent="0.2">
      <c r="A5321" t="s">
        <v>6451</v>
      </c>
      <c r="B5321" t="s">
        <v>2360</v>
      </c>
      <c r="C5321" s="9">
        <v>45068</v>
      </c>
      <c r="D5321" t="s">
        <v>946</v>
      </c>
      <c r="E5321" s="13">
        <v>2220000</v>
      </c>
      <c r="F5321" s="13">
        <v>5550</v>
      </c>
      <c r="G5321" s="9">
        <v>45072</v>
      </c>
      <c r="H5321" t="s">
        <v>1111</v>
      </c>
      <c r="I5321" t="s">
        <v>2382</v>
      </c>
      <c r="J5321" s="13">
        <v>110889</v>
      </c>
      <c r="K5321">
        <v>1</v>
      </c>
      <c r="L5321" t="s">
        <v>1064</v>
      </c>
      <c r="M5321" t="s">
        <v>2383</v>
      </c>
      <c r="N5321" s="15" t="s">
        <v>6878</v>
      </c>
    </row>
    <row r="5322" spans="1:14" x14ac:dyDescent="0.2">
      <c r="A5322" t="s">
        <v>6452</v>
      </c>
      <c r="B5322" t="s">
        <v>2360</v>
      </c>
      <c r="C5322" s="9">
        <v>45068</v>
      </c>
      <c r="D5322" t="s">
        <v>946</v>
      </c>
      <c r="E5322" s="13">
        <v>979436</v>
      </c>
      <c r="F5322" s="13">
        <v>5550</v>
      </c>
      <c r="G5322" s="9">
        <v>45072</v>
      </c>
      <c r="H5322" t="s">
        <v>1111</v>
      </c>
      <c r="I5322" t="s">
        <v>2382</v>
      </c>
      <c r="J5322" s="13">
        <v>48922</v>
      </c>
      <c r="K5322">
        <v>1</v>
      </c>
      <c r="L5322" t="s">
        <v>1064</v>
      </c>
      <c r="M5322" t="s">
        <v>2383</v>
      </c>
      <c r="N5322" s="15" t="s">
        <v>6878</v>
      </c>
    </row>
    <row r="5323" spans="1:14" x14ac:dyDescent="0.2">
      <c r="A5323" t="s">
        <v>6453</v>
      </c>
      <c r="B5323" t="s">
        <v>2360</v>
      </c>
      <c r="C5323" s="9">
        <v>45068</v>
      </c>
      <c r="D5323" t="s">
        <v>946</v>
      </c>
      <c r="E5323" s="13">
        <v>1134198</v>
      </c>
      <c r="F5323" s="13">
        <v>5550</v>
      </c>
      <c r="G5323" s="9">
        <v>45072</v>
      </c>
      <c r="H5323" t="s">
        <v>1111</v>
      </c>
      <c r="I5323" t="s">
        <v>2382</v>
      </c>
      <c r="J5323" s="13">
        <v>56652</v>
      </c>
      <c r="K5323">
        <v>1</v>
      </c>
      <c r="L5323" t="s">
        <v>1064</v>
      </c>
      <c r="M5323" t="s">
        <v>2383</v>
      </c>
      <c r="N5323" s="15" t="s">
        <v>6878</v>
      </c>
    </row>
    <row r="5324" spans="1:14" x14ac:dyDescent="0.2">
      <c r="A5324" t="s">
        <v>6454</v>
      </c>
      <c r="B5324" t="s">
        <v>2360</v>
      </c>
      <c r="C5324" s="9">
        <v>45068</v>
      </c>
      <c r="D5324" t="s">
        <v>946</v>
      </c>
      <c r="E5324" s="13">
        <v>1443722</v>
      </c>
      <c r="F5324" s="13">
        <v>5550</v>
      </c>
      <c r="G5324" s="9">
        <v>45072</v>
      </c>
      <c r="H5324" t="s">
        <v>1111</v>
      </c>
      <c r="I5324" t="s">
        <v>2382</v>
      </c>
      <c r="J5324" s="13">
        <v>72113</v>
      </c>
      <c r="K5324">
        <v>1</v>
      </c>
      <c r="L5324" t="s">
        <v>1064</v>
      </c>
      <c r="M5324" t="s">
        <v>2383</v>
      </c>
      <c r="N5324" s="15" t="s">
        <v>6878</v>
      </c>
    </row>
    <row r="5325" spans="1:14" x14ac:dyDescent="0.2">
      <c r="A5325" t="s">
        <v>6455</v>
      </c>
      <c r="B5325" t="s">
        <v>2360</v>
      </c>
      <c r="C5325" s="9">
        <v>45068</v>
      </c>
      <c r="D5325" t="s">
        <v>946</v>
      </c>
      <c r="E5325" s="13">
        <v>1134198</v>
      </c>
      <c r="F5325" s="13">
        <v>5550</v>
      </c>
      <c r="G5325" s="9">
        <v>45072</v>
      </c>
      <c r="H5325" t="s">
        <v>1111</v>
      </c>
      <c r="I5325" t="s">
        <v>2382</v>
      </c>
      <c r="J5325" s="13">
        <v>56652</v>
      </c>
      <c r="K5325">
        <v>1</v>
      </c>
      <c r="L5325" t="s">
        <v>1064</v>
      </c>
      <c r="M5325" t="s">
        <v>2383</v>
      </c>
      <c r="N5325" s="15" t="s">
        <v>6878</v>
      </c>
    </row>
    <row r="5326" spans="1:14" x14ac:dyDescent="0.2">
      <c r="A5326" t="s">
        <v>6456</v>
      </c>
      <c r="B5326" t="s">
        <v>2360</v>
      </c>
      <c r="C5326" s="9">
        <v>45068</v>
      </c>
      <c r="D5326" t="s">
        <v>946</v>
      </c>
      <c r="E5326" s="13">
        <v>29680000</v>
      </c>
      <c r="F5326" s="13">
        <v>5550</v>
      </c>
      <c r="G5326" s="9">
        <v>45072</v>
      </c>
      <c r="H5326" t="s">
        <v>1111</v>
      </c>
      <c r="I5326" t="s">
        <v>2382</v>
      </c>
      <c r="J5326" s="13">
        <v>1482516</v>
      </c>
      <c r="K5326">
        <v>1</v>
      </c>
      <c r="L5326" t="s">
        <v>1064</v>
      </c>
      <c r="M5326" t="s">
        <v>2383</v>
      </c>
      <c r="N5326" s="15" t="s">
        <v>6878</v>
      </c>
    </row>
    <row r="5327" spans="1:14" x14ac:dyDescent="0.2">
      <c r="A5327" t="s">
        <v>6457</v>
      </c>
      <c r="B5327" t="s">
        <v>2360</v>
      </c>
      <c r="C5327" s="9">
        <v>45068</v>
      </c>
      <c r="D5327" t="s">
        <v>946</v>
      </c>
      <c r="E5327" s="13">
        <v>21308336</v>
      </c>
      <c r="F5327" s="13">
        <v>5550</v>
      </c>
      <c r="G5327" s="9">
        <v>45072</v>
      </c>
      <c r="H5327" t="s">
        <v>1111</v>
      </c>
      <c r="I5327" t="s">
        <v>2382</v>
      </c>
      <c r="J5327" s="13">
        <v>1064351</v>
      </c>
      <c r="K5327">
        <v>1</v>
      </c>
      <c r="L5327" t="s">
        <v>1064</v>
      </c>
      <c r="M5327" t="s">
        <v>2383</v>
      </c>
      <c r="N5327" s="15" t="s">
        <v>6878</v>
      </c>
    </row>
    <row r="5328" spans="1:14" x14ac:dyDescent="0.2">
      <c r="A5328" t="s">
        <v>6458</v>
      </c>
      <c r="B5328" t="s">
        <v>2360</v>
      </c>
      <c r="C5328" s="9">
        <v>45068</v>
      </c>
      <c r="D5328" t="s">
        <v>946</v>
      </c>
      <c r="E5328" s="13">
        <v>18913833</v>
      </c>
      <c r="F5328" s="13">
        <v>5550</v>
      </c>
      <c r="G5328" s="9">
        <v>45072</v>
      </c>
      <c r="H5328" t="s">
        <v>1111</v>
      </c>
      <c r="I5328" t="s">
        <v>2382</v>
      </c>
      <c r="J5328" s="13">
        <v>944745</v>
      </c>
      <c r="K5328">
        <v>1</v>
      </c>
      <c r="L5328" t="s">
        <v>1064</v>
      </c>
      <c r="M5328" t="s">
        <v>2383</v>
      </c>
      <c r="N5328" s="15" t="s">
        <v>6878</v>
      </c>
    </row>
    <row r="5329" spans="1:14" x14ac:dyDescent="0.2">
      <c r="A5329" t="s">
        <v>6459</v>
      </c>
      <c r="B5329" t="s">
        <v>2360</v>
      </c>
      <c r="C5329" s="9">
        <v>45068</v>
      </c>
      <c r="D5329" t="s">
        <v>946</v>
      </c>
      <c r="E5329" s="13">
        <v>30368230</v>
      </c>
      <c r="F5329" s="13">
        <v>5550</v>
      </c>
      <c r="G5329" s="9">
        <v>45072</v>
      </c>
      <c r="H5329" t="s">
        <v>1111</v>
      </c>
      <c r="I5329" t="s">
        <v>2382</v>
      </c>
      <c r="J5329" s="13">
        <v>1516892</v>
      </c>
      <c r="K5329">
        <v>1</v>
      </c>
      <c r="L5329" t="s">
        <v>1064</v>
      </c>
      <c r="M5329" t="s">
        <v>2383</v>
      </c>
      <c r="N5329" s="15" t="s">
        <v>6878</v>
      </c>
    </row>
    <row r="5330" spans="1:14" x14ac:dyDescent="0.2">
      <c r="A5330" t="s">
        <v>6460</v>
      </c>
      <c r="B5330" t="s">
        <v>2360</v>
      </c>
      <c r="C5330" s="9">
        <v>45068</v>
      </c>
      <c r="D5330" t="s">
        <v>946</v>
      </c>
      <c r="E5330" s="13">
        <v>21890456</v>
      </c>
      <c r="F5330" s="13">
        <v>5550</v>
      </c>
      <c r="G5330" s="9">
        <v>45072</v>
      </c>
      <c r="H5330" t="s">
        <v>1111</v>
      </c>
      <c r="I5330" t="s">
        <v>2382</v>
      </c>
      <c r="J5330" s="13">
        <v>1093427</v>
      </c>
      <c r="K5330">
        <v>1</v>
      </c>
      <c r="L5330" t="s">
        <v>1064</v>
      </c>
      <c r="M5330" t="s">
        <v>2383</v>
      </c>
      <c r="N5330" s="15" t="s">
        <v>6878</v>
      </c>
    </row>
    <row r="5331" spans="1:14" x14ac:dyDescent="0.2">
      <c r="A5331" t="s">
        <v>6461</v>
      </c>
      <c r="B5331" t="s">
        <v>2360</v>
      </c>
      <c r="C5331" s="9">
        <v>45068</v>
      </c>
      <c r="D5331" t="s">
        <v>946</v>
      </c>
      <c r="E5331" s="13">
        <v>19366334</v>
      </c>
      <c r="F5331" s="13">
        <v>5550</v>
      </c>
      <c r="G5331" s="9">
        <v>45072</v>
      </c>
      <c r="H5331" t="s">
        <v>1111</v>
      </c>
      <c r="I5331" t="s">
        <v>2382</v>
      </c>
      <c r="J5331" s="13">
        <v>967348</v>
      </c>
      <c r="K5331">
        <v>1</v>
      </c>
      <c r="L5331" t="s">
        <v>1064</v>
      </c>
      <c r="M5331" t="s">
        <v>2383</v>
      </c>
      <c r="N5331" s="15" t="s">
        <v>6878</v>
      </c>
    </row>
    <row r="5332" spans="1:14" x14ac:dyDescent="0.2">
      <c r="A5332" t="s">
        <v>6462</v>
      </c>
      <c r="B5332" t="s">
        <v>2360</v>
      </c>
      <c r="C5332" s="9">
        <v>45068</v>
      </c>
      <c r="D5332" t="s">
        <v>946</v>
      </c>
      <c r="E5332" s="13">
        <v>24132693</v>
      </c>
      <c r="F5332" s="13">
        <v>5550</v>
      </c>
      <c r="G5332" s="9">
        <v>45072</v>
      </c>
      <c r="H5332" t="s">
        <v>1111</v>
      </c>
      <c r="I5332" t="s">
        <v>2382</v>
      </c>
      <c r="J5332" s="13">
        <v>1205427</v>
      </c>
      <c r="K5332">
        <v>1</v>
      </c>
      <c r="L5332" t="s">
        <v>1064</v>
      </c>
      <c r="M5332" t="s">
        <v>2383</v>
      </c>
      <c r="N5332" s="15" t="s">
        <v>6878</v>
      </c>
    </row>
    <row r="5333" spans="1:14" x14ac:dyDescent="0.2">
      <c r="A5333" t="s">
        <v>6463</v>
      </c>
      <c r="B5333" t="s">
        <v>2360</v>
      </c>
      <c r="C5333" s="9">
        <v>45068</v>
      </c>
      <c r="D5333" t="s">
        <v>946</v>
      </c>
      <c r="E5333" s="13">
        <v>19195281</v>
      </c>
      <c r="F5333" s="13">
        <v>5550</v>
      </c>
      <c r="G5333" s="9">
        <v>45072</v>
      </c>
      <c r="H5333" t="s">
        <v>1111</v>
      </c>
      <c r="I5333" t="s">
        <v>2382</v>
      </c>
      <c r="J5333" s="13">
        <v>958803</v>
      </c>
      <c r="K5333">
        <v>1</v>
      </c>
      <c r="L5333" t="s">
        <v>1064</v>
      </c>
      <c r="M5333" t="s">
        <v>2383</v>
      </c>
      <c r="N5333" s="15" t="s">
        <v>6878</v>
      </c>
    </row>
    <row r="5334" spans="1:14" x14ac:dyDescent="0.2">
      <c r="A5334" t="s">
        <v>6464</v>
      </c>
      <c r="B5334" t="s">
        <v>2360</v>
      </c>
      <c r="C5334" s="9">
        <v>45068</v>
      </c>
      <c r="D5334" t="s">
        <v>946</v>
      </c>
      <c r="E5334" s="13">
        <v>17340209</v>
      </c>
      <c r="F5334" s="13">
        <v>5550</v>
      </c>
      <c r="G5334" s="9">
        <v>45072</v>
      </c>
      <c r="H5334" t="s">
        <v>1111</v>
      </c>
      <c r="I5334" t="s">
        <v>2382</v>
      </c>
      <c r="J5334" s="13">
        <v>866142</v>
      </c>
      <c r="K5334">
        <v>1</v>
      </c>
      <c r="L5334" t="s">
        <v>1064</v>
      </c>
      <c r="M5334" t="s">
        <v>2383</v>
      </c>
      <c r="N5334" s="15" t="s">
        <v>6878</v>
      </c>
    </row>
    <row r="5335" spans="1:14" x14ac:dyDescent="0.2">
      <c r="A5335" t="s">
        <v>6465</v>
      </c>
      <c r="B5335" t="s">
        <v>2360</v>
      </c>
      <c r="C5335" s="9">
        <v>45068</v>
      </c>
      <c r="D5335" t="s">
        <v>946</v>
      </c>
      <c r="E5335" s="13">
        <v>17373193</v>
      </c>
      <c r="F5335" s="13">
        <v>5550</v>
      </c>
      <c r="G5335" s="9">
        <v>45072</v>
      </c>
      <c r="H5335" t="s">
        <v>1111</v>
      </c>
      <c r="I5335" t="s">
        <v>2382</v>
      </c>
      <c r="J5335" s="13">
        <v>867790</v>
      </c>
      <c r="K5335">
        <v>1</v>
      </c>
      <c r="L5335" t="s">
        <v>1064</v>
      </c>
      <c r="M5335" t="s">
        <v>2383</v>
      </c>
      <c r="N5335" s="15" t="s">
        <v>6878</v>
      </c>
    </row>
    <row r="5336" spans="1:14" x14ac:dyDescent="0.2">
      <c r="A5336" t="s">
        <v>6466</v>
      </c>
      <c r="B5336" t="s">
        <v>2360</v>
      </c>
      <c r="C5336" s="9">
        <v>45068</v>
      </c>
      <c r="D5336" t="s">
        <v>9</v>
      </c>
      <c r="E5336" s="13">
        <v>207000</v>
      </c>
      <c r="F5336" s="13">
        <v>22500</v>
      </c>
      <c r="H5336" t="s">
        <v>2184</v>
      </c>
      <c r="I5336" t="s">
        <v>4659</v>
      </c>
      <c r="J5336" s="13">
        <v>0</v>
      </c>
      <c r="K5336">
        <v>1</v>
      </c>
      <c r="L5336" t="s">
        <v>1064</v>
      </c>
      <c r="M5336" t="s">
        <v>4660</v>
      </c>
      <c r="N5336" s="14" t="s">
        <v>6877</v>
      </c>
    </row>
    <row r="5337" spans="1:14" x14ac:dyDescent="0.2">
      <c r="A5337" t="s">
        <v>6467</v>
      </c>
      <c r="B5337" t="s">
        <v>2360</v>
      </c>
      <c r="C5337" s="9">
        <v>45068</v>
      </c>
      <c r="D5337" t="s">
        <v>1027</v>
      </c>
      <c r="E5337" s="13">
        <v>39200000</v>
      </c>
      <c r="F5337" s="13">
        <v>1087800</v>
      </c>
      <c r="G5337" s="9">
        <v>45076</v>
      </c>
      <c r="H5337" t="s">
        <v>1111</v>
      </c>
      <c r="I5337" t="s">
        <v>6468</v>
      </c>
      <c r="J5337" s="13">
        <v>27750</v>
      </c>
      <c r="K5337">
        <v>1</v>
      </c>
      <c r="L5337" t="s">
        <v>1064</v>
      </c>
      <c r="M5337" t="s">
        <v>6469</v>
      </c>
      <c r="N5337" s="15" t="s">
        <v>6878</v>
      </c>
    </row>
    <row r="5338" spans="1:14" x14ac:dyDescent="0.2">
      <c r="A5338" t="s">
        <v>6470</v>
      </c>
      <c r="B5338" t="s">
        <v>2360</v>
      </c>
      <c r="C5338" s="9">
        <v>45068</v>
      </c>
      <c r="D5338" t="s">
        <v>977</v>
      </c>
      <c r="E5338" s="13">
        <v>25000000</v>
      </c>
      <c r="F5338" s="13">
        <v>1040625</v>
      </c>
      <c r="G5338" s="9">
        <v>45070</v>
      </c>
      <c r="H5338" t="s">
        <v>1111</v>
      </c>
      <c r="I5338" t="s">
        <v>3147</v>
      </c>
      <c r="J5338" s="13">
        <v>27750</v>
      </c>
      <c r="K5338">
        <v>1</v>
      </c>
      <c r="L5338" t="s">
        <v>1064</v>
      </c>
      <c r="M5338" t="s">
        <v>3148</v>
      </c>
      <c r="N5338" s="15" t="s">
        <v>6878</v>
      </c>
    </row>
    <row r="5339" spans="1:14" x14ac:dyDescent="0.2">
      <c r="A5339" t="s">
        <v>6471</v>
      </c>
      <c r="B5339" t="s">
        <v>2360</v>
      </c>
      <c r="C5339" s="9">
        <v>45068</v>
      </c>
      <c r="D5339" t="s">
        <v>9</v>
      </c>
      <c r="E5339" s="13">
        <v>294490</v>
      </c>
      <c r="F5339" s="13">
        <v>24975</v>
      </c>
      <c r="G5339" s="9">
        <v>45082</v>
      </c>
      <c r="H5339" t="s">
        <v>1111</v>
      </c>
      <c r="I5339" t="s">
        <v>436</v>
      </c>
      <c r="J5339" s="13">
        <v>9805</v>
      </c>
      <c r="K5339">
        <v>1</v>
      </c>
      <c r="L5339" t="s">
        <v>1064</v>
      </c>
      <c r="M5339" t="s">
        <v>2364</v>
      </c>
      <c r="N5339" s="15" t="s">
        <v>6878</v>
      </c>
    </row>
    <row r="5340" spans="1:14" x14ac:dyDescent="0.2">
      <c r="A5340" t="s">
        <v>6472</v>
      </c>
      <c r="B5340" t="s">
        <v>2360</v>
      </c>
      <c r="C5340" s="9">
        <v>45068</v>
      </c>
      <c r="D5340" t="s">
        <v>9</v>
      </c>
      <c r="E5340" s="13">
        <v>190000</v>
      </c>
      <c r="F5340" s="13">
        <v>22500</v>
      </c>
      <c r="H5340" t="s">
        <v>2184</v>
      </c>
      <c r="I5340" t="s">
        <v>4659</v>
      </c>
      <c r="J5340" s="13">
        <v>0</v>
      </c>
      <c r="K5340">
        <v>1</v>
      </c>
      <c r="L5340" t="s">
        <v>1064</v>
      </c>
      <c r="M5340" t="s">
        <v>4660</v>
      </c>
      <c r="N5340" s="14" t="s">
        <v>6877</v>
      </c>
    </row>
    <row r="5341" spans="1:14" x14ac:dyDescent="0.2">
      <c r="A5341" t="s">
        <v>6473</v>
      </c>
      <c r="B5341" t="s">
        <v>2360</v>
      </c>
      <c r="C5341" s="9">
        <v>45068</v>
      </c>
      <c r="D5341" t="s">
        <v>977</v>
      </c>
      <c r="E5341" s="13">
        <v>25000000</v>
      </c>
      <c r="F5341" s="13">
        <v>1040625</v>
      </c>
      <c r="G5341" s="9">
        <v>45070</v>
      </c>
      <c r="H5341" t="s">
        <v>1111</v>
      </c>
      <c r="I5341" t="s">
        <v>3147</v>
      </c>
      <c r="J5341" s="13">
        <v>27750</v>
      </c>
      <c r="K5341">
        <v>1</v>
      </c>
      <c r="L5341" t="s">
        <v>1064</v>
      </c>
      <c r="M5341" t="s">
        <v>3148</v>
      </c>
      <c r="N5341" s="15" t="s">
        <v>6878</v>
      </c>
    </row>
    <row r="5342" spans="1:14" x14ac:dyDescent="0.2">
      <c r="A5342" t="s">
        <v>6474</v>
      </c>
      <c r="B5342" t="s">
        <v>2360</v>
      </c>
      <c r="C5342" s="9">
        <v>45068</v>
      </c>
      <c r="D5342" t="s">
        <v>977</v>
      </c>
      <c r="E5342" s="13">
        <v>25000000</v>
      </c>
      <c r="F5342" s="13">
        <v>1040625</v>
      </c>
      <c r="G5342" s="9">
        <v>45070</v>
      </c>
      <c r="H5342" t="s">
        <v>1111</v>
      </c>
      <c r="I5342" t="s">
        <v>3147</v>
      </c>
      <c r="J5342" s="13">
        <v>27750</v>
      </c>
      <c r="K5342">
        <v>1</v>
      </c>
      <c r="L5342" t="s">
        <v>1064</v>
      </c>
      <c r="M5342" t="s">
        <v>3148</v>
      </c>
      <c r="N5342" s="15" t="s">
        <v>6878</v>
      </c>
    </row>
    <row r="5343" spans="1:14" x14ac:dyDescent="0.2">
      <c r="A5343" t="s">
        <v>978</v>
      </c>
      <c r="B5343" t="s">
        <v>2360</v>
      </c>
      <c r="C5343" s="9">
        <v>45068</v>
      </c>
      <c r="D5343" t="s">
        <v>977</v>
      </c>
      <c r="E5343" s="13">
        <v>25000000</v>
      </c>
      <c r="F5343" s="13">
        <v>1040625</v>
      </c>
      <c r="G5343" s="9">
        <v>45070</v>
      </c>
      <c r="H5343" t="s">
        <v>1111</v>
      </c>
      <c r="I5343" t="s">
        <v>3147</v>
      </c>
      <c r="J5343" s="13">
        <v>27750</v>
      </c>
      <c r="K5343">
        <v>1</v>
      </c>
      <c r="L5343" t="s">
        <v>1064</v>
      </c>
      <c r="M5343" t="s">
        <v>3148</v>
      </c>
      <c r="N5343" s="15" t="s">
        <v>6878</v>
      </c>
    </row>
    <row r="5344" spans="1:14" x14ac:dyDescent="0.2">
      <c r="A5344" t="s">
        <v>6475</v>
      </c>
      <c r="B5344" t="s">
        <v>2360</v>
      </c>
      <c r="C5344" s="9">
        <v>45069</v>
      </c>
      <c r="D5344" t="s">
        <v>1040</v>
      </c>
      <c r="E5344" s="13">
        <v>2</v>
      </c>
      <c r="F5344" s="13">
        <v>25000</v>
      </c>
      <c r="H5344" t="s">
        <v>1185</v>
      </c>
      <c r="I5344" t="s">
        <v>6476</v>
      </c>
      <c r="J5344" s="13">
        <v>0</v>
      </c>
      <c r="K5344">
        <v>2</v>
      </c>
      <c r="L5344" t="s">
        <v>1064</v>
      </c>
      <c r="M5344" t="s">
        <v>6477</v>
      </c>
      <c r="N5344" s="14" t="s">
        <v>6877</v>
      </c>
    </row>
    <row r="5345" spans="1:14" x14ac:dyDescent="0.2">
      <c r="A5345" t="s">
        <v>6478</v>
      </c>
      <c r="B5345" t="s">
        <v>2360</v>
      </c>
      <c r="C5345" s="9">
        <v>45076</v>
      </c>
      <c r="D5345" t="s">
        <v>992</v>
      </c>
      <c r="E5345" s="13">
        <v>2030000</v>
      </c>
      <c r="F5345" s="13">
        <v>20000</v>
      </c>
      <c r="H5345" t="s">
        <v>2184</v>
      </c>
      <c r="I5345" t="s">
        <v>2370</v>
      </c>
      <c r="J5345" s="13">
        <v>0</v>
      </c>
      <c r="K5345">
        <v>1</v>
      </c>
      <c r="L5345" t="s">
        <v>1064</v>
      </c>
      <c r="M5345" t="s">
        <v>2371</v>
      </c>
      <c r="N5345" s="14" t="s">
        <v>6877</v>
      </c>
    </row>
    <row r="5346" spans="1:14" x14ac:dyDescent="0.2">
      <c r="A5346" t="s">
        <v>6479</v>
      </c>
      <c r="B5346" t="s">
        <v>2360</v>
      </c>
      <c r="C5346" s="9">
        <v>45070</v>
      </c>
      <c r="D5346" t="s">
        <v>9</v>
      </c>
      <c r="E5346" s="13">
        <v>340060</v>
      </c>
      <c r="F5346" s="13">
        <v>24975</v>
      </c>
      <c r="G5346" s="9">
        <v>45082</v>
      </c>
      <c r="H5346" t="s">
        <v>1111</v>
      </c>
      <c r="I5346" t="s">
        <v>436</v>
      </c>
      <c r="J5346" s="13">
        <v>11323</v>
      </c>
      <c r="K5346">
        <v>1</v>
      </c>
      <c r="L5346" t="s">
        <v>1064</v>
      </c>
      <c r="M5346" t="s">
        <v>2364</v>
      </c>
      <c r="N5346" s="15" t="s">
        <v>6878</v>
      </c>
    </row>
    <row r="5347" spans="1:14" x14ac:dyDescent="0.2">
      <c r="A5347" t="s">
        <v>6480</v>
      </c>
      <c r="B5347" t="s">
        <v>2360</v>
      </c>
      <c r="C5347" s="9">
        <v>45070</v>
      </c>
      <c r="D5347" t="s">
        <v>9</v>
      </c>
      <c r="E5347" s="13">
        <v>340060</v>
      </c>
      <c r="F5347" s="13">
        <v>24975</v>
      </c>
      <c r="G5347" s="9">
        <v>45082</v>
      </c>
      <c r="H5347" t="s">
        <v>1111</v>
      </c>
      <c r="I5347" t="s">
        <v>436</v>
      </c>
      <c r="J5347" s="13">
        <v>11323</v>
      </c>
      <c r="K5347">
        <v>1</v>
      </c>
      <c r="L5347" t="s">
        <v>1064</v>
      </c>
      <c r="M5347" t="s">
        <v>2364</v>
      </c>
      <c r="N5347" s="15" t="s">
        <v>6878</v>
      </c>
    </row>
    <row r="5348" spans="1:14" x14ac:dyDescent="0.2">
      <c r="A5348" t="s">
        <v>6481</v>
      </c>
      <c r="B5348" t="s">
        <v>2360</v>
      </c>
      <c r="C5348" s="9">
        <v>45070</v>
      </c>
      <c r="D5348" t="s">
        <v>9</v>
      </c>
      <c r="E5348" s="13">
        <v>395000</v>
      </c>
      <c r="F5348" s="13">
        <v>22500</v>
      </c>
      <c r="H5348" t="s">
        <v>2272</v>
      </c>
      <c r="I5348" t="s">
        <v>4659</v>
      </c>
      <c r="J5348" s="13">
        <v>0</v>
      </c>
      <c r="K5348">
        <v>1</v>
      </c>
      <c r="L5348" t="s">
        <v>1064</v>
      </c>
      <c r="M5348" t="s">
        <v>4660</v>
      </c>
      <c r="N5348" s="14" t="s">
        <v>6877</v>
      </c>
    </row>
    <row r="5349" spans="1:14" x14ac:dyDescent="0.2">
      <c r="A5349" t="s">
        <v>6482</v>
      </c>
      <c r="B5349" t="s">
        <v>2360</v>
      </c>
      <c r="C5349" s="9">
        <v>45070</v>
      </c>
      <c r="D5349" t="s">
        <v>633</v>
      </c>
      <c r="E5349" s="13">
        <v>24600000</v>
      </c>
      <c r="F5349" s="13">
        <v>955710</v>
      </c>
      <c r="G5349" s="9">
        <v>45071</v>
      </c>
      <c r="H5349" t="s">
        <v>1111</v>
      </c>
      <c r="I5349" t="s">
        <v>116</v>
      </c>
      <c r="J5349" s="13">
        <v>27750</v>
      </c>
      <c r="K5349">
        <v>1</v>
      </c>
      <c r="L5349" t="s">
        <v>1064</v>
      </c>
      <c r="M5349" t="s">
        <v>6252</v>
      </c>
      <c r="N5349" s="15" t="s">
        <v>6878</v>
      </c>
    </row>
    <row r="5350" spans="1:14" x14ac:dyDescent="0.2">
      <c r="A5350" t="s">
        <v>6483</v>
      </c>
      <c r="B5350" t="s">
        <v>2360</v>
      </c>
      <c r="C5350" s="9">
        <v>45070</v>
      </c>
      <c r="D5350" t="s">
        <v>633</v>
      </c>
      <c r="E5350" s="13">
        <v>20300000</v>
      </c>
      <c r="F5350" s="13">
        <v>788655</v>
      </c>
      <c r="G5350" s="9">
        <v>45071</v>
      </c>
      <c r="H5350" t="s">
        <v>1111</v>
      </c>
      <c r="I5350" t="s">
        <v>116</v>
      </c>
      <c r="J5350" s="13">
        <v>27750</v>
      </c>
      <c r="K5350">
        <v>1</v>
      </c>
      <c r="L5350" t="s">
        <v>1064</v>
      </c>
      <c r="M5350" t="s">
        <v>6252</v>
      </c>
      <c r="N5350" s="15" t="s">
        <v>6878</v>
      </c>
    </row>
    <row r="5351" spans="1:14" x14ac:dyDescent="0.2">
      <c r="A5351" t="s">
        <v>6484</v>
      </c>
      <c r="B5351" t="s">
        <v>2360</v>
      </c>
      <c r="C5351" s="9">
        <v>45070</v>
      </c>
      <c r="D5351" t="s">
        <v>633</v>
      </c>
      <c r="E5351" s="13">
        <v>20300000</v>
      </c>
      <c r="F5351" s="13">
        <v>788655</v>
      </c>
      <c r="G5351" s="9">
        <v>45071</v>
      </c>
      <c r="H5351" t="s">
        <v>1111</v>
      </c>
      <c r="I5351" t="s">
        <v>116</v>
      </c>
      <c r="J5351" s="13">
        <v>27750</v>
      </c>
      <c r="K5351">
        <v>1</v>
      </c>
      <c r="L5351" t="s">
        <v>1064</v>
      </c>
      <c r="M5351" t="s">
        <v>6252</v>
      </c>
      <c r="N5351" s="15" t="s">
        <v>6878</v>
      </c>
    </row>
    <row r="5352" spans="1:14" x14ac:dyDescent="0.2">
      <c r="A5352" t="s">
        <v>6485</v>
      </c>
      <c r="B5352" t="s">
        <v>2360</v>
      </c>
      <c r="C5352" s="9">
        <v>45070</v>
      </c>
      <c r="D5352" t="s">
        <v>633</v>
      </c>
      <c r="E5352" s="13">
        <v>24600000</v>
      </c>
      <c r="F5352" s="13">
        <v>955710</v>
      </c>
      <c r="G5352" s="9">
        <v>45071</v>
      </c>
      <c r="H5352" t="s">
        <v>1111</v>
      </c>
      <c r="I5352" t="s">
        <v>116</v>
      </c>
      <c r="J5352" s="13">
        <v>27750</v>
      </c>
      <c r="K5352">
        <v>1</v>
      </c>
      <c r="L5352" t="s">
        <v>1064</v>
      </c>
      <c r="M5352" t="s">
        <v>6252</v>
      </c>
      <c r="N5352" s="15" t="s">
        <v>6878</v>
      </c>
    </row>
    <row r="5353" spans="1:14" x14ac:dyDescent="0.2">
      <c r="A5353" t="s">
        <v>6486</v>
      </c>
      <c r="B5353" t="s">
        <v>2360</v>
      </c>
      <c r="C5353" s="9">
        <v>45070</v>
      </c>
      <c r="D5353" t="s">
        <v>1007</v>
      </c>
      <c r="E5353" s="13">
        <v>8500000</v>
      </c>
      <c r="F5353" s="13">
        <v>27750</v>
      </c>
      <c r="G5353" s="9">
        <v>45071</v>
      </c>
      <c r="H5353" t="s">
        <v>1111</v>
      </c>
      <c r="I5353" t="s">
        <v>886</v>
      </c>
      <c r="J5353" s="13">
        <v>377400</v>
      </c>
      <c r="K5353">
        <v>1</v>
      </c>
      <c r="L5353" t="s">
        <v>1064</v>
      </c>
      <c r="M5353" t="s">
        <v>6487</v>
      </c>
      <c r="N5353" s="15" t="s">
        <v>6878</v>
      </c>
    </row>
    <row r="5354" spans="1:14" x14ac:dyDescent="0.2">
      <c r="A5354" t="s">
        <v>6488</v>
      </c>
      <c r="B5354" t="s">
        <v>2360</v>
      </c>
      <c r="C5354" s="9">
        <v>45070</v>
      </c>
      <c r="D5354" t="s">
        <v>633</v>
      </c>
      <c r="E5354" s="13">
        <v>24100000</v>
      </c>
      <c r="F5354" s="13">
        <v>936285</v>
      </c>
      <c r="G5354" s="9">
        <v>45071</v>
      </c>
      <c r="H5354" t="s">
        <v>1111</v>
      </c>
      <c r="I5354" t="s">
        <v>116</v>
      </c>
      <c r="J5354" s="13">
        <v>27750</v>
      </c>
      <c r="K5354">
        <v>1</v>
      </c>
      <c r="L5354" t="s">
        <v>1064</v>
      </c>
      <c r="M5354" t="s">
        <v>6252</v>
      </c>
      <c r="N5354" s="15" t="s">
        <v>6878</v>
      </c>
    </row>
    <row r="5355" spans="1:14" x14ac:dyDescent="0.2">
      <c r="A5355" t="s">
        <v>6489</v>
      </c>
      <c r="B5355" t="s">
        <v>2360</v>
      </c>
      <c r="C5355" s="9">
        <v>45070</v>
      </c>
      <c r="D5355" t="s">
        <v>633</v>
      </c>
      <c r="E5355" s="13">
        <v>20300000</v>
      </c>
      <c r="F5355" s="13">
        <v>788655</v>
      </c>
      <c r="G5355" s="9">
        <v>45071</v>
      </c>
      <c r="H5355" t="s">
        <v>1111</v>
      </c>
      <c r="I5355" t="s">
        <v>116</v>
      </c>
      <c r="J5355" s="13">
        <v>27750</v>
      </c>
      <c r="K5355">
        <v>1</v>
      </c>
      <c r="L5355" t="s">
        <v>1064</v>
      </c>
      <c r="M5355" t="s">
        <v>6252</v>
      </c>
      <c r="N5355" s="15" t="s">
        <v>6878</v>
      </c>
    </row>
    <row r="5356" spans="1:14" x14ac:dyDescent="0.2">
      <c r="A5356" t="s">
        <v>6490</v>
      </c>
      <c r="B5356" t="s">
        <v>2360</v>
      </c>
      <c r="C5356" s="9">
        <v>45070</v>
      </c>
      <c r="D5356" t="s">
        <v>633</v>
      </c>
      <c r="E5356" s="13">
        <v>20300000</v>
      </c>
      <c r="F5356" s="13">
        <v>788655</v>
      </c>
      <c r="G5356" s="9">
        <v>45071</v>
      </c>
      <c r="H5356" t="s">
        <v>1111</v>
      </c>
      <c r="I5356" t="s">
        <v>116</v>
      </c>
      <c r="J5356" s="13">
        <v>27750</v>
      </c>
      <c r="K5356">
        <v>1</v>
      </c>
      <c r="L5356" t="s">
        <v>1064</v>
      </c>
      <c r="M5356" t="s">
        <v>6252</v>
      </c>
      <c r="N5356" s="15" t="s">
        <v>6878</v>
      </c>
    </row>
    <row r="5357" spans="1:14" x14ac:dyDescent="0.2">
      <c r="A5357" t="s">
        <v>6491</v>
      </c>
      <c r="B5357" t="s">
        <v>2360</v>
      </c>
      <c r="C5357" s="9">
        <v>45070</v>
      </c>
      <c r="D5357" t="s">
        <v>633</v>
      </c>
      <c r="E5357" s="13">
        <v>20300000</v>
      </c>
      <c r="F5357" s="13">
        <v>788655</v>
      </c>
      <c r="G5357" s="9">
        <v>45071</v>
      </c>
      <c r="H5357" t="s">
        <v>1111</v>
      </c>
      <c r="I5357" t="s">
        <v>116</v>
      </c>
      <c r="J5357" s="13">
        <v>27750</v>
      </c>
      <c r="K5357">
        <v>1</v>
      </c>
      <c r="L5357" t="s">
        <v>1064</v>
      </c>
      <c r="M5357" t="s">
        <v>6252</v>
      </c>
      <c r="N5357" s="15" t="s">
        <v>6878</v>
      </c>
    </row>
    <row r="5358" spans="1:14" x14ac:dyDescent="0.2">
      <c r="A5358" t="s">
        <v>6492</v>
      </c>
      <c r="B5358" t="s">
        <v>2360</v>
      </c>
      <c r="C5358" s="9">
        <v>45070</v>
      </c>
      <c r="D5358" t="s">
        <v>633</v>
      </c>
      <c r="E5358" s="13">
        <v>20300000</v>
      </c>
      <c r="F5358" s="13">
        <v>788655</v>
      </c>
      <c r="G5358" s="9">
        <v>45071</v>
      </c>
      <c r="H5358" t="s">
        <v>1111</v>
      </c>
      <c r="I5358" t="s">
        <v>116</v>
      </c>
      <c r="J5358" s="13">
        <v>27750</v>
      </c>
      <c r="K5358">
        <v>1</v>
      </c>
      <c r="L5358" t="s">
        <v>1064</v>
      </c>
      <c r="M5358" t="s">
        <v>6252</v>
      </c>
      <c r="N5358" s="15" t="s">
        <v>6878</v>
      </c>
    </row>
    <row r="5359" spans="1:14" x14ac:dyDescent="0.2">
      <c r="A5359" t="s">
        <v>6493</v>
      </c>
      <c r="B5359" t="s">
        <v>2360</v>
      </c>
      <c r="C5359" s="9">
        <v>45070</v>
      </c>
      <c r="D5359" t="s">
        <v>633</v>
      </c>
      <c r="E5359" s="13">
        <v>24600000</v>
      </c>
      <c r="F5359" s="13">
        <v>955710</v>
      </c>
      <c r="G5359" s="9">
        <v>45071</v>
      </c>
      <c r="H5359" t="s">
        <v>1111</v>
      </c>
      <c r="I5359" t="s">
        <v>116</v>
      </c>
      <c r="J5359" s="13">
        <v>27750</v>
      </c>
      <c r="K5359">
        <v>1</v>
      </c>
      <c r="L5359" t="s">
        <v>1064</v>
      </c>
      <c r="M5359" t="s">
        <v>6252</v>
      </c>
      <c r="N5359" s="15" t="s">
        <v>6878</v>
      </c>
    </row>
    <row r="5360" spans="1:14" x14ac:dyDescent="0.2">
      <c r="A5360" t="s">
        <v>6494</v>
      </c>
      <c r="B5360" t="s">
        <v>2360</v>
      </c>
      <c r="C5360" s="9">
        <v>45070</v>
      </c>
      <c r="D5360" t="s">
        <v>633</v>
      </c>
      <c r="E5360" s="13">
        <v>24600000</v>
      </c>
      <c r="F5360" s="13">
        <v>955710</v>
      </c>
      <c r="G5360" s="9">
        <v>45071</v>
      </c>
      <c r="H5360" t="s">
        <v>1111</v>
      </c>
      <c r="I5360" t="s">
        <v>116</v>
      </c>
      <c r="J5360" s="13">
        <v>27750</v>
      </c>
      <c r="K5360">
        <v>1</v>
      </c>
      <c r="L5360" t="s">
        <v>1064</v>
      </c>
      <c r="M5360" t="s">
        <v>6252</v>
      </c>
      <c r="N5360" s="15" t="s">
        <v>6878</v>
      </c>
    </row>
    <row r="5361" spans="1:14" x14ac:dyDescent="0.2">
      <c r="A5361" t="s">
        <v>6495</v>
      </c>
      <c r="B5361" t="s">
        <v>2360</v>
      </c>
      <c r="C5361" s="9">
        <v>45070</v>
      </c>
      <c r="D5361" t="s">
        <v>9</v>
      </c>
      <c r="E5361" s="13">
        <v>340060</v>
      </c>
      <c r="F5361" s="13">
        <v>24975</v>
      </c>
      <c r="G5361" s="9">
        <v>45082</v>
      </c>
      <c r="H5361" t="s">
        <v>1111</v>
      </c>
      <c r="I5361" t="s">
        <v>436</v>
      </c>
      <c r="J5361" s="13">
        <v>11323</v>
      </c>
      <c r="K5361">
        <v>1</v>
      </c>
      <c r="L5361" t="s">
        <v>1064</v>
      </c>
      <c r="M5361" t="s">
        <v>2364</v>
      </c>
      <c r="N5361" s="15" t="s">
        <v>6878</v>
      </c>
    </row>
    <row r="5362" spans="1:14" x14ac:dyDescent="0.2">
      <c r="A5362" t="s">
        <v>6496</v>
      </c>
      <c r="B5362" t="s">
        <v>2360</v>
      </c>
      <c r="C5362" s="9">
        <v>45071</v>
      </c>
      <c r="D5362" t="s">
        <v>970</v>
      </c>
      <c r="E5362" s="13">
        <v>7500000</v>
      </c>
      <c r="F5362" s="13">
        <v>416250</v>
      </c>
      <c r="G5362" s="9">
        <v>45071</v>
      </c>
      <c r="H5362" t="s">
        <v>1111</v>
      </c>
      <c r="I5362" t="s">
        <v>5780</v>
      </c>
      <c r="J5362" s="13">
        <v>27750</v>
      </c>
      <c r="K5362">
        <v>1</v>
      </c>
      <c r="L5362" t="s">
        <v>1064</v>
      </c>
      <c r="M5362" t="s">
        <v>5781</v>
      </c>
      <c r="N5362" s="15" t="s">
        <v>6878</v>
      </c>
    </row>
    <row r="5363" spans="1:14" x14ac:dyDescent="0.2">
      <c r="A5363" t="s">
        <v>6497</v>
      </c>
      <c r="B5363" t="s">
        <v>2360</v>
      </c>
      <c r="C5363" s="9">
        <v>45071</v>
      </c>
      <c r="D5363" t="s">
        <v>970</v>
      </c>
      <c r="E5363" s="13">
        <v>7000000</v>
      </c>
      <c r="F5363" s="13">
        <v>388500</v>
      </c>
      <c r="G5363" s="9">
        <v>45071</v>
      </c>
      <c r="H5363" t="s">
        <v>1111</v>
      </c>
      <c r="I5363" t="s">
        <v>5780</v>
      </c>
      <c r="J5363" s="13">
        <v>27750</v>
      </c>
      <c r="K5363">
        <v>1</v>
      </c>
      <c r="L5363" t="s">
        <v>1064</v>
      </c>
      <c r="M5363" t="s">
        <v>5781</v>
      </c>
      <c r="N5363" s="15" t="s">
        <v>6878</v>
      </c>
    </row>
    <row r="5364" spans="1:14" x14ac:dyDescent="0.2">
      <c r="A5364" t="s">
        <v>6498</v>
      </c>
      <c r="B5364" t="s">
        <v>2360</v>
      </c>
      <c r="C5364" s="9">
        <v>45071</v>
      </c>
      <c r="D5364" t="s">
        <v>970</v>
      </c>
      <c r="E5364" s="13">
        <v>7500000</v>
      </c>
      <c r="F5364" s="13">
        <v>416250</v>
      </c>
      <c r="G5364" s="9">
        <v>45071</v>
      </c>
      <c r="H5364" t="s">
        <v>1111</v>
      </c>
      <c r="I5364" t="s">
        <v>5780</v>
      </c>
      <c r="J5364" s="13">
        <v>27750</v>
      </c>
      <c r="K5364">
        <v>1</v>
      </c>
      <c r="L5364" t="s">
        <v>1064</v>
      </c>
      <c r="M5364" t="s">
        <v>5781</v>
      </c>
      <c r="N5364" s="15" t="s">
        <v>6878</v>
      </c>
    </row>
    <row r="5365" spans="1:14" x14ac:dyDescent="0.2">
      <c r="A5365" t="s">
        <v>6499</v>
      </c>
      <c r="B5365" t="s">
        <v>2360</v>
      </c>
      <c r="C5365" s="9">
        <v>45071</v>
      </c>
      <c r="D5365" t="s">
        <v>970</v>
      </c>
      <c r="E5365" s="13">
        <v>7000000</v>
      </c>
      <c r="F5365" s="13">
        <v>388500</v>
      </c>
      <c r="G5365" s="9">
        <v>45071</v>
      </c>
      <c r="H5365" t="s">
        <v>1111</v>
      </c>
      <c r="I5365" t="s">
        <v>5780</v>
      </c>
      <c r="J5365" s="13">
        <v>27750</v>
      </c>
      <c r="K5365">
        <v>1</v>
      </c>
      <c r="L5365" t="s">
        <v>1064</v>
      </c>
      <c r="M5365" t="s">
        <v>5781</v>
      </c>
      <c r="N5365" s="15" t="s">
        <v>6878</v>
      </c>
    </row>
    <row r="5366" spans="1:14" x14ac:dyDescent="0.2">
      <c r="A5366" t="s">
        <v>6500</v>
      </c>
      <c r="B5366" t="s">
        <v>2360</v>
      </c>
      <c r="C5366" s="9">
        <v>45071</v>
      </c>
      <c r="D5366" t="s">
        <v>970</v>
      </c>
      <c r="E5366" s="13">
        <v>7500000</v>
      </c>
      <c r="F5366" s="13">
        <v>416250</v>
      </c>
      <c r="G5366" s="9">
        <v>45071</v>
      </c>
      <c r="H5366" t="s">
        <v>1111</v>
      </c>
      <c r="I5366" t="s">
        <v>5780</v>
      </c>
      <c r="J5366" s="13">
        <v>27750</v>
      </c>
      <c r="K5366">
        <v>1</v>
      </c>
      <c r="L5366" t="s">
        <v>1064</v>
      </c>
      <c r="M5366" t="s">
        <v>5781</v>
      </c>
      <c r="N5366" s="15" t="s">
        <v>6878</v>
      </c>
    </row>
    <row r="5367" spans="1:14" x14ac:dyDescent="0.2">
      <c r="A5367" t="s">
        <v>6501</v>
      </c>
      <c r="B5367" t="s">
        <v>2360</v>
      </c>
      <c r="C5367" s="9">
        <v>45071</v>
      </c>
      <c r="D5367" t="s">
        <v>970</v>
      </c>
      <c r="E5367" s="13">
        <v>7000000</v>
      </c>
      <c r="F5367" s="13">
        <v>388500</v>
      </c>
      <c r="G5367" s="9">
        <v>45071</v>
      </c>
      <c r="H5367" t="s">
        <v>1111</v>
      </c>
      <c r="I5367" t="s">
        <v>5780</v>
      </c>
      <c r="J5367" s="13">
        <v>27750</v>
      </c>
      <c r="K5367">
        <v>1</v>
      </c>
      <c r="L5367" t="s">
        <v>1064</v>
      </c>
      <c r="M5367" t="s">
        <v>5781</v>
      </c>
      <c r="N5367" s="15" t="s">
        <v>6878</v>
      </c>
    </row>
    <row r="5368" spans="1:14" x14ac:dyDescent="0.2">
      <c r="A5368" t="s">
        <v>6502</v>
      </c>
      <c r="B5368" t="s">
        <v>2360</v>
      </c>
      <c r="C5368" s="9">
        <v>45071</v>
      </c>
      <c r="D5368" t="s">
        <v>970</v>
      </c>
      <c r="E5368" s="13">
        <v>7500000</v>
      </c>
      <c r="F5368" s="13">
        <v>416250</v>
      </c>
      <c r="G5368" s="9">
        <v>45071</v>
      </c>
      <c r="H5368" t="s">
        <v>1111</v>
      </c>
      <c r="I5368" t="s">
        <v>5780</v>
      </c>
      <c r="J5368" s="13">
        <v>27750</v>
      </c>
      <c r="K5368">
        <v>1</v>
      </c>
      <c r="L5368" t="s">
        <v>1064</v>
      </c>
      <c r="M5368" t="s">
        <v>5781</v>
      </c>
      <c r="N5368" s="15" t="s">
        <v>6878</v>
      </c>
    </row>
    <row r="5369" spans="1:14" x14ac:dyDescent="0.2">
      <c r="A5369" t="s">
        <v>6503</v>
      </c>
      <c r="B5369" t="s">
        <v>2360</v>
      </c>
      <c r="C5369" s="9">
        <v>45071</v>
      </c>
      <c r="D5369" t="s">
        <v>970</v>
      </c>
      <c r="E5369" s="13">
        <v>7000000</v>
      </c>
      <c r="F5369" s="13">
        <v>388500</v>
      </c>
      <c r="G5369" s="9">
        <v>45071</v>
      </c>
      <c r="H5369" t="s">
        <v>1111</v>
      </c>
      <c r="I5369" t="s">
        <v>5780</v>
      </c>
      <c r="J5369" s="13">
        <v>27750</v>
      </c>
      <c r="K5369">
        <v>1</v>
      </c>
      <c r="L5369" t="s">
        <v>1064</v>
      </c>
      <c r="M5369" t="s">
        <v>5781</v>
      </c>
      <c r="N5369" s="15" t="s">
        <v>6878</v>
      </c>
    </row>
    <row r="5370" spans="1:14" x14ac:dyDescent="0.2">
      <c r="A5370" t="s">
        <v>6504</v>
      </c>
      <c r="B5370" t="s">
        <v>2360</v>
      </c>
      <c r="C5370" s="9">
        <v>45071</v>
      </c>
      <c r="D5370" t="s">
        <v>970</v>
      </c>
      <c r="E5370" s="13">
        <v>7500000</v>
      </c>
      <c r="F5370" s="13">
        <v>416250</v>
      </c>
      <c r="G5370" s="9">
        <v>45071</v>
      </c>
      <c r="H5370" t="s">
        <v>1111</v>
      </c>
      <c r="I5370" t="s">
        <v>5780</v>
      </c>
      <c r="J5370" s="13">
        <v>27750</v>
      </c>
      <c r="K5370">
        <v>1</v>
      </c>
      <c r="L5370" t="s">
        <v>1064</v>
      </c>
      <c r="M5370" t="s">
        <v>5781</v>
      </c>
      <c r="N5370" s="15" t="s">
        <v>6878</v>
      </c>
    </row>
    <row r="5371" spans="1:14" x14ac:dyDescent="0.2">
      <c r="A5371" t="s">
        <v>6505</v>
      </c>
      <c r="B5371" t="s">
        <v>2360</v>
      </c>
      <c r="C5371" s="9">
        <v>45071</v>
      </c>
      <c r="D5371" t="s">
        <v>970</v>
      </c>
      <c r="E5371" s="13">
        <v>7000000</v>
      </c>
      <c r="F5371" s="13">
        <v>388500</v>
      </c>
      <c r="G5371" s="9">
        <v>45071</v>
      </c>
      <c r="H5371" t="s">
        <v>1111</v>
      </c>
      <c r="I5371" t="s">
        <v>5780</v>
      </c>
      <c r="J5371" s="13">
        <v>27750</v>
      </c>
      <c r="K5371">
        <v>1</v>
      </c>
      <c r="L5371" t="s">
        <v>1064</v>
      </c>
      <c r="M5371" t="s">
        <v>5781</v>
      </c>
      <c r="N5371" s="15" t="s">
        <v>6878</v>
      </c>
    </row>
    <row r="5372" spans="1:14" x14ac:dyDescent="0.2">
      <c r="A5372" t="s">
        <v>6506</v>
      </c>
      <c r="B5372" t="s">
        <v>2360</v>
      </c>
      <c r="C5372" s="9">
        <v>45071</v>
      </c>
      <c r="D5372" t="s">
        <v>970</v>
      </c>
      <c r="E5372" s="13">
        <v>7500000</v>
      </c>
      <c r="F5372" s="13">
        <v>416250</v>
      </c>
      <c r="G5372" s="9">
        <v>45071</v>
      </c>
      <c r="H5372" t="s">
        <v>1111</v>
      </c>
      <c r="I5372" t="s">
        <v>5780</v>
      </c>
      <c r="J5372" s="13">
        <v>27750</v>
      </c>
      <c r="K5372">
        <v>1</v>
      </c>
      <c r="L5372" t="s">
        <v>1064</v>
      </c>
      <c r="M5372" t="s">
        <v>5781</v>
      </c>
      <c r="N5372" s="15" t="s">
        <v>6878</v>
      </c>
    </row>
    <row r="5373" spans="1:14" x14ac:dyDescent="0.2">
      <c r="A5373" t="s">
        <v>6507</v>
      </c>
      <c r="B5373" t="s">
        <v>2360</v>
      </c>
      <c r="C5373" s="9">
        <v>45071</v>
      </c>
      <c r="D5373" t="s">
        <v>970</v>
      </c>
      <c r="E5373" s="13">
        <v>7000000</v>
      </c>
      <c r="F5373" s="13">
        <v>388500</v>
      </c>
      <c r="G5373" s="9">
        <v>45071</v>
      </c>
      <c r="H5373" t="s">
        <v>1111</v>
      </c>
      <c r="I5373" t="s">
        <v>5780</v>
      </c>
      <c r="J5373" s="13">
        <v>27750</v>
      </c>
      <c r="K5373">
        <v>1</v>
      </c>
      <c r="L5373" t="s">
        <v>1064</v>
      </c>
      <c r="M5373" t="s">
        <v>5781</v>
      </c>
      <c r="N5373" s="15" t="s">
        <v>6878</v>
      </c>
    </row>
    <row r="5374" spans="1:14" x14ac:dyDescent="0.2">
      <c r="A5374" t="s">
        <v>6508</v>
      </c>
      <c r="B5374" t="s">
        <v>2360</v>
      </c>
      <c r="C5374" s="9">
        <v>45071</v>
      </c>
      <c r="D5374" t="s">
        <v>970</v>
      </c>
      <c r="E5374" s="13">
        <v>7500000</v>
      </c>
      <c r="F5374" s="13">
        <v>416250</v>
      </c>
      <c r="G5374" s="9">
        <v>45071</v>
      </c>
      <c r="H5374" t="s">
        <v>1111</v>
      </c>
      <c r="I5374" t="s">
        <v>5780</v>
      </c>
      <c r="J5374" s="13">
        <v>27750</v>
      </c>
      <c r="K5374">
        <v>1</v>
      </c>
      <c r="L5374" t="s">
        <v>1064</v>
      </c>
      <c r="M5374" t="s">
        <v>5781</v>
      </c>
      <c r="N5374" s="15" t="s">
        <v>6878</v>
      </c>
    </row>
    <row r="5375" spans="1:14" x14ac:dyDescent="0.2">
      <c r="A5375" t="s">
        <v>6509</v>
      </c>
      <c r="B5375" t="s">
        <v>2360</v>
      </c>
      <c r="C5375" s="9">
        <v>45071</v>
      </c>
      <c r="D5375" t="s">
        <v>970</v>
      </c>
      <c r="E5375" s="13">
        <v>7000000</v>
      </c>
      <c r="F5375" s="13">
        <v>388500</v>
      </c>
      <c r="G5375" s="9">
        <v>45071</v>
      </c>
      <c r="H5375" t="s">
        <v>1111</v>
      </c>
      <c r="I5375" t="s">
        <v>5780</v>
      </c>
      <c r="J5375" s="13">
        <v>27750</v>
      </c>
      <c r="K5375">
        <v>1</v>
      </c>
      <c r="L5375" t="s">
        <v>1064</v>
      </c>
      <c r="M5375" t="s">
        <v>5781</v>
      </c>
      <c r="N5375" s="15" t="s">
        <v>6878</v>
      </c>
    </row>
    <row r="5376" spans="1:14" x14ac:dyDescent="0.2">
      <c r="A5376" t="s">
        <v>6510</v>
      </c>
      <c r="B5376" t="s">
        <v>2360</v>
      </c>
      <c r="C5376" s="9">
        <v>45071</v>
      </c>
      <c r="D5376" t="s">
        <v>970</v>
      </c>
      <c r="E5376" s="13">
        <v>7500000</v>
      </c>
      <c r="F5376" s="13">
        <v>416250</v>
      </c>
      <c r="G5376" s="9">
        <v>45071</v>
      </c>
      <c r="H5376" t="s">
        <v>1111</v>
      </c>
      <c r="I5376" t="s">
        <v>5780</v>
      </c>
      <c r="J5376" s="13">
        <v>27750</v>
      </c>
      <c r="K5376">
        <v>1</v>
      </c>
      <c r="L5376" t="s">
        <v>1064</v>
      </c>
      <c r="M5376" t="s">
        <v>5781</v>
      </c>
      <c r="N5376" s="15" t="s">
        <v>6878</v>
      </c>
    </row>
    <row r="5377" spans="1:14" x14ac:dyDescent="0.2">
      <c r="A5377" t="s">
        <v>6511</v>
      </c>
      <c r="B5377" t="s">
        <v>2360</v>
      </c>
      <c r="C5377" s="9">
        <v>45071</v>
      </c>
      <c r="D5377" t="s">
        <v>970</v>
      </c>
      <c r="E5377" s="13">
        <v>7000000</v>
      </c>
      <c r="F5377" s="13">
        <v>388500</v>
      </c>
      <c r="G5377" s="9">
        <v>45071</v>
      </c>
      <c r="H5377" t="s">
        <v>1111</v>
      </c>
      <c r="I5377" t="s">
        <v>5780</v>
      </c>
      <c r="J5377" s="13">
        <v>27750</v>
      </c>
      <c r="K5377">
        <v>1</v>
      </c>
      <c r="L5377" t="s">
        <v>1064</v>
      </c>
      <c r="M5377" t="s">
        <v>5781</v>
      </c>
      <c r="N5377" s="15" t="s">
        <v>6878</v>
      </c>
    </row>
    <row r="5378" spans="1:14" x14ac:dyDescent="0.2">
      <c r="A5378" t="s">
        <v>6512</v>
      </c>
      <c r="B5378" t="s">
        <v>2360</v>
      </c>
      <c r="C5378" s="9">
        <v>45071</v>
      </c>
      <c r="D5378" t="s">
        <v>970</v>
      </c>
      <c r="E5378" s="13">
        <v>7500000</v>
      </c>
      <c r="F5378" s="13">
        <v>416250</v>
      </c>
      <c r="G5378" s="9">
        <v>45071</v>
      </c>
      <c r="H5378" t="s">
        <v>1111</v>
      </c>
      <c r="I5378" t="s">
        <v>5780</v>
      </c>
      <c r="J5378" s="13">
        <v>27750</v>
      </c>
      <c r="K5378">
        <v>1</v>
      </c>
      <c r="L5378" t="s">
        <v>1064</v>
      </c>
      <c r="M5378" t="s">
        <v>5781</v>
      </c>
      <c r="N5378" s="15" t="s">
        <v>6878</v>
      </c>
    </row>
    <row r="5379" spans="1:14" x14ac:dyDescent="0.2">
      <c r="A5379" t="s">
        <v>6513</v>
      </c>
      <c r="B5379" t="s">
        <v>2360</v>
      </c>
      <c r="C5379" s="9">
        <v>45071</v>
      </c>
      <c r="D5379" t="s">
        <v>970</v>
      </c>
      <c r="E5379" s="13">
        <v>7000000</v>
      </c>
      <c r="F5379" s="13">
        <v>388500</v>
      </c>
      <c r="G5379" s="9">
        <v>45071</v>
      </c>
      <c r="H5379" t="s">
        <v>1111</v>
      </c>
      <c r="I5379" t="s">
        <v>5780</v>
      </c>
      <c r="J5379" s="13">
        <v>27750</v>
      </c>
      <c r="K5379">
        <v>1</v>
      </c>
      <c r="L5379" t="s">
        <v>1064</v>
      </c>
      <c r="M5379" t="s">
        <v>5781</v>
      </c>
      <c r="N5379" s="15" t="s">
        <v>6878</v>
      </c>
    </row>
    <row r="5380" spans="1:14" x14ac:dyDescent="0.2">
      <c r="A5380" t="s">
        <v>6514</v>
      </c>
      <c r="B5380" t="s">
        <v>2360</v>
      </c>
      <c r="C5380" s="9">
        <v>45071</v>
      </c>
      <c r="D5380" t="s">
        <v>970</v>
      </c>
      <c r="E5380" s="13">
        <v>7500000</v>
      </c>
      <c r="F5380" s="13">
        <v>416250</v>
      </c>
      <c r="G5380" s="9">
        <v>45071</v>
      </c>
      <c r="H5380" t="s">
        <v>1111</v>
      </c>
      <c r="I5380" t="s">
        <v>5780</v>
      </c>
      <c r="J5380" s="13">
        <v>27750</v>
      </c>
      <c r="K5380">
        <v>1</v>
      </c>
      <c r="L5380" t="s">
        <v>1064</v>
      </c>
      <c r="M5380" t="s">
        <v>5781</v>
      </c>
      <c r="N5380" s="15" t="s">
        <v>6878</v>
      </c>
    </row>
    <row r="5381" spans="1:14" x14ac:dyDescent="0.2">
      <c r="A5381" t="s">
        <v>6515</v>
      </c>
      <c r="B5381" t="s">
        <v>2360</v>
      </c>
      <c r="C5381" s="9">
        <v>45071</v>
      </c>
      <c r="D5381" t="s">
        <v>970</v>
      </c>
      <c r="E5381" s="13">
        <v>7000000</v>
      </c>
      <c r="F5381" s="13">
        <v>388500</v>
      </c>
      <c r="G5381" s="9">
        <v>45071</v>
      </c>
      <c r="H5381" t="s">
        <v>1111</v>
      </c>
      <c r="I5381" t="s">
        <v>5780</v>
      </c>
      <c r="J5381" s="13">
        <v>27750</v>
      </c>
      <c r="K5381">
        <v>1</v>
      </c>
      <c r="L5381" t="s">
        <v>1064</v>
      </c>
      <c r="M5381" t="s">
        <v>5781</v>
      </c>
      <c r="N5381" s="15" t="s">
        <v>6878</v>
      </c>
    </row>
    <row r="5382" spans="1:14" x14ac:dyDescent="0.2">
      <c r="A5382" t="s">
        <v>6516</v>
      </c>
      <c r="B5382" t="s">
        <v>2360</v>
      </c>
      <c r="C5382" s="9">
        <v>45071</v>
      </c>
      <c r="D5382" t="s">
        <v>970</v>
      </c>
      <c r="E5382" s="13">
        <v>7500000</v>
      </c>
      <c r="F5382" s="13">
        <v>416250</v>
      </c>
      <c r="G5382" s="9">
        <v>45071</v>
      </c>
      <c r="H5382" t="s">
        <v>1111</v>
      </c>
      <c r="I5382" t="s">
        <v>5780</v>
      </c>
      <c r="J5382" s="13">
        <v>27750</v>
      </c>
      <c r="K5382">
        <v>1</v>
      </c>
      <c r="L5382" t="s">
        <v>1064</v>
      </c>
      <c r="M5382" t="s">
        <v>5781</v>
      </c>
      <c r="N5382" s="15" t="s">
        <v>6878</v>
      </c>
    </row>
    <row r="5383" spans="1:14" x14ac:dyDescent="0.2">
      <c r="A5383" t="s">
        <v>6517</v>
      </c>
      <c r="B5383" t="s">
        <v>2360</v>
      </c>
      <c r="C5383" s="9">
        <v>45071</v>
      </c>
      <c r="D5383" t="s">
        <v>970</v>
      </c>
      <c r="E5383" s="13">
        <v>7000000</v>
      </c>
      <c r="F5383" s="13">
        <v>388500</v>
      </c>
      <c r="G5383" s="9">
        <v>45071</v>
      </c>
      <c r="H5383" t="s">
        <v>1111</v>
      </c>
      <c r="I5383" t="s">
        <v>5780</v>
      </c>
      <c r="J5383" s="13">
        <v>27750</v>
      </c>
      <c r="K5383">
        <v>1</v>
      </c>
      <c r="L5383" t="s">
        <v>1064</v>
      </c>
      <c r="M5383" t="s">
        <v>5781</v>
      </c>
      <c r="N5383" s="15" t="s">
        <v>6878</v>
      </c>
    </row>
    <row r="5384" spans="1:14" x14ac:dyDescent="0.2">
      <c r="A5384" t="s">
        <v>6518</v>
      </c>
      <c r="B5384" t="s">
        <v>2360</v>
      </c>
      <c r="C5384" s="9">
        <v>45071</v>
      </c>
      <c r="D5384" t="s">
        <v>970</v>
      </c>
      <c r="E5384" s="13">
        <v>7500000</v>
      </c>
      <c r="F5384" s="13">
        <v>416250</v>
      </c>
      <c r="G5384" s="9">
        <v>45071</v>
      </c>
      <c r="H5384" t="s">
        <v>1111</v>
      </c>
      <c r="I5384" t="s">
        <v>5780</v>
      </c>
      <c r="J5384" s="13">
        <v>27750</v>
      </c>
      <c r="K5384">
        <v>1</v>
      </c>
      <c r="L5384" t="s">
        <v>1064</v>
      </c>
      <c r="M5384" t="s">
        <v>5781</v>
      </c>
      <c r="N5384" s="15" t="s">
        <v>6878</v>
      </c>
    </row>
    <row r="5385" spans="1:14" x14ac:dyDescent="0.2">
      <c r="A5385" t="s">
        <v>6519</v>
      </c>
      <c r="B5385" t="s">
        <v>2360</v>
      </c>
      <c r="C5385" s="9">
        <v>45071</v>
      </c>
      <c r="D5385" t="s">
        <v>970</v>
      </c>
      <c r="E5385" s="13">
        <v>7000000</v>
      </c>
      <c r="F5385" s="13">
        <v>388500</v>
      </c>
      <c r="G5385" s="9">
        <v>45071</v>
      </c>
      <c r="H5385" t="s">
        <v>1111</v>
      </c>
      <c r="I5385" t="s">
        <v>5780</v>
      </c>
      <c r="J5385" s="13">
        <v>27750</v>
      </c>
      <c r="K5385">
        <v>1</v>
      </c>
      <c r="L5385" t="s">
        <v>1064</v>
      </c>
      <c r="M5385" t="s">
        <v>5781</v>
      </c>
      <c r="N5385" s="15" t="s">
        <v>6878</v>
      </c>
    </row>
    <row r="5386" spans="1:14" x14ac:dyDescent="0.2">
      <c r="A5386" t="s">
        <v>6520</v>
      </c>
      <c r="B5386" t="s">
        <v>2360</v>
      </c>
      <c r="C5386" s="9">
        <v>45071</v>
      </c>
      <c r="D5386" t="s">
        <v>970</v>
      </c>
      <c r="E5386" s="13">
        <v>7500000</v>
      </c>
      <c r="F5386" s="13">
        <v>416250</v>
      </c>
      <c r="G5386" s="9">
        <v>45071</v>
      </c>
      <c r="H5386" t="s">
        <v>1111</v>
      </c>
      <c r="I5386" t="s">
        <v>5780</v>
      </c>
      <c r="J5386" s="13">
        <v>27750</v>
      </c>
      <c r="K5386">
        <v>1</v>
      </c>
      <c r="L5386" t="s">
        <v>1064</v>
      </c>
      <c r="M5386" t="s">
        <v>5781</v>
      </c>
      <c r="N5386" s="15" t="s">
        <v>6878</v>
      </c>
    </row>
    <row r="5387" spans="1:14" x14ac:dyDescent="0.2">
      <c r="A5387" t="s">
        <v>6521</v>
      </c>
      <c r="B5387" t="s">
        <v>2360</v>
      </c>
      <c r="C5387" s="9">
        <v>45071</v>
      </c>
      <c r="D5387" t="s">
        <v>970</v>
      </c>
      <c r="E5387" s="13">
        <v>7000000</v>
      </c>
      <c r="F5387" s="13">
        <v>388500</v>
      </c>
      <c r="G5387" s="9">
        <v>45071</v>
      </c>
      <c r="H5387" t="s">
        <v>1111</v>
      </c>
      <c r="I5387" t="s">
        <v>5780</v>
      </c>
      <c r="J5387" s="13">
        <v>27750</v>
      </c>
      <c r="K5387">
        <v>1</v>
      </c>
      <c r="L5387" t="s">
        <v>1064</v>
      </c>
      <c r="M5387" t="s">
        <v>5781</v>
      </c>
      <c r="N5387" s="15" t="s">
        <v>6878</v>
      </c>
    </row>
    <row r="5388" spans="1:14" x14ac:dyDescent="0.2">
      <c r="A5388" t="s">
        <v>6522</v>
      </c>
      <c r="B5388" t="s">
        <v>2360</v>
      </c>
      <c r="C5388" s="9">
        <v>45071</v>
      </c>
      <c r="D5388" t="s">
        <v>970</v>
      </c>
      <c r="E5388" s="13">
        <v>7500000</v>
      </c>
      <c r="F5388" s="13">
        <v>416250</v>
      </c>
      <c r="G5388" s="9">
        <v>45071</v>
      </c>
      <c r="H5388" t="s">
        <v>1111</v>
      </c>
      <c r="I5388" t="s">
        <v>5780</v>
      </c>
      <c r="J5388" s="13">
        <v>27750</v>
      </c>
      <c r="K5388">
        <v>1</v>
      </c>
      <c r="L5388" t="s">
        <v>1064</v>
      </c>
      <c r="M5388" t="s">
        <v>5781</v>
      </c>
      <c r="N5388" s="15" t="s">
        <v>6878</v>
      </c>
    </row>
    <row r="5389" spans="1:14" x14ac:dyDescent="0.2">
      <c r="A5389" t="s">
        <v>6523</v>
      </c>
      <c r="B5389" t="s">
        <v>2360</v>
      </c>
      <c r="C5389" s="9">
        <v>45071</v>
      </c>
      <c r="D5389" t="s">
        <v>970</v>
      </c>
      <c r="E5389" s="13">
        <v>7000000</v>
      </c>
      <c r="F5389" s="13">
        <v>388500</v>
      </c>
      <c r="G5389" s="9">
        <v>45071</v>
      </c>
      <c r="H5389" t="s">
        <v>1111</v>
      </c>
      <c r="I5389" t="s">
        <v>5780</v>
      </c>
      <c r="J5389" s="13">
        <v>27750</v>
      </c>
      <c r="K5389">
        <v>1</v>
      </c>
      <c r="L5389" t="s">
        <v>1064</v>
      </c>
      <c r="M5389" t="s">
        <v>5781</v>
      </c>
      <c r="N5389" s="15" t="s">
        <v>6878</v>
      </c>
    </row>
    <row r="5390" spans="1:14" x14ac:dyDescent="0.2">
      <c r="A5390" t="s">
        <v>6524</v>
      </c>
      <c r="B5390" t="s">
        <v>2360</v>
      </c>
      <c r="C5390" s="9">
        <v>45071</v>
      </c>
      <c r="D5390" t="s">
        <v>970</v>
      </c>
      <c r="E5390" s="13">
        <v>7500000</v>
      </c>
      <c r="F5390" s="13">
        <v>416250</v>
      </c>
      <c r="G5390" s="9">
        <v>45071</v>
      </c>
      <c r="H5390" t="s">
        <v>1111</v>
      </c>
      <c r="I5390" t="s">
        <v>5780</v>
      </c>
      <c r="J5390" s="13">
        <v>27750</v>
      </c>
      <c r="K5390">
        <v>1</v>
      </c>
      <c r="L5390" t="s">
        <v>1064</v>
      </c>
      <c r="M5390" t="s">
        <v>5781</v>
      </c>
      <c r="N5390" s="15" t="s">
        <v>6878</v>
      </c>
    </row>
    <row r="5391" spans="1:14" x14ac:dyDescent="0.2">
      <c r="A5391" t="s">
        <v>6525</v>
      </c>
      <c r="B5391" t="s">
        <v>2360</v>
      </c>
      <c r="C5391" s="9">
        <v>45071</v>
      </c>
      <c r="D5391" t="s">
        <v>970</v>
      </c>
      <c r="E5391" s="13">
        <v>7000000</v>
      </c>
      <c r="F5391" s="13">
        <v>388500</v>
      </c>
      <c r="G5391" s="9">
        <v>45071</v>
      </c>
      <c r="H5391" t="s">
        <v>1111</v>
      </c>
      <c r="I5391" t="s">
        <v>5780</v>
      </c>
      <c r="J5391" s="13">
        <v>27750</v>
      </c>
      <c r="K5391">
        <v>1</v>
      </c>
      <c r="L5391" t="s">
        <v>1064</v>
      </c>
      <c r="M5391" t="s">
        <v>5781</v>
      </c>
      <c r="N5391" s="15" t="s">
        <v>6878</v>
      </c>
    </row>
    <row r="5392" spans="1:14" x14ac:dyDescent="0.2">
      <c r="A5392" t="s">
        <v>6526</v>
      </c>
      <c r="B5392" t="s">
        <v>2360</v>
      </c>
      <c r="C5392" s="9">
        <v>45071</v>
      </c>
      <c r="D5392" t="s">
        <v>970</v>
      </c>
      <c r="E5392" s="13">
        <v>7500000</v>
      </c>
      <c r="F5392" s="13">
        <v>416250</v>
      </c>
      <c r="G5392" s="9">
        <v>45071</v>
      </c>
      <c r="H5392" t="s">
        <v>1111</v>
      </c>
      <c r="I5392" t="s">
        <v>5780</v>
      </c>
      <c r="J5392" s="13">
        <v>27750</v>
      </c>
      <c r="K5392">
        <v>1</v>
      </c>
      <c r="L5392" t="s">
        <v>1064</v>
      </c>
      <c r="M5392" t="s">
        <v>5781</v>
      </c>
      <c r="N5392" s="15" t="s">
        <v>6878</v>
      </c>
    </row>
    <row r="5393" spans="1:14" x14ac:dyDescent="0.2">
      <c r="A5393" t="s">
        <v>6527</v>
      </c>
      <c r="B5393" t="s">
        <v>2360</v>
      </c>
      <c r="C5393" s="9">
        <v>45071</v>
      </c>
      <c r="D5393" t="s">
        <v>970</v>
      </c>
      <c r="E5393" s="13">
        <v>7000000</v>
      </c>
      <c r="F5393" s="13">
        <v>388500</v>
      </c>
      <c r="G5393" s="9">
        <v>45071</v>
      </c>
      <c r="H5393" t="s">
        <v>1111</v>
      </c>
      <c r="I5393" t="s">
        <v>5780</v>
      </c>
      <c r="J5393" s="13">
        <v>27750</v>
      </c>
      <c r="K5393">
        <v>1</v>
      </c>
      <c r="L5393" t="s">
        <v>1064</v>
      </c>
      <c r="M5393" t="s">
        <v>5781</v>
      </c>
      <c r="N5393" s="15" t="s">
        <v>6878</v>
      </c>
    </row>
    <row r="5394" spans="1:14" x14ac:dyDescent="0.2">
      <c r="A5394" t="s">
        <v>6528</v>
      </c>
      <c r="B5394" t="s">
        <v>2360</v>
      </c>
      <c r="C5394" s="9">
        <v>45071</v>
      </c>
      <c r="D5394" t="s">
        <v>970</v>
      </c>
      <c r="E5394" s="13">
        <v>7500000</v>
      </c>
      <c r="F5394" s="13">
        <v>416250</v>
      </c>
      <c r="G5394" s="9">
        <v>45071</v>
      </c>
      <c r="H5394" t="s">
        <v>1111</v>
      </c>
      <c r="I5394" t="s">
        <v>5780</v>
      </c>
      <c r="J5394" s="13">
        <v>27750</v>
      </c>
      <c r="K5394">
        <v>1</v>
      </c>
      <c r="L5394" t="s">
        <v>1064</v>
      </c>
      <c r="M5394" t="s">
        <v>5781</v>
      </c>
      <c r="N5394" s="15" t="s">
        <v>6878</v>
      </c>
    </row>
    <row r="5395" spans="1:14" x14ac:dyDescent="0.2">
      <c r="A5395" t="s">
        <v>6529</v>
      </c>
      <c r="B5395" t="s">
        <v>2360</v>
      </c>
      <c r="C5395" s="9">
        <v>45071</v>
      </c>
      <c r="D5395" t="s">
        <v>970</v>
      </c>
      <c r="E5395" s="13">
        <v>7000000</v>
      </c>
      <c r="F5395" s="13">
        <v>388500</v>
      </c>
      <c r="G5395" s="9">
        <v>45071</v>
      </c>
      <c r="H5395" t="s">
        <v>1111</v>
      </c>
      <c r="I5395" t="s">
        <v>5780</v>
      </c>
      <c r="J5395" s="13">
        <v>27750</v>
      </c>
      <c r="K5395">
        <v>1</v>
      </c>
      <c r="L5395" t="s">
        <v>1064</v>
      </c>
      <c r="M5395" t="s">
        <v>5781</v>
      </c>
      <c r="N5395" s="15" t="s">
        <v>6878</v>
      </c>
    </row>
    <row r="5396" spans="1:14" x14ac:dyDescent="0.2">
      <c r="A5396" t="s">
        <v>6530</v>
      </c>
      <c r="B5396" t="s">
        <v>2360</v>
      </c>
      <c r="C5396" s="9">
        <v>45071</v>
      </c>
      <c r="D5396" t="s">
        <v>946</v>
      </c>
      <c r="E5396" s="13">
        <v>13541825</v>
      </c>
      <c r="F5396" s="13">
        <v>5550</v>
      </c>
      <c r="G5396" s="9">
        <v>45072</v>
      </c>
      <c r="H5396" t="s">
        <v>1111</v>
      </c>
      <c r="I5396" t="s">
        <v>2382</v>
      </c>
      <c r="J5396" s="13">
        <v>676414</v>
      </c>
      <c r="K5396">
        <v>1</v>
      </c>
      <c r="L5396" t="s">
        <v>1064</v>
      </c>
      <c r="M5396" t="s">
        <v>2383</v>
      </c>
      <c r="N5396" s="15" t="s">
        <v>6878</v>
      </c>
    </row>
    <row r="5397" spans="1:14" x14ac:dyDescent="0.2">
      <c r="A5397" t="s">
        <v>6531</v>
      </c>
      <c r="B5397" t="s">
        <v>2360</v>
      </c>
      <c r="C5397" s="9">
        <v>45071</v>
      </c>
      <c r="D5397" t="s">
        <v>946</v>
      </c>
      <c r="E5397" s="13">
        <v>13541825</v>
      </c>
      <c r="F5397" s="13">
        <v>5550</v>
      </c>
      <c r="G5397" s="9">
        <v>45072</v>
      </c>
      <c r="H5397" t="s">
        <v>1111</v>
      </c>
      <c r="I5397" t="s">
        <v>2382</v>
      </c>
      <c r="J5397" s="13">
        <v>676414</v>
      </c>
      <c r="K5397">
        <v>1</v>
      </c>
      <c r="L5397" t="s">
        <v>1064</v>
      </c>
      <c r="M5397" t="s">
        <v>2383</v>
      </c>
      <c r="N5397" s="15" t="s">
        <v>6878</v>
      </c>
    </row>
    <row r="5398" spans="1:14" x14ac:dyDescent="0.2">
      <c r="A5398" t="s">
        <v>948</v>
      </c>
      <c r="B5398" t="s">
        <v>2360</v>
      </c>
      <c r="C5398" s="9">
        <v>45071</v>
      </c>
      <c r="D5398" t="s">
        <v>946</v>
      </c>
      <c r="E5398" s="13">
        <v>13541825</v>
      </c>
      <c r="F5398" s="13">
        <v>5550</v>
      </c>
      <c r="G5398" s="9">
        <v>45072</v>
      </c>
      <c r="H5398" t="s">
        <v>1111</v>
      </c>
      <c r="I5398" t="s">
        <v>2382</v>
      </c>
      <c r="J5398" s="13">
        <v>676414</v>
      </c>
      <c r="K5398">
        <v>1</v>
      </c>
      <c r="L5398" t="s">
        <v>1064</v>
      </c>
      <c r="M5398" t="s">
        <v>2383</v>
      </c>
      <c r="N5398" s="15" t="s">
        <v>6878</v>
      </c>
    </row>
    <row r="5399" spans="1:14" x14ac:dyDescent="0.2">
      <c r="A5399" t="s">
        <v>6532</v>
      </c>
      <c r="B5399" t="s">
        <v>2360</v>
      </c>
      <c r="C5399" s="9">
        <v>45071</v>
      </c>
      <c r="D5399" t="s">
        <v>9</v>
      </c>
      <c r="E5399" s="13">
        <v>245490</v>
      </c>
      <c r="F5399" s="13">
        <v>24975</v>
      </c>
      <c r="G5399" s="9">
        <v>45082</v>
      </c>
      <c r="H5399" t="s">
        <v>1111</v>
      </c>
      <c r="I5399" t="s">
        <v>436</v>
      </c>
      <c r="J5399" s="13">
        <v>8174</v>
      </c>
      <c r="K5399">
        <v>1</v>
      </c>
      <c r="L5399" t="s">
        <v>1064</v>
      </c>
      <c r="M5399" t="s">
        <v>2364</v>
      </c>
      <c r="N5399" s="15" t="s">
        <v>6878</v>
      </c>
    </row>
    <row r="5400" spans="1:14" x14ac:dyDescent="0.2">
      <c r="A5400" t="s">
        <v>6533</v>
      </c>
      <c r="B5400" t="s">
        <v>2360</v>
      </c>
      <c r="C5400" s="9">
        <v>45071</v>
      </c>
      <c r="D5400" t="s">
        <v>9</v>
      </c>
      <c r="E5400" s="13">
        <v>274890</v>
      </c>
      <c r="F5400" s="13">
        <v>24975</v>
      </c>
      <c r="G5400" s="9">
        <v>45082</v>
      </c>
      <c r="H5400" t="s">
        <v>1111</v>
      </c>
      <c r="I5400" t="s">
        <v>436</v>
      </c>
      <c r="J5400" s="13">
        <v>9153</v>
      </c>
      <c r="K5400">
        <v>1</v>
      </c>
      <c r="L5400" t="s">
        <v>1064</v>
      </c>
      <c r="M5400" t="s">
        <v>2364</v>
      </c>
      <c r="N5400" s="15" t="s">
        <v>6878</v>
      </c>
    </row>
    <row r="5401" spans="1:14" x14ac:dyDescent="0.2">
      <c r="A5401" t="s">
        <v>6534</v>
      </c>
      <c r="B5401" t="s">
        <v>2360</v>
      </c>
      <c r="C5401" s="9">
        <v>45071</v>
      </c>
      <c r="D5401" t="s">
        <v>9</v>
      </c>
      <c r="E5401" s="13">
        <v>294490</v>
      </c>
      <c r="F5401" s="13">
        <v>24975</v>
      </c>
      <c r="G5401" s="9">
        <v>45082</v>
      </c>
      <c r="H5401" t="s">
        <v>1111</v>
      </c>
      <c r="I5401" t="s">
        <v>436</v>
      </c>
      <c r="J5401" s="13">
        <v>9805</v>
      </c>
      <c r="K5401">
        <v>1</v>
      </c>
      <c r="L5401" t="s">
        <v>1064</v>
      </c>
      <c r="M5401" t="s">
        <v>2364</v>
      </c>
      <c r="N5401" s="15" t="s">
        <v>6878</v>
      </c>
    </row>
    <row r="5402" spans="1:14" x14ac:dyDescent="0.2">
      <c r="A5402" t="s">
        <v>6535</v>
      </c>
      <c r="B5402" t="s">
        <v>2360</v>
      </c>
      <c r="C5402" s="9">
        <v>45071</v>
      </c>
      <c r="D5402" t="s">
        <v>9</v>
      </c>
      <c r="E5402" s="13">
        <v>340060</v>
      </c>
      <c r="F5402" s="13">
        <v>24975</v>
      </c>
      <c r="G5402" s="9">
        <v>45082</v>
      </c>
      <c r="H5402" t="s">
        <v>1111</v>
      </c>
      <c r="I5402" t="s">
        <v>436</v>
      </c>
      <c r="J5402" s="13">
        <v>11323</v>
      </c>
      <c r="K5402">
        <v>1</v>
      </c>
      <c r="L5402" t="s">
        <v>1064</v>
      </c>
      <c r="M5402" t="s">
        <v>2364</v>
      </c>
      <c r="N5402" s="15" t="s">
        <v>6878</v>
      </c>
    </row>
    <row r="5403" spans="1:14" x14ac:dyDescent="0.2">
      <c r="A5403" t="s">
        <v>6536</v>
      </c>
      <c r="B5403" t="s">
        <v>2360</v>
      </c>
      <c r="C5403" s="9">
        <v>45072</v>
      </c>
      <c r="D5403" t="s">
        <v>9</v>
      </c>
      <c r="E5403" s="13">
        <v>340060</v>
      </c>
      <c r="F5403" s="13">
        <v>24975</v>
      </c>
      <c r="G5403" s="9">
        <v>45082</v>
      </c>
      <c r="H5403" t="s">
        <v>1111</v>
      </c>
      <c r="I5403" t="s">
        <v>436</v>
      </c>
      <c r="J5403" s="13">
        <v>11323</v>
      </c>
      <c r="K5403">
        <v>1</v>
      </c>
      <c r="L5403" t="s">
        <v>1064</v>
      </c>
      <c r="M5403" t="s">
        <v>2364</v>
      </c>
      <c r="N5403" s="15" t="s">
        <v>6878</v>
      </c>
    </row>
    <row r="5404" spans="1:14" x14ac:dyDescent="0.2">
      <c r="A5404" t="s">
        <v>1010</v>
      </c>
      <c r="B5404" t="s">
        <v>2360</v>
      </c>
      <c r="C5404" s="9">
        <v>45072</v>
      </c>
      <c r="D5404" t="s">
        <v>1009</v>
      </c>
      <c r="E5404" s="13">
        <v>67005800</v>
      </c>
      <c r="F5404" s="13">
        <v>83250</v>
      </c>
      <c r="G5404" s="9">
        <v>45072</v>
      </c>
      <c r="H5404" t="s">
        <v>1111</v>
      </c>
      <c r="I5404" t="s">
        <v>4562</v>
      </c>
      <c r="J5404" s="13">
        <v>2454422</v>
      </c>
      <c r="K5404">
        <v>3</v>
      </c>
      <c r="L5404" t="s">
        <v>1064</v>
      </c>
      <c r="M5404" t="s">
        <v>4563</v>
      </c>
      <c r="N5404" s="15" t="s">
        <v>6878</v>
      </c>
    </row>
    <row r="5405" spans="1:14" x14ac:dyDescent="0.2">
      <c r="A5405" t="s">
        <v>6537</v>
      </c>
      <c r="B5405" t="s">
        <v>2360</v>
      </c>
      <c r="C5405" s="9">
        <v>45076</v>
      </c>
      <c r="D5405" t="s">
        <v>32</v>
      </c>
      <c r="E5405" s="13">
        <v>3700000</v>
      </c>
      <c r="F5405" s="13">
        <v>27750</v>
      </c>
      <c r="G5405" s="9">
        <v>45081</v>
      </c>
      <c r="H5405" t="s">
        <v>1111</v>
      </c>
      <c r="I5405" t="s">
        <v>520</v>
      </c>
      <c r="J5405" s="13">
        <v>102675</v>
      </c>
      <c r="K5405">
        <v>1</v>
      </c>
      <c r="L5405" t="s">
        <v>1064</v>
      </c>
      <c r="M5405" t="s">
        <v>5005</v>
      </c>
      <c r="N5405" s="15" t="s">
        <v>6878</v>
      </c>
    </row>
    <row r="5406" spans="1:14" x14ac:dyDescent="0.2">
      <c r="A5406" t="s">
        <v>6538</v>
      </c>
      <c r="B5406" t="s">
        <v>2360</v>
      </c>
      <c r="C5406" s="9">
        <v>45076</v>
      </c>
      <c r="D5406" t="s">
        <v>32</v>
      </c>
      <c r="E5406" s="13">
        <v>3700000</v>
      </c>
      <c r="F5406" s="13">
        <v>27750</v>
      </c>
      <c r="G5406" s="9">
        <v>45081</v>
      </c>
      <c r="H5406" t="s">
        <v>1111</v>
      </c>
      <c r="I5406" t="s">
        <v>520</v>
      </c>
      <c r="J5406" s="13">
        <v>102675</v>
      </c>
      <c r="K5406">
        <v>1</v>
      </c>
      <c r="L5406" t="s">
        <v>1064</v>
      </c>
      <c r="M5406" t="s">
        <v>5005</v>
      </c>
      <c r="N5406" s="15" t="s">
        <v>6878</v>
      </c>
    </row>
    <row r="5407" spans="1:14" x14ac:dyDescent="0.2">
      <c r="A5407" t="s">
        <v>6539</v>
      </c>
      <c r="B5407" t="s">
        <v>2360</v>
      </c>
      <c r="C5407" s="9">
        <v>45072</v>
      </c>
      <c r="D5407" t="s">
        <v>1001</v>
      </c>
      <c r="E5407" s="13">
        <v>185000000</v>
      </c>
      <c r="F5407" s="13">
        <v>25000</v>
      </c>
      <c r="H5407" t="s">
        <v>1185</v>
      </c>
      <c r="I5407" t="s">
        <v>6540</v>
      </c>
      <c r="J5407" s="13">
        <v>0</v>
      </c>
      <c r="K5407">
        <v>1</v>
      </c>
      <c r="L5407" t="s">
        <v>1064</v>
      </c>
      <c r="M5407" t="s">
        <v>6541</v>
      </c>
      <c r="N5407" s="14" t="s">
        <v>6877</v>
      </c>
    </row>
    <row r="5408" spans="1:14" x14ac:dyDescent="0.2">
      <c r="A5408" t="s">
        <v>1002</v>
      </c>
      <c r="B5408" t="s">
        <v>2360</v>
      </c>
      <c r="C5408" s="9">
        <v>45072</v>
      </c>
      <c r="D5408" t="s">
        <v>1001</v>
      </c>
      <c r="E5408" s="13">
        <v>185000000</v>
      </c>
      <c r="F5408" s="13">
        <v>27750</v>
      </c>
      <c r="G5408" s="9">
        <v>45072</v>
      </c>
      <c r="H5408" t="s">
        <v>1111</v>
      </c>
      <c r="I5408" t="s">
        <v>6540</v>
      </c>
      <c r="J5408" s="13">
        <v>8214000</v>
      </c>
      <c r="K5408">
        <v>1</v>
      </c>
      <c r="L5408" t="s">
        <v>1064</v>
      </c>
      <c r="M5408" t="s">
        <v>6541</v>
      </c>
      <c r="N5408" s="15" t="s">
        <v>6878</v>
      </c>
    </row>
    <row r="5409" spans="1:14" x14ac:dyDescent="0.2">
      <c r="A5409" t="s">
        <v>1041</v>
      </c>
      <c r="B5409" t="s">
        <v>2360</v>
      </c>
      <c r="C5409" s="9">
        <v>45072</v>
      </c>
      <c r="D5409" t="s">
        <v>1040</v>
      </c>
      <c r="E5409" s="13">
        <v>30500000</v>
      </c>
      <c r="F5409" s="13">
        <v>27750</v>
      </c>
      <c r="G5409" s="9">
        <v>45073</v>
      </c>
      <c r="H5409" t="s">
        <v>1111</v>
      </c>
      <c r="I5409" t="s">
        <v>6476</v>
      </c>
      <c r="J5409" s="13">
        <v>1015650</v>
      </c>
      <c r="K5409">
        <v>1</v>
      </c>
      <c r="L5409" t="s">
        <v>1064</v>
      </c>
      <c r="M5409" t="s">
        <v>6477</v>
      </c>
      <c r="N5409" s="15" t="s">
        <v>6878</v>
      </c>
    </row>
    <row r="5410" spans="1:14" x14ac:dyDescent="0.2">
      <c r="A5410" t="s">
        <v>6542</v>
      </c>
      <c r="B5410" t="s">
        <v>2360</v>
      </c>
      <c r="C5410" s="9">
        <v>45073</v>
      </c>
      <c r="D5410" t="s">
        <v>32</v>
      </c>
      <c r="E5410" s="13">
        <v>3700000</v>
      </c>
      <c r="F5410" s="13">
        <v>27750</v>
      </c>
      <c r="G5410" s="9">
        <v>45081</v>
      </c>
      <c r="H5410" t="s">
        <v>1111</v>
      </c>
      <c r="I5410" t="s">
        <v>520</v>
      </c>
      <c r="J5410" s="13">
        <v>102675</v>
      </c>
      <c r="K5410">
        <v>1</v>
      </c>
      <c r="L5410" t="s">
        <v>1064</v>
      </c>
      <c r="M5410" t="s">
        <v>5005</v>
      </c>
      <c r="N5410" s="15" t="s">
        <v>6878</v>
      </c>
    </row>
    <row r="5411" spans="1:14" x14ac:dyDescent="0.2">
      <c r="A5411" t="s">
        <v>6543</v>
      </c>
      <c r="B5411" t="s">
        <v>2360</v>
      </c>
      <c r="C5411" s="9">
        <v>45073</v>
      </c>
      <c r="D5411" t="s">
        <v>32</v>
      </c>
      <c r="E5411" s="13">
        <v>3700000</v>
      </c>
      <c r="F5411" s="13">
        <v>27750</v>
      </c>
      <c r="G5411" s="9">
        <v>45081</v>
      </c>
      <c r="H5411" t="s">
        <v>1111</v>
      </c>
      <c r="I5411" t="s">
        <v>520</v>
      </c>
      <c r="J5411" s="13">
        <v>102675</v>
      </c>
      <c r="K5411">
        <v>1</v>
      </c>
      <c r="L5411" t="s">
        <v>1064</v>
      </c>
      <c r="M5411" t="s">
        <v>5005</v>
      </c>
      <c r="N5411" s="15" t="s">
        <v>6878</v>
      </c>
    </row>
    <row r="5412" spans="1:14" x14ac:dyDescent="0.2">
      <c r="A5412" t="s">
        <v>6544</v>
      </c>
      <c r="B5412" t="s">
        <v>2360</v>
      </c>
      <c r="C5412" s="9">
        <v>45073</v>
      </c>
      <c r="D5412" t="s">
        <v>32</v>
      </c>
      <c r="E5412" s="13">
        <v>3700000</v>
      </c>
      <c r="F5412" s="13">
        <v>27750</v>
      </c>
      <c r="G5412" s="9">
        <v>45081</v>
      </c>
      <c r="H5412" t="s">
        <v>1111</v>
      </c>
      <c r="I5412" t="s">
        <v>520</v>
      </c>
      <c r="J5412" s="13">
        <v>102675</v>
      </c>
      <c r="K5412">
        <v>1</v>
      </c>
      <c r="L5412" t="s">
        <v>1064</v>
      </c>
      <c r="M5412" t="s">
        <v>5005</v>
      </c>
      <c r="N5412" s="15" t="s">
        <v>6878</v>
      </c>
    </row>
    <row r="5413" spans="1:14" x14ac:dyDescent="0.2">
      <c r="A5413" t="s">
        <v>6545</v>
      </c>
      <c r="B5413" t="s">
        <v>2360</v>
      </c>
      <c r="C5413" s="9">
        <v>45073</v>
      </c>
      <c r="D5413" t="s">
        <v>32</v>
      </c>
      <c r="E5413" s="13">
        <v>3700000</v>
      </c>
      <c r="F5413" s="13">
        <v>27750</v>
      </c>
      <c r="G5413" s="9">
        <v>45081</v>
      </c>
      <c r="H5413" t="s">
        <v>1111</v>
      </c>
      <c r="I5413" t="s">
        <v>520</v>
      </c>
      <c r="J5413" s="13">
        <v>102675</v>
      </c>
      <c r="K5413">
        <v>1</v>
      </c>
      <c r="L5413" t="s">
        <v>1064</v>
      </c>
      <c r="M5413" t="s">
        <v>5005</v>
      </c>
      <c r="N5413" s="15" t="s">
        <v>6878</v>
      </c>
    </row>
    <row r="5414" spans="1:14" x14ac:dyDescent="0.2">
      <c r="A5414" t="s">
        <v>6546</v>
      </c>
      <c r="B5414" t="s">
        <v>2360</v>
      </c>
      <c r="C5414" s="9">
        <v>45073</v>
      </c>
      <c r="D5414" t="s">
        <v>32</v>
      </c>
      <c r="E5414" s="13">
        <v>3700000</v>
      </c>
      <c r="F5414" s="13">
        <v>27750</v>
      </c>
      <c r="G5414" s="9">
        <v>45081</v>
      </c>
      <c r="H5414" t="s">
        <v>1111</v>
      </c>
      <c r="I5414" t="s">
        <v>520</v>
      </c>
      <c r="J5414" s="13">
        <v>102675</v>
      </c>
      <c r="K5414">
        <v>1</v>
      </c>
      <c r="L5414" t="s">
        <v>1064</v>
      </c>
      <c r="M5414" t="s">
        <v>5005</v>
      </c>
      <c r="N5414" s="15" t="s">
        <v>6878</v>
      </c>
    </row>
    <row r="5415" spans="1:14" x14ac:dyDescent="0.2">
      <c r="A5415" t="s">
        <v>6547</v>
      </c>
      <c r="B5415" t="s">
        <v>2360</v>
      </c>
      <c r="C5415" s="9">
        <v>45074</v>
      </c>
      <c r="D5415" t="s">
        <v>981</v>
      </c>
      <c r="E5415" s="13">
        <v>1655000</v>
      </c>
      <c r="F5415" s="13">
        <v>27750</v>
      </c>
      <c r="G5415" s="9">
        <v>45074</v>
      </c>
      <c r="H5415" t="s">
        <v>1111</v>
      </c>
      <c r="I5415" t="s">
        <v>4222</v>
      </c>
      <c r="J5415" s="13">
        <v>73482</v>
      </c>
      <c r="K5415">
        <v>1</v>
      </c>
      <c r="L5415" t="s">
        <v>1064</v>
      </c>
      <c r="M5415" t="s">
        <v>4223</v>
      </c>
      <c r="N5415" s="15" t="s">
        <v>6878</v>
      </c>
    </row>
    <row r="5416" spans="1:14" x14ac:dyDescent="0.2">
      <c r="A5416" t="s">
        <v>6548</v>
      </c>
      <c r="B5416" t="s">
        <v>2360</v>
      </c>
      <c r="C5416" s="9">
        <v>45074</v>
      </c>
      <c r="D5416" t="s">
        <v>981</v>
      </c>
      <c r="E5416" s="13">
        <v>2485000</v>
      </c>
      <c r="F5416" s="13">
        <v>27750</v>
      </c>
      <c r="G5416" s="9">
        <v>45074</v>
      </c>
      <c r="H5416" t="s">
        <v>1111</v>
      </c>
      <c r="I5416" t="s">
        <v>4222</v>
      </c>
      <c r="J5416" s="13">
        <v>110334</v>
      </c>
      <c r="K5416">
        <v>1</v>
      </c>
      <c r="L5416" t="s">
        <v>1064</v>
      </c>
      <c r="M5416" t="s">
        <v>4223</v>
      </c>
      <c r="N5416" s="15" t="s">
        <v>6878</v>
      </c>
    </row>
    <row r="5417" spans="1:14" x14ac:dyDescent="0.2">
      <c r="A5417" t="s">
        <v>6549</v>
      </c>
      <c r="B5417" t="s">
        <v>2360</v>
      </c>
      <c r="C5417" s="9">
        <v>45074</v>
      </c>
      <c r="D5417" t="s">
        <v>981</v>
      </c>
      <c r="E5417" s="13">
        <v>1880000</v>
      </c>
      <c r="F5417" s="13">
        <v>27750</v>
      </c>
      <c r="G5417" s="9">
        <v>45074</v>
      </c>
      <c r="H5417" t="s">
        <v>1111</v>
      </c>
      <c r="I5417" t="s">
        <v>4222</v>
      </c>
      <c r="J5417" s="13">
        <v>83472</v>
      </c>
      <c r="K5417">
        <v>1</v>
      </c>
      <c r="L5417" t="s">
        <v>1064</v>
      </c>
      <c r="M5417" t="s">
        <v>4223</v>
      </c>
      <c r="N5417" s="15" t="s">
        <v>6878</v>
      </c>
    </row>
    <row r="5418" spans="1:14" x14ac:dyDescent="0.2">
      <c r="A5418" t="s">
        <v>6550</v>
      </c>
      <c r="B5418" t="s">
        <v>2360</v>
      </c>
      <c r="C5418" s="9">
        <v>45074</v>
      </c>
      <c r="D5418" t="s">
        <v>981</v>
      </c>
      <c r="E5418" s="13">
        <v>1880000</v>
      </c>
      <c r="F5418" s="13">
        <v>27750</v>
      </c>
      <c r="G5418" s="9">
        <v>45074</v>
      </c>
      <c r="H5418" t="s">
        <v>1111</v>
      </c>
      <c r="I5418" t="s">
        <v>4222</v>
      </c>
      <c r="J5418" s="13">
        <v>83472</v>
      </c>
      <c r="K5418">
        <v>1</v>
      </c>
      <c r="L5418" t="s">
        <v>1064</v>
      </c>
      <c r="M5418" t="s">
        <v>4223</v>
      </c>
      <c r="N5418" s="15" t="s">
        <v>6878</v>
      </c>
    </row>
    <row r="5419" spans="1:14" x14ac:dyDescent="0.2">
      <c r="A5419" t="s">
        <v>6551</v>
      </c>
      <c r="B5419" t="s">
        <v>2360</v>
      </c>
      <c r="C5419" s="9">
        <v>45074</v>
      </c>
      <c r="D5419" t="s">
        <v>981</v>
      </c>
      <c r="E5419" s="13">
        <v>1880000</v>
      </c>
      <c r="F5419" s="13">
        <v>27750</v>
      </c>
      <c r="G5419" s="9">
        <v>45074</v>
      </c>
      <c r="H5419" t="s">
        <v>1111</v>
      </c>
      <c r="I5419" t="s">
        <v>4222</v>
      </c>
      <c r="J5419" s="13">
        <v>83472</v>
      </c>
      <c r="K5419">
        <v>1</v>
      </c>
      <c r="L5419" t="s">
        <v>1064</v>
      </c>
      <c r="M5419" t="s">
        <v>4223</v>
      </c>
      <c r="N5419" s="15" t="s">
        <v>6878</v>
      </c>
    </row>
    <row r="5420" spans="1:14" x14ac:dyDescent="0.2">
      <c r="A5420" t="s">
        <v>6552</v>
      </c>
      <c r="B5420" t="s">
        <v>2360</v>
      </c>
      <c r="C5420" s="9">
        <v>45074</v>
      </c>
      <c r="D5420" t="s">
        <v>981</v>
      </c>
      <c r="E5420" s="13">
        <v>1880000</v>
      </c>
      <c r="F5420" s="13">
        <v>27750</v>
      </c>
      <c r="G5420" s="9">
        <v>45074</v>
      </c>
      <c r="H5420" t="s">
        <v>1111</v>
      </c>
      <c r="I5420" t="s">
        <v>4222</v>
      </c>
      <c r="J5420" s="13">
        <v>83472</v>
      </c>
      <c r="K5420">
        <v>1</v>
      </c>
      <c r="L5420" t="s">
        <v>1064</v>
      </c>
      <c r="M5420" t="s">
        <v>4223</v>
      </c>
      <c r="N5420" s="15" t="s">
        <v>6878</v>
      </c>
    </row>
    <row r="5421" spans="1:14" x14ac:dyDescent="0.2">
      <c r="A5421" t="s">
        <v>6553</v>
      </c>
      <c r="B5421" t="s">
        <v>2360</v>
      </c>
      <c r="C5421" s="9">
        <v>45074</v>
      </c>
      <c r="D5421" t="s">
        <v>981</v>
      </c>
      <c r="E5421" s="13">
        <v>1655000</v>
      </c>
      <c r="F5421" s="13">
        <v>27750</v>
      </c>
      <c r="G5421" s="9">
        <v>45074</v>
      </c>
      <c r="H5421" t="s">
        <v>1111</v>
      </c>
      <c r="I5421" t="s">
        <v>4222</v>
      </c>
      <c r="J5421" s="13">
        <v>73482</v>
      </c>
      <c r="K5421">
        <v>1</v>
      </c>
      <c r="L5421" t="s">
        <v>1064</v>
      </c>
      <c r="M5421" t="s">
        <v>4223</v>
      </c>
      <c r="N5421" s="15" t="s">
        <v>6878</v>
      </c>
    </row>
    <row r="5422" spans="1:14" x14ac:dyDescent="0.2">
      <c r="A5422" t="s">
        <v>6554</v>
      </c>
      <c r="B5422" t="s">
        <v>2360</v>
      </c>
      <c r="C5422" s="9">
        <v>45074</v>
      </c>
      <c r="D5422" t="s">
        <v>981</v>
      </c>
      <c r="E5422" s="13">
        <v>1655000</v>
      </c>
      <c r="F5422" s="13">
        <v>27750</v>
      </c>
      <c r="G5422" s="9">
        <v>45074</v>
      </c>
      <c r="H5422" t="s">
        <v>1111</v>
      </c>
      <c r="I5422" t="s">
        <v>4222</v>
      </c>
      <c r="J5422" s="13">
        <v>73482</v>
      </c>
      <c r="K5422">
        <v>1</v>
      </c>
      <c r="L5422" t="s">
        <v>1064</v>
      </c>
      <c r="M5422" t="s">
        <v>4223</v>
      </c>
      <c r="N5422" s="15" t="s">
        <v>6878</v>
      </c>
    </row>
    <row r="5423" spans="1:14" x14ac:dyDescent="0.2">
      <c r="A5423" t="s">
        <v>6555</v>
      </c>
      <c r="B5423" t="s">
        <v>2360</v>
      </c>
      <c r="C5423" s="9">
        <v>45074</v>
      </c>
      <c r="D5423" t="s">
        <v>981</v>
      </c>
      <c r="E5423" s="13">
        <v>1655000</v>
      </c>
      <c r="F5423" s="13">
        <v>27750</v>
      </c>
      <c r="G5423" s="9">
        <v>45074</v>
      </c>
      <c r="H5423" t="s">
        <v>1111</v>
      </c>
      <c r="I5423" t="s">
        <v>4222</v>
      </c>
      <c r="J5423" s="13">
        <v>73482</v>
      </c>
      <c r="K5423">
        <v>1</v>
      </c>
      <c r="L5423" t="s">
        <v>1064</v>
      </c>
      <c r="M5423" t="s">
        <v>4223</v>
      </c>
      <c r="N5423" s="15" t="s">
        <v>6878</v>
      </c>
    </row>
    <row r="5424" spans="1:14" x14ac:dyDescent="0.2">
      <c r="A5424" t="s">
        <v>6556</v>
      </c>
      <c r="B5424" t="s">
        <v>2360</v>
      </c>
      <c r="C5424" s="9">
        <v>45074</v>
      </c>
      <c r="D5424" t="s">
        <v>981</v>
      </c>
      <c r="E5424" s="13">
        <v>1880000</v>
      </c>
      <c r="F5424" s="13">
        <v>27750</v>
      </c>
      <c r="G5424" s="9">
        <v>45074</v>
      </c>
      <c r="H5424" t="s">
        <v>1111</v>
      </c>
      <c r="I5424" t="s">
        <v>4222</v>
      </c>
      <c r="J5424" s="13">
        <v>83472</v>
      </c>
      <c r="K5424">
        <v>1</v>
      </c>
      <c r="L5424" t="s">
        <v>1064</v>
      </c>
      <c r="M5424" t="s">
        <v>4223</v>
      </c>
      <c r="N5424" s="15" t="s">
        <v>6878</v>
      </c>
    </row>
    <row r="5425" spans="1:14" x14ac:dyDescent="0.2">
      <c r="A5425" t="s">
        <v>6557</v>
      </c>
      <c r="B5425" t="s">
        <v>2360</v>
      </c>
      <c r="C5425" s="9">
        <v>45074</v>
      </c>
      <c r="D5425" t="s">
        <v>981</v>
      </c>
      <c r="E5425" s="13">
        <v>1880000</v>
      </c>
      <c r="F5425" s="13">
        <v>27750</v>
      </c>
      <c r="G5425" s="9">
        <v>45074</v>
      </c>
      <c r="H5425" t="s">
        <v>1111</v>
      </c>
      <c r="I5425" t="s">
        <v>4222</v>
      </c>
      <c r="J5425" s="13">
        <v>83472</v>
      </c>
      <c r="K5425">
        <v>1</v>
      </c>
      <c r="L5425" t="s">
        <v>1064</v>
      </c>
      <c r="M5425" t="s">
        <v>4223</v>
      </c>
      <c r="N5425" s="15" t="s">
        <v>6878</v>
      </c>
    </row>
    <row r="5426" spans="1:14" x14ac:dyDescent="0.2">
      <c r="A5426" t="s">
        <v>6558</v>
      </c>
      <c r="B5426" t="s">
        <v>2360</v>
      </c>
      <c r="C5426" s="9">
        <v>45074</v>
      </c>
      <c r="D5426" t="s">
        <v>981</v>
      </c>
      <c r="E5426" s="13">
        <v>2170000</v>
      </c>
      <c r="F5426" s="13">
        <v>27750</v>
      </c>
      <c r="G5426" s="9">
        <v>45074</v>
      </c>
      <c r="H5426" t="s">
        <v>1111</v>
      </c>
      <c r="I5426" t="s">
        <v>4222</v>
      </c>
      <c r="J5426" s="13">
        <v>96348</v>
      </c>
      <c r="K5426">
        <v>1</v>
      </c>
      <c r="L5426" t="s">
        <v>1064</v>
      </c>
      <c r="M5426" t="s">
        <v>4223</v>
      </c>
      <c r="N5426" s="15" t="s">
        <v>6878</v>
      </c>
    </row>
    <row r="5427" spans="1:14" x14ac:dyDescent="0.2">
      <c r="A5427" t="s">
        <v>6559</v>
      </c>
      <c r="B5427" t="s">
        <v>2360</v>
      </c>
      <c r="C5427" s="9">
        <v>45074</v>
      </c>
      <c r="D5427" t="s">
        <v>981</v>
      </c>
      <c r="E5427" s="13">
        <v>3400000</v>
      </c>
      <c r="F5427" s="13">
        <v>27750</v>
      </c>
      <c r="G5427" s="9">
        <v>45074</v>
      </c>
      <c r="H5427" t="s">
        <v>1111</v>
      </c>
      <c r="I5427" t="s">
        <v>4222</v>
      </c>
      <c r="J5427" s="13">
        <v>150960</v>
      </c>
      <c r="K5427">
        <v>1</v>
      </c>
      <c r="L5427" t="s">
        <v>1064</v>
      </c>
      <c r="M5427" t="s">
        <v>4223</v>
      </c>
      <c r="N5427" s="15" t="s">
        <v>6878</v>
      </c>
    </row>
    <row r="5428" spans="1:14" x14ac:dyDescent="0.2">
      <c r="A5428" t="s">
        <v>6560</v>
      </c>
      <c r="B5428" t="s">
        <v>2360</v>
      </c>
      <c r="C5428" s="9">
        <v>45074</v>
      </c>
      <c r="D5428" t="s">
        <v>981</v>
      </c>
      <c r="E5428" s="13">
        <v>1880000</v>
      </c>
      <c r="F5428" s="13">
        <v>27750</v>
      </c>
      <c r="G5428" s="9">
        <v>45074</v>
      </c>
      <c r="H5428" t="s">
        <v>1111</v>
      </c>
      <c r="I5428" t="s">
        <v>4222</v>
      </c>
      <c r="J5428" s="13">
        <v>83472</v>
      </c>
      <c r="K5428">
        <v>1</v>
      </c>
      <c r="L5428" t="s">
        <v>1064</v>
      </c>
      <c r="M5428" t="s">
        <v>4223</v>
      </c>
      <c r="N5428" s="15" t="s">
        <v>6878</v>
      </c>
    </row>
    <row r="5429" spans="1:14" x14ac:dyDescent="0.2">
      <c r="A5429" t="s">
        <v>6561</v>
      </c>
      <c r="B5429" t="s">
        <v>2360</v>
      </c>
      <c r="C5429" s="9">
        <v>45074</v>
      </c>
      <c r="D5429" t="s">
        <v>981</v>
      </c>
      <c r="E5429" s="13">
        <v>1925000</v>
      </c>
      <c r="F5429" s="13">
        <v>27750</v>
      </c>
      <c r="G5429" s="9">
        <v>45074</v>
      </c>
      <c r="H5429" t="s">
        <v>1111</v>
      </c>
      <c r="I5429" t="s">
        <v>4222</v>
      </c>
      <c r="J5429" s="13">
        <v>85470</v>
      </c>
      <c r="K5429">
        <v>1</v>
      </c>
      <c r="L5429" t="s">
        <v>1064</v>
      </c>
      <c r="M5429" t="s">
        <v>4223</v>
      </c>
      <c r="N5429" s="15" t="s">
        <v>6878</v>
      </c>
    </row>
    <row r="5430" spans="1:14" x14ac:dyDescent="0.2">
      <c r="A5430" t="s">
        <v>6562</v>
      </c>
      <c r="B5430" t="s">
        <v>2360</v>
      </c>
      <c r="C5430" s="9">
        <v>45074</v>
      </c>
      <c r="D5430" t="s">
        <v>981</v>
      </c>
      <c r="E5430" s="13">
        <v>2485000</v>
      </c>
      <c r="F5430" s="13">
        <v>27750</v>
      </c>
      <c r="G5430" s="9">
        <v>45074</v>
      </c>
      <c r="H5430" t="s">
        <v>1111</v>
      </c>
      <c r="I5430" t="s">
        <v>4222</v>
      </c>
      <c r="J5430" s="13">
        <v>110334</v>
      </c>
      <c r="K5430">
        <v>1</v>
      </c>
      <c r="L5430" t="s">
        <v>1064</v>
      </c>
      <c r="M5430" t="s">
        <v>4223</v>
      </c>
      <c r="N5430" s="15" t="s">
        <v>6878</v>
      </c>
    </row>
    <row r="5431" spans="1:14" x14ac:dyDescent="0.2">
      <c r="A5431" t="s">
        <v>6563</v>
      </c>
      <c r="B5431" t="s">
        <v>2360</v>
      </c>
      <c r="C5431" s="9">
        <v>45074</v>
      </c>
      <c r="D5431" t="s">
        <v>981</v>
      </c>
      <c r="E5431" s="13">
        <v>2485000</v>
      </c>
      <c r="F5431" s="13">
        <v>27750</v>
      </c>
      <c r="G5431" s="9">
        <v>45074</v>
      </c>
      <c r="H5431" t="s">
        <v>1111</v>
      </c>
      <c r="I5431" t="s">
        <v>4222</v>
      </c>
      <c r="J5431" s="13">
        <v>110334</v>
      </c>
      <c r="K5431">
        <v>1</v>
      </c>
      <c r="L5431" t="s">
        <v>1064</v>
      </c>
      <c r="M5431" t="s">
        <v>4223</v>
      </c>
      <c r="N5431" s="15" t="s">
        <v>6878</v>
      </c>
    </row>
    <row r="5432" spans="1:14" x14ac:dyDescent="0.2">
      <c r="A5432" t="s">
        <v>6564</v>
      </c>
      <c r="B5432" t="s">
        <v>2360</v>
      </c>
      <c r="C5432" s="9">
        <v>45074</v>
      </c>
      <c r="D5432" t="s">
        <v>981</v>
      </c>
      <c r="E5432" s="13">
        <v>1880000</v>
      </c>
      <c r="F5432" s="13">
        <v>27750</v>
      </c>
      <c r="G5432" s="9">
        <v>45074</v>
      </c>
      <c r="H5432" t="s">
        <v>1111</v>
      </c>
      <c r="I5432" t="s">
        <v>4222</v>
      </c>
      <c r="J5432" s="13">
        <v>83472</v>
      </c>
      <c r="K5432">
        <v>1</v>
      </c>
      <c r="L5432" t="s">
        <v>1064</v>
      </c>
      <c r="M5432" t="s">
        <v>4223</v>
      </c>
      <c r="N5432" s="15" t="s">
        <v>6878</v>
      </c>
    </row>
    <row r="5433" spans="1:14" x14ac:dyDescent="0.2">
      <c r="A5433" t="s">
        <v>6565</v>
      </c>
      <c r="B5433" t="s">
        <v>2360</v>
      </c>
      <c r="C5433" s="9">
        <v>45074</v>
      </c>
      <c r="D5433" t="s">
        <v>981</v>
      </c>
      <c r="E5433" s="13">
        <v>1880000</v>
      </c>
      <c r="F5433" s="13">
        <v>27750</v>
      </c>
      <c r="G5433" s="9">
        <v>45074</v>
      </c>
      <c r="H5433" t="s">
        <v>1111</v>
      </c>
      <c r="I5433" t="s">
        <v>4222</v>
      </c>
      <c r="J5433" s="13">
        <v>83472</v>
      </c>
      <c r="K5433">
        <v>1</v>
      </c>
      <c r="L5433" t="s">
        <v>1064</v>
      </c>
      <c r="M5433" t="s">
        <v>4223</v>
      </c>
      <c r="N5433" s="15" t="s">
        <v>6878</v>
      </c>
    </row>
    <row r="5434" spans="1:14" x14ac:dyDescent="0.2">
      <c r="A5434" t="s">
        <v>6566</v>
      </c>
      <c r="B5434" t="s">
        <v>2360</v>
      </c>
      <c r="C5434" s="9">
        <v>45074</v>
      </c>
      <c r="D5434" t="s">
        <v>952</v>
      </c>
      <c r="E5434" s="13">
        <v>160100000</v>
      </c>
      <c r="F5434" s="13">
        <v>27750</v>
      </c>
      <c r="G5434" s="9">
        <v>45074</v>
      </c>
      <c r="H5434" t="s">
        <v>1111</v>
      </c>
      <c r="I5434" t="s">
        <v>4626</v>
      </c>
      <c r="J5434" s="13">
        <v>7108440</v>
      </c>
      <c r="K5434">
        <v>1</v>
      </c>
      <c r="L5434" t="s">
        <v>1064</v>
      </c>
      <c r="M5434" t="s">
        <v>4627</v>
      </c>
      <c r="N5434" s="15" t="s">
        <v>6878</v>
      </c>
    </row>
    <row r="5435" spans="1:14" x14ac:dyDescent="0.2">
      <c r="A5435" t="s">
        <v>6567</v>
      </c>
      <c r="B5435" t="s">
        <v>2360</v>
      </c>
      <c r="C5435" s="9">
        <v>45074</v>
      </c>
      <c r="D5435" t="s">
        <v>952</v>
      </c>
      <c r="E5435" s="13">
        <v>160100000</v>
      </c>
      <c r="F5435" s="13">
        <v>27750</v>
      </c>
      <c r="G5435" s="9">
        <v>45074</v>
      </c>
      <c r="H5435" t="s">
        <v>1111</v>
      </c>
      <c r="I5435" t="s">
        <v>4626</v>
      </c>
      <c r="J5435" s="13">
        <v>7108440</v>
      </c>
      <c r="K5435">
        <v>1</v>
      </c>
      <c r="L5435" t="s">
        <v>1064</v>
      </c>
      <c r="M5435" t="s">
        <v>4627</v>
      </c>
      <c r="N5435" s="15" t="s">
        <v>6878</v>
      </c>
    </row>
    <row r="5436" spans="1:14" x14ac:dyDescent="0.2">
      <c r="A5436" t="s">
        <v>1011</v>
      </c>
      <c r="B5436" t="s">
        <v>2360</v>
      </c>
      <c r="C5436" s="9">
        <v>45075</v>
      </c>
      <c r="D5436" t="s">
        <v>271</v>
      </c>
      <c r="E5436" s="13">
        <v>147500000</v>
      </c>
      <c r="F5436" s="13">
        <v>8186250</v>
      </c>
      <c r="G5436" s="9">
        <v>45075</v>
      </c>
      <c r="H5436" t="s">
        <v>1111</v>
      </c>
      <c r="I5436" t="s">
        <v>3814</v>
      </c>
      <c r="J5436" s="13">
        <v>27750</v>
      </c>
      <c r="K5436">
        <v>1</v>
      </c>
      <c r="L5436" t="s">
        <v>1064</v>
      </c>
      <c r="M5436" t="s">
        <v>6568</v>
      </c>
      <c r="N5436" s="15" t="s">
        <v>6878</v>
      </c>
    </row>
    <row r="5437" spans="1:14" x14ac:dyDescent="0.2">
      <c r="A5437" t="s">
        <v>6569</v>
      </c>
      <c r="B5437" t="s">
        <v>2360</v>
      </c>
      <c r="C5437" s="9">
        <v>45075</v>
      </c>
      <c r="D5437" t="s">
        <v>9</v>
      </c>
      <c r="E5437" s="13">
        <v>245490</v>
      </c>
      <c r="F5437" s="13">
        <v>24975</v>
      </c>
      <c r="G5437" s="9">
        <v>45082</v>
      </c>
      <c r="H5437" t="s">
        <v>1111</v>
      </c>
      <c r="I5437" t="s">
        <v>436</v>
      </c>
      <c r="J5437" s="13">
        <v>8174</v>
      </c>
      <c r="K5437">
        <v>1</v>
      </c>
      <c r="L5437" t="s">
        <v>1064</v>
      </c>
      <c r="M5437" t="s">
        <v>2364</v>
      </c>
      <c r="N5437" s="15" t="s">
        <v>6878</v>
      </c>
    </row>
    <row r="5438" spans="1:14" x14ac:dyDescent="0.2">
      <c r="A5438" t="s">
        <v>6570</v>
      </c>
      <c r="B5438" t="s">
        <v>2360</v>
      </c>
      <c r="C5438" s="9">
        <v>45075</v>
      </c>
      <c r="D5438" t="s">
        <v>9</v>
      </c>
      <c r="E5438" s="13">
        <v>340060</v>
      </c>
      <c r="F5438" s="13">
        <v>24975</v>
      </c>
      <c r="G5438" s="9">
        <v>45082</v>
      </c>
      <c r="H5438" t="s">
        <v>1111</v>
      </c>
      <c r="I5438" t="s">
        <v>436</v>
      </c>
      <c r="J5438" s="13">
        <v>11323</v>
      </c>
      <c r="K5438">
        <v>1</v>
      </c>
      <c r="L5438" t="s">
        <v>1064</v>
      </c>
      <c r="M5438" t="s">
        <v>2364</v>
      </c>
      <c r="N5438" s="15" t="s">
        <v>6878</v>
      </c>
    </row>
    <row r="5439" spans="1:14" x14ac:dyDescent="0.2">
      <c r="A5439" t="s">
        <v>6571</v>
      </c>
      <c r="B5439" t="s">
        <v>2360</v>
      </c>
      <c r="C5439" s="9">
        <v>45075</v>
      </c>
      <c r="D5439" t="s">
        <v>424</v>
      </c>
      <c r="E5439" s="13">
        <v>12350000</v>
      </c>
      <c r="F5439" s="13">
        <v>27750</v>
      </c>
      <c r="G5439" s="9">
        <v>45076</v>
      </c>
      <c r="H5439" t="s">
        <v>1111</v>
      </c>
      <c r="I5439" t="s">
        <v>268</v>
      </c>
      <c r="J5439" s="13">
        <v>822510</v>
      </c>
      <c r="K5439">
        <v>1</v>
      </c>
      <c r="L5439" t="s">
        <v>1064</v>
      </c>
      <c r="M5439" t="s">
        <v>6572</v>
      </c>
      <c r="N5439" s="15" t="s">
        <v>6878</v>
      </c>
    </row>
    <row r="5440" spans="1:14" x14ac:dyDescent="0.2">
      <c r="A5440" t="s">
        <v>6573</v>
      </c>
      <c r="B5440" t="s">
        <v>2360</v>
      </c>
      <c r="C5440" s="9">
        <v>45075</v>
      </c>
      <c r="D5440" t="s">
        <v>424</v>
      </c>
      <c r="E5440" s="13">
        <v>2232000</v>
      </c>
      <c r="F5440" s="13">
        <v>27750</v>
      </c>
      <c r="G5440" s="9">
        <v>45076</v>
      </c>
      <c r="H5440" t="s">
        <v>1111</v>
      </c>
      <c r="I5440" t="s">
        <v>268</v>
      </c>
      <c r="J5440" s="13">
        <v>148651</v>
      </c>
      <c r="K5440">
        <v>1</v>
      </c>
      <c r="L5440" t="s">
        <v>1064</v>
      </c>
      <c r="M5440" t="s">
        <v>6572</v>
      </c>
      <c r="N5440" s="15" t="s">
        <v>6878</v>
      </c>
    </row>
    <row r="5441" spans="1:14" x14ac:dyDescent="0.2">
      <c r="A5441" t="s">
        <v>6574</v>
      </c>
      <c r="B5441" t="s">
        <v>2360</v>
      </c>
      <c r="C5441" s="9">
        <v>45076</v>
      </c>
      <c r="D5441" t="s">
        <v>9</v>
      </c>
      <c r="E5441" s="13">
        <v>340060</v>
      </c>
      <c r="F5441" s="13">
        <v>24975</v>
      </c>
      <c r="G5441" s="9">
        <v>45082</v>
      </c>
      <c r="H5441" t="s">
        <v>1111</v>
      </c>
      <c r="I5441" t="s">
        <v>436</v>
      </c>
      <c r="J5441" s="13">
        <v>11323</v>
      </c>
      <c r="K5441">
        <v>1</v>
      </c>
      <c r="L5441" t="s">
        <v>1064</v>
      </c>
      <c r="M5441" t="s">
        <v>2364</v>
      </c>
      <c r="N5441" s="15" t="s">
        <v>6878</v>
      </c>
    </row>
    <row r="5442" spans="1:14" x14ac:dyDescent="0.2">
      <c r="A5442" t="s">
        <v>6575</v>
      </c>
      <c r="B5442" t="s">
        <v>2360</v>
      </c>
      <c r="C5442" s="9">
        <v>45076</v>
      </c>
      <c r="D5442" t="s">
        <v>9</v>
      </c>
      <c r="E5442" s="13">
        <v>340060</v>
      </c>
      <c r="F5442" s="13">
        <v>24975</v>
      </c>
      <c r="G5442" s="9">
        <v>45082</v>
      </c>
      <c r="H5442" t="s">
        <v>1111</v>
      </c>
      <c r="I5442" t="s">
        <v>436</v>
      </c>
      <c r="J5442" s="13">
        <v>11323</v>
      </c>
      <c r="K5442">
        <v>1</v>
      </c>
      <c r="L5442" t="s">
        <v>1064</v>
      </c>
      <c r="M5442" t="s">
        <v>2364</v>
      </c>
      <c r="N5442" s="15" t="s">
        <v>6878</v>
      </c>
    </row>
    <row r="5443" spans="1:14" x14ac:dyDescent="0.2">
      <c r="A5443" t="s">
        <v>6576</v>
      </c>
      <c r="B5443" t="s">
        <v>2360</v>
      </c>
      <c r="C5443" s="9">
        <v>45076</v>
      </c>
      <c r="D5443" t="s">
        <v>992</v>
      </c>
      <c r="E5443" s="13">
        <v>2494000</v>
      </c>
      <c r="F5443" s="13">
        <v>20000</v>
      </c>
      <c r="H5443" t="s">
        <v>2184</v>
      </c>
      <c r="I5443" t="s">
        <v>2370</v>
      </c>
      <c r="J5443" s="13">
        <v>0</v>
      </c>
      <c r="K5443">
        <v>1</v>
      </c>
      <c r="L5443" t="s">
        <v>1064</v>
      </c>
      <c r="M5443" t="s">
        <v>2371</v>
      </c>
      <c r="N5443" s="14" t="s">
        <v>6877</v>
      </c>
    </row>
    <row r="5444" spans="1:14" x14ac:dyDescent="0.2">
      <c r="A5444" t="s">
        <v>6577</v>
      </c>
      <c r="B5444" t="s">
        <v>2360</v>
      </c>
      <c r="C5444" s="9">
        <v>45076</v>
      </c>
      <c r="D5444" t="s">
        <v>992</v>
      </c>
      <c r="E5444" s="13">
        <v>1947000</v>
      </c>
      <c r="F5444" s="13">
        <v>20000</v>
      </c>
      <c r="H5444" t="s">
        <v>2184</v>
      </c>
      <c r="I5444" t="s">
        <v>2370</v>
      </c>
      <c r="J5444" s="13">
        <v>0</v>
      </c>
      <c r="K5444">
        <v>1</v>
      </c>
      <c r="L5444" t="s">
        <v>1064</v>
      </c>
      <c r="M5444" t="s">
        <v>2371</v>
      </c>
      <c r="N5444" s="14" t="s">
        <v>6877</v>
      </c>
    </row>
    <row r="5445" spans="1:14" x14ac:dyDescent="0.2">
      <c r="A5445" t="s">
        <v>6578</v>
      </c>
      <c r="B5445" t="s">
        <v>2360</v>
      </c>
      <c r="C5445" s="9">
        <v>45076</v>
      </c>
      <c r="D5445" t="s">
        <v>992</v>
      </c>
      <c r="E5445" s="13">
        <v>2104000</v>
      </c>
      <c r="F5445" s="13">
        <v>20000</v>
      </c>
      <c r="H5445" t="s">
        <v>2184</v>
      </c>
      <c r="I5445" t="s">
        <v>2370</v>
      </c>
      <c r="J5445" s="13">
        <v>0</v>
      </c>
      <c r="K5445">
        <v>1</v>
      </c>
      <c r="L5445" t="s">
        <v>1064</v>
      </c>
      <c r="M5445" t="s">
        <v>2371</v>
      </c>
      <c r="N5445" s="14" t="s">
        <v>6877</v>
      </c>
    </row>
    <row r="5446" spans="1:14" x14ac:dyDescent="0.2">
      <c r="A5446" t="s">
        <v>6579</v>
      </c>
      <c r="B5446" t="s">
        <v>2360</v>
      </c>
      <c r="C5446" s="9">
        <v>45076</v>
      </c>
      <c r="D5446" t="s">
        <v>992</v>
      </c>
      <c r="E5446" s="13">
        <v>2568000</v>
      </c>
      <c r="F5446" s="13">
        <v>20000</v>
      </c>
      <c r="H5446" t="s">
        <v>2184</v>
      </c>
      <c r="I5446" t="s">
        <v>2370</v>
      </c>
      <c r="J5446" s="13">
        <v>0</v>
      </c>
      <c r="K5446">
        <v>1</v>
      </c>
      <c r="L5446" t="s">
        <v>1064</v>
      </c>
      <c r="M5446" t="s">
        <v>2371</v>
      </c>
      <c r="N5446" s="14" t="s">
        <v>6877</v>
      </c>
    </row>
    <row r="5447" spans="1:14" x14ac:dyDescent="0.2">
      <c r="A5447" t="s">
        <v>6580</v>
      </c>
      <c r="B5447" t="s">
        <v>2360</v>
      </c>
      <c r="C5447" s="9">
        <v>45076</v>
      </c>
      <c r="D5447" t="s">
        <v>992</v>
      </c>
      <c r="E5447" s="13">
        <v>2262000</v>
      </c>
      <c r="F5447" s="13">
        <v>20000</v>
      </c>
      <c r="H5447" t="s">
        <v>2184</v>
      </c>
      <c r="I5447" t="s">
        <v>2370</v>
      </c>
      <c r="J5447" s="13">
        <v>0</v>
      </c>
      <c r="K5447">
        <v>1</v>
      </c>
      <c r="L5447" t="s">
        <v>1064</v>
      </c>
      <c r="M5447" t="s">
        <v>2371</v>
      </c>
      <c r="N5447" s="14" t="s">
        <v>6877</v>
      </c>
    </row>
    <row r="5448" spans="1:14" x14ac:dyDescent="0.2">
      <c r="A5448" t="s">
        <v>6581</v>
      </c>
      <c r="B5448" t="s">
        <v>2360</v>
      </c>
      <c r="C5448" s="9">
        <v>45076</v>
      </c>
      <c r="D5448" t="s">
        <v>992</v>
      </c>
      <c r="E5448" s="13">
        <v>1682000</v>
      </c>
      <c r="F5448" s="13">
        <v>20000</v>
      </c>
      <c r="H5448" t="s">
        <v>2184</v>
      </c>
      <c r="I5448" t="s">
        <v>2370</v>
      </c>
      <c r="J5448" s="13">
        <v>0</v>
      </c>
      <c r="K5448">
        <v>1</v>
      </c>
      <c r="L5448" t="s">
        <v>1064</v>
      </c>
      <c r="M5448" t="s">
        <v>2371</v>
      </c>
      <c r="N5448" s="14" t="s">
        <v>6877</v>
      </c>
    </row>
    <row r="5449" spans="1:14" x14ac:dyDescent="0.2">
      <c r="A5449" t="s">
        <v>6582</v>
      </c>
      <c r="B5449" t="s">
        <v>2360</v>
      </c>
      <c r="C5449" s="9">
        <v>45076</v>
      </c>
      <c r="D5449" t="s">
        <v>992</v>
      </c>
      <c r="E5449" s="13">
        <v>2610000</v>
      </c>
      <c r="F5449" s="13">
        <v>20000</v>
      </c>
      <c r="H5449" t="s">
        <v>2184</v>
      </c>
      <c r="I5449" t="s">
        <v>2370</v>
      </c>
      <c r="J5449" s="13">
        <v>0</v>
      </c>
      <c r="K5449">
        <v>1</v>
      </c>
      <c r="L5449" t="s">
        <v>1064</v>
      </c>
      <c r="M5449" t="s">
        <v>2371</v>
      </c>
      <c r="N5449" s="14" t="s">
        <v>6877</v>
      </c>
    </row>
    <row r="5450" spans="1:14" x14ac:dyDescent="0.2">
      <c r="A5450" t="s">
        <v>6583</v>
      </c>
      <c r="B5450" t="s">
        <v>2360</v>
      </c>
      <c r="C5450" s="9">
        <v>45076</v>
      </c>
      <c r="D5450" t="s">
        <v>992</v>
      </c>
      <c r="E5450" s="13">
        <v>4176000</v>
      </c>
      <c r="F5450" s="13">
        <v>20000</v>
      </c>
      <c r="H5450" t="s">
        <v>2184</v>
      </c>
      <c r="I5450" t="s">
        <v>2370</v>
      </c>
      <c r="J5450" s="13">
        <v>0</v>
      </c>
      <c r="K5450">
        <v>1</v>
      </c>
      <c r="L5450" t="s">
        <v>1064</v>
      </c>
      <c r="M5450" t="s">
        <v>2371</v>
      </c>
      <c r="N5450" s="14" t="s">
        <v>6877</v>
      </c>
    </row>
    <row r="5451" spans="1:14" x14ac:dyDescent="0.2">
      <c r="A5451" t="s">
        <v>6584</v>
      </c>
      <c r="B5451" t="s">
        <v>2360</v>
      </c>
      <c r="C5451" s="9">
        <v>45076</v>
      </c>
      <c r="D5451" t="s">
        <v>992</v>
      </c>
      <c r="E5451" s="13">
        <v>2030000</v>
      </c>
      <c r="F5451" s="13">
        <v>20000</v>
      </c>
      <c r="H5451" t="s">
        <v>2184</v>
      </c>
      <c r="I5451" t="s">
        <v>2370</v>
      </c>
      <c r="J5451" s="13">
        <v>0</v>
      </c>
      <c r="K5451">
        <v>1</v>
      </c>
      <c r="L5451" t="s">
        <v>1064</v>
      </c>
      <c r="M5451" t="s">
        <v>2371</v>
      </c>
      <c r="N5451" s="14" t="s">
        <v>6877</v>
      </c>
    </row>
    <row r="5452" spans="1:14" x14ac:dyDescent="0.2">
      <c r="A5452" t="s">
        <v>6585</v>
      </c>
      <c r="B5452" t="s">
        <v>2360</v>
      </c>
      <c r="C5452" s="9">
        <v>45076</v>
      </c>
      <c r="D5452" t="s">
        <v>992</v>
      </c>
      <c r="E5452" s="13">
        <v>1740000</v>
      </c>
      <c r="F5452" s="13">
        <v>20000</v>
      </c>
      <c r="H5452" t="s">
        <v>2184</v>
      </c>
      <c r="I5452" t="s">
        <v>2370</v>
      </c>
      <c r="J5452" s="13">
        <v>0</v>
      </c>
      <c r="K5452">
        <v>1</v>
      </c>
      <c r="L5452" t="s">
        <v>1064</v>
      </c>
      <c r="M5452" t="s">
        <v>2371</v>
      </c>
      <c r="N5452" s="14" t="s">
        <v>6877</v>
      </c>
    </row>
    <row r="5453" spans="1:14" x14ac:dyDescent="0.2">
      <c r="A5453" t="s">
        <v>6586</v>
      </c>
      <c r="B5453" t="s">
        <v>2360</v>
      </c>
      <c r="C5453" s="9">
        <v>45076</v>
      </c>
      <c r="D5453" t="s">
        <v>992</v>
      </c>
      <c r="E5453" s="13">
        <v>1740000</v>
      </c>
      <c r="F5453" s="13">
        <v>20000</v>
      </c>
      <c r="H5453" t="s">
        <v>2184</v>
      </c>
      <c r="I5453" t="s">
        <v>2370</v>
      </c>
      <c r="J5453" s="13">
        <v>0</v>
      </c>
      <c r="K5453">
        <v>1</v>
      </c>
      <c r="L5453" t="s">
        <v>1064</v>
      </c>
      <c r="M5453" t="s">
        <v>2371</v>
      </c>
      <c r="N5453" s="14" t="s">
        <v>6877</v>
      </c>
    </row>
    <row r="5454" spans="1:14" x14ac:dyDescent="0.2">
      <c r="A5454" t="s">
        <v>6587</v>
      </c>
      <c r="B5454" t="s">
        <v>2360</v>
      </c>
      <c r="C5454" s="9">
        <v>45076</v>
      </c>
      <c r="D5454" t="s">
        <v>992</v>
      </c>
      <c r="E5454" s="13">
        <v>2552000</v>
      </c>
      <c r="F5454" s="13">
        <v>20000</v>
      </c>
      <c r="H5454" t="s">
        <v>2272</v>
      </c>
      <c r="I5454" t="s">
        <v>2370</v>
      </c>
      <c r="J5454" s="13">
        <v>0</v>
      </c>
      <c r="K5454">
        <v>1</v>
      </c>
      <c r="L5454" t="s">
        <v>1064</v>
      </c>
      <c r="M5454" t="s">
        <v>2371</v>
      </c>
      <c r="N5454" s="14" t="s">
        <v>6877</v>
      </c>
    </row>
    <row r="5455" spans="1:14" x14ac:dyDescent="0.2">
      <c r="A5455" t="s">
        <v>6588</v>
      </c>
      <c r="B5455" t="s">
        <v>2360</v>
      </c>
      <c r="C5455" s="9">
        <v>45076</v>
      </c>
      <c r="D5455" t="s">
        <v>992</v>
      </c>
      <c r="E5455" s="13">
        <v>2030000</v>
      </c>
      <c r="F5455" s="13">
        <v>20000</v>
      </c>
      <c r="H5455" t="s">
        <v>2184</v>
      </c>
      <c r="I5455" t="s">
        <v>2370</v>
      </c>
      <c r="J5455" s="13">
        <v>0</v>
      </c>
      <c r="K5455">
        <v>1</v>
      </c>
      <c r="L5455" t="s">
        <v>1064</v>
      </c>
      <c r="M5455" t="s">
        <v>2371</v>
      </c>
      <c r="N5455" s="14" t="s">
        <v>6877</v>
      </c>
    </row>
    <row r="5456" spans="1:14" x14ac:dyDescent="0.2">
      <c r="A5456" t="s">
        <v>993</v>
      </c>
      <c r="B5456" t="s">
        <v>2360</v>
      </c>
      <c r="C5456" s="9">
        <v>45076</v>
      </c>
      <c r="D5456" t="s">
        <v>992</v>
      </c>
      <c r="E5456" s="13">
        <v>2726000</v>
      </c>
      <c r="F5456" s="13">
        <v>20000</v>
      </c>
      <c r="H5456" t="s">
        <v>2184</v>
      </c>
      <c r="I5456" t="s">
        <v>2370</v>
      </c>
      <c r="J5456" s="13">
        <v>0</v>
      </c>
      <c r="K5456">
        <v>1</v>
      </c>
      <c r="L5456" t="s">
        <v>1064</v>
      </c>
      <c r="M5456" t="s">
        <v>2371</v>
      </c>
      <c r="N5456" s="14" t="s">
        <v>6877</v>
      </c>
    </row>
    <row r="5457" spans="1:14" x14ac:dyDescent="0.2">
      <c r="A5457" t="s">
        <v>6589</v>
      </c>
      <c r="B5457" t="s">
        <v>2360</v>
      </c>
      <c r="C5457" s="9">
        <v>45076</v>
      </c>
      <c r="D5457" t="s">
        <v>32</v>
      </c>
      <c r="E5457" s="13">
        <v>3700000</v>
      </c>
      <c r="F5457" s="13">
        <v>27750</v>
      </c>
      <c r="G5457" s="9">
        <v>45081</v>
      </c>
      <c r="H5457" t="s">
        <v>1111</v>
      </c>
      <c r="I5457" t="s">
        <v>520</v>
      </c>
      <c r="J5457" s="13">
        <v>102675</v>
      </c>
      <c r="K5457">
        <v>1</v>
      </c>
      <c r="L5457" t="s">
        <v>1064</v>
      </c>
      <c r="M5457" t="s">
        <v>5005</v>
      </c>
      <c r="N5457" s="15" t="s">
        <v>6878</v>
      </c>
    </row>
    <row r="5458" spans="1:14" x14ac:dyDescent="0.2">
      <c r="A5458" t="s">
        <v>6590</v>
      </c>
      <c r="B5458" t="s">
        <v>2360</v>
      </c>
      <c r="C5458" s="9">
        <v>45076</v>
      </c>
      <c r="D5458" t="s">
        <v>32</v>
      </c>
      <c r="E5458" s="13">
        <v>3700000</v>
      </c>
      <c r="F5458" s="13">
        <v>27750</v>
      </c>
      <c r="G5458" s="9">
        <v>45081</v>
      </c>
      <c r="H5458" t="s">
        <v>1111</v>
      </c>
      <c r="I5458" t="s">
        <v>520</v>
      </c>
      <c r="J5458" s="13">
        <v>102675</v>
      </c>
      <c r="K5458">
        <v>1</v>
      </c>
      <c r="L5458" t="s">
        <v>1064</v>
      </c>
      <c r="M5458" t="s">
        <v>5005</v>
      </c>
      <c r="N5458" s="15" t="s">
        <v>6878</v>
      </c>
    </row>
    <row r="5459" spans="1:14" x14ac:dyDescent="0.2">
      <c r="A5459" t="s">
        <v>6591</v>
      </c>
      <c r="B5459" t="s">
        <v>2360</v>
      </c>
      <c r="C5459" s="9">
        <v>45076</v>
      </c>
      <c r="D5459" t="s">
        <v>1003</v>
      </c>
      <c r="E5459" s="13">
        <v>19156800</v>
      </c>
      <c r="F5459" s="13">
        <v>27750</v>
      </c>
      <c r="G5459" s="9">
        <v>45078</v>
      </c>
      <c r="H5459" t="s">
        <v>1111</v>
      </c>
      <c r="I5459" t="s">
        <v>6592</v>
      </c>
      <c r="J5459" s="13">
        <v>850561</v>
      </c>
      <c r="K5459">
        <v>1</v>
      </c>
      <c r="L5459" t="s">
        <v>1064</v>
      </c>
      <c r="M5459" t="s">
        <v>6593</v>
      </c>
      <c r="N5459" s="15" t="s">
        <v>6878</v>
      </c>
    </row>
    <row r="5460" spans="1:14" x14ac:dyDescent="0.2">
      <c r="A5460" t="s">
        <v>6594</v>
      </c>
      <c r="B5460" t="s">
        <v>2360</v>
      </c>
      <c r="C5460" s="9">
        <v>45076</v>
      </c>
      <c r="D5460" t="s">
        <v>1003</v>
      </c>
      <c r="E5460" s="13">
        <v>18207200</v>
      </c>
      <c r="F5460" s="13">
        <v>27750</v>
      </c>
      <c r="G5460" s="9">
        <v>45078</v>
      </c>
      <c r="H5460" t="s">
        <v>1111</v>
      </c>
      <c r="I5460" t="s">
        <v>6592</v>
      </c>
      <c r="J5460" s="13">
        <v>808399</v>
      </c>
      <c r="K5460">
        <v>1</v>
      </c>
      <c r="L5460" t="s">
        <v>1064</v>
      </c>
      <c r="M5460" t="s">
        <v>6593</v>
      </c>
      <c r="N5460" s="15" t="s">
        <v>6878</v>
      </c>
    </row>
    <row r="5461" spans="1:14" x14ac:dyDescent="0.2">
      <c r="A5461" t="s">
        <v>6595</v>
      </c>
      <c r="B5461" t="s">
        <v>2360</v>
      </c>
      <c r="C5461" s="9">
        <v>45076</v>
      </c>
      <c r="D5461" t="s">
        <v>1003</v>
      </c>
      <c r="E5461" s="13">
        <v>15402400</v>
      </c>
      <c r="F5461" s="13">
        <v>27750</v>
      </c>
      <c r="G5461" s="9">
        <v>45078</v>
      </c>
      <c r="H5461" t="s">
        <v>1111</v>
      </c>
      <c r="I5461" t="s">
        <v>6592</v>
      </c>
      <c r="J5461" s="13">
        <v>683866</v>
      </c>
      <c r="K5461">
        <v>1</v>
      </c>
      <c r="L5461" t="s">
        <v>1064</v>
      </c>
      <c r="M5461" t="s">
        <v>6593</v>
      </c>
      <c r="N5461" s="15" t="s">
        <v>6878</v>
      </c>
    </row>
    <row r="5462" spans="1:14" x14ac:dyDescent="0.2">
      <c r="A5462" t="s">
        <v>6596</v>
      </c>
      <c r="B5462" t="s">
        <v>2360</v>
      </c>
      <c r="C5462" s="9">
        <v>45076</v>
      </c>
      <c r="D5462" t="s">
        <v>1003</v>
      </c>
      <c r="E5462" s="13">
        <v>14280000</v>
      </c>
      <c r="F5462" s="13">
        <v>27750</v>
      </c>
      <c r="G5462" s="9">
        <v>45078</v>
      </c>
      <c r="H5462" t="s">
        <v>1111</v>
      </c>
      <c r="I5462" t="s">
        <v>6592</v>
      </c>
      <c r="J5462" s="13">
        <v>634032</v>
      </c>
      <c r="K5462">
        <v>1</v>
      </c>
      <c r="L5462" t="s">
        <v>1064</v>
      </c>
      <c r="M5462" t="s">
        <v>6593</v>
      </c>
      <c r="N5462" s="15" t="s">
        <v>6878</v>
      </c>
    </row>
    <row r="5463" spans="1:14" x14ac:dyDescent="0.2">
      <c r="A5463" t="s">
        <v>6597</v>
      </c>
      <c r="B5463" t="s">
        <v>2360</v>
      </c>
      <c r="C5463" s="9">
        <v>45076</v>
      </c>
      <c r="D5463" t="s">
        <v>1003</v>
      </c>
      <c r="E5463" s="13">
        <v>10554600</v>
      </c>
      <c r="F5463" s="13">
        <v>27750</v>
      </c>
      <c r="G5463" s="9">
        <v>45078</v>
      </c>
      <c r="H5463" t="s">
        <v>1111</v>
      </c>
      <c r="I5463" t="s">
        <v>6592</v>
      </c>
      <c r="J5463" s="13">
        <v>468624</v>
      </c>
      <c r="K5463">
        <v>1</v>
      </c>
      <c r="L5463" t="s">
        <v>1064</v>
      </c>
      <c r="M5463" t="s">
        <v>6593</v>
      </c>
      <c r="N5463" s="15" t="s">
        <v>6878</v>
      </c>
    </row>
    <row r="5464" spans="1:14" x14ac:dyDescent="0.2">
      <c r="A5464" t="s">
        <v>6598</v>
      </c>
      <c r="B5464" t="s">
        <v>2360</v>
      </c>
      <c r="C5464" s="9">
        <v>45076</v>
      </c>
      <c r="D5464" t="s">
        <v>1027</v>
      </c>
      <c r="E5464" s="13">
        <v>25000000</v>
      </c>
      <c r="F5464" s="13">
        <v>693750</v>
      </c>
      <c r="G5464" s="9">
        <v>45077</v>
      </c>
      <c r="H5464" t="s">
        <v>1111</v>
      </c>
      <c r="I5464" t="s">
        <v>6468</v>
      </c>
      <c r="J5464" s="13">
        <v>27750</v>
      </c>
      <c r="K5464">
        <v>1</v>
      </c>
      <c r="L5464" t="s">
        <v>1064</v>
      </c>
      <c r="M5464" t="s">
        <v>6469</v>
      </c>
      <c r="N5464" s="15" t="s">
        <v>6878</v>
      </c>
    </row>
    <row r="5465" spans="1:14" x14ac:dyDescent="0.2">
      <c r="A5465" t="s">
        <v>6599</v>
      </c>
      <c r="B5465" t="s">
        <v>2360</v>
      </c>
      <c r="C5465" s="9">
        <v>45076</v>
      </c>
      <c r="D5465" t="s">
        <v>1003</v>
      </c>
      <c r="E5465" s="13">
        <v>11018400</v>
      </c>
      <c r="F5465" s="13">
        <v>27750</v>
      </c>
      <c r="G5465" s="9">
        <v>45078</v>
      </c>
      <c r="H5465" t="s">
        <v>1111</v>
      </c>
      <c r="I5465" t="s">
        <v>6592</v>
      </c>
      <c r="J5465" s="13">
        <v>489216</v>
      </c>
      <c r="K5465">
        <v>1</v>
      </c>
      <c r="L5465" t="s">
        <v>1064</v>
      </c>
      <c r="M5465" t="s">
        <v>6593</v>
      </c>
      <c r="N5465" s="15" t="s">
        <v>6878</v>
      </c>
    </row>
    <row r="5466" spans="1:14" x14ac:dyDescent="0.2">
      <c r="A5466" t="s">
        <v>6600</v>
      </c>
      <c r="B5466" t="s">
        <v>2360</v>
      </c>
      <c r="C5466" s="9">
        <v>45076</v>
      </c>
      <c r="D5466" t="s">
        <v>1003</v>
      </c>
      <c r="E5466" s="13">
        <v>13090400</v>
      </c>
      <c r="F5466" s="13">
        <v>27750</v>
      </c>
      <c r="G5466" s="9">
        <v>45078</v>
      </c>
      <c r="H5466" t="s">
        <v>1111</v>
      </c>
      <c r="I5466" t="s">
        <v>6592</v>
      </c>
      <c r="J5466" s="13">
        <v>581213</v>
      </c>
      <c r="K5466">
        <v>1</v>
      </c>
      <c r="L5466" t="s">
        <v>1064</v>
      </c>
      <c r="M5466" t="s">
        <v>6593</v>
      </c>
      <c r="N5466" s="15" t="s">
        <v>6878</v>
      </c>
    </row>
    <row r="5467" spans="1:14" x14ac:dyDescent="0.2">
      <c r="A5467" t="s">
        <v>6601</v>
      </c>
      <c r="B5467" t="s">
        <v>2360</v>
      </c>
      <c r="C5467" s="9">
        <v>45076</v>
      </c>
      <c r="D5467" t="s">
        <v>1003</v>
      </c>
      <c r="E5467" s="13">
        <v>14334000</v>
      </c>
      <c r="F5467" s="13">
        <v>27750</v>
      </c>
      <c r="G5467" s="9">
        <v>45078</v>
      </c>
      <c r="H5467" t="s">
        <v>1111</v>
      </c>
      <c r="I5467" t="s">
        <v>6592</v>
      </c>
      <c r="J5467" s="13">
        <v>636429</v>
      </c>
      <c r="K5467">
        <v>1</v>
      </c>
      <c r="L5467" t="s">
        <v>1064</v>
      </c>
      <c r="M5467" t="s">
        <v>6593</v>
      </c>
      <c r="N5467" s="15" t="s">
        <v>6878</v>
      </c>
    </row>
    <row r="5468" spans="1:14" x14ac:dyDescent="0.2">
      <c r="A5468" t="s">
        <v>6602</v>
      </c>
      <c r="B5468" t="s">
        <v>2360</v>
      </c>
      <c r="C5468" s="9">
        <v>45076</v>
      </c>
      <c r="D5468" t="s">
        <v>1003</v>
      </c>
      <c r="E5468" s="13">
        <v>10599200</v>
      </c>
      <c r="F5468" s="13">
        <v>27750</v>
      </c>
      <c r="G5468" s="9">
        <v>45078</v>
      </c>
      <c r="H5468" t="s">
        <v>1111</v>
      </c>
      <c r="I5468" t="s">
        <v>6592</v>
      </c>
      <c r="J5468" s="13">
        <v>470604</v>
      </c>
      <c r="K5468">
        <v>1</v>
      </c>
      <c r="L5468" t="s">
        <v>1064</v>
      </c>
      <c r="M5468" t="s">
        <v>6593</v>
      </c>
      <c r="N5468" s="15" t="s">
        <v>6878</v>
      </c>
    </row>
    <row r="5469" spans="1:14" x14ac:dyDescent="0.2">
      <c r="A5469" t="s">
        <v>6603</v>
      </c>
      <c r="B5469" t="s">
        <v>2360</v>
      </c>
      <c r="C5469" s="9">
        <v>45076</v>
      </c>
      <c r="D5469" t="s">
        <v>1003</v>
      </c>
      <c r="E5469" s="13">
        <v>8742400</v>
      </c>
      <c r="F5469" s="13">
        <v>27750</v>
      </c>
      <c r="G5469" s="9">
        <v>45078</v>
      </c>
      <c r="H5469" t="s">
        <v>1111</v>
      </c>
      <c r="I5469" t="s">
        <v>6592</v>
      </c>
      <c r="J5469" s="13">
        <v>388162</v>
      </c>
      <c r="K5469">
        <v>1</v>
      </c>
      <c r="L5469" t="s">
        <v>1064</v>
      </c>
      <c r="M5469" t="s">
        <v>6593</v>
      </c>
      <c r="N5469" s="15" t="s">
        <v>6878</v>
      </c>
    </row>
    <row r="5470" spans="1:14" x14ac:dyDescent="0.2">
      <c r="A5470" t="s">
        <v>6604</v>
      </c>
      <c r="B5470" t="s">
        <v>2360</v>
      </c>
      <c r="C5470" s="9">
        <v>45076</v>
      </c>
      <c r="D5470" t="s">
        <v>1003</v>
      </c>
      <c r="E5470" s="13">
        <v>6626400</v>
      </c>
      <c r="F5470" s="13">
        <v>27750</v>
      </c>
      <c r="G5470" s="9">
        <v>45078</v>
      </c>
      <c r="H5470" t="s">
        <v>1111</v>
      </c>
      <c r="I5470" t="s">
        <v>6592</v>
      </c>
      <c r="J5470" s="13">
        <v>294212</v>
      </c>
      <c r="K5470">
        <v>1</v>
      </c>
      <c r="L5470" t="s">
        <v>1064</v>
      </c>
      <c r="M5470" t="s">
        <v>6593</v>
      </c>
      <c r="N5470" s="15" t="s">
        <v>6878</v>
      </c>
    </row>
    <row r="5471" spans="1:14" x14ac:dyDescent="0.2">
      <c r="A5471" t="s">
        <v>6605</v>
      </c>
      <c r="B5471" t="s">
        <v>2360</v>
      </c>
      <c r="C5471" s="9">
        <v>45076</v>
      </c>
      <c r="D5471" t="s">
        <v>1003</v>
      </c>
      <c r="E5471" s="13">
        <v>8696800</v>
      </c>
      <c r="F5471" s="13">
        <v>27750</v>
      </c>
      <c r="G5471" s="9">
        <v>45078</v>
      </c>
      <c r="H5471" t="s">
        <v>1111</v>
      </c>
      <c r="I5471" t="s">
        <v>6592</v>
      </c>
      <c r="J5471" s="13">
        <v>386137</v>
      </c>
      <c r="K5471">
        <v>1</v>
      </c>
      <c r="L5471" t="s">
        <v>1064</v>
      </c>
      <c r="M5471" t="s">
        <v>6593</v>
      </c>
      <c r="N5471" s="15" t="s">
        <v>6878</v>
      </c>
    </row>
    <row r="5472" spans="1:14" x14ac:dyDescent="0.2">
      <c r="A5472" t="s">
        <v>1004</v>
      </c>
      <c r="B5472" t="s">
        <v>2360</v>
      </c>
      <c r="C5472" s="9">
        <v>45076</v>
      </c>
      <c r="D5472" t="s">
        <v>1003</v>
      </c>
      <c r="E5472" s="13">
        <v>9797600</v>
      </c>
      <c r="F5472" s="13">
        <v>27750</v>
      </c>
      <c r="G5472" s="9">
        <v>45078</v>
      </c>
      <c r="H5472" t="s">
        <v>1111</v>
      </c>
      <c r="I5472" t="s">
        <v>6592</v>
      </c>
      <c r="J5472" s="13">
        <v>435013</v>
      </c>
      <c r="K5472">
        <v>1</v>
      </c>
      <c r="L5472" t="s">
        <v>1064</v>
      </c>
      <c r="M5472" t="s">
        <v>6593</v>
      </c>
      <c r="N5472" s="15" t="s">
        <v>6878</v>
      </c>
    </row>
    <row r="5473" spans="1:14" x14ac:dyDescent="0.2">
      <c r="A5473" t="s">
        <v>6606</v>
      </c>
      <c r="B5473" t="s">
        <v>2360</v>
      </c>
      <c r="C5473" s="9">
        <v>45076</v>
      </c>
      <c r="D5473" t="s">
        <v>990</v>
      </c>
      <c r="E5473" s="13">
        <v>33000000</v>
      </c>
      <c r="F5473" s="13">
        <v>1373625</v>
      </c>
      <c r="G5473" s="9">
        <v>45077</v>
      </c>
      <c r="H5473" t="s">
        <v>1111</v>
      </c>
      <c r="I5473" t="s">
        <v>4732</v>
      </c>
      <c r="J5473" s="13">
        <v>27750</v>
      </c>
      <c r="K5473">
        <v>1</v>
      </c>
      <c r="L5473" t="s">
        <v>1064</v>
      </c>
      <c r="M5473" t="s">
        <v>4733</v>
      </c>
      <c r="N5473" s="15" t="s">
        <v>6878</v>
      </c>
    </row>
    <row r="5474" spans="1:14" x14ac:dyDescent="0.2">
      <c r="A5474" t="s">
        <v>6607</v>
      </c>
      <c r="B5474" t="s">
        <v>2360</v>
      </c>
      <c r="C5474" s="9">
        <v>45076</v>
      </c>
      <c r="D5474" t="s">
        <v>1012</v>
      </c>
      <c r="E5474" s="13">
        <v>2450000</v>
      </c>
      <c r="F5474" s="13">
        <v>108780</v>
      </c>
      <c r="G5474" s="9">
        <v>45077</v>
      </c>
      <c r="H5474" t="s">
        <v>1111</v>
      </c>
      <c r="I5474" t="s">
        <v>303</v>
      </c>
      <c r="J5474" s="13">
        <v>27750</v>
      </c>
      <c r="K5474">
        <v>1</v>
      </c>
      <c r="L5474" t="s">
        <v>1064</v>
      </c>
      <c r="M5474" t="s">
        <v>6608</v>
      </c>
      <c r="N5474" s="15" t="s">
        <v>6878</v>
      </c>
    </row>
    <row r="5475" spans="1:14" x14ac:dyDescent="0.2">
      <c r="A5475" t="s">
        <v>6609</v>
      </c>
      <c r="B5475" t="s">
        <v>2360</v>
      </c>
      <c r="C5475" s="9">
        <v>45077</v>
      </c>
      <c r="D5475" t="s">
        <v>321</v>
      </c>
      <c r="E5475" s="13">
        <v>6800000</v>
      </c>
      <c r="F5475" s="13">
        <v>25000</v>
      </c>
      <c r="H5475" t="s">
        <v>1659</v>
      </c>
      <c r="I5475" t="s">
        <v>821</v>
      </c>
      <c r="J5475" s="13">
        <v>0</v>
      </c>
      <c r="K5475">
        <v>1</v>
      </c>
      <c r="L5475" t="s">
        <v>1064</v>
      </c>
      <c r="M5475" t="s">
        <v>6610</v>
      </c>
      <c r="N5475" s="14" t="s">
        <v>6877</v>
      </c>
    </row>
    <row r="5476" spans="1:14" x14ac:dyDescent="0.2">
      <c r="A5476" t="s">
        <v>6611</v>
      </c>
      <c r="B5476" t="s">
        <v>2360</v>
      </c>
      <c r="C5476" s="9">
        <v>45077</v>
      </c>
      <c r="D5476" t="s">
        <v>687</v>
      </c>
      <c r="E5476" s="13">
        <v>6200000</v>
      </c>
      <c r="F5476" s="13">
        <v>344100</v>
      </c>
      <c r="G5476" s="9">
        <v>45079</v>
      </c>
      <c r="H5476" t="s">
        <v>1111</v>
      </c>
      <c r="I5476" t="s">
        <v>4562</v>
      </c>
      <c r="J5476" s="13">
        <v>27750</v>
      </c>
      <c r="K5476">
        <v>1</v>
      </c>
      <c r="L5476" t="s">
        <v>1064</v>
      </c>
      <c r="M5476" t="s">
        <v>6612</v>
      </c>
      <c r="N5476" s="15" t="s">
        <v>6878</v>
      </c>
    </row>
    <row r="5477" spans="1:14" x14ac:dyDescent="0.2">
      <c r="A5477" t="s">
        <v>6613</v>
      </c>
      <c r="B5477" t="s">
        <v>2360</v>
      </c>
      <c r="C5477" s="9">
        <v>45077</v>
      </c>
      <c r="D5477" t="s">
        <v>424</v>
      </c>
      <c r="E5477" s="13">
        <v>9907751</v>
      </c>
      <c r="F5477" s="13">
        <v>27750</v>
      </c>
      <c r="G5477" s="9">
        <v>45077</v>
      </c>
      <c r="H5477" t="s">
        <v>1111</v>
      </c>
      <c r="I5477" t="s">
        <v>268</v>
      </c>
      <c r="J5477" s="13">
        <v>659856</v>
      </c>
      <c r="K5477">
        <v>1</v>
      </c>
      <c r="L5477" t="s">
        <v>1064</v>
      </c>
      <c r="M5477" t="s">
        <v>6572</v>
      </c>
      <c r="N5477" s="15" t="s">
        <v>6878</v>
      </c>
    </row>
    <row r="5478" spans="1:14" x14ac:dyDescent="0.2">
      <c r="A5478" t="s">
        <v>6614</v>
      </c>
      <c r="B5478" t="s">
        <v>2360</v>
      </c>
      <c r="C5478" s="9">
        <v>45077</v>
      </c>
      <c r="D5478" t="s">
        <v>424</v>
      </c>
      <c r="E5478" s="13">
        <v>2259751</v>
      </c>
      <c r="F5478" s="13">
        <v>27750</v>
      </c>
      <c r="G5478" s="9">
        <v>45077</v>
      </c>
      <c r="H5478" t="s">
        <v>1111</v>
      </c>
      <c r="I5478" t="s">
        <v>268</v>
      </c>
      <c r="J5478" s="13">
        <v>150499</v>
      </c>
      <c r="K5478">
        <v>1</v>
      </c>
      <c r="L5478" t="s">
        <v>1064</v>
      </c>
      <c r="M5478" t="s">
        <v>6572</v>
      </c>
      <c r="N5478" s="15" t="s">
        <v>6878</v>
      </c>
    </row>
    <row r="5479" spans="1:14" x14ac:dyDescent="0.2">
      <c r="A5479" t="s">
        <v>6615</v>
      </c>
      <c r="B5479" t="s">
        <v>2360</v>
      </c>
      <c r="C5479" s="9">
        <v>45077</v>
      </c>
      <c r="D5479" t="s">
        <v>1012</v>
      </c>
      <c r="E5479" s="13">
        <v>1</v>
      </c>
      <c r="F5479" s="13"/>
      <c r="H5479" t="s">
        <v>2184</v>
      </c>
      <c r="I5479" t="s">
        <v>303</v>
      </c>
      <c r="J5479" s="13">
        <v>0</v>
      </c>
      <c r="K5479">
        <v>1</v>
      </c>
      <c r="L5479" t="s">
        <v>1064</v>
      </c>
      <c r="M5479" t="s">
        <v>6608</v>
      </c>
      <c r="N5479" s="14" t="s">
        <v>6877</v>
      </c>
    </row>
    <row r="5480" spans="1:14" x14ac:dyDescent="0.2">
      <c r="A5480" t="s">
        <v>6616</v>
      </c>
      <c r="B5480" t="s">
        <v>2360</v>
      </c>
      <c r="C5480" s="9">
        <v>45077</v>
      </c>
      <c r="D5480" t="s">
        <v>1012</v>
      </c>
      <c r="E5480" s="13">
        <v>2700000</v>
      </c>
      <c r="F5480" s="13">
        <v>119880</v>
      </c>
      <c r="G5480" s="9">
        <v>45081</v>
      </c>
      <c r="H5480" t="s">
        <v>1111</v>
      </c>
      <c r="I5480" t="s">
        <v>303</v>
      </c>
      <c r="J5480" s="13">
        <v>27750</v>
      </c>
      <c r="K5480">
        <v>1</v>
      </c>
      <c r="L5480" t="s">
        <v>1064</v>
      </c>
      <c r="M5480" t="s">
        <v>6608</v>
      </c>
      <c r="N5480" s="15" t="s">
        <v>6878</v>
      </c>
    </row>
    <row r="5481" spans="1:14" x14ac:dyDescent="0.2">
      <c r="A5481" t="s">
        <v>6617</v>
      </c>
      <c r="B5481" t="s">
        <v>2360</v>
      </c>
      <c r="C5481" s="9">
        <v>45077</v>
      </c>
      <c r="D5481" t="s">
        <v>1012</v>
      </c>
      <c r="E5481" s="13">
        <v>2450000</v>
      </c>
      <c r="F5481" s="13">
        <v>108780</v>
      </c>
      <c r="G5481" s="9">
        <v>45081</v>
      </c>
      <c r="H5481" t="s">
        <v>1111</v>
      </c>
      <c r="I5481" t="s">
        <v>303</v>
      </c>
      <c r="J5481" s="13">
        <v>27750</v>
      </c>
      <c r="K5481">
        <v>1</v>
      </c>
      <c r="L5481" t="s">
        <v>1064</v>
      </c>
      <c r="M5481" t="s">
        <v>6608</v>
      </c>
      <c r="N5481" s="15" t="s">
        <v>6878</v>
      </c>
    </row>
    <row r="5482" spans="1:14" x14ac:dyDescent="0.2">
      <c r="A5482" t="s">
        <v>6618</v>
      </c>
      <c r="B5482" t="s">
        <v>2360</v>
      </c>
      <c r="C5482" s="9">
        <v>45077</v>
      </c>
      <c r="D5482" t="s">
        <v>424</v>
      </c>
      <c r="E5482" s="13">
        <v>3800001</v>
      </c>
      <c r="F5482" s="13">
        <v>27750</v>
      </c>
      <c r="G5482" s="9">
        <v>45077</v>
      </c>
      <c r="H5482" t="s">
        <v>1111</v>
      </c>
      <c r="I5482" t="s">
        <v>268</v>
      </c>
      <c r="J5482" s="13">
        <v>253080</v>
      </c>
      <c r="K5482">
        <v>1</v>
      </c>
      <c r="L5482" t="s">
        <v>1064</v>
      </c>
      <c r="M5482" t="s">
        <v>6572</v>
      </c>
      <c r="N5482" s="15" t="s">
        <v>6878</v>
      </c>
    </row>
    <row r="5483" spans="1:14" x14ac:dyDescent="0.2">
      <c r="A5483" t="s">
        <v>6619</v>
      </c>
      <c r="B5483" t="s">
        <v>2360</v>
      </c>
      <c r="C5483" s="9">
        <v>45077</v>
      </c>
      <c r="D5483" t="s">
        <v>424</v>
      </c>
      <c r="E5483" s="13">
        <v>1140001</v>
      </c>
      <c r="F5483" s="13">
        <v>27750</v>
      </c>
      <c r="G5483" s="9">
        <v>45077</v>
      </c>
      <c r="H5483" t="s">
        <v>1111</v>
      </c>
      <c r="I5483" t="s">
        <v>268</v>
      </c>
      <c r="J5483" s="13">
        <v>75924</v>
      </c>
      <c r="K5483">
        <v>1</v>
      </c>
      <c r="L5483" t="s">
        <v>1064</v>
      </c>
      <c r="M5483" t="s">
        <v>6572</v>
      </c>
      <c r="N5483" s="15" t="s">
        <v>6878</v>
      </c>
    </row>
    <row r="5484" spans="1:14" x14ac:dyDescent="0.2">
      <c r="A5484" t="s">
        <v>6620</v>
      </c>
      <c r="B5484" t="s">
        <v>2360</v>
      </c>
      <c r="C5484" s="9">
        <v>45077</v>
      </c>
      <c r="D5484" t="s">
        <v>424</v>
      </c>
      <c r="E5484" s="13">
        <v>1890001</v>
      </c>
      <c r="F5484" s="13">
        <v>27750</v>
      </c>
      <c r="G5484" s="9">
        <v>45077</v>
      </c>
      <c r="H5484" t="s">
        <v>1111</v>
      </c>
      <c r="I5484" t="s">
        <v>268</v>
      </c>
      <c r="J5484" s="13">
        <v>125874</v>
      </c>
      <c r="K5484">
        <v>1</v>
      </c>
      <c r="L5484" t="s">
        <v>1064</v>
      </c>
      <c r="M5484" t="s">
        <v>6572</v>
      </c>
      <c r="N5484" s="15" t="s">
        <v>6878</v>
      </c>
    </row>
    <row r="5485" spans="1:14" x14ac:dyDescent="0.2">
      <c r="A5485" t="s">
        <v>6621</v>
      </c>
      <c r="B5485" t="s">
        <v>2360</v>
      </c>
      <c r="C5485" s="9">
        <v>45077</v>
      </c>
      <c r="D5485" t="s">
        <v>32</v>
      </c>
      <c r="E5485" s="13">
        <v>3600000</v>
      </c>
      <c r="F5485" s="13">
        <v>25000</v>
      </c>
      <c r="H5485" t="s">
        <v>1659</v>
      </c>
      <c r="I5485" t="s">
        <v>520</v>
      </c>
      <c r="J5485" s="13">
        <v>0</v>
      </c>
      <c r="K5485">
        <v>1</v>
      </c>
      <c r="L5485" t="s">
        <v>1064</v>
      </c>
      <c r="M5485" t="s">
        <v>5005</v>
      </c>
      <c r="N5485" s="14" t="s">
        <v>6877</v>
      </c>
    </row>
    <row r="5486" spans="1:14" x14ac:dyDescent="0.2">
      <c r="A5486" t="s">
        <v>6622</v>
      </c>
      <c r="B5486" t="s">
        <v>2360</v>
      </c>
      <c r="C5486" s="9">
        <v>45077</v>
      </c>
      <c r="D5486" t="s">
        <v>32</v>
      </c>
      <c r="E5486" s="13">
        <v>3500000</v>
      </c>
      <c r="F5486" s="13">
        <v>25000</v>
      </c>
      <c r="H5486" t="s">
        <v>1659</v>
      </c>
      <c r="I5486" t="s">
        <v>520</v>
      </c>
      <c r="J5486" s="13">
        <v>0</v>
      </c>
      <c r="K5486">
        <v>1</v>
      </c>
      <c r="L5486" t="s">
        <v>1064</v>
      </c>
      <c r="M5486" t="s">
        <v>5005</v>
      </c>
      <c r="N5486" s="14" t="s">
        <v>6877</v>
      </c>
    </row>
    <row r="5487" spans="1:14" x14ac:dyDescent="0.2">
      <c r="A5487" t="s">
        <v>6623</v>
      </c>
      <c r="B5487" t="s">
        <v>2360</v>
      </c>
      <c r="C5487" s="9">
        <v>45077</v>
      </c>
      <c r="D5487" t="s">
        <v>32</v>
      </c>
      <c r="E5487" s="13">
        <v>3600000</v>
      </c>
      <c r="F5487" s="13">
        <v>25000</v>
      </c>
      <c r="H5487" t="s">
        <v>1659</v>
      </c>
      <c r="I5487" t="s">
        <v>520</v>
      </c>
      <c r="J5487" s="13">
        <v>0</v>
      </c>
      <c r="K5487">
        <v>1</v>
      </c>
      <c r="L5487" t="s">
        <v>1064</v>
      </c>
      <c r="M5487" t="s">
        <v>5005</v>
      </c>
      <c r="N5487" s="14" t="s">
        <v>6877</v>
      </c>
    </row>
    <row r="5488" spans="1:14" x14ac:dyDescent="0.2">
      <c r="A5488" t="s">
        <v>6624</v>
      </c>
      <c r="B5488" t="s">
        <v>2360</v>
      </c>
      <c r="C5488" s="9">
        <v>45077</v>
      </c>
      <c r="D5488" t="s">
        <v>32</v>
      </c>
      <c r="E5488" s="13">
        <v>3600000</v>
      </c>
      <c r="F5488" s="13">
        <v>25000</v>
      </c>
      <c r="H5488" t="s">
        <v>1659</v>
      </c>
      <c r="I5488" t="s">
        <v>520</v>
      </c>
      <c r="J5488" s="13">
        <v>0</v>
      </c>
      <c r="K5488">
        <v>1</v>
      </c>
      <c r="L5488" t="s">
        <v>1064</v>
      </c>
      <c r="M5488" t="s">
        <v>5005</v>
      </c>
      <c r="N5488" s="14" t="s">
        <v>6877</v>
      </c>
    </row>
    <row r="5489" spans="1:14" x14ac:dyDescent="0.2">
      <c r="A5489" t="s">
        <v>1000</v>
      </c>
      <c r="B5489" t="s">
        <v>2360</v>
      </c>
      <c r="C5489" s="9">
        <v>45077</v>
      </c>
      <c r="D5489" t="s">
        <v>32</v>
      </c>
      <c r="E5489" s="13">
        <v>3600000</v>
      </c>
      <c r="F5489" s="13">
        <v>25000</v>
      </c>
      <c r="H5489" t="s">
        <v>1659</v>
      </c>
      <c r="I5489" t="s">
        <v>520</v>
      </c>
      <c r="J5489" s="13">
        <v>0</v>
      </c>
      <c r="K5489">
        <v>1</v>
      </c>
      <c r="L5489" t="s">
        <v>1064</v>
      </c>
      <c r="M5489" t="s">
        <v>5005</v>
      </c>
      <c r="N5489" s="14" t="s">
        <v>6877</v>
      </c>
    </row>
    <row r="5490" spans="1:14" x14ac:dyDescent="0.2">
      <c r="A5490" t="s">
        <v>6625</v>
      </c>
      <c r="B5490" t="s">
        <v>2360</v>
      </c>
      <c r="C5490" s="9">
        <v>45078</v>
      </c>
      <c r="D5490" t="s">
        <v>687</v>
      </c>
      <c r="E5490" s="13">
        <v>7500000</v>
      </c>
      <c r="F5490" s="13">
        <v>416250</v>
      </c>
      <c r="G5490" s="9">
        <v>45079</v>
      </c>
      <c r="H5490" t="s">
        <v>1111</v>
      </c>
      <c r="I5490" t="s">
        <v>4562</v>
      </c>
      <c r="J5490" s="13">
        <v>27750</v>
      </c>
      <c r="K5490">
        <v>1</v>
      </c>
      <c r="L5490" t="s">
        <v>1064</v>
      </c>
      <c r="M5490" t="s">
        <v>6612</v>
      </c>
      <c r="N5490" s="15" t="s">
        <v>6878</v>
      </c>
    </row>
    <row r="5491" spans="1:14" x14ac:dyDescent="0.2">
      <c r="A5491" t="s">
        <v>6626</v>
      </c>
      <c r="B5491" t="s">
        <v>2360</v>
      </c>
      <c r="C5491" s="9">
        <v>45078</v>
      </c>
      <c r="D5491" t="s">
        <v>687</v>
      </c>
      <c r="E5491" s="13">
        <v>19500000</v>
      </c>
      <c r="F5491" s="13">
        <v>1082250</v>
      </c>
      <c r="G5491" s="9">
        <v>45079</v>
      </c>
      <c r="H5491" t="s">
        <v>1111</v>
      </c>
      <c r="I5491" t="s">
        <v>4562</v>
      </c>
      <c r="J5491" s="13">
        <v>27750</v>
      </c>
      <c r="K5491">
        <v>1</v>
      </c>
      <c r="L5491" t="s">
        <v>1064</v>
      </c>
      <c r="M5491" t="s">
        <v>6612</v>
      </c>
      <c r="N5491" s="15" t="s">
        <v>6878</v>
      </c>
    </row>
    <row r="5492" spans="1:14" x14ac:dyDescent="0.2">
      <c r="A5492" t="s">
        <v>6627</v>
      </c>
      <c r="B5492" t="s">
        <v>2360</v>
      </c>
      <c r="C5492" s="9">
        <v>45078</v>
      </c>
      <c r="D5492" t="s">
        <v>687</v>
      </c>
      <c r="E5492" s="13">
        <v>12650000</v>
      </c>
      <c r="F5492" s="13">
        <v>702075</v>
      </c>
      <c r="G5492" s="9">
        <v>45079</v>
      </c>
      <c r="H5492" t="s">
        <v>1111</v>
      </c>
      <c r="I5492" t="s">
        <v>4562</v>
      </c>
      <c r="J5492" s="13">
        <v>27750</v>
      </c>
      <c r="K5492">
        <v>1</v>
      </c>
      <c r="L5492" t="s">
        <v>1064</v>
      </c>
      <c r="M5492" t="s">
        <v>6612</v>
      </c>
      <c r="N5492" s="15" t="s">
        <v>6878</v>
      </c>
    </row>
    <row r="5493" spans="1:14" x14ac:dyDescent="0.2">
      <c r="A5493" t="s">
        <v>6628</v>
      </c>
      <c r="B5493" t="s">
        <v>2360</v>
      </c>
      <c r="C5493" s="9">
        <v>45078</v>
      </c>
      <c r="D5493" t="s">
        <v>9</v>
      </c>
      <c r="E5493" s="13">
        <v>340060</v>
      </c>
      <c r="F5493" s="13">
        <v>24975</v>
      </c>
      <c r="G5493" s="9">
        <v>45082</v>
      </c>
      <c r="H5493" t="s">
        <v>1111</v>
      </c>
      <c r="I5493" t="s">
        <v>436</v>
      </c>
      <c r="J5493" s="13">
        <v>11323</v>
      </c>
      <c r="K5493">
        <v>1</v>
      </c>
      <c r="L5493" t="s">
        <v>1064</v>
      </c>
      <c r="M5493" t="s">
        <v>2364</v>
      </c>
      <c r="N5493" s="15" t="s">
        <v>6878</v>
      </c>
    </row>
    <row r="5494" spans="1:14" x14ac:dyDescent="0.2">
      <c r="A5494" t="s">
        <v>6629</v>
      </c>
      <c r="B5494" t="s">
        <v>2360</v>
      </c>
      <c r="C5494" s="9">
        <v>45078</v>
      </c>
      <c r="D5494" t="s">
        <v>687</v>
      </c>
      <c r="E5494" s="13">
        <v>7500000</v>
      </c>
      <c r="F5494" s="13"/>
      <c r="H5494" t="s">
        <v>1659</v>
      </c>
      <c r="I5494" t="s">
        <v>4562</v>
      </c>
      <c r="J5494" s="13">
        <v>0</v>
      </c>
      <c r="K5494">
        <v>1</v>
      </c>
      <c r="L5494" t="s">
        <v>1064</v>
      </c>
      <c r="M5494" t="s">
        <v>6612</v>
      </c>
      <c r="N5494" s="14" t="s">
        <v>6877</v>
      </c>
    </row>
    <row r="5495" spans="1:14" x14ac:dyDescent="0.2">
      <c r="A5495" t="s">
        <v>6630</v>
      </c>
      <c r="B5495" t="s">
        <v>2360</v>
      </c>
      <c r="C5495" s="9">
        <v>45078</v>
      </c>
      <c r="D5495" t="s">
        <v>1012</v>
      </c>
      <c r="E5495" s="13">
        <v>2700000</v>
      </c>
      <c r="F5495" s="13">
        <v>119880</v>
      </c>
      <c r="G5495" s="9">
        <v>45081</v>
      </c>
      <c r="H5495" t="s">
        <v>1111</v>
      </c>
      <c r="I5495" t="s">
        <v>303</v>
      </c>
      <c r="J5495" s="13">
        <v>27750</v>
      </c>
      <c r="K5495">
        <v>1</v>
      </c>
      <c r="L5495" t="s">
        <v>1064</v>
      </c>
      <c r="M5495" t="s">
        <v>6608</v>
      </c>
      <c r="N5495" s="15" t="s">
        <v>6878</v>
      </c>
    </row>
    <row r="5496" spans="1:14" x14ac:dyDescent="0.2">
      <c r="A5496" t="s">
        <v>6631</v>
      </c>
      <c r="B5496" t="s">
        <v>2360</v>
      </c>
      <c r="C5496" s="9">
        <v>45078</v>
      </c>
      <c r="D5496" t="s">
        <v>1012</v>
      </c>
      <c r="E5496" s="13">
        <v>2450000</v>
      </c>
      <c r="F5496" s="13">
        <v>108780</v>
      </c>
      <c r="G5496" s="9">
        <v>45081</v>
      </c>
      <c r="H5496" t="s">
        <v>1111</v>
      </c>
      <c r="I5496" t="s">
        <v>303</v>
      </c>
      <c r="J5496" s="13">
        <v>27750</v>
      </c>
      <c r="K5496">
        <v>1</v>
      </c>
      <c r="L5496" t="s">
        <v>1064</v>
      </c>
      <c r="M5496" t="s">
        <v>6608</v>
      </c>
      <c r="N5496" s="15" t="s">
        <v>6878</v>
      </c>
    </row>
    <row r="5497" spans="1:14" x14ac:dyDescent="0.2">
      <c r="A5497" t="s">
        <v>6632</v>
      </c>
      <c r="B5497" t="s">
        <v>2360</v>
      </c>
      <c r="C5497" s="9">
        <v>45078</v>
      </c>
      <c r="D5497" t="s">
        <v>1012</v>
      </c>
      <c r="E5497" s="13">
        <v>1</v>
      </c>
      <c r="F5497" s="13"/>
      <c r="H5497" t="s">
        <v>2272</v>
      </c>
      <c r="I5497" t="s">
        <v>303</v>
      </c>
      <c r="J5497" s="13">
        <v>0</v>
      </c>
      <c r="K5497">
        <v>1</v>
      </c>
      <c r="L5497" t="s">
        <v>1064</v>
      </c>
      <c r="M5497" t="s">
        <v>6608</v>
      </c>
      <c r="N5497" s="14" t="s">
        <v>6877</v>
      </c>
    </row>
    <row r="5498" spans="1:14" x14ac:dyDescent="0.2">
      <c r="A5498" t="s">
        <v>6633</v>
      </c>
      <c r="B5498" t="s">
        <v>2360</v>
      </c>
      <c r="C5498" s="9">
        <v>45078</v>
      </c>
      <c r="D5498" t="s">
        <v>687</v>
      </c>
      <c r="E5498" s="13">
        <v>7500000</v>
      </c>
      <c r="F5498" s="13">
        <v>416250</v>
      </c>
      <c r="G5498" s="9">
        <v>45081</v>
      </c>
      <c r="H5498" t="s">
        <v>1111</v>
      </c>
      <c r="I5498" t="s">
        <v>4562</v>
      </c>
      <c r="J5498" s="13">
        <v>27750</v>
      </c>
      <c r="K5498">
        <v>1</v>
      </c>
      <c r="L5498" t="s">
        <v>1064</v>
      </c>
      <c r="M5498" t="s">
        <v>6612</v>
      </c>
      <c r="N5498" s="15" t="s">
        <v>6878</v>
      </c>
    </row>
    <row r="5499" spans="1:14" x14ac:dyDescent="0.2">
      <c r="A5499" t="s">
        <v>6634</v>
      </c>
      <c r="B5499" t="s">
        <v>2360</v>
      </c>
      <c r="C5499" s="9">
        <v>45078</v>
      </c>
      <c r="D5499" t="s">
        <v>1012</v>
      </c>
      <c r="E5499" s="13">
        <v>2700000</v>
      </c>
      <c r="F5499" s="13">
        <v>119880</v>
      </c>
      <c r="G5499" s="9">
        <v>45081</v>
      </c>
      <c r="H5499" t="s">
        <v>1111</v>
      </c>
      <c r="I5499" t="s">
        <v>303</v>
      </c>
      <c r="J5499" s="13">
        <v>27750</v>
      </c>
      <c r="K5499">
        <v>1</v>
      </c>
      <c r="L5499" t="s">
        <v>1064</v>
      </c>
      <c r="M5499" t="s">
        <v>6608</v>
      </c>
      <c r="N5499" s="15" t="s">
        <v>6878</v>
      </c>
    </row>
    <row r="5500" spans="1:14" x14ac:dyDescent="0.2">
      <c r="A5500" t="s">
        <v>6635</v>
      </c>
      <c r="B5500" t="s">
        <v>2360</v>
      </c>
      <c r="C5500" s="9">
        <v>45078</v>
      </c>
      <c r="D5500" t="s">
        <v>687</v>
      </c>
      <c r="E5500" s="13">
        <v>10000000</v>
      </c>
      <c r="F5500" s="13">
        <v>555000</v>
      </c>
      <c r="G5500" s="9">
        <v>45081</v>
      </c>
      <c r="H5500" t="s">
        <v>1111</v>
      </c>
      <c r="I5500" t="s">
        <v>4562</v>
      </c>
      <c r="J5500" s="13">
        <v>27750</v>
      </c>
      <c r="K5500">
        <v>1</v>
      </c>
      <c r="L5500" t="s">
        <v>1064</v>
      </c>
      <c r="M5500" t="s">
        <v>6612</v>
      </c>
      <c r="N5500" s="15" t="s">
        <v>6878</v>
      </c>
    </row>
    <row r="5501" spans="1:14" x14ac:dyDescent="0.2">
      <c r="A5501" t="s">
        <v>6636</v>
      </c>
      <c r="B5501" t="s">
        <v>2360</v>
      </c>
      <c r="C5501" s="9">
        <v>45078</v>
      </c>
      <c r="D5501" t="s">
        <v>1012</v>
      </c>
      <c r="E5501" s="13">
        <v>2450000</v>
      </c>
      <c r="F5501" s="13">
        <v>108780</v>
      </c>
      <c r="G5501" s="9">
        <v>45081</v>
      </c>
      <c r="H5501" t="s">
        <v>1111</v>
      </c>
      <c r="I5501" t="s">
        <v>303</v>
      </c>
      <c r="J5501" s="13">
        <v>27750</v>
      </c>
      <c r="K5501">
        <v>1</v>
      </c>
      <c r="L5501" t="s">
        <v>1064</v>
      </c>
      <c r="M5501" t="s">
        <v>6608</v>
      </c>
      <c r="N5501" s="15" t="s">
        <v>6878</v>
      </c>
    </row>
    <row r="5502" spans="1:14" x14ac:dyDescent="0.2">
      <c r="A5502" t="s">
        <v>6637</v>
      </c>
      <c r="B5502" t="s">
        <v>2360</v>
      </c>
      <c r="C5502" s="9">
        <v>45078</v>
      </c>
      <c r="D5502" t="s">
        <v>687</v>
      </c>
      <c r="E5502" s="13">
        <v>12650000</v>
      </c>
      <c r="F5502" s="13">
        <v>702075</v>
      </c>
      <c r="G5502" s="9">
        <v>45081</v>
      </c>
      <c r="H5502" t="s">
        <v>1111</v>
      </c>
      <c r="I5502" t="s">
        <v>4562</v>
      </c>
      <c r="J5502" s="13">
        <v>27750</v>
      </c>
      <c r="K5502">
        <v>1</v>
      </c>
      <c r="L5502" t="s">
        <v>1064</v>
      </c>
      <c r="M5502" t="s">
        <v>6612</v>
      </c>
      <c r="N5502" s="15" t="s">
        <v>6878</v>
      </c>
    </row>
    <row r="5503" spans="1:14" x14ac:dyDescent="0.2">
      <c r="A5503" t="s">
        <v>6638</v>
      </c>
      <c r="B5503" t="s">
        <v>2360</v>
      </c>
      <c r="C5503" s="9">
        <v>45078</v>
      </c>
      <c r="D5503" t="s">
        <v>687</v>
      </c>
      <c r="E5503" s="13">
        <v>10000000</v>
      </c>
      <c r="F5503" s="13">
        <v>555000</v>
      </c>
      <c r="G5503" s="9">
        <v>45081</v>
      </c>
      <c r="H5503" t="s">
        <v>1111</v>
      </c>
      <c r="I5503" t="s">
        <v>4562</v>
      </c>
      <c r="J5503" s="13">
        <v>27750</v>
      </c>
      <c r="K5503">
        <v>1</v>
      </c>
      <c r="L5503" t="s">
        <v>1064</v>
      </c>
      <c r="M5503" t="s">
        <v>6612</v>
      </c>
      <c r="N5503" s="15" t="s">
        <v>6878</v>
      </c>
    </row>
    <row r="5504" spans="1:14" x14ac:dyDescent="0.2">
      <c r="A5504" t="s">
        <v>6639</v>
      </c>
      <c r="B5504" t="s">
        <v>2360</v>
      </c>
      <c r="C5504" s="9">
        <v>45078</v>
      </c>
      <c r="D5504" t="s">
        <v>1012</v>
      </c>
      <c r="E5504" s="13">
        <v>1</v>
      </c>
      <c r="F5504" s="13"/>
      <c r="H5504" t="s">
        <v>2272</v>
      </c>
      <c r="I5504" t="s">
        <v>303</v>
      </c>
      <c r="J5504" s="13">
        <v>0</v>
      </c>
      <c r="K5504">
        <v>1</v>
      </c>
      <c r="L5504" t="s">
        <v>1064</v>
      </c>
      <c r="M5504" t="s">
        <v>6608</v>
      </c>
      <c r="N5504" s="14" t="s">
        <v>6877</v>
      </c>
    </row>
    <row r="5505" spans="1:14" x14ac:dyDescent="0.2">
      <c r="A5505" t="s">
        <v>6640</v>
      </c>
      <c r="B5505" t="s">
        <v>2360</v>
      </c>
      <c r="C5505" s="9">
        <v>45078</v>
      </c>
      <c r="D5505" t="s">
        <v>687</v>
      </c>
      <c r="E5505" s="13">
        <v>24500000</v>
      </c>
      <c r="F5505" s="13">
        <v>1359750</v>
      </c>
      <c r="G5505" s="9">
        <v>45081</v>
      </c>
      <c r="H5505" t="s">
        <v>1111</v>
      </c>
      <c r="I5505" t="s">
        <v>4562</v>
      </c>
      <c r="J5505" s="13">
        <v>27750</v>
      </c>
      <c r="K5505">
        <v>1</v>
      </c>
      <c r="L5505" t="s">
        <v>1064</v>
      </c>
      <c r="M5505" t="s">
        <v>6612</v>
      </c>
      <c r="N5505" s="15" t="s">
        <v>6878</v>
      </c>
    </row>
    <row r="5506" spans="1:14" x14ac:dyDescent="0.2">
      <c r="A5506" t="s">
        <v>6641</v>
      </c>
      <c r="B5506" t="s">
        <v>2360</v>
      </c>
      <c r="C5506" s="9">
        <v>45078</v>
      </c>
      <c r="D5506" t="s">
        <v>687</v>
      </c>
      <c r="E5506" s="13">
        <v>1</v>
      </c>
      <c r="F5506" s="13"/>
      <c r="H5506" t="s">
        <v>2184</v>
      </c>
      <c r="I5506" t="s">
        <v>4562</v>
      </c>
      <c r="J5506" s="13">
        <v>0</v>
      </c>
      <c r="K5506">
        <v>1</v>
      </c>
      <c r="L5506" t="s">
        <v>1064</v>
      </c>
      <c r="M5506" t="s">
        <v>6612</v>
      </c>
      <c r="N5506" s="14" t="s">
        <v>6877</v>
      </c>
    </row>
    <row r="5507" spans="1:14" x14ac:dyDescent="0.2">
      <c r="A5507" t="s">
        <v>6642</v>
      </c>
      <c r="B5507" t="s">
        <v>2360</v>
      </c>
      <c r="C5507" s="9">
        <v>45078</v>
      </c>
      <c r="D5507" t="s">
        <v>1012</v>
      </c>
      <c r="E5507" s="13">
        <v>2700000</v>
      </c>
      <c r="F5507" s="13">
        <v>119880</v>
      </c>
      <c r="G5507" s="9">
        <v>45081</v>
      </c>
      <c r="H5507" t="s">
        <v>1111</v>
      </c>
      <c r="I5507" t="s">
        <v>303</v>
      </c>
      <c r="J5507" s="13">
        <v>27750</v>
      </c>
      <c r="K5507">
        <v>1</v>
      </c>
      <c r="L5507" t="s">
        <v>1064</v>
      </c>
      <c r="M5507" t="s">
        <v>6608</v>
      </c>
      <c r="N5507" s="15" t="s">
        <v>6878</v>
      </c>
    </row>
    <row r="5508" spans="1:14" x14ac:dyDescent="0.2">
      <c r="A5508" t="s">
        <v>6643</v>
      </c>
      <c r="B5508" t="s">
        <v>2360</v>
      </c>
      <c r="C5508" s="9">
        <v>45078</v>
      </c>
      <c r="D5508" t="s">
        <v>687</v>
      </c>
      <c r="E5508" s="13">
        <v>7500000</v>
      </c>
      <c r="F5508" s="13">
        <v>416250</v>
      </c>
      <c r="G5508" s="9">
        <v>45081</v>
      </c>
      <c r="H5508" t="s">
        <v>1111</v>
      </c>
      <c r="I5508" t="s">
        <v>4562</v>
      </c>
      <c r="J5508" s="13">
        <v>27750</v>
      </c>
      <c r="K5508">
        <v>1</v>
      </c>
      <c r="L5508" t="s">
        <v>1064</v>
      </c>
      <c r="M5508" t="s">
        <v>6612</v>
      </c>
      <c r="N5508" s="15" t="s">
        <v>6878</v>
      </c>
    </row>
    <row r="5509" spans="1:14" x14ac:dyDescent="0.2">
      <c r="A5509" t="s">
        <v>6644</v>
      </c>
      <c r="B5509" t="s">
        <v>2360</v>
      </c>
      <c r="C5509" s="9">
        <v>45078</v>
      </c>
      <c r="D5509" t="s">
        <v>1012</v>
      </c>
      <c r="E5509" s="13">
        <v>2450000</v>
      </c>
      <c r="F5509" s="13">
        <v>108780</v>
      </c>
      <c r="G5509" s="9">
        <v>45081</v>
      </c>
      <c r="H5509" t="s">
        <v>1111</v>
      </c>
      <c r="I5509" t="s">
        <v>303</v>
      </c>
      <c r="J5509" s="13">
        <v>27750</v>
      </c>
      <c r="K5509">
        <v>1</v>
      </c>
      <c r="L5509" t="s">
        <v>1064</v>
      </c>
      <c r="M5509" t="s">
        <v>6608</v>
      </c>
      <c r="N5509" s="15" t="s">
        <v>6878</v>
      </c>
    </row>
    <row r="5510" spans="1:14" x14ac:dyDescent="0.2">
      <c r="A5510" t="s">
        <v>6645</v>
      </c>
      <c r="B5510" t="s">
        <v>2360</v>
      </c>
      <c r="C5510" s="9">
        <v>45078</v>
      </c>
      <c r="D5510" t="s">
        <v>1012</v>
      </c>
      <c r="E5510" s="13">
        <v>2800000</v>
      </c>
      <c r="F5510" s="13">
        <v>124320</v>
      </c>
      <c r="G5510" s="9">
        <v>45081</v>
      </c>
      <c r="H5510" t="s">
        <v>1111</v>
      </c>
      <c r="I5510" t="s">
        <v>303</v>
      </c>
      <c r="J5510" s="13">
        <v>27750</v>
      </c>
      <c r="K5510">
        <v>1</v>
      </c>
      <c r="L5510" t="s">
        <v>1064</v>
      </c>
      <c r="M5510" t="s">
        <v>6608</v>
      </c>
      <c r="N5510" s="15" t="s">
        <v>6878</v>
      </c>
    </row>
    <row r="5511" spans="1:14" x14ac:dyDescent="0.2">
      <c r="A5511" t="s">
        <v>6646</v>
      </c>
      <c r="B5511" t="s">
        <v>2360</v>
      </c>
      <c r="C5511" s="9">
        <v>45079</v>
      </c>
      <c r="D5511" t="s">
        <v>1012</v>
      </c>
      <c r="E5511" s="13">
        <v>2700000</v>
      </c>
      <c r="F5511" s="13">
        <v>119880</v>
      </c>
      <c r="G5511" s="9">
        <v>45081</v>
      </c>
      <c r="H5511" t="s">
        <v>1111</v>
      </c>
      <c r="I5511" t="s">
        <v>303</v>
      </c>
      <c r="J5511" s="13">
        <v>27750</v>
      </c>
      <c r="K5511">
        <v>1</v>
      </c>
      <c r="L5511" t="s">
        <v>1064</v>
      </c>
      <c r="M5511" t="s">
        <v>6608</v>
      </c>
      <c r="N5511" s="15" t="s">
        <v>6878</v>
      </c>
    </row>
    <row r="5512" spans="1:14" x14ac:dyDescent="0.2">
      <c r="A5512" t="s">
        <v>6647</v>
      </c>
      <c r="B5512" t="s">
        <v>2360</v>
      </c>
      <c r="C5512" s="9">
        <v>45079</v>
      </c>
      <c r="D5512" t="s">
        <v>1012</v>
      </c>
      <c r="E5512" s="13">
        <v>2450000</v>
      </c>
      <c r="F5512" s="13">
        <v>108780</v>
      </c>
      <c r="G5512" s="9">
        <v>45081</v>
      </c>
      <c r="H5512" t="s">
        <v>1111</v>
      </c>
      <c r="I5512" t="s">
        <v>303</v>
      </c>
      <c r="J5512" s="13">
        <v>27750</v>
      </c>
      <c r="K5512">
        <v>1</v>
      </c>
      <c r="L5512" t="s">
        <v>1064</v>
      </c>
      <c r="M5512" t="s">
        <v>6608</v>
      </c>
      <c r="N5512" s="15" t="s">
        <v>6878</v>
      </c>
    </row>
    <row r="5513" spans="1:14" x14ac:dyDescent="0.2">
      <c r="A5513" t="s">
        <v>6648</v>
      </c>
      <c r="B5513" t="s">
        <v>2360</v>
      </c>
      <c r="C5513" s="9">
        <v>45079</v>
      </c>
      <c r="D5513" t="s">
        <v>1012</v>
      </c>
      <c r="E5513" s="13">
        <v>2800000</v>
      </c>
      <c r="F5513" s="13">
        <v>124320</v>
      </c>
      <c r="G5513" s="9">
        <v>45081</v>
      </c>
      <c r="H5513" t="s">
        <v>1111</v>
      </c>
      <c r="I5513" t="s">
        <v>303</v>
      </c>
      <c r="J5513" s="13">
        <v>27750</v>
      </c>
      <c r="K5513">
        <v>1</v>
      </c>
      <c r="L5513" t="s">
        <v>1064</v>
      </c>
      <c r="M5513" t="s">
        <v>6608</v>
      </c>
      <c r="N5513" s="15" t="s">
        <v>6878</v>
      </c>
    </row>
    <row r="5514" spans="1:14" x14ac:dyDescent="0.2">
      <c r="A5514" t="s">
        <v>6649</v>
      </c>
      <c r="B5514" t="s">
        <v>2360</v>
      </c>
      <c r="C5514" s="9">
        <v>45079</v>
      </c>
      <c r="D5514" t="s">
        <v>1012</v>
      </c>
      <c r="E5514" s="13">
        <v>2700000</v>
      </c>
      <c r="F5514" s="13">
        <v>119880</v>
      </c>
      <c r="G5514" s="9">
        <v>45081</v>
      </c>
      <c r="H5514" t="s">
        <v>1111</v>
      </c>
      <c r="I5514" t="s">
        <v>303</v>
      </c>
      <c r="J5514" s="13">
        <v>27750</v>
      </c>
      <c r="K5514">
        <v>1</v>
      </c>
      <c r="L5514" t="s">
        <v>1064</v>
      </c>
      <c r="M5514" t="s">
        <v>6608</v>
      </c>
      <c r="N5514" s="15" t="s">
        <v>6878</v>
      </c>
    </row>
    <row r="5515" spans="1:14" x14ac:dyDescent="0.2">
      <c r="A5515" t="s">
        <v>6650</v>
      </c>
      <c r="B5515" t="s">
        <v>2360</v>
      </c>
      <c r="C5515" s="9">
        <v>45079</v>
      </c>
      <c r="D5515" t="s">
        <v>1012</v>
      </c>
      <c r="E5515" s="13">
        <v>2450000</v>
      </c>
      <c r="F5515" s="13">
        <v>108780</v>
      </c>
      <c r="G5515" s="9">
        <v>45081</v>
      </c>
      <c r="H5515" t="s">
        <v>1111</v>
      </c>
      <c r="I5515" t="s">
        <v>303</v>
      </c>
      <c r="J5515" s="13">
        <v>27750</v>
      </c>
      <c r="K5515">
        <v>1</v>
      </c>
      <c r="L5515" t="s">
        <v>1064</v>
      </c>
      <c r="M5515" t="s">
        <v>6608</v>
      </c>
      <c r="N5515" s="15" t="s">
        <v>6878</v>
      </c>
    </row>
    <row r="5516" spans="1:14" x14ac:dyDescent="0.2">
      <c r="A5516" t="s">
        <v>6651</v>
      </c>
      <c r="B5516" t="s">
        <v>2360</v>
      </c>
      <c r="C5516" s="9">
        <v>45079</v>
      </c>
      <c r="D5516" t="s">
        <v>1012</v>
      </c>
      <c r="E5516" s="13">
        <v>2800000</v>
      </c>
      <c r="F5516" s="13">
        <v>124320</v>
      </c>
      <c r="G5516" s="9">
        <v>45081</v>
      </c>
      <c r="H5516" t="s">
        <v>1111</v>
      </c>
      <c r="I5516" t="s">
        <v>303</v>
      </c>
      <c r="J5516" s="13">
        <v>27750</v>
      </c>
      <c r="K5516">
        <v>1</v>
      </c>
      <c r="L5516" t="s">
        <v>1064</v>
      </c>
      <c r="M5516" t="s">
        <v>6608</v>
      </c>
      <c r="N5516" s="15" t="s">
        <v>6878</v>
      </c>
    </row>
    <row r="5517" spans="1:14" x14ac:dyDescent="0.2">
      <c r="A5517" t="s">
        <v>1019</v>
      </c>
      <c r="B5517" t="s">
        <v>2360</v>
      </c>
      <c r="C5517" s="9">
        <v>45079</v>
      </c>
      <c r="D5517" t="s">
        <v>687</v>
      </c>
      <c r="E5517" s="13">
        <v>22000000</v>
      </c>
      <c r="F5517" s="13">
        <v>1221000</v>
      </c>
      <c r="G5517" s="9">
        <v>45081</v>
      </c>
      <c r="H5517" t="s">
        <v>1111</v>
      </c>
      <c r="I5517" t="s">
        <v>4562</v>
      </c>
      <c r="J5517" s="13">
        <v>27750</v>
      </c>
      <c r="K5517">
        <v>1</v>
      </c>
      <c r="L5517" t="s">
        <v>1064</v>
      </c>
      <c r="M5517" t="s">
        <v>6612</v>
      </c>
      <c r="N5517" s="15" t="s">
        <v>6878</v>
      </c>
    </row>
    <row r="5518" spans="1:14" x14ac:dyDescent="0.2">
      <c r="A5518" t="s">
        <v>6652</v>
      </c>
      <c r="B5518" t="s">
        <v>2360</v>
      </c>
      <c r="C5518" s="9">
        <v>45079</v>
      </c>
      <c r="D5518" t="s">
        <v>9</v>
      </c>
      <c r="E5518" s="13">
        <v>207000</v>
      </c>
      <c r="F5518" s="13">
        <v>22500</v>
      </c>
      <c r="H5518" t="s">
        <v>2184</v>
      </c>
      <c r="I5518" t="s">
        <v>436</v>
      </c>
      <c r="J5518" s="13">
        <v>0</v>
      </c>
      <c r="K5518">
        <v>1</v>
      </c>
      <c r="L5518" t="s">
        <v>1064</v>
      </c>
      <c r="M5518" t="s">
        <v>2364</v>
      </c>
      <c r="N5518" s="14" t="s">
        <v>6877</v>
      </c>
    </row>
    <row r="5519" spans="1:14" x14ac:dyDescent="0.2">
      <c r="A5519" t="s">
        <v>6653</v>
      </c>
      <c r="B5519" t="s">
        <v>2360</v>
      </c>
      <c r="C5519" s="9">
        <v>45079</v>
      </c>
      <c r="D5519" t="s">
        <v>1012</v>
      </c>
      <c r="E5519" s="13">
        <v>2800000</v>
      </c>
      <c r="F5519" s="13">
        <v>124320</v>
      </c>
      <c r="G5519" s="9">
        <v>45081</v>
      </c>
      <c r="H5519" t="s">
        <v>1111</v>
      </c>
      <c r="I5519" t="s">
        <v>303</v>
      </c>
      <c r="J5519" s="13">
        <v>27750</v>
      </c>
      <c r="K5519">
        <v>1</v>
      </c>
      <c r="L5519" t="s">
        <v>1064</v>
      </c>
      <c r="M5519" t="s">
        <v>6608</v>
      </c>
      <c r="N5519" s="15" t="s">
        <v>6878</v>
      </c>
    </row>
    <row r="5520" spans="1:14" x14ac:dyDescent="0.2">
      <c r="A5520" t="s">
        <v>6654</v>
      </c>
      <c r="B5520" t="s">
        <v>2360</v>
      </c>
      <c r="C5520" s="9">
        <v>45079</v>
      </c>
      <c r="D5520" t="s">
        <v>1012</v>
      </c>
      <c r="E5520" s="13">
        <v>2800000</v>
      </c>
      <c r="F5520" s="13">
        <v>124320</v>
      </c>
      <c r="G5520" s="9">
        <v>45081</v>
      </c>
      <c r="H5520" t="s">
        <v>1111</v>
      </c>
      <c r="I5520" t="s">
        <v>303</v>
      </c>
      <c r="J5520" s="13">
        <v>27750</v>
      </c>
      <c r="K5520">
        <v>1</v>
      </c>
      <c r="L5520" t="s">
        <v>1064</v>
      </c>
      <c r="M5520" t="s">
        <v>6608</v>
      </c>
      <c r="N5520" s="15" t="s">
        <v>6878</v>
      </c>
    </row>
    <row r="5521" spans="1:14" x14ac:dyDescent="0.2">
      <c r="A5521" t="s">
        <v>6655</v>
      </c>
      <c r="B5521" t="s">
        <v>2360</v>
      </c>
      <c r="C5521" s="9">
        <v>45079</v>
      </c>
      <c r="D5521" t="s">
        <v>1012</v>
      </c>
      <c r="E5521" s="13">
        <v>2700000</v>
      </c>
      <c r="F5521" s="13">
        <v>119880</v>
      </c>
      <c r="G5521" s="9">
        <v>45081</v>
      </c>
      <c r="H5521" t="s">
        <v>1111</v>
      </c>
      <c r="I5521" t="s">
        <v>303</v>
      </c>
      <c r="J5521" s="13">
        <v>27750</v>
      </c>
      <c r="K5521">
        <v>1</v>
      </c>
      <c r="L5521" t="s">
        <v>1064</v>
      </c>
      <c r="M5521" t="s">
        <v>6608</v>
      </c>
      <c r="N5521" s="15" t="s">
        <v>6878</v>
      </c>
    </row>
    <row r="5522" spans="1:14" x14ac:dyDescent="0.2">
      <c r="A5522" t="s">
        <v>6656</v>
      </c>
      <c r="B5522" t="s">
        <v>2360</v>
      </c>
      <c r="C5522" s="9">
        <v>45079</v>
      </c>
      <c r="D5522" t="s">
        <v>1012</v>
      </c>
      <c r="E5522" s="13">
        <v>2450000</v>
      </c>
      <c r="F5522" s="13">
        <v>108780</v>
      </c>
      <c r="G5522" s="9">
        <v>45081</v>
      </c>
      <c r="H5522" t="s">
        <v>1111</v>
      </c>
      <c r="I5522" t="s">
        <v>303</v>
      </c>
      <c r="J5522" s="13">
        <v>27750</v>
      </c>
      <c r="K5522">
        <v>1</v>
      </c>
      <c r="L5522" t="s">
        <v>1064</v>
      </c>
      <c r="M5522" t="s">
        <v>6608</v>
      </c>
      <c r="N5522" s="15" t="s">
        <v>6878</v>
      </c>
    </row>
    <row r="5523" spans="1:14" x14ac:dyDescent="0.2">
      <c r="A5523" t="s">
        <v>6657</v>
      </c>
      <c r="B5523" t="s">
        <v>2360</v>
      </c>
      <c r="C5523" s="9">
        <v>45079</v>
      </c>
      <c r="D5523" t="s">
        <v>1012</v>
      </c>
      <c r="E5523" s="13">
        <v>2800000</v>
      </c>
      <c r="F5523" s="13">
        <v>124320</v>
      </c>
      <c r="G5523" s="9">
        <v>45081</v>
      </c>
      <c r="H5523" t="s">
        <v>1111</v>
      </c>
      <c r="I5523" t="s">
        <v>303</v>
      </c>
      <c r="J5523" s="13">
        <v>27750</v>
      </c>
      <c r="K5523">
        <v>1</v>
      </c>
      <c r="L5523" t="s">
        <v>1064</v>
      </c>
      <c r="M5523" t="s">
        <v>6608</v>
      </c>
      <c r="N5523" s="15" t="s">
        <v>6878</v>
      </c>
    </row>
    <row r="5524" spans="1:14" x14ac:dyDescent="0.2">
      <c r="A5524" t="s">
        <v>6658</v>
      </c>
      <c r="B5524" t="s">
        <v>2360</v>
      </c>
      <c r="C5524" s="9">
        <v>45079</v>
      </c>
      <c r="D5524" t="s">
        <v>1012</v>
      </c>
      <c r="E5524" s="13">
        <v>2700000</v>
      </c>
      <c r="F5524" s="13">
        <v>119880</v>
      </c>
      <c r="G5524" s="9">
        <v>45081</v>
      </c>
      <c r="H5524" t="s">
        <v>1111</v>
      </c>
      <c r="I5524" t="s">
        <v>303</v>
      </c>
      <c r="J5524" s="13">
        <v>27750</v>
      </c>
      <c r="K5524">
        <v>1</v>
      </c>
      <c r="L5524" t="s">
        <v>1064</v>
      </c>
      <c r="M5524" t="s">
        <v>6608</v>
      </c>
      <c r="N5524" s="15" t="s">
        <v>6878</v>
      </c>
    </row>
    <row r="5525" spans="1:14" x14ac:dyDescent="0.2">
      <c r="A5525" t="s">
        <v>6659</v>
      </c>
      <c r="B5525" t="s">
        <v>2360</v>
      </c>
      <c r="C5525" s="9">
        <v>45079</v>
      </c>
      <c r="D5525" t="s">
        <v>1012</v>
      </c>
      <c r="E5525" s="13">
        <v>2450000</v>
      </c>
      <c r="F5525" s="13">
        <v>108780</v>
      </c>
      <c r="G5525" s="9">
        <v>45081</v>
      </c>
      <c r="H5525" t="s">
        <v>1111</v>
      </c>
      <c r="I5525" t="s">
        <v>303</v>
      </c>
      <c r="J5525" s="13">
        <v>27750</v>
      </c>
      <c r="K5525">
        <v>1</v>
      </c>
      <c r="L5525" t="s">
        <v>1064</v>
      </c>
      <c r="M5525" t="s">
        <v>6608</v>
      </c>
      <c r="N5525" s="15" t="s">
        <v>6878</v>
      </c>
    </row>
    <row r="5526" spans="1:14" x14ac:dyDescent="0.2">
      <c r="A5526" t="s">
        <v>6660</v>
      </c>
      <c r="B5526" t="s">
        <v>2360</v>
      </c>
      <c r="C5526" s="9">
        <v>45079</v>
      </c>
      <c r="D5526" t="s">
        <v>1012</v>
      </c>
      <c r="E5526" s="13">
        <v>2800000</v>
      </c>
      <c r="F5526" s="13">
        <v>124320</v>
      </c>
      <c r="G5526" s="9">
        <v>45081</v>
      </c>
      <c r="H5526" t="s">
        <v>1111</v>
      </c>
      <c r="I5526" t="s">
        <v>303</v>
      </c>
      <c r="J5526" s="13">
        <v>27750</v>
      </c>
      <c r="K5526">
        <v>1</v>
      </c>
      <c r="L5526" t="s">
        <v>1064</v>
      </c>
      <c r="M5526" t="s">
        <v>6608</v>
      </c>
      <c r="N5526" s="15" t="s">
        <v>6878</v>
      </c>
    </row>
    <row r="5527" spans="1:14" x14ac:dyDescent="0.2">
      <c r="A5527" t="s">
        <v>6661</v>
      </c>
      <c r="B5527" t="s">
        <v>2360</v>
      </c>
      <c r="C5527" s="9">
        <v>45079</v>
      </c>
      <c r="D5527" t="s">
        <v>1012</v>
      </c>
      <c r="E5527" s="13">
        <v>2700000</v>
      </c>
      <c r="F5527" s="13">
        <v>119880</v>
      </c>
      <c r="G5527" s="9">
        <v>45081</v>
      </c>
      <c r="H5527" t="s">
        <v>1111</v>
      </c>
      <c r="I5527" t="s">
        <v>303</v>
      </c>
      <c r="J5527" s="13">
        <v>27750</v>
      </c>
      <c r="K5527">
        <v>1</v>
      </c>
      <c r="L5527" t="s">
        <v>1064</v>
      </c>
      <c r="M5527" t="s">
        <v>6608</v>
      </c>
      <c r="N5527" s="15" t="s">
        <v>6878</v>
      </c>
    </row>
    <row r="5528" spans="1:14" x14ac:dyDescent="0.2">
      <c r="A5528" t="s">
        <v>6662</v>
      </c>
      <c r="B5528" t="s">
        <v>2360</v>
      </c>
      <c r="C5528" s="9">
        <v>45079</v>
      </c>
      <c r="D5528" t="s">
        <v>1012</v>
      </c>
      <c r="E5528" s="13">
        <v>2450000</v>
      </c>
      <c r="F5528" s="13">
        <v>108780</v>
      </c>
      <c r="G5528" s="9">
        <v>45081</v>
      </c>
      <c r="H5528" t="s">
        <v>1111</v>
      </c>
      <c r="I5528" t="s">
        <v>303</v>
      </c>
      <c r="J5528" s="13">
        <v>27750</v>
      </c>
      <c r="K5528">
        <v>1</v>
      </c>
      <c r="L5528" t="s">
        <v>1064</v>
      </c>
      <c r="M5528" t="s">
        <v>6608</v>
      </c>
      <c r="N5528" s="15" t="s">
        <v>6878</v>
      </c>
    </row>
    <row r="5529" spans="1:14" x14ac:dyDescent="0.2">
      <c r="A5529" t="s">
        <v>6663</v>
      </c>
      <c r="B5529" t="s">
        <v>2360</v>
      </c>
      <c r="C5529" s="9">
        <v>45079</v>
      </c>
      <c r="D5529" t="s">
        <v>1012</v>
      </c>
      <c r="E5529" s="13">
        <v>2800000</v>
      </c>
      <c r="F5529" s="13">
        <v>124320</v>
      </c>
      <c r="G5529" s="9">
        <v>45081</v>
      </c>
      <c r="H5529" t="s">
        <v>1111</v>
      </c>
      <c r="I5529" t="s">
        <v>303</v>
      </c>
      <c r="J5529" s="13">
        <v>27750</v>
      </c>
      <c r="K5529">
        <v>1</v>
      </c>
      <c r="L5529" t="s">
        <v>1064</v>
      </c>
      <c r="M5529" t="s">
        <v>6608</v>
      </c>
      <c r="N5529" s="15" t="s">
        <v>6878</v>
      </c>
    </row>
    <row r="5530" spans="1:14" x14ac:dyDescent="0.2">
      <c r="A5530" t="s">
        <v>6664</v>
      </c>
      <c r="B5530" t="s">
        <v>2360</v>
      </c>
      <c r="C5530" s="9">
        <v>45079</v>
      </c>
      <c r="D5530" t="s">
        <v>1012</v>
      </c>
      <c r="E5530" s="13">
        <v>2700000</v>
      </c>
      <c r="F5530" s="13">
        <v>119880</v>
      </c>
      <c r="G5530" s="9">
        <v>45081</v>
      </c>
      <c r="H5530" t="s">
        <v>1111</v>
      </c>
      <c r="I5530" t="s">
        <v>303</v>
      </c>
      <c r="J5530" s="13">
        <v>27750</v>
      </c>
      <c r="K5530">
        <v>1</v>
      </c>
      <c r="L5530" t="s">
        <v>1064</v>
      </c>
      <c r="M5530" t="s">
        <v>6608</v>
      </c>
      <c r="N5530" s="15" t="s">
        <v>6878</v>
      </c>
    </row>
    <row r="5531" spans="1:14" x14ac:dyDescent="0.2">
      <c r="A5531" t="s">
        <v>6665</v>
      </c>
      <c r="B5531" t="s">
        <v>2360</v>
      </c>
      <c r="C5531" s="9">
        <v>45079</v>
      </c>
      <c r="D5531" t="s">
        <v>1012</v>
      </c>
      <c r="E5531" s="13">
        <v>2450000</v>
      </c>
      <c r="F5531" s="13">
        <v>108780</v>
      </c>
      <c r="G5531" s="9">
        <v>45081</v>
      </c>
      <c r="H5531" t="s">
        <v>1111</v>
      </c>
      <c r="I5531" t="s">
        <v>303</v>
      </c>
      <c r="J5531" s="13">
        <v>27750</v>
      </c>
      <c r="K5531">
        <v>1</v>
      </c>
      <c r="L5531" t="s">
        <v>1064</v>
      </c>
      <c r="M5531" t="s">
        <v>6608</v>
      </c>
      <c r="N5531" s="15" t="s">
        <v>6878</v>
      </c>
    </row>
    <row r="5532" spans="1:14" x14ac:dyDescent="0.2">
      <c r="A5532" t="s">
        <v>6666</v>
      </c>
      <c r="B5532" t="s">
        <v>2360</v>
      </c>
      <c r="C5532" s="9">
        <v>45079</v>
      </c>
      <c r="D5532" t="s">
        <v>1012</v>
      </c>
      <c r="E5532" s="13">
        <v>2800000</v>
      </c>
      <c r="F5532" s="13">
        <v>124320</v>
      </c>
      <c r="G5532" s="9">
        <v>45081</v>
      </c>
      <c r="H5532" t="s">
        <v>1111</v>
      </c>
      <c r="I5532" t="s">
        <v>303</v>
      </c>
      <c r="J5532" s="13">
        <v>27750</v>
      </c>
      <c r="K5532">
        <v>1</v>
      </c>
      <c r="L5532" t="s">
        <v>1064</v>
      </c>
      <c r="M5532" t="s">
        <v>6608</v>
      </c>
      <c r="N5532" s="15" t="s">
        <v>6878</v>
      </c>
    </row>
    <row r="5533" spans="1:14" x14ac:dyDescent="0.2">
      <c r="A5533" t="s">
        <v>6667</v>
      </c>
      <c r="B5533" t="s">
        <v>2360</v>
      </c>
      <c r="C5533" s="9">
        <v>45079</v>
      </c>
      <c r="D5533" t="s">
        <v>1012</v>
      </c>
      <c r="E5533" s="13">
        <v>2700000</v>
      </c>
      <c r="F5533" s="13">
        <v>119880</v>
      </c>
      <c r="G5533" s="9">
        <v>45081</v>
      </c>
      <c r="H5533" t="s">
        <v>1111</v>
      </c>
      <c r="I5533" t="s">
        <v>303</v>
      </c>
      <c r="J5533" s="13">
        <v>27750</v>
      </c>
      <c r="K5533">
        <v>1</v>
      </c>
      <c r="L5533" t="s">
        <v>1064</v>
      </c>
      <c r="M5533" t="s">
        <v>6608</v>
      </c>
      <c r="N5533" s="15" t="s">
        <v>6878</v>
      </c>
    </row>
    <row r="5534" spans="1:14" x14ac:dyDescent="0.2">
      <c r="A5534" t="s">
        <v>6668</v>
      </c>
      <c r="B5534" t="s">
        <v>2360</v>
      </c>
      <c r="C5534" s="9">
        <v>45079</v>
      </c>
      <c r="D5534" t="s">
        <v>1012</v>
      </c>
      <c r="E5534" s="13">
        <v>2450000</v>
      </c>
      <c r="F5534" s="13">
        <v>108780</v>
      </c>
      <c r="G5534" s="9">
        <v>45081</v>
      </c>
      <c r="H5534" t="s">
        <v>1111</v>
      </c>
      <c r="I5534" t="s">
        <v>303</v>
      </c>
      <c r="J5534" s="13">
        <v>27750</v>
      </c>
      <c r="K5534">
        <v>1</v>
      </c>
      <c r="L5534" t="s">
        <v>1064</v>
      </c>
      <c r="M5534" t="s">
        <v>6608</v>
      </c>
      <c r="N5534" s="15" t="s">
        <v>6878</v>
      </c>
    </row>
    <row r="5535" spans="1:14" x14ac:dyDescent="0.2">
      <c r="A5535" t="s">
        <v>6669</v>
      </c>
      <c r="B5535" t="s">
        <v>2360</v>
      </c>
      <c r="C5535" s="9">
        <v>45079</v>
      </c>
      <c r="D5535" t="s">
        <v>1012</v>
      </c>
      <c r="E5535" s="13">
        <v>2800000</v>
      </c>
      <c r="F5535" s="13">
        <v>124320</v>
      </c>
      <c r="G5535" s="9">
        <v>45081</v>
      </c>
      <c r="H5535" t="s">
        <v>1111</v>
      </c>
      <c r="I5535" t="s">
        <v>303</v>
      </c>
      <c r="J5535" s="13">
        <v>27750</v>
      </c>
      <c r="K5535">
        <v>1</v>
      </c>
      <c r="L5535" t="s">
        <v>1064</v>
      </c>
      <c r="M5535" t="s">
        <v>6608</v>
      </c>
      <c r="N5535" s="15" t="s">
        <v>6878</v>
      </c>
    </row>
    <row r="5536" spans="1:14" x14ac:dyDescent="0.2">
      <c r="A5536" t="s">
        <v>6670</v>
      </c>
      <c r="B5536" t="s">
        <v>2360</v>
      </c>
      <c r="C5536" s="9">
        <v>45079</v>
      </c>
      <c r="D5536" t="s">
        <v>1012</v>
      </c>
      <c r="E5536" s="13">
        <v>2700000</v>
      </c>
      <c r="F5536" s="13">
        <v>119880</v>
      </c>
      <c r="G5536" s="9">
        <v>45081</v>
      </c>
      <c r="H5536" t="s">
        <v>1111</v>
      </c>
      <c r="I5536" t="s">
        <v>303</v>
      </c>
      <c r="J5536" s="13">
        <v>27750</v>
      </c>
      <c r="K5536">
        <v>1</v>
      </c>
      <c r="L5536" t="s">
        <v>1064</v>
      </c>
      <c r="M5536" t="s">
        <v>6608</v>
      </c>
      <c r="N5536" s="15" t="s">
        <v>6878</v>
      </c>
    </row>
    <row r="5537" spans="1:14" x14ac:dyDescent="0.2">
      <c r="A5537" t="s">
        <v>6671</v>
      </c>
      <c r="B5537" t="s">
        <v>2360</v>
      </c>
      <c r="C5537" s="9">
        <v>45079</v>
      </c>
      <c r="D5537" t="s">
        <v>1012</v>
      </c>
      <c r="E5537" s="13">
        <v>2450000</v>
      </c>
      <c r="F5537" s="13">
        <v>108780</v>
      </c>
      <c r="G5537" s="9">
        <v>45081</v>
      </c>
      <c r="H5537" t="s">
        <v>1111</v>
      </c>
      <c r="I5537" t="s">
        <v>303</v>
      </c>
      <c r="J5537" s="13">
        <v>27750</v>
      </c>
      <c r="K5537">
        <v>1</v>
      </c>
      <c r="L5537" t="s">
        <v>1064</v>
      </c>
      <c r="M5537" t="s">
        <v>6608</v>
      </c>
      <c r="N5537" s="15" t="s">
        <v>6878</v>
      </c>
    </row>
    <row r="5538" spans="1:14" x14ac:dyDescent="0.2">
      <c r="A5538" t="s">
        <v>6672</v>
      </c>
      <c r="B5538" t="s">
        <v>2360</v>
      </c>
      <c r="C5538" s="9">
        <v>45079</v>
      </c>
      <c r="D5538" t="s">
        <v>1012</v>
      </c>
      <c r="E5538" s="13">
        <v>2800000</v>
      </c>
      <c r="F5538" s="13">
        <v>124320</v>
      </c>
      <c r="G5538" s="9">
        <v>45081</v>
      </c>
      <c r="H5538" t="s">
        <v>1111</v>
      </c>
      <c r="I5538" t="s">
        <v>303</v>
      </c>
      <c r="J5538" s="13">
        <v>27750</v>
      </c>
      <c r="K5538">
        <v>1</v>
      </c>
      <c r="L5538" t="s">
        <v>1064</v>
      </c>
      <c r="M5538" t="s">
        <v>6608</v>
      </c>
      <c r="N5538" s="15" t="s">
        <v>6878</v>
      </c>
    </row>
    <row r="5539" spans="1:14" x14ac:dyDescent="0.2">
      <c r="A5539" t="s">
        <v>6673</v>
      </c>
      <c r="B5539" t="s">
        <v>2360</v>
      </c>
      <c r="C5539" s="9">
        <v>45079</v>
      </c>
      <c r="D5539" t="s">
        <v>1012</v>
      </c>
      <c r="E5539" s="13">
        <v>2700000</v>
      </c>
      <c r="F5539" s="13"/>
      <c r="H5539" t="s">
        <v>2272</v>
      </c>
      <c r="I5539" t="s">
        <v>303</v>
      </c>
      <c r="J5539" s="13">
        <v>0</v>
      </c>
      <c r="K5539">
        <v>1</v>
      </c>
      <c r="L5539" t="s">
        <v>1064</v>
      </c>
      <c r="M5539" t="s">
        <v>6608</v>
      </c>
      <c r="N5539" s="14" t="s">
        <v>6877</v>
      </c>
    </row>
    <row r="5540" spans="1:14" x14ac:dyDescent="0.2">
      <c r="A5540" t="s">
        <v>6674</v>
      </c>
      <c r="B5540" t="s">
        <v>2360</v>
      </c>
      <c r="C5540" s="9">
        <v>45079</v>
      </c>
      <c r="D5540" t="s">
        <v>1012</v>
      </c>
      <c r="E5540" s="13">
        <v>2450000</v>
      </c>
      <c r="F5540" s="13">
        <v>108780</v>
      </c>
      <c r="G5540" s="9">
        <v>45081</v>
      </c>
      <c r="H5540" t="s">
        <v>1111</v>
      </c>
      <c r="I5540" t="s">
        <v>303</v>
      </c>
      <c r="J5540" s="13">
        <v>27750</v>
      </c>
      <c r="K5540">
        <v>1</v>
      </c>
      <c r="L5540" t="s">
        <v>1064</v>
      </c>
      <c r="M5540" t="s">
        <v>6608</v>
      </c>
      <c r="N5540" s="15" t="s">
        <v>6878</v>
      </c>
    </row>
    <row r="5541" spans="1:14" x14ac:dyDescent="0.2">
      <c r="A5541" t="s">
        <v>6675</v>
      </c>
      <c r="B5541" t="s">
        <v>2360</v>
      </c>
      <c r="C5541" s="9">
        <v>45079</v>
      </c>
      <c r="D5541" t="s">
        <v>1012</v>
      </c>
      <c r="E5541" s="13">
        <v>2800000</v>
      </c>
      <c r="F5541" s="13"/>
      <c r="H5541" t="s">
        <v>2272</v>
      </c>
      <c r="I5541" t="s">
        <v>303</v>
      </c>
      <c r="J5541" s="13">
        <v>0</v>
      </c>
      <c r="K5541">
        <v>1</v>
      </c>
      <c r="L5541" t="s">
        <v>1064</v>
      </c>
      <c r="M5541" t="s">
        <v>6608</v>
      </c>
      <c r="N5541" s="14" t="s">
        <v>6877</v>
      </c>
    </row>
    <row r="5542" spans="1:14" x14ac:dyDescent="0.2">
      <c r="A5542" t="s">
        <v>6676</v>
      </c>
      <c r="B5542" t="s">
        <v>2360</v>
      </c>
      <c r="C5542" s="9">
        <v>45079</v>
      </c>
      <c r="D5542" t="s">
        <v>1012</v>
      </c>
      <c r="E5542" s="13">
        <v>2700000</v>
      </c>
      <c r="F5542" s="13"/>
      <c r="H5542" t="s">
        <v>2272</v>
      </c>
      <c r="I5542" t="s">
        <v>303</v>
      </c>
      <c r="J5542" s="13">
        <v>0</v>
      </c>
      <c r="K5542">
        <v>1</v>
      </c>
      <c r="L5542" t="s">
        <v>1064</v>
      </c>
      <c r="M5542" t="s">
        <v>6608</v>
      </c>
      <c r="N5542" s="14" t="s">
        <v>6877</v>
      </c>
    </row>
    <row r="5543" spans="1:14" x14ac:dyDescent="0.2">
      <c r="A5543" t="s">
        <v>6677</v>
      </c>
      <c r="B5543" t="s">
        <v>2360</v>
      </c>
      <c r="C5543" s="9">
        <v>45079</v>
      </c>
      <c r="D5543" t="s">
        <v>1012</v>
      </c>
      <c r="E5543" s="13">
        <v>2450000</v>
      </c>
      <c r="F5543" s="13"/>
      <c r="H5543" t="s">
        <v>1659</v>
      </c>
      <c r="I5543" t="s">
        <v>303</v>
      </c>
      <c r="J5543" s="13">
        <v>0</v>
      </c>
      <c r="K5543">
        <v>1</v>
      </c>
      <c r="L5543" t="s">
        <v>1064</v>
      </c>
      <c r="M5543" t="s">
        <v>6608</v>
      </c>
      <c r="N5543" s="14" t="s">
        <v>6877</v>
      </c>
    </row>
    <row r="5544" spans="1:14" x14ac:dyDescent="0.2">
      <c r="A5544" t="s">
        <v>6678</v>
      </c>
      <c r="B5544" t="s">
        <v>2360</v>
      </c>
      <c r="C5544" s="9">
        <v>45079</v>
      </c>
      <c r="D5544" t="s">
        <v>1012</v>
      </c>
      <c r="E5544" s="13">
        <v>2800000</v>
      </c>
      <c r="F5544" s="13"/>
      <c r="H5544" t="s">
        <v>1659</v>
      </c>
      <c r="I5544" t="s">
        <v>303</v>
      </c>
      <c r="J5544" s="13">
        <v>0</v>
      </c>
      <c r="K5544">
        <v>1</v>
      </c>
      <c r="L5544" t="s">
        <v>1064</v>
      </c>
      <c r="M5544" t="s">
        <v>6608</v>
      </c>
      <c r="N5544" s="14" t="s">
        <v>6877</v>
      </c>
    </row>
    <row r="5545" spans="1:14" x14ac:dyDescent="0.2">
      <c r="A5545" t="s">
        <v>6679</v>
      </c>
      <c r="B5545" t="s">
        <v>2360</v>
      </c>
      <c r="C5545" s="9">
        <v>45079</v>
      </c>
      <c r="D5545" t="s">
        <v>1012</v>
      </c>
      <c r="E5545" s="13">
        <v>2700000</v>
      </c>
      <c r="F5545" s="13"/>
      <c r="H5545" t="s">
        <v>2272</v>
      </c>
      <c r="I5545" t="s">
        <v>303</v>
      </c>
      <c r="J5545" s="13">
        <v>0</v>
      </c>
      <c r="K5545">
        <v>1</v>
      </c>
      <c r="L5545" t="s">
        <v>1064</v>
      </c>
      <c r="M5545" t="s">
        <v>6608</v>
      </c>
      <c r="N5545" s="14" t="s">
        <v>6877</v>
      </c>
    </row>
    <row r="5546" spans="1:14" x14ac:dyDescent="0.2">
      <c r="A5546" t="s">
        <v>6680</v>
      </c>
      <c r="B5546" t="s">
        <v>2360</v>
      </c>
      <c r="C5546" s="9">
        <v>45079</v>
      </c>
      <c r="D5546" t="s">
        <v>1012</v>
      </c>
      <c r="E5546" s="13">
        <v>2450000</v>
      </c>
      <c r="F5546" s="13"/>
      <c r="H5546" t="s">
        <v>1659</v>
      </c>
      <c r="I5546" t="s">
        <v>303</v>
      </c>
      <c r="J5546" s="13">
        <v>0</v>
      </c>
      <c r="K5546">
        <v>1</v>
      </c>
      <c r="L5546" t="s">
        <v>1064</v>
      </c>
      <c r="M5546" t="s">
        <v>6608</v>
      </c>
      <c r="N5546" s="14" t="s">
        <v>6877</v>
      </c>
    </row>
    <row r="5547" spans="1:14" x14ac:dyDescent="0.2">
      <c r="A5547" t="s">
        <v>6681</v>
      </c>
      <c r="B5547" t="s">
        <v>2360</v>
      </c>
      <c r="C5547" s="9">
        <v>45079</v>
      </c>
      <c r="D5547" t="s">
        <v>1012</v>
      </c>
      <c r="E5547" s="13">
        <v>2800000</v>
      </c>
      <c r="F5547" s="13"/>
      <c r="H5547" t="s">
        <v>1659</v>
      </c>
      <c r="I5547" t="s">
        <v>303</v>
      </c>
      <c r="J5547" s="13">
        <v>0</v>
      </c>
      <c r="K5547">
        <v>1</v>
      </c>
      <c r="L5547" t="s">
        <v>1064</v>
      </c>
      <c r="M5547" t="s">
        <v>6608</v>
      </c>
      <c r="N5547" s="14" t="s">
        <v>6877</v>
      </c>
    </row>
    <row r="5548" spans="1:14" x14ac:dyDescent="0.2">
      <c r="A5548" t="s">
        <v>6682</v>
      </c>
      <c r="B5548" t="s">
        <v>2360</v>
      </c>
      <c r="C5548" s="9">
        <v>45079</v>
      </c>
      <c r="D5548" t="s">
        <v>1012</v>
      </c>
      <c r="E5548" s="13">
        <v>2700000</v>
      </c>
      <c r="F5548" s="13"/>
      <c r="H5548" t="s">
        <v>1659</v>
      </c>
      <c r="I5548" t="s">
        <v>303</v>
      </c>
      <c r="J5548" s="13">
        <v>0</v>
      </c>
      <c r="K5548">
        <v>1</v>
      </c>
      <c r="L5548" t="s">
        <v>1064</v>
      </c>
      <c r="M5548" t="s">
        <v>6608</v>
      </c>
      <c r="N5548" s="14" t="s">
        <v>6877</v>
      </c>
    </row>
    <row r="5549" spans="1:14" x14ac:dyDescent="0.2">
      <c r="A5549" t="s">
        <v>6683</v>
      </c>
      <c r="B5549" t="s">
        <v>2360</v>
      </c>
      <c r="C5549" s="9">
        <v>45079</v>
      </c>
      <c r="D5549" t="s">
        <v>1012</v>
      </c>
      <c r="E5549" s="13">
        <v>2450000</v>
      </c>
      <c r="F5549" s="13">
        <v>108780</v>
      </c>
      <c r="G5549" s="9">
        <v>45086</v>
      </c>
      <c r="H5549" t="s">
        <v>1111</v>
      </c>
      <c r="I5549" t="s">
        <v>303</v>
      </c>
      <c r="J5549" s="13">
        <v>27750</v>
      </c>
      <c r="K5549">
        <v>1</v>
      </c>
      <c r="L5549" t="s">
        <v>1064</v>
      </c>
      <c r="M5549" t="s">
        <v>6608</v>
      </c>
      <c r="N5549" s="15" t="s">
        <v>6878</v>
      </c>
    </row>
    <row r="5550" spans="1:14" x14ac:dyDescent="0.2">
      <c r="A5550" t="s">
        <v>6684</v>
      </c>
      <c r="B5550" t="s">
        <v>2360</v>
      </c>
      <c r="C5550" s="9">
        <v>45079</v>
      </c>
      <c r="D5550" t="s">
        <v>1012</v>
      </c>
      <c r="E5550" s="13">
        <v>2800000</v>
      </c>
      <c r="F5550" s="13">
        <v>124320</v>
      </c>
      <c r="G5550" s="9">
        <v>45086</v>
      </c>
      <c r="H5550" t="s">
        <v>1111</v>
      </c>
      <c r="I5550" t="s">
        <v>303</v>
      </c>
      <c r="J5550" s="13">
        <v>27750</v>
      </c>
      <c r="K5550">
        <v>1</v>
      </c>
      <c r="L5550" t="s">
        <v>1064</v>
      </c>
      <c r="M5550" t="s">
        <v>6608</v>
      </c>
      <c r="N5550" s="15" t="s">
        <v>6878</v>
      </c>
    </row>
    <row r="5551" spans="1:14" x14ac:dyDescent="0.2">
      <c r="A5551" t="s">
        <v>6685</v>
      </c>
      <c r="B5551" t="s">
        <v>2360</v>
      </c>
      <c r="C5551" s="9">
        <v>45079</v>
      </c>
      <c r="D5551" t="s">
        <v>1012</v>
      </c>
      <c r="E5551" s="13">
        <v>2700000</v>
      </c>
      <c r="F5551" s="13">
        <v>119880</v>
      </c>
      <c r="G5551" s="9">
        <v>45086</v>
      </c>
      <c r="H5551" t="s">
        <v>1111</v>
      </c>
      <c r="I5551" t="s">
        <v>303</v>
      </c>
      <c r="J5551" s="13">
        <v>27750</v>
      </c>
      <c r="K5551">
        <v>1</v>
      </c>
      <c r="L5551" t="s">
        <v>1064</v>
      </c>
      <c r="M5551" t="s">
        <v>6608</v>
      </c>
      <c r="N5551" s="15" t="s">
        <v>6878</v>
      </c>
    </row>
    <row r="5552" spans="1:14" x14ac:dyDescent="0.2">
      <c r="A5552" t="s">
        <v>6686</v>
      </c>
      <c r="B5552" t="s">
        <v>2360</v>
      </c>
      <c r="C5552" s="9">
        <v>45079</v>
      </c>
      <c r="D5552" t="s">
        <v>1012</v>
      </c>
      <c r="E5552" s="13">
        <v>2450000</v>
      </c>
      <c r="F5552" s="13">
        <v>108780</v>
      </c>
      <c r="G5552" s="9">
        <v>45086</v>
      </c>
      <c r="H5552" t="s">
        <v>1111</v>
      </c>
      <c r="I5552" t="s">
        <v>303</v>
      </c>
      <c r="J5552" s="13">
        <v>27750</v>
      </c>
      <c r="K5552">
        <v>1</v>
      </c>
      <c r="L5552" t="s">
        <v>1064</v>
      </c>
      <c r="M5552" t="s">
        <v>6608</v>
      </c>
      <c r="N5552" s="15" t="s">
        <v>6878</v>
      </c>
    </row>
    <row r="5553" spans="1:14" x14ac:dyDescent="0.2">
      <c r="A5553" t="s">
        <v>6687</v>
      </c>
      <c r="B5553" t="s">
        <v>2360</v>
      </c>
      <c r="C5553" s="9">
        <v>45079</v>
      </c>
      <c r="D5553" t="s">
        <v>1012</v>
      </c>
      <c r="E5553" s="13">
        <v>2800000</v>
      </c>
      <c r="F5553" s="13">
        <v>124320</v>
      </c>
      <c r="G5553" s="9">
        <v>45086</v>
      </c>
      <c r="H5553" t="s">
        <v>1111</v>
      </c>
      <c r="I5553" t="s">
        <v>303</v>
      </c>
      <c r="J5553" s="13">
        <v>27750</v>
      </c>
      <c r="K5553">
        <v>1</v>
      </c>
      <c r="L5553" t="s">
        <v>1064</v>
      </c>
      <c r="M5553" t="s">
        <v>6608</v>
      </c>
      <c r="N5553" s="15" t="s">
        <v>6878</v>
      </c>
    </row>
    <row r="5554" spans="1:14" x14ac:dyDescent="0.2">
      <c r="A5554" t="s">
        <v>6688</v>
      </c>
      <c r="B5554" t="s">
        <v>2360</v>
      </c>
      <c r="C5554" s="9">
        <v>45079</v>
      </c>
      <c r="D5554" t="s">
        <v>1012</v>
      </c>
      <c r="E5554" s="13">
        <v>2700000</v>
      </c>
      <c r="F5554" s="13">
        <v>119880</v>
      </c>
      <c r="G5554" s="9">
        <v>45086</v>
      </c>
      <c r="H5554" t="s">
        <v>1111</v>
      </c>
      <c r="I5554" t="s">
        <v>303</v>
      </c>
      <c r="J5554" s="13">
        <v>27750</v>
      </c>
      <c r="K5554">
        <v>1</v>
      </c>
      <c r="L5554" t="s">
        <v>1064</v>
      </c>
      <c r="M5554" t="s">
        <v>6608</v>
      </c>
      <c r="N5554" s="15" t="s">
        <v>6878</v>
      </c>
    </row>
    <row r="5555" spans="1:14" x14ac:dyDescent="0.2">
      <c r="A5555" t="s">
        <v>6689</v>
      </c>
      <c r="B5555" t="s">
        <v>2360</v>
      </c>
      <c r="C5555" s="9">
        <v>45079</v>
      </c>
      <c r="D5555" t="s">
        <v>1012</v>
      </c>
      <c r="E5555" s="13">
        <v>2450000</v>
      </c>
      <c r="F5555" s="13">
        <v>108780</v>
      </c>
      <c r="G5555" s="9">
        <v>45086</v>
      </c>
      <c r="H5555" t="s">
        <v>1111</v>
      </c>
      <c r="I5555" t="s">
        <v>303</v>
      </c>
      <c r="J5555" s="13">
        <v>27750</v>
      </c>
      <c r="K5555">
        <v>1</v>
      </c>
      <c r="L5555" t="s">
        <v>1064</v>
      </c>
      <c r="M5555" t="s">
        <v>6608</v>
      </c>
      <c r="N5555" s="15" t="s">
        <v>6878</v>
      </c>
    </row>
    <row r="5556" spans="1:14" x14ac:dyDescent="0.2">
      <c r="A5556" t="s">
        <v>6690</v>
      </c>
      <c r="B5556" t="s">
        <v>2360</v>
      </c>
      <c r="C5556" s="9">
        <v>45079</v>
      </c>
      <c r="D5556" t="s">
        <v>1012</v>
      </c>
      <c r="E5556" s="13">
        <v>2800000</v>
      </c>
      <c r="F5556" s="13">
        <v>124320</v>
      </c>
      <c r="G5556" s="9">
        <v>45086</v>
      </c>
      <c r="H5556" t="s">
        <v>1111</v>
      </c>
      <c r="I5556" t="s">
        <v>303</v>
      </c>
      <c r="J5556" s="13">
        <v>27750</v>
      </c>
      <c r="K5556">
        <v>1</v>
      </c>
      <c r="L5556" t="s">
        <v>1064</v>
      </c>
      <c r="M5556" t="s">
        <v>6608</v>
      </c>
      <c r="N5556" s="15" t="s">
        <v>6878</v>
      </c>
    </row>
    <row r="5557" spans="1:14" x14ac:dyDescent="0.2">
      <c r="A5557" t="s">
        <v>6691</v>
      </c>
      <c r="B5557" t="s">
        <v>2360</v>
      </c>
      <c r="C5557" s="9">
        <v>45079</v>
      </c>
      <c r="D5557" t="s">
        <v>1012</v>
      </c>
      <c r="E5557" s="13">
        <v>2700000</v>
      </c>
      <c r="F5557" s="13">
        <v>119880</v>
      </c>
      <c r="G5557" s="9">
        <v>45086</v>
      </c>
      <c r="H5557" t="s">
        <v>1111</v>
      </c>
      <c r="I5557" t="s">
        <v>303</v>
      </c>
      <c r="J5557" s="13">
        <v>27750</v>
      </c>
      <c r="K5557">
        <v>1</v>
      </c>
      <c r="L5557" t="s">
        <v>1064</v>
      </c>
      <c r="M5557" t="s">
        <v>6608</v>
      </c>
      <c r="N5557" s="15" t="s">
        <v>6878</v>
      </c>
    </row>
    <row r="5558" spans="1:14" x14ac:dyDescent="0.2">
      <c r="A5558" t="s">
        <v>6692</v>
      </c>
      <c r="B5558" t="s">
        <v>2360</v>
      </c>
      <c r="C5558" s="9">
        <v>45079</v>
      </c>
      <c r="D5558" t="s">
        <v>1012</v>
      </c>
      <c r="E5558" s="13">
        <v>2450000</v>
      </c>
      <c r="F5558" s="13">
        <v>108780</v>
      </c>
      <c r="G5558" s="9">
        <v>45086</v>
      </c>
      <c r="H5558" t="s">
        <v>1111</v>
      </c>
      <c r="I5558" t="s">
        <v>303</v>
      </c>
      <c r="J5558" s="13">
        <v>27750</v>
      </c>
      <c r="K5558">
        <v>1</v>
      </c>
      <c r="L5558" t="s">
        <v>1064</v>
      </c>
      <c r="M5558" t="s">
        <v>6608</v>
      </c>
      <c r="N5558" s="15" t="s">
        <v>6878</v>
      </c>
    </row>
    <row r="5559" spans="1:14" x14ac:dyDescent="0.2">
      <c r="A5559" t="s">
        <v>6693</v>
      </c>
      <c r="B5559" t="s">
        <v>2360</v>
      </c>
      <c r="C5559" s="9">
        <v>45079</v>
      </c>
      <c r="D5559" t="s">
        <v>1012</v>
      </c>
      <c r="E5559" s="13">
        <v>2800000</v>
      </c>
      <c r="F5559" s="13">
        <v>124320</v>
      </c>
      <c r="G5559" s="9">
        <v>45086</v>
      </c>
      <c r="H5559" t="s">
        <v>1111</v>
      </c>
      <c r="I5559" t="s">
        <v>303</v>
      </c>
      <c r="J5559" s="13">
        <v>27750</v>
      </c>
      <c r="K5559">
        <v>1</v>
      </c>
      <c r="L5559" t="s">
        <v>1064</v>
      </c>
      <c r="M5559" t="s">
        <v>6608</v>
      </c>
      <c r="N5559" s="15" t="s">
        <v>6878</v>
      </c>
    </row>
    <row r="5560" spans="1:14" x14ac:dyDescent="0.2">
      <c r="A5560" t="s">
        <v>6694</v>
      </c>
      <c r="B5560" t="s">
        <v>2360</v>
      </c>
      <c r="C5560" s="9">
        <v>45079</v>
      </c>
      <c r="D5560" t="s">
        <v>1012</v>
      </c>
      <c r="E5560" s="13">
        <v>2700000</v>
      </c>
      <c r="F5560" s="13">
        <v>119880</v>
      </c>
      <c r="G5560" s="9">
        <v>45086</v>
      </c>
      <c r="H5560" t="s">
        <v>1111</v>
      </c>
      <c r="I5560" t="s">
        <v>303</v>
      </c>
      <c r="J5560" s="13">
        <v>27750</v>
      </c>
      <c r="K5560">
        <v>1</v>
      </c>
      <c r="L5560" t="s">
        <v>1064</v>
      </c>
      <c r="M5560" t="s">
        <v>6608</v>
      </c>
      <c r="N5560" s="15" t="s">
        <v>6878</v>
      </c>
    </row>
    <row r="5561" spans="1:14" x14ac:dyDescent="0.2">
      <c r="A5561" t="s">
        <v>6695</v>
      </c>
      <c r="B5561" t="s">
        <v>2360</v>
      </c>
      <c r="C5561" s="9">
        <v>45079</v>
      </c>
      <c r="D5561" t="s">
        <v>1012</v>
      </c>
      <c r="E5561" s="13">
        <v>2450000</v>
      </c>
      <c r="F5561" s="13">
        <v>108780</v>
      </c>
      <c r="G5561" s="9">
        <v>45086</v>
      </c>
      <c r="H5561" t="s">
        <v>1111</v>
      </c>
      <c r="I5561" t="s">
        <v>303</v>
      </c>
      <c r="J5561" s="13">
        <v>27750</v>
      </c>
      <c r="K5561">
        <v>1</v>
      </c>
      <c r="L5561" t="s">
        <v>1064</v>
      </c>
      <c r="M5561" t="s">
        <v>6608</v>
      </c>
      <c r="N5561" s="15" t="s">
        <v>6878</v>
      </c>
    </row>
    <row r="5562" spans="1:14" x14ac:dyDescent="0.2">
      <c r="A5562" t="s">
        <v>6696</v>
      </c>
      <c r="B5562" t="s">
        <v>2360</v>
      </c>
      <c r="C5562" s="9">
        <v>45079</v>
      </c>
      <c r="D5562" t="s">
        <v>1012</v>
      </c>
      <c r="E5562" s="13">
        <v>2800000</v>
      </c>
      <c r="F5562" s="13">
        <v>124320</v>
      </c>
      <c r="G5562" s="9">
        <v>45086</v>
      </c>
      <c r="H5562" t="s">
        <v>1111</v>
      </c>
      <c r="I5562" t="s">
        <v>303</v>
      </c>
      <c r="J5562" s="13">
        <v>27750</v>
      </c>
      <c r="K5562">
        <v>1</v>
      </c>
      <c r="L5562" t="s">
        <v>1064</v>
      </c>
      <c r="M5562" t="s">
        <v>6608</v>
      </c>
      <c r="N5562" s="15" t="s">
        <v>6878</v>
      </c>
    </row>
    <row r="5563" spans="1:14" x14ac:dyDescent="0.2">
      <c r="A5563" t="s">
        <v>6697</v>
      </c>
      <c r="B5563" t="s">
        <v>2360</v>
      </c>
      <c r="C5563" s="9">
        <v>45079</v>
      </c>
      <c r="D5563" t="s">
        <v>1012</v>
      </c>
      <c r="E5563" s="13">
        <v>2450000</v>
      </c>
      <c r="F5563" s="13">
        <v>108780</v>
      </c>
      <c r="G5563" s="9">
        <v>45086</v>
      </c>
      <c r="H5563" t="s">
        <v>1111</v>
      </c>
      <c r="I5563" t="s">
        <v>303</v>
      </c>
      <c r="J5563" s="13">
        <v>27750</v>
      </c>
      <c r="K5563">
        <v>1</v>
      </c>
      <c r="L5563" t="s">
        <v>1064</v>
      </c>
      <c r="M5563" t="s">
        <v>6608</v>
      </c>
      <c r="N5563" s="15" t="s">
        <v>6878</v>
      </c>
    </row>
    <row r="5564" spans="1:14" x14ac:dyDescent="0.2">
      <c r="A5564" t="s">
        <v>6698</v>
      </c>
      <c r="B5564" t="s">
        <v>2360</v>
      </c>
      <c r="C5564" s="9">
        <v>45079</v>
      </c>
      <c r="D5564" t="s">
        <v>1012</v>
      </c>
      <c r="E5564" s="13">
        <v>2800000</v>
      </c>
      <c r="F5564" s="13">
        <v>124320</v>
      </c>
      <c r="G5564" s="9">
        <v>45086</v>
      </c>
      <c r="H5564" t="s">
        <v>1111</v>
      </c>
      <c r="I5564" t="s">
        <v>303</v>
      </c>
      <c r="J5564" s="13">
        <v>27750</v>
      </c>
      <c r="K5564">
        <v>1</v>
      </c>
      <c r="L5564" t="s">
        <v>1064</v>
      </c>
      <c r="M5564" t="s">
        <v>6608</v>
      </c>
      <c r="N5564" s="15" t="s">
        <v>6878</v>
      </c>
    </row>
    <row r="5565" spans="1:14" x14ac:dyDescent="0.2">
      <c r="A5565" t="s">
        <v>6699</v>
      </c>
      <c r="B5565" t="s">
        <v>2360</v>
      </c>
      <c r="C5565" s="9">
        <v>45079</v>
      </c>
      <c r="D5565" t="s">
        <v>1012</v>
      </c>
      <c r="E5565" s="13">
        <v>2700000</v>
      </c>
      <c r="F5565" s="13">
        <v>119880</v>
      </c>
      <c r="G5565" s="9">
        <v>45086</v>
      </c>
      <c r="H5565" t="s">
        <v>1111</v>
      </c>
      <c r="I5565" t="s">
        <v>303</v>
      </c>
      <c r="J5565" s="13">
        <v>27750</v>
      </c>
      <c r="K5565">
        <v>1</v>
      </c>
      <c r="L5565" t="s">
        <v>1064</v>
      </c>
      <c r="M5565" t="s">
        <v>6608</v>
      </c>
      <c r="N5565" s="15" t="s">
        <v>6878</v>
      </c>
    </row>
    <row r="5566" spans="1:14" x14ac:dyDescent="0.2">
      <c r="A5566" t="s">
        <v>1013</v>
      </c>
      <c r="B5566" t="s">
        <v>2360</v>
      </c>
      <c r="C5566" s="9">
        <v>45079</v>
      </c>
      <c r="D5566" t="s">
        <v>1012</v>
      </c>
      <c r="E5566" s="13">
        <v>2450000</v>
      </c>
      <c r="F5566" s="13">
        <v>108780</v>
      </c>
      <c r="G5566" s="9">
        <v>45086</v>
      </c>
      <c r="H5566" t="s">
        <v>1111</v>
      </c>
      <c r="I5566" t="s">
        <v>303</v>
      </c>
      <c r="J5566" s="13">
        <v>27750</v>
      </c>
      <c r="K5566">
        <v>1</v>
      </c>
      <c r="L5566" t="s">
        <v>1064</v>
      </c>
      <c r="M5566" t="s">
        <v>6608</v>
      </c>
      <c r="N5566" s="15" t="s">
        <v>6878</v>
      </c>
    </row>
    <row r="5567" spans="1:14" x14ac:dyDescent="0.2">
      <c r="A5567" t="s">
        <v>6700</v>
      </c>
      <c r="B5567" t="s">
        <v>2360</v>
      </c>
      <c r="C5567" s="9">
        <v>45080</v>
      </c>
      <c r="D5567" t="s">
        <v>321</v>
      </c>
      <c r="E5567" s="13">
        <v>5100000</v>
      </c>
      <c r="F5567" s="13">
        <v>25000</v>
      </c>
      <c r="H5567" t="s">
        <v>1185</v>
      </c>
      <c r="I5567" t="s">
        <v>821</v>
      </c>
      <c r="J5567" s="13">
        <v>0</v>
      </c>
      <c r="K5567">
        <v>3</v>
      </c>
      <c r="L5567" t="s">
        <v>1064</v>
      </c>
      <c r="M5567" t="s">
        <v>6610</v>
      </c>
      <c r="N5567" s="14" t="s">
        <v>6877</v>
      </c>
    </row>
    <row r="5568" spans="1:14" x14ac:dyDescent="0.2">
      <c r="A5568" t="s">
        <v>6701</v>
      </c>
      <c r="B5568" t="s">
        <v>2360</v>
      </c>
      <c r="C5568" s="9">
        <v>45080</v>
      </c>
      <c r="D5568" t="s">
        <v>981</v>
      </c>
      <c r="E5568" s="13">
        <v>8250000</v>
      </c>
      <c r="F5568" s="13">
        <v>27750</v>
      </c>
      <c r="G5568" s="9">
        <v>45080</v>
      </c>
      <c r="H5568" t="s">
        <v>1111</v>
      </c>
      <c r="I5568" t="s">
        <v>4222</v>
      </c>
      <c r="J5568" s="13">
        <v>366300</v>
      </c>
      <c r="K5568">
        <v>1</v>
      </c>
      <c r="L5568" t="s">
        <v>1064</v>
      </c>
      <c r="M5568" t="s">
        <v>4223</v>
      </c>
      <c r="N5568" s="15" t="s">
        <v>6878</v>
      </c>
    </row>
    <row r="5569" spans="1:14" x14ac:dyDescent="0.2">
      <c r="A5569" t="s">
        <v>6702</v>
      </c>
      <c r="B5569" t="s">
        <v>2360</v>
      </c>
      <c r="C5569" s="9">
        <v>45080</v>
      </c>
      <c r="D5569" t="s">
        <v>981</v>
      </c>
      <c r="E5569" s="13">
        <v>1655000</v>
      </c>
      <c r="F5569" s="13">
        <v>27750</v>
      </c>
      <c r="G5569" s="9">
        <v>45080</v>
      </c>
      <c r="H5569" t="s">
        <v>1111</v>
      </c>
      <c r="I5569" t="s">
        <v>4222</v>
      </c>
      <c r="J5569" s="13">
        <v>73482</v>
      </c>
      <c r="K5569">
        <v>1</v>
      </c>
      <c r="L5569" t="s">
        <v>1064</v>
      </c>
      <c r="M5569" t="s">
        <v>4223</v>
      </c>
      <c r="N5569" s="15" t="s">
        <v>6878</v>
      </c>
    </row>
    <row r="5570" spans="1:14" x14ac:dyDescent="0.2">
      <c r="A5570" t="s">
        <v>6703</v>
      </c>
      <c r="B5570" t="s">
        <v>2360</v>
      </c>
      <c r="C5570" s="9">
        <v>45080</v>
      </c>
      <c r="D5570" t="s">
        <v>981</v>
      </c>
      <c r="E5570" s="13">
        <v>1880000</v>
      </c>
      <c r="F5570" s="13">
        <v>27750</v>
      </c>
      <c r="G5570" s="9">
        <v>45080</v>
      </c>
      <c r="H5570" t="s">
        <v>1111</v>
      </c>
      <c r="I5570" t="s">
        <v>4222</v>
      </c>
      <c r="J5570" s="13">
        <v>83472</v>
      </c>
      <c r="K5570">
        <v>1</v>
      </c>
      <c r="L5570" t="s">
        <v>1064</v>
      </c>
      <c r="M5570" t="s">
        <v>4223</v>
      </c>
      <c r="N5570" s="15" t="s">
        <v>6878</v>
      </c>
    </row>
    <row r="5571" spans="1:14" x14ac:dyDescent="0.2">
      <c r="A5571" t="s">
        <v>6704</v>
      </c>
      <c r="B5571" t="s">
        <v>2360</v>
      </c>
      <c r="C5571" s="9">
        <v>45080</v>
      </c>
      <c r="D5571" t="s">
        <v>321</v>
      </c>
      <c r="E5571" s="13">
        <v>44000000</v>
      </c>
      <c r="F5571" s="13">
        <v>27750</v>
      </c>
      <c r="G5571" s="9">
        <v>45080</v>
      </c>
      <c r="H5571" t="s">
        <v>1111</v>
      </c>
      <c r="I5571" t="s">
        <v>821</v>
      </c>
      <c r="J5571" s="13">
        <v>1221000</v>
      </c>
      <c r="K5571">
        <v>1</v>
      </c>
      <c r="L5571" t="s">
        <v>1064</v>
      </c>
      <c r="M5571" t="s">
        <v>6610</v>
      </c>
      <c r="N5571" s="15" t="s">
        <v>6878</v>
      </c>
    </row>
    <row r="5572" spans="1:14" x14ac:dyDescent="0.2">
      <c r="A5572" t="s">
        <v>6705</v>
      </c>
      <c r="B5572" t="s">
        <v>2360</v>
      </c>
      <c r="C5572" s="9">
        <v>45080</v>
      </c>
      <c r="D5572" t="s">
        <v>981</v>
      </c>
      <c r="E5572" s="13">
        <v>1815000</v>
      </c>
      <c r="F5572" s="13">
        <v>27750</v>
      </c>
      <c r="G5572" s="9">
        <v>45080</v>
      </c>
      <c r="H5572" t="s">
        <v>1111</v>
      </c>
      <c r="I5572" t="s">
        <v>4222</v>
      </c>
      <c r="J5572" s="13">
        <v>80586</v>
      </c>
      <c r="K5572">
        <v>1</v>
      </c>
      <c r="L5572" t="s">
        <v>1064</v>
      </c>
      <c r="M5572" t="s">
        <v>4223</v>
      </c>
      <c r="N5572" s="15" t="s">
        <v>6878</v>
      </c>
    </row>
    <row r="5573" spans="1:14" x14ac:dyDescent="0.2">
      <c r="A5573" t="s">
        <v>6706</v>
      </c>
      <c r="B5573" t="s">
        <v>2360</v>
      </c>
      <c r="C5573" s="9">
        <v>45080</v>
      </c>
      <c r="D5573" t="s">
        <v>981</v>
      </c>
      <c r="E5573" s="13">
        <v>1880000</v>
      </c>
      <c r="F5573" s="13">
        <v>27750</v>
      </c>
      <c r="G5573" s="9">
        <v>45080</v>
      </c>
      <c r="H5573" t="s">
        <v>1111</v>
      </c>
      <c r="I5573" t="s">
        <v>4222</v>
      </c>
      <c r="J5573" s="13">
        <v>83472</v>
      </c>
      <c r="K5573">
        <v>1</v>
      </c>
      <c r="L5573" t="s">
        <v>1064</v>
      </c>
      <c r="M5573" t="s">
        <v>4223</v>
      </c>
      <c r="N5573" s="15" t="s">
        <v>6878</v>
      </c>
    </row>
    <row r="5574" spans="1:14" x14ac:dyDescent="0.2">
      <c r="A5574" t="s">
        <v>6707</v>
      </c>
      <c r="B5574" t="s">
        <v>2360</v>
      </c>
      <c r="C5574" s="9">
        <v>45080</v>
      </c>
      <c r="D5574" t="s">
        <v>981</v>
      </c>
      <c r="E5574" s="13">
        <v>3250000</v>
      </c>
      <c r="F5574" s="13">
        <v>27750</v>
      </c>
      <c r="G5574" s="9">
        <v>45080</v>
      </c>
      <c r="H5574" t="s">
        <v>1111</v>
      </c>
      <c r="I5574" t="s">
        <v>4222</v>
      </c>
      <c r="J5574" s="13">
        <v>144300</v>
      </c>
      <c r="K5574">
        <v>1</v>
      </c>
      <c r="L5574" t="s">
        <v>1064</v>
      </c>
      <c r="M5574" t="s">
        <v>4223</v>
      </c>
      <c r="N5574" s="15" t="s">
        <v>6878</v>
      </c>
    </row>
    <row r="5575" spans="1:14" x14ac:dyDescent="0.2">
      <c r="A5575" t="s">
        <v>6708</v>
      </c>
      <c r="B5575" t="s">
        <v>2360</v>
      </c>
      <c r="C5575" s="9">
        <v>45080</v>
      </c>
      <c r="D5575" t="s">
        <v>981</v>
      </c>
      <c r="E5575" s="13">
        <v>2485000</v>
      </c>
      <c r="F5575" s="13">
        <v>27750</v>
      </c>
      <c r="G5575" s="9">
        <v>45080</v>
      </c>
      <c r="H5575" t="s">
        <v>1111</v>
      </c>
      <c r="I5575" t="s">
        <v>4222</v>
      </c>
      <c r="J5575" s="13">
        <v>110334</v>
      </c>
      <c r="K5575">
        <v>1</v>
      </c>
      <c r="L5575" t="s">
        <v>1064</v>
      </c>
      <c r="M5575" t="s">
        <v>4223</v>
      </c>
      <c r="N5575" s="15" t="s">
        <v>6878</v>
      </c>
    </row>
    <row r="5576" spans="1:14" x14ac:dyDescent="0.2">
      <c r="A5576" t="s">
        <v>6709</v>
      </c>
      <c r="B5576" t="s">
        <v>2360</v>
      </c>
      <c r="C5576" s="9">
        <v>45080</v>
      </c>
      <c r="D5576" t="s">
        <v>981</v>
      </c>
      <c r="E5576" s="13">
        <v>1880000</v>
      </c>
      <c r="F5576" s="13">
        <v>27750</v>
      </c>
      <c r="G5576" s="9">
        <v>45080</v>
      </c>
      <c r="H5576" t="s">
        <v>1111</v>
      </c>
      <c r="I5576" t="s">
        <v>4222</v>
      </c>
      <c r="J5576" s="13">
        <v>83472</v>
      </c>
      <c r="K5576">
        <v>1</v>
      </c>
      <c r="L5576" t="s">
        <v>1064</v>
      </c>
      <c r="M5576" t="s">
        <v>4223</v>
      </c>
      <c r="N5576" s="15" t="s">
        <v>6878</v>
      </c>
    </row>
    <row r="5577" spans="1:14" x14ac:dyDescent="0.2">
      <c r="A5577" t="s">
        <v>6710</v>
      </c>
      <c r="B5577" t="s">
        <v>2360</v>
      </c>
      <c r="C5577" s="9">
        <v>45080</v>
      </c>
      <c r="D5577" t="s">
        <v>981</v>
      </c>
      <c r="E5577" s="13">
        <v>1880000</v>
      </c>
      <c r="F5577" s="13">
        <v>27750</v>
      </c>
      <c r="G5577" s="9">
        <v>45080</v>
      </c>
      <c r="H5577" t="s">
        <v>1111</v>
      </c>
      <c r="I5577" t="s">
        <v>4222</v>
      </c>
      <c r="J5577" s="13">
        <v>83472</v>
      </c>
      <c r="K5577">
        <v>1</v>
      </c>
      <c r="L5577" t="s">
        <v>1064</v>
      </c>
      <c r="M5577" t="s">
        <v>4223</v>
      </c>
      <c r="N5577" s="15" t="s">
        <v>6878</v>
      </c>
    </row>
    <row r="5578" spans="1:14" x14ac:dyDescent="0.2">
      <c r="A5578" t="s">
        <v>6711</v>
      </c>
      <c r="B5578" t="s">
        <v>2360</v>
      </c>
      <c r="C5578" s="9">
        <v>45080</v>
      </c>
      <c r="D5578" t="s">
        <v>981</v>
      </c>
      <c r="E5578" s="13">
        <v>1880000</v>
      </c>
      <c r="F5578" s="13">
        <v>27750</v>
      </c>
      <c r="G5578" s="9">
        <v>45080</v>
      </c>
      <c r="H5578" t="s">
        <v>1111</v>
      </c>
      <c r="I5578" t="s">
        <v>4222</v>
      </c>
      <c r="J5578" s="13">
        <v>83472</v>
      </c>
      <c r="K5578">
        <v>1</v>
      </c>
      <c r="L5578" t="s">
        <v>1064</v>
      </c>
      <c r="M5578" t="s">
        <v>4223</v>
      </c>
      <c r="N5578" s="15" t="s">
        <v>6878</v>
      </c>
    </row>
    <row r="5579" spans="1:14" x14ac:dyDescent="0.2">
      <c r="A5579" t="s">
        <v>6712</v>
      </c>
      <c r="B5579" t="s">
        <v>2360</v>
      </c>
      <c r="C5579" s="9">
        <v>45080</v>
      </c>
      <c r="D5579" t="s">
        <v>981</v>
      </c>
      <c r="E5579" s="13">
        <v>1655000</v>
      </c>
      <c r="F5579" s="13">
        <v>27750</v>
      </c>
      <c r="G5579" s="9">
        <v>45080</v>
      </c>
      <c r="H5579" t="s">
        <v>1111</v>
      </c>
      <c r="I5579" t="s">
        <v>4222</v>
      </c>
      <c r="J5579" s="13">
        <v>73482</v>
      </c>
      <c r="K5579">
        <v>1</v>
      </c>
      <c r="L5579" t="s">
        <v>1064</v>
      </c>
      <c r="M5579" t="s">
        <v>4223</v>
      </c>
      <c r="N5579" s="15" t="s">
        <v>6878</v>
      </c>
    </row>
    <row r="5580" spans="1:14" x14ac:dyDescent="0.2">
      <c r="A5580" t="s">
        <v>6713</v>
      </c>
      <c r="B5580" t="s">
        <v>2360</v>
      </c>
      <c r="C5580" s="9">
        <v>45080</v>
      </c>
      <c r="D5580" t="s">
        <v>981</v>
      </c>
      <c r="E5580" s="13">
        <v>2485000</v>
      </c>
      <c r="F5580" s="13">
        <v>27750</v>
      </c>
      <c r="G5580" s="9">
        <v>45080</v>
      </c>
      <c r="H5580" t="s">
        <v>1111</v>
      </c>
      <c r="I5580" t="s">
        <v>4222</v>
      </c>
      <c r="J5580" s="13">
        <v>110334</v>
      </c>
      <c r="K5580">
        <v>1</v>
      </c>
      <c r="L5580" t="s">
        <v>1064</v>
      </c>
      <c r="M5580" t="s">
        <v>4223</v>
      </c>
      <c r="N5580" s="15" t="s">
        <v>6878</v>
      </c>
    </row>
    <row r="5581" spans="1:14" x14ac:dyDescent="0.2">
      <c r="A5581" t="s">
        <v>6714</v>
      </c>
      <c r="B5581" t="s">
        <v>2360</v>
      </c>
      <c r="C5581" s="9">
        <v>45080</v>
      </c>
      <c r="D5581" t="s">
        <v>981</v>
      </c>
      <c r="E5581" s="13">
        <v>1880000</v>
      </c>
      <c r="F5581" s="13">
        <v>27750</v>
      </c>
      <c r="G5581" s="9">
        <v>45080</v>
      </c>
      <c r="H5581" t="s">
        <v>1111</v>
      </c>
      <c r="I5581" t="s">
        <v>4222</v>
      </c>
      <c r="J5581" s="13">
        <v>83472</v>
      </c>
      <c r="K5581">
        <v>1</v>
      </c>
      <c r="L5581" t="s">
        <v>1064</v>
      </c>
      <c r="M5581" t="s">
        <v>4223</v>
      </c>
      <c r="N5581" s="15" t="s">
        <v>6878</v>
      </c>
    </row>
    <row r="5582" spans="1:14" x14ac:dyDescent="0.2">
      <c r="A5582" t="s">
        <v>6715</v>
      </c>
      <c r="B5582" t="s">
        <v>2360</v>
      </c>
      <c r="C5582" s="9">
        <v>45080</v>
      </c>
      <c r="D5582" t="s">
        <v>981</v>
      </c>
      <c r="E5582" s="13">
        <v>3940000</v>
      </c>
      <c r="F5582" s="13">
        <v>27750</v>
      </c>
      <c r="G5582" s="9">
        <v>45080</v>
      </c>
      <c r="H5582" t="s">
        <v>1111</v>
      </c>
      <c r="I5582" t="s">
        <v>4222</v>
      </c>
      <c r="J5582" s="13">
        <v>174936</v>
      </c>
      <c r="K5582">
        <v>1</v>
      </c>
      <c r="L5582" t="s">
        <v>1064</v>
      </c>
      <c r="M5582" t="s">
        <v>4223</v>
      </c>
      <c r="N5582" s="15" t="s">
        <v>6878</v>
      </c>
    </row>
    <row r="5583" spans="1:14" x14ac:dyDescent="0.2">
      <c r="A5583" t="s">
        <v>6716</v>
      </c>
      <c r="B5583" t="s">
        <v>2360</v>
      </c>
      <c r="C5583" s="9">
        <v>45080</v>
      </c>
      <c r="D5583" t="s">
        <v>321</v>
      </c>
      <c r="E5583" s="13">
        <v>6800000</v>
      </c>
      <c r="F5583" s="13">
        <v>27750</v>
      </c>
      <c r="G5583" s="9">
        <v>45080</v>
      </c>
      <c r="H5583" t="s">
        <v>1111</v>
      </c>
      <c r="I5583" t="s">
        <v>821</v>
      </c>
      <c r="J5583" s="13">
        <v>188700</v>
      </c>
      <c r="K5583">
        <v>1</v>
      </c>
      <c r="L5583" t="s">
        <v>1064</v>
      </c>
      <c r="M5583" t="s">
        <v>6610</v>
      </c>
      <c r="N5583" s="15" t="s">
        <v>6878</v>
      </c>
    </row>
    <row r="5584" spans="1:14" x14ac:dyDescent="0.2">
      <c r="A5584" t="s">
        <v>6717</v>
      </c>
      <c r="B5584" t="s">
        <v>2360</v>
      </c>
      <c r="C5584" s="9">
        <v>45080</v>
      </c>
      <c r="D5584" t="s">
        <v>981</v>
      </c>
      <c r="E5584" s="13">
        <v>1880000</v>
      </c>
      <c r="F5584" s="13">
        <v>27750</v>
      </c>
      <c r="G5584" s="9">
        <v>45080</v>
      </c>
      <c r="H5584" t="s">
        <v>1111</v>
      </c>
      <c r="I5584" t="s">
        <v>4222</v>
      </c>
      <c r="J5584" s="13">
        <v>83472</v>
      </c>
      <c r="K5584">
        <v>1</v>
      </c>
      <c r="L5584" t="s">
        <v>1064</v>
      </c>
      <c r="M5584" t="s">
        <v>4223</v>
      </c>
      <c r="N5584" s="15" t="s">
        <v>6878</v>
      </c>
    </row>
    <row r="5585" spans="1:14" x14ac:dyDescent="0.2">
      <c r="A5585" t="s">
        <v>6718</v>
      </c>
      <c r="B5585" t="s">
        <v>2360</v>
      </c>
      <c r="C5585" s="9">
        <v>45080</v>
      </c>
      <c r="D5585" t="s">
        <v>985</v>
      </c>
      <c r="E5585" s="13">
        <v>2856000</v>
      </c>
      <c r="F5585" s="13">
        <v>13875</v>
      </c>
      <c r="G5585" s="9">
        <v>45080</v>
      </c>
      <c r="H5585" t="s">
        <v>1111</v>
      </c>
      <c r="I5585" t="s">
        <v>3063</v>
      </c>
      <c r="J5585" s="13">
        <v>79254</v>
      </c>
      <c r="K5585">
        <v>1</v>
      </c>
      <c r="L5585" t="s">
        <v>1064</v>
      </c>
      <c r="M5585" t="s">
        <v>3064</v>
      </c>
      <c r="N5585" s="15" t="s">
        <v>6878</v>
      </c>
    </row>
    <row r="5586" spans="1:14" x14ac:dyDescent="0.2">
      <c r="A5586" t="s">
        <v>6719</v>
      </c>
      <c r="B5586" t="s">
        <v>2360</v>
      </c>
      <c r="C5586" s="9">
        <v>45080</v>
      </c>
      <c r="D5586" t="s">
        <v>981</v>
      </c>
      <c r="E5586" s="13">
        <v>2485000</v>
      </c>
      <c r="F5586" s="13">
        <v>27750</v>
      </c>
      <c r="G5586" s="9">
        <v>45080</v>
      </c>
      <c r="H5586" t="s">
        <v>1111</v>
      </c>
      <c r="I5586" t="s">
        <v>4222</v>
      </c>
      <c r="J5586" s="13">
        <v>110334</v>
      </c>
      <c r="K5586">
        <v>1</v>
      </c>
      <c r="L5586" t="s">
        <v>1064</v>
      </c>
      <c r="M5586" t="s">
        <v>4223</v>
      </c>
      <c r="N5586" s="15" t="s">
        <v>6878</v>
      </c>
    </row>
    <row r="5587" spans="1:14" x14ac:dyDescent="0.2">
      <c r="A5587" t="s">
        <v>986</v>
      </c>
      <c r="B5587" t="s">
        <v>2360</v>
      </c>
      <c r="C5587" s="9">
        <v>45080</v>
      </c>
      <c r="D5587" t="s">
        <v>985</v>
      </c>
      <c r="E5587" s="13">
        <v>1400000</v>
      </c>
      <c r="F5587" s="13">
        <v>13875</v>
      </c>
      <c r="G5587" s="9">
        <v>45080</v>
      </c>
      <c r="H5587" t="s">
        <v>1111</v>
      </c>
      <c r="I5587" t="s">
        <v>3063</v>
      </c>
      <c r="J5587" s="13">
        <v>38850</v>
      </c>
      <c r="K5587">
        <v>1</v>
      </c>
      <c r="L5587" t="s">
        <v>1064</v>
      </c>
      <c r="M5587" t="s">
        <v>3064</v>
      </c>
      <c r="N5587" s="15" t="s">
        <v>6878</v>
      </c>
    </row>
    <row r="5588" spans="1:14" x14ac:dyDescent="0.2">
      <c r="A5588" t="s">
        <v>6720</v>
      </c>
      <c r="B5588" t="s">
        <v>2360</v>
      </c>
      <c r="C5588" s="9">
        <v>45080</v>
      </c>
      <c r="D5588" t="s">
        <v>981</v>
      </c>
      <c r="E5588" s="13">
        <v>1655000</v>
      </c>
      <c r="F5588" s="13">
        <v>27750</v>
      </c>
      <c r="G5588" s="9">
        <v>45080</v>
      </c>
      <c r="H5588" t="s">
        <v>1111</v>
      </c>
      <c r="I5588" t="s">
        <v>4222</v>
      </c>
      <c r="J5588" s="13">
        <v>73482</v>
      </c>
      <c r="K5588">
        <v>1</v>
      </c>
      <c r="L5588" t="s">
        <v>1064</v>
      </c>
      <c r="M5588" t="s">
        <v>4223</v>
      </c>
      <c r="N5588" s="15" t="s">
        <v>6878</v>
      </c>
    </row>
    <row r="5589" spans="1:14" x14ac:dyDescent="0.2">
      <c r="A5589" t="s">
        <v>6721</v>
      </c>
      <c r="B5589" t="s">
        <v>2360</v>
      </c>
      <c r="C5589" s="9">
        <v>45080</v>
      </c>
      <c r="D5589" t="s">
        <v>981</v>
      </c>
      <c r="E5589" s="13">
        <v>1655000</v>
      </c>
      <c r="F5589" s="13">
        <v>27750</v>
      </c>
      <c r="G5589" s="9">
        <v>45080</v>
      </c>
      <c r="H5589" t="s">
        <v>1111</v>
      </c>
      <c r="I5589" t="s">
        <v>4222</v>
      </c>
      <c r="J5589" s="13">
        <v>73482</v>
      </c>
      <c r="K5589">
        <v>1</v>
      </c>
      <c r="L5589" t="s">
        <v>1064</v>
      </c>
      <c r="M5589" t="s">
        <v>4223</v>
      </c>
      <c r="N5589" s="15" t="s">
        <v>6878</v>
      </c>
    </row>
    <row r="5590" spans="1:14" x14ac:dyDescent="0.2">
      <c r="A5590" t="s">
        <v>982</v>
      </c>
      <c r="B5590" t="s">
        <v>2360</v>
      </c>
      <c r="C5590" s="9">
        <v>45080</v>
      </c>
      <c r="D5590" t="s">
        <v>981</v>
      </c>
      <c r="E5590" s="13">
        <v>1655000</v>
      </c>
      <c r="F5590" s="13">
        <v>27750</v>
      </c>
      <c r="G5590" s="9">
        <v>45080</v>
      </c>
      <c r="H5590" t="s">
        <v>1111</v>
      </c>
      <c r="I5590" t="s">
        <v>4222</v>
      </c>
      <c r="J5590" s="13">
        <v>73482</v>
      </c>
      <c r="K5590">
        <v>1</v>
      </c>
      <c r="L5590" t="s">
        <v>1064</v>
      </c>
      <c r="M5590" t="s">
        <v>4223</v>
      </c>
      <c r="N5590" s="15" t="s">
        <v>6878</v>
      </c>
    </row>
    <row r="5591" spans="1:14" x14ac:dyDescent="0.2">
      <c r="A5591" t="s">
        <v>1033</v>
      </c>
      <c r="B5591" t="s">
        <v>2360</v>
      </c>
      <c r="C5591" s="9">
        <v>45080</v>
      </c>
      <c r="D5591" t="s">
        <v>321</v>
      </c>
      <c r="E5591" s="13">
        <v>14000000</v>
      </c>
      <c r="F5591" s="13">
        <v>27750</v>
      </c>
      <c r="G5591" s="9">
        <v>45080</v>
      </c>
      <c r="H5591" t="s">
        <v>1111</v>
      </c>
      <c r="I5591" t="s">
        <v>821</v>
      </c>
      <c r="J5591" s="13">
        <v>388500</v>
      </c>
      <c r="K5591">
        <v>1</v>
      </c>
      <c r="L5591" t="s">
        <v>1064</v>
      </c>
      <c r="M5591" t="s">
        <v>6610</v>
      </c>
      <c r="N5591" s="15" t="s">
        <v>6878</v>
      </c>
    </row>
    <row r="5592" spans="1:14" x14ac:dyDescent="0.2">
      <c r="A5592" t="s">
        <v>6722</v>
      </c>
      <c r="B5592" t="s">
        <v>2360</v>
      </c>
      <c r="C5592" s="9">
        <v>45080</v>
      </c>
      <c r="D5592" t="s">
        <v>972</v>
      </c>
      <c r="E5592" s="13">
        <v>7615000</v>
      </c>
      <c r="F5592" s="13">
        <v>22200</v>
      </c>
      <c r="G5592" s="9">
        <v>45081</v>
      </c>
      <c r="H5592" t="s">
        <v>1111</v>
      </c>
      <c r="I5592" t="s">
        <v>4620</v>
      </c>
      <c r="J5592" s="13">
        <v>228221</v>
      </c>
      <c r="K5592">
        <v>1</v>
      </c>
      <c r="L5592" t="s">
        <v>1064</v>
      </c>
      <c r="M5592" t="s">
        <v>4621</v>
      </c>
      <c r="N5592" s="15" t="s">
        <v>6878</v>
      </c>
    </row>
    <row r="5593" spans="1:14" x14ac:dyDescent="0.2">
      <c r="A5593" t="s">
        <v>6723</v>
      </c>
      <c r="B5593" t="s">
        <v>2360</v>
      </c>
      <c r="C5593" s="9">
        <v>45080</v>
      </c>
      <c r="D5593" t="s">
        <v>972</v>
      </c>
      <c r="E5593" s="13">
        <v>7615000</v>
      </c>
      <c r="F5593" s="13">
        <v>22200</v>
      </c>
      <c r="G5593" s="9">
        <v>45081</v>
      </c>
      <c r="H5593" t="s">
        <v>1111</v>
      </c>
      <c r="I5593" t="s">
        <v>4620</v>
      </c>
      <c r="J5593" s="13">
        <v>228221</v>
      </c>
      <c r="K5593">
        <v>1</v>
      </c>
      <c r="L5593" t="s">
        <v>1064</v>
      </c>
      <c r="M5593" t="s">
        <v>4621</v>
      </c>
      <c r="N5593" s="15" t="s">
        <v>6878</v>
      </c>
    </row>
    <row r="5594" spans="1:14" x14ac:dyDescent="0.2">
      <c r="A5594" t="s">
        <v>6724</v>
      </c>
      <c r="B5594" t="s">
        <v>2360</v>
      </c>
      <c r="C5594" s="9">
        <v>45080</v>
      </c>
      <c r="D5594" t="s">
        <v>972</v>
      </c>
      <c r="E5594" s="13">
        <v>7615000</v>
      </c>
      <c r="F5594" s="13">
        <v>22200</v>
      </c>
      <c r="G5594" s="9">
        <v>45081</v>
      </c>
      <c r="H5594" t="s">
        <v>1111</v>
      </c>
      <c r="I5594" t="s">
        <v>4620</v>
      </c>
      <c r="J5594" s="13">
        <v>228221</v>
      </c>
      <c r="K5594">
        <v>1</v>
      </c>
      <c r="L5594" t="s">
        <v>1064</v>
      </c>
      <c r="M5594" t="s">
        <v>4621</v>
      </c>
      <c r="N5594" s="15" t="s">
        <v>6878</v>
      </c>
    </row>
    <row r="5595" spans="1:14" x14ac:dyDescent="0.2">
      <c r="A5595" t="s">
        <v>6725</v>
      </c>
      <c r="B5595" t="s">
        <v>2360</v>
      </c>
      <c r="C5595" s="9">
        <v>45080</v>
      </c>
      <c r="D5595" t="s">
        <v>972</v>
      </c>
      <c r="E5595" s="13">
        <v>7615000</v>
      </c>
      <c r="F5595" s="13">
        <v>22200</v>
      </c>
      <c r="G5595" s="9">
        <v>45081</v>
      </c>
      <c r="H5595" t="s">
        <v>1111</v>
      </c>
      <c r="I5595" t="s">
        <v>4620</v>
      </c>
      <c r="J5595" s="13">
        <v>228221</v>
      </c>
      <c r="K5595">
        <v>1</v>
      </c>
      <c r="L5595" t="s">
        <v>1064</v>
      </c>
      <c r="M5595" t="s">
        <v>4621</v>
      </c>
      <c r="N5595" s="15" t="s">
        <v>6878</v>
      </c>
    </row>
    <row r="5596" spans="1:14" x14ac:dyDescent="0.2">
      <c r="A5596" t="s">
        <v>6726</v>
      </c>
      <c r="B5596" t="s">
        <v>2360</v>
      </c>
      <c r="C5596" s="9">
        <v>45080</v>
      </c>
      <c r="D5596" t="s">
        <v>972</v>
      </c>
      <c r="E5596" s="13">
        <v>7615000</v>
      </c>
      <c r="F5596" s="13">
        <v>22200</v>
      </c>
      <c r="G5596" s="9">
        <v>45081</v>
      </c>
      <c r="H5596" t="s">
        <v>1111</v>
      </c>
      <c r="I5596" t="s">
        <v>4620</v>
      </c>
      <c r="J5596" s="13">
        <v>228221</v>
      </c>
      <c r="K5596">
        <v>1</v>
      </c>
      <c r="L5596" t="s">
        <v>1064</v>
      </c>
      <c r="M5596" t="s">
        <v>4621</v>
      </c>
      <c r="N5596" s="15" t="s">
        <v>6878</v>
      </c>
    </row>
    <row r="5597" spans="1:14" x14ac:dyDescent="0.2">
      <c r="A5597" t="s">
        <v>6727</v>
      </c>
      <c r="B5597" t="s">
        <v>2360</v>
      </c>
      <c r="C5597" s="9">
        <v>45080</v>
      </c>
      <c r="D5597" t="s">
        <v>972</v>
      </c>
      <c r="E5597" s="13">
        <v>7615000</v>
      </c>
      <c r="F5597" s="13">
        <v>22200</v>
      </c>
      <c r="G5597" s="9">
        <v>45081</v>
      </c>
      <c r="H5597" t="s">
        <v>1111</v>
      </c>
      <c r="I5597" t="s">
        <v>4620</v>
      </c>
      <c r="J5597" s="13">
        <v>228221</v>
      </c>
      <c r="K5597">
        <v>1</v>
      </c>
      <c r="L5597" t="s">
        <v>1064</v>
      </c>
      <c r="M5597" t="s">
        <v>4621</v>
      </c>
      <c r="N5597" s="15" t="s">
        <v>6878</v>
      </c>
    </row>
    <row r="5598" spans="1:14" x14ac:dyDescent="0.2">
      <c r="A5598" t="s">
        <v>6728</v>
      </c>
      <c r="B5598" t="s">
        <v>2360</v>
      </c>
      <c r="C5598" s="9">
        <v>45080</v>
      </c>
      <c r="D5598" t="s">
        <v>972</v>
      </c>
      <c r="E5598" s="13">
        <v>7615000</v>
      </c>
      <c r="F5598" s="13">
        <v>22200</v>
      </c>
      <c r="G5598" s="9">
        <v>45081</v>
      </c>
      <c r="H5598" t="s">
        <v>1111</v>
      </c>
      <c r="I5598" t="s">
        <v>4620</v>
      </c>
      <c r="J5598" s="13">
        <v>228221</v>
      </c>
      <c r="K5598">
        <v>1</v>
      </c>
      <c r="L5598" t="s">
        <v>1064</v>
      </c>
      <c r="M5598" t="s">
        <v>4621</v>
      </c>
      <c r="N5598" s="15" t="s">
        <v>6878</v>
      </c>
    </row>
    <row r="5599" spans="1:14" x14ac:dyDescent="0.2">
      <c r="A5599" t="s">
        <v>6729</v>
      </c>
      <c r="B5599" t="s">
        <v>2360</v>
      </c>
      <c r="C5599" s="9">
        <v>45080</v>
      </c>
      <c r="D5599" t="s">
        <v>972</v>
      </c>
      <c r="E5599" s="13">
        <v>7615000</v>
      </c>
      <c r="F5599" s="13">
        <v>22200</v>
      </c>
      <c r="G5599" s="9">
        <v>45081</v>
      </c>
      <c r="H5599" t="s">
        <v>1111</v>
      </c>
      <c r="I5599" t="s">
        <v>4620</v>
      </c>
      <c r="J5599" s="13">
        <v>228221</v>
      </c>
      <c r="K5599">
        <v>1</v>
      </c>
      <c r="L5599" t="s">
        <v>1064</v>
      </c>
      <c r="M5599" t="s">
        <v>4621</v>
      </c>
      <c r="N5599" s="15" t="s">
        <v>6878</v>
      </c>
    </row>
    <row r="5600" spans="1:14" x14ac:dyDescent="0.2">
      <c r="A5600" t="s">
        <v>6730</v>
      </c>
      <c r="B5600" t="s">
        <v>2360</v>
      </c>
      <c r="C5600" s="9">
        <v>45080</v>
      </c>
      <c r="D5600" t="s">
        <v>972</v>
      </c>
      <c r="E5600" s="13">
        <v>7615000</v>
      </c>
      <c r="F5600" s="13">
        <v>22200</v>
      </c>
      <c r="G5600" s="9">
        <v>45081</v>
      </c>
      <c r="H5600" t="s">
        <v>1111</v>
      </c>
      <c r="I5600" t="s">
        <v>4620</v>
      </c>
      <c r="J5600" s="13">
        <v>228221</v>
      </c>
      <c r="K5600">
        <v>1</v>
      </c>
      <c r="L5600" t="s">
        <v>1064</v>
      </c>
      <c r="M5600" t="s">
        <v>4621</v>
      </c>
      <c r="N5600" s="15" t="s">
        <v>6878</v>
      </c>
    </row>
    <row r="5601" spans="1:14" x14ac:dyDescent="0.2">
      <c r="A5601" t="s">
        <v>6731</v>
      </c>
      <c r="B5601" t="s">
        <v>2360</v>
      </c>
      <c r="C5601" s="9">
        <v>45080</v>
      </c>
      <c r="D5601" t="s">
        <v>972</v>
      </c>
      <c r="E5601" s="13">
        <v>7615000</v>
      </c>
      <c r="F5601" s="13">
        <v>22200</v>
      </c>
      <c r="G5601" s="9">
        <v>45081</v>
      </c>
      <c r="H5601" t="s">
        <v>1111</v>
      </c>
      <c r="I5601" t="s">
        <v>4620</v>
      </c>
      <c r="J5601" s="13">
        <v>228221</v>
      </c>
      <c r="K5601">
        <v>1</v>
      </c>
      <c r="L5601" t="s">
        <v>1064</v>
      </c>
      <c r="M5601" t="s">
        <v>4621</v>
      </c>
      <c r="N5601" s="15" t="s">
        <v>6878</v>
      </c>
    </row>
    <row r="5602" spans="1:14" x14ac:dyDescent="0.2">
      <c r="A5602" t="s">
        <v>6732</v>
      </c>
      <c r="B5602" t="s">
        <v>2360</v>
      </c>
      <c r="C5602" s="9">
        <v>45080</v>
      </c>
      <c r="D5602" t="s">
        <v>972</v>
      </c>
      <c r="E5602" s="13">
        <v>7615000</v>
      </c>
      <c r="F5602" s="13">
        <v>22200</v>
      </c>
      <c r="G5602" s="9">
        <v>45081</v>
      </c>
      <c r="H5602" t="s">
        <v>1111</v>
      </c>
      <c r="I5602" t="s">
        <v>4620</v>
      </c>
      <c r="J5602" s="13">
        <v>228221</v>
      </c>
      <c r="K5602">
        <v>1</v>
      </c>
      <c r="L5602" t="s">
        <v>1064</v>
      </c>
      <c r="M5602" t="s">
        <v>4621</v>
      </c>
      <c r="N5602" s="15" t="s">
        <v>6878</v>
      </c>
    </row>
    <row r="5603" spans="1:14" x14ac:dyDescent="0.2">
      <c r="A5603" t="s">
        <v>6733</v>
      </c>
      <c r="B5603" t="s">
        <v>2360</v>
      </c>
      <c r="C5603" s="9">
        <v>45080</v>
      </c>
      <c r="D5603" t="s">
        <v>972</v>
      </c>
      <c r="E5603" s="13">
        <v>7615000</v>
      </c>
      <c r="F5603" s="13">
        <v>22200</v>
      </c>
      <c r="G5603" s="9">
        <v>45081</v>
      </c>
      <c r="H5603" t="s">
        <v>1111</v>
      </c>
      <c r="I5603" t="s">
        <v>4620</v>
      </c>
      <c r="J5603" s="13">
        <v>228221</v>
      </c>
      <c r="K5603">
        <v>1</v>
      </c>
      <c r="L5603" t="s">
        <v>1064</v>
      </c>
      <c r="M5603" t="s">
        <v>4621</v>
      </c>
      <c r="N5603" s="15" t="s">
        <v>6878</v>
      </c>
    </row>
    <row r="5604" spans="1:14" x14ac:dyDescent="0.2">
      <c r="A5604" t="s">
        <v>6734</v>
      </c>
      <c r="B5604" t="s">
        <v>2360</v>
      </c>
      <c r="C5604" s="9">
        <v>45080</v>
      </c>
      <c r="D5604" t="s">
        <v>972</v>
      </c>
      <c r="E5604" s="13">
        <v>7615000</v>
      </c>
      <c r="F5604" s="13">
        <v>22200</v>
      </c>
      <c r="G5604" s="9">
        <v>45081</v>
      </c>
      <c r="H5604" t="s">
        <v>1111</v>
      </c>
      <c r="I5604" t="s">
        <v>4620</v>
      </c>
      <c r="J5604" s="13">
        <v>228221</v>
      </c>
      <c r="K5604">
        <v>1</v>
      </c>
      <c r="L5604" t="s">
        <v>1064</v>
      </c>
      <c r="M5604" t="s">
        <v>4621</v>
      </c>
      <c r="N5604" s="15" t="s">
        <v>6878</v>
      </c>
    </row>
    <row r="5605" spans="1:14" x14ac:dyDescent="0.2">
      <c r="A5605" t="s">
        <v>974</v>
      </c>
      <c r="B5605" t="s">
        <v>2360</v>
      </c>
      <c r="C5605" s="9">
        <v>45080</v>
      </c>
      <c r="D5605" t="s">
        <v>972</v>
      </c>
      <c r="E5605" s="13">
        <v>7615000</v>
      </c>
      <c r="F5605" s="13">
        <v>22200</v>
      </c>
      <c r="G5605" s="9">
        <v>45081</v>
      </c>
      <c r="H5605" t="s">
        <v>1111</v>
      </c>
      <c r="I5605" t="s">
        <v>4620</v>
      </c>
      <c r="J5605" s="13">
        <v>228221</v>
      </c>
      <c r="K5605">
        <v>1</v>
      </c>
      <c r="L5605" t="s">
        <v>1064</v>
      </c>
      <c r="M5605" t="s">
        <v>4621</v>
      </c>
      <c r="N5605" s="15" t="s">
        <v>6878</v>
      </c>
    </row>
    <row r="5606" spans="1:14" x14ac:dyDescent="0.2">
      <c r="A5606" t="s">
        <v>954</v>
      </c>
      <c r="B5606" t="s">
        <v>2360</v>
      </c>
      <c r="C5606" s="9">
        <v>45081</v>
      </c>
      <c r="D5606" t="s">
        <v>952</v>
      </c>
      <c r="E5606" s="13">
        <v>251818000</v>
      </c>
      <c r="F5606" s="13">
        <v>27750</v>
      </c>
      <c r="G5606" s="9">
        <v>45081</v>
      </c>
      <c r="H5606" t="s">
        <v>1111</v>
      </c>
      <c r="I5606" t="s">
        <v>4626</v>
      </c>
      <c r="J5606" s="13">
        <v>11180719</v>
      </c>
      <c r="K5606">
        <v>1</v>
      </c>
      <c r="L5606" t="s">
        <v>1064</v>
      </c>
      <c r="M5606" t="s">
        <v>4627</v>
      </c>
      <c r="N5606" s="15" t="s">
        <v>6878</v>
      </c>
    </row>
    <row r="5607" spans="1:14" x14ac:dyDescent="0.2">
      <c r="A5607" t="s">
        <v>6735</v>
      </c>
      <c r="B5607" t="s">
        <v>2360</v>
      </c>
      <c r="C5607" s="9">
        <v>45081</v>
      </c>
      <c r="D5607" t="s">
        <v>833</v>
      </c>
      <c r="E5607" s="13">
        <v>3900000</v>
      </c>
      <c r="F5607" s="13">
        <v>173160</v>
      </c>
      <c r="G5607" s="9">
        <v>45082</v>
      </c>
      <c r="H5607" t="s">
        <v>1111</v>
      </c>
      <c r="I5607" t="s">
        <v>262</v>
      </c>
      <c r="J5607" s="13">
        <v>55500</v>
      </c>
      <c r="K5607">
        <v>2</v>
      </c>
      <c r="L5607" t="s">
        <v>1064</v>
      </c>
      <c r="M5607" t="s">
        <v>6736</v>
      </c>
      <c r="N5607" s="15" t="s">
        <v>6878</v>
      </c>
    </row>
    <row r="5608" spans="1:14" x14ac:dyDescent="0.2">
      <c r="A5608" t="s">
        <v>6737</v>
      </c>
      <c r="B5608" t="s">
        <v>2360</v>
      </c>
      <c r="C5608" s="9">
        <v>45082</v>
      </c>
      <c r="D5608" t="s">
        <v>9</v>
      </c>
      <c r="E5608" s="13">
        <v>190000</v>
      </c>
      <c r="F5608" s="13">
        <v>22500</v>
      </c>
      <c r="H5608" t="s">
        <v>2184</v>
      </c>
      <c r="I5608" t="s">
        <v>436</v>
      </c>
      <c r="J5608" s="13">
        <v>0</v>
      </c>
      <c r="K5608">
        <v>1</v>
      </c>
      <c r="L5608" t="s">
        <v>1064</v>
      </c>
      <c r="M5608" t="s">
        <v>2364</v>
      </c>
      <c r="N5608" s="14" t="s">
        <v>6877</v>
      </c>
    </row>
    <row r="5609" spans="1:14" x14ac:dyDescent="0.2">
      <c r="A5609" t="s">
        <v>6738</v>
      </c>
      <c r="B5609" t="s">
        <v>2360</v>
      </c>
      <c r="C5609" s="9">
        <v>45082</v>
      </c>
      <c r="D5609" t="s">
        <v>9</v>
      </c>
      <c r="E5609" s="13">
        <v>216000</v>
      </c>
      <c r="F5609" s="13">
        <v>22500</v>
      </c>
      <c r="H5609" t="s">
        <v>2184</v>
      </c>
      <c r="I5609" t="s">
        <v>436</v>
      </c>
      <c r="J5609" s="13">
        <v>0</v>
      </c>
      <c r="K5609">
        <v>1</v>
      </c>
      <c r="L5609" t="s">
        <v>1064</v>
      </c>
      <c r="M5609" t="s">
        <v>2364</v>
      </c>
      <c r="N5609" s="14" t="s">
        <v>6877</v>
      </c>
    </row>
    <row r="5610" spans="1:14" x14ac:dyDescent="0.2">
      <c r="A5610" t="s">
        <v>6739</v>
      </c>
      <c r="B5610" t="s">
        <v>2360</v>
      </c>
      <c r="C5610" s="9">
        <v>45082</v>
      </c>
      <c r="D5610" t="s">
        <v>9</v>
      </c>
      <c r="E5610" s="13">
        <v>242000</v>
      </c>
      <c r="F5610" s="13">
        <v>22500</v>
      </c>
      <c r="H5610" t="s">
        <v>2184</v>
      </c>
      <c r="I5610" t="s">
        <v>436</v>
      </c>
      <c r="J5610" s="13">
        <v>0</v>
      </c>
      <c r="K5610">
        <v>1</v>
      </c>
      <c r="L5610" t="s">
        <v>1064</v>
      </c>
      <c r="M5610" t="s">
        <v>2364</v>
      </c>
      <c r="N5610" s="14" t="s">
        <v>6877</v>
      </c>
    </row>
    <row r="5611" spans="1:14" x14ac:dyDescent="0.2">
      <c r="A5611" t="s">
        <v>6740</v>
      </c>
      <c r="B5611" t="s">
        <v>2360</v>
      </c>
      <c r="C5611" s="9">
        <v>45082</v>
      </c>
      <c r="D5611" t="s">
        <v>9</v>
      </c>
      <c r="E5611" s="13">
        <v>242000</v>
      </c>
      <c r="F5611" s="13">
        <v>22500</v>
      </c>
      <c r="H5611" t="s">
        <v>2184</v>
      </c>
      <c r="I5611" t="s">
        <v>436</v>
      </c>
      <c r="J5611" s="13">
        <v>0</v>
      </c>
      <c r="K5611">
        <v>1</v>
      </c>
      <c r="L5611" t="s">
        <v>1064</v>
      </c>
      <c r="M5611" t="s">
        <v>2364</v>
      </c>
      <c r="N5611" s="14" t="s">
        <v>6877</v>
      </c>
    </row>
    <row r="5612" spans="1:14" x14ac:dyDescent="0.2">
      <c r="A5612" t="s">
        <v>6741</v>
      </c>
      <c r="B5612" t="s">
        <v>2360</v>
      </c>
      <c r="C5612" s="9">
        <v>45082</v>
      </c>
      <c r="D5612" t="s">
        <v>9</v>
      </c>
      <c r="E5612" s="13">
        <v>1229000</v>
      </c>
      <c r="F5612" s="13">
        <v>22500</v>
      </c>
      <c r="H5612" t="s">
        <v>1185</v>
      </c>
      <c r="I5612" t="s">
        <v>4659</v>
      </c>
      <c r="J5612" s="13">
        <v>0</v>
      </c>
      <c r="K5612">
        <v>1</v>
      </c>
      <c r="L5612" t="s">
        <v>1064</v>
      </c>
      <c r="M5612" t="s">
        <v>4660</v>
      </c>
      <c r="N5612" s="14" t="s">
        <v>6877</v>
      </c>
    </row>
    <row r="5613" spans="1:14" x14ac:dyDescent="0.2">
      <c r="A5613" t="s">
        <v>6742</v>
      </c>
      <c r="B5613" t="s">
        <v>2360</v>
      </c>
      <c r="C5613" s="9">
        <v>45082</v>
      </c>
      <c r="D5613" t="s">
        <v>9</v>
      </c>
      <c r="E5613" s="13">
        <v>207000</v>
      </c>
      <c r="F5613" s="13">
        <v>22500</v>
      </c>
      <c r="H5613" t="s">
        <v>1185</v>
      </c>
      <c r="I5613" t="s">
        <v>4659</v>
      </c>
      <c r="J5613" s="13">
        <v>0</v>
      </c>
      <c r="K5613">
        <v>1</v>
      </c>
      <c r="L5613" t="s">
        <v>1064</v>
      </c>
      <c r="M5613" t="s">
        <v>4660</v>
      </c>
      <c r="N5613" s="14" t="s">
        <v>6877</v>
      </c>
    </row>
    <row r="5614" spans="1:14" x14ac:dyDescent="0.2">
      <c r="A5614" t="s">
        <v>6743</v>
      </c>
      <c r="B5614" t="s">
        <v>2360</v>
      </c>
      <c r="C5614" s="9">
        <v>45082</v>
      </c>
      <c r="D5614" t="s">
        <v>9</v>
      </c>
      <c r="E5614" s="13">
        <v>190000</v>
      </c>
      <c r="F5614" s="13">
        <v>22500</v>
      </c>
      <c r="H5614" t="s">
        <v>2184</v>
      </c>
      <c r="I5614" t="s">
        <v>436</v>
      </c>
      <c r="J5614" s="13">
        <v>0</v>
      </c>
      <c r="K5614">
        <v>1</v>
      </c>
      <c r="L5614" t="s">
        <v>1064</v>
      </c>
      <c r="M5614" t="s">
        <v>2364</v>
      </c>
      <c r="N5614" s="14" t="s">
        <v>6877</v>
      </c>
    </row>
    <row r="5615" spans="1:14" x14ac:dyDescent="0.2">
      <c r="A5615" t="s">
        <v>6744</v>
      </c>
      <c r="B5615" t="s">
        <v>2360</v>
      </c>
      <c r="C5615" s="9">
        <v>45082</v>
      </c>
      <c r="D5615" t="s">
        <v>9</v>
      </c>
      <c r="E5615" s="13">
        <v>190000</v>
      </c>
      <c r="F5615" s="13">
        <v>22500</v>
      </c>
      <c r="H5615" t="s">
        <v>2184</v>
      </c>
      <c r="I5615" t="s">
        <v>436</v>
      </c>
      <c r="J5615" s="13">
        <v>0</v>
      </c>
      <c r="K5615">
        <v>1</v>
      </c>
      <c r="L5615" t="s">
        <v>1064</v>
      </c>
      <c r="M5615" t="s">
        <v>2364</v>
      </c>
      <c r="N5615" s="14" t="s">
        <v>6877</v>
      </c>
    </row>
    <row r="5616" spans="1:14" x14ac:dyDescent="0.2">
      <c r="A5616" t="s">
        <v>6745</v>
      </c>
      <c r="B5616" t="s">
        <v>2360</v>
      </c>
      <c r="C5616" s="9">
        <v>45082</v>
      </c>
      <c r="D5616" t="s">
        <v>970</v>
      </c>
      <c r="E5616" s="13">
        <v>7500000</v>
      </c>
      <c r="F5616" s="13">
        <v>416250</v>
      </c>
      <c r="G5616" s="9">
        <v>45082</v>
      </c>
      <c r="H5616" t="s">
        <v>1111</v>
      </c>
      <c r="I5616" t="s">
        <v>5780</v>
      </c>
      <c r="J5616" s="13">
        <v>27750</v>
      </c>
      <c r="K5616">
        <v>1</v>
      </c>
      <c r="L5616" t="s">
        <v>1064</v>
      </c>
      <c r="M5616" t="s">
        <v>5781</v>
      </c>
      <c r="N5616" s="15" t="s">
        <v>6878</v>
      </c>
    </row>
    <row r="5617" spans="1:14" x14ac:dyDescent="0.2">
      <c r="A5617" t="s">
        <v>6746</v>
      </c>
      <c r="B5617" t="s">
        <v>2360</v>
      </c>
      <c r="C5617" s="9">
        <v>45082</v>
      </c>
      <c r="D5617" t="s">
        <v>970</v>
      </c>
      <c r="E5617" s="13">
        <v>7000000</v>
      </c>
      <c r="F5617" s="13">
        <v>388500</v>
      </c>
      <c r="G5617" s="9">
        <v>45082</v>
      </c>
      <c r="H5617" t="s">
        <v>1111</v>
      </c>
      <c r="I5617" t="s">
        <v>5780</v>
      </c>
      <c r="J5617" s="13">
        <v>27750</v>
      </c>
      <c r="K5617">
        <v>1</v>
      </c>
      <c r="L5617" t="s">
        <v>1064</v>
      </c>
      <c r="M5617" t="s">
        <v>5781</v>
      </c>
      <c r="N5617" s="15" t="s">
        <v>6878</v>
      </c>
    </row>
    <row r="5618" spans="1:14" x14ac:dyDescent="0.2">
      <c r="A5618" t="s">
        <v>6747</v>
      </c>
      <c r="B5618" t="s">
        <v>2360</v>
      </c>
      <c r="C5618" s="9">
        <v>45082</v>
      </c>
      <c r="D5618" t="s">
        <v>970</v>
      </c>
      <c r="E5618" s="13">
        <v>7500000</v>
      </c>
      <c r="F5618" s="13">
        <v>416250</v>
      </c>
      <c r="G5618" s="9">
        <v>45082</v>
      </c>
      <c r="H5618" t="s">
        <v>1111</v>
      </c>
      <c r="I5618" t="s">
        <v>5780</v>
      </c>
      <c r="J5618" s="13">
        <v>27750</v>
      </c>
      <c r="K5618">
        <v>1</v>
      </c>
      <c r="L5618" t="s">
        <v>1064</v>
      </c>
      <c r="M5618" t="s">
        <v>5781</v>
      </c>
      <c r="N5618" s="15" t="s">
        <v>6878</v>
      </c>
    </row>
    <row r="5619" spans="1:14" x14ac:dyDescent="0.2">
      <c r="A5619" t="s">
        <v>6748</v>
      </c>
      <c r="B5619" t="s">
        <v>2360</v>
      </c>
      <c r="C5619" s="9">
        <v>45082</v>
      </c>
      <c r="D5619" t="s">
        <v>970</v>
      </c>
      <c r="E5619" s="13">
        <v>7000000</v>
      </c>
      <c r="F5619" s="13">
        <v>388500</v>
      </c>
      <c r="G5619" s="9">
        <v>45082</v>
      </c>
      <c r="H5619" t="s">
        <v>1111</v>
      </c>
      <c r="I5619" t="s">
        <v>5780</v>
      </c>
      <c r="J5619" s="13">
        <v>27750</v>
      </c>
      <c r="K5619">
        <v>1</v>
      </c>
      <c r="L5619" t="s">
        <v>1064</v>
      </c>
      <c r="M5619" t="s">
        <v>5781</v>
      </c>
      <c r="N5619" s="15" t="s">
        <v>6878</v>
      </c>
    </row>
    <row r="5620" spans="1:14" x14ac:dyDescent="0.2">
      <c r="A5620" t="s">
        <v>6749</v>
      </c>
      <c r="B5620" t="s">
        <v>2360</v>
      </c>
      <c r="C5620" s="9">
        <v>45082</v>
      </c>
      <c r="D5620" t="s">
        <v>970</v>
      </c>
      <c r="E5620" s="13">
        <v>7500000</v>
      </c>
      <c r="F5620" s="13">
        <v>416250</v>
      </c>
      <c r="G5620" s="9">
        <v>45082</v>
      </c>
      <c r="H5620" t="s">
        <v>1111</v>
      </c>
      <c r="I5620" t="s">
        <v>5780</v>
      </c>
      <c r="J5620" s="13">
        <v>27750</v>
      </c>
      <c r="K5620">
        <v>1</v>
      </c>
      <c r="L5620" t="s">
        <v>1064</v>
      </c>
      <c r="M5620" t="s">
        <v>5781</v>
      </c>
      <c r="N5620" s="15" t="s">
        <v>6878</v>
      </c>
    </row>
    <row r="5621" spans="1:14" x14ac:dyDescent="0.2">
      <c r="A5621" t="s">
        <v>6750</v>
      </c>
      <c r="B5621" t="s">
        <v>2360</v>
      </c>
      <c r="C5621" s="9">
        <v>45082</v>
      </c>
      <c r="D5621" t="s">
        <v>970</v>
      </c>
      <c r="E5621" s="13">
        <v>7000000</v>
      </c>
      <c r="F5621" s="13">
        <v>388500</v>
      </c>
      <c r="G5621" s="9">
        <v>45082</v>
      </c>
      <c r="H5621" t="s">
        <v>1111</v>
      </c>
      <c r="I5621" t="s">
        <v>5780</v>
      </c>
      <c r="J5621" s="13">
        <v>27750</v>
      </c>
      <c r="K5621">
        <v>1</v>
      </c>
      <c r="L5621" t="s">
        <v>1064</v>
      </c>
      <c r="M5621" t="s">
        <v>5781</v>
      </c>
      <c r="N5621" s="15" t="s">
        <v>6878</v>
      </c>
    </row>
    <row r="5622" spans="1:14" x14ac:dyDescent="0.2">
      <c r="A5622" t="s">
        <v>6751</v>
      </c>
      <c r="B5622" t="s">
        <v>2360</v>
      </c>
      <c r="C5622" s="9">
        <v>45082</v>
      </c>
      <c r="D5622" t="s">
        <v>970</v>
      </c>
      <c r="E5622" s="13">
        <v>7500000</v>
      </c>
      <c r="F5622" s="13">
        <v>416250</v>
      </c>
      <c r="G5622" s="9">
        <v>45082</v>
      </c>
      <c r="H5622" t="s">
        <v>1111</v>
      </c>
      <c r="I5622" t="s">
        <v>5780</v>
      </c>
      <c r="J5622" s="13">
        <v>27750</v>
      </c>
      <c r="K5622">
        <v>1</v>
      </c>
      <c r="L5622" t="s">
        <v>1064</v>
      </c>
      <c r="M5622" t="s">
        <v>5781</v>
      </c>
      <c r="N5622" s="15" t="s">
        <v>6878</v>
      </c>
    </row>
    <row r="5623" spans="1:14" x14ac:dyDescent="0.2">
      <c r="A5623" t="s">
        <v>6752</v>
      </c>
      <c r="B5623" t="s">
        <v>2360</v>
      </c>
      <c r="C5623" s="9">
        <v>45082</v>
      </c>
      <c r="D5623" t="s">
        <v>970</v>
      </c>
      <c r="E5623" s="13">
        <v>7000000</v>
      </c>
      <c r="F5623" s="13">
        <v>388500</v>
      </c>
      <c r="G5623" s="9">
        <v>45082</v>
      </c>
      <c r="H5623" t="s">
        <v>1111</v>
      </c>
      <c r="I5623" t="s">
        <v>5780</v>
      </c>
      <c r="J5623" s="13">
        <v>27750</v>
      </c>
      <c r="K5623">
        <v>1</v>
      </c>
      <c r="L5623" t="s">
        <v>1064</v>
      </c>
      <c r="M5623" t="s">
        <v>5781</v>
      </c>
      <c r="N5623" s="15" t="s">
        <v>6878</v>
      </c>
    </row>
    <row r="5624" spans="1:14" x14ac:dyDescent="0.2">
      <c r="A5624" t="s">
        <v>6753</v>
      </c>
      <c r="B5624" t="s">
        <v>2360</v>
      </c>
      <c r="C5624" s="9">
        <v>45082</v>
      </c>
      <c r="D5624" t="s">
        <v>970</v>
      </c>
      <c r="E5624" s="13">
        <v>7500000</v>
      </c>
      <c r="F5624" s="13">
        <v>416250</v>
      </c>
      <c r="G5624" s="9">
        <v>45082</v>
      </c>
      <c r="H5624" t="s">
        <v>1111</v>
      </c>
      <c r="I5624" t="s">
        <v>5780</v>
      </c>
      <c r="J5624" s="13">
        <v>27750</v>
      </c>
      <c r="K5624">
        <v>1</v>
      </c>
      <c r="L5624" t="s">
        <v>1064</v>
      </c>
      <c r="M5624" t="s">
        <v>5781</v>
      </c>
      <c r="N5624" s="15" t="s">
        <v>6878</v>
      </c>
    </row>
    <row r="5625" spans="1:14" x14ac:dyDescent="0.2">
      <c r="A5625" t="s">
        <v>6754</v>
      </c>
      <c r="B5625" t="s">
        <v>2360</v>
      </c>
      <c r="C5625" s="9">
        <v>45082</v>
      </c>
      <c r="D5625" t="s">
        <v>970</v>
      </c>
      <c r="E5625" s="13">
        <v>7000000</v>
      </c>
      <c r="F5625" s="13">
        <v>388500</v>
      </c>
      <c r="G5625" s="9">
        <v>45082</v>
      </c>
      <c r="H5625" t="s">
        <v>1111</v>
      </c>
      <c r="I5625" t="s">
        <v>5780</v>
      </c>
      <c r="J5625" s="13">
        <v>27750</v>
      </c>
      <c r="K5625">
        <v>1</v>
      </c>
      <c r="L5625" t="s">
        <v>1064</v>
      </c>
      <c r="M5625" t="s">
        <v>5781</v>
      </c>
      <c r="N5625" s="15" t="s">
        <v>6878</v>
      </c>
    </row>
    <row r="5626" spans="1:14" x14ac:dyDescent="0.2">
      <c r="A5626" t="s">
        <v>6755</v>
      </c>
      <c r="B5626" t="s">
        <v>2360</v>
      </c>
      <c r="C5626" s="9">
        <v>45082</v>
      </c>
      <c r="D5626" t="s">
        <v>970</v>
      </c>
      <c r="E5626" s="13">
        <v>7500000</v>
      </c>
      <c r="F5626" s="13">
        <v>416250</v>
      </c>
      <c r="G5626" s="9">
        <v>45082</v>
      </c>
      <c r="H5626" t="s">
        <v>1111</v>
      </c>
      <c r="I5626" t="s">
        <v>5780</v>
      </c>
      <c r="J5626" s="13">
        <v>27750</v>
      </c>
      <c r="K5626">
        <v>1</v>
      </c>
      <c r="L5626" t="s">
        <v>1064</v>
      </c>
      <c r="M5626" t="s">
        <v>5781</v>
      </c>
      <c r="N5626" s="15" t="s">
        <v>6878</v>
      </c>
    </row>
    <row r="5627" spans="1:14" x14ac:dyDescent="0.2">
      <c r="A5627" t="s">
        <v>6756</v>
      </c>
      <c r="B5627" t="s">
        <v>2360</v>
      </c>
      <c r="C5627" s="9">
        <v>45082</v>
      </c>
      <c r="D5627" t="s">
        <v>970</v>
      </c>
      <c r="E5627" s="13">
        <v>7000000</v>
      </c>
      <c r="F5627" s="13">
        <v>388500</v>
      </c>
      <c r="G5627" s="9">
        <v>45082</v>
      </c>
      <c r="H5627" t="s">
        <v>1111</v>
      </c>
      <c r="I5627" t="s">
        <v>5780</v>
      </c>
      <c r="J5627" s="13">
        <v>27750</v>
      </c>
      <c r="K5627">
        <v>1</v>
      </c>
      <c r="L5627" t="s">
        <v>1064</v>
      </c>
      <c r="M5627" t="s">
        <v>5781</v>
      </c>
      <c r="N5627" s="15" t="s">
        <v>6878</v>
      </c>
    </row>
    <row r="5628" spans="1:14" x14ac:dyDescent="0.2">
      <c r="A5628" t="s">
        <v>6757</v>
      </c>
      <c r="B5628" t="s">
        <v>2360</v>
      </c>
      <c r="C5628" s="9">
        <v>45082</v>
      </c>
      <c r="D5628" t="s">
        <v>970</v>
      </c>
      <c r="E5628" s="13">
        <v>7500000</v>
      </c>
      <c r="F5628" s="13">
        <v>416250</v>
      </c>
      <c r="G5628" s="9">
        <v>45082</v>
      </c>
      <c r="H5628" t="s">
        <v>1111</v>
      </c>
      <c r="I5628" t="s">
        <v>5780</v>
      </c>
      <c r="J5628" s="13">
        <v>27750</v>
      </c>
      <c r="K5628">
        <v>1</v>
      </c>
      <c r="L5628" t="s">
        <v>1064</v>
      </c>
      <c r="M5628" t="s">
        <v>5781</v>
      </c>
      <c r="N5628" s="15" t="s">
        <v>6878</v>
      </c>
    </row>
    <row r="5629" spans="1:14" x14ac:dyDescent="0.2">
      <c r="A5629" t="s">
        <v>6758</v>
      </c>
      <c r="B5629" t="s">
        <v>2360</v>
      </c>
      <c r="C5629" s="9">
        <v>45082</v>
      </c>
      <c r="D5629" t="s">
        <v>970</v>
      </c>
      <c r="E5629" s="13">
        <v>7000000</v>
      </c>
      <c r="F5629" s="13">
        <v>388500</v>
      </c>
      <c r="G5629" s="9">
        <v>45082</v>
      </c>
      <c r="H5629" t="s">
        <v>1111</v>
      </c>
      <c r="I5629" t="s">
        <v>5780</v>
      </c>
      <c r="J5629" s="13">
        <v>27750</v>
      </c>
      <c r="K5629">
        <v>1</v>
      </c>
      <c r="L5629" t="s">
        <v>1064</v>
      </c>
      <c r="M5629" t="s">
        <v>5781</v>
      </c>
      <c r="N5629" s="15" t="s">
        <v>6878</v>
      </c>
    </row>
    <row r="5630" spans="1:14" x14ac:dyDescent="0.2">
      <c r="A5630" t="s">
        <v>6759</v>
      </c>
      <c r="B5630" t="s">
        <v>2360</v>
      </c>
      <c r="C5630" s="9">
        <v>45082</v>
      </c>
      <c r="D5630" t="s">
        <v>970</v>
      </c>
      <c r="E5630" s="13">
        <v>7500000</v>
      </c>
      <c r="F5630" s="13">
        <v>416250</v>
      </c>
      <c r="G5630" s="9">
        <v>45082</v>
      </c>
      <c r="H5630" t="s">
        <v>1111</v>
      </c>
      <c r="I5630" t="s">
        <v>5780</v>
      </c>
      <c r="J5630" s="13">
        <v>27750</v>
      </c>
      <c r="K5630">
        <v>1</v>
      </c>
      <c r="L5630" t="s">
        <v>1064</v>
      </c>
      <c r="M5630" t="s">
        <v>5781</v>
      </c>
      <c r="N5630" s="15" t="s">
        <v>6878</v>
      </c>
    </row>
    <row r="5631" spans="1:14" x14ac:dyDescent="0.2">
      <c r="A5631" t="s">
        <v>6760</v>
      </c>
      <c r="B5631" t="s">
        <v>2360</v>
      </c>
      <c r="C5631" s="9">
        <v>45082</v>
      </c>
      <c r="D5631" t="s">
        <v>970</v>
      </c>
      <c r="E5631" s="13">
        <v>7000000</v>
      </c>
      <c r="F5631" s="13">
        <v>388500</v>
      </c>
      <c r="G5631" s="9">
        <v>45082</v>
      </c>
      <c r="H5631" t="s">
        <v>1111</v>
      </c>
      <c r="I5631" t="s">
        <v>5780</v>
      </c>
      <c r="J5631" s="13">
        <v>27750</v>
      </c>
      <c r="K5631">
        <v>1</v>
      </c>
      <c r="L5631" t="s">
        <v>1064</v>
      </c>
      <c r="M5631" t="s">
        <v>5781</v>
      </c>
      <c r="N5631" s="15" t="s">
        <v>6878</v>
      </c>
    </row>
    <row r="5632" spans="1:14" x14ac:dyDescent="0.2">
      <c r="A5632" t="s">
        <v>6761</v>
      </c>
      <c r="B5632" t="s">
        <v>2360</v>
      </c>
      <c r="C5632" s="9">
        <v>45082</v>
      </c>
      <c r="D5632" t="s">
        <v>970</v>
      </c>
      <c r="E5632" s="13">
        <v>7500000</v>
      </c>
      <c r="F5632" s="13">
        <v>416250</v>
      </c>
      <c r="G5632" s="9">
        <v>45082</v>
      </c>
      <c r="H5632" t="s">
        <v>1111</v>
      </c>
      <c r="I5632" t="s">
        <v>5780</v>
      </c>
      <c r="J5632" s="13">
        <v>27750</v>
      </c>
      <c r="K5632">
        <v>1</v>
      </c>
      <c r="L5632" t="s">
        <v>1064</v>
      </c>
      <c r="M5632" t="s">
        <v>5781</v>
      </c>
      <c r="N5632" s="15" t="s">
        <v>6878</v>
      </c>
    </row>
    <row r="5633" spans="1:14" x14ac:dyDescent="0.2">
      <c r="A5633" t="s">
        <v>6762</v>
      </c>
      <c r="B5633" t="s">
        <v>2360</v>
      </c>
      <c r="C5633" s="9">
        <v>45082</v>
      </c>
      <c r="D5633" t="s">
        <v>970</v>
      </c>
      <c r="E5633" s="13">
        <v>7000000</v>
      </c>
      <c r="F5633" s="13">
        <v>388500</v>
      </c>
      <c r="G5633" s="9">
        <v>45082</v>
      </c>
      <c r="H5633" t="s">
        <v>1111</v>
      </c>
      <c r="I5633" t="s">
        <v>5780</v>
      </c>
      <c r="J5633" s="13">
        <v>27750</v>
      </c>
      <c r="K5633">
        <v>1</v>
      </c>
      <c r="L5633" t="s">
        <v>1064</v>
      </c>
      <c r="M5633" t="s">
        <v>5781</v>
      </c>
      <c r="N5633" s="15" t="s">
        <v>6878</v>
      </c>
    </row>
    <row r="5634" spans="1:14" x14ac:dyDescent="0.2">
      <c r="A5634" t="s">
        <v>6763</v>
      </c>
      <c r="B5634" t="s">
        <v>2360</v>
      </c>
      <c r="C5634" s="9">
        <v>45082</v>
      </c>
      <c r="D5634" t="s">
        <v>970</v>
      </c>
      <c r="E5634" s="13">
        <v>7500000</v>
      </c>
      <c r="F5634" s="13">
        <v>416250</v>
      </c>
      <c r="G5634" s="9">
        <v>45082</v>
      </c>
      <c r="H5634" t="s">
        <v>1111</v>
      </c>
      <c r="I5634" t="s">
        <v>5780</v>
      </c>
      <c r="J5634" s="13">
        <v>27750</v>
      </c>
      <c r="K5634">
        <v>1</v>
      </c>
      <c r="L5634" t="s">
        <v>1064</v>
      </c>
      <c r="M5634" t="s">
        <v>5781</v>
      </c>
      <c r="N5634" s="15" t="s">
        <v>6878</v>
      </c>
    </row>
    <row r="5635" spans="1:14" x14ac:dyDescent="0.2">
      <c r="A5635" t="s">
        <v>6764</v>
      </c>
      <c r="B5635" t="s">
        <v>2360</v>
      </c>
      <c r="C5635" s="9">
        <v>45082</v>
      </c>
      <c r="D5635" t="s">
        <v>970</v>
      </c>
      <c r="E5635" s="13">
        <v>7000000</v>
      </c>
      <c r="F5635" s="13">
        <v>388500</v>
      </c>
      <c r="G5635" s="9">
        <v>45082</v>
      </c>
      <c r="H5635" t="s">
        <v>1111</v>
      </c>
      <c r="I5635" t="s">
        <v>5780</v>
      </c>
      <c r="J5635" s="13">
        <v>27750</v>
      </c>
      <c r="K5635">
        <v>1</v>
      </c>
      <c r="L5635" t="s">
        <v>1064</v>
      </c>
      <c r="M5635" t="s">
        <v>5781</v>
      </c>
      <c r="N5635" s="15" t="s">
        <v>6878</v>
      </c>
    </row>
    <row r="5636" spans="1:14" x14ac:dyDescent="0.2">
      <c r="A5636" t="s">
        <v>6765</v>
      </c>
      <c r="B5636" t="s">
        <v>2360</v>
      </c>
      <c r="C5636" s="9">
        <v>45082</v>
      </c>
      <c r="D5636" t="s">
        <v>970</v>
      </c>
      <c r="E5636" s="13">
        <v>7500000</v>
      </c>
      <c r="F5636" s="13">
        <v>416250</v>
      </c>
      <c r="G5636" s="9">
        <v>45082</v>
      </c>
      <c r="H5636" t="s">
        <v>1111</v>
      </c>
      <c r="I5636" t="s">
        <v>5780</v>
      </c>
      <c r="J5636" s="13">
        <v>27750</v>
      </c>
      <c r="K5636">
        <v>1</v>
      </c>
      <c r="L5636" t="s">
        <v>1064</v>
      </c>
      <c r="M5636" t="s">
        <v>5781</v>
      </c>
      <c r="N5636" s="15" t="s">
        <v>6878</v>
      </c>
    </row>
    <row r="5637" spans="1:14" x14ac:dyDescent="0.2">
      <c r="A5637" t="s">
        <v>6766</v>
      </c>
      <c r="B5637" t="s">
        <v>2360</v>
      </c>
      <c r="C5637" s="9">
        <v>45082</v>
      </c>
      <c r="D5637" t="s">
        <v>970</v>
      </c>
      <c r="E5637" s="13">
        <v>7000000</v>
      </c>
      <c r="F5637" s="13">
        <v>388500</v>
      </c>
      <c r="G5637" s="9">
        <v>45082</v>
      </c>
      <c r="H5637" t="s">
        <v>1111</v>
      </c>
      <c r="I5637" t="s">
        <v>5780</v>
      </c>
      <c r="J5637" s="13">
        <v>27750</v>
      </c>
      <c r="K5637">
        <v>1</v>
      </c>
      <c r="L5637" t="s">
        <v>1064</v>
      </c>
      <c r="M5637" t="s">
        <v>5781</v>
      </c>
      <c r="N5637" s="15" t="s">
        <v>6878</v>
      </c>
    </row>
    <row r="5638" spans="1:14" x14ac:dyDescent="0.2">
      <c r="A5638" t="s">
        <v>6767</v>
      </c>
      <c r="B5638" t="s">
        <v>2360</v>
      </c>
      <c r="C5638" s="9">
        <v>45082</v>
      </c>
      <c r="D5638" t="s">
        <v>970</v>
      </c>
      <c r="E5638" s="13">
        <v>7500000</v>
      </c>
      <c r="F5638" s="13">
        <v>416250</v>
      </c>
      <c r="G5638" s="9">
        <v>45082</v>
      </c>
      <c r="H5638" t="s">
        <v>1111</v>
      </c>
      <c r="I5638" t="s">
        <v>5780</v>
      </c>
      <c r="J5638" s="13">
        <v>27750</v>
      </c>
      <c r="K5638">
        <v>1</v>
      </c>
      <c r="L5638" t="s">
        <v>1064</v>
      </c>
      <c r="M5638" t="s">
        <v>5781</v>
      </c>
      <c r="N5638" s="15" t="s">
        <v>6878</v>
      </c>
    </row>
    <row r="5639" spans="1:14" x14ac:dyDescent="0.2">
      <c r="A5639" t="s">
        <v>6768</v>
      </c>
      <c r="B5639" t="s">
        <v>2360</v>
      </c>
      <c r="C5639" s="9">
        <v>45082</v>
      </c>
      <c r="D5639" t="s">
        <v>970</v>
      </c>
      <c r="E5639" s="13">
        <v>7000000</v>
      </c>
      <c r="F5639" s="13">
        <v>388500</v>
      </c>
      <c r="G5639" s="9">
        <v>45082</v>
      </c>
      <c r="H5639" t="s">
        <v>1111</v>
      </c>
      <c r="I5639" t="s">
        <v>5780</v>
      </c>
      <c r="J5639" s="13">
        <v>27750</v>
      </c>
      <c r="K5639">
        <v>1</v>
      </c>
      <c r="L5639" t="s">
        <v>1064</v>
      </c>
      <c r="M5639" t="s">
        <v>5781</v>
      </c>
      <c r="N5639" s="15" t="s">
        <v>6878</v>
      </c>
    </row>
    <row r="5640" spans="1:14" x14ac:dyDescent="0.2">
      <c r="A5640" t="s">
        <v>6769</v>
      </c>
      <c r="B5640" t="s">
        <v>2360</v>
      </c>
      <c r="C5640" s="9">
        <v>45082</v>
      </c>
      <c r="D5640" t="s">
        <v>970</v>
      </c>
      <c r="E5640" s="13">
        <v>7500000</v>
      </c>
      <c r="F5640" s="13">
        <v>416250</v>
      </c>
      <c r="G5640" s="9">
        <v>45082</v>
      </c>
      <c r="H5640" t="s">
        <v>1111</v>
      </c>
      <c r="I5640" t="s">
        <v>5780</v>
      </c>
      <c r="J5640" s="13">
        <v>27750</v>
      </c>
      <c r="K5640">
        <v>1</v>
      </c>
      <c r="L5640" t="s">
        <v>1064</v>
      </c>
      <c r="M5640" t="s">
        <v>5781</v>
      </c>
      <c r="N5640" s="15" t="s">
        <v>6878</v>
      </c>
    </row>
    <row r="5641" spans="1:14" x14ac:dyDescent="0.2">
      <c r="A5641" t="s">
        <v>6770</v>
      </c>
      <c r="B5641" t="s">
        <v>2360</v>
      </c>
      <c r="C5641" s="9">
        <v>45082</v>
      </c>
      <c r="D5641" t="s">
        <v>970</v>
      </c>
      <c r="E5641" s="13">
        <v>7000000</v>
      </c>
      <c r="F5641" s="13">
        <v>388500</v>
      </c>
      <c r="G5641" s="9">
        <v>45082</v>
      </c>
      <c r="H5641" t="s">
        <v>1111</v>
      </c>
      <c r="I5641" t="s">
        <v>5780</v>
      </c>
      <c r="J5641" s="13">
        <v>27750</v>
      </c>
      <c r="K5641">
        <v>1</v>
      </c>
      <c r="L5641" t="s">
        <v>1064</v>
      </c>
      <c r="M5641" t="s">
        <v>5781</v>
      </c>
      <c r="N5641" s="15" t="s">
        <v>6878</v>
      </c>
    </row>
    <row r="5642" spans="1:14" x14ac:dyDescent="0.2">
      <c r="A5642" t="s">
        <v>6771</v>
      </c>
      <c r="B5642" t="s">
        <v>2360</v>
      </c>
      <c r="C5642" s="9">
        <v>45082</v>
      </c>
      <c r="D5642" t="s">
        <v>970</v>
      </c>
      <c r="E5642" s="13">
        <v>7500000</v>
      </c>
      <c r="F5642" s="13">
        <v>416250</v>
      </c>
      <c r="G5642" s="9">
        <v>45082</v>
      </c>
      <c r="H5642" t="s">
        <v>1111</v>
      </c>
      <c r="I5642" t="s">
        <v>5780</v>
      </c>
      <c r="J5642" s="13">
        <v>27750</v>
      </c>
      <c r="K5642">
        <v>1</v>
      </c>
      <c r="L5642" t="s">
        <v>1064</v>
      </c>
      <c r="M5642" t="s">
        <v>5781</v>
      </c>
      <c r="N5642" s="15" t="s">
        <v>6878</v>
      </c>
    </row>
    <row r="5643" spans="1:14" x14ac:dyDescent="0.2">
      <c r="A5643" t="s">
        <v>6772</v>
      </c>
      <c r="B5643" t="s">
        <v>2360</v>
      </c>
      <c r="C5643" s="9">
        <v>45082</v>
      </c>
      <c r="D5643" t="s">
        <v>970</v>
      </c>
      <c r="E5643" s="13">
        <v>7000000</v>
      </c>
      <c r="F5643" s="13">
        <v>388500</v>
      </c>
      <c r="G5643" s="9">
        <v>45082</v>
      </c>
      <c r="H5643" t="s">
        <v>1111</v>
      </c>
      <c r="I5643" t="s">
        <v>5780</v>
      </c>
      <c r="J5643" s="13">
        <v>27750</v>
      </c>
      <c r="K5643">
        <v>1</v>
      </c>
      <c r="L5643" t="s">
        <v>1064</v>
      </c>
      <c r="M5643" t="s">
        <v>5781</v>
      </c>
      <c r="N5643" s="15" t="s">
        <v>6878</v>
      </c>
    </row>
    <row r="5644" spans="1:14" x14ac:dyDescent="0.2">
      <c r="A5644" t="s">
        <v>6773</v>
      </c>
      <c r="B5644" t="s">
        <v>2360</v>
      </c>
      <c r="C5644" s="9">
        <v>45082</v>
      </c>
      <c r="D5644" t="s">
        <v>970</v>
      </c>
      <c r="E5644" s="13">
        <v>7500000</v>
      </c>
      <c r="F5644" s="13">
        <v>416250</v>
      </c>
      <c r="G5644" s="9">
        <v>45082</v>
      </c>
      <c r="H5644" t="s">
        <v>1111</v>
      </c>
      <c r="I5644" t="s">
        <v>5780</v>
      </c>
      <c r="J5644" s="13">
        <v>27750</v>
      </c>
      <c r="K5644">
        <v>1</v>
      </c>
      <c r="L5644" t="s">
        <v>1064</v>
      </c>
      <c r="M5644" t="s">
        <v>5781</v>
      </c>
      <c r="N5644" s="15" t="s">
        <v>6878</v>
      </c>
    </row>
    <row r="5645" spans="1:14" x14ac:dyDescent="0.2">
      <c r="A5645" t="s">
        <v>6774</v>
      </c>
      <c r="B5645" t="s">
        <v>2360</v>
      </c>
      <c r="C5645" s="9">
        <v>45082</v>
      </c>
      <c r="D5645" t="s">
        <v>970</v>
      </c>
      <c r="E5645" s="13">
        <v>7000000</v>
      </c>
      <c r="F5645" s="13">
        <v>388500</v>
      </c>
      <c r="G5645" s="9">
        <v>45082</v>
      </c>
      <c r="H5645" t="s">
        <v>1111</v>
      </c>
      <c r="I5645" t="s">
        <v>5780</v>
      </c>
      <c r="J5645" s="13">
        <v>27750</v>
      </c>
      <c r="K5645">
        <v>1</v>
      </c>
      <c r="L5645" t="s">
        <v>1064</v>
      </c>
      <c r="M5645" t="s">
        <v>5781</v>
      </c>
      <c r="N5645" s="15" t="s">
        <v>6878</v>
      </c>
    </row>
    <row r="5646" spans="1:14" x14ac:dyDescent="0.2">
      <c r="A5646" t="s">
        <v>6775</v>
      </c>
      <c r="B5646" t="s">
        <v>2360</v>
      </c>
      <c r="C5646" s="9">
        <v>45082</v>
      </c>
      <c r="D5646" t="s">
        <v>970</v>
      </c>
      <c r="E5646" s="13">
        <v>7500000</v>
      </c>
      <c r="F5646" s="13">
        <v>416250</v>
      </c>
      <c r="G5646" s="9">
        <v>45082</v>
      </c>
      <c r="H5646" t="s">
        <v>1111</v>
      </c>
      <c r="I5646" t="s">
        <v>5780</v>
      </c>
      <c r="J5646" s="13">
        <v>27750</v>
      </c>
      <c r="K5646">
        <v>1</v>
      </c>
      <c r="L5646" t="s">
        <v>1064</v>
      </c>
      <c r="M5646" t="s">
        <v>5781</v>
      </c>
      <c r="N5646" s="15" t="s">
        <v>6878</v>
      </c>
    </row>
    <row r="5647" spans="1:14" x14ac:dyDescent="0.2">
      <c r="A5647" t="s">
        <v>6776</v>
      </c>
      <c r="B5647" t="s">
        <v>2360</v>
      </c>
      <c r="C5647" s="9">
        <v>45082</v>
      </c>
      <c r="D5647" t="s">
        <v>970</v>
      </c>
      <c r="E5647" s="13">
        <v>7000000</v>
      </c>
      <c r="F5647" s="13">
        <v>388500</v>
      </c>
      <c r="G5647" s="9">
        <v>45082</v>
      </c>
      <c r="H5647" t="s">
        <v>1111</v>
      </c>
      <c r="I5647" t="s">
        <v>5780</v>
      </c>
      <c r="J5647" s="13">
        <v>27750</v>
      </c>
      <c r="K5647">
        <v>1</v>
      </c>
      <c r="L5647" t="s">
        <v>1064</v>
      </c>
      <c r="M5647" t="s">
        <v>5781</v>
      </c>
      <c r="N5647" s="15" t="s">
        <v>6878</v>
      </c>
    </row>
    <row r="5648" spans="1:14" x14ac:dyDescent="0.2">
      <c r="A5648" t="s">
        <v>6777</v>
      </c>
      <c r="B5648" t="s">
        <v>2360</v>
      </c>
      <c r="C5648" s="9">
        <v>45082</v>
      </c>
      <c r="D5648" t="s">
        <v>970</v>
      </c>
      <c r="E5648" s="13">
        <v>7500000</v>
      </c>
      <c r="F5648" s="13">
        <v>416250</v>
      </c>
      <c r="G5648" s="9">
        <v>45082</v>
      </c>
      <c r="H5648" t="s">
        <v>1111</v>
      </c>
      <c r="I5648" t="s">
        <v>5780</v>
      </c>
      <c r="J5648" s="13">
        <v>27750</v>
      </c>
      <c r="K5648">
        <v>1</v>
      </c>
      <c r="L5648" t="s">
        <v>1064</v>
      </c>
      <c r="M5648" t="s">
        <v>5781</v>
      </c>
      <c r="N5648" s="15" t="s">
        <v>6878</v>
      </c>
    </row>
    <row r="5649" spans="1:14" x14ac:dyDescent="0.2">
      <c r="A5649" t="s">
        <v>6778</v>
      </c>
      <c r="B5649" t="s">
        <v>2360</v>
      </c>
      <c r="C5649" s="9">
        <v>45082</v>
      </c>
      <c r="D5649" t="s">
        <v>970</v>
      </c>
      <c r="E5649" s="13">
        <v>7000000</v>
      </c>
      <c r="F5649" s="13">
        <v>388500</v>
      </c>
      <c r="G5649" s="9">
        <v>45082</v>
      </c>
      <c r="H5649" t="s">
        <v>1111</v>
      </c>
      <c r="I5649" t="s">
        <v>5780</v>
      </c>
      <c r="J5649" s="13">
        <v>27750</v>
      </c>
      <c r="K5649">
        <v>1</v>
      </c>
      <c r="L5649" t="s">
        <v>1064</v>
      </c>
      <c r="M5649" t="s">
        <v>5781</v>
      </c>
      <c r="N5649" s="15" t="s">
        <v>6878</v>
      </c>
    </row>
    <row r="5650" spans="1:14" x14ac:dyDescent="0.2">
      <c r="A5650" t="s">
        <v>6779</v>
      </c>
      <c r="B5650" t="s">
        <v>2360</v>
      </c>
      <c r="C5650" s="9">
        <v>45082</v>
      </c>
      <c r="D5650" t="s">
        <v>990</v>
      </c>
      <c r="E5650" s="13">
        <v>54000000</v>
      </c>
      <c r="F5650" s="13"/>
      <c r="H5650" t="s">
        <v>1185</v>
      </c>
      <c r="I5650" t="s">
        <v>4732</v>
      </c>
      <c r="J5650" s="13">
        <v>0</v>
      </c>
      <c r="K5650">
        <v>4</v>
      </c>
      <c r="L5650" t="s">
        <v>1064</v>
      </c>
      <c r="M5650" t="s">
        <v>4733</v>
      </c>
      <c r="N5650" s="14" t="s">
        <v>6877</v>
      </c>
    </row>
    <row r="5651" spans="1:14" x14ac:dyDescent="0.2">
      <c r="A5651" t="s">
        <v>6780</v>
      </c>
      <c r="B5651" t="s">
        <v>2360</v>
      </c>
      <c r="C5651" s="9">
        <v>45082</v>
      </c>
      <c r="D5651" t="s">
        <v>990</v>
      </c>
      <c r="E5651" s="13">
        <v>54000000</v>
      </c>
      <c r="F5651" s="13">
        <v>2247750</v>
      </c>
      <c r="G5651" s="9">
        <v>45082</v>
      </c>
      <c r="H5651" t="s">
        <v>1111</v>
      </c>
      <c r="I5651" t="s">
        <v>4732</v>
      </c>
      <c r="J5651" s="13">
        <v>111000</v>
      </c>
      <c r="K5651">
        <v>4</v>
      </c>
      <c r="L5651" t="s">
        <v>1064</v>
      </c>
      <c r="M5651" t="s">
        <v>4733</v>
      </c>
      <c r="N5651" s="15" t="s">
        <v>6878</v>
      </c>
    </row>
    <row r="5652" spans="1:14" x14ac:dyDescent="0.2">
      <c r="A5652" t="s">
        <v>6781</v>
      </c>
      <c r="B5652" t="s">
        <v>2360</v>
      </c>
      <c r="C5652" s="9">
        <v>45082</v>
      </c>
      <c r="D5652" t="s">
        <v>833</v>
      </c>
      <c r="E5652" s="13">
        <v>0</v>
      </c>
      <c r="F5652" s="13"/>
      <c r="H5652" t="s">
        <v>2184</v>
      </c>
      <c r="I5652" t="s">
        <v>262</v>
      </c>
      <c r="J5652" s="13">
        <v>0</v>
      </c>
      <c r="K5652">
        <v>4</v>
      </c>
      <c r="L5652" t="s">
        <v>1064</v>
      </c>
      <c r="M5652" t="s">
        <v>6736</v>
      </c>
      <c r="N5652" s="14" t="s">
        <v>6877</v>
      </c>
    </row>
    <row r="5653" spans="1:14" x14ac:dyDescent="0.2">
      <c r="A5653" t="s">
        <v>6782</v>
      </c>
      <c r="B5653" t="s">
        <v>2360</v>
      </c>
      <c r="C5653" s="9">
        <v>45082</v>
      </c>
      <c r="D5653" t="s">
        <v>1007</v>
      </c>
      <c r="E5653" s="13">
        <v>9000000</v>
      </c>
      <c r="F5653" s="13">
        <v>27750</v>
      </c>
      <c r="G5653" s="9">
        <v>45083</v>
      </c>
      <c r="H5653" t="s">
        <v>1111</v>
      </c>
      <c r="I5653" t="s">
        <v>886</v>
      </c>
      <c r="J5653" s="13">
        <v>499500</v>
      </c>
      <c r="K5653">
        <v>1</v>
      </c>
      <c r="L5653" t="s">
        <v>1064</v>
      </c>
      <c r="M5653" t="s">
        <v>6487</v>
      </c>
      <c r="N5653" s="15" t="s">
        <v>6878</v>
      </c>
    </row>
    <row r="5654" spans="1:14" x14ac:dyDescent="0.2">
      <c r="A5654" t="s">
        <v>6783</v>
      </c>
      <c r="B5654" t="s">
        <v>2360</v>
      </c>
      <c r="C5654" s="9">
        <v>45082</v>
      </c>
      <c r="D5654" t="s">
        <v>833</v>
      </c>
      <c r="E5654" s="13">
        <v>6000000</v>
      </c>
      <c r="F5654" s="13">
        <v>266400</v>
      </c>
      <c r="G5654" s="9">
        <v>45083</v>
      </c>
      <c r="H5654" t="s">
        <v>1111</v>
      </c>
      <c r="I5654" t="s">
        <v>262</v>
      </c>
      <c r="J5654" s="13">
        <v>111000</v>
      </c>
      <c r="K5654">
        <v>4</v>
      </c>
      <c r="L5654" t="s">
        <v>1064</v>
      </c>
      <c r="M5654" t="s">
        <v>6736</v>
      </c>
      <c r="N5654" s="15" t="s">
        <v>6878</v>
      </c>
    </row>
    <row r="5655" spans="1:14" x14ac:dyDescent="0.2">
      <c r="A5655" t="s">
        <v>6784</v>
      </c>
      <c r="B5655" t="s">
        <v>2360</v>
      </c>
      <c r="C5655" s="9">
        <v>45083</v>
      </c>
      <c r="D5655" t="s">
        <v>1007</v>
      </c>
      <c r="E5655" s="13">
        <v>9000000</v>
      </c>
      <c r="F5655" s="13">
        <v>27750</v>
      </c>
      <c r="G5655" s="9">
        <v>45083</v>
      </c>
      <c r="H5655" t="s">
        <v>1111</v>
      </c>
      <c r="I5655" t="s">
        <v>886</v>
      </c>
      <c r="J5655" s="13">
        <v>499500</v>
      </c>
      <c r="K5655">
        <v>1</v>
      </c>
      <c r="L5655" t="s">
        <v>1064</v>
      </c>
      <c r="M5655" t="s">
        <v>6487</v>
      </c>
      <c r="N5655" s="15" t="s">
        <v>6878</v>
      </c>
    </row>
    <row r="5656" spans="1:14" x14ac:dyDescent="0.2">
      <c r="A5656" t="s">
        <v>6785</v>
      </c>
      <c r="B5656" t="s">
        <v>2360</v>
      </c>
      <c r="C5656" s="9">
        <v>45083</v>
      </c>
      <c r="D5656" t="s">
        <v>1007</v>
      </c>
      <c r="E5656" s="13">
        <v>9000000</v>
      </c>
      <c r="F5656" s="13">
        <v>27750</v>
      </c>
      <c r="G5656" s="9">
        <v>45083</v>
      </c>
      <c r="H5656" t="s">
        <v>1111</v>
      </c>
      <c r="I5656" t="s">
        <v>886</v>
      </c>
      <c r="J5656" s="13">
        <v>499500</v>
      </c>
      <c r="K5656">
        <v>1</v>
      </c>
      <c r="L5656" t="s">
        <v>1064</v>
      </c>
      <c r="M5656" t="s">
        <v>6487</v>
      </c>
      <c r="N5656" s="15" t="s">
        <v>6878</v>
      </c>
    </row>
    <row r="5657" spans="1:14" x14ac:dyDescent="0.2">
      <c r="A5657" t="s">
        <v>6786</v>
      </c>
      <c r="B5657" t="s">
        <v>2360</v>
      </c>
      <c r="C5657" s="9">
        <v>45083</v>
      </c>
      <c r="D5657" t="s">
        <v>1007</v>
      </c>
      <c r="E5657" s="13">
        <v>8500000</v>
      </c>
      <c r="F5657" s="13">
        <v>27750</v>
      </c>
      <c r="G5657" s="9">
        <v>45083</v>
      </c>
      <c r="H5657" t="s">
        <v>1111</v>
      </c>
      <c r="I5657" t="s">
        <v>886</v>
      </c>
      <c r="J5657" s="13">
        <v>471750</v>
      </c>
      <c r="K5657">
        <v>1</v>
      </c>
      <c r="L5657" t="s">
        <v>1064</v>
      </c>
      <c r="M5657" t="s">
        <v>6487</v>
      </c>
      <c r="N5657" s="15" t="s">
        <v>6878</v>
      </c>
    </row>
    <row r="5658" spans="1:14" x14ac:dyDescent="0.2">
      <c r="A5658" t="s">
        <v>6787</v>
      </c>
      <c r="B5658" t="s">
        <v>2360</v>
      </c>
      <c r="C5658" s="9">
        <v>45083</v>
      </c>
      <c r="D5658" t="s">
        <v>1007</v>
      </c>
      <c r="E5658" s="13">
        <v>8500000</v>
      </c>
      <c r="F5658" s="13">
        <v>27750</v>
      </c>
      <c r="G5658" s="9">
        <v>45083</v>
      </c>
      <c r="H5658" t="s">
        <v>1111</v>
      </c>
      <c r="I5658" t="s">
        <v>886</v>
      </c>
      <c r="J5658" s="13">
        <v>471750</v>
      </c>
      <c r="K5658">
        <v>1</v>
      </c>
      <c r="L5658" t="s">
        <v>1064</v>
      </c>
      <c r="M5658" t="s">
        <v>6487</v>
      </c>
      <c r="N5658" s="15" t="s">
        <v>6878</v>
      </c>
    </row>
    <row r="5659" spans="1:14" x14ac:dyDescent="0.2">
      <c r="A5659" t="s">
        <v>6788</v>
      </c>
      <c r="B5659" t="s">
        <v>2360</v>
      </c>
      <c r="C5659" s="9">
        <v>45083</v>
      </c>
      <c r="D5659" t="s">
        <v>9</v>
      </c>
      <c r="E5659" s="13">
        <v>479000</v>
      </c>
      <c r="F5659" s="13">
        <v>22500</v>
      </c>
      <c r="H5659" t="s">
        <v>1185</v>
      </c>
      <c r="I5659" t="s">
        <v>4659</v>
      </c>
      <c r="J5659" s="13">
        <v>0</v>
      </c>
      <c r="K5659">
        <v>1</v>
      </c>
      <c r="L5659" t="s">
        <v>1064</v>
      </c>
      <c r="M5659" t="s">
        <v>4660</v>
      </c>
      <c r="N5659" s="14" t="s">
        <v>6877</v>
      </c>
    </row>
    <row r="5660" spans="1:14" x14ac:dyDescent="0.2">
      <c r="A5660" t="s">
        <v>6789</v>
      </c>
      <c r="B5660" t="s">
        <v>2360</v>
      </c>
      <c r="C5660" s="9">
        <v>45083</v>
      </c>
      <c r="D5660" t="s">
        <v>9</v>
      </c>
      <c r="E5660" s="13">
        <v>190000</v>
      </c>
      <c r="F5660" s="13">
        <v>22500</v>
      </c>
      <c r="H5660" t="s">
        <v>1185</v>
      </c>
      <c r="I5660" t="s">
        <v>4659</v>
      </c>
      <c r="J5660" s="13">
        <v>0</v>
      </c>
      <c r="K5660">
        <v>1</v>
      </c>
      <c r="L5660" t="s">
        <v>1064</v>
      </c>
      <c r="M5660" t="s">
        <v>4660</v>
      </c>
      <c r="N5660" s="14" t="s">
        <v>6877</v>
      </c>
    </row>
    <row r="5661" spans="1:14" x14ac:dyDescent="0.2">
      <c r="A5661" t="s">
        <v>6790</v>
      </c>
      <c r="B5661" t="s">
        <v>2360</v>
      </c>
      <c r="C5661" s="9">
        <v>45083</v>
      </c>
      <c r="D5661" t="s">
        <v>1007</v>
      </c>
      <c r="E5661" s="13">
        <v>16000000</v>
      </c>
      <c r="F5661" s="13">
        <v>27750</v>
      </c>
      <c r="G5661" s="9">
        <v>45083</v>
      </c>
      <c r="H5661" t="s">
        <v>1111</v>
      </c>
      <c r="I5661" t="s">
        <v>886</v>
      </c>
      <c r="J5661" s="13">
        <v>888000</v>
      </c>
      <c r="K5661">
        <v>1</v>
      </c>
      <c r="L5661" t="s">
        <v>1064</v>
      </c>
      <c r="M5661" t="s">
        <v>6487</v>
      </c>
      <c r="N5661" s="15" t="s">
        <v>6878</v>
      </c>
    </row>
    <row r="5662" spans="1:14" x14ac:dyDescent="0.2">
      <c r="A5662" t="s">
        <v>6791</v>
      </c>
      <c r="B5662" t="s">
        <v>2360</v>
      </c>
      <c r="C5662" s="9">
        <v>45083</v>
      </c>
      <c r="D5662" t="s">
        <v>1007</v>
      </c>
      <c r="E5662" s="13">
        <v>16000000</v>
      </c>
      <c r="F5662" s="13">
        <v>27750</v>
      </c>
      <c r="G5662" s="9">
        <v>45083</v>
      </c>
      <c r="H5662" t="s">
        <v>1111</v>
      </c>
      <c r="I5662" t="s">
        <v>886</v>
      </c>
      <c r="J5662" s="13">
        <v>888000</v>
      </c>
      <c r="K5662">
        <v>1</v>
      </c>
      <c r="L5662" t="s">
        <v>1064</v>
      </c>
      <c r="M5662" t="s">
        <v>6487</v>
      </c>
      <c r="N5662" s="15" t="s">
        <v>6878</v>
      </c>
    </row>
    <row r="5663" spans="1:14" x14ac:dyDescent="0.2">
      <c r="A5663" t="s">
        <v>6792</v>
      </c>
      <c r="B5663" t="s">
        <v>2360</v>
      </c>
      <c r="C5663" s="9">
        <v>45083</v>
      </c>
      <c r="D5663" t="s">
        <v>1007</v>
      </c>
      <c r="E5663" s="13">
        <v>16000000</v>
      </c>
      <c r="F5663" s="13">
        <v>27750</v>
      </c>
      <c r="G5663" s="9">
        <v>45083</v>
      </c>
      <c r="H5663" t="s">
        <v>1111</v>
      </c>
      <c r="I5663" t="s">
        <v>886</v>
      </c>
      <c r="J5663" s="13">
        <v>888000</v>
      </c>
      <c r="K5663">
        <v>1</v>
      </c>
      <c r="L5663" t="s">
        <v>1064</v>
      </c>
      <c r="M5663" t="s">
        <v>6487</v>
      </c>
      <c r="N5663" s="15" t="s">
        <v>6878</v>
      </c>
    </row>
    <row r="5664" spans="1:14" x14ac:dyDescent="0.2">
      <c r="A5664" t="s">
        <v>6793</v>
      </c>
      <c r="B5664" t="s">
        <v>2360</v>
      </c>
      <c r="C5664" s="9">
        <v>45083</v>
      </c>
      <c r="D5664" t="s">
        <v>1007</v>
      </c>
      <c r="E5664" s="13">
        <v>16000000</v>
      </c>
      <c r="F5664" s="13">
        <v>27750</v>
      </c>
      <c r="G5664" s="9">
        <v>45083</v>
      </c>
      <c r="H5664" t="s">
        <v>1111</v>
      </c>
      <c r="I5664" t="s">
        <v>886</v>
      </c>
      <c r="J5664" s="13">
        <v>888000</v>
      </c>
      <c r="K5664">
        <v>1</v>
      </c>
      <c r="L5664" t="s">
        <v>1064</v>
      </c>
      <c r="M5664" t="s">
        <v>6487</v>
      </c>
      <c r="N5664" s="15" t="s">
        <v>6878</v>
      </c>
    </row>
    <row r="5665" spans="1:14" x14ac:dyDescent="0.2">
      <c r="A5665" t="s">
        <v>6794</v>
      </c>
      <c r="B5665" t="s">
        <v>2360</v>
      </c>
      <c r="C5665" s="9">
        <v>45083</v>
      </c>
      <c r="D5665" t="s">
        <v>1007</v>
      </c>
      <c r="E5665" s="13">
        <v>16000000</v>
      </c>
      <c r="F5665" s="13">
        <v>27750</v>
      </c>
      <c r="G5665" s="9">
        <v>45083</v>
      </c>
      <c r="H5665" t="s">
        <v>1111</v>
      </c>
      <c r="I5665" t="s">
        <v>886</v>
      </c>
      <c r="J5665" s="13">
        <v>888000</v>
      </c>
      <c r="K5665">
        <v>1</v>
      </c>
      <c r="L5665" t="s">
        <v>1064</v>
      </c>
      <c r="M5665" t="s">
        <v>6487</v>
      </c>
      <c r="N5665" s="15" t="s">
        <v>6878</v>
      </c>
    </row>
    <row r="5666" spans="1:14" x14ac:dyDescent="0.2">
      <c r="A5666" t="s">
        <v>1008</v>
      </c>
      <c r="B5666" t="s">
        <v>2360</v>
      </c>
      <c r="C5666" s="9">
        <v>45083</v>
      </c>
      <c r="D5666" t="s">
        <v>1007</v>
      </c>
      <c r="E5666" s="13">
        <v>16000000</v>
      </c>
      <c r="F5666" s="13">
        <v>27750</v>
      </c>
      <c r="G5666" s="9">
        <v>45083</v>
      </c>
      <c r="H5666" t="s">
        <v>1111</v>
      </c>
      <c r="I5666" t="s">
        <v>886</v>
      </c>
      <c r="J5666" s="13">
        <v>888000</v>
      </c>
      <c r="K5666">
        <v>1</v>
      </c>
      <c r="L5666" t="s">
        <v>1064</v>
      </c>
      <c r="M5666" t="s">
        <v>6487</v>
      </c>
      <c r="N5666" s="15" t="s">
        <v>6878</v>
      </c>
    </row>
    <row r="5667" spans="1:14" x14ac:dyDescent="0.2">
      <c r="A5667" t="s">
        <v>6795</v>
      </c>
      <c r="B5667" t="s">
        <v>2360</v>
      </c>
      <c r="C5667" s="9">
        <v>45083</v>
      </c>
      <c r="D5667" t="s">
        <v>833</v>
      </c>
      <c r="E5667" s="13">
        <v>13800000</v>
      </c>
      <c r="F5667" s="13">
        <v>612720</v>
      </c>
      <c r="G5667" s="9">
        <v>45084</v>
      </c>
      <c r="H5667" t="s">
        <v>1111</v>
      </c>
      <c r="I5667" t="s">
        <v>262</v>
      </c>
      <c r="J5667" s="13">
        <v>27750</v>
      </c>
      <c r="K5667">
        <v>1</v>
      </c>
      <c r="L5667" t="s">
        <v>1064</v>
      </c>
      <c r="M5667" t="s">
        <v>6736</v>
      </c>
      <c r="N5667" s="15" t="s">
        <v>6878</v>
      </c>
    </row>
    <row r="5668" spans="1:14" x14ac:dyDescent="0.2">
      <c r="A5668" t="s">
        <v>1034</v>
      </c>
      <c r="B5668" t="s">
        <v>2360</v>
      </c>
      <c r="C5668" s="9">
        <v>45083</v>
      </c>
      <c r="D5668" t="s">
        <v>833</v>
      </c>
      <c r="E5668" s="13">
        <v>35700000</v>
      </c>
      <c r="F5668" s="13">
        <v>1585080</v>
      </c>
      <c r="G5668" s="9">
        <v>45084</v>
      </c>
      <c r="H5668" t="s">
        <v>1111</v>
      </c>
      <c r="I5668" t="s">
        <v>262</v>
      </c>
      <c r="J5668" s="13">
        <v>55500</v>
      </c>
      <c r="K5668">
        <v>2</v>
      </c>
      <c r="L5668" t="s">
        <v>1064</v>
      </c>
      <c r="M5668" t="s">
        <v>6736</v>
      </c>
      <c r="N5668" s="15" t="s">
        <v>6878</v>
      </c>
    </row>
    <row r="5669" spans="1:14" x14ac:dyDescent="0.2">
      <c r="A5669" t="s">
        <v>6796</v>
      </c>
      <c r="B5669" t="s">
        <v>2360</v>
      </c>
      <c r="C5669" s="9">
        <v>45084</v>
      </c>
      <c r="D5669" t="s">
        <v>990</v>
      </c>
      <c r="E5669" s="13">
        <v>185000000</v>
      </c>
      <c r="F5669" s="13"/>
      <c r="H5669" t="s">
        <v>1185</v>
      </c>
      <c r="I5669" t="s">
        <v>4732</v>
      </c>
      <c r="J5669" s="13">
        <v>0</v>
      </c>
      <c r="K5669">
        <v>2</v>
      </c>
      <c r="L5669" t="s">
        <v>1064</v>
      </c>
      <c r="M5669" t="s">
        <v>4733</v>
      </c>
      <c r="N5669" s="14" t="s">
        <v>6877</v>
      </c>
    </row>
    <row r="5670" spans="1:14" x14ac:dyDescent="0.2">
      <c r="A5670" t="s">
        <v>991</v>
      </c>
      <c r="B5670" t="s">
        <v>2360</v>
      </c>
      <c r="C5670" s="9">
        <v>45084</v>
      </c>
      <c r="D5670" t="s">
        <v>990</v>
      </c>
      <c r="E5670" s="13">
        <v>185000000</v>
      </c>
      <c r="F5670" s="13">
        <v>7700625</v>
      </c>
      <c r="G5670" s="9">
        <v>45084</v>
      </c>
      <c r="H5670" t="s">
        <v>1111</v>
      </c>
      <c r="I5670" t="s">
        <v>4732</v>
      </c>
      <c r="J5670" s="13">
        <v>55500</v>
      </c>
      <c r="K5670">
        <v>2</v>
      </c>
      <c r="L5670" t="s">
        <v>1064</v>
      </c>
      <c r="M5670" t="s">
        <v>4733</v>
      </c>
      <c r="N5670" s="15" t="s">
        <v>6878</v>
      </c>
    </row>
    <row r="5671" spans="1:14" x14ac:dyDescent="0.2">
      <c r="A5671" t="s">
        <v>6797</v>
      </c>
      <c r="B5671" t="s">
        <v>2360</v>
      </c>
      <c r="C5671" s="9">
        <v>45084</v>
      </c>
      <c r="D5671" t="s">
        <v>9</v>
      </c>
      <c r="E5671" s="13">
        <v>190000</v>
      </c>
      <c r="F5671" s="13">
        <v>22500</v>
      </c>
      <c r="H5671" t="s">
        <v>2184</v>
      </c>
      <c r="I5671" t="s">
        <v>436</v>
      </c>
      <c r="J5671" s="13">
        <v>0</v>
      </c>
      <c r="K5671">
        <v>1</v>
      </c>
      <c r="L5671" t="s">
        <v>1064</v>
      </c>
      <c r="M5671" t="s">
        <v>2364</v>
      </c>
      <c r="N5671" s="14" t="s">
        <v>6877</v>
      </c>
    </row>
    <row r="5672" spans="1:14" x14ac:dyDescent="0.2">
      <c r="A5672" t="s">
        <v>6798</v>
      </c>
      <c r="B5672" t="s">
        <v>2360</v>
      </c>
      <c r="C5672" s="9">
        <v>45084</v>
      </c>
      <c r="D5672" t="s">
        <v>9</v>
      </c>
      <c r="E5672" s="13">
        <v>214975</v>
      </c>
      <c r="F5672" s="13">
        <v>22500</v>
      </c>
      <c r="H5672" t="s">
        <v>1185</v>
      </c>
      <c r="I5672" t="s">
        <v>436</v>
      </c>
      <c r="J5672" s="13">
        <v>0</v>
      </c>
      <c r="K5672">
        <v>1</v>
      </c>
      <c r="L5672" t="s">
        <v>1064</v>
      </c>
      <c r="M5672" t="s">
        <v>2364</v>
      </c>
      <c r="N5672" s="14" t="s">
        <v>6877</v>
      </c>
    </row>
    <row r="5673" spans="1:14" x14ac:dyDescent="0.2">
      <c r="A5673" t="s">
        <v>6799</v>
      </c>
      <c r="B5673" t="s">
        <v>2360</v>
      </c>
      <c r="C5673" s="9">
        <v>45084</v>
      </c>
      <c r="D5673" t="s">
        <v>633</v>
      </c>
      <c r="E5673" s="13">
        <v>24600000</v>
      </c>
      <c r="F5673" s="13">
        <v>955710</v>
      </c>
      <c r="G5673" s="9">
        <v>45085</v>
      </c>
      <c r="H5673" t="s">
        <v>1111</v>
      </c>
      <c r="I5673" t="s">
        <v>116</v>
      </c>
      <c r="J5673" s="13">
        <v>27750</v>
      </c>
      <c r="K5673">
        <v>1</v>
      </c>
      <c r="L5673" t="s">
        <v>1064</v>
      </c>
      <c r="M5673" t="s">
        <v>6252</v>
      </c>
      <c r="N5673" s="15" t="s">
        <v>6878</v>
      </c>
    </row>
    <row r="5674" spans="1:14" x14ac:dyDescent="0.2">
      <c r="A5674" t="s">
        <v>6800</v>
      </c>
      <c r="B5674" t="s">
        <v>2360</v>
      </c>
      <c r="C5674" s="9">
        <v>45084</v>
      </c>
      <c r="D5674" t="s">
        <v>633</v>
      </c>
      <c r="E5674" s="13">
        <v>24600000</v>
      </c>
      <c r="F5674" s="13">
        <v>955710</v>
      </c>
      <c r="G5674" s="9">
        <v>45085</v>
      </c>
      <c r="H5674" t="s">
        <v>1111</v>
      </c>
      <c r="I5674" t="s">
        <v>116</v>
      </c>
      <c r="J5674" s="13">
        <v>27750</v>
      </c>
      <c r="K5674">
        <v>1</v>
      </c>
      <c r="L5674" t="s">
        <v>1064</v>
      </c>
      <c r="M5674" t="s">
        <v>6252</v>
      </c>
      <c r="N5674" s="15" t="s">
        <v>6878</v>
      </c>
    </row>
    <row r="5675" spans="1:14" x14ac:dyDescent="0.2">
      <c r="A5675" t="s">
        <v>6801</v>
      </c>
      <c r="B5675" t="s">
        <v>2360</v>
      </c>
      <c r="C5675" s="9">
        <v>45084</v>
      </c>
      <c r="D5675" t="s">
        <v>633</v>
      </c>
      <c r="E5675" s="13">
        <v>20300000</v>
      </c>
      <c r="F5675" s="13">
        <v>788655</v>
      </c>
      <c r="G5675" s="9">
        <v>45085</v>
      </c>
      <c r="H5675" t="s">
        <v>1111</v>
      </c>
      <c r="I5675" t="s">
        <v>116</v>
      </c>
      <c r="J5675" s="13">
        <v>27750</v>
      </c>
      <c r="K5675">
        <v>1</v>
      </c>
      <c r="L5675" t="s">
        <v>1064</v>
      </c>
      <c r="M5675" t="s">
        <v>6252</v>
      </c>
      <c r="N5675" s="15" t="s">
        <v>6878</v>
      </c>
    </row>
    <row r="5676" spans="1:14" x14ac:dyDescent="0.2">
      <c r="A5676" t="s">
        <v>6802</v>
      </c>
      <c r="B5676" t="s">
        <v>2360</v>
      </c>
      <c r="C5676" s="9">
        <v>45084</v>
      </c>
      <c r="D5676" t="s">
        <v>633</v>
      </c>
      <c r="E5676" s="13">
        <v>24600000</v>
      </c>
      <c r="F5676" s="13">
        <v>955710</v>
      </c>
      <c r="G5676" s="9">
        <v>45085</v>
      </c>
      <c r="H5676" t="s">
        <v>1111</v>
      </c>
      <c r="I5676" t="s">
        <v>116</v>
      </c>
      <c r="J5676" s="13">
        <v>27750</v>
      </c>
      <c r="K5676">
        <v>1</v>
      </c>
      <c r="L5676" t="s">
        <v>1064</v>
      </c>
      <c r="M5676" t="s">
        <v>6252</v>
      </c>
      <c r="N5676" s="15" t="s">
        <v>6878</v>
      </c>
    </row>
    <row r="5677" spans="1:14" x14ac:dyDescent="0.2">
      <c r="A5677" t="s">
        <v>6803</v>
      </c>
      <c r="B5677" t="s">
        <v>2360</v>
      </c>
      <c r="C5677" s="9">
        <v>45084</v>
      </c>
      <c r="D5677" t="s">
        <v>633</v>
      </c>
      <c r="E5677" s="13">
        <v>20300000</v>
      </c>
      <c r="F5677" s="13">
        <v>788655</v>
      </c>
      <c r="G5677" s="9">
        <v>45085</v>
      </c>
      <c r="H5677" t="s">
        <v>1111</v>
      </c>
      <c r="I5677" t="s">
        <v>116</v>
      </c>
      <c r="J5677" s="13">
        <v>27750</v>
      </c>
      <c r="K5677">
        <v>1</v>
      </c>
      <c r="L5677" t="s">
        <v>1064</v>
      </c>
      <c r="M5677" t="s">
        <v>6252</v>
      </c>
      <c r="N5677" s="15" t="s">
        <v>6878</v>
      </c>
    </row>
    <row r="5678" spans="1:14" x14ac:dyDescent="0.2">
      <c r="A5678" t="s">
        <v>6804</v>
      </c>
      <c r="B5678" t="s">
        <v>2360</v>
      </c>
      <c r="C5678" s="9">
        <v>45084</v>
      </c>
      <c r="D5678" t="s">
        <v>633</v>
      </c>
      <c r="E5678" s="13">
        <v>24600000</v>
      </c>
      <c r="F5678" s="13">
        <v>955710</v>
      </c>
      <c r="G5678" s="9">
        <v>45085</v>
      </c>
      <c r="H5678" t="s">
        <v>1111</v>
      </c>
      <c r="I5678" t="s">
        <v>116</v>
      </c>
      <c r="J5678" s="13">
        <v>27750</v>
      </c>
      <c r="K5678">
        <v>1</v>
      </c>
      <c r="L5678" t="s">
        <v>1064</v>
      </c>
      <c r="M5678" t="s">
        <v>6252</v>
      </c>
      <c r="N5678" s="15" t="s">
        <v>6878</v>
      </c>
    </row>
    <row r="5679" spans="1:14" x14ac:dyDescent="0.2">
      <c r="A5679" t="s">
        <v>6805</v>
      </c>
      <c r="B5679" t="s">
        <v>2360</v>
      </c>
      <c r="C5679" s="9">
        <v>45084</v>
      </c>
      <c r="D5679" t="s">
        <v>633</v>
      </c>
      <c r="E5679" s="13">
        <v>24600000</v>
      </c>
      <c r="F5679" s="13">
        <v>955710</v>
      </c>
      <c r="G5679" s="9">
        <v>45085</v>
      </c>
      <c r="H5679" t="s">
        <v>1111</v>
      </c>
      <c r="I5679" t="s">
        <v>116</v>
      </c>
      <c r="J5679" s="13">
        <v>27750</v>
      </c>
      <c r="K5679">
        <v>1</v>
      </c>
      <c r="L5679" t="s">
        <v>1064</v>
      </c>
      <c r="M5679" t="s">
        <v>6252</v>
      </c>
      <c r="N5679" s="15" t="s">
        <v>6878</v>
      </c>
    </row>
    <row r="5680" spans="1:14" x14ac:dyDescent="0.2">
      <c r="A5680" t="s">
        <v>6806</v>
      </c>
      <c r="B5680" t="s">
        <v>2360</v>
      </c>
      <c r="C5680" s="9">
        <v>45084</v>
      </c>
      <c r="D5680" t="s">
        <v>633</v>
      </c>
      <c r="E5680" s="13">
        <v>20300000</v>
      </c>
      <c r="F5680" s="13">
        <v>788655</v>
      </c>
      <c r="G5680" s="9">
        <v>45085</v>
      </c>
      <c r="H5680" t="s">
        <v>1111</v>
      </c>
      <c r="I5680" t="s">
        <v>116</v>
      </c>
      <c r="J5680" s="13">
        <v>27750</v>
      </c>
      <c r="K5680">
        <v>1</v>
      </c>
      <c r="L5680" t="s">
        <v>1064</v>
      </c>
      <c r="M5680" t="s">
        <v>6252</v>
      </c>
      <c r="N5680" s="15" t="s">
        <v>6878</v>
      </c>
    </row>
    <row r="5681" spans="1:14" x14ac:dyDescent="0.2">
      <c r="A5681" t="s">
        <v>6807</v>
      </c>
      <c r="B5681" t="s">
        <v>2360</v>
      </c>
      <c r="C5681" s="9">
        <v>45084</v>
      </c>
      <c r="D5681" t="s">
        <v>970</v>
      </c>
      <c r="E5681" s="13">
        <v>7500000</v>
      </c>
      <c r="F5681" s="13">
        <v>416250</v>
      </c>
      <c r="G5681" s="9">
        <v>45084</v>
      </c>
      <c r="H5681" t="s">
        <v>1111</v>
      </c>
      <c r="I5681" t="s">
        <v>5780</v>
      </c>
      <c r="J5681" s="13">
        <v>27750</v>
      </c>
      <c r="K5681">
        <v>1</v>
      </c>
      <c r="L5681" t="s">
        <v>1064</v>
      </c>
      <c r="M5681" t="s">
        <v>5781</v>
      </c>
      <c r="N5681" s="15" t="s">
        <v>6878</v>
      </c>
    </row>
    <row r="5682" spans="1:14" x14ac:dyDescent="0.2">
      <c r="A5682" t="s">
        <v>6808</v>
      </c>
      <c r="B5682" t="s">
        <v>2360</v>
      </c>
      <c r="C5682" s="9">
        <v>45084</v>
      </c>
      <c r="D5682" t="s">
        <v>970</v>
      </c>
      <c r="E5682" s="13">
        <v>7000000</v>
      </c>
      <c r="F5682" s="13">
        <v>388500</v>
      </c>
      <c r="G5682" s="9">
        <v>45084</v>
      </c>
      <c r="H5682" t="s">
        <v>1111</v>
      </c>
      <c r="I5682" t="s">
        <v>5780</v>
      </c>
      <c r="J5682" s="13">
        <v>27750</v>
      </c>
      <c r="K5682">
        <v>1</v>
      </c>
      <c r="L5682" t="s">
        <v>1064</v>
      </c>
      <c r="M5682" t="s">
        <v>5781</v>
      </c>
      <c r="N5682" s="15" t="s">
        <v>6878</v>
      </c>
    </row>
    <row r="5683" spans="1:14" x14ac:dyDescent="0.2">
      <c r="A5683" t="s">
        <v>6809</v>
      </c>
      <c r="B5683" t="s">
        <v>2360</v>
      </c>
      <c r="C5683" s="9">
        <v>45084</v>
      </c>
      <c r="D5683" t="s">
        <v>970</v>
      </c>
      <c r="E5683" s="13">
        <v>7500000</v>
      </c>
      <c r="F5683" s="13">
        <v>416250</v>
      </c>
      <c r="G5683" s="9">
        <v>45084</v>
      </c>
      <c r="H5683" t="s">
        <v>1111</v>
      </c>
      <c r="I5683" t="s">
        <v>5780</v>
      </c>
      <c r="J5683" s="13">
        <v>27750</v>
      </c>
      <c r="K5683">
        <v>1</v>
      </c>
      <c r="L5683" t="s">
        <v>1064</v>
      </c>
      <c r="M5683" t="s">
        <v>5781</v>
      </c>
      <c r="N5683" s="15" t="s">
        <v>6878</v>
      </c>
    </row>
    <row r="5684" spans="1:14" x14ac:dyDescent="0.2">
      <c r="A5684" t="s">
        <v>6810</v>
      </c>
      <c r="B5684" t="s">
        <v>2360</v>
      </c>
      <c r="C5684" s="9">
        <v>45084</v>
      </c>
      <c r="D5684" t="s">
        <v>970</v>
      </c>
      <c r="E5684" s="13">
        <v>7000000</v>
      </c>
      <c r="F5684" s="13">
        <v>388500</v>
      </c>
      <c r="G5684" s="9">
        <v>45084</v>
      </c>
      <c r="H5684" t="s">
        <v>1111</v>
      </c>
      <c r="I5684" t="s">
        <v>5780</v>
      </c>
      <c r="J5684" s="13">
        <v>27750</v>
      </c>
      <c r="K5684">
        <v>1</v>
      </c>
      <c r="L5684" t="s">
        <v>1064</v>
      </c>
      <c r="M5684" t="s">
        <v>5781</v>
      </c>
      <c r="N5684" s="15" t="s">
        <v>6878</v>
      </c>
    </row>
    <row r="5685" spans="1:14" x14ac:dyDescent="0.2">
      <c r="A5685" t="s">
        <v>6811</v>
      </c>
      <c r="B5685" t="s">
        <v>2360</v>
      </c>
      <c r="C5685" s="9">
        <v>45084</v>
      </c>
      <c r="D5685" t="s">
        <v>970</v>
      </c>
      <c r="E5685" s="13">
        <v>7500000</v>
      </c>
      <c r="F5685" s="13">
        <v>416250</v>
      </c>
      <c r="G5685" s="9">
        <v>45084</v>
      </c>
      <c r="H5685" t="s">
        <v>1111</v>
      </c>
      <c r="I5685" t="s">
        <v>5780</v>
      </c>
      <c r="J5685" s="13">
        <v>27750</v>
      </c>
      <c r="K5685">
        <v>1</v>
      </c>
      <c r="L5685" t="s">
        <v>1064</v>
      </c>
      <c r="M5685" t="s">
        <v>5781</v>
      </c>
      <c r="N5685" s="15" t="s">
        <v>6878</v>
      </c>
    </row>
    <row r="5686" spans="1:14" x14ac:dyDescent="0.2">
      <c r="A5686" t="s">
        <v>6812</v>
      </c>
      <c r="B5686" t="s">
        <v>2360</v>
      </c>
      <c r="C5686" s="9">
        <v>45084</v>
      </c>
      <c r="D5686" t="s">
        <v>970</v>
      </c>
      <c r="E5686" s="13">
        <v>7000000</v>
      </c>
      <c r="F5686" s="13">
        <v>388500</v>
      </c>
      <c r="G5686" s="9">
        <v>45084</v>
      </c>
      <c r="H5686" t="s">
        <v>1111</v>
      </c>
      <c r="I5686" t="s">
        <v>5780</v>
      </c>
      <c r="J5686" s="13">
        <v>27750</v>
      </c>
      <c r="K5686">
        <v>1</v>
      </c>
      <c r="L5686" t="s">
        <v>1064</v>
      </c>
      <c r="M5686" t="s">
        <v>5781</v>
      </c>
      <c r="N5686" s="15" t="s">
        <v>6878</v>
      </c>
    </row>
    <row r="5687" spans="1:14" x14ac:dyDescent="0.2">
      <c r="A5687" t="s">
        <v>6813</v>
      </c>
      <c r="B5687" t="s">
        <v>2360</v>
      </c>
      <c r="C5687" s="9">
        <v>45084</v>
      </c>
      <c r="D5687" t="s">
        <v>970</v>
      </c>
      <c r="E5687" s="13">
        <v>7500000</v>
      </c>
      <c r="F5687" s="13">
        <v>416250</v>
      </c>
      <c r="G5687" s="9">
        <v>45084</v>
      </c>
      <c r="H5687" t="s">
        <v>1111</v>
      </c>
      <c r="I5687" t="s">
        <v>5780</v>
      </c>
      <c r="J5687" s="13">
        <v>27750</v>
      </c>
      <c r="K5687">
        <v>1</v>
      </c>
      <c r="L5687" t="s">
        <v>1064</v>
      </c>
      <c r="M5687" t="s">
        <v>5781</v>
      </c>
      <c r="N5687" s="15" t="s">
        <v>6878</v>
      </c>
    </row>
    <row r="5688" spans="1:14" x14ac:dyDescent="0.2">
      <c r="A5688" t="s">
        <v>6814</v>
      </c>
      <c r="B5688" t="s">
        <v>2360</v>
      </c>
      <c r="C5688" s="9">
        <v>45084</v>
      </c>
      <c r="D5688" t="s">
        <v>970</v>
      </c>
      <c r="E5688" s="13">
        <v>7000000</v>
      </c>
      <c r="F5688" s="13">
        <v>388500</v>
      </c>
      <c r="G5688" s="9">
        <v>45084</v>
      </c>
      <c r="H5688" t="s">
        <v>1111</v>
      </c>
      <c r="I5688" t="s">
        <v>5780</v>
      </c>
      <c r="J5688" s="13">
        <v>27750</v>
      </c>
      <c r="K5688">
        <v>1</v>
      </c>
      <c r="L5688" t="s">
        <v>1064</v>
      </c>
      <c r="M5688" t="s">
        <v>5781</v>
      </c>
      <c r="N5688" s="15" t="s">
        <v>6878</v>
      </c>
    </row>
    <row r="5689" spans="1:14" x14ac:dyDescent="0.2">
      <c r="A5689" t="s">
        <v>6815</v>
      </c>
      <c r="B5689" t="s">
        <v>2360</v>
      </c>
      <c r="C5689" s="9">
        <v>45084</v>
      </c>
      <c r="D5689" t="s">
        <v>970</v>
      </c>
      <c r="E5689" s="13">
        <v>7500000</v>
      </c>
      <c r="F5689" s="13">
        <v>416250</v>
      </c>
      <c r="G5689" s="9">
        <v>45084</v>
      </c>
      <c r="H5689" t="s">
        <v>1111</v>
      </c>
      <c r="I5689" t="s">
        <v>5780</v>
      </c>
      <c r="J5689" s="13">
        <v>27750</v>
      </c>
      <c r="K5689">
        <v>1</v>
      </c>
      <c r="L5689" t="s">
        <v>1064</v>
      </c>
      <c r="M5689" t="s">
        <v>5781</v>
      </c>
      <c r="N5689" s="15" t="s">
        <v>6878</v>
      </c>
    </row>
    <row r="5690" spans="1:14" x14ac:dyDescent="0.2">
      <c r="A5690" t="s">
        <v>6816</v>
      </c>
      <c r="B5690" t="s">
        <v>2360</v>
      </c>
      <c r="C5690" s="9">
        <v>45084</v>
      </c>
      <c r="D5690" t="s">
        <v>970</v>
      </c>
      <c r="E5690" s="13">
        <v>7000000</v>
      </c>
      <c r="F5690" s="13">
        <v>388500</v>
      </c>
      <c r="G5690" s="9">
        <v>45084</v>
      </c>
      <c r="H5690" t="s">
        <v>1111</v>
      </c>
      <c r="I5690" t="s">
        <v>5780</v>
      </c>
      <c r="J5690" s="13">
        <v>27750</v>
      </c>
      <c r="K5690">
        <v>1</v>
      </c>
      <c r="L5690" t="s">
        <v>1064</v>
      </c>
      <c r="M5690" t="s">
        <v>5781</v>
      </c>
      <c r="N5690" s="15" t="s">
        <v>6878</v>
      </c>
    </row>
    <row r="5691" spans="1:14" x14ac:dyDescent="0.2">
      <c r="A5691" t="s">
        <v>6817</v>
      </c>
      <c r="B5691" t="s">
        <v>2360</v>
      </c>
      <c r="C5691" s="9">
        <v>45084</v>
      </c>
      <c r="D5691" t="s">
        <v>970</v>
      </c>
      <c r="E5691" s="13">
        <v>7500000</v>
      </c>
      <c r="F5691" s="13">
        <v>416250</v>
      </c>
      <c r="G5691" s="9">
        <v>45084</v>
      </c>
      <c r="H5691" t="s">
        <v>1111</v>
      </c>
      <c r="I5691" t="s">
        <v>5780</v>
      </c>
      <c r="J5691" s="13">
        <v>27750</v>
      </c>
      <c r="K5691">
        <v>1</v>
      </c>
      <c r="L5691" t="s">
        <v>1064</v>
      </c>
      <c r="M5691" t="s">
        <v>5781</v>
      </c>
      <c r="N5691" s="15" t="s">
        <v>6878</v>
      </c>
    </row>
    <row r="5692" spans="1:14" x14ac:dyDescent="0.2">
      <c r="A5692" t="s">
        <v>6818</v>
      </c>
      <c r="B5692" t="s">
        <v>2360</v>
      </c>
      <c r="C5692" s="9">
        <v>45084</v>
      </c>
      <c r="D5692" t="s">
        <v>970</v>
      </c>
      <c r="E5692" s="13">
        <v>7000000</v>
      </c>
      <c r="F5692" s="13">
        <v>388500</v>
      </c>
      <c r="G5692" s="9">
        <v>45084</v>
      </c>
      <c r="H5692" t="s">
        <v>1111</v>
      </c>
      <c r="I5692" t="s">
        <v>5780</v>
      </c>
      <c r="J5692" s="13">
        <v>27750</v>
      </c>
      <c r="K5692">
        <v>1</v>
      </c>
      <c r="L5692" t="s">
        <v>1064</v>
      </c>
      <c r="M5692" t="s">
        <v>5781</v>
      </c>
      <c r="N5692" s="15" t="s">
        <v>6878</v>
      </c>
    </row>
    <row r="5693" spans="1:14" x14ac:dyDescent="0.2">
      <c r="A5693" t="s">
        <v>6819</v>
      </c>
      <c r="B5693" t="s">
        <v>2360</v>
      </c>
      <c r="C5693" s="9">
        <v>45084</v>
      </c>
      <c r="D5693" t="s">
        <v>970</v>
      </c>
      <c r="E5693" s="13">
        <v>7500000</v>
      </c>
      <c r="F5693" s="13">
        <v>416250</v>
      </c>
      <c r="G5693" s="9">
        <v>45084</v>
      </c>
      <c r="H5693" t="s">
        <v>1111</v>
      </c>
      <c r="I5693" t="s">
        <v>5780</v>
      </c>
      <c r="J5693" s="13">
        <v>27750</v>
      </c>
      <c r="K5693">
        <v>1</v>
      </c>
      <c r="L5693" t="s">
        <v>1064</v>
      </c>
      <c r="M5693" t="s">
        <v>5781</v>
      </c>
      <c r="N5693" s="15" t="s">
        <v>6878</v>
      </c>
    </row>
    <row r="5694" spans="1:14" x14ac:dyDescent="0.2">
      <c r="A5694" t="s">
        <v>971</v>
      </c>
      <c r="B5694" t="s">
        <v>2360</v>
      </c>
      <c r="C5694" s="9">
        <v>45084</v>
      </c>
      <c r="D5694" t="s">
        <v>970</v>
      </c>
      <c r="E5694" s="13">
        <v>7000000</v>
      </c>
      <c r="F5694" s="13">
        <v>388500</v>
      </c>
      <c r="G5694" s="9">
        <v>45084</v>
      </c>
      <c r="H5694" t="s">
        <v>1111</v>
      </c>
      <c r="I5694" t="s">
        <v>5780</v>
      </c>
      <c r="J5694" s="13">
        <v>27750</v>
      </c>
      <c r="K5694">
        <v>1</v>
      </c>
      <c r="L5694" t="s">
        <v>1064</v>
      </c>
      <c r="M5694" t="s">
        <v>5781</v>
      </c>
      <c r="N5694" s="15" t="s">
        <v>6878</v>
      </c>
    </row>
    <row r="5695" spans="1:14" x14ac:dyDescent="0.2">
      <c r="A5695" t="s">
        <v>1032</v>
      </c>
      <c r="B5695" t="s">
        <v>2360</v>
      </c>
      <c r="C5695" s="9">
        <v>45084</v>
      </c>
      <c r="D5695" t="s">
        <v>391</v>
      </c>
      <c r="E5695" s="13">
        <v>70000000</v>
      </c>
      <c r="F5695" s="13">
        <v>1942500</v>
      </c>
      <c r="G5695" s="9">
        <v>45085</v>
      </c>
      <c r="H5695" t="s">
        <v>1111</v>
      </c>
      <c r="I5695" t="s">
        <v>591</v>
      </c>
      <c r="J5695" s="13">
        <v>27750</v>
      </c>
      <c r="K5695">
        <v>1</v>
      </c>
      <c r="L5695" t="s">
        <v>1064</v>
      </c>
      <c r="M5695" t="s">
        <v>6820</v>
      </c>
      <c r="N5695" s="15" t="s">
        <v>6878</v>
      </c>
    </row>
    <row r="5696" spans="1:14" x14ac:dyDescent="0.2">
      <c r="A5696" t="s">
        <v>6821</v>
      </c>
      <c r="B5696" t="s">
        <v>2360</v>
      </c>
      <c r="C5696" s="9">
        <v>45084</v>
      </c>
      <c r="D5696" t="s">
        <v>1035</v>
      </c>
      <c r="E5696" s="13">
        <v>826345</v>
      </c>
      <c r="F5696" s="13">
        <v>27750</v>
      </c>
      <c r="G5696" s="9">
        <v>45087</v>
      </c>
      <c r="H5696" t="s">
        <v>1111</v>
      </c>
      <c r="I5696" t="s">
        <v>6822</v>
      </c>
      <c r="J5696" s="13">
        <v>22930</v>
      </c>
      <c r="K5696">
        <v>1</v>
      </c>
      <c r="L5696" t="s">
        <v>1064</v>
      </c>
      <c r="M5696" t="s">
        <v>6823</v>
      </c>
      <c r="N5696" s="15" t="s">
        <v>6878</v>
      </c>
    </row>
    <row r="5697" spans="1:14" x14ac:dyDescent="0.2">
      <c r="A5697" t="s">
        <v>6824</v>
      </c>
      <c r="B5697" t="s">
        <v>2360</v>
      </c>
      <c r="C5697" s="9">
        <v>45084</v>
      </c>
      <c r="D5697" t="s">
        <v>1035</v>
      </c>
      <c r="E5697" s="13">
        <v>1429500</v>
      </c>
      <c r="F5697" s="13">
        <v>27750</v>
      </c>
      <c r="G5697" s="9">
        <v>45087</v>
      </c>
      <c r="H5697" t="s">
        <v>1111</v>
      </c>
      <c r="I5697" t="s">
        <v>6822</v>
      </c>
      <c r="J5697" s="13">
        <v>39668</v>
      </c>
      <c r="K5697">
        <v>1</v>
      </c>
      <c r="L5697" t="s">
        <v>1064</v>
      </c>
      <c r="M5697" t="s">
        <v>6823</v>
      </c>
      <c r="N5697" s="15" t="s">
        <v>6878</v>
      </c>
    </row>
    <row r="5698" spans="1:14" x14ac:dyDescent="0.2">
      <c r="A5698" t="s">
        <v>6825</v>
      </c>
      <c r="B5698" t="s">
        <v>2360</v>
      </c>
      <c r="C5698" s="9">
        <v>45084</v>
      </c>
      <c r="D5698" t="s">
        <v>1035</v>
      </c>
      <c r="E5698" s="13">
        <v>633120</v>
      </c>
      <c r="F5698" s="13">
        <v>27750</v>
      </c>
      <c r="G5698" s="9">
        <v>45087</v>
      </c>
      <c r="H5698" t="s">
        <v>1111</v>
      </c>
      <c r="I5698" t="s">
        <v>6822</v>
      </c>
      <c r="J5698" s="13">
        <v>17569</v>
      </c>
      <c r="K5698">
        <v>1</v>
      </c>
      <c r="L5698" t="s">
        <v>1064</v>
      </c>
      <c r="M5698" t="s">
        <v>6823</v>
      </c>
      <c r="N5698" s="15" t="s">
        <v>6878</v>
      </c>
    </row>
    <row r="5699" spans="1:14" x14ac:dyDescent="0.2">
      <c r="A5699" t="s">
        <v>6826</v>
      </c>
      <c r="B5699" t="s">
        <v>2360</v>
      </c>
      <c r="C5699" s="9">
        <v>45084</v>
      </c>
      <c r="D5699" t="s">
        <v>1035</v>
      </c>
      <c r="E5699" s="13">
        <v>17400930</v>
      </c>
      <c r="F5699" s="13">
        <v>27750</v>
      </c>
      <c r="G5699" s="9">
        <v>45087</v>
      </c>
      <c r="H5699" t="s">
        <v>1111</v>
      </c>
      <c r="I5699" t="s">
        <v>6822</v>
      </c>
      <c r="J5699" s="13">
        <v>482875</v>
      </c>
      <c r="K5699">
        <v>1</v>
      </c>
      <c r="L5699" t="s">
        <v>1064</v>
      </c>
      <c r="M5699" t="s">
        <v>6823</v>
      </c>
      <c r="N5699" s="15" t="s">
        <v>6878</v>
      </c>
    </row>
    <row r="5700" spans="1:14" x14ac:dyDescent="0.2">
      <c r="A5700" t="s">
        <v>6827</v>
      </c>
      <c r="B5700" t="s">
        <v>2360</v>
      </c>
      <c r="C5700" s="9">
        <v>45084</v>
      </c>
      <c r="D5700" t="s">
        <v>1035</v>
      </c>
      <c r="E5700" s="13">
        <v>721980</v>
      </c>
      <c r="F5700" s="13">
        <v>27750</v>
      </c>
      <c r="G5700" s="9">
        <v>45087</v>
      </c>
      <c r="H5700" t="s">
        <v>1111</v>
      </c>
      <c r="I5700" t="s">
        <v>6822</v>
      </c>
      <c r="J5700" s="13">
        <v>20034</v>
      </c>
      <c r="K5700">
        <v>1</v>
      </c>
      <c r="L5700" t="s">
        <v>1064</v>
      </c>
      <c r="M5700" t="s">
        <v>6823</v>
      </c>
      <c r="N5700" s="15" t="s">
        <v>6878</v>
      </c>
    </row>
    <row r="5701" spans="1:14" x14ac:dyDescent="0.2">
      <c r="A5701" t="s">
        <v>6828</v>
      </c>
      <c r="B5701" t="s">
        <v>2360</v>
      </c>
      <c r="C5701" s="9">
        <v>45084</v>
      </c>
      <c r="D5701" t="s">
        <v>1035</v>
      </c>
      <c r="E5701" s="13">
        <v>1565940</v>
      </c>
      <c r="F5701" s="13">
        <v>27750</v>
      </c>
      <c r="G5701" s="9">
        <v>45087</v>
      </c>
      <c r="H5701" t="s">
        <v>1111</v>
      </c>
      <c r="I5701" t="s">
        <v>6822</v>
      </c>
      <c r="J5701" s="13">
        <v>43454</v>
      </c>
      <c r="K5701">
        <v>1</v>
      </c>
      <c r="L5701" t="s">
        <v>1064</v>
      </c>
      <c r="M5701" t="s">
        <v>6823</v>
      </c>
      <c r="N5701" s="15" t="s">
        <v>6878</v>
      </c>
    </row>
    <row r="5702" spans="1:14" x14ac:dyDescent="0.2">
      <c r="A5702" t="s">
        <v>6829</v>
      </c>
      <c r="B5702" t="s">
        <v>2360</v>
      </c>
      <c r="C5702" s="9">
        <v>45084</v>
      </c>
      <c r="D5702" t="s">
        <v>1035</v>
      </c>
      <c r="E5702" s="13">
        <v>1716195</v>
      </c>
      <c r="F5702" s="13">
        <v>27750</v>
      </c>
      <c r="G5702" s="9">
        <v>45087</v>
      </c>
      <c r="H5702" t="s">
        <v>1111</v>
      </c>
      <c r="I5702" t="s">
        <v>6822</v>
      </c>
      <c r="J5702" s="13">
        <v>47623</v>
      </c>
      <c r="K5702">
        <v>1</v>
      </c>
      <c r="L5702" t="s">
        <v>1064</v>
      </c>
      <c r="M5702" t="s">
        <v>6823</v>
      </c>
      <c r="N5702" s="15" t="s">
        <v>6878</v>
      </c>
    </row>
    <row r="5703" spans="1:14" x14ac:dyDescent="0.2">
      <c r="A5703" t="s">
        <v>6830</v>
      </c>
      <c r="B5703" t="s">
        <v>2360</v>
      </c>
      <c r="C5703" s="9">
        <v>45084</v>
      </c>
      <c r="D5703" t="s">
        <v>1035</v>
      </c>
      <c r="E5703" s="13">
        <v>968460</v>
      </c>
      <c r="F5703" s="13">
        <v>27750</v>
      </c>
      <c r="G5703" s="9">
        <v>45087</v>
      </c>
      <c r="H5703" t="s">
        <v>1111</v>
      </c>
      <c r="I5703" t="s">
        <v>6822</v>
      </c>
      <c r="J5703" s="13">
        <v>26874</v>
      </c>
      <c r="K5703">
        <v>1</v>
      </c>
      <c r="L5703" t="s">
        <v>1064</v>
      </c>
      <c r="M5703" t="s">
        <v>6823</v>
      </c>
      <c r="N5703" s="15" t="s">
        <v>6878</v>
      </c>
    </row>
    <row r="5704" spans="1:14" x14ac:dyDescent="0.2">
      <c r="A5704" t="s">
        <v>6831</v>
      </c>
      <c r="B5704" t="s">
        <v>2360</v>
      </c>
      <c r="C5704" s="9">
        <v>45084</v>
      </c>
      <c r="D5704" t="s">
        <v>1035</v>
      </c>
      <c r="E5704" s="13">
        <v>1283640</v>
      </c>
      <c r="F5704" s="13">
        <v>27750</v>
      </c>
      <c r="G5704" s="9">
        <v>45087</v>
      </c>
      <c r="H5704" t="s">
        <v>1111</v>
      </c>
      <c r="I5704" t="s">
        <v>6822</v>
      </c>
      <c r="J5704" s="13">
        <v>35621</v>
      </c>
      <c r="K5704">
        <v>1</v>
      </c>
      <c r="L5704" t="s">
        <v>1064</v>
      </c>
      <c r="M5704" t="s">
        <v>6823</v>
      </c>
      <c r="N5704" s="15" t="s">
        <v>6878</v>
      </c>
    </row>
    <row r="5705" spans="1:14" x14ac:dyDescent="0.2">
      <c r="A5705" t="s">
        <v>6832</v>
      </c>
      <c r="B5705" t="s">
        <v>2360</v>
      </c>
      <c r="C5705" s="9">
        <v>45084</v>
      </c>
      <c r="D5705" t="s">
        <v>1035</v>
      </c>
      <c r="E5705" s="13">
        <v>916680</v>
      </c>
      <c r="F5705" s="13">
        <v>27750</v>
      </c>
      <c r="G5705" s="9">
        <v>45087</v>
      </c>
      <c r="H5705" t="s">
        <v>1111</v>
      </c>
      <c r="I5705" t="s">
        <v>6822</v>
      </c>
      <c r="J5705" s="13">
        <v>25437</v>
      </c>
      <c r="K5705">
        <v>1</v>
      </c>
      <c r="L5705" t="s">
        <v>1064</v>
      </c>
      <c r="M5705" t="s">
        <v>6823</v>
      </c>
      <c r="N5705" s="15" t="s">
        <v>6878</v>
      </c>
    </row>
    <row r="5706" spans="1:14" x14ac:dyDescent="0.2">
      <c r="A5706" t="s">
        <v>6833</v>
      </c>
      <c r="B5706" t="s">
        <v>2360</v>
      </c>
      <c r="C5706" s="9">
        <v>45084</v>
      </c>
      <c r="D5706" t="s">
        <v>1035</v>
      </c>
      <c r="E5706" s="13">
        <v>718140</v>
      </c>
      <c r="F5706" s="13">
        <v>27750</v>
      </c>
      <c r="G5706" s="9">
        <v>45087</v>
      </c>
      <c r="H5706" t="s">
        <v>1111</v>
      </c>
      <c r="I5706" t="s">
        <v>6822</v>
      </c>
      <c r="J5706" s="13">
        <v>19927</v>
      </c>
      <c r="K5706">
        <v>1</v>
      </c>
      <c r="L5706" t="s">
        <v>1064</v>
      </c>
      <c r="M5706" t="s">
        <v>6823</v>
      </c>
      <c r="N5706" s="15" t="s">
        <v>6878</v>
      </c>
    </row>
    <row r="5707" spans="1:14" x14ac:dyDescent="0.2">
      <c r="A5707" t="s">
        <v>6834</v>
      </c>
      <c r="B5707" t="s">
        <v>2360</v>
      </c>
      <c r="C5707" s="9">
        <v>45084</v>
      </c>
      <c r="D5707" t="s">
        <v>1035</v>
      </c>
      <c r="E5707" s="13">
        <v>1115820</v>
      </c>
      <c r="F5707" s="13">
        <v>27750</v>
      </c>
      <c r="G5707" s="9">
        <v>45087</v>
      </c>
      <c r="H5707" t="s">
        <v>1111</v>
      </c>
      <c r="I5707" t="s">
        <v>6822</v>
      </c>
      <c r="J5707" s="13">
        <v>30963</v>
      </c>
      <c r="K5707">
        <v>1</v>
      </c>
      <c r="L5707" t="s">
        <v>1064</v>
      </c>
      <c r="M5707" t="s">
        <v>6823</v>
      </c>
      <c r="N5707" s="15" t="s">
        <v>6878</v>
      </c>
    </row>
    <row r="5708" spans="1:14" x14ac:dyDescent="0.2">
      <c r="A5708" t="s">
        <v>6835</v>
      </c>
      <c r="B5708" t="s">
        <v>2360</v>
      </c>
      <c r="C5708" s="9">
        <v>45084</v>
      </c>
      <c r="D5708" t="s">
        <v>1035</v>
      </c>
      <c r="E5708" s="13">
        <v>880360</v>
      </c>
      <c r="F5708" s="13">
        <v>27750</v>
      </c>
      <c r="G5708" s="9">
        <v>45087</v>
      </c>
      <c r="H5708" t="s">
        <v>1111</v>
      </c>
      <c r="I5708" t="s">
        <v>6822</v>
      </c>
      <c r="J5708" s="13">
        <v>24429</v>
      </c>
      <c r="K5708">
        <v>1</v>
      </c>
      <c r="L5708" t="s">
        <v>1064</v>
      </c>
      <c r="M5708" t="s">
        <v>6823</v>
      </c>
      <c r="N5708" s="15" t="s">
        <v>6878</v>
      </c>
    </row>
    <row r="5709" spans="1:14" x14ac:dyDescent="0.2">
      <c r="A5709" t="s">
        <v>6836</v>
      </c>
      <c r="B5709" t="s">
        <v>2360</v>
      </c>
      <c r="C5709" s="9">
        <v>45084</v>
      </c>
      <c r="D5709" t="s">
        <v>1035</v>
      </c>
      <c r="E5709" s="13">
        <v>985620</v>
      </c>
      <c r="F5709" s="13">
        <v>27750</v>
      </c>
      <c r="G5709" s="9">
        <v>45087</v>
      </c>
      <c r="H5709" t="s">
        <v>1111</v>
      </c>
      <c r="I5709" t="s">
        <v>6822</v>
      </c>
      <c r="J5709" s="13">
        <v>27350</v>
      </c>
      <c r="K5709">
        <v>1</v>
      </c>
      <c r="L5709" t="s">
        <v>1064</v>
      </c>
      <c r="M5709" t="s">
        <v>6823</v>
      </c>
      <c r="N5709" s="15" t="s">
        <v>6878</v>
      </c>
    </row>
    <row r="5710" spans="1:14" x14ac:dyDescent="0.2">
      <c r="A5710" t="s">
        <v>6837</v>
      </c>
      <c r="B5710" t="s">
        <v>2360</v>
      </c>
      <c r="C5710" s="9">
        <v>45084</v>
      </c>
      <c r="D5710" t="s">
        <v>1035</v>
      </c>
      <c r="E5710" s="13">
        <v>607500</v>
      </c>
      <c r="F5710" s="13">
        <v>27750</v>
      </c>
      <c r="G5710" s="9">
        <v>45087</v>
      </c>
      <c r="H5710" t="s">
        <v>1111</v>
      </c>
      <c r="I5710" t="s">
        <v>6822</v>
      </c>
      <c r="J5710" s="13">
        <v>16857</v>
      </c>
      <c r="K5710">
        <v>1</v>
      </c>
      <c r="L5710" t="s">
        <v>1064</v>
      </c>
      <c r="M5710" t="s">
        <v>6823</v>
      </c>
      <c r="N5710" s="15" t="s">
        <v>6878</v>
      </c>
    </row>
    <row r="5711" spans="1:14" x14ac:dyDescent="0.2">
      <c r="A5711" t="s">
        <v>6838</v>
      </c>
      <c r="B5711" t="s">
        <v>2360</v>
      </c>
      <c r="C5711" s="9">
        <v>45084</v>
      </c>
      <c r="D5711" t="s">
        <v>1035</v>
      </c>
      <c r="E5711" s="13">
        <v>908700</v>
      </c>
      <c r="F5711" s="13">
        <v>27750</v>
      </c>
      <c r="G5711" s="9">
        <v>45087</v>
      </c>
      <c r="H5711" t="s">
        <v>1111</v>
      </c>
      <c r="I5711" t="s">
        <v>6822</v>
      </c>
      <c r="J5711" s="13">
        <v>25215</v>
      </c>
      <c r="K5711">
        <v>1</v>
      </c>
      <c r="L5711" t="s">
        <v>1064</v>
      </c>
      <c r="M5711" t="s">
        <v>6823</v>
      </c>
      <c r="N5711" s="15" t="s">
        <v>6878</v>
      </c>
    </row>
    <row r="5712" spans="1:14" x14ac:dyDescent="0.2">
      <c r="A5712" t="s">
        <v>6839</v>
      </c>
      <c r="B5712" t="s">
        <v>2360</v>
      </c>
      <c r="C5712" s="9">
        <v>45084</v>
      </c>
      <c r="D5712" t="s">
        <v>1035</v>
      </c>
      <c r="E5712" s="13">
        <v>953820</v>
      </c>
      <c r="F5712" s="13">
        <v>27750</v>
      </c>
      <c r="G5712" s="9">
        <v>45087</v>
      </c>
      <c r="H5712" t="s">
        <v>1111</v>
      </c>
      <c r="I5712" t="s">
        <v>6822</v>
      </c>
      <c r="J5712" s="13">
        <v>26467</v>
      </c>
      <c r="K5712">
        <v>1</v>
      </c>
      <c r="L5712" t="s">
        <v>1064</v>
      </c>
      <c r="M5712" t="s">
        <v>6823</v>
      </c>
      <c r="N5712" s="15" t="s">
        <v>6878</v>
      </c>
    </row>
    <row r="5713" spans="1:14" x14ac:dyDescent="0.2">
      <c r="A5713" t="s">
        <v>6840</v>
      </c>
      <c r="B5713" t="s">
        <v>2360</v>
      </c>
      <c r="C5713" s="9">
        <v>45084</v>
      </c>
      <c r="D5713" t="s">
        <v>1035</v>
      </c>
      <c r="E5713" s="13">
        <v>1283640</v>
      </c>
      <c r="F5713" s="13">
        <v>27750</v>
      </c>
      <c r="G5713" s="9">
        <v>45087</v>
      </c>
      <c r="H5713" t="s">
        <v>1111</v>
      </c>
      <c r="I5713" t="s">
        <v>6822</v>
      </c>
      <c r="J5713" s="13">
        <v>35621</v>
      </c>
      <c r="K5713">
        <v>1</v>
      </c>
      <c r="L5713" t="s">
        <v>1064</v>
      </c>
      <c r="M5713" t="s">
        <v>6823</v>
      </c>
      <c r="N5713" s="15" t="s">
        <v>6878</v>
      </c>
    </row>
    <row r="5714" spans="1:14" x14ac:dyDescent="0.2">
      <c r="A5714" t="s">
        <v>6841</v>
      </c>
      <c r="B5714" t="s">
        <v>2360</v>
      </c>
      <c r="C5714" s="9">
        <v>45084</v>
      </c>
      <c r="D5714" t="s">
        <v>1035</v>
      </c>
      <c r="E5714" s="13">
        <v>784320</v>
      </c>
      <c r="F5714" s="13">
        <v>27750</v>
      </c>
      <c r="G5714" s="9">
        <v>45087</v>
      </c>
      <c r="H5714" t="s">
        <v>1111</v>
      </c>
      <c r="I5714" t="s">
        <v>6822</v>
      </c>
      <c r="J5714" s="13">
        <v>21764</v>
      </c>
      <c r="K5714">
        <v>1</v>
      </c>
      <c r="L5714" t="s">
        <v>1064</v>
      </c>
      <c r="M5714" t="s">
        <v>6823</v>
      </c>
      <c r="N5714" s="15" t="s">
        <v>6878</v>
      </c>
    </row>
    <row r="5715" spans="1:14" x14ac:dyDescent="0.2">
      <c r="A5715" t="s">
        <v>6842</v>
      </c>
      <c r="B5715" t="s">
        <v>2360</v>
      </c>
      <c r="C5715" s="9">
        <v>45084</v>
      </c>
      <c r="D5715" t="s">
        <v>1035</v>
      </c>
      <c r="E5715" s="13">
        <v>726720</v>
      </c>
      <c r="F5715" s="13">
        <v>27750</v>
      </c>
      <c r="G5715" s="9">
        <v>45087</v>
      </c>
      <c r="H5715" t="s">
        <v>1111</v>
      </c>
      <c r="I5715" t="s">
        <v>6822</v>
      </c>
      <c r="J5715" s="13">
        <v>20166</v>
      </c>
      <c r="K5715">
        <v>1</v>
      </c>
      <c r="L5715" t="s">
        <v>1064</v>
      </c>
      <c r="M5715" t="s">
        <v>6823</v>
      </c>
      <c r="N5715" s="15" t="s">
        <v>6878</v>
      </c>
    </row>
    <row r="5716" spans="1:14" x14ac:dyDescent="0.2">
      <c r="A5716" t="s">
        <v>6843</v>
      </c>
      <c r="B5716" t="s">
        <v>2360</v>
      </c>
      <c r="C5716" s="9">
        <v>45084</v>
      </c>
      <c r="D5716" t="s">
        <v>9</v>
      </c>
      <c r="E5716" s="13">
        <v>190000</v>
      </c>
      <c r="F5716" s="13">
        <v>22500</v>
      </c>
      <c r="H5716" t="s">
        <v>2184</v>
      </c>
      <c r="I5716" t="s">
        <v>436</v>
      </c>
      <c r="J5716" s="13">
        <v>0</v>
      </c>
      <c r="K5716">
        <v>1</v>
      </c>
      <c r="L5716" t="s">
        <v>1064</v>
      </c>
      <c r="M5716" t="s">
        <v>2364</v>
      </c>
      <c r="N5716" s="14" t="s">
        <v>6877</v>
      </c>
    </row>
    <row r="5717" spans="1:14" x14ac:dyDescent="0.2">
      <c r="A5717" t="s">
        <v>6844</v>
      </c>
      <c r="B5717" t="s">
        <v>2360</v>
      </c>
      <c r="C5717" s="9">
        <v>45084</v>
      </c>
      <c r="D5717" t="s">
        <v>9</v>
      </c>
      <c r="E5717" s="13">
        <v>190000</v>
      </c>
      <c r="F5717" s="13">
        <v>22500</v>
      </c>
      <c r="H5717" t="s">
        <v>2184</v>
      </c>
      <c r="I5717" t="s">
        <v>436</v>
      </c>
      <c r="J5717" s="13">
        <v>0</v>
      </c>
      <c r="K5717">
        <v>1</v>
      </c>
      <c r="L5717" t="s">
        <v>1064</v>
      </c>
      <c r="M5717" t="s">
        <v>2364</v>
      </c>
      <c r="N5717" s="14" t="s">
        <v>6877</v>
      </c>
    </row>
    <row r="5718" spans="1:14" x14ac:dyDescent="0.2">
      <c r="A5718" t="s">
        <v>6845</v>
      </c>
      <c r="B5718" t="s">
        <v>2360</v>
      </c>
      <c r="C5718" s="9">
        <v>45085</v>
      </c>
      <c r="D5718" t="s">
        <v>1027</v>
      </c>
      <c r="E5718" s="13">
        <v>39464800</v>
      </c>
      <c r="F5718" s="13"/>
      <c r="H5718" t="s">
        <v>1659</v>
      </c>
      <c r="I5718" t="s">
        <v>6468</v>
      </c>
      <c r="J5718" s="13">
        <v>0</v>
      </c>
      <c r="K5718">
        <v>1</v>
      </c>
      <c r="L5718" t="s">
        <v>1064</v>
      </c>
      <c r="M5718" t="s">
        <v>6469</v>
      </c>
      <c r="N5718" s="14" t="s">
        <v>6877</v>
      </c>
    </row>
    <row r="5719" spans="1:14" x14ac:dyDescent="0.2">
      <c r="A5719" t="s">
        <v>1028</v>
      </c>
      <c r="B5719" t="s">
        <v>2360</v>
      </c>
      <c r="C5719" s="9">
        <v>45085</v>
      </c>
      <c r="D5719" t="s">
        <v>1027</v>
      </c>
      <c r="E5719" s="13">
        <v>39464800</v>
      </c>
      <c r="F5719" s="13">
        <v>1095148</v>
      </c>
      <c r="G5719" s="9">
        <v>45085</v>
      </c>
      <c r="H5719" t="s">
        <v>1111</v>
      </c>
      <c r="I5719" t="s">
        <v>6468</v>
      </c>
      <c r="J5719" s="13">
        <v>27750</v>
      </c>
      <c r="K5719">
        <v>1</v>
      </c>
      <c r="L5719" t="s">
        <v>1064</v>
      </c>
      <c r="M5719" t="s">
        <v>6469</v>
      </c>
      <c r="N5719" s="15" t="s">
        <v>6878</v>
      </c>
    </row>
    <row r="5720" spans="1:14" x14ac:dyDescent="0.2">
      <c r="A5720" t="s">
        <v>6846</v>
      </c>
      <c r="B5720" t="s">
        <v>2360</v>
      </c>
      <c r="C5720" s="9">
        <v>45085</v>
      </c>
      <c r="D5720" t="s">
        <v>9</v>
      </c>
      <c r="E5720" s="13">
        <v>2000000</v>
      </c>
      <c r="F5720" s="13">
        <v>22500</v>
      </c>
      <c r="H5720" t="s">
        <v>2272</v>
      </c>
      <c r="I5720" t="s">
        <v>2361</v>
      </c>
      <c r="J5720" s="13">
        <v>0</v>
      </c>
      <c r="K5720">
        <v>1</v>
      </c>
      <c r="L5720" t="s">
        <v>1064</v>
      </c>
      <c r="M5720" t="s">
        <v>2362</v>
      </c>
      <c r="N5720" s="14" t="s">
        <v>6877</v>
      </c>
    </row>
    <row r="5721" spans="1:14" x14ac:dyDescent="0.2">
      <c r="A5721" t="s">
        <v>6847</v>
      </c>
      <c r="B5721" t="s">
        <v>2360</v>
      </c>
      <c r="C5721" s="9">
        <v>45085</v>
      </c>
      <c r="D5721" t="s">
        <v>9</v>
      </c>
      <c r="E5721" s="13">
        <v>190000</v>
      </c>
      <c r="F5721" s="13">
        <v>22500</v>
      </c>
      <c r="H5721" t="s">
        <v>1185</v>
      </c>
      <c r="I5721" t="s">
        <v>436</v>
      </c>
      <c r="J5721" s="13">
        <v>0</v>
      </c>
      <c r="K5721">
        <v>1</v>
      </c>
      <c r="L5721" t="s">
        <v>1064</v>
      </c>
      <c r="M5721" t="s">
        <v>2364</v>
      </c>
      <c r="N5721" s="14" t="s">
        <v>6877</v>
      </c>
    </row>
    <row r="5722" spans="1:14" x14ac:dyDescent="0.2">
      <c r="A5722" t="s">
        <v>995</v>
      </c>
      <c r="B5722" t="s">
        <v>2360</v>
      </c>
      <c r="C5722" s="9">
        <v>45085</v>
      </c>
      <c r="D5722" t="s">
        <v>9</v>
      </c>
      <c r="E5722" s="13">
        <v>190000</v>
      </c>
      <c r="F5722" s="13">
        <v>22500</v>
      </c>
      <c r="H5722" t="s">
        <v>1185</v>
      </c>
      <c r="I5722" t="s">
        <v>436</v>
      </c>
      <c r="J5722" s="13">
        <v>0</v>
      </c>
      <c r="K5722">
        <v>1</v>
      </c>
      <c r="L5722" t="s">
        <v>1064</v>
      </c>
      <c r="M5722" t="s">
        <v>2364</v>
      </c>
      <c r="N5722" s="14" t="s">
        <v>6877</v>
      </c>
    </row>
    <row r="5723" spans="1:14" x14ac:dyDescent="0.2">
      <c r="A5723" t="s">
        <v>6848</v>
      </c>
      <c r="B5723" t="s">
        <v>2360</v>
      </c>
      <c r="C5723" s="9">
        <v>45086</v>
      </c>
      <c r="D5723" t="s">
        <v>1020</v>
      </c>
      <c r="E5723" s="13">
        <v>60000000</v>
      </c>
      <c r="F5723" s="13">
        <v>1665000</v>
      </c>
      <c r="G5723" s="9">
        <v>45086</v>
      </c>
      <c r="H5723" t="s">
        <v>1111</v>
      </c>
      <c r="I5723" t="s">
        <v>6849</v>
      </c>
      <c r="J5723" s="13">
        <v>88800</v>
      </c>
      <c r="K5723">
        <v>4</v>
      </c>
      <c r="L5723" t="s">
        <v>1064</v>
      </c>
      <c r="M5723" t="s">
        <v>6850</v>
      </c>
      <c r="N5723" s="15" t="s">
        <v>6878</v>
      </c>
    </row>
    <row r="5724" spans="1:14" x14ac:dyDescent="0.2">
      <c r="A5724" t="s">
        <v>6851</v>
      </c>
      <c r="B5724" t="s">
        <v>2360</v>
      </c>
      <c r="C5724" s="9">
        <v>45086</v>
      </c>
      <c r="D5724" t="s">
        <v>356</v>
      </c>
      <c r="E5724" s="13">
        <v>14000000</v>
      </c>
      <c r="F5724" s="13">
        <v>27750</v>
      </c>
      <c r="G5724" s="9">
        <v>45086</v>
      </c>
      <c r="H5724" t="s">
        <v>1111</v>
      </c>
      <c r="I5724" t="s">
        <v>6852</v>
      </c>
      <c r="J5724" s="13">
        <v>466200</v>
      </c>
      <c r="K5724">
        <v>1</v>
      </c>
      <c r="L5724" t="s">
        <v>1064</v>
      </c>
      <c r="M5724" t="s">
        <v>6853</v>
      </c>
      <c r="N5724" s="15" t="s">
        <v>6878</v>
      </c>
    </row>
    <row r="5725" spans="1:14" x14ac:dyDescent="0.2">
      <c r="A5725" t="s">
        <v>1021</v>
      </c>
      <c r="B5725" t="s">
        <v>2360</v>
      </c>
      <c r="C5725" s="9">
        <v>45086</v>
      </c>
      <c r="D5725" t="s">
        <v>1020</v>
      </c>
      <c r="E5725" s="13">
        <v>75000000</v>
      </c>
      <c r="F5725" s="13">
        <v>2081250</v>
      </c>
      <c r="G5725" s="9">
        <v>45086</v>
      </c>
      <c r="H5725" t="s">
        <v>1111</v>
      </c>
      <c r="I5725" t="s">
        <v>6849</v>
      </c>
      <c r="J5725" s="13">
        <v>111000</v>
      </c>
      <c r="K5725">
        <v>5</v>
      </c>
      <c r="L5725" t="s">
        <v>1064</v>
      </c>
      <c r="M5725" t="s">
        <v>6850</v>
      </c>
      <c r="N5725" s="15" t="s">
        <v>6878</v>
      </c>
    </row>
    <row r="5726" spans="1:14" x14ac:dyDescent="0.2">
      <c r="A5726" t="s">
        <v>6854</v>
      </c>
      <c r="B5726" t="s">
        <v>2360</v>
      </c>
      <c r="C5726" s="9">
        <v>45086</v>
      </c>
      <c r="D5726" t="s">
        <v>356</v>
      </c>
      <c r="E5726" s="13">
        <v>17650000</v>
      </c>
      <c r="F5726" s="13">
        <v>27750</v>
      </c>
      <c r="G5726" s="9">
        <v>45086</v>
      </c>
      <c r="H5726" t="s">
        <v>1111</v>
      </c>
      <c r="I5726" t="s">
        <v>6852</v>
      </c>
      <c r="J5726" s="13">
        <v>587745</v>
      </c>
      <c r="K5726">
        <v>1</v>
      </c>
      <c r="L5726" t="s">
        <v>1064</v>
      </c>
      <c r="M5726" t="s">
        <v>6853</v>
      </c>
      <c r="N5726" s="15" t="s">
        <v>6878</v>
      </c>
    </row>
    <row r="5727" spans="1:14" x14ac:dyDescent="0.2">
      <c r="A5727" t="s">
        <v>6855</v>
      </c>
      <c r="B5727" t="s">
        <v>2360</v>
      </c>
      <c r="C5727" s="9">
        <v>45086</v>
      </c>
      <c r="D5727" t="s">
        <v>356</v>
      </c>
      <c r="E5727" s="13">
        <v>17650000</v>
      </c>
      <c r="F5727" s="13">
        <v>27750</v>
      </c>
      <c r="G5727" s="9">
        <v>45086</v>
      </c>
      <c r="H5727" t="s">
        <v>1111</v>
      </c>
      <c r="I5727" t="s">
        <v>6852</v>
      </c>
      <c r="J5727" s="13">
        <v>587745</v>
      </c>
      <c r="K5727">
        <v>1</v>
      </c>
      <c r="L5727" t="s">
        <v>1064</v>
      </c>
      <c r="M5727" t="s">
        <v>6853</v>
      </c>
      <c r="N5727" s="15" t="s">
        <v>6878</v>
      </c>
    </row>
    <row r="5728" spans="1:14" x14ac:dyDescent="0.2">
      <c r="A5728" t="s">
        <v>6856</v>
      </c>
      <c r="B5728" t="s">
        <v>2360</v>
      </c>
      <c r="C5728" s="9">
        <v>45086</v>
      </c>
      <c r="D5728" t="s">
        <v>356</v>
      </c>
      <c r="E5728" s="13">
        <v>17650000</v>
      </c>
      <c r="F5728" s="13">
        <v>27750</v>
      </c>
      <c r="G5728" s="9">
        <v>45087</v>
      </c>
      <c r="H5728" t="s">
        <v>1111</v>
      </c>
      <c r="I5728" t="s">
        <v>6852</v>
      </c>
      <c r="J5728" s="13">
        <v>587745</v>
      </c>
      <c r="K5728">
        <v>1</v>
      </c>
      <c r="L5728" t="s">
        <v>1064</v>
      </c>
      <c r="M5728" t="s">
        <v>6853</v>
      </c>
      <c r="N5728" s="15" t="s">
        <v>6878</v>
      </c>
    </row>
    <row r="5729" spans="1:14" x14ac:dyDescent="0.2">
      <c r="A5729" t="s">
        <v>6857</v>
      </c>
      <c r="B5729" t="s">
        <v>2360</v>
      </c>
      <c r="C5729" s="9">
        <v>45086</v>
      </c>
      <c r="D5729" t="s">
        <v>356</v>
      </c>
      <c r="E5729" s="13">
        <v>17650000</v>
      </c>
      <c r="F5729" s="13">
        <v>27750</v>
      </c>
      <c r="G5729" s="9">
        <v>45087</v>
      </c>
      <c r="H5729" t="s">
        <v>1111</v>
      </c>
      <c r="I5729" t="s">
        <v>6852</v>
      </c>
      <c r="J5729" s="13">
        <v>587745</v>
      </c>
      <c r="K5729">
        <v>1</v>
      </c>
      <c r="L5729" t="s">
        <v>1064</v>
      </c>
      <c r="M5729" t="s">
        <v>6853</v>
      </c>
      <c r="N5729" s="15" t="s">
        <v>6878</v>
      </c>
    </row>
    <row r="5730" spans="1:14" x14ac:dyDescent="0.2">
      <c r="A5730" t="s">
        <v>6858</v>
      </c>
      <c r="B5730" t="s">
        <v>2360</v>
      </c>
      <c r="C5730" s="9">
        <v>45086</v>
      </c>
      <c r="D5730" t="s">
        <v>356</v>
      </c>
      <c r="E5730" s="13">
        <v>17650000</v>
      </c>
      <c r="F5730" s="13">
        <v>27750</v>
      </c>
      <c r="G5730" s="9">
        <v>45087</v>
      </c>
      <c r="H5730" t="s">
        <v>1111</v>
      </c>
      <c r="I5730" t="s">
        <v>6852</v>
      </c>
      <c r="J5730" s="13">
        <v>587745</v>
      </c>
      <c r="K5730">
        <v>1</v>
      </c>
      <c r="L5730" t="s">
        <v>1064</v>
      </c>
      <c r="M5730" t="s">
        <v>6853</v>
      </c>
      <c r="N5730" s="15" t="s">
        <v>6878</v>
      </c>
    </row>
    <row r="5731" spans="1:14" x14ac:dyDescent="0.2">
      <c r="A5731" t="s">
        <v>1026</v>
      </c>
      <c r="B5731" t="s">
        <v>2360</v>
      </c>
      <c r="C5731" s="9">
        <v>45086</v>
      </c>
      <c r="D5731" t="s">
        <v>356</v>
      </c>
      <c r="E5731" s="13">
        <v>14000000</v>
      </c>
      <c r="F5731" s="13">
        <v>27750</v>
      </c>
      <c r="G5731" s="9">
        <v>45087</v>
      </c>
      <c r="H5731" t="s">
        <v>1111</v>
      </c>
      <c r="I5731" t="s">
        <v>6852</v>
      </c>
      <c r="J5731" s="13">
        <v>466200</v>
      </c>
      <c r="K5731">
        <v>1</v>
      </c>
      <c r="L5731" t="s">
        <v>1064</v>
      </c>
      <c r="M5731" t="s">
        <v>6853</v>
      </c>
      <c r="N5731" s="15" t="s">
        <v>6878</v>
      </c>
    </row>
    <row r="5732" spans="1:14" x14ac:dyDescent="0.2">
      <c r="A5732" t="s">
        <v>6859</v>
      </c>
      <c r="B5732" t="s">
        <v>2360</v>
      </c>
      <c r="C5732" s="9">
        <v>45086</v>
      </c>
      <c r="D5732" t="s">
        <v>1035</v>
      </c>
      <c r="E5732" s="13">
        <v>780000</v>
      </c>
      <c r="F5732" s="13">
        <v>27750</v>
      </c>
      <c r="G5732" s="9">
        <v>45087</v>
      </c>
      <c r="H5732" t="s">
        <v>1111</v>
      </c>
      <c r="I5732" t="s">
        <v>6822</v>
      </c>
      <c r="J5732" s="13">
        <v>21645</v>
      </c>
      <c r="K5732">
        <v>1</v>
      </c>
      <c r="L5732" t="s">
        <v>1064</v>
      </c>
      <c r="M5732" t="s">
        <v>6823</v>
      </c>
      <c r="N5732" s="15" t="s">
        <v>6878</v>
      </c>
    </row>
    <row r="5733" spans="1:14" x14ac:dyDescent="0.2">
      <c r="A5733" t="s">
        <v>6860</v>
      </c>
      <c r="B5733" t="s">
        <v>2360</v>
      </c>
      <c r="C5733" s="9">
        <v>45086</v>
      </c>
      <c r="D5733" t="s">
        <v>1035</v>
      </c>
      <c r="E5733" s="13">
        <v>8365000</v>
      </c>
      <c r="F5733" s="13">
        <v>27750</v>
      </c>
      <c r="G5733" s="9">
        <v>45087</v>
      </c>
      <c r="H5733" t="s">
        <v>1111</v>
      </c>
      <c r="I5733" t="s">
        <v>6822</v>
      </c>
      <c r="J5733" s="13">
        <v>232128</v>
      </c>
      <c r="K5733">
        <v>1</v>
      </c>
      <c r="L5733" t="s">
        <v>1064</v>
      </c>
      <c r="M5733" t="s">
        <v>6823</v>
      </c>
      <c r="N5733" s="15" t="s">
        <v>6878</v>
      </c>
    </row>
    <row r="5734" spans="1:14" x14ac:dyDescent="0.2">
      <c r="A5734" t="s">
        <v>6861</v>
      </c>
      <c r="B5734" t="s">
        <v>2360</v>
      </c>
      <c r="C5734" s="9">
        <v>45086</v>
      </c>
      <c r="D5734" t="s">
        <v>1035</v>
      </c>
      <c r="E5734" s="13">
        <v>825000</v>
      </c>
      <c r="F5734" s="13">
        <v>27750</v>
      </c>
      <c r="G5734" s="9">
        <v>45087</v>
      </c>
      <c r="H5734" t="s">
        <v>1111</v>
      </c>
      <c r="I5734" t="s">
        <v>6822</v>
      </c>
      <c r="J5734" s="13">
        <v>22893</v>
      </c>
      <c r="K5734">
        <v>1</v>
      </c>
      <c r="L5734" t="s">
        <v>1064</v>
      </c>
      <c r="M5734" t="s">
        <v>6823</v>
      </c>
      <c r="N5734" s="15" t="s">
        <v>6878</v>
      </c>
    </row>
    <row r="5735" spans="1:14" x14ac:dyDescent="0.2">
      <c r="A5735" t="s">
        <v>6862</v>
      </c>
      <c r="B5735" t="s">
        <v>2360</v>
      </c>
      <c r="C5735" s="9">
        <v>45086</v>
      </c>
      <c r="D5735" t="s">
        <v>1035</v>
      </c>
      <c r="E5735" s="13">
        <v>1530000</v>
      </c>
      <c r="F5735" s="13">
        <v>27750</v>
      </c>
      <c r="G5735" s="9">
        <v>45087</v>
      </c>
      <c r="H5735" t="s">
        <v>1111</v>
      </c>
      <c r="I5735" t="s">
        <v>6822</v>
      </c>
      <c r="J5735" s="13">
        <v>42457</v>
      </c>
      <c r="K5735">
        <v>1</v>
      </c>
      <c r="L5735" t="s">
        <v>1064</v>
      </c>
      <c r="M5735" t="s">
        <v>6823</v>
      </c>
      <c r="N5735" s="15" t="s">
        <v>6878</v>
      </c>
    </row>
    <row r="5736" spans="1:14" x14ac:dyDescent="0.2">
      <c r="A5736" t="s">
        <v>6863</v>
      </c>
      <c r="B5736" t="s">
        <v>2360</v>
      </c>
      <c r="C5736" s="9">
        <v>45086</v>
      </c>
      <c r="D5736" t="s">
        <v>1035</v>
      </c>
      <c r="E5736" s="13">
        <v>480000</v>
      </c>
      <c r="F5736" s="13">
        <v>27750</v>
      </c>
      <c r="G5736" s="9">
        <v>45087</v>
      </c>
      <c r="H5736" t="s">
        <v>1111</v>
      </c>
      <c r="I5736" t="s">
        <v>6822</v>
      </c>
      <c r="J5736" s="13">
        <v>13320</v>
      </c>
      <c r="K5736">
        <v>1</v>
      </c>
      <c r="L5736" t="s">
        <v>1064</v>
      </c>
      <c r="M5736" t="s">
        <v>6823</v>
      </c>
      <c r="N5736" s="15" t="s">
        <v>6878</v>
      </c>
    </row>
    <row r="5737" spans="1:14" x14ac:dyDescent="0.2">
      <c r="A5737" t="s">
        <v>6864</v>
      </c>
      <c r="B5737" t="s">
        <v>2360</v>
      </c>
      <c r="C5737" s="9">
        <v>45086</v>
      </c>
      <c r="D5737" t="s">
        <v>1035</v>
      </c>
      <c r="E5737" s="13">
        <v>3600000</v>
      </c>
      <c r="F5737" s="13">
        <v>27750</v>
      </c>
      <c r="G5737" s="9">
        <v>45087</v>
      </c>
      <c r="H5737" t="s">
        <v>1111</v>
      </c>
      <c r="I5737" t="s">
        <v>6822</v>
      </c>
      <c r="J5737" s="13">
        <v>99900</v>
      </c>
      <c r="K5737">
        <v>1</v>
      </c>
      <c r="L5737" t="s">
        <v>1064</v>
      </c>
      <c r="M5737" t="s">
        <v>6823</v>
      </c>
      <c r="N5737" s="15" t="s">
        <v>6878</v>
      </c>
    </row>
    <row r="5738" spans="1:14" x14ac:dyDescent="0.2">
      <c r="A5738" t="s">
        <v>6865</v>
      </c>
      <c r="B5738" t="s">
        <v>2360</v>
      </c>
      <c r="C5738" s="9">
        <v>45086</v>
      </c>
      <c r="D5738" t="s">
        <v>1035</v>
      </c>
      <c r="E5738" s="13">
        <v>3740000</v>
      </c>
      <c r="F5738" s="13">
        <v>27750</v>
      </c>
      <c r="G5738" s="9">
        <v>45087</v>
      </c>
      <c r="H5738" t="s">
        <v>1111</v>
      </c>
      <c r="I5738" t="s">
        <v>6822</v>
      </c>
      <c r="J5738" s="13">
        <v>103785</v>
      </c>
      <c r="K5738">
        <v>1</v>
      </c>
      <c r="L5738" t="s">
        <v>1064</v>
      </c>
      <c r="M5738" t="s">
        <v>6823</v>
      </c>
      <c r="N5738" s="15" t="s">
        <v>6878</v>
      </c>
    </row>
    <row r="5739" spans="1:14" x14ac:dyDescent="0.2">
      <c r="A5739" t="s">
        <v>6866</v>
      </c>
      <c r="B5739" t="s">
        <v>2360</v>
      </c>
      <c r="C5739" s="9">
        <v>45086</v>
      </c>
      <c r="D5739" t="s">
        <v>1035</v>
      </c>
      <c r="E5739" s="13">
        <v>840000</v>
      </c>
      <c r="F5739" s="13">
        <v>27750</v>
      </c>
      <c r="G5739" s="9">
        <v>45087</v>
      </c>
      <c r="H5739" t="s">
        <v>1111</v>
      </c>
      <c r="I5739" t="s">
        <v>6822</v>
      </c>
      <c r="J5739" s="13">
        <v>23310</v>
      </c>
      <c r="K5739">
        <v>1</v>
      </c>
      <c r="L5739" t="s">
        <v>1064</v>
      </c>
      <c r="M5739" t="s">
        <v>6823</v>
      </c>
      <c r="N5739" s="15" t="s">
        <v>6878</v>
      </c>
    </row>
    <row r="5740" spans="1:14" x14ac:dyDescent="0.2">
      <c r="A5740" t="s">
        <v>1036</v>
      </c>
      <c r="B5740" t="s">
        <v>2360</v>
      </c>
      <c r="C5740" s="9">
        <v>45086</v>
      </c>
      <c r="D5740" t="s">
        <v>1035</v>
      </c>
      <c r="E5740" s="13">
        <v>2520000</v>
      </c>
      <c r="F5740" s="13">
        <v>27750</v>
      </c>
      <c r="G5740" s="9">
        <v>45087</v>
      </c>
      <c r="H5740" t="s">
        <v>1111</v>
      </c>
      <c r="I5740" t="s">
        <v>6822</v>
      </c>
      <c r="J5740" s="13">
        <v>69930</v>
      </c>
      <c r="K5740">
        <v>1</v>
      </c>
      <c r="L5740" t="s">
        <v>1064</v>
      </c>
      <c r="M5740" t="s">
        <v>6823</v>
      </c>
      <c r="N5740" s="15" t="s">
        <v>6878</v>
      </c>
    </row>
    <row r="5741" spans="1:14" x14ac:dyDescent="0.2">
      <c r="A5741" t="s">
        <v>6867</v>
      </c>
      <c r="B5741" t="s">
        <v>2360</v>
      </c>
      <c r="C5741" s="9">
        <v>45086</v>
      </c>
      <c r="D5741" t="s">
        <v>424</v>
      </c>
      <c r="E5741" s="13">
        <v>3200000</v>
      </c>
      <c r="F5741" s="13">
        <v>27750</v>
      </c>
      <c r="G5741" s="9">
        <v>45087</v>
      </c>
      <c r="H5741" t="s">
        <v>1111</v>
      </c>
      <c r="I5741" t="s">
        <v>268</v>
      </c>
      <c r="J5741" s="13">
        <v>213120</v>
      </c>
      <c r="K5741">
        <v>1</v>
      </c>
      <c r="L5741" t="s">
        <v>1064</v>
      </c>
      <c r="M5741" t="s">
        <v>6572</v>
      </c>
      <c r="N5741" s="15" t="s">
        <v>6878</v>
      </c>
    </row>
    <row r="5742" spans="1:14" x14ac:dyDescent="0.2">
      <c r="A5742" t="s">
        <v>1039</v>
      </c>
      <c r="B5742" t="s">
        <v>2360</v>
      </c>
      <c r="C5742" s="9">
        <v>45086</v>
      </c>
      <c r="D5742" t="s">
        <v>424</v>
      </c>
      <c r="E5742" s="13">
        <v>2655001</v>
      </c>
      <c r="F5742" s="13">
        <v>27750</v>
      </c>
      <c r="G5742" s="9">
        <v>45087</v>
      </c>
      <c r="H5742" t="s">
        <v>1111</v>
      </c>
      <c r="I5742" t="s">
        <v>268</v>
      </c>
      <c r="J5742" s="13">
        <v>176823</v>
      </c>
      <c r="K5742">
        <v>1</v>
      </c>
      <c r="L5742" t="s">
        <v>1064</v>
      </c>
      <c r="M5742" t="s">
        <v>6572</v>
      </c>
      <c r="N5742" s="15" t="s">
        <v>6878</v>
      </c>
    </row>
    <row r="5743" spans="1:14" x14ac:dyDescent="0.2">
      <c r="A5743" t="s">
        <v>6868</v>
      </c>
      <c r="B5743" t="s">
        <v>2360</v>
      </c>
      <c r="C5743" s="9">
        <v>45086</v>
      </c>
      <c r="D5743" t="s">
        <v>633</v>
      </c>
      <c r="E5743" s="13">
        <v>20300000</v>
      </c>
      <c r="F5743" s="13">
        <v>788655</v>
      </c>
      <c r="G5743" s="9">
        <v>45087</v>
      </c>
      <c r="H5743" t="s">
        <v>1111</v>
      </c>
      <c r="I5743" t="s">
        <v>116</v>
      </c>
      <c r="J5743" s="13">
        <v>27750</v>
      </c>
      <c r="K5743">
        <v>1</v>
      </c>
      <c r="L5743" t="s">
        <v>1064</v>
      </c>
      <c r="M5743" t="s">
        <v>6252</v>
      </c>
      <c r="N5743" s="15" t="s">
        <v>6878</v>
      </c>
    </row>
    <row r="5744" spans="1:14" x14ac:dyDescent="0.2">
      <c r="A5744" t="s">
        <v>6869</v>
      </c>
      <c r="B5744" t="s">
        <v>2360</v>
      </c>
      <c r="C5744" s="9">
        <v>45086</v>
      </c>
      <c r="D5744" t="s">
        <v>633</v>
      </c>
      <c r="E5744" s="13">
        <v>20300000</v>
      </c>
      <c r="F5744" s="13">
        <v>788655</v>
      </c>
      <c r="G5744" s="9">
        <v>45087</v>
      </c>
      <c r="H5744" t="s">
        <v>1111</v>
      </c>
      <c r="I5744" t="s">
        <v>116</v>
      </c>
      <c r="J5744" s="13">
        <v>27750</v>
      </c>
      <c r="K5744">
        <v>1</v>
      </c>
      <c r="L5744" t="s">
        <v>1064</v>
      </c>
      <c r="M5744" t="s">
        <v>6252</v>
      </c>
      <c r="N5744" s="15" t="s">
        <v>6878</v>
      </c>
    </row>
    <row r="5745" spans="1:14" x14ac:dyDescent="0.2">
      <c r="A5745" t="s">
        <v>6870</v>
      </c>
      <c r="B5745" t="s">
        <v>2360</v>
      </c>
      <c r="C5745" s="9">
        <v>45086</v>
      </c>
      <c r="D5745" t="s">
        <v>633</v>
      </c>
      <c r="E5745" s="13">
        <v>24600000</v>
      </c>
      <c r="F5745" s="13">
        <v>955710</v>
      </c>
      <c r="G5745" s="9">
        <v>45087</v>
      </c>
      <c r="H5745" t="s">
        <v>1111</v>
      </c>
      <c r="I5745" t="s">
        <v>116</v>
      </c>
      <c r="J5745" s="13">
        <v>27750</v>
      </c>
      <c r="K5745">
        <v>1</v>
      </c>
      <c r="L5745" t="s">
        <v>1064</v>
      </c>
      <c r="M5745" t="s">
        <v>6252</v>
      </c>
      <c r="N5745" s="15" t="s">
        <v>6878</v>
      </c>
    </row>
    <row r="5746" spans="1:14" x14ac:dyDescent="0.2">
      <c r="A5746" t="s">
        <v>6871</v>
      </c>
      <c r="B5746" t="s">
        <v>2360</v>
      </c>
      <c r="C5746" s="9">
        <v>45086</v>
      </c>
      <c r="D5746" t="s">
        <v>633</v>
      </c>
      <c r="E5746" s="13">
        <v>24600000</v>
      </c>
      <c r="F5746" s="13">
        <v>955710</v>
      </c>
      <c r="G5746" s="9">
        <v>45087</v>
      </c>
      <c r="H5746" t="s">
        <v>1111</v>
      </c>
      <c r="I5746" t="s">
        <v>116</v>
      </c>
      <c r="J5746" s="13">
        <v>27750</v>
      </c>
      <c r="K5746">
        <v>1</v>
      </c>
      <c r="L5746" t="s">
        <v>1064</v>
      </c>
      <c r="M5746" t="s">
        <v>6252</v>
      </c>
      <c r="N5746" s="15" t="s">
        <v>6878</v>
      </c>
    </row>
    <row r="5747" spans="1:14" x14ac:dyDescent="0.2">
      <c r="A5747" t="s">
        <v>6872</v>
      </c>
      <c r="B5747" t="s">
        <v>2360</v>
      </c>
      <c r="C5747" s="9">
        <v>45086</v>
      </c>
      <c r="D5747" t="s">
        <v>633</v>
      </c>
      <c r="E5747" s="13">
        <v>24800000</v>
      </c>
      <c r="F5747" s="13"/>
      <c r="H5747" t="s">
        <v>2272</v>
      </c>
      <c r="I5747" t="s">
        <v>116</v>
      </c>
      <c r="J5747" s="13">
        <v>0</v>
      </c>
      <c r="K5747">
        <v>1</v>
      </c>
      <c r="L5747" t="s">
        <v>1064</v>
      </c>
      <c r="M5747" t="s">
        <v>6252</v>
      </c>
      <c r="N5747" s="14" t="s">
        <v>6877</v>
      </c>
    </row>
    <row r="5748" spans="1:14" x14ac:dyDescent="0.2">
      <c r="A5748" t="s">
        <v>6873</v>
      </c>
      <c r="B5748" t="s">
        <v>2360</v>
      </c>
      <c r="C5748" s="9">
        <v>45086</v>
      </c>
      <c r="D5748" t="s">
        <v>633</v>
      </c>
      <c r="E5748" s="13">
        <v>20300000</v>
      </c>
      <c r="F5748" s="13">
        <v>788655</v>
      </c>
      <c r="G5748" s="9">
        <v>45087</v>
      </c>
      <c r="H5748" t="s">
        <v>1111</v>
      </c>
      <c r="I5748" t="s">
        <v>116</v>
      </c>
      <c r="J5748" s="13">
        <v>27750</v>
      </c>
      <c r="K5748">
        <v>1</v>
      </c>
      <c r="L5748" t="s">
        <v>1064</v>
      </c>
      <c r="M5748" t="s">
        <v>6252</v>
      </c>
      <c r="N5748" s="15" t="s">
        <v>6878</v>
      </c>
    </row>
    <row r="5749" spans="1:14" x14ac:dyDescent="0.2">
      <c r="A5749" t="s">
        <v>6874</v>
      </c>
      <c r="B5749" t="s">
        <v>2360</v>
      </c>
      <c r="C5749" s="9">
        <v>45086</v>
      </c>
      <c r="D5749" t="s">
        <v>633</v>
      </c>
      <c r="E5749" s="13">
        <v>24600000</v>
      </c>
      <c r="F5749" s="13">
        <v>955710</v>
      </c>
      <c r="G5749" s="9">
        <v>45087</v>
      </c>
      <c r="H5749" t="s">
        <v>1111</v>
      </c>
      <c r="I5749" t="s">
        <v>116</v>
      </c>
      <c r="J5749" s="13">
        <v>27750</v>
      </c>
      <c r="K5749">
        <v>1</v>
      </c>
      <c r="L5749" t="s">
        <v>1064</v>
      </c>
      <c r="M5749" t="s">
        <v>6252</v>
      </c>
      <c r="N5749" s="15" t="s">
        <v>6878</v>
      </c>
    </row>
    <row r="5750" spans="1:14" x14ac:dyDescent="0.2">
      <c r="A5750" t="s">
        <v>6875</v>
      </c>
      <c r="B5750" t="s">
        <v>2360</v>
      </c>
      <c r="C5750" s="9">
        <v>45086</v>
      </c>
      <c r="D5750" t="s">
        <v>633</v>
      </c>
      <c r="E5750" s="13">
        <v>20300000</v>
      </c>
      <c r="F5750" s="13">
        <v>788655</v>
      </c>
      <c r="G5750" s="9">
        <v>45087</v>
      </c>
      <c r="H5750" t="s">
        <v>1111</v>
      </c>
      <c r="I5750" t="s">
        <v>116</v>
      </c>
      <c r="J5750" s="13">
        <v>27750</v>
      </c>
      <c r="K5750">
        <v>1</v>
      </c>
      <c r="L5750" t="s">
        <v>1064</v>
      </c>
      <c r="M5750" t="s">
        <v>6252</v>
      </c>
      <c r="N5750" s="15" t="s">
        <v>6878</v>
      </c>
    </row>
    <row r="5751" spans="1:14" x14ac:dyDescent="0.2">
      <c r="A5751" t="s">
        <v>957</v>
      </c>
      <c r="B5751" t="s">
        <v>2360</v>
      </c>
      <c r="C5751" s="9">
        <v>45086</v>
      </c>
      <c r="D5751" t="s">
        <v>633</v>
      </c>
      <c r="E5751" s="13">
        <v>20300000</v>
      </c>
      <c r="F5751" s="13">
        <v>788655</v>
      </c>
      <c r="G5751" s="9">
        <v>45087</v>
      </c>
      <c r="H5751" t="s">
        <v>1111</v>
      </c>
      <c r="I5751" t="s">
        <v>116</v>
      </c>
      <c r="J5751" s="13">
        <v>27750</v>
      </c>
      <c r="K5751">
        <v>1</v>
      </c>
      <c r="L5751" t="s">
        <v>1064</v>
      </c>
      <c r="M5751" t="s">
        <v>6252</v>
      </c>
      <c r="N5751" s="15" t="s">
        <v>6878</v>
      </c>
    </row>
    <row r="5752" spans="1:14" x14ac:dyDescent="0.2">
      <c r="A5752" t="s">
        <v>6876</v>
      </c>
      <c r="B5752" t="s">
        <v>2360</v>
      </c>
      <c r="C5752" s="9">
        <v>45087</v>
      </c>
      <c r="D5752" t="s">
        <v>624</v>
      </c>
      <c r="E5752" s="13">
        <v>98000000</v>
      </c>
      <c r="F5752" s="13">
        <v>6526800</v>
      </c>
      <c r="G5752" s="9">
        <v>45088</v>
      </c>
      <c r="H5752" t="s">
        <v>1111</v>
      </c>
      <c r="I5752" t="s">
        <v>359</v>
      </c>
      <c r="J5752" s="13">
        <v>27750</v>
      </c>
      <c r="K5752">
        <v>1</v>
      </c>
      <c r="L5752" t="s">
        <v>1064</v>
      </c>
      <c r="M5752" t="s">
        <v>6247</v>
      </c>
      <c r="N5752" s="15" t="s">
        <v>6878</v>
      </c>
    </row>
    <row r="5753" spans="1:14" x14ac:dyDescent="0.2">
      <c r="A5753" t="s">
        <v>987</v>
      </c>
      <c r="B5753" t="s">
        <v>2360</v>
      </c>
      <c r="C5753" s="9">
        <v>45087</v>
      </c>
      <c r="D5753" t="s">
        <v>624</v>
      </c>
      <c r="E5753" s="13">
        <v>98000000</v>
      </c>
      <c r="F5753" s="13">
        <v>6526800</v>
      </c>
      <c r="G5753" s="9">
        <v>45088</v>
      </c>
      <c r="H5753" t="s">
        <v>1111</v>
      </c>
      <c r="I5753" t="s">
        <v>359</v>
      </c>
      <c r="J5753" s="13">
        <v>27750</v>
      </c>
      <c r="K5753">
        <v>1</v>
      </c>
      <c r="L5753" t="s">
        <v>1064</v>
      </c>
      <c r="M5753" t="s">
        <v>6247</v>
      </c>
      <c r="N5753" s="15" t="s">
        <v>6878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Sheet2</vt:lpstr>
      <vt:lpstr>CO Trx</vt:lpstr>
      <vt:lpstr>TV Trx</vt:lpstr>
      <vt:lpstr>CLT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Lay</dc:creator>
  <cp:lastModifiedBy>Zhang Ji</cp:lastModifiedBy>
  <dcterms:created xsi:type="dcterms:W3CDTF">2023-06-15T04:22:27Z</dcterms:created>
  <dcterms:modified xsi:type="dcterms:W3CDTF">2023-06-30T08:45:31Z</dcterms:modified>
</cp:coreProperties>
</file>